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H1_Tests" sheetId="2" state="visible" r:id="rId4"/>
    <sheet name="H2_Tests" sheetId="3" state="visible" r:id="rId5"/>
    <sheet name="H2_Alt_Tests" sheetId="4" state="visible" r:id="rId6"/>
    <sheet name="H1_Placebo" sheetId="5" state="visible" r:id="rId7"/>
    <sheet name="H2_Placebo" sheetId="6" state="visible" r:id="rId8"/>
    <sheet name="H2_Rollback" sheetId="7" state="visible" r:id="rId9"/>
    <sheet name="H1_DropOne" sheetId="8" state="visible" r:id="rId10"/>
    <sheet name="NeweyWest_Output" sheetId="9" state="visible" r:id="rId11"/>
    <sheet name="ES_MarketModel" sheetId="10" state="visible" r:id="rId12"/>
    <sheet name="ES_E1" sheetId="11" state="visible" r:id="rId13"/>
    <sheet name="ES_E2" sheetId="12" state="visible" r:id="rId14"/>
    <sheet name="ES_Nifty500" sheetId="13" state="visible" r:id="rId15"/>
    <sheet name="ES_PlaceboDays" sheetId="14" state="visible" r:id="rId16"/>
    <sheet name="Firm_Tests" sheetId="15" state="visible" r:id="rId17"/>
    <sheet name="Data_Monthly" sheetId="16" state="visible" r:id="rId18"/>
    <sheet name="Data_Prices" sheetId="17" state="visible" r:id="rId19"/>
    <sheet name="Data_Returns" sheetId="18" state="visible" r:id="rId20"/>
    <sheet name="Data_Firm_COF" sheetId="19" state="visible" r:id="rId21"/>
    <sheet name="Data_Firm_BankShare" sheetId="20" state="visible" r:id="rId2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<sst xmlns="http://schemas.openxmlformats.org/spreadsheetml/2006/main" count="6623" uniqueCount="884">
  <si>
    <t xml:space="preserve">Capital Requirements and Credit Supply: statistical tests</t>
  </si>
  <si>
    <t xml:space="preserve">Workbook 2 of 2 accompanying the dissertation (Nityam Gupta, FMS Delhi, MBA 2025-27). The first workbook, Dissertation_Data_Compilation.xlsx, holds the full data set.</t>
  </si>
  <si>
    <t xml:space="preserve">Sheet</t>
  </si>
  <si>
    <t xml:space="preserve">Reproduces</t>
  </si>
  <si>
    <t xml:space="preserve">Tests</t>
  </si>
  <si>
    <t xml:space="preserve">How computed</t>
  </si>
  <si>
    <t xml:space="preserve">H1_Tests</t>
  </si>
  <si>
    <t xml:space="preserve">Tables 7.1 to 7.5 (H1)</t>
  </si>
  <si>
    <t xml:space="preserve">Welch t-test; regression on a Post dummy, without and with calendar-month dummies (model summary, ANOVA, coefficients); Durbin-Watson, Jarque-Bera, Breusch-Pagan and VIF; economic size</t>
  </si>
  <si>
    <t xml:space="preserve">Excel formulas</t>
  </si>
  <si>
    <t xml:space="preserve">H2_Tests</t>
  </si>
  <si>
    <t xml:space="preserve">Tables 7.1 to 7.5 (H2)</t>
  </si>
  <si>
    <t xml:space="preserve">H2_Alt_Tests</t>
  </si>
  <si>
    <t xml:space="preserve">Table 7.1, third row; Section 7.2</t>
  </si>
  <si>
    <t xml:space="preserve">Welch t-test; regression on a Post dummy, without and with calendar-month dummies (model summary, ANOVA, coefficients)</t>
  </si>
  <si>
    <t xml:space="preserve">H1_Placebo</t>
  </si>
  <si>
    <t xml:space="preserve">Table 7.6</t>
  </si>
  <si>
    <t xml:space="preserve">Placebo Welch t-test and month-dummy regression at a fictitious date; linear pre-policy trend</t>
  </si>
  <si>
    <t xml:space="preserve">H2_Placebo</t>
  </si>
  <si>
    <t xml:space="preserve">H2_Rollback</t>
  </si>
  <si>
    <t xml:space="preserve">Welch t-test of the H2 gap before and after the rollback</t>
  </si>
  <si>
    <t xml:space="preserve">H1_DropOne</t>
  </si>
  <si>
    <t xml:space="preserve">Table 7.7</t>
  </si>
  <si>
    <t xml:space="preserve">Welch t-test and month-dummy regression with one H1 series dropped (summary at the top)</t>
  </si>
  <si>
    <t xml:space="preserve">NeweyWest_Output</t>
  </si>
  <si>
    <t xml:space="preserve">Table 7.4 (Newey-West columns)</t>
  </si>
  <si>
    <t xml:space="preserve">Newey-West standard errors, 3 lags</t>
  </si>
  <si>
    <t xml:space="preserve">Python output (not possible with Excel functions)</t>
  </si>
  <si>
    <t xml:space="preserve">ES_MarketModel</t>
  </si>
  <si>
    <t xml:space="preserve">Table 8.1</t>
  </si>
  <si>
    <t xml:space="preserve">Market model (alpha, beta, R squared, residual standard deviation) for every stock and both events</t>
  </si>
  <si>
    <t xml:space="preserve">ES_E1</t>
  </si>
  <si>
    <t xml:space="preserve">Tables 8.2 and 8.4</t>
  </si>
  <si>
    <t xml:space="preserve">Abnormal and cumulative abnormal returns of portfolios and companies, t-tests, sign test, bank-share regression</t>
  </si>
  <si>
    <t xml:space="preserve">ES_E2</t>
  </si>
  <si>
    <t xml:space="preserve">Tables 8.3 and 8.4</t>
  </si>
  <si>
    <t xml:space="preserve">ES_Nifty500</t>
  </si>
  <si>
    <t xml:space="preserve">Table C.1</t>
  </si>
  <si>
    <t xml:space="preserve">Event study with the Nifty 500 as benchmark</t>
  </si>
  <si>
    <t xml:space="preserve">ES_PlaceboDays</t>
  </si>
  <si>
    <t xml:space="preserve">Figure 8.2</t>
  </si>
  <si>
    <t xml:space="preserve">Day-0 abnormal return of the difference portfolios against the 220 estimation-window days</t>
  </si>
  <si>
    <t xml:space="preserve">Firm_Tests</t>
  </si>
  <si>
    <t xml:space="preserve">Table 9.2</t>
  </si>
  <si>
    <t xml:space="preserve">Welch t-tests between groups and paired t-tests within groups, cost of funds and bank share</t>
  </si>
  <si>
    <t xml:space="preserve">Data_Firm_COF, Data_Firm_BankShare</t>
  </si>
  <si>
    <t xml:space="preserve">Inputs to Tables 4.3, 4.4 and 9.2</t>
  </si>
  <si>
    <t xml:space="preserve">Quarterly company data used in Firm_Tests</t>
  </si>
  <si>
    <t xml:space="preserve">Data</t>
  </si>
  <si>
    <t xml:space="preserve">Data_Monthly, Data_Prices, Data_Returns</t>
  </si>
  <si>
    <t xml:space="preserve">Inputs to Chapters 4, 7 and 8</t>
  </si>
  <si>
    <t xml:space="preserve">Monthly credit growth and gaps; daily prices, returns and portfolio returns</t>
  </si>
  <si>
    <t xml:space="preserve">Data and formulas</t>
  </si>
  <si>
    <t xml:space="preserve">Colour code: blue = input data; black = Excel formula; green = link to another sheet; blue italics = value reported in the dissertation (for comparison).</t>
  </si>
  <si>
    <t xml:space="preserve">Excel functions used: T.TEST, LINEST, INDEX, SLOPE, INTERCEPT, RSQ, STEYX, CORREL, MINVERSE, SUMXMY2, SUMPRODUCT, T.DIST.2T, F.DIST.RT, CHISQ.DIST.RT, BINOM.DIST, AVERAGEIFS.</t>
  </si>
  <si>
    <t xml:space="preserve">LINEST returns the coefficients in reverse order of the X columns; the coefficient tables put them back in the order Post, M2 to M12, then the constant.</t>
  </si>
  <si>
    <t xml:space="preserve">The Welch p-value uses T.TEST (type 3), which keeps the fractional Welch degrees of freedom.</t>
  </si>
  <si>
    <t xml:space="preserve">Newey-West standard errors cannot be computed with standard Excel functions; NeweyWest_Output holds the Python (statsmodels) output.</t>
  </si>
  <si>
    <t xml:space="preserve">The analysis itself was run in Python (pandas, statsmodels, SciPy); every value in this workbook matches the value reported in the dissertation.</t>
  </si>
  <si>
    <t xml:space="preserve">Gap1: bank credit to credit cards and other personal loans minus housing, vehicle and education loans: tests, April 2021 to January 2025</t>
  </si>
  <si>
    <t xml:space="preserve">Reproduces Tables 7.1 to 7.5 (H1). Data rows link to Data_Monthly; every result is an Excel formula. Months before the circular: April 2021 to 17 November 2023; after: 29 December 2023 to January 2025.</t>
  </si>
  <si>
    <t xml:space="preserve">Gap1</t>
  </si>
  <si>
    <t xml:space="preserve">Test results</t>
  </si>
  <si>
    <t xml:space="preserve">Coefficients</t>
  </si>
  <si>
    <t xml:space="preserve">Post = 1 for months dated on or after</t>
  </si>
  <si>
    <t xml:space="preserve">Regression 2: all coefficients</t>
  </si>
  <si>
    <t xml:space="preserve">Date</t>
  </si>
  <si>
    <t xml:space="preserve">Gap (pp)</t>
  </si>
  <si>
    <t xml:space="preserve">Post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</si>
  <si>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</si>
  <si>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</si>
  <si>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</si>
  <si>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</si>
  <si>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</si>
  <si>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</si>
  <si>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</si>
  <si>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</si>
  <si>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</si>
  <si>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</si>
  <si>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</si>
  <si>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Fitted</t>
  </si>
  <si>
    <t xml:space="preserve">Residual</t>
  </si>
  <si>
    <t xml:space="preserve">Residual squared</t>
  </si>
  <si>
    <t xml:space="preserve">Months before: rows 7 to 38; after: rows 39 to 52.</t>
  </si>
  <si>
    <t xml:space="preserve">Variable</t>
  </si>
  <si>
    <t xml:space="preserve">B</t>
  </si>
  <si>
    <t xml:space="preserve">Std. error</t>
  </si>
  <si>
    <t xml:space="preserve">t</t>
  </si>
  <si>
    <t xml:space="preserve">p-value</t>
  </si>
  <si>
    <t xml:space="preserve">VIF</t>
  </si>
  <si>
    <t xml:space="preserve">Welch two-sample t-test (unequal variances)</t>
  </si>
  <si>
    <t xml:space="preserve">Excel</t>
  </si>
  <si>
    <t xml:space="preserve">Dissertation</t>
  </si>
  <si>
    <t xml:space="preserve">Months before (n1)</t>
  </si>
  <si>
    <t xml:space="preserve">Months after (n2)</t>
  </si>
  <si>
    <t xml:space="preserve">Mean gap before</t>
  </si>
  <si>
    <t xml:space="preserve">Mean gap after</t>
  </si>
  <si>
    <t xml:space="preserve">Standard deviation before</t>
  </si>
  <si>
    <t xml:space="preserve">Standard deviation after</t>
  </si>
  <si>
    <t xml:space="preserve">Difference (after minus before)</t>
  </si>
  <si>
    <t xml:space="preserve">Difference per year (x 12)</t>
  </si>
  <si>
    <t xml:space="preserve">Standard error of the difference</t>
  </si>
  <si>
    <t xml:space="preserve">t statistic</t>
  </si>
  <si>
    <t xml:space="preserve">Welch degrees of freedom</t>
  </si>
  <si>
    <t xml:space="preserve">p-value, two-tailed (T.TEST type 3)</t>
  </si>
  <si>
    <t xml:space="preserve">Constant</t>
  </si>
  <si>
    <t xml:space="preserve">Row 5 repeats these coefficients above the data columns; Fitted = Constant + sum of coefficient x regressor.</t>
  </si>
  <si>
    <t xml:space="preserve">Regression 1 (Post dummy only)</t>
  </si>
  <si>
    <t xml:space="preserve">VIF = diagonal of the inverse of the correlation matrix of the regressors:</t>
  </si>
  <si>
    <t xml:space="preserve">Coefficient on Post</t>
  </si>
  <si>
    <t xml:space="preserve">Standard error</t>
  </si>
  <si>
    <t xml:space="preserve">Residual degrees of freedom</t>
  </si>
  <si>
    <t xml:space="preserve">R squared</t>
  </si>
  <si>
    <t xml:space="preserve">Residual sum of squares</t>
  </si>
  <si>
    <t xml:space="preserve">Regression 2 (Post and 11 month dummies): model summary</t>
  </si>
  <si>
    <t xml:space="preserve">Observations</t>
  </si>
  <si>
    <t xml:space="preserve">R</t>
  </si>
  <si>
    <t xml:space="preserve">Adjusted R squared</t>
  </si>
  <si>
    <t xml:space="preserve">Standard error of the estimate</t>
  </si>
  <si>
    <t xml:space="preserve">Regression 2 (Post and 11 month dummies): ANOVA</t>
  </si>
  <si>
    <t xml:space="preserve">Regression sum of squares</t>
  </si>
  <si>
    <t xml:space="preserve">Regression degrees of freedom</t>
  </si>
  <si>
    <t xml:space="preserve">Regression mean square</t>
  </si>
  <si>
    <t xml:space="preserve">Residual mean square</t>
  </si>
  <si>
    <t xml:space="preserve">F statistic</t>
  </si>
  <si>
    <t xml:space="preserve">Significance of F</t>
  </si>
  <si>
    <t xml:space="preserve">Regression 2 (Post and 11 month dummies): Post</t>
  </si>
  <si>
    <t xml:space="preserve">Month dummies jointly zero: F-test p-value</t>
  </si>
  <si>
    <t xml:space="preserve">Diagnostic tests on the residuals of Regression 2</t>
  </si>
  <si>
    <t xml:space="preserve">Durbin-Watson</t>
  </si>
  <si>
    <t xml:space="preserve">Second moment of residuals</t>
  </si>
  <si>
    <t xml:space="preserve">Skewness</t>
  </si>
  <si>
    <t xml:space="preserve">Kurtosis</t>
  </si>
  <si>
    <t xml:space="preserve">Jarque-Bera statistic</t>
  </si>
  <si>
    <t xml:space="preserve">Jarque-Bera p-value (chi-squared, 2 df)</t>
  </si>
  <si>
    <t xml:space="preserve">Breusch-Pagan: R squared, squared residuals on regressors</t>
  </si>
  <si>
    <t xml:space="preserve">Breusch-Pagan statistic (n x R squared)</t>
  </si>
  <si>
    <t xml:space="preserve">Breusch-Pagan p-value (chi-squared, 12 df)</t>
  </si>
  <si>
    <t xml:space="preserve">Largest variance inflation factor</t>
  </si>
  <si>
    <t xml:space="preserve">Economic size over the post-policy months</t>
  </si>
  <si>
    <t xml:space="preserve">Credit to cards and other PL, 24-Jan-2025 (₹ crore)</t>
  </si>
  <si>
    <t xml:space="preserve">Post-policy months</t>
  </si>
  <si>
    <t xml:space="preserve">Cumulative shortfall in growth (per cent)</t>
  </si>
  <si>
    <t xml:space="preserve">Implied shortfall (₹ crore)</t>
  </si>
  <si>
    <t xml:space="preserve">Implied shortfall (₹ lakh crore)</t>
  </si>
  <si>
    <t xml:space="preserve">Gap2: bank credit to NBFCs (excl. HFCs) minus total non-food credit: tests, April 2021 to January 2025</t>
  </si>
  <si>
    <t xml:space="preserve">Reproduces Tables 7.1 to 7.5 (H2). Data rows link to Data_Monthly; every result is an Excel formula. Months before the circular: April 2021 to 17 November 2023; after: 29 December 2023 to January 2025.</t>
  </si>
  <si>
    <t xml:space="preserve">Gap2</t>
  </si>
  <si>
    <t xml:space="preserve">Months before: rows 7 to 37; after: rows 38 to 51.</t>
  </si>
  <si>
    <t xml:space="preserve">Credit to NBFCs excl. HFCs, 24-Jan-2025 (₹ crore)</t>
  </si>
  <si>
    <t xml:space="preserve">Gap2 alternative: NBFCs (excl. HFCs) minus non-food credit excl. NBFCs, cards and other PL: tests, April 2021 to January 2025</t>
  </si>
  <si>
    <t xml:space="preserve">Reproduces Table 7.1, third row; Section 7.2. Data rows link to Data_Monthly; every result is an Excel formula. Months before the circular: April 2021 to 17 November 2023; after: 29 December 2023 to January 2025.</t>
  </si>
  <si>
    <t xml:space="preserve">Gap2 alternative</t>
  </si>
  <si>
    <t xml:space="preserve">H1: placebo test with a fictitious policy date (November 2022) and pre-policy trend</t>
  </si>
  <si>
    <t xml:space="preserve">Reproduces Table 7.6. Pre-policy data only: July 2021 to 17 November 2023. 'Post' switches on at the fictitious date. The trend regression uses the same months, with time measured in years from July 2021.</t>
  </si>
  <si>
    <t xml:space="preserve">H1 gap, July 2021 to November 2023</t>
  </si>
  <si>
    <t xml:space="preserve">Time (years from start)</t>
  </si>
  <si>
    <t xml:space="preserve">Months before: rows 7 to 23; after: rows 24 to 35.</t>
  </si>
  <si>
    <t xml:space="preserve">Pre-policy trend: gap on time in years (LINEST)</t>
  </si>
  <si>
    <t xml:space="preserve">Slope (pp per year)</t>
  </si>
  <si>
    <t xml:space="preserve">H2: placebo test with a fictitious policy date (November 2022) and pre-policy trend</t>
  </si>
  <si>
    <t xml:space="preserve">H2 gap, July 2021 to November 2023</t>
  </si>
  <si>
    <t xml:space="preserve">Months before: rows 7 to 23; after: rows 24 to 34.</t>
  </si>
  <si>
    <t xml:space="preserve">H2 after the April 2025 rollback: December 2023 to March 2025 versus April 2025 to July 2026</t>
  </si>
  <si>
    <t xml:space="preserve">Reproduces the rollback row of Table 7.6. Welch t-test of the H2 gap; 'Post' marks the months after the rollback took effect (1 April 2025).</t>
  </si>
  <si>
    <t xml:space="preserve">H2 gap, December 2023 to July 2026</t>
  </si>
  <si>
    <t xml:space="preserve">Months before: rows 7 to 23; after: rows 24 to 38.</t>
  </si>
  <si>
    <t xml:space="preserve">H1 with one series dropped</t>
  </si>
  <si>
    <t xml:space="preserve">Reproduces Table 7.7. Each block recomputes the H1 gap without one series and repeats the Welch t-test and the month-dummy regression.</t>
  </si>
  <si>
    <t xml:space="preserve">Specification</t>
  </si>
  <si>
    <t xml:space="preserve">Difference (t-test)</t>
  </si>
  <si>
    <t xml:space="preserve">Coefficient on Post (month dummies)</t>
  </si>
  <si>
    <t xml:space="preserve">Credit cards only (drop other personal loans)</t>
  </si>
  <si>
    <t xml:space="preserve">Other personal loans only (drop credit cards)</t>
  </si>
  <si>
    <t xml:space="preserve">Control without housing</t>
  </si>
  <si>
    <t xml:space="preserve">Control without vehicle loans</t>
  </si>
  <si>
    <t xml:space="preserve">Control without education</t>
  </si>
  <si>
    <t xml:space="preserve">Months before: rows 15 to 46; after: rows 47 to 60.</t>
  </si>
  <si>
    <t xml:space="preserve">Row 13 repeats these coefficients above the data columns; Fitted = Constant + sum of coefficient x regressor.</t>
  </si>
  <si>
    <t xml:space="preserve">Months before: rows 66 to 96; after: rows 97 to 110.</t>
  </si>
  <si>
    <t xml:space="preserve">Row 64 repeats these coefficients above the data columns; Fitted = Constant + sum of coefficient x regressor.</t>
  </si>
  <si>
    <t xml:space="preserve">Months before: rows 116 to 147; after: rows 148 to 161.</t>
  </si>
  <si>
    <t xml:space="preserve">Row 114 repeats these coefficients above the data columns; Fitted = Constant + sum of coefficient x regressor.</t>
  </si>
  <si>
    <t xml:space="preserve">Months before: rows 167 to 198; after: rows 199 to 212.</t>
  </si>
  <si>
    <t xml:space="preserve">Row 165 repeats these coefficients above the data columns; Fitted = Constant + sum of coefficient x regressor.</t>
  </si>
  <si>
    <t xml:space="preserve">Months before: rows 218 to 249; after: rows 250 to 263.</t>
  </si>
  <si>
    <t xml:space="preserve">Row 216 repeats these coefficients above the data columns; Fitted = Constant + sum of coefficient x regressor.</t>
  </si>
  <si>
    <t xml:space="preserve">Newey-West (HAC) standard errors: output of the Python estimation</t>
  </si>
  <si>
    <t xml:space="preserve">Excel has no built-in function for heteroskedasticity- and autocorrelation-consistent standard errors, so this sheet reports the output of statsmodels OLS (cov_type='HAC', Bartlett kernel, 3 lags, t-distribution with the residual degrees of freedom). Coefficients are identical to the LINEST results.</t>
  </si>
  <si>
    <t xml:space="preserve">Summary: coefficient on Post</t>
  </si>
  <si>
    <t xml:space="preserve">Model</t>
  </si>
  <si>
    <t xml:space="preserve">n</t>
  </si>
  <si>
    <t xml:space="preserve">B (Post)</t>
  </si>
  <si>
    <t xml:space="preserve">Classical std. error</t>
  </si>
  <si>
    <t xml:space="preserve">Classical p-value</t>
  </si>
  <si>
    <t xml:space="preserve">Newey-West std. error</t>
  </si>
  <si>
    <t xml:space="preserve">Newey-West t</t>
  </si>
  <si>
    <t xml:space="preserve">Newey-West p-value</t>
  </si>
  <si>
    <t xml:space="preserve">H1, Post dummy only</t>
  </si>
  <si>
    <t xml:space="preserve">H1, Post and month dummies (Table 7.4, model 1)</t>
  </si>
  <si>
    <t xml:space="preserve">H2, Post dummy only</t>
  </si>
  <si>
    <t xml:space="preserve">H2, Post and month dummies (Table 7.4, model 2)</t>
  </si>
  <si>
    <t xml:space="preserve">H2 alternative, Post and month dummies</t>
  </si>
  <si>
    <t xml:space="preserve">H1 placebo (Nov-2022), Post and month dummies</t>
  </si>
  <si>
    <t xml:space="preserve">H2 placebo (Nov-2022), Post and month dummies</t>
  </si>
  <si>
    <t xml:space="preserve">Full output: H1, Post and month dummies (Table 7.4, model 1)</t>
  </si>
  <si>
    <t xml:space="preserve">Residual df</t>
  </si>
  <si>
    <t xml:space="preserve">Lags</t>
  </si>
  <si>
    <t xml:space="preserve">Full output: H2, Post and month dummies (Table 7.4, model 2)</t>
  </si>
  <si>
    <t xml:space="preserve">Market model for each stock: R(firm) = alpha + beta x R(Nifty 50), estimated on trading days -250 to -31</t>
  </si>
  <si>
    <t xml:space="preserve">Reproduces Table 8.1. INTERCEPT, SLOPE, RSQ and STEYX on the 220-day estimation window of each event (Data_Returns).</t>
  </si>
  <si>
    <t xml:space="preserve">Company</t>
  </si>
  <si>
    <t xml:space="preserve">Symbol</t>
  </si>
  <si>
    <t xml:space="preserve">Group</t>
  </si>
  <si>
    <t xml:space="preserve">E1: alpha (% per day)</t>
  </si>
  <si>
    <t xml:space="preserve">E1: beta</t>
  </si>
  <si>
    <t xml:space="preserve">E1: R squared</t>
  </si>
  <si>
    <t xml:space="preserve">E1: Residual std. dev. (%)</t>
  </si>
  <si>
    <t xml:space="preserve">E1: Days</t>
  </si>
  <si>
    <t xml:space="preserve">E2: alpha (% per day)</t>
  </si>
  <si>
    <t xml:space="preserve">E2: beta</t>
  </si>
  <si>
    <t xml:space="preserve">E2: R squared</t>
  </si>
  <si>
    <t xml:space="preserve">E2: Residual std. dev. (%)</t>
  </si>
  <si>
    <t xml:space="preserve">E2: Days</t>
  </si>
  <si>
    <t xml:space="preserve">Estimation window</t>
  </si>
  <si>
    <t xml:space="preserve">to</t>
  </si>
  <si>
    <t xml:space="preserve">Arman Financial</t>
  </si>
  <si>
    <t xml:space="preserve">ARMANFIN</t>
  </si>
  <si>
    <t xml:space="preserve">Non-HFC NBFC</t>
  </si>
  <si>
    <t xml:space="preserve">Bajaj Finance</t>
  </si>
  <si>
    <t xml:space="preserve">BAJFINANCE</t>
  </si>
  <si>
    <t xml:space="preserve">Cholamandalam Inv. &amp; Fin.</t>
  </si>
  <si>
    <t xml:space="preserve">CHOLAFIN</t>
  </si>
  <si>
    <t xml:space="preserve">CreditAccess Grameen</t>
  </si>
  <si>
    <t xml:space="preserve">CREDITACC</t>
  </si>
  <si>
    <t xml:space="preserve">IIFL Finance</t>
  </si>
  <si>
    <t xml:space="preserve">IIFL</t>
  </si>
  <si>
    <t xml:space="preserve">M&amp;M Financial Services</t>
  </si>
  <si>
    <t xml:space="preserve">MMFIN</t>
  </si>
  <si>
    <t xml:space="preserve">Muthoot Finance</t>
  </si>
  <si>
    <t xml:space="preserve">MUTHOOTFIN</t>
  </si>
  <si>
    <t xml:space="preserve">Poonawalla Fincorp</t>
  </si>
  <si>
    <t xml:space="preserve">POONAWALLA</t>
  </si>
  <si>
    <t xml:space="preserve">SBI Cards &amp; Payment</t>
  </si>
  <si>
    <t xml:space="preserve">SBICARD</t>
  </si>
  <si>
    <t xml:space="preserve">Shriram Finance</t>
  </si>
  <si>
    <t xml:space="preserve">SHRIRAMFIN</t>
  </si>
  <si>
    <t xml:space="preserve">AAVAS Financiers</t>
  </si>
  <si>
    <t xml:space="preserve">AAVAS</t>
  </si>
  <si>
    <t xml:space="preserve">HFC</t>
  </si>
  <si>
    <t xml:space="preserve">Can Fin Homes</t>
  </si>
  <si>
    <t xml:space="preserve">CANFINHOME</t>
  </si>
  <si>
    <t xml:space="preserve">Home First Finance</t>
  </si>
  <si>
    <t xml:space="preserve">HOMEFIRST</t>
  </si>
  <si>
    <t xml:space="preserve">LIC Housing Finance</t>
  </si>
  <si>
    <t xml:space="preserve">LICHSGFIN</t>
  </si>
  <si>
    <t xml:space="preserve">PNB Housing Finance</t>
  </si>
  <si>
    <t xml:space="preserve">PNBHOUSING</t>
  </si>
  <si>
    <t xml:space="preserve">Repco Home Finance</t>
  </si>
  <si>
    <t xml:space="preserve">REPCOHOME</t>
  </si>
  <si>
    <t xml:space="preserve">Event study around the circular (released after market close on 16 November 2023): day 0 = 17 November 2023</t>
  </si>
  <si>
    <t xml:space="preserve">Reproduces Table 8.2 and Table 8.4 (circular). Benchmark: Nifty 50. AR = actual return minus (alpha + beta x market return). t = CAR / (residual std. dev. x square root of days); p from the t-distribution with (estimation days - 2) degrees of freedom.</t>
  </si>
  <si>
    <t xml:space="preserve">Event days</t>
  </si>
  <si>
    <t xml:space="preserve">Nifty 50 return on day 0</t>
  </si>
  <si>
    <t xml:space="preserve">A. Equal-weighted portfolios</t>
  </si>
  <si>
    <t xml:space="preserve">Portfolio / company</t>
  </si>
  <si>
    <t xml:space="preserve">alpha</t>
  </si>
  <si>
    <t xml:space="preserve">beta</t>
  </si>
  <si>
    <t xml:space="preserve">Residual std. dev.</t>
  </si>
  <si>
    <t xml:space="preserve">Days</t>
  </si>
  <si>
    <t xml:space="preserve">AR day -1</t>
  </si>
  <si>
    <t xml:space="preserve">AR day 0</t>
  </si>
  <si>
    <t xml:space="preserve">AR day +1</t>
  </si>
  <si>
    <t xml:space="preserve">AR day +2</t>
  </si>
  <si>
    <t xml:space="preserve">CAR [0]</t>
  </si>
  <si>
    <t xml:space="preserve">CAR [0,+1]</t>
  </si>
  <si>
    <t xml:space="preserve">CAR [0,+2]</t>
  </si>
  <si>
    <t xml:space="preserve">CAR [-1,+1]</t>
  </si>
  <si>
    <t xml:space="preserve">t [0]</t>
  </si>
  <si>
    <t xml:space="preserve">t [0,+1]</t>
  </si>
  <si>
    <t xml:space="preserve">t [0,+2]</t>
  </si>
  <si>
    <t xml:space="preserve">t [-1,+1]</t>
  </si>
  <si>
    <t xml:space="preserve">p [0]</t>
  </si>
  <si>
    <t xml:space="preserve">p [0,+1]</t>
  </si>
  <si>
    <t xml:space="preserve">p [0,+2]</t>
  </si>
  <si>
    <t xml:space="preserve">p [-1,+1]</t>
  </si>
  <si>
    <t xml:space="preserve">All 16 firms</t>
  </si>
  <si>
    <t xml:space="preserve">Portfolio</t>
  </si>
  <si>
    <t xml:space="preserve">Non-HFC NBFCs (10)</t>
  </si>
  <si>
    <t xml:space="preserve">HFCs (6, exempt)</t>
  </si>
  <si>
    <t xml:space="preserve">Consumer lenders (Bajaj, SBI Cards, Poonawalla)</t>
  </si>
  <si>
    <t xml:space="preserve">Non-HFC NBFCs excl. MFIs (8)</t>
  </si>
  <si>
    <t xml:space="preserve">Non-HFC NBFCs excl. Bajaj (9)</t>
  </si>
  <si>
    <t xml:space="preserve">Non-HFC NBFCs minus HFCs</t>
  </si>
  <si>
    <t xml:space="preserve">Difference</t>
  </si>
  <si>
    <t xml:space="preserve">Consumer lenders minus HFCs</t>
  </si>
  <si>
    <t xml:space="preserve">B. Individual companies (Table 8.4 shows the day-0 AR)</t>
  </si>
  <si>
    <t xml:space="preserve">C. Sign test: how many of the 10 NBFCs had a negative CAR</t>
  </si>
  <si>
    <t xml:space="preserve">Window</t>
  </si>
  <si>
    <t xml:space="preserve">NBFCs</t>
  </si>
  <si>
    <t xml:space="preserve">Number negative</t>
  </si>
  <si>
    <t xml:space="preserve">p-value (two-sided binomial, 0.5)</t>
  </si>
  <si>
    <t xml:space="preserve">Dissertation p</t>
  </si>
  <si>
    <t xml:space="preserve">[0]</t>
  </si>
  <si>
    <t xml:space="preserve">[0,+1]</t>
  </si>
  <si>
    <t xml:space="preserve">[0,+2]</t>
  </si>
  <si>
    <t xml:space="preserve">[-1,+1]</t>
  </si>
  <si>
    <t xml:space="preserve">D. Within the NBFCs: day-0 CAR regressed on the bank share of borrowings (30 Sep 2023)</t>
  </si>
  <si>
    <t xml:space="preserve">Bank share of borrowings (%)</t>
  </si>
  <si>
    <t xml:space="preserve">Poonawalla Fincorp does not disclose its borrowing mix and is left out. Source of bank shares: Table 4.3 (company presentations).</t>
  </si>
  <si>
    <t xml:space="preserve">Slope (CAR per percentage point of bank share)</t>
  </si>
  <si>
    <t xml:space="preserve">Companies</t>
  </si>
  <si>
    <t xml:space="preserve">Column C in blue italics: value reported in the dissertation.</t>
  </si>
  <si>
    <t xml:space="preserve">Event study around the rollback (released after market close on 25 February 2025; 26 February was a market holiday): day 0 = 27 February 2025</t>
  </si>
  <si>
    <t xml:space="preserve">Reproduces Table 8.3 and Table 8.4 (rollback). Benchmark: Nifty 50. AR = actual return minus (alpha + beta x market return). t = CAR / (residual std. dev. x square root of days); p from the t-distribution with (estimation days - 2) degrees of freedom.</t>
  </si>
  <si>
    <t xml:space="preserve">C. Sign test: how many of the 10 NBFCs had a positive CAR</t>
  </si>
  <si>
    <t xml:space="preserve">Number positive</t>
  </si>
  <si>
    <t xml:space="preserve">Event study with the Nifty 500 as the market index</t>
  </si>
  <si>
    <t xml:space="preserve">Reproduces Table C.1. Same method as ES_E1 and ES_E2, with the Nifty 500 (column C of Data_Returns) as the benchmark.</t>
  </si>
  <si>
    <t xml:space="preserve">E1: the circular (released after market close on 16 November 2023), day 0 = 17 November 2023</t>
  </si>
  <si>
    <t xml:space="preserve">E2: the rollback (released after market close on 25 February 2025; 26 February was a market holiday), day 0 = 27 February 2025</t>
  </si>
  <si>
    <t xml:space="preserve">Day-0 abnormal return of the difference portfolios compared with every day of the estimation window</t>
  </si>
  <si>
    <t xml:space="preserve">Reproduces Figure 8.2 and the related figures in Chapter 8. For each ordinary day the abnormal return is the market-model residual; the empirical p-value is the share of the 220 days whose absolute value is at least as large as on day 0.</t>
  </si>
  <si>
    <t xml:space="preserve">E1: Non-HFC NBFCs minus HFCs</t>
  </si>
  <si>
    <t xml:space="preserve">E1: Consumer lenders minus HFCs</t>
  </si>
  <si>
    <t xml:space="preserve">E2: Non-HFC NBFCs minus HFCs</t>
  </si>
  <si>
    <t xml:space="preserve">E2: Consumer lenders minus HFCs</t>
  </si>
  <si>
    <t xml:space="preserve">Day-0 abnormal return</t>
  </si>
  <si>
    <t xml:space="preserve">Days in estimation window</t>
  </si>
  <si>
    <t xml:space="preserve">Days with |AR| at least as large as day 0</t>
  </si>
  <si>
    <t xml:space="preserve">Empirical p-value</t>
  </si>
  <si>
    <t xml:space="preserve">Blue italics: dissertation</t>
  </si>
  <si>
    <t xml:space="preserve">Difference return</t>
  </si>
  <si>
    <t xml:space="preserve">Nifty 50 return</t>
  </si>
  <si>
    <t xml:space="preserve">Abnormal return</t>
  </si>
  <si>
    <t xml:space="preserve">Change in cost of funds and bank share of borrowings: non-HFC NBFCs versus exempt HFCs</t>
  </si>
  <si>
    <t xml:space="preserve">Reproduces Table 9.2. For each company: average before (to Q2 FY2024) and after (Q3 FY2024 to Q4 FY2025), from the Data_Firm sheets. Welch t-test compares the changes of the two groups; paired t-tests compare before and after within each group.</t>
  </si>
  <si>
    <t xml:space="preserve">Cost of funds (%)</t>
  </si>
  <si>
    <t xml:space="preserve">Microfinance</t>
  </si>
  <si>
    <t xml:space="preserve">Average before</t>
  </si>
  <si>
    <t xml:space="preserve">Average after</t>
  </si>
  <si>
    <t xml:space="preserve">Change (after minus before)</t>
  </si>
  <si>
    <t xml:space="preserve">Bajaj Finance Ltd.</t>
  </si>
  <si>
    <t xml:space="preserve">No</t>
  </si>
  <si>
    <t xml:space="preserve">Cholamandalam Investment &amp; Finance Company Ltd.</t>
  </si>
  <si>
    <t xml:space="preserve">IIFL Finance Ltd.</t>
  </si>
  <si>
    <t xml:space="preserve">Mahindra &amp; Mahindra Financial Services Ltd.</t>
  </si>
  <si>
    <t xml:space="preserve">Muthoot Finance Ltd.</t>
  </si>
  <si>
    <t xml:space="preserve">Poonawalla Fincorp Ltd.</t>
  </si>
  <si>
    <t xml:space="preserve">SBI Cards and Payment Services Ltd.</t>
  </si>
  <si>
    <t xml:space="preserve">Shriram Finance Ltd.</t>
  </si>
  <si>
    <t xml:space="preserve">Arman Financial Services Ltd.</t>
  </si>
  <si>
    <t xml:space="preserve">Yes</t>
  </si>
  <si>
    <t xml:space="preserve">CreditAccess Grameen Ltd.</t>
  </si>
  <si>
    <t xml:space="preserve">AAVAS Financiers Ltd.</t>
  </si>
  <si>
    <t xml:space="preserve">Can Fin Homes Ltd.</t>
  </si>
  <si>
    <t xml:space="preserve">Home First Finance Company India Ltd.</t>
  </si>
  <si>
    <t xml:space="preserve">LIC Housing Finance Ltd.</t>
  </si>
  <si>
    <t xml:space="preserve">PNB Housing Finance Ltd.</t>
  </si>
  <si>
    <t xml:space="preserve">Repco Home Finance Ltd.</t>
  </si>
  <si>
    <t xml:space="preserve">Test</t>
  </si>
  <si>
    <t xml:space="preserve">Non-HFC NBFCs</t>
  </si>
  <si>
    <t xml:space="preserve">HFCs</t>
  </si>
  <si>
    <t xml:space="preserve">df</t>
  </si>
  <si>
    <t xml:space="preserve">Welch t-test of the change: all NBFCs vs HFCs</t>
  </si>
  <si>
    <t xml:space="preserve">Welch t-test of the change: NBFCs excl. microfinance vs HFCs</t>
  </si>
  <si>
    <t xml:space="preserve">Paired t-test, before vs after</t>
  </si>
  <si>
    <t xml:space="preserve">Mean before</t>
  </si>
  <si>
    <t xml:space="preserve">Mean after</t>
  </si>
  <si>
    <t xml:space="preserve">Mean change</t>
  </si>
  <si>
    <t xml:space="preserve">Monthly growth of bank credit by sector (per cent, log change) and the growth gaps tested</t>
  </si>
  <si>
    <t xml:space="preserve">Source: RBI DBIE Table 15, merger-adjusted where the RBI publishes it (see Dissertation_Data_Compilation.xlsx, sheet RBI_Growth). Blank cells: July 2023 for series affected by the HDFC merger. Gaps are formulas.</t>
  </si>
  <si>
    <t xml:space="preserve">Date (last reporting Friday)</t>
  </si>
  <si>
    <t xml:space="preserve">Credit cards</t>
  </si>
  <si>
    <t xml:space="preserve">Other personal loans</t>
  </si>
  <si>
    <t xml:space="preserve">Housing</t>
  </si>
  <si>
    <t xml:space="preserve">Vehicle loans</t>
  </si>
  <si>
    <t xml:space="preserve">Education</t>
  </si>
  <si>
    <t xml:space="preserve">NBFCs excl. HFCs</t>
  </si>
  <si>
    <t xml:space="preserve">Non-food credit</t>
  </si>
  <si>
    <t xml:space="preserve">Non-food excl. NBFCs, cards, other PL</t>
  </si>
  <si>
    <t xml:space="preserve">Gap1 (H1): avg(cards, other PL) minus avg(housing, vehicle, education)</t>
  </si>
  <si>
    <t xml:space="preserve">Gap2 (H2): NBFCs excl. HFCs minus non-food</t>
  </si>
  <si>
    <t xml:space="preserve">Gap2 alt.: NBFCs excl. HFCs minus non-food excl. NBFCs, cards, PL</t>
  </si>
  <si>
    <t xml:space="preserve">Calendar month</t>
  </si>
  <si>
    <t xml:space="preserve">Daily closing prices, 1 September 2022 to 28 March 2025</t>
  </si>
  <si>
    <t xml:space="preserve">Source: Investing.com historical data (NSE closing prices; index points for the Nifty indices).</t>
  </si>
  <si>
    <t xml:space="preserve">Nifty 50 (NIFTY50)</t>
  </si>
  <si>
    <t xml:space="preserve">Nifty 500 (NIFTY500)</t>
  </si>
  <si>
    <t xml:space="preserve">AAVAS Financiers (AAVAS)</t>
  </si>
  <si>
    <t xml:space="preserve">Can Fin Homes (CANFINHOME)</t>
  </si>
  <si>
    <t xml:space="preserve">Home First Finance (HOMEFIRST)</t>
  </si>
  <si>
    <t xml:space="preserve">LIC Housing Finance (LICHSGFIN)</t>
  </si>
  <si>
    <t xml:space="preserve">PNB Housing Finance (PNBHOUSING)</t>
  </si>
  <si>
    <t xml:space="preserve">Repco Home Finance (REPCOHOME)</t>
  </si>
  <si>
    <t xml:space="preserve">Arman Financial (ARMANFIN)</t>
  </si>
  <si>
    <t xml:space="preserve">Bajaj Finance (BAJFINANCE)</t>
  </si>
  <si>
    <t xml:space="preserve">Cholamandalam Inv. &amp; Fin. (CHOLAFIN)</t>
  </si>
  <si>
    <t xml:space="preserve">CreditAccess Grameen (CREDITACC)</t>
  </si>
  <si>
    <t xml:space="preserve">IIFL Finance (IIFL)</t>
  </si>
  <si>
    <t xml:space="preserve">M&amp;M Financial Services (MMFIN)</t>
  </si>
  <si>
    <t xml:space="preserve">Muthoot Finance (MUTHOOTFIN)</t>
  </si>
  <si>
    <t xml:space="preserve">Poonawalla Fincorp (POONAWALLA)</t>
  </si>
  <si>
    <t xml:space="preserve">SBI Cards &amp; Payment (SBICARD)</t>
  </si>
  <si>
    <t xml:space="preserve">Shriram Finance (SHRIRAMFIN)</t>
  </si>
  <si>
    <t xml:space="preserve">Daily simple returns and equal-weighted portfolio returns</t>
  </si>
  <si>
    <t xml:space="preserve">Return = today's close / previous close - 1 (formulas on Data_Prices). Portfolio returns are the simple average of member returns; difference portfolios are the return of one portfolio minus the other.</t>
  </si>
  <si>
    <t xml:space="preserve">NIFTY50</t>
  </si>
  <si>
    <t xml:space="preserve">NIFTY500</t>
  </si>
  <si>
    <t xml:space="preserve">Cost of funds (%) by company and quarter</t>
  </si>
  <si>
    <t xml:space="preserve">Source: company investor presentations (deck and page in column H). Period: Pre = up to Q2 FY2024; Post = Q3 FY2024 to Q4 FY2025 (before the April 2025 rollback); Later = after Q4 FY2025, not used in the tests.</t>
  </si>
  <si>
    <t xml:space="preserve">Financial year</t>
  </si>
  <si>
    <t xml:space="preserve">Quarter</t>
  </si>
  <si>
    <t xml:space="preserve">Period (formula)</t>
  </si>
  <si>
    <t xml:space="preserve">Microfinance lender</t>
  </si>
  <si>
    <t xml:space="preserve">Source (presentation, page)</t>
  </si>
  <si>
    <t xml:space="preserve">Note</t>
  </si>
  <si>
    <t xml:space="preserve">FY21</t>
  </si>
  <si>
    <t xml:space="preserve">Q1</t>
  </si>
  <si>
    <t xml:space="preserve">21-1 p.12</t>
  </si>
  <si>
    <t xml:space="preserve">Key metrics table</t>
  </si>
  <si>
    <t xml:space="preserve">Q2</t>
  </si>
  <si>
    <t xml:space="preserve">21-2</t>
  </si>
  <si>
    <t xml:space="preserve">Q3</t>
  </si>
  <si>
    <t xml:space="preserve">21-3 / 21-4 p.15</t>
  </si>
  <si>
    <t xml:space="preserve">Q4</t>
  </si>
  <si>
    <t xml:space="preserve">21-4 p.15</t>
  </si>
  <si>
    <t xml:space="preserve">FY22</t>
  </si>
  <si>
    <t xml:space="preserve">22-1</t>
  </si>
  <si>
    <t xml:space="preserve">22-2</t>
  </si>
  <si>
    <t xml:space="preserve">22-4 p.14</t>
  </si>
  <si>
    <t xml:space="preserve">22-4 p.14 / 23-4 p.17</t>
  </si>
  <si>
    <t xml:space="preserve">FY23</t>
  </si>
  <si>
    <t xml:space="preserve">23-4 p.17</t>
  </si>
  <si>
    <t xml:space="preserve">COF trend chart</t>
  </si>
  <si>
    <t xml:space="preserve">FY24</t>
  </si>
  <si>
    <t xml:space="preserve">24-1 / 24-3</t>
  </si>
  <si>
    <t xml:space="preserve">24-2 / 24-3</t>
  </si>
  <si>
    <t xml:space="preserve">24-3 (5-quarter series)</t>
  </si>
  <si>
    <t xml:space="preserve">24-4 key metrics</t>
  </si>
  <si>
    <t xml:space="preserve">FY25</t>
  </si>
  <si>
    <t xml:space="preserve">25-1 / 25-4 p.17</t>
  </si>
  <si>
    <t xml:space="preserve">25-4 p.17</t>
  </si>
  <si>
    <t xml:space="preserve">Reported (7.3% excl. one-off lease modification)</t>
  </si>
  <si>
    <t xml:space="preserve">FY26</t>
  </si>
  <si>
    <t xml:space="preserve">26-2 (prior-quarter column)</t>
  </si>
  <si>
    <t xml:space="preserve">26-2 key metrics</t>
  </si>
  <si>
    <t xml:space="preserve">26-3 / 26-4</t>
  </si>
  <si>
    <t xml:space="preserve">26-4 key metrics</t>
  </si>
  <si>
    <t xml:space="preserve">21-4 lead indicators (BFL standalone)</t>
  </si>
  <si>
    <t xml:space="preserve">'In Qn cost of funds was ...'</t>
  </si>
  <si>
    <t xml:space="preserve">22-1 lead indicators (BFL standalone)</t>
  </si>
  <si>
    <t xml:space="preserve">22-2 lead indicators (BFL standalone)</t>
  </si>
  <si>
    <t xml:space="preserve">22-3 lead indicators (BFL standalone)</t>
  </si>
  <si>
    <t xml:space="preserve">22-4 lead indicators (BFL standalone)</t>
  </si>
  <si>
    <t xml:space="preserve">23-1 lead indicators (BFL standalone)</t>
  </si>
  <si>
    <t xml:space="preserve">23-2 lead indicators (BFL standalone)</t>
  </si>
  <si>
    <t xml:space="preserve">23-3 lead indicators (BFL standalone)</t>
  </si>
  <si>
    <t xml:space="preserve">23-4 lead indicators (BFL standalone)</t>
  </si>
  <si>
    <t xml:space="preserve">24-1 lead indicators (BFL standalone)</t>
  </si>
  <si>
    <t xml:space="preserve">24-2 lead indicators (BFL standalone)</t>
  </si>
  <si>
    <t xml:space="preserve">24-3 lead indicators (BFL standalone)</t>
  </si>
  <si>
    <t xml:space="preserve">24-4 lead indicators (BFL standalone)</t>
  </si>
  <si>
    <t xml:space="preserve">25-1 lead indicators (BFL standalone)</t>
  </si>
  <si>
    <t xml:space="preserve">25-2 lead indicators (BFL standalone)</t>
  </si>
  <si>
    <t xml:space="preserve">25-3 lead indicators (BFL standalone)</t>
  </si>
  <si>
    <t xml:space="preserve">25-4 lead indicators (BFL standalone)</t>
  </si>
  <si>
    <t xml:space="preserve">26-1 lead indicators (BFL standalone)</t>
  </si>
  <si>
    <t xml:space="preserve">26-2 lead indicators (BFL standalone)</t>
  </si>
  <si>
    <t xml:space="preserve">26-3 lead indicators (BFL standalone)</t>
  </si>
  <si>
    <t xml:space="preserve">26-4 lead indicators (BFL standalone)</t>
  </si>
  <si>
    <t xml:space="preserve">22-4 total-company P&amp;L table</t>
  </si>
  <si>
    <t xml:space="preserve">PROXY: finance cost / average assets (Chola does not report COF to borrowings each quarter)</t>
  </si>
  <si>
    <t xml:space="preserve">24-4 total-company P&amp;L table</t>
  </si>
  <si>
    <t xml:space="preserve">26-4 total-company P&amp;L table</t>
  </si>
  <si>
    <t xml:space="preserve">21-1 P&amp;L + funding mix</t>
  </si>
  <si>
    <t xml:space="preserve">COMPUTED: annualised standalone finance cost / avg borrowings (funding-mix total)</t>
  </si>
  <si>
    <t xml:space="preserve">21-2 P&amp;L + funding mix</t>
  </si>
  <si>
    <t xml:space="preserve">21-3 P&amp;L + funding mix</t>
  </si>
  <si>
    <t xml:space="preserve">21-4 P&amp;L + funding mix</t>
  </si>
  <si>
    <t xml:space="preserve">22-1 P&amp;L + funding mix</t>
  </si>
  <si>
    <t xml:space="preserve">22-2 P&amp;L + funding mix</t>
  </si>
  <si>
    <t xml:space="preserve">22-3 P&amp;L + funding mix</t>
  </si>
  <si>
    <t xml:space="preserve">22-4 P&amp;L + funding mix</t>
  </si>
  <si>
    <t xml:space="preserve">23-1 P&amp;L + funding mix</t>
  </si>
  <si>
    <t xml:space="preserve">23-2 P&amp;L + funding mix</t>
  </si>
  <si>
    <t xml:space="preserve">23-3 P&amp;L + funding mix</t>
  </si>
  <si>
    <t xml:space="preserve">23-4 P&amp;L + funding mix</t>
  </si>
  <si>
    <t xml:space="preserve">24-1 P&amp;L + funding mix</t>
  </si>
  <si>
    <t xml:space="preserve">24-2 P&amp;L + funding mix</t>
  </si>
  <si>
    <t xml:space="preserve">24-3 P&amp;L + funding mix</t>
  </si>
  <si>
    <t xml:space="preserve">24-4 P&amp;L + funding mix</t>
  </si>
  <si>
    <t xml:space="preserve">25-1 P&amp;L + funding mix</t>
  </si>
  <si>
    <t xml:space="preserve">25-2 P&amp;L + funding mix</t>
  </si>
  <si>
    <t xml:space="preserve">25-3 P&amp;L + funding mix</t>
  </si>
  <si>
    <t xml:space="preserve">COMPUTED: annualised standalone finance cost / avg borrowings (funding-mix total); Dec-24 borrowings interpolated</t>
  </si>
  <si>
    <t xml:space="preserve">25-4 P&amp;L + funding mix</t>
  </si>
  <si>
    <t xml:space="preserve">26-1 P&amp;L + funding mix</t>
  </si>
  <si>
    <t xml:space="preserve">26-2 P&amp;L + funding mix</t>
  </si>
  <si>
    <t xml:space="preserve">26-3 P&amp;L + funding mix</t>
  </si>
  <si>
    <t xml:space="preserve">26-4 P&amp;L + funding mix</t>
  </si>
  <si>
    <t xml:space="preserve">21-1 highlights</t>
  </si>
  <si>
    <t xml:space="preserve">Reported</t>
  </si>
  <si>
    <t xml:space="preserve">21-2 highlights</t>
  </si>
  <si>
    <t xml:space="preserve">DERIVED from year-to-date average cost of borrowings</t>
  </si>
  <si>
    <t xml:space="preserve">21-3 highlights</t>
  </si>
  <si>
    <t xml:space="preserve">21-4 highlights</t>
  </si>
  <si>
    <t xml:space="preserve">22-1 highlights</t>
  </si>
  <si>
    <t xml:space="preserve">22-2 highlights</t>
  </si>
  <si>
    <t xml:space="preserve">22-3 highlights</t>
  </si>
  <si>
    <t xml:space="preserve">22-4 highlights</t>
  </si>
  <si>
    <t xml:space="preserve">23-1 highlights</t>
  </si>
  <si>
    <t xml:space="preserve">Reported average cost of borrowings for the quarter</t>
  </si>
  <si>
    <t xml:space="preserve">23-2 highlights</t>
  </si>
  <si>
    <t xml:space="preserve">23-3 highlights</t>
  </si>
  <si>
    <t xml:space="preserve">23-4 highlights</t>
  </si>
  <si>
    <t xml:space="preserve">24-1 highlights</t>
  </si>
  <si>
    <t xml:space="preserve">24-2 highlights</t>
  </si>
  <si>
    <t xml:space="preserve">24-3 highlights</t>
  </si>
  <si>
    <t xml:space="preserve">24-4 highlights</t>
  </si>
  <si>
    <t xml:space="preserve">25-1 highlights</t>
  </si>
  <si>
    <t xml:space="preserve">25-2 highlights</t>
  </si>
  <si>
    <t xml:space="preserve">25-3 highlights</t>
  </si>
  <si>
    <t xml:space="preserve">25-4 highlights</t>
  </si>
  <si>
    <t xml:space="preserve">26-1 highlights</t>
  </si>
  <si>
    <t xml:space="preserve">26-2 highlights</t>
  </si>
  <si>
    <t xml:space="preserve">26-3 highlights</t>
  </si>
  <si>
    <t xml:space="preserve">23-4/24-4/25-4/26-4 P&amp;L + borrowing profile</t>
  </si>
  <si>
    <t xml:space="preserve">COMPUTED: annualised interest expended / avg borrowings; merged entity (STFC+SCUF) from FY23; FY23 Q1-Q2 restated; FY23Q1 uses closing borrowings</t>
  </si>
  <si>
    <t xml:space="preserve">21-1 key financials</t>
  </si>
  <si>
    <t xml:space="preserve">Reported weighted average cost of funds</t>
  </si>
  <si>
    <t xml:space="preserve">21-2 key financials</t>
  </si>
  <si>
    <t xml:space="preserve">21-3 key financials</t>
  </si>
  <si>
    <t xml:space="preserve">21-4 key financials</t>
  </si>
  <si>
    <t xml:space="preserve">22-1 key financials</t>
  </si>
  <si>
    <t xml:space="preserve">22-2 key financials</t>
  </si>
  <si>
    <t xml:space="preserve">22-3 key financials</t>
  </si>
  <si>
    <t xml:space="preserve">22-4 key financials</t>
  </si>
  <si>
    <t xml:space="preserve">23-1 key financials</t>
  </si>
  <si>
    <t xml:space="preserve">23-2 key financials</t>
  </si>
  <si>
    <t xml:space="preserve">23-3 key financials</t>
  </si>
  <si>
    <t xml:space="preserve">23-4 key financials</t>
  </si>
  <si>
    <t xml:space="preserve">24-1 key financials</t>
  </si>
  <si>
    <t xml:space="preserve">24-2 key financials</t>
  </si>
  <si>
    <t xml:space="preserve">24-3 key financials</t>
  </si>
  <si>
    <t xml:space="preserve">24-4 key financials</t>
  </si>
  <si>
    <t xml:space="preserve">25-1 key financials</t>
  </si>
  <si>
    <t xml:space="preserve">25-2 key financials</t>
  </si>
  <si>
    <t xml:space="preserve">25-3 key financials</t>
  </si>
  <si>
    <t xml:space="preserve">25-4 key financials</t>
  </si>
  <si>
    <t xml:space="preserve">26-1 key financials</t>
  </si>
  <si>
    <t xml:space="preserve">26-2 key financials</t>
  </si>
  <si>
    <t xml:space="preserve">26-3 key financials</t>
  </si>
  <si>
    <t xml:space="preserve">26-4 key financials</t>
  </si>
  <si>
    <t xml:space="preserve">21-1</t>
  </si>
  <si>
    <t xml:space="preserve">Reported cost of borrowings (as first reported)</t>
  </si>
  <si>
    <t xml:space="preserve">21-3</t>
  </si>
  <si>
    <t xml:space="preserve">22-1 (vs Mar-21)</t>
  </si>
  <si>
    <t xml:space="preserve">22-3</t>
  </si>
  <si>
    <t xml:space="preserve">23-1 (vs Mar-22)</t>
  </si>
  <si>
    <t xml:space="preserve">23-1</t>
  </si>
  <si>
    <t xml:space="preserve">23-2</t>
  </si>
  <si>
    <t xml:space="preserve">23-3</t>
  </si>
  <si>
    <t xml:space="preserve">23-4</t>
  </si>
  <si>
    <t xml:space="preserve">24-1</t>
  </si>
  <si>
    <t xml:space="preserve">25-2 table (YoY col)</t>
  </si>
  <si>
    <t xml:space="preserve">25-3 table (YoY col)</t>
  </si>
  <si>
    <t xml:space="preserve">24-4 table</t>
  </si>
  <si>
    <t xml:space="preserve">25-1</t>
  </si>
  <si>
    <t xml:space="preserve">25-2</t>
  </si>
  <si>
    <t xml:space="preserve">25-3</t>
  </si>
  <si>
    <t xml:space="preserve">25-4</t>
  </si>
  <si>
    <t xml:space="preserve">26-1</t>
  </si>
  <si>
    <t xml:space="preserve">26-2</t>
  </si>
  <si>
    <t xml:space="preserve">26-3</t>
  </si>
  <si>
    <t xml:space="preserve">26-4</t>
  </si>
  <si>
    <t xml:space="preserve">22-1 chart</t>
  </si>
  <si>
    <t xml:space="preserve">Reported average cost of borrowing (monthly average basis)</t>
  </si>
  <si>
    <t xml:space="preserve">23-1 chart</t>
  </si>
  <si>
    <t xml:space="preserve">24-1 chart</t>
  </si>
  <si>
    <t xml:space="preserve">25-1 chart</t>
  </si>
  <si>
    <t xml:space="preserve">26-1 (prior qtr)</t>
  </si>
  <si>
    <t xml:space="preserve">22-2 p.20</t>
  </si>
  <si>
    <t xml:space="preserve">Reported cost of borrowings (quarter-end) from chart</t>
  </si>
  <si>
    <t xml:space="preserve">24-2 p.21</t>
  </si>
  <si>
    <t xml:space="preserve">25-4 p.20</t>
  </si>
  <si>
    <t xml:space="preserve">26-4 p.22</t>
  </si>
  <si>
    <t xml:space="preserve">21-1 quarterly results table</t>
  </si>
  <si>
    <t xml:space="preserve">Reported cost of funds % (current-quarter column)</t>
  </si>
  <si>
    <t xml:space="preserve">21-2 quarterly results table</t>
  </si>
  <si>
    <t xml:space="preserve">21-3 quarterly results table</t>
  </si>
  <si>
    <t xml:space="preserve">21-4 quarterly results table</t>
  </si>
  <si>
    <t xml:space="preserve">22-1 quarterly results table</t>
  </si>
  <si>
    <t xml:space="preserve">22-2 quarterly results table</t>
  </si>
  <si>
    <t xml:space="preserve">22-3 quarterly results table</t>
  </si>
  <si>
    <t xml:space="preserve">22-4 quarterly results table</t>
  </si>
  <si>
    <t xml:space="preserve">23-1 quarterly results table</t>
  </si>
  <si>
    <t xml:space="preserve">23-2 quarterly results table</t>
  </si>
  <si>
    <t xml:space="preserve">23-3 quarterly results table</t>
  </si>
  <si>
    <t xml:space="preserve">23-4 quarterly results table</t>
  </si>
  <si>
    <t xml:space="preserve">24-1 quarterly results table</t>
  </si>
  <si>
    <t xml:space="preserve">24-2 quarterly results table</t>
  </si>
  <si>
    <t xml:space="preserve">24-3 quarterly results table</t>
  </si>
  <si>
    <t xml:space="preserve">24-4 quarterly results table</t>
  </si>
  <si>
    <t xml:space="preserve">25-1 quarterly results table</t>
  </si>
  <si>
    <t xml:space="preserve">25-2 quarterly results table</t>
  </si>
  <si>
    <t xml:space="preserve">25-3 quarterly results table</t>
  </si>
  <si>
    <t xml:space="preserve">25-4 quarterly results table</t>
  </si>
  <si>
    <t xml:space="preserve">26-1 quarterly results table</t>
  </si>
  <si>
    <t xml:space="preserve">26-2 quarterly results table</t>
  </si>
  <si>
    <t xml:space="preserve">26-3 quarterly results table</t>
  </si>
  <si>
    <t xml:space="preserve">26-4 quarterly results table</t>
  </si>
  <si>
    <t xml:space="preserve">21-1 key ratios (or 5-quarter key metrics in FY23-25 decks)</t>
  </si>
  <si>
    <t xml:space="preserve">Reported (weighted avg.) cost of borrowings</t>
  </si>
  <si>
    <t xml:space="preserve">21-2 key ratios (or 5-quarter key metrics in FY23-25 decks)</t>
  </si>
  <si>
    <t xml:space="preserve">21-3 key ratios (or 5-quarter key metrics in FY23-25 decks)</t>
  </si>
  <si>
    <t xml:space="preserve">21-4 key ratios (or 5-quarter key metrics in FY23-25 decks)</t>
  </si>
  <si>
    <t xml:space="preserve">22-1 key ratios (or 5-quarter key metrics in FY23-25 decks)</t>
  </si>
  <si>
    <t xml:space="preserve">22-2 key ratios (or 5-quarter key metrics in FY23-25 decks)</t>
  </si>
  <si>
    <t xml:space="preserve">22-3 key ratios (or 5-quarter key metrics in FY23-25 decks)</t>
  </si>
  <si>
    <t xml:space="preserve">22-4 key ratios (or 5-quarter key metrics in FY23-25 decks)</t>
  </si>
  <si>
    <t xml:space="preserve">23-1 key ratios (or 5-quarter key metrics in FY23-25 decks)</t>
  </si>
  <si>
    <t xml:space="preserve">23-2 key ratios (or 5-quarter key metrics in FY23-25 decks)</t>
  </si>
  <si>
    <t xml:space="preserve">23-3 key ratios (or 5-quarter key metrics in FY23-25 decks)</t>
  </si>
  <si>
    <t xml:space="preserve">23-4 key ratios (or 5-quarter key metrics in FY23-25 decks)</t>
  </si>
  <si>
    <t xml:space="preserve">24-1 key ratios (or 5-quarter key metrics in FY23-25 decks)</t>
  </si>
  <si>
    <t xml:space="preserve">24-2 key ratios (or 5-quarter key metrics in FY23-25 decks)</t>
  </si>
  <si>
    <t xml:space="preserve">24-3 key ratios (or 5-quarter key metrics in FY23-25 decks)</t>
  </si>
  <si>
    <t xml:space="preserve">24-4 key ratios (or 5-quarter key metrics in FY23-25 decks)</t>
  </si>
  <si>
    <t xml:space="preserve">25-1 key ratios (or 5-quarter key metrics in FY23-25 decks)</t>
  </si>
  <si>
    <t xml:space="preserve">25-2 key ratios (or 5-quarter key metrics in FY23-25 decks)</t>
  </si>
  <si>
    <t xml:space="preserve">25-3 key ratios (or 5-quarter key metrics in FY23-25 decks)</t>
  </si>
  <si>
    <t xml:space="preserve">25-4 key ratios (or 5-quarter key metrics in FY23-25 decks)</t>
  </si>
  <si>
    <t xml:space="preserve">26-1 key ratios (or 5-quarter key metrics in FY23-25 decks)</t>
  </si>
  <si>
    <t xml:space="preserve">26-2 key ratios (or 5-quarter key metrics in FY23-25 decks)</t>
  </si>
  <si>
    <t xml:space="preserve">26-3 key ratios (or 5-quarter key metrics in FY23-25 decks)</t>
  </si>
  <si>
    <t xml:space="preserve">26-4 key ratios (or 5-quarter key metrics in FY23-25 decks)</t>
  </si>
  <si>
    <t xml:space="preserve">24-3 p.18 chart</t>
  </si>
  <si>
    <t xml:space="preserve">Reported average cost of borrowing (consolidated)</t>
  </si>
  <si>
    <t xml:space="preserve">24-1 table (YoY col)</t>
  </si>
  <si>
    <t xml:space="preserve">23-3 table</t>
  </si>
  <si>
    <t xml:space="preserve">23-4 table</t>
  </si>
  <si>
    <t xml:space="preserve">24-1 table</t>
  </si>
  <si>
    <t xml:space="preserve">24-2 table</t>
  </si>
  <si>
    <t xml:space="preserve">24-3 table</t>
  </si>
  <si>
    <t xml:space="preserve">25-2 p.14 chart</t>
  </si>
  <si>
    <t xml:space="preserve">26-2 p.15 chart</t>
  </si>
  <si>
    <t xml:space="preserve">26-3 table</t>
  </si>
  <si>
    <t xml:space="preserve">25-2 p.24 chart</t>
  </si>
  <si>
    <t xml:space="preserve">Reported average cost of borrowing; series starts after Poonawalla took control of Magma Fincorp (FY22)</t>
  </si>
  <si>
    <t xml:space="preserve">26-2 p.24 chart</t>
  </si>
  <si>
    <t xml:space="preserve">26-4 p.21 chart</t>
  </si>
  <si>
    <t xml:space="preserve">22-1 p.24 chart</t>
  </si>
  <si>
    <t xml:space="preserve">Reported COB (quarterly average) from funding-profile chart</t>
  </si>
  <si>
    <t xml:space="preserve">24-2 p.31 chart</t>
  </si>
  <si>
    <t xml:space="preserve">26-2 p.33 chart</t>
  </si>
  <si>
    <t xml:space="preserve">26-4 p.34 chart</t>
  </si>
  <si>
    <t xml:space="preserve">21-1 P&amp;L + borrowing-mix chart</t>
  </si>
  <si>
    <t xml:space="preserve">COMPUTED: annualised finance cost / avg borrowings (ex-CCD/OCRPS); LOW QUALITY - borrowings interpolated</t>
  </si>
  <si>
    <t xml:space="preserve">21-2 P&amp;L + borrowing-mix chart</t>
  </si>
  <si>
    <t xml:space="preserve">21-3 P&amp;L + borrowing-mix chart</t>
  </si>
  <si>
    <t xml:space="preserve">21-4 P&amp;L + borrowing-mix chart</t>
  </si>
  <si>
    <t xml:space="preserve">22-1 P&amp;L + borrowing-mix chart</t>
  </si>
  <si>
    <t xml:space="preserve">22-2 P&amp;L + borrowing-mix chart</t>
  </si>
  <si>
    <t xml:space="preserve">22-3 P&amp;L + borrowing-mix chart</t>
  </si>
  <si>
    <t xml:space="preserve">COMPUTED: annualised finance cost / avg borrowings (ex-CCD/OCRPS)</t>
  </si>
  <si>
    <t xml:space="preserve">22-4 P&amp;L + borrowing-mix chart</t>
  </si>
  <si>
    <t xml:space="preserve">23-1 P&amp;L + borrowing-mix chart</t>
  </si>
  <si>
    <t xml:space="preserve">23-2 P&amp;L + borrowing-mix chart</t>
  </si>
  <si>
    <t xml:space="preserve">23-3 P&amp;L + borrowing-mix chart</t>
  </si>
  <si>
    <t xml:space="preserve">23-4 P&amp;L + borrowing-mix chart</t>
  </si>
  <si>
    <t xml:space="preserve">24-1 P&amp;L + borrowing-mix chart</t>
  </si>
  <si>
    <t xml:space="preserve">24-2 P&amp;L + borrowing-mix chart</t>
  </si>
  <si>
    <t xml:space="preserve">24-3 P&amp;L + borrowing-mix chart</t>
  </si>
  <si>
    <t xml:space="preserve">24-4 P&amp;L + borrowing-mix chart</t>
  </si>
  <si>
    <t xml:space="preserve">25-1 P&amp;L + borrowing-mix chart</t>
  </si>
  <si>
    <t xml:space="preserve">25-2 P&amp;L + borrowing-mix chart</t>
  </si>
  <si>
    <t xml:space="preserve">25-3 P&amp;L + borrowing-mix chart</t>
  </si>
  <si>
    <t xml:space="preserve">25-4 P&amp;L + borrowing-mix chart</t>
  </si>
  <si>
    <t xml:space="preserve">26-1 P&amp;L + borrowing-mix chart</t>
  </si>
  <si>
    <t xml:space="preserve">26-2 P&amp;L + borrowing-mix chart</t>
  </si>
  <si>
    <t xml:space="preserve">26-3 P&amp;L + borrowing-mix chart</t>
  </si>
  <si>
    <t xml:space="preserve">26-4 P&amp;L + borrowing-mix chart</t>
  </si>
  <si>
    <t xml:space="preserve">Bank share of borrowings (%) by company and quarter</t>
  </si>
  <si>
    <t xml:space="preserve">21-1 lead indicators</t>
  </si>
  <si>
    <t xml:space="preserve">Consolidated borrowing mix - Banks (money markets : banks : deposits : ECB)</t>
  </si>
  <si>
    <t xml:space="preserve">21-2 lead indicators</t>
  </si>
  <si>
    <t xml:space="preserve">21-3 lead indicators</t>
  </si>
  <si>
    <t xml:space="preserve">21-4 lead indicators</t>
  </si>
  <si>
    <t xml:space="preserve">22-1 lead indicators</t>
  </si>
  <si>
    <t xml:space="preserve">22-2 lead indicators</t>
  </si>
  <si>
    <t xml:space="preserve">22-3 lead indicators</t>
  </si>
  <si>
    <t xml:space="preserve">22-4 lead indicators</t>
  </si>
  <si>
    <t xml:space="preserve">23-1 lead indicators</t>
  </si>
  <si>
    <t xml:space="preserve">23-2 lead indicators</t>
  </si>
  <si>
    <t xml:space="preserve">23-3 lead indicators</t>
  </si>
  <si>
    <t xml:space="preserve">23-4 lead indicators</t>
  </si>
  <si>
    <t xml:space="preserve">24-1 lead indicators</t>
  </si>
  <si>
    <t xml:space="preserve">24-2 lead indicators</t>
  </si>
  <si>
    <t xml:space="preserve">24-3 lead indicators</t>
  </si>
  <si>
    <t xml:space="preserve">24-4 lead indicators</t>
  </si>
  <si>
    <t xml:space="preserve">25-1 lead indicators</t>
  </si>
  <si>
    <t xml:space="preserve">25-2 lead indicators</t>
  </si>
  <si>
    <t xml:space="preserve">25-3 lead indicators</t>
  </si>
  <si>
    <t xml:space="preserve">25-4 lead indicators</t>
  </si>
  <si>
    <t xml:space="preserve">26-1 lead indicators</t>
  </si>
  <si>
    <t xml:space="preserve">26-2 lead indicators</t>
  </si>
  <si>
    <t xml:space="preserve">26-3 lead indicators</t>
  </si>
  <si>
    <t xml:space="preserve">26-4 lead indicators</t>
  </si>
  <si>
    <t xml:space="preserve">21-1 borrowing profile</t>
  </si>
  <si>
    <t xml:space="preserve">Commercial banks / total borrowings (excludes Repco Bank and NHB)</t>
  </si>
  <si>
    <t xml:space="preserve">21-2 borrowing profile</t>
  </si>
  <si>
    <t xml:space="preserve">21-3 borrowing profile</t>
  </si>
  <si>
    <t xml:space="preserve">21-4 borrowing profile</t>
  </si>
  <si>
    <t xml:space="preserve">22-1 borrowing profile</t>
  </si>
  <si>
    <t xml:space="preserve">22-2 borrowing profile</t>
  </si>
  <si>
    <t xml:space="preserve">22-3 borrowing profile</t>
  </si>
  <si>
    <t xml:space="preserve">22-4 borrowing profile</t>
  </si>
  <si>
    <t xml:space="preserve">23-1 borrowing profile</t>
  </si>
  <si>
    <t xml:space="preserve">23-2 borrowing profile</t>
  </si>
  <si>
    <t xml:space="preserve">23-3 borrowing profile</t>
  </si>
  <si>
    <t xml:space="preserve">24-4 (YoY col) borrowing profile</t>
  </si>
  <si>
    <t xml:space="preserve">24-1 borrowing profile</t>
  </si>
  <si>
    <t xml:space="preserve">24-2 borrowing profile</t>
  </si>
  <si>
    <t xml:space="preserve">24-3 borrowing profile</t>
  </si>
  <si>
    <t xml:space="preserve">24-4 borrowing profile</t>
  </si>
  <si>
    <t xml:space="preserve">25-1 borrowing profile</t>
  </si>
  <si>
    <t xml:space="preserve">25-2 borrowing profile</t>
  </si>
  <si>
    <t xml:space="preserve">25-3 borrowing profile</t>
  </si>
  <si>
    <t xml:space="preserve">25-4 borrowing profile</t>
  </si>
  <si>
    <t xml:space="preserve">26-1 borrowing profile</t>
  </si>
  <si>
    <t xml:space="preserve">26-2 borrowing profile</t>
  </si>
  <si>
    <t xml:space="preserve">26-3 borrowing profile</t>
  </si>
  <si>
    <t xml:space="preserve">26-4 borrowing profile</t>
  </si>
  <si>
    <t xml:space="preserve">21-1 stable sources of funding</t>
  </si>
  <si>
    <t xml:space="preserve">Borrowings from banks/FIs / total borrowings (standalone principal)</t>
  </si>
  <si>
    <t xml:space="preserve">21-2 stable sources of funding</t>
  </si>
  <si>
    <t xml:space="preserve">21-3 stable sources of funding</t>
  </si>
  <si>
    <t xml:space="preserve">21-4 stable sources of funding</t>
  </si>
  <si>
    <t xml:space="preserve">22-1 stable sources of funding</t>
  </si>
  <si>
    <t xml:space="preserve">22-2 stable sources of funding</t>
  </si>
  <si>
    <t xml:space="preserve">22-3 stable sources of funding</t>
  </si>
  <si>
    <t xml:space="preserve">22-4 stable sources of funding</t>
  </si>
  <si>
    <t xml:space="preserve">23-1 stable sources of funding</t>
  </si>
  <si>
    <t xml:space="preserve">23-2 stable sources of funding</t>
  </si>
  <si>
    <t xml:space="preserve">23-3 stable sources of funding</t>
  </si>
  <si>
    <t xml:space="preserve">23-4 stable sources of funding</t>
  </si>
  <si>
    <t xml:space="preserve">24-1 stable sources of funding</t>
  </si>
  <si>
    <t xml:space="preserve">24-2 stable sources of funding</t>
  </si>
  <si>
    <t xml:space="preserve">24-3 stable sources of funding</t>
  </si>
  <si>
    <t xml:space="preserve">24-4 stable sources of funding</t>
  </si>
  <si>
    <t xml:space="preserve">25-1 stable sources of funding</t>
  </si>
  <si>
    <t xml:space="preserve">25-2 stable sources of funding</t>
  </si>
  <si>
    <t xml:space="preserve">25-3 stable sources of funding</t>
  </si>
  <si>
    <t xml:space="preserve">25-4 stable sources of funding</t>
  </si>
  <si>
    <t xml:space="preserve">26-1 stable sources of funding</t>
  </si>
  <si>
    <t xml:space="preserve">26-2 stable sources of funding</t>
  </si>
  <si>
    <t xml:space="preserve">26-3 stable sources of funding</t>
  </si>
  <si>
    <t xml:space="preserve">23-4/24-4/25-4/26-4 borrowing profile</t>
  </si>
  <si>
    <t xml:space="preserve">Term loans % of borrowings (merged entity from FY23)</t>
  </si>
  <si>
    <t xml:space="preserve">21-4 funding mix by investor category</t>
  </si>
  <si>
    <t xml:space="preserve">Banks / development (financial) institutions % of borrowings</t>
  </si>
  <si>
    <t xml:space="preserve">22-1 funding mix by investor category</t>
  </si>
  <si>
    <t xml:space="preserve">22-2 funding mix by investor category</t>
  </si>
  <si>
    <t xml:space="preserve">22-3 funding mix by investor category</t>
  </si>
  <si>
    <t xml:space="preserve">22-4 funding mix by investor category</t>
  </si>
  <si>
    <t xml:space="preserve">23-1 funding mix by investor category</t>
  </si>
  <si>
    <t xml:space="preserve">23-2 funding mix by investor category</t>
  </si>
  <si>
    <t xml:space="preserve">23-3 funding mix by investor category</t>
  </si>
  <si>
    <t xml:space="preserve">23-4 funding mix by investor category</t>
  </si>
  <si>
    <t xml:space="preserve">24-1 funding mix by investor category</t>
  </si>
  <si>
    <t xml:space="preserve">24-2 funding mix by investor category</t>
  </si>
  <si>
    <t xml:space="preserve">24-3 funding mix by investor category</t>
  </si>
  <si>
    <t xml:space="preserve">24-4 funding mix by investor category</t>
  </si>
  <si>
    <t xml:space="preserve">25-1 funding mix by investor category</t>
  </si>
  <si>
    <t xml:space="preserve">25-2 funding mix by investor category</t>
  </si>
  <si>
    <t xml:space="preserve">25-3 funding mix by investor category</t>
  </si>
  <si>
    <t xml:space="preserve">25-4 funding mix by investor category</t>
  </si>
  <si>
    <t xml:space="preserve">26-1 funding mix by investor category</t>
  </si>
  <si>
    <t xml:space="preserve">26-2 funding mix by investor category</t>
  </si>
  <si>
    <t xml:space="preserve">26-3 funding mix by investor category</t>
  </si>
  <si>
    <t xml:space="preserve">26-4 funding mix by investor category</t>
  </si>
  <si>
    <t xml:space="preserve">21-4 p.60</t>
  </si>
  <si>
    <t xml:space="preserve">Banks % of borrowings by investor type (IFI added back from FY24 for consistency)</t>
  </si>
  <si>
    <t xml:space="preserve">22-4 p.67</t>
  </si>
  <si>
    <t xml:space="preserve">23-4 p.67</t>
  </si>
  <si>
    <t xml:space="preserve">24-4 p.70 (banks+IFI)</t>
  </si>
  <si>
    <t xml:space="preserve">25-4 p.72 (banks+IFI)</t>
  </si>
  <si>
    <t xml:space="preserve">26-4 p.76 (banks+IFI)</t>
  </si>
  <si>
    <t xml:space="preserve">22-2 p.14 pies</t>
  </si>
  <si>
    <t xml:space="preserve">Bank lines/WCDL + term loans % of borrowings</t>
  </si>
  <si>
    <t xml:space="preserve">22-4 p.15 pies</t>
  </si>
  <si>
    <t xml:space="preserve">24-4 p.17</t>
  </si>
  <si>
    <t xml:space="preserve">26-4 p.17</t>
  </si>
  <si>
    <t xml:space="preserve">26-3 p.17 / 26-4 p.22</t>
  </si>
  <si>
    <t xml:space="preserve">Term loans % of on-book borrowings (single consistent definition; annual points only)</t>
  </si>
  <si>
    <t xml:space="preserve">22-1 p.24</t>
  </si>
  <si>
    <t xml:space="preserve">Public + private sector banks % of total borrowings (incl. off-book DA/co-lending in denominator)</t>
  </si>
  <si>
    <t xml:space="preserve">24-2 p.31</t>
  </si>
  <si>
    <t xml:space="preserve">26-2 p.33</t>
  </si>
  <si>
    <t xml:space="preserve">26-4 p.34</t>
  </si>
  <si>
    <t xml:space="preserve">21-2/22-2 pies</t>
  </si>
  <si>
    <t xml:space="preserve">Banks &amp; SFBs % of borrowings (ex CCD/OCRPS)</t>
  </si>
  <si>
    <t xml:space="preserve">23-2 p.25</t>
  </si>
  <si>
    <t xml:space="preserve">24-1 p.25</t>
  </si>
  <si>
    <t xml:space="preserve">25-2 p.24</t>
  </si>
  <si>
    <t xml:space="preserve">25-4 p.25</t>
  </si>
  <si>
    <t xml:space="preserve">26-4 p.23</t>
  </si>
  <si>
    <t xml:space="preserve">21-1 liability profile pie</t>
  </si>
  <si>
    <t xml:space="preserve">Bank % of outstanding borrowings (NHB shown separately)</t>
  </si>
  <si>
    <t xml:space="preserve">21-2 liability profile pie</t>
  </si>
  <si>
    <t xml:space="preserve">21-3 liability profile pie</t>
  </si>
  <si>
    <t xml:space="preserve">21-4 liability profile pie</t>
  </si>
  <si>
    <t xml:space="preserve">22-1 liability profile pie</t>
  </si>
  <si>
    <t xml:space="preserve">22-2 liability profile pie</t>
  </si>
  <si>
    <t xml:space="preserve">22-3 liability profile pie</t>
  </si>
  <si>
    <t xml:space="preserve">22-4 liability profile pie</t>
  </si>
  <si>
    <t xml:space="preserve">23-1 liability profile pie</t>
  </si>
  <si>
    <t xml:space="preserve">23-2 liability profile pie</t>
  </si>
  <si>
    <t xml:space="preserve">23-3 liability profile pie</t>
  </si>
  <si>
    <t xml:space="preserve">23-4 liability profile pie</t>
  </si>
  <si>
    <t xml:space="preserve">24-1 liability profile pie</t>
  </si>
  <si>
    <t xml:space="preserve">24-2 liability profile pie</t>
  </si>
  <si>
    <t xml:space="preserve">24-3 liability profile pie</t>
  </si>
  <si>
    <t xml:space="preserve">24-4 liability profile pie</t>
  </si>
  <si>
    <t xml:space="preserve">25-1 liability profile pie</t>
  </si>
  <si>
    <t xml:space="preserve">25-2 liability profile pie</t>
  </si>
  <si>
    <t xml:space="preserve">25-3 liability profile pie</t>
  </si>
  <si>
    <t xml:space="preserve">25-4 liability profile pie</t>
  </si>
  <si>
    <t xml:space="preserve">26-1 liability profile pie</t>
  </si>
  <si>
    <t xml:space="preserve">26-2 liability profile pie</t>
  </si>
  <si>
    <t xml:space="preserve">26-3 liability profile pie</t>
  </si>
  <si>
    <t xml:space="preserve">26-4 liability profile pie</t>
  </si>
  <si>
    <t xml:space="preserve">21-1 liability mix pie</t>
  </si>
  <si>
    <t xml:space="preserve">Banks - term loans (&amp; CC) % of borrowings; FY23Q3 reflects MMFL merger</t>
  </si>
  <si>
    <t xml:space="preserve">21-2 liability mix pie</t>
  </si>
  <si>
    <t xml:space="preserve">21-3 liability mix pie</t>
  </si>
  <si>
    <t xml:space="preserve">21-4 liability mix pie</t>
  </si>
  <si>
    <t xml:space="preserve">22-1 liability mix pie</t>
  </si>
  <si>
    <t xml:space="preserve">22-2 liability mix pie</t>
  </si>
  <si>
    <t xml:space="preserve">22-3 liability mix pie</t>
  </si>
  <si>
    <t xml:space="preserve">22-4 liability mix pie</t>
  </si>
  <si>
    <t xml:space="preserve">23-1 liability mix pie</t>
  </si>
  <si>
    <t xml:space="preserve">23-2 liability mix pie</t>
  </si>
  <si>
    <t xml:space="preserve">23-3 liability mix pie</t>
  </si>
  <si>
    <t xml:space="preserve">23-4 liability mix pie</t>
  </si>
  <si>
    <t xml:space="preserve">24-1 liability mix pie</t>
  </si>
  <si>
    <t xml:space="preserve">24-2 liability mix pie</t>
  </si>
  <si>
    <t xml:space="preserve">24-3 liability mix pie</t>
  </si>
  <si>
    <t xml:space="preserve">24-4 liability mix pie</t>
  </si>
  <si>
    <t xml:space="preserve">25-1 liability mix pie</t>
  </si>
  <si>
    <t xml:space="preserve">25-2 liability mix pie</t>
  </si>
  <si>
    <t xml:space="preserve">25-3 liability mix pie</t>
  </si>
  <si>
    <t xml:space="preserve">25-4 liability mix pie</t>
  </si>
  <si>
    <t xml:space="preserve">26-1 liability mix pie</t>
  </si>
  <si>
    <t xml:space="preserve">26-2 liability mix pie</t>
  </si>
  <si>
    <t xml:space="preserve">26-3 liability mix pie</t>
  </si>
  <si>
    <t xml:space="preserve">26-4 liability mix pie</t>
  </si>
  <si>
    <t xml:space="preserve">22-2 funding basket pies</t>
  </si>
  <si>
    <t xml:space="preserve">Banks % of borrowings (semi-annual)</t>
  </si>
  <si>
    <t xml:space="preserve">22-4 funding basket pies</t>
  </si>
  <si>
    <t xml:space="preserve">24-2 funding basket pies</t>
  </si>
  <si>
    <t xml:space="preserve">24-4 funding basket pies</t>
  </si>
  <si>
    <t xml:space="preserve">26-2 funding basket pies</t>
  </si>
  <si>
    <t xml:space="preserve">26-4 funding basket pies</t>
  </si>
  <si>
    <t xml:space="preserve">21-2 diversified funding mix pie</t>
  </si>
  <si>
    <t xml:space="preserve">Term loans % of funding mix (semi-annual; FY26 decks no longer show the mix)</t>
  </si>
  <si>
    <t xml:space="preserve">21-4 diversified funding mix pie</t>
  </si>
  <si>
    <t xml:space="preserve">22-2 diversified funding mix pie</t>
  </si>
  <si>
    <t xml:space="preserve">22-4 diversified funding mix pie</t>
  </si>
  <si>
    <t xml:space="preserve">23-2 diversified funding mix pie</t>
  </si>
  <si>
    <t xml:space="preserve">23-4 diversified funding mix pie</t>
  </si>
  <si>
    <t xml:space="preserve">24-2 diversified funding mix pie</t>
  </si>
  <si>
    <t xml:space="preserve">24-4 diversified funding mix pie</t>
  </si>
  <si>
    <t xml:space="preserve">25-2 diversified funding mix pie</t>
  </si>
  <si>
    <t xml:space="preserve">25-4 diversified funding mix pie</t>
  </si>
  <si>
    <t xml:space="preserve">22-4 p.23 (rescaled ex-DA)</t>
  </si>
  <si>
    <t xml:space="preserve">Loans from banks / term loans % of borrowings (excluding direct assignment)</t>
  </si>
  <si>
    <t xml:space="preserve">23-4 p.18</t>
  </si>
  <si>
    <t xml:space="preserve">23-2 p.12</t>
  </si>
  <si>
    <t xml:space="preserve">24-2</t>
  </si>
  <si>
    <t xml:space="preserve">25-2 p.10</t>
  </si>
  <si>
    <t xml:space="preserve">26-4 p.10</t>
  </si>
  <si>
    <t xml:space="preserve">26-2 p.10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</si>
</sst>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0"/>
    <numFmt numFmtId="166" formatCode="dd\-mmm\-yyyy"/>
    <numFmt numFmtId="167" formatCode="mmm\-yyyy"/>
    <numFmt numFmtId="168" formatCode="0"/>
    <numFmt numFmtId="169" formatCode="0.0"/>
    <numFmt numFmtId="170" formatCode="0.00"/>
    <numFmt numFmtId="171" formatCode="0.0000"/>
    <numFmt numFmtId="172" formatCode="#,##0"/>
    <numFmt numFmtId="173" formatCode="0.000%"/>
    <numFmt numFmtId="174" formatCode="dd\-mmm\-yy"/>
    <numFmt numFmtId="175" formatCode="0.00%"/>
    <numFmt numFmtId="176" formatCode="0.0000%"/>
    <numFmt numFmtId="177" formatCode="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3" min="3" style="0" width="80"/>
    <col collapsed="false" customWidth="true" hidden="false" outlineLevel="0" max="4" min="4" style="0" width="34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4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23.85" hidden="false" customHeight="false" outlineLevel="0" collapsed="false">
      <c r="A5" s="4" t="s">
        <v>6</v>
      </c>
      <c r="B5" s="4" t="s">
        <v>7</v>
      </c>
      <c r="C5" s="4" t="s">
        <v>8</v>
      </c>
      <c r="D5" s="4" t="s">
        <v>9</v>
      </c>
    </row>
    <row r="6" customFormat="false" ht="23.85" hidden="false" customHeight="false" outlineLevel="0" collapsed="false">
      <c r="A6" s="4" t="s">
        <v>10</v>
      </c>
      <c r="B6" s="4" t="s">
        <v>11</v>
      </c>
      <c r="C6" s="4" t="s">
        <v>8</v>
      </c>
      <c r="D6" s="4" t="s">
        <v>9</v>
      </c>
    </row>
    <row r="7" customFormat="false" ht="15" hidden="false" customHeight="false" outlineLevel="0" collapsed="false">
      <c r="A7" s="4" t="s">
        <v>12</v>
      </c>
      <c r="B7" s="4" t="s">
        <v>13</v>
      </c>
      <c r="C7" s="4" t="s">
        <v>14</v>
      </c>
      <c r="D7" s="4" t="s">
        <v>9</v>
      </c>
    </row>
    <row r="8" customFormat="false" ht="15" hidden="false" customHeight="false" outlineLevel="0" collapsed="false">
      <c r="A8" s="4" t="s">
        <v>15</v>
      </c>
      <c r="B8" s="4" t="s">
        <v>16</v>
      </c>
      <c r="C8" s="4" t="s">
        <v>17</v>
      </c>
      <c r="D8" s="4" t="s">
        <v>9</v>
      </c>
    </row>
    <row r="9" customFormat="false" ht="15" hidden="false" customHeight="false" outlineLevel="0" collapsed="false">
      <c r="A9" s="4" t="s">
        <v>18</v>
      </c>
      <c r="B9" s="4" t="s">
        <v>16</v>
      </c>
      <c r="C9" s="4" t="s">
        <v>17</v>
      </c>
      <c r="D9" s="4" t="s">
        <v>9</v>
      </c>
    </row>
    <row r="10" customFormat="false" ht="15" hidden="false" customHeight="false" outlineLevel="0" collapsed="false">
      <c r="A10" s="4" t="s">
        <v>19</v>
      </c>
      <c r="B10" s="4" t="s">
        <v>16</v>
      </c>
      <c r="C10" s="4" t="s">
        <v>20</v>
      </c>
      <c r="D10" s="4" t="s">
        <v>9</v>
      </c>
    </row>
    <row r="11" customFormat="false" ht="15" hidden="false" customHeight="false" outlineLevel="0" collapsed="false">
      <c r="A11" s="4" t="s">
        <v>21</v>
      </c>
      <c r="B11" s="4" t="s">
        <v>22</v>
      </c>
      <c r="C11" s="4" t="s">
        <v>23</v>
      </c>
      <c r="D11" s="4" t="s">
        <v>9</v>
      </c>
    </row>
    <row r="12" customFormat="false" ht="15" hidden="false" customHeight="false" outlineLevel="0" collapsed="false">
      <c r="A12" s="4" t="s">
        <v>24</v>
      </c>
      <c r="B12" s="4" t="s">
        <v>25</v>
      </c>
      <c r="C12" s="4" t="s">
        <v>26</v>
      </c>
      <c r="D12" s="4" t="s">
        <v>27</v>
      </c>
    </row>
    <row r="13" customFormat="false" ht="15" hidden="false" customHeight="false" outlineLevel="0" collapsed="false">
      <c r="A13" s="4" t="s">
        <v>28</v>
      </c>
      <c r="B13" s="4" t="s">
        <v>29</v>
      </c>
      <c r="C13" s="4" t="s">
        <v>30</v>
      </c>
      <c r="D13" s="4" t="s">
        <v>9</v>
      </c>
    </row>
    <row r="14" customFormat="false" ht="15" hidden="false" customHeight="false" outlineLevel="0" collapsed="false">
      <c r="A14" s="4" t="s">
        <v>31</v>
      </c>
      <c r="B14" s="4" t="s">
        <v>32</v>
      </c>
      <c r="C14" s="4" t="s">
        <v>33</v>
      </c>
      <c r="D14" s="4" t="s">
        <v>9</v>
      </c>
    </row>
    <row r="15" customFormat="false" ht="15" hidden="false" customHeight="false" outlineLevel="0" collapsed="false">
      <c r="A15" s="4" t="s">
        <v>34</v>
      </c>
      <c r="B15" s="4" t="s">
        <v>35</v>
      </c>
      <c r="C15" s="4" t="s">
        <v>33</v>
      </c>
      <c r="D15" s="4" t="s">
        <v>9</v>
      </c>
    </row>
    <row r="16" customFormat="false" ht="15" hidden="false" customHeight="false" outlineLevel="0" collapsed="false">
      <c r="A16" s="4" t="s">
        <v>36</v>
      </c>
      <c r="B16" s="4" t="s">
        <v>37</v>
      </c>
      <c r="C16" s="4" t="s">
        <v>38</v>
      </c>
      <c r="D16" s="4" t="s">
        <v>9</v>
      </c>
    </row>
    <row r="17" customFormat="false" ht="15" hidden="false" customHeight="false" outlineLevel="0" collapsed="false">
      <c r="A17" s="4" t="s">
        <v>39</v>
      </c>
      <c r="B17" s="4" t="s">
        <v>40</v>
      </c>
      <c r="C17" s="4" t="s">
        <v>41</v>
      </c>
      <c r="D17" s="4" t="s">
        <v>9</v>
      </c>
    </row>
    <row r="18" customFormat="false" ht="15" hidden="false" customHeight="false" outlineLevel="0" collapsed="false">
      <c r="A18" s="4" t="s">
        <v>42</v>
      </c>
      <c r="B18" s="4" t="s">
        <v>43</v>
      </c>
      <c r="C18" s="4" t="s">
        <v>44</v>
      </c>
      <c r="D18" s="4" t="s">
        <v>9</v>
      </c>
    </row>
    <row r="19" customFormat="false" ht="15" hidden="false" customHeight="false" outlineLevel="0" collapsed="false">
      <c r="A19" s="4" t="s">
        <v>45</v>
      </c>
      <c r="B19" s="4" t="s">
        <v>46</v>
      </c>
      <c r="C19" s="4" t="s">
        <v>47</v>
      </c>
      <c r="D19" s="4" t="s">
        <v>48</v>
      </c>
    </row>
    <row r="20" customFormat="false" ht="15" hidden="false" customHeight="false" outlineLevel="0" collapsed="false">
      <c r="A20" s="4" t="s">
        <v>49</v>
      </c>
      <c r="B20" s="4" t="s">
        <v>50</v>
      </c>
      <c r="C20" s="4" t="s">
        <v>51</v>
      </c>
      <c r="D20" s="4" t="s">
        <v>52</v>
      </c>
    </row>
    <row r="22" customFormat="false" ht="15" hidden="false" customHeight="false" outlineLevel="0" collapsed="false">
      <c r="A22" s="5" t="s">
        <v>53</v>
      </c>
    </row>
    <row r="23" customFormat="false" ht="15" hidden="false" customHeight="false" outlineLevel="0" collapsed="false">
      <c r="A23" s="5" t="s">
        <v>54</v>
      </c>
    </row>
    <row r="24" customFormat="false" ht="15" hidden="false" customHeight="false" outlineLevel="0" collapsed="false">
      <c r="A24" s="5" t="s">
        <v>55</v>
      </c>
    </row>
    <row r="25" customFormat="false" ht="15" hidden="false" customHeight="false" outlineLevel="0" collapsed="false">
      <c r="A25" s="5" t="s">
        <v>56</v>
      </c>
    </row>
    <row r="26" customFormat="false" ht="15" hidden="false" customHeight="false" outlineLevel="0" collapsed="false">
      <c r="A26" s="5" t="s">
        <v>57</v>
      </c>
    </row>
    <row r="27" customFormat="false" ht="15" hidden="false" customHeight="false" outlineLevel="0" collapsed="false">
      <c r="A27" s="5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6"/>
    <col collapsed="false" customWidth="true" hidden="false" outlineLevel="0" max="14" min="4" style="0" width="5"/>
    <col collapsed="false" customWidth="true" hidden="false" outlineLevel="0" max="16" min="15" style="0" width="8"/>
    <col collapsed="false" customWidth="true" hidden="false" outlineLevel="0" max="18" min="17" style="0" width="9"/>
    <col collapsed="false" customWidth="true" hidden="false" outlineLevel="0" max="19" min="19" style="0" width="2"/>
    <col collapsed="false" customWidth="true" hidden="false" outlineLevel="0" max="20" min="20" style="0" width="50"/>
    <col collapsed="false" customWidth="true" hidden="false" outlineLevel="0" max="22" min="21" style="0" width="13"/>
    <col collapsed="false" customWidth="true" hidden="false" outlineLevel="0" max="23" min="23" style="0" width="2"/>
    <col collapsed="false" customWidth="true" hidden="false" outlineLevel="0" max="24" min="24" style="0" width="10"/>
    <col collapsed="false" customWidth="true" hidden="false" outlineLevel="0" max="36" min="25" style="0" width="8"/>
  </cols>
  <sheetData>
    <row r="1" customFormat="false" ht="15" hidden="false" customHeight="false" outlineLevel="0" collapsed="false">
      <c r="A1" s="1" t="s">
        <v>59</v>
      </c>
    </row>
    <row r="2" customFormat="false" ht="15" hidden="false" customHeight="false" outlineLevel="0" collapsed="false">
      <c r="A2" s="2" t="s">
        <v>60</v>
      </c>
    </row>
    <row r="4" customFormat="false" ht="15" hidden="false" customHeight="false" outlineLevel="0" collapsed="false">
      <c r="A4" s="1" t="s">
        <v>61</v>
      </c>
      <c r="T4" s="6" t="s">
        <v>62</v>
      </c>
    </row>
    <row r="5" customFormat="false" ht="15" hidden="false" customHeight="false" outlineLevel="0" collapsed="false">
      <c r="A5" s="2" t="s">
        <v>63</v>
      </c>
      <c r="B5" s="7" t="n">
        <f aca="false">Y19</f>
        <v>0.77455038262497</v>
      </c>
      <c r="C5" s="7" t="n">
        <f aca="false">Y7</f>
        <v>-0.782801050301243</v>
      </c>
      <c r="D5" s="7" t="n">
        <f aca="false">Y8</f>
        <v>-0.36801906426397</v>
      </c>
      <c r="E5" s="7" t="n">
        <f aca="false">Y9</f>
        <v>0.930610495425464</v>
      </c>
      <c r="F5" s="7" t="n">
        <f aca="false">Y10</f>
        <v>-0.462449947561819</v>
      </c>
      <c r="G5" s="7" t="n">
        <f aca="false">Y11</f>
        <v>-0.946968955317054</v>
      </c>
      <c r="H5" s="7" t="n">
        <f aca="false">Y12</f>
        <v>-0.8475335735808</v>
      </c>
      <c r="I5" s="7" t="n">
        <f aca="false">Y13</f>
        <v>1.28494218989278</v>
      </c>
      <c r="J5" s="7" t="n">
        <f aca="false">Y14</f>
        <v>-0.390421828929842</v>
      </c>
      <c r="K5" s="7" t="n">
        <f aca="false">Y15</f>
        <v>-1.6018791230349</v>
      </c>
      <c r="L5" s="7" t="n">
        <f aca="false">Y16</f>
        <v>2.13769133819013</v>
      </c>
      <c r="M5" s="7" t="n">
        <f aca="false">Y17</f>
        <v>-0.715865044211212</v>
      </c>
      <c r="N5" s="7" t="n">
        <f aca="false">Y18</f>
        <v>-0.110900247605406</v>
      </c>
      <c r="T5" s="5" t="s">
        <v>64</v>
      </c>
      <c r="U5" s="8" t="n">
        <v>45260</v>
      </c>
      <c r="X5" s="9" t="s">
        <v>65</v>
      </c>
      <c r="Y5" s="10"/>
      <c r="Z5" s="10"/>
      <c r="AA5" s="10"/>
      <c r="AB5" s="10"/>
      <c r="AC5" s="10"/>
    </row>
    <row r="6" customFormat="false" ht="18" hidden="false" customHeight="true" outlineLevel="0" collapsed="false">
      <c r="A6" s="3" t="s">
        <v>66</v>
      </c>
      <c r="B6" s="3" t="s">
        <v>67</v>
      </c>
      <c r="C6" s="3" t="s">
        <v>68</v>
      </c>
      <c r="D6" s="3" t="s">
        <v>69</v>
      </c>
      <c r="E6" s="3" t="s">
        <v>70</v>
      </c>
      <c r="F6" s="3" t="s">
        <v>71</v>
      </c>
      <c r="G6" s="3" t="s">
        <v>72</v>
      </c>
      <c r="H6" s="3" t="s">
        <v>73</v>
      </c>
      <c r="I6" s="3" t="s">
        <v>74</v>
      </c>
      <c r="J6" s="3" t="s">
        <v>75</v>
      </c>
      <c r="K6" s="3" t="s">
        <v>76</v>
      </c>
      <c r="L6" s="3" t="s">
        <v>77</v>
      </c>
      <c r="M6" s="3" t="s">
        <v>78</v>
      </c>
      <c r="N6" s="3" t="s">
        <v>79</v>
      </c>
      <c r="O6" s="3" t="s">
        <v>80</v>
      </c>
      <c r="P6" s="3" t="s">
        <v>81</v>
      </c>
      <c r="Q6" s="3" t="s">
        <v>82</v>
      </c>
      <c r="T6" s="2" t="s">
        <v>83</v>
      </c>
      <c r="X6" s="3" t="s">
        <v>84</v>
      </c>
      <c r="Y6" s="3" t="s">
        <v>85</v>
      </c>
      <c r="Z6" s="3" t="s">
        <v>86</v>
      </c>
      <c r="AA6" s="3" t="s">
        <v>87</v>
      </c>
      <c r="AB6" s="3" t="s">
        <v>88</v>
      </c>
      <c r="AC6" s="3" t="s">
        <v>89</v>
      </c>
    </row>
    <row r="7" customFormat="false" ht="15" hidden="false" customHeight="false" outlineLevel="0" collapsed="false">
      <c r="A7" s="11" t="n">
        <f aca="false">Data_Monthly!A5</f>
        <v>44309</v>
      </c>
      <c r="B7" s="12" t="n">
        <f aca="false">Data_Monthly!J5</f>
        <v>-1.20002260107335</v>
      </c>
      <c r="C7" s="13" t="n">
        <f aca="false">IF($A7&gt;=$U$5,1,0)</f>
        <v>0</v>
      </c>
      <c r="D7" s="13" t="n">
        <f aca="false">IF(MONTH($A7)=2,1,0)</f>
        <v>0</v>
      </c>
      <c r="E7" s="13" t="n">
        <f aca="false">IF(MONTH($A7)=3,1,0)</f>
        <v>0</v>
      </c>
      <c r="F7" s="13" t="n">
        <f aca="false">IF(MONTH($A7)=4,1,0)</f>
        <v>1</v>
      </c>
      <c r="G7" s="13" t="n">
        <f aca="false">IF(MONTH($A7)=5,1,0)</f>
        <v>0</v>
      </c>
      <c r="H7" s="13" t="n">
        <f aca="false">IF(MONTH($A7)=6,1,0)</f>
        <v>0</v>
      </c>
      <c r="I7" s="13" t="n">
        <f aca="false">IF(MONTH($A7)=7,1,0)</f>
        <v>0</v>
      </c>
      <c r="J7" s="13" t="n">
        <f aca="false">IF(MONTH($A7)=8,1,0)</f>
        <v>0</v>
      </c>
      <c r="K7" s="13" t="n">
        <f aca="false">IF(MONTH($A7)=9,1,0)</f>
        <v>0</v>
      </c>
      <c r="L7" s="13" t="n">
        <f aca="false">IF(MONTH($A7)=10,1,0)</f>
        <v>0</v>
      </c>
      <c r="M7" s="13" t="n">
        <f aca="false">IF(MONTH($A7)=11,1,0)</f>
        <v>0</v>
      </c>
      <c r="N7" s="13" t="n">
        <f aca="false">IF(MONTH($A7)=12,1,0)</f>
        <v>0</v>
      </c>
      <c r="O7" s="7" t="n">
        <f aca="false">$B$5+SUMPRODUCT(C7:N7,$C$5:$N$5)</f>
        <v>0.312100435063151</v>
      </c>
      <c r="P7" s="7" t="n">
        <f aca="false">B7-O7</f>
        <v>-1.51212303613651</v>
      </c>
      <c r="Q7" s="7" t="n">
        <f aca="false">P7^2</f>
        <v>2.28651607641468</v>
      </c>
      <c r="T7" s="9" t="s">
        <v>90</v>
      </c>
      <c r="U7" s="14" t="s">
        <v>91</v>
      </c>
      <c r="V7" s="14" t="s">
        <v>92</v>
      </c>
      <c r="X7" s="5" t="s">
        <v>68</v>
      </c>
      <c r="Y7" s="7" t="n">
        <f aca="false">INDEX(LINEST(B7:B52,C7:N52,TRUE(),TRUE()),1,12)</f>
        <v>-0.782801050301243</v>
      </c>
      <c r="Z7" s="7" t="n">
        <f aca="false">INDEX(LINEST(B7:B52,C7:N52,TRUE(),TRUE()),2,12)</f>
        <v>0.416361168675314</v>
      </c>
      <c r="AA7" s="7" t="n">
        <f aca="false">Y7/Z7</f>
        <v>-1.88010100171394</v>
      </c>
      <c r="AB7" s="7" t="n">
        <f aca="false">_xlfn.T.DIST.2T(ABS(AA7),$U$35)</f>
        <v>0.0689463480625734</v>
      </c>
      <c r="AC7" s="7" t="n">
        <f aca="false">INDEX(MINVERSE($Y$23:$AJ$34),1,1)</f>
        <v>1.04347826086957</v>
      </c>
    </row>
    <row r="8" customFormat="false" ht="15" hidden="false" customHeight="false" outlineLevel="0" collapsed="false">
      <c r="A8" s="11" t="n">
        <f aca="false">Data_Monthly!A6</f>
        <v>44337</v>
      </c>
      <c r="B8" s="12" t="n">
        <f aca="false">Data_Monthly!J6</f>
        <v>-3.0574799451049</v>
      </c>
      <c r="C8" s="13" t="n">
        <f aca="false">IF($A8&gt;=$U$5,1,0)</f>
        <v>0</v>
      </c>
      <c r="D8" s="13" t="n">
        <f aca="false">IF(MONTH($A8)=2,1,0)</f>
        <v>0</v>
      </c>
      <c r="E8" s="13" t="n">
        <f aca="false">IF(MONTH($A8)=3,1,0)</f>
        <v>0</v>
      </c>
      <c r="F8" s="13" t="n">
        <f aca="false">IF(MONTH($A8)=4,1,0)</f>
        <v>0</v>
      </c>
      <c r="G8" s="13" t="n">
        <f aca="false">IF(MONTH($A8)=5,1,0)</f>
        <v>1</v>
      </c>
      <c r="H8" s="13" t="n">
        <f aca="false">IF(MONTH($A8)=6,1,0)</f>
        <v>0</v>
      </c>
      <c r="I8" s="13" t="n">
        <f aca="false">IF(MONTH($A8)=7,1,0)</f>
        <v>0</v>
      </c>
      <c r="J8" s="13" t="n">
        <f aca="false">IF(MONTH($A8)=8,1,0)</f>
        <v>0</v>
      </c>
      <c r="K8" s="13" t="n">
        <f aca="false">IF(MONTH($A8)=9,1,0)</f>
        <v>0</v>
      </c>
      <c r="L8" s="13" t="n">
        <f aca="false">IF(MONTH($A8)=10,1,0)</f>
        <v>0</v>
      </c>
      <c r="M8" s="13" t="n">
        <f aca="false">IF(MONTH($A8)=11,1,0)</f>
        <v>0</v>
      </c>
      <c r="N8" s="13" t="n">
        <f aca="false">IF(MONTH($A8)=12,1,0)</f>
        <v>0</v>
      </c>
      <c r="O8" s="7" t="n">
        <f aca="false">$B$5+SUMPRODUCT(C8:N8,$C$5:$N$5)</f>
        <v>-0.172418572692084</v>
      </c>
      <c r="P8" s="7" t="n">
        <f aca="false">B8-O8</f>
        <v>-2.88506137241282</v>
      </c>
      <c r="Q8" s="7" t="n">
        <f aca="false">P8^2</f>
        <v>8.32357912258853</v>
      </c>
      <c r="T8" s="5" t="s">
        <v>93</v>
      </c>
      <c r="U8" s="13" t="n">
        <f aca="false">COUNT(B7:B38)</f>
        <v>32</v>
      </c>
      <c r="V8" s="15" t="n">
        <v>32</v>
      </c>
      <c r="X8" s="5" t="s">
        <v>69</v>
      </c>
      <c r="Y8" s="7" t="n">
        <f aca="false">INDEX(LINEST(B7:B52,C7:N52,TRUE(),TRUE()),1,11)</f>
        <v>-0.36801906426397</v>
      </c>
      <c r="Z8" s="7" t="n">
        <f aca="false">INDEX(LINEST(B7:B52,C7:N52,TRUE(),TRUE()),2,11)</f>
        <v>0.973984580755668</v>
      </c>
      <c r="AA8" s="7" t="n">
        <f aca="false">Y8/Z8</f>
        <v>-0.377848963459402</v>
      </c>
      <c r="AB8" s="7" t="n">
        <f aca="false">_xlfn.T.DIST.2T(ABS(AA8),$U$35)</f>
        <v>0.707962353269058</v>
      </c>
      <c r="AC8" s="7" t="n">
        <f aca="false">INDEX(MINVERSE($Y$23:$AJ$34),2,2)</f>
        <v>1.64421583850932</v>
      </c>
    </row>
    <row r="9" customFormat="false" ht="15" hidden="false" customHeight="false" outlineLevel="0" collapsed="false">
      <c r="A9" s="11" t="n">
        <f aca="false">Data_Monthly!A7</f>
        <v>44365</v>
      </c>
      <c r="B9" s="12" t="n">
        <f aca="false">Data_Monthly!J7</f>
        <v>-0.915001288960404</v>
      </c>
      <c r="C9" s="13" t="n">
        <f aca="false">IF($A9&gt;=$U$5,1,0)</f>
        <v>0</v>
      </c>
      <c r="D9" s="13" t="n">
        <f aca="false">IF(MONTH($A9)=2,1,0)</f>
        <v>0</v>
      </c>
      <c r="E9" s="13" t="n">
        <f aca="false">IF(MONTH($A9)=3,1,0)</f>
        <v>0</v>
      </c>
      <c r="F9" s="13" t="n">
        <f aca="false">IF(MONTH($A9)=4,1,0)</f>
        <v>0</v>
      </c>
      <c r="G9" s="13" t="n">
        <f aca="false">IF(MONTH($A9)=5,1,0)</f>
        <v>0</v>
      </c>
      <c r="H9" s="13" t="n">
        <f aca="false">IF(MONTH($A9)=6,1,0)</f>
        <v>1</v>
      </c>
      <c r="I9" s="13" t="n">
        <f aca="false">IF(MONTH($A9)=7,1,0)</f>
        <v>0</v>
      </c>
      <c r="J9" s="13" t="n">
        <f aca="false">IF(MONTH($A9)=8,1,0)</f>
        <v>0</v>
      </c>
      <c r="K9" s="13" t="n">
        <f aca="false">IF(MONTH($A9)=9,1,0)</f>
        <v>0</v>
      </c>
      <c r="L9" s="13" t="n">
        <f aca="false">IF(MONTH($A9)=10,1,0)</f>
        <v>0</v>
      </c>
      <c r="M9" s="13" t="n">
        <f aca="false">IF(MONTH($A9)=11,1,0)</f>
        <v>0</v>
      </c>
      <c r="N9" s="13" t="n">
        <f aca="false">IF(MONTH($A9)=12,1,0)</f>
        <v>0</v>
      </c>
      <c r="O9" s="7" t="n">
        <f aca="false">$B$5+SUMPRODUCT(C9:N9,$C$5:$N$5)</f>
        <v>-0.0729831909558306</v>
      </c>
      <c r="P9" s="7" t="n">
        <f aca="false">B9-O9</f>
        <v>-0.842018098004574</v>
      </c>
      <c r="Q9" s="7" t="n">
        <f aca="false">P9^2</f>
        <v>0.70899447736724</v>
      </c>
      <c r="T9" s="5" t="s">
        <v>94</v>
      </c>
      <c r="U9" s="13" t="n">
        <f aca="false">COUNT(B39:B52)</f>
        <v>14</v>
      </c>
      <c r="V9" s="15" t="n">
        <v>14</v>
      </c>
      <c r="X9" s="5" t="s">
        <v>70</v>
      </c>
      <c r="Y9" s="7" t="n">
        <f aca="false">INDEX(LINEST(B7:B52,C7:N52,TRUE(),TRUE()),1,10)</f>
        <v>0.930610495425464</v>
      </c>
      <c r="Z9" s="7" t="n">
        <f aca="false">INDEX(LINEST(B7:B52,C7:N52,TRUE(),TRUE()),2,10)</f>
        <v>0.973984580755668</v>
      </c>
      <c r="AA9" s="7" t="n">
        <f aca="false">Y9/Z9</f>
        <v>0.955467379887521</v>
      </c>
      <c r="AB9" s="7" t="n">
        <f aca="false">_xlfn.T.DIST.2T(ABS(AA9),$U$35)</f>
        <v>0.346288802161001</v>
      </c>
      <c r="AC9" s="7" t="n">
        <f aca="false">INDEX(MINVERSE($Y$23:$AJ$34),3,3)</f>
        <v>1.64421583850932</v>
      </c>
    </row>
    <row r="10" customFormat="false" ht="15" hidden="false" customHeight="false" outlineLevel="0" collapsed="false">
      <c r="A10" s="11" t="n">
        <f aca="false">Data_Monthly!A8</f>
        <v>44407</v>
      </c>
      <c r="B10" s="12" t="n">
        <f aca="false">Data_Monthly!J8</f>
        <v>4.88027680938113</v>
      </c>
      <c r="C10" s="13" t="n">
        <f aca="false">IF($A10&gt;=$U$5,1,0)</f>
        <v>0</v>
      </c>
      <c r="D10" s="13" t="n">
        <f aca="false">IF(MONTH($A10)=2,1,0)</f>
        <v>0</v>
      </c>
      <c r="E10" s="13" t="n">
        <f aca="false">IF(MONTH($A10)=3,1,0)</f>
        <v>0</v>
      </c>
      <c r="F10" s="13" t="n">
        <f aca="false">IF(MONTH($A10)=4,1,0)</f>
        <v>0</v>
      </c>
      <c r="G10" s="13" t="n">
        <f aca="false">IF(MONTH($A10)=5,1,0)</f>
        <v>0</v>
      </c>
      <c r="H10" s="13" t="n">
        <f aca="false">IF(MONTH($A10)=6,1,0)</f>
        <v>0</v>
      </c>
      <c r="I10" s="13" t="n">
        <f aca="false">IF(MONTH($A10)=7,1,0)</f>
        <v>1</v>
      </c>
      <c r="J10" s="13" t="n">
        <f aca="false">IF(MONTH($A10)=8,1,0)</f>
        <v>0</v>
      </c>
      <c r="K10" s="13" t="n">
        <f aca="false">IF(MONTH($A10)=9,1,0)</f>
        <v>0</v>
      </c>
      <c r="L10" s="13" t="n">
        <f aca="false">IF(MONTH($A10)=10,1,0)</f>
        <v>0</v>
      </c>
      <c r="M10" s="13" t="n">
        <f aca="false">IF(MONTH($A10)=11,1,0)</f>
        <v>0</v>
      </c>
      <c r="N10" s="13" t="n">
        <f aca="false">IF(MONTH($A10)=12,1,0)</f>
        <v>0</v>
      </c>
      <c r="O10" s="7" t="n">
        <f aca="false">$B$5+SUMPRODUCT(C10:N10,$C$5:$N$5)</f>
        <v>2.05949257251775</v>
      </c>
      <c r="P10" s="7" t="n">
        <f aca="false">B10-O10</f>
        <v>2.82078423686338</v>
      </c>
      <c r="Q10" s="7" t="n">
        <f aca="false">P10^2</f>
        <v>7.95682371093693</v>
      </c>
      <c r="T10" s="5" t="s">
        <v>95</v>
      </c>
      <c r="U10" s="7" t="n">
        <f aca="false">AVERAGE(B7:B38)</f>
        <v>0.658173118045409</v>
      </c>
      <c r="V10" s="16" t="n">
        <v>0.658173118045409</v>
      </c>
      <c r="X10" s="5" t="s">
        <v>71</v>
      </c>
      <c r="Y10" s="7" t="n">
        <f aca="false">INDEX(LINEST(B7:B52,C7:N52,TRUE(),TRUE()),1,9)</f>
        <v>-0.462449947561819</v>
      </c>
      <c r="Z10" s="7" t="n">
        <f aca="false">INDEX(LINEST(B7:B52,C7:N52,TRUE(),TRUE()),2,9)</f>
        <v>0.905445946426547</v>
      </c>
      <c r="AA10" s="7" t="n">
        <f aca="false">Y10/Z10</f>
        <v>-0.510742744375778</v>
      </c>
      <c r="AB10" s="7" t="n">
        <f aca="false">_xlfn.T.DIST.2T(ABS(AA10),$U$35)</f>
        <v>0.612931209580204</v>
      </c>
      <c r="AC10" s="7" t="n">
        <f aca="false">INDEX(MINVERSE($Y$23:$AJ$34),4,4)</f>
        <v>1.85054347826087</v>
      </c>
    </row>
    <row r="11" customFormat="false" ht="15" hidden="false" customHeight="false" outlineLevel="0" collapsed="false">
      <c r="A11" s="11" t="n">
        <f aca="false">Data_Monthly!A9</f>
        <v>44435</v>
      </c>
      <c r="B11" s="12" t="n">
        <f aca="false">Data_Monthly!J9</f>
        <v>1.33408020174303</v>
      </c>
      <c r="C11" s="13" t="n">
        <f aca="false">IF($A11&gt;=$U$5,1,0)</f>
        <v>0</v>
      </c>
      <c r="D11" s="13" t="n">
        <f aca="false">IF(MONTH($A11)=2,1,0)</f>
        <v>0</v>
      </c>
      <c r="E11" s="13" t="n">
        <f aca="false">IF(MONTH($A11)=3,1,0)</f>
        <v>0</v>
      </c>
      <c r="F11" s="13" t="n">
        <f aca="false">IF(MONTH($A11)=4,1,0)</f>
        <v>0</v>
      </c>
      <c r="G11" s="13" t="n">
        <f aca="false">IF(MONTH($A11)=5,1,0)</f>
        <v>0</v>
      </c>
      <c r="H11" s="13" t="n">
        <f aca="false">IF(MONTH($A11)=6,1,0)</f>
        <v>0</v>
      </c>
      <c r="I11" s="13" t="n">
        <f aca="false">IF(MONTH($A11)=7,1,0)</f>
        <v>0</v>
      </c>
      <c r="J11" s="13" t="n">
        <f aca="false">IF(MONTH($A11)=8,1,0)</f>
        <v>1</v>
      </c>
      <c r="K11" s="13" t="n">
        <f aca="false">IF(MONTH($A11)=9,1,0)</f>
        <v>0</v>
      </c>
      <c r="L11" s="13" t="n">
        <f aca="false">IF(MONTH($A11)=10,1,0)</f>
        <v>0</v>
      </c>
      <c r="M11" s="13" t="n">
        <f aca="false">IF(MONTH($A11)=11,1,0)</f>
        <v>0</v>
      </c>
      <c r="N11" s="13" t="n">
        <f aca="false">IF(MONTH($A11)=12,1,0)</f>
        <v>0</v>
      </c>
      <c r="O11" s="7" t="n">
        <f aca="false">$B$5+SUMPRODUCT(C11:N11,$C$5:$N$5)</f>
        <v>0.384128553695128</v>
      </c>
      <c r="P11" s="7" t="n">
        <f aca="false">B11-O11</f>
        <v>0.949951648047902</v>
      </c>
      <c r="Q11" s="7" t="n">
        <f aca="false">P11^2</f>
        <v>0.902408133628926</v>
      </c>
      <c r="T11" s="5" t="s">
        <v>96</v>
      </c>
      <c r="U11" s="7" t="n">
        <f aca="false">AVERAGE(B39:B52)</f>
        <v>-0.0940859540049891</v>
      </c>
      <c r="V11" s="16" t="n">
        <v>-0.0940859540049891</v>
      </c>
      <c r="X11" s="5" t="s">
        <v>72</v>
      </c>
      <c r="Y11" s="7" t="n">
        <f aca="false">INDEX(LINEST(B7:B52,C7:N52,TRUE(),TRUE()),1,8)</f>
        <v>-0.946968955317054</v>
      </c>
      <c r="Z11" s="7" t="n">
        <f aca="false">INDEX(LINEST(B7:B52,C7:N52,TRUE(),TRUE()),2,8)</f>
        <v>0.905445946426547</v>
      </c>
      <c r="AA11" s="7" t="n">
        <f aca="false">Y11/Z11</f>
        <v>-1.04585918027949</v>
      </c>
      <c r="AB11" s="7" t="n">
        <f aca="false">_xlfn.T.DIST.2T(ABS(AA11),$U$35)</f>
        <v>0.303226663909632</v>
      </c>
      <c r="AC11" s="7" t="n">
        <f aca="false">INDEX(MINVERSE($Y$23:$AJ$34),5,5)</f>
        <v>1.85054347826087</v>
      </c>
    </row>
    <row r="12" customFormat="false" ht="15" hidden="false" customHeight="false" outlineLevel="0" collapsed="false">
      <c r="A12" s="11" t="n">
        <f aca="false">Data_Monthly!A10</f>
        <v>44463</v>
      </c>
      <c r="B12" s="12" t="n">
        <f aca="false">Data_Monthly!J10</f>
        <v>-0.881834911805216</v>
      </c>
      <c r="C12" s="13" t="n">
        <f aca="false">IF($A12&gt;=$U$5,1,0)</f>
        <v>0</v>
      </c>
      <c r="D12" s="13" t="n">
        <f aca="false">IF(MONTH($A12)=2,1,0)</f>
        <v>0</v>
      </c>
      <c r="E12" s="13" t="n">
        <f aca="false">IF(MONTH($A12)=3,1,0)</f>
        <v>0</v>
      </c>
      <c r="F12" s="13" t="n">
        <f aca="false">IF(MONTH($A12)=4,1,0)</f>
        <v>0</v>
      </c>
      <c r="G12" s="13" t="n">
        <f aca="false">IF(MONTH($A12)=5,1,0)</f>
        <v>0</v>
      </c>
      <c r="H12" s="13" t="n">
        <f aca="false">IF(MONTH($A12)=6,1,0)</f>
        <v>0</v>
      </c>
      <c r="I12" s="13" t="n">
        <f aca="false">IF(MONTH($A12)=7,1,0)</f>
        <v>0</v>
      </c>
      <c r="J12" s="13" t="n">
        <f aca="false">IF(MONTH($A12)=8,1,0)</f>
        <v>0</v>
      </c>
      <c r="K12" s="13" t="n">
        <f aca="false">IF(MONTH($A12)=9,1,0)</f>
        <v>1</v>
      </c>
      <c r="L12" s="13" t="n">
        <f aca="false">IF(MONTH($A12)=10,1,0)</f>
        <v>0</v>
      </c>
      <c r="M12" s="13" t="n">
        <f aca="false">IF(MONTH($A12)=11,1,0)</f>
        <v>0</v>
      </c>
      <c r="N12" s="13" t="n">
        <f aca="false">IF(MONTH($A12)=12,1,0)</f>
        <v>0</v>
      </c>
      <c r="O12" s="7" t="n">
        <f aca="false">$B$5+SUMPRODUCT(C12:N12,$C$5:$N$5)</f>
        <v>-0.827328740409928</v>
      </c>
      <c r="P12" s="7" t="n">
        <f aca="false">B12-O12</f>
        <v>-0.0545061713952881</v>
      </c>
      <c r="Q12" s="7" t="n">
        <f aca="false">P12^2</f>
        <v>0.00297092272017253</v>
      </c>
      <c r="T12" s="5" t="s">
        <v>97</v>
      </c>
      <c r="U12" s="7" t="n">
        <f aca="false">_xlfn.STDEV.S(B7:B38)</f>
        <v>1.71061138990045</v>
      </c>
      <c r="V12" s="16" t="n">
        <v>1.71061138990045</v>
      </c>
      <c r="X12" s="5" t="s">
        <v>73</v>
      </c>
      <c r="Y12" s="7" t="n">
        <f aca="false">INDEX(LINEST(B7:B52,C7:N52,TRUE(),TRUE()),1,7)</f>
        <v>-0.8475335735808</v>
      </c>
      <c r="Z12" s="7" t="n">
        <f aca="false">INDEX(LINEST(B7:B52,C7:N52,TRUE(),TRUE()),2,7)</f>
        <v>0.905445946426547</v>
      </c>
      <c r="AA12" s="7" t="n">
        <f aca="false">Y12/Z12</f>
        <v>-0.936039944654559</v>
      </c>
      <c r="AB12" s="7" t="n">
        <f aca="false">_xlfn.T.DIST.2T(ABS(AA12),$U$35)</f>
        <v>0.356052549083934</v>
      </c>
      <c r="AC12" s="7" t="n">
        <f aca="false">INDEX(MINVERSE($Y$23:$AJ$34),6,6)</f>
        <v>1.85054347826087</v>
      </c>
    </row>
    <row r="13" customFormat="false" ht="15" hidden="false" customHeight="false" outlineLevel="0" collapsed="false">
      <c r="A13" s="11" t="n">
        <f aca="false">Data_Monthly!A11</f>
        <v>44491</v>
      </c>
      <c r="B13" s="12" t="n">
        <f aca="false">Data_Monthly!J11</f>
        <v>3.04752049579475</v>
      </c>
      <c r="C13" s="13" t="n">
        <f aca="false">IF($A13&gt;=$U$5,1,0)</f>
        <v>0</v>
      </c>
      <c r="D13" s="13" t="n">
        <f aca="false">IF(MONTH($A13)=2,1,0)</f>
        <v>0</v>
      </c>
      <c r="E13" s="13" t="n">
        <f aca="false">IF(MONTH($A13)=3,1,0)</f>
        <v>0</v>
      </c>
      <c r="F13" s="13" t="n">
        <f aca="false">IF(MONTH($A13)=4,1,0)</f>
        <v>0</v>
      </c>
      <c r="G13" s="13" t="n">
        <f aca="false">IF(MONTH($A13)=5,1,0)</f>
        <v>0</v>
      </c>
      <c r="H13" s="13" t="n">
        <f aca="false">IF(MONTH($A13)=6,1,0)</f>
        <v>0</v>
      </c>
      <c r="I13" s="13" t="n">
        <f aca="false">IF(MONTH($A13)=7,1,0)</f>
        <v>0</v>
      </c>
      <c r="J13" s="13" t="n">
        <f aca="false">IF(MONTH($A13)=8,1,0)</f>
        <v>0</v>
      </c>
      <c r="K13" s="13" t="n">
        <f aca="false">IF(MONTH($A13)=9,1,0)</f>
        <v>0</v>
      </c>
      <c r="L13" s="13" t="n">
        <f aca="false">IF(MONTH($A13)=10,1,0)</f>
        <v>1</v>
      </c>
      <c r="M13" s="13" t="n">
        <f aca="false">IF(MONTH($A13)=11,1,0)</f>
        <v>0</v>
      </c>
      <c r="N13" s="13" t="n">
        <f aca="false">IF(MONTH($A13)=12,1,0)</f>
        <v>0</v>
      </c>
      <c r="O13" s="7" t="n">
        <f aca="false">$B$5+SUMPRODUCT(C13:N13,$C$5:$N$5)</f>
        <v>2.9122417208151</v>
      </c>
      <c r="P13" s="7" t="n">
        <f aca="false">B13-O13</f>
        <v>0.135278774979651</v>
      </c>
      <c r="Q13" s="7" t="n">
        <f aca="false">P13^2</f>
        <v>0.018300346959995</v>
      </c>
      <c r="T13" s="5" t="s">
        <v>98</v>
      </c>
      <c r="U13" s="7" t="n">
        <f aca="false">_xlfn.STDEV.S(B39:B52)</f>
        <v>0.891045693800245</v>
      </c>
      <c r="V13" s="16" t="n">
        <v>0.891045693800245</v>
      </c>
      <c r="X13" s="5" t="s">
        <v>74</v>
      </c>
      <c r="Y13" s="7" t="n">
        <f aca="false">INDEX(LINEST(B7:B52,C7:N52,TRUE(),TRUE()),1,6)</f>
        <v>1.28494218989278</v>
      </c>
      <c r="Z13" s="7" t="n">
        <f aca="false">INDEX(LINEST(B7:B52,C7:N52,TRUE(),TRUE()),2,6)</f>
        <v>0.905445946426547</v>
      </c>
      <c r="AA13" s="7" t="n">
        <f aca="false">Y13/Z13</f>
        <v>1.41912633765048</v>
      </c>
      <c r="AB13" s="7" t="n">
        <f aca="false">_xlfn.T.DIST.2T(ABS(AA13),$U$35)</f>
        <v>0.165239222342597</v>
      </c>
      <c r="AC13" s="7" t="n">
        <f aca="false">INDEX(MINVERSE($Y$23:$AJ$34),7,7)</f>
        <v>1.85054347826087</v>
      </c>
    </row>
    <row r="14" customFormat="false" ht="15" hidden="false" customHeight="false" outlineLevel="0" collapsed="false">
      <c r="A14" s="11" t="n">
        <f aca="false">Data_Monthly!A12</f>
        <v>44519</v>
      </c>
      <c r="B14" s="12" t="n">
        <f aca="false">Data_Monthly!J12</f>
        <v>0.223175697028447</v>
      </c>
      <c r="C14" s="13" t="n">
        <f aca="false">IF($A14&gt;=$U$5,1,0)</f>
        <v>0</v>
      </c>
      <c r="D14" s="13" t="n">
        <f aca="false">IF(MONTH($A14)=2,1,0)</f>
        <v>0</v>
      </c>
      <c r="E14" s="13" t="n">
        <f aca="false">IF(MONTH($A14)=3,1,0)</f>
        <v>0</v>
      </c>
      <c r="F14" s="13" t="n">
        <f aca="false">IF(MONTH($A14)=4,1,0)</f>
        <v>0</v>
      </c>
      <c r="G14" s="13" t="n">
        <f aca="false">IF(MONTH($A14)=5,1,0)</f>
        <v>0</v>
      </c>
      <c r="H14" s="13" t="n">
        <f aca="false">IF(MONTH($A14)=6,1,0)</f>
        <v>0</v>
      </c>
      <c r="I14" s="13" t="n">
        <f aca="false">IF(MONTH($A14)=7,1,0)</f>
        <v>0</v>
      </c>
      <c r="J14" s="13" t="n">
        <f aca="false">IF(MONTH($A14)=8,1,0)</f>
        <v>0</v>
      </c>
      <c r="K14" s="13" t="n">
        <f aca="false">IF(MONTH($A14)=9,1,0)</f>
        <v>0</v>
      </c>
      <c r="L14" s="13" t="n">
        <f aca="false">IF(MONTH($A14)=10,1,0)</f>
        <v>0</v>
      </c>
      <c r="M14" s="13" t="n">
        <f aca="false">IF(MONTH($A14)=11,1,0)</f>
        <v>1</v>
      </c>
      <c r="N14" s="13" t="n">
        <f aca="false">IF(MONTH($A14)=12,1,0)</f>
        <v>0</v>
      </c>
      <c r="O14" s="7" t="n">
        <f aca="false">$B$5+SUMPRODUCT(C14:N14,$C$5:$N$5)</f>
        <v>0.0586853384137579</v>
      </c>
      <c r="P14" s="7" t="n">
        <f aca="false">B14-O14</f>
        <v>0.164490358614689</v>
      </c>
      <c r="Q14" s="7" t="n">
        <f aca="false">P14^2</f>
        <v>0.0270570780771891</v>
      </c>
      <c r="T14" s="5" t="s">
        <v>99</v>
      </c>
      <c r="U14" s="7" t="n">
        <f aca="false">$U$11-$U$10</f>
        <v>-0.752259072050398</v>
      </c>
      <c r="V14" s="16" t="n">
        <v>-0.752259072050398</v>
      </c>
      <c r="X14" s="5" t="s">
        <v>75</v>
      </c>
      <c r="Y14" s="7" t="n">
        <f aca="false">INDEX(LINEST(B7:B52,C7:N52,TRUE(),TRUE()),1,5)</f>
        <v>-0.390421828929842</v>
      </c>
      <c r="Z14" s="7" t="n">
        <f aca="false">INDEX(LINEST(B7:B52,C7:N52,TRUE(),TRUE()),2,5)</f>
        <v>0.905445946426547</v>
      </c>
      <c r="AA14" s="7" t="n">
        <f aca="false">Y14/Z14</f>
        <v>-0.431192861893843</v>
      </c>
      <c r="AB14" s="7" t="n">
        <f aca="false">_xlfn.T.DIST.2T(ABS(AA14),$U$35)</f>
        <v>0.66913192894242</v>
      </c>
      <c r="AC14" s="7" t="n">
        <f aca="false">INDEX(MINVERSE($Y$23:$AJ$34),8,8)</f>
        <v>1.85054347826087</v>
      </c>
    </row>
    <row r="15" customFormat="false" ht="15" hidden="false" customHeight="false" outlineLevel="0" collapsed="false">
      <c r="A15" s="11" t="n">
        <f aca="false">Data_Monthly!A13</f>
        <v>44561</v>
      </c>
      <c r="B15" s="12" t="n">
        <f aca="false">Data_Monthly!J13</f>
        <v>0.551112093808145</v>
      </c>
      <c r="C15" s="13" t="n">
        <f aca="false">IF($A15&gt;=$U$5,1,0)</f>
        <v>0</v>
      </c>
      <c r="D15" s="13" t="n">
        <f aca="false">IF(MONTH($A15)=2,1,0)</f>
        <v>0</v>
      </c>
      <c r="E15" s="13" t="n">
        <f aca="false">IF(MONTH($A15)=3,1,0)</f>
        <v>0</v>
      </c>
      <c r="F15" s="13" t="n">
        <f aca="false">IF(MONTH($A15)=4,1,0)</f>
        <v>0</v>
      </c>
      <c r="G15" s="13" t="n">
        <f aca="false">IF(MONTH($A15)=5,1,0)</f>
        <v>0</v>
      </c>
      <c r="H15" s="13" t="n">
        <f aca="false">IF(MONTH($A15)=6,1,0)</f>
        <v>0</v>
      </c>
      <c r="I15" s="13" t="n">
        <f aca="false">IF(MONTH($A15)=7,1,0)</f>
        <v>0</v>
      </c>
      <c r="J15" s="13" t="n">
        <f aca="false">IF(MONTH($A15)=8,1,0)</f>
        <v>0</v>
      </c>
      <c r="K15" s="13" t="n">
        <f aca="false">IF(MONTH($A15)=9,1,0)</f>
        <v>0</v>
      </c>
      <c r="L15" s="13" t="n">
        <f aca="false">IF(MONTH($A15)=10,1,0)</f>
        <v>0</v>
      </c>
      <c r="M15" s="13" t="n">
        <f aca="false">IF(MONTH($A15)=11,1,0)</f>
        <v>0</v>
      </c>
      <c r="N15" s="13" t="n">
        <f aca="false">IF(MONTH($A15)=12,1,0)</f>
        <v>1</v>
      </c>
      <c r="O15" s="7" t="n">
        <f aca="false">$B$5+SUMPRODUCT(C15:N15,$C$5:$N$5)</f>
        <v>0.663650135019564</v>
      </c>
      <c r="P15" s="7" t="n">
        <f aca="false">B15-O15</f>
        <v>-0.11253804121142</v>
      </c>
      <c r="Q15" s="7" t="n">
        <f aca="false">P15^2</f>
        <v>0.0126648107197032</v>
      </c>
      <c r="T15" s="5" t="s">
        <v>100</v>
      </c>
      <c r="U15" s="7" t="n">
        <f aca="false">12*$U$14</f>
        <v>-9.02710886460477</v>
      </c>
      <c r="V15" s="16" t="n">
        <v>-9.02710886460477</v>
      </c>
      <c r="X15" s="5" t="s">
        <v>76</v>
      </c>
      <c r="Y15" s="7" t="n">
        <f aca="false">INDEX(LINEST(B7:B52,C7:N52,TRUE(),TRUE()),1,4)</f>
        <v>-1.6018791230349</v>
      </c>
      <c r="Z15" s="7" t="n">
        <f aca="false">INDEX(LINEST(B7:B52,C7:N52,TRUE(),TRUE()),2,4)</f>
        <v>0.905445946426547</v>
      </c>
      <c r="AA15" s="7" t="n">
        <f aca="false">Y15/Z15</f>
        <v>-1.76916041134969</v>
      </c>
      <c r="AB15" s="7" t="n">
        <f aca="false">_xlfn.T.DIST.2T(ABS(AA15),$U$35)</f>
        <v>0.0861092934370461</v>
      </c>
      <c r="AC15" s="7" t="n">
        <f aca="false">INDEX(MINVERSE($Y$23:$AJ$34),9,9)</f>
        <v>1.85054347826087</v>
      </c>
    </row>
    <row r="16" customFormat="false" ht="15" hidden="false" customHeight="false" outlineLevel="0" collapsed="false">
      <c r="A16" s="11" t="n">
        <f aca="false">Data_Monthly!A14</f>
        <v>44589</v>
      </c>
      <c r="B16" s="12" t="n">
        <f aca="false">Data_Monthly!J14</f>
        <v>-0.440456063167271</v>
      </c>
      <c r="C16" s="13" t="n">
        <f aca="false">IF($A16&gt;=$U$5,1,0)</f>
        <v>0</v>
      </c>
      <c r="D16" s="13" t="n">
        <f aca="false">IF(MONTH($A16)=2,1,0)</f>
        <v>0</v>
      </c>
      <c r="E16" s="13" t="n">
        <f aca="false">IF(MONTH($A16)=3,1,0)</f>
        <v>0</v>
      </c>
      <c r="F16" s="13" t="n">
        <f aca="false">IF(MONTH($A16)=4,1,0)</f>
        <v>0</v>
      </c>
      <c r="G16" s="13" t="n">
        <f aca="false">IF(MONTH($A16)=5,1,0)</f>
        <v>0</v>
      </c>
      <c r="H16" s="13" t="n">
        <f aca="false">IF(MONTH($A16)=6,1,0)</f>
        <v>0</v>
      </c>
      <c r="I16" s="13" t="n">
        <f aca="false">IF(MONTH($A16)=7,1,0)</f>
        <v>0</v>
      </c>
      <c r="J16" s="13" t="n">
        <f aca="false">IF(MONTH($A16)=8,1,0)</f>
        <v>0</v>
      </c>
      <c r="K16" s="13" t="n">
        <f aca="false">IF(MONTH($A16)=9,1,0)</f>
        <v>0</v>
      </c>
      <c r="L16" s="13" t="n">
        <f aca="false">IF(MONTH($A16)=10,1,0)</f>
        <v>0</v>
      </c>
      <c r="M16" s="13" t="n">
        <f aca="false">IF(MONTH($A16)=11,1,0)</f>
        <v>0</v>
      </c>
      <c r="N16" s="13" t="n">
        <f aca="false">IF(MONTH($A16)=12,1,0)</f>
        <v>0</v>
      </c>
      <c r="O16" s="7" t="n">
        <f aca="false">$B$5+SUMPRODUCT(C16:N16,$C$5:$N$5)</f>
        <v>0.77455038262497</v>
      </c>
      <c r="P16" s="7" t="n">
        <f aca="false">B16-O16</f>
        <v>-1.21500644579224</v>
      </c>
      <c r="Q16" s="7" t="n">
        <f aca="false">P16^2</f>
        <v>1.47624066331669</v>
      </c>
      <c r="T16" s="5" t="s">
        <v>101</v>
      </c>
      <c r="U16" s="7" t="n">
        <f aca="false">SQRT($U$13^2/$U$9+$U$12^2/$U$8)</f>
        <v>0.384909185403794</v>
      </c>
      <c r="X16" s="5" t="s">
        <v>77</v>
      </c>
      <c r="Y16" s="7" t="n">
        <f aca="false">INDEX(LINEST(B7:B52,C7:N52,TRUE(),TRUE()),1,3)</f>
        <v>2.13769133819013</v>
      </c>
      <c r="Z16" s="7" t="n">
        <f aca="false">INDEX(LINEST(B7:B52,C7:N52,TRUE(),TRUE()),2,3)</f>
        <v>0.905445946426547</v>
      </c>
      <c r="AA16" s="7" t="n">
        <f aca="false">Y16/Z16</f>
        <v>2.36092650988918</v>
      </c>
      <c r="AB16" s="7" t="n">
        <f aca="false">_xlfn.T.DIST.2T(ABS(AA16),$U$35)</f>
        <v>0.0242887247417232</v>
      </c>
      <c r="AC16" s="7" t="n">
        <f aca="false">INDEX(MINVERSE($Y$23:$AJ$34),10,10)</f>
        <v>1.85054347826087</v>
      </c>
    </row>
    <row r="17" customFormat="false" ht="15" hidden="false" customHeight="false" outlineLevel="0" collapsed="false">
      <c r="A17" s="11" t="n">
        <f aca="false">Data_Monthly!A15</f>
        <v>44617</v>
      </c>
      <c r="B17" s="12" t="n">
        <f aca="false">Data_Monthly!J15</f>
        <v>0.446682007177657</v>
      </c>
      <c r="C17" s="13" t="n">
        <f aca="false">IF($A17&gt;=$U$5,1,0)</f>
        <v>0</v>
      </c>
      <c r="D17" s="13" t="n">
        <f aca="false">IF(MONTH($A17)=2,1,0)</f>
        <v>1</v>
      </c>
      <c r="E17" s="13" t="n">
        <f aca="false">IF(MONTH($A17)=3,1,0)</f>
        <v>0</v>
      </c>
      <c r="F17" s="13" t="n">
        <f aca="false">IF(MONTH($A17)=4,1,0)</f>
        <v>0</v>
      </c>
      <c r="G17" s="13" t="n">
        <f aca="false">IF(MONTH($A17)=5,1,0)</f>
        <v>0</v>
      </c>
      <c r="H17" s="13" t="n">
        <f aca="false">IF(MONTH($A17)=6,1,0)</f>
        <v>0</v>
      </c>
      <c r="I17" s="13" t="n">
        <f aca="false">IF(MONTH($A17)=7,1,0)</f>
        <v>0</v>
      </c>
      <c r="J17" s="13" t="n">
        <f aca="false">IF(MONTH($A17)=8,1,0)</f>
        <v>0</v>
      </c>
      <c r="K17" s="13" t="n">
        <f aca="false">IF(MONTH($A17)=9,1,0)</f>
        <v>0</v>
      </c>
      <c r="L17" s="13" t="n">
        <f aca="false">IF(MONTH($A17)=10,1,0)</f>
        <v>0</v>
      </c>
      <c r="M17" s="13" t="n">
        <f aca="false">IF(MONTH($A17)=11,1,0)</f>
        <v>0</v>
      </c>
      <c r="N17" s="13" t="n">
        <f aca="false">IF(MONTH($A17)=12,1,0)</f>
        <v>0</v>
      </c>
      <c r="O17" s="7" t="n">
        <f aca="false">$B$5+SUMPRODUCT(C17:N17,$C$5:$N$5)</f>
        <v>0.406531318361</v>
      </c>
      <c r="P17" s="7" t="n">
        <f aca="false">B17-O17</f>
        <v>0.0401506888166566</v>
      </c>
      <c r="Q17" s="7" t="n">
        <f aca="false">P17^2</f>
        <v>0.00161207781245199</v>
      </c>
      <c r="T17" s="5" t="s">
        <v>102</v>
      </c>
      <c r="U17" s="7" t="n">
        <f aca="false">$U$14/$U$16</f>
        <v>-1.95438067101784</v>
      </c>
      <c r="V17" s="16" t="n">
        <v>-1.95438067101784</v>
      </c>
      <c r="X17" s="5" t="s">
        <v>78</v>
      </c>
      <c r="Y17" s="7" t="n">
        <f aca="false">INDEX(LINEST(B7:B52,C7:N52,TRUE(),TRUE()),1,2)</f>
        <v>-0.715865044211212</v>
      </c>
      <c r="Z17" s="7" t="n">
        <f aca="false">INDEX(LINEST(B7:B52,C7:N52,TRUE(),TRUE()),2,2)</f>
        <v>0.905445946426547</v>
      </c>
      <c r="AA17" s="7" t="n">
        <f aca="false">Y17/Z17</f>
        <v>-0.790621513118989</v>
      </c>
      <c r="AB17" s="7" t="n">
        <f aca="false">_xlfn.T.DIST.2T(ABS(AA17),$U$35)</f>
        <v>0.434810249921294</v>
      </c>
      <c r="AC17" s="7" t="n">
        <f aca="false">INDEX(MINVERSE($Y$23:$AJ$34),11,11)</f>
        <v>1.85054347826087</v>
      </c>
    </row>
    <row r="18" customFormat="false" ht="15" hidden="false" customHeight="false" outlineLevel="0" collapsed="false">
      <c r="A18" s="11" t="n">
        <f aca="false">Data_Monthly!A16</f>
        <v>44645</v>
      </c>
      <c r="B18" s="12" t="n">
        <f aca="false">Data_Monthly!J16</f>
        <v>1.84469729850623</v>
      </c>
      <c r="C18" s="13" t="n">
        <f aca="false">IF($A18&gt;=$U$5,1,0)</f>
        <v>0</v>
      </c>
      <c r="D18" s="13" t="n">
        <f aca="false">IF(MONTH($A18)=2,1,0)</f>
        <v>0</v>
      </c>
      <c r="E18" s="13" t="n">
        <f aca="false">IF(MONTH($A18)=3,1,0)</f>
        <v>1</v>
      </c>
      <c r="F18" s="13" t="n">
        <f aca="false">IF(MONTH($A18)=4,1,0)</f>
        <v>0</v>
      </c>
      <c r="G18" s="13" t="n">
        <f aca="false">IF(MONTH($A18)=5,1,0)</f>
        <v>0</v>
      </c>
      <c r="H18" s="13" t="n">
        <f aca="false">IF(MONTH($A18)=6,1,0)</f>
        <v>0</v>
      </c>
      <c r="I18" s="13" t="n">
        <f aca="false">IF(MONTH($A18)=7,1,0)</f>
        <v>0</v>
      </c>
      <c r="J18" s="13" t="n">
        <f aca="false">IF(MONTH($A18)=8,1,0)</f>
        <v>0</v>
      </c>
      <c r="K18" s="13" t="n">
        <f aca="false">IF(MONTH($A18)=9,1,0)</f>
        <v>0</v>
      </c>
      <c r="L18" s="13" t="n">
        <f aca="false">IF(MONTH($A18)=10,1,0)</f>
        <v>0</v>
      </c>
      <c r="M18" s="13" t="n">
        <f aca="false">IF(MONTH($A18)=11,1,0)</f>
        <v>0</v>
      </c>
      <c r="N18" s="13" t="n">
        <f aca="false">IF(MONTH($A18)=12,1,0)</f>
        <v>0</v>
      </c>
      <c r="O18" s="7" t="n">
        <f aca="false">$B$5+SUMPRODUCT(C18:N18,$C$5:$N$5)</f>
        <v>1.70516087805043</v>
      </c>
      <c r="P18" s="7" t="n">
        <f aca="false">B18-O18</f>
        <v>0.139536420455793</v>
      </c>
      <c r="Q18" s="7" t="n">
        <f aca="false">P18^2</f>
        <v>0.0194704126336157</v>
      </c>
      <c r="T18" s="5" t="s">
        <v>103</v>
      </c>
      <c r="U18" s="17" t="n">
        <f aca="false">(($U$13^2/$U$9)+($U$12^2/$U$8))^2/(($U$13^2/$U$9)^2/($U$9-1)+($U$12^2/$U$8)^2/($U$8-1))</f>
        <v>42.4448898944924</v>
      </c>
      <c r="V18" s="18" t="n">
        <v>42.4448898944924</v>
      </c>
      <c r="X18" s="5" t="s">
        <v>79</v>
      </c>
      <c r="Y18" s="7" t="n">
        <f aca="false">INDEX(LINEST(B7:B52,C7:N52,TRUE(),TRUE()),1,1)</f>
        <v>-0.110900247605406</v>
      </c>
      <c r="Z18" s="7" t="n">
        <f aca="false">INDEX(LINEST(B7:B52,C7:N52,TRUE(),TRUE()),2,1)</f>
        <v>0.899442923690255</v>
      </c>
      <c r="AA18" s="7" t="n">
        <f aca="false">Y18/Z18</f>
        <v>-0.123298816060947</v>
      </c>
      <c r="AB18" s="7" t="n">
        <f aca="false">_xlfn.T.DIST.2T(ABS(AA18),$U$35)</f>
        <v>0.902618389094023</v>
      </c>
      <c r="AC18" s="7" t="n">
        <f aca="false">INDEX(MINVERSE($Y$23:$AJ$34),12,12)</f>
        <v>1.82608695652174</v>
      </c>
    </row>
    <row r="19" customFormat="false" ht="15" hidden="false" customHeight="false" outlineLevel="0" collapsed="false">
      <c r="A19" s="11" t="n">
        <f aca="false">Data_Monthly!A17</f>
        <v>44673</v>
      </c>
      <c r="B19" s="12" t="n">
        <f aca="false">Data_Monthly!J17</f>
        <v>2.20658409870502</v>
      </c>
      <c r="C19" s="13" t="n">
        <f aca="false">IF($A19&gt;=$U$5,1,0)</f>
        <v>0</v>
      </c>
      <c r="D19" s="13" t="n">
        <f aca="false">IF(MONTH($A19)=2,1,0)</f>
        <v>0</v>
      </c>
      <c r="E19" s="13" t="n">
        <f aca="false">IF(MONTH($A19)=3,1,0)</f>
        <v>0</v>
      </c>
      <c r="F19" s="13" t="n">
        <f aca="false">IF(MONTH($A19)=4,1,0)</f>
        <v>1</v>
      </c>
      <c r="G19" s="13" t="n">
        <f aca="false">IF(MONTH($A19)=5,1,0)</f>
        <v>0</v>
      </c>
      <c r="H19" s="13" t="n">
        <f aca="false">IF(MONTH($A19)=6,1,0)</f>
        <v>0</v>
      </c>
      <c r="I19" s="13" t="n">
        <f aca="false">IF(MONTH($A19)=7,1,0)</f>
        <v>0</v>
      </c>
      <c r="J19" s="13" t="n">
        <f aca="false">IF(MONTH($A19)=8,1,0)</f>
        <v>0</v>
      </c>
      <c r="K19" s="13" t="n">
        <f aca="false">IF(MONTH($A19)=9,1,0)</f>
        <v>0</v>
      </c>
      <c r="L19" s="13" t="n">
        <f aca="false">IF(MONTH($A19)=10,1,0)</f>
        <v>0</v>
      </c>
      <c r="M19" s="13" t="n">
        <f aca="false">IF(MONTH($A19)=11,1,0)</f>
        <v>0</v>
      </c>
      <c r="N19" s="13" t="n">
        <f aca="false">IF(MONTH($A19)=12,1,0)</f>
        <v>0</v>
      </c>
      <c r="O19" s="7" t="n">
        <f aca="false">$B$5+SUMPRODUCT(C19:N19,$C$5:$N$5)</f>
        <v>0.312100435063151</v>
      </c>
      <c r="P19" s="7" t="n">
        <f aca="false">B19-O19</f>
        <v>1.89448366364187</v>
      </c>
      <c r="Q19" s="7" t="n">
        <f aca="false">P19^2</f>
        <v>3.58906835180593</v>
      </c>
      <c r="T19" s="5" t="s">
        <v>104</v>
      </c>
      <c r="U19" s="7" t="n">
        <f aca="false">_xlfn.T.TEST(B39:B52,B7:B38,2,3)</f>
        <v>0.0572647019788663</v>
      </c>
      <c r="V19" s="16" t="n">
        <v>0.0572647019788665</v>
      </c>
      <c r="X19" s="5" t="s">
        <v>105</v>
      </c>
      <c r="Y19" s="7" t="n">
        <f aca="false">INDEX(LINEST(B7:B52,C7:N52,TRUE(),TRUE()),1,13)</f>
        <v>0.77455038262497</v>
      </c>
      <c r="Z19" s="7" t="n">
        <f aca="false">INDEX(LINEST(B7:B52,C7:N52,TRUE(),TRUE()),2,13)</f>
        <v>0.669206950190601</v>
      </c>
      <c r="AA19" s="7" t="n">
        <f aca="false">Y19/Z19</f>
        <v>1.1574153293004</v>
      </c>
      <c r="AB19" s="7" t="n">
        <f aca="false">_xlfn.T.DIST.2T(ABS(AA19),$U$35)</f>
        <v>0.255411829528774</v>
      </c>
    </row>
    <row r="20" customFormat="false" ht="15" hidden="false" customHeight="false" outlineLevel="0" collapsed="false">
      <c r="A20" s="11" t="n">
        <f aca="false">Data_Monthly!A18</f>
        <v>44701</v>
      </c>
      <c r="B20" s="12" t="n">
        <f aca="false">Data_Monthly!J18</f>
        <v>0.361791986859898</v>
      </c>
      <c r="C20" s="13" t="n">
        <f aca="false">IF($A20&gt;=$U$5,1,0)</f>
        <v>0</v>
      </c>
      <c r="D20" s="13" t="n">
        <f aca="false">IF(MONTH($A20)=2,1,0)</f>
        <v>0</v>
      </c>
      <c r="E20" s="13" t="n">
        <f aca="false">IF(MONTH($A20)=3,1,0)</f>
        <v>0</v>
      </c>
      <c r="F20" s="13" t="n">
        <f aca="false">IF(MONTH($A20)=4,1,0)</f>
        <v>0</v>
      </c>
      <c r="G20" s="13" t="n">
        <f aca="false">IF(MONTH($A20)=5,1,0)</f>
        <v>1</v>
      </c>
      <c r="H20" s="13" t="n">
        <f aca="false">IF(MONTH($A20)=6,1,0)</f>
        <v>0</v>
      </c>
      <c r="I20" s="13" t="n">
        <f aca="false">IF(MONTH($A20)=7,1,0)</f>
        <v>0</v>
      </c>
      <c r="J20" s="13" t="n">
        <f aca="false">IF(MONTH($A20)=8,1,0)</f>
        <v>0</v>
      </c>
      <c r="K20" s="13" t="n">
        <f aca="false">IF(MONTH($A20)=9,1,0)</f>
        <v>0</v>
      </c>
      <c r="L20" s="13" t="n">
        <f aca="false">IF(MONTH($A20)=10,1,0)</f>
        <v>0</v>
      </c>
      <c r="M20" s="13" t="n">
        <f aca="false">IF(MONTH($A20)=11,1,0)</f>
        <v>0</v>
      </c>
      <c r="N20" s="13" t="n">
        <f aca="false">IF(MONTH($A20)=12,1,0)</f>
        <v>0</v>
      </c>
      <c r="O20" s="7" t="n">
        <f aca="false">$B$5+SUMPRODUCT(C20:N20,$C$5:$N$5)</f>
        <v>-0.172418572692084</v>
      </c>
      <c r="P20" s="7" t="n">
        <f aca="false">B20-O20</f>
        <v>0.534210559551982</v>
      </c>
      <c r="Q20" s="7" t="n">
        <f aca="false">P20^2</f>
        <v>0.285380921936842</v>
      </c>
      <c r="X20" s="2" t="s">
        <v>106</v>
      </c>
    </row>
    <row r="21" customFormat="false" ht="15" hidden="false" customHeight="false" outlineLevel="0" collapsed="false">
      <c r="A21" s="11" t="n">
        <f aca="false">Data_Monthly!A19</f>
        <v>44729</v>
      </c>
      <c r="B21" s="12" t="n">
        <f aca="false">Data_Monthly!J19</f>
        <v>-1.2877125064243</v>
      </c>
      <c r="C21" s="13" t="n">
        <f aca="false">IF($A21&gt;=$U$5,1,0)</f>
        <v>0</v>
      </c>
      <c r="D21" s="13" t="n">
        <f aca="false">IF(MONTH($A21)=2,1,0)</f>
        <v>0</v>
      </c>
      <c r="E21" s="13" t="n">
        <f aca="false">IF(MONTH($A21)=3,1,0)</f>
        <v>0</v>
      </c>
      <c r="F21" s="13" t="n">
        <f aca="false">IF(MONTH($A21)=4,1,0)</f>
        <v>0</v>
      </c>
      <c r="G21" s="13" t="n">
        <f aca="false">IF(MONTH($A21)=5,1,0)</f>
        <v>0</v>
      </c>
      <c r="H21" s="13" t="n">
        <f aca="false">IF(MONTH($A21)=6,1,0)</f>
        <v>1</v>
      </c>
      <c r="I21" s="13" t="n">
        <f aca="false">IF(MONTH($A21)=7,1,0)</f>
        <v>0</v>
      </c>
      <c r="J21" s="13" t="n">
        <f aca="false">IF(MONTH($A21)=8,1,0)</f>
        <v>0</v>
      </c>
      <c r="K21" s="13" t="n">
        <f aca="false">IF(MONTH($A21)=9,1,0)</f>
        <v>0</v>
      </c>
      <c r="L21" s="13" t="n">
        <f aca="false">IF(MONTH($A21)=10,1,0)</f>
        <v>0</v>
      </c>
      <c r="M21" s="13" t="n">
        <f aca="false">IF(MONTH($A21)=11,1,0)</f>
        <v>0</v>
      </c>
      <c r="N21" s="13" t="n">
        <f aca="false">IF(MONTH($A21)=12,1,0)</f>
        <v>0</v>
      </c>
      <c r="O21" s="7" t="n">
        <f aca="false">$B$5+SUMPRODUCT(C21:N21,$C$5:$N$5)</f>
        <v>-0.0729831909558306</v>
      </c>
      <c r="P21" s="7" t="n">
        <f aca="false">B21-O21</f>
        <v>-1.21472931546847</v>
      </c>
      <c r="Q21" s="7" t="n">
        <f aca="false">P21^2</f>
        <v>1.47556730985849</v>
      </c>
      <c r="T21" s="9" t="s">
        <v>107</v>
      </c>
      <c r="U21" s="14" t="s">
        <v>91</v>
      </c>
      <c r="V21" s="14" t="s">
        <v>92</v>
      </c>
      <c r="X21" s="2" t="s">
        <v>108</v>
      </c>
    </row>
    <row r="22" customFormat="false" ht="15" hidden="false" customHeight="false" outlineLevel="0" collapsed="false">
      <c r="A22" s="11" t="n">
        <f aca="false">Data_Monthly!A20</f>
        <v>44771</v>
      </c>
      <c r="B22" s="12" t="n">
        <f aca="false">Data_Monthly!J20</f>
        <v>2.06870473654499</v>
      </c>
      <c r="C22" s="13" t="n">
        <f aca="false">IF($A22&gt;=$U$5,1,0)</f>
        <v>0</v>
      </c>
      <c r="D22" s="13" t="n">
        <f aca="false">IF(MONTH($A22)=2,1,0)</f>
        <v>0</v>
      </c>
      <c r="E22" s="13" t="n">
        <f aca="false">IF(MONTH($A22)=3,1,0)</f>
        <v>0</v>
      </c>
      <c r="F22" s="13" t="n">
        <f aca="false">IF(MONTH($A22)=4,1,0)</f>
        <v>0</v>
      </c>
      <c r="G22" s="13" t="n">
        <f aca="false">IF(MONTH($A22)=5,1,0)</f>
        <v>0</v>
      </c>
      <c r="H22" s="13" t="n">
        <f aca="false">IF(MONTH($A22)=6,1,0)</f>
        <v>0</v>
      </c>
      <c r="I22" s="13" t="n">
        <f aca="false">IF(MONTH($A22)=7,1,0)</f>
        <v>1</v>
      </c>
      <c r="J22" s="13" t="n">
        <f aca="false">IF(MONTH($A22)=8,1,0)</f>
        <v>0</v>
      </c>
      <c r="K22" s="13" t="n">
        <f aca="false">IF(MONTH($A22)=9,1,0)</f>
        <v>0</v>
      </c>
      <c r="L22" s="13" t="n">
        <f aca="false">IF(MONTH($A22)=10,1,0)</f>
        <v>0</v>
      </c>
      <c r="M22" s="13" t="n">
        <f aca="false">IF(MONTH($A22)=11,1,0)</f>
        <v>0</v>
      </c>
      <c r="N22" s="13" t="n">
        <f aca="false">IF(MONTH($A22)=12,1,0)</f>
        <v>0</v>
      </c>
      <c r="O22" s="7" t="n">
        <f aca="false">$B$5+SUMPRODUCT(C22:N22,$C$5:$N$5)</f>
        <v>2.05949257251775</v>
      </c>
      <c r="P22" s="7" t="n">
        <f aca="false">B22-O22</f>
        <v>0.00921216402724046</v>
      </c>
      <c r="Q22" s="7" t="n">
        <f aca="false">P22^2</f>
        <v>8.48639660647831E-005</v>
      </c>
      <c r="T22" s="5" t="s">
        <v>105</v>
      </c>
      <c r="U22" s="7" t="n">
        <f aca="false">INDEX(LINEST(B7:B52,C7:C52,TRUE(),TRUE()),1,2)</f>
        <v>0.658173118045409</v>
      </c>
      <c r="V22" s="16" t="n">
        <v>0.658173118045408</v>
      </c>
      <c r="Y22" s="19" t="s">
        <v>68</v>
      </c>
      <c r="Z22" s="19" t="s">
        <v>69</v>
      </c>
      <c r="AA22" s="19" t="s">
        <v>70</v>
      </c>
      <c r="AB22" s="19" t="s">
        <v>71</v>
      </c>
      <c r="AC22" s="19" t="s">
        <v>72</v>
      </c>
      <c r="AD22" s="19" t="s">
        <v>73</v>
      </c>
      <c r="AE22" s="19" t="s">
        <v>74</v>
      </c>
      <c r="AF22" s="19" t="s">
        <v>75</v>
      </c>
      <c r="AG22" s="19" t="s">
        <v>76</v>
      </c>
      <c r="AH22" s="19" t="s">
        <v>77</v>
      </c>
      <c r="AI22" s="19" t="s">
        <v>78</v>
      </c>
      <c r="AJ22" s="19" t="s">
        <v>79</v>
      </c>
    </row>
    <row r="23" customFormat="false" ht="15" hidden="false" customHeight="false" outlineLevel="0" collapsed="false">
      <c r="A23" s="11" t="n">
        <f aca="false">Data_Monthly!A21</f>
        <v>44799</v>
      </c>
      <c r="B23" s="12" t="n">
        <f aca="false">Data_Monthly!J21</f>
        <v>0.776308488993245</v>
      </c>
      <c r="C23" s="13" t="n">
        <f aca="false">IF($A23&gt;=$U$5,1,0)</f>
        <v>0</v>
      </c>
      <c r="D23" s="13" t="n">
        <f aca="false">IF(MONTH($A23)=2,1,0)</f>
        <v>0</v>
      </c>
      <c r="E23" s="13" t="n">
        <f aca="false">IF(MONTH($A23)=3,1,0)</f>
        <v>0</v>
      </c>
      <c r="F23" s="13" t="n">
        <f aca="false">IF(MONTH($A23)=4,1,0)</f>
        <v>0</v>
      </c>
      <c r="G23" s="13" t="n">
        <f aca="false">IF(MONTH($A23)=5,1,0)</f>
        <v>0</v>
      </c>
      <c r="H23" s="13" t="n">
        <f aca="false">IF(MONTH($A23)=6,1,0)</f>
        <v>0</v>
      </c>
      <c r="I23" s="13" t="n">
        <f aca="false">IF(MONTH($A23)=7,1,0)</f>
        <v>0</v>
      </c>
      <c r="J23" s="13" t="n">
        <f aca="false">IF(MONTH($A23)=8,1,0)</f>
        <v>1</v>
      </c>
      <c r="K23" s="13" t="n">
        <f aca="false">IF(MONTH($A23)=9,1,0)</f>
        <v>0</v>
      </c>
      <c r="L23" s="13" t="n">
        <f aca="false">IF(MONTH($A23)=10,1,0)</f>
        <v>0</v>
      </c>
      <c r="M23" s="13" t="n">
        <f aca="false">IF(MONTH($A23)=11,1,0)</f>
        <v>0</v>
      </c>
      <c r="N23" s="13" t="n">
        <f aca="false">IF(MONTH($A23)=12,1,0)</f>
        <v>0</v>
      </c>
      <c r="O23" s="7" t="n">
        <f aca="false">$B$5+SUMPRODUCT(C23:N23,$C$5:$N$5)</f>
        <v>0.384128553695128</v>
      </c>
      <c r="P23" s="7" t="n">
        <f aca="false">B23-O23</f>
        <v>0.392179935298118</v>
      </c>
      <c r="Q23" s="7" t="n">
        <f aca="false">P23^2</f>
        <v>0.153805101650436</v>
      </c>
      <c r="T23" s="5" t="s">
        <v>109</v>
      </c>
      <c r="U23" s="7" t="n">
        <f aca="false">INDEX(LINEST(B7:B52,C7:C52,TRUE(),TRUE()),1,1)</f>
        <v>-0.752259072050398</v>
      </c>
      <c r="V23" s="16" t="n">
        <v>-0.752259072050398</v>
      </c>
      <c r="X23" s="6" t="s">
        <v>68</v>
      </c>
      <c r="Y23" s="20" t="n">
        <f aca="false">CORREL($C$7:$C$52,$C$7:$C$52)</f>
        <v>1</v>
      </c>
      <c r="Z23" s="20" t="n">
        <f aca="false">CORREL($D$7:$D$52,$C$7:$C$52)</f>
        <v>0.016638958140993</v>
      </c>
      <c r="AA23" s="20" t="n">
        <f aca="false">CORREL($E$7:$E$52,$C$7:$C$52)</f>
        <v>0.016638958140993</v>
      </c>
      <c r="AB23" s="20" t="n">
        <f aca="false">CORREL($F$7:$F$52,$C$7:$C$52)</f>
        <v>-0.0364507402199878</v>
      </c>
      <c r="AC23" s="20" t="n">
        <f aca="false">CORREL($G$7:$G$52,$C$7:$C$52)</f>
        <v>-0.0364507402199878</v>
      </c>
      <c r="AD23" s="20" t="n">
        <f aca="false">CORREL($H$7:$H$52,$C$7:$C$52)</f>
        <v>-0.0364507402199878</v>
      </c>
      <c r="AE23" s="20" t="n">
        <f aca="false">CORREL($I$7:$I$52,$C$7:$C$52)</f>
        <v>-0.0364507402199878</v>
      </c>
      <c r="AF23" s="20" t="n">
        <f aca="false">CORREL($J$7:$J$52,$C$7:$C$52)</f>
        <v>-0.0364507402199878</v>
      </c>
      <c r="AG23" s="20" t="n">
        <f aca="false">CORREL($K$7:$K$52,$C$7:$C$52)</f>
        <v>-0.0364507402199878</v>
      </c>
      <c r="AH23" s="20" t="n">
        <f aca="false">CORREL($L$7:$L$52,$C$7:$C$52)</f>
        <v>-0.0364507402199878</v>
      </c>
      <c r="AI23" s="20" t="n">
        <f aca="false">CORREL($M$7:$M$52,$C$7:$C$52)</f>
        <v>-0.0364507402199878</v>
      </c>
      <c r="AJ23" s="20" t="n">
        <f aca="false">CORREL($N$7:$N$52,$C$7:$C$52)</f>
        <v>0.131222664791956</v>
      </c>
    </row>
    <row r="24" customFormat="false" ht="15" hidden="false" customHeight="false" outlineLevel="0" collapsed="false">
      <c r="A24" s="11" t="n">
        <f aca="false">Data_Monthly!A22</f>
        <v>44827</v>
      </c>
      <c r="B24" s="12" t="n">
        <f aca="false">Data_Monthly!J22</f>
        <v>-0.492565187717305</v>
      </c>
      <c r="C24" s="13" t="n">
        <f aca="false">IF($A24&gt;=$U$5,1,0)</f>
        <v>0</v>
      </c>
      <c r="D24" s="13" t="n">
        <f aca="false">IF(MONTH($A24)=2,1,0)</f>
        <v>0</v>
      </c>
      <c r="E24" s="13" t="n">
        <f aca="false">IF(MONTH($A24)=3,1,0)</f>
        <v>0</v>
      </c>
      <c r="F24" s="13" t="n">
        <f aca="false">IF(MONTH($A24)=4,1,0)</f>
        <v>0</v>
      </c>
      <c r="G24" s="13" t="n">
        <f aca="false">IF(MONTH($A24)=5,1,0)</f>
        <v>0</v>
      </c>
      <c r="H24" s="13" t="n">
        <f aca="false">IF(MONTH($A24)=6,1,0)</f>
        <v>0</v>
      </c>
      <c r="I24" s="13" t="n">
        <f aca="false">IF(MONTH($A24)=7,1,0)</f>
        <v>0</v>
      </c>
      <c r="J24" s="13" t="n">
        <f aca="false">IF(MONTH($A24)=8,1,0)</f>
        <v>0</v>
      </c>
      <c r="K24" s="13" t="n">
        <f aca="false">IF(MONTH($A24)=9,1,0)</f>
        <v>1</v>
      </c>
      <c r="L24" s="13" t="n">
        <f aca="false">IF(MONTH($A24)=10,1,0)</f>
        <v>0</v>
      </c>
      <c r="M24" s="13" t="n">
        <f aca="false">IF(MONTH($A24)=11,1,0)</f>
        <v>0</v>
      </c>
      <c r="N24" s="13" t="n">
        <f aca="false">IF(MONTH($A24)=12,1,0)</f>
        <v>0</v>
      </c>
      <c r="O24" s="7" t="n">
        <f aca="false">$B$5+SUMPRODUCT(C24:N24,$C$5:$N$5)</f>
        <v>-0.827328740409928</v>
      </c>
      <c r="P24" s="7" t="n">
        <f aca="false">B24-O24</f>
        <v>0.334763552692624</v>
      </c>
      <c r="Q24" s="7" t="n">
        <f aca="false">P24^2</f>
        <v>0.112066636211387</v>
      </c>
      <c r="T24" s="5" t="s">
        <v>110</v>
      </c>
      <c r="U24" s="7" t="n">
        <f aca="false">INDEX(LINEST(B7:B52,C7:C52,TRUE(),TRUE()),2,1)</f>
        <v>0.485563626681194</v>
      </c>
      <c r="V24" s="16" t="n">
        <v>0.485563626681194</v>
      </c>
      <c r="X24" s="6" t="s">
        <v>69</v>
      </c>
      <c r="Y24" s="20" t="n">
        <f aca="false">CORREL($C$7:$C$52,$D$7:$D$52)</f>
        <v>0.016638958140993</v>
      </c>
      <c r="Z24" s="20" t="n">
        <f aca="false">CORREL($D$7:$D$52,$D$7:$D$52)</f>
        <v>1</v>
      </c>
      <c r="AA24" s="20" t="n">
        <f aca="false">CORREL($E$7:$E$52,$D$7:$D$52)</f>
        <v>-0.0697674418604651</v>
      </c>
      <c r="AB24" s="20" t="n">
        <f aca="false">CORREL($F$7:$F$52,$D$7:$D$52)</f>
        <v>-0.0815139145939222</v>
      </c>
      <c r="AC24" s="20" t="n">
        <f aca="false">CORREL($G$7:$G$52,$D$7:$D$52)</f>
        <v>-0.0815139145939222</v>
      </c>
      <c r="AD24" s="20" t="n">
        <f aca="false">CORREL($H$7:$H$52,$D$7:$D$52)</f>
        <v>-0.0815139145939222</v>
      </c>
      <c r="AE24" s="20" t="n">
        <f aca="false">CORREL($I$7:$I$52,$D$7:$D$52)</f>
        <v>-0.0815139145939222</v>
      </c>
      <c r="AF24" s="20" t="n">
        <f aca="false">CORREL($J$7:$J$52,$D$7:$D$52)</f>
        <v>-0.0815139145939222</v>
      </c>
      <c r="AG24" s="20" t="n">
        <f aca="false">CORREL($K$7:$K$52,$D$7:$D$52)</f>
        <v>-0.0815139145939222</v>
      </c>
      <c r="AH24" s="20" t="n">
        <f aca="false">CORREL($L$7:$L$52,$D$7:$D$52)</f>
        <v>-0.0815139145939222</v>
      </c>
      <c r="AI24" s="20" t="n">
        <f aca="false">CORREL($M$7:$M$52,$D$7:$D$52)</f>
        <v>-0.0815139145939222</v>
      </c>
      <c r="AJ24" s="20" t="n">
        <f aca="false">CORREL($N$7:$N$52,$D$7:$D$52)</f>
        <v>-0.0815139145939222</v>
      </c>
    </row>
    <row r="25" customFormat="false" ht="15" hidden="false" customHeight="false" outlineLevel="0" collapsed="false">
      <c r="A25" s="11" t="n">
        <f aca="false">Data_Monthly!A23</f>
        <v>44855</v>
      </c>
      <c r="B25" s="12" t="n">
        <f aca="false">Data_Monthly!J23</f>
        <v>2.85353032817669</v>
      </c>
      <c r="C25" s="13" t="n">
        <f aca="false">IF($A25&gt;=$U$5,1,0)</f>
        <v>0</v>
      </c>
      <c r="D25" s="13" t="n">
        <f aca="false">IF(MONTH($A25)=2,1,0)</f>
        <v>0</v>
      </c>
      <c r="E25" s="13" t="n">
        <f aca="false">IF(MONTH($A25)=3,1,0)</f>
        <v>0</v>
      </c>
      <c r="F25" s="13" t="n">
        <f aca="false">IF(MONTH($A25)=4,1,0)</f>
        <v>0</v>
      </c>
      <c r="G25" s="13" t="n">
        <f aca="false">IF(MONTH($A25)=5,1,0)</f>
        <v>0</v>
      </c>
      <c r="H25" s="13" t="n">
        <f aca="false">IF(MONTH($A25)=6,1,0)</f>
        <v>0</v>
      </c>
      <c r="I25" s="13" t="n">
        <f aca="false">IF(MONTH($A25)=7,1,0)</f>
        <v>0</v>
      </c>
      <c r="J25" s="13" t="n">
        <f aca="false">IF(MONTH($A25)=8,1,0)</f>
        <v>0</v>
      </c>
      <c r="K25" s="13" t="n">
        <f aca="false">IF(MONTH($A25)=9,1,0)</f>
        <v>0</v>
      </c>
      <c r="L25" s="13" t="n">
        <f aca="false">IF(MONTH($A25)=10,1,0)</f>
        <v>1</v>
      </c>
      <c r="M25" s="13" t="n">
        <f aca="false">IF(MONTH($A25)=11,1,0)</f>
        <v>0</v>
      </c>
      <c r="N25" s="13" t="n">
        <f aca="false">IF(MONTH($A25)=12,1,0)</f>
        <v>0</v>
      </c>
      <c r="O25" s="7" t="n">
        <f aca="false">$B$5+SUMPRODUCT(C25:N25,$C$5:$N$5)</f>
        <v>2.9122417208151</v>
      </c>
      <c r="P25" s="7" t="n">
        <f aca="false">B25-O25</f>
        <v>-0.0587113926384166</v>
      </c>
      <c r="Q25" s="7" t="n">
        <f aca="false">P25^2</f>
        <v>0.00344702762554232</v>
      </c>
      <c r="T25" s="5" t="s">
        <v>102</v>
      </c>
      <c r="U25" s="7" t="n">
        <f aca="false">$U$23/$U$24</f>
        <v>-1.54924922443647</v>
      </c>
      <c r="V25" s="16" t="n">
        <v>-1.54924922443647</v>
      </c>
      <c r="X25" s="6" t="s">
        <v>70</v>
      </c>
      <c r="Y25" s="20" t="n">
        <f aca="false">CORREL($C$7:$C$52,$E$7:$E$52)</f>
        <v>0.016638958140993</v>
      </c>
      <c r="Z25" s="20" t="n">
        <f aca="false">CORREL($D$7:$D$52,$E$7:$E$52)</f>
        <v>-0.0697674418604651</v>
      </c>
      <c r="AA25" s="20" t="n">
        <f aca="false">CORREL($E$7:$E$52,$E$7:$E$52)</f>
        <v>1</v>
      </c>
      <c r="AB25" s="20" t="n">
        <f aca="false">CORREL($F$7:$F$52,$E$7:$E$52)</f>
        <v>-0.0815139145939222</v>
      </c>
      <c r="AC25" s="20" t="n">
        <f aca="false">CORREL($G$7:$G$52,$E$7:$E$52)</f>
        <v>-0.0815139145939222</v>
      </c>
      <c r="AD25" s="20" t="n">
        <f aca="false">CORREL($H$7:$H$52,$E$7:$E$52)</f>
        <v>-0.0815139145939222</v>
      </c>
      <c r="AE25" s="20" t="n">
        <f aca="false">CORREL($I$7:$I$52,$E$7:$E$52)</f>
        <v>-0.0815139145939222</v>
      </c>
      <c r="AF25" s="20" t="n">
        <f aca="false">CORREL($J$7:$J$52,$E$7:$E$52)</f>
        <v>-0.0815139145939222</v>
      </c>
      <c r="AG25" s="20" t="n">
        <f aca="false">CORREL($K$7:$K$52,$E$7:$E$52)</f>
        <v>-0.0815139145939222</v>
      </c>
      <c r="AH25" s="20" t="n">
        <f aca="false">CORREL($L$7:$L$52,$E$7:$E$52)</f>
        <v>-0.0815139145939222</v>
      </c>
      <c r="AI25" s="20" t="n">
        <f aca="false">CORREL($M$7:$M$52,$E$7:$E$52)</f>
        <v>-0.0815139145939222</v>
      </c>
      <c r="AJ25" s="20" t="n">
        <f aca="false">CORREL($N$7:$N$52,$E$7:$E$52)</f>
        <v>-0.0815139145939222</v>
      </c>
    </row>
    <row r="26" customFormat="false" ht="15" hidden="false" customHeight="false" outlineLevel="0" collapsed="false">
      <c r="A26" s="11" t="n">
        <f aca="false">Data_Monthly!A24</f>
        <v>44883</v>
      </c>
      <c r="B26" s="12" t="n">
        <f aca="false">Data_Monthly!J24</f>
        <v>-1.4761655907507</v>
      </c>
      <c r="C26" s="13" t="n">
        <f aca="false">IF($A26&gt;=$U$5,1,0)</f>
        <v>0</v>
      </c>
      <c r="D26" s="13" t="n">
        <f aca="false">IF(MONTH($A26)=2,1,0)</f>
        <v>0</v>
      </c>
      <c r="E26" s="13" t="n">
        <f aca="false">IF(MONTH($A26)=3,1,0)</f>
        <v>0</v>
      </c>
      <c r="F26" s="13" t="n">
        <f aca="false">IF(MONTH($A26)=4,1,0)</f>
        <v>0</v>
      </c>
      <c r="G26" s="13" t="n">
        <f aca="false">IF(MONTH($A26)=5,1,0)</f>
        <v>0</v>
      </c>
      <c r="H26" s="13" t="n">
        <f aca="false">IF(MONTH($A26)=6,1,0)</f>
        <v>0</v>
      </c>
      <c r="I26" s="13" t="n">
        <f aca="false">IF(MONTH($A26)=7,1,0)</f>
        <v>0</v>
      </c>
      <c r="J26" s="13" t="n">
        <f aca="false">IF(MONTH($A26)=8,1,0)</f>
        <v>0</v>
      </c>
      <c r="K26" s="13" t="n">
        <f aca="false">IF(MONTH($A26)=9,1,0)</f>
        <v>0</v>
      </c>
      <c r="L26" s="13" t="n">
        <f aca="false">IF(MONTH($A26)=10,1,0)</f>
        <v>0</v>
      </c>
      <c r="M26" s="13" t="n">
        <f aca="false">IF(MONTH($A26)=11,1,0)</f>
        <v>1</v>
      </c>
      <c r="N26" s="13" t="n">
        <f aca="false">IF(MONTH($A26)=12,1,0)</f>
        <v>0</v>
      </c>
      <c r="O26" s="7" t="n">
        <f aca="false">$B$5+SUMPRODUCT(C26:N26,$C$5:$N$5)</f>
        <v>0.0586853384137579</v>
      </c>
      <c r="P26" s="7" t="n">
        <f aca="false">B26-O26</f>
        <v>-1.53485092916446</v>
      </c>
      <c r="Q26" s="7" t="n">
        <f aca="false">P26^2</f>
        <v>2.355767374757</v>
      </c>
      <c r="T26" s="5" t="s">
        <v>111</v>
      </c>
      <c r="U26" s="13" t="n">
        <f aca="false">INDEX(LINEST(B7:B52,C7:C52,TRUE(),TRUE()),4,2)</f>
        <v>44</v>
      </c>
      <c r="X26" s="6" t="s">
        <v>71</v>
      </c>
      <c r="Y26" s="20" t="n">
        <f aca="false">CORREL($C$7:$C$52,$F$7:$F$52)</f>
        <v>-0.0364507402199878</v>
      </c>
      <c r="Z26" s="20" t="n">
        <f aca="false">CORREL($D$7:$D$52,$F$7:$F$52)</f>
        <v>-0.0815139145939222</v>
      </c>
      <c r="AA26" s="20" t="n">
        <f aca="false">CORREL($E$7:$E$52,$F$7:$F$52)</f>
        <v>-0.0815139145939222</v>
      </c>
      <c r="AB26" s="20" t="n">
        <f aca="false">CORREL($F$7:$F$52,$F$7:$F$52)</f>
        <v>1</v>
      </c>
      <c r="AC26" s="20" t="n">
        <f aca="false">CORREL($G$7:$G$52,$F$7:$F$52)</f>
        <v>-0.0952380952380953</v>
      </c>
      <c r="AD26" s="20" t="n">
        <f aca="false">CORREL($H$7:$H$52,$F$7:$F$52)</f>
        <v>-0.0952380952380953</v>
      </c>
      <c r="AE26" s="20" t="n">
        <f aca="false">CORREL($I$7:$I$52,$F$7:$F$52)</f>
        <v>-0.0952380952380953</v>
      </c>
      <c r="AF26" s="20" t="n">
        <f aca="false">CORREL($J$7:$J$52,$F$7:$F$52)</f>
        <v>-0.0952380952380953</v>
      </c>
      <c r="AG26" s="20" t="n">
        <f aca="false">CORREL($K$7:$K$52,$F$7:$F$52)</f>
        <v>-0.0952380952380953</v>
      </c>
      <c r="AH26" s="20" t="n">
        <f aca="false">CORREL($L$7:$L$52,$F$7:$F$52)</f>
        <v>-0.0952380952380953</v>
      </c>
      <c r="AI26" s="20" t="n">
        <f aca="false">CORREL($M$7:$M$52,$F$7:$F$52)</f>
        <v>-0.0952380952380953</v>
      </c>
      <c r="AJ26" s="20" t="n">
        <f aca="false">CORREL($N$7:$N$52,$F$7:$F$52)</f>
        <v>-0.0952380952380953</v>
      </c>
    </row>
    <row r="27" customFormat="false" ht="15" hidden="false" customHeight="false" outlineLevel="0" collapsed="false">
      <c r="A27" s="11" t="n">
        <f aca="false">Data_Monthly!A25</f>
        <v>44925</v>
      </c>
      <c r="B27" s="12" t="n">
        <f aca="false">Data_Monthly!J25</f>
        <v>0.896087418151422</v>
      </c>
      <c r="C27" s="13" t="n">
        <f aca="false">IF($A27&gt;=$U$5,1,0)</f>
        <v>0</v>
      </c>
      <c r="D27" s="13" t="n">
        <f aca="false">IF(MONTH($A27)=2,1,0)</f>
        <v>0</v>
      </c>
      <c r="E27" s="13" t="n">
        <f aca="false">IF(MONTH($A27)=3,1,0)</f>
        <v>0</v>
      </c>
      <c r="F27" s="13" t="n">
        <f aca="false">IF(MONTH($A27)=4,1,0)</f>
        <v>0</v>
      </c>
      <c r="G27" s="13" t="n">
        <f aca="false">IF(MONTH($A27)=5,1,0)</f>
        <v>0</v>
      </c>
      <c r="H27" s="13" t="n">
        <f aca="false">IF(MONTH($A27)=6,1,0)</f>
        <v>0</v>
      </c>
      <c r="I27" s="13" t="n">
        <f aca="false">IF(MONTH($A27)=7,1,0)</f>
        <v>0</v>
      </c>
      <c r="J27" s="13" t="n">
        <f aca="false">IF(MONTH($A27)=8,1,0)</f>
        <v>0</v>
      </c>
      <c r="K27" s="13" t="n">
        <f aca="false">IF(MONTH($A27)=9,1,0)</f>
        <v>0</v>
      </c>
      <c r="L27" s="13" t="n">
        <f aca="false">IF(MONTH($A27)=10,1,0)</f>
        <v>0</v>
      </c>
      <c r="M27" s="13" t="n">
        <f aca="false">IF(MONTH($A27)=11,1,0)</f>
        <v>0</v>
      </c>
      <c r="N27" s="13" t="n">
        <f aca="false">IF(MONTH($A27)=12,1,0)</f>
        <v>1</v>
      </c>
      <c r="O27" s="7" t="n">
        <f aca="false">$B$5+SUMPRODUCT(C27:N27,$C$5:$N$5)</f>
        <v>0.663650135019564</v>
      </c>
      <c r="P27" s="7" t="n">
        <f aca="false">B27-O27</f>
        <v>0.232437283131858</v>
      </c>
      <c r="Q27" s="7" t="n">
        <f aca="false">P27^2</f>
        <v>0.0540270905897194</v>
      </c>
      <c r="T27" s="5" t="s">
        <v>88</v>
      </c>
      <c r="U27" s="7" t="n">
        <f aca="false">_xlfn.T.DIST.2T(ABS($U$25),$U$26)</f>
        <v>0.12848536413011</v>
      </c>
      <c r="V27" s="16" t="n">
        <v>0.12848536413011</v>
      </c>
      <c r="X27" s="6" t="s">
        <v>72</v>
      </c>
      <c r="Y27" s="20" t="n">
        <f aca="false">CORREL($C$7:$C$52,$G$7:$G$52)</f>
        <v>-0.0364507402199878</v>
      </c>
      <c r="Z27" s="20" t="n">
        <f aca="false">CORREL($D$7:$D$52,$G$7:$G$52)</f>
        <v>-0.0815139145939222</v>
      </c>
      <c r="AA27" s="20" t="n">
        <f aca="false">CORREL($E$7:$E$52,$G$7:$G$52)</f>
        <v>-0.0815139145939222</v>
      </c>
      <c r="AB27" s="20" t="n">
        <f aca="false">CORREL($F$7:$F$52,$G$7:$G$52)</f>
        <v>-0.0952380952380953</v>
      </c>
      <c r="AC27" s="20" t="n">
        <f aca="false">CORREL($G$7:$G$52,$G$7:$G$52)</f>
        <v>1</v>
      </c>
      <c r="AD27" s="20" t="n">
        <f aca="false">CORREL($H$7:$H$52,$G$7:$G$52)</f>
        <v>-0.0952380952380953</v>
      </c>
      <c r="AE27" s="20" t="n">
        <f aca="false">CORREL($I$7:$I$52,$G$7:$G$52)</f>
        <v>-0.0952380952380953</v>
      </c>
      <c r="AF27" s="20" t="n">
        <f aca="false">CORREL($J$7:$J$52,$G$7:$G$52)</f>
        <v>-0.0952380952380953</v>
      </c>
      <c r="AG27" s="20" t="n">
        <f aca="false">CORREL($K$7:$K$52,$G$7:$G$52)</f>
        <v>-0.0952380952380953</v>
      </c>
      <c r="AH27" s="20" t="n">
        <f aca="false">CORREL($L$7:$L$52,$G$7:$G$52)</f>
        <v>-0.0952380952380953</v>
      </c>
      <c r="AI27" s="20" t="n">
        <f aca="false">CORREL($M$7:$M$52,$G$7:$G$52)</f>
        <v>-0.0952380952380953</v>
      </c>
      <c r="AJ27" s="20" t="n">
        <f aca="false">CORREL($N$7:$N$52,$G$7:$G$52)</f>
        <v>-0.0952380952380953</v>
      </c>
    </row>
    <row r="28" customFormat="false" ht="15" hidden="false" customHeight="false" outlineLevel="0" collapsed="false">
      <c r="A28" s="11" t="n">
        <f aca="false">Data_Monthly!A26</f>
        <v>44953</v>
      </c>
      <c r="B28" s="12" t="n">
        <f aca="false">Data_Monthly!J26</f>
        <v>1.47478124277294</v>
      </c>
      <c r="C28" s="13" t="n">
        <f aca="false">IF($A28&gt;=$U$5,1,0)</f>
        <v>0</v>
      </c>
      <c r="D28" s="13" t="n">
        <f aca="false">IF(MONTH($A28)=2,1,0)</f>
        <v>0</v>
      </c>
      <c r="E28" s="13" t="n">
        <f aca="false">IF(MONTH($A28)=3,1,0)</f>
        <v>0</v>
      </c>
      <c r="F28" s="13" t="n">
        <f aca="false">IF(MONTH($A28)=4,1,0)</f>
        <v>0</v>
      </c>
      <c r="G28" s="13" t="n">
        <f aca="false">IF(MONTH($A28)=5,1,0)</f>
        <v>0</v>
      </c>
      <c r="H28" s="13" t="n">
        <f aca="false">IF(MONTH($A28)=6,1,0)</f>
        <v>0</v>
      </c>
      <c r="I28" s="13" t="n">
        <f aca="false">IF(MONTH($A28)=7,1,0)</f>
        <v>0</v>
      </c>
      <c r="J28" s="13" t="n">
        <f aca="false">IF(MONTH($A28)=8,1,0)</f>
        <v>0</v>
      </c>
      <c r="K28" s="13" t="n">
        <f aca="false">IF(MONTH($A28)=9,1,0)</f>
        <v>0</v>
      </c>
      <c r="L28" s="13" t="n">
        <f aca="false">IF(MONTH($A28)=10,1,0)</f>
        <v>0</v>
      </c>
      <c r="M28" s="13" t="n">
        <f aca="false">IF(MONTH($A28)=11,1,0)</f>
        <v>0</v>
      </c>
      <c r="N28" s="13" t="n">
        <f aca="false">IF(MONTH($A28)=12,1,0)</f>
        <v>0</v>
      </c>
      <c r="O28" s="7" t="n">
        <f aca="false">$B$5+SUMPRODUCT(C28:N28,$C$5:$N$5)</f>
        <v>0.77455038262497</v>
      </c>
      <c r="P28" s="7" t="n">
        <f aca="false">B28-O28</f>
        <v>0.700230860147969</v>
      </c>
      <c r="Q28" s="7" t="n">
        <f aca="false">P28^2</f>
        <v>0.490323257503564</v>
      </c>
      <c r="T28" s="5" t="s">
        <v>112</v>
      </c>
      <c r="U28" s="7" t="n">
        <f aca="false">INDEX(LINEST(B7:B52,C7:C52,TRUE(),TRUE()),3,1)</f>
        <v>0.0517276767733328</v>
      </c>
      <c r="V28" s="16" t="n">
        <v>0.0517276767733331</v>
      </c>
      <c r="X28" s="6" t="s">
        <v>73</v>
      </c>
      <c r="Y28" s="20" t="n">
        <f aca="false">CORREL($C$7:$C$52,$H$7:$H$52)</f>
        <v>-0.0364507402199878</v>
      </c>
      <c r="Z28" s="20" t="n">
        <f aca="false">CORREL($D$7:$D$52,$H$7:$H$52)</f>
        <v>-0.0815139145939222</v>
      </c>
      <c r="AA28" s="20" t="n">
        <f aca="false">CORREL($E$7:$E$52,$H$7:$H$52)</f>
        <v>-0.0815139145939222</v>
      </c>
      <c r="AB28" s="20" t="n">
        <f aca="false">CORREL($F$7:$F$52,$H$7:$H$52)</f>
        <v>-0.0952380952380953</v>
      </c>
      <c r="AC28" s="20" t="n">
        <f aca="false">CORREL($G$7:$G$52,$H$7:$H$52)</f>
        <v>-0.0952380952380953</v>
      </c>
      <c r="AD28" s="20" t="n">
        <f aca="false">CORREL($H$7:$H$52,$H$7:$H$52)</f>
        <v>1</v>
      </c>
      <c r="AE28" s="20" t="n">
        <f aca="false">CORREL($I$7:$I$52,$H$7:$H$52)</f>
        <v>-0.0952380952380953</v>
      </c>
      <c r="AF28" s="20" t="n">
        <f aca="false">CORREL($J$7:$J$52,$H$7:$H$52)</f>
        <v>-0.0952380952380953</v>
      </c>
      <c r="AG28" s="20" t="n">
        <f aca="false">CORREL($K$7:$K$52,$H$7:$H$52)</f>
        <v>-0.0952380952380953</v>
      </c>
      <c r="AH28" s="20" t="n">
        <f aca="false">CORREL($L$7:$L$52,$H$7:$H$52)</f>
        <v>-0.0952380952380953</v>
      </c>
      <c r="AI28" s="20" t="n">
        <f aca="false">CORREL($M$7:$M$52,$H$7:$H$52)</f>
        <v>-0.0952380952380953</v>
      </c>
      <c r="AJ28" s="20" t="n">
        <f aca="false">CORREL($N$7:$N$52,$H$7:$H$52)</f>
        <v>-0.0952380952380953</v>
      </c>
    </row>
    <row r="29" customFormat="false" ht="15" hidden="false" customHeight="false" outlineLevel="0" collapsed="false">
      <c r="A29" s="11" t="n">
        <f aca="false">Data_Monthly!A27</f>
        <v>44981</v>
      </c>
      <c r="B29" s="12" t="n">
        <f aca="false">Data_Monthly!J27</f>
        <v>0.552978785470781</v>
      </c>
      <c r="C29" s="13" t="n">
        <f aca="false">IF($A29&gt;=$U$5,1,0)</f>
        <v>0</v>
      </c>
      <c r="D29" s="13" t="n">
        <f aca="false">IF(MONTH($A29)=2,1,0)</f>
        <v>1</v>
      </c>
      <c r="E29" s="13" t="n">
        <f aca="false">IF(MONTH($A29)=3,1,0)</f>
        <v>0</v>
      </c>
      <c r="F29" s="13" t="n">
        <f aca="false">IF(MONTH($A29)=4,1,0)</f>
        <v>0</v>
      </c>
      <c r="G29" s="13" t="n">
        <f aca="false">IF(MONTH($A29)=5,1,0)</f>
        <v>0</v>
      </c>
      <c r="H29" s="13" t="n">
        <f aca="false">IF(MONTH($A29)=6,1,0)</f>
        <v>0</v>
      </c>
      <c r="I29" s="13" t="n">
        <f aca="false">IF(MONTH($A29)=7,1,0)</f>
        <v>0</v>
      </c>
      <c r="J29" s="13" t="n">
        <f aca="false">IF(MONTH($A29)=8,1,0)</f>
        <v>0</v>
      </c>
      <c r="K29" s="13" t="n">
        <f aca="false">IF(MONTH($A29)=9,1,0)</f>
        <v>0</v>
      </c>
      <c r="L29" s="13" t="n">
        <f aca="false">IF(MONTH($A29)=10,1,0)</f>
        <v>0</v>
      </c>
      <c r="M29" s="13" t="n">
        <f aca="false">IF(MONTH($A29)=11,1,0)</f>
        <v>0</v>
      </c>
      <c r="N29" s="13" t="n">
        <f aca="false">IF(MONTH($A29)=12,1,0)</f>
        <v>0</v>
      </c>
      <c r="O29" s="7" t="n">
        <f aca="false">$B$5+SUMPRODUCT(C29:N29,$C$5:$N$5)</f>
        <v>0.406531318361</v>
      </c>
      <c r="P29" s="7" t="n">
        <f aca="false">B29-O29</f>
        <v>0.146447467109781</v>
      </c>
      <c r="Q29" s="7" t="n">
        <f aca="false">P29^2</f>
        <v>0.0214468606228704</v>
      </c>
      <c r="T29" s="5" t="s">
        <v>113</v>
      </c>
      <c r="U29" s="7" t="n">
        <f aca="false">INDEX(LINEST(B7:B52,C7:C52,TRUE(),TRUE()),5,2)</f>
        <v>101.033442714691</v>
      </c>
      <c r="X29" s="6" t="s">
        <v>74</v>
      </c>
      <c r="Y29" s="20" t="n">
        <f aca="false">CORREL($C$7:$C$52,$I$7:$I$52)</f>
        <v>-0.0364507402199878</v>
      </c>
      <c r="Z29" s="20" t="n">
        <f aca="false">CORREL($D$7:$D$52,$I$7:$I$52)</f>
        <v>-0.0815139145939222</v>
      </c>
      <c r="AA29" s="20" t="n">
        <f aca="false">CORREL($E$7:$E$52,$I$7:$I$52)</f>
        <v>-0.0815139145939222</v>
      </c>
      <c r="AB29" s="20" t="n">
        <f aca="false">CORREL($F$7:$F$52,$I$7:$I$52)</f>
        <v>-0.0952380952380953</v>
      </c>
      <c r="AC29" s="20" t="n">
        <f aca="false">CORREL($G$7:$G$52,$I$7:$I$52)</f>
        <v>-0.0952380952380953</v>
      </c>
      <c r="AD29" s="20" t="n">
        <f aca="false">CORREL($H$7:$H$52,$I$7:$I$52)</f>
        <v>-0.0952380952380953</v>
      </c>
      <c r="AE29" s="20" t="n">
        <f aca="false">CORREL($I$7:$I$52,$I$7:$I$52)</f>
        <v>1</v>
      </c>
      <c r="AF29" s="20" t="n">
        <f aca="false">CORREL($J$7:$J$52,$I$7:$I$52)</f>
        <v>-0.0952380952380953</v>
      </c>
      <c r="AG29" s="20" t="n">
        <f aca="false">CORREL($K$7:$K$52,$I$7:$I$52)</f>
        <v>-0.0952380952380953</v>
      </c>
      <c r="AH29" s="20" t="n">
        <f aca="false">CORREL($L$7:$L$52,$I$7:$I$52)</f>
        <v>-0.0952380952380953</v>
      </c>
      <c r="AI29" s="20" t="n">
        <f aca="false">CORREL($M$7:$M$52,$I$7:$I$52)</f>
        <v>-0.0952380952380953</v>
      </c>
      <c r="AJ29" s="20" t="n">
        <f aca="false">CORREL($N$7:$N$52,$I$7:$I$52)</f>
        <v>-0.0952380952380953</v>
      </c>
    </row>
    <row r="30" customFormat="false" ht="15" hidden="false" customHeight="false" outlineLevel="0" collapsed="false">
      <c r="A30" s="11" t="n">
        <f aca="false">Data_Monthly!A28</f>
        <v>45009</v>
      </c>
      <c r="B30" s="12" t="n">
        <f aca="false">Data_Monthly!J28</f>
        <v>3.35444951597917</v>
      </c>
      <c r="C30" s="13" t="n">
        <f aca="false">IF($A30&gt;=$U$5,1,0)</f>
        <v>0</v>
      </c>
      <c r="D30" s="13" t="n">
        <f aca="false">IF(MONTH($A30)=2,1,0)</f>
        <v>0</v>
      </c>
      <c r="E30" s="13" t="n">
        <f aca="false">IF(MONTH($A30)=3,1,0)</f>
        <v>1</v>
      </c>
      <c r="F30" s="13" t="n">
        <f aca="false">IF(MONTH($A30)=4,1,0)</f>
        <v>0</v>
      </c>
      <c r="G30" s="13" t="n">
        <f aca="false">IF(MONTH($A30)=5,1,0)</f>
        <v>0</v>
      </c>
      <c r="H30" s="13" t="n">
        <f aca="false">IF(MONTH($A30)=6,1,0)</f>
        <v>0</v>
      </c>
      <c r="I30" s="13" t="n">
        <f aca="false">IF(MONTH($A30)=7,1,0)</f>
        <v>0</v>
      </c>
      <c r="J30" s="13" t="n">
        <f aca="false">IF(MONTH($A30)=8,1,0)</f>
        <v>0</v>
      </c>
      <c r="K30" s="13" t="n">
        <f aca="false">IF(MONTH($A30)=9,1,0)</f>
        <v>0</v>
      </c>
      <c r="L30" s="13" t="n">
        <f aca="false">IF(MONTH($A30)=10,1,0)</f>
        <v>0</v>
      </c>
      <c r="M30" s="13" t="n">
        <f aca="false">IF(MONTH($A30)=11,1,0)</f>
        <v>0</v>
      </c>
      <c r="N30" s="13" t="n">
        <f aca="false">IF(MONTH($A30)=12,1,0)</f>
        <v>0</v>
      </c>
      <c r="O30" s="7" t="n">
        <f aca="false">$B$5+SUMPRODUCT(C30:N30,$C$5:$N$5)</f>
        <v>1.70516087805043</v>
      </c>
      <c r="P30" s="7" t="n">
        <f aca="false">B30-O30</f>
        <v>1.64928863792874</v>
      </c>
      <c r="Q30" s="7" t="n">
        <f aca="false">P30^2</f>
        <v>2.72015301120083</v>
      </c>
      <c r="X30" s="6" t="s">
        <v>75</v>
      </c>
      <c r="Y30" s="20" t="n">
        <f aca="false">CORREL($C$7:$C$52,$J$7:$J$52)</f>
        <v>-0.0364507402199878</v>
      </c>
      <c r="Z30" s="20" t="n">
        <f aca="false">CORREL($D$7:$D$52,$J$7:$J$52)</f>
        <v>-0.0815139145939222</v>
      </c>
      <c r="AA30" s="20" t="n">
        <f aca="false">CORREL($E$7:$E$52,$J$7:$J$52)</f>
        <v>-0.0815139145939222</v>
      </c>
      <c r="AB30" s="20" t="n">
        <f aca="false">CORREL($F$7:$F$52,$J$7:$J$52)</f>
        <v>-0.0952380952380953</v>
      </c>
      <c r="AC30" s="20" t="n">
        <f aca="false">CORREL($G$7:$G$52,$J$7:$J$52)</f>
        <v>-0.0952380952380953</v>
      </c>
      <c r="AD30" s="20" t="n">
        <f aca="false">CORREL($H$7:$H$52,$J$7:$J$52)</f>
        <v>-0.0952380952380953</v>
      </c>
      <c r="AE30" s="20" t="n">
        <f aca="false">CORREL($I$7:$I$52,$J$7:$J$52)</f>
        <v>-0.0952380952380953</v>
      </c>
      <c r="AF30" s="20" t="n">
        <f aca="false">CORREL($J$7:$J$52,$J$7:$J$52)</f>
        <v>1</v>
      </c>
      <c r="AG30" s="20" t="n">
        <f aca="false">CORREL($K$7:$K$52,$J$7:$J$52)</f>
        <v>-0.0952380952380953</v>
      </c>
      <c r="AH30" s="20" t="n">
        <f aca="false">CORREL($L$7:$L$52,$J$7:$J$52)</f>
        <v>-0.0952380952380953</v>
      </c>
      <c r="AI30" s="20" t="n">
        <f aca="false">CORREL($M$7:$M$52,$J$7:$J$52)</f>
        <v>-0.0952380952380953</v>
      </c>
      <c r="AJ30" s="20" t="n">
        <f aca="false">CORREL($N$7:$N$52,$J$7:$J$52)</f>
        <v>-0.0952380952380953</v>
      </c>
    </row>
    <row r="31" customFormat="false" ht="15" hidden="false" customHeight="false" outlineLevel="0" collapsed="false">
      <c r="A31" s="11" t="n">
        <f aca="false">Data_Monthly!A29</f>
        <v>45037</v>
      </c>
      <c r="B31" s="12" t="n">
        <f aca="false">Data_Monthly!J29</f>
        <v>-0.069604257928398</v>
      </c>
      <c r="C31" s="13" t="n">
        <f aca="false">IF($A31&gt;=$U$5,1,0)</f>
        <v>0</v>
      </c>
      <c r="D31" s="13" t="n">
        <f aca="false">IF(MONTH($A31)=2,1,0)</f>
        <v>0</v>
      </c>
      <c r="E31" s="13" t="n">
        <f aca="false">IF(MONTH($A31)=3,1,0)</f>
        <v>0</v>
      </c>
      <c r="F31" s="13" t="n">
        <f aca="false">IF(MONTH($A31)=4,1,0)</f>
        <v>1</v>
      </c>
      <c r="G31" s="13" t="n">
        <f aca="false">IF(MONTH($A31)=5,1,0)</f>
        <v>0</v>
      </c>
      <c r="H31" s="13" t="n">
        <f aca="false">IF(MONTH($A31)=6,1,0)</f>
        <v>0</v>
      </c>
      <c r="I31" s="13" t="n">
        <f aca="false">IF(MONTH($A31)=7,1,0)</f>
        <v>0</v>
      </c>
      <c r="J31" s="13" t="n">
        <f aca="false">IF(MONTH($A31)=8,1,0)</f>
        <v>0</v>
      </c>
      <c r="K31" s="13" t="n">
        <f aca="false">IF(MONTH($A31)=9,1,0)</f>
        <v>0</v>
      </c>
      <c r="L31" s="13" t="n">
        <f aca="false">IF(MONTH($A31)=10,1,0)</f>
        <v>0</v>
      </c>
      <c r="M31" s="13" t="n">
        <f aca="false">IF(MONTH($A31)=11,1,0)</f>
        <v>0</v>
      </c>
      <c r="N31" s="13" t="n">
        <f aca="false">IF(MONTH($A31)=12,1,0)</f>
        <v>0</v>
      </c>
      <c r="O31" s="7" t="n">
        <f aca="false">$B$5+SUMPRODUCT(C31:N31,$C$5:$N$5)</f>
        <v>0.312100435063151</v>
      </c>
      <c r="P31" s="7" t="n">
        <f aca="false">B31-O31</f>
        <v>-0.381704692991549</v>
      </c>
      <c r="Q31" s="7" t="n">
        <f aca="false">P31^2</f>
        <v>0.145698472651773</v>
      </c>
      <c r="T31" s="9" t="s">
        <v>114</v>
      </c>
      <c r="U31" s="14" t="s">
        <v>91</v>
      </c>
      <c r="V31" s="14" t="s">
        <v>92</v>
      </c>
      <c r="X31" s="6" t="s">
        <v>76</v>
      </c>
      <c r="Y31" s="20" t="n">
        <f aca="false">CORREL($C$7:$C$52,$K$7:$K$52)</f>
        <v>-0.0364507402199878</v>
      </c>
      <c r="Z31" s="20" t="n">
        <f aca="false">CORREL($D$7:$D$52,$K$7:$K$52)</f>
        <v>-0.0815139145939222</v>
      </c>
      <c r="AA31" s="20" t="n">
        <f aca="false">CORREL($E$7:$E$52,$K$7:$K$52)</f>
        <v>-0.0815139145939222</v>
      </c>
      <c r="AB31" s="20" t="n">
        <f aca="false">CORREL($F$7:$F$52,$K$7:$K$52)</f>
        <v>-0.0952380952380953</v>
      </c>
      <c r="AC31" s="20" t="n">
        <f aca="false">CORREL($G$7:$G$52,$K$7:$K$52)</f>
        <v>-0.0952380952380953</v>
      </c>
      <c r="AD31" s="20" t="n">
        <f aca="false">CORREL($H$7:$H$52,$K$7:$K$52)</f>
        <v>-0.0952380952380953</v>
      </c>
      <c r="AE31" s="20" t="n">
        <f aca="false">CORREL($I$7:$I$52,$K$7:$K$52)</f>
        <v>-0.0952380952380953</v>
      </c>
      <c r="AF31" s="20" t="n">
        <f aca="false">CORREL($J$7:$J$52,$K$7:$K$52)</f>
        <v>-0.0952380952380953</v>
      </c>
      <c r="AG31" s="20" t="n">
        <f aca="false">CORREL($K$7:$K$52,$K$7:$K$52)</f>
        <v>1</v>
      </c>
      <c r="AH31" s="20" t="n">
        <f aca="false">CORREL($L$7:$L$52,$K$7:$K$52)</f>
        <v>-0.0952380952380953</v>
      </c>
      <c r="AI31" s="20" t="n">
        <f aca="false">CORREL($M$7:$M$52,$K$7:$K$52)</f>
        <v>-0.0952380952380953</v>
      </c>
      <c r="AJ31" s="20" t="n">
        <f aca="false">CORREL($N$7:$N$52,$K$7:$K$52)</f>
        <v>-0.0952380952380953</v>
      </c>
    </row>
    <row r="32" customFormat="false" ht="15" hidden="false" customHeight="false" outlineLevel="0" collapsed="false">
      <c r="A32" s="11" t="n">
        <f aca="false">Data_Monthly!A30</f>
        <v>45065</v>
      </c>
      <c r="B32" s="12" t="n">
        <f aca="false">Data_Monthly!J30</f>
        <v>0.352204746673745</v>
      </c>
      <c r="C32" s="13" t="n">
        <f aca="false">IF($A32&gt;=$U$5,1,0)</f>
        <v>0</v>
      </c>
      <c r="D32" s="13" t="n">
        <f aca="false">IF(MONTH($A32)=2,1,0)</f>
        <v>0</v>
      </c>
      <c r="E32" s="13" t="n">
        <f aca="false">IF(MONTH($A32)=3,1,0)</f>
        <v>0</v>
      </c>
      <c r="F32" s="13" t="n">
        <f aca="false">IF(MONTH($A32)=4,1,0)</f>
        <v>0</v>
      </c>
      <c r="G32" s="13" t="n">
        <f aca="false">IF(MONTH($A32)=5,1,0)</f>
        <v>1</v>
      </c>
      <c r="H32" s="13" t="n">
        <f aca="false">IF(MONTH($A32)=6,1,0)</f>
        <v>0</v>
      </c>
      <c r="I32" s="13" t="n">
        <f aca="false">IF(MONTH($A32)=7,1,0)</f>
        <v>0</v>
      </c>
      <c r="J32" s="13" t="n">
        <f aca="false">IF(MONTH($A32)=8,1,0)</f>
        <v>0</v>
      </c>
      <c r="K32" s="13" t="n">
        <f aca="false">IF(MONTH($A32)=9,1,0)</f>
        <v>0</v>
      </c>
      <c r="L32" s="13" t="n">
        <f aca="false">IF(MONTH($A32)=10,1,0)</f>
        <v>0</v>
      </c>
      <c r="M32" s="13" t="n">
        <f aca="false">IF(MONTH($A32)=11,1,0)</f>
        <v>0</v>
      </c>
      <c r="N32" s="13" t="n">
        <f aca="false">IF(MONTH($A32)=12,1,0)</f>
        <v>0</v>
      </c>
      <c r="O32" s="7" t="n">
        <f aca="false">$B$5+SUMPRODUCT(C32:N32,$C$5:$N$5)</f>
        <v>-0.172418572692084</v>
      </c>
      <c r="P32" s="7" t="n">
        <f aca="false">B32-O32</f>
        <v>0.52462331936583</v>
      </c>
      <c r="Q32" s="7" t="n">
        <f aca="false">P32^2</f>
        <v>0.275229627222421</v>
      </c>
      <c r="T32" s="5" t="s">
        <v>115</v>
      </c>
      <c r="U32" s="13" t="n">
        <f aca="false">COUNT(B7:B52)</f>
        <v>46</v>
      </c>
      <c r="V32" s="15" t="n">
        <v>46</v>
      </c>
      <c r="X32" s="6" t="s">
        <v>77</v>
      </c>
      <c r="Y32" s="20" t="n">
        <f aca="false">CORREL($C$7:$C$52,$L$7:$L$52)</f>
        <v>-0.0364507402199878</v>
      </c>
      <c r="Z32" s="20" t="n">
        <f aca="false">CORREL($D$7:$D$52,$L$7:$L$52)</f>
        <v>-0.0815139145939222</v>
      </c>
      <c r="AA32" s="20" t="n">
        <f aca="false">CORREL($E$7:$E$52,$L$7:$L$52)</f>
        <v>-0.0815139145939222</v>
      </c>
      <c r="AB32" s="20" t="n">
        <f aca="false">CORREL($F$7:$F$52,$L$7:$L$52)</f>
        <v>-0.0952380952380953</v>
      </c>
      <c r="AC32" s="20" t="n">
        <f aca="false">CORREL($G$7:$G$52,$L$7:$L$52)</f>
        <v>-0.0952380952380953</v>
      </c>
      <c r="AD32" s="20" t="n">
        <f aca="false">CORREL($H$7:$H$52,$L$7:$L$52)</f>
        <v>-0.0952380952380953</v>
      </c>
      <c r="AE32" s="20" t="n">
        <f aca="false">CORREL($I$7:$I$52,$L$7:$L$52)</f>
        <v>-0.0952380952380953</v>
      </c>
      <c r="AF32" s="20" t="n">
        <f aca="false">CORREL($J$7:$J$52,$L$7:$L$52)</f>
        <v>-0.0952380952380953</v>
      </c>
      <c r="AG32" s="20" t="n">
        <f aca="false">CORREL($K$7:$K$52,$L$7:$L$52)</f>
        <v>-0.0952380952380953</v>
      </c>
      <c r="AH32" s="20" t="n">
        <f aca="false">CORREL($L$7:$L$52,$L$7:$L$52)</f>
        <v>1</v>
      </c>
      <c r="AI32" s="20" t="n">
        <f aca="false">CORREL($M$7:$M$52,$L$7:$L$52)</f>
        <v>-0.0952380952380953</v>
      </c>
      <c r="AJ32" s="20" t="n">
        <f aca="false">CORREL($N$7:$N$52,$L$7:$L$52)</f>
        <v>-0.0952380952380953</v>
      </c>
    </row>
    <row r="33" customFormat="false" ht="15" hidden="false" customHeight="false" outlineLevel="0" collapsed="false">
      <c r="A33" s="11" t="n">
        <f aca="false">Data_Monthly!A31</f>
        <v>45107</v>
      </c>
      <c r="B33" s="12" t="n">
        <f aca="false">Data_Monthly!J31</f>
        <v>0.775197980589167</v>
      </c>
      <c r="C33" s="13" t="n">
        <f aca="false">IF($A33&gt;=$U$5,1,0)</f>
        <v>0</v>
      </c>
      <c r="D33" s="13" t="n">
        <f aca="false">IF(MONTH($A33)=2,1,0)</f>
        <v>0</v>
      </c>
      <c r="E33" s="13" t="n">
        <f aca="false">IF(MONTH($A33)=3,1,0)</f>
        <v>0</v>
      </c>
      <c r="F33" s="13" t="n">
        <f aca="false">IF(MONTH($A33)=4,1,0)</f>
        <v>0</v>
      </c>
      <c r="G33" s="13" t="n">
        <f aca="false">IF(MONTH($A33)=5,1,0)</f>
        <v>0</v>
      </c>
      <c r="H33" s="13" t="n">
        <f aca="false">IF(MONTH($A33)=6,1,0)</f>
        <v>1</v>
      </c>
      <c r="I33" s="13" t="n">
        <f aca="false">IF(MONTH($A33)=7,1,0)</f>
        <v>0</v>
      </c>
      <c r="J33" s="13" t="n">
        <f aca="false">IF(MONTH($A33)=8,1,0)</f>
        <v>0</v>
      </c>
      <c r="K33" s="13" t="n">
        <f aca="false">IF(MONTH($A33)=9,1,0)</f>
        <v>0</v>
      </c>
      <c r="L33" s="13" t="n">
        <f aca="false">IF(MONTH($A33)=10,1,0)</f>
        <v>0</v>
      </c>
      <c r="M33" s="13" t="n">
        <f aca="false">IF(MONTH($A33)=11,1,0)</f>
        <v>0</v>
      </c>
      <c r="N33" s="13" t="n">
        <f aca="false">IF(MONTH($A33)=12,1,0)</f>
        <v>0</v>
      </c>
      <c r="O33" s="7" t="n">
        <f aca="false">$B$5+SUMPRODUCT(C33:N33,$C$5:$N$5)</f>
        <v>-0.0729831909558306</v>
      </c>
      <c r="P33" s="7" t="n">
        <f aca="false">B33-O33</f>
        <v>0.848181171544997</v>
      </c>
      <c r="Q33" s="7" t="n">
        <f aca="false">P33^2</f>
        <v>0.719411299763444</v>
      </c>
      <c r="T33" s="5" t="s">
        <v>112</v>
      </c>
      <c r="U33" s="7" t="n">
        <f aca="false">INDEX(LINEST(B7:B52,C7:N52,TRUE(),TRUE()),3,1)</f>
        <v>0.498859989640118</v>
      </c>
      <c r="V33" s="16" t="n">
        <v>0.498859989640118</v>
      </c>
      <c r="X33" s="6" t="s">
        <v>78</v>
      </c>
      <c r="Y33" s="20" t="n">
        <f aca="false">CORREL($C$7:$C$52,$M$7:$M$52)</f>
        <v>-0.0364507402199878</v>
      </c>
      <c r="Z33" s="20" t="n">
        <f aca="false">CORREL($D$7:$D$52,$M$7:$M$52)</f>
        <v>-0.0815139145939222</v>
      </c>
      <c r="AA33" s="20" t="n">
        <f aca="false">CORREL($E$7:$E$52,$M$7:$M$52)</f>
        <v>-0.0815139145939222</v>
      </c>
      <c r="AB33" s="20" t="n">
        <f aca="false">CORREL($F$7:$F$52,$M$7:$M$52)</f>
        <v>-0.0952380952380953</v>
      </c>
      <c r="AC33" s="20" t="n">
        <f aca="false">CORREL($G$7:$G$52,$M$7:$M$52)</f>
        <v>-0.0952380952380953</v>
      </c>
      <c r="AD33" s="20" t="n">
        <f aca="false">CORREL($H$7:$H$52,$M$7:$M$52)</f>
        <v>-0.0952380952380953</v>
      </c>
      <c r="AE33" s="20" t="n">
        <f aca="false">CORREL($I$7:$I$52,$M$7:$M$52)</f>
        <v>-0.0952380952380953</v>
      </c>
      <c r="AF33" s="20" t="n">
        <f aca="false">CORREL($J$7:$J$52,$M$7:$M$52)</f>
        <v>-0.0952380952380953</v>
      </c>
      <c r="AG33" s="20" t="n">
        <f aca="false">CORREL($K$7:$K$52,$M$7:$M$52)</f>
        <v>-0.0952380952380953</v>
      </c>
      <c r="AH33" s="20" t="n">
        <f aca="false">CORREL($L$7:$L$52,$M$7:$M$52)</f>
        <v>-0.0952380952380953</v>
      </c>
      <c r="AI33" s="20" t="n">
        <f aca="false">CORREL($M$7:$M$52,$M$7:$M$52)</f>
        <v>1</v>
      </c>
      <c r="AJ33" s="20" t="n">
        <f aca="false">CORREL($N$7:$N$52,$M$7:$M$52)</f>
        <v>-0.0952380952380953</v>
      </c>
    </row>
    <row r="34" customFormat="false" ht="15" hidden="false" customHeight="false" outlineLevel="0" collapsed="false">
      <c r="A34" s="11" t="n">
        <f aca="false">Data_Monthly!A32</f>
        <v>45135</v>
      </c>
      <c r="B34" s="12" t="n">
        <f aca="false">Data_Monthly!J32</f>
        <v>0.644751991621373</v>
      </c>
      <c r="C34" s="13" t="n">
        <f aca="false">IF($A34&gt;=$U$5,1,0)</f>
        <v>0</v>
      </c>
      <c r="D34" s="13" t="n">
        <f aca="false">IF(MONTH($A34)=2,1,0)</f>
        <v>0</v>
      </c>
      <c r="E34" s="13" t="n">
        <f aca="false">IF(MONTH($A34)=3,1,0)</f>
        <v>0</v>
      </c>
      <c r="F34" s="13" t="n">
        <f aca="false">IF(MONTH($A34)=4,1,0)</f>
        <v>0</v>
      </c>
      <c r="G34" s="13" t="n">
        <f aca="false">IF(MONTH($A34)=5,1,0)</f>
        <v>0</v>
      </c>
      <c r="H34" s="13" t="n">
        <f aca="false">IF(MONTH($A34)=6,1,0)</f>
        <v>0</v>
      </c>
      <c r="I34" s="13" t="n">
        <f aca="false">IF(MONTH($A34)=7,1,0)</f>
        <v>1</v>
      </c>
      <c r="J34" s="13" t="n">
        <f aca="false">IF(MONTH($A34)=8,1,0)</f>
        <v>0</v>
      </c>
      <c r="K34" s="13" t="n">
        <f aca="false">IF(MONTH($A34)=9,1,0)</f>
        <v>0</v>
      </c>
      <c r="L34" s="13" t="n">
        <f aca="false">IF(MONTH($A34)=10,1,0)</f>
        <v>0</v>
      </c>
      <c r="M34" s="13" t="n">
        <f aca="false">IF(MONTH($A34)=11,1,0)</f>
        <v>0</v>
      </c>
      <c r="N34" s="13" t="n">
        <f aca="false">IF(MONTH($A34)=12,1,0)</f>
        <v>0</v>
      </c>
      <c r="O34" s="7" t="n">
        <f aca="false">$B$5+SUMPRODUCT(C34:N34,$C$5:$N$5)</f>
        <v>2.05949257251775</v>
      </c>
      <c r="P34" s="7" t="n">
        <f aca="false">B34-O34</f>
        <v>-1.41474058089638</v>
      </c>
      <c r="Q34" s="7" t="n">
        <f aca="false">P34^2</f>
        <v>2.00149091123502</v>
      </c>
      <c r="T34" s="5" t="s">
        <v>116</v>
      </c>
      <c r="U34" s="7" t="n">
        <f aca="false">SQRT($U$33)</f>
        <v>0.706300212119548</v>
      </c>
      <c r="X34" s="6" t="s">
        <v>79</v>
      </c>
      <c r="Y34" s="20" t="n">
        <f aca="false">CORREL($C$7:$C$52,$N$7:$N$52)</f>
        <v>0.131222664791956</v>
      </c>
      <c r="Z34" s="20" t="n">
        <f aca="false">CORREL($D$7:$D$52,$N$7:$N$52)</f>
        <v>-0.0815139145939222</v>
      </c>
      <c r="AA34" s="20" t="n">
        <f aca="false">CORREL($E$7:$E$52,$N$7:$N$52)</f>
        <v>-0.0815139145939222</v>
      </c>
      <c r="AB34" s="20" t="n">
        <f aca="false">CORREL($F$7:$F$52,$N$7:$N$52)</f>
        <v>-0.0952380952380953</v>
      </c>
      <c r="AC34" s="20" t="n">
        <f aca="false">CORREL($G$7:$G$52,$N$7:$N$52)</f>
        <v>-0.0952380952380953</v>
      </c>
      <c r="AD34" s="20" t="n">
        <f aca="false">CORREL($H$7:$H$52,$N$7:$N$52)</f>
        <v>-0.0952380952380953</v>
      </c>
      <c r="AE34" s="20" t="n">
        <f aca="false">CORREL($I$7:$I$52,$N$7:$N$52)</f>
        <v>-0.0952380952380953</v>
      </c>
      <c r="AF34" s="20" t="n">
        <f aca="false">CORREL($J$7:$J$52,$N$7:$N$52)</f>
        <v>-0.0952380952380953</v>
      </c>
      <c r="AG34" s="20" t="n">
        <f aca="false">CORREL($K$7:$K$52,$N$7:$N$52)</f>
        <v>-0.0952380952380953</v>
      </c>
      <c r="AH34" s="20" t="n">
        <f aca="false">CORREL($L$7:$L$52,$N$7:$N$52)</f>
        <v>-0.0952380952380953</v>
      </c>
      <c r="AI34" s="20" t="n">
        <f aca="false">CORREL($M$7:$M$52,$N$7:$N$52)</f>
        <v>-0.0952380952380953</v>
      </c>
      <c r="AJ34" s="20" t="n">
        <f aca="false">CORREL($N$7:$N$52,$N$7:$N$52)</f>
        <v>1</v>
      </c>
    </row>
    <row r="35" customFormat="false" ht="15" hidden="false" customHeight="false" outlineLevel="0" collapsed="false">
      <c r="A35" s="11" t="n">
        <f aca="false">Data_Monthly!A33</f>
        <v>45163</v>
      </c>
      <c r="B35" s="12" t="n">
        <f aca="false">Data_Monthly!J33</f>
        <v>-0.281087587211844</v>
      </c>
      <c r="C35" s="13" t="n">
        <f aca="false">IF($A35&gt;=$U$5,1,0)</f>
        <v>0</v>
      </c>
      <c r="D35" s="13" t="n">
        <f aca="false">IF(MONTH($A35)=2,1,0)</f>
        <v>0</v>
      </c>
      <c r="E35" s="13" t="n">
        <f aca="false">IF(MONTH($A35)=3,1,0)</f>
        <v>0</v>
      </c>
      <c r="F35" s="13" t="n">
        <f aca="false">IF(MONTH($A35)=4,1,0)</f>
        <v>0</v>
      </c>
      <c r="G35" s="13" t="n">
        <f aca="false">IF(MONTH($A35)=5,1,0)</f>
        <v>0</v>
      </c>
      <c r="H35" s="13" t="n">
        <f aca="false">IF(MONTH($A35)=6,1,0)</f>
        <v>0</v>
      </c>
      <c r="I35" s="13" t="n">
        <f aca="false">IF(MONTH($A35)=7,1,0)</f>
        <v>0</v>
      </c>
      <c r="J35" s="13" t="n">
        <f aca="false">IF(MONTH($A35)=8,1,0)</f>
        <v>1</v>
      </c>
      <c r="K35" s="13" t="n">
        <f aca="false">IF(MONTH($A35)=9,1,0)</f>
        <v>0</v>
      </c>
      <c r="L35" s="13" t="n">
        <f aca="false">IF(MONTH($A35)=10,1,0)</f>
        <v>0</v>
      </c>
      <c r="M35" s="13" t="n">
        <f aca="false">IF(MONTH($A35)=11,1,0)</f>
        <v>0</v>
      </c>
      <c r="N35" s="13" t="n">
        <f aca="false">IF(MONTH($A35)=12,1,0)</f>
        <v>0</v>
      </c>
      <c r="O35" s="7" t="n">
        <f aca="false">$B$5+SUMPRODUCT(C35:N35,$C$5:$N$5)</f>
        <v>0.384128553695128</v>
      </c>
      <c r="P35" s="7" t="n">
        <f aca="false">B35-O35</f>
        <v>-0.665216140906972</v>
      </c>
      <c r="Q35" s="7" t="n">
        <f aca="false">P35^2</f>
        <v>0.442512514123164</v>
      </c>
      <c r="T35" s="5" t="s">
        <v>111</v>
      </c>
      <c r="U35" s="13" t="n">
        <f aca="false">INDEX(LINEST(B7:B52,C7:N52,TRUE(),TRUE()),4,2)</f>
        <v>33</v>
      </c>
    </row>
    <row r="36" customFormat="false" ht="15" hidden="false" customHeight="false" outlineLevel="0" collapsed="false">
      <c r="A36" s="11" t="n">
        <f aca="false">Data_Monthly!A34</f>
        <v>45191</v>
      </c>
      <c r="B36" s="12" t="n">
        <f aca="false">Data_Monthly!J34</f>
        <v>-0.943158007377853</v>
      </c>
      <c r="C36" s="13" t="n">
        <f aca="false">IF($A36&gt;=$U$5,1,0)</f>
        <v>0</v>
      </c>
      <c r="D36" s="13" t="n">
        <f aca="false">IF(MONTH($A36)=2,1,0)</f>
        <v>0</v>
      </c>
      <c r="E36" s="13" t="n">
        <f aca="false">IF(MONTH($A36)=3,1,0)</f>
        <v>0</v>
      </c>
      <c r="F36" s="13" t="n">
        <f aca="false">IF(MONTH($A36)=4,1,0)</f>
        <v>0</v>
      </c>
      <c r="G36" s="13" t="n">
        <f aca="false">IF(MONTH($A36)=5,1,0)</f>
        <v>0</v>
      </c>
      <c r="H36" s="13" t="n">
        <f aca="false">IF(MONTH($A36)=6,1,0)</f>
        <v>0</v>
      </c>
      <c r="I36" s="13" t="n">
        <f aca="false">IF(MONTH($A36)=7,1,0)</f>
        <v>0</v>
      </c>
      <c r="J36" s="13" t="n">
        <f aca="false">IF(MONTH($A36)=8,1,0)</f>
        <v>0</v>
      </c>
      <c r="K36" s="13" t="n">
        <f aca="false">IF(MONTH($A36)=9,1,0)</f>
        <v>1</v>
      </c>
      <c r="L36" s="13" t="n">
        <f aca="false">IF(MONTH($A36)=10,1,0)</f>
        <v>0</v>
      </c>
      <c r="M36" s="13" t="n">
        <f aca="false">IF(MONTH($A36)=11,1,0)</f>
        <v>0</v>
      </c>
      <c r="N36" s="13" t="n">
        <f aca="false">IF(MONTH($A36)=12,1,0)</f>
        <v>0</v>
      </c>
      <c r="O36" s="7" t="n">
        <f aca="false">$B$5+SUMPRODUCT(C36:N36,$C$5:$N$5)</f>
        <v>-0.827328740409928</v>
      </c>
      <c r="P36" s="7" t="n">
        <f aca="false">B36-O36</f>
        <v>-0.115829266967925</v>
      </c>
      <c r="Q36" s="7" t="n">
        <f aca="false">P36^2</f>
        <v>0.0134164190863269</v>
      </c>
      <c r="T36" s="5" t="s">
        <v>117</v>
      </c>
      <c r="U36" s="7" t="n">
        <f aca="false">1-(1-$U$33)*($U$32-1)/$U$35</f>
        <v>0.316627258600161</v>
      </c>
      <c r="V36" s="16" t="n">
        <v>0.316627258600161</v>
      </c>
    </row>
    <row r="37" customFormat="false" ht="15" hidden="false" customHeight="false" outlineLevel="0" collapsed="false">
      <c r="A37" s="11" t="n">
        <f aca="false">Data_Monthly!A35</f>
        <v>45219</v>
      </c>
      <c r="B37" s="12" t="n">
        <f aca="false">Data_Monthly!J35</f>
        <v>3.77905596214895</v>
      </c>
      <c r="C37" s="13" t="n">
        <f aca="false">IF($A37&gt;=$U$5,1,0)</f>
        <v>0</v>
      </c>
      <c r="D37" s="13" t="n">
        <f aca="false">IF(MONTH($A37)=2,1,0)</f>
        <v>0</v>
      </c>
      <c r="E37" s="13" t="n">
        <f aca="false">IF(MONTH($A37)=3,1,0)</f>
        <v>0</v>
      </c>
      <c r="F37" s="13" t="n">
        <f aca="false">IF(MONTH($A37)=4,1,0)</f>
        <v>0</v>
      </c>
      <c r="G37" s="13" t="n">
        <f aca="false">IF(MONTH($A37)=5,1,0)</f>
        <v>0</v>
      </c>
      <c r="H37" s="13" t="n">
        <f aca="false">IF(MONTH($A37)=6,1,0)</f>
        <v>0</v>
      </c>
      <c r="I37" s="13" t="n">
        <f aca="false">IF(MONTH($A37)=7,1,0)</f>
        <v>0</v>
      </c>
      <c r="J37" s="13" t="n">
        <f aca="false">IF(MONTH($A37)=8,1,0)</f>
        <v>0</v>
      </c>
      <c r="K37" s="13" t="n">
        <f aca="false">IF(MONTH($A37)=9,1,0)</f>
        <v>0</v>
      </c>
      <c r="L37" s="13" t="n">
        <f aca="false">IF(MONTH($A37)=10,1,0)</f>
        <v>1</v>
      </c>
      <c r="M37" s="13" t="n">
        <f aca="false">IF(MONTH($A37)=11,1,0)</f>
        <v>0</v>
      </c>
      <c r="N37" s="13" t="n">
        <f aca="false">IF(MONTH($A37)=12,1,0)</f>
        <v>0</v>
      </c>
      <c r="O37" s="7" t="n">
        <f aca="false">$B$5+SUMPRODUCT(C37:N37,$C$5:$N$5)</f>
        <v>2.9122417208151</v>
      </c>
      <c r="P37" s="7" t="n">
        <f aca="false">B37-O37</f>
        <v>0.866814241333848</v>
      </c>
      <c r="Q37" s="7" t="n">
        <f aca="false">P37^2</f>
        <v>0.751366928979175</v>
      </c>
      <c r="T37" s="5" t="s">
        <v>118</v>
      </c>
      <c r="U37" s="7" t="n">
        <f aca="false">INDEX(LINEST(B7:B52,C7:N52,TRUE(),TRUE()),3,2)</f>
        <v>1.27200438126327</v>
      </c>
      <c r="V37" s="16" t="n">
        <v>1.27200438126327</v>
      </c>
    </row>
    <row r="38" customFormat="false" ht="15" hidden="false" customHeight="false" outlineLevel="0" collapsed="false">
      <c r="A38" s="11" t="n">
        <f aca="false">Data_Monthly!A36</f>
        <v>45247</v>
      </c>
      <c r="B38" s="12" t="n">
        <f aca="false">Data_Monthly!J36</f>
        <v>-0.317344161152159</v>
      </c>
      <c r="C38" s="13" t="n">
        <f aca="false">IF($A38&gt;=$U$5,1,0)</f>
        <v>0</v>
      </c>
      <c r="D38" s="13" t="n">
        <f aca="false">IF(MONTH($A38)=2,1,0)</f>
        <v>0</v>
      </c>
      <c r="E38" s="13" t="n">
        <f aca="false">IF(MONTH($A38)=3,1,0)</f>
        <v>0</v>
      </c>
      <c r="F38" s="13" t="n">
        <f aca="false">IF(MONTH($A38)=4,1,0)</f>
        <v>0</v>
      </c>
      <c r="G38" s="13" t="n">
        <f aca="false">IF(MONTH($A38)=5,1,0)</f>
        <v>0</v>
      </c>
      <c r="H38" s="13" t="n">
        <f aca="false">IF(MONTH($A38)=6,1,0)</f>
        <v>0</v>
      </c>
      <c r="I38" s="13" t="n">
        <f aca="false">IF(MONTH($A38)=7,1,0)</f>
        <v>0</v>
      </c>
      <c r="J38" s="13" t="n">
        <f aca="false">IF(MONTH($A38)=8,1,0)</f>
        <v>0</v>
      </c>
      <c r="K38" s="13" t="n">
        <f aca="false">IF(MONTH($A38)=9,1,0)</f>
        <v>0</v>
      </c>
      <c r="L38" s="13" t="n">
        <f aca="false">IF(MONTH($A38)=10,1,0)</f>
        <v>0</v>
      </c>
      <c r="M38" s="13" t="n">
        <f aca="false">IF(MONTH($A38)=11,1,0)</f>
        <v>1</v>
      </c>
      <c r="N38" s="13" t="n">
        <f aca="false">IF(MONTH($A38)=12,1,0)</f>
        <v>0</v>
      </c>
      <c r="O38" s="7" t="n">
        <f aca="false">$B$5+SUMPRODUCT(C38:N38,$C$5:$N$5)</f>
        <v>0.0586853384137579</v>
      </c>
      <c r="P38" s="7" t="n">
        <f aca="false">B38-O38</f>
        <v>-0.376029499565917</v>
      </c>
      <c r="Q38" s="7" t="n">
        <f aca="false">P38^2</f>
        <v>0.141398184543794</v>
      </c>
    </row>
    <row r="39" customFormat="false" ht="15" hidden="false" customHeight="false" outlineLevel="0" collapsed="false">
      <c r="A39" s="11" t="n">
        <f aca="false">Data_Monthly!A37</f>
        <v>45289</v>
      </c>
      <c r="B39" s="12" t="n">
        <f aca="false">Data_Monthly!J37</f>
        <v>0.28394319607609</v>
      </c>
      <c r="C39" s="13" t="n">
        <f aca="false">IF($A39&gt;=$U$5,1,0)</f>
        <v>1</v>
      </c>
      <c r="D39" s="13" t="n">
        <f aca="false">IF(MONTH($A39)=2,1,0)</f>
        <v>0</v>
      </c>
      <c r="E39" s="13" t="n">
        <f aca="false">IF(MONTH($A39)=3,1,0)</f>
        <v>0</v>
      </c>
      <c r="F39" s="13" t="n">
        <f aca="false">IF(MONTH($A39)=4,1,0)</f>
        <v>0</v>
      </c>
      <c r="G39" s="13" t="n">
        <f aca="false">IF(MONTH($A39)=5,1,0)</f>
        <v>0</v>
      </c>
      <c r="H39" s="13" t="n">
        <f aca="false">IF(MONTH($A39)=6,1,0)</f>
        <v>0</v>
      </c>
      <c r="I39" s="13" t="n">
        <f aca="false">IF(MONTH($A39)=7,1,0)</f>
        <v>0</v>
      </c>
      <c r="J39" s="13" t="n">
        <f aca="false">IF(MONTH($A39)=8,1,0)</f>
        <v>0</v>
      </c>
      <c r="K39" s="13" t="n">
        <f aca="false">IF(MONTH($A39)=9,1,0)</f>
        <v>0</v>
      </c>
      <c r="L39" s="13" t="n">
        <f aca="false">IF(MONTH($A39)=10,1,0)</f>
        <v>0</v>
      </c>
      <c r="M39" s="13" t="n">
        <f aca="false">IF(MONTH($A39)=11,1,0)</f>
        <v>0</v>
      </c>
      <c r="N39" s="13" t="n">
        <f aca="false">IF(MONTH($A39)=12,1,0)</f>
        <v>1</v>
      </c>
      <c r="O39" s="7" t="n">
        <f aca="false">$B$5+SUMPRODUCT(C39:N39,$C$5:$N$5)</f>
        <v>-0.119150915281678</v>
      </c>
      <c r="P39" s="7" t="n">
        <f aca="false">B39-O39</f>
        <v>0.403094111357768</v>
      </c>
      <c r="Q39" s="7" t="n">
        <f aca="false">P39^2</f>
        <v>0.162484862611309</v>
      </c>
      <c r="T39" s="9" t="s">
        <v>119</v>
      </c>
      <c r="U39" s="14" t="s">
        <v>91</v>
      </c>
      <c r="V39" s="14" t="s">
        <v>92</v>
      </c>
    </row>
    <row r="40" customFormat="false" ht="15" hidden="false" customHeight="false" outlineLevel="0" collapsed="false">
      <c r="A40" s="11" t="n">
        <f aca="false">Data_Monthly!A38</f>
        <v>45317</v>
      </c>
      <c r="B40" s="12" t="n">
        <f aca="false">Data_Monthly!J38</f>
        <v>0.911909719397445</v>
      </c>
      <c r="C40" s="13" t="n">
        <f aca="false">IF($A40&gt;=$U$5,1,0)</f>
        <v>1</v>
      </c>
      <c r="D40" s="13" t="n">
        <f aca="false">IF(MONTH($A40)=2,1,0)</f>
        <v>0</v>
      </c>
      <c r="E40" s="13" t="n">
        <f aca="false">IF(MONTH($A40)=3,1,0)</f>
        <v>0</v>
      </c>
      <c r="F40" s="13" t="n">
        <f aca="false">IF(MONTH($A40)=4,1,0)</f>
        <v>0</v>
      </c>
      <c r="G40" s="13" t="n">
        <f aca="false">IF(MONTH($A40)=5,1,0)</f>
        <v>0</v>
      </c>
      <c r="H40" s="13" t="n">
        <f aca="false">IF(MONTH($A40)=6,1,0)</f>
        <v>0</v>
      </c>
      <c r="I40" s="13" t="n">
        <f aca="false">IF(MONTH($A40)=7,1,0)</f>
        <v>0</v>
      </c>
      <c r="J40" s="13" t="n">
        <f aca="false">IF(MONTH($A40)=8,1,0)</f>
        <v>0</v>
      </c>
      <c r="K40" s="13" t="n">
        <f aca="false">IF(MONTH($A40)=9,1,0)</f>
        <v>0</v>
      </c>
      <c r="L40" s="13" t="n">
        <f aca="false">IF(MONTH($A40)=10,1,0)</f>
        <v>0</v>
      </c>
      <c r="M40" s="13" t="n">
        <f aca="false">IF(MONTH($A40)=11,1,0)</f>
        <v>0</v>
      </c>
      <c r="N40" s="13" t="n">
        <f aca="false">IF(MONTH($A40)=12,1,0)</f>
        <v>0</v>
      </c>
      <c r="O40" s="7" t="n">
        <f aca="false">$B$5+SUMPRODUCT(C40:N40,$C$5:$N$5)</f>
        <v>-0.00825066767627281</v>
      </c>
      <c r="P40" s="7" t="n">
        <f aca="false">B40-O40</f>
        <v>0.920160387073718</v>
      </c>
      <c r="Q40" s="7" t="n">
        <f aca="false">P40^2</f>
        <v>0.846695137939654</v>
      </c>
      <c r="T40" s="5" t="s">
        <v>120</v>
      </c>
      <c r="U40" s="7" t="n">
        <f aca="false">INDEX(LINEST(B7:B52,C7:N52,TRUE(),TRUE()),5,1)</f>
        <v>53.1509155665918</v>
      </c>
      <c r="V40" s="16" t="n">
        <v>53.1509155665918</v>
      </c>
    </row>
    <row r="41" customFormat="false" ht="15" hidden="false" customHeight="false" outlineLevel="0" collapsed="false">
      <c r="A41" s="11" t="n">
        <f aca="false">Data_Monthly!A39</f>
        <v>45345</v>
      </c>
      <c r="B41" s="12" t="n">
        <f aca="false">Data_Monthly!J39</f>
        <v>-0.56286788786668</v>
      </c>
      <c r="C41" s="13" t="n">
        <f aca="false">IF($A41&gt;=$U$5,1,0)</f>
        <v>1</v>
      </c>
      <c r="D41" s="13" t="n">
        <f aca="false">IF(MONTH($A41)=2,1,0)</f>
        <v>1</v>
      </c>
      <c r="E41" s="13" t="n">
        <f aca="false">IF(MONTH($A41)=3,1,0)</f>
        <v>0</v>
      </c>
      <c r="F41" s="13" t="n">
        <f aca="false">IF(MONTH($A41)=4,1,0)</f>
        <v>0</v>
      </c>
      <c r="G41" s="13" t="n">
        <f aca="false">IF(MONTH($A41)=5,1,0)</f>
        <v>0</v>
      </c>
      <c r="H41" s="13" t="n">
        <f aca="false">IF(MONTH($A41)=6,1,0)</f>
        <v>0</v>
      </c>
      <c r="I41" s="13" t="n">
        <f aca="false">IF(MONTH($A41)=7,1,0)</f>
        <v>0</v>
      </c>
      <c r="J41" s="13" t="n">
        <f aca="false">IF(MONTH($A41)=8,1,0)</f>
        <v>0</v>
      </c>
      <c r="K41" s="13" t="n">
        <f aca="false">IF(MONTH($A41)=9,1,0)</f>
        <v>0</v>
      </c>
      <c r="L41" s="13" t="n">
        <f aca="false">IF(MONTH($A41)=10,1,0)</f>
        <v>0</v>
      </c>
      <c r="M41" s="13" t="n">
        <f aca="false">IF(MONTH($A41)=11,1,0)</f>
        <v>0</v>
      </c>
      <c r="N41" s="13" t="n">
        <f aca="false">IF(MONTH($A41)=12,1,0)</f>
        <v>0</v>
      </c>
      <c r="O41" s="7" t="n">
        <f aca="false">$B$5+SUMPRODUCT(C41:N41,$C$5:$N$5)</f>
        <v>-0.376269731940243</v>
      </c>
      <c r="P41" s="7" t="n">
        <f aca="false">B41-O41</f>
        <v>-0.186598155926438</v>
      </c>
      <c r="Q41" s="7" t="n">
        <f aca="false">P41^2</f>
        <v>0.0348188717951471</v>
      </c>
      <c r="T41" s="5" t="s">
        <v>113</v>
      </c>
      <c r="U41" s="7" t="n">
        <f aca="false">INDEX(LINEST(B7:B52,C7:N52,TRUE(),TRUE()),5,2)</f>
        <v>53.3938398164473</v>
      </c>
      <c r="V41" s="16" t="n">
        <v>53.3938398164473</v>
      </c>
    </row>
    <row r="42" customFormat="false" ht="15" hidden="false" customHeight="false" outlineLevel="0" collapsed="false">
      <c r="A42" s="11" t="n">
        <f aca="false">Data_Monthly!A40</f>
        <v>45373</v>
      </c>
      <c r="B42" s="12" t="n">
        <f aca="false">Data_Monthly!J40</f>
        <v>-0.866465230635338</v>
      </c>
      <c r="C42" s="13" t="n">
        <f aca="false">IF($A42&gt;=$U$5,1,0)</f>
        <v>1</v>
      </c>
      <c r="D42" s="13" t="n">
        <f aca="false">IF(MONTH($A42)=2,1,0)</f>
        <v>0</v>
      </c>
      <c r="E42" s="13" t="n">
        <f aca="false">IF(MONTH($A42)=3,1,0)</f>
        <v>1</v>
      </c>
      <c r="F42" s="13" t="n">
        <f aca="false">IF(MONTH($A42)=4,1,0)</f>
        <v>0</v>
      </c>
      <c r="G42" s="13" t="n">
        <f aca="false">IF(MONTH($A42)=5,1,0)</f>
        <v>0</v>
      </c>
      <c r="H42" s="13" t="n">
        <f aca="false">IF(MONTH($A42)=6,1,0)</f>
        <v>0</v>
      </c>
      <c r="I42" s="13" t="n">
        <f aca="false">IF(MONTH($A42)=7,1,0)</f>
        <v>0</v>
      </c>
      <c r="J42" s="13" t="n">
        <f aca="false">IF(MONTH($A42)=8,1,0)</f>
        <v>0</v>
      </c>
      <c r="K42" s="13" t="n">
        <f aca="false">IF(MONTH($A42)=9,1,0)</f>
        <v>0</v>
      </c>
      <c r="L42" s="13" t="n">
        <f aca="false">IF(MONTH($A42)=10,1,0)</f>
        <v>0</v>
      </c>
      <c r="M42" s="13" t="n">
        <f aca="false">IF(MONTH($A42)=11,1,0)</f>
        <v>0</v>
      </c>
      <c r="N42" s="13" t="n">
        <f aca="false">IF(MONTH($A42)=12,1,0)</f>
        <v>0</v>
      </c>
      <c r="O42" s="7" t="n">
        <f aca="false">$B$5+SUMPRODUCT(C42:N42,$C$5:$N$5)</f>
        <v>0.922359827749191</v>
      </c>
      <c r="P42" s="7" t="n">
        <f aca="false">B42-O42</f>
        <v>-1.78882505838453</v>
      </c>
      <c r="Q42" s="7" t="n">
        <f aca="false">P42^2</f>
        <v>3.19989508950441</v>
      </c>
      <c r="T42" s="5" t="s">
        <v>121</v>
      </c>
      <c r="U42" s="13" t="n">
        <f aca="false">COLUMNS(C7:N52)</f>
        <v>12</v>
      </c>
      <c r="V42" s="15" t="n">
        <v>12</v>
      </c>
    </row>
    <row r="43" customFormat="false" ht="15" hidden="false" customHeight="false" outlineLevel="0" collapsed="false">
      <c r="A43" s="11" t="n">
        <f aca="false">Data_Monthly!A41</f>
        <v>45401</v>
      </c>
      <c r="B43" s="12" t="n">
        <f aca="false">Data_Monthly!J41</f>
        <v>-0.471356549751907</v>
      </c>
      <c r="C43" s="13" t="n">
        <f aca="false">IF($A43&gt;=$U$5,1,0)</f>
        <v>1</v>
      </c>
      <c r="D43" s="13" t="n">
        <f aca="false">IF(MONTH($A43)=2,1,0)</f>
        <v>0</v>
      </c>
      <c r="E43" s="13" t="n">
        <f aca="false">IF(MONTH($A43)=3,1,0)</f>
        <v>0</v>
      </c>
      <c r="F43" s="13" t="n">
        <f aca="false">IF(MONTH($A43)=4,1,0)</f>
        <v>1</v>
      </c>
      <c r="G43" s="13" t="n">
        <f aca="false">IF(MONTH($A43)=5,1,0)</f>
        <v>0</v>
      </c>
      <c r="H43" s="13" t="n">
        <f aca="false">IF(MONTH($A43)=6,1,0)</f>
        <v>0</v>
      </c>
      <c r="I43" s="13" t="n">
        <f aca="false">IF(MONTH($A43)=7,1,0)</f>
        <v>0</v>
      </c>
      <c r="J43" s="13" t="n">
        <f aca="false">IF(MONTH($A43)=8,1,0)</f>
        <v>0</v>
      </c>
      <c r="K43" s="13" t="n">
        <f aca="false">IF(MONTH($A43)=9,1,0)</f>
        <v>0</v>
      </c>
      <c r="L43" s="13" t="n">
        <f aca="false">IF(MONTH($A43)=10,1,0)</f>
        <v>0</v>
      </c>
      <c r="M43" s="13" t="n">
        <f aca="false">IF(MONTH($A43)=11,1,0)</f>
        <v>0</v>
      </c>
      <c r="N43" s="13" t="n">
        <f aca="false">IF(MONTH($A43)=12,1,0)</f>
        <v>0</v>
      </c>
      <c r="O43" s="7" t="n">
        <f aca="false">$B$5+SUMPRODUCT(C43:N43,$C$5:$N$5)</f>
        <v>-0.470700615238092</v>
      </c>
      <c r="P43" s="7" t="n">
        <f aca="false">B43-O43</f>
        <v>-0.000655934513815515</v>
      </c>
      <c r="Q43" s="7" t="n">
        <f aca="false">P43^2</f>
        <v>4.30250086414396E-007</v>
      </c>
      <c r="T43" s="5" t="s">
        <v>111</v>
      </c>
      <c r="U43" s="13" t="n">
        <f aca="false">$U$35</f>
        <v>33</v>
      </c>
      <c r="V43" s="15" t="n">
        <v>33</v>
      </c>
    </row>
    <row r="44" customFormat="false" ht="15" hidden="false" customHeight="false" outlineLevel="0" collapsed="false">
      <c r="A44" s="11" t="n">
        <f aca="false">Data_Monthly!A42</f>
        <v>45443</v>
      </c>
      <c r="B44" s="12" t="n">
        <f aca="false">Data_Monthly!J42</f>
        <v>0.87100787050168</v>
      </c>
      <c r="C44" s="13" t="n">
        <f aca="false">IF($A44&gt;=$U$5,1,0)</f>
        <v>1</v>
      </c>
      <c r="D44" s="13" t="n">
        <f aca="false">IF(MONTH($A44)=2,1,0)</f>
        <v>0</v>
      </c>
      <c r="E44" s="13" t="n">
        <f aca="false">IF(MONTH($A44)=3,1,0)</f>
        <v>0</v>
      </c>
      <c r="F44" s="13" t="n">
        <f aca="false">IF(MONTH($A44)=4,1,0)</f>
        <v>0</v>
      </c>
      <c r="G44" s="13" t="n">
        <f aca="false">IF(MONTH($A44)=5,1,0)</f>
        <v>1</v>
      </c>
      <c r="H44" s="13" t="n">
        <f aca="false">IF(MONTH($A44)=6,1,0)</f>
        <v>0</v>
      </c>
      <c r="I44" s="13" t="n">
        <f aca="false">IF(MONTH($A44)=7,1,0)</f>
        <v>0</v>
      </c>
      <c r="J44" s="13" t="n">
        <f aca="false">IF(MONTH($A44)=8,1,0)</f>
        <v>0</v>
      </c>
      <c r="K44" s="13" t="n">
        <f aca="false">IF(MONTH($A44)=9,1,0)</f>
        <v>0</v>
      </c>
      <c r="L44" s="13" t="n">
        <f aca="false">IF(MONTH($A44)=10,1,0)</f>
        <v>0</v>
      </c>
      <c r="M44" s="13" t="n">
        <f aca="false">IF(MONTH($A44)=11,1,0)</f>
        <v>0</v>
      </c>
      <c r="N44" s="13" t="n">
        <f aca="false">IF(MONTH($A44)=12,1,0)</f>
        <v>0</v>
      </c>
      <c r="O44" s="7" t="n">
        <f aca="false">$B$5+SUMPRODUCT(C44:N44,$C$5:$N$5)</f>
        <v>-0.955219622993327</v>
      </c>
      <c r="P44" s="7" t="n">
        <f aca="false">B44-O44</f>
        <v>1.82622749349501</v>
      </c>
      <c r="Q44" s="7" t="n">
        <f aca="false">P44^2</f>
        <v>3.33510685799705</v>
      </c>
      <c r="T44" s="5" t="s">
        <v>122</v>
      </c>
      <c r="U44" s="7" t="n">
        <f aca="false">$U$40/$U$42</f>
        <v>4.42924296388265</v>
      </c>
    </row>
    <row r="45" customFormat="false" ht="15" hidden="false" customHeight="false" outlineLevel="0" collapsed="false">
      <c r="A45" s="11" t="n">
        <f aca="false">Data_Monthly!A43</f>
        <v>45471</v>
      </c>
      <c r="B45" s="12" t="n">
        <f aca="false">Data_Monthly!J43</f>
        <v>0.35278200067097</v>
      </c>
      <c r="C45" s="13" t="n">
        <f aca="false">IF($A45&gt;=$U$5,1,0)</f>
        <v>1</v>
      </c>
      <c r="D45" s="13" t="n">
        <f aca="false">IF(MONTH($A45)=2,1,0)</f>
        <v>0</v>
      </c>
      <c r="E45" s="13" t="n">
        <f aca="false">IF(MONTH($A45)=3,1,0)</f>
        <v>0</v>
      </c>
      <c r="F45" s="13" t="n">
        <f aca="false">IF(MONTH($A45)=4,1,0)</f>
        <v>0</v>
      </c>
      <c r="G45" s="13" t="n">
        <f aca="false">IF(MONTH($A45)=5,1,0)</f>
        <v>0</v>
      </c>
      <c r="H45" s="13" t="n">
        <f aca="false">IF(MONTH($A45)=6,1,0)</f>
        <v>1</v>
      </c>
      <c r="I45" s="13" t="n">
        <f aca="false">IF(MONTH($A45)=7,1,0)</f>
        <v>0</v>
      </c>
      <c r="J45" s="13" t="n">
        <f aca="false">IF(MONTH($A45)=8,1,0)</f>
        <v>0</v>
      </c>
      <c r="K45" s="13" t="n">
        <f aca="false">IF(MONTH($A45)=9,1,0)</f>
        <v>0</v>
      </c>
      <c r="L45" s="13" t="n">
        <f aca="false">IF(MONTH($A45)=10,1,0)</f>
        <v>0</v>
      </c>
      <c r="M45" s="13" t="n">
        <f aca="false">IF(MONTH($A45)=11,1,0)</f>
        <v>0</v>
      </c>
      <c r="N45" s="13" t="n">
        <f aca="false">IF(MONTH($A45)=12,1,0)</f>
        <v>0</v>
      </c>
      <c r="O45" s="7" t="n">
        <f aca="false">$B$5+SUMPRODUCT(C45:N45,$C$5:$N$5)</f>
        <v>-0.855784241257073</v>
      </c>
      <c r="P45" s="7" t="n">
        <f aca="false">B45-O45</f>
        <v>1.20856624192804</v>
      </c>
      <c r="Q45" s="7" t="n">
        <f aca="false">P45^2</f>
        <v>1.46063236112807</v>
      </c>
      <c r="T45" s="5" t="s">
        <v>123</v>
      </c>
      <c r="U45" s="7" t="n">
        <f aca="false">$U$41/$U$43</f>
        <v>1.61799514595295</v>
      </c>
    </row>
    <row r="46" customFormat="false" ht="15" hidden="false" customHeight="false" outlineLevel="0" collapsed="false">
      <c r="A46" s="11" t="n">
        <f aca="false">Data_Monthly!A44</f>
        <v>45499</v>
      </c>
      <c r="B46" s="12" t="n">
        <f aca="false">Data_Monthly!J44</f>
        <v>-0.138564297777736</v>
      </c>
      <c r="C46" s="13" t="n">
        <f aca="false">IF($A46&gt;=$U$5,1,0)</f>
        <v>1</v>
      </c>
      <c r="D46" s="13" t="n">
        <f aca="false">IF(MONTH($A46)=2,1,0)</f>
        <v>0</v>
      </c>
      <c r="E46" s="13" t="n">
        <f aca="false">IF(MONTH($A46)=3,1,0)</f>
        <v>0</v>
      </c>
      <c r="F46" s="13" t="n">
        <f aca="false">IF(MONTH($A46)=4,1,0)</f>
        <v>0</v>
      </c>
      <c r="G46" s="13" t="n">
        <f aca="false">IF(MONTH($A46)=5,1,0)</f>
        <v>0</v>
      </c>
      <c r="H46" s="13" t="n">
        <f aca="false">IF(MONTH($A46)=6,1,0)</f>
        <v>0</v>
      </c>
      <c r="I46" s="13" t="n">
        <f aca="false">IF(MONTH($A46)=7,1,0)</f>
        <v>1</v>
      </c>
      <c r="J46" s="13" t="n">
        <f aca="false">IF(MONTH($A46)=8,1,0)</f>
        <v>0</v>
      </c>
      <c r="K46" s="13" t="n">
        <f aca="false">IF(MONTH($A46)=9,1,0)</f>
        <v>0</v>
      </c>
      <c r="L46" s="13" t="n">
        <f aca="false">IF(MONTH($A46)=10,1,0)</f>
        <v>0</v>
      </c>
      <c r="M46" s="13" t="n">
        <f aca="false">IF(MONTH($A46)=11,1,0)</f>
        <v>0</v>
      </c>
      <c r="N46" s="13" t="n">
        <f aca="false">IF(MONTH($A46)=12,1,0)</f>
        <v>0</v>
      </c>
      <c r="O46" s="7" t="n">
        <f aca="false">$B$5+SUMPRODUCT(C46:N46,$C$5:$N$5)</f>
        <v>1.27669152221651</v>
      </c>
      <c r="P46" s="7" t="n">
        <f aca="false">B46-O46</f>
        <v>-1.41525581999424</v>
      </c>
      <c r="Q46" s="7" t="n">
        <f aca="false">P46^2</f>
        <v>2.00294903602758</v>
      </c>
      <c r="T46" s="5" t="s">
        <v>124</v>
      </c>
      <c r="U46" s="7" t="n">
        <f aca="false">INDEX(LINEST(B7:B52,C7:N52,TRUE(),TRUE()),4,1)</f>
        <v>2.73748841271954</v>
      </c>
      <c r="V46" s="16" t="n">
        <v>2.73748841271954</v>
      </c>
    </row>
    <row r="47" customFormat="false" ht="15" hidden="false" customHeight="false" outlineLevel="0" collapsed="false">
      <c r="A47" s="11" t="n">
        <f aca="false">Data_Monthly!A45</f>
        <v>45527</v>
      </c>
      <c r="B47" s="12" t="n">
        <f aca="false">Data_Monthly!J45</f>
        <v>-1.07558793904516</v>
      </c>
      <c r="C47" s="13" t="n">
        <f aca="false">IF($A47&gt;=$U$5,1,0)</f>
        <v>1</v>
      </c>
      <c r="D47" s="13" t="n">
        <f aca="false">IF(MONTH($A47)=2,1,0)</f>
        <v>0</v>
      </c>
      <c r="E47" s="13" t="n">
        <f aca="false">IF(MONTH($A47)=3,1,0)</f>
        <v>0</v>
      </c>
      <c r="F47" s="13" t="n">
        <f aca="false">IF(MONTH($A47)=4,1,0)</f>
        <v>0</v>
      </c>
      <c r="G47" s="13" t="n">
        <f aca="false">IF(MONTH($A47)=5,1,0)</f>
        <v>0</v>
      </c>
      <c r="H47" s="13" t="n">
        <f aca="false">IF(MONTH($A47)=6,1,0)</f>
        <v>0</v>
      </c>
      <c r="I47" s="13" t="n">
        <f aca="false">IF(MONTH($A47)=7,1,0)</f>
        <v>0</v>
      </c>
      <c r="J47" s="13" t="n">
        <f aca="false">IF(MONTH($A47)=8,1,0)</f>
        <v>1</v>
      </c>
      <c r="K47" s="13" t="n">
        <f aca="false">IF(MONTH($A47)=9,1,0)</f>
        <v>0</v>
      </c>
      <c r="L47" s="13" t="n">
        <f aca="false">IF(MONTH($A47)=10,1,0)</f>
        <v>0</v>
      </c>
      <c r="M47" s="13" t="n">
        <f aca="false">IF(MONTH($A47)=11,1,0)</f>
        <v>0</v>
      </c>
      <c r="N47" s="13" t="n">
        <f aca="false">IF(MONTH($A47)=12,1,0)</f>
        <v>0</v>
      </c>
      <c r="O47" s="7" t="n">
        <f aca="false">$B$5+SUMPRODUCT(C47:N47,$C$5:$N$5)</f>
        <v>-0.398672496606115</v>
      </c>
      <c r="P47" s="7" t="n">
        <f aca="false">B47-O47</f>
        <v>-0.676915442439049</v>
      </c>
      <c r="Q47" s="7" t="n">
        <f aca="false">P47^2</f>
        <v>0.458214516212453</v>
      </c>
      <c r="T47" s="5" t="s">
        <v>125</v>
      </c>
      <c r="U47" s="7" t="n">
        <f aca="false">_xlfn.F.DIST.RT($U$46,$U$42,$U$43)</f>
        <v>0.0109146016537644</v>
      </c>
      <c r="V47" s="16" t="n">
        <v>0.0109146016537645</v>
      </c>
    </row>
    <row r="48" customFormat="false" ht="15" hidden="false" customHeight="false" outlineLevel="0" collapsed="false">
      <c r="A48" s="11" t="n">
        <f aca="false">Data_Monthly!A46</f>
        <v>45555</v>
      </c>
      <c r="B48" s="12" t="n">
        <f aca="false">Data_Monthly!J46</f>
        <v>-1.77455790504058</v>
      </c>
      <c r="C48" s="13" t="n">
        <f aca="false">IF($A48&gt;=$U$5,1,0)</f>
        <v>1</v>
      </c>
      <c r="D48" s="13" t="n">
        <f aca="false">IF(MONTH($A48)=2,1,0)</f>
        <v>0</v>
      </c>
      <c r="E48" s="13" t="n">
        <f aca="false">IF(MONTH($A48)=3,1,0)</f>
        <v>0</v>
      </c>
      <c r="F48" s="13" t="n">
        <f aca="false">IF(MONTH($A48)=4,1,0)</f>
        <v>0</v>
      </c>
      <c r="G48" s="13" t="n">
        <f aca="false">IF(MONTH($A48)=5,1,0)</f>
        <v>0</v>
      </c>
      <c r="H48" s="13" t="n">
        <f aca="false">IF(MONTH($A48)=6,1,0)</f>
        <v>0</v>
      </c>
      <c r="I48" s="13" t="n">
        <f aca="false">IF(MONTH($A48)=7,1,0)</f>
        <v>0</v>
      </c>
      <c r="J48" s="13" t="n">
        <f aca="false">IF(MONTH($A48)=8,1,0)</f>
        <v>0</v>
      </c>
      <c r="K48" s="13" t="n">
        <f aca="false">IF(MONTH($A48)=9,1,0)</f>
        <v>1</v>
      </c>
      <c r="L48" s="13" t="n">
        <f aca="false">IF(MONTH($A48)=10,1,0)</f>
        <v>0</v>
      </c>
      <c r="M48" s="13" t="n">
        <f aca="false">IF(MONTH($A48)=11,1,0)</f>
        <v>0</v>
      </c>
      <c r="N48" s="13" t="n">
        <f aca="false">IF(MONTH($A48)=12,1,0)</f>
        <v>0</v>
      </c>
      <c r="O48" s="7" t="n">
        <f aca="false">$B$5+SUMPRODUCT(C48:N48,$C$5:$N$5)</f>
        <v>-1.61012979071117</v>
      </c>
      <c r="P48" s="7" t="n">
        <f aca="false">B48-O48</f>
        <v>-0.164428114329412</v>
      </c>
      <c r="Q48" s="7" t="n">
        <f aca="false">P48^2</f>
        <v>0.027036604781926</v>
      </c>
    </row>
    <row r="49" customFormat="false" ht="15" hidden="false" customHeight="false" outlineLevel="0" collapsed="false">
      <c r="A49" s="11" t="n">
        <f aca="false">Data_Monthly!A47</f>
        <v>45583</v>
      </c>
      <c r="B49" s="12" t="n">
        <f aca="false">Data_Monthly!J47</f>
        <v>1.18605904683878</v>
      </c>
      <c r="C49" s="13" t="n">
        <f aca="false">IF($A49&gt;=$U$5,1,0)</f>
        <v>1</v>
      </c>
      <c r="D49" s="13" t="n">
        <f aca="false">IF(MONTH($A49)=2,1,0)</f>
        <v>0</v>
      </c>
      <c r="E49" s="13" t="n">
        <f aca="false">IF(MONTH($A49)=3,1,0)</f>
        <v>0</v>
      </c>
      <c r="F49" s="13" t="n">
        <f aca="false">IF(MONTH($A49)=4,1,0)</f>
        <v>0</v>
      </c>
      <c r="G49" s="13" t="n">
        <f aca="false">IF(MONTH($A49)=5,1,0)</f>
        <v>0</v>
      </c>
      <c r="H49" s="13" t="n">
        <f aca="false">IF(MONTH($A49)=6,1,0)</f>
        <v>0</v>
      </c>
      <c r="I49" s="13" t="n">
        <f aca="false">IF(MONTH($A49)=7,1,0)</f>
        <v>0</v>
      </c>
      <c r="J49" s="13" t="n">
        <f aca="false">IF(MONTH($A49)=8,1,0)</f>
        <v>0</v>
      </c>
      <c r="K49" s="13" t="n">
        <f aca="false">IF(MONTH($A49)=9,1,0)</f>
        <v>0</v>
      </c>
      <c r="L49" s="13" t="n">
        <f aca="false">IF(MONTH($A49)=10,1,0)</f>
        <v>1</v>
      </c>
      <c r="M49" s="13" t="n">
        <f aca="false">IF(MONTH($A49)=11,1,0)</f>
        <v>0</v>
      </c>
      <c r="N49" s="13" t="n">
        <f aca="false">IF(MONTH($A49)=12,1,0)</f>
        <v>0</v>
      </c>
      <c r="O49" s="7" t="n">
        <f aca="false">$B$5+SUMPRODUCT(C49:N49,$C$5:$N$5)</f>
        <v>2.12944067051386</v>
      </c>
      <c r="P49" s="7" t="n">
        <f aca="false">B49-O49</f>
        <v>-0.943381623675081</v>
      </c>
      <c r="Q49" s="7" t="n">
        <f aca="false">P49^2</f>
        <v>0.889968887887832</v>
      </c>
      <c r="T49" s="9" t="s">
        <v>126</v>
      </c>
      <c r="U49" s="14" t="s">
        <v>91</v>
      </c>
      <c r="V49" s="14" t="s">
        <v>92</v>
      </c>
    </row>
    <row r="50" customFormat="false" ht="15" hidden="false" customHeight="false" outlineLevel="0" collapsed="false">
      <c r="A50" s="11" t="n">
        <f aca="false">Data_Monthly!A48</f>
        <v>45625</v>
      </c>
      <c r="B50" s="12" t="n">
        <f aca="false">Data_Monthly!J48</f>
        <v>1.0222743582282</v>
      </c>
      <c r="C50" s="13" t="n">
        <f aca="false">IF($A50&gt;=$U$5,1,0)</f>
        <v>1</v>
      </c>
      <c r="D50" s="13" t="n">
        <f aca="false">IF(MONTH($A50)=2,1,0)</f>
        <v>0</v>
      </c>
      <c r="E50" s="13" t="n">
        <f aca="false">IF(MONTH($A50)=3,1,0)</f>
        <v>0</v>
      </c>
      <c r="F50" s="13" t="n">
        <f aca="false">IF(MONTH($A50)=4,1,0)</f>
        <v>0</v>
      </c>
      <c r="G50" s="13" t="n">
        <f aca="false">IF(MONTH($A50)=5,1,0)</f>
        <v>0</v>
      </c>
      <c r="H50" s="13" t="n">
        <f aca="false">IF(MONTH($A50)=6,1,0)</f>
        <v>0</v>
      </c>
      <c r="I50" s="13" t="n">
        <f aca="false">IF(MONTH($A50)=7,1,0)</f>
        <v>0</v>
      </c>
      <c r="J50" s="13" t="n">
        <f aca="false">IF(MONTH($A50)=8,1,0)</f>
        <v>0</v>
      </c>
      <c r="K50" s="13" t="n">
        <f aca="false">IF(MONTH($A50)=9,1,0)</f>
        <v>0</v>
      </c>
      <c r="L50" s="13" t="n">
        <f aca="false">IF(MONTH($A50)=10,1,0)</f>
        <v>0</v>
      </c>
      <c r="M50" s="13" t="n">
        <f aca="false">IF(MONTH($A50)=11,1,0)</f>
        <v>1</v>
      </c>
      <c r="N50" s="13" t="n">
        <f aca="false">IF(MONTH($A50)=12,1,0)</f>
        <v>0</v>
      </c>
      <c r="O50" s="7" t="n">
        <f aca="false">$B$5+SUMPRODUCT(C50:N50,$C$5:$N$5)</f>
        <v>-0.724115711887485</v>
      </c>
      <c r="P50" s="7" t="n">
        <f aca="false">B50-O50</f>
        <v>1.74639007011568</v>
      </c>
      <c r="Q50" s="7" t="n">
        <f aca="false">P50^2</f>
        <v>3.04987827699866</v>
      </c>
      <c r="T50" s="5" t="s">
        <v>109</v>
      </c>
      <c r="U50" s="7" t="n">
        <f aca="false">Y7</f>
        <v>-0.782801050301243</v>
      </c>
      <c r="V50" s="16" t="n">
        <v>-0.782801050301243</v>
      </c>
    </row>
    <row r="51" customFormat="false" ht="15" hidden="false" customHeight="false" outlineLevel="0" collapsed="false">
      <c r="A51" s="11" t="n">
        <f aca="false">Data_Monthly!A49</f>
        <v>45653</v>
      </c>
      <c r="B51" s="12" t="n">
        <f aca="false">Data_Monthly!J49</f>
        <v>-0.642144268559886</v>
      </c>
      <c r="C51" s="13" t="n">
        <f aca="false">IF($A51&gt;=$U$5,1,0)</f>
        <v>1</v>
      </c>
      <c r="D51" s="13" t="n">
        <f aca="false">IF(MONTH($A51)=2,1,0)</f>
        <v>0</v>
      </c>
      <c r="E51" s="13" t="n">
        <f aca="false">IF(MONTH($A51)=3,1,0)</f>
        <v>0</v>
      </c>
      <c r="F51" s="13" t="n">
        <f aca="false">IF(MONTH($A51)=4,1,0)</f>
        <v>0</v>
      </c>
      <c r="G51" s="13" t="n">
        <f aca="false">IF(MONTH($A51)=5,1,0)</f>
        <v>0</v>
      </c>
      <c r="H51" s="13" t="n">
        <f aca="false">IF(MONTH($A51)=6,1,0)</f>
        <v>0</v>
      </c>
      <c r="I51" s="13" t="n">
        <f aca="false">IF(MONTH($A51)=7,1,0)</f>
        <v>0</v>
      </c>
      <c r="J51" s="13" t="n">
        <f aca="false">IF(MONTH($A51)=8,1,0)</f>
        <v>0</v>
      </c>
      <c r="K51" s="13" t="n">
        <f aca="false">IF(MONTH($A51)=9,1,0)</f>
        <v>0</v>
      </c>
      <c r="L51" s="13" t="n">
        <f aca="false">IF(MONTH($A51)=10,1,0)</f>
        <v>0</v>
      </c>
      <c r="M51" s="13" t="n">
        <f aca="false">IF(MONTH($A51)=11,1,0)</f>
        <v>0</v>
      </c>
      <c r="N51" s="13" t="n">
        <f aca="false">IF(MONTH($A51)=12,1,0)</f>
        <v>1</v>
      </c>
      <c r="O51" s="7" t="n">
        <f aca="false">$B$5+SUMPRODUCT(C51:N51,$C$5:$N$5)</f>
        <v>-0.119150915281678</v>
      </c>
      <c r="P51" s="7" t="n">
        <f aca="false">B51-O51</f>
        <v>-0.522993353278207</v>
      </c>
      <c r="Q51" s="7" t="n">
        <f aca="false">P51^2</f>
        <v>0.273522047573184</v>
      </c>
      <c r="T51" s="5" t="s">
        <v>110</v>
      </c>
      <c r="U51" s="7" t="n">
        <f aca="false">Z7</f>
        <v>0.416361168675314</v>
      </c>
      <c r="V51" s="16" t="n">
        <v>0.416361168675314</v>
      </c>
    </row>
    <row r="52" customFormat="false" ht="15" hidden="false" customHeight="false" outlineLevel="0" collapsed="false">
      <c r="A52" s="11" t="n">
        <f aca="false">Data_Monthly!A50</f>
        <v>45681</v>
      </c>
      <c r="B52" s="12" t="n">
        <f aca="false">Data_Monthly!J50</f>
        <v>-0.413635469105718</v>
      </c>
      <c r="C52" s="13" t="n">
        <f aca="false">IF($A52&gt;=$U$5,1,0)</f>
        <v>1</v>
      </c>
      <c r="D52" s="13" t="n">
        <f aca="false">IF(MONTH($A52)=2,1,0)</f>
        <v>0</v>
      </c>
      <c r="E52" s="13" t="n">
        <f aca="false">IF(MONTH($A52)=3,1,0)</f>
        <v>0</v>
      </c>
      <c r="F52" s="13" t="n">
        <f aca="false">IF(MONTH($A52)=4,1,0)</f>
        <v>0</v>
      </c>
      <c r="G52" s="13" t="n">
        <f aca="false">IF(MONTH($A52)=5,1,0)</f>
        <v>0</v>
      </c>
      <c r="H52" s="13" t="n">
        <f aca="false">IF(MONTH($A52)=6,1,0)</f>
        <v>0</v>
      </c>
      <c r="I52" s="13" t="n">
        <f aca="false">IF(MONTH($A52)=7,1,0)</f>
        <v>0</v>
      </c>
      <c r="J52" s="13" t="n">
        <f aca="false">IF(MONTH($A52)=8,1,0)</f>
        <v>0</v>
      </c>
      <c r="K52" s="13" t="n">
        <f aca="false">IF(MONTH($A52)=9,1,0)</f>
        <v>0</v>
      </c>
      <c r="L52" s="13" t="n">
        <f aca="false">IF(MONTH($A52)=10,1,0)</f>
        <v>0</v>
      </c>
      <c r="M52" s="13" t="n">
        <f aca="false">IF(MONTH($A52)=11,1,0)</f>
        <v>0</v>
      </c>
      <c r="N52" s="13" t="n">
        <f aca="false">IF(MONTH($A52)=12,1,0)</f>
        <v>0</v>
      </c>
      <c r="O52" s="7" t="n">
        <f aca="false">$B$5+SUMPRODUCT(C52:N52,$C$5:$N$5)</f>
        <v>-0.00825066767627281</v>
      </c>
      <c r="P52" s="7" t="n">
        <f aca="false">B52-O52</f>
        <v>-0.405384801429446</v>
      </c>
      <c r="Q52" s="7" t="n">
        <f aca="false">P52^2</f>
        <v>0.164336837229991</v>
      </c>
      <c r="T52" s="5" t="s">
        <v>102</v>
      </c>
      <c r="U52" s="7" t="n">
        <f aca="false">AA7</f>
        <v>-1.88010100171394</v>
      </c>
      <c r="V52" s="16" t="n">
        <v>-1.88010100171394</v>
      </c>
    </row>
    <row r="53" customFormat="false" ht="15" hidden="false" customHeight="false" outlineLevel="0" collapsed="false">
      <c r="T53" s="5" t="s">
        <v>88</v>
      </c>
      <c r="U53" s="7" t="n">
        <f aca="false">AB7</f>
        <v>0.0689463480625734</v>
      </c>
      <c r="V53" s="16" t="n">
        <v>0.0689463480625736</v>
      </c>
    </row>
    <row r="54" customFormat="false" ht="15" hidden="false" customHeight="false" outlineLevel="0" collapsed="false">
      <c r="T54" s="5" t="s">
        <v>127</v>
      </c>
      <c r="U54" s="7" t="n">
        <f aca="false">_xlfn.F.DIST.RT((($U$29-$U$41)/11)/($U$41/$U$43),11,$U$43)</f>
        <v>0.0141479766878449</v>
      </c>
      <c r="V54" s="16" t="n">
        <v>0.0141479766878449</v>
      </c>
    </row>
    <row r="56" customFormat="false" ht="15" hidden="false" customHeight="false" outlineLevel="0" collapsed="false">
      <c r="T56" s="9" t="s">
        <v>128</v>
      </c>
      <c r="U56" s="14" t="s">
        <v>91</v>
      </c>
      <c r="V56" s="14" t="s">
        <v>92</v>
      </c>
    </row>
    <row r="57" customFormat="false" ht="15" hidden="false" customHeight="false" outlineLevel="0" collapsed="false">
      <c r="T57" s="5" t="s">
        <v>129</v>
      </c>
      <c r="U57" s="7" t="n">
        <f aca="false">SUMXMY2(P8:P52,P7:P51)/SUMSQ(P7:P52)</f>
        <v>1.69688226530022</v>
      </c>
      <c r="V57" s="16" t="n">
        <v>1.69688226530022</v>
      </c>
    </row>
    <row r="58" customFormat="false" ht="15" hidden="false" customHeight="false" outlineLevel="0" collapsed="false">
      <c r="T58" s="5" t="s">
        <v>130</v>
      </c>
      <c r="U58" s="21" t="n">
        <f aca="false">SUMSQ(P7:P52)/$U$32</f>
        <v>1.16073564818364</v>
      </c>
    </row>
    <row r="59" customFormat="false" ht="15" hidden="false" customHeight="false" outlineLevel="0" collapsed="false">
      <c r="T59" s="5" t="s">
        <v>131</v>
      </c>
      <c r="U59" s="7" t="n">
        <f aca="false">(SUMPRODUCT(P7:P52^3)/$U$32)/$U$58^1.5</f>
        <v>0.0382733674463817</v>
      </c>
    </row>
    <row r="60" customFormat="false" ht="15" hidden="false" customHeight="false" outlineLevel="0" collapsed="false">
      <c r="T60" s="5" t="s">
        <v>132</v>
      </c>
      <c r="U60" s="7" t="n">
        <f aca="false">(SUMPRODUCT(P7:P52^4)/$U$32)/$U$58^2</f>
        <v>3.44886818690796</v>
      </c>
    </row>
    <row r="61" customFormat="false" ht="15" hidden="false" customHeight="false" outlineLevel="0" collapsed="false">
      <c r="T61" s="5" t="s">
        <v>133</v>
      </c>
      <c r="U61" s="7" t="n">
        <f aca="false">$U$32/6*($U$59^2+($U$60-3)^2/4)</f>
        <v>0.397405599361495</v>
      </c>
      <c r="V61" s="16" t="n">
        <v>0.397405599361493</v>
      </c>
    </row>
    <row r="62" customFormat="false" ht="15" hidden="false" customHeight="false" outlineLevel="0" collapsed="false">
      <c r="T62" s="5" t="s">
        <v>134</v>
      </c>
      <c r="U62" s="7" t="n">
        <f aca="false">_xlfn.CHISQ.DIST.RT($U$61,2)</f>
        <v>0.819793500021067</v>
      </c>
      <c r="V62" s="16" t="n">
        <v>0.819793500021068</v>
      </c>
    </row>
    <row r="63" customFormat="false" ht="15" hidden="false" customHeight="false" outlineLevel="0" collapsed="false">
      <c r="T63" s="5" t="s">
        <v>135</v>
      </c>
      <c r="U63" s="7" t="n">
        <f aca="false">INDEX(LINEST(Q7:Q52,C7:N52,TRUE(),TRUE()),3,1)</f>
        <v>0.319956402382052</v>
      </c>
    </row>
    <row r="64" customFormat="false" ht="15" hidden="false" customHeight="false" outlineLevel="0" collapsed="false">
      <c r="T64" s="5" t="s">
        <v>136</v>
      </c>
      <c r="U64" s="7" t="n">
        <f aca="false">$U$32*$U$63</f>
        <v>14.7179945095744</v>
      </c>
      <c r="V64" s="16" t="n">
        <v>14.7179945095744</v>
      </c>
    </row>
    <row r="65" customFormat="false" ht="15" hidden="false" customHeight="false" outlineLevel="0" collapsed="false">
      <c r="T65" s="5" t="s">
        <v>137</v>
      </c>
      <c r="U65" s="7" t="n">
        <f aca="false">_xlfn.CHISQ.DIST.RT($U$64,$U$42)</f>
        <v>0.257221992143403</v>
      </c>
      <c r="V65" s="16" t="n">
        <v>0.257221992143403</v>
      </c>
    </row>
    <row r="66" customFormat="false" ht="15" hidden="false" customHeight="false" outlineLevel="0" collapsed="false">
      <c r="T66" s="5" t="s">
        <v>138</v>
      </c>
      <c r="U66" s="7" t="n">
        <f aca="false">MAX(AC7:AC18)</f>
        <v>1.85054347826087</v>
      </c>
      <c r="V66" s="16" t="n">
        <v>1.85054347826087</v>
      </c>
    </row>
    <row r="68" customFormat="false" ht="15" hidden="false" customHeight="false" outlineLevel="0" collapsed="false">
      <c r="T68" s="9" t="s">
        <v>139</v>
      </c>
      <c r="U68" s="14" t="s">
        <v>91</v>
      </c>
      <c r="V68" s="14" t="s">
        <v>92</v>
      </c>
    </row>
    <row r="69" customFormat="false" ht="15" hidden="false" customHeight="false" outlineLevel="0" collapsed="false">
      <c r="T69" s="5" t="s">
        <v>140</v>
      </c>
      <c r="U69" s="22" t="n">
        <v>1802669.7256</v>
      </c>
      <c r="V69" s="23" t="n">
        <v>1802669.7256</v>
      </c>
    </row>
    <row r="70" customFormat="false" ht="15" hidden="false" customHeight="false" outlineLevel="0" collapsed="false">
      <c r="T70" s="5" t="s">
        <v>141</v>
      </c>
      <c r="U70" s="13" t="n">
        <f aca="false">$U$9</f>
        <v>14</v>
      </c>
      <c r="V70" s="15" t="n">
        <v>14</v>
      </c>
    </row>
    <row r="71" customFormat="false" ht="15" hidden="false" customHeight="false" outlineLevel="0" collapsed="false">
      <c r="T71" s="5" t="s">
        <v>142</v>
      </c>
      <c r="U71" s="20" t="n">
        <f aca="false">100*(EXP(-$U$14*$U$70/100)-1)</f>
        <v>11.1061950453389</v>
      </c>
      <c r="V71" s="24" t="n">
        <v>11.1061950453389</v>
      </c>
    </row>
    <row r="72" customFormat="false" ht="15" hidden="false" customHeight="false" outlineLevel="0" collapsed="false">
      <c r="T72" s="5" t="s">
        <v>143</v>
      </c>
      <c r="U72" s="25" t="n">
        <f aca="false">$U$69*(EXP(-$U$14*$U$70/100)-1)</f>
        <v>200208.015748412</v>
      </c>
      <c r="V72" s="23" t="n">
        <v>200208.015748412</v>
      </c>
    </row>
    <row r="73" customFormat="false" ht="15" hidden="false" customHeight="false" outlineLevel="0" collapsed="false">
      <c r="T73" s="5" t="s">
        <v>144</v>
      </c>
      <c r="U73" s="20" t="n">
        <f aca="false">$U$72/100000</f>
        <v>2.00208015748412</v>
      </c>
      <c r="V73" s="24" t="n">
        <v>2.00208015748412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6"/>
    <col collapsed="false" customWidth="true" hidden="false" outlineLevel="0" max="14" min="4" style="0" width="5"/>
    <col collapsed="false" customWidth="true" hidden="false" outlineLevel="0" max="16" min="15" style="0" width="8"/>
    <col collapsed="false" customWidth="true" hidden="false" outlineLevel="0" max="18" min="17" style="0" width="9"/>
    <col collapsed="false" customWidth="true" hidden="false" outlineLevel="0" max="19" min="19" style="0" width="2"/>
    <col collapsed="false" customWidth="true" hidden="false" outlineLevel="0" max="20" min="20" style="0" width="50"/>
    <col collapsed="false" customWidth="true" hidden="false" outlineLevel="0" max="22" min="21" style="0" width="13"/>
    <col collapsed="false" customWidth="true" hidden="false" outlineLevel="0" max="23" min="23" style="0" width="2"/>
    <col collapsed="false" customWidth="true" hidden="false" outlineLevel="0" max="24" min="24" style="0" width="10"/>
    <col collapsed="false" customWidth="true" hidden="false" outlineLevel="0" max="36" min="25" style="0" width="8"/>
  </cols>
  <sheetData>
    <row r="1" customFormat="false" ht="15" hidden="false" customHeight="false" outlineLevel="0" collapsed="false">
      <c r="A1" s="1" t="s">
        <v>145</v>
      </c>
    </row>
    <row r="2" customFormat="false" ht="15" hidden="false" customHeight="false" outlineLevel="0" collapsed="false">
      <c r="A2" s="2" t="s">
        <v>146</v>
      </c>
    </row>
    <row r="4" customFormat="false" ht="15" hidden="false" customHeight="false" outlineLevel="0" collapsed="false">
      <c r="A4" s="1" t="s">
        <v>147</v>
      </c>
      <c r="T4" s="6" t="s">
        <v>62</v>
      </c>
    </row>
    <row r="5" customFormat="false" ht="15" hidden="false" customHeight="false" outlineLevel="0" collapsed="false">
      <c r="A5" s="2" t="s">
        <v>63</v>
      </c>
      <c r="B5" s="7" t="n">
        <f aca="false">Y19</f>
        <v>-0.799384127538979</v>
      </c>
      <c r="C5" s="7" t="n">
        <f aca="false">Y7</f>
        <v>-1.26388638315066</v>
      </c>
      <c r="D5" s="7" t="n">
        <f aca="false">Y8</f>
        <v>1.02968522450571</v>
      </c>
      <c r="E5" s="7" t="n">
        <f aca="false">Y9</f>
        <v>2.00442251677859</v>
      </c>
      <c r="F5" s="7" t="n">
        <f aca="false">Y10</f>
        <v>0.525975832258044</v>
      </c>
      <c r="G5" s="7" t="n">
        <f aca="false">Y11</f>
        <v>0.0437426460995682</v>
      </c>
      <c r="H5" s="7" t="n">
        <f aca="false">Y12</f>
        <v>1.5232828078895</v>
      </c>
      <c r="I5" s="7" t="n">
        <f aca="false">Y13</f>
        <v>2.71842785839306</v>
      </c>
      <c r="J5" s="7" t="n">
        <f aca="false">Y14</f>
        <v>0.03087403676623</v>
      </c>
      <c r="K5" s="7" t="n">
        <f aca="false">Y15</f>
        <v>1.58883574314914</v>
      </c>
      <c r="L5" s="7" t="n">
        <f aca="false">Y16</f>
        <v>3.13165765226167</v>
      </c>
      <c r="M5" s="7" t="n">
        <f aca="false">Y17</f>
        <v>3.16595010340622</v>
      </c>
      <c r="N5" s="7" t="n">
        <f aca="false">Y18</f>
        <v>5.21365525865032</v>
      </c>
      <c r="T5" s="5" t="s">
        <v>64</v>
      </c>
      <c r="U5" s="8" t="n">
        <v>45260</v>
      </c>
      <c r="X5" s="9" t="s">
        <v>65</v>
      </c>
      <c r="Y5" s="10"/>
      <c r="Z5" s="10"/>
      <c r="AA5" s="10"/>
      <c r="AB5" s="10"/>
      <c r="AC5" s="10"/>
    </row>
    <row r="6" customFormat="false" ht="18" hidden="false" customHeight="true" outlineLevel="0" collapsed="false">
      <c r="A6" s="3" t="s">
        <v>66</v>
      </c>
      <c r="B6" s="3" t="s">
        <v>67</v>
      </c>
      <c r="C6" s="3" t="s">
        <v>68</v>
      </c>
      <c r="D6" s="3" t="s">
        <v>69</v>
      </c>
      <c r="E6" s="3" t="s">
        <v>70</v>
      </c>
      <c r="F6" s="3" t="s">
        <v>71</v>
      </c>
      <c r="G6" s="3" t="s">
        <v>72</v>
      </c>
      <c r="H6" s="3" t="s">
        <v>73</v>
      </c>
      <c r="I6" s="3" t="s">
        <v>74</v>
      </c>
      <c r="J6" s="3" t="s">
        <v>75</v>
      </c>
      <c r="K6" s="3" t="s">
        <v>76</v>
      </c>
      <c r="L6" s="3" t="s">
        <v>77</v>
      </c>
      <c r="M6" s="3" t="s">
        <v>78</v>
      </c>
      <c r="N6" s="3" t="s">
        <v>79</v>
      </c>
      <c r="O6" s="3" t="s">
        <v>80</v>
      </c>
      <c r="P6" s="3" t="s">
        <v>81</v>
      </c>
      <c r="Q6" s="3" t="s">
        <v>82</v>
      </c>
      <c r="T6" s="2" t="s">
        <v>148</v>
      </c>
      <c r="X6" s="3" t="s">
        <v>84</v>
      </c>
      <c r="Y6" s="3" t="s">
        <v>85</v>
      </c>
      <c r="Z6" s="3" t="s">
        <v>86</v>
      </c>
      <c r="AA6" s="3" t="s">
        <v>87</v>
      </c>
      <c r="AB6" s="3" t="s">
        <v>88</v>
      </c>
      <c r="AC6" s="3" t="s">
        <v>89</v>
      </c>
    </row>
    <row r="7" customFormat="false" ht="15" hidden="false" customHeight="false" outlineLevel="0" collapsed="false">
      <c r="A7" s="11" t="n">
        <f aca="false">Data_Monthly!A5</f>
        <v>44309</v>
      </c>
      <c r="B7" s="12" t="n">
        <f aca="false">Data_Monthly!K5</f>
        <v>-3.58538422104804</v>
      </c>
      <c r="C7" s="13" t="n">
        <f aca="false">IF($A7&gt;=$U$5,1,0)</f>
        <v>0</v>
      </c>
      <c r="D7" s="13" t="n">
        <f aca="false">IF(MONTH($A7)=2,1,0)</f>
        <v>0</v>
      </c>
      <c r="E7" s="13" t="n">
        <f aca="false">IF(MONTH($A7)=3,1,0)</f>
        <v>0</v>
      </c>
      <c r="F7" s="13" t="n">
        <f aca="false">IF(MONTH($A7)=4,1,0)</f>
        <v>1</v>
      </c>
      <c r="G7" s="13" t="n">
        <f aca="false">IF(MONTH($A7)=5,1,0)</f>
        <v>0</v>
      </c>
      <c r="H7" s="13" t="n">
        <f aca="false">IF(MONTH($A7)=6,1,0)</f>
        <v>0</v>
      </c>
      <c r="I7" s="13" t="n">
        <f aca="false">IF(MONTH($A7)=7,1,0)</f>
        <v>0</v>
      </c>
      <c r="J7" s="13" t="n">
        <f aca="false">IF(MONTH($A7)=8,1,0)</f>
        <v>0</v>
      </c>
      <c r="K7" s="13" t="n">
        <f aca="false">IF(MONTH($A7)=9,1,0)</f>
        <v>0</v>
      </c>
      <c r="L7" s="13" t="n">
        <f aca="false">IF(MONTH($A7)=10,1,0)</f>
        <v>0</v>
      </c>
      <c r="M7" s="13" t="n">
        <f aca="false">IF(MONTH($A7)=11,1,0)</f>
        <v>0</v>
      </c>
      <c r="N7" s="13" t="n">
        <f aca="false">IF(MONTH($A7)=12,1,0)</f>
        <v>0</v>
      </c>
      <c r="O7" s="7" t="n">
        <f aca="false">$B$5+SUMPRODUCT(C7:N7,$C$5:$N$5)</f>
        <v>-0.273408295280934</v>
      </c>
      <c r="P7" s="7" t="n">
        <f aca="false">B7-O7</f>
        <v>-3.3119759257671</v>
      </c>
      <c r="Q7" s="7" t="n">
        <f aca="false">P7^2</f>
        <v>10.9691845328609</v>
      </c>
      <c r="T7" s="9" t="s">
        <v>90</v>
      </c>
      <c r="U7" s="14" t="s">
        <v>91</v>
      </c>
      <c r="V7" s="14" t="s">
        <v>92</v>
      </c>
      <c r="X7" s="5" t="s">
        <v>68</v>
      </c>
      <c r="Y7" s="7" t="n">
        <f aca="false">INDEX(LINEST(B7:B51,C7:N51,TRUE(),TRUE()),1,12)</f>
        <v>-1.26388638315066</v>
      </c>
      <c r="Z7" s="7" t="n">
        <f aca="false">INDEX(LINEST(B7:B51,C7:N51,TRUE(),TRUE()),2,12)</f>
        <v>0.613162278537938</v>
      </c>
      <c r="AA7" s="7" t="n">
        <f aca="false">Y7/Z7</f>
        <v>-2.06125919253276</v>
      </c>
      <c r="AB7" s="7" t="n">
        <f aca="false">_xlfn.T.DIST.2T(ABS(AA7),$U$35)</f>
        <v>0.0474813534543869</v>
      </c>
      <c r="AC7" s="7" t="n">
        <f aca="false">INDEX(MINVERSE($Y$23:$AJ$34),1,1)</f>
        <v>1.04264264264264</v>
      </c>
    </row>
    <row r="8" customFormat="false" ht="15" hidden="false" customHeight="false" outlineLevel="0" collapsed="false">
      <c r="A8" s="11" t="n">
        <f aca="false">Data_Monthly!A6</f>
        <v>44337</v>
      </c>
      <c r="B8" s="12" t="n">
        <f aca="false">Data_Monthly!K6</f>
        <v>-1.03448917103961</v>
      </c>
      <c r="C8" s="13" t="n">
        <f aca="false">IF($A8&gt;=$U$5,1,0)</f>
        <v>0</v>
      </c>
      <c r="D8" s="13" t="n">
        <f aca="false">IF(MONTH($A8)=2,1,0)</f>
        <v>0</v>
      </c>
      <c r="E8" s="13" t="n">
        <f aca="false">IF(MONTH($A8)=3,1,0)</f>
        <v>0</v>
      </c>
      <c r="F8" s="13" t="n">
        <f aca="false">IF(MONTH($A8)=4,1,0)</f>
        <v>0</v>
      </c>
      <c r="G8" s="13" t="n">
        <f aca="false">IF(MONTH($A8)=5,1,0)</f>
        <v>1</v>
      </c>
      <c r="H8" s="13" t="n">
        <f aca="false">IF(MONTH($A8)=6,1,0)</f>
        <v>0</v>
      </c>
      <c r="I8" s="13" t="n">
        <f aca="false">IF(MONTH($A8)=7,1,0)</f>
        <v>0</v>
      </c>
      <c r="J8" s="13" t="n">
        <f aca="false">IF(MONTH($A8)=8,1,0)</f>
        <v>0</v>
      </c>
      <c r="K8" s="13" t="n">
        <f aca="false">IF(MONTH($A8)=9,1,0)</f>
        <v>0</v>
      </c>
      <c r="L8" s="13" t="n">
        <f aca="false">IF(MONTH($A8)=10,1,0)</f>
        <v>0</v>
      </c>
      <c r="M8" s="13" t="n">
        <f aca="false">IF(MONTH($A8)=11,1,0)</f>
        <v>0</v>
      </c>
      <c r="N8" s="13" t="n">
        <f aca="false">IF(MONTH($A8)=12,1,0)</f>
        <v>0</v>
      </c>
      <c r="O8" s="7" t="n">
        <f aca="false">$B$5+SUMPRODUCT(C8:N8,$C$5:$N$5)</f>
        <v>-0.75564148143941</v>
      </c>
      <c r="P8" s="7" t="n">
        <f aca="false">B8-O8</f>
        <v>-0.2788476896002</v>
      </c>
      <c r="Q8" s="7" t="n">
        <f aca="false">P8^2</f>
        <v>0.0777560339953693</v>
      </c>
      <c r="T8" s="5" t="s">
        <v>93</v>
      </c>
      <c r="U8" s="13" t="n">
        <f aca="false">COUNT(B7:B37)</f>
        <v>31</v>
      </c>
      <c r="V8" s="15" t="n">
        <v>31</v>
      </c>
      <c r="X8" s="5" t="s">
        <v>69</v>
      </c>
      <c r="Y8" s="7" t="n">
        <f aca="false">INDEX(LINEST(B7:B51,C7:N51,TRUE(),TRUE()),1,11)</f>
        <v>1.02968522450571</v>
      </c>
      <c r="Z8" s="7" t="n">
        <f aca="false">INDEX(LINEST(B7:B51,C7:N51,TRUE(),TRUE()),2,11)</f>
        <v>1.42797202801165</v>
      </c>
      <c r="AA8" s="7" t="n">
        <f aca="false">Y8/Z8</f>
        <v>0.721082209109846</v>
      </c>
      <c r="AB8" s="7" t="n">
        <f aca="false">_xlfn.T.DIST.2T(ABS(AA8),$U$35)</f>
        <v>0.476094469418184</v>
      </c>
      <c r="AC8" s="7" t="n">
        <f aca="false">INDEX(MINVERSE($Y$23:$AJ$34),2,2)</f>
        <v>1.64174174174174</v>
      </c>
    </row>
    <row r="9" customFormat="false" ht="15" hidden="false" customHeight="false" outlineLevel="0" collapsed="false">
      <c r="A9" s="11" t="n">
        <f aca="false">Data_Monthly!A7</f>
        <v>44365</v>
      </c>
      <c r="B9" s="12" t="n">
        <f aca="false">Data_Monthly!K7</f>
        <v>-0.369465284722637</v>
      </c>
      <c r="C9" s="13" t="n">
        <f aca="false">IF($A9&gt;=$U$5,1,0)</f>
        <v>0</v>
      </c>
      <c r="D9" s="13" t="n">
        <f aca="false">IF(MONTH($A9)=2,1,0)</f>
        <v>0</v>
      </c>
      <c r="E9" s="13" t="n">
        <f aca="false">IF(MONTH($A9)=3,1,0)</f>
        <v>0</v>
      </c>
      <c r="F9" s="13" t="n">
        <f aca="false">IF(MONTH($A9)=4,1,0)</f>
        <v>0</v>
      </c>
      <c r="G9" s="13" t="n">
        <f aca="false">IF(MONTH($A9)=5,1,0)</f>
        <v>0</v>
      </c>
      <c r="H9" s="13" t="n">
        <f aca="false">IF(MONTH($A9)=6,1,0)</f>
        <v>1</v>
      </c>
      <c r="I9" s="13" t="n">
        <f aca="false">IF(MONTH($A9)=7,1,0)</f>
        <v>0</v>
      </c>
      <c r="J9" s="13" t="n">
        <f aca="false">IF(MONTH($A9)=8,1,0)</f>
        <v>0</v>
      </c>
      <c r="K9" s="13" t="n">
        <f aca="false">IF(MONTH($A9)=9,1,0)</f>
        <v>0</v>
      </c>
      <c r="L9" s="13" t="n">
        <f aca="false">IF(MONTH($A9)=10,1,0)</f>
        <v>0</v>
      </c>
      <c r="M9" s="13" t="n">
        <f aca="false">IF(MONTH($A9)=11,1,0)</f>
        <v>0</v>
      </c>
      <c r="N9" s="13" t="n">
        <f aca="false">IF(MONTH($A9)=12,1,0)</f>
        <v>0</v>
      </c>
      <c r="O9" s="7" t="n">
        <f aca="false">$B$5+SUMPRODUCT(C9:N9,$C$5:$N$5)</f>
        <v>0.723898680350518</v>
      </c>
      <c r="P9" s="7" t="n">
        <f aca="false">B9-O9</f>
        <v>-1.09336396507315</v>
      </c>
      <c r="Q9" s="7" t="n">
        <f aca="false">P9^2</f>
        <v>1.19544476012049</v>
      </c>
      <c r="T9" s="5" t="s">
        <v>94</v>
      </c>
      <c r="U9" s="13" t="n">
        <f aca="false">COUNT(B38:B51)</f>
        <v>14</v>
      </c>
      <c r="V9" s="15" t="n">
        <v>14</v>
      </c>
      <c r="X9" s="5" t="s">
        <v>70</v>
      </c>
      <c r="Y9" s="7" t="n">
        <f aca="false">INDEX(LINEST(B7:B51,C7:N51,TRUE(),TRUE()),1,10)</f>
        <v>2.00442251677859</v>
      </c>
      <c r="Z9" s="7" t="n">
        <f aca="false">INDEX(LINEST(B7:B51,C7:N51,TRUE(),TRUE()),2,10)</f>
        <v>1.42797202801165</v>
      </c>
      <c r="AA9" s="7" t="n">
        <f aca="false">Y9/Z9</f>
        <v>1.40368472032999</v>
      </c>
      <c r="AB9" s="7" t="n">
        <f aca="false">_xlfn.T.DIST.2T(ABS(AA9),$U$35)</f>
        <v>0.170043291709125</v>
      </c>
      <c r="AC9" s="7" t="n">
        <f aca="false">INDEX(MINVERSE($Y$23:$AJ$34),3,3)</f>
        <v>1.64174174174174</v>
      </c>
    </row>
    <row r="10" customFormat="false" ht="15" hidden="false" customHeight="false" outlineLevel="0" collapsed="false">
      <c r="A10" s="11" t="n">
        <f aca="false">Data_Monthly!A8</f>
        <v>44407</v>
      </c>
      <c r="B10" s="12" t="n">
        <f aca="false">Data_Monthly!K8</f>
        <v>0.0106055033024078</v>
      </c>
      <c r="C10" s="13" t="n">
        <f aca="false">IF($A10&gt;=$U$5,1,0)</f>
        <v>0</v>
      </c>
      <c r="D10" s="13" t="n">
        <f aca="false">IF(MONTH($A10)=2,1,0)</f>
        <v>0</v>
      </c>
      <c r="E10" s="13" t="n">
        <f aca="false">IF(MONTH($A10)=3,1,0)</f>
        <v>0</v>
      </c>
      <c r="F10" s="13" t="n">
        <f aca="false">IF(MONTH($A10)=4,1,0)</f>
        <v>0</v>
      </c>
      <c r="G10" s="13" t="n">
        <f aca="false">IF(MONTH($A10)=5,1,0)</f>
        <v>0</v>
      </c>
      <c r="H10" s="13" t="n">
        <f aca="false">IF(MONTH($A10)=6,1,0)</f>
        <v>0</v>
      </c>
      <c r="I10" s="13" t="n">
        <f aca="false">IF(MONTH($A10)=7,1,0)</f>
        <v>1</v>
      </c>
      <c r="J10" s="13" t="n">
        <f aca="false">IF(MONTH($A10)=8,1,0)</f>
        <v>0</v>
      </c>
      <c r="K10" s="13" t="n">
        <f aca="false">IF(MONTH($A10)=9,1,0)</f>
        <v>0</v>
      </c>
      <c r="L10" s="13" t="n">
        <f aca="false">IF(MONTH($A10)=10,1,0)</f>
        <v>0</v>
      </c>
      <c r="M10" s="13" t="n">
        <f aca="false">IF(MONTH($A10)=11,1,0)</f>
        <v>0</v>
      </c>
      <c r="N10" s="13" t="n">
        <f aca="false">IF(MONTH($A10)=12,1,0)</f>
        <v>0</v>
      </c>
      <c r="O10" s="7" t="n">
        <f aca="false">$B$5+SUMPRODUCT(C10:N10,$C$5:$N$5)</f>
        <v>1.91904373085408</v>
      </c>
      <c r="P10" s="7" t="n">
        <f aca="false">B10-O10</f>
        <v>-1.90843822755167</v>
      </c>
      <c r="Q10" s="7" t="n">
        <f aca="false">P10^2</f>
        <v>3.64213646838056</v>
      </c>
      <c r="T10" s="5" t="s">
        <v>95</v>
      </c>
      <c r="U10" s="7" t="n">
        <f aca="false">AVERAGE(B7:B37)</f>
        <v>0.876852588014133</v>
      </c>
      <c r="V10" s="16" t="n">
        <v>0.876852588014133</v>
      </c>
      <c r="X10" s="5" t="s">
        <v>71</v>
      </c>
      <c r="Y10" s="7" t="n">
        <f aca="false">INDEX(LINEST(B7:B51,C7:N51,TRUE(),TRUE()),1,9)</f>
        <v>0.525975832258044</v>
      </c>
      <c r="Z10" s="7" t="n">
        <f aca="false">INDEX(LINEST(B7:B51,C7:N51,TRUE(),TRUE()),2,9)</f>
        <v>1.32753527464051</v>
      </c>
      <c r="AA10" s="7" t="n">
        <f aca="false">Y10/Z10</f>
        <v>0.396204788155611</v>
      </c>
      <c r="AB10" s="7" t="n">
        <f aca="false">_xlfn.T.DIST.2T(ABS(AA10),$U$35)</f>
        <v>0.694583602246144</v>
      </c>
      <c r="AC10" s="7" t="n">
        <f aca="false">INDEX(MINVERSE($Y$23:$AJ$34),4,4)</f>
        <v>1.84684684684685</v>
      </c>
    </row>
    <row r="11" customFormat="false" ht="15" hidden="false" customHeight="false" outlineLevel="0" collapsed="false">
      <c r="A11" s="11" t="n">
        <f aca="false">Data_Monthly!A9</f>
        <v>44435</v>
      </c>
      <c r="B11" s="12" t="n">
        <f aca="false">Data_Monthly!K9</f>
        <v>-2.29636440472802</v>
      </c>
      <c r="C11" s="13" t="n">
        <f aca="false">IF($A11&gt;=$U$5,1,0)</f>
        <v>0</v>
      </c>
      <c r="D11" s="13" t="n">
        <f aca="false">IF(MONTH($A11)=2,1,0)</f>
        <v>0</v>
      </c>
      <c r="E11" s="13" t="n">
        <f aca="false">IF(MONTH($A11)=3,1,0)</f>
        <v>0</v>
      </c>
      <c r="F11" s="13" t="n">
        <f aca="false">IF(MONTH($A11)=4,1,0)</f>
        <v>0</v>
      </c>
      <c r="G11" s="13" t="n">
        <f aca="false">IF(MONTH($A11)=5,1,0)</f>
        <v>0</v>
      </c>
      <c r="H11" s="13" t="n">
        <f aca="false">IF(MONTH($A11)=6,1,0)</f>
        <v>0</v>
      </c>
      <c r="I11" s="13" t="n">
        <f aca="false">IF(MONTH($A11)=7,1,0)</f>
        <v>0</v>
      </c>
      <c r="J11" s="13" t="n">
        <f aca="false">IF(MONTH($A11)=8,1,0)</f>
        <v>1</v>
      </c>
      <c r="K11" s="13" t="n">
        <f aca="false">IF(MONTH($A11)=9,1,0)</f>
        <v>0</v>
      </c>
      <c r="L11" s="13" t="n">
        <f aca="false">IF(MONTH($A11)=10,1,0)</f>
        <v>0</v>
      </c>
      <c r="M11" s="13" t="n">
        <f aca="false">IF(MONTH($A11)=11,1,0)</f>
        <v>0</v>
      </c>
      <c r="N11" s="13" t="n">
        <f aca="false">IF(MONTH($A11)=12,1,0)</f>
        <v>0</v>
      </c>
      <c r="O11" s="7" t="n">
        <f aca="false">$B$5+SUMPRODUCT(C11:N11,$C$5:$N$5)</f>
        <v>-0.768510090772749</v>
      </c>
      <c r="P11" s="7" t="n">
        <f aca="false">B11-O11</f>
        <v>-1.52785431395528</v>
      </c>
      <c r="Q11" s="7" t="n">
        <f aca="false">P11^2</f>
        <v>2.33433880467175</v>
      </c>
      <c r="T11" s="5" t="s">
        <v>96</v>
      </c>
      <c r="U11" s="7" t="n">
        <f aca="false">AVERAGE(B38:B51)</f>
        <v>-0.192544443631894</v>
      </c>
      <c r="V11" s="16" t="n">
        <v>-0.192544443631894</v>
      </c>
      <c r="X11" s="5" t="s">
        <v>72</v>
      </c>
      <c r="Y11" s="7" t="n">
        <f aca="false">INDEX(LINEST(B7:B51,C7:N51,TRUE(),TRUE()),1,8)</f>
        <v>0.0437426460995682</v>
      </c>
      <c r="Z11" s="7" t="n">
        <f aca="false">INDEX(LINEST(B7:B51,C7:N51,TRUE(),TRUE()),2,8)</f>
        <v>1.32753527464051</v>
      </c>
      <c r="AA11" s="7" t="n">
        <f aca="false">Y11/Z11</f>
        <v>0.0329502702754271</v>
      </c>
      <c r="AB11" s="7" t="n">
        <f aca="false">_xlfn.T.DIST.2T(ABS(AA11),$U$35)</f>
        <v>0.973918916313479</v>
      </c>
      <c r="AC11" s="7" t="n">
        <f aca="false">INDEX(MINVERSE($Y$23:$AJ$34),5,5)</f>
        <v>1.84684684684685</v>
      </c>
    </row>
    <row r="12" customFormat="false" ht="15" hidden="false" customHeight="false" outlineLevel="0" collapsed="false">
      <c r="A12" s="11" t="n">
        <f aca="false">Data_Monthly!A10</f>
        <v>44463</v>
      </c>
      <c r="B12" s="12" t="n">
        <f aca="false">Data_Monthly!K10</f>
        <v>-0.331975548445662</v>
      </c>
      <c r="C12" s="13" t="n">
        <f aca="false">IF($A12&gt;=$U$5,1,0)</f>
        <v>0</v>
      </c>
      <c r="D12" s="13" t="n">
        <f aca="false">IF(MONTH($A12)=2,1,0)</f>
        <v>0</v>
      </c>
      <c r="E12" s="13" t="n">
        <f aca="false">IF(MONTH($A12)=3,1,0)</f>
        <v>0</v>
      </c>
      <c r="F12" s="13" t="n">
        <f aca="false">IF(MONTH($A12)=4,1,0)</f>
        <v>0</v>
      </c>
      <c r="G12" s="13" t="n">
        <f aca="false">IF(MONTH($A12)=5,1,0)</f>
        <v>0</v>
      </c>
      <c r="H12" s="13" t="n">
        <f aca="false">IF(MONTH($A12)=6,1,0)</f>
        <v>0</v>
      </c>
      <c r="I12" s="13" t="n">
        <f aca="false">IF(MONTH($A12)=7,1,0)</f>
        <v>0</v>
      </c>
      <c r="J12" s="13" t="n">
        <f aca="false">IF(MONTH($A12)=8,1,0)</f>
        <v>0</v>
      </c>
      <c r="K12" s="13" t="n">
        <f aca="false">IF(MONTH($A12)=9,1,0)</f>
        <v>1</v>
      </c>
      <c r="L12" s="13" t="n">
        <f aca="false">IF(MONTH($A12)=10,1,0)</f>
        <v>0</v>
      </c>
      <c r="M12" s="13" t="n">
        <f aca="false">IF(MONTH($A12)=11,1,0)</f>
        <v>0</v>
      </c>
      <c r="N12" s="13" t="n">
        <f aca="false">IF(MONTH($A12)=12,1,0)</f>
        <v>0</v>
      </c>
      <c r="O12" s="7" t="n">
        <f aca="false">$B$5+SUMPRODUCT(C12:N12,$C$5:$N$5)</f>
        <v>0.789451615610166</v>
      </c>
      <c r="P12" s="7" t="n">
        <f aca="false">B12-O12</f>
        <v>-1.12142716405583</v>
      </c>
      <c r="Q12" s="7" t="n">
        <f aca="false">P12^2</f>
        <v>1.2575988842823</v>
      </c>
      <c r="T12" s="5" t="s">
        <v>97</v>
      </c>
      <c r="U12" s="7" t="n">
        <f aca="false">_xlfn.STDEV.S(B7:B37)</f>
        <v>2.44808165046465</v>
      </c>
      <c r="V12" s="16" t="n">
        <v>2.44808165046465</v>
      </c>
      <c r="X12" s="5" t="s">
        <v>73</v>
      </c>
      <c r="Y12" s="7" t="n">
        <f aca="false">INDEX(LINEST(B7:B51,C7:N51,TRUE(),TRUE()),1,7)</f>
        <v>1.5232828078895</v>
      </c>
      <c r="Z12" s="7" t="n">
        <f aca="false">INDEX(LINEST(B7:B51,C7:N51,TRUE(),TRUE()),2,7)</f>
        <v>1.32753527464051</v>
      </c>
      <c r="AA12" s="7" t="n">
        <f aca="false">Y12/Z12</f>
        <v>1.14745185080072</v>
      </c>
      <c r="AB12" s="7" t="n">
        <f aca="false">_xlfn.T.DIST.2T(ABS(AA12),$U$35)</f>
        <v>0.259701643151099</v>
      </c>
      <c r="AC12" s="7" t="n">
        <f aca="false">INDEX(MINVERSE($Y$23:$AJ$34),6,6)</f>
        <v>1.84684684684685</v>
      </c>
    </row>
    <row r="13" customFormat="false" ht="15" hidden="false" customHeight="false" outlineLevel="0" collapsed="false">
      <c r="A13" s="11" t="n">
        <f aca="false">Data_Monthly!A11</f>
        <v>44491</v>
      </c>
      <c r="B13" s="12" t="n">
        <f aca="false">Data_Monthly!K11</f>
        <v>2.45208091269102</v>
      </c>
      <c r="C13" s="13" t="n">
        <f aca="false">IF($A13&gt;=$U$5,1,0)</f>
        <v>0</v>
      </c>
      <c r="D13" s="13" t="n">
        <f aca="false">IF(MONTH($A13)=2,1,0)</f>
        <v>0</v>
      </c>
      <c r="E13" s="13" t="n">
        <f aca="false">IF(MONTH($A13)=3,1,0)</f>
        <v>0</v>
      </c>
      <c r="F13" s="13" t="n">
        <f aca="false">IF(MONTH($A13)=4,1,0)</f>
        <v>0</v>
      </c>
      <c r="G13" s="13" t="n">
        <f aca="false">IF(MONTH($A13)=5,1,0)</f>
        <v>0</v>
      </c>
      <c r="H13" s="13" t="n">
        <f aca="false">IF(MONTH($A13)=6,1,0)</f>
        <v>0</v>
      </c>
      <c r="I13" s="13" t="n">
        <f aca="false">IF(MONTH($A13)=7,1,0)</f>
        <v>0</v>
      </c>
      <c r="J13" s="13" t="n">
        <f aca="false">IF(MONTH($A13)=8,1,0)</f>
        <v>0</v>
      </c>
      <c r="K13" s="13" t="n">
        <f aca="false">IF(MONTH($A13)=9,1,0)</f>
        <v>0</v>
      </c>
      <c r="L13" s="13" t="n">
        <f aca="false">IF(MONTH($A13)=10,1,0)</f>
        <v>1</v>
      </c>
      <c r="M13" s="13" t="n">
        <f aca="false">IF(MONTH($A13)=11,1,0)</f>
        <v>0</v>
      </c>
      <c r="N13" s="13" t="n">
        <f aca="false">IF(MONTH($A13)=12,1,0)</f>
        <v>0</v>
      </c>
      <c r="O13" s="7" t="n">
        <f aca="false">$B$5+SUMPRODUCT(C13:N13,$C$5:$N$5)</f>
        <v>2.33227352472269</v>
      </c>
      <c r="P13" s="7" t="n">
        <f aca="false">B13-O13</f>
        <v>0.119807387968332</v>
      </c>
      <c r="Q13" s="7" t="n">
        <f aca="false">P13^2</f>
        <v>0.0143538102117945</v>
      </c>
      <c r="T13" s="5" t="s">
        <v>98</v>
      </c>
      <c r="U13" s="7" t="n">
        <f aca="false">_xlfn.STDEV.S(B38:B51)</f>
        <v>1.78341663768217</v>
      </c>
      <c r="V13" s="16" t="n">
        <v>1.78341663768217</v>
      </c>
      <c r="X13" s="5" t="s">
        <v>74</v>
      </c>
      <c r="Y13" s="7" t="n">
        <f aca="false">INDEX(LINEST(B7:B51,C7:N51,TRUE(),TRUE()),1,6)</f>
        <v>2.71842785839306</v>
      </c>
      <c r="Z13" s="7" t="n">
        <f aca="false">INDEX(LINEST(B7:B51,C7:N51,TRUE(),TRUE()),2,6)</f>
        <v>1.42797202801165</v>
      </c>
      <c r="AA13" s="7" t="n">
        <f aca="false">Y13/Z13</f>
        <v>1.90369825533507</v>
      </c>
      <c r="AB13" s="7" t="n">
        <f aca="false">_xlfn.T.DIST.2T(ABS(AA13),$U$35)</f>
        <v>0.0659760621568548</v>
      </c>
      <c r="AC13" s="7" t="n">
        <f aca="false">INDEX(MINVERSE($Y$23:$AJ$34),7,7)</f>
        <v>1.64174174174174</v>
      </c>
    </row>
    <row r="14" customFormat="false" ht="15" hidden="false" customHeight="false" outlineLevel="0" collapsed="false">
      <c r="A14" s="11" t="n">
        <f aca="false">Data_Monthly!A12</f>
        <v>44519</v>
      </c>
      <c r="B14" s="12" t="n">
        <f aca="false">Data_Monthly!K12</f>
        <v>2.65742066301264</v>
      </c>
      <c r="C14" s="13" t="n">
        <f aca="false">IF($A14&gt;=$U$5,1,0)</f>
        <v>0</v>
      </c>
      <c r="D14" s="13" t="n">
        <f aca="false">IF(MONTH($A14)=2,1,0)</f>
        <v>0</v>
      </c>
      <c r="E14" s="13" t="n">
        <f aca="false">IF(MONTH($A14)=3,1,0)</f>
        <v>0</v>
      </c>
      <c r="F14" s="13" t="n">
        <f aca="false">IF(MONTH($A14)=4,1,0)</f>
        <v>0</v>
      </c>
      <c r="G14" s="13" t="n">
        <f aca="false">IF(MONTH($A14)=5,1,0)</f>
        <v>0</v>
      </c>
      <c r="H14" s="13" t="n">
        <f aca="false">IF(MONTH($A14)=6,1,0)</f>
        <v>0</v>
      </c>
      <c r="I14" s="13" t="n">
        <f aca="false">IF(MONTH($A14)=7,1,0)</f>
        <v>0</v>
      </c>
      <c r="J14" s="13" t="n">
        <f aca="false">IF(MONTH($A14)=8,1,0)</f>
        <v>0</v>
      </c>
      <c r="K14" s="13" t="n">
        <f aca="false">IF(MONTH($A14)=9,1,0)</f>
        <v>0</v>
      </c>
      <c r="L14" s="13" t="n">
        <f aca="false">IF(MONTH($A14)=10,1,0)</f>
        <v>0</v>
      </c>
      <c r="M14" s="13" t="n">
        <f aca="false">IF(MONTH($A14)=11,1,0)</f>
        <v>1</v>
      </c>
      <c r="N14" s="13" t="n">
        <f aca="false">IF(MONTH($A14)=12,1,0)</f>
        <v>0</v>
      </c>
      <c r="O14" s="7" t="n">
        <f aca="false">$B$5+SUMPRODUCT(C14:N14,$C$5:$N$5)</f>
        <v>2.36656597586724</v>
      </c>
      <c r="P14" s="7" t="n">
        <f aca="false">B14-O14</f>
        <v>0.290854687145406</v>
      </c>
      <c r="Q14" s="7" t="n">
        <f aca="false">P14^2</f>
        <v>0.0845964490344519</v>
      </c>
      <c r="T14" s="5" t="s">
        <v>99</v>
      </c>
      <c r="U14" s="7" t="n">
        <f aca="false">$U$11-$U$10</f>
        <v>-1.06939703164603</v>
      </c>
      <c r="V14" s="16" t="n">
        <v>-1.06939703164603</v>
      </c>
      <c r="X14" s="5" t="s">
        <v>75</v>
      </c>
      <c r="Y14" s="7" t="n">
        <f aca="false">INDEX(LINEST(B7:B51,C7:N51,TRUE(),TRUE()),1,5)</f>
        <v>0.03087403676623</v>
      </c>
      <c r="Z14" s="7" t="n">
        <f aca="false">INDEX(LINEST(B7:B51,C7:N51,TRUE(),TRUE()),2,5)</f>
        <v>1.32753527464051</v>
      </c>
      <c r="AA14" s="7" t="n">
        <f aca="false">Y14/Z14</f>
        <v>0.0232566601852373</v>
      </c>
      <c r="AB14" s="7" t="n">
        <f aca="false">_xlfn.T.DIST.2T(ABS(AA14),$U$35)</f>
        <v>0.981589962916811</v>
      </c>
      <c r="AC14" s="7" t="n">
        <f aca="false">INDEX(MINVERSE($Y$23:$AJ$34),8,8)</f>
        <v>1.84684684684685</v>
      </c>
    </row>
    <row r="15" customFormat="false" ht="15" hidden="false" customHeight="false" outlineLevel="0" collapsed="false">
      <c r="A15" s="11" t="n">
        <f aca="false">Data_Monthly!A13</f>
        <v>44561</v>
      </c>
      <c r="B15" s="12" t="n">
        <f aca="false">Data_Monthly!K13</f>
        <v>4.31834593931999</v>
      </c>
      <c r="C15" s="13" t="n">
        <f aca="false">IF($A15&gt;=$U$5,1,0)</f>
        <v>0</v>
      </c>
      <c r="D15" s="13" t="n">
        <f aca="false">IF(MONTH($A15)=2,1,0)</f>
        <v>0</v>
      </c>
      <c r="E15" s="13" t="n">
        <f aca="false">IF(MONTH($A15)=3,1,0)</f>
        <v>0</v>
      </c>
      <c r="F15" s="13" t="n">
        <f aca="false">IF(MONTH($A15)=4,1,0)</f>
        <v>0</v>
      </c>
      <c r="G15" s="13" t="n">
        <f aca="false">IF(MONTH($A15)=5,1,0)</f>
        <v>0</v>
      </c>
      <c r="H15" s="13" t="n">
        <f aca="false">IF(MONTH($A15)=6,1,0)</f>
        <v>0</v>
      </c>
      <c r="I15" s="13" t="n">
        <f aca="false">IF(MONTH($A15)=7,1,0)</f>
        <v>0</v>
      </c>
      <c r="J15" s="13" t="n">
        <f aca="false">IF(MONTH($A15)=8,1,0)</f>
        <v>0</v>
      </c>
      <c r="K15" s="13" t="n">
        <f aca="false">IF(MONTH($A15)=9,1,0)</f>
        <v>0</v>
      </c>
      <c r="L15" s="13" t="n">
        <f aca="false">IF(MONTH($A15)=10,1,0)</f>
        <v>0</v>
      </c>
      <c r="M15" s="13" t="n">
        <f aca="false">IF(MONTH($A15)=11,1,0)</f>
        <v>0</v>
      </c>
      <c r="N15" s="13" t="n">
        <f aca="false">IF(MONTH($A15)=12,1,0)</f>
        <v>1</v>
      </c>
      <c r="O15" s="7" t="n">
        <f aca="false">$B$5+SUMPRODUCT(C15:N15,$C$5:$N$5)</f>
        <v>4.41427113111134</v>
      </c>
      <c r="P15" s="7" t="n">
        <f aca="false">B15-O15</f>
        <v>-0.0959251917913502</v>
      </c>
      <c r="Q15" s="7" t="n">
        <f aca="false">P15^2</f>
        <v>0.00920164242020732</v>
      </c>
      <c r="T15" s="5" t="s">
        <v>100</v>
      </c>
      <c r="U15" s="7" t="n">
        <f aca="false">12*$U$14</f>
        <v>-12.8327643797523</v>
      </c>
      <c r="V15" s="16" t="n">
        <v>-12.8327643797523</v>
      </c>
      <c r="X15" s="5" t="s">
        <v>76</v>
      </c>
      <c r="Y15" s="7" t="n">
        <f aca="false">INDEX(LINEST(B7:B51,C7:N51,TRUE(),TRUE()),1,4)</f>
        <v>1.58883574314914</v>
      </c>
      <c r="Z15" s="7" t="n">
        <f aca="false">INDEX(LINEST(B7:B51,C7:N51,TRUE(),TRUE()),2,4)</f>
        <v>1.32753527464051</v>
      </c>
      <c r="AA15" s="7" t="n">
        <f aca="false">Y15/Z15</f>
        <v>1.19683128087078</v>
      </c>
      <c r="AB15" s="7" t="n">
        <f aca="false">_xlfn.T.DIST.2T(ABS(AA15),$U$35)</f>
        <v>0.240164125526981</v>
      </c>
      <c r="AC15" s="7" t="n">
        <f aca="false">INDEX(MINVERSE($Y$23:$AJ$34),9,9)</f>
        <v>1.84684684684685</v>
      </c>
    </row>
    <row r="16" customFormat="false" ht="15" hidden="false" customHeight="false" outlineLevel="0" collapsed="false">
      <c r="A16" s="11" t="n">
        <f aca="false">Data_Monthly!A14</f>
        <v>44589</v>
      </c>
      <c r="B16" s="12" t="n">
        <f aca="false">Data_Monthly!K14</f>
        <v>1.5133246380854</v>
      </c>
      <c r="C16" s="13" t="n">
        <f aca="false">IF($A16&gt;=$U$5,1,0)</f>
        <v>0</v>
      </c>
      <c r="D16" s="13" t="n">
        <f aca="false">IF(MONTH($A16)=2,1,0)</f>
        <v>0</v>
      </c>
      <c r="E16" s="13" t="n">
        <f aca="false">IF(MONTH($A16)=3,1,0)</f>
        <v>0</v>
      </c>
      <c r="F16" s="13" t="n">
        <f aca="false">IF(MONTH($A16)=4,1,0)</f>
        <v>0</v>
      </c>
      <c r="G16" s="13" t="n">
        <f aca="false">IF(MONTH($A16)=5,1,0)</f>
        <v>0</v>
      </c>
      <c r="H16" s="13" t="n">
        <f aca="false">IF(MONTH($A16)=6,1,0)</f>
        <v>0</v>
      </c>
      <c r="I16" s="13" t="n">
        <f aca="false">IF(MONTH($A16)=7,1,0)</f>
        <v>0</v>
      </c>
      <c r="J16" s="13" t="n">
        <f aca="false">IF(MONTH($A16)=8,1,0)</f>
        <v>0</v>
      </c>
      <c r="K16" s="13" t="n">
        <f aca="false">IF(MONTH($A16)=9,1,0)</f>
        <v>0</v>
      </c>
      <c r="L16" s="13" t="n">
        <f aca="false">IF(MONTH($A16)=10,1,0)</f>
        <v>0</v>
      </c>
      <c r="M16" s="13" t="n">
        <f aca="false">IF(MONTH($A16)=11,1,0)</f>
        <v>0</v>
      </c>
      <c r="N16" s="13" t="n">
        <f aca="false">IF(MONTH($A16)=12,1,0)</f>
        <v>0</v>
      </c>
      <c r="O16" s="7" t="n">
        <f aca="false">$B$5+SUMPRODUCT(C16:N16,$C$5:$N$5)</f>
        <v>-0.799384127538979</v>
      </c>
      <c r="P16" s="7" t="n">
        <f aca="false">B16-O16</f>
        <v>2.31270876562438</v>
      </c>
      <c r="Q16" s="7" t="n">
        <f aca="false">P16^2</f>
        <v>5.34862183459584</v>
      </c>
      <c r="T16" s="5" t="s">
        <v>101</v>
      </c>
      <c r="U16" s="7" t="n">
        <f aca="false">SQRT($U$13^2/$U$9+$U$12^2/$U$8)</f>
        <v>0.648467308090188</v>
      </c>
      <c r="X16" s="5" t="s">
        <v>77</v>
      </c>
      <c r="Y16" s="7" t="n">
        <f aca="false">INDEX(LINEST(B7:B51,C7:N51,TRUE(),TRUE()),1,3)</f>
        <v>3.13165765226167</v>
      </c>
      <c r="Z16" s="7" t="n">
        <f aca="false">INDEX(LINEST(B7:B51,C7:N51,TRUE(),TRUE()),2,3)</f>
        <v>1.32753527464051</v>
      </c>
      <c r="AA16" s="7" t="n">
        <f aca="false">Y16/Z16</f>
        <v>2.35900146089128</v>
      </c>
      <c r="AB16" s="7" t="n">
        <f aca="false">_xlfn.T.DIST.2T(ABS(AA16),$U$35)</f>
        <v>0.0245943625400195</v>
      </c>
      <c r="AC16" s="7" t="n">
        <f aca="false">INDEX(MINVERSE($Y$23:$AJ$34),10,10)</f>
        <v>1.84684684684685</v>
      </c>
    </row>
    <row r="17" customFormat="false" ht="15" hidden="false" customHeight="false" outlineLevel="0" collapsed="false">
      <c r="A17" s="11" t="n">
        <f aca="false">Data_Monthly!A15</f>
        <v>44617</v>
      </c>
      <c r="B17" s="12" t="n">
        <f aca="false">Data_Monthly!K15</f>
        <v>-0.940642342446374</v>
      </c>
      <c r="C17" s="13" t="n">
        <f aca="false">IF($A17&gt;=$U$5,1,0)</f>
        <v>0</v>
      </c>
      <c r="D17" s="13" t="n">
        <f aca="false">IF(MONTH($A17)=2,1,0)</f>
        <v>1</v>
      </c>
      <c r="E17" s="13" t="n">
        <f aca="false">IF(MONTH($A17)=3,1,0)</f>
        <v>0</v>
      </c>
      <c r="F17" s="13" t="n">
        <f aca="false">IF(MONTH($A17)=4,1,0)</f>
        <v>0</v>
      </c>
      <c r="G17" s="13" t="n">
        <f aca="false">IF(MONTH($A17)=5,1,0)</f>
        <v>0</v>
      </c>
      <c r="H17" s="13" t="n">
        <f aca="false">IF(MONTH($A17)=6,1,0)</f>
        <v>0</v>
      </c>
      <c r="I17" s="13" t="n">
        <f aca="false">IF(MONTH($A17)=7,1,0)</f>
        <v>0</v>
      </c>
      <c r="J17" s="13" t="n">
        <f aca="false">IF(MONTH($A17)=8,1,0)</f>
        <v>0</v>
      </c>
      <c r="K17" s="13" t="n">
        <f aca="false">IF(MONTH($A17)=9,1,0)</f>
        <v>0</v>
      </c>
      <c r="L17" s="13" t="n">
        <f aca="false">IF(MONTH($A17)=10,1,0)</f>
        <v>0</v>
      </c>
      <c r="M17" s="13" t="n">
        <f aca="false">IF(MONTH($A17)=11,1,0)</f>
        <v>0</v>
      </c>
      <c r="N17" s="13" t="n">
        <f aca="false">IF(MONTH($A17)=12,1,0)</f>
        <v>0</v>
      </c>
      <c r="O17" s="7" t="n">
        <f aca="false">$B$5+SUMPRODUCT(C17:N17,$C$5:$N$5)</f>
        <v>0.230301096966729</v>
      </c>
      <c r="P17" s="7" t="n">
        <f aca="false">B17-O17</f>
        <v>-1.1709434394131</v>
      </c>
      <c r="Q17" s="7" t="n">
        <f aca="false">P17^2</f>
        <v>1.37110853830459</v>
      </c>
      <c r="T17" s="5" t="s">
        <v>102</v>
      </c>
      <c r="U17" s="7" t="n">
        <f aca="false">$U$14/$U$16</f>
        <v>-1.64911479469262</v>
      </c>
      <c r="V17" s="16" t="n">
        <v>-1.64911479469262</v>
      </c>
      <c r="X17" s="5" t="s">
        <v>78</v>
      </c>
      <c r="Y17" s="7" t="n">
        <f aca="false">INDEX(LINEST(B7:B51,C7:N51,TRUE(),TRUE()),1,2)</f>
        <v>3.16595010340622</v>
      </c>
      <c r="Z17" s="7" t="n">
        <f aca="false">INDEX(LINEST(B7:B51,C7:N51,TRUE(),TRUE()),2,2)</f>
        <v>1.32753527464051</v>
      </c>
      <c r="AA17" s="7" t="n">
        <f aca="false">Y17/Z17</f>
        <v>2.38483312939729</v>
      </c>
      <c r="AB17" s="7" t="n">
        <f aca="false">_xlfn.T.DIST.2T(ABS(AA17),$U$35)</f>
        <v>0.0231812772890566</v>
      </c>
      <c r="AC17" s="7" t="n">
        <f aca="false">INDEX(MINVERSE($Y$23:$AJ$34),11,11)</f>
        <v>1.84684684684685</v>
      </c>
    </row>
    <row r="18" customFormat="false" ht="15" hidden="false" customHeight="false" outlineLevel="0" collapsed="false">
      <c r="A18" s="11" t="n">
        <f aca="false">Data_Monthly!A16</f>
        <v>44645</v>
      </c>
      <c r="B18" s="12" t="n">
        <f aca="false">Data_Monthly!K16</f>
        <v>1.04032233555316</v>
      </c>
      <c r="C18" s="13" t="n">
        <f aca="false">IF($A18&gt;=$U$5,1,0)</f>
        <v>0</v>
      </c>
      <c r="D18" s="13" t="n">
        <f aca="false">IF(MONTH($A18)=2,1,0)</f>
        <v>0</v>
      </c>
      <c r="E18" s="13" t="n">
        <f aca="false">IF(MONTH($A18)=3,1,0)</f>
        <v>1</v>
      </c>
      <c r="F18" s="13" t="n">
        <f aca="false">IF(MONTH($A18)=4,1,0)</f>
        <v>0</v>
      </c>
      <c r="G18" s="13" t="n">
        <f aca="false">IF(MONTH($A18)=5,1,0)</f>
        <v>0</v>
      </c>
      <c r="H18" s="13" t="n">
        <f aca="false">IF(MONTH($A18)=6,1,0)</f>
        <v>0</v>
      </c>
      <c r="I18" s="13" t="n">
        <f aca="false">IF(MONTH($A18)=7,1,0)</f>
        <v>0</v>
      </c>
      <c r="J18" s="13" t="n">
        <f aca="false">IF(MONTH($A18)=8,1,0)</f>
        <v>0</v>
      </c>
      <c r="K18" s="13" t="n">
        <f aca="false">IF(MONTH($A18)=9,1,0)</f>
        <v>0</v>
      </c>
      <c r="L18" s="13" t="n">
        <f aca="false">IF(MONTH($A18)=10,1,0)</f>
        <v>0</v>
      </c>
      <c r="M18" s="13" t="n">
        <f aca="false">IF(MONTH($A18)=11,1,0)</f>
        <v>0</v>
      </c>
      <c r="N18" s="13" t="n">
        <f aca="false">IF(MONTH($A18)=12,1,0)</f>
        <v>0</v>
      </c>
      <c r="O18" s="7" t="n">
        <f aca="false">$B$5+SUMPRODUCT(C18:N18,$C$5:$N$5)</f>
        <v>1.20503838923961</v>
      </c>
      <c r="P18" s="7" t="n">
        <f aca="false">B18-O18</f>
        <v>-0.164716053686453</v>
      </c>
      <c r="Q18" s="7" t="n">
        <f aca="false">P18^2</f>
        <v>0.0271313783420384</v>
      </c>
      <c r="T18" s="5" t="s">
        <v>103</v>
      </c>
      <c r="U18" s="17" t="n">
        <f aca="false">(($U$13^2/$U$9)+($U$12^2/$U$8))^2/(($U$13^2/$U$9)^2/($U$9-1)+($U$12^2/$U$8)^2/($U$8-1))</f>
        <v>33.9010106849278</v>
      </c>
      <c r="V18" s="18" t="n">
        <v>33.9010106849277</v>
      </c>
      <c r="X18" s="5" t="s">
        <v>79</v>
      </c>
      <c r="Y18" s="7" t="n">
        <f aca="false">INDEX(LINEST(B7:B51,C7:N51,TRUE(),TRUE()),1,1)</f>
        <v>5.21365525865032</v>
      </c>
      <c r="Z18" s="7" t="n">
        <f aca="false">INDEX(LINEST(B7:B51,C7:N51,TRUE(),TRUE()),2,1)</f>
        <v>1.31865534036608</v>
      </c>
      <c r="AA18" s="7" t="n">
        <f aca="false">Y18/Z18</f>
        <v>3.95376646122171</v>
      </c>
      <c r="AB18" s="7" t="n">
        <f aca="false">_xlfn.T.DIST.2T(ABS(AA18),$U$35)</f>
        <v>0.000398747711257534</v>
      </c>
      <c r="AC18" s="7" t="n">
        <f aca="false">INDEX(MINVERSE($Y$23:$AJ$34),12,12)</f>
        <v>1.82222222222222</v>
      </c>
    </row>
    <row r="19" customFormat="false" ht="15" hidden="false" customHeight="false" outlineLevel="0" collapsed="false">
      <c r="A19" s="11" t="n">
        <f aca="false">Data_Monthly!A17</f>
        <v>44673</v>
      </c>
      <c r="B19" s="12" t="n">
        <f aca="false">Data_Monthly!K17</f>
        <v>0.341826614224772</v>
      </c>
      <c r="C19" s="13" t="n">
        <f aca="false">IF($A19&gt;=$U$5,1,0)</f>
        <v>0</v>
      </c>
      <c r="D19" s="13" t="n">
        <f aca="false">IF(MONTH($A19)=2,1,0)</f>
        <v>0</v>
      </c>
      <c r="E19" s="13" t="n">
        <f aca="false">IF(MONTH($A19)=3,1,0)</f>
        <v>0</v>
      </c>
      <c r="F19" s="13" t="n">
        <f aca="false">IF(MONTH($A19)=4,1,0)</f>
        <v>1</v>
      </c>
      <c r="G19" s="13" t="n">
        <f aca="false">IF(MONTH($A19)=5,1,0)</f>
        <v>0</v>
      </c>
      <c r="H19" s="13" t="n">
        <f aca="false">IF(MONTH($A19)=6,1,0)</f>
        <v>0</v>
      </c>
      <c r="I19" s="13" t="n">
        <f aca="false">IF(MONTH($A19)=7,1,0)</f>
        <v>0</v>
      </c>
      <c r="J19" s="13" t="n">
        <f aca="false">IF(MONTH($A19)=8,1,0)</f>
        <v>0</v>
      </c>
      <c r="K19" s="13" t="n">
        <f aca="false">IF(MONTH($A19)=9,1,0)</f>
        <v>0</v>
      </c>
      <c r="L19" s="13" t="n">
        <f aca="false">IF(MONTH($A19)=10,1,0)</f>
        <v>0</v>
      </c>
      <c r="M19" s="13" t="n">
        <f aca="false">IF(MONTH($A19)=11,1,0)</f>
        <v>0</v>
      </c>
      <c r="N19" s="13" t="n">
        <f aca="false">IF(MONTH($A19)=12,1,0)</f>
        <v>0</v>
      </c>
      <c r="O19" s="7" t="n">
        <f aca="false">$B$5+SUMPRODUCT(C19:N19,$C$5:$N$5)</f>
        <v>-0.273408295280934</v>
      </c>
      <c r="P19" s="7" t="n">
        <f aca="false">B19-O19</f>
        <v>0.615234909505706</v>
      </c>
      <c r="Q19" s="7" t="n">
        <f aca="false">P19^2</f>
        <v>0.378513993874494</v>
      </c>
      <c r="T19" s="5" t="s">
        <v>104</v>
      </c>
      <c r="U19" s="7" t="n">
        <f aca="false">_xlfn.T.TEST(B38:B51,B7:B37,2,3)</f>
        <v>0.108361689631752</v>
      </c>
      <c r="V19" s="16" t="n">
        <v>0.108361689631752</v>
      </c>
      <c r="X19" s="5" t="s">
        <v>105</v>
      </c>
      <c r="Y19" s="7" t="n">
        <f aca="false">INDEX(LINEST(B7:B51,C7:N51,TRUE(),TRUE()),1,13)</f>
        <v>-0.799384127538979</v>
      </c>
      <c r="Z19" s="7" t="n">
        <f aca="false">INDEX(LINEST(B7:B51,C7:N51,TRUE(),TRUE()),2,13)</f>
        <v>0.981538561796455</v>
      </c>
      <c r="AA19" s="7" t="n">
        <f aca="false">Y19/Z19</f>
        <v>-0.814419482486669</v>
      </c>
      <c r="AB19" s="7" t="n">
        <f aca="false">_xlfn.T.DIST.2T(ABS(AA19),$U$35)</f>
        <v>0.421424386400226</v>
      </c>
    </row>
    <row r="20" customFormat="false" ht="15" hidden="false" customHeight="false" outlineLevel="0" collapsed="false">
      <c r="A20" s="11" t="n">
        <f aca="false">Data_Monthly!A18</f>
        <v>44701</v>
      </c>
      <c r="B20" s="12" t="n">
        <f aca="false">Data_Monthly!K18</f>
        <v>-0.338799712825911</v>
      </c>
      <c r="C20" s="13" t="n">
        <f aca="false">IF($A20&gt;=$U$5,1,0)</f>
        <v>0</v>
      </c>
      <c r="D20" s="13" t="n">
        <f aca="false">IF(MONTH($A20)=2,1,0)</f>
        <v>0</v>
      </c>
      <c r="E20" s="13" t="n">
        <f aca="false">IF(MONTH($A20)=3,1,0)</f>
        <v>0</v>
      </c>
      <c r="F20" s="13" t="n">
        <f aca="false">IF(MONTH($A20)=4,1,0)</f>
        <v>0</v>
      </c>
      <c r="G20" s="13" t="n">
        <f aca="false">IF(MONTH($A20)=5,1,0)</f>
        <v>1</v>
      </c>
      <c r="H20" s="13" t="n">
        <f aca="false">IF(MONTH($A20)=6,1,0)</f>
        <v>0</v>
      </c>
      <c r="I20" s="13" t="n">
        <f aca="false">IF(MONTH($A20)=7,1,0)</f>
        <v>0</v>
      </c>
      <c r="J20" s="13" t="n">
        <f aca="false">IF(MONTH($A20)=8,1,0)</f>
        <v>0</v>
      </c>
      <c r="K20" s="13" t="n">
        <f aca="false">IF(MONTH($A20)=9,1,0)</f>
        <v>0</v>
      </c>
      <c r="L20" s="13" t="n">
        <f aca="false">IF(MONTH($A20)=10,1,0)</f>
        <v>0</v>
      </c>
      <c r="M20" s="13" t="n">
        <f aca="false">IF(MONTH($A20)=11,1,0)</f>
        <v>0</v>
      </c>
      <c r="N20" s="13" t="n">
        <f aca="false">IF(MONTH($A20)=12,1,0)</f>
        <v>0</v>
      </c>
      <c r="O20" s="7" t="n">
        <f aca="false">$B$5+SUMPRODUCT(C20:N20,$C$5:$N$5)</f>
        <v>-0.75564148143941</v>
      </c>
      <c r="P20" s="7" t="n">
        <f aca="false">B20-O20</f>
        <v>0.416841768613499</v>
      </c>
      <c r="Q20" s="7" t="n">
        <f aca="false">P20^2</f>
        <v>0.17375706006083</v>
      </c>
      <c r="X20" s="2" t="s">
        <v>106</v>
      </c>
    </row>
    <row r="21" customFormat="false" ht="15" hidden="false" customHeight="false" outlineLevel="0" collapsed="false">
      <c r="A21" s="11" t="n">
        <f aca="false">Data_Monthly!A19</f>
        <v>44729</v>
      </c>
      <c r="B21" s="12" t="n">
        <f aca="false">Data_Monthly!K19</f>
        <v>-1.15963090763795</v>
      </c>
      <c r="C21" s="13" t="n">
        <f aca="false">IF($A21&gt;=$U$5,1,0)</f>
        <v>0</v>
      </c>
      <c r="D21" s="13" t="n">
        <f aca="false">IF(MONTH($A21)=2,1,0)</f>
        <v>0</v>
      </c>
      <c r="E21" s="13" t="n">
        <f aca="false">IF(MONTH($A21)=3,1,0)</f>
        <v>0</v>
      </c>
      <c r="F21" s="13" t="n">
        <f aca="false">IF(MONTH($A21)=4,1,0)</f>
        <v>0</v>
      </c>
      <c r="G21" s="13" t="n">
        <f aca="false">IF(MONTH($A21)=5,1,0)</f>
        <v>0</v>
      </c>
      <c r="H21" s="13" t="n">
        <f aca="false">IF(MONTH($A21)=6,1,0)</f>
        <v>1</v>
      </c>
      <c r="I21" s="13" t="n">
        <f aca="false">IF(MONTH($A21)=7,1,0)</f>
        <v>0</v>
      </c>
      <c r="J21" s="13" t="n">
        <f aca="false">IF(MONTH($A21)=8,1,0)</f>
        <v>0</v>
      </c>
      <c r="K21" s="13" t="n">
        <f aca="false">IF(MONTH($A21)=9,1,0)</f>
        <v>0</v>
      </c>
      <c r="L21" s="13" t="n">
        <f aca="false">IF(MONTH($A21)=10,1,0)</f>
        <v>0</v>
      </c>
      <c r="M21" s="13" t="n">
        <f aca="false">IF(MONTH($A21)=11,1,0)</f>
        <v>0</v>
      </c>
      <c r="N21" s="13" t="n">
        <f aca="false">IF(MONTH($A21)=12,1,0)</f>
        <v>0</v>
      </c>
      <c r="O21" s="7" t="n">
        <f aca="false">$B$5+SUMPRODUCT(C21:N21,$C$5:$N$5)</f>
        <v>0.723898680350518</v>
      </c>
      <c r="P21" s="7" t="n">
        <f aca="false">B21-O21</f>
        <v>-1.88352958798847</v>
      </c>
      <c r="Q21" s="7" t="n">
        <f aca="false">P21^2</f>
        <v>3.54768370882802</v>
      </c>
      <c r="T21" s="9" t="s">
        <v>107</v>
      </c>
      <c r="U21" s="14" t="s">
        <v>91</v>
      </c>
      <c r="V21" s="14" t="s">
        <v>92</v>
      </c>
      <c r="X21" s="2" t="s">
        <v>108</v>
      </c>
    </row>
    <row r="22" customFormat="false" ht="15" hidden="false" customHeight="false" outlineLevel="0" collapsed="false">
      <c r="A22" s="11" t="n">
        <f aca="false">Data_Monthly!A20</f>
        <v>44771</v>
      </c>
      <c r="B22" s="12" t="n">
        <f aca="false">Data_Monthly!K20</f>
        <v>5.63772107422071</v>
      </c>
      <c r="C22" s="13" t="n">
        <f aca="false">IF($A22&gt;=$U$5,1,0)</f>
        <v>0</v>
      </c>
      <c r="D22" s="13" t="n">
        <f aca="false">IF(MONTH($A22)=2,1,0)</f>
        <v>0</v>
      </c>
      <c r="E22" s="13" t="n">
        <f aca="false">IF(MONTH($A22)=3,1,0)</f>
        <v>0</v>
      </c>
      <c r="F22" s="13" t="n">
        <f aca="false">IF(MONTH($A22)=4,1,0)</f>
        <v>0</v>
      </c>
      <c r="G22" s="13" t="n">
        <f aca="false">IF(MONTH($A22)=5,1,0)</f>
        <v>0</v>
      </c>
      <c r="H22" s="13" t="n">
        <f aca="false">IF(MONTH($A22)=6,1,0)</f>
        <v>0</v>
      </c>
      <c r="I22" s="13" t="n">
        <f aca="false">IF(MONTH($A22)=7,1,0)</f>
        <v>1</v>
      </c>
      <c r="J22" s="13" t="n">
        <f aca="false">IF(MONTH($A22)=8,1,0)</f>
        <v>0</v>
      </c>
      <c r="K22" s="13" t="n">
        <f aca="false">IF(MONTH($A22)=9,1,0)</f>
        <v>0</v>
      </c>
      <c r="L22" s="13" t="n">
        <f aca="false">IF(MONTH($A22)=10,1,0)</f>
        <v>0</v>
      </c>
      <c r="M22" s="13" t="n">
        <f aca="false">IF(MONTH($A22)=11,1,0)</f>
        <v>0</v>
      </c>
      <c r="N22" s="13" t="n">
        <f aca="false">IF(MONTH($A22)=12,1,0)</f>
        <v>0</v>
      </c>
      <c r="O22" s="7" t="n">
        <f aca="false">$B$5+SUMPRODUCT(C22:N22,$C$5:$N$5)</f>
        <v>1.91904373085408</v>
      </c>
      <c r="P22" s="7" t="n">
        <f aca="false">B22-O22</f>
        <v>3.71867734336664</v>
      </c>
      <c r="Q22" s="7" t="n">
        <f aca="false">P22^2</f>
        <v>13.8285611840683</v>
      </c>
      <c r="T22" s="5" t="s">
        <v>105</v>
      </c>
      <c r="U22" s="7" t="n">
        <f aca="false">INDEX(LINEST(B7:B51,C7:C51,TRUE(),TRUE()),1,2)</f>
        <v>0.876852588014133</v>
      </c>
      <c r="V22" s="16" t="n">
        <v>0.876852588014133</v>
      </c>
      <c r="Y22" s="19" t="s">
        <v>68</v>
      </c>
      <c r="Z22" s="19" t="s">
        <v>69</v>
      </c>
      <c r="AA22" s="19" t="s">
        <v>70</v>
      </c>
      <c r="AB22" s="19" t="s">
        <v>71</v>
      </c>
      <c r="AC22" s="19" t="s">
        <v>72</v>
      </c>
      <c r="AD22" s="19" t="s">
        <v>73</v>
      </c>
      <c r="AE22" s="19" t="s">
        <v>74</v>
      </c>
      <c r="AF22" s="19" t="s">
        <v>75</v>
      </c>
      <c r="AG22" s="19" t="s">
        <v>76</v>
      </c>
      <c r="AH22" s="19" t="s">
        <v>77</v>
      </c>
      <c r="AI22" s="19" t="s">
        <v>78</v>
      </c>
      <c r="AJ22" s="19" t="s">
        <v>79</v>
      </c>
    </row>
    <row r="23" customFormat="false" ht="15" hidden="false" customHeight="false" outlineLevel="0" collapsed="false">
      <c r="A23" s="11" t="n">
        <f aca="false">Data_Monthly!A21</f>
        <v>44799</v>
      </c>
      <c r="B23" s="12" t="n">
        <f aca="false">Data_Monthly!K21</f>
        <v>-0.555023407540567</v>
      </c>
      <c r="C23" s="13" t="n">
        <f aca="false">IF($A23&gt;=$U$5,1,0)</f>
        <v>0</v>
      </c>
      <c r="D23" s="13" t="n">
        <f aca="false">IF(MONTH($A23)=2,1,0)</f>
        <v>0</v>
      </c>
      <c r="E23" s="13" t="n">
        <f aca="false">IF(MONTH($A23)=3,1,0)</f>
        <v>0</v>
      </c>
      <c r="F23" s="13" t="n">
        <f aca="false">IF(MONTH($A23)=4,1,0)</f>
        <v>0</v>
      </c>
      <c r="G23" s="13" t="n">
        <f aca="false">IF(MONTH($A23)=5,1,0)</f>
        <v>0</v>
      </c>
      <c r="H23" s="13" t="n">
        <f aca="false">IF(MONTH($A23)=6,1,0)</f>
        <v>0</v>
      </c>
      <c r="I23" s="13" t="n">
        <f aca="false">IF(MONTH($A23)=7,1,0)</f>
        <v>0</v>
      </c>
      <c r="J23" s="13" t="n">
        <f aca="false">IF(MONTH($A23)=8,1,0)</f>
        <v>1</v>
      </c>
      <c r="K23" s="13" t="n">
        <f aca="false">IF(MONTH($A23)=9,1,0)</f>
        <v>0</v>
      </c>
      <c r="L23" s="13" t="n">
        <f aca="false">IF(MONTH($A23)=10,1,0)</f>
        <v>0</v>
      </c>
      <c r="M23" s="13" t="n">
        <f aca="false">IF(MONTH($A23)=11,1,0)</f>
        <v>0</v>
      </c>
      <c r="N23" s="13" t="n">
        <f aca="false">IF(MONTH($A23)=12,1,0)</f>
        <v>0</v>
      </c>
      <c r="O23" s="7" t="n">
        <f aca="false">$B$5+SUMPRODUCT(C23:N23,$C$5:$N$5)</f>
        <v>-0.768510090772749</v>
      </c>
      <c r="P23" s="7" t="n">
        <f aca="false">B23-O23</f>
        <v>0.213486683232182</v>
      </c>
      <c r="Q23" s="7" t="n">
        <f aca="false">P23^2</f>
        <v>0.0455765639174778</v>
      </c>
      <c r="T23" s="5" t="s">
        <v>109</v>
      </c>
      <c r="U23" s="7" t="n">
        <f aca="false">INDEX(LINEST(B7:B51,C7:C51,TRUE(),TRUE()),1,1)</f>
        <v>-1.06939703164603</v>
      </c>
      <c r="V23" s="16" t="n">
        <v>-1.06939703164603</v>
      </c>
      <c r="X23" s="6" t="s">
        <v>68</v>
      </c>
      <c r="Y23" s="20" t="n">
        <f aca="false">CORREL($C$7:$C$51,$C$7:$C$51)</f>
        <v>1</v>
      </c>
      <c r="Z23" s="20" t="n">
        <f aca="false">CORREL($D$7:$D$51,$C$7:$C$51)</f>
        <v>0.0128289501447696</v>
      </c>
      <c r="AA23" s="20" t="n">
        <f aca="false">CORREL($E$7:$E$51,$C$7:$C$51)</f>
        <v>0.0128289501447696</v>
      </c>
      <c r="AB23" s="20" t="n">
        <f aca="false">CORREL($F$7:$F$51,$C$7:$C$51)</f>
        <v>-0.0412311925578649</v>
      </c>
      <c r="AC23" s="20" t="n">
        <f aca="false">CORREL($G$7:$G$51,$C$7:$C$51)</f>
        <v>-0.0412311925578649</v>
      </c>
      <c r="AD23" s="20" t="n">
        <f aca="false">CORREL($H$7:$H$51,$C$7:$C$51)</f>
        <v>-0.0412311925578649</v>
      </c>
      <c r="AE23" s="20" t="n">
        <f aca="false">CORREL($I$7:$I$51,$C$7:$C$51)</f>
        <v>0.0128289501447696</v>
      </c>
      <c r="AF23" s="20" t="n">
        <f aca="false">CORREL($J$7:$J$51,$C$7:$C$51)</f>
        <v>-0.0412311925578649</v>
      </c>
      <c r="AG23" s="20" t="n">
        <f aca="false">CORREL($K$7:$K$51,$C$7:$C$51)</f>
        <v>-0.0412311925578649</v>
      </c>
      <c r="AH23" s="20" t="n">
        <f aca="false">CORREL($L$7:$L$51,$C$7:$C$51)</f>
        <v>-0.0412311925578649</v>
      </c>
      <c r="AI23" s="20" t="n">
        <f aca="false">CORREL($M$7:$M$51,$C$7:$C$51)</f>
        <v>-0.0412311925578649</v>
      </c>
      <c r="AJ23" s="20" t="n">
        <f aca="false">CORREL($N$7:$N$51,$C$7:$C$51)</f>
        <v>0.127441867906128</v>
      </c>
    </row>
    <row r="24" customFormat="false" ht="15" hidden="false" customHeight="false" outlineLevel="0" collapsed="false">
      <c r="A24" s="11" t="n">
        <f aca="false">Data_Monthly!A22</f>
        <v>44827</v>
      </c>
      <c r="B24" s="12" t="n">
        <f aca="false">Data_Monthly!K22</f>
        <v>0.685142861705578</v>
      </c>
      <c r="C24" s="13" t="n">
        <f aca="false">IF($A24&gt;=$U$5,1,0)</f>
        <v>0</v>
      </c>
      <c r="D24" s="13" t="n">
        <f aca="false">IF(MONTH($A24)=2,1,0)</f>
        <v>0</v>
      </c>
      <c r="E24" s="13" t="n">
        <f aca="false">IF(MONTH($A24)=3,1,0)</f>
        <v>0</v>
      </c>
      <c r="F24" s="13" t="n">
        <f aca="false">IF(MONTH($A24)=4,1,0)</f>
        <v>0</v>
      </c>
      <c r="G24" s="13" t="n">
        <f aca="false">IF(MONTH($A24)=5,1,0)</f>
        <v>0</v>
      </c>
      <c r="H24" s="13" t="n">
        <f aca="false">IF(MONTH($A24)=6,1,0)</f>
        <v>0</v>
      </c>
      <c r="I24" s="13" t="n">
        <f aca="false">IF(MONTH($A24)=7,1,0)</f>
        <v>0</v>
      </c>
      <c r="J24" s="13" t="n">
        <f aca="false">IF(MONTH($A24)=8,1,0)</f>
        <v>0</v>
      </c>
      <c r="K24" s="13" t="n">
        <f aca="false">IF(MONTH($A24)=9,1,0)</f>
        <v>1</v>
      </c>
      <c r="L24" s="13" t="n">
        <f aca="false">IF(MONTH($A24)=10,1,0)</f>
        <v>0</v>
      </c>
      <c r="M24" s="13" t="n">
        <f aca="false">IF(MONTH($A24)=11,1,0)</f>
        <v>0</v>
      </c>
      <c r="N24" s="13" t="n">
        <f aca="false">IF(MONTH($A24)=12,1,0)</f>
        <v>0</v>
      </c>
      <c r="O24" s="7" t="n">
        <f aca="false">$B$5+SUMPRODUCT(C24:N24,$C$5:$N$5)</f>
        <v>0.789451615610166</v>
      </c>
      <c r="P24" s="7" t="n">
        <f aca="false">B24-O24</f>
        <v>-0.104308753904588</v>
      </c>
      <c r="Q24" s="7" t="n">
        <f aca="false">P24^2</f>
        <v>0.0108803161411279</v>
      </c>
      <c r="T24" s="5" t="s">
        <v>110</v>
      </c>
      <c r="U24" s="7" t="n">
        <f aca="false">INDEX(LINEST(B7:B51,C7:C51,TRUE(),TRUE()),2,1)</f>
        <v>0.730232895513335</v>
      </c>
      <c r="V24" s="16" t="n">
        <v>0.730232895513335</v>
      </c>
      <c r="X24" s="6" t="s">
        <v>69</v>
      </c>
      <c r="Y24" s="20" t="n">
        <f aca="false">CORREL($C$7:$C$51,$D$7:$D$51)</f>
        <v>0.0128289501447696</v>
      </c>
      <c r="Z24" s="20" t="n">
        <f aca="false">CORREL($D$7:$D$51,$D$7:$D$51)</f>
        <v>1</v>
      </c>
      <c r="AA24" s="20" t="n">
        <f aca="false">CORREL($E$7:$E$51,$D$7:$D$51)</f>
        <v>-0.0714285714285714</v>
      </c>
      <c r="AB24" s="20" t="n">
        <f aca="false">CORREL($F$7:$F$51,$D$7:$D$51)</f>
        <v>-0.0834783871129682</v>
      </c>
      <c r="AC24" s="20" t="n">
        <f aca="false">CORREL($G$7:$G$51,$D$7:$D$51)</f>
        <v>-0.0834783871129682</v>
      </c>
      <c r="AD24" s="20" t="n">
        <f aca="false">CORREL($H$7:$H$51,$D$7:$D$51)</f>
        <v>-0.0834783871129682</v>
      </c>
      <c r="AE24" s="20" t="n">
        <f aca="false">CORREL($I$7:$I$51,$D$7:$D$51)</f>
        <v>-0.0714285714285714</v>
      </c>
      <c r="AF24" s="20" t="n">
        <f aca="false">CORREL($J$7:$J$51,$D$7:$D$51)</f>
        <v>-0.0834783871129682</v>
      </c>
      <c r="AG24" s="20" t="n">
        <f aca="false">CORREL($K$7:$K$51,$D$7:$D$51)</f>
        <v>-0.0834783871129682</v>
      </c>
      <c r="AH24" s="20" t="n">
        <f aca="false">CORREL($L$7:$L$51,$D$7:$D$51)</f>
        <v>-0.0834783871129682</v>
      </c>
      <c r="AI24" s="20" t="n">
        <f aca="false">CORREL($M$7:$M$51,$D$7:$D$51)</f>
        <v>-0.0834783871129682</v>
      </c>
      <c r="AJ24" s="20" t="n">
        <f aca="false">CORREL($N$7:$N$51,$D$7:$D$51)</f>
        <v>-0.0834783871129682</v>
      </c>
    </row>
    <row r="25" customFormat="false" ht="15" hidden="false" customHeight="false" outlineLevel="0" collapsed="false">
      <c r="A25" s="11" t="n">
        <f aca="false">Data_Monthly!A23</f>
        <v>44855</v>
      </c>
      <c r="B25" s="12" t="n">
        <f aca="false">Data_Monthly!K23</f>
        <v>6.25261348128383</v>
      </c>
      <c r="C25" s="13" t="n">
        <f aca="false">IF($A25&gt;=$U$5,1,0)</f>
        <v>0</v>
      </c>
      <c r="D25" s="13" t="n">
        <f aca="false">IF(MONTH($A25)=2,1,0)</f>
        <v>0</v>
      </c>
      <c r="E25" s="13" t="n">
        <f aca="false">IF(MONTH($A25)=3,1,0)</f>
        <v>0</v>
      </c>
      <c r="F25" s="13" t="n">
        <f aca="false">IF(MONTH($A25)=4,1,0)</f>
        <v>0</v>
      </c>
      <c r="G25" s="13" t="n">
        <f aca="false">IF(MONTH($A25)=5,1,0)</f>
        <v>0</v>
      </c>
      <c r="H25" s="13" t="n">
        <f aca="false">IF(MONTH($A25)=6,1,0)</f>
        <v>0</v>
      </c>
      <c r="I25" s="13" t="n">
        <f aca="false">IF(MONTH($A25)=7,1,0)</f>
        <v>0</v>
      </c>
      <c r="J25" s="13" t="n">
        <f aca="false">IF(MONTH($A25)=8,1,0)</f>
        <v>0</v>
      </c>
      <c r="K25" s="13" t="n">
        <f aca="false">IF(MONTH($A25)=9,1,0)</f>
        <v>0</v>
      </c>
      <c r="L25" s="13" t="n">
        <f aca="false">IF(MONTH($A25)=10,1,0)</f>
        <v>1</v>
      </c>
      <c r="M25" s="13" t="n">
        <f aca="false">IF(MONTH($A25)=11,1,0)</f>
        <v>0</v>
      </c>
      <c r="N25" s="13" t="n">
        <f aca="false">IF(MONTH($A25)=12,1,0)</f>
        <v>0</v>
      </c>
      <c r="O25" s="7" t="n">
        <f aca="false">$B$5+SUMPRODUCT(C25:N25,$C$5:$N$5)</f>
        <v>2.33227352472269</v>
      </c>
      <c r="P25" s="7" t="n">
        <f aca="false">B25-O25</f>
        <v>3.92033995656114</v>
      </c>
      <c r="Q25" s="7" t="n">
        <f aca="false">P25^2</f>
        <v>15.3690653750098</v>
      </c>
      <c r="T25" s="5" t="s">
        <v>102</v>
      </c>
      <c r="U25" s="7" t="n">
        <f aca="false">$U$23/$U$24</f>
        <v>-1.46446022661615</v>
      </c>
      <c r="V25" s="16" t="n">
        <v>-1.46446022661615</v>
      </c>
      <c r="X25" s="6" t="s">
        <v>70</v>
      </c>
      <c r="Y25" s="20" t="n">
        <f aca="false">CORREL($C$7:$C$51,$E$7:$E$51)</f>
        <v>0.0128289501447696</v>
      </c>
      <c r="Z25" s="20" t="n">
        <f aca="false">CORREL($D$7:$D$51,$E$7:$E$51)</f>
        <v>-0.0714285714285714</v>
      </c>
      <c r="AA25" s="20" t="n">
        <f aca="false">CORREL($E$7:$E$51,$E$7:$E$51)</f>
        <v>1</v>
      </c>
      <c r="AB25" s="20" t="n">
        <f aca="false">CORREL($F$7:$F$51,$E$7:$E$51)</f>
        <v>-0.0834783871129682</v>
      </c>
      <c r="AC25" s="20" t="n">
        <f aca="false">CORREL($G$7:$G$51,$E$7:$E$51)</f>
        <v>-0.0834783871129682</v>
      </c>
      <c r="AD25" s="20" t="n">
        <f aca="false">CORREL($H$7:$H$51,$E$7:$E$51)</f>
        <v>-0.0834783871129682</v>
      </c>
      <c r="AE25" s="20" t="n">
        <f aca="false">CORREL($I$7:$I$51,$E$7:$E$51)</f>
        <v>-0.0714285714285714</v>
      </c>
      <c r="AF25" s="20" t="n">
        <f aca="false">CORREL($J$7:$J$51,$E$7:$E$51)</f>
        <v>-0.0834783871129682</v>
      </c>
      <c r="AG25" s="20" t="n">
        <f aca="false">CORREL($K$7:$K$51,$E$7:$E$51)</f>
        <v>-0.0834783871129682</v>
      </c>
      <c r="AH25" s="20" t="n">
        <f aca="false">CORREL($L$7:$L$51,$E$7:$E$51)</f>
        <v>-0.0834783871129682</v>
      </c>
      <c r="AI25" s="20" t="n">
        <f aca="false">CORREL($M$7:$M$51,$E$7:$E$51)</f>
        <v>-0.0834783871129682</v>
      </c>
      <c r="AJ25" s="20" t="n">
        <f aca="false">CORREL($N$7:$N$51,$E$7:$E$51)</f>
        <v>-0.0834783871129682</v>
      </c>
    </row>
    <row r="26" customFormat="false" ht="15" hidden="false" customHeight="false" outlineLevel="0" collapsed="false">
      <c r="A26" s="11" t="n">
        <f aca="false">Data_Monthly!A24</f>
        <v>44883</v>
      </c>
      <c r="B26" s="12" t="n">
        <f aca="false">Data_Monthly!K24</f>
        <v>1.08845831041009</v>
      </c>
      <c r="C26" s="13" t="n">
        <f aca="false">IF($A26&gt;=$U$5,1,0)</f>
        <v>0</v>
      </c>
      <c r="D26" s="13" t="n">
        <f aca="false">IF(MONTH($A26)=2,1,0)</f>
        <v>0</v>
      </c>
      <c r="E26" s="13" t="n">
        <f aca="false">IF(MONTH($A26)=3,1,0)</f>
        <v>0</v>
      </c>
      <c r="F26" s="13" t="n">
        <f aca="false">IF(MONTH($A26)=4,1,0)</f>
        <v>0</v>
      </c>
      <c r="G26" s="13" t="n">
        <f aca="false">IF(MONTH($A26)=5,1,0)</f>
        <v>0</v>
      </c>
      <c r="H26" s="13" t="n">
        <f aca="false">IF(MONTH($A26)=6,1,0)</f>
        <v>0</v>
      </c>
      <c r="I26" s="13" t="n">
        <f aca="false">IF(MONTH($A26)=7,1,0)</f>
        <v>0</v>
      </c>
      <c r="J26" s="13" t="n">
        <f aca="false">IF(MONTH($A26)=8,1,0)</f>
        <v>0</v>
      </c>
      <c r="K26" s="13" t="n">
        <f aca="false">IF(MONTH($A26)=9,1,0)</f>
        <v>0</v>
      </c>
      <c r="L26" s="13" t="n">
        <f aca="false">IF(MONTH($A26)=10,1,0)</f>
        <v>0</v>
      </c>
      <c r="M26" s="13" t="n">
        <f aca="false">IF(MONTH($A26)=11,1,0)</f>
        <v>1</v>
      </c>
      <c r="N26" s="13" t="n">
        <f aca="false">IF(MONTH($A26)=12,1,0)</f>
        <v>0</v>
      </c>
      <c r="O26" s="7" t="n">
        <f aca="false">$B$5+SUMPRODUCT(C26:N26,$C$5:$N$5)</f>
        <v>2.36656597586724</v>
      </c>
      <c r="P26" s="7" t="n">
        <f aca="false">B26-O26</f>
        <v>-1.27810766545715</v>
      </c>
      <c r="Q26" s="7" t="n">
        <f aca="false">P26^2</f>
        <v>1.63355920450032</v>
      </c>
      <c r="T26" s="5" t="s">
        <v>111</v>
      </c>
      <c r="U26" s="13" t="n">
        <f aca="false">INDEX(LINEST(B7:B51,C7:C51,TRUE(),TRUE()),4,2)</f>
        <v>43</v>
      </c>
      <c r="X26" s="6" t="s">
        <v>71</v>
      </c>
      <c r="Y26" s="20" t="n">
        <f aca="false">CORREL($C$7:$C$51,$F$7:$F$51)</f>
        <v>-0.0412311925578649</v>
      </c>
      <c r="Z26" s="20" t="n">
        <f aca="false">CORREL($D$7:$D$51,$F$7:$F$51)</f>
        <v>-0.0834783871129682</v>
      </c>
      <c r="AA26" s="20" t="n">
        <f aca="false">CORREL($E$7:$E$51,$F$7:$F$51)</f>
        <v>-0.0834783871129682</v>
      </c>
      <c r="AB26" s="20" t="n">
        <f aca="false">CORREL($F$7:$F$51,$F$7:$F$51)</f>
        <v>1</v>
      </c>
      <c r="AC26" s="20" t="n">
        <f aca="false">CORREL($G$7:$G$51,$F$7:$F$51)</f>
        <v>-0.0975609756097561</v>
      </c>
      <c r="AD26" s="20" t="n">
        <f aca="false">CORREL($H$7:$H$51,$F$7:$F$51)</f>
        <v>-0.0975609756097561</v>
      </c>
      <c r="AE26" s="20" t="n">
        <f aca="false">CORREL($I$7:$I$51,$F$7:$F$51)</f>
        <v>-0.0834783871129682</v>
      </c>
      <c r="AF26" s="20" t="n">
        <f aca="false">CORREL($J$7:$J$51,$F$7:$F$51)</f>
        <v>-0.0975609756097561</v>
      </c>
      <c r="AG26" s="20" t="n">
        <f aca="false">CORREL($K$7:$K$51,$F$7:$F$51)</f>
        <v>-0.0975609756097561</v>
      </c>
      <c r="AH26" s="20" t="n">
        <f aca="false">CORREL($L$7:$L$51,$F$7:$F$51)</f>
        <v>-0.0975609756097561</v>
      </c>
      <c r="AI26" s="20" t="n">
        <f aca="false">CORREL($M$7:$M$51,$F$7:$F$51)</f>
        <v>-0.0975609756097561</v>
      </c>
      <c r="AJ26" s="20" t="n">
        <f aca="false">CORREL($N$7:$N$51,$F$7:$F$51)</f>
        <v>-0.0975609756097561</v>
      </c>
    </row>
    <row r="27" customFormat="false" ht="15" hidden="false" customHeight="false" outlineLevel="0" collapsed="false">
      <c r="A27" s="11" t="n">
        <f aca="false">Data_Monthly!A25</f>
        <v>44925</v>
      </c>
      <c r="B27" s="12" t="n">
        <f aca="false">Data_Monthly!K25</f>
        <v>6.5472353163111</v>
      </c>
      <c r="C27" s="13" t="n">
        <f aca="false">IF($A27&gt;=$U$5,1,0)</f>
        <v>0</v>
      </c>
      <c r="D27" s="13" t="n">
        <f aca="false">IF(MONTH($A27)=2,1,0)</f>
        <v>0</v>
      </c>
      <c r="E27" s="13" t="n">
        <f aca="false">IF(MONTH($A27)=3,1,0)</f>
        <v>0</v>
      </c>
      <c r="F27" s="13" t="n">
        <f aca="false">IF(MONTH($A27)=4,1,0)</f>
        <v>0</v>
      </c>
      <c r="G27" s="13" t="n">
        <f aca="false">IF(MONTH($A27)=5,1,0)</f>
        <v>0</v>
      </c>
      <c r="H27" s="13" t="n">
        <f aca="false">IF(MONTH($A27)=6,1,0)</f>
        <v>0</v>
      </c>
      <c r="I27" s="13" t="n">
        <f aca="false">IF(MONTH($A27)=7,1,0)</f>
        <v>0</v>
      </c>
      <c r="J27" s="13" t="n">
        <f aca="false">IF(MONTH($A27)=8,1,0)</f>
        <v>0</v>
      </c>
      <c r="K27" s="13" t="n">
        <f aca="false">IF(MONTH($A27)=9,1,0)</f>
        <v>0</v>
      </c>
      <c r="L27" s="13" t="n">
        <f aca="false">IF(MONTH($A27)=10,1,0)</f>
        <v>0</v>
      </c>
      <c r="M27" s="13" t="n">
        <f aca="false">IF(MONTH($A27)=11,1,0)</f>
        <v>0</v>
      </c>
      <c r="N27" s="13" t="n">
        <f aca="false">IF(MONTH($A27)=12,1,0)</f>
        <v>1</v>
      </c>
      <c r="O27" s="7" t="n">
        <f aca="false">$B$5+SUMPRODUCT(C27:N27,$C$5:$N$5)</f>
        <v>4.41427113111134</v>
      </c>
      <c r="P27" s="7" t="n">
        <f aca="false">B27-O27</f>
        <v>2.13296418519976</v>
      </c>
      <c r="Q27" s="7" t="n">
        <f aca="false">P27^2</f>
        <v>4.54953621534486</v>
      </c>
      <c r="T27" s="5" t="s">
        <v>88</v>
      </c>
      <c r="U27" s="7" t="n">
        <f aca="false">_xlfn.T.DIST.2T(ABS($U$25),$U$26)</f>
        <v>0.15034158736143</v>
      </c>
      <c r="V27" s="16" t="n">
        <v>0.15034158736143</v>
      </c>
      <c r="X27" s="6" t="s">
        <v>72</v>
      </c>
      <c r="Y27" s="20" t="n">
        <f aca="false">CORREL($C$7:$C$51,$G$7:$G$51)</f>
        <v>-0.0412311925578649</v>
      </c>
      <c r="Z27" s="20" t="n">
        <f aca="false">CORREL($D$7:$D$51,$G$7:$G$51)</f>
        <v>-0.0834783871129682</v>
      </c>
      <c r="AA27" s="20" t="n">
        <f aca="false">CORREL($E$7:$E$51,$G$7:$G$51)</f>
        <v>-0.0834783871129682</v>
      </c>
      <c r="AB27" s="20" t="n">
        <f aca="false">CORREL($F$7:$F$51,$G$7:$G$51)</f>
        <v>-0.0975609756097561</v>
      </c>
      <c r="AC27" s="20" t="n">
        <f aca="false">CORREL($G$7:$G$51,$G$7:$G$51)</f>
        <v>1</v>
      </c>
      <c r="AD27" s="20" t="n">
        <f aca="false">CORREL($H$7:$H$51,$G$7:$G$51)</f>
        <v>-0.0975609756097561</v>
      </c>
      <c r="AE27" s="20" t="n">
        <f aca="false">CORREL($I$7:$I$51,$G$7:$G$51)</f>
        <v>-0.0834783871129682</v>
      </c>
      <c r="AF27" s="20" t="n">
        <f aca="false">CORREL($J$7:$J$51,$G$7:$G$51)</f>
        <v>-0.0975609756097561</v>
      </c>
      <c r="AG27" s="20" t="n">
        <f aca="false">CORREL($K$7:$K$51,$G$7:$G$51)</f>
        <v>-0.0975609756097561</v>
      </c>
      <c r="AH27" s="20" t="n">
        <f aca="false">CORREL($L$7:$L$51,$G$7:$G$51)</f>
        <v>-0.0975609756097561</v>
      </c>
      <c r="AI27" s="20" t="n">
        <f aca="false">CORREL($M$7:$M$51,$G$7:$G$51)</f>
        <v>-0.0975609756097561</v>
      </c>
      <c r="AJ27" s="20" t="n">
        <f aca="false">CORREL($N$7:$N$51,$G$7:$G$51)</f>
        <v>-0.0975609756097561</v>
      </c>
    </row>
    <row r="28" customFormat="false" ht="15" hidden="false" customHeight="false" outlineLevel="0" collapsed="false">
      <c r="A28" s="11" t="n">
        <f aca="false">Data_Monthly!A26</f>
        <v>44953</v>
      </c>
      <c r="B28" s="12" t="n">
        <f aca="false">Data_Monthly!K26</f>
        <v>-2.29444505798799</v>
      </c>
      <c r="C28" s="13" t="n">
        <f aca="false">IF($A28&gt;=$U$5,1,0)</f>
        <v>0</v>
      </c>
      <c r="D28" s="13" t="n">
        <f aca="false">IF(MONTH($A28)=2,1,0)</f>
        <v>0</v>
      </c>
      <c r="E28" s="13" t="n">
        <f aca="false">IF(MONTH($A28)=3,1,0)</f>
        <v>0</v>
      </c>
      <c r="F28" s="13" t="n">
        <f aca="false">IF(MONTH($A28)=4,1,0)</f>
        <v>0</v>
      </c>
      <c r="G28" s="13" t="n">
        <f aca="false">IF(MONTH($A28)=5,1,0)</f>
        <v>0</v>
      </c>
      <c r="H28" s="13" t="n">
        <f aca="false">IF(MONTH($A28)=6,1,0)</f>
        <v>0</v>
      </c>
      <c r="I28" s="13" t="n">
        <f aca="false">IF(MONTH($A28)=7,1,0)</f>
        <v>0</v>
      </c>
      <c r="J28" s="13" t="n">
        <f aca="false">IF(MONTH($A28)=8,1,0)</f>
        <v>0</v>
      </c>
      <c r="K28" s="13" t="n">
        <f aca="false">IF(MONTH($A28)=9,1,0)</f>
        <v>0</v>
      </c>
      <c r="L28" s="13" t="n">
        <f aca="false">IF(MONTH($A28)=10,1,0)</f>
        <v>0</v>
      </c>
      <c r="M28" s="13" t="n">
        <f aca="false">IF(MONTH($A28)=11,1,0)</f>
        <v>0</v>
      </c>
      <c r="N28" s="13" t="n">
        <f aca="false">IF(MONTH($A28)=12,1,0)</f>
        <v>0</v>
      </c>
      <c r="O28" s="7" t="n">
        <f aca="false">$B$5+SUMPRODUCT(C28:N28,$C$5:$N$5)</f>
        <v>-0.799384127538979</v>
      </c>
      <c r="P28" s="7" t="n">
        <f aca="false">B28-O28</f>
        <v>-1.49506093044901</v>
      </c>
      <c r="Q28" s="7" t="n">
        <f aca="false">P28^2</f>
        <v>2.23520718575507</v>
      </c>
      <c r="T28" s="5" t="s">
        <v>112</v>
      </c>
      <c r="U28" s="7" t="n">
        <f aca="false">INDEX(LINEST(B7:B51,C7:C51,TRUE(),TRUE()),3,1)</f>
        <v>0.0475060511489122</v>
      </c>
      <c r="V28" s="16" t="n">
        <v>0.0475060511489118</v>
      </c>
      <c r="X28" s="6" t="s">
        <v>73</v>
      </c>
      <c r="Y28" s="20" t="n">
        <f aca="false">CORREL($C$7:$C$51,$H$7:$H$51)</f>
        <v>-0.0412311925578649</v>
      </c>
      <c r="Z28" s="20" t="n">
        <f aca="false">CORREL($D$7:$D$51,$H$7:$H$51)</f>
        <v>-0.0834783871129682</v>
      </c>
      <c r="AA28" s="20" t="n">
        <f aca="false">CORREL($E$7:$E$51,$H$7:$H$51)</f>
        <v>-0.0834783871129682</v>
      </c>
      <c r="AB28" s="20" t="n">
        <f aca="false">CORREL($F$7:$F$51,$H$7:$H$51)</f>
        <v>-0.0975609756097561</v>
      </c>
      <c r="AC28" s="20" t="n">
        <f aca="false">CORREL($G$7:$G$51,$H$7:$H$51)</f>
        <v>-0.0975609756097561</v>
      </c>
      <c r="AD28" s="20" t="n">
        <f aca="false">CORREL($H$7:$H$51,$H$7:$H$51)</f>
        <v>1</v>
      </c>
      <c r="AE28" s="20" t="n">
        <f aca="false">CORREL($I$7:$I$51,$H$7:$H$51)</f>
        <v>-0.0834783871129682</v>
      </c>
      <c r="AF28" s="20" t="n">
        <f aca="false">CORREL($J$7:$J$51,$H$7:$H$51)</f>
        <v>-0.0975609756097561</v>
      </c>
      <c r="AG28" s="20" t="n">
        <f aca="false">CORREL($K$7:$K$51,$H$7:$H$51)</f>
        <v>-0.0975609756097561</v>
      </c>
      <c r="AH28" s="20" t="n">
        <f aca="false">CORREL($L$7:$L$51,$H$7:$H$51)</f>
        <v>-0.0975609756097561</v>
      </c>
      <c r="AI28" s="20" t="n">
        <f aca="false">CORREL($M$7:$M$51,$H$7:$H$51)</f>
        <v>-0.0975609756097561</v>
      </c>
      <c r="AJ28" s="20" t="n">
        <f aca="false">CORREL($N$7:$N$51,$H$7:$H$51)</f>
        <v>-0.0975609756097561</v>
      </c>
    </row>
    <row r="29" customFormat="false" ht="15" hidden="false" customHeight="false" outlineLevel="0" collapsed="false">
      <c r="A29" s="11" t="n">
        <f aca="false">Data_Monthly!A27</f>
        <v>44981</v>
      </c>
      <c r="B29" s="12" t="n">
        <f aca="false">Data_Monthly!K27</f>
        <v>1.27790778996424</v>
      </c>
      <c r="C29" s="13" t="n">
        <f aca="false">IF($A29&gt;=$U$5,1,0)</f>
        <v>0</v>
      </c>
      <c r="D29" s="13" t="n">
        <f aca="false">IF(MONTH($A29)=2,1,0)</f>
        <v>1</v>
      </c>
      <c r="E29" s="13" t="n">
        <f aca="false">IF(MONTH($A29)=3,1,0)</f>
        <v>0</v>
      </c>
      <c r="F29" s="13" t="n">
        <f aca="false">IF(MONTH($A29)=4,1,0)</f>
        <v>0</v>
      </c>
      <c r="G29" s="13" t="n">
        <f aca="false">IF(MONTH($A29)=5,1,0)</f>
        <v>0</v>
      </c>
      <c r="H29" s="13" t="n">
        <f aca="false">IF(MONTH($A29)=6,1,0)</f>
        <v>0</v>
      </c>
      <c r="I29" s="13" t="n">
        <f aca="false">IF(MONTH($A29)=7,1,0)</f>
        <v>0</v>
      </c>
      <c r="J29" s="13" t="n">
        <f aca="false">IF(MONTH($A29)=8,1,0)</f>
        <v>0</v>
      </c>
      <c r="K29" s="13" t="n">
        <f aca="false">IF(MONTH($A29)=9,1,0)</f>
        <v>0</v>
      </c>
      <c r="L29" s="13" t="n">
        <f aca="false">IF(MONTH($A29)=10,1,0)</f>
        <v>0</v>
      </c>
      <c r="M29" s="13" t="n">
        <f aca="false">IF(MONTH($A29)=11,1,0)</f>
        <v>0</v>
      </c>
      <c r="N29" s="13" t="n">
        <f aca="false">IF(MONTH($A29)=12,1,0)</f>
        <v>0</v>
      </c>
      <c r="O29" s="7" t="n">
        <f aca="false">$B$5+SUMPRODUCT(C29:N29,$C$5:$N$5)</f>
        <v>0.230301096966729</v>
      </c>
      <c r="P29" s="7" t="n">
        <f aca="false">B29-O29</f>
        <v>1.04760669299751</v>
      </c>
      <c r="Q29" s="7" t="n">
        <f aca="false">P29^2</f>
        <v>1.09747978321318</v>
      </c>
      <c r="T29" s="5" t="s">
        <v>113</v>
      </c>
      <c r="U29" s="7" t="n">
        <f aca="false">INDEX(LINEST(B7:B51,C7:C51,TRUE(),TRUE()),5,2)</f>
        <v>221.140586766552</v>
      </c>
      <c r="X29" s="6" t="s">
        <v>74</v>
      </c>
      <c r="Y29" s="20" t="n">
        <f aca="false">CORREL($C$7:$C$51,$I$7:$I$51)</f>
        <v>0.0128289501447696</v>
      </c>
      <c r="Z29" s="20" t="n">
        <f aca="false">CORREL($D$7:$D$51,$I$7:$I$51)</f>
        <v>-0.0714285714285714</v>
      </c>
      <c r="AA29" s="20" t="n">
        <f aca="false">CORREL($E$7:$E$51,$I$7:$I$51)</f>
        <v>-0.0714285714285714</v>
      </c>
      <c r="AB29" s="20" t="n">
        <f aca="false">CORREL($F$7:$F$51,$I$7:$I$51)</f>
        <v>-0.0834783871129682</v>
      </c>
      <c r="AC29" s="20" t="n">
        <f aca="false">CORREL($G$7:$G$51,$I$7:$I$51)</f>
        <v>-0.0834783871129682</v>
      </c>
      <c r="AD29" s="20" t="n">
        <f aca="false">CORREL($H$7:$H$51,$I$7:$I$51)</f>
        <v>-0.0834783871129682</v>
      </c>
      <c r="AE29" s="20" t="n">
        <f aca="false">CORREL($I$7:$I$51,$I$7:$I$51)</f>
        <v>1</v>
      </c>
      <c r="AF29" s="20" t="n">
        <f aca="false">CORREL($J$7:$J$51,$I$7:$I$51)</f>
        <v>-0.0834783871129682</v>
      </c>
      <c r="AG29" s="20" t="n">
        <f aca="false">CORREL($K$7:$K$51,$I$7:$I$51)</f>
        <v>-0.0834783871129682</v>
      </c>
      <c r="AH29" s="20" t="n">
        <f aca="false">CORREL($L$7:$L$51,$I$7:$I$51)</f>
        <v>-0.0834783871129682</v>
      </c>
      <c r="AI29" s="20" t="n">
        <f aca="false">CORREL($M$7:$M$51,$I$7:$I$51)</f>
        <v>-0.0834783871129682</v>
      </c>
      <c r="AJ29" s="20" t="n">
        <f aca="false">CORREL($N$7:$N$51,$I$7:$I$51)</f>
        <v>-0.0834783871129682</v>
      </c>
    </row>
    <row r="30" customFormat="false" ht="15" hidden="false" customHeight="false" outlineLevel="0" collapsed="false">
      <c r="A30" s="11" t="n">
        <f aca="false">Data_Monthly!A28</f>
        <v>45009</v>
      </c>
      <c r="B30" s="12" t="n">
        <f aca="false">Data_Monthly!K28</f>
        <v>-0.259769601757398</v>
      </c>
      <c r="C30" s="13" t="n">
        <f aca="false">IF($A30&gt;=$U$5,1,0)</f>
        <v>0</v>
      </c>
      <c r="D30" s="13" t="n">
        <f aca="false">IF(MONTH($A30)=2,1,0)</f>
        <v>0</v>
      </c>
      <c r="E30" s="13" t="n">
        <f aca="false">IF(MONTH($A30)=3,1,0)</f>
        <v>1</v>
      </c>
      <c r="F30" s="13" t="n">
        <f aca="false">IF(MONTH($A30)=4,1,0)</f>
        <v>0</v>
      </c>
      <c r="G30" s="13" t="n">
        <f aca="false">IF(MONTH($A30)=5,1,0)</f>
        <v>0</v>
      </c>
      <c r="H30" s="13" t="n">
        <f aca="false">IF(MONTH($A30)=6,1,0)</f>
        <v>0</v>
      </c>
      <c r="I30" s="13" t="n">
        <f aca="false">IF(MONTH($A30)=7,1,0)</f>
        <v>0</v>
      </c>
      <c r="J30" s="13" t="n">
        <f aca="false">IF(MONTH($A30)=8,1,0)</f>
        <v>0</v>
      </c>
      <c r="K30" s="13" t="n">
        <f aca="false">IF(MONTH($A30)=9,1,0)</f>
        <v>0</v>
      </c>
      <c r="L30" s="13" t="n">
        <f aca="false">IF(MONTH($A30)=10,1,0)</f>
        <v>0</v>
      </c>
      <c r="M30" s="13" t="n">
        <f aca="false">IF(MONTH($A30)=11,1,0)</f>
        <v>0</v>
      </c>
      <c r="N30" s="13" t="n">
        <f aca="false">IF(MONTH($A30)=12,1,0)</f>
        <v>0</v>
      </c>
      <c r="O30" s="7" t="n">
        <f aca="false">$B$5+SUMPRODUCT(C30:N30,$C$5:$N$5)</f>
        <v>1.20503838923961</v>
      </c>
      <c r="P30" s="7" t="n">
        <f aca="false">B30-O30</f>
        <v>-1.46480799099701</v>
      </c>
      <c r="Q30" s="7" t="n">
        <f aca="false">P30^2</f>
        <v>2.14566245048869</v>
      </c>
      <c r="X30" s="6" t="s">
        <v>75</v>
      </c>
      <c r="Y30" s="20" t="n">
        <f aca="false">CORREL($C$7:$C$51,$J$7:$J$51)</f>
        <v>-0.0412311925578649</v>
      </c>
      <c r="Z30" s="20" t="n">
        <f aca="false">CORREL($D$7:$D$51,$J$7:$J$51)</f>
        <v>-0.0834783871129682</v>
      </c>
      <c r="AA30" s="20" t="n">
        <f aca="false">CORREL($E$7:$E$51,$J$7:$J$51)</f>
        <v>-0.0834783871129682</v>
      </c>
      <c r="AB30" s="20" t="n">
        <f aca="false">CORREL($F$7:$F$51,$J$7:$J$51)</f>
        <v>-0.0975609756097561</v>
      </c>
      <c r="AC30" s="20" t="n">
        <f aca="false">CORREL($G$7:$G$51,$J$7:$J$51)</f>
        <v>-0.0975609756097561</v>
      </c>
      <c r="AD30" s="20" t="n">
        <f aca="false">CORREL($H$7:$H$51,$J$7:$J$51)</f>
        <v>-0.0975609756097561</v>
      </c>
      <c r="AE30" s="20" t="n">
        <f aca="false">CORREL($I$7:$I$51,$J$7:$J$51)</f>
        <v>-0.0834783871129682</v>
      </c>
      <c r="AF30" s="20" t="n">
        <f aca="false">CORREL($J$7:$J$51,$J$7:$J$51)</f>
        <v>1</v>
      </c>
      <c r="AG30" s="20" t="n">
        <f aca="false">CORREL($K$7:$K$51,$J$7:$J$51)</f>
        <v>-0.0975609756097561</v>
      </c>
      <c r="AH30" s="20" t="n">
        <f aca="false">CORREL($L$7:$L$51,$J$7:$J$51)</f>
        <v>-0.0975609756097561</v>
      </c>
      <c r="AI30" s="20" t="n">
        <f aca="false">CORREL($M$7:$M$51,$J$7:$J$51)</f>
        <v>-0.0975609756097561</v>
      </c>
      <c r="AJ30" s="20" t="n">
        <f aca="false">CORREL($N$7:$N$51,$J$7:$J$51)</f>
        <v>-0.0975609756097561</v>
      </c>
    </row>
    <row r="31" customFormat="false" ht="15" hidden="false" customHeight="false" outlineLevel="0" collapsed="false">
      <c r="A31" s="11" t="n">
        <f aca="false">Data_Monthly!A29</f>
        <v>45037</v>
      </c>
      <c r="B31" s="12" t="n">
        <f aca="false">Data_Monthly!K29</f>
        <v>0.141580902898219</v>
      </c>
      <c r="C31" s="13" t="n">
        <f aca="false">IF($A31&gt;=$U$5,1,0)</f>
        <v>0</v>
      </c>
      <c r="D31" s="13" t="n">
        <f aca="false">IF(MONTH($A31)=2,1,0)</f>
        <v>0</v>
      </c>
      <c r="E31" s="13" t="n">
        <f aca="false">IF(MONTH($A31)=3,1,0)</f>
        <v>0</v>
      </c>
      <c r="F31" s="13" t="n">
        <f aca="false">IF(MONTH($A31)=4,1,0)</f>
        <v>1</v>
      </c>
      <c r="G31" s="13" t="n">
        <f aca="false">IF(MONTH($A31)=5,1,0)</f>
        <v>0</v>
      </c>
      <c r="H31" s="13" t="n">
        <f aca="false">IF(MONTH($A31)=6,1,0)</f>
        <v>0</v>
      </c>
      <c r="I31" s="13" t="n">
        <f aca="false">IF(MONTH($A31)=7,1,0)</f>
        <v>0</v>
      </c>
      <c r="J31" s="13" t="n">
        <f aca="false">IF(MONTH($A31)=8,1,0)</f>
        <v>0</v>
      </c>
      <c r="K31" s="13" t="n">
        <f aca="false">IF(MONTH($A31)=9,1,0)</f>
        <v>0</v>
      </c>
      <c r="L31" s="13" t="n">
        <f aca="false">IF(MONTH($A31)=10,1,0)</f>
        <v>0</v>
      </c>
      <c r="M31" s="13" t="n">
        <f aca="false">IF(MONTH($A31)=11,1,0)</f>
        <v>0</v>
      </c>
      <c r="N31" s="13" t="n">
        <f aca="false">IF(MONTH($A31)=12,1,0)</f>
        <v>0</v>
      </c>
      <c r="O31" s="7" t="n">
        <f aca="false">$B$5+SUMPRODUCT(C31:N31,$C$5:$N$5)</f>
        <v>-0.273408295280934</v>
      </c>
      <c r="P31" s="7" t="n">
        <f aca="false">B31-O31</f>
        <v>0.414989198179153</v>
      </c>
      <c r="Q31" s="7" t="n">
        <f aca="false">P31^2</f>
        <v>0.172216034605376</v>
      </c>
      <c r="T31" s="9" t="s">
        <v>114</v>
      </c>
      <c r="U31" s="14" t="s">
        <v>91</v>
      </c>
      <c r="V31" s="14" t="s">
        <v>92</v>
      </c>
      <c r="X31" s="6" t="s">
        <v>76</v>
      </c>
      <c r="Y31" s="20" t="n">
        <f aca="false">CORREL($C$7:$C$51,$K$7:$K$51)</f>
        <v>-0.0412311925578649</v>
      </c>
      <c r="Z31" s="20" t="n">
        <f aca="false">CORREL($D$7:$D$51,$K$7:$K$51)</f>
        <v>-0.0834783871129682</v>
      </c>
      <c r="AA31" s="20" t="n">
        <f aca="false">CORREL($E$7:$E$51,$K$7:$K$51)</f>
        <v>-0.0834783871129682</v>
      </c>
      <c r="AB31" s="20" t="n">
        <f aca="false">CORREL($F$7:$F$51,$K$7:$K$51)</f>
        <v>-0.0975609756097561</v>
      </c>
      <c r="AC31" s="20" t="n">
        <f aca="false">CORREL($G$7:$G$51,$K$7:$K$51)</f>
        <v>-0.0975609756097561</v>
      </c>
      <c r="AD31" s="20" t="n">
        <f aca="false">CORREL($H$7:$H$51,$K$7:$K$51)</f>
        <v>-0.0975609756097561</v>
      </c>
      <c r="AE31" s="20" t="n">
        <f aca="false">CORREL($I$7:$I$51,$K$7:$K$51)</f>
        <v>-0.0834783871129682</v>
      </c>
      <c r="AF31" s="20" t="n">
        <f aca="false">CORREL($J$7:$J$51,$K$7:$K$51)</f>
        <v>-0.0975609756097561</v>
      </c>
      <c r="AG31" s="20" t="n">
        <f aca="false">CORREL($K$7:$K$51,$K$7:$K$51)</f>
        <v>1</v>
      </c>
      <c r="AH31" s="20" t="n">
        <f aca="false">CORREL($L$7:$L$51,$K$7:$K$51)</f>
        <v>-0.0975609756097561</v>
      </c>
      <c r="AI31" s="20" t="n">
        <f aca="false">CORREL($M$7:$M$51,$K$7:$K$51)</f>
        <v>-0.0975609756097561</v>
      </c>
      <c r="AJ31" s="20" t="n">
        <f aca="false">CORREL($N$7:$N$51,$K$7:$K$51)</f>
        <v>-0.0975609756097561</v>
      </c>
    </row>
    <row r="32" customFormat="false" ht="15" hidden="false" customHeight="false" outlineLevel="0" collapsed="false">
      <c r="A32" s="11" t="n">
        <f aca="false">Data_Monthly!A30</f>
        <v>45065</v>
      </c>
      <c r="B32" s="12" t="n">
        <f aca="false">Data_Monthly!K30</f>
        <v>-1.64798537337667</v>
      </c>
      <c r="C32" s="13" t="n">
        <f aca="false">IF($A32&gt;=$U$5,1,0)</f>
        <v>0</v>
      </c>
      <c r="D32" s="13" t="n">
        <f aca="false">IF(MONTH($A32)=2,1,0)</f>
        <v>0</v>
      </c>
      <c r="E32" s="13" t="n">
        <f aca="false">IF(MONTH($A32)=3,1,0)</f>
        <v>0</v>
      </c>
      <c r="F32" s="13" t="n">
        <f aca="false">IF(MONTH($A32)=4,1,0)</f>
        <v>0</v>
      </c>
      <c r="G32" s="13" t="n">
        <f aca="false">IF(MONTH($A32)=5,1,0)</f>
        <v>1</v>
      </c>
      <c r="H32" s="13" t="n">
        <f aca="false">IF(MONTH($A32)=6,1,0)</f>
        <v>0</v>
      </c>
      <c r="I32" s="13" t="n">
        <f aca="false">IF(MONTH($A32)=7,1,0)</f>
        <v>0</v>
      </c>
      <c r="J32" s="13" t="n">
        <f aca="false">IF(MONTH($A32)=8,1,0)</f>
        <v>0</v>
      </c>
      <c r="K32" s="13" t="n">
        <f aca="false">IF(MONTH($A32)=9,1,0)</f>
        <v>0</v>
      </c>
      <c r="L32" s="13" t="n">
        <f aca="false">IF(MONTH($A32)=10,1,0)</f>
        <v>0</v>
      </c>
      <c r="M32" s="13" t="n">
        <f aca="false">IF(MONTH($A32)=11,1,0)</f>
        <v>0</v>
      </c>
      <c r="N32" s="13" t="n">
        <f aca="false">IF(MONTH($A32)=12,1,0)</f>
        <v>0</v>
      </c>
      <c r="O32" s="7" t="n">
        <f aca="false">$B$5+SUMPRODUCT(C32:N32,$C$5:$N$5)</f>
        <v>-0.75564148143941</v>
      </c>
      <c r="P32" s="7" t="n">
        <f aca="false">B32-O32</f>
        <v>-0.89234389193726</v>
      </c>
      <c r="Q32" s="7" t="n">
        <f aca="false">P32^2</f>
        <v>0.796277621477736</v>
      </c>
      <c r="T32" s="5" t="s">
        <v>115</v>
      </c>
      <c r="U32" s="13" t="n">
        <f aca="false">COUNT(B7:B51)</f>
        <v>45</v>
      </c>
      <c r="V32" s="15" t="n">
        <v>45</v>
      </c>
      <c r="X32" s="6" t="s">
        <v>77</v>
      </c>
      <c r="Y32" s="20" t="n">
        <f aca="false">CORREL($C$7:$C$51,$L$7:$L$51)</f>
        <v>-0.0412311925578649</v>
      </c>
      <c r="Z32" s="20" t="n">
        <f aca="false">CORREL($D$7:$D$51,$L$7:$L$51)</f>
        <v>-0.0834783871129682</v>
      </c>
      <c r="AA32" s="20" t="n">
        <f aca="false">CORREL($E$7:$E$51,$L$7:$L$51)</f>
        <v>-0.0834783871129682</v>
      </c>
      <c r="AB32" s="20" t="n">
        <f aca="false">CORREL($F$7:$F$51,$L$7:$L$51)</f>
        <v>-0.0975609756097561</v>
      </c>
      <c r="AC32" s="20" t="n">
        <f aca="false">CORREL($G$7:$G$51,$L$7:$L$51)</f>
        <v>-0.0975609756097561</v>
      </c>
      <c r="AD32" s="20" t="n">
        <f aca="false">CORREL($H$7:$H$51,$L$7:$L$51)</f>
        <v>-0.0975609756097561</v>
      </c>
      <c r="AE32" s="20" t="n">
        <f aca="false">CORREL($I$7:$I$51,$L$7:$L$51)</f>
        <v>-0.0834783871129682</v>
      </c>
      <c r="AF32" s="20" t="n">
        <f aca="false">CORREL($J$7:$J$51,$L$7:$L$51)</f>
        <v>-0.0975609756097561</v>
      </c>
      <c r="AG32" s="20" t="n">
        <f aca="false">CORREL($K$7:$K$51,$L$7:$L$51)</f>
        <v>-0.0975609756097561</v>
      </c>
      <c r="AH32" s="20" t="n">
        <f aca="false">CORREL($L$7:$L$51,$L$7:$L$51)</f>
        <v>1</v>
      </c>
      <c r="AI32" s="20" t="n">
        <f aca="false">CORREL($M$7:$M$51,$L$7:$L$51)</f>
        <v>-0.0975609756097561</v>
      </c>
      <c r="AJ32" s="20" t="n">
        <f aca="false">CORREL($N$7:$N$51,$L$7:$L$51)</f>
        <v>-0.0975609756097561</v>
      </c>
    </row>
    <row r="33" customFormat="false" ht="15" hidden="false" customHeight="false" outlineLevel="0" collapsed="false">
      <c r="A33" s="11" t="n">
        <f aca="false">Data_Monthly!A31</f>
        <v>45107</v>
      </c>
      <c r="B33" s="12" t="n">
        <f aca="false">Data_Monthly!K31</f>
        <v>3.73550598626142</v>
      </c>
      <c r="C33" s="13" t="n">
        <f aca="false">IF($A33&gt;=$U$5,1,0)</f>
        <v>0</v>
      </c>
      <c r="D33" s="13" t="n">
        <f aca="false">IF(MONTH($A33)=2,1,0)</f>
        <v>0</v>
      </c>
      <c r="E33" s="13" t="n">
        <f aca="false">IF(MONTH($A33)=3,1,0)</f>
        <v>0</v>
      </c>
      <c r="F33" s="13" t="n">
        <f aca="false">IF(MONTH($A33)=4,1,0)</f>
        <v>0</v>
      </c>
      <c r="G33" s="13" t="n">
        <f aca="false">IF(MONTH($A33)=5,1,0)</f>
        <v>0</v>
      </c>
      <c r="H33" s="13" t="n">
        <f aca="false">IF(MONTH($A33)=6,1,0)</f>
        <v>1</v>
      </c>
      <c r="I33" s="13" t="n">
        <f aca="false">IF(MONTH($A33)=7,1,0)</f>
        <v>0</v>
      </c>
      <c r="J33" s="13" t="n">
        <f aca="false">IF(MONTH($A33)=8,1,0)</f>
        <v>0</v>
      </c>
      <c r="K33" s="13" t="n">
        <f aca="false">IF(MONTH($A33)=9,1,0)</f>
        <v>0</v>
      </c>
      <c r="L33" s="13" t="n">
        <f aca="false">IF(MONTH($A33)=10,1,0)</f>
        <v>0</v>
      </c>
      <c r="M33" s="13" t="n">
        <f aca="false">IF(MONTH($A33)=11,1,0)</f>
        <v>0</v>
      </c>
      <c r="N33" s="13" t="n">
        <f aca="false">IF(MONTH($A33)=12,1,0)</f>
        <v>0</v>
      </c>
      <c r="O33" s="7" t="n">
        <f aca="false">$B$5+SUMPRODUCT(C33:N33,$C$5:$N$5)</f>
        <v>0.723898680350518</v>
      </c>
      <c r="P33" s="7" t="n">
        <f aca="false">B33-O33</f>
        <v>3.0116073059109</v>
      </c>
      <c r="Q33" s="7" t="n">
        <f aca="false">P33^2</f>
        <v>9.06977856501594</v>
      </c>
      <c r="T33" s="5" t="s">
        <v>112</v>
      </c>
      <c r="U33" s="7" t="n">
        <f aca="false">INDEX(LINEST(B7:B51,C7:N51,TRUE(),TRUE()),3,1)</f>
        <v>0.520668094583874</v>
      </c>
      <c r="V33" s="16" t="n">
        <v>0.520668094583874</v>
      </c>
      <c r="X33" s="6" t="s">
        <v>78</v>
      </c>
      <c r="Y33" s="20" t="n">
        <f aca="false">CORREL($C$7:$C$51,$M$7:$M$51)</f>
        <v>-0.0412311925578649</v>
      </c>
      <c r="Z33" s="20" t="n">
        <f aca="false">CORREL($D$7:$D$51,$M$7:$M$51)</f>
        <v>-0.0834783871129682</v>
      </c>
      <c r="AA33" s="20" t="n">
        <f aca="false">CORREL($E$7:$E$51,$M$7:$M$51)</f>
        <v>-0.0834783871129682</v>
      </c>
      <c r="AB33" s="20" t="n">
        <f aca="false">CORREL($F$7:$F$51,$M$7:$M$51)</f>
        <v>-0.0975609756097561</v>
      </c>
      <c r="AC33" s="20" t="n">
        <f aca="false">CORREL($G$7:$G$51,$M$7:$M$51)</f>
        <v>-0.0975609756097561</v>
      </c>
      <c r="AD33" s="20" t="n">
        <f aca="false">CORREL($H$7:$H$51,$M$7:$M$51)</f>
        <v>-0.0975609756097561</v>
      </c>
      <c r="AE33" s="20" t="n">
        <f aca="false">CORREL($I$7:$I$51,$M$7:$M$51)</f>
        <v>-0.0834783871129682</v>
      </c>
      <c r="AF33" s="20" t="n">
        <f aca="false">CORREL($J$7:$J$51,$M$7:$M$51)</f>
        <v>-0.0975609756097561</v>
      </c>
      <c r="AG33" s="20" t="n">
        <f aca="false">CORREL($K$7:$K$51,$M$7:$M$51)</f>
        <v>-0.0975609756097561</v>
      </c>
      <c r="AH33" s="20" t="n">
        <f aca="false">CORREL($L$7:$L$51,$M$7:$M$51)</f>
        <v>-0.0975609756097561</v>
      </c>
      <c r="AI33" s="20" t="n">
        <f aca="false">CORREL($M$7:$M$51,$M$7:$M$51)</f>
        <v>1</v>
      </c>
      <c r="AJ33" s="20" t="n">
        <f aca="false">CORREL($N$7:$N$51,$M$7:$M$51)</f>
        <v>-0.0975609756097561</v>
      </c>
    </row>
    <row r="34" customFormat="false" ht="15" hidden="false" customHeight="false" outlineLevel="0" collapsed="false">
      <c r="A34" s="11" t="n">
        <f aca="false">Data_Monthly!A33</f>
        <v>45163</v>
      </c>
      <c r="B34" s="12" t="n">
        <f aca="false">Data_Monthly!K33</f>
        <v>0.237947240400515</v>
      </c>
      <c r="C34" s="13" t="n">
        <f aca="false">IF($A34&gt;=$U$5,1,0)</f>
        <v>0</v>
      </c>
      <c r="D34" s="13" t="n">
        <f aca="false">IF(MONTH($A34)=2,1,0)</f>
        <v>0</v>
      </c>
      <c r="E34" s="13" t="n">
        <f aca="false">IF(MONTH($A34)=3,1,0)</f>
        <v>0</v>
      </c>
      <c r="F34" s="13" t="n">
        <f aca="false">IF(MONTH($A34)=4,1,0)</f>
        <v>0</v>
      </c>
      <c r="G34" s="13" t="n">
        <f aca="false">IF(MONTH($A34)=5,1,0)</f>
        <v>0</v>
      </c>
      <c r="H34" s="13" t="n">
        <f aca="false">IF(MONTH($A34)=6,1,0)</f>
        <v>0</v>
      </c>
      <c r="I34" s="13" t="n">
        <f aca="false">IF(MONTH($A34)=7,1,0)</f>
        <v>0</v>
      </c>
      <c r="J34" s="13" t="n">
        <f aca="false">IF(MONTH($A34)=8,1,0)</f>
        <v>1</v>
      </c>
      <c r="K34" s="13" t="n">
        <f aca="false">IF(MONTH($A34)=9,1,0)</f>
        <v>0</v>
      </c>
      <c r="L34" s="13" t="n">
        <f aca="false">IF(MONTH($A34)=10,1,0)</f>
        <v>0</v>
      </c>
      <c r="M34" s="13" t="n">
        <f aca="false">IF(MONTH($A34)=11,1,0)</f>
        <v>0</v>
      </c>
      <c r="N34" s="13" t="n">
        <f aca="false">IF(MONTH($A34)=12,1,0)</f>
        <v>0</v>
      </c>
      <c r="O34" s="7" t="n">
        <f aca="false">$B$5+SUMPRODUCT(C34:N34,$C$5:$N$5)</f>
        <v>-0.768510090772749</v>
      </c>
      <c r="P34" s="7" t="n">
        <f aca="false">B34-O34</f>
        <v>1.00645733117326</v>
      </c>
      <c r="Q34" s="7" t="n">
        <f aca="false">P34^2</f>
        <v>1.01295635947241</v>
      </c>
      <c r="T34" s="5" t="s">
        <v>116</v>
      </c>
      <c r="U34" s="7" t="n">
        <f aca="false">SQRT($U$33)</f>
        <v>0.721573346641818</v>
      </c>
      <c r="X34" s="6" t="s">
        <v>79</v>
      </c>
      <c r="Y34" s="20" t="n">
        <f aca="false">CORREL($C$7:$C$51,$N$7:$N$51)</f>
        <v>0.127441867906128</v>
      </c>
      <c r="Z34" s="20" t="n">
        <f aca="false">CORREL($D$7:$D$51,$N$7:$N$51)</f>
        <v>-0.0834783871129682</v>
      </c>
      <c r="AA34" s="20" t="n">
        <f aca="false">CORREL($E$7:$E$51,$N$7:$N$51)</f>
        <v>-0.0834783871129682</v>
      </c>
      <c r="AB34" s="20" t="n">
        <f aca="false">CORREL($F$7:$F$51,$N$7:$N$51)</f>
        <v>-0.0975609756097561</v>
      </c>
      <c r="AC34" s="20" t="n">
        <f aca="false">CORREL($G$7:$G$51,$N$7:$N$51)</f>
        <v>-0.0975609756097561</v>
      </c>
      <c r="AD34" s="20" t="n">
        <f aca="false">CORREL($H$7:$H$51,$N$7:$N$51)</f>
        <v>-0.0975609756097561</v>
      </c>
      <c r="AE34" s="20" t="n">
        <f aca="false">CORREL($I$7:$I$51,$N$7:$N$51)</f>
        <v>-0.0834783871129682</v>
      </c>
      <c r="AF34" s="20" t="n">
        <f aca="false">CORREL($J$7:$J$51,$N$7:$N$51)</f>
        <v>-0.0975609756097561</v>
      </c>
      <c r="AG34" s="20" t="n">
        <f aca="false">CORREL($K$7:$K$51,$N$7:$N$51)</f>
        <v>-0.0975609756097561</v>
      </c>
      <c r="AH34" s="20" t="n">
        <f aca="false">CORREL($L$7:$L$51,$N$7:$N$51)</f>
        <v>-0.0975609756097561</v>
      </c>
      <c r="AI34" s="20" t="n">
        <f aca="false">CORREL($M$7:$M$51,$N$7:$N$51)</f>
        <v>-0.0975609756097561</v>
      </c>
      <c r="AJ34" s="20" t="n">
        <f aca="false">CORREL($N$7:$N$51,$N$7:$N$51)</f>
        <v>1</v>
      </c>
    </row>
    <row r="35" customFormat="false" ht="15" hidden="false" customHeight="false" outlineLevel="0" collapsed="false">
      <c r="A35" s="11" t="n">
        <f aca="false">Data_Monthly!A34</f>
        <v>45191</v>
      </c>
      <c r="B35" s="12" t="n">
        <f aca="false">Data_Monthly!K34</f>
        <v>1.98240592888723</v>
      </c>
      <c r="C35" s="13" t="n">
        <f aca="false">IF($A35&gt;=$U$5,1,0)</f>
        <v>0</v>
      </c>
      <c r="D35" s="13" t="n">
        <f aca="false">IF(MONTH($A35)=2,1,0)</f>
        <v>0</v>
      </c>
      <c r="E35" s="13" t="n">
        <f aca="false">IF(MONTH($A35)=3,1,0)</f>
        <v>0</v>
      </c>
      <c r="F35" s="13" t="n">
        <f aca="false">IF(MONTH($A35)=4,1,0)</f>
        <v>0</v>
      </c>
      <c r="G35" s="13" t="n">
        <f aca="false">IF(MONTH($A35)=5,1,0)</f>
        <v>0</v>
      </c>
      <c r="H35" s="13" t="n">
        <f aca="false">IF(MONTH($A35)=6,1,0)</f>
        <v>0</v>
      </c>
      <c r="I35" s="13" t="n">
        <f aca="false">IF(MONTH($A35)=7,1,0)</f>
        <v>0</v>
      </c>
      <c r="J35" s="13" t="n">
        <f aca="false">IF(MONTH($A35)=8,1,0)</f>
        <v>0</v>
      </c>
      <c r="K35" s="13" t="n">
        <f aca="false">IF(MONTH($A35)=9,1,0)</f>
        <v>1</v>
      </c>
      <c r="L35" s="13" t="n">
        <f aca="false">IF(MONTH($A35)=10,1,0)</f>
        <v>0</v>
      </c>
      <c r="M35" s="13" t="n">
        <f aca="false">IF(MONTH($A35)=11,1,0)</f>
        <v>0</v>
      </c>
      <c r="N35" s="13" t="n">
        <f aca="false">IF(MONTH($A35)=12,1,0)</f>
        <v>0</v>
      </c>
      <c r="O35" s="7" t="n">
        <f aca="false">$B$5+SUMPRODUCT(C35:N35,$C$5:$N$5)</f>
        <v>0.789451615610166</v>
      </c>
      <c r="P35" s="7" t="n">
        <f aca="false">B35-O35</f>
        <v>1.19295431327707</v>
      </c>
      <c r="Q35" s="7" t="n">
        <f aca="false">P35^2</f>
        <v>1.42313999356636</v>
      </c>
      <c r="T35" s="5" t="s">
        <v>111</v>
      </c>
      <c r="U35" s="13" t="n">
        <f aca="false">INDEX(LINEST(B7:B51,C7:N51,TRUE(),TRUE()),4,2)</f>
        <v>32</v>
      </c>
    </row>
    <row r="36" customFormat="false" ht="15" hidden="false" customHeight="false" outlineLevel="0" collapsed="false">
      <c r="A36" s="11" t="n">
        <f aca="false">Data_Monthly!A35</f>
        <v>45219</v>
      </c>
      <c r="B36" s="12" t="n">
        <f aca="false">Data_Monthly!K35</f>
        <v>0.288751427967959</v>
      </c>
      <c r="C36" s="13" t="n">
        <f aca="false">IF($A36&gt;=$U$5,1,0)</f>
        <v>0</v>
      </c>
      <c r="D36" s="13" t="n">
        <f aca="false">IF(MONTH($A36)=2,1,0)</f>
        <v>0</v>
      </c>
      <c r="E36" s="13" t="n">
        <f aca="false">IF(MONTH($A36)=3,1,0)</f>
        <v>0</v>
      </c>
      <c r="F36" s="13" t="n">
        <f aca="false">IF(MONTH($A36)=4,1,0)</f>
        <v>0</v>
      </c>
      <c r="G36" s="13" t="n">
        <f aca="false">IF(MONTH($A36)=5,1,0)</f>
        <v>0</v>
      </c>
      <c r="H36" s="13" t="n">
        <f aca="false">IF(MONTH($A36)=6,1,0)</f>
        <v>0</v>
      </c>
      <c r="I36" s="13" t="n">
        <f aca="false">IF(MONTH($A36)=7,1,0)</f>
        <v>0</v>
      </c>
      <c r="J36" s="13" t="n">
        <f aca="false">IF(MONTH($A36)=8,1,0)</f>
        <v>0</v>
      </c>
      <c r="K36" s="13" t="n">
        <f aca="false">IF(MONTH($A36)=9,1,0)</f>
        <v>0</v>
      </c>
      <c r="L36" s="13" t="n">
        <f aca="false">IF(MONTH($A36)=10,1,0)</f>
        <v>1</v>
      </c>
      <c r="M36" s="13" t="n">
        <f aca="false">IF(MONTH($A36)=11,1,0)</f>
        <v>0</v>
      </c>
      <c r="N36" s="13" t="n">
        <f aca="false">IF(MONTH($A36)=12,1,0)</f>
        <v>0</v>
      </c>
      <c r="O36" s="7" t="n">
        <f aca="false">$B$5+SUMPRODUCT(C36:N36,$C$5:$N$5)</f>
        <v>2.33227352472269</v>
      </c>
      <c r="P36" s="7" t="n">
        <f aca="false">B36-O36</f>
        <v>-2.04352209675473</v>
      </c>
      <c r="Q36" s="7" t="n">
        <f aca="false">P36^2</f>
        <v>4.17598255992486</v>
      </c>
      <c r="T36" s="5" t="s">
        <v>117</v>
      </c>
      <c r="U36" s="7" t="n">
        <f aca="false">1-(1-$U$33)*($U$32-1)/$U$35</f>
        <v>0.340918630052826</v>
      </c>
      <c r="V36" s="16" t="n">
        <v>0.340918630052826</v>
      </c>
    </row>
    <row r="37" customFormat="false" ht="15" hidden="false" customHeight="false" outlineLevel="0" collapsed="false">
      <c r="A37" s="11" t="n">
        <f aca="false">Data_Monthly!A36</f>
        <v>45247</v>
      </c>
      <c r="B37" s="12" t="n">
        <f aca="false">Data_Monthly!K36</f>
        <v>1.78720833549466</v>
      </c>
      <c r="C37" s="13" t="n">
        <f aca="false">IF($A37&gt;=$U$5,1,0)</f>
        <v>0</v>
      </c>
      <c r="D37" s="13" t="n">
        <f aca="false">IF(MONTH($A37)=2,1,0)</f>
        <v>0</v>
      </c>
      <c r="E37" s="13" t="n">
        <f aca="false">IF(MONTH($A37)=3,1,0)</f>
        <v>0</v>
      </c>
      <c r="F37" s="13" t="n">
        <f aca="false">IF(MONTH($A37)=4,1,0)</f>
        <v>0</v>
      </c>
      <c r="G37" s="13" t="n">
        <f aca="false">IF(MONTH($A37)=5,1,0)</f>
        <v>0</v>
      </c>
      <c r="H37" s="13" t="n">
        <f aca="false">IF(MONTH($A37)=6,1,0)</f>
        <v>0</v>
      </c>
      <c r="I37" s="13" t="n">
        <f aca="false">IF(MONTH($A37)=7,1,0)</f>
        <v>0</v>
      </c>
      <c r="J37" s="13" t="n">
        <f aca="false">IF(MONTH($A37)=8,1,0)</f>
        <v>0</v>
      </c>
      <c r="K37" s="13" t="n">
        <f aca="false">IF(MONTH($A37)=9,1,0)</f>
        <v>0</v>
      </c>
      <c r="L37" s="13" t="n">
        <f aca="false">IF(MONTH($A37)=10,1,0)</f>
        <v>0</v>
      </c>
      <c r="M37" s="13" t="n">
        <f aca="false">IF(MONTH($A37)=11,1,0)</f>
        <v>1</v>
      </c>
      <c r="N37" s="13" t="n">
        <f aca="false">IF(MONTH($A37)=12,1,0)</f>
        <v>0</v>
      </c>
      <c r="O37" s="7" t="n">
        <f aca="false">$B$5+SUMPRODUCT(C37:N37,$C$5:$N$5)</f>
        <v>2.36656597586724</v>
      </c>
      <c r="P37" s="7" t="n">
        <f aca="false">B37-O37</f>
        <v>-0.579357640372577</v>
      </c>
      <c r="Q37" s="7" t="n">
        <f aca="false">P37^2</f>
        <v>0.33565527545808</v>
      </c>
      <c r="T37" s="5" t="s">
        <v>118</v>
      </c>
      <c r="U37" s="7" t="n">
        <f aca="false">INDEX(LINEST(B7:B51,C7:N51,TRUE(),TRUE()),3,2)</f>
        <v>1.86486026644142</v>
      </c>
      <c r="V37" s="16" t="n">
        <v>1.86486026644142</v>
      </c>
    </row>
    <row r="38" customFormat="false" ht="15" hidden="false" customHeight="false" outlineLevel="0" collapsed="false">
      <c r="A38" s="11" t="n">
        <f aca="false">Data_Monthly!A37</f>
        <v>45289</v>
      </c>
      <c r="B38" s="12" t="n">
        <f aca="false">Data_Monthly!K37</f>
        <v>1.91895980210042</v>
      </c>
      <c r="C38" s="13" t="n">
        <f aca="false">IF($A38&gt;=$U$5,1,0)</f>
        <v>1</v>
      </c>
      <c r="D38" s="13" t="n">
        <f aca="false">IF(MONTH($A38)=2,1,0)</f>
        <v>0</v>
      </c>
      <c r="E38" s="13" t="n">
        <f aca="false">IF(MONTH($A38)=3,1,0)</f>
        <v>0</v>
      </c>
      <c r="F38" s="13" t="n">
        <f aca="false">IF(MONTH($A38)=4,1,0)</f>
        <v>0</v>
      </c>
      <c r="G38" s="13" t="n">
        <f aca="false">IF(MONTH($A38)=5,1,0)</f>
        <v>0</v>
      </c>
      <c r="H38" s="13" t="n">
        <f aca="false">IF(MONTH($A38)=6,1,0)</f>
        <v>0</v>
      </c>
      <c r="I38" s="13" t="n">
        <f aca="false">IF(MONTH($A38)=7,1,0)</f>
        <v>0</v>
      </c>
      <c r="J38" s="13" t="n">
        <f aca="false">IF(MONTH($A38)=8,1,0)</f>
        <v>0</v>
      </c>
      <c r="K38" s="13" t="n">
        <f aca="false">IF(MONTH($A38)=9,1,0)</f>
        <v>0</v>
      </c>
      <c r="L38" s="13" t="n">
        <f aca="false">IF(MONTH($A38)=10,1,0)</f>
        <v>0</v>
      </c>
      <c r="M38" s="13" t="n">
        <f aca="false">IF(MONTH($A38)=11,1,0)</f>
        <v>0</v>
      </c>
      <c r="N38" s="13" t="n">
        <f aca="false">IF(MONTH($A38)=12,1,0)</f>
        <v>1</v>
      </c>
      <c r="O38" s="7" t="n">
        <f aca="false">$B$5+SUMPRODUCT(C38:N38,$C$5:$N$5)</f>
        <v>3.15038474796069</v>
      </c>
      <c r="P38" s="7" t="n">
        <f aca="false">B38-O38</f>
        <v>-1.23142494586027</v>
      </c>
      <c r="Q38" s="7" t="n">
        <f aca="false">P38^2</f>
        <v>1.51640739728696</v>
      </c>
    </row>
    <row r="39" customFormat="false" ht="15" hidden="false" customHeight="false" outlineLevel="0" collapsed="false">
      <c r="A39" s="11" t="n">
        <f aca="false">Data_Monthly!A38</f>
        <v>45317</v>
      </c>
      <c r="B39" s="12" t="n">
        <f aca="false">Data_Monthly!K38</f>
        <v>-3.51924131257313</v>
      </c>
      <c r="C39" s="13" t="n">
        <f aca="false">IF($A39&gt;=$U$5,1,0)</f>
        <v>1</v>
      </c>
      <c r="D39" s="13" t="n">
        <f aca="false">IF(MONTH($A39)=2,1,0)</f>
        <v>0</v>
      </c>
      <c r="E39" s="13" t="n">
        <f aca="false">IF(MONTH($A39)=3,1,0)</f>
        <v>0</v>
      </c>
      <c r="F39" s="13" t="n">
        <f aca="false">IF(MONTH($A39)=4,1,0)</f>
        <v>0</v>
      </c>
      <c r="G39" s="13" t="n">
        <f aca="false">IF(MONTH($A39)=5,1,0)</f>
        <v>0</v>
      </c>
      <c r="H39" s="13" t="n">
        <f aca="false">IF(MONTH($A39)=6,1,0)</f>
        <v>0</v>
      </c>
      <c r="I39" s="13" t="n">
        <f aca="false">IF(MONTH($A39)=7,1,0)</f>
        <v>0</v>
      </c>
      <c r="J39" s="13" t="n">
        <f aca="false">IF(MONTH($A39)=8,1,0)</f>
        <v>0</v>
      </c>
      <c r="K39" s="13" t="n">
        <f aca="false">IF(MONTH($A39)=9,1,0)</f>
        <v>0</v>
      </c>
      <c r="L39" s="13" t="n">
        <f aca="false">IF(MONTH($A39)=10,1,0)</f>
        <v>0</v>
      </c>
      <c r="M39" s="13" t="n">
        <f aca="false">IF(MONTH($A39)=11,1,0)</f>
        <v>0</v>
      </c>
      <c r="N39" s="13" t="n">
        <f aca="false">IF(MONTH($A39)=12,1,0)</f>
        <v>0</v>
      </c>
      <c r="O39" s="7" t="n">
        <f aca="false">$B$5+SUMPRODUCT(C39:N39,$C$5:$N$5)</f>
        <v>-2.06327051068963</v>
      </c>
      <c r="P39" s="7" t="n">
        <f aca="false">B39-O39</f>
        <v>-1.4559708018835</v>
      </c>
      <c r="Q39" s="7" t="n">
        <f aca="false">P39^2</f>
        <v>2.11985097593727</v>
      </c>
      <c r="T39" s="9" t="s">
        <v>119</v>
      </c>
      <c r="U39" s="14" t="s">
        <v>91</v>
      </c>
      <c r="V39" s="14" t="s">
        <v>92</v>
      </c>
    </row>
    <row r="40" customFormat="false" ht="15" hidden="false" customHeight="false" outlineLevel="0" collapsed="false">
      <c r="A40" s="11" t="n">
        <f aca="false">Data_Monthly!A39</f>
        <v>45345</v>
      </c>
      <c r="B40" s="12" t="n">
        <f aca="false">Data_Monthly!K39</f>
        <v>-0.910248539768332</v>
      </c>
      <c r="C40" s="13" t="n">
        <f aca="false">IF($A40&gt;=$U$5,1,0)</f>
        <v>1</v>
      </c>
      <c r="D40" s="13" t="n">
        <f aca="false">IF(MONTH($A40)=2,1,0)</f>
        <v>1</v>
      </c>
      <c r="E40" s="13" t="n">
        <f aca="false">IF(MONTH($A40)=3,1,0)</f>
        <v>0</v>
      </c>
      <c r="F40" s="13" t="n">
        <f aca="false">IF(MONTH($A40)=4,1,0)</f>
        <v>0</v>
      </c>
      <c r="G40" s="13" t="n">
        <f aca="false">IF(MONTH($A40)=5,1,0)</f>
        <v>0</v>
      </c>
      <c r="H40" s="13" t="n">
        <f aca="false">IF(MONTH($A40)=6,1,0)</f>
        <v>0</v>
      </c>
      <c r="I40" s="13" t="n">
        <f aca="false">IF(MONTH($A40)=7,1,0)</f>
        <v>0</v>
      </c>
      <c r="J40" s="13" t="n">
        <f aca="false">IF(MONTH($A40)=8,1,0)</f>
        <v>0</v>
      </c>
      <c r="K40" s="13" t="n">
        <f aca="false">IF(MONTH($A40)=9,1,0)</f>
        <v>0</v>
      </c>
      <c r="L40" s="13" t="n">
        <f aca="false">IF(MONTH($A40)=10,1,0)</f>
        <v>0</v>
      </c>
      <c r="M40" s="13" t="n">
        <f aca="false">IF(MONTH($A40)=11,1,0)</f>
        <v>0</v>
      </c>
      <c r="N40" s="13" t="n">
        <f aca="false">IF(MONTH($A40)=12,1,0)</f>
        <v>0</v>
      </c>
      <c r="O40" s="7" t="n">
        <f aca="false">$B$5+SUMPRODUCT(C40:N40,$C$5:$N$5)</f>
        <v>-1.03358528618393</v>
      </c>
      <c r="P40" s="7" t="n">
        <f aca="false">B40-O40</f>
        <v>0.123336746415594</v>
      </c>
      <c r="Q40" s="7" t="n">
        <f aca="false">P40^2</f>
        <v>0.0152119530163845</v>
      </c>
      <c r="T40" s="5" t="s">
        <v>120</v>
      </c>
      <c r="U40" s="7" t="n">
        <f aca="false">INDEX(LINEST(B7:B51,C7:N51,TRUE(),TRUE()),5,1)</f>
        <v>120.883547959318</v>
      </c>
      <c r="V40" s="16" t="n">
        <v>120.883547959318</v>
      </c>
    </row>
    <row r="41" customFormat="false" ht="15" hidden="false" customHeight="false" outlineLevel="0" collapsed="false">
      <c r="A41" s="11" t="n">
        <f aca="false">Data_Monthly!A40</f>
        <v>45373</v>
      </c>
      <c r="B41" s="12" t="n">
        <f aca="false">Data_Monthly!K40</f>
        <v>1.57067605077241</v>
      </c>
      <c r="C41" s="13" t="n">
        <f aca="false">IF($A41&gt;=$U$5,1,0)</f>
        <v>1</v>
      </c>
      <c r="D41" s="13" t="n">
        <f aca="false">IF(MONTH($A41)=2,1,0)</f>
        <v>0</v>
      </c>
      <c r="E41" s="13" t="n">
        <f aca="false">IF(MONTH($A41)=3,1,0)</f>
        <v>1</v>
      </c>
      <c r="F41" s="13" t="n">
        <f aca="false">IF(MONTH($A41)=4,1,0)</f>
        <v>0</v>
      </c>
      <c r="G41" s="13" t="n">
        <f aca="false">IF(MONTH($A41)=5,1,0)</f>
        <v>0</v>
      </c>
      <c r="H41" s="13" t="n">
        <f aca="false">IF(MONTH($A41)=6,1,0)</f>
        <v>0</v>
      </c>
      <c r="I41" s="13" t="n">
        <f aca="false">IF(MONTH($A41)=7,1,0)</f>
        <v>0</v>
      </c>
      <c r="J41" s="13" t="n">
        <f aca="false">IF(MONTH($A41)=8,1,0)</f>
        <v>0</v>
      </c>
      <c r="K41" s="13" t="n">
        <f aca="false">IF(MONTH($A41)=9,1,0)</f>
        <v>0</v>
      </c>
      <c r="L41" s="13" t="n">
        <f aca="false">IF(MONTH($A41)=10,1,0)</f>
        <v>0</v>
      </c>
      <c r="M41" s="13" t="n">
        <f aca="false">IF(MONTH($A41)=11,1,0)</f>
        <v>0</v>
      </c>
      <c r="N41" s="13" t="n">
        <f aca="false">IF(MONTH($A41)=12,1,0)</f>
        <v>0</v>
      </c>
      <c r="O41" s="7" t="n">
        <f aca="false">$B$5+SUMPRODUCT(C41:N41,$C$5:$N$5)</f>
        <v>-0.0588479939110466</v>
      </c>
      <c r="P41" s="7" t="n">
        <f aca="false">B41-O41</f>
        <v>1.62952404468346</v>
      </c>
      <c r="Q41" s="7" t="n">
        <f aca="false">P41^2</f>
        <v>2.65534861220154</v>
      </c>
      <c r="T41" s="5" t="s">
        <v>113</v>
      </c>
      <c r="U41" s="7" t="n">
        <f aca="false">INDEX(LINEST(B7:B51,C7:N51,TRUE(),TRUE()),5,2)</f>
        <v>111.286522027263</v>
      </c>
      <c r="V41" s="16" t="n">
        <v>111.286522027263</v>
      </c>
    </row>
    <row r="42" customFormat="false" ht="15" hidden="false" customHeight="false" outlineLevel="0" collapsed="false">
      <c r="A42" s="11" t="n">
        <f aca="false">Data_Monthly!A41</f>
        <v>45401</v>
      </c>
      <c r="B42" s="12" t="n">
        <f aca="false">Data_Monthly!K41</f>
        <v>0.744457139650656</v>
      </c>
      <c r="C42" s="13" t="n">
        <f aca="false">IF($A42&gt;=$U$5,1,0)</f>
        <v>1</v>
      </c>
      <c r="D42" s="13" t="n">
        <f aca="false">IF(MONTH($A42)=2,1,0)</f>
        <v>0</v>
      </c>
      <c r="E42" s="13" t="n">
        <f aca="false">IF(MONTH($A42)=3,1,0)</f>
        <v>0</v>
      </c>
      <c r="F42" s="13" t="n">
        <f aca="false">IF(MONTH($A42)=4,1,0)</f>
        <v>1</v>
      </c>
      <c r="G42" s="13" t="n">
        <f aca="false">IF(MONTH($A42)=5,1,0)</f>
        <v>0</v>
      </c>
      <c r="H42" s="13" t="n">
        <f aca="false">IF(MONTH($A42)=6,1,0)</f>
        <v>0</v>
      </c>
      <c r="I42" s="13" t="n">
        <f aca="false">IF(MONTH($A42)=7,1,0)</f>
        <v>0</v>
      </c>
      <c r="J42" s="13" t="n">
        <f aca="false">IF(MONTH($A42)=8,1,0)</f>
        <v>0</v>
      </c>
      <c r="K42" s="13" t="n">
        <f aca="false">IF(MONTH($A42)=9,1,0)</f>
        <v>0</v>
      </c>
      <c r="L42" s="13" t="n">
        <f aca="false">IF(MONTH($A42)=10,1,0)</f>
        <v>0</v>
      </c>
      <c r="M42" s="13" t="n">
        <f aca="false">IF(MONTH($A42)=11,1,0)</f>
        <v>0</v>
      </c>
      <c r="N42" s="13" t="n">
        <f aca="false">IF(MONTH($A42)=12,1,0)</f>
        <v>0</v>
      </c>
      <c r="O42" s="7" t="n">
        <f aca="false">$B$5+SUMPRODUCT(C42:N42,$C$5:$N$5)</f>
        <v>-1.53729467843159</v>
      </c>
      <c r="P42" s="7" t="n">
        <f aca="false">B42-O42</f>
        <v>2.28175181808225</v>
      </c>
      <c r="Q42" s="7" t="n">
        <f aca="false">P42^2</f>
        <v>5.20639135932163</v>
      </c>
      <c r="T42" s="5" t="s">
        <v>121</v>
      </c>
      <c r="U42" s="13" t="n">
        <f aca="false">COLUMNS(C7:N51)</f>
        <v>12</v>
      </c>
      <c r="V42" s="15" t="n">
        <v>12</v>
      </c>
    </row>
    <row r="43" customFormat="false" ht="15" hidden="false" customHeight="false" outlineLevel="0" collapsed="false">
      <c r="A43" s="11" t="n">
        <f aca="false">Data_Monthly!A42</f>
        <v>45443</v>
      </c>
      <c r="B43" s="12" t="n">
        <f aca="false">Data_Monthly!K42</f>
        <v>-1.26517805166611</v>
      </c>
      <c r="C43" s="13" t="n">
        <f aca="false">IF($A43&gt;=$U$5,1,0)</f>
        <v>1</v>
      </c>
      <c r="D43" s="13" t="n">
        <f aca="false">IF(MONTH($A43)=2,1,0)</f>
        <v>0</v>
      </c>
      <c r="E43" s="13" t="n">
        <f aca="false">IF(MONTH($A43)=3,1,0)</f>
        <v>0</v>
      </c>
      <c r="F43" s="13" t="n">
        <f aca="false">IF(MONTH($A43)=4,1,0)</f>
        <v>0</v>
      </c>
      <c r="G43" s="13" t="n">
        <f aca="false">IF(MONTH($A43)=5,1,0)</f>
        <v>1</v>
      </c>
      <c r="H43" s="13" t="n">
        <f aca="false">IF(MONTH($A43)=6,1,0)</f>
        <v>0</v>
      </c>
      <c r="I43" s="13" t="n">
        <f aca="false">IF(MONTH($A43)=7,1,0)</f>
        <v>0</v>
      </c>
      <c r="J43" s="13" t="n">
        <f aca="false">IF(MONTH($A43)=8,1,0)</f>
        <v>0</v>
      </c>
      <c r="K43" s="13" t="n">
        <f aca="false">IF(MONTH($A43)=9,1,0)</f>
        <v>0</v>
      </c>
      <c r="L43" s="13" t="n">
        <f aca="false">IF(MONTH($A43)=10,1,0)</f>
        <v>0</v>
      </c>
      <c r="M43" s="13" t="n">
        <f aca="false">IF(MONTH($A43)=11,1,0)</f>
        <v>0</v>
      </c>
      <c r="N43" s="13" t="n">
        <f aca="false">IF(MONTH($A43)=12,1,0)</f>
        <v>0</v>
      </c>
      <c r="O43" s="7" t="n">
        <f aca="false">$B$5+SUMPRODUCT(C43:N43,$C$5:$N$5)</f>
        <v>-2.01952786459007</v>
      </c>
      <c r="P43" s="7" t="n">
        <f aca="false">B43-O43</f>
        <v>0.75434981292396</v>
      </c>
      <c r="Q43" s="7" t="n">
        <f aca="false">P43^2</f>
        <v>0.569043640258414</v>
      </c>
      <c r="T43" s="5" t="s">
        <v>111</v>
      </c>
      <c r="U43" s="13" t="n">
        <f aca="false">$U$35</f>
        <v>32</v>
      </c>
      <c r="V43" s="15" t="n">
        <v>32</v>
      </c>
    </row>
    <row r="44" customFormat="false" ht="15" hidden="false" customHeight="false" outlineLevel="0" collapsed="false">
      <c r="A44" s="11" t="n">
        <f aca="false">Data_Monthly!A43</f>
        <v>45471</v>
      </c>
      <c r="B44" s="12" t="n">
        <f aca="false">Data_Monthly!K43</f>
        <v>-0.574701455649418</v>
      </c>
      <c r="C44" s="13" t="n">
        <f aca="false">IF($A44&gt;=$U$5,1,0)</f>
        <v>1</v>
      </c>
      <c r="D44" s="13" t="n">
        <f aca="false">IF(MONTH($A44)=2,1,0)</f>
        <v>0</v>
      </c>
      <c r="E44" s="13" t="n">
        <f aca="false">IF(MONTH($A44)=3,1,0)</f>
        <v>0</v>
      </c>
      <c r="F44" s="13" t="n">
        <f aca="false">IF(MONTH($A44)=4,1,0)</f>
        <v>0</v>
      </c>
      <c r="G44" s="13" t="n">
        <f aca="false">IF(MONTH($A44)=5,1,0)</f>
        <v>0</v>
      </c>
      <c r="H44" s="13" t="n">
        <f aca="false">IF(MONTH($A44)=6,1,0)</f>
        <v>1</v>
      </c>
      <c r="I44" s="13" t="n">
        <f aca="false">IF(MONTH($A44)=7,1,0)</f>
        <v>0</v>
      </c>
      <c r="J44" s="13" t="n">
        <f aca="false">IF(MONTH($A44)=8,1,0)</f>
        <v>0</v>
      </c>
      <c r="K44" s="13" t="n">
        <f aca="false">IF(MONTH($A44)=9,1,0)</f>
        <v>0</v>
      </c>
      <c r="L44" s="13" t="n">
        <f aca="false">IF(MONTH($A44)=10,1,0)</f>
        <v>0</v>
      </c>
      <c r="M44" s="13" t="n">
        <f aca="false">IF(MONTH($A44)=11,1,0)</f>
        <v>0</v>
      </c>
      <c r="N44" s="13" t="n">
        <f aca="false">IF(MONTH($A44)=12,1,0)</f>
        <v>0</v>
      </c>
      <c r="O44" s="7" t="n">
        <f aca="false">$B$5+SUMPRODUCT(C44:N44,$C$5:$N$5)</f>
        <v>-0.539987702800138</v>
      </c>
      <c r="P44" s="7" t="n">
        <f aca="false">B44-O44</f>
        <v>-0.0347137528492804</v>
      </c>
      <c r="Q44" s="7" t="n">
        <f aca="false">P44^2</f>
        <v>0.00120504463688092</v>
      </c>
      <c r="T44" s="5" t="s">
        <v>122</v>
      </c>
      <c r="U44" s="7" t="n">
        <f aca="false">$U$40/$U$42</f>
        <v>10.0736289966098</v>
      </c>
    </row>
    <row r="45" customFormat="false" ht="15" hidden="false" customHeight="false" outlineLevel="0" collapsed="false">
      <c r="A45" s="11" t="n">
        <f aca="false">Data_Monthly!A44</f>
        <v>45499</v>
      </c>
      <c r="B45" s="12" t="n">
        <f aca="false">Data_Monthly!K44</f>
        <v>-1.15508176811154</v>
      </c>
      <c r="C45" s="13" t="n">
        <f aca="false">IF($A45&gt;=$U$5,1,0)</f>
        <v>1</v>
      </c>
      <c r="D45" s="13" t="n">
        <f aca="false">IF(MONTH($A45)=2,1,0)</f>
        <v>0</v>
      </c>
      <c r="E45" s="13" t="n">
        <f aca="false">IF(MONTH($A45)=3,1,0)</f>
        <v>0</v>
      </c>
      <c r="F45" s="13" t="n">
        <f aca="false">IF(MONTH($A45)=4,1,0)</f>
        <v>0</v>
      </c>
      <c r="G45" s="13" t="n">
        <f aca="false">IF(MONTH($A45)=5,1,0)</f>
        <v>0</v>
      </c>
      <c r="H45" s="13" t="n">
        <f aca="false">IF(MONTH($A45)=6,1,0)</f>
        <v>0</v>
      </c>
      <c r="I45" s="13" t="n">
        <f aca="false">IF(MONTH($A45)=7,1,0)</f>
        <v>1</v>
      </c>
      <c r="J45" s="13" t="n">
        <f aca="false">IF(MONTH($A45)=8,1,0)</f>
        <v>0</v>
      </c>
      <c r="K45" s="13" t="n">
        <f aca="false">IF(MONTH($A45)=9,1,0)</f>
        <v>0</v>
      </c>
      <c r="L45" s="13" t="n">
        <f aca="false">IF(MONTH($A45)=10,1,0)</f>
        <v>0</v>
      </c>
      <c r="M45" s="13" t="n">
        <f aca="false">IF(MONTH($A45)=11,1,0)</f>
        <v>0</v>
      </c>
      <c r="N45" s="13" t="n">
        <f aca="false">IF(MONTH($A45)=12,1,0)</f>
        <v>0</v>
      </c>
      <c r="O45" s="7" t="n">
        <f aca="false">$B$5+SUMPRODUCT(C45:N45,$C$5:$N$5)</f>
        <v>0.655157347703422</v>
      </c>
      <c r="P45" s="7" t="n">
        <f aca="false">B45-O45</f>
        <v>-1.81023911581497</v>
      </c>
      <c r="Q45" s="7" t="n">
        <f aca="false">P45^2</f>
        <v>3.27696565642655</v>
      </c>
      <c r="T45" s="5" t="s">
        <v>123</v>
      </c>
      <c r="U45" s="7" t="n">
        <f aca="false">$U$41/$U$43</f>
        <v>3.47770381335198</v>
      </c>
    </row>
    <row r="46" customFormat="false" ht="15" hidden="false" customHeight="false" outlineLevel="0" collapsed="false">
      <c r="A46" s="11" t="n">
        <f aca="false">Data_Monthly!A45</f>
        <v>45527</v>
      </c>
      <c r="B46" s="12" t="n">
        <f aca="false">Data_Monthly!K45</f>
        <v>-1.72448617437357</v>
      </c>
      <c r="C46" s="13" t="n">
        <f aca="false">IF($A46&gt;=$U$5,1,0)</f>
        <v>1</v>
      </c>
      <c r="D46" s="13" t="n">
        <f aca="false">IF(MONTH($A46)=2,1,0)</f>
        <v>0</v>
      </c>
      <c r="E46" s="13" t="n">
        <f aca="false">IF(MONTH($A46)=3,1,0)</f>
        <v>0</v>
      </c>
      <c r="F46" s="13" t="n">
        <f aca="false">IF(MONTH($A46)=4,1,0)</f>
        <v>0</v>
      </c>
      <c r="G46" s="13" t="n">
        <f aca="false">IF(MONTH($A46)=5,1,0)</f>
        <v>0</v>
      </c>
      <c r="H46" s="13" t="n">
        <f aca="false">IF(MONTH($A46)=6,1,0)</f>
        <v>0</v>
      </c>
      <c r="I46" s="13" t="n">
        <f aca="false">IF(MONTH($A46)=7,1,0)</f>
        <v>0</v>
      </c>
      <c r="J46" s="13" t="n">
        <f aca="false">IF(MONTH($A46)=8,1,0)</f>
        <v>1</v>
      </c>
      <c r="K46" s="13" t="n">
        <f aca="false">IF(MONTH($A46)=9,1,0)</f>
        <v>0</v>
      </c>
      <c r="L46" s="13" t="n">
        <f aca="false">IF(MONTH($A46)=10,1,0)</f>
        <v>0</v>
      </c>
      <c r="M46" s="13" t="n">
        <f aca="false">IF(MONTH($A46)=11,1,0)</f>
        <v>0</v>
      </c>
      <c r="N46" s="13" t="n">
        <f aca="false">IF(MONTH($A46)=12,1,0)</f>
        <v>0</v>
      </c>
      <c r="O46" s="7" t="n">
        <f aca="false">$B$5+SUMPRODUCT(C46:N46,$C$5:$N$5)</f>
        <v>-2.0323964739234</v>
      </c>
      <c r="P46" s="7" t="n">
        <f aca="false">B46-O46</f>
        <v>0.30791029954983</v>
      </c>
      <c r="Q46" s="7" t="n">
        <f aca="false">P46^2</f>
        <v>0.0948087525688657</v>
      </c>
      <c r="T46" s="5" t="s">
        <v>124</v>
      </c>
      <c r="U46" s="7" t="n">
        <f aca="false">INDEX(LINEST(B7:B51,C7:N51,TRUE(),TRUE()),4,1)</f>
        <v>2.89663224278446</v>
      </c>
      <c r="V46" s="16" t="n">
        <v>2.89663224278446</v>
      </c>
    </row>
    <row r="47" customFormat="false" ht="15" hidden="false" customHeight="false" outlineLevel="0" collapsed="false">
      <c r="A47" s="11" t="n">
        <f aca="false">Data_Monthly!A46</f>
        <v>45555</v>
      </c>
      <c r="B47" s="12" t="n">
        <f aca="false">Data_Monthly!K46</f>
        <v>-0.441653162857137</v>
      </c>
      <c r="C47" s="13" t="n">
        <f aca="false">IF($A47&gt;=$U$5,1,0)</f>
        <v>1</v>
      </c>
      <c r="D47" s="13" t="n">
        <f aca="false">IF(MONTH($A47)=2,1,0)</f>
        <v>0</v>
      </c>
      <c r="E47" s="13" t="n">
        <f aca="false">IF(MONTH($A47)=3,1,0)</f>
        <v>0</v>
      </c>
      <c r="F47" s="13" t="n">
        <f aca="false">IF(MONTH($A47)=4,1,0)</f>
        <v>0</v>
      </c>
      <c r="G47" s="13" t="n">
        <f aca="false">IF(MONTH($A47)=5,1,0)</f>
        <v>0</v>
      </c>
      <c r="H47" s="13" t="n">
        <f aca="false">IF(MONTH($A47)=6,1,0)</f>
        <v>0</v>
      </c>
      <c r="I47" s="13" t="n">
        <f aca="false">IF(MONTH($A47)=7,1,0)</f>
        <v>0</v>
      </c>
      <c r="J47" s="13" t="n">
        <f aca="false">IF(MONTH($A47)=8,1,0)</f>
        <v>0</v>
      </c>
      <c r="K47" s="13" t="n">
        <f aca="false">IF(MONTH($A47)=9,1,0)</f>
        <v>1</v>
      </c>
      <c r="L47" s="13" t="n">
        <f aca="false">IF(MONTH($A47)=10,1,0)</f>
        <v>0</v>
      </c>
      <c r="M47" s="13" t="n">
        <f aca="false">IF(MONTH($A47)=11,1,0)</f>
        <v>0</v>
      </c>
      <c r="N47" s="13" t="n">
        <f aca="false">IF(MONTH($A47)=12,1,0)</f>
        <v>0</v>
      </c>
      <c r="O47" s="7" t="n">
        <f aca="false">$B$5+SUMPRODUCT(C47:N47,$C$5:$N$5)</f>
        <v>-0.474434767540489</v>
      </c>
      <c r="P47" s="7" t="n">
        <f aca="false">B47-O47</f>
        <v>0.0327816046833526</v>
      </c>
      <c r="Q47" s="7" t="n">
        <f aca="false">P47^2</f>
        <v>0.0010746336056156</v>
      </c>
      <c r="T47" s="5" t="s">
        <v>125</v>
      </c>
      <c r="U47" s="7" t="n">
        <f aca="false">_xlfn.F.DIST.RT($U$46,$U$42,$U$43)</f>
        <v>0.00807246665369002</v>
      </c>
      <c r="V47" s="16" t="n">
        <v>0.00807246665369005</v>
      </c>
    </row>
    <row r="48" customFormat="false" ht="15" hidden="false" customHeight="false" outlineLevel="0" collapsed="false">
      <c r="A48" s="11" t="n">
        <f aca="false">Data_Monthly!A47</f>
        <v>45583</v>
      </c>
      <c r="B48" s="12" t="n">
        <f aca="false">Data_Monthly!K47</f>
        <v>-0.928238106202706</v>
      </c>
      <c r="C48" s="13" t="n">
        <f aca="false">IF($A48&gt;=$U$5,1,0)</f>
        <v>1</v>
      </c>
      <c r="D48" s="13" t="n">
        <f aca="false">IF(MONTH($A48)=2,1,0)</f>
        <v>0</v>
      </c>
      <c r="E48" s="13" t="n">
        <f aca="false">IF(MONTH($A48)=3,1,0)</f>
        <v>0</v>
      </c>
      <c r="F48" s="13" t="n">
        <f aca="false">IF(MONTH($A48)=4,1,0)</f>
        <v>0</v>
      </c>
      <c r="G48" s="13" t="n">
        <f aca="false">IF(MONTH($A48)=5,1,0)</f>
        <v>0</v>
      </c>
      <c r="H48" s="13" t="n">
        <f aca="false">IF(MONTH($A48)=6,1,0)</f>
        <v>0</v>
      </c>
      <c r="I48" s="13" t="n">
        <f aca="false">IF(MONTH($A48)=7,1,0)</f>
        <v>0</v>
      </c>
      <c r="J48" s="13" t="n">
        <f aca="false">IF(MONTH($A48)=8,1,0)</f>
        <v>0</v>
      </c>
      <c r="K48" s="13" t="n">
        <f aca="false">IF(MONTH($A48)=9,1,0)</f>
        <v>0</v>
      </c>
      <c r="L48" s="13" t="n">
        <f aca="false">IF(MONTH($A48)=10,1,0)</f>
        <v>1</v>
      </c>
      <c r="M48" s="13" t="n">
        <f aca="false">IF(MONTH($A48)=11,1,0)</f>
        <v>0</v>
      </c>
      <c r="N48" s="13" t="n">
        <f aca="false">IF(MONTH($A48)=12,1,0)</f>
        <v>0</v>
      </c>
      <c r="O48" s="7" t="n">
        <f aca="false">$B$5+SUMPRODUCT(C48:N48,$C$5:$N$5)</f>
        <v>1.06838714157204</v>
      </c>
      <c r="P48" s="7" t="n">
        <f aca="false">B48-O48</f>
        <v>-1.99662524777474</v>
      </c>
      <c r="Q48" s="7" t="n">
        <f aca="false">P48^2</f>
        <v>3.98651238005155</v>
      </c>
    </row>
    <row r="49" customFormat="false" ht="15" hidden="false" customHeight="false" outlineLevel="0" collapsed="false">
      <c r="A49" s="11" t="n">
        <f aca="false">Data_Monthly!A48</f>
        <v>45625</v>
      </c>
      <c r="B49" s="12" t="n">
        <f aca="false">Data_Monthly!K48</f>
        <v>2.6692902114009</v>
      </c>
      <c r="C49" s="13" t="n">
        <f aca="false">IF($A49&gt;=$U$5,1,0)</f>
        <v>1</v>
      </c>
      <c r="D49" s="13" t="n">
        <f aca="false">IF(MONTH($A49)=2,1,0)</f>
        <v>0</v>
      </c>
      <c r="E49" s="13" t="n">
        <f aca="false">IF(MONTH($A49)=3,1,0)</f>
        <v>0</v>
      </c>
      <c r="F49" s="13" t="n">
        <f aca="false">IF(MONTH($A49)=4,1,0)</f>
        <v>0</v>
      </c>
      <c r="G49" s="13" t="n">
        <f aca="false">IF(MONTH($A49)=5,1,0)</f>
        <v>0</v>
      </c>
      <c r="H49" s="13" t="n">
        <f aca="false">IF(MONTH($A49)=6,1,0)</f>
        <v>0</v>
      </c>
      <c r="I49" s="13" t="n">
        <f aca="false">IF(MONTH($A49)=7,1,0)</f>
        <v>0</v>
      </c>
      <c r="J49" s="13" t="n">
        <f aca="false">IF(MONTH($A49)=8,1,0)</f>
        <v>0</v>
      </c>
      <c r="K49" s="13" t="n">
        <f aca="false">IF(MONTH($A49)=9,1,0)</f>
        <v>0</v>
      </c>
      <c r="L49" s="13" t="n">
        <f aca="false">IF(MONTH($A49)=10,1,0)</f>
        <v>0</v>
      </c>
      <c r="M49" s="13" t="n">
        <f aca="false">IF(MONTH($A49)=11,1,0)</f>
        <v>1</v>
      </c>
      <c r="N49" s="13" t="n">
        <f aca="false">IF(MONTH($A49)=12,1,0)</f>
        <v>0</v>
      </c>
      <c r="O49" s="7" t="n">
        <f aca="false">$B$5+SUMPRODUCT(C49:N49,$C$5:$N$5)</f>
        <v>1.10267959271658</v>
      </c>
      <c r="P49" s="7" t="n">
        <f aca="false">B49-O49</f>
        <v>1.56661061868432</v>
      </c>
      <c r="Q49" s="7" t="n">
        <f aca="false">P49^2</f>
        <v>2.45426883057446</v>
      </c>
      <c r="T49" s="9" t="s">
        <v>126</v>
      </c>
      <c r="U49" s="14" t="s">
        <v>91</v>
      </c>
      <c r="V49" s="14" t="s">
        <v>92</v>
      </c>
    </row>
    <row r="50" customFormat="false" ht="15" hidden="false" customHeight="false" outlineLevel="0" collapsed="false">
      <c r="A50" s="11" t="n">
        <f aca="false">Data_Monthly!A49</f>
        <v>45653</v>
      </c>
      <c r="B50" s="12" t="n">
        <f aca="false">Data_Monthly!K49</f>
        <v>2.34477070041255</v>
      </c>
      <c r="C50" s="13" t="n">
        <f aca="false">IF($A50&gt;=$U$5,1,0)</f>
        <v>1</v>
      </c>
      <c r="D50" s="13" t="n">
        <f aca="false">IF(MONTH($A50)=2,1,0)</f>
        <v>0</v>
      </c>
      <c r="E50" s="13" t="n">
        <f aca="false">IF(MONTH($A50)=3,1,0)</f>
        <v>0</v>
      </c>
      <c r="F50" s="13" t="n">
        <f aca="false">IF(MONTH($A50)=4,1,0)</f>
        <v>0</v>
      </c>
      <c r="G50" s="13" t="n">
        <f aca="false">IF(MONTH($A50)=5,1,0)</f>
        <v>0</v>
      </c>
      <c r="H50" s="13" t="n">
        <f aca="false">IF(MONTH($A50)=6,1,0)</f>
        <v>0</v>
      </c>
      <c r="I50" s="13" t="n">
        <f aca="false">IF(MONTH($A50)=7,1,0)</f>
        <v>0</v>
      </c>
      <c r="J50" s="13" t="n">
        <f aca="false">IF(MONTH($A50)=8,1,0)</f>
        <v>0</v>
      </c>
      <c r="K50" s="13" t="n">
        <f aca="false">IF(MONTH($A50)=9,1,0)</f>
        <v>0</v>
      </c>
      <c r="L50" s="13" t="n">
        <f aca="false">IF(MONTH($A50)=10,1,0)</f>
        <v>0</v>
      </c>
      <c r="M50" s="13" t="n">
        <f aca="false">IF(MONTH($A50)=11,1,0)</f>
        <v>0</v>
      </c>
      <c r="N50" s="13" t="n">
        <f aca="false">IF(MONTH($A50)=12,1,0)</f>
        <v>1</v>
      </c>
      <c r="O50" s="7" t="n">
        <f aca="false">$B$5+SUMPRODUCT(C50:N50,$C$5:$N$5)</f>
        <v>3.15038474796069</v>
      </c>
      <c r="P50" s="7" t="n">
        <f aca="false">B50-O50</f>
        <v>-0.805614047548138</v>
      </c>
      <c r="Q50" s="7" t="n">
        <f aca="false">P50^2</f>
        <v>0.649013993606893</v>
      </c>
      <c r="T50" s="5" t="s">
        <v>109</v>
      </c>
      <c r="U50" s="7" t="n">
        <f aca="false">Y7</f>
        <v>-1.26388638315066</v>
      </c>
      <c r="V50" s="16" t="n">
        <v>-1.26388638315066</v>
      </c>
    </row>
    <row r="51" customFormat="false" ht="15" hidden="false" customHeight="false" outlineLevel="0" collapsed="false">
      <c r="A51" s="11" t="n">
        <f aca="false">Data_Monthly!A50</f>
        <v>45681</v>
      </c>
      <c r="B51" s="12" t="n">
        <f aca="false">Data_Monthly!K50</f>
        <v>-1.4249475439815</v>
      </c>
      <c r="C51" s="13" t="n">
        <f aca="false">IF($A51&gt;=$U$5,1,0)</f>
        <v>1</v>
      </c>
      <c r="D51" s="13" t="n">
        <f aca="false">IF(MONTH($A51)=2,1,0)</f>
        <v>0</v>
      </c>
      <c r="E51" s="13" t="n">
        <f aca="false">IF(MONTH($A51)=3,1,0)</f>
        <v>0</v>
      </c>
      <c r="F51" s="13" t="n">
        <f aca="false">IF(MONTH($A51)=4,1,0)</f>
        <v>0</v>
      </c>
      <c r="G51" s="13" t="n">
        <f aca="false">IF(MONTH($A51)=5,1,0)</f>
        <v>0</v>
      </c>
      <c r="H51" s="13" t="n">
        <f aca="false">IF(MONTH($A51)=6,1,0)</f>
        <v>0</v>
      </c>
      <c r="I51" s="13" t="n">
        <f aca="false">IF(MONTH($A51)=7,1,0)</f>
        <v>0</v>
      </c>
      <c r="J51" s="13" t="n">
        <f aca="false">IF(MONTH($A51)=8,1,0)</f>
        <v>0</v>
      </c>
      <c r="K51" s="13" t="n">
        <f aca="false">IF(MONTH($A51)=9,1,0)</f>
        <v>0</v>
      </c>
      <c r="L51" s="13" t="n">
        <f aca="false">IF(MONTH($A51)=10,1,0)</f>
        <v>0</v>
      </c>
      <c r="M51" s="13" t="n">
        <f aca="false">IF(MONTH($A51)=11,1,0)</f>
        <v>0</v>
      </c>
      <c r="N51" s="13" t="n">
        <f aca="false">IF(MONTH($A51)=12,1,0)</f>
        <v>0</v>
      </c>
      <c r="O51" s="7" t="n">
        <f aca="false">$B$5+SUMPRODUCT(C51:N51,$C$5:$N$5)</f>
        <v>-2.06327051068963</v>
      </c>
      <c r="P51" s="7" t="n">
        <f aca="false">B51-O51</f>
        <v>0.638322966708131</v>
      </c>
      <c r="Q51" s="7" t="n">
        <f aca="false">P51^2</f>
        <v>0.407456209827069</v>
      </c>
      <c r="T51" s="5" t="s">
        <v>110</v>
      </c>
      <c r="U51" s="7" t="n">
        <f aca="false">Z7</f>
        <v>0.613162278537938</v>
      </c>
      <c r="V51" s="16" t="n">
        <v>0.613162278537938</v>
      </c>
    </row>
    <row r="52" customFormat="false" ht="15" hidden="false" customHeight="false" outlineLevel="0" collapsed="false">
      <c r="T52" s="5" t="s">
        <v>102</v>
      </c>
      <c r="U52" s="7" t="n">
        <f aca="false">AA7</f>
        <v>-2.06125919253276</v>
      </c>
      <c r="V52" s="16" t="n">
        <v>-2.06125919253276</v>
      </c>
    </row>
    <row r="53" customFormat="false" ht="15" hidden="false" customHeight="false" outlineLevel="0" collapsed="false">
      <c r="T53" s="5" t="s">
        <v>88</v>
      </c>
      <c r="U53" s="7" t="n">
        <f aca="false">AB7</f>
        <v>0.0474813534543869</v>
      </c>
      <c r="V53" s="16" t="n">
        <v>0.0474813534543866</v>
      </c>
    </row>
    <row r="54" customFormat="false" ht="15" hidden="false" customHeight="false" outlineLevel="0" collapsed="false">
      <c r="T54" s="5" t="s">
        <v>127</v>
      </c>
      <c r="U54" s="7" t="n">
        <f aca="false">_xlfn.F.DIST.RT((($U$29-$U$41)/11)/($U$41/$U$43),11,$U$43)</f>
        <v>0.00976353424846331</v>
      </c>
      <c r="V54" s="16" t="n">
        <v>0.00976353424846331</v>
      </c>
    </row>
    <row r="56" customFormat="false" ht="15" hidden="false" customHeight="false" outlineLevel="0" collapsed="false">
      <c r="T56" s="9" t="s">
        <v>128</v>
      </c>
      <c r="U56" s="14" t="s">
        <v>91</v>
      </c>
      <c r="V56" s="14" t="s">
        <v>92</v>
      </c>
    </row>
    <row r="57" customFormat="false" ht="15" hidden="false" customHeight="false" outlineLevel="0" collapsed="false">
      <c r="T57" s="5" t="s">
        <v>129</v>
      </c>
      <c r="U57" s="7" t="n">
        <f aca="false">SUMXMY2(P8:P51,P7:P50)/SUMSQ(P7:P51)</f>
        <v>2.15690789766519</v>
      </c>
      <c r="V57" s="16" t="n">
        <v>2.15690789766519</v>
      </c>
    </row>
    <row r="58" customFormat="false" ht="15" hidden="false" customHeight="false" outlineLevel="0" collapsed="false">
      <c r="T58" s="5" t="s">
        <v>130</v>
      </c>
      <c r="U58" s="21" t="n">
        <f aca="false">SUMSQ(P7:P51)/$U$32</f>
        <v>2.47303382282807</v>
      </c>
    </row>
    <row r="59" customFormat="false" ht="15" hidden="false" customHeight="false" outlineLevel="0" collapsed="false">
      <c r="T59" s="5" t="s">
        <v>131</v>
      </c>
      <c r="U59" s="7" t="n">
        <f aca="false">(SUMPRODUCT(P7:P51^3)/$U$32)/$U$58^1.5</f>
        <v>0.519155081194439</v>
      </c>
    </row>
    <row r="60" customFormat="false" ht="15" hidden="false" customHeight="false" outlineLevel="0" collapsed="false">
      <c r="T60" s="5" t="s">
        <v>132</v>
      </c>
      <c r="U60" s="7" t="n">
        <f aca="false">(SUMPRODUCT(P7:P51^4)/$U$32)/$U$58^2</f>
        <v>2.99755386386808</v>
      </c>
    </row>
    <row r="61" customFormat="false" ht="15" hidden="false" customHeight="false" outlineLevel="0" collapsed="false">
      <c r="T61" s="5" t="s">
        <v>133</v>
      </c>
      <c r="U61" s="7" t="n">
        <f aca="false">$U$32/6*($U$59^2+($U$60-3)^2/4)</f>
        <v>2.02142620669124</v>
      </c>
      <c r="V61" s="16" t="n">
        <v>2.02142620669125</v>
      </c>
    </row>
    <row r="62" customFormat="false" ht="15" hidden="false" customHeight="false" outlineLevel="0" collapsed="false">
      <c r="T62" s="5" t="s">
        <v>134</v>
      </c>
      <c r="U62" s="7" t="n">
        <f aca="false">_xlfn.CHISQ.DIST.RT($U$61,2)</f>
        <v>0.363959346382302</v>
      </c>
      <c r="V62" s="16" t="n">
        <v>0.363959346382302</v>
      </c>
    </row>
    <row r="63" customFormat="false" ht="15" hidden="false" customHeight="false" outlineLevel="0" collapsed="false">
      <c r="T63" s="5" t="s">
        <v>135</v>
      </c>
      <c r="U63" s="7" t="n">
        <f aca="false">INDEX(LINEST(Q7:Q51,C7:N51,TRUE(),TRUE()),3,1)</f>
        <v>0.356320059794796</v>
      </c>
    </row>
    <row r="64" customFormat="false" ht="15" hidden="false" customHeight="false" outlineLevel="0" collapsed="false">
      <c r="T64" s="5" t="s">
        <v>136</v>
      </c>
      <c r="U64" s="7" t="n">
        <f aca="false">$U$32*$U$63</f>
        <v>16.0344026907658</v>
      </c>
      <c r="V64" s="16" t="n">
        <v>16.0344026907658</v>
      </c>
    </row>
    <row r="65" customFormat="false" ht="15" hidden="false" customHeight="false" outlineLevel="0" collapsed="false">
      <c r="T65" s="5" t="s">
        <v>137</v>
      </c>
      <c r="U65" s="7" t="n">
        <f aca="false">_xlfn.CHISQ.DIST.RT($U$64,$U$42)</f>
        <v>0.189665433033522</v>
      </c>
      <c r="V65" s="16" t="n">
        <v>0.189665433033522</v>
      </c>
    </row>
    <row r="66" customFormat="false" ht="15" hidden="false" customHeight="false" outlineLevel="0" collapsed="false">
      <c r="T66" s="5" t="s">
        <v>138</v>
      </c>
      <c r="U66" s="7" t="n">
        <f aca="false">MAX(AC7:AC18)</f>
        <v>1.84684684684685</v>
      </c>
      <c r="V66" s="16" t="n">
        <v>1.84684684684685</v>
      </c>
    </row>
    <row r="68" customFormat="false" ht="15" hidden="false" customHeight="false" outlineLevel="0" collapsed="false">
      <c r="T68" s="9" t="s">
        <v>139</v>
      </c>
      <c r="U68" s="14" t="s">
        <v>91</v>
      </c>
      <c r="V68" s="14" t="s">
        <v>92</v>
      </c>
    </row>
    <row r="69" customFormat="false" ht="15" hidden="false" customHeight="false" outlineLevel="0" collapsed="false">
      <c r="T69" s="5" t="s">
        <v>149</v>
      </c>
      <c r="U69" s="22" t="n">
        <v>1292215.908</v>
      </c>
      <c r="V69" s="23" t="n">
        <v>1292215.908</v>
      </c>
    </row>
    <row r="70" customFormat="false" ht="15" hidden="false" customHeight="false" outlineLevel="0" collapsed="false">
      <c r="T70" s="5" t="s">
        <v>141</v>
      </c>
      <c r="U70" s="13" t="n">
        <f aca="false">$U$9</f>
        <v>14</v>
      </c>
      <c r="V70" s="15" t="n">
        <v>14</v>
      </c>
    </row>
    <row r="71" customFormat="false" ht="15" hidden="false" customHeight="false" outlineLevel="0" collapsed="false">
      <c r="T71" s="5" t="s">
        <v>142</v>
      </c>
      <c r="U71" s="20" t="n">
        <f aca="false">100*(EXP(-$U$14*$U$70/100)-1)</f>
        <v>16.1503845967626</v>
      </c>
      <c r="V71" s="24" t="n">
        <v>16.1503845967626</v>
      </c>
    </row>
    <row r="72" customFormat="false" ht="15" hidden="false" customHeight="false" outlineLevel="0" collapsed="false">
      <c r="T72" s="5" t="s">
        <v>143</v>
      </c>
      <c r="U72" s="25" t="n">
        <f aca="false">$U$69*(EXP(-$U$14*$U$70/100)-1)</f>
        <v>208697.838962548</v>
      </c>
      <c r="V72" s="23" t="n">
        <v>208697.838962548</v>
      </c>
    </row>
    <row r="73" customFormat="false" ht="15" hidden="false" customHeight="false" outlineLevel="0" collapsed="false">
      <c r="T73" s="5" t="s">
        <v>144</v>
      </c>
      <c r="U73" s="20" t="n">
        <f aca="false">$U$72/100000</f>
        <v>2.08697838962548</v>
      </c>
      <c r="V73" s="24" t="n">
        <v>2.08697838962548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6"/>
    <col collapsed="false" customWidth="true" hidden="false" outlineLevel="0" max="14" min="4" style="0" width="5"/>
    <col collapsed="false" customWidth="true" hidden="false" outlineLevel="0" max="16" min="15" style="0" width="8"/>
    <col collapsed="false" customWidth="true" hidden="false" outlineLevel="0" max="18" min="17" style="0" width="9"/>
    <col collapsed="false" customWidth="true" hidden="false" outlineLevel="0" max="19" min="19" style="0" width="2"/>
    <col collapsed="false" customWidth="true" hidden="false" outlineLevel="0" max="20" min="20" style="0" width="50"/>
    <col collapsed="false" customWidth="true" hidden="false" outlineLevel="0" max="22" min="21" style="0" width="13"/>
    <col collapsed="false" customWidth="true" hidden="false" outlineLevel="0" max="23" min="23" style="0" width="2"/>
    <col collapsed="false" customWidth="true" hidden="false" outlineLevel="0" max="24" min="24" style="0" width="10"/>
    <col collapsed="false" customWidth="true" hidden="false" outlineLevel="0" max="36" min="25" style="0" width="8"/>
  </cols>
  <sheetData>
    <row r="1" customFormat="false" ht="15" hidden="false" customHeight="false" outlineLevel="0" collapsed="false">
      <c r="A1" s="1" t="s">
        <v>150</v>
      </c>
    </row>
    <row r="2" customFormat="false" ht="15" hidden="false" customHeight="false" outlineLevel="0" collapsed="false">
      <c r="A2" s="2" t="s">
        <v>151</v>
      </c>
    </row>
    <row r="4" customFormat="false" ht="15" hidden="false" customHeight="false" outlineLevel="0" collapsed="false">
      <c r="A4" s="1" t="s">
        <v>152</v>
      </c>
      <c r="T4" s="6" t="s">
        <v>62</v>
      </c>
    </row>
    <row r="5" customFormat="false" ht="15" hidden="false" customHeight="false" outlineLevel="0" collapsed="false">
      <c r="A5" s="2" t="s">
        <v>63</v>
      </c>
      <c r="B5" s="7" t="n">
        <f aca="false">Y19</f>
        <v>-0.716421361799105</v>
      </c>
      <c r="C5" s="7" t="n">
        <f aca="false">Y7</f>
        <v>-1.45813517729789</v>
      </c>
      <c r="D5" s="7" t="n">
        <f aca="false">Y8</f>
        <v>0.985641428985163</v>
      </c>
      <c r="E5" s="7" t="n">
        <f aca="false">Y9</f>
        <v>2.07583572443388</v>
      </c>
      <c r="F5" s="7" t="n">
        <f aca="false">Y10</f>
        <v>0.519408920438148</v>
      </c>
      <c r="G5" s="7" t="n">
        <f aca="false">Y11</f>
        <v>-0.12164585379023</v>
      </c>
      <c r="H5" s="7" t="n">
        <f aca="false">Y12</f>
        <v>1.43472247037674</v>
      </c>
      <c r="I5" s="7" t="n">
        <f aca="false">Y13</f>
        <v>3.14882790487086</v>
      </c>
      <c r="J5" s="7" t="n">
        <f aca="false">Y14</f>
        <v>-0.0789738773093623</v>
      </c>
      <c r="K5" s="7" t="n">
        <f aca="false">Y15</f>
        <v>1.5544838156014</v>
      </c>
      <c r="L5" s="7" t="n">
        <f aca="false">Y16</f>
        <v>3.30803848806157</v>
      </c>
      <c r="M5" s="7" t="n">
        <f aca="false">Y17</f>
        <v>3.29852606023832</v>
      </c>
      <c r="N5" s="7" t="n">
        <f aca="false">Y18</f>
        <v>5.60044991649344</v>
      </c>
      <c r="T5" s="5" t="s">
        <v>64</v>
      </c>
      <c r="U5" s="8" t="n">
        <v>45260</v>
      </c>
      <c r="X5" s="9" t="s">
        <v>65</v>
      </c>
      <c r="Y5" s="10"/>
      <c r="Z5" s="10"/>
      <c r="AA5" s="10"/>
      <c r="AB5" s="10"/>
      <c r="AC5" s="10"/>
    </row>
    <row r="6" customFormat="false" ht="18" hidden="false" customHeight="true" outlineLevel="0" collapsed="false">
      <c r="A6" s="3" t="s">
        <v>66</v>
      </c>
      <c r="B6" s="3" t="s">
        <v>67</v>
      </c>
      <c r="C6" s="3" t="s">
        <v>68</v>
      </c>
      <c r="D6" s="3" t="s">
        <v>69</v>
      </c>
      <c r="E6" s="3" t="s">
        <v>70</v>
      </c>
      <c r="F6" s="3" t="s">
        <v>71</v>
      </c>
      <c r="G6" s="3" t="s">
        <v>72</v>
      </c>
      <c r="H6" s="3" t="s">
        <v>73</v>
      </c>
      <c r="I6" s="3" t="s">
        <v>74</v>
      </c>
      <c r="J6" s="3" t="s">
        <v>75</v>
      </c>
      <c r="K6" s="3" t="s">
        <v>76</v>
      </c>
      <c r="L6" s="3" t="s">
        <v>77</v>
      </c>
      <c r="M6" s="3" t="s">
        <v>78</v>
      </c>
      <c r="N6" s="3" t="s">
        <v>79</v>
      </c>
      <c r="O6" s="3" t="s">
        <v>80</v>
      </c>
      <c r="P6" s="3" t="s">
        <v>81</v>
      </c>
      <c r="Q6" s="3" t="s">
        <v>82</v>
      </c>
      <c r="T6" s="2" t="s">
        <v>148</v>
      </c>
      <c r="X6" s="3" t="s">
        <v>84</v>
      </c>
      <c r="Y6" s="3" t="s">
        <v>85</v>
      </c>
      <c r="Z6" s="3" t="s">
        <v>86</v>
      </c>
      <c r="AA6" s="3" t="s">
        <v>87</v>
      </c>
      <c r="AB6" s="3" t="s">
        <v>88</v>
      </c>
      <c r="AC6" s="3" t="s">
        <v>89</v>
      </c>
    </row>
    <row r="7" customFormat="false" ht="15" hidden="false" customHeight="false" outlineLevel="0" collapsed="false">
      <c r="A7" s="11" t="n">
        <f aca="false">Data_Monthly!A5</f>
        <v>44309</v>
      </c>
      <c r="B7" s="12" t="n">
        <f aca="false">Data_Monthly!L5</f>
        <v>-3.68512225649571</v>
      </c>
      <c r="C7" s="13" t="n">
        <f aca="false">IF($A7&gt;=$U$5,1,0)</f>
        <v>0</v>
      </c>
      <c r="D7" s="13" t="n">
        <f aca="false">IF(MONTH($A7)=2,1,0)</f>
        <v>0</v>
      </c>
      <c r="E7" s="13" t="n">
        <f aca="false">IF(MONTH($A7)=3,1,0)</f>
        <v>0</v>
      </c>
      <c r="F7" s="13" t="n">
        <f aca="false">IF(MONTH($A7)=4,1,0)</f>
        <v>1</v>
      </c>
      <c r="G7" s="13" t="n">
        <f aca="false">IF(MONTH($A7)=5,1,0)</f>
        <v>0</v>
      </c>
      <c r="H7" s="13" t="n">
        <f aca="false">IF(MONTH($A7)=6,1,0)</f>
        <v>0</v>
      </c>
      <c r="I7" s="13" t="n">
        <f aca="false">IF(MONTH($A7)=7,1,0)</f>
        <v>0</v>
      </c>
      <c r="J7" s="13" t="n">
        <f aca="false">IF(MONTH($A7)=8,1,0)</f>
        <v>0</v>
      </c>
      <c r="K7" s="13" t="n">
        <f aca="false">IF(MONTH($A7)=9,1,0)</f>
        <v>0</v>
      </c>
      <c r="L7" s="13" t="n">
        <f aca="false">IF(MONTH($A7)=10,1,0)</f>
        <v>0</v>
      </c>
      <c r="M7" s="13" t="n">
        <f aca="false">IF(MONTH($A7)=11,1,0)</f>
        <v>0</v>
      </c>
      <c r="N7" s="13" t="n">
        <f aca="false">IF(MONTH($A7)=12,1,0)</f>
        <v>0</v>
      </c>
      <c r="O7" s="7" t="n">
        <f aca="false">$B$5+SUMPRODUCT(C7:N7,$C$5:$N$5)</f>
        <v>-0.197012441360957</v>
      </c>
      <c r="P7" s="7" t="n">
        <f aca="false">B7-O7</f>
        <v>-3.48810981513475</v>
      </c>
      <c r="Q7" s="7" t="n">
        <f aca="false">P7^2</f>
        <v>12.1669100824394</v>
      </c>
      <c r="T7" s="9" t="s">
        <v>90</v>
      </c>
      <c r="U7" s="14" t="s">
        <v>91</v>
      </c>
      <c r="V7" s="14" t="s">
        <v>92</v>
      </c>
      <c r="X7" s="5" t="s">
        <v>68</v>
      </c>
      <c r="Y7" s="7" t="n">
        <f aca="false">INDEX(LINEST(B7:B51,C7:N51,TRUE(),TRUE()),1,12)</f>
        <v>-1.45813517729789</v>
      </c>
      <c r="Z7" s="7" t="n">
        <f aca="false">INDEX(LINEST(B7:B51,C7:N51,TRUE(),TRUE()),2,12)</f>
        <v>0.674928720231118</v>
      </c>
      <c r="AA7" s="7" t="n">
        <f aca="false">Y7/Z7</f>
        <v>-2.16042840316318</v>
      </c>
      <c r="AB7" s="7" t="n">
        <f aca="false">_xlfn.T.DIST.2T(ABS(AA7),$U$35)</f>
        <v>0.0383338072997834</v>
      </c>
      <c r="AC7" s="7" t="n">
        <f aca="false">INDEX(MINVERSE($Y$23:$AJ$34),1,1)</f>
        <v>1.04264264264264</v>
      </c>
    </row>
    <row r="8" customFormat="false" ht="15" hidden="false" customHeight="false" outlineLevel="0" collapsed="false">
      <c r="A8" s="11" t="n">
        <f aca="false">Data_Monthly!A6</f>
        <v>44337</v>
      </c>
      <c r="B8" s="12" t="n">
        <f aca="false">Data_Monthly!L6</f>
        <v>-1.21919049617247</v>
      </c>
      <c r="C8" s="13" t="n">
        <f aca="false">IF($A8&gt;=$U$5,1,0)</f>
        <v>0</v>
      </c>
      <c r="D8" s="13" t="n">
        <f aca="false">IF(MONTH($A8)=2,1,0)</f>
        <v>0</v>
      </c>
      <c r="E8" s="13" t="n">
        <f aca="false">IF(MONTH($A8)=3,1,0)</f>
        <v>0</v>
      </c>
      <c r="F8" s="13" t="n">
        <f aca="false">IF(MONTH($A8)=4,1,0)</f>
        <v>0</v>
      </c>
      <c r="G8" s="13" t="n">
        <f aca="false">IF(MONTH($A8)=5,1,0)</f>
        <v>1</v>
      </c>
      <c r="H8" s="13" t="n">
        <f aca="false">IF(MONTH($A8)=6,1,0)</f>
        <v>0</v>
      </c>
      <c r="I8" s="13" t="n">
        <f aca="false">IF(MONTH($A8)=7,1,0)</f>
        <v>0</v>
      </c>
      <c r="J8" s="13" t="n">
        <f aca="false">IF(MONTH($A8)=8,1,0)</f>
        <v>0</v>
      </c>
      <c r="K8" s="13" t="n">
        <f aca="false">IF(MONTH($A8)=9,1,0)</f>
        <v>0</v>
      </c>
      <c r="L8" s="13" t="n">
        <f aca="false">IF(MONTH($A8)=10,1,0)</f>
        <v>0</v>
      </c>
      <c r="M8" s="13" t="n">
        <f aca="false">IF(MONTH($A8)=11,1,0)</f>
        <v>0</v>
      </c>
      <c r="N8" s="13" t="n">
        <f aca="false">IF(MONTH($A8)=12,1,0)</f>
        <v>0</v>
      </c>
      <c r="O8" s="7" t="n">
        <f aca="false">$B$5+SUMPRODUCT(C8:N8,$C$5:$N$5)</f>
        <v>-0.838067215589335</v>
      </c>
      <c r="P8" s="7" t="n">
        <f aca="false">B8-O8</f>
        <v>-0.381123280583139</v>
      </c>
      <c r="Q8" s="7" t="n">
        <f aca="false">P8^2</f>
        <v>0.145254955002454</v>
      </c>
      <c r="T8" s="5" t="s">
        <v>93</v>
      </c>
      <c r="U8" s="13" t="n">
        <f aca="false">COUNT(B7:B37)</f>
        <v>31</v>
      </c>
      <c r="V8" s="15" t="n">
        <v>31</v>
      </c>
      <c r="X8" s="5" t="s">
        <v>69</v>
      </c>
      <c r="Y8" s="7" t="n">
        <f aca="false">INDEX(LINEST(B7:B51,C7:N51,TRUE(),TRUE()),1,11)</f>
        <v>0.985641428985163</v>
      </c>
      <c r="Z8" s="7" t="n">
        <f aca="false">INDEX(LINEST(B7:B51,C7:N51,TRUE(),TRUE()),2,11)</f>
        <v>1.57181771796177</v>
      </c>
      <c r="AA8" s="7" t="n">
        <f aca="false">Y8/Z8</f>
        <v>0.62707107683153</v>
      </c>
      <c r="AB8" s="7" t="n">
        <f aca="false">_xlfn.T.DIST.2T(ABS(AA8),$U$35)</f>
        <v>0.535061478086506</v>
      </c>
      <c r="AC8" s="7" t="n">
        <f aca="false">INDEX(MINVERSE($Y$23:$AJ$34),2,2)</f>
        <v>1.64174174174174</v>
      </c>
    </row>
    <row r="9" customFormat="false" ht="15" hidden="false" customHeight="false" outlineLevel="0" collapsed="false">
      <c r="A9" s="11" t="n">
        <f aca="false">Data_Monthly!A7</f>
        <v>44365</v>
      </c>
      <c r="B9" s="12" t="n">
        <f aca="false">Data_Monthly!L7</f>
        <v>-0.635116310052197</v>
      </c>
      <c r="C9" s="13" t="n">
        <f aca="false">IF($A9&gt;=$U$5,1,0)</f>
        <v>0</v>
      </c>
      <c r="D9" s="13" t="n">
        <f aca="false">IF(MONTH($A9)=2,1,0)</f>
        <v>0</v>
      </c>
      <c r="E9" s="13" t="n">
        <f aca="false">IF(MONTH($A9)=3,1,0)</f>
        <v>0</v>
      </c>
      <c r="F9" s="13" t="n">
        <f aca="false">IF(MONTH($A9)=4,1,0)</f>
        <v>0</v>
      </c>
      <c r="G9" s="13" t="n">
        <f aca="false">IF(MONTH($A9)=5,1,0)</f>
        <v>0</v>
      </c>
      <c r="H9" s="13" t="n">
        <f aca="false">IF(MONTH($A9)=6,1,0)</f>
        <v>1</v>
      </c>
      <c r="I9" s="13" t="n">
        <f aca="false">IF(MONTH($A9)=7,1,0)</f>
        <v>0</v>
      </c>
      <c r="J9" s="13" t="n">
        <f aca="false">IF(MONTH($A9)=8,1,0)</f>
        <v>0</v>
      </c>
      <c r="K9" s="13" t="n">
        <f aca="false">IF(MONTH($A9)=9,1,0)</f>
        <v>0</v>
      </c>
      <c r="L9" s="13" t="n">
        <f aca="false">IF(MONTH($A9)=10,1,0)</f>
        <v>0</v>
      </c>
      <c r="M9" s="13" t="n">
        <f aca="false">IF(MONTH($A9)=11,1,0)</f>
        <v>0</v>
      </c>
      <c r="N9" s="13" t="n">
        <f aca="false">IF(MONTH($A9)=12,1,0)</f>
        <v>0</v>
      </c>
      <c r="O9" s="7" t="n">
        <f aca="false">$B$5+SUMPRODUCT(C9:N9,$C$5:$N$5)</f>
        <v>0.718301108577633</v>
      </c>
      <c r="P9" s="7" t="n">
        <f aca="false">B9-O9</f>
        <v>-1.35341741862983</v>
      </c>
      <c r="Q9" s="7" t="n">
        <f aca="false">P9^2</f>
        <v>1.83173870905063</v>
      </c>
      <c r="T9" s="5" t="s">
        <v>94</v>
      </c>
      <c r="U9" s="13" t="n">
        <f aca="false">COUNT(B38:B51)</f>
        <v>14</v>
      </c>
      <c r="V9" s="15" t="n">
        <v>14</v>
      </c>
      <c r="X9" s="5" t="s">
        <v>70</v>
      </c>
      <c r="Y9" s="7" t="n">
        <f aca="false">INDEX(LINEST(B7:B51,C7:N51,TRUE(),TRUE()),1,10)</f>
        <v>2.07583572443388</v>
      </c>
      <c r="Z9" s="7" t="n">
        <f aca="false">INDEX(LINEST(B7:B51,C7:N51,TRUE(),TRUE()),2,10)</f>
        <v>1.57181771796177</v>
      </c>
      <c r="AA9" s="7" t="n">
        <f aca="false">Y9/Z9</f>
        <v>1.32065932373233</v>
      </c>
      <c r="AB9" s="7" t="n">
        <f aca="false">_xlfn.T.DIST.2T(ABS(AA9),$U$35)</f>
        <v>0.195982688054076</v>
      </c>
      <c r="AC9" s="7" t="n">
        <f aca="false">INDEX(MINVERSE($Y$23:$AJ$34),3,3)</f>
        <v>1.64174174174174</v>
      </c>
    </row>
    <row r="10" customFormat="false" ht="15" hidden="false" customHeight="false" outlineLevel="0" collapsed="false">
      <c r="A10" s="11" t="n">
        <f aca="false">Data_Monthly!A8</f>
        <v>44407</v>
      </c>
      <c r="B10" s="12" t="n">
        <f aca="false">Data_Monthly!L8</f>
        <v>0.440823642307642</v>
      </c>
      <c r="C10" s="13" t="n">
        <f aca="false">IF($A10&gt;=$U$5,1,0)</f>
        <v>0</v>
      </c>
      <c r="D10" s="13" t="n">
        <f aca="false">IF(MONTH($A10)=2,1,0)</f>
        <v>0</v>
      </c>
      <c r="E10" s="13" t="n">
        <f aca="false">IF(MONTH($A10)=3,1,0)</f>
        <v>0</v>
      </c>
      <c r="F10" s="13" t="n">
        <f aca="false">IF(MONTH($A10)=4,1,0)</f>
        <v>0</v>
      </c>
      <c r="G10" s="13" t="n">
        <f aca="false">IF(MONTH($A10)=5,1,0)</f>
        <v>0</v>
      </c>
      <c r="H10" s="13" t="n">
        <f aca="false">IF(MONTH($A10)=6,1,0)</f>
        <v>0</v>
      </c>
      <c r="I10" s="13" t="n">
        <f aca="false">IF(MONTH($A10)=7,1,0)</f>
        <v>1</v>
      </c>
      <c r="J10" s="13" t="n">
        <f aca="false">IF(MONTH($A10)=8,1,0)</f>
        <v>0</v>
      </c>
      <c r="K10" s="13" t="n">
        <f aca="false">IF(MONTH($A10)=9,1,0)</f>
        <v>0</v>
      </c>
      <c r="L10" s="13" t="n">
        <f aca="false">IF(MONTH($A10)=10,1,0)</f>
        <v>0</v>
      </c>
      <c r="M10" s="13" t="n">
        <f aca="false">IF(MONTH($A10)=11,1,0)</f>
        <v>0</v>
      </c>
      <c r="N10" s="13" t="n">
        <f aca="false">IF(MONTH($A10)=12,1,0)</f>
        <v>0</v>
      </c>
      <c r="O10" s="7" t="n">
        <f aca="false">$B$5+SUMPRODUCT(C10:N10,$C$5:$N$5)</f>
        <v>2.43240654307176</v>
      </c>
      <c r="P10" s="7" t="n">
        <f aca="false">B10-O10</f>
        <v>-1.99158290076412</v>
      </c>
      <c r="Q10" s="7" t="n">
        <f aca="false">P10^2</f>
        <v>3.96640245061601</v>
      </c>
      <c r="T10" s="5" t="s">
        <v>95</v>
      </c>
      <c r="U10" s="7" t="n">
        <f aca="false">AVERAGE(B7:B37)</f>
        <v>1.00503638079497</v>
      </c>
      <c r="V10" s="16" t="n">
        <v>1.00503638079497</v>
      </c>
      <c r="X10" s="5" t="s">
        <v>71</v>
      </c>
      <c r="Y10" s="7" t="n">
        <f aca="false">INDEX(LINEST(B7:B51,C7:N51,TRUE(),TRUE()),1,9)</f>
        <v>0.519408920438148</v>
      </c>
      <c r="Z10" s="7" t="n">
        <f aca="false">INDEX(LINEST(B7:B51,C7:N51,TRUE(),TRUE()),2,9)</f>
        <v>1.46126354365967</v>
      </c>
      <c r="AA10" s="7" t="n">
        <f aca="false">Y10/Z10</f>
        <v>0.35545191193733</v>
      </c>
      <c r="AB10" s="7" t="n">
        <f aca="false">_xlfn.T.DIST.2T(ABS(AA10),$U$35)</f>
        <v>0.724583486506987</v>
      </c>
      <c r="AC10" s="7" t="n">
        <f aca="false">INDEX(MINVERSE($Y$23:$AJ$34),4,4)</f>
        <v>1.84684684684685</v>
      </c>
    </row>
    <row r="11" customFormat="false" ht="15" hidden="false" customHeight="false" outlineLevel="0" collapsed="false">
      <c r="A11" s="11" t="n">
        <f aca="false">Data_Monthly!A9</f>
        <v>44435</v>
      </c>
      <c r="B11" s="12" t="n">
        <f aca="false">Data_Monthly!L9</f>
        <v>-2.31619237130793</v>
      </c>
      <c r="C11" s="13" t="n">
        <f aca="false">IF($A11&gt;=$U$5,1,0)</f>
        <v>0</v>
      </c>
      <c r="D11" s="13" t="n">
        <f aca="false">IF(MONTH($A11)=2,1,0)</f>
        <v>0</v>
      </c>
      <c r="E11" s="13" t="n">
        <f aca="false">IF(MONTH($A11)=3,1,0)</f>
        <v>0</v>
      </c>
      <c r="F11" s="13" t="n">
        <f aca="false">IF(MONTH($A11)=4,1,0)</f>
        <v>0</v>
      </c>
      <c r="G11" s="13" t="n">
        <f aca="false">IF(MONTH($A11)=5,1,0)</f>
        <v>0</v>
      </c>
      <c r="H11" s="13" t="n">
        <f aca="false">IF(MONTH($A11)=6,1,0)</f>
        <v>0</v>
      </c>
      <c r="I11" s="13" t="n">
        <f aca="false">IF(MONTH($A11)=7,1,0)</f>
        <v>0</v>
      </c>
      <c r="J11" s="13" t="n">
        <f aca="false">IF(MONTH($A11)=8,1,0)</f>
        <v>1</v>
      </c>
      <c r="K11" s="13" t="n">
        <f aca="false">IF(MONTH($A11)=9,1,0)</f>
        <v>0</v>
      </c>
      <c r="L11" s="13" t="n">
        <f aca="false">IF(MONTH($A11)=10,1,0)</f>
        <v>0</v>
      </c>
      <c r="M11" s="13" t="n">
        <f aca="false">IF(MONTH($A11)=11,1,0)</f>
        <v>0</v>
      </c>
      <c r="N11" s="13" t="n">
        <f aca="false">IF(MONTH($A11)=12,1,0)</f>
        <v>0</v>
      </c>
      <c r="O11" s="7" t="n">
        <f aca="false">$B$5+SUMPRODUCT(C11:N11,$C$5:$N$5)</f>
        <v>-0.795395239108467</v>
      </c>
      <c r="P11" s="7" t="n">
        <f aca="false">B11-O11</f>
        <v>-1.52079713219947</v>
      </c>
      <c r="Q11" s="7" t="n">
        <f aca="false">P11^2</f>
        <v>2.31282391730612</v>
      </c>
      <c r="T11" s="5" t="s">
        <v>96</v>
      </c>
      <c r="U11" s="7" t="n">
        <f aca="false">AVERAGE(B38:B51)</f>
        <v>-0.222716188033178</v>
      </c>
      <c r="V11" s="16" t="n">
        <v>-0.222716188033179</v>
      </c>
      <c r="X11" s="5" t="s">
        <v>72</v>
      </c>
      <c r="Y11" s="7" t="n">
        <f aca="false">INDEX(LINEST(B7:B51,C7:N51,TRUE(),TRUE()),1,8)</f>
        <v>-0.12164585379023</v>
      </c>
      <c r="Z11" s="7" t="n">
        <f aca="false">INDEX(LINEST(B7:B51,C7:N51,TRUE(),TRUE()),2,8)</f>
        <v>1.46126354365967</v>
      </c>
      <c r="AA11" s="7" t="n">
        <f aca="false">Y11/Z11</f>
        <v>-0.0832470325548347</v>
      </c>
      <c r="AB11" s="7" t="n">
        <f aca="false">_xlfn.T.DIST.2T(ABS(AA11),$U$35)</f>
        <v>0.934173700969246</v>
      </c>
      <c r="AC11" s="7" t="n">
        <f aca="false">INDEX(MINVERSE($Y$23:$AJ$34),5,5)</f>
        <v>1.84684684684685</v>
      </c>
    </row>
    <row r="12" customFormat="false" ht="15" hidden="false" customHeight="false" outlineLevel="0" collapsed="false">
      <c r="A12" s="11" t="n">
        <f aca="false">Data_Monthly!A10</f>
        <v>44463</v>
      </c>
      <c r="B12" s="12" t="n">
        <f aca="false">Data_Monthly!L10</f>
        <v>-0.445952416998985</v>
      </c>
      <c r="C12" s="13" t="n">
        <f aca="false">IF($A12&gt;=$U$5,1,0)</f>
        <v>0</v>
      </c>
      <c r="D12" s="13" t="n">
        <f aca="false">IF(MONTH($A12)=2,1,0)</f>
        <v>0</v>
      </c>
      <c r="E12" s="13" t="n">
        <f aca="false">IF(MONTH($A12)=3,1,0)</f>
        <v>0</v>
      </c>
      <c r="F12" s="13" t="n">
        <f aca="false">IF(MONTH($A12)=4,1,0)</f>
        <v>0</v>
      </c>
      <c r="G12" s="13" t="n">
        <f aca="false">IF(MONTH($A12)=5,1,0)</f>
        <v>0</v>
      </c>
      <c r="H12" s="13" t="n">
        <f aca="false">IF(MONTH($A12)=6,1,0)</f>
        <v>0</v>
      </c>
      <c r="I12" s="13" t="n">
        <f aca="false">IF(MONTH($A12)=7,1,0)</f>
        <v>0</v>
      </c>
      <c r="J12" s="13" t="n">
        <f aca="false">IF(MONTH($A12)=8,1,0)</f>
        <v>0</v>
      </c>
      <c r="K12" s="13" t="n">
        <f aca="false">IF(MONTH($A12)=9,1,0)</f>
        <v>1</v>
      </c>
      <c r="L12" s="13" t="n">
        <f aca="false">IF(MONTH($A12)=10,1,0)</f>
        <v>0</v>
      </c>
      <c r="M12" s="13" t="n">
        <f aca="false">IF(MONTH($A12)=11,1,0)</f>
        <v>0</v>
      </c>
      <c r="N12" s="13" t="n">
        <f aca="false">IF(MONTH($A12)=12,1,0)</f>
        <v>0</v>
      </c>
      <c r="O12" s="7" t="n">
        <f aca="false">$B$5+SUMPRODUCT(C12:N12,$C$5:$N$5)</f>
        <v>0.838062453802299</v>
      </c>
      <c r="P12" s="7" t="n">
        <f aca="false">B12-O12</f>
        <v>-1.28401487080128</v>
      </c>
      <c r="Q12" s="7" t="n">
        <f aca="false">P12^2</f>
        <v>1.64869418843884</v>
      </c>
      <c r="T12" s="5" t="s">
        <v>97</v>
      </c>
      <c r="U12" s="7" t="n">
        <f aca="false">_xlfn.STDEV.S(B7:B37)</f>
        <v>2.68719081823087</v>
      </c>
      <c r="V12" s="16" t="n">
        <v>2.68719081823087</v>
      </c>
      <c r="X12" s="5" t="s">
        <v>73</v>
      </c>
      <c r="Y12" s="7" t="n">
        <f aca="false">INDEX(LINEST(B7:B51,C7:N51,TRUE(),TRUE()),1,7)</f>
        <v>1.43472247037674</v>
      </c>
      <c r="Z12" s="7" t="n">
        <f aca="false">INDEX(LINEST(B7:B51,C7:N51,TRUE(),TRUE()),2,7)</f>
        <v>1.46126354365967</v>
      </c>
      <c r="AA12" s="7" t="n">
        <f aca="false">Y12/Z12</f>
        <v>0.981836901770326</v>
      </c>
      <c r="AB12" s="7" t="n">
        <f aca="false">_xlfn.T.DIST.2T(ABS(AA12),$U$35)</f>
        <v>0.333545638799354</v>
      </c>
      <c r="AC12" s="7" t="n">
        <f aca="false">INDEX(MINVERSE($Y$23:$AJ$34),6,6)</f>
        <v>1.84684684684685</v>
      </c>
    </row>
    <row r="13" customFormat="false" ht="15" hidden="false" customHeight="false" outlineLevel="0" collapsed="false">
      <c r="A13" s="11" t="n">
        <f aca="false">Data_Monthly!A11</f>
        <v>44491</v>
      </c>
      <c r="B13" s="12" t="n">
        <f aca="false">Data_Monthly!L11</f>
        <v>2.77363128427499</v>
      </c>
      <c r="C13" s="13" t="n">
        <f aca="false">IF($A13&gt;=$U$5,1,0)</f>
        <v>0</v>
      </c>
      <c r="D13" s="13" t="n">
        <f aca="false">IF(MONTH($A13)=2,1,0)</f>
        <v>0</v>
      </c>
      <c r="E13" s="13" t="n">
        <f aca="false">IF(MONTH($A13)=3,1,0)</f>
        <v>0</v>
      </c>
      <c r="F13" s="13" t="n">
        <f aca="false">IF(MONTH($A13)=4,1,0)</f>
        <v>0</v>
      </c>
      <c r="G13" s="13" t="n">
        <f aca="false">IF(MONTH($A13)=5,1,0)</f>
        <v>0</v>
      </c>
      <c r="H13" s="13" t="n">
        <f aca="false">IF(MONTH($A13)=6,1,0)</f>
        <v>0</v>
      </c>
      <c r="I13" s="13" t="n">
        <f aca="false">IF(MONTH($A13)=7,1,0)</f>
        <v>0</v>
      </c>
      <c r="J13" s="13" t="n">
        <f aca="false">IF(MONTH($A13)=8,1,0)</f>
        <v>0</v>
      </c>
      <c r="K13" s="13" t="n">
        <f aca="false">IF(MONTH($A13)=9,1,0)</f>
        <v>0</v>
      </c>
      <c r="L13" s="13" t="n">
        <f aca="false">IF(MONTH($A13)=10,1,0)</f>
        <v>1</v>
      </c>
      <c r="M13" s="13" t="n">
        <f aca="false">IF(MONTH($A13)=11,1,0)</f>
        <v>0</v>
      </c>
      <c r="N13" s="13" t="n">
        <f aca="false">IF(MONTH($A13)=12,1,0)</f>
        <v>0</v>
      </c>
      <c r="O13" s="7" t="n">
        <f aca="false">$B$5+SUMPRODUCT(C13:N13,$C$5:$N$5)</f>
        <v>2.59161712626247</v>
      </c>
      <c r="P13" s="7" t="n">
        <f aca="false">B13-O13</f>
        <v>0.182014158012523</v>
      </c>
      <c r="Q13" s="7" t="n">
        <f aca="false">P13^2</f>
        <v>0.0331291537170078</v>
      </c>
      <c r="T13" s="5" t="s">
        <v>98</v>
      </c>
      <c r="U13" s="7" t="n">
        <f aca="false">_xlfn.STDEV.S(B38:B51)</f>
        <v>1.96916102391847</v>
      </c>
      <c r="V13" s="16" t="n">
        <v>1.96916102391847</v>
      </c>
      <c r="X13" s="5" t="s">
        <v>74</v>
      </c>
      <c r="Y13" s="7" t="n">
        <f aca="false">INDEX(LINEST(B7:B51,C7:N51,TRUE(),TRUE()),1,6)</f>
        <v>3.14882790487086</v>
      </c>
      <c r="Z13" s="7" t="n">
        <f aca="false">INDEX(LINEST(B7:B51,C7:N51,TRUE(),TRUE()),2,6)</f>
        <v>1.57181771796177</v>
      </c>
      <c r="AA13" s="7" t="n">
        <f aca="false">Y13/Z13</f>
        <v>2.00330348035144</v>
      </c>
      <c r="AB13" s="7" t="n">
        <f aca="false">_xlfn.T.DIST.2T(ABS(AA13),$U$35)</f>
        <v>0.0536747738843211</v>
      </c>
      <c r="AC13" s="7" t="n">
        <f aca="false">INDEX(MINVERSE($Y$23:$AJ$34),7,7)</f>
        <v>1.64174174174174</v>
      </c>
    </row>
    <row r="14" customFormat="false" ht="15" hidden="false" customHeight="false" outlineLevel="0" collapsed="false">
      <c r="A14" s="11" t="n">
        <f aca="false">Data_Monthly!A12</f>
        <v>44519</v>
      </c>
      <c r="B14" s="12" t="n">
        <f aca="false">Data_Monthly!L12</f>
        <v>2.95110497935624</v>
      </c>
      <c r="C14" s="13" t="n">
        <f aca="false">IF($A14&gt;=$U$5,1,0)</f>
        <v>0</v>
      </c>
      <c r="D14" s="13" t="n">
        <f aca="false">IF(MONTH($A14)=2,1,0)</f>
        <v>0</v>
      </c>
      <c r="E14" s="13" t="n">
        <f aca="false">IF(MONTH($A14)=3,1,0)</f>
        <v>0</v>
      </c>
      <c r="F14" s="13" t="n">
        <f aca="false">IF(MONTH($A14)=4,1,0)</f>
        <v>0</v>
      </c>
      <c r="G14" s="13" t="n">
        <f aca="false">IF(MONTH($A14)=5,1,0)</f>
        <v>0</v>
      </c>
      <c r="H14" s="13" t="n">
        <f aca="false">IF(MONTH($A14)=6,1,0)</f>
        <v>0</v>
      </c>
      <c r="I14" s="13" t="n">
        <f aca="false">IF(MONTH($A14)=7,1,0)</f>
        <v>0</v>
      </c>
      <c r="J14" s="13" t="n">
        <f aca="false">IF(MONTH($A14)=8,1,0)</f>
        <v>0</v>
      </c>
      <c r="K14" s="13" t="n">
        <f aca="false">IF(MONTH($A14)=9,1,0)</f>
        <v>0</v>
      </c>
      <c r="L14" s="13" t="n">
        <f aca="false">IF(MONTH($A14)=10,1,0)</f>
        <v>0</v>
      </c>
      <c r="M14" s="13" t="n">
        <f aca="false">IF(MONTH($A14)=11,1,0)</f>
        <v>1</v>
      </c>
      <c r="N14" s="13" t="n">
        <f aca="false">IF(MONTH($A14)=12,1,0)</f>
        <v>0</v>
      </c>
      <c r="O14" s="7" t="n">
        <f aca="false">$B$5+SUMPRODUCT(C14:N14,$C$5:$N$5)</f>
        <v>2.58210469843921</v>
      </c>
      <c r="P14" s="7" t="n">
        <f aca="false">B14-O14</f>
        <v>0.369000280917031</v>
      </c>
      <c r="Q14" s="7" t="n">
        <f aca="false">P14^2</f>
        <v>0.136161207316848</v>
      </c>
      <c r="T14" s="5" t="s">
        <v>99</v>
      </c>
      <c r="U14" s="7" t="n">
        <f aca="false">$U$11-$U$10</f>
        <v>-1.22775256882815</v>
      </c>
      <c r="V14" s="16" t="n">
        <v>-1.22775256882815</v>
      </c>
      <c r="X14" s="5" t="s">
        <v>75</v>
      </c>
      <c r="Y14" s="7" t="n">
        <f aca="false">INDEX(LINEST(B7:B51,C7:N51,TRUE(),TRUE()),1,5)</f>
        <v>-0.0789738773093623</v>
      </c>
      <c r="Z14" s="7" t="n">
        <f aca="false">INDEX(LINEST(B7:B51,C7:N51,TRUE(),TRUE()),2,5)</f>
        <v>1.46126354365967</v>
      </c>
      <c r="AA14" s="7" t="n">
        <f aca="false">Y14/Z14</f>
        <v>-0.0540449241014907</v>
      </c>
      <c r="AB14" s="7" t="n">
        <f aca="false">_xlfn.T.DIST.2T(ABS(AA14),$U$35)</f>
        <v>0.957235379422184</v>
      </c>
      <c r="AC14" s="7" t="n">
        <f aca="false">INDEX(MINVERSE($Y$23:$AJ$34),8,8)</f>
        <v>1.84684684684685</v>
      </c>
    </row>
    <row r="15" customFormat="false" ht="15" hidden="false" customHeight="false" outlineLevel="0" collapsed="false">
      <c r="A15" s="11" t="n">
        <f aca="false">Data_Monthly!A13</f>
        <v>44561</v>
      </c>
      <c r="B15" s="12" t="n">
        <f aca="false">Data_Monthly!L13</f>
        <v>4.47878141692915</v>
      </c>
      <c r="C15" s="13" t="n">
        <f aca="false">IF($A15&gt;=$U$5,1,0)</f>
        <v>0</v>
      </c>
      <c r="D15" s="13" t="n">
        <f aca="false">IF(MONTH($A15)=2,1,0)</f>
        <v>0</v>
      </c>
      <c r="E15" s="13" t="n">
        <f aca="false">IF(MONTH($A15)=3,1,0)</f>
        <v>0</v>
      </c>
      <c r="F15" s="13" t="n">
        <f aca="false">IF(MONTH($A15)=4,1,0)</f>
        <v>0</v>
      </c>
      <c r="G15" s="13" t="n">
        <f aca="false">IF(MONTH($A15)=5,1,0)</f>
        <v>0</v>
      </c>
      <c r="H15" s="13" t="n">
        <f aca="false">IF(MONTH($A15)=6,1,0)</f>
        <v>0</v>
      </c>
      <c r="I15" s="13" t="n">
        <f aca="false">IF(MONTH($A15)=7,1,0)</f>
        <v>0</v>
      </c>
      <c r="J15" s="13" t="n">
        <f aca="false">IF(MONTH($A15)=8,1,0)</f>
        <v>0</v>
      </c>
      <c r="K15" s="13" t="n">
        <f aca="false">IF(MONTH($A15)=9,1,0)</f>
        <v>0</v>
      </c>
      <c r="L15" s="13" t="n">
        <f aca="false">IF(MONTH($A15)=10,1,0)</f>
        <v>0</v>
      </c>
      <c r="M15" s="13" t="n">
        <f aca="false">IF(MONTH($A15)=11,1,0)</f>
        <v>0</v>
      </c>
      <c r="N15" s="13" t="n">
        <f aca="false">IF(MONTH($A15)=12,1,0)</f>
        <v>1</v>
      </c>
      <c r="O15" s="7" t="n">
        <f aca="false">$B$5+SUMPRODUCT(C15:N15,$C$5:$N$5)</f>
        <v>4.88402855469434</v>
      </c>
      <c r="P15" s="7" t="n">
        <f aca="false">B15-O15</f>
        <v>-0.405247137765193</v>
      </c>
      <c r="Q15" s="7" t="n">
        <f aca="false">P15^2</f>
        <v>0.164225242666881</v>
      </c>
      <c r="T15" s="5" t="s">
        <v>100</v>
      </c>
      <c r="U15" s="7" t="n">
        <f aca="false">12*$U$14</f>
        <v>-14.7330308259378</v>
      </c>
      <c r="V15" s="16" t="n">
        <v>-14.7330308259378</v>
      </c>
      <c r="X15" s="5" t="s">
        <v>76</v>
      </c>
      <c r="Y15" s="7" t="n">
        <f aca="false">INDEX(LINEST(B7:B51,C7:N51,TRUE(),TRUE()),1,4)</f>
        <v>1.5544838156014</v>
      </c>
      <c r="Z15" s="7" t="n">
        <f aca="false">INDEX(LINEST(B7:B51,C7:N51,TRUE(),TRUE()),2,4)</f>
        <v>1.46126354365967</v>
      </c>
      <c r="AA15" s="7" t="n">
        <f aca="false">Y15/Z15</f>
        <v>1.06379429114359</v>
      </c>
      <c r="AB15" s="7" t="n">
        <f aca="false">_xlfn.T.DIST.2T(ABS(AA15),$U$35)</f>
        <v>0.29538384357612</v>
      </c>
      <c r="AC15" s="7" t="n">
        <f aca="false">INDEX(MINVERSE($Y$23:$AJ$34),9,9)</f>
        <v>1.84684684684685</v>
      </c>
    </row>
    <row r="16" customFormat="false" ht="15" hidden="false" customHeight="false" outlineLevel="0" collapsed="false">
      <c r="A16" s="11" t="n">
        <f aca="false">Data_Monthly!A14</f>
        <v>44589</v>
      </c>
      <c r="B16" s="12" t="n">
        <f aca="false">Data_Monthly!L14</f>
        <v>1.82860240467821</v>
      </c>
      <c r="C16" s="13" t="n">
        <f aca="false">IF($A16&gt;=$U$5,1,0)</f>
        <v>0</v>
      </c>
      <c r="D16" s="13" t="n">
        <f aca="false">IF(MONTH($A16)=2,1,0)</f>
        <v>0</v>
      </c>
      <c r="E16" s="13" t="n">
        <f aca="false">IF(MONTH($A16)=3,1,0)</f>
        <v>0</v>
      </c>
      <c r="F16" s="13" t="n">
        <f aca="false">IF(MONTH($A16)=4,1,0)</f>
        <v>0</v>
      </c>
      <c r="G16" s="13" t="n">
        <f aca="false">IF(MONTH($A16)=5,1,0)</f>
        <v>0</v>
      </c>
      <c r="H16" s="13" t="n">
        <f aca="false">IF(MONTH($A16)=6,1,0)</f>
        <v>0</v>
      </c>
      <c r="I16" s="13" t="n">
        <f aca="false">IF(MONTH($A16)=7,1,0)</f>
        <v>0</v>
      </c>
      <c r="J16" s="13" t="n">
        <f aca="false">IF(MONTH($A16)=8,1,0)</f>
        <v>0</v>
      </c>
      <c r="K16" s="13" t="n">
        <f aca="false">IF(MONTH($A16)=9,1,0)</f>
        <v>0</v>
      </c>
      <c r="L16" s="13" t="n">
        <f aca="false">IF(MONTH($A16)=10,1,0)</f>
        <v>0</v>
      </c>
      <c r="M16" s="13" t="n">
        <f aca="false">IF(MONTH($A16)=11,1,0)</f>
        <v>0</v>
      </c>
      <c r="N16" s="13" t="n">
        <f aca="false">IF(MONTH($A16)=12,1,0)</f>
        <v>0</v>
      </c>
      <c r="O16" s="7" t="n">
        <f aca="false">$B$5+SUMPRODUCT(C16:N16,$C$5:$N$5)</f>
        <v>-0.716421361799105</v>
      </c>
      <c r="P16" s="7" t="n">
        <f aca="false">B16-O16</f>
        <v>2.54502376647732</v>
      </c>
      <c r="Q16" s="7" t="n">
        <f aca="false">P16^2</f>
        <v>6.4771459719344</v>
      </c>
      <c r="T16" s="5" t="s">
        <v>101</v>
      </c>
      <c r="U16" s="7" t="n">
        <f aca="false">SQRT($U$13^2/$U$9+$U$12^2/$U$8)</f>
        <v>0.714077298013958</v>
      </c>
      <c r="X16" s="5" t="s">
        <v>77</v>
      </c>
      <c r="Y16" s="7" t="n">
        <f aca="false">INDEX(LINEST(B7:B51,C7:N51,TRUE(),TRUE()),1,3)</f>
        <v>3.30803848806157</v>
      </c>
      <c r="Z16" s="7" t="n">
        <f aca="false">INDEX(LINEST(B7:B51,C7:N51,TRUE(),TRUE()),2,3)</f>
        <v>1.46126354365967</v>
      </c>
      <c r="AA16" s="7" t="n">
        <f aca="false">Y16/Z16</f>
        <v>2.26382058350456</v>
      </c>
      <c r="AB16" s="7" t="n">
        <f aca="false">_xlfn.T.DIST.2T(ABS(AA16),$U$35)</f>
        <v>0.0305000857783959</v>
      </c>
      <c r="AC16" s="7" t="n">
        <f aca="false">INDEX(MINVERSE($Y$23:$AJ$34),10,10)</f>
        <v>1.84684684684685</v>
      </c>
    </row>
    <row r="17" customFormat="false" ht="15" hidden="false" customHeight="false" outlineLevel="0" collapsed="false">
      <c r="A17" s="11" t="n">
        <f aca="false">Data_Monthly!A15</f>
        <v>44617</v>
      </c>
      <c r="B17" s="12" t="n">
        <f aca="false">Data_Monthly!L15</f>
        <v>-0.995980188020162</v>
      </c>
      <c r="C17" s="13" t="n">
        <f aca="false">IF($A17&gt;=$U$5,1,0)</f>
        <v>0</v>
      </c>
      <c r="D17" s="13" t="n">
        <f aca="false">IF(MONTH($A17)=2,1,0)</f>
        <v>1</v>
      </c>
      <c r="E17" s="13" t="n">
        <f aca="false">IF(MONTH($A17)=3,1,0)</f>
        <v>0</v>
      </c>
      <c r="F17" s="13" t="n">
        <f aca="false">IF(MONTH($A17)=4,1,0)</f>
        <v>0</v>
      </c>
      <c r="G17" s="13" t="n">
        <f aca="false">IF(MONTH($A17)=5,1,0)</f>
        <v>0</v>
      </c>
      <c r="H17" s="13" t="n">
        <f aca="false">IF(MONTH($A17)=6,1,0)</f>
        <v>0</v>
      </c>
      <c r="I17" s="13" t="n">
        <f aca="false">IF(MONTH($A17)=7,1,0)</f>
        <v>0</v>
      </c>
      <c r="J17" s="13" t="n">
        <f aca="false">IF(MONTH($A17)=8,1,0)</f>
        <v>0</v>
      </c>
      <c r="K17" s="13" t="n">
        <f aca="false">IF(MONTH($A17)=9,1,0)</f>
        <v>0</v>
      </c>
      <c r="L17" s="13" t="n">
        <f aca="false">IF(MONTH($A17)=10,1,0)</f>
        <v>0</v>
      </c>
      <c r="M17" s="13" t="n">
        <f aca="false">IF(MONTH($A17)=11,1,0)</f>
        <v>0</v>
      </c>
      <c r="N17" s="13" t="n">
        <f aca="false">IF(MONTH($A17)=12,1,0)</f>
        <v>0</v>
      </c>
      <c r="O17" s="7" t="n">
        <f aca="false">$B$5+SUMPRODUCT(C17:N17,$C$5:$N$5)</f>
        <v>0.269220067186058</v>
      </c>
      <c r="P17" s="7" t="n">
        <f aca="false">B17-O17</f>
        <v>-1.26520025520622</v>
      </c>
      <c r="Q17" s="7" t="n">
        <f aca="false">P17^2</f>
        <v>1.60073168577389</v>
      </c>
      <c r="T17" s="5" t="s">
        <v>102</v>
      </c>
      <c r="U17" s="7" t="n">
        <f aca="false">$U$14/$U$16</f>
        <v>-1.71935527462204</v>
      </c>
      <c r="V17" s="16" t="n">
        <v>-1.71935527462204</v>
      </c>
      <c r="X17" s="5" t="s">
        <v>78</v>
      </c>
      <c r="Y17" s="7" t="n">
        <f aca="false">INDEX(LINEST(B7:B51,C7:N51,TRUE(),TRUE()),1,2)</f>
        <v>3.29852606023832</v>
      </c>
      <c r="Z17" s="7" t="n">
        <f aca="false">INDEX(LINEST(B7:B51,C7:N51,TRUE(),TRUE()),2,2)</f>
        <v>1.46126354365967</v>
      </c>
      <c r="AA17" s="7" t="n">
        <f aca="false">Y17/Z17</f>
        <v>2.25731085576617</v>
      </c>
      <c r="AB17" s="7" t="n">
        <f aca="false">_xlfn.T.DIST.2T(ABS(AA17),$U$35)</f>
        <v>0.0309472392679899</v>
      </c>
      <c r="AC17" s="7" t="n">
        <f aca="false">INDEX(MINVERSE($Y$23:$AJ$34),11,11)</f>
        <v>1.84684684684685</v>
      </c>
    </row>
    <row r="18" customFormat="false" ht="15" hidden="false" customHeight="false" outlineLevel="0" collapsed="false">
      <c r="A18" s="11" t="n">
        <f aca="false">Data_Monthly!A16</f>
        <v>44645</v>
      </c>
      <c r="B18" s="12" t="n">
        <f aca="false">Data_Monthly!L16</f>
        <v>1.13716943369617</v>
      </c>
      <c r="C18" s="13" t="n">
        <f aca="false">IF($A18&gt;=$U$5,1,0)</f>
        <v>0</v>
      </c>
      <c r="D18" s="13" t="n">
        <f aca="false">IF(MONTH($A18)=2,1,0)</f>
        <v>0</v>
      </c>
      <c r="E18" s="13" t="n">
        <f aca="false">IF(MONTH($A18)=3,1,0)</f>
        <v>1</v>
      </c>
      <c r="F18" s="13" t="n">
        <f aca="false">IF(MONTH($A18)=4,1,0)</f>
        <v>0</v>
      </c>
      <c r="G18" s="13" t="n">
        <f aca="false">IF(MONTH($A18)=5,1,0)</f>
        <v>0</v>
      </c>
      <c r="H18" s="13" t="n">
        <f aca="false">IF(MONTH($A18)=6,1,0)</f>
        <v>0</v>
      </c>
      <c r="I18" s="13" t="n">
        <f aca="false">IF(MONTH($A18)=7,1,0)</f>
        <v>0</v>
      </c>
      <c r="J18" s="13" t="n">
        <f aca="false">IF(MONTH($A18)=8,1,0)</f>
        <v>0</v>
      </c>
      <c r="K18" s="13" t="n">
        <f aca="false">IF(MONTH($A18)=9,1,0)</f>
        <v>0</v>
      </c>
      <c r="L18" s="13" t="n">
        <f aca="false">IF(MONTH($A18)=10,1,0)</f>
        <v>0</v>
      </c>
      <c r="M18" s="13" t="n">
        <f aca="false">IF(MONTH($A18)=11,1,0)</f>
        <v>0</v>
      </c>
      <c r="N18" s="13" t="n">
        <f aca="false">IF(MONTH($A18)=12,1,0)</f>
        <v>0</v>
      </c>
      <c r="O18" s="7" t="n">
        <f aca="false">$B$5+SUMPRODUCT(C18:N18,$C$5:$N$5)</f>
        <v>1.35941436263477</v>
      </c>
      <c r="P18" s="7" t="n">
        <f aca="false">B18-O18</f>
        <v>-0.222244928938599</v>
      </c>
      <c r="Q18" s="7" t="n">
        <f aca="false">P18^2</f>
        <v>0.0493928084389231</v>
      </c>
      <c r="T18" s="5" t="s">
        <v>103</v>
      </c>
      <c r="U18" s="17" t="n">
        <f aca="false">(($U$13^2/$U$9)+($U$12^2/$U$8))^2/(($U$13^2/$U$9)^2/($U$9-1)+($U$12^2/$U$8)^2/($U$8-1))</f>
        <v>33.7246566595429</v>
      </c>
      <c r="V18" s="18" t="n">
        <v>33.7246566595429</v>
      </c>
      <c r="X18" s="5" t="s">
        <v>79</v>
      </c>
      <c r="Y18" s="7" t="n">
        <f aca="false">INDEX(LINEST(B7:B51,C7:N51,TRUE(),TRUE()),1,1)</f>
        <v>5.60044991649344</v>
      </c>
      <c r="Z18" s="7" t="n">
        <f aca="false">INDEX(LINEST(B7:B51,C7:N51,TRUE(),TRUE()),2,1)</f>
        <v>1.45148909587422</v>
      </c>
      <c r="AA18" s="7" t="n">
        <f aca="false">Y18/Z18</f>
        <v>3.85841680272515</v>
      </c>
      <c r="AB18" s="7" t="n">
        <f aca="false">_xlfn.T.DIST.2T(ABS(AA18),$U$35)</f>
        <v>0.000520436013197865</v>
      </c>
      <c r="AC18" s="7" t="n">
        <f aca="false">INDEX(MINVERSE($Y$23:$AJ$34),12,12)</f>
        <v>1.82222222222222</v>
      </c>
    </row>
    <row r="19" customFormat="false" ht="15" hidden="false" customHeight="false" outlineLevel="0" collapsed="false">
      <c r="A19" s="11" t="n">
        <f aca="false">Data_Monthly!A17</f>
        <v>44673</v>
      </c>
      <c r="B19" s="12" t="n">
        <f aca="false">Data_Monthly!L17</f>
        <v>0.705299037302964</v>
      </c>
      <c r="C19" s="13" t="n">
        <f aca="false">IF($A19&gt;=$U$5,1,0)</f>
        <v>0</v>
      </c>
      <c r="D19" s="13" t="n">
        <f aca="false">IF(MONTH($A19)=2,1,0)</f>
        <v>0</v>
      </c>
      <c r="E19" s="13" t="n">
        <f aca="false">IF(MONTH($A19)=3,1,0)</f>
        <v>0</v>
      </c>
      <c r="F19" s="13" t="n">
        <f aca="false">IF(MONTH($A19)=4,1,0)</f>
        <v>1</v>
      </c>
      <c r="G19" s="13" t="n">
        <f aca="false">IF(MONTH($A19)=5,1,0)</f>
        <v>0</v>
      </c>
      <c r="H19" s="13" t="n">
        <f aca="false">IF(MONTH($A19)=6,1,0)</f>
        <v>0</v>
      </c>
      <c r="I19" s="13" t="n">
        <f aca="false">IF(MONTH($A19)=7,1,0)</f>
        <v>0</v>
      </c>
      <c r="J19" s="13" t="n">
        <f aca="false">IF(MONTH($A19)=8,1,0)</f>
        <v>0</v>
      </c>
      <c r="K19" s="13" t="n">
        <f aca="false">IF(MONTH($A19)=9,1,0)</f>
        <v>0</v>
      </c>
      <c r="L19" s="13" t="n">
        <f aca="false">IF(MONTH($A19)=10,1,0)</f>
        <v>0</v>
      </c>
      <c r="M19" s="13" t="n">
        <f aca="false">IF(MONTH($A19)=11,1,0)</f>
        <v>0</v>
      </c>
      <c r="N19" s="13" t="n">
        <f aca="false">IF(MONTH($A19)=12,1,0)</f>
        <v>0</v>
      </c>
      <c r="O19" s="7" t="n">
        <f aca="false">$B$5+SUMPRODUCT(C19:N19,$C$5:$N$5)</f>
        <v>-0.197012441360957</v>
      </c>
      <c r="P19" s="7" t="n">
        <f aca="false">B19-O19</f>
        <v>0.902311478663921</v>
      </c>
      <c r="Q19" s="7" t="n">
        <f aca="false">P19^2</f>
        <v>0.814166004528672</v>
      </c>
      <c r="T19" s="5" t="s">
        <v>104</v>
      </c>
      <c r="U19" s="7" t="n">
        <f aca="false">_xlfn.T.TEST(B38:B51,B7:B37,2,3)</f>
        <v>0.0947168977212384</v>
      </c>
      <c r="V19" s="16" t="n">
        <v>0.0947168977212386</v>
      </c>
      <c r="X19" s="5" t="s">
        <v>105</v>
      </c>
      <c r="Y19" s="7" t="n">
        <f aca="false">INDEX(LINEST(B7:B51,C7:N51,TRUE(),TRUE()),1,13)</f>
        <v>-0.716421361799105</v>
      </c>
      <c r="Z19" s="7" t="n">
        <f aca="false">INDEX(LINEST(B7:B51,C7:N51,TRUE(),TRUE()),2,13)</f>
        <v>1.08041311176285</v>
      </c>
      <c r="AA19" s="7" t="n">
        <f aca="false">Y19/Z19</f>
        <v>-0.663099470007504</v>
      </c>
      <c r="AB19" s="7" t="n">
        <f aca="false">_xlfn.T.DIST.2T(ABS(AA19),$U$35)</f>
        <v>0.5120155756434</v>
      </c>
    </row>
    <row r="20" customFormat="false" ht="15" hidden="false" customHeight="false" outlineLevel="0" collapsed="false">
      <c r="A20" s="11" t="n">
        <f aca="false">Data_Monthly!A18</f>
        <v>44701</v>
      </c>
      <c r="B20" s="12" t="n">
        <f aca="false">Data_Monthly!L18</f>
        <v>-0.413660931154248</v>
      </c>
      <c r="C20" s="13" t="n">
        <f aca="false">IF($A20&gt;=$U$5,1,0)</f>
        <v>0</v>
      </c>
      <c r="D20" s="13" t="n">
        <f aca="false">IF(MONTH($A20)=2,1,0)</f>
        <v>0</v>
      </c>
      <c r="E20" s="13" t="n">
        <f aca="false">IF(MONTH($A20)=3,1,0)</f>
        <v>0</v>
      </c>
      <c r="F20" s="13" t="n">
        <f aca="false">IF(MONTH($A20)=4,1,0)</f>
        <v>0</v>
      </c>
      <c r="G20" s="13" t="n">
        <f aca="false">IF(MONTH($A20)=5,1,0)</f>
        <v>1</v>
      </c>
      <c r="H20" s="13" t="n">
        <f aca="false">IF(MONTH($A20)=6,1,0)</f>
        <v>0</v>
      </c>
      <c r="I20" s="13" t="n">
        <f aca="false">IF(MONTH($A20)=7,1,0)</f>
        <v>0</v>
      </c>
      <c r="J20" s="13" t="n">
        <f aca="false">IF(MONTH($A20)=8,1,0)</f>
        <v>0</v>
      </c>
      <c r="K20" s="13" t="n">
        <f aca="false">IF(MONTH($A20)=9,1,0)</f>
        <v>0</v>
      </c>
      <c r="L20" s="13" t="n">
        <f aca="false">IF(MONTH($A20)=10,1,0)</f>
        <v>0</v>
      </c>
      <c r="M20" s="13" t="n">
        <f aca="false">IF(MONTH($A20)=11,1,0)</f>
        <v>0</v>
      </c>
      <c r="N20" s="13" t="n">
        <f aca="false">IF(MONTH($A20)=12,1,0)</f>
        <v>0</v>
      </c>
      <c r="O20" s="7" t="n">
        <f aca="false">$B$5+SUMPRODUCT(C20:N20,$C$5:$N$5)</f>
        <v>-0.838067215589335</v>
      </c>
      <c r="P20" s="7" t="n">
        <f aca="false">B20-O20</f>
        <v>0.424406284435087</v>
      </c>
      <c r="Q20" s="7" t="n">
        <f aca="false">P20^2</f>
        <v>0.180120694267996</v>
      </c>
      <c r="X20" s="2" t="s">
        <v>106</v>
      </c>
    </row>
    <row r="21" customFormat="false" ht="15" hidden="false" customHeight="false" outlineLevel="0" collapsed="false">
      <c r="A21" s="11" t="n">
        <f aca="false">Data_Monthly!A19</f>
        <v>44729</v>
      </c>
      <c r="B21" s="12" t="n">
        <f aca="false">Data_Monthly!L19</f>
        <v>-1.4883748321564</v>
      </c>
      <c r="C21" s="13" t="n">
        <f aca="false">IF($A21&gt;=$U$5,1,0)</f>
        <v>0</v>
      </c>
      <c r="D21" s="13" t="n">
        <f aca="false">IF(MONTH($A21)=2,1,0)</f>
        <v>0</v>
      </c>
      <c r="E21" s="13" t="n">
        <f aca="false">IF(MONTH($A21)=3,1,0)</f>
        <v>0</v>
      </c>
      <c r="F21" s="13" t="n">
        <f aca="false">IF(MONTH($A21)=4,1,0)</f>
        <v>0</v>
      </c>
      <c r="G21" s="13" t="n">
        <f aca="false">IF(MONTH($A21)=5,1,0)</f>
        <v>0</v>
      </c>
      <c r="H21" s="13" t="n">
        <f aca="false">IF(MONTH($A21)=6,1,0)</f>
        <v>1</v>
      </c>
      <c r="I21" s="13" t="n">
        <f aca="false">IF(MONTH($A21)=7,1,0)</f>
        <v>0</v>
      </c>
      <c r="J21" s="13" t="n">
        <f aca="false">IF(MONTH($A21)=8,1,0)</f>
        <v>0</v>
      </c>
      <c r="K21" s="13" t="n">
        <f aca="false">IF(MONTH($A21)=9,1,0)</f>
        <v>0</v>
      </c>
      <c r="L21" s="13" t="n">
        <f aca="false">IF(MONTH($A21)=10,1,0)</f>
        <v>0</v>
      </c>
      <c r="M21" s="13" t="n">
        <f aca="false">IF(MONTH($A21)=11,1,0)</f>
        <v>0</v>
      </c>
      <c r="N21" s="13" t="n">
        <f aca="false">IF(MONTH($A21)=12,1,0)</f>
        <v>0</v>
      </c>
      <c r="O21" s="7" t="n">
        <f aca="false">$B$5+SUMPRODUCT(C21:N21,$C$5:$N$5)</f>
        <v>0.718301108577633</v>
      </c>
      <c r="P21" s="7" t="n">
        <f aca="false">B21-O21</f>
        <v>-2.20667594073404</v>
      </c>
      <c r="Q21" s="7" t="n">
        <f aca="false">P21^2</f>
        <v>4.86941870741445</v>
      </c>
      <c r="T21" s="9" t="s">
        <v>107</v>
      </c>
      <c r="U21" s="14" t="s">
        <v>91</v>
      </c>
      <c r="V21" s="14" t="s">
        <v>92</v>
      </c>
      <c r="X21" s="2" t="s">
        <v>108</v>
      </c>
    </row>
    <row r="22" customFormat="false" ht="15" hidden="false" customHeight="false" outlineLevel="0" collapsed="false">
      <c r="A22" s="11" t="n">
        <f aca="false">Data_Monthly!A20</f>
        <v>44771</v>
      </c>
      <c r="B22" s="12" t="n">
        <f aca="false">Data_Monthly!L20</f>
        <v>6.62904974907139</v>
      </c>
      <c r="C22" s="13" t="n">
        <f aca="false">IF($A22&gt;=$U$5,1,0)</f>
        <v>0</v>
      </c>
      <c r="D22" s="13" t="n">
        <f aca="false">IF(MONTH($A22)=2,1,0)</f>
        <v>0</v>
      </c>
      <c r="E22" s="13" t="n">
        <f aca="false">IF(MONTH($A22)=3,1,0)</f>
        <v>0</v>
      </c>
      <c r="F22" s="13" t="n">
        <f aca="false">IF(MONTH($A22)=4,1,0)</f>
        <v>0</v>
      </c>
      <c r="G22" s="13" t="n">
        <f aca="false">IF(MONTH($A22)=5,1,0)</f>
        <v>0</v>
      </c>
      <c r="H22" s="13" t="n">
        <f aca="false">IF(MONTH($A22)=6,1,0)</f>
        <v>0</v>
      </c>
      <c r="I22" s="13" t="n">
        <f aca="false">IF(MONTH($A22)=7,1,0)</f>
        <v>1</v>
      </c>
      <c r="J22" s="13" t="n">
        <f aca="false">IF(MONTH($A22)=8,1,0)</f>
        <v>0</v>
      </c>
      <c r="K22" s="13" t="n">
        <f aca="false">IF(MONTH($A22)=9,1,0)</f>
        <v>0</v>
      </c>
      <c r="L22" s="13" t="n">
        <f aca="false">IF(MONTH($A22)=10,1,0)</f>
        <v>0</v>
      </c>
      <c r="M22" s="13" t="n">
        <f aca="false">IF(MONTH($A22)=11,1,0)</f>
        <v>0</v>
      </c>
      <c r="N22" s="13" t="n">
        <f aca="false">IF(MONTH($A22)=12,1,0)</f>
        <v>0</v>
      </c>
      <c r="O22" s="7" t="n">
        <f aca="false">$B$5+SUMPRODUCT(C22:N22,$C$5:$N$5)</f>
        <v>2.43240654307176</v>
      </c>
      <c r="P22" s="7" t="n">
        <f aca="false">B22-O22</f>
        <v>4.19664320599964</v>
      </c>
      <c r="Q22" s="7" t="n">
        <f aca="false">P22^2</f>
        <v>17.6118141984629</v>
      </c>
      <c r="T22" s="5" t="s">
        <v>105</v>
      </c>
      <c r="U22" s="7" t="n">
        <f aca="false">INDEX(LINEST(B7:B51,C7:C51,TRUE(),TRUE()),1,2)</f>
        <v>1.00503638079497</v>
      </c>
      <c r="V22" s="16" t="n">
        <v>1.00503638079498</v>
      </c>
      <c r="Y22" s="19" t="s">
        <v>68</v>
      </c>
      <c r="Z22" s="19" t="s">
        <v>69</v>
      </c>
      <c r="AA22" s="19" t="s">
        <v>70</v>
      </c>
      <c r="AB22" s="19" t="s">
        <v>71</v>
      </c>
      <c r="AC22" s="19" t="s">
        <v>72</v>
      </c>
      <c r="AD22" s="19" t="s">
        <v>73</v>
      </c>
      <c r="AE22" s="19" t="s">
        <v>74</v>
      </c>
      <c r="AF22" s="19" t="s">
        <v>75</v>
      </c>
      <c r="AG22" s="19" t="s">
        <v>76</v>
      </c>
      <c r="AH22" s="19" t="s">
        <v>77</v>
      </c>
      <c r="AI22" s="19" t="s">
        <v>78</v>
      </c>
      <c r="AJ22" s="19" t="s">
        <v>79</v>
      </c>
    </row>
    <row r="23" customFormat="false" ht="15" hidden="false" customHeight="false" outlineLevel="0" collapsed="false">
      <c r="A23" s="11" t="n">
        <f aca="false">Data_Monthly!A21</f>
        <v>44799</v>
      </c>
      <c r="B23" s="12" t="n">
        <f aca="false">Data_Monthly!L21</f>
        <v>-0.574402285811537</v>
      </c>
      <c r="C23" s="13" t="n">
        <f aca="false">IF($A23&gt;=$U$5,1,0)</f>
        <v>0</v>
      </c>
      <c r="D23" s="13" t="n">
        <f aca="false">IF(MONTH($A23)=2,1,0)</f>
        <v>0</v>
      </c>
      <c r="E23" s="13" t="n">
        <f aca="false">IF(MONTH($A23)=3,1,0)</f>
        <v>0</v>
      </c>
      <c r="F23" s="13" t="n">
        <f aca="false">IF(MONTH($A23)=4,1,0)</f>
        <v>0</v>
      </c>
      <c r="G23" s="13" t="n">
        <f aca="false">IF(MONTH($A23)=5,1,0)</f>
        <v>0</v>
      </c>
      <c r="H23" s="13" t="n">
        <f aca="false">IF(MONTH($A23)=6,1,0)</f>
        <v>0</v>
      </c>
      <c r="I23" s="13" t="n">
        <f aca="false">IF(MONTH($A23)=7,1,0)</f>
        <v>0</v>
      </c>
      <c r="J23" s="13" t="n">
        <f aca="false">IF(MONTH($A23)=8,1,0)</f>
        <v>1</v>
      </c>
      <c r="K23" s="13" t="n">
        <f aca="false">IF(MONTH($A23)=9,1,0)</f>
        <v>0</v>
      </c>
      <c r="L23" s="13" t="n">
        <f aca="false">IF(MONTH($A23)=10,1,0)</f>
        <v>0</v>
      </c>
      <c r="M23" s="13" t="n">
        <f aca="false">IF(MONTH($A23)=11,1,0)</f>
        <v>0</v>
      </c>
      <c r="N23" s="13" t="n">
        <f aca="false">IF(MONTH($A23)=12,1,0)</f>
        <v>0</v>
      </c>
      <c r="O23" s="7" t="n">
        <f aca="false">$B$5+SUMPRODUCT(C23:N23,$C$5:$N$5)</f>
        <v>-0.795395239108467</v>
      </c>
      <c r="P23" s="7" t="n">
        <f aca="false">B23-O23</f>
        <v>0.22099295329693</v>
      </c>
      <c r="Q23" s="7" t="n">
        <f aca="false">P23^2</f>
        <v>0.0488378854068991</v>
      </c>
      <c r="T23" s="5" t="s">
        <v>109</v>
      </c>
      <c r="U23" s="7" t="n">
        <f aca="false">INDEX(LINEST(B7:B51,C7:C51,TRUE(),TRUE()),1,1)</f>
        <v>-1.22775256882815</v>
      </c>
      <c r="V23" s="16" t="n">
        <v>-1.22775256882815</v>
      </c>
      <c r="X23" s="6" t="s">
        <v>68</v>
      </c>
      <c r="Y23" s="20" t="n">
        <f aca="false">CORREL($C$7:$C$51,$C$7:$C$51)</f>
        <v>1</v>
      </c>
      <c r="Z23" s="20" t="n">
        <f aca="false">CORREL($D$7:$D$51,$C$7:$C$51)</f>
        <v>0.0128289501447696</v>
      </c>
      <c r="AA23" s="20" t="n">
        <f aca="false">CORREL($E$7:$E$51,$C$7:$C$51)</f>
        <v>0.0128289501447696</v>
      </c>
      <c r="AB23" s="20" t="n">
        <f aca="false">CORREL($F$7:$F$51,$C$7:$C$51)</f>
        <v>-0.0412311925578649</v>
      </c>
      <c r="AC23" s="20" t="n">
        <f aca="false">CORREL($G$7:$G$51,$C$7:$C$51)</f>
        <v>-0.0412311925578649</v>
      </c>
      <c r="AD23" s="20" t="n">
        <f aca="false">CORREL($H$7:$H$51,$C$7:$C$51)</f>
        <v>-0.0412311925578649</v>
      </c>
      <c r="AE23" s="20" t="n">
        <f aca="false">CORREL($I$7:$I$51,$C$7:$C$51)</f>
        <v>0.0128289501447696</v>
      </c>
      <c r="AF23" s="20" t="n">
        <f aca="false">CORREL($J$7:$J$51,$C$7:$C$51)</f>
        <v>-0.0412311925578649</v>
      </c>
      <c r="AG23" s="20" t="n">
        <f aca="false">CORREL($K$7:$K$51,$C$7:$C$51)</f>
        <v>-0.0412311925578649</v>
      </c>
      <c r="AH23" s="20" t="n">
        <f aca="false">CORREL($L$7:$L$51,$C$7:$C$51)</f>
        <v>-0.0412311925578649</v>
      </c>
      <c r="AI23" s="20" t="n">
        <f aca="false">CORREL($M$7:$M$51,$C$7:$C$51)</f>
        <v>-0.0412311925578649</v>
      </c>
      <c r="AJ23" s="20" t="n">
        <f aca="false">CORREL($N$7:$N$51,$C$7:$C$51)</f>
        <v>0.127441867906128</v>
      </c>
    </row>
    <row r="24" customFormat="false" ht="15" hidden="false" customHeight="false" outlineLevel="0" collapsed="false">
      <c r="A24" s="11" t="n">
        <f aca="false">Data_Monthly!A22</f>
        <v>44827</v>
      </c>
      <c r="B24" s="12" t="n">
        <f aca="false">Data_Monthly!L22</f>
        <v>0.811224853537062</v>
      </c>
      <c r="C24" s="13" t="n">
        <f aca="false">IF($A24&gt;=$U$5,1,0)</f>
        <v>0</v>
      </c>
      <c r="D24" s="13" t="n">
        <f aca="false">IF(MONTH($A24)=2,1,0)</f>
        <v>0</v>
      </c>
      <c r="E24" s="13" t="n">
        <f aca="false">IF(MONTH($A24)=3,1,0)</f>
        <v>0</v>
      </c>
      <c r="F24" s="13" t="n">
        <f aca="false">IF(MONTH($A24)=4,1,0)</f>
        <v>0</v>
      </c>
      <c r="G24" s="13" t="n">
        <f aca="false">IF(MONTH($A24)=5,1,0)</f>
        <v>0</v>
      </c>
      <c r="H24" s="13" t="n">
        <f aca="false">IF(MONTH($A24)=6,1,0)</f>
        <v>0</v>
      </c>
      <c r="I24" s="13" t="n">
        <f aca="false">IF(MONTH($A24)=7,1,0)</f>
        <v>0</v>
      </c>
      <c r="J24" s="13" t="n">
        <f aca="false">IF(MONTH($A24)=8,1,0)</f>
        <v>0</v>
      </c>
      <c r="K24" s="13" t="n">
        <f aca="false">IF(MONTH($A24)=9,1,0)</f>
        <v>1</v>
      </c>
      <c r="L24" s="13" t="n">
        <f aca="false">IF(MONTH($A24)=10,1,0)</f>
        <v>0</v>
      </c>
      <c r="M24" s="13" t="n">
        <f aca="false">IF(MONTH($A24)=11,1,0)</f>
        <v>0</v>
      </c>
      <c r="N24" s="13" t="n">
        <f aca="false">IF(MONTH($A24)=12,1,0)</f>
        <v>0</v>
      </c>
      <c r="O24" s="7" t="n">
        <f aca="false">$B$5+SUMPRODUCT(C24:N24,$C$5:$N$5)</f>
        <v>0.838062453802299</v>
      </c>
      <c r="P24" s="7" t="n">
        <f aca="false">B24-O24</f>
        <v>-0.0268376002652373</v>
      </c>
      <c r="Q24" s="7" t="n">
        <f aca="false">P24^2</f>
        <v>0.000720256787996665</v>
      </c>
      <c r="T24" s="5" t="s">
        <v>110</v>
      </c>
      <c r="U24" s="7" t="n">
        <f aca="false">INDEX(LINEST(B7:B51,C7:C51,TRUE(),TRUE()),2,1)</f>
        <v>0.802442943809595</v>
      </c>
      <c r="V24" s="16" t="n">
        <v>0.802442943809595</v>
      </c>
      <c r="X24" s="6" t="s">
        <v>69</v>
      </c>
      <c r="Y24" s="20" t="n">
        <f aca="false">CORREL($C$7:$C$51,$D$7:$D$51)</f>
        <v>0.0128289501447696</v>
      </c>
      <c r="Z24" s="20" t="n">
        <f aca="false">CORREL($D$7:$D$51,$D$7:$D$51)</f>
        <v>1</v>
      </c>
      <c r="AA24" s="20" t="n">
        <f aca="false">CORREL($E$7:$E$51,$D$7:$D$51)</f>
        <v>-0.0714285714285714</v>
      </c>
      <c r="AB24" s="20" t="n">
        <f aca="false">CORREL($F$7:$F$51,$D$7:$D$51)</f>
        <v>-0.0834783871129682</v>
      </c>
      <c r="AC24" s="20" t="n">
        <f aca="false">CORREL($G$7:$G$51,$D$7:$D$51)</f>
        <v>-0.0834783871129682</v>
      </c>
      <c r="AD24" s="20" t="n">
        <f aca="false">CORREL($H$7:$H$51,$D$7:$D$51)</f>
        <v>-0.0834783871129682</v>
      </c>
      <c r="AE24" s="20" t="n">
        <f aca="false">CORREL($I$7:$I$51,$D$7:$D$51)</f>
        <v>-0.0714285714285714</v>
      </c>
      <c r="AF24" s="20" t="n">
        <f aca="false">CORREL($J$7:$J$51,$D$7:$D$51)</f>
        <v>-0.0834783871129682</v>
      </c>
      <c r="AG24" s="20" t="n">
        <f aca="false">CORREL($K$7:$K$51,$D$7:$D$51)</f>
        <v>-0.0834783871129682</v>
      </c>
      <c r="AH24" s="20" t="n">
        <f aca="false">CORREL($L$7:$L$51,$D$7:$D$51)</f>
        <v>-0.0834783871129682</v>
      </c>
      <c r="AI24" s="20" t="n">
        <f aca="false">CORREL($M$7:$M$51,$D$7:$D$51)</f>
        <v>-0.0834783871129682</v>
      </c>
      <c r="AJ24" s="20" t="n">
        <f aca="false">CORREL($N$7:$N$51,$D$7:$D$51)</f>
        <v>-0.0834783871129682</v>
      </c>
    </row>
    <row r="25" customFormat="false" ht="15" hidden="false" customHeight="false" outlineLevel="0" collapsed="false">
      <c r="A25" s="11" t="n">
        <f aca="false">Data_Monthly!A23</f>
        <v>44855</v>
      </c>
      <c r="B25" s="12" t="n">
        <f aca="false">Data_Monthly!L23</f>
        <v>6.79999345677977</v>
      </c>
      <c r="C25" s="13" t="n">
        <f aca="false">IF($A25&gt;=$U$5,1,0)</f>
        <v>0</v>
      </c>
      <c r="D25" s="13" t="n">
        <f aca="false">IF(MONTH($A25)=2,1,0)</f>
        <v>0</v>
      </c>
      <c r="E25" s="13" t="n">
        <f aca="false">IF(MONTH($A25)=3,1,0)</f>
        <v>0</v>
      </c>
      <c r="F25" s="13" t="n">
        <f aca="false">IF(MONTH($A25)=4,1,0)</f>
        <v>0</v>
      </c>
      <c r="G25" s="13" t="n">
        <f aca="false">IF(MONTH($A25)=5,1,0)</f>
        <v>0</v>
      </c>
      <c r="H25" s="13" t="n">
        <f aca="false">IF(MONTH($A25)=6,1,0)</f>
        <v>0</v>
      </c>
      <c r="I25" s="13" t="n">
        <f aca="false">IF(MONTH($A25)=7,1,0)</f>
        <v>0</v>
      </c>
      <c r="J25" s="13" t="n">
        <f aca="false">IF(MONTH($A25)=8,1,0)</f>
        <v>0</v>
      </c>
      <c r="K25" s="13" t="n">
        <f aca="false">IF(MONTH($A25)=9,1,0)</f>
        <v>0</v>
      </c>
      <c r="L25" s="13" t="n">
        <f aca="false">IF(MONTH($A25)=10,1,0)</f>
        <v>1</v>
      </c>
      <c r="M25" s="13" t="n">
        <f aca="false">IF(MONTH($A25)=11,1,0)</f>
        <v>0</v>
      </c>
      <c r="N25" s="13" t="n">
        <f aca="false">IF(MONTH($A25)=12,1,0)</f>
        <v>0</v>
      </c>
      <c r="O25" s="7" t="n">
        <f aca="false">$B$5+SUMPRODUCT(C25:N25,$C$5:$N$5)</f>
        <v>2.59161712626247</v>
      </c>
      <c r="P25" s="7" t="n">
        <f aca="false">B25-O25</f>
        <v>4.20837633051731</v>
      </c>
      <c r="Q25" s="7" t="n">
        <f aca="false">P25^2</f>
        <v>17.7104313392583</v>
      </c>
      <c r="T25" s="5" t="s">
        <v>102</v>
      </c>
      <c r="U25" s="7" t="n">
        <f aca="false">$U$23/$U$24</f>
        <v>-1.53001852443166</v>
      </c>
      <c r="V25" s="16" t="n">
        <v>-1.53001852443166</v>
      </c>
      <c r="X25" s="6" t="s">
        <v>70</v>
      </c>
      <c r="Y25" s="20" t="n">
        <f aca="false">CORREL($C$7:$C$51,$E$7:$E$51)</f>
        <v>0.0128289501447696</v>
      </c>
      <c r="Z25" s="20" t="n">
        <f aca="false">CORREL($D$7:$D$51,$E$7:$E$51)</f>
        <v>-0.0714285714285714</v>
      </c>
      <c r="AA25" s="20" t="n">
        <f aca="false">CORREL($E$7:$E$51,$E$7:$E$51)</f>
        <v>1</v>
      </c>
      <c r="AB25" s="20" t="n">
        <f aca="false">CORREL($F$7:$F$51,$E$7:$E$51)</f>
        <v>-0.0834783871129682</v>
      </c>
      <c r="AC25" s="20" t="n">
        <f aca="false">CORREL($G$7:$G$51,$E$7:$E$51)</f>
        <v>-0.0834783871129682</v>
      </c>
      <c r="AD25" s="20" t="n">
        <f aca="false">CORREL($H$7:$H$51,$E$7:$E$51)</f>
        <v>-0.0834783871129682</v>
      </c>
      <c r="AE25" s="20" t="n">
        <f aca="false">CORREL($I$7:$I$51,$E$7:$E$51)</f>
        <v>-0.0714285714285714</v>
      </c>
      <c r="AF25" s="20" t="n">
        <f aca="false">CORREL($J$7:$J$51,$E$7:$E$51)</f>
        <v>-0.0834783871129682</v>
      </c>
      <c r="AG25" s="20" t="n">
        <f aca="false">CORREL($K$7:$K$51,$E$7:$E$51)</f>
        <v>-0.0834783871129682</v>
      </c>
      <c r="AH25" s="20" t="n">
        <f aca="false">CORREL($L$7:$L$51,$E$7:$E$51)</f>
        <v>-0.0834783871129682</v>
      </c>
      <c r="AI25" s="20" t="n">
        <f aca="false">CORREL($M$7:$M$51,$E$7:$E$51)</f>
        <v>-0.0834783871129682</v>
      </c>
      <c r="AJ25" s="20" t="n">
        <f aca="false">CORREL($N$7:$N$51,$E$7:$E$51)</f>
        <v>-0.0834783871129682</v>
      </c>
    </row>
    <row r="26" customFormat="false" ht="15" hidden="false" customHeight="false" outlineLevel="0" collapsed="false">
      <c r="A26" s="11" t="n">
        <f aca="false">Data_Monthly!A24</f>
        <v>44883</v>
      </c>
      <c r="B26" s="12" t="n">
        <f aca="false">Data_Monthly!L24</f>
        <v>1.1710702276023</v>
      </c>
      <c r="C26" s="13" t="n">
        <f aca="false">IF($A26&gt;=$U$5,1,0)</f>
        <v>0</v>
      </c>
      <c r="D26" s="13" t="n">
        <f aca="false">IF(MONTH($A26)=2,1,0)</f>
        <v>0</v>
      </c>
      <c r="E26" s="13" t="n">
        <f aca="false">IF(MONTH($A26)=3,1,0)</f>
        <v>0</v>
      </c>
      <c r="F26" s="13" t="n">
        <f aca="false">IF(MONTH($A26)=4,1,0)</f>
        <v>0</v>
      </c>
      <c r="G26" s="13" t="n">
        <f aca="false">IF(MONTH($A26)=5,1,0)</f>
        <v>0</v>
      </c>
      <c r="H26" s="13" t="n">
        <f aca="false">IF(MONTH($A26)=6,1,0)</f>
        <v>0</v>
      </c>
      <c r="I26" s="13" t="n">
        <f aca="false">IF(MONTH($A26)=7,1,0)</f>
        <v>0</v>
      </c>
      <c r="J26" s="13" t="n">
        <f aca="false">IF(MONTH($A26)=8,1,0)</f>
        <v>0</v>
      </c>
      <c r="K26" s="13" t="n">
        <f aca="false">IF(MONTH($A26)=9,1,0)</f>
        <v>0</v>
      </c>
      <c r="L26" s="13" t="n">
        <f aca="false">IF(MONTH($A26)=10,1,0)</f>
        <v>0</v>
      </c>
      <c r="M26" s="13" t="n">
        <f aca="false">IF(MONTH($A26)=11,1,0)</f>
        <v>1</v>
      </c>
      <c r="N26" s="13" t="n">
        <f aca="false">IF(MONTH($A26)=12,1,0)</f>
        <v>0</v>
      </c>
      <c r="O26" s="7" t="n">
        <f aca="false">$B$5+SUMPRODUCT(C26:N26,$C$5:$N$5)</f>
        <v>2.58210469843921</v>
      </c>
      <c r="P26" s="7" t="n">
        <f aca="false">B26-O26</f>
        <v>-1.41103447083691</v>
      </c>
      <c r="Q26" s="7" t="n">
        <f aca="false">P26^2</f>
        <v>1.99101827789001</v>
      </c>
      <c r="T26" s="5" t="s">
        <v>111</v>
      </c>
      <c r="U26" s="13" t="n">
        <f aca="false">INDEX(LINEST(B7:B51,C7:C51,TRUE(),TRUE()),4,2)</f>
        <v>43</v>
      </c>
      <c r="X26" s="6" t="s">
        <v>71</v>
      </c>
      <c r="Y26" s="20" t="n">
        <f aca="false">CORREL($C$7:$C$51,$F$7:$F$51)</f>
        <v>-0.0412311925578649</v>
      </c>
      <c r="Z26" s="20" t="n">
        <f aca="false">CORREL($D$7:$D$51,$F$7:$F$51)</f>
        <v>-0.0834783871129682</v>
      </c>
      <c r="AA26" s="20" t="n">
        <f aca="false">CORREL($E$7:$E$51,$F$7:$F$51)</f>
        <v>-0.0834783871129682</v>
      </c>
      <c r="AB26" s="20" t="n">
        <f aca="false">CORREL($F$7:$F$51,$F$7:$F$51)</f>
        <v>1</v>
      </c>
      <c r="AC26" s="20" t="n">
        <f aca="false">CORREL($G$7:$G$51,$F$7:$F$51)</f>
        <v>-0.0975609756097561</v>
      </c>
      <c r="AD26" s="20" t="n">
        <f aca="false">CORREL($H$7:$H$51,$F$7:$F$51)</f>
        <v>-0.0975609756097561</v>
      </c>
      <c r="AE26" s="20" t="n">
        <f aca="false">CORREL($I$7:$I$51,$F$7:$F$51)</f>
        <v>-0.0834783871129682</v>
      </c>
      <c r="AF26" s="20" t="n">
        <f aca="false">CORREL($J$7:$J$51,$F$7:$F$51)</f>
        <v>-0.0975609756097561</v>
      </c>
      <c r="AG26" s="20" t="n">
        <f aca="false">CORREL($K$7:$K$51,$F$7:$F$51)</f>
        <v>-0.0975609756097561</v>
      </c>
      <c r="AH26" s="20" t="n">
        <f aca="false">CORREL($L$7:$L$51,$F$7:$F$51)</f>
        <v>-0.0975609756097561</v>
      </c>
      <c r="AI26" s="20" t="n">
        <f aca="false">CORREL($M$7:$M$51,$F$7:$F$51)</f>
        <v>-0.0975609756097561</v>
      </c>
      <c r="AJ26" s="20" t="n">
        <f aca="false">CORREL($N$7:$N$51,$F$7:$F$51)</f>
        <v>-0.0975609756097561</v>
      </c>
    </row>
    <row r="27" customFormat="false" ht="15" hidden="false" customHeight="false" outlineLevel="0" collapsed="false">
      <c r="A27" s="11" t="n">
        <f aca="false">Data_Monthly!A25</f>
        <v>44925</v>
      </c>
      <c r="B27" s="12" t="n">
        <f aca="false">Data_Monthly!L25</f>
        <v>7.24883064478181</v>
      </c>
      <c r="C27" s="13" t="n">
        <f aca="false">IF($A27&gt;=$U$5,1,0)</f>
        <v>0</v>
      </c>
      <c r="D27" s="13" t="n">
        <f aca="false">IF(MONTH($A27)=2,1,0)</f>
        <v>0</v>
      </c>
      <c r="E27" s="13" t="n">
        <f aca="false">IF(MONTH($A27)=3,1,0)</f>
        <v>0</v>
      </c>
      <c r="F27" s="13" t="n">
        <f aca="false">IF(MONTH($A27)=4,1,0)</f>
        <v>0</v>
      </c>
      <c r="G27" s="13" t="n">
        <f aca="false">IF(MONTH($A27)=5,1,0)</f>
        <v>0</v>
      </c>
      <c r="H27" s="13" t="n">
        <f aca="false">IF(MONTH($A27)=6,1,0)</f>
        <v>0</v>
      </c>
      <c r="I27" s="13" t="n">
        <f aca="false">IF(MONTH($A27)=7,1,0)</f>
        <v>0</v>
      </c>
      <c r="J27" s="13" t="n">
        <f aca="false">IF(MONTH($A27)=8,1,0)</f>
        <v>0</v>
      </c>
      <c r="K27" s="13" t="n">
        <f aca="false">IF(MONTH($A27)=9,1,0)</f>
        <v>0</v>
      </c>
      <c r="L27" s="13" t="n">
        <f aca="false">IF(MONTH($A27)=10,1,0)</f>
        <v>0</v>
      </c>
      <c r="M27" s="13" t="n">
        <f aca="false">IF(MONTH($A27)=11,1,0)</f>
        <v>0</v>
      </c>
      <c r="N27" s="13" t="n">
        <f aca="false">IF(MONTH($A27)=12,1,0)</f>
        <v>1</v>
      </c>
      <c r="O27" s="7" t="n">
        <f aca="false">$B$5+SUMPRODUCT(C27:N27,$C$5:$N$5)</f>
        <v>4.88402855469434</v>
      </c>
      <c r="P27" s="7" t="n">
        <f aca="false">B27-O27</f>
        <v>2.36480209008747</v>
      </c>
      <c r="Q27" s="7" t="n">
        <f aca="false">P27^2</f>
        <v>5.59228892528208</v>
      </c>
      <c r="T27" s="5" t="s">
        <v>88</v>
      </c>
      <c r="U27" s="7" t="n">
        <f aca="false">_xlfn.T.DIST.2T(ABS($U$25),$U$26)</f>
        <v>0.133336292644174</v>
      </c>
      <c r="V27" s="16" t="n">
        <v>0.133336292644174</v>
      </c>
      <c r="X27" s="6" t="s">
        <v>72</v>
      </c>
      <c r="Y27" s="20" t="n">
        <f aca="false">CORREL($C$7:$C$51,$G$7:$G$51)</f>
        <v>-0.0412311925578649</v>
      </c>
      <c r="Z27" s="20" t="n">
        <f aca="false">CORREL($D$7:$D$51,$G$7:$G$51)</f>
        <v>-0.0834783871129682</v>
      </c>
      <c r="AA27" s="20" t="n">
        <f aca="false">CORREL($E$7:$E$51,$G$7:$G$51)</f>
        <v>-0.0834783871129682</v>
      </c>
      <c r="AB27" s="20" t="n">
        <f aca="false">CORREL($F$7:$F$51,$G$7:$G$51)</f>
        <v>-0.0975609756097561</v>
      </c>
      <c r="AC27" s="20" t="n">
        <f aca="false">CORREL($G$7:$G$51,$G$7:$G$51)</f>
        <v>1</v>
      </c>
      <c r="AD27" s="20" t="n">
        <f aca="false">CORREL($H$7:$H$51,$G$7:$G$51)</f>
        <v>-0.0975609756097561</v>
      </c>
      <c r="AE27" s="20" t="n">
        <f aca="false">CORREL($I$7:$I$51,$G$7:$G$51)</f>
        <v>-0.0834783871129682</v>
      </c>
      <c r="AF27" s="20" t="n">
        <f aca="false">CORREL($J$7:$J$51,$G$7:$G$51)</f>
        <v>-0.0975609756097561</v>
      </c>
      <c r="AG27" s="20" t="n">
        <f aca="false">CORREL($K$7:$K$51,$G$7:$G$51)</f>
        <v>-0.0975609756097561</v>
      </c>
      <c r="AH27" s="20" t="n">
        <f aca="false">CORREL($L$7:$L$51,$G$7:$G$51)</f>
        <v>-0.0975609756097561</v>
      </c>
      <c r="AI27" s="20" t="n">
        <f aca="false">CORREL($M$7:$M$51,$G$7:$G$51)</f>
        <v>-0.0975609756097561</v>
      </c>
      <c r="AJ27" s="20" t="n">
        <f aca="false">CORREL($N$7:$N$51,$G$7:$G$51)</f>
        <v>-0.0975609756097561</v>
      </c>
    </row>
    <row r="28" customFormat="false" ht="15" hidden="false" customHeight="false" outlineLevel="0" collapsed="false">
      <c r="A28" s="11" t="n">
        <f aca="false">Data_Monthly!A26</f>
        <v>44953</v>
      </c>
      <c r="B28" s="12" t="n">
        <f aca="false">Data_Monthly!L26</f>
        <v>-2.36434046360596</v>
      </c>
      <c r="C28" s="13" t="n">
        <f aca="false">IF($A28&gt;=$U$5,1,0)</f>
        <v>0</v>
      </c>
      <c r="D28" s="13" t="n">
        <f aca="false">IF(MONTH($A28)=2,1,0)</f>
        <v>0</v>
      </c>
      <c r="E28" s="13" t="n">
        <f aca="false">IF(MONTH($A28)=3,1,0)</f>
        <v>0</v>
      </c>
      <c r="F28" s="13" t="n">
        <f aca="false">IF(MONTH($A28)=4,1,0)</f>
        <v>0</v>
      </c>
      <c r="G28" s="13" t="n">
        <f aca="false">IF(MONTH($A28)=5,1,0)</f>
        <v>0</v>
      </c>
      <c r="H28" s="13" t="n">
        <f aca="false">IF(MONTH($A28)=6,1,0)</f>
        <v>0</v>
      </c>
      <c r="I28" s="13" t="n">
        <f aca="false">IF(MONTH($A28)=7,1,0)</f>
        <v>0</v>
      </c>
      <c r="J28" s="13" t="n">
        <f aca="false">IF(MONTH($A28)=8,1,0)</f>
        <v>0</v>
      </c>
      <c r="K28" s="13" t="n">
        <f aca="false">IF(MONTH($A28)=9,1,0)</f>
        <v>0</v>
      </c>
      <c r="L28" s="13" t="n">
        <f aca="false">IF(MONTH($A28)=10,1,0)</f>
        <v>0</v>
      </c>
      <c r="M28" s="13" t="n">
        <f aca="false">IF(MONTH($A28)=11,1,0)</f>
        <v>0</v>
      </c>
      <c r="N28" s="13" t="n">
        <f aca="false">IF(MONTH($A28)=12,1,0)</f>
        <v>0</v>
      </c>
      <c r="O28" s="7" t="n">
        <f aca="false">$B$5+SUMPRODUCT(C28:N28,$C$5:$N$5)</f>
        <v>-0.716421361799105</v>
      </c>
      <c r="P28" s="7" t="n">
        <f aca="false">B28-O28</f>
        <v>-1.64791910180686</v>
      </c>
      <c r="Q28" s="7" t="n">
        <f aca="false">P28^2</f>
        <v>2.71563736609992</v>
      </c>
      <c r="T28" s="5" t="s">
        <v>112</v>
      </c>
      <c r="U28" s="7" t="n">
        <f aca="false">INDEX(LINEST(B7:B51,C7:C51,TRUE(),TRUE()),3,1)</f>
        <v>0.0516300681823308</v>
      </c>
      <c r="V28" s="16" t="n">
        <v>0.0516300681823307</v>
      </c>
      <c r="X28" s="6" t="s">
        <v>73</v>
      </c>
      <c r="Y28" s="20" t="n">
        <f aca="false">CORREL($C$7:$C$51,$H$7:$H$51)</f>
        <v>-0.0412311925578649</v>
      </c>
      <c r="Z28" s="20" t="n">
        <f aca="false">CORREL($D$7:$D$51,$H$7:$H$51)</f>
        <v>-0.0834783871129682</v>
      </c>
      <c r="AA28" s="20" t="n">
        <f aca="false">CORREL($E$7:$E$51,$H$7:$H$51)</f>
        <v>-0.0834783871129682</v>
      </c>
      <c r="AB28" s="20" t="n">
        <f aca="false">CORREL($F$7:$F$51,$H$7:$H$51)</f>
        <v>-0.0975609756097561</v>
      </c>
      <c r="AC28" s="20" t="n">
        <f aca="false">CORREL($G$7:$G$51,$H$7:$H$51)</f>
        <v>-0.0975609756097561</v>
      </c>
      <c r="AD28" s="20" t="n">
        <f aca="false">CORREL($H$7:$H$51,$H$7:$H$51)</f>
        <v>1</v>
      </c>
      <c r="AE28" s="20" t="n">
        <f aca="false">CORREL($I$7:$I$51,$H$7:$H$51)</f>
        <v>-0.0834783871129682</v>
      </c>
      <c r="AF28" s="20" t="n">
        <f aca="false">CORREL($J$7:$J$51,$H$7:$H$51)</f>
        <v>-0.0975609756097561</v>
      </c>
      <c r="AG28" s="20" t="n">
        <f aca="false">CORREL($K$7:$K$51,$H$7:$H$51)</f>
        <v>-0.0975609756097561</v>
      </c>
      <c r="AH28" s="20" t="n">
        <f aca="false">CORREL($L$7:$L$51,$H$7:$H$51)</f>
        <v>-0.0975609756097561</v>
      </c>
      <c r="AI28" s="20" t="n">
        <f aca="false">CORREL($M$7:$M$51,$H$7:$H$51)</f>
        <v>-0.0975609756097561</v>
      </c>
      <c r="AJ28" s="20" t="n">
        <f aca="false">CORREL($N$7:$N$51,$H$7:$H$51)</f>
        <v>-0.0975609756097561</v>
      </c>
    </row>
    <row r="29" customFormat="false" ht="15" hidden="false" customHeight="false" outlineLevel="0" collapsed="false">
      <c r="A29" s="11" t="n">
        <f aca="false">Data_Monthly!A27</f>
        <v>44981</v>
      </c>
      <c r="B29" s="12" t="n">
        <f aca="false">Data_Monthly!L27</f>
        <v>1.4743867304654</v>
      </c>
      <c r="C29" s="13" t="n">
        <f aca="false">IF($A29&gt;=$U$5,1,0)</f>
        <v>0</v>
      </c>
      <c r="D29" s="13" t="n">
        <f aca="false">IF(MONTH($A29)=2,1,0)</f>
        <v>1</v>
      </c>
      <c r="E29" s="13" t="n">
        <f aca="false">IF(MONTH($A29)=3,1,0)</f>
        <v>0</v>
      </c>
      <c r="F29" s="13" t="n">
        <f aca="false">IF(MONTH($A29)=4,1,0)</f>
        <v>0</v>
      </c>
      <c r="G29" s="13" t="n">
        <f aca="false">IF(MONTH($A29)=5,1,0)</f>
        <v>0</v>
      </c>
      <c r="H29" s="13" t="n">
        <f aca="false">IF(MONTH($A29)=6,1,0)</f>
        <v>0</v>
      </c>
      <c r="I29" s="13" t="n">
        <f aca="false">IF(MONTH($A29)=7,1,0)</f>
        <v>0</v>
      </c>
      <c r="J29" s="13" t="n">
        <f aca="false">IF(MONTH($A29)=8,1,0)</f>
        <v>0</v>
      </c>
      <c r="K29" s="13" t="n">
        <f aca="false">IF(MONTH($A29)=9,1,0)</f>
        <v>0</v>
      </c>
      <c r="L29" s="13" t="n">
        <f aca="false">IF(MONTH($A29)=10,1,0)</f>
        <v>0</v>
      </c>
      <c r="M29" s="13" t="n">
        <f aca="false">IF(MONTH($A29)=11,1,0)</f>
        <v>0</v>
      </c>
      <c r="N29" s="13" t="n">
        <f aca="false">IF(MONTH($A29)=12,1,0)</f>
        <v>0</v>
      </c>
      <c r="O29" s="7" t="n">
        <f aca="false">$B$5+SUMPRODUCT(C29:N29,$C$5:$N$5)</f>
        <v>0.269220067186058</v>
      </c>
      <c r="P29" s="7" t="n">
        <f aca="false">B29-O29</f>
        <v>1.20516666327935</v>
      </c>
      <c r="Q29" s="7" t="n">
        <f aca="false">P29^2</f>
        <v>1.45242668627987</v>
      </c>
      <c r="T29" s="5" t="s">
        <v>113</v>
      </c>
      <c r="U29" s="7" t="n">
        <f aca="false">INDEX(LINEST(B7:B51,C7:C51,TRUE(),TRUE()),5,2)</f>
        <v>267.038571603084</v>
      </c>
      <c r="X29" s="6" t="s">
        <v>74</v>
      </c>
      <c r="Y29" s="20" t="n">
        <f aca="false">CORREL($C$7:$C$51,$I$7:$I$51)</f>
        <v>0.0128289501447696</v>
      </c>
      <c r="Z29" s="20" t="n">
        <f aca="false">CORREL($D$7:$D$51,$I$7:$I$51)</f>
        <v>-0.0714285714285714</v>
      </c>
      <c r="AA29" s="20" t="n">
        <f aca="false">CORREL($E$7:$E$51,$I$7:$I$51)</f>
        <v>-0.0714285714285714</v>
      </c>
      <c r="AB29" s="20" t="n">
        <f aca="false">CORREL($F$7:$F$51,$I$7:$I$51)</f>
        <v>-0.0834783871129682</v>
      </c>
      <c r="AC29" s="20" t="n">
        <f aca="false">CORREL($G$7:$G$51,$I$7:$I$51)</f>
        <v>-0.0834783871129682</v>
      </c>
      <c r="AD29" s="20" t="n">
        <f aca="false">CORREL($H$7:$H$51,$I$7:$I$51)</f>
        <v>-0.0834783871129682</v>
      </c>
      <c r="AE29" s="20" t="n">
        <f aca="false">CORREL($I$7:$I$51,$I$7:$I$51)</f>
        <v>1</v>
      </c>
      <c r="AF29" s="20" t="n">
        <f aca="false">CORREL($J$7:$J$51,$I$7:$I$51)</f>
        <v>-0.0834783871129682</v>
      </c>
      <c r="AG29" s="20" t="n">
        <f aca="false">CORREL($K$7:$K$51,$I$7:$I$51)</f>
        <v>-0.0834783871129682</v>
      </c>
      <c r="AH29" s="20" t="n">
        <f aca="false">CORREL($L$7:$L$51,$I$7:$I$51)</f>
        <v>-0.0834783871129682</v>
      </c>
      <c r="AI29" s="20" t="n">
        <f aca="false">CORREL($M$7:$M$51,$I$7:$I$51)</f>
        <v>-0.0834783871129682</v>
      </c>
      <c r="AJ29" s="20" t="n">
        <f aca="false">CORREL($N$7:$N$51,$I$7:$I$51)</f>
        <v>-0.0834783871129682</v>
      </c>
    </row>
    <row r="30" customFormat="false" ht="15" hidden="false" customHeight="false" outlineLevel="0" collapsed="false">
      <c r="A30" s="11" t="n">
        <f aca="false">Data_Monthly!A28</f>
        <v>45009</v>
      </c>
      <c r="B30" s="12" t="n">
        <f aca="false">Data_Monthly!L28</f>
        <v>-0.082100919936323</v>
      </c>
      <c r="C30" s="13" t="n">
        <f aca="false">IF($A30&gt;=$U$5,1,0)</f>
        <v>0</v>
      </c>
      <c r="D30" s="13" t="n">
        <f aca="false">IF(MONTH($A30)=2,1,0)</f>
        <v>0</v>
      </c>
      <c r="E30" s="13" t="n">
        <f aca="false">IF(MONTH($A30)=3,1,0)</f>
        <v>1</v>
      </c>
      <c r="F30" s="13" t="n">
        <f aca="false">IF(MONTH($A30)=4,1,0)</f>
        <v>0</v>
      </c>
      <c r="G30" s="13" t="n">
        <f aca="false">IF(MONTH($A30)=5,1,0)</f>
        <v>0</v>
      </c>
      <c r="H30" s="13" t="n">
        <f aca="false">IF(MONTH($A30)=6,1,0)</f>
        <v>0</v>
      </c>
      <c r="I30" s="13" t="n">
        <f aca="false">IF(MONTH($A30)=7,1,0)</f>
        <v>0</v>
      </c>
      <c r="J30" s="13" t="n">
        <f aca="false">IF(MONTH($A30)=8,1,0)</f>
        <v>0</v>
      </c>
      <c r="K30" s="13" t="n">
        <f aca="false">IF(MONTH($A30)=9,1,0)</f>
        <v>0</v>
      </c>
      <c r="L30" s="13" t="n">
        <f aca="false">IF(MONTH($A30)=10,1,0)</f>
        <v>0</v>
      </c>
      <c r="M30" s="13" t="n">
        <f aca="false">IF(MONTH($A30)=11,1,0)</f>
        <v>0</v>
      </c>
      <c r="N30" s="13" t="n">
        <f aca="false">IF(MONTH($A30)=12,1,0)</f>
        <v>0</v>
      </c>
      <c r="O30" s="7" t="n">
        <f aca="false">$B$5+SUMPRODUCT(C30:N30,$C$5:$N$5)</f>
        <v>1.35941436263477</v>
      </c>
      <c r="P30" s="7" t="n">
        <f aca="false">B30-O30</f>
        <v>-1.44151528257109</v>
      </c>
      <c r="Q30" s="7" t="n">
        <f aca="false">P30^2</f>
        <v>2.07796630988602</v>
      </c>
      <c r="X30" s="6" t="s">
        <v>75</v>
      </c>
      <c r="Y30" s="20" t="n">
        <f aca="false">CORREL($C$7:$C$51,$J$7:$J$51)</f>
        <v>-0.0412311925578649</v>
      </c>
      <c r="Z30" s="20" t="n">
        <f aca="false">CORREL($D$7:$D$51,$J$7:$J$51)</f>
        <v>-0.0834783871129682</v>
      </c>
      <c r="AA30" s="20" t="n">
        <f aca="false">CORREL($E$7:$E$51,$J$7:$J$51)</f>
        <v>-0.0834783871129682</v>
      </c>
      <c r="AB30" s="20" t="n">
        <f aca="false">CORREL($F$7:$F$51,$J$7:$J$51)</f>
        <v>-0.0975609756097561</v>
      </c>
      <c r="AC30" s="20" t="n">
        <f aca="false">CORREL($G$7:$G$51,$J$7:$J$51)</f>
        <v>-0.0975609756097561</v>
      </c>
      <c r="AD30" s="20" t="n">
        <f aca="false">CORREL($H$7:$H$51,$J$7:$J$51)</f>
        <v>-0.0975609756097561</v>
      </c>
      <c r="AE30" s="20" t="n">
        <f aca="false">CORREL($I$7:$I$51,$J$7:$J$51)</f>
        <v>-0.0834783871129682</v>
      </c>
      <c r="AF30" s="20" t="n">
        <f aca="false">CORREL($J$7:$J$51,$J$7:$J$51)</f>
        <v>1</v>
      </c>
      <c r="AG30" s="20" t="n">
        <f aca="false">CORREL($K$7:$K$51,$J$7:$J$51)</f>
        <v>-0.0975609756097561</v>
      </c>
      <c r="AH30" s="20" t="n">
        <f aca="false">CORREL($L$7:$L$51,$J$7:$J$51)</f>
        <v>-0.0975609756097561</v>
      </c>
      <c r="AI30" s="20" t="n">
        <f aca="false">CORREL($M$7:$M$51,$J$7:$J$51)</f>
        <v>-0.0975609756097561</v>
      </c>
      <c r="AJ30" s="20" t="n">
        <f aca="false">CORREL($N$7:$N$51,$J$7:$J$51)</f>
        <v>-0.0975609756097561</v>
      </c>
    </row>
    <row r="31" customFormat="false" ht="15" hidden="false" customHeight="false" outlineLevel="0" collapsed="false">
      <c r="A31" s="11" t="n">
        <f aca="false">Data_Monthly!A29</f>
        <v>45037</v>
      </c>
      <c r="B31" s="12" t="n">
        <f aca="false">Data_Monthly!L29</f>
        <v>0.0357173281214429</v>
      </c>
      <c r="C31" s="13" t="n">
        <f aca="false">IF($A31&gt;=$U$5,1,0)</f>
        <v>0</v>
      </c>
      <c r="D31" s="13" t="n">
        <f aca="false">IF(MONTH($A31)=2,1,0)</f>
        <v>0</v>
      </c>
      <c r="E31" s="13" t="n">
        <f aca="false">IF(MONTH($A31)=3,1,0)</f>
        <v>0</v>
      </c>
      <c r="F31" s="13" t="n">
        <f aca="false">IF(MONTH($A31)=4,1,0)</f>
        <v>1</v>
      </c>
      <c r="G31" s="13" t="n">
        <f aca="false">IF(MONTH($A31)=5,1,0)</f>
        <v>0</v>
      </c>
      <c r="H31" s="13" t="n">
        <f aca="false">IF(MONTH($A31)=6,1,0)</f>
        <v>0</v>
      </c>
      <c r="I31" s="13" t="n">
        <f aca="false">IF(MONTH($A31)=7,1,0)</f>
        <v>0</v>
      </c>
      <c r="J31" s="13" t="n">
        <f aca="false">IF(MONTH($A31)=8,1,0)</f>
        <v>0</v>
      </c>
      <c r="K31" s="13" t="n">
        <f aca="false">IF(MONTH($A31)=9,1,0)</f>
        <v>0</v>
      </c>
      <c r="L31" s="13" t="n">
        <f aca="false">IF(MONTH($A31)=10,1,0)</f>
        <v>0</v>
      </c>
      <c r="M31" s="13" t="n">
        <f aca="false">IF(MONTH($A31)=11,1,0)</f>
        <v>0</v>
      </c>
      <c r="N31" s="13" t="n">
        <f aca="false">IF(MONTH($A31)=12,1,0)</f>
        <v>0</v>
      </c>
      <c r="O31" s="7" t="n">
        <f aca="false">$B$5+SUMPRODUCT(C31:N31,$C$5:$N$5)</f>
        <v>-0.197012441360957</v>
      </c>
      <c r="P31" s="7" t="n">
        <f aca="false">B31-O31</f>
        <v>0.2327297694824</v>
      </c>
      <c r="Q31" s="7" t="n">
        <f aca="false">P31^2</f>
        <v>0.0541631456033309</v>
      </c>
      <c r="T31" s="9" t="s">
        <v>114</v>
      </c>
      <c r="U31" s="14" t="s">
        <v>91</v>
      </c>
      <c r="V31" s="14" t="s">
        <v>92</v>
      </c>
      <c r="X31" s="6" t="s">
        <v>76</v>
      </c>
      <c r="Y31" s="20" t="n">
        <f aca="false">CORREL($C$7:$C$51,$K$7:$K$51)</f>
        <v>-0.0412311925578649</v>
      </c>
      <c r="Z31" s="20" t="n">
        <f aca="false">CORREL($D$7:$D$51,$K$7:$K$51)</f>
        <v>-0.0834783871129682</v>
      </c>
      <c r="AA31" s="20" t="n">
        <f aca="false">CORREL($E$7:$E$51,$K$7:$K$51)</f>
        <v>-0.0834783871129682</v>
      </c>
      <c r="AB31" s="20" t="n">
        <f aca="false">CORREL($F$7:$F$51,$K$7:$K$51)</f>
        <v>-0.0975609756097561</v>
      </c>
      <c r="AC31" s="20" t="n">
        <f aca="false">CORREL($G$7:$G$51,$K$7:$K$51)</f>
        <v>-0.0975609756097561</v>
      </c>
      <c r="AD31" s="20" t="n">
        <f aca="false">CORREL($H$7:$H$51,$K$7:$K$51)</f>
        <v>-0.0975609756097561</v>
      </c>
      <c r="AE31" s="20" t="n">
        <f aca="false">CORREL($I$7:$I$51,$K$7:$K$51)</f>
        <v>-0.0834783871129682</v>
      </c>
      <c r="AF31" s="20" t="n">
        <f aca="false">CORREL($J$7:$J$51,$K$7:$K$51)</f>
        <v>-0.0975609756097561</v>
      </c>
      <c r="AG31" s="20" t="n">
        <f aca="false">CORREL($K$7:$K$51,$K$7:$K$51)</f>
        <v>1</v>
      </c>
      <c r="AH31" s="20" t="n">
        <f aca="false">CORREL($L$7:$L$51,$K$7:$K$51)</f>
        <v>-0.0975609756097561</v>
      </c>
      <c r="AI31" s="20" t="n">
        <f aca="false">CORREL($M$7:$M$51,$K$7:$K$51)</f>
        <v>-0.0975609756097561</v>
      </c>
      <c r="AJ31" s="20" t="n">
        <f aca="false">CORREL($N$7:$N$51,$K$7:$K$51)</f>
        <v>-0.0975609756097561</v>
      </c>
    </row>
    <row r="32" customFormat="false" ht="15" hidden="false" customHeight="false" outlineLevel="0" collapsed="false">
      <c r="A32" s="11" t="n">
        <f aca="false">Data_Monthly!A30</f>
        <v>45065</v>
      </c>
      <c r="B32" s="12" t="n">
        <f aca="false">Data_Monthly!L30</f>
        <v>-1.82353694181536</v>
      </c>
      <c r="C32" s="13" t="n">
        <f aca="false">IF($A32&gt;=$U$5,1,0)</f>
        <v>0</v>
      </c>
      <c r="D32" s="13" t="n">
        <f aca="false">IF(MONTH($A32)=2,1,0)</f>
        <v>0</v>
      </c>
      <c r="E32" s="13" t="n">
        <f aca="false">IF(MONTH($A32)=3,1,0)</f>
        <v>0</v>
      </c>
      <c r="F32" s="13" t="n">
        <f aca="false">IF(MONTH($A32)=4,1,0)</f>
        <v>0</v>
      </c>
      <c r="G32" s="13" t="n">
        <f aca="false">IF(MONTH($A32)=5,1,0)</f>
        <v>1</v>
      </c>
      <c r="H32" s="13" t="n">
        <f aca="false">IF(MONTH($A32)=6,1,0)</f>
        <v>0</v>
      </c>
      <c r="I32" s="13" t="n">
        <f aca="false">IF(MONTH($A32)=7,1,0)</f>
        <v>0</v>
      </c>
      <c r="J32" s="13" t="n">
        <f aca="false">IF(MONTH($A32)=8,1,0)</f>
        <v>0</v>
      </c>
      <c r="K32" s="13" t="n">
        <f aca="false">IF(MONTH($A32)=9,1,0)</f>
        <v>0</v>
      </c>
      <c r="L32" s="13" t="n">
        <f aca="false">IF(MONTH($A32)=10,1,0)</f>
        <v>0</v>
      </c>
      <c r="M32" s="13" t="n">
        <f aca="false">IF(MONTH($A32)=11,1,0)</f>
        <v>0</v>
      </c>
      <c r="N32" s="13" t="n">
        <f aca="false">IF(MONTH($A32)=12,1,0)</f>
        <v>0</v>
      </c>
      <c r="O32" s="7" t="n">
        <f aca="false">$B$5+SUMPRODUCT(C32:N32,$C$5:$N$5)</f>
        <v>-0.838067215589335</v>
      </c>
      <c r="P32" s="7" t="n">
        <f aca="false">B32-O32</f>
        <v>-0.985469726226028</v>
      </c>
      <c r="Q32" s="7" t="n">
        <f aca="false">P32^2</f>
        <v>0.971150581308002</v>
      </c>
      <c r="T32" s="5" t="s">
        <v>115</v>
      </c>
      <c r="U32" s="13" t="n">
        <f aca="false">COUNT(B7:B51)</f>
        <v>45</v>
      </c>
      <c r="V32" s="15" t="n">
        <v>45</v>
      </c>
      <c r="X32" s="6" t="s">
        <v>77</v>
      </c>
      <c r="Y32" s="20" t="n">
        <f aca="false">CORREL($C$7:$C$51,$L$7:$L$51)</f>
        <v>-0.0412311925578649</v>
      </c>
      <c r="Z32" s="20" t="n">
        <f aca="false">CORREL($D$7:$D$51,$L$7:$L$51)</f>
        <v>-0.0834783871129682</v>
      </c>
      <c r="AA32" s="20" t="n">
        <f aca="false">CORREL($E$7:$E$51,$L$7:$L$51)</f>
        <v>-0.0834783871129682</v>
      </c>
      <c r="AB32" s="20" t="n">
        <f aca="false">CORREL($F$7:$F$51,$L$7:$L$51)</f>
        <v>-0.0975609756097561</v>
      </c>
      <c r="AC32" s="20" t="n">
        <f aca="false">CORREL($G$7:$G$51,$L$7:$L$51)</f>
        <v>-0.0975609756097561</v>
      </c>
      <c r="AD32" s="20" t="n">
        <f aca="false">CORREL($H$7:$H$51,$L$7:$L$51)</f>
        <v>-0.0975609756097561</v>
      </c>
      <c r="AE32" s="20" t="n">
        <f aca="false">CORREL($I$7:$I$51,$L$7:$L$51)</f>
        <v>-0.0834783871129682</v>
      </c>
      <c r="AF32" s="20" t="n">
        <f aca="false">CORREL($J$7:$J$51,$L$7:$L$51)</f>
        <v>-0.0975609756097561</v>
      </c>
      <c r="AG32" s="20" t="n">
        <f aca="false">CORREL($K$7:$K$51,$L$7:$L$51)</f>
        <v>-0.0975609756097561</v>
      </c>
      <c r="AH32" s="20" t="n">
        <f aca="false">CORREL($L$7:$L$51,$L$7:$L$51)</f>
        <v>1</v>
      </c>
      <c r="AI32" s="20" t="n">
        <f aca="false">CORREL($M$7:$M$51,$L$7:$L$51)</f>
        <v>-0.0975609756097561</v>
      </c>
      <c r="AJ32" s="20" t="n">
        <f aca="false">CORREL($N$7:$N$51,$L$7:$L$51)</f>
        <v>-0.0975609756097561</v>
      </c>
    </row>
    <row r="33" customFormat="false" ht="15" hidden="false" customHeight="false" outlineLevel="0" collapsed="false">
      <c r="A33" s="11" t="n">
        <f aca="false">Data_Monthly!A31</f>
        <v>45107</v>
      </c>
      <c r="B33" s="12" t="n">
        <f aca="false">Data_Monthly!L31</f>
        <v>4.25069410432979</v>
      </c>
      <c r="C33" s="13" t="n">
        <f aca="false">IF($A33&gt;=$U$5,1,0)</f>
        <v>0</v>
      </c>
      <c r="D33" s="13" t="n">
        <f aca="false">IF(MONTH($A33)=2,1,0)</f>
        <v>0</v>
      </c>
      <c r="E33" s="13" t="n">
        <f aca="false">IF(MONTH($A33)=3,1,0)</f>
        <v>0</v>
      </c>
      <c r="F33" s="13" t="n">
        <f aca="false">IF(MONTH($A33)=4,1,0)</f>
        <v>0</v>
      </c>
      <c r="G33" s="13" t="n">
        <f aca="false">IF(MONTH($A33)=5,1,0)</f>
        <v>0</v>
      </c>
      <c r="H33" s="13" t="n">
        <f aca="false">IF(MONTH($A33)=6,1,0)</f>
        <v>1</v>
      </c>
      <c r="I33" s="13" t="n">
        <f aca="false">IF(MONTH($A33)=7,1,0)</f>
        <v>0</v>
      </c>
      <c r="J33" s="13" t="n">
        <f aca="false">IF(MONTH($A33)=8,1,0)</f>
        <v>0</v>
      </c>
      <c r="K33" s="13" t="n">
        <f aca="false">IF(MONTH($A33)=9,1,0)</f>
        <v>0</v>
      </c>
      <c r="L33" s="13" t="n">
        <f aca="false">IF(MONTH($A33)=10,1,0)</f>
        <v>0</v>
      </c>
      <c r="M33" s="13" t="n">
        <f aca="false">IF(MONTH($A33)=11,1,0)</f>
        <v>0</v>
      </c>
      <c r="N33" s="13" t="n">
        <f aca="false">IF(MONTH($A33)=12,1,0)</f>
        <v>0</v>
      </c>
      <c r="O33" s="7" t="n">
        <f aca="false">$B$5+SUMPRODUCT(C33:N33,$C$5:$N$5)</f>
        <v>0.718301108577633</v>
      </c>
      <c r="P33" s="7" t="n">
        <f aca="false">B33-O33</f>
        <v>3.53239299575215</v>
      </c>
      <c r="Q33" s="7" t="n">
        <f aca="false">P33^2</f>
        <v>12.4778002764389</v>
      </c>
      <c r="T33" s="5" t="s">
        <v>112</v>
      </c>
      <c r="U33" s="7" t="n">
        <f aca="false">INDEX(LINEST(B7:B51,C7:N51,TRUE(),TRUE()),3,1)</f>
        <v>0.521136970149228</v>
      </c>
      <c r="V33" s="16" t="n">
        <v>0.521136970149228</v>
      </c>
      <c r="X33" s="6" t="s">
        <v>78</v>
      </c>
      <c r="Y33" s="20" t="n">
        <f aca="false">CORREL($C$7:$C$51,$M$7:$M$51)</f>
        <v>-0.0412311925578649</v>
      </c>
      <c r="Z33" s="20" t="n">
        <f aca="false">CORREL($D$7:$D$51,$M$7:$M$51)</f>
        <v>-0.0834783871129682</v>
      </c>
      <c r="AA33" s="20" t="n">
        <f aca="false">CORREL($E$7:$E$51,$M$7:$M$51)</f>
        <v>-0.0834783871129682</v>
      </c>
      <c r="AB33" s="20" t="n">
        <f aca="false">CORREL($F$7:$F$51,$M$7:$M$51)</f>
        <v>-0.0975609756097561</v>
      </c>
      <c r="AC33" s="20" t="n">
        <f aca="false">CORREL($G$7:$G$51,$M$7:$M$51)</f>
        <v>-0.0975609756097561</v>
      </c>
      <c r="AD33" s="20" t="n">
        <f aca="false">CORREL($H$7:$H$51,$M$7:$M$51)</f>
        <v>-0.0975609756097561</v>
      </c>
      <c r="AE33" s="20" t="n">
        <f aca="false">CORREL($I$7:$I$51,$M$7:$M$51)</f>
        <v>-0.0834783871129682</v>
      </c>
      <c r="AF33" s="20" t="n">
        <f aca="false">CORREL($J$7:$J$51,$M$7:$M$51)</f>
        <v>-0.0975609756097561</v>
      </c>
      <c r="AG33" s="20" t="n">
        <f aca="false">CORREL($K$7:$K$51,$M$7:$M$51)</f>
        <v>-0.0975609756097561</v>
      </c>
      <c r="AH33" s="20" t="n">
        <f aca="false">CORREL($L$7:$L$51,$M$7:$M$51)</f>
        <v>-0.0975609756097561</v>
      </c>
      <c r="AI33" s="20" t="n">
        <f aca="false">CORREL($M$7:$M$51,$M$7:$M$51)</f>
        <v>1</v>
      </c>
      <c r="AJ33" s="20" t="n">
        <f aca="false">CORREL($N$7:$N$51,$M$7:$M$51)</f>
        <v>-0.0975609756097561</v>
      </c>
    </row>
    <row r="34" customFormat="false" ht="15" hidden="false" customHeight="false" outlineLevel="0" collapsed="false">
      <c r="A34" s="11" t="n">
        <f aca="false">Data_Monthly!A33</f>
        <v>45163</v>
      </c>
      <c r="B34" s="12" t="n">
        <f aca="false">Data_Monthly!L33</f>
        <v>0.169942216459873</v>
      </c>
      <c r="C34" s="13" t="n">
        <f aca="false">IF($A34&gt;=$U$5,1,0)</f>
        <v>0</v>
      </c>
      <c r="D34" s="13" t="n">
        <f aca="false">IF(MONTH($A34)=2,1,0)</f>
        <v>0</v>
      </c>
      <c r="E34" s="13" t="n">
        <f aca="false">IF(MONTH($A34)=3,1,0)</f>
        <v>0</v>
      </c>
      <c r="F34" s="13" t="n">
        <f aca="false">IF(MONTH($A34)=4,1,0)</f>
        <v>0</v>
      </c>
      <c r="G34" s="13" t="n">
        <f aca="false">IF(MONTH($A34)=5,1,0)</f>
        <v>0</v>
      </c>
      <c r="H34" s="13" t="n">
        <f aca="false">IF(MONTH($A34)=6,1,0)</f>
        <v>0</v>
      </c>
      <c r="I34" s="13" t="n">
        <f aca="false">IF(MONTH($A34)=7,1,0)</f>
        <v>0</v>
      </c>
      <c r="J34" s="13" t="n">
        <f aca="false">IF(MONTH($A34)=8,1,0)</f>
        <v>1</v>
      </c>
      <c r="K34" s="13" t="n">
        <f aca="false">IF(MONTH($A34)=9,1,0)</f>
        <v>0</v>
      </c>
      <c r="L34" s="13" t="n">
        <f aca="false">IF(MONTH($A34)=10,1,0)</f>
        <v>0</v>
      </c>
      <c r="M34" s="13" t="n">
        <f aca="false">IF(MONTH($A34)=11,1,0)</f>
        <v>0</v>
      </c>
      <c r="N34" s="13" t="n">
        <f aca="false">IF(MONTH($A34)=12,1,0)</f>
        <v>0</v>
      </c>
      <c r="O34" s="7" t="n">
        <f aca="false">$B$5+SUMPRODUCT(C34:N34,$C$5:$N$5)</f>
        <v>-0.795395239108467</v>
      </c>
      <c r="P34" s="7" t="n">
        <f aca="false">B34-O34</f>
        <v>0.96533745556834</v>
      </c>
      <c r="Q34" s="7" t="n">
        <f aca="false">P34^2</f>
        <v>0.931876403123157</v>
      </c>
      <c r="T34" s="5" t="s">
        <v>116</v>
      </c>
      <c r="U34" s="7" t="n">
        <f aca="false">SQRT($U$33)</f>
        <v>0.721898171592939</v>
      </c>
      <c r="X34" s="6" t="s">
        <v>79</v>
      </c>
      <c r="Y34" s="20" t="n">
        <f aca="false">CORREL($C$7:$C$51,$N$7:$N$51)</f>
        <v>0.127441867906128</v>
      </c>
      <c r="Z34" s="20" t="n">
        <f aca="false">CORREL($D$7:$D$51,$N$7:$N$51)</f>
        <v>-0.0834783871129682</v>
      </c>
      <c r="AA34" s="20" t="n">
        <f aca="false">CORREL($E$7:$E$51,$N$7:$N$51)</f>
        <v>-0.0834783871129682</v>
      </c>
      <c r="AB34" s="20" t="n">
        <f aca="false">CORREL($F$7:$F$51,$N$7:$N$51)</f>
        <v>-0.0975609756097561</v>
      </c>
      <c r="AC34" s="20" t="n">
        <f aca="false">CORREL($G$7:$G$51,$N$7:$N$51)</f>
        <v>-0.0975609756097561</v>
      </c>
      <c r="AD34" s="20" t="n">
        <f aca="false">CORREL($H$7:$H$51,$N$7:$N$51)</f>
        <v>-0.0975609756097561</v>
      </c>
      <c r="AE34" s="20" t="n">
        <f aca="false">CORREL($I$7:$I$51,$N$7:$N$51)</f>
        <v>-0.0834783871129682</v>
      </c>
      <c r="AF34" s="20" t="n">
        <f aca="false">CORREL($J$7:$J$51,$N$7:$N$51)</f>
        <v>-0.0975609756097561</v>
      </c>
      <c r="AG34" s="20" t="n">
        <f aca="false">CORREL($K$7:$K$51,$N$7:$N$51)</f>
        <v>-0.0975609756097561</v>
      </c>
      <c r="AH34" s="20" t="n">
        <f aca="false">CORREL($L$7:$L$51,$N$7:$N$51)</f>
        <v>-0.0975609756097561</v>
      </c>
      <c r="AI34" s="20" t="n">
        <f aca="false">CORREL($M$7:$M$51,$N$7:$N$51)</f>
        <v>-0.0975609756097561</v>
      </c>
      <c r="AJ34" s="20" t="n">
        <f aca="false">CORREL($N$7:$N$51,$N$7:$N$51)</f>
        <v>1</v>
      </c>
    </row>
    <row r="35" customFormat="false" ht="15" hidden="false" customHeight="false" outlineLevel="0" collapsed="false">
      <c r="A35" s="11" t="n">
        <f aca="false">Data_Monthly!A34</f>
        <v>45191</v>
      </c>
      <c r="B35" s="12" t="n">
        <f aca="false">Data_Monthly!L34</f>
        <v>2.10120497540132</v>
      </c>
      <c r="C35" s="13" t="n">
        <f aca="false">IF($A35&gt;=$U$5,1,0)</f>
        <v>0</v>
      </c>
      <c r="D35" s="13" t="n">
        <f aca="false">IF(MONTH($A35)=2,1,0)</f>
        <v>0</v>
      </c>
      <c r="E35" s="13" t="n">
        <f aca="false">IF(MONTH($A35)=3,1,0)</f>
        <v>0</v>
      </c>
      <c r="F35" s="13" t="n">
        <f aca="false">IF(MONTH($A35)=4,1,0)</f>
        <v>0</v>
      </c>
      <c r="G35" s="13" t="n">
        <f aca="false">IF(MONTH($A35)=5,1,0)</f>
        <v>0</v>
      </c>
      <c r="H35" s="13" t="n">
        <f aca="false">IF(MONTH($A35)=6,1,0)</f>
        <v>0</v>
      </c>
      <c r="I35" s="13" t="n">
        <f aca="false">IF(MONTH($A35)=7,1,0)</f>
        <v>0</v>
      </c>
      <c r="J35" s="13" t="n">
        <f aca="false">IF(MONTH($A35)=8,1,0)</f>
        <v>0</v>
      </c>
      <c r="K35" s="13" t="n">
        <f aca="false">IF(MONTH($A35)=9,1,0)</f>
        <v>1</v>
      </c>
      <c r="L35" s="13" t="n">
        <f aca="false">IF(MONTH($A35)=10,1,0)</f>
        <v>0</v>
      </c>
      <c r="M35" s="13" t="n">
        <f aca="false">IF(MONTH($A35)=11,1,0)</f>
        <v>0</v>
      </c>
      <c r="N35" s="13" t="n">
        <f aca="false">IF(MONTH($A35)=12,1,0)</f>
        <v>0</v>
      </c>
      <c r="O35" s="7" t="n">
        <f aca="false">$B$5+SUMPRODUCT(C35:N35,$C$5:$N$5)</f>
        <v>0.838062453802299</v>
      </c>
      <c r="P35" s="7" t="n">
        <f aca="false">B35-O35</f>
        <v>1.26314252159902</v>
      </c>
      <c r="Q35" s="7" t="n">
        <f aca="false">P35^2</f>
        <v>1.59552902987152</v>
      </c>
      <c r="T35" s="5" t="s">
        <v>111</v>
      </c>
      <c r="U35" s="13" t="n">
        <f aca="false">INDEX(LINEST(B7:B51,C7:N51,TRUE(),TRUE()),4,2)</f>
        <v>32</v>
      </c>
    </row>
    <row r="36" customFormat="false" ht="15" hidden="false" customHeight="false" outlineLevel="0" collapsed="false">
      <c r="A36" s="11" t="n">
        <f aca="false">Data_Monthly!A35</f>
        <v>45219</v>
      </c>
      <c r="B36" s="12" t="n">
        <f aca="false">Data_Monthly!L35</f>
        <v>0.531355520928578</v>
      </c>
      <c r="C36" s="13" t="n">
        <f aca="false">IF($A36&gt;=$U$5,1,0)</f>
        <v>0</v>
      </c>
      <c r="D36" s="13" t="n">
        <f aca="false">IF(MONTH($A36)=2,1,0)</f>
        <v>0</v>
      </c>
      <c r="E36" s="13" t="n">
        <f aca="false">IF(MONTH($A36)=3,1,0)</f>
        <v>0</v>
      </c>
      <c r="F36" s="13" t="n">
        <f aca="false">IF(MONTH($A36)=4,1,0)</f>
        <v>0</v>
      </c>
      <c r="G36" s="13" t="n">
        <f aca="false">IF(MONTH($A36)=5,1,0)</f>
        <v>0</v>
      </c>
      <c r="H36" s="13" t="n">
        <f aca="false">IF(MONTH($A36)=6,1,0)</f>
        <v>0</v>
      </c>
      <c r="I36" s="13" t="n">
        <f aca="false">IF(MONTH($A36)=7,1,0)</f>
        <v>0</v>
      </c>
      <c r="J36" s="13" t="n">
        <f aca="false">IF(MONTH($A36)=8,1,0)</f>
        <v>0</v>
      </c>
      <c r="K36" s="13" t="n">
        <f aca="false">IF(MONTH($A36)=9,1,0)</f>
        <v>0</v>
      </c>
      <c r="L36" s="13" t="n">
        <f aca="false">IF(MONTH($A36)=10,1,0)</f>
        <v>1</v>
      </c>
      <c r="M36" s="13" t="n">
        <f aca="false">IF(MONTH($A36)=11,1,0)</f>
        <v>0</v>
      </c>
      <c r="N36" s="13" t="n">
        <f aca="false">IF(MONTH($A36)=12,1,0)</f>
        <v>0</v>
      </c>
      <c r="O36" s="7" t="n">
        <f aca="false">$B$5+SUMPRODUCT(C36:N36,$C$5:$N$5)</f>
        <v>2.59161712626247</v>
      </c>
      <c r="P36" s="7" t="n">
        <f aca="false">B36-O36</f>
        <v>-2.06026160533389</v>
      </c>
      <c r="Q36" s="7" t="n">
        <f aca="false">P36^2</f>
        <v>4.24467788241298</v>
      </c>
      <c r="T36" s="5" t="s">
        <v>117</v>
      </c>
      <c r="U36" s="7" t="n">
        <f aca="false">1-(1-$U$33)*($U$32-1)/$U$35</f>
        <v>0.341563333955188</v>
      </c>
      <c r="V36" s="16" t="n">
        <v>0.341563333955188</v>
      </c>
    </row>
    <row r="37" customFormat="false" ht="15" hidden="false" customHeight="false" outlineLevel="0" collapsed="false">
      <c r="A37" s="11" t="n">
        <f aca="false">Data_Monthly!A36</f>
        <v>45247</v>
      </c>
      <c r="B37" s="12" t="n">
        <f aca="false">Data_Monthly!L36</f>
        <v>1.66121621214739</v>
      </c>
      <c r="C37" s="13" t="n">
        <f aca="false">IF($A37&gt;=$U$5,1,0)</f>
        <v>0</v>
      </c>
      <c r="D37" s="13" t="n">
        <f aca="false">IF(MONTH($A37)=2,1,0)</f>
        <v>0</v>
      </c>
      <c r="E37" s="13" t="n">
        <f aca="false">IF(MONTH($A37)=3,1,0)</f>
        <v>0</v>
      </c>
      <c r="F37" s="13" t="n">
        <f aca="false">IF(MONTH($A37)=4,1,0)</f>
        <v>0</v>
      </c>
      <c r="G37" s="13" t="n">
        <f aca="false">IF(MONTH($A37)=5,1,0)</f>
        <v>0</v>
      </c>
      <c r="H37" s="13" t="n">
        <f aca="false">IF(MONTH($A37)=6,1,0)</f>
        <v>0</v>
      </c>
      <c r="I37" s="13" t="n">
        <f aca="false">IF(MONTH($A37)=7,1,0)</f>
        <v>0</v>
      </c>
      <c r="J37" s="13" t="n">
        <f aca="false">IF(MONTH($A37)=8,1,0)</f>
        <v>0</v>
      </c>
      <c r="K37" s="13" t="n">
        <f aca="false">IF(MONTH($A37)=9,1,0)</f>
        <v>0</v>
      </c>
      <c r="L37" s="13" t="n">
        <f aca="false">IF(MONTH($A37)=10,1,0)</f>
        <v>0</v>
      </c>
      <c r="M37" s="13" t="n">
        <f aca="false">IF(MONTH($A37)=11,1,0)</f>
        <v>1</v>
      </c>
      <c r="N37" s="13" t="n">
        <f aca="false">IF(MONTH($A37)=12,1,0)</f>
        <v>0</v>
      </c>
      <c r="O37" s="7" t="n">
        <f aca="false">$B$5+SUMPRODUCT(C37:N37,$C$5:$N$5)</f>
        <v>2.58210469843921</v>
      </c>
      <c r="P37" s="7" t="n">
        <f aca="false">B37-O37</f>
        <v>-0.920888486291826</v>
      </c>
      <c r="Q37" s="7" t="n">
        <f aca="false">P37^2</f>
        <v>0.848035604184851</v>
      </c>
      <c r="T37" s="5" t="s">
        <v>118</v>
      </c>
      <c r="U37" s="7" t="n">
        <f aca="false">INDEX(LINEST(B7:B51,C7:N51,TRUE(),TRUE()),3,2)</f>
        <v>2.05271556502199</v>
      </c>
      <c r="V37" s="16" t="n">
        <v>2.05271556502199</v>
      </c>
    </row>
    <row r="38" customFormat="false" ht="15" hidden="false" customHeight="false" outlineLevel="0" collapsed="false">
      <c r="A38" s="11" t="n">
        <f aca="false">Data_Monthly!A37</f>
        <v>45289</v>
      </c>
      <c r="B38" s="12" t="n">
        <f aca="false">Data_Monthly!L37</f>
        <v>2.50673131748584</v>
      </c>
      <c r="C38" s="13" t="n">
        <f aca="false">IF($A38&gt;=$U$5,1,0)</f>
        <v>1</v>
      </c>
      <c r="D38" s="13" t="n">
        <f aca="false">IF(MONTH($A38)=2,1,0)</f>
        <v>0</v>
      </c>
      <c r="E38" s="13" t="n">
        <f aca="false">IF(MONTH($A38)=3,1,0)</f>
        <v>0</v>
      </c>
      <c r="F38" s="13" t="n">
        <f aca="false">IF(MONTH($A38)=4,1,0)</f>
        <v>0</v>
      </c>
      <c r="G38" s="13" t="n">
        <f aca="false">IF(MONTH($A38)=5,1,0)</f>
        <v>0</v>
      </c>
      <c r="H38" s="13" t="n">
        <f aca="false">IF(MONTH($A38)=6,1,0)</f>
        <v>0</v>
      </c>
      <c r="I38" s="13" t="n">
        <f aca="false">IF(MONTH($A38)=7,1,0)</f>
        <v>0</v>
      </c>
      <c r="J38" s="13" t="n">
        <f aca="false">IF(MONTH($A38)=8,1,0)</f>
        <v>0</v>
      </c>
      <c r="K38" s="13" t="n">
        <f aca="false">IF(MONTH($A38)=9,1,0)</f>
        <v>0</v>
      </c>
      <c r="L38" s="13" t="n">
        <f aca="false">IF(MONTH($A38)=10,1,0)</f>
        <v>0</v>
      </c>
      <c r="M38" s="13" t="n">
        <f aca="false">IF(MONTH($A38)=11,1,0)</f>
        <v>0</v>
      </c>
      <c r="N38" s="13" t="n">
        <f aca="false">IF(MONTH($A38)=12,1,0)</f>
        <v>1</v>
      </c>
      <c r="O38" s="7" t="n">
        <f aca="false">$B$5+SUMPRODUCT(C38:N38,$C$5:$N$5)</f>
        <v>3.42589337739645</v>
      </c>
      <c r="P38" s="7" t="n">
        <f aca="false">B38-O38</f>
        <v>-0.919162059910608</v>
      </c>
      <c r="Q38" s="7" t="n">
        <f aca="false">P38^2</f>
        <v>0.844858892379111</v>
      </c>
    </row>
    <row r="39" customFormat="false" ht="15" hidden="false" customHeight="false" outlineLevel="0" collapsed="false">
      <c r="A39" s="11" t="n">
        <f aca="false">Data_Monthly!A38</f>
        <v>45317</v>
      </c>
      <c r="B39" s="12" t="n">
        <f aca="false">Data_Monthly!L38</f>
        <v>-3.70246872820665</v>
      </c>
      <c r="C39" s="13" t="n">
        <f aca="false">IF($A39&gt;=$U$5,1,0)</f>
        <v>1</v>
      </c>
      <c r="D39" s="13" t="n">
        <f aca="false">IF(MONTH($A39)=2,1,0)</f>
        <v>0</v>
      </c>
      <c r="E39" s="13" t="n">
        <f aca="false">IF(MONTH($A39)=3,1,0)</f>
        <v>0</v>
      </c>
      <c r="F39" s="13" t="n">
        <f aca="false">IF(MONTH($A39)=4,1,0)</f>
        <v>0</v>
      </c>
      <c r="G39" s="13" t="n">
        <f aca="false">IF(MONTH($A39)=5,1,0)</f>
        <v>0</v>
      </c>
      <c r="H39" s="13" t="n">
        <f aca="false">IF(MONTH($A39)=6,1,0)</f>
        <v>0</v>
      </c>
      <c r="I39" s="13" t="n">
        <f aca="false">IF(MONTH($A39)=7,1,0)</f>
        <v>0</v>
      </c>
      <c r="J39" s="13" t="n">
        <f aca="false">IF(MONTH($A39)=8,1,0)</f>
        <v>0</v>
      </c>
      <c r="K39" s="13" t="n">
        <f aca="false">IF(MONTH($A39)=9,1,0)</f>
        <v>0</v>
      </c>
      <c r="L39" s="13" t="n">
        <f aca="false">IF(MONTH($A39)=10,1,0)</f>
        <v>0</v>
      </c>
      <c r="M39" s="13" t="n">
        <f aca="false">IF(MONTH($A39)=11,1,0)</f>
        <v>0</v>
      </c>
      <c r="N39" s="13" t="n">
        <f aca="false">IF(MONTH($A39)=12,1,0)</f>
        <v>0</v>
      </c>
      <c r="O39" s="7" t="n">
        <f aca="false">$B$5+SUMPRODUCT(C39:N39,$C$5:$N$5)</f>
        <v>-2.17455653909699</v>
      </c>
      <c r="P39" s="7" t="n">
        <f aca="false">B39-O39</f>
        <v>-1.52791218910966</v>
      </c>
      <c r="Q39" s="7" t="n">
        <f aca="false">P39^2</f>
        <v>2.33451565762988</v>
      </c>
      <c r="T39" s="9" t="s">
        <v>119</v>
      </c>
      <c r="U39" s="14" t="s">
        <v>91</v>
      </c>
      <c r="V39" s="14" t="s">
        <v>92</v>
      </c>
    </row>
    <row r="40" customFormat="false" ht="15" hidden="false" customHeight="false" outlineLevel="0" collapsed="false">
      <c r="A40" s="11" t="n">
        <f aca="false">Data_Monthly!A39</f>
        <v>45345</v>
      </c>
      <c r="B40" s="12" t="n">
        <f aca="false">Data_Monthly!L39</f>
        <v>-1.12888151818495</v>
      </c>
      <c r="C40" s="13" t="n">
        <f aca="false">IF($A40&gt;=$U$5,1,0)</f>
        <v>1</v>
      </c>
      <c r="D40" s="13" t="n">
        <f aca="false">IF(MONTH($A40)=2,1,0)</f>
        <v>1</v>
      </c>
      <c r="E40" s="13" t="n">
        <f aca="false">IF(MONTH($A40)=3,1,0)</f>
        <v>0</v>
      </c>
      <c r="F40" s="13" t="n">
        <f aca="false">IF(MONTH($A40)=4,1,0)</f>
        <v>0</v>
      </c>
      <c r="G40" s="13" t="n">
        <f aca="false">IF(MONTH($A40)=5,1,0)</f>
        <v>0</v>
      </c>
      <c r="H40" s="13" t="n">
        <f aca="false">IF(MONTH($A40)=6,1,0)</f>
        <v>0</v>
      </c>
      <c r="I40" s="13" t="n">
        <f aca="false">IF(MONTH($A40)=7,1,0)</f>
        <v>0</v>
      </c>
      <c r="J40" s="13" t="n">
        <f aca="false">IF(MONTH($A40)=8,1,0)</f>
        <v>0</v>
      </c>
      <c r="K40" s="13" t="n">
        <f aca="false">IF(MONTH($A40)=9,1,0)</f>
        <v>0</v>
      </c>
      <c r="L40" s="13" t="n">
        <f aca="false">IF(MONTH($A40)=10,1,0)</f>
        <v>0</v>
      </c>
      <c r="M40" s="13" t="n">
        <f aca="false">IF(MONTH($A40)=11,1,0)</f>
        <v>0</v>
      </c>
      <c r="N40" s="13" t="n">
        <f aca="false">IF(MONTH($A40)=12,1,0)</f>
        <v>0</v>
      </c>
      <c r="O40" s="7" t="n">
        <f aca="false">$B$5+SUMPRODUCT(C40:N40,$C$5:$N$5)</f>
        <v>-1.18891511011183</v>
      </c>
      <c r="P40" s="7" t="n">
        <f aca="false">B40-O40</f>
        <v>0.0600335919268742</v>
      </c>
      <c r="Q40" s="7" t="n">
        <f aca="false">P40^2</f>
        <v>0.00360403215964245</v>
      </c>
      <c r="T40" s="5" t="s">
        <v>120</v>
      </c>
      <c r="U40" s="7" t="n">
        <f aca="false">INDEX(LINEST(B7:B51,C7:N51,TRUE(),TRUE()),5,1)</f>
        <v>146.739861154691</v>
      </c>
      <c r="V40" s="16" t="n">
        <v>146.739861154691</v>
      </c>
    </row>
    <row r="41" customFormat="false" ht="15" hidden="false" customHeight="false" outlineLevel="0" collapsed="false">
      <c r="A41" s="11" t="n">
        <f aca="false">Data_Monthly!A40</f>
        <v>45373</v>
      </c>
      <c r="B41" s="12" t="n">
        <f aca="false">Data_Monthly!L40</f>
        <v>1.56503939684658</v>
      </c>
      <c r="C41" s="13" t="n">
        <f aca="false">IF($A41&gt;=$U$5,1,0)</f>
        <v>1</v>
      </c>
      <c r="D41" s="13" t="n">
        <f aca="false">IF(MONTH($A41)=2,1,0)</f>
        <v>0</v>
      </c>
      <c r="E41" s="13" t="n">
        <f aca="false">IF(MONTH($A41)=3,1,0)</f>
        <v>1</v>
      </c>
      <c r="F41" s="13" t="n">
        <f aca="false">IF(MONTH($A41)=4,1,0)</f>
        <v>0</v>
      </c>
      <c r="G41" s="13" t="n">
        <f aca="false">IF(MONTH($A41)=5,1,0)</f>
        <v>0</v>
      </c>
      <c r="H41" s="13" t="n">
        <f aca="false">IF(MONTH($A41)=6,1,0)</f>
        <v>0</v>
      </c>
      <c r="I41" s="13" t="n">
        <f aca="false">IF(MONTH($A41)=7,1,0)</f>
        <v>0</v>
      </c>
      <c r="J41" s="13" t="n">
        <f aca="false">IF(MONTH($A41)=8,1,0)</f>
        <v>0</v>
      </c>
      <c r="K41" s="13" t="n">
        <f aca="false">IF(MONTH($A41)=9,1,0)</f>
        <v>0</v>
      </c>
      <c r="L41" s="13" t="n">
        <f aca="false">IF(MONTH($A41)=10,1,0)</f>
        <v>0</v>
      </c>
      <c r="M41" s="13" t="n">
        <f aca="false">IF(MONTH($A41)=11,1,0)</f>
        <v>0</v>
      </c>
      <c r="N41" s="13" t="n">
        <f aca="false">IF(MONTH($A41)=12,1,0)</f>
        <v>0</v>
      </c>
      <c r="O41" s="7" t="n">
        <f aca="false">$B$5+SUMPRODUCT(C41:N41,$C$5:$N$5)</f>
        <v>-0.0987208146631147</v>
      </c>
      <c r="P41" s="7" t="n">
        <f aca="false">B41-O41</f>
        <v>1.66376021150969</v>
      </c>
      <c r="Q41" s="7" t="n">
        <f aca="false">P41^2</f>
        <v>2.76809804140278</v>
      </c>
      <c r="T41" s="5" t="s">
        <v>113</v>
      </c>
      <c r="U41" s="7" t="n">
        <f aca="false">INDEX(LINEST(B7:B51,C7:N51,TRUE(),TRUE()),5,2)</f>
        <v>134.836518108273</v>
      </c>
      <c r="V41" s="16" t="n">
        <v>134.836518108273</v>
      </c>
    </row>
    <row r="42" customFormat="false" ht="15" hidden="false" customHeight="false" outlineLevel="0" collapsed="false">
      <c r="A42" s="11" t="n">
        <f aca="false">Data_Monthly!A41</f>
        <v>45401</v>
      </c>
      <c r="B42" s="12" t="n">
        <f aca="false">Data_Monthly!L41</f>
        <v>0.697920948329589</v>
      </c>
      <c r="C42" s="13" t="n">
        <f aca="false">IF($A42&gt;=$U$5,1,0)</f>
        <v>1</v>
      </c>
      <c r="D42" s="13" t="n">
        <f aca="false">IF(MONTH($A42)=2,1,0)</f>
        <v>0</v>
      </c>
      <c r="E42" s="13" t="n">
        <f aca="false">IF(MONTH($A42)=3,1,0)</f>
        <v>0</v>
      </c>
      <c r="F42" s="13" t="n">
        <f aca="false">IF(MONTH($A42)=4,1,0)</f>
        <v>1</v>
      </c>
      <c r="G42" s="13" t="n">
        <f aca="false">IF(MONTH($A42)=5,1,0)</f>
        <v>0</v>
      </c>
      <c r="H42" s="13" t="n">
        <f aca="false">IF(MONTH($A42)=6,1,0)</f>
        <v>0</v>
      </c>
      <c r="I42" s="13" t="n">
        <f aca="false">IF(MONTH($A42)=7,1,0)</f>
        <v>0</v>
      </c>
      <c r="J42" s="13" t="n">
        <f aca="false">IF(MONTH($A42)=8,1,0)</f>
        <v>0</v>
      </c>
      <c r="K42" s="13" t="n">
        <f aca="false">IF(MONTH($A42)=9,1,0)</f>
        <v>0</v>
      </c>
      <c r="L42" s="13" t="n">
        <f aca="false">IF(MONTH($A42)=10,1,0)</f>
        <v>0</v>
      </c>
      <c r="M42" s="13" t="n">
        <f aca="false">IF(MONTH($A42)=11,1,0)</f>
        <v>0</v>
      </c>
      <c r="N42" s="13" t="n">
        <f aca="false">IF(MONTH($A42)=12,1,0)</f>
        <v>0</v>
      </c>
      <c r="O42" s="7" t="n">
        <f aca="false">$B$5+SUMPRODUCT(C42:N42,$C$5:$N$5)</f>
        <v>-1.65514761865884</v>
      </c>
      <c r="P42" s="7" t="n">
        <f aca="false">B42-O42</f>
        <v>2.35306856698843</v>
      </c>
      <c r="Q42" s="7" t="n">
        <f aca="false">P42^2</f>
        <v>5.53693168094899</v>
      </c>
      <c r="T42" s="5" t="s">
        <v>121</v>
      </c>
      <c r="U42" s="13" t="n">
        <f aca="false">COLUMNS(C7:N51)</f>
        <v>12</v>
      </c>
      <c r="V42" s="15" t="n">
        <v>12</v>
      </c>
    </row>
    <row r="43" customFormat="false" ht="15" hidden="false" customHeight="false" outlineLevel="0" collapsed="false">
      <c r="A43" s="11" t="n">
        <f aca="false">Data_Monthly!A42</f>
        <v>45443</v>
      </c>
      <c r="B43" s="12" t="n">
        <f aca="false">Data_Monthly!L42</f>
        <v>-1.35401567051314</v>
      </c>
      <c r="C43" s="13" t="n">
        <f aca="false">IF($A43&gt;=$U$5,1,0)</f>
        <v>1</v>
      </c>
      <c r="D43" s="13" t="n">
        <f aca="false">IF(MONTH($A43)=2,1,0)</f>
        <v>0</v>
      </c>
      <c r="E43" s="13" t="n">
        <f aca="false">IF(MONTH($A43)=3,1,0)</f>
        <v>0</v>
      </c>
      <c r="F43" s="13" t="n">
        <f aca="false">IF(MONTH($A43)=4,1,0)</f>
        <v>0</v>
      </c>
      <c r="G43" s="13" t="n">
        <f aca="false">IF(MONTH($A43)=5,1,0)</f>
        <v>1</v>
      </c>
      <c r="H43" s="13" t="n">
        <f aca="false">IF(MONTH($A43)=6,1,0)</f>
        <v>0</v>
      </c>
      <c r="I43" s="13" t="n">
        <f aca="false">IF(MONTH($A43)=7,1,0)</f>
        <v>0</v>
      </c>
      <c r="J43" s="13" t="n">
        <f aca="false">IF(MONTH($A43)=8,1,0)</f>
        <v>0</v>
      </c>
      <c r="K43" s="13" t="n">
        <f aca="false">IF(MONTH($A43)=9,1,0)</f>
        <v>0</v>
      </c>
      <c r="L43" s="13" t="n">
        <f aca="false">IF(MONTH($A43)=10,1,0)</f>
        <v>0</v>
      </c>
      <c r="M43" s="13" t="n">
        <f aca="false">IF(MONTH($A43)=11,1,0)</f>
        <v>0</v>
      </c>
      <c r="N43" s="13" t="n">
        <f aca="false">IF(MONTH($A43)=12,1,0)</f>
        <v>0</v>
      </c>
      <c r="O43" s="7" t="n">
        <f aca="false">$B$5+SUMPRODUCT(C43:N43,$C$5:$N$5)</f>
        <v>-2.29620239288722</v>
      </c>
      <c r="P43" s="7" t="n">
        <f aca="false">B43-O43</f>
        <v>0.942186722374079</v>
      </c>
      <c r="Q43" s="7" t="n">
        <f aca="false">P43^2</f>
        <v>0.887715819818009</v>
      </c>
      <c r="T43" s="5" t="s">
        <v>111</v>
      </c>
      <c r="U43" s="13" t="n">
        <f aca="false">$U$35</f>
        <v>32</v>
      </c>
      <c r="V43" s="15" t="n">
        <v>32</v>
      </c>
    </row>
    <row r="44" customFormat="false" ht="15" hidden="false" customHeight="false" outlineLevel="0" collapsed="false">
      <c r="A44" s="11" t="n">
        <f aca="false">Data_Monthly!A43</f>
        <v>45471</v>
      </c>
      <c r="B44" s="12" t="n">
        <f aca="false">Data_Monthly!L43</f>
        <v>-0.712133705108542</v>
      </c>
      <c r="C44" s="13" t="n">
        <f aca="false">IF($A44&gt;=$U$5,1,0)</f>
        <v>1</v>
      </c>
      <c r="D44" s="13" t="n">
        <f aca="false">IF(MONTH($A44)=2,1,0)</f>
        <v>0</v>
      </c>
      <c r="E44" s="13" t="n">
        <f aca="false">IF(MONTH($A44)=3,1,0)</f>
        <v>0</v>
      </c>
      <c r="F44" s="13" t="n">
        <f aca="false">IF(MONTH($A44)=4,1,0)</f>
        <v>0</v>
      </c>
      <c r="G44" s="13" t="n">
        <f aca="false">IF(MONTH($A44)=5,1,0)</f>
        <v>0</v>
      </c>
      <c r="H44" s="13" t="n">
        <f aca="false">IF(MONTH($A44)=6,1,0)</f>
        <v>1</v>
      </c>
      <c r="I44" s="13" t="n">
        <f aca="false">IF(MONTH($A44)=7,1,0)</f>
        <v>0</v>
      </c>
      <c r="J44" s="13" t="n">
        <f aca="false">IF(MONTH($A44)=8,1,0)</f>
        <v>0</v>
      </c>
      <c r="K44" s="13" t="n">
        <f aca="false">IF(MONTH($A44)=9,1,0)</f>
        <v>0</v>
      </c>
      <c r="L44" s="13" t="n">
        <f aca="false">IF(MONTH($A44)=10,1,0)</f>
        <v>0</v>
      </c>
      <c r="M44" s="13" t="n">
        <f aca="false">IF(MONTH($A44)=11,1,0)</f>
        <v>0</v>
      </c>
      <c r="N44" s="13" t="n">
        <f aca="false">IF(MONTH($A44)=12,1,0)</f>
        <v>0</v>
      </c>
      <c r="O44" s="7" t="n">
        <f aca="false">$B$5+SUMPRODUCT(C44:N44,$C$5:$N$5)</f>
        <v>-0.739834068720253</v>
      </c>
      <c r="P44" s="7" t="n">
        <f aca="false">B44-O44</f>
        <v>0.0277003636117108</v>
      </c>
      <c r="Q44" s="7" t="n">
        <f aca="false">P44^2</f>
        <v>0.000767310144220992</v>
      </c>
      <c r="T44" s="5" t="s">
        <v>122</v>
      </c>
      <c r="U44" s="7" t="n">
        <f aca="false">$U$40/$U$42</f>
        <v>12.2283217628909</v>
      </c>
    </row>
    <row r="45" customFormat="false" ht="15" hidden="false" customHeight="false" outlineLevel="0" collapsed="false">
      <c r="A45" s="11" t="n">
        <f aca="false">Data_Monthly!A44</f>
        <v>45499</v>
      </c>
      <c r="B45" s="12" t="n">
        <f aca="false">Data_Monthly!L44</f>
        <v>-1.23078893946165</v>
      </c>
      <c r="C45" s="13" t="n">
        <f aca="false">IF($A45&gt;=$U$5,1,0)</f>
        <v>1</v>
      </c>
      <c r="D45" s="13" t="n">
        <f aca="false">IF(MONTH($A45)=2,1,0)</f>
        <v>0</v>
      </c>
      <c r="E45" s="13" t="n">
        <f aca="false">IF(MONTH($A45)=3,1,0)</f>
        <v>0</v>
      </c>
      <c r="F45" s="13" t="n">
        <f aca="false">IF(MONTH($A45)=4,1,0)</f>
        <v>0</v>
      </c>
      <c r="G45" s="13" t="n">
        <f aca="false">IF(MONTH($A45)=5,1,0)</f>
        <v>0</v>
      </c>
      <c r="H45" s="13" t="n">
        <f aca="false">IF(MONTH($A45)=6,1,0)</f>
        <v>0</v>
      </c>
      <c r="I45" s="13" t="n">
        <f aca="false">IF(MONTH($A45)=7,1,0)</f>
        <v>1</v>
      </c>
      <c r="J45" s="13" t="n">
        <f aca="false">IF(MONTH($A45)=8,1,0)</f>
        <v>0</v>
      </c>
      <c r="K45" s="13" t="n">
        <f aca="false">IF(MONTH($A45)=9,1,0)</f>
        <v>0</v>
      </c>
      <c r="L45" s="13" t="n">
        <f aca="false">IF(MONTH($A45)=10,1,0)</f>
        <v>0</v>
      </c>
      <c r="M45" s="13" t="n">
        <f aca="false">IF(MONTH($A45)=11,1,0)</f>
        <v>0</v>
      </c>
      <c r="N45" s="13" t="n">
        <f aca="false">IF(MONTH($A45)=12,1,0)</f>
        <v>0</v>
      </c>
      <c r="O45" s="7" t="n">
        <f aca="false">$B$5+SUMPRODUCT(C45:N45,$C$5:$N$5)</f>
        <v>0.974271365773871</v>
      </c>
      <c r="P45" s="7" t="n">
        <f aca="false">B45-O45</f>
        <v>-2.20506030523552</v>
      </c>
      <c r="Q45" s="7" t="n">
        <f aca="false">P45^2</f>
        <v>4.86229094972535</v>
      </c>
      <c r="T45" s="5" t="s">
        <v>123</v>
      </c>
      <c r="U45" s="7" t="n">
        <f aca="false">$U$41/$U$43</f>
        <v>4.21364119088354</v>
      </c>
    </row>
    <row r="46" customFormat="false" ht="15" hidden="false" customHeight="false" outlineLevel="0" collapsed="false">
      <c r="A46" s="11" t="n">
        <f aca="false">Data_Monthly!A45</f>
        <v>45527</v>
      </c>
      <c r="B46" s="12" t="n">
        <f aca="false">Data_Monthly!L45</f>
        <v>-1.91906369307215</v>
      </c>
      <c r="C46" s="13" t="n">
        <f aca="false">IF($A46&gt;=$U$5,1,0)</f>
        <v>1</v>
      </c>
      <c r="D46" s="13" t="n">
        <f aca="false">IF(MONTH($A46)=2,1,0)</f>
        <v>0</v>
      </c>
      <c r="E46" s="13" t="n">
        <f aca="false">IF(MONTH($A46)=3,1,0)</f>
        <v>0</v>
      </c>
      <c r="F46" s="13" t="n">
        <f aca="false">IF(MONTH($A46)=4,1,0)</f>
        <v>0</v>
      </c>
      <c r="G46" s="13" t="n">
        <f aca="false">IF(MONTH($A46)=5,1,0)</f>
        <v>0</v>
      </c>
      <c r="H46" s="13" t="n">
        <f aca="false">IF(MONTH($A46)=6,1,0)</f>
        <v>0</v>
      </c>
      <c r="I46" s="13" t="n">
        <f aca="false">IF(MONTH($A46)=7,1,0)</f>
        <v>0</v>
      </c>
      <c r="J46" s="13" t="n">
        <f aca="false">IF(MONTH($A46)=8,1,0)</f>
        <v>1</v>
      </c>
      <c r="K46" s="13" t="n">
        <f aca="false">IF(MONTH($A46)=9,1,0)</f>
        <v>0</v>
      </c>
      <c r="L46" s="13" t="n">
        <f aca="false">IF(MONTH($A46)=10,1,0)</f>
        <v>0</v>
      </c>
      <c r="M46" s="13" t="n">
        <f aca="false">IF(MONTH($A46)=11,1,0)</f>
        <v>0</v>
      </c>
      <c r="N46" s="13" t="n">
        <f aca="false">IF(MONTH($A46)=12,1,0)</f>
        <v>0</v>
      </c>
      <c r="O46" s="7" t="n">
        <f aca="false">$B$5+SUMPRODUCT(C46:N46,$C$5:$N$5)</f>
        <v>-2.25353041640635</v>
      </c>
      <c r="P46" s="7" t="n">
        <f aca="false">B46-O46</f>
        <v>0.3344667233342</v>
      </c>
      <c r="Q46" s="7" t="n">
        <f aca="false">P46^2</f>
        <v>0.111867989017916</v>
      </c>
      <c r="T46" s="5" t="s">
        <v>124</v>
      </c>
      <c r="U46" s="7" t="n">
        <f aca="false">INDEX(LINEST(B7:B51,C7:N51,TRUE(),TRUE()),4,1)</f>
        <v>2.9020795100797</v>
      </c>
      <c r="V46" s="16" t="n">
        <v>2.9020795100797</v>
      </c>
    </row>
    <row r="47" customFormat="false" ht="15" hidden="false" customHeight="false" outlineLevel="0" collapsed="false">
      <c r="A47" s="11" t="n">
        <f aca="false">Data_Monthly!A46</f>
        <v>45555</v>
      </c>
      <c r="B47" s="12" t="n">
        <f aca="false">Data_Monthly!L46</f>
        <v>-0.572362774028079</v>
      </c>
      <c r="C47" s="13" t="n">
        <f aca="false">IF($A47&gt;=$U$5,1,0)</f>
        <v>1</v>
      </c>
      <c r="D47" s="13" t="n">
        <f aca="false">IF(MONTH($A47)=2,1,0)</f>
        <v>0</v>
      </c>
      <c r="E47" s="13" t="n">
        <f aca="false">IF(MONTH($A47)=3,1,0)</f>
        <v>0</v>
      </c>
      <c r="F47" s="13" t="n">
        <f aca="false">IF(MONTH($A47)=4,1,0)</f>
        <v>0</v>
      </c>
      <c r="G47" s="13" t="n">
        <f aca="false">IF(MONTH($A47)=5,1,0)</f>
        <v>0</v>
      </c>
      <c r="H47" s="13" t="n">
        <f aca="false">IF(MONTH($A47)=6,1,0)</f>
        <v>0</v>
      </c>
      <c r="I47" s="13" t="n">
        <f aca="false">IF(MONTH($A47)=7,1,0)</f>
        <v>0</v>
      </c>
      <c r="J47" s="13" t="n">
        <f aca="false">IF(MONTH($A47)=8,1,0)</f>
        <v>0</v>
      </c>
      <c r="K47" s="13" t="n">
        <f aca="false">IF(MONTH($A47)=9,1,0)</f>
        <v>1</v>
      </c>
      <c r="L47" s="13" t="n">
        <f aca="false">IF(MONTH($A47)=10,1,0)</f>
        <v>0</v>
      </c>
      <c r="M47" s="13" t="n">
        <f aca="false">IF(MONTH($A47)=11,1,0)</f>
        <v>0</v>
      </c>
      <c r="N47" s="13" t="n">
        <f aca="false">IF(MONTH($A47)=12,1,0)</f>
        <v>0</v>
      </c>
      <c r="O47" s="7" t="n">
        <f aca="false">$B$5+SUMPRODUCT(C47:N47,$C$5:$N$5)</f>
        <v>-0.620072723495587</v>
      </c>
      <c r="P47" s="7" t="n">
        <f aca="false">B47-O47</f>
        <v>0.0477099494675075</v>
      </c>
      <c r="Q47" s="7" t="n">
        <f aca="false">P47^2</f>
        <v>0.00227623927819212</v>
      </c>
      <c r="T47" s="5" t="s">
        <v>125</v>
      </c>
      <c r="U47" s="7" t="n">
        <f aca="false">_xlfn.F.DIST.RT($U$46,$U$42,$U$43)</f>
        <v>0.00797830747308568</v>
      </c>
      <c r="V47" s="16" t="n">
        <v>0.00797830747308572</v>
      </c>
    </row>
    <row r="48" customFormat="false" ht="15" hidden="false" customHeight="false" outlineLevel="0" collapsed="false">
      <c r="A48" s="11" t="n">
        <f aca="false">Data_Monthly!A47</f>
        <v>45583</v>
      </c>
      <c r="B48" s="12" t="n">
        <f aca="false">Data_Monthly!L47</f>
        <v>-1.19664693423136</v>
      </c>
      <c r="C48" s="13" t="n">
        <f aca="false">IF($A48&gt;=$U$5,1,0)</f>
        <v>1</v>
      </c>
      <c r="D48" s="13" t="n">
        <f aca="false">IF(MONTH($A48)=2,1,0)</f>
        <v>0</v>
      </c>
      <c r="E48" s="13" t="n">
        <f aca="false">IF(MONTH($A48)=3,1,0)</f>
        <v>0</v>
      </c>
      <c r="F48" s="13" t="n">
        <f aca="false">IF(MONTH($A48)=4,1,0)</f>
        <v>0</v>
      </c>
      <c r="G48" s="13" t="n">
        <f aca="false">IF(MONTH($A48)=5,1,0)</f>
        <v>0</v>
      </c>
      <c r="H48" s="13" t="n">
        <f aca="false">IF(MONTH($A48)=6,1,0)</f>
        <v>0</v>
      </c>
      <c r="I48" s="13" t="n">
        <f aca="false">IF(MONTH($A48)=7,1,0)</f>
        <v>0</v>
      </c>
      <c r="J48" s="13" t="n">
        <f aca="false">IF(MONTH($A48)=8,1,0)</f>
        <v>0</v>
      </c>
      <c r="K48" s="13" t="n">
        <f aca="false">IF(MONTH($A48)=9,1,0)</f>
        <v>0</v>
      </c>
      <c r="L48" s="13" t="n">
        <f aca="false">IF(MONTH($A48)=10,1,0)</f>
        <v>1</v>
      </c>
      <c r="M48" s="13" t="n">
        <f aca="false">IF(MONTH($A48)=11,1,0)</f>
        <v>0</v>
      </c>
      <c r="N48" s="13" t="n">
        <f aca="false">IF(MONTH($A48)=12,1,0)</f>
        <v>0</v>
      </c>
      <c r="O48" s="7" t="n">
        <f aca="false">$B$5+SUMPRODUCT(C48:N48,$C$5:$N$5)</f>
        <v>1.13348194896458</v>
      </c>
      <c r="P48" s="7" t="n">
        <f aca="false">B48-O48</f>
        <v>-2.33012888319594</v>
      </c>
      <c r="Q48" s="7" t="n">
        <f aca="false">P48^2</f>
        <v>5.42950061230397</v>
      </c>
    </row>
    <row r="49" customFormat="false" ht="15" hidden="false" customHeight="false" outlineLevel="0" collapsed="false">
      <c r="A49" s="11" t="n">
        <f aca="false">Data_Monthly!A48</f>
        <v>45625</v>
      </c>
      <c r="B49" s="12" t="n">
        <f aca="false">Data_Monthly!L48</f>
        <v>3.08689219735303</v>
      </c>
      <c r="C49" s="13" t="n">
        <f aca="false">IF($A49&gt;=$U$5,1,0)</f>
        <v>1</v>
      </c>
      <c r="D49" s="13" t="n">
        <f aca="false">IF(MONTH($A49)=2,1,0)</f>
        <v>0</v>
      </c>
      <c r="E49" s="13" t="n">
        <f aca="false">IF(MONTH($A49)=3,1,0)</f>
        <v>0</v>
      </c>
      <c r="F49" s="13" t="n">
        <f aca="false">IF(MONTH($A49)=4,1,0)</f>
        <v>0</v>
      </c>
      <c r="G49" s="13" t="n">
        <f aca="false">IF(MONTH($A49)=5,1,0)</f>
        <v>0</v>
      </c>
      <c r="H49" s="13" t="n">
        <f aca="false">IF(MONTH($A49)=6,1,0)</f>
        <v>0</v>
      </c>
      <c r="I49" s="13" t="n">
        <f aca="false">IF(MONTH($A49)=7,1,0)</f>
        <v>0</v>
      </c>
      <c r="J49" s="13" t="n">
        <f aca="false">IF(MONTH($A49)=8,1,0)</f>
        <v>0</v>
      </c>
      <c r="K49" s="13" t="n">
        <f aca="false">IF(MONTH($A49)=9,1,0)</f>
        <v>0</v>
      </c>
      <c r="L49" s="13" t="n">
        <f aca="false">IF(MONTH($A49)=10,1,0)</f>
        <v>0</v>
      </c>
      <c r="M49" s="13" t="n">
        <f aca="false">IF(MONTH($A49)=11,1,0)</f>
        <v>1</v>
      </c>
      <c r="N49" s="13" t="n">
        <f aca="false">IF(MONTH($A49)=12,1,0)</f>
        <v>0</v>
      </c>
      <c r="O49" s="7" t="n">
        <f aca="false">$B$5+SUMPRODUCT(C49:N49,$C$5:$N$5)</f>
        <v>1.12396952114133</v>
      </c>
      <c r="P49" s="7" t="n">
        <f aca="false">B49-O49</f>
        <v>1.9629226762117</v>
      </c>
      <c r="Q49" s="7" t="n">
        <f aca="false">P49^2</f>
        <v>3.85306543278612</v>
      </c>
      <c r="T49" s="9" t="s">
        <v>126</v>
      </c>
      <c r="U49" s="14" t="s">
        <v>91</v>
      </c>
      <c r="V49" s="14" t="s">
        <v>92</v>
      </c>
    </row>
    <row r="50" customFormat="false" ht="15" hidden="false" customHeight="false" outlineLevel="0" collapsed="false">
      <c r="A50" s="11" t="n">
        <f aca="false">Data_Monthly!A49</f>
        <v>45653</v>
      </c>
      <c r="B50" s="12" t="n">
        <f aca="false">Data_Monthly!L49</f>
        <v>2.38550048498478</v>
      </c>
      <c r="C50" s="13" t="n">
        <f aca="false">IF($A50&gt;=$U$5,1,0)</f>
        <v>1</v>
      </c>
      <c r="D50" s="13" t="n">
        <f aca="false">IF(MONTH($A50)=2,1,0)</f>
        <v>0</v>
      </c>
      <c r="E50" s="13" t="n">
        <f aca="false">IF(MONTH($A50)=3,1,0)</f>
        <v>0</v>
      </c>
      <c r="F50" s="13" t="n">
        <f aca="false">IF(MONTH($A50)=4,1,0)</f>
        <v>0</v>
      </c>
      <c r="G50" s="13" t="n">
        <f aca="false">IF(MONTH($A50)=5,1,0)</f>
        <v>0</v>
      </c>
      <c r="H50" s="13" t="n">
        <f aca="false">IF(MONTH($A50)=6,1,0)</f>
        <v>0</v>
      </c>
      <c r="I50" s="13" t="n">
        <f aca="false">IF(MONTH($A50)=7,1,0)</f>
        <v>0</v>
      </c>
      <c r="J50" s="13" t="n">
        <f aca="false">IF(MONTH($A50)=8,1,0)</f>
        <v>0</v>
      </c>
      <c r="K50" s="13" t="n">
        <f aca="false">IF(MONTH($A50)=9,1,0)</f>
        <v>0</v>
      </c>
      <c r="L50" s="13" t="n">
        <f aca="false">IF(MONTH($A50)=10,1,0)</f>
        <v>0</v>
      </c>
      <c r="M50" s="13" t="n">
        <f aca="false">IF(MONTH($A50)=11,1,0)</f>
        <v>0</v>
      </c>
      <c r="N50" s="13" t="n">
        <f aca="false">IF(MONTH($A50)=12,1,0)</f>
        <v>1</v>
      </c>
      <c r="O50" s="7" t="n">
        <f aca="false">$B$5+SUMPRODUCT(C50:N50,$C$5:$N$5)</f>
        <v>3.42589337739645</v>
      </c>
      <c r="P50" s="7" t="n">
        <f aca="false">B50-O50</f>
        <v>-1.04039289241167</v>
      </c>
      <c r="Q50" s="7" t="n">
        <f aca="false">P50^2</f>
        <v>1.08241737058072</v>
      </c>
      <c r="T50" s="5" t="s">
        <v>109</v>
      </c>
      <c r="U50" s="7" t="n">
        <f aca="false">Y7</f>
        <v>-1.45813517729789</v>
      </c>
      <c r="V50" s="16" t="n">
        <v>-1.45813517729789</v>
      </c>
    </row>
    <row r="51" customFormat="false" ht="15" hidden="false" customHeight="false" outlineLevel="0" collapsed="false">
      <c r="A51" s="11" t="n">
        <f aca="false">Data_Monthly!A50</f>
        <v>45681</v>
      </c>
      <c r="B51" s="12" t="n">
        <f aca="false">Data_Monthly!L50</f>
        <v>-1.54374901465779</v>
      </c>
      <c r="C51" s="13" t="n">
        <f aca="false">IF($A51&gt;=$U$5,1,0)</f>
        <v>1</v>
      </c>
      <c r="D51" s="13" t="n">
        <f aca="false">IF(MONTH($A51)=2,1,0)</f>
        <v>0</v>
      </c>
      <c r="E51" s="13" t="n">
        <f aca="false">IF(MONTH($A51)=3,1,0)</f>
        <v>0</v>
      </c>
      <c r="F51" s="13" t="n">
        <f aca="false">IF(MONTH($A51)=4,1,0)</f>
        <v>0</v>
      </c>
      <c r="G51" s="13" t="n">
        <f aca="false">IF(MONTH($A51)=5,1,0)</f>
        <v>0</v>
      </c>
      <c r="H51" s="13" t="n">
        <f aca="false">IF(MONTH($A51)=6,1,0)</f>
        <v>0</v>
      </c>
      <c r="I51" s="13" t="n">
        <f aca="false">IF(MONTH($A51)=7,1,0)</f>
        <v>0</v>
      </c>
      <c r="J51" s="13" t="n">
        <f aca="false">IF(MONTH($A51)=8,1,0)</f>
        <v>0</v>
      </c>
      <c r="K51" s="13" t="n">
        <f aca="false">IF(MONTH($A51)=9,1,0)</f>
        <v>0</v>
      </c>
      <c r="L51" s="13" t="n">
        <f aca="false">IF(MONTH($A51)=10,1,0)</f>
        <v>0</v>
      </c>
      <c r="M51" s="13" t="n">
        <f aca="false">IF(MONTH($A51)=11,1,0)</f>
        <v>0</v>
      </c>
      <c r="N51" s="13" t="n">
        <f aca="false">IF(MONTH($A51)=12,1,0)</f>
        <v>0</v>
      </c>
      <c r="O51" s="7" t="n">
        <f aca="false">$B$5+SUMPRODUCT(C51:N51,$C$5:$N$5)</f>
        <v>-2.17455653909699</v>
      </c>
      <c r="P51" s="7" t="n">
        <f aca="false">B51-O51</f>
        <v>0.6308075244392</v>
      </c>
      <c r="Q51" s="7" t="n">
        <f aca="false">P51^2</f>
        <v>0.397918132889111</v>
      </c>
      <c r="T51" s="5" t="s">
        <v>110</v>
      </c>
      <c r="U51" s="7" t="n">
        <f aca="false">Z7</f>
        <v>0.674928720231118</v>
      </c>
      <c r="V51" s="16" t="n">
        <v>0.674928720231118</v>
      </c>
    </row>
    <row r="52" customFormat="false" ht="15" hidden="false" customHeight="false" outlineLevel="0" collapsed="false">
      <c r="T52" s="5" t="s">
        <v>102</v>
      </c>
      <c r="U52" s="7" t="n">
        <f aca="false">AA7</f>
        <v>-2.16042840316318</v>
      </c>
      <c r="V52" s="16" t="n">
        <v>-2.16042840316319</v>
      </c>
    </row>
    <row r="53" customFormat="false" ht="15" hidden="false" customHeight="false" outlineLevel="0" collapsed="false">
      <c r="T53" s="5" t="s">
        <v>88</v>
      </c>
      <c r="U53" s="7" t="n">
        <f aca="false">AB7</f>
        <v>0.0383338072997834</v>
      </c>
      <c r="V53" s="16" t="n">
        <v>0.0383338072997834</v>
      </c>
    </row>
    <row r="54" customFormat="false" ht="15" hidden="false" customHeight="false" outlineLevel="0" collapsed="false">
      <c r="T54" s="5" t="s">
        <v>127</v>
      </c>
      <c r="U54" s="7" t="n">
        <f aca="false">_xlfn.F.DIST.RT((($U$29-$U$41)/11)/($U$41/$U$43),11,$U$43)</f>
        <v>0.0101663510205506</v>
      </c>
      <c r="V54" s="16" t="n">
        <v>0.0101663510205506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6"/>
    <col collapsed="false" customWidth="true" hidden="false" outlineLevel="0" max="14" min="4" style="0" width="5"/>
    <col collapsed="false" customWidth="true" hidden="false" outlineLevel="0" max="16" min="15" style="0" width="8"/>
    <col collapsed="false" customWidth="true" hidden="false" outlineLevel="0" max="18" min="17" style="0" width="9"/>
    <col collapsed="false" customWidth="true" hidden="false" outlineLevel="0" max="19" min="19" style="0" width="2"/>
    <col collapsed="false" customWidth="true" hidden="false" outlineLevel="0" max="20" min="20" style="0" width="50"/>
    <col collapsed="false" customWidth="true" hidden="false" outlineLevel="0" max="22" min="21" style="0" width="13"/>
    <col collapsed="false" customWidth="true" hidden="false" outlineLevel="0" max="23" min="23" style="0" width="2"/>
    <col collapsed="false" customWidth="true" hidden="false" outlineLevel="0" max="24" min="24" style="0" width="10"/>
    <col collapsed="false" customWidth="true" hidden="false" outlineLevel="0" max="36" min="25" style="0" width="8"/>
  </cols>
  <sheetData>
    <row r="1" customFormat="false" ht="15" hidden="false" customHeight="false" outlineLevel="0" collapsed="false">
      <c r="A1" s="1" t="s">
        <v>153</v>
      </c>
    </row>
    <row r="2" customFormat="false" ht="15" hidden="false" customHeight="false" outlineLevel="0" collapsed="false">
      <c r="A2" s="2" t="s">
        <v>154</v>
      </c>
    </row>
    <row r="4" customFormat="false" ht="15" hidden="false" customHeight="false" outlineLevel="0" collapsed="false">
      <c r="A4" s="1" t="s">
        <v>155</v>
      </c>
      <c r="T4" s="6" t="s">
        <v>62</v>
      </c>
    </row>
    <row r="5" customFormat="false" ht="15" hidden="false" customHeight="false" outlineLevel="0" collapsed="false">
      <c r="A5" s="2" t="s">
        <v>63</v>
      </c>
      <c r="B5" s="7" t="n">
        <f aca="false">Y19</f>
        <v>0.543711367777637</v>
      </c>
      <c r="C5" s="7" t="n">
        <f aca="false">Y7</f>
        <v>-0.0530975559496076</v>
      </c>
      <c r="D5" s="7" t="n">
        <f aca="false">Y8</f>
        <v>-0.0173321934786145</v>
      </c>
      <c r="E5" s="7" t="n">
        <f aca="false">Y9</f>
        <v>2.08241081743987</v>
      </c>
      <c r="F5" s="7" t="n">
        <f aca="false">Y10</f>
        <v>0.551327330585479</v>
      </c>
      <c r="G5" s="7" t="n">
        <f aca="false">Y11</f>
        <v>-0.160164223036012</v>
      </c>
      <c r="H5" s="7" t="n">
        <f aca="false">Y12</f>
        <v>-0.7734198527204</v>
      </c>
      <c r="I5" s="7" t="n">
        <f aca="false">Y13</f>
        <v>2.00523233005473</v>
      </c>
      <c r="J5" s="7" t="n">
        <f aca="false">Y14</f>
        <v>0.0837548520470423</v>
      </c>
      <c r="K5" s="7" t="n">
        <f aca="false">Y15</f>
        <v>-1.29853155142789</v>
      </c>
      <c r="L5" s="7" t="n">
        <f aca="false">Y16</f>
        <v>2.70069007957903</v>
      </c>
      <c r="M5" s="7" t="n">
        <f aca="false">Y17</f>
        <v>-1.04945686741924</v>
      </c>
      <c r="N5" s="7" t="n">
        <f aca="false">Y18</f>
        <v>0.20643716617695</v>
      </c>
      <c r="T5" s="5" t="s">
        <v>64</v>
      </c>
      <c r="U5" s="8" t="n">
        <v>44895</v>
      </c>
      <c r="X5" s="9" t="s">
        <v>65</v>
      </c>
      <c r="Y5" s="10"/>
      <c r="Z5" s="10"/>
      <c r="AA5" s="10"/>
      <c r="AB5" s="10"/>
      <c r="AC5" s="10"/>
    </row>
    <row r="6" customFormat="false" ht="18" hidden="false" customHeight="true" outlineLevel="0" collapsed="false">
      <c r="A6" s="3" t="s">
        <v>66</v>
      </c>
      <c r="B6" s="3" t="s">
        <v>67</v>
      </c>
      <c r="C6" s="3" t="s">
        <v>68</v>
      </c>
      <c r="D6" s="3" t="s">
        <v>69</v>
      </c>
      <c r="E6" s="3" t="s">
        <v>70</v>
      </c>
      <c r="F6" s="3" t="s">
        <v>71</v>
      </c>
      <c r="G6" s="3" t="s">
        <v>72</v>
      </c>
      <c r="H6" s="3" t="s">
        <v>73</v>
      </c>
      <c r="I6" s="3" t="s">
        <v>74</v>
      </c>
      <c r="J6" s="3" t="s">
        <v>75</v>
      </c>
      <c r="K6" s="3" t="s">
        <v>76</v>
      </c>
      <c r="L6" s="3" t="s">
        <v>77</v>
      </c>
      <c r="M6" s="3" t="s">
        <v>78</v>
      </c>
      <c r="N6" s="3" t="s">
        <v>79</v>
      </c>
      <c r="O6" s="3" t="s">
        <v>80</v>
      </c>
      <c r="P6" s="3" t="s">
        <v>81</v>
      </c>
      <c r="Q6" s="3" t="s">
        <v>82</v>
      </c>
      <c r="R6" s="3" t="s">
        <v>156</v>
      </c>
      <c r="T6" s="2" t="s">
        <v>157</v>
      </c>
      <c r="X6" s="3" t="s">
        <v>84</v>
      </c>
      <c r="Y6" s="3" t="s">
        <v>85</v>
      </c>
      <c r="Z6" s="3" t="s">
        <v>86</v>
      </c>
      <c r="AA6" s="3" t="s">
        <v>87</v>
      </c>
      <c r="AB6" s="3" t="s">
        <v>88</v>
      </c>
      <c r="AC6" s="3" t="s">
        <v>89</v>
      </c>
    </row>
    <row r="7" customFormat="false" ht="15" hidden="false" customHeight="false" outlineLevel="0" collapsed="false">
      <c r="A7" s="11" t="n">
        <f aca="false">Data_Monthly!A8</f>
        <v>44407</v>
      </c>
      <c r="B7" s="12" t="n">
        <f aca="false">Data_Monthly!J8</f>
        <v>4.88027680938113</v>
      </c>
      <c r="C7" s="13" t="n">
        <f aca="false">IF($A7&gt;=$U$5,1,0)</f>
        <v>0</v>
      </c>
      <c r="D7" s="13" t="n">
        <f aca="false">IF(MONTH($A7)=2,1,0)</f>
        <v>0</v>
      </c>
      <c r="E7" s="13" t="n">
        <f aca="false">IF(MONTH($A7)=3,1,0)</f>
        <v>0</v>
      </c>
      <c r="F7" s="13" t="n">
        <f aca="false">IF(MONTH($A7)=4,1,0)</f>
        <v>0</v>
      </c>
      <c r="G7" s="13" t="n">
        <f aca="false">IF(MONTH($A7)=5,1,0)</f>
        <v>0</v>
      </c>
      <c r="H7" s="13" t="n">
        <f aca="false">IF(MONTH($A7)=6,1,0)</f>
        <v>0</v>
      </c>
      <c r="I7" s="13" t="n">
        <f aca="false">IF(MONTH($A7)=7,1,0)</f>
        <v>1</v>
      </c>
      <c r="J7" s="13" t="n">
        <f aca="false">IF(MONTH($A7)=8,1,0)</f>
        <v>0</v>
      </c>
      <c r="K7" s="13" t="n">
        <f aca="false">IF(MONTH($A7)=9,1,0)</f>
        <v>0</v>
      </c>
      <c r="L7" s="13" t="n">
        <f aca="false">IF(MONTH($A7)=10,1,0)</f>
        <v>0</v>
      </c>
      <c r="M7" s="13" t="n">
        <f aca="false">IF(MONTH($A7)=11,1,0)</f>
        <v>0</v>
      </c>
      <c r="N7" s="13" t="n">
        <f aca="false">IF(MONTH($A7)=12,1,0)</f>
        <v>0</v>
      </c>
      <c r="O7" s="7" t="n">
        <f aca="false">$B$5+SUMPRODUCT(C7:N7,$C$5:$N$5)</f>
        <v>2.54894369783237</v>
      </c>
      <c r="P7" s="7" t="n">
        <f aca="false">B7-O7</f>
        <v>2.33133311154876</v>
      </c>
      <c r="Q7" s="7" t="n">
        <f aca="false">P7^2</f>
        <v>5.43511407700364</v>
      </c>
      <c r="R7" s="7" t="n">
        <f aca="false">(ROW()-ROW($A$7))/12</f>
        <v>0</v>
      </c>
      <c r="T7" s="9" t="s">
        <v>90</v>
      </c>
      <c r="U7" s="14" t="s">
        <v>91</v>
      </c>
      <c r="V7" s="14" t="s">
        <v>92</v>
      </c>
      <c r="X7" s="5" t="s">
        <v>68</v>
      </c>
      <c r="Y7" s="7" t="n">
        <f aca="false">INDEX(LINEST(B7:B35,C7:N35,TRUE(),TRUE()),1,12)</f>
        <v>-0.0530975559496076</v>
      </c>
      <c r="Z7" s="7" t="n">
        <f aca="false">INDEX(LINEST(B7:B35,C7:N35,TRUE(),TRUE()),2,12)</f>
        <v>0.432782689977899</v>
      </c>
      <c r="AA7" s="7" t="n">
        <f aca="false">Y7/Z7</f>
        <v>-0.122688723877379</v>
      </c>
      <c r="AB7" s="7" t="n">
        <f aca="false">_xlfn.T.DIST.2T(ABS(AA7),$U$25)</f>
        <v>0.903881456322125</v>
      </c>
      <c r="AC7" s="7" t="n">
        <f aca="false">INDEX(MINVERSE($Y$23:$AJ$34),1,1)</f>
        <v>1.02943650126156</v>
      </c>
    </row>
    <row r="8" customFormat="false" ht="15" hidden="false" customHeight="false" outlineLevel="0" collapsed="false">
      <c r="A8" s="11" t="n">
        <f aca="false">Data_Monthly!A9</f>
        <v>44435</v>
      </c>
      <c r="B8" s="12" t="n">
        <f aca="false">Data_Monthly!J9</f>
        <v>1.33408020174303</v>
      </c>
      <c r="C8" s="13" t="n">
        <f aca="false">IF($A8&gt;=$U$5,1,0)</f>
        <v>0</v>
      </c>
      <c r="D8" s="13" t="n">
        <f aca="false">IF(MONTH($A8)=2,1,0)</f>
        <v>0</v>
      </c>
      <c r="E8" s="13" t="n">
        <f aca="false">IF(MONTH($A8)=3,1,0)</f>
        <v>0</v>
      </c>
      <c r="F8" s="13" t="n">
        <f aca="false">IF(MONTH($A8)=4,1,0)</f>
        <v>0</v>
      </c>
      <c r="G8" s="13" t="n">
        <f aca="false">IF(MONTH($A8)=5,1,0)</f>
        <v>0</v>
      </c>
      <c r="H8" s="13" t="n">
        <f aca="false">IF(MONTH($A8)=6,1,0)</f>
        <v>0</v>
      </c>
      <c r="I8" s="13" t="n">
        <f aca="false">IF(MONTH($A8)=7,1,0)</f>
        <v>0</v>
      </c>
      <c r="J8" s="13" t="n">
        <f aca="false">IF(MONTH($A8)=8,1,0)</f>
        <v>1</v>
      </c>
      <c r="K8" s="13" t="n">
        <f aca="false">IF(MONTH($A8)=9,1,0)</f>
        <v>0</v>
      </c>
      <c r="L8" s="13" t="n">
        <f aca="false">IF(MONTH($A8)=10,1,0)</f>
        <v>0</v>
      </c>
      <c r="M8" s="13" t="n">
        <f aca="false">IF(MONTH($A8)=11,1,0)</f>
        <v>0</v>
      </c>
      <c r="N8" s="13" t="n">
        <f aca="false">IF(MONTH($A8)=12,1,0)</f>
        <v>0</v>
      </c>
      <c r="O8" s="7" t="n">
        <f aca="false">$B$5+SUMPRODUCT(C8:N8,$C$5:$N$5)</f>
        <v>0.627466219824679</v>
      </c>
      <c r="P8" s="7" t="n">
        <f aca="false">B8-O8</f>
        <v>0.706613981918351</v>
      </c>
      <c r="Q8" s="7" t="n">
        <f aca="false">P8^2</f>
        <v>0.499303319442507</v>
      </c>
      <c r="R8" s="7" t="n">
        <f aca="false">(ROW()-ROW($A$7))/12</f>
        <v>0.0833333333333333</v>
      </c>
      <c r="T8" s="5" t="s">
        <v>93</v>
      </c>
      <c r="U8" s="13" t="n">
        <f aca="false">COUNT(B7:B23)</f>
        <v>17</v>
      </c>
      <c r="V8" s="15" t="n">
        <v>17</v>
      </c>
      <c r="X8" s="5" t="s">
        <v>69</v>
      </c>
      <c r="Y8" s="7" t="n">
        <f aca="false">INDEX(LINEST(B7:B35,C7:N35,TRUE(),TRUE()),1,11)</f>
        <v>-0.0173321934786145</v>
      </c>
      <c r="Z8" s="7" t="n">
        <f aca="false">INDEX(LINEST(B7:B35,C7:N35,TRUE(),TRUE()),2,11)</f>
        <v>1.13132187628195</v>
      </c>
      <c r="AA8" s="7" t="n">
        <f aca="false">Y8/Z8</f>
        <v>-0.0153203025964424</v>
      </c>
      <c r="AB8" s="7" t="n">
        <f aca="false">_xlfn.T.DIST.2T(ABS(AA8),$U$25)</f>
        <v>0.987966058375068</v>
      </c>
      <c r="AC8" s="7" t="n">
        <f aca="false">INDEX(MINVERSE($Y$23:$AJ$34),2,2)</f>
        <v>1.86206896551724</v>
      </c>
    </row>
    <row r="9" customFormat="false" ht="15" hidden="false" customHeight="false" outlineLevel="0" collapsed="false">
      <c r="A9" s="11" t="n">
        <f aca="false">Data_Monthly!A10</f>
        <v>44463</v>
      </c>
      <c r="B9" s="12" t="n">
        <f aca="false">Data_Monthly!J10</f>
        <v>-0.881834911805216</v>
      </c>
      <c r="C9" s="13" t="n">
        <f aca="false">IF($A9&gt;=$U$5,1,0)</f>
        <v>0</v>
      </c>
      <c r="D9" s="13" t="n">
        <f aca="false">IF(MONTH($A9)=2,1,0)</f>
        <v>0</v>
      </c>
      <c r="E9" s="13" t="n">
        <f aca="false">IF(MONTH($A9)=3,1,0)</f>
        <v>0</v>
      </c>
      <c r="F9" s="13" t="n">
        <f aca="false">IF(MONTH($A9)=4,1,0)</f>
        <v>0</v>
      </c>
      <c r="G9" s="13" t="n">
        <f aca="false">IF(MONTH($A9)=5,1,0)</f>
        <v>0</v>
      </c>
      <c r="H9" s="13" t="n">
        <f aca="false">IF(MONTH($A9)=6,1,0)</f>
        <v>0</v>
      </c>
      <c r="I9" s="13" t="n">
        <f aca="false">IF(MONTH($A9)=7,1,0)</f>
        <v>0</v>
      </c>
      <c r="J9" s="13" t="n">
        <f aca="false">IF(MONTH($A9)=8,1,0)</f>
        <v>0</v>
      </c>
      <c r="K9" s="13" t="n">
        <f aca="false">IF(MONTH($A9)=9,1,0)</f>
        <v>1</v>
      </c>
      <c r="L9" s="13" t="n">
        <f aca="false">IF(MONTH($A9)=10,1,0)</f>
        <v>0</v>
      </c>
      <c r="M9" s="13" t="n">
        <f aca="false">IF(MONTH($A9)=11,1,0)</f>
        <v>0</v>
      </c>
      <c r="N9" s="13" t="n">
        <f aca="false">IF(MONTH($A9)=12,1,0)</f>
        <v>0</v>
      </c>
      <c r="O9" s="7" t="n">
        <f aca="false">$B$5+SUMPRODUCT(C9:N9,$C$5:$N$5)</f>
        <v>-0.754820183650255</v>
      </c>
      <c r="P9" s="7" t="n">
        <f aca="false">B9-O9</f>
        <v>-0.127014728154961</v>
      </c>
      <c r="Q9" s="7" t="n">
        <f aca="false">P9^2</f>
        <v>0.0161327411682787</v>
      </c>
      <c r="R9" s="7" t="n">
        <f aca="false">(ROW()-ROW($A$7))/12</f>
        <v>0.166666666666667</v>
      </c>
      <c r="T9" s="5" t="s">
        <v>94</v>
      </c>
      <c r="U9" s="13" t="n">
        <f aca="false">COUNT(B24:B35)</f>
        <v>12</v>
      </c>
      <c r="V9" s="15" t="n">
        <v>12</v>
      </c>
      <c r="X9" s="5" t="s">
        <v>70</v>
      </c>
      <c r="Y9" s="7" t="n">
        <f aca="false">INDEX(LINEST(B7:B35,C7:N35,TRUE(),TRUE()),1,10)</f>
        <v>2.08241081743987</v>
      </c>
      <c r="Z9" s="7" t="n">
        <f aca="false">INDEX(LINEST(B7:B35,C7:N35,TRUE(),TRUE()),2,10)</f>
        <v>1.13132187628195</v>
      </c>
      <c r="AA9" s="7" t="n">
        <f aca="false">Y9/Z9</f>
        <v>1.84068819060021</v>
      </c>
      <c r="AB9" s="7" t="n">
        <f aca="false">_xlfn.T.DIST.2T(ABS(AA9),$U$25)</f>
        <v>0.0842887900044812</v>
      </c>
      <c r="AC9" s="7" t="n">
        <f aca="false">INDEX(MINVERSE($Y$23:$AJ$34),3,3)</f>
        <v>1.86206896551724</v>
      </c>
    </row>
    <row r="10" customFormat="false" ht="15" hidden="false" customHeight="false" outlineLevel="0" collapsed="false">
      <c r="A10" s="11" t="n">
        <f aca="false">Data_Monthly!A11</f>
        <v>44491</v>
      </c>
      <c r="B10" s="12" t="n">
        <f aca="false">Data_Monthly!J11</f>
        <v>3.04752049579475</v>
      </c>
      <c r="C10" s="13" t="n">
        <f aca="false">IF($A10&gt;=$U$5,1,0)</f>
        <v>0</v>
      </c>
      <c r="D10" s="13" t="n">
        <f aca="false">IF(MONTH($A10)=2,1,0)</f>
        <v>0</v>
      </c>
      <c r="E10" s="13" t="n">
        <f aca="false">IF(MONTH($A10)=3,1,0)</f>
        <v>0</v>
      </c>
      <c r="F10" s="13" t="n">
        <f aca="false">IF(MONTH($A10)=4,1,0)</f>
        <v>0</v>
      </c>
      <c r="G10" s="13" t="n">
        <f aca="false">IF(MONTH($A10)=5,1,0)</f>
        <v>0</v>
      </c>
      <c r="H10" s="13" t="n">
        <f aca="false">IF(MONTH($A10)=6,1,0)</f>
        <v>0</v>
      </c>
      <c r="I10" s="13" t="n">
        <f aca="false">IF(MONTH($A10)=7,1,0)</f>
        <v>0</v>
      </c>
      <c r="J10" s="13" t="n">
        <f aca="false">IF(MONTH($A10)=8,1,0)</f>
        <v>0</v>
      </c>
      <c r="K10" s="13" t="n">
        <f aca="false">IF(MONTH($A10)=9,1,0)</f>
        <v>0</v>
      </c>
      <c r="L10" s="13" t="n">
        <f aca="false">IF(MONTH($A10)=10,1,0)</f>
        <v>1</v>
      </c>
      <c r="M10" s="13" t="n">
        <f aca="false">IF(MONTH($A10)=11,1,0)</f>
        <v>0</v>
      </c>
      <c r="N10" s="13" t="n">
        <f aca="false">IF(MONTH($A10)=12,1,0)</f>
        <v>0</v>
      </c>
      <c r="O10" s="7" t="n">
        <f aca="false">$B$5+SUMPRODUCT(C10:N10,$C$5:$N$5)</f>
        <v>3.24440144735667</v>
      </c>
      <c r="P10" s="7" t="n">
        <f aca="false">B10-O10</f>
        <v>-0.196880951561913</v>
      </c>
      <c r="Q10" s="7" t="n">
        <f aca="false">P10^2</f>
        <v>0.0387621090879242</v>
      </c>
      <c r="R10" s="7" t="n">
        <f aca="false">(ROW()-ROW($A$7))/12</f>
        <v>0.25</v>
      </c>
      <c r="T10" s="5" t="s">
        <v>95</v>
      </c>
      <c r="U10" s="7" t="n">
        <f aca="false">AVERAGE(B7:B23)</f>
        <v>0.94210176369732</v>
      </c>
      <c r="V10" s="16" t="n">
        <v>0.94210176369732</v>
      </c>
      <c r="X10" s="5" t="s">
        <v>71</v>
      </c>
      <c r="Y10" s="7" t="n">
        <f aca="false">INDEX(LINEST(B7:B35,C7:N35,TRUE(),TRUE()),1,9)</f>
        <v>0.551327330585479</v>
      </c>
      <c r="Z10" s="7" t="n">
        <f aca="false">INDEX(LINEST(B7:B35,C7:N35,TRUE(),TRUE()),2,9)</f>
        <v>1.13132187628196</v>
      </c>
      <c r="AA10" s="7" t="n">
        <f aca="false">Y10/Z10</f>
        <v>0.487330212686592</v>
      </c>
      <c r="AB10" s="7" t="n">
        <f aca="false">_xlfn.T.DIST.2T(ABS(AA10),$U$25)</f>
        <v>0.632633856615744</v>
      </c>
      <c r="AC10" s="7" t="n">
        <f aca="false">INDEX(MINVERSE($Y$23:$AJ$34),4,4)</f>
        <v>1.86206896551724</v>
      </c>
    </row>
    <row r="11" customFormat="false" ht="15" hidden="false" customHeight="false" outlineLevel="0" collapsed="false">
      <c r="A11" s="11" t="n">
        <f aca="false">Data_Monthly!A12</f>
        <v>44519</v>
      </c>
      <c r="B11" s="12" t="n">
        <f aca="false">Data_Monthly!J12</f>
        <v>0.223175697028447</v>
      </c>
      <c r="C11" s="13" t="n">
        <f aca="false">IF($A11&gt;=$U$5,1,0)</f>
        <v>0</v>
      </c>
      <c r="D11" s="13" t="n">
        <f aca="false">IF(MONTH($A11)=2,1,0)</f>
        <v>0</v>
      </c>
      <c r="E11" s="13" t="n">
        <f aca="false">IF(MONTH($A11)=3,1,0)</f>
        <v>0</v>
      </c>
      <c r="F11" s="13" t="n">
        <f aca="false">IF(MONTH($A11)=4,1,0)</f>
        <v>0</v>
      </c>
      <c r="G11" s="13" t="n">
        <f aca="false">IF(MONTH($A11)=5,1,0)</f>
        <v>0</v>
      </c>
      <c r="H11" s="13" t="n">
        <f aca="false">IF(MONTH($A11)=6,1,0)</f>
        <v>0</v>
      </c>
      <c r="I11" s="13" t="n">
        <f aca="false">IF(MONTH($A11)=7,1,0)</f>
        <v>0</v>
      </c>
      <c r="J11" s="13" t="n">
        <f aca="false">IF(MONTH($A11)=8,1,0)</f>
        <v>0</v>
      </c>
      <c r="K11" s="13" t="n">
        <f aca="false">IF(MONTH($A11)=9,1,0)</f>
        <v>0</v>
      </c>
      <c r="L11" s="13" t="n">
        <f aca="false">IF(MONTH($A11)=10,1,0)</f>
        <v>0</v>
      </c>
      <c r="M11" s="13" t="n">
        <f aca="false">IF(MONTH($A11)=11,1,0)</f>
        <v>1</v>
      </c>
      <c r="N11" s="13" t="n">
        <f aca="false">IF(MONTH($A11)=12,1,0)</f>
        <v>0</v>
      </c>
      <c r="O11" s="7" t="n">
        <f aca="false">$B$5+SUMPRODUCT(C11:N11,$C$5:$N$5)</f>
        <v>-0.505745499641602</v>
      </c>
      <c r="P11" s="7" t="n">
        <f aca="false">B11-O11</f>
        <v>0.728921196670049</v>
      </c>
      <c r="Q11" s="7" t="n">
        <f aca="false">P11^2</f>
        <v>0.531326110954896</v>
      </c>
      <c r="R11" s="7" t="n">
        <f aca="false">(ROW()-ROW($A$7))/12</f>
        <v>0.333333333333333</v>
      </c>
      <c r="T11" s="5" t="s">
        <v>96</v>
      </c>
      <c r="U11" s="7" t="n">
        <f aca="false">AVERAGE(B24:B35)</f>
        <v>0.851526135811441</v>
      </c>
      <c r="V11" s="16" t="n">
        <v>0.851526135811441</v>
      </c>
      <c r="X11" s="5" t="s">
        <v>72</v>
      </c>
      <c r="Y11" s="7" t="n">
        <f aca="false">INDEX(LINEST(B7:B35,C7:N35,TRUE(),TRUE()),1,8)</f>
        <v>-0.160164223036012</v>
      </c>
      <c r="Z11" s="7" t="n">
        <f aca="false">INDEX(LINEST(B7:B35,C7:N35,TRUE(),TRUE()),2,8)</f>
        <v>1.13132187628196</v>
      </c>
      <c r="AA11" s="7" t="n">
        <f aca="false">Y11/Z11</f>
        <v>-0.141572638515915</v>
      </c>
      <c r="AB11" s="7" t="n">
        <f aca="false">_xlfn.T.DIST.2T(ABS(AA11),$U$25)</f>
        <v>0.889184814336803</v>
      </c>
      <c r="AC11" s="7" t="n">
        <f aca="false">INDEX(MINVERSE($Y$23:$AJ$34),5,5)</f>
        <v>1.86206896551724</v>
      </c>
    </row>
    <row r="12" customFormat="false" ht="15" hidden="false" customHeight="false" outlineLevel="0" collapsed="false">
      <c r="A12" s="11" t="n">
        <f aca="false">Data_Monthly!A13</f>
        <v>44561</v>
      </c>
      <c r="B12" s="12" t="n">
        <f aca="false">Data_Monthly!J13</f>
        <v>0.551112093808145</v>
      </c>
      <c r="C12" s="13" t="n">
        <f aca="false">IF($A12&gt;=$U$5,1,0)</f>
        <v>0</v>
      </c>
      <c r="D12" s="13" t="n">
        <f aca="false">IF(MONTH($A12)=2,1,0)</f>
        <v>0</v>
      </c>
      <c r="E12" s="13" t="n">
        <f aca="false">IF(MONTH($A12)=3,1,0)</f>
        <v>0</v>
      </c>
      <c r="F12" s="13" t="n">
        <f aca="false">IF(MONTH($A12)=4,1,0)</f>
        <v>0</v>
      </c>
      <c r="G12" s="13" t="n">
        <f aca="false">IF(MONTH($A12)=5,1,0)</f>
        <v>0</v>
      </c>
      <c r="H12" s="13" t="n">
        <f aca="false">IF(MONTH($A12)=6,1,0)</f>
        <v>0</v>
      </c>
      <c r="I12" s="13" t="n">
        <f aca="false">IF(MONTH($A12)=7,1,0)</f>
        <v>0</v>
      </c>
      <c r="J12" s="13" t="n">
        <f aca="false">IF(MONTH($A12)=8,1,0)</f>
        <v>0</v>
      </c>
      <c r="K12" s="13" t="n">
        <f aca="false">IF(MONTH($A12)=9,1,0)</f>
        <v>0</v>
      </c>
      <c r="L12" s="13" t="n">
        <f aca="false">IF(MONTH($A12)=10,1,0)</f>
        <v>0</v>
      </c>
      <c r="M12" s="13" t="n">
        <f aca="false">IF(MONTH($A12)=11,1,0)</f>
        <v>0</v>
      </c>
      <c r="N12" s="13" t="n">
        <f aca="false">IF(MONTH($A12)=12,1,0)</f>
        <v>1</v>
      </c>
      <c r="O12" s="7" t="n">
        <f aca="false">$B$5+SUMPRODUCT(C12:N12,$C$5:$N$5)</f>
        <v>0.750148533954587</v>
      </c>
      <c r="P12" s="7" t="n">
        <f aca="false">B12-O12</f>
        <v>-0.199036440146442</v>
      </c>
      <c r="Q12" s="7" t="n">
        <f aca="false">P12^2</f>
        <v>0.0396155045061683</v>
      </c>
      <c r="R12" s="7" t="n">
        <f aca="false">(ROW()-ROW($A$7))/12</f>
        <v>0.416666666666667</v>
      </c>
      <c r="T12" s="5" t="s">
        <v>97</v>
      </c>
      <c r="U12" s="7" t="n">
        <f aca="false">_xlfn.STDEV.S(B7:B23)</f>
        <v>1.71077522243205</v>
      </c>
      <c r="V12" s="16" t="n">
        <v>1.71077522243205</v>
      </c>
      <c r="X12" s="5" t="s">
        <v>73</v>
      </c>
      <c r="Y12" s="7" t="n">
        <f aca="false">INDEX(LINEST(B7:B35,C7:N35,TRUE(),TRUE()),1,7)</f>
        <v>-0.7734198527204</v>
      </c>
      <c r="Z12" s="7" t="n">
        <f aca="false">INDEX(LINEST(B7:B35,C7:N35,TRUE(),TRUE()),2,7)</f>
        <v>1.13132187628195</v>
      </c>
      <c r="AA12" s="7" t="n">
        <f aca="false">Y12/Z12</f>
        <v>-0.683642621021538</v>
      </c>
      <c r="AB12" s="7" t="n">
        <f aca="false">_xlfn.T.DIST.2T(ABS(AA12),$U$25)</f>
        <v>0.503981951763305</v>
      </c>
      <c r="AC12" s="7" t="n">
        <f aca="false">INDEX(MINVERSE($Y$23:$AJ$34),6,6)</f>
        <v>1.86206896551724</v>
      </c>
    </row>
    <row r="13" customFormat="false" ht="15" hidden="false" customHeight="false" outlineLevel="0" collapsed="false">
      <c r="A13" s="11" t="n">
        <f aca="false">Data_Monthly!A14</f>
        <v>44589</v>
      </c>
      <c r="B13" s="12" t="n">
        <f aca="false">Data_Monthly!J14</f>
        <v>-0.440456063167271</v>
      </c>
      <c r="C13" s="13" t="n">
        <f aca="false">IF($A13&gt;=$U$5,1,0)</f>
        <v>0</v>
      </c>
      <c r="D13" s="13" t="n">
        <f aca="false">IF(MONTH($A13)=2,1,0)</f>
        <v>0</v>
      </c>
      <c r="E13" s="13" t="n">
        <f aca="false">IF(MONTH($A13)=3,1,0)</f>
        <v>0</v>
      </c>
      <c r="F13" s="13" t="n">
        <f aca="false">IF(MONTH($A13)=4,1,0)</f>
        <v>0</v>
      </c>
      <c r="G13" s="13" t="n">
        <f aca="false">IF(MONTH($A13)=5,1,0)</f>
        <v>0</v>
      </c>
      <c r="H13" s="13" t="n">
        <f aca="false">IF(MONTH($A13)=6,1,0)</f>
        <v>0</v>
      </c>
      <c r="I13" s="13" t="n">
        <f aca="false">IF(MONTH($A13)=7,1,0)</f>
        <v>0</v>
      </c>
      <c r="J13" s="13" t="n">
        <f aca="false">IF(MONTH($A13)=8,1,0)</f>
        <v>0</v>
      </c>
      <c r="K13" s="13" t="n">
        <f aca="false">IF(MONTH($A13)=9,1,0)</f>
        <v>0</v>
      </c>
      <c r="L13" s="13" t="n">
        <f aca="false">IF(MONTH($A13)=10,1,0)</f>
        <v>0</v>
      </c>
      <c r="M13" s="13" t="n">
        <f aca="false">IF(MONTH($A13)=11,1,0)</f>
        <v>0</v>
      </c>
      <c r="N13" s="13" t="n">
        <f aca="false">IF(MONTH($A13)=12,1,0)</f>
        <v>0</v>
      </c>
      <c r="O13" s="7" t="n">
        <f aca="false">$B$5+SUMPRODUCT(C13:N13,$C$5:$N$5)</f>
        <v>0.543711367777637</v>
      </c>
      <c r="P13" s="7" t="n">
        <f aca="false">B13-O13</f>
        <v>-0.984167430944908</v>
      </c>
      <c r="Q13" s="7" t="n">
        <f aca="false">P13^2</f>
        <v>0.968585532132701</v>
      </c>
      <c r="R13" s="7" t="n">
        <f aca="false">(ROW()-ROW($A$7))/12</f>
        <v>0.5</v>
      </c>
      <c r="T13" s="5" t="s">
        <v>98</v>
      </c>
      <c r="U13" s="7" t="n">
        <f aca="false">_xlfn.STDEV.S(B24:B35)</f>
        <v>1.4248115302525</v>
      </c>
      <c r="V13" s="16" t="n">
        <v>1.4248115302525</v>
      </c>
      <c r="X13" s="5" t="s">
        <v>74</v>
      </c>
      <c r="Y13" s="7" t="n">
        <f aca="false">INDEX(LINEST(B7:B35,C7:N35,TRUE(),TRUE()),1,6)</f>
        <v>2.00523233005473</v>
      </c>
      <c r="Z13" s="7" t="n">
        <f aca="false">INDEX(LINEST(B7:B35,C7:N35,TRUE(),TRUE()),2,6)</f>
        <v>1.03526669255061</v>
      </c>
      <c r="AA13" s="7" t="n">
        <f aca="false">Y13/Z13</f>
        <v>1.93692344637728</v>
      </c>
      <c r="AB13" s="7" t="n">
        <f aca="false">_xlfn.T.DIST.2T(ABS(AA13),$U$25)</f>
        <v>0.0706176630492658</v>
      </c>
      <c r="AC13" s="7" t="n">
        <f aca="false">INDEX(MINVERSE($Y$23:$AJ$34),7,7)</f>
        <v>2.25231286795626</v>
      </c>
    </row>
    <row r="14" customFormat="false" ht="15" hidden="false" customHeight="false" outlineLevel="0" collapsed="false">
      <c r="A14" s="11" t="n">
        <f aca="false">Data_Monthly!A15</f>
        <v>44617</v>
      </c>
      <c r="B14" s="12" t="n">
        <f aca="false">Data_Monthly!J15</f>
        <v>0.446682007177657</v>
      </c>
      <c r="C14" s="13" t="n">
        <f aca="false">IF($A14&gt;=$U$5,1,0)</f>
        <v>0</v>
      </c>
      <c r="D14" s="13" t="n">
        <f aca="false">IF(MONTH($A14)=2,1,0)</f>
        <v>1</v>
      </c>
      <c r="E14" s="13" t="n">
        <f aca="false">IF(MONTH($A14)=3,1,0)</f>
        <v>0</v>
      </c>
      <c r="F14" s="13" t="n">
        <f aca="false">IF(MONTH($A14)=4,1,0)</f>
        <v>0</v>
      </c>
      <c r="G14" s="13" t="n">
        <f aca="false">IF(MONTH($A14)=5,1,0)</f>
        <v>0</v>
      </c>
      <c r="H14" s="13" t="n">
        <f aca="false">IF(MONTH($A14)=6,1,0)</f>
        <v>0</v>
      </c>
      <c r="I14" s="13" t="n">
        <f aca="false">IF(MONTH($A14)=7,1,0)</f>
        <v>0</v>
      </c>
      <c r="J14" s="13" t="n">
        <f aca="false">IF(MONTH($A14)=8,1,0)</f>
        <v>0</v>
      </c>
      <c r="K14" s="13" t="n">
        <f aca="false">IF(MONTH($A14)=9,1,0)</f>
        <v>0</v>
      </c>
      <c r="L14" s="13" t="n">
        <f aca="false">IF(MONTH($A14)=10,1,0)</f>
        <v>0</v>
      </c>
      <c r="M14" s="13" t="n">
        <f aca="false">IF(MONTH($A14)=11,1,0)</f>
        <v>0</v>
      </c>
      <c r="N14" s="13" t="n">
        <f aca="false">IF(MONTH($A14)=12,1,0)</f>
        <v>0</v>
      </c>
      <c r="O14" s="7" t="n">
        <f aca="false">$B$5+SUMPRODUCT(C14:N14,$C$5:$N$5)</f>
        <v>0.526379174299023</v>
      </c>
      <c r="P14" s="7" t="n">
        <f aca="false">B14-O14</f>
        <v>-0.0796971671213661</v>
      </c>
      <c r="Q14" s="7" t="n">
        <f aca="false">P14^2</f>
        <v>0.00635163844717096</v>
      </c>
      <c r="R14" s="7" t="n">
        <f aca="false">(ROW()-ROW($A$7))/12</f>
        <v>0.583333333333333</v>
      </c>
      <c r="T14" s="5" t="s">
        <v>99</v>
      </c>
      <c r="U14" s="7" t="n">
        <f aca="false">$U$11-$U$10</f>
        <v>-0.0905756278858788</v>
      </c>
      <c r="V14" s="16" t="n">
        <v>-0.0905756278858788</v>
      </c>
      <c r="X14" s="5" t="s">
        <v>75</v>
      </c>
      <c r="Y14" s="7" t="n">
        <f aca="false">INDEX(LINEST(B7:B35,C7:N35,TRUE(),TRUE()),1,5)</f>
        <v>0.0837548520470423</v>
      </c>
      <c r="Z14" s="7" t="n">
        <f aca="false">INDEX(LINEST(B7:B35,C7:N35,TRUE(),TRUE()),2,5)</f>
        <v>1.03526669255061</v>
      </c>
      <c r="AA14" s="7" t="n">
        <f aca="false">Y14/Z14</f>
        <v>0.0809017160985773</v>
      </c>
      <c r="AB14" s="7" t="n">
        <f aca="false">_xlfn.T.DIST.2T(ABS(AA14),$U$25)</f>
        <v>0.936523455324241</v>
      </c>
      <c r="AC14" s="7" t="n">
        <f aca="false">INDEX(MINVERSE($Y$23:$AJ$34),8,8)</f>
        <v>2.25231286795626</v>
      </c>
    </row>
    <row r="15" customFormat="false" ht="15" hidden="false" customHeight="false" outlineLevel="0" collapsed="false">
      <c r="A15" s="11" t="n">
        <f aca="false">Data_Monthly!A16</f>
        <v>44645</v>
      </c>
      <c r="B15" s="12" t="n">
        <f aca="false">Data_Monthly!J16</f>
        <v>1.84469729850623</v>
      </c>
      <c r="C15" s="13" t="n">
        <f aca="false">IF($A15&gt;=$U$5,1,0)</f>
        <v>0</v>
      </c>
      <c r="D15" s="13" t="n">
        <f aca="false">IF(MONTH($A15)=2,1,0)</f>
        <v>0</v>
      </c>
      <c r="E15" s="13" t="n">
        <f aca="false">IF(MONTH($A15)=3,1,0)</f>
        <v>1</v>
      </c>
      <c r="F15" s="13" t="n">
        <f aca="false">IF(MONTH($A15)=4,1,0)</f>
        <v>0</v>
      </c>
      <c r="G15" s="13" t="n">
        <f aca="false">IF(MONTH($A15)=5,1,0)</f>
        <v>0</v>
      </c>
      <c r="H15" s="13" t="n">
        <f aca="false">IF(MONTH($A15)=6,1,0)</f>
        <v>0</v>
      </c>
      <c r="I15" s="13" t="n">
        <f aca="false">IF(MONTH($A15)=7,1,0)</f>
        <v>0</v>
      </c>
      <c r="J15" s="13" t="n">
        <f aca="false">IF(MONTH($A15)=8,1,0)</f>
        <v>0</v>
      </c>
      <c r="K15" s="13" t="n">
        <f aca="false">IF(MONTH($A15)=9,1,0)</f>
        <v>0</v>
      </c>
      <c r="L15" s="13" t="n">
        <f aca="false">IF(MONTH($A15)=10,1,0)</f>
        <v>0</v>
      </c>
      <c r="M15" s="13" t="n">
        <f aca="false">IF(MONTH($A15)=11,1,0)</f>
        <v>0</v>
      </c>
      <c r="N15" s="13" t="n">
        <f aca="false">IF(MONTH($A15)=12,1,0)</f>
        <v>0</v>
      </c>
      <c r="O15" s="7" t="n">
        <f aca="false">$B$5+SUMPRODUCT(C15:N15,$C$5:$N$5)</f>
        <v>2.6261221852175</v>
      </c>
      <c r="P15" s="7" t="n">
        <f aca="false">B15-O15</f>
        <v>-0.781424886711276</v>
      </c>
      <c r="Q15" s="7" t="n">
        <f aca="false">P15^2</f>
        <v>0.610624853571731</v>
      </c>
      <c r="R15" s="7" t="n">
        <f aca="false">(ROW()-ROW($A$7))/12</f>
        <v>0.666666666666667</v>
      </c>
      <c r="T15" s="5" t="s">
        <v>100</v>
      </c>
      <c r="U15" s="7" t="n">
        <f aca="false">12*$U$14</f>
        <v>-1.08690753463055</v>
      </c>
      <c r="V15" s="16" t="n">
        <v>-1.08690753463055</v>
      </c>
      <c r="X15" s="5" t="s">
        <v>76</v>
      </c>
      <c r="Y15" s="7" t="n">
        <f aca="false">INDEX(LINEST(B7:B35,C7:N35,TRUE(),TRUE()),1,4)</f>
        <v>-1.29853155142789</v>
      </c>
      <c r="Z15" s="7" t="n">
        <f aca="false">INDEX(LINEST(B7:B35,C7:N35,TRUE(),TRUE()),2,4)</f>
        <v>1.03526669255061</v>
      </c>
      <c r="AA15" s="7" t="n">
        <f aca="false">Y15/Z15</f>
        <v>-1.25429665686305</v>
      </c>
      <c r="AB15" s="7" t="n">
        <f aca="false">_xlfn.T.DIST.2T(ABS(AA15),$U$25)</f>
        <v>0.227749585433165</v>
      </c>
      <c r="AC15" s="7" t="n">
        <f aca="false">INDEX(MINVERSE($Y$23:$AJ$34),9,9)</f>
        <v>2.25231286795626</v>
      </c>
    </row>
    <row r="16" customFormat="false" ht="15" hidden="false" customHeight="false" outlineLevel="0" collapsed="false">
      <c r="A16" s="11" t="n">
        <f aca="false">Data_Monthly!A17</f>
        <v>44673</v>
      </c>
      <c r="B16" s="12" t="n">
        <f aca="false">Data_Monthly!J17</f>
        <v>2.20658409870502</v>
      </c>
      <c r="C16" s="13" t="n">
        <f aca="false">IF($A16&gt;=$U$5,1,0)</f>
        <v>0</v>
      </c>
      <c r="D16" s="13" t="n">
        <f aca="false">IF(MONTH($A16)=2,1,0)</f>
        <v>0</v>
      </c>
      <c r="E16" s="13" t="n">
        <f aca="false">IF(MONTH($A16)=3,1,0)</f>
        <v>0</v>
      </c>
      <c r="F16" s="13" t="n">
        <f aca="false">IF(MONTH($A16)=4,1,0)</f>
        <v>1</v>
      </c>
      <c r="G16" s="13" t="n">
        <f aca="false">IF(MONTH($A16)=5,1,0)</f>
        <v>0</v>
      </c>
      <c r="H16" s="13" t="n">
        <f aca="false">IF(MONTH($A16)=6,1,0)</f>
        <v>0</v>
      </c>
      <c r="I16" s="13" t="n">
        <f aca="false">IF(MONTH($A16)=7,1,0)</f>
        <v>0</v>
      </c>
      <c r="J16" s="13" t="n">
        <f aca="false">IF(MONTH($A16)=8,1,0)</f>
        <v>0</v>
      </c>
      <c r="K16" s="13" t="n">
        <f aca="false">IF(MONTH($A16)=9,1,0)</f>
        <v>0</v>
      </c>
      <c r="L16" s="13" t="n">
        <f aca="false">IF(MONTH($A16)=10,1,0)</f>
        <v>0</v>
      </c>
      <c r="M16" s="13" t="n">
        <f aca="false">IF(MONTH($A16)=11,1,0)</f>
        <v>0</v>
      </c>
      <c r="N16" s="13" t="n">
        <f aca="false">IF(MONTH($A16)=12,1,0)</f>
        <v>0</v>
      </c>
      <c r="O16" s="7" t="n">
        <f aca="false">$B$5+SUMPRODUCT(C16:N16,$C$5:$N$5)</f>
        <v>1.09503869836312</v>
      </c>
      <c r="P16" s="7" t="n">
        <f aca="false">B16-O16</f>
        <v>1.11154540034191</v>
      </c>
      <c r="Q16" s="7" t="n">
        <f aca="false">P16^2</f>
        <v>1.23553317702125</v>
      </c>
      <c r="R16" s="7" t="n">
        <f aca="false">(ROW()-ROW($A$7))/12</f>
        <v>0.75</v>
      </c>
      <c r="T16" s="5" t="s">
        <v>101</v>
      </c>
      <c r="U16" s="7" t="n">
        <f aca="false">SQRT($U$13^2/$U$9+$U$12^2/$U$8)</f>
        <v>0.584239561833968</v>
      </c>
      <c r="X16" s="5" t="s">
        <v>77</v>
      </c>
      <c r="Y16" s="7" t="n">
        <f aca="false">INDEX(LINEST(B7:B35,C7:N35,TRUE(),TRUE()),1,3)</f>
        <v>2.70069007957903</v>
      </c>
      <c r="Z16" s="7" t="n">
        <f aca="false">INDEX(LINEST(B7:B35,C7:N35,TRUE(),TRUE()),2,3)</f>
        <v>1.03526669255061</v>
      </c>
      <c r="AA16" s="7" t="n">
        <f aca="false">Y16/Z16</f>
        <v>2.60869020418815</v>
      </c>
      <c r="AB16" s="7" t="n">
        <f aca="false">_xlfn.T.DIST.2T(ABS(AA16),$U$25)</f>
        <v>0.0190022897780935</v>
      </c>
      <c r="AC16" s="7" t="n">
        <f aca="false">INDEX(MINVERSE($Y$23:$AJ$34),10,10)</f>
        <v>2.25231286795627</v>
      </c>
    </row>
    <row r="17" customFormat="false" ht="15" hidden="false" customHeight="false" outlineLevel="0" collapsed="false">
      <c r="A17" s="11" t="n">
        <f aca="false">Data_Monthly!A18</f>
        <v>44701</v>
      </c>
      <c r="B17" s="12" t="n">
        <f aca="false">Data_Monthly!J18</f>
        <v>0.361791986859898</v>
      </c>
      <c r="C17" s="13" t="n">
        <f aca="false">IF($A17&gt;=$U$5,1,0)</f>
        <v>0</v>
      </c>
      <c r="D17" s="13" t="n">
        <f aca="false">IF(MONTH($A17)=2,1,0)</f>
        <v>0</v>
      </c>
      <c r="E17" s="13" t="n">
        <f aca="false">IF(MONTH($A17)=3,1,0)</f>
        <v>0</v>
      </c>
      <c r="F17" s="13" t="n">
        <f aca="false">IF(MONTH($A17)=4,1,0)</f>
        <v>0</v>
      </c>
      <c r="G17" s="13" t="n">
        <f aca="false">IF(MONTH($A17)=5,1,0)</f>
        <v>1</v>
      </c>
      <c r="H17" s="13" t="n">
        <f aca="false">IF(MONTH($A17)=6,1,0)</f>
        <v>0</v>
      </c>
      <c r="I17" s="13" t="n">
        <f aca="false">IF(MONTH($A17)=7,1,0)</f>
        <v>0</v>
      </c>
      <c r="J17" s="13" t="n">
        <f aca="false">IF(MONTH($A17)=8,1,0)</f>
        <v>0</v>
      </c>
      <c r="K17" s="13" t="n">
        <f aca="false">IF(MONTH($A17)=9,1,0)</f>
        <v>0</v>
      </c>
      <c r="L17" s="13" t="n">
        <f aca="false">IF(MONTH($A17)=10,1,0)</f>
        <v>0</v>
      </c>
      <c r="M17" s="13" t="n">
        <f aca="false">IF(MONTH($A17)=11,1,0)</f>
        <v>0</v>
      </c>
      <c r="N17" s="13" t="n">
        <f aca="false">IF(MONTH($A17)=12,1,0)</f>
        <v>0</v>
      </c>
      <c r="O17" s="7" t="n">
        <f aca="false">$B$5+SUMPRODUCT(C17:N17,$C$5:$N$5)</f>
        <v>0.383547144741625</v>
      </c>
      <c r="P17" s="7" t="n">
        <f aca="false">B17-O17</f>
        <v>-0.0217551578817278</v>
      </c>
      <c r="Q17" s="7" t="n">
        <f aca="false">P17^2</f>
        <v>0.000473286894458902</v>
      </c>
      <c r="R17" s="7" t="n">
        <f aca="false">(ROW()-ROW($A$7))/12</f>
        <v>0.833333333333333</v>
      </c>
      <c r="T17" s="5" t="s">
        <v>102</v>
      </c>
      <c r="U17" s="7" t="n">
        <f aca="false">$U$14/$U$16</f>
        <v>-0.155031657906828</v>
      </c>
      <c r="V17" s="16" t="n">
        <v>-0.155031657906828</v>
      </c>
      <c r="X17" s="5" t="s">
        <v>78</v>
      </c>
      <c r="Y17" s="7" t="n">
        <f aca="false">INDEX(LINEST(B7:B35,C7:N35,TRUE(),TRUE()),1,2)</f>
        <v>-1.04945686741924</v>
      </c>
      <c r="Z17" s="7" t="n">
        <f aca="false">INDEX(LINEST(B7:B35,C7:N35,TRUE(),TRUE()),2,2)</f>
        <v>1.03526669255061</v>
      </c>
      <c r="AA17" s="7" t="n">
        <f aca="false">Y17/Z17</f>
        <v>-1.01370678200191</v>
      </c>
      <c r="AB17" s="7" t="n">
        <f aca="false">_xlfn.T.DIST.2T(ABS(AA17),$U$25)</f>
        <v>0.325807745150011</v>
      </c>
      <c r="AC17" s="7" t="n">
        <f aca="false">INDEX(MINVERSE($Y$23:$AJ$34),11,11)</f>
        <v>2.25231286795627</v>
      </c>
    </row>
    <row r="18" customFormat="false" ht="15" hidden="false" customHeight="false" outlineLevel="0" collapsed="false">
      <c r="A18" s="11" t="n">
        <f aca="false">Data_Monthly!A19</f>
        <v>44729</v>
      </c>
      <c r="B18" s="12" t="n">
        <f aca="false">Data_Monthly!J19</f>
        <v>-1.2877125064243</v>
      </c>
      <c r="C18" s="13" t="n">
        <f aca="false">IF($A18&gt;=$U$5,1,0)</f>
        <v>0</v>
      </c>
      <c r="D18" s="13" t="n">
        <f aca="false">IF(MONTH($A18)=2,1,0)</f>
        <v>0</v>
      </c>
      <c r="E18" s="13" t="n">
        <f aca="false">IF(MONTH($A18)=3,1,0)</f>
        <v>0</v>
      </c>
      <c r="F18" s="13" t="n">
        <f aca="false">IF(MONTH($A18)=4,1,0)</f>
        <v>0</v>
      </c>
      <c r="G18" s="13" t="n">
        <f aca="false">IF(MONTH($A18)=5,1,0)</f>
        <v>0</v>
      </c>
      <c r="H18" s="13" t="n">
        <f aca="false">IF(MONTH($A18)=6,1,0)</f>
        <v>1</v>
      </c>
      <c r="I18" s="13" t="n">
        <f aca="false">IF(MONTH($A18)=7,1,0)</f>
        <v>0</v>
      </c>
      <c r="J18" s="13" t="n">
        <f aca="false">IF(MONTH($A18)=8,1,0)</f>
        <v>0</v>
      </c>
      <c r="K18" s="13" t="n">
        <f aca="false">IF(MONTH($A18)=9,1,0)</f>
        <v>0</v>
      </c>
      <c r="L18" s="13" t="n">
        <f aca="false">IF(MONTH($A18)=10,1,0)</f>
        <v>0</v>
      </c>
      <c r="M18" s="13" t="n">
        <f aca="false">IF(MONTH($A18)=11,1,0)</f>
        <v>0</v>
      </c>
      <c r="N18" s="13" t="n">
        <f aca="false">IF(MONTH($A18)=12,1,0)</f>
        <v>0</v>
      </c>
      <c r="O18" s="7" t="n">
        <f aca="false">$B$5+SUMPRODUCT(C18:N18,$C$5:$N$5)</f>
        <v>-0.229708484942762</v>
      </c>
      <c r="P18" s="7" t="n">
        <f aca="false">B18-O18</f>
        <v>-1.05800402148154</v>
      </c>
      <c r="Q18" s="7" t="n">
        <f aca="false">P18^2</f>
        <v>1.1193725094711</v>
      </c>
      <c r="R18" s="7" t="n">
        <f aca="false">(ROW()-ROW($A$7))/12</f>
        <v>0.916666666666667</v>
      </c>
      <c r="T18" s="5" t="s">
        <v>103</v>
      </c>
      <c r="U18" s="17" t="n">
        <f aca="false">(($U$13^2/$U$9)+($U$12^2/$U$8))^2/(($U$13^2/$U$9)^2/($U$9-1)+($U$12^2/$U$8)^2/($U$8-1))</f>
        <v>26.1568713635883</v>
      </c>
      <c r="V18" s="18" t="n">
        <v>26.1568713635883</v>
      </c>
      <c r="X18" s="5" t="s">
        <v>79</v>
      </c>
      <c r="Y18" s="7" t="n">
        <f aca="false">INDEX(LINEST(B7:B35,C7:N35,TRUE(),TRUE()),1,1)</f>
        <v>0.20643716617695</v>
      </c>
      <c r="Z18" s="7" t="n">
        <f aca="false">INDEX(LINEST(B7:B35,C7:N35,TRUE(),TRUE()),2,1)</f>
        <v>1.13132187628195</v>
      </c>
      <c r="AA18" s="7" t="n">
        <f aca="false">Y18/Z18</f>
        <v>0.182474298875398</v>
      </c>
      <c r="AB18" s="7" t="n">
        <f aca="false">_xlfn.T.DIST.2T(ABS(AA18),$U$25)</f>
        <v>0.857502517782597</v>
      </c>
      <c r="AC18" s="7" t="n">
        <f aca="false">INDEX(MINVERSE($Y$23:$AJ$34),12,12)</f>
        <v>1.86206896551724</v>
      </c>
    </row>
    <row r="19" customFormat="false" ht="15" hidden="false" customHeight="false" outlineLevel="0" collapsed="false">
      <c r="A19" s="11" t="n">
        <f aca="false">Data_Monthly!A20</f>
        <v>44771</v>
      </c>
      <c r="B19" s="12" t="n">
        <f aca="false">Data_Monthly!J20</f>
        <v>2.06870473654499</v>
      </c>
      <c r="C19" s="13" t="n">
        <f aca="false">IF($A19&gt;=$U$5,1,0)</f>
        <v>0</v>
      </c>
      <c r="D19" s="13" t="n">
        <f aca="false">IF(MONTH($A19)=2,1,0)</f>
        <v>0</v>
      </c>
      <c r="E19" s="13" t="n">
        <f aca="false">IF(MONTH($A19)=3,1,0)</f>
        <v>0</v>
      </c>
      <c r="F19" s="13" t="n">
        <f aca="false">IF(MONTH($A19)=4,1,0)</f>
        <v>0</v>
      </c>
      <c r="G19" s="13" t="n">
        <f aca="false">IF(MONTH($A19)=5,1,0)</f>
        <v>0</v>
      </c>
      <c r="H19" s="13" t="n">
        <f aca="false">IF(MONTH($A19)=6,1,0)</f>
        <v>0</v>
      </c>
      <c r="I19" s="13" t="n">
        <f aca="false">IF(MONTH($A19)=7,1,0)</f>
        <v>1</v>
      </c>
      <c r="J19" s="13" t="n">
        <f aca="false">IF(MONTH($A19)=8,1,0)</f>
        <v>0</v>
      </c>
      <c r="K19" s="13" t="n">
        <f aca="false">IF(MONTH($A19)=9,1,0)</f>
        <v>0</v>
      </c>
      <c r="L19" s="13" t="n">
        <f aca="false">IF(MONTH($A19)=10,1,0)</f>
        <v>0</v>
      </c>
      <c r="M19" s="13" t="n">
        <f aca="false">IF(MONTH($A19)=11,1,0)</f>
        <v>0</v>
      </c>
      <c r="N19" s="13" t="n">
        <f aca="false">IF(MONTH($A19)=12,1,0)</f>
        <v>0</v>
      </c>
      <c r="O19" s="7" t="n">
        <f aca="false">$B$5+SUMPRODUCT(C19:N19,$C$5:$N$5)</f>
        <v>2.54894369783237</v>
      </c>
      <c r="P19" s="7" t="n">
        <f aca="false">B19-O19</f>
        <v>-0.480238961287377</v>
      </c>
      <c r="Q19" s="7" t="n">
        <f aca="false">P19^2</f>
        <v>0.230629459938379</v>
      </c>
      <c r="R19" s="7" t="n">
        <f aca="false">(ROW()-ROW($A$7))/12</f>
        <v>1</v>
      </c>
      <c r="T19" s="5" t="s">
        <v>104</v>
      </c>
      <c r="U19" s="7" t="n">
        <f aca="false">_xlfn.T.TEST(B24:B35,B7:B23,2,3)</f>
        <v>0.877986499292894</v>
      </c>
      <c r="V19" s="16" t="n">
        <v>0.877986499292894</v>
      </c>
      <c r="X19" s="5" t="s">
        <v>105</v>
      </c>
      <c r="Y19" s="7" t="n">
        <f aca="false">INDEX(LINEST(B7:B35,C7:N35,TRUE(),TRUE()),1,13)</f>
        <v>0.543711367777637</v>
      </c>
      <c r="Z19" s="7" t="n">
        <f aca="false">INDEX(LINEST(B7:B35,C7:N35,TRUE(),TRUE()),2,13)</f>
        <v>0.828715758305095</v>
      </c>
      <c r="AA19" s="7" t="n">
        <f aca="false">Y19/Z19</f>
        <v>0.65608909005139</v>
      </c>
      <c r="AB19" s="7" t="n">
        <f aca="false">_xlfn.T.DIST.2T(ABS(AA19),$U$25)</f>
        <v>0.521091002187948</v>
      </c>
    </row>
    <row r="20" customFormat="false" ht="15" hidden="false" customHeight="false" outlineLevel="0" collapsed="false">
      <c r="A20" s="11" t="n">
        <f aca="false">Data_Monthly!A21</f>
        <v>44799</v>
      </c>
      <c r="B20" s="12" t="n">
        <f aca="false">Data_Monthly!J21</f>
        <v>0.776308488993245</v>
      </c>
      <c r="C20" s="13" t="n">
        <f aca="false">IF($A20&gt;=$U$5,1,0)</f>
        <v>0</v>
      </c>
      <c r="D20" s="13" t="n">
        <f aca="false">IF(MONTH($A20)=2,1,0)</f>
        <v>0</v>
      </c>
      <c r="E20" s="13" t="n">
        <f aca="false">IF(MONTH($A20)=3,1,0)</f>
        <v>0</v>
      </c>
      <c r="F20" s="13" t="n">
        <f aca="false">IF(MONTH($A20)=4,1,0)</f>
        <v>0</v>
      </c>
      <c r="G20" s="13" t="n">
        <f aca="false">IF(MONTH($A20)=5,1,0)</f>
        <v>0</v>
      </c>
      <c r="H20" s="13" t="n">
        <f aca="false">IF(MONTH($A20)=6,1,0)</f>
        <v>0</v>
      </c>
      <c r="I20" s="13" t="n">
        <f aca="false">IF(MONTH($A20)=7,1,0)</f>
        <v>0</v>
      </c>
      <c r="J20" s="13" t="n">
        <f aca="false">IF(MONTH($A20)=8,1,0)</f>
        <v>1</v>
      </c>
      <c r="K20" s="13" t="n">
        <f aca="false">IF(MONTH($A20)=9,1,0)</f>
        <v>0</v>
      </c>
      <c r="L20" s="13" t="n">
        <f aca="false">IF(MONTH($A20)=10,1,0)</f>
        <v>0</v>
      </c>
      <c r="M20" s="13" t="n">
        <f aca="false">IF(MONTH($A20)=11,1,0)</f>
        <v>0</v>
      </c>
      <c r="N20" s="13" t="n">
        <f aca="false">IF(MONTH($A20)=12,1,0)</f>
        <v>0</v>
      </c>
      <c r="O20" s="7" t="n">
        <f aca="false">$B$5+SUMPRODUCT(C20:N20,$C$5:$N$5)</f>
        <v>0.627466219824679</v>
      </c>
      <c r="P20" s="7" t="n">
        <f aca="false">B20-O20</f>
        <v>0.148842269168566</v>
      </c>
      <c r="Q20" s="7" t="n">
        <f aca="false">P20^2</f>
        <v>0.0221540210912478</v>
      </c>
      <c r="R20" s="7" t="n">
        <f aca="false">(ROW()-ROW($A$7))/12</f>
        <v>1.08333333333333</v>
      </c>
      <c r="X20" s="2" t="s">
        <v>106</v>
      </c>
    </row>
    <row r="21" customFormat="false" ht="15" hidden="false" customHeight="false" outlineLevel="0" collapsed="false">
      <c r="A21" s="11" t="n">
        <f aca="false">Data_Monthly!A22</f>
        <v>44827</v>
      </c>
      <c r="B21" s="12" t="n">
        <f aca="false">Data_Monthly!J22</f>
        <v>-0.492565187717305</v>
      </c>
      <c r="C21" s="13" t="n">
        <f aca="false">IF($A21&gt;=$U$5,1,0)</f>
        <v>0</v>
      </c>
      <c r="D21" s="13" t="n">
        <f aca="false">IF(MONTH($A21)=2,1,0)</f>
        <v>0</v>
      </c>
      <c r="E21" s="13" t="n">
        <f aca="false">IF(MONTH($A21)=3,1,0)</f>
        <v>0</v>
      </c>
      <c r="F21" s="13" t="n">
        <f aca="false">IF(MONTH($A21)=4,1,0)</f>
        <v>0</v>
      </c>
      <c r="G21" s="13" t="n">
        <f aca="false">IF(MONTH($A21)=5,1,0)</f>
        <v>0</v>
      </c>
      <c r="H21" s="13" t="n">
        <f aca="false">IF(MONTH($A21)=6,1,0)</f>
        <v>0</v>
      </c>
      <c r="I21" s="13" t="n">
        <f aca="false">IF(MONTH($A21)=7,1,0)</f>
        <v>0</v>
      </c>
      <c r="J21" s="13" t="n">
        <f aca="false">IF(MONTH($A21)=8,1,0)</f>
        <v>0</v>
      </c>
      <c r="K21" s="13" t="n">
        <f aca="false">IF(MONTH($A21)=9,1,0)</f>
        <v>1</v>
      </c>
      <c r="L21" s="13" t="n">
        <f aca="false">IF(MONTH($A21)=10,1,0)</f>
        <v>0</v>
      </c>
      <c r="M21" s="13" t="n">
        <f aca="false">IF(MONTH($A21)=11,1,0)</f>
        <v>0</v>
      </c>
      <c r="N21" s="13" t="n">
        <f aca="false">IF(MONTH($A21)=12,1,0)</f>
        <v>0</v>
      </c>
      <c r="O21" s="7" t="n">
        <f aca="false">$B$5+SUMPRODUCT(C21:N21,$C$5:$N$5)</f>
        <v>-0.754820183650255</v>
      </c>
      <c r="P21" s="7" t="n">
        <f aca="false">B21-O21</f>
        <v>0.262254995932951</v>
      </c>
      <c r="Q21" s="7" t="n">
        <f aca="false">P21^2</f>
        <v>0.068777682891792</v>
      </c>
      <c r="R21" s="7" t="n">
        <f aca="false">(ROW()-ROW($A$7))/12</f>
        <v>1.16666666666667</v>
      </c>
      <c r="T21" s="9" t="s">
        <v>114</v>
      </c>
      <c r="U21" s="14" t="s">
        <v>91</v>
      </c>
      <c r="V21" s="14" t="s">
        <v>92</v>
      </c>
      <c r="X21" s="2" t="s">
        <v>108</v>
      </c>
    </row>
    <row r="22" customFormat="false" ht="15" hidden="false" customHeight="false" outlineLevel="0" collapsed="false">
      <c r="A22" s="11" t="n">
        <f aca="false">Data_Monthly!A23</f>
        <v>44855</v>
      </c>
      <c r="B22" s="12" t="n">
        <f aca="false">Data_Monthly!J23</f>
        <v>2.85353032817669</v>
      </c>
      <c r="C22" s="13" t="n">
        <f aca="false">IF($A22&gt;=$U$5,1,0)</f>
        <v>0</v>
      </c>
      <c r="D22" s="13" t="n">
        <f aca="false">IF(MONTH($A22)=2,1,0)</f>
        <v>0</v>
      </c>
      <c r="E22" s="13" t="n">
        <f aca="false">IF(MONTH($A22)=3,1,0)</f>
        <v>0</v>
      </c>
      <c r="F22" s="13" t="n">
        <f aca="false">IF(MONTH($A22)=4,1,0)</f>
        <v>0</v>
      </c>
      <c r="G22" s="13" t="n">
        <f aca="false">IF(MONTH($A22)=5,1,0)</f>
        <v>0</v>
      </c>
      <c r="H22" s="13" t="n">
        <f aca="false">IF(MONTH($A22)=6,1,0)</f>
        <v>0</v>
      </c>
      <c r="I22" s="13" t="n">
        <f aca="false">IF(MONTH($A22)=7,1,0)</f>
        <v>0</v>
      </c>
      <c r="J22" s="13" t="n">
        <f aca="false">IF(MONTH($A22)=8,1,0)</f>
        <v>0</v>
      </c>
      <c r="K22" s="13" t="n">
        <f aca="false">IF(MONTH($A22)=9,1,0)</f>
        <v>0</v>
      </c>
      <c r="L22" s="13" t="n">
        <f aca="false">IF(MONTH($A22)=10,1,0)</f>
        <v>1</v>
      </c>
      <c r="M22" s="13" t="n">
        <f aca="false">IF(MONTH($A22)=11,1,0)</f>
        <v>0</v>
      </c>
      <c r="N22" s="13" t="n">
        <f aca="false">IF(MONTH($A22)=12,1,0)</f>
        <v>0</v>
      </c>
      <c r="O22" s="7" t="n">
        <f aca="false">$B$5+SUMPRODUCT(C22:N22,$C$5:$N$5)</f>
        <v>3.24440144735667</v>
      </c>
      <c r="P22" s="7" t="n">
        <f aca="false">B22-O22</f>
        <v>-0.39087111917998</v>
      </c>
      <c r="Q22" s="7" t="n">
        <f aca="false">P22^2</f>
        <v>0.15278023180901</v>
      </c>
      <c r="R22" s="7" t="n">
        <f aca="false">(ROW()-ROW($A$7))/12</f>
        <v>1.25</v>
      </c>
      <c r="T22" s="5" t="s">
        <v>115</v>
      </c>
      <c r="U22" s="13" t="n">
        <f aca="false">COUNT(B7:B35)</f>
        <v>29</v>
      </c>
      <c r="V22" s="15" t="n">
        <v>29</v>
      </c>
      <c r="Y22" s="19" t="s">
        <v>68</v>
      </c>
      <c r="Z22" s="19" t="s">
        <v>69</v>
      </c>
      <c r="AA22" s="19" t="s">
        <v>70</v>
      </c>
      <c r="AB22" s="19" t="s">
        <v>71</v>
      </c>
      <c r="AC22" s="19" t="s">
        <v>72</v>
      </c>
      <c r="AD22" s="19" t="s">
        <v>73</v>
      </c>
      <c r="AE22" s="19" t="s">
        <v>74</v>
      </c>
      <c r="AF22" s="19" t="s">
        <v>75</v>
      </c>
      <c r="AG22" s="19" t="s">
        <v>76</v>
      </c>
      <c r="AH22" s="19" t="s">
        <v>77</v>
      </c>
      <c r="AI22" s="19" t="s">
        <v>78</v>
      </c>
      <c r="AJ22" s="19" t="s">
        <v>79</v>
      </c>
    </row>
    <row r="23" customFormat="false" ht="15" hidden="false" customHeight="false" outlineLevel="0" collapsed="false">
      <c r="A23" s="11" t="n">
        <f aca="false">Data_Monthly!A24</f>
        <v>44883</v>
      </c>
      <c r="B23" s="12" t="n">
        <f aca="false">Data_Monthly!J24</f>
        <v>-1.4761655907507</v>
      </c>
      <c r="C23" s="13" t="n">
        <f aca="false">IF($A23&gt;=$U$5,1,0)</f>
        <v>0</v>
      </c>
      <c r="D23" s="13" t="n">
        <f aca="false">IF(MONTH($A23)=2,1,0)</f>
        <v>0</v>
      </c>
      <c r="E23" s="13" t="n">
        <f aca="false">IF(MONTH($A23)=3,1,0)</f>
        <v>0</v>
      </c>
      <c r="F23" s="13" t="n">
        <f aca="false">IF(MONTH($A23)=4,1,0)</f>
        <v>0</v>
      </c>
      <c r="G23" s="13" t="n">
        <f aca="false">IF(MONTH($A23)=5,1,0)</f>
        <v>0</v>
      </c>
      <c r="H23" s="13" t="n">
        <f aca="false">IF(MONTH($A23)=6,1,0)</f>
        <v>0</v>
      </c>
      <c r="I23" s="13" t="n">
        <f aca="false">IF(MONTH($A23)=7,1,0)</f>
        <v>0</v>
      </c>
      <c r="J23" s="13" t="n">
        <f aca="false">IF(MONTH($A23)=8,1,0)</f>
        <v>0</v>
      </c>
      <c r="K23" s="13" t="n">
        <f aca="false">IF(MONTH($A23)=9,1,0)</f>
        <v>0</v>
      </c>
      <c r="L23" s="13" t="n">
        <f aca="false">IF(MONTH($A23)=10,1,0)</f>
        <v>0</v>
      </c>
      <c r="M23" s="13" t="n">
        <f aca="false">IF(MONTH($A23)=11,1,0)</f>
        <v>1</v>
      </c>
      <c r="N23" s="13" t="n">
        <f aca="false">IF(MONTH($A23)=12,1,0)</f>
        <v>0</v>
      </c>
      <c r="O23" s="7" t="n">
        <f aca="false">$B$5+SUMPRODUCT(C23:N23,$C$5:$N$5)</f>
        <v>-0.505745499641602</v>
      </c>
      <c r="P23" s="7" t="n">
        <f aca="false">B23-O23</f>
        <v>-0.970420091109098</v>
      </c>
      <c r="Q23" s="7" t="n">
        <f aca="false">P23^2</f>
        <v>0.94171515322819</v>
      </c>
      <c r="R23" s="7" t="n">
        <f aca="false">(ROW()-ROW($A$7))/12</f>
        <v>1.33333333333333</v>
      </c>
      <c r="T23" s="5" t="s">
        <v>112</v>
      </c>
      <c r="U23" s="7" t="n">
        <f aca="false">INDEX(LINEST(B7:B35,C7:N35,TRUE(),TRUE()),3,1)</f>
        <v>0.704143293644265</v>
      </c>
      <c r="V23" s="16" t="n">
        <v>0.704143293644265</v>
      </c>
      <c r="X23" s="6" t="s">
        <v>68</v>
      </c>
      <c r="Y23" s="20" t="n">
        <f aca="false">CORREL($C$7:$C$35,$C$7:$C$35)</f>
        <v>1</v>
      </c>
      <c r="Z23" s="20" t="n">
        <f aca="false">CORREL($D$7:$D$35,$C$7:$C$35)</f>
        <v>0.0476384958729191</v>
      </c>
      <c r="AA23" s="20" t="n">
        <f aca="false">CORREL($E$7:$E$35,$C$7:$C$35)</f>
        <v>0.0476384958729191</v>
      </c>
      <c r="AB23" s="20" t="n">
        <f aca="false">CORREL($F$7:$F$35,$C$7:$C$35)</f>
        <v>0.0476384958729191</v>
      </c>
      <c r="AC23" s="20" t="n">
        <f aca="false">CORREL($G$7:$G$35,$C$7:$C$35)</f>
        <v>0.0476384958729191</v>
      </c>
      <c r="AD23" s="20" t="n">
        <f aca="false">CORREL($H$7:$H$35,$C$7:$C$35)</f>
        <v>0.0476384958729191</v>
      </c>
      <c r="AE23" s="20" t="n">
        <f aca="false">CORREL($I$7:$I$35,$C$7:$C$35)</f>
        <v>-0.0554926743180243</v>
      </c>
      <c r="AF23" s="20" t="n">
        <f aca="false">CORREL($J$7:$J$35,$C$7:$C$35)</f>
        <v>-0.0554926743180243</v>
      </c>
      <c r="AG23" s="20" t="n">
        <f aca="false">CORREL($K$7:$K$35,$C$7:$C$35)</f>
        <v>-0.0554926743180243</v>
      </c>
      <c r="AH23" s="20" t="n">
        <f aca="false">CORREL($L$7:$L$35,$C$7:$C$35)</f>
        <v>-0.0554926743180243</v>
      </c>
      <c r="AI23" s="20" t="n">
        <f aca="false">CORREL($M$7:$M$35,$C$7:$C$35)</f>
        <v>-0.0554926743180243</v>
      </c>
      <c r="AJ23" s="20" t="n">
        <f aca="false">CORREL($N$7:$N$35,$C$7:$C$35)</f>
        <v>0.0476384958729191</v>
      </c>
    </row>
    <row r="24" customFormat="false" ht="15" hidden="false" customHeight="false" outlineLevel="0" collapsed="false">
      <c r="A24" s="11" t="n">
        <f aca="false">Data_Monthly!A25</f>
        <v>44925</v>
      </c>
      <c r="B24" s="12" t="n">
        <f aca="false">Data_Monthly!J25</f>
        <v>0.896087418151422</v>
      </c>
      <c r="C24" s="13" t="n">
        <f aca="false">IF($A24&gt;=$U$5,1,0)</f>
        <v>1</v>
      </c>
      <c r="D24" s="13" t="n">
        <f aca="false">IF(MONTH($A24)=2,1,0)</f>
        <v>0</v>
      </c>
      <c r="E24" s="13" t="n">
        <f aca="false">IF(MONTH($A24)=3,1,0)</f>
        <v>0</v>
      </c>
      <c r="F24" s="13" t="n">
        <f aca="false">IF(MONTH($A24)=4,1,0)</f>
        <v>0</v>
      </c>
      <c r="G24" s="13" t="n">
        <f aca="false">IF(MONTH($A24)=5,1,0)</f>
        <v>0</v>
      </c>
      <c r="H24" s="13" t="n">
        <f aca="false">IF(MONTH($A24)=6,1,0)</f>
        <v>0</v>
      </c>
      <c r="I24" s="13" t="n">
        <f aca="false">IF(MONTH($A24)=7,1,0)</f>
        <v>0</v>
      </c>
      <c r="J24" s="13" t="n">
        <f aca="false">IF(MONTH($A24)=8,1,0)</f>
        <v>0</v>
      </c>
      <c r="K24" s="13" t="n">
        <f aca="false">IF(MONTH($A24)=9,1,0)</f>
        <v>0</v>
      </c>
      <c r="L24" s="13" t="n">
        <f aca="false">IF(MONTH($A24)=10,1,0)</f>
        <v>0</v>
      </c>
      <c r="M24" s="13" t="n">
        <f aca="false">IF(MONTH($A24)=11,1,0)</f>
        <v>0</v>
      </c>
      <c r="N24" s="13" t="n">
        <f aca="false">IF(MONTH($A24)=12,1,0)</f>
        <v>1</v>
      </c>
      <c r="O24" s="7" t="n">
        <f aca="false">$B$5+SUMPRODUCT(C24:N24,$C$5:$N$5)</f>
        <v>0.697050978004979</v>
      </c>
      <c r="P24" s="7" t="n">
        <f aca="false">B24-O24</f>
        <v>0.199036440146443</v>
      </c>
      <c r="Q24" s="7" t="n">
        <f aca="false">P24^2</f>
        <v>0.0396155045061685</v>
      </c>
      <c r="R24" s="7" t="n">
        <f aca="false">(ROW()-ROW($A$7))/12</f>
        <v>1.41666666666667</v>
      </c>
      <c r="T24" s="5" t="s">
        <v>116</v>
      </c>
      <c r="U24" s="7" t="n">
        <f aca="false">SQRT($U$23)</f>
        <v>0.839132464897089</v>
      </c>
      <c r="X24" s="6" t="s">
        <v>69</v>
      </c>
      <c r="Y24" s="20" t="n">
        <f aca="false">CORREL($C$7:$C$35,$D$7:$D$35)</f>
        <v>0.0476384958729191</v>
      </c>
      <c r="Z24" s="20" t="n">
        <f aca="false">CORREL($D$7:$D$35,$D$7:$D$35)</f>
        <v>1</v>
      </c>
      <c r="AA24" s="20" t="n">
        <f aca="false">CORREL($E$7:$E$35,$D$7:$D$35)</f>
        <v>-0.0740740740740741</v>
      </c>
      <c r="AB24" s="20" t="n">
        <f aca="false">CORREL($F$7:$F$35,$D$7:$D$35)</f>
        <v>-0.0740740740740741</v>
      </c>
      <c r="AC24" s="20" t="n">
        <f aca="false">CORREL($G$7:$G$35,$D$7:$D$35)</f>
        <v>-0.0740740740740741</v>
      </c>
      <c r="AD24" s="20" t="n">
        <f aca="false">CORREL($H$7:$H$35,$D$7:$D$35)</f>
        <v>-0.0740740740740741</v>
      </c>
      <c r="AE24" s="20" t="n">
        <f aca="false">CORREL($I$7:$I$35,$D$7:$D$35)</f>
        <v>-0.0924500327042049</v>
      </c>
      <c r="AF24" s="20" t="n">
        <f aca="false">CORREL($J$7:$J$35,$D$7:$D$35)</f>
        <v>-0.0924500327042049</v>
      </c>
      <c r="AG24" s="20" t="n">
        <f aca="false">CORREL($K$7:$K$35,$D$7:$D$35)</f>
        <v>-0.0924500327042049</v>
      </c>
      <c r="AH24" s="20" t="n">
        <f aca="false">CORREL($L$7:$L$35,$D$7:$D$35)</f>
        <v>-0.0924500327042049</v>
      </c>
      <c r="AI24" s="20" t="n">
        <f aca="false">CORREL($M$7:$M$35,$D$7:$D$35)</f>
        <v>-0.0924500327042049</v>
      </c>
      <c r="AJ24" s="20" t="n">
        <f aca="false">CORREL($N$7:$N$35,$D$7:$D$35)</f>
        <v>-0.0740740740740741</v>
      </c>
    </row>
    <row r="25" customFormat="false" ht="15" hidden="false" customHeight="false" outlineLevel="0" collapsed="false">
      <c r="A25" s="11" t="n">
        <f aca="false">Data_Monthly!A26</f>
        <v>44953</v>
      </c>
      <c r="B25" s="12" t="n">
        <f aca="false">Data_Monthly!J26</f>
        <v>1.47478124277294</v>
      </c>
      <c r="C25" s="13" t="n">
        <f aca="false">IF($A25&gt;=$U$5,1,0)</f>
        <v>1</v>
      </c>
      <c r="D25" s="13" t="n">
        <f aca="false">IF(MONTH($A25)=2,1,0)</f>
        <v>0</v>
      </c>
      <c r="E25" s="13" t="n">
        <f aca="false">IF(MONTH($A25)=3,1,0)</f>
        <v>0</v>
      </c>
      <c r="F25" s="13" t="n">
        <f aca="false">IF(MONTH($A25)=4,1,0)</f>
        <v>0</v>
      </c>
      <c r="G25" s="13" t="n">
        <f aca="false">IF(MONTH($A25)=5,1,0)</f>
        <v>0</v>
      </c>
      <c r="H25" s="13" t="n">
        <f aca="false">IF(MONTH($A25)=6,1,0)</f>
        <v>0</v>
      </c>
      <c r="I25" s="13" t="n">
        <f aca="false">IF(MONTH($A25)=7,1,0)</f>
        <v>0</v>
      </c>
      <c r="J25" s="13" t="n">
        <f aca="false">IF(MONTH($A25)=8,1,0)</f>
        <v>0</v>
      </c>
      <c r="K25" s="13" t="n">
        <f aca="false">IF(MONTH($A25)=9,1,0)</f>
        <v>0</v>
      </c>
      <c r="L25" s="13" t="n">
        <f aca="false">IF(MONTH($A25)=10,1,0)</f>
        <v>0</v>
      </c>
      <c r="M25" s="13" t="n">
        <f aca="false">IF(MONTH($A25)=11,1,0)</f>
        <v>0</v>
      </c>
      <c r="N25" s="13" t="n">
        <f aca="false">IF(MONTH($A25)=12,1,0)</f>
        <v>0</v>
      </c>
      <c r="O25" s="7" t="n">
        <f aca="false">$B$5+SUMPRODUCT(C25:N25,$C$5:$N$5)</f>
        <v>0.49061381182803</v>
      </c>
      <c r="P25" s="7" t="n">
        <f aca="false">B25-O25</f>
        <v>0.984167430944909</v>
      </c>
      <c r="Q25" s="7" t="n">
        <f aca="false">P25^2</f>
        <v>0.968585532132702</v>
      </c>
      <c r="R25" s="7" t="n">
        <f aca="false">(ROW()-ROW($A$7))/12</f>
        <v>1.5</v>
      </c>
      <c r="T25" s="5" t="s">
        <v>111</v>
      </c>
      <c r="U25" s="13" t="n">
        <f aca="false">INDEX(LINEST(B7:B35,C7:N35,TRUE(),TRUE()),4,2)</f>
        <v>16</v>
      </c>
      <c r="X25" s="6" t="s">
        <v>70</v>
      </c>
      <c r="Y25" s="20" t="n">
        <f aca="false">CORREL($C$7:$C$35,$E$7:$E$35)</f>
        <v>0.0476384958729191</v>
      </c>
      <c r="Z25" s="20" t="n">
        <f aca="false">CORREL($D$7:$D$35,$E$7:$E$35)</f>
        <v>-0.0740740740740741</v>
      </c>
      <c r="AA25" s="20" t="n">
        <f aca="false">CORREL($E$7:$E$35,$E$7:$E$35)</f>
        <v>1</v>
      </c>
      <c r="AB25" s="20" t="n">
        <f aca="false">CORREL($F$7:$F$35,$E$7:$E$35)</f>
        <v>-0.0740740740740741</v>
      </c>
      <c r="AC25" s="20" t="n">
        <f aca="false">CORREL($G$7:$G$35,$E$7:$E$35)</f>
        <v>-0.0740740740740741</v>
      </c>
      <c r="AD25" s="20" t="n">
        <f aca="false">CORREL($H$7:$H$35,$E$7:$E$35)</f>
        <v>-0.0740740740740741</v>
      </c>
      <c r="AE25" s="20" t="n">
        <f aca="false">CORREL($I$7:$I$35,$E$7:$E$35)</f>
        <v>-0.0924500327042049</v>
      </c>
      <c r="AF25" s="20" t="n">
        <f aca="false">CORREL($J$7:$J$35,$E$7:$E$35)</f>
        <v>-0.0924500327042049</v>
      </c>
      <c r="AG25" s="20" t="n">
        <f aca="false">CORREL($K$7:$K$35,$E$7:$E$35)</f>
        <v>-0.0924500327042049</v>
      </c>
      <c r="AH25" s="20" t="n">
        <f aca="false">CORREL($L$7:$L$35,$E$7:$E$35)</f>
        <v>-0.0924500327042049</v>
      </c>
      <c r="AI25" s="20" t="n">
        <f aca="false">CORREL($M$7:$M$35,$E$7:$E$35)</f>
        <v>-0.0924500327042049</v>
      </c>
      <c r="AJ25" s="20" t="n">
        <f aca="false">CORREL($N$7:$N$35,$E$7:$E$35)</f>
        <v>-0.0740740740740741</v>
      </c>
    </row>
    <row r="26" customFormat="false" ht="15" hidden="false" customHeight="false" outlineLevel="0" collapsed="false">
      <c r="A26" s="11" t="n">
        <f aca="false">Data_Monthly!A27</f>
        <v>44981</v>
      </c>
      <c r="B26" s="12" t="n">
        <f aca="false">Data_Monthly!J27</f>
        <v>0.552978785470781</v>
      </c>
      <c r="C26" s="13" t="n">
        <f aca="false">IF($A26&gt;=$U$5,1,0)</f>
        <v>1</v>
      </c>
      <c r="D26" s="13" t="n">
        <f aca="false">IF(MONTH($A26)=2,1,0)</f>
        <v>1</v>
      </c>
      <c r="E26" s="13" t="n">
        <f aca="false">IF(MONTH($A26)=3,1,0)</f>
        <v>0</v>
      </c>
      <c r="F26" s="13" t="n">
        <f aca="false">IF(MONTH($A26)=4,1,0)</f>
        <v>0</v>
      </c>
      <c r="G26" s="13" t="n">
        <f aca="false">IF(MONTH($A26)=5,1,0)</f>
        <v>0</v>
      </c>
      <c r="H26" s="13" t="n">
        <f aca="false">IF(MONTH($A26)=6,1,0)</f>
        <v>0</v>
      </c>
      <c r="I26" s="13" t="n">
        <f aca="false">IF(MONTH($A26)=7,1,0)</f>
        <v>0</v>
      </c>
      <c r="J26" s="13" t="n">
        <f aca="false">IF(MONTH($A26)=8,1,0)</f>
        <v>0</v>
      </c>
      <c r="K26" s="13" t="n">
        <f aca="false">IF(MONTH($A26)=9,1,0)</f>
        <v>0</v>
      </c>
      <c r="L26" s="13" t="n">
        <f aca="false">IF(MONTH($A26)=10,1,0)</f>
        <v>0</v>
      </c>
      <c r="M26" s="13" t="n">
        <f aca="false">IF(MONTH($A26)=11,1,0)</f>
        <v>0</v>
      </c>
      <c r="N26" s="13" t="n">
        <f aca="false">IF(MONTH($A26)=12,1,0)</f>
        <v>0</v>
      </c>
      <c r="O26" s="7" t="n">
        <f aca="false">$B$5+SUMPRODUCT(C26:N26,$C$5:$N$5)</f>
        <v>0.473281618349415</v>
      </c>
      <c r="P26" s="7" t="n">
        <f aca="false">B26-O26</f>
        <v>0.0796971671213661</v>
      </c>
      <c r="Q26" s="7" t="n">
        <f aca="false">P26^2</f>
        <v>0.00635163844717096</v>
      </c>
      <c r="R26" s="7" t="n">
        <f aca="false">(ROW()-ROW($A$7))/12</f>
        <v>1.58333333333333</v>
      </c>
      <c r="T26" s="5" t="s">
        <v>117</v>
      </c>
      <c r="U26" s="7" t="n">
        <f aca="false">1-(1-$U$23)*($U$22-1)/$U$25</f>
        <v>0.482250763877463</v>
      </c>
      <c r="V26" s="16" t="n">
        <v>0.482250763877463</v>
      </c>
      <c r="X26" s="6" t="s">
        <v>71</v>
      </c>
      <c r="Y26" s="20" t="n">
        <f aca="false">CORREL($C$7:$C$35,$F$7:$F$35)</f>
        <v>0.0476384958729191</v>
      </c>
      <c r="Z26" s="20" t="n">
        <f aca="false">CORREL($D$7:$D$35,$F$7:$F$35)</f>
        <v>-0.0740740740740741</v>
      </c>
      <c r="AA26" s="20" t="n">
        <f aca="false">CORREL($E$7:$E$35,$F$7:$F$35)</f>
        <v>-0.0740740740740741</v>
      </c>
      <c r="AB26" s="20" t="n">
        <f aca="false">CORREL($F$7:$F$35,$F$7:$F$35)</f>
        <v>1</v>
      </c>
      <c r="AC26" s="20" t="n">
        <f aca="false">CORREL($G$7:$G$35,$F$7:$F$35)</f>
        <v>-0.0740740740740741</v>
      </c>
      <c r="AD26" s="20" t="n">
        <f aca="false">CORREL($H$7:$H$35,$F$7:$F$35)</f>
        <v>-0.0740740740740741</v>
      </c>
      <c r="AE26" s="20" t="n">
        <f aca="false">CORREL($I$7:$I$35,$F$7:$F$35)</f>
        <v>-0.0924500327042049</v>
      </c>
      <c r="AF26" s="20" t="n">
        <f aca="false">CORREL($J$7:$J$35,$F$7:$F$35)</f>
        <v>-0.0924500327042049</v>
      </c>
      <c r="AG26" s="20" t="n">
        <f aca="false">CORREL($K$7:$K$35,$F$7:$F$35)</f>
        <v>-0.0924500327042049</v>
      </c>
      <c r="AH26" s="20" t="n">
        <f aca="false">CORREL($L$7:$L$35,$F$7:$F$35)</f>
        <v>-0.0924500327042049</v>
      </c>
      <c r="AI26" s="20" t="n">
        <f aca="false">CORREL($M$7:$M$35,$F$7:$F$35)</f>
        <v>-0.0924500327042049</v>
      </c>
      <c r="AJ26" s="20" t="n">
        <f aca="false">CORREL($N$7:$N$35,$F$7:$F$35)</f>
        <v>-0.0740740740740741</v>
      </c>
    </row>
    <row r="27" customFormat="false" ht="15" hidden="false" customHeight="false" outlineLevel="0" collapsed="false">
      <c r="A27" s="11" t="n">
        <f aca="false">Data_Monthly!A28</f>
        <v>45009</v>
      </c>
      <c r="B27" s="12" t="n">
        <f aca="false">Data_Monthly!J28</f>
        <v>3.35444951597917</v>
      </c>
      <c r="C27" s="13" t="n">
        <f aca="false">IF($A27&gt;=$U$5,1,0)</f>
        <v>1</v>
      </c>
      <c r="D27" s="13" t="n">
        <f aca="false">IF(MONTH($A27)=2,1,0)</f>
        <v>0</v>
      </c>
      <c r="E27" s="13" t="n">
        <f aca="false">IF(MONTH($A27)=3,1,0)</f>
        <v>1</v>
      </c>
      <c r="F27" s="13" t="n">
        <f aca="false">IF(MONTH($A27)=4,1,0)</f>
        <v>0</v>
      </c>
      <c r="G27" s="13" t="n">
        <f aca="false">IF(MONTH($A27)=5,1,0)</f>
        <v>0</v>
      </c>
      <c r="H27" s="13" t="n">
        <f aca="false">IF(MONTH($A27)=6,1,0)</f>
        <v>0</v>
      </c>
      <c r="I27" s="13" t="n">
        <f aca="false">IF(MONTH($A27)=7,1,0)</f>
        <v>0</v>
      </c>
      <c r="J27" s="13" t="n">
        <f aca="false">IF(MONTH($A27)=8,1,0)</f>
        <v>0</v>
      </c>
      <c r="K27" s="13" t="n">
        <f aca="false">IF(MONTH($A27)=9,1,0)</f>
        <v>0</v>
      </c>
      <c r="L27" s="13" t="n">
        <f aca="false">IF(MONTH($A27)=10,1,0)</f>
        <v>0</v>
      </c>
      <c r="M27" s="13" t="n">
        <f aca="false">IF(MONTH($A27)=11,1,0)</f>
        <v>0</v>
      </c>
      <c r="N27" s="13" t="n">
        <f aca="false">IF(MONTH($A27)=12,1,0)</f>
        <v>0</v>
      </c>
      <c r="O27" s="7" t="n">
        <f aca="false">$B$5+SUMPRODUCT(C27:N27,$C$5:$N$5)</f>
        <v>2.5730246292679</v>
      </c>
      <c r="P27" s="7" t="n">
        <f aca="false">B27-O27</f>
        <v>0.781424886711276</v>
      </c>
      <c r="Q27" s="7" t="n">
        <f aca="false">P27^2</f>
        <v>0.61062485357173</v>
      </c>
      <c r="R27" s="7" t="n">
        <f aca="false">(ROW()-ROW($A$7))/12</f>
        <v>1.66666666666667</v>
      </c>
      <c r="T27" s="5" t="s">
        <v>118</v>
      </c>
      <c r="U27" s="7" t="n">
        <f aca="false">INDEX(LINEST(B7:B35,C7:N35,TRUE(),TRUE()),3,2)</f>
        <v>1.13132187628196</v>
      </c>
      <c r="V27" s="16" t="n">
        <v>1.13132187628196</v>
      </c>
      <c r="X27" s="6" t="s">
        <v>72</v>
      </c>
      <c r="Y27" s="20" t="n">
        <f aca="false">CORREL($C$7:$C$35,$G$7:$G$35)</f>
        <v>0.0476384958729191</v>
      </c>
      <c r="Z27" s="20" t="n">
        <f aca="false">CORREL($D$7:$D$35,$G$7:$G$35)</f>
        <v>-0.0740740740740741</v>
      </c>
      <c r="AA27" s="20" t="n">
        <f aca="false">CORREL($E$7:$E$35,$G$7:$G$35)</f>
        <v>-0.0740740740740741</v>
      </c>
      <c r="AB27" s="20" t="n">
        <f aca="false">CORREL($F$7:$F$35,$G$7:$G$35)</f>
        <v>-0.0740740740740741</v>
      </c>
      <c r="AC27" s="20" t="n">
        <f aca="false">CORREL($G$7:$G$35,$G$7:$G$35)</f>
        <v>1</v>
      </c>
      <c r="AD27" s="20" t="n">
        <f aca="false">CORREL($H$7:$H$35,$G$7:$G$35)</f>
        <v>-0.0740740740740741</v>
      </c>
      <c r="AE27" s="20" t="n">
        <f aca="false">CORREL($I$7:$I$35,$G$7:$G$35)</f>
        <v>-0.0924500327042049</v>
      </c>
      <c r="AF27" s="20" t="n">
        <f aca="false">CORREL($J$7:$J$35,$G$7:$G$35)</f>
        <v>-0.0924500327042049</v>
      </c>
      <c r="AG27" s="20" t="n">
        <f aca="false">CORREL($K$7:$K$35,$G$7:$G$35)</f>
        <v>-0.0924500327042049</v>
      </c>
      <c r="AH27" s="20" t="n">
        <f aca="false">CORREL($L$7:$L$35,$G$7:$G$35)</f>
        <v>-0.0924500327042049</v>
      </c>
      <c r="AI27" s="20" t="n">
        <f aca="false">CORREL($M$7:$M$35,$G$7:$G$35)</f>
        <v>-0.0924500327042049</v>
      </c>
      <c r="AJ27" s="20" t="n">
        <f aca="false">CORREL($N$7:$N$35,$G$7:$G$35)</f>
        <v>-0.0740740740740741</v>
      </c>
    </row>
    <row r="28" customFormat="false" ht="15" hidden="false" customHeight="false" outlineLevel="0" collapsed="false">
      <c r="A28" s="11" t="n">
        <f aca="false">Data_Monthly!A29</f>
        <v>45037</v>
      </c>
      <c r="B28" s="12" t="n">
        <f aca="false">Data_Monthly!J29</f>
        <v>-0.069604257928398</v>
      </c>
      <c r="C28" s="13" t="n">
        <f aca="false">IF($A28&gt;=$U$5,1,0)</f>
        <v>1</v>
      </c>
      <c r="D28" s="13" t="n">
        <f aca="false">IF(MONTH($A28)=2,1,0)</f>
        <v>0</v>
      </c>
      <c r="E28" s="13" t="n">
        <f aca="false">IF(MONTH($A28)=3,1,0)</f>
        <v>0</v>
      </c>
      <c r="F28" s="13" t="n">
        <f aca="false">IF(MONTH($A28)=4,1,0)</f>
        <v>1</v>
      </c>
      <c r="G28" s="13" t="n">
        <f aca="false">IF(MONTH($A28)=5,1,0)</f>
        <v>0</v>
      </c>
      <c r="H28" s="13" t="n">
        <f aca="false">IF(MONTH($A28)=6,1,0)</f>
        <v>0</v>
      </c>
      <c r="I28" s="13" t="n">
        <f aca="false">IF(MONTH($A28)=7,1,0)</f>
        <v>0</v>
      </c>
      <c r="J28" s="13" t="n">
        <f aca="false">IF(MONTH($A28)=8,1,0)</f>
        <v>0</v>
      </c>
      <c r="K28" s="13" t="n">
        <f aca="false">IF(MONTH($A28)=9,1,0)</f>
        <v>0</v>
      </c>
      <c r="L28" s="13" t="n">
        <f aca="false">IF(MONTH($A28)=10,1,0)</f>
        <v>0</v>
      </c>
      <c r="M28" s="13" t="n">
        <f aca="false">IF(MONTH($A28)=11,1,0)</f>
        <v>0</v>
      </c>
      <c r="N28" s="13" t="n">
        <f aca="false">IF(MONTH($A28)=12,1,0)</f>
        <v>0</v>
      </c>
      <c r="O28" s="7" t="n">
        <f aca="false">$B$5+SUMPRODUCT(C28:N28,$C$5:$N$5)</f>
        <v>1.04194114241351</v>
      </c>
      <c r="P28" s="7" t="n">
        <f aca="false">B28-O28</f>
        <v>-1.11154540034191</v>
      </c>
      <c r="Q28" s="7" t="n">
        <f aca="false">P28^2</f>
        <v>1.23553317702125</v>
      </c>
      <c r="R28" s="7" t="n">
        <f aca="false">(ROW()-ROW($A$7))/12</f>
        <v>1.75</v>
      </c>
      <c r="X28" s="6" t="s">
        <v>73</v>
      </c>
      <c r="Y28" s="20" t="n">
        <f aca="false">CORREL($C$7:$C$35,$H$7:$H$35)</f>
        <v>0.0476384958729191</v>
      </c>
      <c r="Z28" s="20" t="n">
        <f aca="false">CORREL($D$7:$D$35,$H$7:$H$35)</f>
        <v>-0.0740740740740741</v>
      </c>
      <c r="AA28" s="20" t="n">
        <f aca="false">CORREL($E$7:$E$35,$H$7:$H$35)</f>
        <v>-0.0740740740740741</v>
      </c>
      <c r="AB28" s="20" t="n">
        <f aca="false">CORREL($F$7:$F$35,$H$7:$H$35)</f>
        <v>-0.0740740740740741</v>
      </c>
      <c r="AC28" s="20" t="n">
        <f aca="false">CORREL($G$7:$G$35,$H$7:$H$35)</f>
        <v>-0.0740740740740741</v>
      </c>
      <c r="AD28" s="20" t="n">
        <f aca="false">CORREL($H$7:$H$35,$H$7:$H$35)</f>
        <v>1</v>
      </c>
      <c r="AE28" s="20" t="n">
        <f aca="false">CORREL($I$7:$I$35,$H$7:$H$35)</f>
        <v>-0.0924500327042049</v>
      </c>
      <c r="AF28" s="20" t="n">
        <f aca="false">CORREL($J$7:$J$35,$H$7:$H$35)</f>
        <v>-0.0924500327042049</v>
      </c>
      <c r="AG28" s="20" t="n">
        <f aca="false">CORREL($K$7:$K$35,$H$7:$H$35)</f>
        <v>-0.0924500327042049</v>
      </c>
      <c r="AH28" s="20" t="n">
        <f aca="false">CORREL($L$7:$L$35,$H$7:$H$35)</f>
        <v>-0.0924500327042049</v>
      </c>
      <c r="AI28" s="20" t="n">
        <f aca="false">CORREL($M$7:$M$35,$H$7:$H$35)</f>
        <v>-0.0924500327042049</v>
      </c>
      <c r="AJ28" s="20" t="n">
        <f aca="false">CORREL($N$7:$N$35,$H$7:$H$35)</f>
        <v>-0.0740740740740741</v>
      </c>
    </row>
    <row r="29" customFormat="false" ht="15" hidden="false" customHeight="false" outlineLevel="0" collapsed="false">
      <c r="A29" s="11" t="n">
        <f aca="false">Data_Monthly!A30</f>
        <v>45065</v>
      </c>
      <c r="B29" s="12" t="n">
        <f aca="false">Data_Monthly!J30</f>
        <v>0.352204746673745</v>
      </c>
      <c r="C29" s="13" t="n">
        <f aca="false">IF($A29&gt;=$U$5,1,0)</f>
        <v>1</v>
      </c>
      <c r="D29" s="13" t="n">
        <f aca="false">IF(MONTH($A29)=2,1,0)</f>
        <v>0</v>
      </c>
      <c r="E29" s="13" t="n">
        <f aca="false">IF(MONTH($A29)=3,1,0)</f>
        <v>0</v>
      </c>
      <c r="F29" s="13" t="n">
        <f aca="false">IF(MONTH($A29)=4,1,0)</f>
        <v>0</v>
      </c>
      <c r="G29" s="13" t="n">
        <f aca="false">IF(MONTH($A29)=5,1,0)</f>
        <v>1</v>
      </c>
      <c r="H29" s="13" t="n">
        <f aca="false">IF(MONTH($A29)=6,1,0)</f>
        <v>0</v>
      </c>
      <c r="I29" s="13" t="n">
        <f aca="false">IF(MONTH($A29)=7,1,0)</f>
        <v>0</v>
      </c>
      <c r="J29" s="13" t="n">
        <f aca="false">IF(MONTH($A29)=8,1,0)</f>
        <v>0</v>
      </c>
      <c r="K29" s="13" t="n">
        <f aca="false">IF(MONTH($A29)=9,1,0)</f>
        <v>0</v>
      </c>
      <c r="L29" s="13" t="n">
        <f aca="false">IF(MONTH($A29)=10,1,0)</f>
        <v>0</v>
      </c>
      <c r="M29" s="13" t="n">
        <f aca="false">IF(MONTH($A29)=11,1,0)</f>
        <v>0</v>
      </c>
      <c r="N29" s="13" t="n">
        <f aca="false">IF(MONTH($A29)=12,1,0)</f>
        <v>0</v>
      </c>
      <c r="O29" s="7" t="n">
        <f aca="false">$B$5+SUMPRODUCT(C29:N29,$C$5:$N$5)</f>
        <v>0.330449588792018</v>
      </c>
      <c r="P29" s="7" t="n">
        <f aca="false">B29-O29</f>
        <v>0.0217551578817276</v>
      </c>
      <c r="Q29" s="7" t="n">
        <f aca="false">P29^2</f>
        <v>0.000473286894458895</v>
      </c>
      <c r="R29" s="7" t="n">
        <f aca="false">(ROW()-ROW($A$7))/12</f>
        <v>1.83333333333333</v>
      </c>
      <c r="T29" s="9" t="s">
        <v>119</v>
      </c>
      <c r="U29" s="14" t="s">
        <v>91</v>
      </c>
      <c r="V29" s="14" t="s">
        <v>92</v>
      </c>
      <c r="X29" s="6" t="s">
        <v>74</v>
      </c>
      <c r="Y29" s="20" t="n">
        <f aca="false">CORREL($C$7:$C$35,$I$7:$I$35)</f>
        <v>-0.0554926743180243</v>
      </c>
      <c r="Z29" s="20" t="n">
        <f aca="false">CORREL($D$7:$D$35,$I$7:$I$35)</f>
        <v>-0.0924500327042049</v>
      </c>
      <c r="AA29" s="20" t="n">
        <f aca="false">CORREL($E$7:$E$35,$I$7:$I$35)</f>
        <v>-0.0924500327042049</v>
      </c>
      <c r="AB29" s="20" t="n">
        <f aca="false">CORREL($F$7:$F$35,$I$7:$I$35)</f>
        <v>-0.0924500327042049</v>
      </c>
      <c r="AC29" s="20" t="n">
        <f aca="false">CORREL($G$7:$G$35,$I$7:$I$35)</f>
        <v>-0.0924500327042049</v>
      </c>
      <c r="AD29" s="20" t="n">
        <f aca="false">CORREL($H$7:$H$35,$I$7:$I$35)</f>
        <v>-0.0924500327042049</v>
      </c>
      <c r="AE29" s="20" t="n">
        <f aca="false">CORREL($I$7:$I$35,$I$7:$I$35)</f>
        <v>1</v>
      </c>
      <c r="AF29" s="20" t="n">
        <f aca="false">CORREL($J$7:$J$35,$I$7:$I$35)</f>
        <v>-0.115384615384615</v>
      </c>
      <c r="AG29" s="20" t="n">
        <f aca="false">CORREL($K$7:$K$35,$I$7:$I$35)</f>
        <v>-0.115384615384615</v>
      </c>
      <c r="AH29" s="20" t="n">
        <f aca="false">CORREL($L$7:$L$35,$I$7:$I$35)</f>
        <v>-0.115384615384615</v>
      </c>
      <c r="AI29" s="20" t="n">
        <f aca="false">CORREL($M$7:$M$35,$I$7:$I$35)</f>
        <v>-0.115384615384615</v>
      </c>
      <c r="AJ29" s="20" t="n">
        <f aca="false">CORREL($N$7:$N$35,$I$7:$I$35)</f>
        <v>-0.0924500327042049</v>
      </c>
    </row>
    <row r="30" customFormat="false" ht="15" hidden="false" customHeight="false" outlineLevel="0" collapsed="false">
      <c r="A30" s="11" t="n">
        <f aca="false">Data_Monthly!A31</f>
        <v>45107</v>
      </c>
      <c r="B30" s="12" t="n">
        <f aca="false">Data_Monthly!J31</f>
        <v>0.775197980589167</v>
      </c>
      <c r="C30" s="13" t="n">
        <f aca="false">IF($A30&gt;=$U$5,1,0)</f>
        <v>1</v>
      </c>
      <c r="D30" s="13" t="n">
        <f aca="false">IF(MONTH($A30)=2,1,0)</f>
        <v>0</v>
      </c>
      <c r="E30" s="13" t="n">
        <f aca="false">IF(MONTH($A30)=3,1,0)</f>
        <v>0</v>
      </c>
      <c r="F30" s="13" t="n">
        <f aca="false">IF(MONTH($A30)=4,1,0)</f>
        <v>0</v>
      </c>
      <c r="G30" s="13" t="n">
        <f aca="false">IF(MONTH($A30)=5,1,0)</f>
        <v>0</v>
      </c>
      <c r="H30" s="13" t="n">
        <f aca="false">IF(MONTH($A30)=6,1,0)</f>
        <v>1</v>
      </c>
      <c r="I30" s="13" t="n">
        <f aca="false">IF(MONTH($A30)=7,1,0)</f>
        <v>0</v>
      </c>
      <c r="J30" s="13" t="n">
        <f aca="false">IF(MONTH($A30)=8,1,0)</f>
        <v>0</v>
      </c>
      <c r="K30" s="13" t="n">
        <f aca="false">IF(MONTH($A30)=9,1,0)</f>
        <v>0</v>
      </c>
      <c r="L30" s="13" t="n">
        <f aca="false">IF(MONTH($A30)=10,1,0)</f>
        <v>0</v>
      </c>
      <c r="M30" s="13" t="n">
        <f aca="false">IF(MONTH($A30)=11,1,0)</f>
        <v>0</v>
      </c>
      <c r="N30" s="13" t="n">
        <f aca="false">IF(MONTH($A30)=12,1,0)</f>
        <v>0</v>
      </c>
      <c r="O30" s="7" t="n">
        <f aca="false">$B$5+SUMPRODUCT(C30:N30,$C$5:$N$5)</f>
        <v>-0.28280604089237</v>
      </c>
      <c r="P30" s="7" t="n">
        <f aca="false">B30-O30</f>
        <v>1.05800402148154</v>
      </c>
      <c r="Q30" s="7" t="n">
        <f aca="false">P30^2</f>
        <v>1.1193725094711</v>
      </c>
      <c r="R30" s="7" t="n">
        <f aca="false">(ROW()-ROW($A$7))/12</f>
        <v>1.91666666666667</v>
      </c>
      <c r="T30" s="5" t="s">
        <v>120</v>
      </c>
      <c r="U30" s="7" t="n">
        <f aca="false">INDEX(LINEST(B7:B35,C7:N35,TRUE(),TRUE()),5,1)</f>
        <v>48.73848015228</v>
      </c>
      <c r="V30" s="16" t="n">
        <v>48.73848015228</v>
      </c>
      <c r="X30" s="6" t="s">
        <v>75</v>
      </c>
      <c r="Y30" s="20" t="n">
        <f aca="false">CORREL($C$7:$C$35,$J$7:$J$35)</f>
        <v>-0.0554926743180243</v>
      </c>
      <c r="Z30" s="20" t="n">
        <f aca="false">CORREL($D$7:$D$35,$J$7:$J$35)</f>
        <v>-0.0924500327042049</v>
      </c>
      <c r="AA30" s="20" t="n">
        <f aca="false">CORREL($E$7:$E$35,$J$7:$J$35)</f>
        <v>-0.0924500327042049</v>
      </c>
      <c r="AB30" s="20" t="n">
        <f aca="false">CORREL($F$7:$F$35,$J$7:$J$35)</f>
        <v>-0.0924500327042049</v>
      </c>
      <c r="AC30" s="20" t="n">
        <f aca="false">CORREL($G$7:$G$35,$J$7:$J$35)</f>
        <v>-0.0924500327042049</v>
      </c>
      <c r="AD30" s="20" t="n">
        <f aca="false">CORREL($H$7:$H$35,$J$7:$J$35)</f>
        <v>-0.0924500327042049</v>
      </c>
      <c r="AE30" s="20" t="n">
        <f aca="false">CORREL($I$7:$I$35,$J$7:$J$35)</f>
        <v>-0.115384615384615</v>
      </c>
      <c r="AF30" s="20" t="n">
        <f aca="false">CORREL($J$7:$J$35,$J$7:$J$35)</f>
        <v>1</v>
      </c>
      <c r="AG30" s="20" t="n">
        <f aca="false">CORREL($K$7:$K$35,$J$7:$J$35)</f>
        <v>-0.115384615384615</v>
      </c>
      <c r="AH30" s="20" t="n">
        <f aca="false">CORREL($L$7:$L$35,$J$7:$J$35)</f>
        <v>-0.115384615384615</v>
      </c>
      <c r="AI30" s="20" t="n">
        <f aca="false">CORREL($M$7:$M$35,$J$7:$J$35)</f>
        <v>-0.115384615384615</v>
      </c>
      <c r="AJ30" s="20" t="n">
        <f aca="false">CORREL($N$7:$N$35,$J$7:$J$35)</f>
        <v>-0.0924500327042049</v>
      </c>
    </row>
    <row r="31" customFormat="false" ht="15" hidden="false" customHeight="false" outlineLevel="0" collapsed="false">
      <c r="A31" s="11" t="n">
        <f aca="false">Data_Monthly!A32</f>
        <v>45135</v>
      </c>
      <c r="B31" s="12" t="n">
        <f aca="false">Data_Monthly!J32</f>
        <v>0.644751991621373</v>
      </c>
      <c r="C31" s="13" t="n">
        <f aca="false">IF($A31&gt;=$U$5,1,0)</f>
        <v>1</v>
      </c>
      <c r="D31" s="13" t="n">
        <f aca="false">IF(MONTH($A31)=2,1,0)</f>
        <v>0</v>
      </c>
      <c r="E31" s="13" t="n">
        <f aca="false">IF(MONTH($A31)=3,1,0)</f>
        <v>0</v>
      </c>
      <c r="F31" s="13" t="n">
        <f aca="false">IF(MONTH($A31)=4,1,0)</f>
        <v>0</v>
      </c>
      <c r="G31" s="13" t="n">
        <f aca="false">IF(MONTH($A31)=5,1,0)</f>
        <v>0</v>
      </c>
      <c r="H31" s="13" t="n">
        <f aca="false">IF(MONTH($A31)=6,1,0)</f>
        <v>0</v>
      </c>
      <c r="I31" s="13" t="n">
        <f aca="false">IF(MONTH($A31)=7,1,0)</f>
        <v>1</v>
      </c>
      <c r="J31" s="13" t="n">
        <f aca="false">IF(MONTH($A31)=8,1,0)</f>
        <v>0</v>
      </c>
      <c r="K31" s="13" t="n">
        <f aca="false">IF(MONTH($A31)=9,1,0)</f>
        <v>0</v>
      </c>
      <c r="L31" s="13" t="n">
        <f aca="false">IF(MONTH($A31)=10,1,0)</f>
        <v>0</v>
      </c>
      <c r="M31" s="13" t="n">
        <f aca="false">IF(MONTH($A31)=11,1,0)</f>
        <v>0</v>
      </c>
      <c r="N31" s="13" t="n">
        <f aca="false">IF(MONTH($A31)=12,1,0)</f>
        <v>0</v>
      </c>
      <c r="O31" s="7" t="n">
        <f aca="false">$B$5+SUMPRODUCT(C31:N31,$C$5:$N$5)</f>
        <v>2.49584614188276</v>
      </c>
      <c r="P31" s="7" t="n">
        <f aca="false">B31-O31</f>
        <v>-1.85109415026139</v>
      </c>
      <c r="Q31" s="7" t="n">
        <f aca="false">P31^2</f>
        <v>3.42654955313193</v>
      </c>
      <c r="R31" s="7" t="n">
        <f aca="false">(ROW()-ROW($A$7))/12</f>
        <v>2</v>
      </c>
      <c r="T31" s="5" t="s">
        <v>113</v>
      </c>
      <c r="U31" s="7" t="n">
        <f aca="false">INDEX(LINEST(B7:B35,C7:N35,TRUE(),TRUE()),5,2)</f>
        <v>20.478227004066</v>
      </c>
      <c r="V31" s="16" t="n">
        <v>20.478227004066</v>
      </c>
      <c r="X31" s="6" t="s">
        <v>76</v>
      </c>
      <c r="Y31" s="20" t="n">
        <f aca="false">CORREL($C$7:$C$35,$K$7:$K$35)</f>
        <v>-0.0554926743180243</v>
      </c>
      <c r="Z31" s="20" t="n">
        <f aca="false">CORREL($D$7:$D$35,$K$7:$K$35)</f>
        <v>-0.0924500327042049</v>
      </c>
      <c r="AA31" s="20" t="n">
        <f aca="false">CORREL($E$7:$E$35,$K$7:$K$35)</f>
        <v>-0.0924500327042049</v>
      </c>
      <c r="AB31" s="20" t="n">
        <f aca="false">CORREL($F$7:$F$35,$K$7:$K$35)</f>
        <v>-0.0924500327042049</v>
      </c>
      <c r="AC31" s="20" t="n">
        <f aca="false">CORREL($G$7:$G$35,$K$7:$K$35)</f>
        <v>-0.0924500327042049</v>
      </c>
      <c r="AD31" s="20" t="n">
        <f aca="false">CORREL($H$7:$H$35,$K$7:$K$35)</f>
        <v>-0.0924500327042049</v>
      </c>
      <c r="AE31" s="20" t="n">
        <f aca="false">CORREL($I$7:$I$35,$K$7:$K$35)</f>
        <v>-0.115384615384615</v>
      </c>
      <c r="AF31" s="20" t="n">
        <f aca="false">CORREL($J$7:$J$35,$K$7:$K$35)</f>
        <v>-0.115384615384615</v>
      </c>
      <c r="AG31" s="20" t="n">
        <f aca="false">CORREL($K$7:$K$35,$K$7:$K$35)</f>
        <v>1</v>
      </c>
      <c r="AH31" s="20" t="n">
        <f aca="false">CORREL($L$7:$L$35,$K$7:$K$35)</f>
        <v>-0.115384615384615</v>
      </c>
      <c r="AI31" s="20" t="n">
        <f aca="false">CORREL($M$7:$M$35,$K$7:$K$35)</f>
        <v>-0.115384615384615</v>
      </c>
      <c r="AJ31" s="20" t="n">
        <f aca="false">CORREL($N$7:$N$35,$K$7:$K$35)</f>
        <v>-0.0924500327042049</v>
      </c>
    </row>
    <row r="32" customFormat="false" ht="15" hidden="false" customHeight="false" outlineLevel="0" collapsed="false">
      <c r="A32" s="11" t="n">
        <f aca="false">Data_Monthly!A33</f>
        <v>45163</v>
      </c>
      <c r="B32" s="12" t="n">
        <f aca="false">Data_Monthly!J33</f>
        <v>-0.281087587211844</v>
      </c>
      <c r="C32" s="13" t="n">
        <f aca="false">IF($A32&gt;=$U$5,1,0)</f>
        <v>1</v>
      </c>
      <c r="D32" s="13" t="n">
        <f aca="false">IF(MONTH($A32)=2,1,0)</f>
        <v>0</v>
      </c>
      <c r="E32" s="13" t="n">
        <f aca="false">IF(MONTH($A32)=3,1,0)</f>
        <v>0</v>
      </c>
      <c r="F32" s="13" t="n">
        <f aca="false">IF(MONTH($A32)=4,1,0)</f>
        <v>0</v>
      </c>
      <c r="G32" s="13" t="n">
        <f aca="false">IF(MONTH($A32)=5,1,0)</f>
        <v>0</v>
      </c>
      <c r="H32" s="13" t="n">
        <f aca="false">IF(MONTH($A32)=6,1,0)</f>
        <v>0</v>
      </c>
      <c r="I32" s="13" t="n">
        <f aca="false">IF(MONTH($A32)=7,1,0)</f>
        <v>0</v>
      </c>
      <c r="J32" s="13" t="n">
        <f aca="false">IF(MONTH($A32)=8,1,0)</f>
        <v>1</v>
      </c>
      <c r="K32" s="13" t="n">
        <f aca="false">IF(MONTH($A32)=9,1,0)</f>
        <v>0</v>
      </c>
      <c r="L32" s="13" t="n">
        <f aca="false">IF(MONTH($A32)=10,1,0)</f>
        <v>0</v>
      </c>
      <c r="M32" s="13" t="n">
        <f aca="false">IF(MONTH($A32)=11,1,0)</f>
        <v>0</v>
      </c>
      <c r="N32" s="13" t="n">
        <f aca="false">IF(MONTH($A32)=12,1,0)</f>
        <v>0</v>
      </c>
      <c r="O32" s="7" t="n">
        <f aca="false">$B$5+SUMPRODUCT(C32:N32,$C$5:$N$5)</f>
        <v>0.574368663875072</v>
      </c>
      <c r="P32" s="7" t="n">
        <f aca="false">B32-O32</f>
        <v>-0.855456251086916</v>
      </c>
      <c r="Q32" s="7" t="n">
        <f aca="false">P32^2</f>
        <v>0.731805397523681</v>
      </c>
      <c r="R32" s="7" t="n">
        <f aca="false">(ROW()-ROW($A$7))/12</f>
        <v>2.08333333333333</v>
      </c>
      <c r="T32" s="5" t="s">
        <v>121</v>
      </c>
      <c r="U32" s="13" t="n">
        <f aca="false">COLUMNS(C7:N35)</f>
        <v>12</v>
      </c>
      <c r="V32" s="15" t="n">
        <v>12</v>
      </c>
      <c r="X32" s="6" t="s">
        <v>77</v>
      </c>
      <c r="Y32" s="20" t="n">
        <f aca="false">CORREL($C$7:$C$35,$L$7:$L$35)</f>
        <v>-0.0554926743180243</v>
      </c>
      <c r="Z32" s="20" t="n">
        <f aca="false">CORREL($D$7:$D$35,$L$7:$L$35)</f>
        <v>-0.0924500327042049</v>
      </c>
      <c r="AA32" s="20" t="n">
        <f aca="false">CORREL($E$7:$E$35,$L$7:$L$35)</f>
        <v>-0.0924500327042049</v>
      </c>
      <c r="AB32" s="20" t="n">
        <f aca="false">CORREL($F$7:$F$35,$L$7:$L$35)</f>
        <v>-0.0924500327042049</v>
      </c>
      <c r="AC32" s="20" t="n">
        <f aca="false">CORREL($G$7:$G$35,$L$7:$L$35)</f>
        <v>-0.0924500327042049</v>
      </c>
      <c r="AD32" s="20" t="n">
        <f aca="false">CORREL($H$7:$H$35,$L$7:$L$35)</f>
        <v>-0.0924500327042049</v>
      </c>
      <c r="AE32" s="20" t="n">
        <f aca="false">CORREL($I$7:$I$35,$L$7:$L$35)</f>
        <v>-0.115384615384615</v>
      </c>
      <c r="AF32" s="20" t="n">
        <f aca="false">CORREL($J$7:$J$35,$L$7:$L$35)</f>
        <v>-0.115384615384615</v>
      </c>
      <c r="AG32" s="20" t="n">
        <f aca="false">CORREL($K$7:$K$35,$L$7:$L$35)</f>
        <v>-0.115384615384615</v>
      </c>
      <c r="AH32" s="20" t="n">
        <f aca="false">CORREL($L$7:$L$35,$L$7:$L$35)</f>
        <v>1</v>
      </c>
      <c r="AI32" s="20" t="n">
        <f aca="false">CORREL($M$7:$M$35,$L$7:$L$35)</f>
        <v>-0.115384615384615</v>
      </c>
      <c r="AJ32" s="20" t="n">
        <f aca="false">CORREL($N$7:$N$35,$L$7:$L$35)</f>
        <v>-0.0924500327042049</v>
      </c>
    </row>
    <row r="33" customFormat="false" ht="15" hidden="false" customHeight="false" outlineLevel="0" collapsed="false">
      <c r="A33" s="11" t="n">
        <f aca="false">Data_Monthly!A34</f>
        <v>45191</v>
      </c>
      <c r="B33" s="12" t="n">
        <f aca="false">Data_Monthly!J34</f>
        <v>-0.943158007377853</v>
      </c>
      <c r="C33" s="13" t="n">
        <f aca="false">IF($A33&gt;=$U$5,1,0)</f>
        <v>1</v>
      </c>
      <c r="D33" s="13" t="n">
        <f aca="false">IF(MONTH($A33)=2,1,0)</f>
        <v>0</v>
      </c>
      <c r="E33" s="13" t="n">
        <f aca="false">IF(MONTH($A33)=3,1,0)</f>
        <v>0</v>
      </c>
      <c r="F33" s="13" t="n">
        <f aca="false">IF(MONTH($A33)=4,1,0)</f>
        <v>0</v>
      </c>
      <c r="G33" s="13" t="n">
        <f aca="false">IF(MONTH($A33)=5,1,0)</f>
        <v>0</v>
      </c>
      <c r="H33" s="13" t="n">
        <f aca="false">IF(MONTH($A33)=6,1,0)</f>
        <v>0</v>
      </c>
      <c r="I33" s="13" t="n">
        <f aca="false">IF(MONTH($A33)=7,1,0)</f>
        <v>0</v>
      </c>
      <c r="J33" s="13" t="n">
        <f aca="false">IF(MONTH($A33)=8,1,0)</f>
        <v>0</v>
      </c>
      <c r="K33" s="13" t="n">
        <f aca="false">IF(MONTH($A33)=9,1,0)</f>
        <v>1</v>
      </c>
      <c r="L33" s="13" t="n">
        <f aca="false">IF(MONTH($A33)=10,1,0)</f>
        <v>0</v>
      </c>
      <c r="M33" s="13" t="n">
        <f aca="false">IF(MONTH($A33)=11,1,0)</f>
        <v>0</v>
      </c>
      <c r="N33" s="13" t="n">
        <f aca="false">IF(MONTH($A33)=12,1,0)</f>
        <v>0</v>
      </c>
      <c r="O33" s="7" t="n">
        <f aca="false">$B$5+SUMPRODUCT(C33:N33,$C$5:$N$5)</f>
        <v>-0.807917739599863</v>
      </c>
      <c r="P33" s="7" t="n">
        <f aca="false">B33-O33</f>
        <v>-0.13524026777799</v>
      </c>
      <c r="Q33" s="7" t="n">
        <f aca="false">P33^2</f>
        <v>0.0182899300286625</v>
      </c>
      <c r="R33" s="7" t="n">
        <f aca="false">(ROW()-ROW($A$7))/12</f>
        <v>2.16666666666667</v>
      </c>
      <c r="T33" s="5" t="s">
        <v>111</v>
      </c>
      <c r="U33" s="13" t="n">
        <f aca="false">$U$25</f>
        <v>16</v>
      </c>
      <c r="V33" s="15" t="n">
        <v>16</v>
      </c>
      <c r="X33" s="6" t="s">
        <v>78</v>
      </c>
      <c r="Y33" s="20" t="n">
        <f aca="false">CORREL($C$7:$C$35,$M$7:$M$35)</f>
        <v>-0.0554926743180243</v>
      </c>
      <c r="Z33" s="20" t="n">
        <f aca="false">CORREL($D$7:$D$35,$M$7:$M$35)</f>
        <v>-0.0924500327042049</v>
      </c>
      <c r="AA33" s="20" t="n">
        <f aca="false">CORREL($E$7:$E$35,$M$7:$M$35)</f>
        <v>-0.0924500327042049</v>
      </c>
      <c r="AB33" s="20" t="n">
        <f aca="false">CORREL($F$7:$F$35,$M$7:$M$35)</f>
        <v>-0.0924500327042049</v>
      </c>
      <c r="AC33" s="20" t="n">
        <f aca="false">CORREL($G$7:$G$35,$M$7:$M$35)</f>
        <v>-0.0924500327042049</v>
      </c>
      <c r="AD33" s="20" t="n">
        <f aca="false">CORREL($H$7:$H$35,$M$7:$M$35)</f>
        <v>-0.0924500327042049</v>
      </c>
      <c r="AE33" s="20" t="n">
        <f aca="false">CORREL($I$7:$I$35,$M$7:$M$35)</f>
        <v>-0.115384615384615</v>
      </c>
      <c r="AF33" s="20" t="n">
        <f aca="false">CORREL($J$7:$J$35,$M$7:$M$35)</f>
        <v>-0.115384615384615</v>
      </c>
      <c r="AG33" s="20" t="n">
        <f aca="false">CORREL($K$7:$K$35,$M$7:$M$35)</f>
        <v>-0.115384615384615</v>
      </c>
      <c r="AH33" s="20" t="n">
        <f aca="false">CORREL($L$7:$L$35,$M$7:$M$35)</f>
        <v>-0.115384615384615</v>
      </c>
      <c r="AI33" s="20" t="n">
        <f aca="false">CORREL($M$7:$M$35,$M$7:$M$35)</f>
        <v>1</v>
      </c>
      <c r="AJ33" s="20" t="n">
        <f aca="false">CORREL($N$7:$N$35,$M$7:$M$35)</f>
        <v>-0.0924500327042049</v>
      </c>
    </row>
    <row r="34" customFormat="false" ht="15" hidden="false" customHeight="false" outlineLevel="0" collapsed="false">
      <c r="A34" s="11" t="n">
        <f aca="false">Data_Monthly!A35</f>
        <v>45219</v>
      </c>
      <c r="B34" s="12" t="n">
        <f aca="false">Data_Monthly!J35</f>
        <v>3.77905596214895</v>
      </c>
      <c r="C34" s="13" t="n">
        <f aca="false">IF($A34&gt;=$U$5,1,0)</f>
        <v>1</v>
      </c>
      <c r="D34" s="13" t="n">
        <f aca="false">IF(MONTH($A34)=2,1,0)</f>
        <v>0</v>
      </c>
      <c r="E34" s="13" t="n">
        <f aca="false">IF(MONTH($A34)=3,1,0)</f>
        <v>0</v>
      </c>
      <c r="F34" s="13" t="n">
        <f aca="false">IF(MONTH($A34)=4,1,0)</f>
        <v>0</v>
      </c>
      <c r="G34" s="13" t="n">
        <f aca="false">IF(MONTH($A34)=5,1,0)</f>
        <v>0</v>
      </c>
      <c r="H34" s="13" t="n">
        <f aca="false">IF(MONTH($A34)=6,1,0)</f>
        <v>0</v>
      </c>
      <c r="I34" s="13" t="n">
        <f aca="false">IF(MONTH($A34)=7,1,0)</f>
        <v>0</v>
      </c>
      <c r="J34" s="13" t="n">
        <f aca="false">IF(MONTH($A34)=8,1,0)</f>
        <v>0</v>
      </c>
      <c r="K34" s="13" t="n">
        <f aca="false">IF(MONTH($A34)=9,1,0)</f>
        <v>0</v>
      </c>
      <c r="L34" s="13" t="n">
        <f aca="false">IF(MONTH($A34)=10,1,0)</f>
        <v>1</v>
      </c>
      <c r="M34" s="13" t="n">
        <f aca="false">IF(MONTH($A34)=11,1,0)</f>
        <v>0</v>
      </c>
      <c r="N34" s="13" t="n">
        <f aca="false">IF(MONTH($A34)=12,1,0)</f>
        <v>0</v>
      </c>
      <c r="O34" s="7" t="n">
        <f aca="false">$B$5+SUMPRODUCT(C34:N34,$C$5:$N$5)</f>
        <v>3.19130389140706</v>
      </c>
      <c r="P34" s="7" t="n">
        <f aca="false">B34-O34</f>
        <v>0.587752070741892</v>
      </c>
      <c r="Q34" s="7" t="n">
        <f aca="false">P34^2</f>
        <v>0.345452496661383</v>
      </c>
      <c r="R34" s="7" t="n">
        <f aca="false">(ROW()-ROW($A$7))/12</f>
        <v>2.25</v>
      </c>
      <c r="T34" s="5" t="s">
        <v>122</v>
      </c>
      <c r="U34" s="7" t="n">
        <f aca="false">$U$30/$U$32</f>
        <v>4.06154001269</v>
      </c>
      <c r="X34" s="6" t="s">
        <v>79</v>
      </c>
      <c r="Y34" s="20" t="n">
        <f aca="false">CORREL($C$7:$C$35,$N$7:$N$35)</f>
        <v>0.0476384958729191</v>
      </c>
      <c r="Z34" s="20" t="n">
        <f aca="false">CORREL($D$7:$D$35,$N$7:$N$35)</f>
        <v>-0.0740740740740741</v>
      </c>
      <c r="AA34" s="20" t="n">
        <f aca="false">CORREL($E$7:$E$35,$N$7:$N$35)</f>
        <v>-0.0740740740740741</v>
      </c>
      <c r="AB34" s="20" t="n">
        <f aca="false">CORREL($F$7:$F$35,$N$7:$N$35)</f>
        <v>-0.0740740740740741</v>
      </c>
      <c r="AC34" s="20" t="n">
        <f aca="false">CORREL($G$7:$G$35,$N$7:$N$35)</f>
        <v>-0.0740740740740741</v>
      </c>
      <c r="AD34" s="20" t="n">
        <f aca="false">CORREL($H$7:$H$35,$N$7:$N$35)</f>
        <v>-0.0740740740740741</v>
      </c>
      <c r="AE34" s="20" t="n">
        <f aca="false">CORREL($I$7:$I$35,$N$7:$N$35)</f>
        <v>-0.0924500327042049</v>
      </c>
      <c r="AF34" s="20" t="n">
        <f aca="false">CORREL($J$7:$J$35,$N$7:$N$35)</f>
        <v>-0.0924500327042049</v>
      </c>
      <c r="AG34" s="20" t="n">
        <f aca="false">CORREL($K$7:$K$35,$N$7:$N$35)</f>
        <v>-0.0924500327042049</v>
      </c>
      <c r="AH34" s="20" t="n">
        <f aca="false">CORREL($L$7:$L$35,$N$7:$N$35)</f>
        <v>-0.0924500327042049</v>
      </c>
      <c r="AI34" s="20" t="n">
        <f aca="false">CORREL($M$7:$M$35,$N$7:$N$35)</f>
        <v>-0.0924500327042049</v>
      </c>
      <c r="AJ34" s="20" t="n">
        <f aca="false">CORREL($N$7:$N$35,$N$7:$N$35)</f>
        <v>1</v>
      </c>
    </row>
    <row r="35" customFormat="false" ht="15" hidden="false" customHeight="false" outlineLevel="0" collapsed="false">
      <c r="A35" s="11" t="n">
        <f aca="false">Data_Monthly!A36</f>
        <v>45247</v>
      </c>
      <c r="B35" s="12" t="n">
        <f aca="false">Data_Monthly!J36</f>
        <v>-0.317344161152159</v>
      </c>
      <c r="C35" s="13" t="n">
        <f aca="false">IF($A35&gt;=$U$5,1,0)</f>
        <v>1</v>
      </c>
      <c r="D35" s="13" t="n">
        <f aca="false">IF(MONTH($A35)=2,1,0)</f>
        <v>0</v>
      </c>
      <c r="E35" s="13" t="n">
        <f aca="false">IF(MONTH($A35)=3,1,0)</f>
        <v>0</v>
      </c>
      <c r="F35" s="13" t="n">
        <f aca="false">IF(MONTH($A35)=4,1,0)</f>
        <v>0</v>
      </c>
      <c r="G35" s="13" t="n">
        <f aca="false">IF(MONTH($A35)=5,1,0)</f>
        <v>0</v>
      </c>
      <c r="H35" s="13" t="n">
        <f aca="false">IF(MONTH($A35)=6,1,0)</f>
        <v>0</v>
      </c>
      <c r="I35" s="13" t="n">
        <f aca="false">IF(MONTH($A35)=7,1,0)</f>
        <v>0</v>
      </c>
      <c r="J35" s="13" t="n">
        <f aca="false">IF(MONTH($A35)=8,1,0)</f>
        <v>0</v>
      </c>
      <c r="K35" s="13" t="n">
        <f aca="false">IF(MONTH($A35)=9,1,0)</f>
        <v>0</v>
      </c>
      <c r="L35" s="13" t="n">
        <f aca="false">IF(MONTH($A35)=10,1,0)</f>
        <v>0</v>
      </c>
      <c r="M35" s="13" t="n">
        <f aca="false">IF(MONTH($A35)=11,1,0)</f>
        <v>1</v>
      </c>
      <c r="N35" s="13" t="n">
        <f aca="false">IF(MONTH($A35)=12,1,0)</f>
        <v>0</v>
      </c>
      <c r="O35" s="7" t="n">
        <f aca="false">$B$5+SUMPRODUCT(C35:N35,$C$5:$N$5)</f>
        <v>-0.558843055591209</v>
      </c>
      <c r="P35" s="7" t="n">
        <f aca="false">B35-O35</f>
        <v>0.24149889443905</v>
      </c>
      <c r="Q35" s="7" t="n">
        <f aca="false">P35^2</f>
        <v>0.0583217160152834</v>
      </c>
      <c r="R35" s="7" t="n">
        <f aca="false">(ROW()-ROW($A$7))/12</f>
        <v>2.33333333333333</v>
      </c>
      <c r="T35" s="5" t="s">
        <v>123</v>
      </c>
      <c r="U35" s="7" t="n">
        <f aca="false">$U$31/$U$33</f>
        <v>1.27988918775412</v>
      </c>
    </row>
    <row r="36" customFormat="false" ht="15" hidden="false" customHeight="false" outlineLevel="0" collapsed="false">
      <c r="T36" s="5" t="s">
        <v>124</v>
      </c>
      <c r="U36" s="7" t="n">
        <f aca="false">INDEX(LINEST(B7:B35,C7:N35,TRUE(),TRUE()),4,1)</f>
        <v>3.17335285863064</v>
      </c>
      <c r="V36" s="16" t="n">
        <v>3.17335285863065</v>
      </c>
    </row>
    <row r="37" customFormat="false" ht="15" hidden="false" customHeight="false" outlineLevel="0" collapsed="false">
      <c r="T37" s="5" t="s">
        <v>125</v>
      </c>
      <c r="U37" s="7" t="n">
        <f aca="false">_xlfn.F.DIST.RT($U$36,$U$32,$U$33)</f>
        <v>0.0167066008057224</v>
      </c>
      <c r="V37" s="16" t="n">
        <v>0.0167066008057224</v>
      </c>
    </row>
    <row r="39" customFormat="false" ht="15" hidden="false" customHeight="false" outlineLevel="0" collapsed="false">
      <c r="T39" s="9" t="s">
        <v>126</v>
      </c>
      <c r="U39" s="14" t="s">
        <v>91</v>
      </c>
      <c r="V39" s="14" t="s">
        <v>92</v>
      </c>
    </row>
    <row r="40" customFormat="false" ht="15" hidden="false" customHeight="false" outlineLevel="0" collapsed="false">
      <c r="T40" s="5" t="s">
        <v>109</v>
      </c>
      <c r="U40" s="7" t="n">
        <f aca="false">Y7</f>
        <v>-0.0530975559496076</v>
      </c>
      <c r="V40" s="16" t="n">
        <v>-0.0530975559496079</v>
      </c>
    </row>
    <row r="41" customFormat="false" ht="15" hidden="false" customHeight="false" outlineLevel="0" collapsed="false">
      <c r="T41" s="5" t="s">
        <v>110</v>
      </c>
      <c r="U41" s="7" t="n">
        <f aca="false">Z7</f>
        <v>0.432782689977899</v>
      </c>
      <c r="V41" s="16" t="n">
        <v>0.432782689977899</v>
      </c>
    </row>
    <row r="42" customFormat="false" ht="15" hidden="false" customHeight="false" outlineLevel="0" collapsed="false">
      <c r="T42" s="5" t="s">
        <v>102</v>
      </c>
      <c r="U42" s="7" t="n">
        <f aca="false">AA7</f>
        <v>-0.122688723877379</v>
      </c>
      <c r="V42" s="16" t="n">
        <v>-0.122688723877379</v>
      </c>
    </row>
    <row r="43" customFormat="false" ht="15" hidden="false" customHeight="false" outlineLevel="0" collapsed="false">
      <c r="T43" s="5" t="s">
        <v>88</v>
      </c>
      <c r="U43" s="7" t="n">
        <f aca="false">AB7</f>
        <v>0.903881456322125</v>
      </c>
      <c r="V43" s="16" t="n">
        <v>0.903881456322124</v>
      </c>
    </row>
    <row r="46" customFormat="false" ht="15" hidden="false" customHeight="false" outlineLevel="0" collapsed="false">
      <c r="T46" s="9" t="s">
        <v>158</v>
      </c>
      <c r="U46" s="14" t="s">
        <v>91</v>
      </c>
      <c r="V46" s="14" t="s">
        <v>92</v>
      </c>
    </row>
    <row r="47" customFormat="false" ht="15" hidden="false" customHeight="false" outlineLevel="0" collapsed="false">
      <c r="T47" s="5" t="s">
        <v>159</v>
      </c>
      <c r="U47" s="7" t="n">
        <f aca="false">INDEX(LINEST(B7:B35,R7:R35,TRUE(),TRUE()),1,1)</f>
        <v>-0.369998609802273</v>
      </c>
      <c r="V47" s="16" t="n">
        <v>-0.369998609802273</v>
      </c>
    </row>
    <row r="48" customFormat="false" ht="15" hidden="false" customHeight="false" outlineLevel="0" collapsed="false">
      <c r="T48" s="5" t="s">
        <v>110</v>
      </c>
      <c r="U48" s="7" t="n">
        <f aca="false">INDEX(LINEST(B7:B35,R7:R35,TRUE(),TRUE()),2,1)</f>
        <v>0.420451901500478</v>
      </c>
      <c r="V48" s="16" t="n">
        <v>0.420451901500478</v>
      </c>
    </row>
    <row r="49" customFormat="false" ht="15" hidden="false" customHeight="false" outlineLevel="0" collapsed="false">
      <c r="T49" s="5" t="s">
        <v>102</v>
      </c>
      <c r="U49" s="7" t="n">
        <f aca="false">$U$47/$U$48</f>
        <v>-0.880002227322196</v>
      </c>
    </row>
    <row r="50" customFormat="false" ht="15" hidden="false" customHeight="false" outlineLevel="0" collapsed="false">
      <c r="T50" s="5" t="s">
        <v>88</v>
      </c>
      <c r="U50" s="7" t="n">
        <f aca="false">_xlfn.T.DIST.2T(ABS($U$49),INDEX(LINEST(B7:B35,R7:R35,TRUE(),TRUE()),4,2))</f>
        <v>0.3866238741717</v>
      </c>
      <c r="V50" s="16" t="n">
        <v>0.386623874171701</v>
      </c>
    </row>
    <row r="51" customFormat="false" ht="15" hidden="false" customHeight="false" outlineLevel="0" collapsed="false">
      <c r="T51" s="5" t="s">
        <v>115</v>
      </c>
      <c r="U51" s="13" t="n">
        <f aca="false">COUNT(B7:B35)</f>
        <v>29</v>
      </c>
      <c r="V51" s="15" t="n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6"/>
    <col collapsed="false" customWidth="true" hidden="false" outlineLevel="0" max="14" min="4" style="0" width="5"/>
    <col collapsed="false" customWidth="true" hidden="false" outlineLevel="0" max="16" min="15" style="0" width="8"/>
    <col collapsed="false" customWidth="true" hidden="false" outlineLevel="0" max="18" min="17" style="0" width="9"/>
    <col collapsed="false" customWidth="true" hidden="false" outlineLevel="0" max="19" min="19" style="0" width="2"/>
    <col collapsed="false" customWidth="true" hidden="false" outlineLevel="0" max="20" min="20" style="0" width="50"/>
    <col collapsed="false" customWidth="true" hidden="false" outlineLevel="0" max="22" min="21" style="0" width="13"/>
    <col collapsed="false" customWidth="true" hidden="false" outlineLevel="0" max="23" min="23" style="0" width="2"/>
    <col collapsed="false" customWidth="true" hidden="false" outlineLevel="0" max="24" min="24" style="0" width="10"/>
    <col collapsed="false" customWidth="true" hidden="false" outlineLevel="0" max="36" min="25" style="0" width="8"/>
  </cols>
  <sheetData>
    <row r="1" customFormat="false" ht="15" hidden="false" customHeight="false" outlineLevel="0" collapsed="false">
      <c r="A1" s="1" t="s">
        <v>160</v>
      </c>
    </row>
    <row r="2" customFormat="false" ht="15" hidden="false" customHeight="false" outlineLevel="0" collapsed="false">
      <c r="A2" s="2" t="s">
        <v>154</v>
      </c>
    </row>
    <row r="4" customFormat="false" ht="15" hidden="false" customHeight="false" outlineLevel="0" collapsed="false">
      <c r="A4" s="1" t="s">
        <v>161</v>
      </c>
      <c r="T4" s="6" t="s">
        <v>62</v>
      </c>
    </row>
    <row r="5" customFormat="false" ht="15" hidden="false" customHeight="false" outlineLevel="0" collapsed="false">
      <c r="A5" s="2" t="s">
        <v>63</v>
      </c>
      <c r="B5" s="7" t="n">
        <f aca="false">Y19</f>
        <v>-0.464295293577555</v>
      </c>
      <c r="C5" s="7" t="n">
        <f aca="false">Y7</f>
        <v>0.147470167252518</v>
      </c>
      <c r="D5" s="7" t="n">
        <f aca="false">Y8</f>
        <v>0.559192933710228</v>
      </c>
      <c r="E5" s="7" t="n">
        <f aca="false">Y9</f>
        <v>0.780836576849175</v>
      </c>
      <c r="F5" s="7" t="n">
        <f aca="false">Y10</f>
        <v>0.632263968512792</v>
      </c>
      <c r="G5" s="7" t="n">
        <f aca="false">Y11</f>
        <v>-0.602832333149995</v>
      </c>
      <c r="H5" s="7" t="n">
        <f aca="false">Y12</f>
        <v>1.67849774926303</v>
      </c>
      <c r="I5" s="7" t="n">
        <f aca="false">Y13</f>
        <v>3.28845858233912</v>
      </c>
      <c r="J5" s="7" t="n">
        <f aca="false">Y14</f>
        <v>-0.45600828612931</v>
      </c>
      <c r="K5" s="7" t="n">
        <f aca="false">Y15</f>
        <v>1.1936629852091</v>
      </c>
      <c r="L5" s="7" t="n">
        <f aca="false">Y16</f>
        <v>3.41295384514099</v>
      </c>
      <c r="M5" s="7" t="n">
        <f aca="false">Y17</f>
        <v>2.25950100746585</v>
      </c>
      <c r="N5" s="7" t="n">
        <f aca="false">Y18</f>
        <v>5.82335083776684</v>
      </c>
      <c r="T5" s="5" t="s">
        <v>64</v>
      </c>
      <c r="U5" s="8" t="n">
        <v>44895</v>
      </c>
      <c r="X5" s="9" t="s">
        <v>65</v>
      </c>
      <c r="Y5" s="10"/>
      <c r="Z5" s="10"/>
      <c r="AA5" s="10"/>
      <c r="AB5" s="10"/>
      <c r="AC5" s="10"/>
    </row>
    <row r="6" customFormat="false" ht="18" hidden="false" customHeight="true" outlineLevel="0" collapsed="false">
      <c r="A6" s="3" t="s">
        <v>66</v>
      </c>
      <c r="B6" s="3" t="s">
        <v>67</v>
      </c>
      <c r="C6" s="3" t="s">
        <v>68</v>
      </c>
      <c r="D6" s="3" t="s">
        <v>69</v>
      </c>
      <c r="E6" s="3" t="s">
        <v>70</v>
      </c>
      <c r="F6" s="3" t="s">
        <v>71</v>
      </c>
      <c r="G6" s="3" t="s">
        <v>72</v>
      </c>
      <c r="H6" s="3" t="s">
        <v>73</v>
      </c>
      <c r="I6" s="3" t="s">
        <v>74</v>
      </c>
      <c r="J6" s="3" t="s">
        <v>75</v>
      </c>
      <c r="K6" s="3" t="s">
        <v>76</v>
      </c>
      <c r="L6" s="3" t="s">
        <v>77</v>
      </c>
      <c r="M6" s="3" t="s">
        <v>78</v>
      </c>
      <c r="N6" s="3" t="s">
        <v>79</v>
      </c>
      <c r="O6" s="3" t="s">
        <v>80</v>
      </c>
      <c r="P6" s="3" t="s">
        <v>81</v>
      </c>
      <c r="Q6" s="3" t="s">
        <v>82</v>
      </c>
      <c r="R6" s="3" t="s">
        <v>156</v>
      </c>
      <c r="T6" s="2" t="s">
        <v>162</v>
      </c>
      <c r="X6" s="3" t="s">
        <v>84</v>
      </c>
      <c r="Y6" s="3" t="s">
        <v>85</v>
      </c>
      <c r="Z6" s="3" t="s">
        <v>86</v>
      </c>
      <c r="AA6" s="3" t="s">
        <v>87</v>
      </c>
      <c r="AB6" s="3" t="s">
        <v>88</v>
      </c>
      <c r="AC6" s="3" t="s">
        <v>89</v>
      </c>
    </row>
    <row r="7" customFormat="false" ht="15" hidden="false" customHeight="false" outlineLevel="0" collapsed="false">
      <c r="A7" s="11" t="n">
        <f aca="false">Data_Monthly!A8</f>
        <v>44407</v>
      </c>
      <c r="B7" s="12" t="n">
        <f aca="false">Data_Monthly!K8</f>
        <v>0.0106055033024078</v>
      </c>
      <c r="C7" s="13" t="n">
        <f aca="false">IF($A7&gt;=$U$5,1,0)</f>
        <v>0</v>
      </c>
      <c r="D7" s="13" t="n">
        <f aca="false">IF(MONTH($A7)=2,1,0)</f>
        <v>0</v>
      </c>
      <c r="E7" s="13" t="n">
        <f aca="false">IF(MONTH($A7)=3,1,0)</f>
        <v>0</v>
      </c>
      <c r="F7" s="13" t="n">
        <f aca="false">IF(MONTH($A7)=4,1,0)</f>
        <v>0</v>
      </c>
      <c r="G7" s="13" t="n">
        <f aca="false">IF(MONTH($A7)=5,1,0)</f>
        <v>0</v>
      </c>
      <c r="H7" s="13" t="n">
        <f aca="false">IF(MONTH($A7)=6,1,0)</f>
        <v>0</v>
      </c>
      <c r="I7" s="13" t="n">
        <f aca="false">IF(MONTH($A7)=7,1,0)</f>
        <v>1</v>
      </c>
      <c r="J7" s="13" t="n">
        <f aca="false">IF(MONTH($A7)=8,1,0)</f>
        <v>0</v>
      </c>
      <c r="K7" s="13" t="n">
        <f aca="false">IF(MONTH($A7)=9,1,0)</f>
        <v>0</v>
      </c>
      <c r="L7" s="13" t="n">
        <f aca="false">IF(MONTH($A7)=10,1,0)</f>
        <v>0</v>
      </c>
      <c r="M7" s="13" t="n">
        <f aca="false">IF(MONTH($A7)=11,1,0)</f>
        <v>0</v>
      </c>
      <c r="N7" s="13" t="n">
        <f aca="false">IF(MONTH($A7)=12,1,0)</f>
        <v>0</v>
      </c>
      <c r="O7" s="7" t="n">
        <f aca="false">$B$5+SUMPRODUCT(C7:N7,$C$5:$N$5)</f>
        <v>2.82416328876156</v>
      </c>
      <c r="P7" s="7" t="n">
        <f aca="false">B7-O7</f>
        <v>-2.81355778545915</v>
      </c>
      <c r="Q7" s="7" t="n">
        <f aca="false">P7^2</f>
        <v>7.91610741211781</v>
      </c>
      <c r="R7" s="7" t="n">
        <f aca="false">(ROW()-ROW($A$7))/12</f>
        <v>0</v>
      </c>
      <c r="T7" s="9" t="s">
        <v>90</v>
      </c>
      <c r="U7" s="14" t="s">
        <v>91</v>
      </c>
      <c r="V7" s="14" t="s">
        <v>92</v>
      </c>
      <c r="X7" s="5" t="s">
        <v>68</v>
      </c>
      <c r="Y7" s="7" t="n">
        <f aca="false">INDEX(LINEST(B7:B34,C7:N34,TRUE(),TRUE()),1,12)</f>
        <v>0.147470167252518</v>
      </c>
      <c r="Z7" s="7" t="n">
        <f aca="false">INDEX(LINEST(B7:B34,C7:N34,TRUE(),TRUE()),2,12)</f>
        <v>0.851801062257146</v>
      </c>
      <c r="AA7" s="7" t="n">
        <f aca="false">Y7/Z7</f>
        <v>0.17312747516626</v>
      </c>
      <c r="AB7" s="7" t="n">
        <f aca="false">_xlfn.T.DIST.2T(ABS(AA7),$U$25)</f>
        <v>0.864865794724498</v>
      </c>
      <c r="AC7" s="7" t="n">
        <f aca="false">INDEX(MINVERSE($Y$23:$AJ$34),1,1)</f>
        <v>1.08301158301158</v>
      </c>
    </row>
    <row r="8" customFormat="false" ht="15" hidden="false" customHeight="false" outlineLevel="0" collapsed="false">
      <c r="A8" s="11" t="n">
        <f aca="false">Data_Monthly!A9</f>
        <v>44435</v>
      </c>
      <c r="B8" s="12" t="n">
        <f aca="false">Data_Monthly!K9</f>
        <v>-2.29636440472802</v>
      </c>
      <c r="C8" s="13" t="n">
        <f aca="false">IF($A8&gt;=$U$5,1,0)</f>
        <v>0</v>
      </c>
      <c r="D8" s="13" t="n">
        <f aca="false">IF(MONTH($A8)=2,1,0)</f>
        <v>0</v>
      </c>
      <c r="E8" s="13" t="n">
        <f aca="false">IF(MONTH($A8)=3,1,0)</f>
        <v>0</v>
      </c>
      <c r="F8" s="13" t="n">
        <f aca="false">IF(MONTH($A8)=4,1,0)</f>
        <v>0</v>
      </c>
      <c r="G8" s="13" t="n">
        <f aca="false">IF(MONTH($A8)=5,1,0)</f>
        <v>0</v>
      </c>
      <c r="H8" s="13" t="n">
        <f aca="false">IF(MONTH($A8)=6,1,0)</f>
        <v>0</v>
      </c>
      <c r="I8" s="13" t="n">
        <f aca="false">IF(MONTH($A8)=7,1,0)</f>
        <v>0</v>
      </c>
      <c r="J8" s="13" t="n">
        <f aca="false">IF(MONTH($A8)=8,1,0)</f>
        <v>1</v>
      </c>
      <c r="K8" s="13" t="n">
        <f aca="false">IF(MONTH($A8)=9,1,0)</f>
        <v>0</v>
      </c>
      <c r="L8" s="13" t="n">
        <f aca="false">IF(MONTH($A8)=10,1,0)</f>
        <v>0</v>
      </c>
      <c r="M8" s="13" t="n">
        <f aca="false">IF(MONTH($A8)=11,1,0)</f>
        <v>0</v>
      </c>
      <c r="N8" s="13" t="n">
        <f aca="false">IF(MONTH($A8)=12,1,0)</f>
        <v>0</v>
      </c>
      <c r="O8" s="7" t="n">
        <f aca="false">$B$5+SUMPRODUCT(C8:N8,$C$5:$N$5)</f>
        <v>-0.920303579706865</v>
      </c>
      <c r="P8" s="7" t="n">
        <f aca="false">B8-O8</f>
        <v>-1.37606082502116</v>
      </c>
      <c r="Q8" s="7" t="n">
        <f aca="false">P8^2</f>
        <v>1.89354339415791</v>
      </c>
      <c r="R8" s="7" t="n">
        <f aca="false">(ROW()-ROW($A$7))/12</f>
        <v>0.0833333333333333</v>
      </c>
      <c r="T8" s="5" t="s">
        <v>93</v>
      </c>
      <c r="U8" s="13" t="n">
        <f aca="false">COUNT(B7:B23)</f>
        <v>17</v>
      </c>
      <c r="V8" s="15" t="n">
        <v>17</v>
      </c>
      <c r="X8" s="5" t="s">
        <v>69</v>
      </c>
      <c r="Y8" s="7" t="n">
        <f aca="false">INDEX(LINEST(B7:B34,C7:N34,TRUE(),TRUE()),1,11)</f>
        <v>0.559192933710228</v>
      </c>
      <c r="Z8" s="7" t="n">
        <f aca="false">INDEX(LINEST(B7:B34,C7:N34,TRUE(),TRUE()),2,11)</f>
        <v>2.115258330855</v>
      </c>
      <c r="AA8" s="7" t="n">
        <f aca="false">Y8/Z8</f>
        <v>0.264361532373306</v>
      </c>
      <c r="AB8" s="7" t="n">
        <f aca="false">_xlfn.T.DIST.2T(ABS(AA8),$U$25)</f>
        <v>0.795099152418193</v>
      </c>
      <c r="AC8" s="7" t="n">
        <f aca="false">INDEX(MINVERSE($Y$23:$AJ$34),2,2)</f>
        <v>1.85714285714286</v>
      </c>
    </row>
    <row r="9" customFormat="false" ht="15" hidden="false" customHeight="false" outlineLevel="0" collapsed="false">
      <c r="A9" s="11" t="n">
        <f aca="false">Data_Monthly!A10</f>
        <v>44463</v>
      </c>
      <c r="B9" s="12" t="n">
        <f aca="false">Data_Monthly!K10</f>
        <v>-0.331975548445662</v>
      </c>
      <c r="C9" s="13" t="n">
        <f aca="false">IF($A9&gt;=$U$5,1,0)</f>
        <v>0</v>
      </c>
      <c r="D9" s="13" t="n">
        <f aca="false">IF(MONTH($A9)=2,1,0)</f>
        <v>0</v>
      </c>
      <c r="E9" s="13" t="n">
        <f aca="false">IF(MONTH($A9)=3,1,0)</f>
        <v>0</v>
      </c>
      <c r="F9" s="13" t="n">
        <f aca="false">IF(MONTH($A9)=4,1,0)</f>
        <v>0</v>
      </c>
      <c r="G9" s="13" t="n">
        <f aca="false">IF(MONTH($A9)=5,1,0)</f>
        <v>0</v>
      </c>
      <c r="H9" s="13" t="n">
        <f aca="false">IF(MONTH($A9)=6,1,0)</f>
        <v>0</v>
      </c>
      <c r="I9" s="13" t="n">
        <f aca="false">IF(MONTH($A9)=7,1,0)</f>
        <v>0</v>
      </c>
      <c r="J9" s="13" t="n">
        <f aca="false">IF(MONTH($A9)=8,1,0)</f>
        <v>0</v>
      </c>
      <c r="K9" s="13" t="n">
        <f aca="false">IF(MONTH($A9)=9,1,0)</f>
        <v>1</v>
      </c>
      <c r="L9" s="13" t="n">
        <f aca="false">IF(MONTH($A9)=10,1,0)</f>
        <v>0</v>
      </c>
      <c r="M9" s="13" t="n">
        <f aca="false">IF(MONTH($A9)=11,1,0)</f>
        <v>0</v>
      </c>
      <c r="N9" s="13" t="n">
        <f aca="false">IF(MONTH($A9)=12,1,0)</f>
        <v>0</v>
      </c>
      <c r="O9" s="7" t="n">
        <f aca="false">$B$5+SUMPRODUCT(C9:N9,$C$5:$N$5)</f>
        <v>0.729367691631543</v>
      </c>
      <c r="P9" s="7" t="n">
        <f aca="false">B9-O9</f>
        <v>-1.06134324007721</v>
      </c>
      <c r="Q9" s="7" t="n">
        <f aca="false">P9^2</f>
        <v>1.12644947325758</v>
      </c>
      <c r="R9" s="7" t="n">
        <f aca="false">(ROW()-ROW($A$7))/12</f>
        <v>0.166666666666667</v>
      </c>
      <c r="T9" s="5" t="s">
        <v>94</v>
      </c>
      <c r="U9" s="13" t="n">
        <f aca="false">COUNT(B24:B34)</f>
        <v>11</v>
      </c>
      <c r="V9" s="15" t="n">
        <v>11</v>
      </c>
      <c r="X9" s="5" t="s">
        <v>70</v>
      </c>
      <c r="Y9" s="7" t="n">
        <f aca="false">INDEX(LINEST(B7:B34,C7:N34,TRUE(),TRUE()),1,10)</f>
        <v>0.780836576849175</v>
      </c>
      <c r="Z9" s="7" t="n">
        <f aca="false">INDEX(LINEST(B7:B34,C7:N34,TRUE(),TRUE()),2,10)</f>
        <v>2.115258330855</v>
      </c>
      <c r="AA9" s="7" t="n">
        <f aca="false">Y9/Z9</f>
        <v>0.369144782676996</v>
      </c>
      <c r="AB9" s="7" t="n">
        <f aca="false">_xlfn.T.DIST.2T(ABS(AA9),$U$25)</f>
        <v>0.717178659474573</v>
      </c>
      <c r="AC9" s="7" t="n">
        <f aca="false">INDEX(MINVERSE($Y$23:$AJ$34),3,3)</f>
        <v>1.85714285714286</v>
      </c>
    </row>
    <row r="10" customFormat="false" ht="15" hidden="false" customHeight="false" outlineLevel="0" collapsed="false">
      <c r="A10" s="11" t="n">
        <f aca="false">Data_Monthly!A11</f>
        <v>44491</v>
      </c>
      <c r="B10" s="12" t="n">
        <f aca="false">Data_Monthly!K11</f>
        <v>2.45208091269102</v>
      </c>
      <c r="C10" s="13" t="n">
        <f aca="false">IF($A10&gt;=$U$5,1,0)</f>
        <v>0</v>
      </c>
      <c r="D10" s="13" t="n">
        <f aca="false">IF(MONTH($A10)=2,1,0)</f>
        <v>0</v>
      </c>
      <c r="E10" s="13" t="n">
        <f aca="false">IF(MONTH($A10)=3,1,0)</f>
        <v>0</v>
      </c>
      <c r="F10" s="13" t="n">
        <f aca="false">IF(MONTH($A10)=4,1,0)</f>
        <v>0</v>
      </c>
      <c r="G10" s="13" t="n">
        <f aca="false">IF(MONTH($A10)=5,1,0)</f>
        <v>0</v>
      </c>
      <c r="H10" s="13" t="n">
        <f aca="false">IF(MONTH($A10)=6,1,0)</f>
        <v>0</v>
      </c>
      <c r="I10" s="13" t="n">
        <f aca="false">IF(MONTH($A10)=7,1,0)</f>
        <v>0</v>
      </c>
      <c r="J10" s="13" t="n">
        <f aca="false">IF(MONTH($A10)=8,1,0)</f>
        <v>0</v>
      </c>
      <c r="K10" s="13" t="n">
        <f aca="false">IF(MONTH($A10)=9,1,0)</f>
        <v>0</v>
      </c>
      <c r="L10" s="13" t="n">
        <f aca="false">IF(MONTH($A10)=10,1,0)</f>
        <v>1</v>
      </c>
      <c r="M10" s="13" t="n">
        <f aca="false">IF(MONTH($A10)=11,1,0)</f>
        <v>0</v>
      </c>
      <c r="N10" s="13" t="n">
        <f aca="false">IF(MONTH($A10)=12,1,0)</f>
        <v>0</v>
      </c>
      <c r="O10" s="7" t="n">
        <f aca="false">$B$5+SUMPRODUCT(C10:N10,$C$5:$N$5)</f>
        <v>2.94865855156343</v>
      </c>
      <c r="P10" s="7" t="n">
        <f aca="false">B10-O10</f>
        <v>-0.496577638872408</v>
      </c>
      <c r="Q10" s="7" t="n">
        <f aca="false">P10^2</f>
        <v>0.246589351428096</v>
      </c>
      <c r="R10" s="7" t="n">
        <f aca="false">(ROW()-ROW($A$7))/12</f>
        <v>0.25</v>
      </c>
      <c r="T10" s="5" t="s">
        <v>95</v>
      </c>
      <c r="U10" s="7" t="n">
        <f aca="false">AVERAGE(B7:B23)</f>
        <v>1.19855447118736</v>
      </c>
      <c r="V10" s="16" t="n">
        <v>1.19855447118736</v>
      </c>
      <c r="X10" s="5" t="s">
        <v>71</v>
      </c>
      <c r="Y10" s="7" t="n">
        <f aca="false">INDEX(LINEST(B7:B34,C7:N34,TRUE(),TRUE()),1,9)</f>
        <v>0.632263968512792</v>
      </c>
      <c r="Z10" s="7" t="n">
        <f aca="false">INDEX(LINEST(B7:B34,C7:N34,TRUE(),TRUE()),2,9)</f>
        <v>2.115258330855</v>
      </c>
      <c r="AA10" s="7" t="n">
        <f aca="false">Y10/Z10</f>
        <v>0.298906265627247</v>
      </c>
      <c r="AB10" s="7" t="n">
        <f aca="false">_xlfn.T.DIST.2T(ABS(AA10),$U$25)</f>
        <v>0.769112830910619</v>
      </c>
      <c r="AC10" s="7" t="n">
        <f aca="false">INDEX(MINVERSE($Y$23:$AJ$34),4,4)</f>
        <v>1.85714285714286</v>
      </c>
    </row>
    <row r="11" customFormat="false" ht="15" hidden="false" customHeight="false" outlineLevel="0" collapsed="false">
      <c r="A11" s="11" t="n">
        <f aca="false">Data_Monthly!A12</f>
        <v>44519</v>
      </c>
      <c r="B11" s="12" t="n">
        <f aca="false">Data_Monthly!K12</f>
        <v>2.65742066301264</v>
      </c>
      <c r="C11" s="13" t="n">
        <f aca="false">IF($A11&gt;=$U$5,1,0)</f>
        <v>0</v>
      </c>
      <c r="D11" s="13" t="n">
        <f aca="false">IF(MONTH($A11)=2,1,0)</f>
        <v>0</v>
      </c>
      <c r="E11" s="13" t="n">
        <f aca="false">IF(MONTH($A11)=3,1,0)</f>
        <v>0</v>
      </c>
      <c r="F11" s="13" t="n">
        <f aca="false">IF(MONTH($A11)=4,1,0)</f>
        <v>0</v>
      </c>
      <c r="G11" s="13" t="n">
        <f aca="false">IF(MONTH($A11)=5,1,0)</f>
        <v>0</v>
      </c>
      <c r="H11" s="13" t="n">
        <f aca="false">IF(MONTH($A11)=6,1,0)</f>
        <v>0</v>
      </c>
      <c r="I11" s="13" t="n">
        <f aca="false">IF(MONTH($A11)=7,1,0)</f>
        <v>0</v>
      </c>
      <c r="J11" s="13" t="n">
        <f aca="false">IF(MONTH($A11)=8,1,0)</f>
        <v>0</v>
      </c>
      <c r="K11" s="13" t="n">
        <f aca="false">IF(MONTH($A11)=9,1,0)</f>
        <v>0</v>
      </c>
      <c r="L11" s="13" t="n">
        <f aca="false">IF(MONTH($A11)=10,1,0)</f>
        <v>0</v>
      </c>
      <c r="M11" s="13" t="n">
        <f aca="false">IF(MONTH($A11)=11,1,0)</f>
        <v>1</v>
      </c>
      <c r="N11" s="13" t="n">
        <f aca="false">IF(MONTH($A11)=12,1,0)</f>
        <v>0</v>
      </c>
      <c r="O11" s="7" t="n">
        <f aca="false">$B$5+SUMPRODUCT(C11:N11,$C$5:$N$5)</f>
        <v>1.79520571388829</v>
      </c>
      <c r="P11" s="7" t="n">
        <f aca="false">B11-O11</f>
        <v>0.862214949124351</v>
      </c>
      <c r="Q11" s="7" t="n">
        <f aca="false">P11^2</f>
        <v>0.743414618493507</v>
      </c>
      <c r="R11" s="7" t="n">
        <f aca="false">(ROW()-ROW($A$7))/12</f>
        <v>0.333333333333333</v>
      </c>
      <c r="T11" s="5" t="s">
        <v>96</v>
      </c>
      <c r="U11" s="7" t="n">
        <f aca="false">AVERAGE(B24:B34)</f>
        <v>1.07239480864212</v>
      </c>
      <c r="V11" s="16" t="n">
        <v>1.07239480864212</v>
      </c>
      <c r="X11" s="5" t="s">
        <v>72</v>
      </c>
      <c r="Y11" s="7" t="n">
        <f aca="false">INDEX(LINEST(B7:B34,C7:N34,TRUE(),TRUE()),1,8)</f>
        <v>-0.602832333149995</v>
      </c>
      <c r="Z11" s="7" t="n">
        <f aca="false">INDEX(LINEST(B7:B34,C7:N34,TRUE(),TRUE()),2,8)</f>
        <v>2.115258330855</v>
      </c>
      <c r="AA11" s="7" t="n">
        <f aca="false">Y11/Z11</f>
        <v>-0.2849922982723</v>
      </c>
      <c r="AB11" s="7" t="n">
        <f aca="false">_xlfn.T.DIST.2T(ABS(AA11),$U$25)</f>
        <v>0.779547252258406</v>
      </c>
      <c r="AC11" s="7" t="n">
        <f aca="false">INDEX(MINVERSE($Y$23:$AJ$34),5,5)</f>
        <v>1.85714285714286</v>
      </c>
    </row>
    <row r="12" customFormat="false" ht="15" hidden="false" customHeight="false" outlineLevel="0" collapsed="false">
      <c r="A12" s="11" t="n">
        <f aca="false">Data_Monthly!A13</f>
        <v>44561</v>
      </c>
      <c r="B12" s="12" t="n">
        <f aca="false">Data_Monthly!K13</f>
        <v>4.31834593931999</v>
      </c>
      <c r="C12" s="13" t="n">
        <f aca="false">IF($A12&gt;=$U$5,1,0)</f>
        <v>0</v>
      </c>
      <c r="D12" s="13" t="n">
        <f aca="false">IF(MONTH($A12)=2,1,0)</f>
        <v>0</v>
      </c>
      <c r="E12" s="13" t="n">
        <f aca="false">IF(MONTH($A12)=3,1,0)</f>
        <v>0</v>
      </c>
      <c r="F12" s="13" t="n">
        <f aca="false">IF(MONTH($A12)=4,1,0)</f>
        <v>0</v>
      </c>
      <c r="G12" s="13" t="n">
        <f aca="false">IF(MONTH($A12)=5,1,0)</f>
        <v>0</v>
      </c>
      <c r="H12" s="13" t="n">
        <f aca="false">IF(MONTH($A12)=6,1,0)</f>
        <v>0</v>
      </c>
      <c r="I12" s="13" t="n">
        <f aca="false">IF(MONTH($A12)=7,1,0)</f>
        <v>0</v>
      </c>
      <c r="J12" s="13" t="n">
        <f aca="false">IF(MONTH($A12)=8,1,0)</f>
        <v>0</v>
      </c>
      <c r="K12" s="13" t="n">
        <f aca="false">IF(MONTH($A12)=9,1,0)</f>
        <v>0</v>
      </c>
      <c r="L12" s="13" t="n">
        <f aca="false">IF(MONTH($A12)=10,1,0)</f>
        <v>0</v>
      </c>
      <c r="M12" s="13" t="n">
        <f aca="false">IF(MONTH($A12)=11,1,0)</f>
        <v>0</v>
      </c>
      <c r="N12" s="13" t="n">
        <f aca="false">IF(MONTH($A12)=12,1,0)</f>
        <v>1</v>
      </c>
      <c r="O12" s="7" t="n">
        <f aca="false">$B$5+SUMPRODUCT(C12:N12,$C$5:$N$5)</f>
        <v>5.35905554418928</v>
      </c>
      <c r="P12" s="7" t="n">
        <f aca="false">B12-O12</f>
        <v>-1.04070960486929</v>
      </c>
      <c r="Q12" s="7" t="n">
        <f aca="false">P12^2</f>
        <v>1.0830764816672</v>
      </c>
      <c r="R12" s="7" t="n">
        <f aca="false">(ROW()-ROW($A$7))/12</f>
        <v>0.416666666666667</v>
      </c>
      <c r="T12" s="5" t="s">
        <v>97</v>
      </c>
      <c r="U12" s="7" t="n">
        <f aca="false">_xlfn.STDEV.S(B7:B23)</f>
        <v>2.38956247096876</v>
      </c>
      <c r="V12" s="16" t="n">
        <v>2.38956247096876</v>
      </c>
      <c r="X12" s="5" t="s">
        <v>73</v>
      </c>
      <c r="Y12" s="7" t="n">
        <f aca="false">INDEX(LINEST(B7:B34,C7:N34,TRUE(),TRUE()),1,7)</f>
        <v>1.67849774926303</v>
      </c>
      <c r="Z12" s="7" t="n">
        <f aca="false">INDEX(LINEST(B7:B34,C7:N34,TRUE(),TRUE()),2,7)</f>
        <v>2.115258330855</v>
      </c>
      <c r="AA12" s="7" t="n">
        <f aca="false">Y12/Z12</f>
        <v>0.793519034899426</v>
      </c>
      <c r="AB12" s="7" t="n">
        <f aca="false">_xlfn.T.DIST.2T(ABS(AA12),$U$25)</f>
        <v>0.439848270956249</v>
      </c>
      <c r="AC12" s="7" t="n">
        <f aca="false">INDEX(MINVERSE($Y$23:$AJ$34),6,6)</f>
        <v>1.85714285714286</v>
      </c>
    </row>
    <row r="13" customFormat="false" ht="15" hidden="false" customHeight="false" outlineLevel="0" collapsed="false">
      <c r="A13" s="11" t="n">
        <f aca="false">Data_Monthly!A14</f>
        <v>44589</v>
      </c>
      <c r="B13" s="12" t="n">
        <f aca="false">Data_Monthly!K14</f>
        <v>1.5133246380854</v>
      </c>
      <c r="C13" s="13" t="n">
        <f aca="false">IF($A13&gt;=$U$5,1,0)</f>
        <v>0</v>
      </c>
      <c r="D13" s="13" t="n">
        <f aca="false">IF(MONTH($A13)=2,1,0)</f>
        <v>0</v>
      </c>
      <c r="E13" s="13" t="n">
        <f aca="false">IF(MONTH($A13)=3,1,0)</f>
        <v>0</v>
      </c>
      <c r="F13" s="13" t="n">
        <f aca="false">IF(MONTH($A13)=4,1,0)</f>
        <v>0</v>
      </c>
      <c r="G13" s="13" t="n">
        <f aca="false">IF(MONTH($A13)=5,1,0)</f>
        <v>0</v>
      </c>
      <c r="H13" s="13" t="n">
        <f aca="false">IF(MONTH($A13)=6,1,0)</f>
        <v>0</v>
      </c>
      <c r="I13" s="13" t="n">
        <f aca="false">IF(MONTH($A13)=7,1,0)</f>
        <v>0</v>
      </c>
      <c r="J13" s="13" t="n">
        <f aca="false">IF(MONTH($A13)=8,1,0)</f>
        <v>0</v>
      </c>
      <c r="K13" s="13" t="n">
        <f aca="false">IF(MONTH($A13)=9,1,0)</f>
        <v>0</v>
      </c>
      <c r="L13" s="13" t="n">
        <f aca="false">IF(MONTH($A13)=10,1,0)</f>
        <v>0</v>
      </c>
      <c r="M13" s="13" t="n">
        <f aca="false">IF(MONTH($A13)=11,1,0)</f>
        <v>0</v>
      </c>
      <c r="N13" s="13" t="n">
        <f aca="false">IF(MONTH($A13)=12,1,0)</f>
        <v>0</v>
      </c>
      <c r="O13" s="7" t="n">
        <f aca="false">$B$5+SUMPRODUCT(C13:N13,$C$5:$N$5)</f>
        <v>-0.464295293577555</v>
      </c>
      <c r="P13" s="7" t="n">
        <f aca="false">B13-O13</f>
        <v>1.97761993166296</v>
      </c>
      <c r="Q13" s="7" t="n">
        <f aca="false">P13^2</f>
        <v>3.91098059411059</v>
      </c>
      <c r="R13" s="7" t="n">
        <f aca="false">(ROW()-ROW($A$7))/12</f>
        <v>0.5</v>
      </c>
      <c r="T13" s="5" t="s">
        <v>98</v>
      </c>
      <c r="U13" s="7" t="n">
        <f aca="false">_xlfn.STDEV.S(B24:B34)</f>
        <v>2.47254745534514</v>
      </c>
      <c r="V13" s="16" t="n">
        <v>2.47254745534515</v>
      </c>
      <c r="X13" s="5" t="s">
        <v>74</v>
      </c>
      <c r="Y13" s="7" t="n">
        <f aca="false">INDEX(LINEST(B7:B34,C7:N34,TRUE(),TRUE()),1,6)</f>
        <v>3.28845858233912</v>
      </c>
      <c r="Z13" s="7" t="n">
        <f aca="false">INDEX(LINEST(B7:B34,C7:N34,TRUE(),TRUE()),2,6)</f>
        <v>2.15770921782039</v>
      </c>
      <c r="AA13" s="7" t="n">
        <f aca="false">Y13/Z13</f>
        <v>1.52405085689023</v>
      </c>
      <c r="AB13" s="7" t="n">
        <f aca="false">_xlfn.T.DIST.2T(ABS(AA13),$U$25)</f>
        <v>0.148299566878442</v>
      </c>
      <c r="AC13" s="7" t="n">
        <f aca="false">INDEX(MINVERSE($Y$23:$AJ$34),7,7)</f>
        <v>1.93243243243243</v>
      </c>
    </row>
    <row r="14" customFormat="false" ht="15" hidden="false" customHeight="false" outlineLevel="0" collapsed="false">
      <c r="A14" s="11" t="n">
        <f aca="false">Data_Monthly!A15</f>
        <v>44617</v>
      </c>
      <c r="B14" s="12" t="n">
        <f aca="false">Data_Monthly!K15</f>
        <v>-0.940642342446374</v>
      </c>
      <c r="C14" s="13" t="n">
        <f aca="false">IF($A14&gt;=$U$5,1,0)</f>
        <v>0</v>
      </c>
      <c r="D14" s="13" t="n">
        <f aca="false">IF(MONTH($A14)=2,1,0)</f>
        <v>1</v>
      </c>
      <c r="E14" s="13" t="n">
        <f aca="false">IF(MONTH($A14)=3,1,0)</f>
        <v>0</v>
      </c>
      <c r="F14" s="13" t="n">
        <f aca="false">IF(MONTH($A14)=4,1,0)</f>
        <v>0</v>
      </c>
      <c r="G14" s="13" t="n">
        <f aca="false">IF(MONTH($A14)=5,1,0)</f>
        <v>0</v>
      </c>
      <c r="H14" s="13" t="n">
        <f aca="false">IF(MONTH($A14)=6,1,0)</f>
        <v>0</v>
      </c>
      <c r="I14" s="13" t="n">
        <f aca="false">IF(MONTH($A14)=7,1,0)</f>
        <v>0</v>
      </c>
      <c r="J14" s="13" t="n">
        <f aca="false">IF(MONTH($A14)=8,1,0)</f>
        <v>0</v>
      </c>
      <c r="K14" s="13" t="n">
        <f aca="false">IF(MONTH($A14)=9,1,0)</f>
        <v>0</v>
      </c>
      <c r="L14" s="13" t="n">
        <f aca="false">IF(MONTH($A14)=10,1,0)</f>
        <v>0</v>
      </c>
      <c r="M14" s="13" t="n">
        <f aca="false">IF(MONTH($A14)=11,1,0)</f>
        <v>0</v>
      </c>
      <c r="N14" s="13" t="n">
        <f aca="false">IF(MONTH($A14)=12,1,0)</f>
        <v>0</v>
      </c>
      <c r="O14" s="7" t="n">
        <f aca="false">$B$5+SUMPRODUCT(C14:N14,$C$5:$N$5)</f>
        <v>0.0948976401326734</v>
      </c>
      <c r="P14" s="7" t="n">
        <f aca="false">B14-O14</f>
        <v>-1.03553998257905</v>
      </c>
      <c r="Q14" s="7" t="n">
        <f aca="false">P14^2</f>
        <v>1.07234305551981</v>
      </c>
      <c r="R14" s="7" t="n">
        <f aca="false">(ROW()-ROW($A$7))/12</f>
        <v>0.583333333333333</v>
      </c>
      <c r="T14" s="5" t="s">
        <v>99</v>
      </c>
      <c r="U14" s="7" t="n">
        <f aca="false">$U$11-$U$10</f>
        <v>-0.126159662545243</v>
      </c>
      <c r="V14" s="16" t="n">
        <v>-0.126159662545243</v>
      </c>
      <c r="X14" s="5" t="s">
        <v>75</v>
      </c>
      <c r="Y14" s="7" t="n">
        <f aca="false">INDEX(LINEST(B7:B34,C7:N34,TRUE(),TRUE()),1,5)</f>
        <v>-0.45600828612931</v>
      </c>
      <c r="Z14" s="7" t="n">
        <f aca="false">INDEX(LINEST(B7:B34,C7:N34,TRUE(),TRUE()),2,5)</f>
        <v>1.93616960945809</v>
      </c>
      <c r="AA14" s="7" t="n">
        <f aca="false">Y14/Z14</f>
        <v>-0.235520836553644</v>
      </c>
      <c r="AB14" s="7" t="n">
        <f aca="false">_xlfn.T.DIST.2T(ABS(AA14),$U$25)</f>
        <v>0.816989792905768</v>
      </c>
      <c r="AC14" s="7" t="n">
        <f aca="false">INDEX(MINVERSE($Y$23:$AJ$34),8,8)</f>
        <v>2.2442084942085</v>
      </c>
    </row>
    <row r="15" customFormat="false" ht="15" hidden="false" customHeight="false" outlineLevel="0" collapsed="false">
      <c r="A15" s="11" t="n">
        <f aca="false">Data_Monthly!A16</f>
        <v>44645</v>
      </c>
      <c r="B15" s="12" t="n">
        <f aca="false">Data_Monthly!K16</f>
        <v>1.04032233555316</v>
      </c>
      <c r="C15" s="13" t="n">
        <f aca="false">IF($A15&gt;=$U$5,1,0)</f>
        <v>0</v>
      </c>
      <c r="D15" s="13" t="n">
        <f aca="false">IF(MONTH($A15)=2,1,0)</f>
        <v>0</v>
      </c>
      <c r="E15" s="13" t="n">
        <f aca="false">IF(MONTH($A15)=3,1,0)</f>
        <v>1</v>
      </c>
      <c r="F15" s="13" t="n">
        <f aca="false">IF(MONTH($A15)=4,1,0)</f>
        <v>0</v>
      </c>
      <c r="G15" s="13" t="n">
        <f aca="false">IF(MONTH($A15)=5,1,0)</f>
        <v>0</v>
      </c>
      <c r="H15" s="13" t="n">
        <f aca="false">IF(MONTH($A15)=6,1,0)</f>
        <v>0</v>
      </c>
      <c r="I15" s="13" t="n">
        <f aca="false">IF(MONTH($A15)=7,1,0)</f>
        <v>0</v>
      </c>
      <c r="J15" s="13" t="n">
        <f aca="false">IF(MONTH($A15)=8,1,0)</f>
        <v>0</v>
      </c>
      <c r="K15" s="13" t="n">
        <f aca="false">IF(MONTH($A15)=9,1,0)</f>
        <v>0</v>
      </c>
      <c r="L15" s="13" t="n">
        <f aca="false">IF(MONTH($A15)=10,1,0)</f>
        <v>0</v>
      </c>
      <c r="M15" s="13" t="n">
        <f aca="false">IF(MONTH($A15)=11,1,0)</f>
        <v>0</v>
      </c>
      <c r="N15" s="13" t="n">
        <f aca="false">IF(MONTH($A15)=12,1,0)</f>
        <v>0</v>
      </c>
      <c r="O15" s="7" t="n">
        <f aca="false">$B$5+SUMPRODUCT(C15:N15,$C$5:$N$5)</f>
        <v>0.31654128327162</v>
      </c>
      <c r="P15" s="7" t="n">
        <f aca="false">B15-O15</f>
        <v>0.723781052281535</v>
      </c>
      <c r="Q15" s="7" t="n">
        <f aca="false">P15^2</f>
        <v>0.523859011641767</v>
      </c>
      <c r="R15" s="7" t="n">
        <f aca="false">(ROW()-ROW($A$7))/12</f>
        <v>0.666666666666667</v>
      </c>
      <c r="T15" s="5" t="s">
        <v>100</v>
      </c>
      <c r="U15" s="7" t="n">
        <f aca="false">12*$U$14</f>
        <v>-1.51391595054292</v>
      </c>
      <c r="V15" s="16" t="n">
        <v>-1.51391595054292</v>
      </c>
      <c r="X15" s="5" t="s">
        <v>76</v>
      </c>
      <c r="Y15" s="7" t="n">
        <f aca="false">INDEX(LINEST(B7:B34,C7:N34,TRUE(),TRUE()),1,4)</f>
        <v>1.1936629852091</v>
      </c>
      <c r="Z15" s="7" t="n">
        <f aca="false">INDEX(LINEST(B7:B34,C7:N34,TRUE(),TRUE()),2,4)</f>
        <v>1.93616960945809</v>
      </c>
      <c r="AA15" s="7" t="n">
        <f aca="false">Y15/Z15</f>
        <v>0.616507448199847</v>
      </c>
      <c r="AB15" s="7" t="n">
        <f aca="false">_xlfn.T.DIST.2T(ABS(AA15),$U$25)</f>
        <v>0.546803114746254</v>
      </c>
      <c r="AC15" s="7" t="n">
        <f aca="false">INDEX(MINVERSE($Y$23:$AJ$34),9,9)</f>
        <v>2.2442084942085</v>
      </c>
    </row>
    <row r="16" customFormat="false" ht="15" hidden="false" customHeight="false" outlineLevel="0" collapsed="false">
      <c r="A16" s="11" t="n">
        <f aca="false">Data_Monthly!A17</f>
        <v>44673</v>
      </c>
      <c r="B16" s="12" t="n">
        <f aca="false">Data_Monthly!K17</f>
        <v>0.341826614224772</v>
      </c>
      <c r="C16" s="13" t="n">
        <f aca="false">IF($A16&gt;=$U$5,1,0)</f>
        <v>0</v>
      </c>
      <c r="D16" s="13" t="n">
        <f aca="false">IF(MONTH($A16)=2,1,0)</f>
        <v>0</v>
      </c>
      <c r="E16" s="13" t="n">
        <f aca="false">IF(MONTH($A16)=3,1,0)</f>
        <v>0</v>
      </c>
      <c r="F16" s="13" t="n">
        <f aca="false">IF(MONTH($A16)=4,1,0)</f>
        <v>1</v>
      </c>
      <c r="G16" s="13" t="n">
        <f aca="false">IF(MONTH($A16)=5,1,0)</f>
        <v>0</v>
      </c>
      <c r="H16" s="13" t="n">
        <f aca="false">IF(MONTH($A16)=6,1,0)</f>
        <v>0</v>
      </c>
      <c r="I16" s="13" t="n">
        <f aca="false">IF(MONTH($A16)=7,1,0)</f>
        <v>0</v>
      </c>
      <c r="J16" s="13" t="n">
        <f aca="false">IF(MONTH($A16)=8,1,0)</f>
        <v>0</v>
      </c>
      <c r="K16" s="13" t="n">
        <f aca="false">IF(MONTH($A16)=9,1,0)</f>
        <v>0</v>
      </c>
      <c r="L16" s="13" t="n">
        <f aca="false">IF(MONTH($A16)=10,1,0)</f>
        <v>0</v>
      </c>
      <c r="M16" s="13" t="n">
        <f aca="false">IF(MONTH($A16)=11,1,0)</f>
        <v>0</v>
      </c>
      <c r="N16" s="13" t="n">
        <f aca="false">IF(MONTH($A16)=12,1,0)</f>
        <v>0</v>
      </c>
      <c r="O16" s="7" t="n">
        <f aca="false">$B$5+SUMPRODUCT(C16:N16,$C$5:$N$5)</f>
        <v>0.167968674935237</v>
      </c>
      <c r="P16" s="7" t="n">
        <f aca="false">B16-O16</f>
        <v>0.173857939289535</v>
      </c>
      <c r="Q16" s="7" t="n">
        <f aca="false">P16^2</f>
        <v>0.0302265830540036</v>
      </c>
      <c r="R16" s="7" t="n">
        <f aca="false">(ROW()-ROW($A$7))/12</f>
        <v>0.75</v>
      </c>
      <c r="T16" s="5" t="s">
        <v>101</v>
      </c>
      <c r="U16" s="7" t="n">
        <f aca="false">SQRT($U$13^2/$U$9+$U$12^2/$U$8)</f>
        <v>0.944274733573917</v>
      </c>
      <c r="X16" s="5" t="s">
        <v>77</v>
      </c>
      <c r="Y16" s="7" t="n">
        <f aca="false">INDEX(LINEST(B7:B34,C7:N34,TRUE(),TRUE()),1,3)</f>
        <v>3.41295384514099</v>
      </c>
      <c r="Z16" s="7" t="n">
        <f aca="false">INDEX(LINEST(B7:B34,C7:N34,TRUE(),TRUE()),2,3)</f>
        <v>1.93616960945809</v>
      </c>
      <c r="AA16" s="7" t="n">
        <f aca="false">Y16/Z16</f>
        <v>1.76273495280005</v>
      </c>
      <c r="AB16" s="7" t="n">
        <f aca="false">_xlfn.T.DIST.2T(ABS(AA16),$U$25)</f>
        <v>0.0983018442156887</v>
      </c>
      <c r="AC16" s="7" t="n">
        <f aca="false">INDEX(MINVERSE($Y$23:$AJ$34),10,10)</f>
        <v>2.2442084942085</v>
      </c>
    </row>
    <row r="17" customFormat="false" ht="15" hidden="false" customHeight="false" outlineLevel="0" collapsed="false">
      <c r="A17" s="11" t="n">
        <f aca="false">Data_Monthly!A18</f>
        <v>44701</v>
      </c>
      <c r="B17" s="12" t="n">
        <f aca="false">Data_Monthly!K18</f>
        <v>-0.338799712825911</v>
      </c>
      <c r="C17" s="13" t="n">
        <f aca="false">IF($A17&gt;=$U$5,1,0)</f>
        <v>0</v>
      </c>
      <c r="D17" s="13" t="n">
        <f aca="false">IF(MONTH($A17)=2,1,0)</f>
        <v>0</v>
      </c>
      <c r="E17" s="13" t="n">
        <f aca="false">IF(MONTH($A17)=3,1,0)</f>
        <v>0</v>
      </c>
      <c r="F17" s="13" t="n">
        <f aca="false">IF(MONTH($A17)=4,1,0)</f>
        <v>0</v>
      </c>
      <c r="G17" s="13" t="n">
        <f aca="false">IF(MONTH($A17)=5,1,0)</f>
        <v>1</v>
      </c>
      <c r="H17" s="13" t="n">
        <f aca="false">IF(MONTH($A17)=6,1,0)</f>
        <v>0</v>
      </c>
      <c r="I17" s="13" t="n">
        <f aca="false">IF(MONTH($A17)=7,1,0)</f>
        <v>0</v>
      </c>
      <c r="J17" s="13" t="n">
        <f aca="false">IF(MONTH($A17)=8,1,0)</f>
        <v>0</v>
      </c>
      <c r="K17" s="13" t="n">
        <f aca="false">IF(MONTH($A17)=9,1,0)</f>
        <v>0</v>
      </c>
      <c r="L17" s="13" t="n">
        <f aca="false">IF(MONTH($A17)=10,1,0)</f>
        <v>0</v>
      </c>
      <c r="M17" s="13" t="n">
        <f aca="false">IF(MONTH($A17)=11,1,0)</f>
        <v>0</v>
      </c>
      <c r="N17" s="13" t="n">
        <f aca="false">IF(MONTH($A17)=12,1,0)</f>
        <v>0</v>
      </c>
      <c r="O17" s="7" t="n">
        <f aca="false">$B$5+SUMPRODUCT(C17:N17,$C$5:$N$5)</f>
        <v>-1.06712762672755</v>
      </c>
      <c r="P17" s="7" t="n">
        <f aca="false">B17-O17</f>
        <v>0.728327913901639</v>
      </c>
      <c r="Q17" s="7" t="n">
        <f aca="false">P17^2</f>
        <v>0.530461550168313</v>
      </c>
      <c r="R17" s="7" t="n">
        <f aca="false">(ROW()-ROW($A$7))/12</f>
        <v>0.833333333333333</v>
      </c>
      <c r="T17" s="5" t="s">
        <v>102</v>
      </c>
      <c r="U17" s="7" t="n">
        <f aca="false">$U$14/$U$16</f>
        <v>-0.133604827133043</v>
      </c>
      <c r="V17" s="16" t="n">
        <v>-0.133604827133043</v>
      </c>
      <c r="X17" s="5" t="s">
        <v>78</v>
      </c>
      <c r="Y17" s="7" t="n">
        <f aca="false">INDEX(LINEST(B7:B34,C7:N34,TRUE(),TRUE()),1,2)</f>
        <v>2.25950100746585</v>
      </c>
      <c r="Z17" s="7" t="n">
        <f aca="false">INDEX(LINEST(B7:B34,C7:N34,TRUE(),TRUE()),2,2)</f>
        <v>1.93616960945809</v>
      </c>
      <c r="AA17" s="7" t="n">
        <f aca="false">Y17/Z17</f>
        <v>1.1669953894681</v>
      </c>
      <c r="AB17" s="7" t="n">
        <f aca="false">_xlfn.T.DIST.2T(ABS(AA17),$U$25)</f>
        <v>0.261430104835095</v>
      </c>
      <c r="AC17" s="7" t="n">
        <f aca="false">INDEX(MINVERSE($Y$23:$AJ$34),11,11)</f>
        <v>2.2442084942085</v>
      </c>
    </row>
    <row r="18" customFormat="false" ht="15" hidden="false" customHeight="false" outlineLevel="0" collapsed="false">
      <c r="A18" s="11" t="n">
        <f aca="false">Data_Monthly!A19</f>
        <v>44729</v>
      </c>
      <c r="B18" s="12" t="n">
        <f aca="false">Data_Monthly!K19</f>
        <v>-1.15963090763795</v>
      </c>
      <c r="C18" s="13" t="n">
        <f aca="false">IF($A18&gt;=$U$5,1,0)</f>
        <v>0</v>
      </c>
      <c r="D18" s="13" t="n">
        <f aca="false">IF(MONTH($A18)=2,1,0)</f>
        <v>0</v>
      </c>
      <c r="E18" s="13" t="n">
        <f aca="false">IF(MONTH($A18)=3,1,0)</f>
        <v>0</v>
      </c>
      <c r="F18" s="13" t="n">
        <f aca="false">IF(MONTH($A18)=4,1,0)</f>
        <v>0</v>
      </c>
      <c r="G18" s="13" t="n">
        <f aca="false">IF(MONTH($A18)=5,1,0)</f>
        <v>0</v>
      </c>
      <c r="H18" s="13" t="n">
        <f aca="false">IF(MONTH($A18)=6,1,0)</f>
        <v>1</v>
      </c>
      <c r="I18" s="13" t="n">
        <f aca="false">IF(MONTH($A18)=7,1,0)</f>
        <v>0</v>
      </c>
      <c r="J18" s="13" t="n">
        <f aca="false">IF(MONTH($A18)=8,1,0)</f>
        <v>0</v>
      </c>
      <c r="K18" s="13" t="n">
        <f aca="false">IF(MONTH($A18)=9,1,0)</f>
        <v>0</v>
      </c>
      <c r="L18" s="13" t="n">
        <f aca="false">IF(MONTH($A18)=10,1,0)</f>
        <v>0</v>
      </c>
      <c r="M18" s="13" t="n">
        <f aca="false">IF(MONTH($A18)=11,1,0)</f>
        <v>0</v>
      </c>
      <c r="N18" s="13" t="n">
        <f aca="false">IF(MONTH($A18)=12,1,0)</f>
        <v>0</v>
      </c>
      <c r="O18" s="7" t="n">
        <f aca="false">$B$5+SUMPRODUCT(C18:N18,$C$5:$N$5)</f>
        <v>1.21420245568548</v>
      </c>
      <c r="P18" s="7" t="n">
        <f aca="false">B18-O18</f>
        <v>-2.37383336332343</v>
      </c>
      <c r="Q18" s="7" t="n">
        <f aca="false">P18^2</f>
        <v>5.63508483682743</v>
      </c>
      <c r="R18" s="7" t="n">
        <f aca="false">(ROW()-ROW($A$7))/12</f>
        <v>0.916666666666667</v>
      </c>
      <c r="T18" s="5" t="s">
        <v>103</v>
      </c>
      <c r="U18" s="17" t="n">
        <f aca="false">(($U$13^2/$U$9)+($U$12^2/$U$8))^2/(($U$13^2/$U$9)^2/($U$9-1)+($U$12^2/$U$8)^2/($U$8-1))</f>
        <v>20.9557838461804</v>
      </c>
      <c r="V18" s="18" t="n">
        <v>20.9557838461804</v>
      </c>
      <c r="X18" s="5" t="s">
        <v>79</v>
      </c>
      <c r="Y18" s="7" t="n">
        <f aca="false">INDEX(LINEST(B7:B34,C7:N34,TRUE(),TRUE()),1,1)</f>
        <v>5.82335083776684</v>
      </c>
      <c r="Z18" s="7" t="n">
        <f aca="false">INDEX(LINEST(B7:B34,C7:N34,TRUE(),TRUE()),2,1)</f>
        <v>2.115258330855</v>
      </c>
      <c r="AA18" s="7" t="n">
        <f aca="false">Y18/Z18</f>
        <v>2.75302110991474</v>
      </c>
      <c r="AB18" s="7" t="n">
        <f aca="false">_xlfn.T.DIST.2T(ABS(AA18),$U$25)</f>
        <v>0.0147960081111295</v>
      </c>
      <c r="AC18" s="7" t="n">
        <f aca="false">INDEX(MINVERSE($Y$23:$AJ$34),12,12)</f>
        <v>1.85714285714286</v>
      </c>
    </row>
    <row r="19" customFormat="false" ht="15" hidden="false" customHeight="false" outlineLevel="0" collapsed="false">
      <c r="A19" s="11" t="n">
        <f aca="false">Data_Monthly!A20</f>
        <v>44771</v>
      </c>
      <c r="B19" s="12" t="n">
        <f aca="false">Data_Monthly!K20</f>
        <v>5.63772107422071</v>
      </c>
      <c r="C19" s="13" t="n">
        <f aca="false">IF($A19&gt;=$U$5,1,0)</f>
        <v>0</v>
      </c>
      <c r="D19" s="13" t="n">
        <f aca="false">IF(MONTH($A19)=2,1,0)</f>
        <v>0</v>
      </c>
      <c r="E19" s="13" t="n">
        <f aca="false">IF(MONTH($A19)=3,1,0)</f>
        <v>0</v>
      </c>
      <c r="F19" s="13" t="n">
        <f aca="false">IF(MONTH($A19)=4,1,0)</f>
        <v>0</v>
      </c>
      <c r="G19" s="13" t="n">
        <f aca="false">IF(MONTH($A19)=5,1,0)</f>
        <v>0</v>
      </c>
      <c r="H19" s="13" t="n">
        <f aca="false">IF(MONTH($A19)=6,1,0)</f>
        <v>0</v>
      </c>
      <c r="I19" s="13" t="n">
        <f aca="false">IF(MONTH($A19)=7,1,0)</f>
        <v>1</v>
      </c>
      <c r="J19" s="13" t="n">
        <f aca="false">IF(MONTH($A19)=8,1,0)</f>
        <v>0</v>
      </c>
      <c r="K19" s="13" t="n">
        <f aca="false">IF(MONTH($A19)=9,1,0)</f>
        <v>0</v>
      </c>
      <c r="L19" s="13" t="n">
        <f aca="false">IF(MONTH($A19)=10,1,0)</f>
        <v>0</v>
      </c>
      <c r="M19" s="13" t="n">
        <f aca="false">IF(MONTH($A19)=11,1,0)</f>
        <v>0</v>
      </c>
      <c r="N19" s="13" t="n">
        <f aca="false">IF(MONTH($A19)=12,1,0)</f>
        <v>0</v>
      </c>
      <c r="O19" s="7" t="n">
        <f aca="false">$B$5+SUMPRODUCT(C19:N19,$C$5:$N$5)</f>
        <v>2.82416328876156</v>
      </c>
      <c r="P19" s="7" t="n">
        <f aca="false">B19-O19</f>
        <v>2.81355778545915</v>
      </c>
      <c r="Q19" s="7" t="n">
        <f aca="false">P19^2</f>
        <v>7.91610741211781</v>
      </c>
      <c r="R19" s="7" t="n">
        <f aca="false">(ROW()-ROW($A$7))/12</f>
        <v>1</v>
      </c>
      <c r="T19" s="5" t="s">
        <v>104</v>
      </c>
      <c r="U19" s="7" t="n">
        <f aca="false">_xlfn.T.TEST(B24:B34,B7:B23,2,3)</f>
        <v>0.89498981536678</v>
      </c>
      <c r="V19" s="16" t="n">
        <v>0.894989815366782</v>
      </c>
      <c r="X19" s="5" t="s">
        <v>105</v>
      </c>
      <c r="Y19" s="7" t="n">
        <f aca="false">INDEX(LINEST(B7:B34,C7:N34,TRUE(),TRUE()),1,13)</f>
        <v>-0.464295293577555</v>
      </c>
      <c r="Z19" s="7" t="n">
        <f aca="false">INDEX(LINEST(B7:B34,C7:N34,TRUE(),TRUE()),2,13)</f>
        <v>1.55516885435034</v>
      </c>
      <c r="AA19" s="7" t="n">
        <f aca="false">Y19/Z19</f>
        <v>-0.29854976344129</v>
      </c>
      <c r="AB19" s="7" t="n">
        <f aca="false">_xlfn.T.DIST.2T(ABS(AA19),$U$25)</f>
        <v>0.769379615570221</v>
      </c>
    </row>
    <row r="20" customFormat="false" ht="15" hidden="false" customHeight="false" outlineLevel="0" collapsed="false">
      <c r="A20" s="11" t="n">
        <f aca="false">Data_Monthly!A21</f>
        <v>44799</v>
      </c>
      <c r="B20" s="12" t="n">
        <f aca="false">Data_Monthly!K21</f>
        <v>-0.555023407540567</v>
      </c>
      <c r="C20" s="13" t="n">
        <f aca="false">IF($A20&gt;=$U$5,1,0)</f>
        <v>0</v>
      </c>
      <c r="D20" s="13" t="n">
        <f aca="false">IF(MONTH($A20)=2,1,0)</f>
        <v>0</v>
      </c>
      <c r="E20" s="13" t="n">
        <f aca="false">IF(MONTH($A20)=3,1,0)</f>
        <v>0</v>
      </c>
      <c r="F20" s="13" t="n">
        <f aca="false">IF(MONTH($A20)=4,1,0)</f>
        <v>0</v>
      </c>
      <c r="G20" s="13" t="n">
        <f aca="false">IF(MONTH($A20)=5,1,0)</f>
        <v>0</v>
      </c>
      <c r="H20" s="13" t="n">
        <f aca="false">IF(MONTH($A20)=6,1,0)</f>
        <v>0</v>
      </c>
      <c r="I20" s="13" t="n">
        <f aca="false">IF(MONTH($A20)=7,1,0)</f>
        <v>0</v>
      </c>
      <c r="J20" s="13" t="n">
        <f aca="false">IF(MONTH($A20)=8,1,0)</f>
        <v>1</v>
      </c>
      <c r="K20" s="13" t="n">
        <f aca="false">IF(MONTH($A20)=9,1,0)</f>
        <v>0</v>
      </c>
      <c r="L20" s="13" t="n">
        <f aca="false">IF(MONTH($A20)=10,1,0)</f>
        <v>0</v>
      </c>
      <c r="M20" s="13" t="n">
        <f aca="false">IF(MONTH($A20)=11,1,0)</f>
        <v>0</v>
      </c>
      <c r="N20" s="13" t="n">
        <f aca="false">IF(MONTH($A20)=12,1,0)</f>
        <v>0</v>
      </c>
      <c r="O20" s="7" t="n">
        <f aca="false">$B$5+SUMPRODUCT(C20:N20,$C$5:$N$5)</f>
        <v>-0.920303579706865</v>
      </c>
      <c r="P20" s="7" t="n">
        <f aca="false">B20-O20</f>
        <v>0.365280172166298</v>
      </c>
      <c r="Q20" s="7" t="n">
        <f aca="false">P20^2</f>
        <v>0.13342960417784</v>
      </c>
      <c r="R20" s="7" t="n">
        <f aca="false">(ROW()-ROW($A$7))/12</f>
        <v>1.08333333333333</v>
      </c>
      <c r="X20" s="2" t="s">
        <v>106</v>
      </c>
    </row>
    <row r="21" customFormat="false" ht="15" hidden="false" customHeight="false" outlineLevel="0" collapsed="false">
      <c r="A21" s="11" t="n">
        <f aca="false">Data_Monthly!A22</f>
        <v>44827</v>
      </c>
      <c r="B21" s="12" t="n">
        <f aca="false">Data_Monthly!K22</f>
        <v>0.685142861705578</v>
      </c>
      <c r="C21" s="13" t="n">
        <f aca="false">IF($A21&gt;=$U$5,1,0)</f>
        <v>0</v>
      </c>
      <c r="D21" s="13" t="n">
        <f aca="false">IF(MONTH($A21)=2,1,0)</f>
        <v>0</v>
      </c>
      <c r="E21" s="13" t="n">
        <f aca="false">IF(MONTH($A21)=3,1,0)</f>
        <v>0</v>
      </c>
      <c r="F21" s="13" t="n">
        <f aca="false">IF(MONTH($A21)=4,1,0)</f>
        <v>0</v>
      </c>
      <c r="G21" s="13" t="n">
        <f aca="false">IF(MONTH($A21)=5,1,0)</f>
        <v>0</v>
      </c>
      <c r="H21" s="13" t="n">
        <f aca="false">IF(MONTH($A21)=6,1,0)</f>
        <v>0</v>
      </c>
      <c r="I21" s="13" t="n">
        <f aca="false">IF(MONTH($A21)=7,1,0)</f>
        <v>0</v>
      </c>
      <c r="J21" s="13" t="n">
        <f aca="false">IF(MONTH($A21)=8,1,0)</f>
        <v>0</v>
      </c>
      <c r="K21" s="13" t="n">
        <f aca="false">IF(MONTH($A21)=9,1,0)</f>
        <v>1</v>
      </c>
      <c r="L21" s="13" t="n">
        <f aca="false">IF(MONTH($A21)=10,1,0)</f>
        <v>0</v>
      </c>
      <c r="M21" s="13" t="n">
        <f aca="false">IF(MONTH($A21)=11,1,0)</f>
        <v>0</v>
      </c>
      <c r="N21" s="13" t="n">
        <f aca="false">IF(MONTH($A21)=12,1,0)</f>
        <v>0</v>
      </c>
      <c r="O21" s="7" t="n">
        <f aca="false">$B$5+SUMPRODUCT(C21:N21,$C$5:$N$5)</f>
        <v>0.729367691631543</v>
      </c>
      <c r="P21" s="7" t="n">
        <f aca="false">B21-O21</f>
        <v>-0.0442248299259653</v>
      </c>
      <c r="Q21" s="7" t="n">
        <f aca="false">P21^2</f>
        <v>0.00195583558198056</v>
      </c>
      <c r="R21" s="7" t="n">
        <f aca="false">(ROW()-ROW($A$7))/12</f>
        <v>1.16666666666667</v>
      </c>
      <c r="T21" s="9" t="s">
        <v>114</v>
      </c>
      <c r="U21" s="14" t="s">
        <v>91</v>
      </c>
      <c r="V21" s="14" t="s">
        <v>92</v>
      </c>
      <c r="X21" s="2" t="s">
        <v>108</v>
      </c>
    </row>
    <row r="22" customFormat="false" ht="15" hidden="false" customHeight="false" outlineLevel="0" collapsed="false">
      <c r="A22" s="11" t="n">
        <f aca="false">Data_Monthly!A23</f>
        <v>44855</v>
      </c>
      <c r="B22" s="12" t="n">
        <f aca="false">Data_Monthly!K23</f>
        <v>6.25261348128383</v>
      </c>
      <c r="C22" s="13" t="n">
        <f aca="false">IF($A22&gt;=$U$5,1,0)</f>
        <v>0</v>
      </c>
      <c r="D22" s="13" t="n">
        <f aca="false">IF(MONTH($A22)=2,1,0)</f>
        <v>0</v>
      </c>
      <c r="E22" s="13" t="n">
        <f aca="false">IF(MONTH($A22)=3,1,0)</f>
        <v>0</v>
      </c>
      <c r="F22" s="13" t="n">
        <f aca="false">IF(MONTH($A22)=4,1,0)</f>
        <v>0</v>
      </c>
      <c r="G22" s="13" t="n">
        <f aca="false">IF(MONTH($A22)=5,1,0)</f>
        <v>0</v>
      </c>
      <c r="H22" s="13" t="n">
        <f aca="false">IF(MONTH($A22)=6,1,0)</f>
        <v>0</v>
      </c>
      <c r="I22" s="13" t="n">
        <f aca="false">IF(MONTH($A22)=7,1,0)</f>
        <v>0</v>
      </c>
      <c r="J22" s="13" t="n">
        <f aca="false">IF(MONTH($A22)=8,1,0)</f>
        <v>0</v>
      </c>
      <c r="K22" s="13" t="n">
        <f aca="false">IF(MONTH($A22)=9,1,0)</f>
        <v>0</v>
      </c>
      <c r="L22" s="13" t="n">
        <f aca="false">IF(MONTH($A22)=10,1,0)</f>
        <v>1</v>
      </c>
      <c r="M22" s="13" t="n">
        <f aca="false">IF(MONTH($A22)=11,1,0)</f>
        <v>0</v>
      </c>
      <c r="N22" s="13" t="n">
        <f aca="false">IF(MONTH($A22)=12,1,0)</f>
        <v>0</v>
      </c>
      <c r="O22" s="7" t="n">
        <f aca="false">$B$5+SUMPRODUCT(C22:N22,$C$5:$N$5)</f>
        <v>2.94865855156343</v>
      </c>
      <c r="P22" s="7" t="n">
        <f aca="false">B22-O22</f>
        <v>3.3039549297204</v>
      </c>
      <c r="Q22" s="7" t="n">
        <f aca="false">P22^2</f>
        <v>10.9161181776237</v>
      </c>
      <c r="R22" s="7" t="n">
        <f aca="false">(ROW()-ROW($A$7))/12</f>
        <v>1.25</v>
      </c>
      <c r="T22" s="5" t="s">
        <v>115</v>
      </c>
      <c r="U22" s="13" t="n">
        <f aca="false">COUNT(B7:B34)</f>
        <v>28</v>
      </c>
      <c r="V22" s="15" t="n">
        <v>28</v>
      </c>
      <c r="Y22" s="19" t="s">
        <v>68</v>
      </c>
      <c r="Z22" s="19" t="s">
        <v>69</v>
      </c>
      <c r="AA22" s="19" t="s">
        <v>70</v>
      </c>
      <c r="AB22" s="19" t="s">
        <v>71</v>
      </c>
      <c r="AC22" s="19" t="s">
        <v>72</v>
      </c>
      <c r="AD22" s="19" t="s">
        <v>73</v>
      </c>
      <c r="AE22" s="19" t="s">
        <v>74</v>
      </c>
      <c r="AF22" s="19" t="s">
        <v>75</v>
      </c>
      <c r="AG22" s="19" t="s">
        <v>76</v>
      </c>
      <c r="AH22" s="19" t="s">
        <v>77</v>
      </c>
      <c r="AI22" s="19" t="s">
        <v>78</v>
      </c>
      <c r="AJ22" s="19" t="s">
        <v>79</v>
      </c>
    </row>
    <row r="23" customFormat="false" ht="15" hidden="false" customHeight="false" outlineLevel="0" collapsed="false">
      <c r="A23" s="11" t="n">
        <f aca="false">Data_Monthly!A24</f>
        <v>44883</v>
      </c>
      <c r="B23" s="12" t="n">
        <f aca="false">Data_Monthly!K24</f>
        <v>1.08845831041009</v>
      </c>
      <c r="C23" s="13" t="n">
        <f aca="false">IF($A23&gt;=$U$5,1,0)</f>
        <v>0</v>
      </c>
      <c r="D23" s="13" t="n">
        <f aca="false">IF(MONTH($A23)=2,1,0)</f>
        <v>0</v>
      </c>
      <c r="E23" s="13" t="n">
        <f aca="false">IF(MONTH($A23)=3,1,0)</f>
        <v>0</v>
      </c>
      <c r="F23" s="13" t="n">
        <f aca="false">IF(MONTH($A23)=4,1,0)</f>
        <v>0</v>
      </c>
      <c r="G23" s="13" t="n">
        <f aca="false">IF(MONTH($A23)=5,1,0)</f>
        <v>0</v>
      </c>
      <c r="H23" s="13" t="n">
        <f aca="false">IF(MONTH($A23)=6,1,0)</f>
        <v>0</v>
      </c>
      <c r="I23" s="13" t="n">
        <f aca="false">IF(MONTH($A23)=7,1,0)</f>
        <v>0</v>
      </c>
      <c r="J23" s="13" t="n">
        <f aca="false">IF(MONTH($A23)=8,1,0)</f>
        <v>0</v>
      </c>
      <c r="K23" s="13" t="n">
        <f aca="false">IF(MONTH($A23)=9,1,0)</f>
        <v>0</v>
      </c>
      <c r="L23" s="13" t="n">
        <f aca="false">IF(MONTH($A23)=10,1,0)</f>
        <v>0</v>
      </c>
      <c r="M23" s="13" t="n">
        <f aca="false">IF(MONTH($A23)=11,1,0)</f>
        <v>1</v>
      </c>
      <c r="N23" s="13" t="n">
        <f aca="false">IF(MONTH($A23)=12,1,0)</f>
        <v>0</v>
      </c>
      <c r="O23" s="7" t="n">
        <f aca="false">$B$5+SUMPRODUCT(C23:N23,$C$5:$N$5)</f>
        <v>1.79520571388829</v>
      </c>
      <c r="P23" s="7" t="n">
        <f aca="false">B23-O23</f>
        <v>-0.706747403478203</v>
      </c>
      <c r="Q23" s="7" t="n">
        <f aca="false">P23^2</f>
        <v>0.499491892323181</v>
      </c>
      <c r="R23" s="7" t="n">
        <f aca="false">(ROW()-ROW($A$7))/12</f>
        <v>1.33333333333333</v>
      </c>
      <c r="T23" s="5" t="s">
        <v>112</v>
      </c>
      <c r="U23" s="7" t="n">
        <f aca="false">INDEX(LINEST(B7:B34,C7:N34,TRUE(),TRUE()),3,1)</f>
        <v>0.560195450360729</v>
      </c>
      <c r="V23" s="16" t="n">
        <v>0.560195450360729</v>
      </c>
      <c r="X23" s="6" t="s">
        <v>68</v>
      </c>
      <c r="Y23" s="20" t="n">
        <f aca="false">CORREL($C$7:$C$34,$C$7:$C$34)</f>
        <v>1</v>
      </c>
      <c r="Z23" s="20" t="n">
        <f aca="false">CORREL($D$7:$D$34,$C$7:$C$34)</f>
        <v>0.0608455435736128</v>
      </c>
      <c r="AA23" s="20" t="n">
        <f aca="false">CORREL($E$7:$E$34,$C$7:$C$34)</f>
        <v>0.0608455435736128</v>
      </c>
      <c r="AB23" s="20" t="n">
        <f aca="false">CORREL($F$7:$F$34,$C$7:$C$34)</f>
        <v>0.0608455435736128</v>
      </c>
      <c r="AC23" s="20" t="n">
        <f aca="false">CORREL($G$7:$G$34,$C$7:$C$34)</f>
        <v>0.0608455435736128</v>
      </c>
      <c r="AD23" s="20" t="n">
        <f aca="false">CORREL($H$7:$H$34,$C$7:$C$34)</f>
        <v>0.0608455435736128</v>
      </c>
      <c r="AE23" s="20" t="n">
        <f aca="false">CORREL($I$7:$I$34,$C$7:$C$34)</f>
        <v>-0.22310032643658</v>
      </c>
      <c r="AF23" s="20" t="n">
        <f aca="false">CORREL($J$7:$J$34,$C$7:$C$34)</f>
        <v>-0.0422200330920749</v>
      </c>
      <c r="AG23" s="20" t="n">
        <f aca="false">CORREL($K$7:$K$34,$C$7:$C$34)</f>
        <v>-0.0422200330920749</v>
      </c>
      <c r="AH23" s="20" t="n">
        <f aca="false">CORREL($L$7:$L$34,$C$7:$C$34)</f>
        <v>-0.0422200330920749</v>
      </c>
      <c r="AI23" s="20" t="n">
        <f aca="false">CORREL($M$7:$M$34,$C$7:$C$34)</f>
        <v>-0.0422200330920749</v>
      </c>
      <c r="AJ23" s="20" t="n">
        <f aca="false">CORREL($N$7:$N$34,$C$7:$C$34)</f>
        <v>0.0608455435736128</v>
      </c>
    </row>
    <row r="24" customFormat="false" ht="15" hidden="false" customHeight="false" outlineLevel="0" collapsed="false">
      <c r="A24" s="11" t="n">
        <f aca="false">Data_Monthly!A25</f>
        <v>44925</v>
      </c>
      <c r="B24" s="12" t="n">
        <f aca="false">Data_Monthly!K25</f>
        <v>6.5472353163111</v>
      </c>
      <c r="C24" s="13" t="n">
        <f aca="false">IF($A24&gt;=$U$5,1,0)</f>
        <v>1</v>
      </c>
      <c r="D24" s="13" t="n">
        <f aca="false">IF(MONTH($A24)=2,1,0)</f>
        <v>0</v>
      </c>
      <c r="E24" s="13" t="n">
        <f aca="false">IF(MONTH($A24)=3,1,0)</f>
        <v>0</v>
      </c>
      <c r="F24" s="13" t="n">
        <f aca="false">IF(MONTH($A24)=4,1,0)</f>
        <v>0</v>
      </c>
      <c r="G24" s="13" t="n">
        <f aca="false">IF(MONTH($A24)=5,1,0)</f>
        <v>0</v>
      </c>
      <c r="H24" s="13" t="n">
        <f aca="false">IF(MONTH($A24)=6,1,0)</f>
        <v>0</v>
      </c>
      <c r="I24" s="13" t="n">
        <f aca="false">IF(MONTH($A24)=7,1,0)</f>
        <v>0</v>
      </c>
      <c r="J24" s="13" t="n">
        <f aca="false">IF(MONTH($A24)=8,1,0)</f>
        <v>0</v>
      </c>
      <c r="K24" s="13" t="n">
        <f aca="false">IF(MONTH($A24)=9,1,0)</f>
        <v>0</v>
      </c>
      <c r="L24" s="13" t="n">
        <f aca="false">IF(MONTH($A24)=10,1,0)</f>
        <v>0</v>
      </c>
      <c r="M24" s="13" t="n">
        <f aca="false">IF(MONTH($A24)=11,1,0)</f>
        <v>0</v>
      </c>
      <c r="N24" s="13" t="n">
        <f aca="false">IF(MONTH($A24)=12,1,0)</f>
        <v>1</v>
      </c>
      <c r="O24" s="7" t="n">
        <f aca="false">$B$5+SUMPRODUCT(C24:N24,$C$5:$N$5)</f>
        <v>5.5065257114418</v>
      </c>
      <c r="P24" s="7" t="n">
        <f aca="false">B24-O24</f>
        <v>1.04070960486929</v>
      </c>
      <c r="Q24" s="7" t="n">
        <f aca="false">P24^2</f>
        <v>1.0830764816672</v>
      </c>
      <c r="R24" s="7" t="n">
        <f aca="false">(ROW()-ROW($A$7))/12</f>
        <v>1.41666666666667</v>
      </c>
      <c r="T24" s="5" t="s">
        <v>116</v>
      </c>
      <c r="U24" s="7" t="n">
        <f aca="false">SQRT($U$23)</f>
        <v>0.74846205672748</v>
      </c>
      <c r="X24" s="6" t="s">
        <v>69</v>
      </c>
      <c r="Y24" s="20" t="n">
        <f aca="false">CORREL($C$7:$C$34,$D$7:$D$34)</f>
        <v>0.0608455435736128</v>
      </c>
      <c r="Z24" s="20" t="n">
        <f aca="false">CORREL($D$7:$D$34,$D$7:$D$34)</f>
        <v>1</v>
      </c>
      <c r="AA24" s="20" t="n">
        <f aca="false">CORREL($E$7:$E$34,$D$7:$D$34)</f>
        <v>-0.0769230769230769</v>
      </c>
      <c r="AB24" s="20" t="n">
        <f aca="false">CORREL($F$7:$F$34,$D$7:$D$34)</f>
        <v>-0.0769230769230769</v>
      </c>
      <c r="AC24" s="20" t="n">
        <f aca="false">CORREL($G$7:$G$34,$D$7:$D$34)</f>
        <v>-0.0769230769230769</v>
      </c>
      <c r="AD24" s="20" t="n">
        <f aca="false">CORREL($H$7:$H$34,$D$7:$D$34)</f>
        <v>-0.0769230769230769</v>
      </c>
      <c r="AE24" s="20" t="n">
        <f aca="false">CORREL($I$7:$I$34,$D$7:$D$34)</f>
        <v>-0.0769230769230769</v>
      </c>
      <c r="AF24" s="20" t="n">
        <f aca="false">CORREL($J$7:$J$34,$D$7:$D$34)</f>
        <v>-0.0960768922830523</v>
      </c>
      <c r="AG24" s="20" t="n">
        <f aca="false">CORREL($K$7:$K$34,$D$7:$D$34)</f>
        <v>-0.0960768922830523</v>
      </c>
      <c r="AH24" s="20" t="n">
        <f aca="false">CORREL($L$7:$L$34,$D$7:$D$34)</f>
        <v>-0.0960768922830523</v>
      </c>
      <c r="AI24" s="20" t="n">
        <f aca="false">CORREL($M$7:$M$34,$D$7:$D$34)</f>
        <v>-0.0960768922830523</v>
      </c>
      <c r="AJ24" s="20" t="n">
        <f aca="false">CORREL($N$7:$N$34,$D$7:$D$34)</f>
        <v>-0.0769230769230769</v>
      </c>
    </row>
    <row r="25" customFormat="false" ht="15" hidden="false" customHeight="false" outlineLevel="0" collapsed="false">
      <c r="A25" s="11" t="n">
        <f aca="false">Data_Monthly!A26</f>
        <v>44953</v>
      </c>
      <c r="B25" s="12" t="n">
        <f aca="false">Data_Monthly!K26</f>
        <v>-2.29444505798799</v>
      </c>
      <c r="C25" s="13" t="n">
        <f aca="false">IF($A25&gt;=$U$5,1,0)</f>
        <v>1</v>
      </c>
      <c r="D25" s="13" t="n">
        <f aca="false">IF(MONTH($A25)=2,1,0)</f>
        <v>0</v>
      </c>
      <c r="E25" s="13" t="n">
        <f aca="false">IF(MONTH($A25)=3,1,0)</f>
        <v>0</v>
      </c>
      <c r="F25" s="13" t="n">
        <f aca="false">IF(MONTH($A25)=4,1,0)</f>
        <v>0</v>
      </c>
      <c r="G25" s="13" t="n">
        <f aca="false">IF(MONTH($A25)=5,1,0)</f>
        <v>0</v>
      </c>
      <c r="H25" s="13" t="n">
        <f aca="false">IF(MONTH($A25)=6,1,0)</f>
        <v>0</v>
      </c>
      <c r="I25" s="13" t="n">
        <f aca="false">IF(MONTH($A25)=7,1,0)</f>
        <v>0</v>
      </c>
      <c r="J25" s="13" t="n">
        <f aca="false">IF(MONTH($A25)=8,1,0)</f>
        <v>0</v>
      </c>
      <c r="K25" s="13" t="n">
        <f aca="false">IF(MONTH($A25)=9,1,0)</f>
        <v>0</v>
      </c>
      <c r="L25" s="13" t="n">
        <f aca="false">IF(MONTH($A25)=10,1,0)</f>
        <v>0</v>
      </c>
      <c r="M25" s="13" t="n">
        <f aca="false">IF(MONTH($A25)=11,1,0)</f>
        <v>0</v>
      </c>
      <c r="N25" s="13" t="n">
        <f aca="false">IF(MONTH($A25)=12,1,0)</f>
        <v>0</v>
      </c>
      <c r="O25" s="7" t="n">
        <f aca="false">$B$5+SUMPRODUCT(C25:N25,$C$5:$N$5)</f>
        <v>-0.316825126325037</v>
      </c>
      <c r="P25" s="7" t="n">
        <f aca="false">B25-O25</f>
        <v>-1.97761993166296</v>
      </c>
      <c r="Q25" s="7" t="n">
        <f aca="false">P25^2</f>
        <v>3.91098059411059</v>
      </c>
      <c r="R25" s="7" t="n">
        <f aca="false">(ROW()-ROW($A$7))/12</f>
        <v>1.5</v>
      </c>
      <c r="T25" s="5" t="s">
        <v>111</v>
      </c>
      <c r="U25" s="13" t="n">
        <f aca="false">INDEX(LINEST(B7:B34,C7:N34,TRUE(),TRUE()),4,2)</f>
        <v>15</v>
      </c>
      <c r="X25" s="6" t="s">
        <v>70</v>
      </c>
      <c r="Y25" s="20" t="n">
        <f aca="false">CORREL($C$7:$C$34,$E$7:$E$34)</f>
        <v>0.0608455435736128</v>
      </c>
      <c r="Z25" s="20" t="n">
        <f aca="false">CORREL($D$7:$D$34,$E$7:$E$34)</f>
        <v>-0.0769230769230769</v>
      </c>
      <c r="AA25" s="20" t="n">
        <f aca="false">CORREL($E$7:$E$34,$E$7:$E$34)</f>
        <v>1</v>
      </c>
      <c r="AB25" s="20" t="n">
        <f aca="false">CORREL($F$7:$F$34,$E$7:$E$34)</f>
        <v>-0.0769230769230769</v>
      </c>
      <c r="AC25" s="20" t="n">
        <f aca="false">CORREL($G$7:$G$34,$E$7:$E$34)</f>
        <v>-0.0769230769230769</v>
      </c>
      <c r="AD25" s="20" t="n">
        <f aca="false">CORREL($H$7:$H$34,$E$7:$E$34)</f>
        <v>-0.0769230769230769</v>
      </c>
      <c r="AE25" s="20" t="n">
        <f aca="false">CORREL($I$7:$I$34,$E$7:$E$34)</f>
        <v>-0.0769230769230769</v>
      </c>
      <c r="AF25" s="20" t="n">
        <f aca="false">CORREL($J$7:$J$34,$E$7:$E$34)</f>
        <v>-0.0960768922830523</v>
      </c>
      <c r="AG25" s="20" t="n">
        <f aca="false">CORREL($K$7:$K$34,$E$7:$E$34)</f>
        <v>-0.0960768922830523</v>
      </c>
      <c r="AH25" s="20" t="n">
        <f aca="false">CORREL($L$7:$L$34,$E$7:$E$34)</f>
        <v>-0.0960768922830523</v>
      </c>
      <c r="AI25" s="20" t="n">
        <f aca="false">CORREL($M$7:$M$34,$E$7:$E$34)</f>
        <v>-0.0960768922830523</v>
      </c>
      <c r="AJ25" s="20" t="n">
        <f aca="false">CORREL($N$7:$N$34,$E$7:$E$34)</f>
        <v>-0.0769230769230769</v>
      </c>
    </row>
    <row r="26" customFormat="false" ht="15" hidden="false" customHeight="false" outlineLevel="0" collapsed="false">
      <c r="A26" s="11" t="n">
        <f aca="false">Data_Monthly!A27</f>
        <v>44981</v>
      </c>
      <c r="B26" s="12" t="n">
        <f aca="false">Data_Monthly!K27</f>
        <v>1.27790778996424</v>
      </c>
      <c r="C26" s="13" t="n">
        <f aca="false">IF($A26&gt;=$U$5,1,0)</f>
        <v>1</v>
      </c>
      <c r="D26" s="13" t="n">
        <f aca="false">IF(MONTH($A26)=2,1,0)</f>
        <v>1</v>
      </c>
      <c r="E26" s="13" t="n">
        <f aca="false">IF(MONTH($A26)=3,1,0)</f>
        <v>0</v>
      </c>
      <c r="F26" s="13" t="n">
        <f aca="false">IF(MONTH($A26)=4,1,0)</f>
        <v>0</v>
      </c>
      <c r="G26" s="13" t="n">
        <f aca="false">IF(MONTH($A26)=5,1,0)</f>
        <v>0</v>
      </c>
      <c r="H26" s="13" t="n">
        <f aca="false">IF(MONTH($A26)=6,1,0)</f>
        <v>0</v>
      </c>
      <c r="I26" s="13" t="n">
        <f aca="false">IF(MONTH($A26)=7,1,0)</f>
        <v>0</v>
      </c>
      <c r="J26" s="13" t="n">
        <f aca="false">IF(MONTH($A26)=8,1,0)</f>
        <v>0</v>
      </c>
      <c r="K26" s="13" t="n">
        <f aca="false">IF(MONTH($A26)=9,1,0)</f>
        <v>0</v>
      </c>
      <c r="L26" s="13" t="n">
        <f aca="false">IF(MONTH($A26)=10,1,0)</f>
        <v>0</v>
      </c>
      <c r="M26" s="13" t="n">
        <f aca="false">IF(MONTH($A26)=11,1,0)</f>
        <v>0</v>
      </c>
      <c r="N26" s="13" t="n">
        <f aca="false">IF(MONTH($A26)=12,1,0)</f>
        <v>0</v>
      </c>
      <c r="O26" s="7" t="n">
        <f aca="false">$B$5+SUMPRODUCT(C26:N26,$C$5:$N$5)</f>
        <v>0.242367807385191</v>
      </c>
      <c r="P26" s="7" t="n">
        <f aca="false">B26-O26</f>
        <v>1.03553998257905</v>
      </c>
      <c r="Q26" s="7" t="n">
        <f aca="false">P26^2</f>
        <v>1.07234305551981</v>
      </c>
      <c r="R26" s="7" t="n">
        <f aca="false">(ROW()-ROW($A$7))/12</f>
        <v>1.58333333333333</v>
      </c>
      <c r="T26" s="5" t="s">
        <v>117</v>
      </c>
      <c r="U26" s="7" t="n">
        <f aca="false">1-(1-$U$23)*($U$22-1)/$U$25</f>
        <v>0.208351810649312</v>
      </c>
      <c r="V26" s="16" t="n">
        <v>0.208351810649312</v>
      </c>
      <c r="X26" s="6" t="s">
        <v>71</v>
      </c>
      <c r="Y26" s="20" t="n">
        <f aca="false">CORREL($C$7:$C$34,$F$7:$F$34)</f>
        <v>0.0608455435736128</v>
      </c>
      <c r="Z26" s="20" t="n">
        <f aca="false">CORREL($D$7:$D$34,$F$7:$F$34)</f>
        <v>-0.0769230769230769</v>
      </c>
      <c r="AA26" s="20" t="n">
        <f aca="false">CORREL($E$7:$E$34,$F$7:$F$34)</f>
        <v>-0.0769230769230769</v>
      </c>
      <c r="AB26" s="20" t="n">
        <f aca="false">CORREL($F$7:$F$34,$F$7:$F$34)</f>
        <v>1</v>
      </c>
      <c r="AC26" s="20" t="n">
        <f aca="false">CORREL($G$7:$G$34,$F$7:$F$34)</f>
        <v>-0.0769230769230769</v>
      </c>
      <c r="AD26" s="20" t="n">
        <f aca="false">CORREL($H$7:$H$34,$F$7:$F$34)</f>
        <v>-0.0769230769230769</v>
      </c>
      <c r="AE26" s="20" t="n">
        <f aca="false">CORREL($I$7:$I$34,$F$7:$F$34)</f>
        <v>-0.0769230769230769</v>
      </c>
      <c r="AF26" s="20" t="n">
        <f aca="false">CORREL($J$7:$J$34,$F$7:$F$34)</f>
        <v>-0.0960768922830523</v>
      </c>
      <c r="AG26" s="20" t="n">
        <f aca="false">CORREL($K$7:$K$34,$F$7:$F$34)</f>
        <v>-0.0960768922830523</v>
      </c>
      <c r="AH26" s="20" t="n">
        <f aca="false">CORREL($L$7:$L$34,$F$7:$F$34)</f>
        <v>-0.0960768922830523</v>
      </c>
      <c r="AI26" s="20" t="n">
        <f aca="false">CORREL($M$7:$M$34,$F$7:$F$34)</f>
        <v>-0.0960768922830523</v>
      </c>
      <c r="AJ26" s="20" t="n">
        <f aca="false">CORREL($N$7:$N$34,$F$7:$F$34)</f>
        <v>-0.0769230769230769</v>
      </c>
    </row>
    <row r="27" customFormat="false" ht="15" hidden="false" customHeight="false" outlineLevel="0" collapsed="false">
      <c r="A27" s="11" t="n">
        <f aca="false">Data_Monthly!A28</f>
        <v>45009</v>
      </c>
      <c r="B27" s="12" t="n">
        <f aca="false">Data_Monthly!K28</f>
        <v>-0.259769601757398</v>
      </c>
      <c r="C27" s="13" t="n">
        <f aca="false">IF($A27&gt;=$U$5,1,0)</f>
        <v>1</v>
      </c>
      <c r="D27" s="13" t="n">
        <f aca="false">IF(MONTH($A27)=2,1,0)</f>
        <v>0</v>
      </c>
      <c r="E27" s="13" t="n">
        <f aca="false">IF(MONTH($A27)=3,1,0)</f>
        <v>1</v>
      </c>
      <c r="F27" s="13" t="n">
        <f aca="false">IF(MONTH($A27)=4,1,0)</f>
        <v>0</v>
      </c>
      <c r="G27" s="13" t="n">
        <f aca="false">IF(MONTH($A27)=5,1,0)</f>
        <v>0</v>
      </c>
      <c r="H27" s="13" t="n">
        <f aca="false">IF(MONTH($A27)=6,1,0)</f>
        <v>0</v>
      </c>
      <c r="I27" s="13" t="n">
        <f aca="false">IF(MONTH($A27)=7,1,0)</f>
        <v>0</v>
      </c>
      <c r="J27" s="13" t="n">
        <f aca="false">IF(MONTH($A27)=8,1,0)</f>
        <v>0</v>
      </c>
      <c r="K27" s="13" t="n">
        <f aca="false">IF(MONTH($A27)=9,1,0)</f>
        <v>0</v>
      </c>
      <c r="L27" s="13" t="n">
        <f aca="false">IF(MONTH($A27)=10,1,0)</f>
        <v>0</v>
      </c>
      <c r="M27" s="13" t="n">
        <f aca="false">IF(MONTH($A27)=11,1,0)</f>
        <v>0</v>
      </c>
      <c r="N27" s="13" t="n">
        <f aca="false">IF(MONTH($A27)=12,1,0)</f>
        <v>0</v>
      </c>
      <c r="O27" s="7" t="n">
        <f aca="false">$B$5+SUMPRODUCT(C27:N27,$C$5:$N$5)</f>
        <v>0.464011450524138</v>
      </c>
      <c r="P27" s="7" t="n">
        <f aca="false">B27-O27</f>
        <v>-0.723781052281536</v>
      </c>
      <c r="Q27" s="7" t="n">
        <f aca="false">P27^2</f>
        <v>0.523859011641768</v>
      </c>
      <c r="R27" s="7" t="n">
        <f aca="false">(ROW()-ROW($A$7))/12</f>
        <v>1.66666666666667</v>
      </c>
      <c r="T27" s="5" t="s">
        <v>118</v>
      </c>
      <c r="U27" s="7" t="n">
        <f aca="false">INDEX(LINEST(B7:B34,C7:N34,TRUE(),TRUE()),3,2)</f>
        <v>2.115258330855</v>
      </c>
      <c r="V27" s="16" t="n">
        <v>2.115258330855</v>
      </c>
      <c r="X27" s="6" t="s">
        <v>72</v>
      </c>
      <c r="Y27" s="20" t="n">
        <f aca="false">CORREL($C$7:$C$34,$G$7:$G$34)</f>
        <v>0.0608455435736128</v>
      </c>
      <c r="Z27" s="20" t="n">
        <f aca="false">CORREL($D$7:$D$34,$G$7:$G$34)</f>
        <v>-0.0769230769230769</v>
      </c>
      <c r="AA27" s="20" t="n">
        <f aca="false">CORREL($E$7:$E$34,$G$7:$G$34)</f>
        <v>-0.0769230769230769</v>
      </c>
      <c r="AB27" s="20" t="n">
        <f aca="false">CORREL($F$7:$F$34,$G$7:$G$34)</f>
        <v>-0.0769230769230769</v>
      </c>
      <c r="AC27" s="20" t="n">
        <f aca="false">CORREL($G$7:$G$34,$G$7:$G$34)</f>
        <v>1</v>
      </c>
      <c r="AD27" s="20" t="n">
        <f aca="false">CORREL($H$7:$H$34,$G$7:$G$34)</f>
        <v>-0.0769230769230769</v>
      </c>
      <c r="AE27" s="20" t="n">
        <f aca="false">CORREL($I$7:$I$34,$G$7:$G$34)</f>
        <v>-0.0769230769230769</v>
      </c>
      <c r="AF27" s="20" t="n">
        <f aca="false">CORREL($J$7:$J$34,$G$7:$G$34)</f>
        <v>-0.0960768922830523</v>
      </c>
      <c r="AG27" s="20" t="n">
        <f aca="false">CORREL($K$7:$K$34,$G$7:$G$34)</f>
        <v>-0.0960768922830523</v>
      </c>
      <c r="AH27" s="20" t="n">
        <f aca="false">CORREL($L$7:$L$34,$G$7:$G$34)</f>
        <v>-0.0960768922830523</v>
      </c>
      <c r="AI27" s="20" t="n">
        <f aca="false">CORREL($M$7:$M$34,$G$7:$G$34)</f>
        <v>-0.0960768922830523</v>
      </c>
      <c r="AJ27" s="20" t="n">
        <f aca="false">CORREL($N$7:$N$34,$G$7:$G$34)</f>
        <v>-0.0769230769230769</v>
      </c>
    </row>
    <row r="28" customFormat="false" ht="15" hidden="false" customHeight="false" outlineLevel="0" collapsed="false">
      <c r="A28" s="11" t="n">
        <f aca="false">Data_Monthly!A29</f>
        <v>45037</v>
      </c>
      <c r="B28" s="12" t="n">
        <f aca="false">Data_Monthly!K29</f>
        <v>0.141580902898219</v>
      </c>
      <c r="C28" s="13" t="n">
        <f aca="false">IF($A28&gt;=$U$5,1,0)</f>
        <v>1</v>
      </c>
      <c r="D28" s="13" t="n">
        <f aca="false">IF(MONTH($A28)=2,1,0)</f>
        <v>0</v>
      </c>
      <c r="E28" s="13" t="n">
        <f aca="false">IF(MONTH($A28)=3,1,0)</f>
        <v>0</v>
      </c>
      <c r="F28" s="13" t="n">
        <f aca="false">IF(MONTH($A28)=4,1,0)</f>
        <v>1</v>
      </c>
      <c r="G28" s="13" t="n">
        <f aca="false">IF(MONTH($A28)=5,1,0)</f>
        <v>0</v>
      </c>
      <c r="H28" s="13" t="n">
        <f aca="false">IF(MONTH($A28)=6,1,0)</f>
        <v>0</v>
      </c>
      <c r="I28" s="13" t="n">
        <f aca="false">IF(MONTH($A28)=7,1,0)</f>
        <v>0</v>
      </c>
      <c r="J28" s="13" t="n">
        <f aca="false">IF(MONTH($A28)=8,1,0)</f>
        <v>0</v>
      </c>
      <c r="K28" s="13" t="n">
        <f aca="false">IF(MONTH($A28)=9,1,0)</f>
        <v>0</v>
      </c>
      <c r="L28" s="13" t="n">
        <f aca="false">IF(MONTH($A28)=10,1,0)</f>
        <v>0</v>
      </c>
      <c r="M28" s="13" t="n">
        <f aca="false">IF(MONTH($A28)=11,1,0)</f>
        <v>0</v>
      </c>
      <c r="N28" s="13" t="n">
        <f aca="false">IF(MONTH($A28)=12,1,0)</f>
        <v>0</v>
      </c>
      <c r="O28" s="7" t="n">
        <f aca="false">$B$5+SUMPRODUCT(C28:N28,$C$5:$N$5)</f>
        <v>0.315438842187755</v>
      </c>
      <c r="P28" s="7" t="n">
        <f aca="false">B28-O28</f>
        <v>-0.173857939289536</v>
      </c>
      <c r="Q28" s="7" t="n">
        <f aca="false">P28^2</f>
        <v>0.0302265830540039</v>
      </c>
      <c r="R28" s="7" t="n">
        <f aca="false">(ROW()-ROW($A$7))/12</f>
        <v>1.75</v>
      </c>
      <c r="X28" s="6" t="s">
        <v>73</v>
      </c>
      <c r="Y28" s="20" t="n">
        <f aca="false">CORREL($C$7:$C$34,$H$7:$H$34)</f>
        <v>0.0608455435736128</v>
      </c>
      <c r="Z28" s="20" t="n">
        <f aca="false">CORREL($D$7:$D$34,$H$7:$H$34)</f>
        <v>-0.0769230769230769</v>
      </c>
      <c r="AA28" s="20" t="n">
        <f aca="false">CORREL($E$7:$E$34,$H$7:$H$34)</f>
        <v>-0.0769230769230769</v>
      </c>
      <c r="AB28" s="20" t="n">
        <f aca="false">CORREL($F$7:$F$34,$H$7:$H$34)</f>
        <v>-0.0769230769230769</v>
      </c>
      <c r="AC28" s="20" t="n">
        <f aca="false">CORREL($G$7:$G$34,$H$7:$H$34)</f>
        <v>-0.0769230769230769</v>
      </c>
      <c r="AD28" s="20" t="n">
        <f aca="false">CORREL($H$7:$H$34,$H$7:$H$34)</f>
        <v>1</v>
      </c>
      <c r="AE28" s="20" t="n">
        <f aca="false">CORREL($I$7:$I$34,$H$7:$H$34)</f>
        <v>-0.0769230769230769</v>
      </c>
      <c r="AF28" s="20" t="n">
        <f aca="false">CORREL($J$7:$J$34,$H$7:$H$34)</f>
        <v>-0.0960768922830523</v>
      </c>
      <c r="AG28" s="20" t="n">
        <f aca="false">CORREL($K$7:$K$34,$H$7:$H$34)</f>
        <v>-0.0960768922830523</v>
      </c>
      <c r="AH28" s="20" t="n">
        <f aca="false">CORREL($L$7:$L$34,$H$7:$H$34)</f>
        <v>-0.0960768922830523</v>
      </c>
      <c r="AI28" s="20" t="n">
        <f aca="false">CORREL($M$7:$M$34,$H$7:$H$34)</f>
        <v>-0.0960768922830523</v>
      </c>
      <c r="AJ28" s="20" t="n">
        <f aca="false">CORREL($N$7:$N$34,$H$7:$H$34)</f>
        <v>-0.0769230769230769</v>
      </c>
    </row>
    <row r="29" customFormat="false" ht="15" hidden="false" customHeight="false" outlineLevel="0" collapsed="false">
      <c r="A29" s="11" t="n">
        <f aca="false">Data_Monthly!A30</f>
        <v>45065</v>
      </c>
      <c r="B29" s="12" t="n">
        <f aca="false">Data_Monthly!K30</f>
        <v>-1.64798537337667</v>
      </c>
      <c r="C29" s="13" t="n">
        <f aca="false">IF($A29&gt;=$U$5,1,0)</f>
        <v>1</v>
      </c>
      <c r="D29" s="13" t="n">
        <f aca="false">IF(MONTH($A29)=2,1,0)</f>
        <v>0</v>
      </c>
      <c r="E29" s="13" t="n">
        <f aca="false">IF(MONTH($A29)=3,1,0)</f>
        <v>0</v>
      </c>
      <c r="F29" s="13" t="n">
        <f aca="false">IF(MONTH($A29)=4,1,0)</f>
        <v>0</v>
      </c>
      <c r="G29" s="13" t="n">
        <f aca="false">IF(MONTH($A29)=5,1,0)</f>
        <v>1</v>
      </c>
      <c r="H29" s="13" t="n">
        <f aca="false">IF(MONTH($A29)=6,1,0)</f>
        <v>0</v>
      </c>
      <c r="I29" s="13" t="n">
        <f aca="false">IF(MONTH($A29)=7,1,0)</f>
        <v>0</v>
      </c>
      <c r="J29" s="13" t="n">
        <f aca="false">IF(MONTH($A29)=8,1,0)</f>
        <v>0</v>
      </c>
      <c r="K29" s="13" t="n">
        <f aca="false">IF(MONTH($A29)=9,1,0)</f>
        <v>0</v>
      </c>
      <c r="L29" s="13" t="n">
        <f aca="false">IF(MONTH($A29)=10,1,0)</f>
        <v>0</v>
      </c>
      <c r="M29" s="13" t="n">
        <f aca="false">IF(MONTH($A29)=11,1,0)</f>
        <v>0</v>
      </c>
      <c r="N29" s="13" t="n">
        <f aca="false">IF(MONTH($A29)=12,1,0)</f>
        <v>0</v>
      </c>
      <c r="O29" s="7" t="n">
        <f aca="false">$B$5+SUMPRODUCT(C29:N29,$C$5:$N$5)</f>
        <v>-0.919657459475032</v>
      </c>
      <c r="P29" s="7" t="n">
        <f aca="false">B29-O29</f>
        <v>-0.728327913901638</v>
      </c>
      <c r="Q29" s="7" t="n">
        <f aca="false">P29^2</f>
        <v>0.530461550168312</v>
      </c>
      <c r="R29" s="7" t="n">
        <f aca="false">(ROW()-ROW($A$7))/12</f>
        <v>1.83333333333333</v>
      </c>
      <c r="T29" s="9" t="s">
        <v>119</v>
      </c>
      <c r="U29" s="14" t="s">
        <v>91</v>
      </c>
      <c r="V29" s="14" t="s">
        <v>92</v>
      </c>
      <c r="X29" s="6" t="s">
        <v>74</v>
      </c>
      <c r="Y29" s="20" t="n">
        <f aca="false">CORREL($C$7:$C$34,$I$7:$I$34)</f>
        <v>-0.22310032643658</v>
      </c>
      <c r="Z29" s="20" t="n">
        <f aca="false">CORREL($D$7:$D$34,$I$7:$I$34)</f>
        <v>-0.0769230769230769</v>
      </c>
      <c r="AA29" s="20" t="n">
        <f aca="false">CORREL($E$7:$E$34,$I$7:$I$34)</f>
        <v>-0.0769230769230769</v>
      </c>
      <c r="AB29" s="20" t="n">
        <f aca="false">CORREL($F$7:$F$34,$I$7:$I$34)</f>
        <v>-0.0769230769230769</v>
      </c>
      <c r="AC29" s="20" t="n">
        <f aca="false">CORREL($G$7:$G$34,$I$7:$I$34)</f>
        <v>-0.0769230769230769</v>
      </c>
      <c r="AD29" s="20" t="n">
        <f aca="false">CORREL($H$7:$H$34,$I$7:$I$34)</f>
        <v>-0.0769230769230769</v>
      </c>
      <c r="AE29" s="20" t="n">
        <f aca="false">CORREL($I$7:$I$34,$I$7:$I$34)</f>
        <v>1</v>
      </c>
      <c r="AF29" s="20" t="n">
        <f aca="false">CORREL($J$7:$J$34,$I$7:$I$34)</f>
        <v>-0.0960768922830523</v>
      </c>
      <c r="AG29" s="20" t="n">
        <f aca="false">CORREL($K$7:$K$34,$I$7:$I$34)</f>
        <v>-0.0960768922830523</v>
      </c>
      <c r="AH29" s="20" t="n">
        <f aca="false">CORREL($L$7:$L$34,$I$7:$I$34)</f>
        <v>-0.0960768922830523</v>
      </c>
      <c r="AI29" s="20" t="n">
        <f aca="false">CORREL($M$7:$M$34,$I$7:$I$34)</f>
        <v>-0.0960768922830523</v>
      </c>
      <c r="AJ29" s="20" t="n">
        <f aca="false">CORREL($N$7:$N$34,$I$7:$I$34)</f>
        <v>-0.0769230769230769</v>
      </c>
    </row>
    <row r="30" customFormat="false" ht="15" hidden="false" customHeight="false" outlineLevel="0" collapsed="false">
      <c r="A30" s="11" t="n">
        <f aca="false">Data_Monthly!A31</f>
        <v>45107</v>
      </c>
      <c r="B30" s="12" t="n">
        <f aca="false">Data_Monthly!K31</f>
        <v>3.73550598626142</v>
      </c>
      <c r="C30" s="13" t="n">
        <f aca="false">IF($A30&gt;=$U$5,1,0)</f>
        <v>1</v>
      </c>
      <c r="D30" s="13" t="n">
        <f aca="false">IF(MONTH($A30)=2,1,0)</f>
        <v>0</v>
      </c>
      <c r="E30" s="13" t="n">
        <f aca="false">IF(MONTH($A30)=3,1,0)</f>
        <v>0</v>
      </c>
      <c r="F30" s="13" t="n">
        <f aca="false">IF(MONTH($A30)=4,1,0)</f>
        <v>0</v>
      </c>
      <c r="G30" s="13" t="n">
        <f aca="false">IF(MONTH($A30)=5,1,0)</f>
        <v>0</v>
      </c>
      <c r="H30" s="13" t="n">
        <f aca="false">IF(MONTH($A30)=6,1,0)</f>
        <v>1</v>
      </c>
      <c r="I30" s="13" t="n">
        <f aca="false">IF(MONTH($A30)=7,1,0)</f>
        <v>0</v>
      </c>
      <c r="J30" s="13" t="n">
        <f aca="false">IF(MONTH($A30)=8,1,0)</f>
        <v>0</v>
      </c>
      <c r="K30" s="13" t="n">
        <f aca="false">IF(MONTH($A30)=9,1,0)</f>
        <v>0</v>
      </c>
      <c r="L30" s="13" t="n">
        <f aca="false">IF(MONTH($A30)=10,1,0)</f>
        <v>0</v>
      </c>
      <c r="M30" s="13" t="n">
        <f aca="false">IF(MONTH($A30)=11,1,0)</f>
        <v>0</v>
      </c>
      <c r="N30" s="13" t="n">
        <f aca="false">IF(MONTH($A30)=12,1,0)</f>
        <v>0</v>
      </c>
      <c r="O30" s="7" t="n">
        <f aca="false">$B$5+SUMPRODUCT(C30:N30,$C$5:$N$5)</f>
        <v>1.36167262293799</v>
      </c>
      <c r="P30" s="7" t="n">
        <f aca="false">B30-O30</f>
        <v>2.37383336332343</v>
      </c>
      <c r="Q30" s="7" t="n">
        <f aca="false">P30^2</f>
        <v>5.63508483682742</v>
      </c>
      <c r="R30" s="7" t="n">
        <f aca="false">(ROW()-ROW($A$7))/12</f>
        <v>1.91666666666667</v>
      </c>
      <c r="T30" s="5" t="s">
        <v>120</v>
      </c>
      <c r="U30" s="7" t="n">
        <f aca="false">INDEX(LINEST(B7:B34,C7:N34,TRUE(),TRUE()),5,1)</f>
        <v>85.4865808204771</v>
      </c>
      <c r="V30" s="16" t="n">
        <v>85.4865808204771</v>
      </c>
      <c r="X30" s="6" t="s">
        <v>75</v>
      </c>
      <c r="Y30" s="20" t="n">
        <f aca="false">CORREL($C$7:$C$34,$J$7:$J$34)</f>
        <v>-0.0422200330920749</v>
      </c>
      <c r="Z30" s="20" t="n">
        <f aca="false">CORREL($D$7:$D$34,$J$7:$J$34)</f>
        <v>-0.0960768922830523</v>
      </c>
      <c r="AA30" s="20" t="n">
        <f aca="false">CORREL($E$7:$E$34,$J$7:$J$34)</f>
        <v>-0.0960768922830523</v>
      </c>
      <c r="AB30" s="20" t="n">
        <f aca="false">CORREL($F$7:$F$34,$J$7:$J$34)</f>
        <v>-0.0960768922830523</v>
      </c>
      <c r="AC30" s="20" t="n">
        <f aca="false">CORREL($G$7:$G$34,$J$7:$J$34)</f>
        <v>-0.0960768922830523</v>
      </c>
      <c r="AD30" s="20" t="n">
        <f aca="false">CORREL($H$7:$H$34,$J$7:$J$34)</f>
        <v>-0.0960768922830523</v>
      </c>
      <c r="AE30" s="20" t="n">
        <f aca="false">CORREL($I$7:$I$34,$J$7:$J$34)</f>
        <v>-0.0960768922830523</v>
      </c>
      <c r="AF30" s="20" t="n">
        <f aca="false">CORREL($J$7:$J$34,$J$7:$J$34)</f>
        <v>1</v>
      </c>
      <c r="AG30" s="20" t="n">
        <f aca="false">CORREL($K$7:$K$34,$J$7:$J$34)</f>
        <v>-0.12</v>
      </c>
      <c r="AH30" s="20" t="n">
        <f aca="false">CORREL($L$7:$L$34,$J$7:$J$34)</f>
        <v>-0.12</v>
      </c>
      <c r="AI30" s="20" t="n">
        <f aca="false">CORREL($M$7:$M$34,$J$7:$J$34)</f>
        <v>-0.12</v>
      </c>
      <c r="AJ30" s="20" t="n">
        <f aca="false">CORREL($N$7:$N$34,$J$7:$J$34)</f>
        <v>-0.0960768922830523</v>
      </c>
    </row>
    <row r="31" customFormat="false" ht="15" hidden="false" customHeight="false" outlineLevel="0" collapsed="false">
      <c r="A31" s="11" t="n">
        <f aca="false">Data_Monthly!A33</f>
        <v>45163</v>
      </c>
      <c r="B31" s="12" t="n">
        <f aca="false">Data_Monthly!K33</f>
        <v>0.237947240400515</v>
      </c>
      <c r="C31" s="13" t="n">
        <f aca="false">IF($A31&gt;=$U$5,1,0)</f>
        <v>1</v>
      </c>
      <c r="D31" s="13" t="n">
        <f aca="false">IF(MONTH($A31)=2,1,0)</f>
        <v>0</v>
      </c>
      <c r="E31" s="13" t="n">
        <f aca="false">IF(MONTH($A31)=3,1,0)</f>
        <v>0</v>
      </c>
      <c r="F31" s="13" t="n">
        <f aca="false">IF(MONTH($A31)=4,1,0)</f>
        <v>0</v>
      </c>
      <c r="G31" s="13" t="n">
        <f aca="false">IF(MONTH($A31)=5,1,0)</f>
        <v>0</v>
      </c>
      <c r="H31" s="13" t="n">
        <f aca="false">IF(MONTH($A31)=6,1,0)</f>
        <v>0</v>
      </c>
      <c r="I31" s="13" t="n">
        <f aca="false">IF(MONTH($A31)=7,1,0)</f>
        <v>0</v>
      </c>
      <c r="J31" s="13" t="n">
        <f aca="false">IF(MONTH($A31)=8,1,0)</f>
        <v>1</v>
      </c>
      <c r="K31" s="13" t="n">
        <f aca="false">IF(MONTH($A31)=9,1,0)</f>
        <v>0</v>
      </c>
      <c r="L31" s="13" t="n">
        <f aca="false">IF(MONTH($A31)=10,1,0)</f>
        <v>0</v>
      </c>
      <c r="M31" s="13" t="n">
        <f aca="false">IF(MONTH($A31)=11,1,0)</f>
        <v>0</v>
      </c>
      <c r="N31" s="13" t="n">
        <f aca="false">IF(MONTH($A31)=12,1,0)</f>
        <v>0</v>
      </c>
      <c r="O31" s="7" t="n">
        <f aca="false">$B$5+SUMPRODUCT(C31:N31,$C$5:$N$5)</f>
        <v>-0.772833412454347</v>
      </c>
      <c r="P31" s="7" t="n">
        <f aca="false">B31-O31</f>
        <v>1.01078065285486</v>
      </c>
      <c r="Q31" s="7" t="n">
        <f aca="false">P31^2</f>
        <v>1.0216775281857</v>
      </c>
      <c r="R31" s="7" t="n">
        <f aca="false">(ROW()-ROW($A$7))/12</f>
        <v>2</v>
      </c>
      <c r="T31" s="5" t="s">
        <v>113</v>
      </c>
      <c r="U31" s="7" t="n">
        <f aca="false">INDEX(LINEST(B7:B34,C7:N34,TRUE(),TRUE()),5,2)</f>
        <v>67.1147670937722</v>
      </c>
      <c r="V31" s="16" t="n">
        <v>67.1147670937722</v>
      </c>
      <c r="X31" s="6" t="s">
        <v>76</v>
      </c>
      <c r="Y31" s="20" t="n">
        <f aca="false">CORREL($C$7:$C$34,$K$7:$K$34)</f>
        <v>-0.0422200330920749</v>
      </c>
      <c r="Z31" s="20" t="n">
        <f aca="false">CORREL($D$7:$D$34,$K$7:$K$34)</f>
        <v>-0.0960768922830523</v>
      </c>
      <c r="AA31" s="20" t="n">
        <f aca="false">CORREL($E$7:$E$34,$K$7:$K$34)</f>
        <v>-0.0960768922830523</v>
      </c>
      <c r="AB31" s="20" t="n">
        <f aca="false">CORREL($F$7:$F$34,$K$7:$K$34)</f>
        <v>-0.0960768922830523</v>
      </c>
      <c r="AC31" s="20" t="n">
        <f aca="false">CORREL($G$7:$G$34,$K$7:$K$34)</f>
        <v>-0.0960768922830523</v>
      </c>
      <c r="AD31" s="20" t="n">
        <f aca="false">CORREL($H$7:$H$34,$K$7:$K$34)</f>
        <v>-0.0960768922830523</v>
      </c>
      <c r="AE31" s="20" t="n">
        <f aca="false">CORREL($I$7:$I$34,$K$7:$K$34)</f>
        <v>-0.0960768922830523</v>
      </c>
      <c r="AF31" s="20" t="n">
        <f aca="false">CORREL($J$7:$J$34,$K$7:$K$34)</f>
        <v>-0.12</v>
      </c>
      <c r="AG31" s="20" t="n">
        <f aca="false">CORREL($K$7:$K$34,$K$7:$K$34)</f>
        <v>1</v>
      </c>
      <c r="AH31" s="20" t="n">
        <f aca="false">CORREL($L$7:$L$34,$K$7:$K$34)</f>
        <v>-0.12</v>
      </c>
      <c r="AI31" s="20" t="n">
        <f aca="false">CORREL($M$7:$M$34,$K$7:$K$34)</f>
        <v>-0.12</v>
      </c>
      <c r="AJ31" s="20" t="n">
        <f aca="false">CORREL($N$7:$N$34,$K$7:$K$34)</f>
        <v>-0.0960768922830523</v>
      </c>
    </row>
    <row r="32" customFormat="false" ht="15" hidden="false" customHeight="false" outlineLevel="0" collapsed="false">
      <c r="A32" s="11" t="n">
        <f aca="false">Data_Monthly!A34</f>
        <v>45191</v>
      </c>
      <c r="B32" s="12" t="n">
        <f aca="false">Data_Monthly!K34</f>
        <v>1.98240592888723</v>
      </c>
      <c r="C32" s="13" t="n">
        <f aca="false">IF($A32&gt;=$U$5,1,0)</f>
        <v>1</v>
      </c>
      <c r="D32" s="13" t="n">
        <f aca="false">IF(MONTH($A32)=2,1,0)</f>
        <v>0</v>
      </c>
      <c r="E32" s="13" t="n">
        <f aca="false">IF(MONTH($A32)=3,1,0)</f>
        <v>0</v>
      </c>
      <c r="F32" s="13" t="n">
        <f aca="false">IF(MONTH($A32)=4,1,0)</f>
        <v>0</v>
      </c>
      <c r="G32" s="13" t="n">
        <f aca="false">IF(MONTH($A32)=5,1,0)</f>
        <v>0</v>
      </c>
      <c r="H32" s="13" t="n">
        <f aca="false">IF(MONTH($A32)=6,1,0)</f>
        <v>0</v>
      </c>
      <c r="I32" s="13" t="n">
        <f aca="false">IF(MONTH($A32)=7,1,0)</f>
        <v>0</v>
      </c>
      <c r="J32" s="13" t="n">
        <f aca="false">IF(MONTH($A32)=8,1,0)</f>
        <v>0</v>
      </c>
      <c r="K32" s="13" t="n">
        <f aca="false">IF(MONTH($A32)=9,1,0)</f>
        <v>1</v>
      </c>
      <c r="L32" s="13" t="n">
        <f aca="false">IF(MONTH($A32)=10,1,0)</f>
        <v>0</v>
      </c>
      <c r="M32" s="13" t="n">
        <f aca="false">IF(MONTH($A32)=11,1,0)</f>
        <v>0</v>
      </c>
      <c r="N32" s="13" t="n">
        <f aca="false">IF(MONTH($A32)=12,1,0)</f>
        <v>0</v>
      </c>
      <c r="O32" s="7" t="n">
        <f aca="false">$B$5+SUMPRODUCT(C32:N32,$C$5:$N$5)</f>
        <v>0.876837858884061</v>
      </c>
      <c r="P32" s="7" t="n">
        <f aca="false">B32-O32</f>
        <v>1.10556807000317</v>
      </c>
      <c r="Q32" s="7" t="n">
        <f aca="false">P32^2</f>
        <v>1.22228075741054</v>
      </c>
      <c r="R32" s="7" t="n">
        <f aca="false">(ROW()-ROW($A$7))/12</f>
        <v>2.08333333333333</v>
      </c>
      <c r="T32" s="5" t="s">
        <v>121</v>
      </c>
      <c r="U32" s="13" t="n">
        <f aca="false">COLUMNS(C7:N34)</f>
        <v>12</v>
      </c>
      <c r="V32" s="15" t="n">
        <v>12</v>
      </c>
      <c r="X32" s="6" t="s">
        <v>77</v>
      </c>
      <c r="Y32" s="20" t="n">
        <f aca="false">CORREL($C$7:$C$34,$L$7:$L$34)</f>
        <v>-0.0422200330920749</v>
      </c>
      <c r="Z32" s="20" t="n">
        <f aca="false">CORREL($D$7:$D$34,$L$7:$L$34)</f>
        <v>-0.0960768922830523</v>
      </c>
      <c r="AA32" s="20" t="n">
        <f aca="false">CORREL($E$7:$E$34,$L$7:$L$34)</f>
        <v>-0.0960768922830523</v>
      </c>
      <c r="AB32" s="20" t="n">
        <f aca="false">CORREL($F$7:$F$34,$L$7:$L$34)</f>
        <v>-0.0960768922830523</v>
      </c>
      <c r="AC32" s="20" t="n">
        <f aca="false">CORREL($G$7:$G$34,$L$7:$L$34)</f>
        <v>-0.0960768922830523</v>
      </c>
      <c r="AD32" s="20" t="n">
        <f aca="false">CORREL($H$7:$H$34,$L$7:$L$34)</f>
        <v>-0.0960768922830523</v>
      </c>
      <c r="AE32" s="20" t="n">
        <f aca="false">CORREL($I$7:$I$34,$L$7:$L$34)</f>
        <v>-0.0960768922830523</v>
      </c>
      <c r="AF32" s="20" t="n">
        <f aca="false">CORREL($J$7:$J$34,$L$7:$L$34)</f>
        <v>-0.12</v>
      </c>
      <c r="AG32" s="20" t="n">
        <f aca="false">CORREL($K$7:$K$34,$L$7:$L$34)</f>
        <v>-0.12</v>
      </c>
      <c r="AH32" s="20" t="n">
        <f aca="false">CORREL($L$7:$L$34,$L$7:$L$34)</f>
        <v>1</v>
      </c>
      <c r="AI32" s="20" t="n">
        <f aca="false">CORREL($M$7:$M$34,$L$7:$L$34)</f>
        <v>-0.12</v>
      </c>
      <c r="AJ32" s="20" t="n">
        <f aca="false">CORREL($N$7:$N$34,$L$7:$L$34)</f>
        <v>-0.0960768922830523</v>
      </c>
    </row>
    <row r="33" customFormat="false" ht="15" hidden="false" customHeight="false" outlineLevel="0" collapsed="false">
      <c r="A33" s="11" t="n">
        <f aca="false">Data_Monthly!A35</f>
        <v>45219</v>
      </c>
      <c r="B33" s="12" t="n">
        <f aca="false">Data_Monthly!K35</f>
        <v>0.288751427967959</v>
      </c>
      <c r="C33" s="13" t="n">
        <f aca="false">IF($A33&gt;=$U$5,1,0)</f>
        <v>1</v>
      </c>
      <c r="D33" s="13" t="n">
        <f aca="false">IF(MONTH($A33)=2,1,0)</f>
        <v>0</v>
      </c>
      <c r="E33" s="13" t="n">
        <f aca="false">IF(MONTH($A33)=3,1,0)</f>
        <v>0</v>
      </c>
      <c r="F33" s="13" t="n">
        <f aca="false">IF(MONTH($A33)=4,1,0)</f>
        <v>0</v>
      </c>
      <c r="G33" s="13" t="n">
        <f aca="false">IF(MONTH($A33)=5,1,0)</f>
        <v>0</v>
      </c>
      <c r="H33" s="13" t="n">
        <f aca="false">IF(MONTH($A33)=6,1,0)</f>
        <v>0</v>
      </c>
      <c r="I33" s="13" t="n">
        <f aca="false">IF(MONTH($A33)=7,1,0)</f>
        <v>0</v>
      </c>
      <c r="J33" s="13" t="n">
        <f aca="false">IF(MONTH($A33)=8,1,0)</f>
        <v>0</v>
      </c>
      <c r="K33" s="13" t="n">
        <f aca="false">IF(MONTH($A33)=9,1,0)</f>
        <v>0</v>
      </c>
      <c r="L33" s="13" t="n">
        <f aca="false">IF(MONTH($A33)=10,1,0)</f>
        <v>1</v>
      </c>
      <c r="M33" s="13" t="n">
        <f aca="false">IF(MONTH($A33)=11,1,0)</f>
        <v>0</v>
      </c>
      <c r="N33" s="13" t="n">
        <f aca="false">IF(MONTH($A33)=12,1,0)</f>
        <v>0</v>
      </c>
      <c r="O33" s="7" t="n">
        <f aca="false">$B$5+SUMPRODUCT(C33:N33,$C$5:$N$5)</f>
        <v>3.09612871881595</v>
      </c>
      <c r="P33" s="7" t="n">
        <f aca="false">B33-O33</f>
        <v>-2.80737729084799</v>
      </c>
      <c r="Q33" s="7" t="n">
        <f aca="false">P33^2</f>
        <v>7.881367253169</v>
      </c>
      <c r="R33" s="7" t="n">
        <f aca="false">(ROW()-ROW($A$7))/12</f>
        <v>2.16666666666667</v>
      </c>
      <c r="T33" s="5" t="s">
        <v>111</v>
      </c>
      <c r="U33" s="13" t="n">
        <f aca="false">$U$25</f>
        <v>15</v>
      </c>
      <c r="V33" s="15" t="n">
        <v>15</v>
      </c>
      <c r="X33" s="6" t="s">
        <v>78</v>
      </c>
      <c r="Y33" s="20" t="n">
        <f aca="false">CORREL($C$7:$C$34,$M$7:$M$34)</f>
        <v>-0.0422200330920749</v>
      </c>
      <c r="Z33" s="20" t="n">
        <f aca="false">CORREL($D$7:$D$34,$M$7:$M$34)</f>
        <v>-0.0960768922830523</v>
      </c>
      <c r="AA33" s="20" t="n">
        <f aca="false">CORREL($E$7:$E$34,$M$7:$M$34)</f>
        <v>-0.0960768922830523</v>
      </c>
      <c r="AB33" s="20" t="n">
        <f aca="false">CORREL($F$7:$F$34,$M$7:$M$34)</f>
        <v>-0.0960768922830523</v>
      </c>
      <c r="AC33" s="20" t="n">
        <f aca="false">CORREL($G$7:$G$34,$M$7:$M$34)</f>
        <v>-0.0960768922830523</v>
      </c>
      <c r="AD33" s="20" t="n">
        <f aca="false">CORREL($H$7:$H$34,$M$7:$M$34)</f>
        <v>-0.0960768922830523</v>
      </c>
      <c r="AE33" s="20" t="n">
        <f aca="false">CORREL($I$7:$I$34,$M$7:$M$34)</f>
        <v>-0.0960768922830523</v>
      </c>
      <c r="AF33" s="20" t="n">
        <f aca="false">CORREL($J$7:$J$34,$M$7:$M$34)</f>
        <v>-0.12</v>
      </c>
      <c r="AG33" s="20" t="n">
        <f aca="false">CORREL($K$7:$K$34,$M$7:$M$34)</f>
        <v>-0.12</v>
      </c>
      <c r="AH33" s="20" t="n">
        <f aca="false">CORREL($L$7:$L$34,$M$7:$M$34)</f>
        <v>-0.12</v>
      </c>
      <c r="AI33" s="20" t="n">
        <f aca="false">CORREL($M$7:$M$34,$M$7:$M$34)</f>
        <v>1</v>
      </c>
      <c r="AJ33" s="20" t="n">
        <f aca="false">CORREL($N$7:$N$34,$M$7:$M$34)</f>
        <v>-0.0960768922830523</v>
      </c>
    </row>
    <row r="34" customFormat="false" ht="15" hidden="false" customHeight="false" outlineLevel="0" collapsed="false">
      <c r="A34" s="11" t="n">
        <f aca="false">Data_Monthly!A36</f>
        <v>45247</v>
      </c>
      <c r="B34" s="12" t="n">
        <f aca="false">Data_Monthly!K36</f>
        <v>1.78720833549466</v>
      </c>
      <c r="C34" s="13" t="n">
        <f aca="false">IF($A34&gt;=$U$5,1,0)</f>
        <v>1</v>
      </c>
      <c r="D34" s="13" t="n">
        <f aca="false">IF(MONTH($A34)=2,1,0)</f>
        <v>0</v>
      </c>
      <c r="E34" s="13" t="n">
        <f aca="false">IF(MONTH($A34)=3,1,0)</f>
        <v>0</v>
      </c>
      <c r="F34" s="13" t="n">
        <f aca="false">IF(MONTH($A34)=4,1,0)</f>
        <v>0</v>
      </c>
      <c r="G34" s="13" t="n">
        <f aca="false">IF(MONTH($A34)=5,1,0)</f>
        <v>0</v>
      </c>
      <c r="H34" s="13" t="n">
        <f aca="false">IF(MONTH($A34)=6,1,0)</f>
        <v>0</v>
      </c>
      <c r="I34" s="13" t="n">
        <f aca="false">IF(MONTH($A34)=7,1,0)</f>
        <v>0</v>
      </c>
      <c r="J34" s="13" t="n">
        <f aca="false">IF(MONTH($A34)=8,1,0)</f>
        <v>0</v>
      </c>
      <c r="K34" s="13" t="n">
        <f aca="false">IF(MONTH($A34)=9,1,0)</f>
        <v>0</v>
      </c>
      <c r="L34" s="13" t="n">
        <f aca="false">IF(MONTH($A34)=10,1,0)</f>
        <v>0</v>
      </c>
      <c r="M34" s="13" t="n">
        <f aca="false">IF(MONTH($A34)=11,1,0)</f>
        <v>1</v>
      </c>
      <c r="N34" s="13" t="n">
        <f aca="false">IF(MONTH($A34)=12,1,0)</f>
        <v>0</v>
      </c>
      <c r="O34" s="7" t="n">
        <f aca="false">$B$5+SUMPRODUCT(C34:N34,$C$5:$N$5)</f>
        <v>1.94267588114081</v>
      </c>
      <c r="P34" s="7" t="n">
        <f aca="false">B34-O34</f>
        <v>-0.155467545646149</v>
      </c>
      <c r="Q34" s="7" t="n">
        <f aca="false">P34^2</f>
        <v>0.0241701577492375</v>
      </c>
      <c r="R34" s="7" t="n">
        <f aca="false">(ROW()-ROW($A$7))/12</f>
        <v>2.25</v>
      </c>
      <c r="T34" s="5" t="s">
        <v>122</v>
      </c>
      <c r="U34" s="7" t="n">
        <f aca="false">$U$30/$U$32</f>
        <v>7.12388173503976</v>
      </c>
      <c r="X34" s="6" t="s">
        <v>79</v>
      </c>
      <c r="Y34" s="20" t="n">
        <f aca="false">CORREL($C$7:$C$34,$N$7:$N$34)</f>
        <v>0.0608455435736128</v>
      </c>
      <c r="Z34" s="20" t="n">
        <f aca="false">CORREL($D$7:$D$34,$N$7:$N$34)</f>
        <v>-0.0769230769230769</v>
      </c>
      <c r="AA34" s="20" t="n">
        <f aca="false">CORREL($E$7:$E$34,$N$7:$N$34)</f>
        <v>-0.0769230769230769</v>
      </c>
      <c r="AB34" s="20" t="n">
        <f aca="false">CORREL($F$7:$F$34,$N$7:$N$34)</f>
        <v>-0.0769230769230769</v>
      </c>
      <c r="AC34" s="20" t="n">
        <f aca="false">CORREL($G$7:$G$34,$N$7:$N$34)</f>
        <v>-0.0769230769230769</v>
      </c>
      <c r="AD34" s="20" t="n">
        <f aca="false">CORREL($H$7:$H$34,$N$7:$N$34)</f>
        <v>-0.0769230769230769</v>
      </c>
      <c r="AE34" s="20" t="n">
        <f aca="false">CORREL($I$7:$I$34,$N$7:$N$34)</f>
        <v>-0.0769230769230769</v>
      </c>
      <c r="AF34" s="20" t="n">
        <f aca="false">CORREL($J$7:$J$34,$N$7:$N$34)</f>
        <v>-0.0960768922830523</v>
      </c>
      <c r="AG34" s="20" t="n">
        <f aca="false">CORREL($K$7:$K$34,$N$7:$N$34)</f>
        <v>-0.0960768922830523</v>
      </c>
      <c r="AH34" s="20" t="n">
        <f aca="false">CORREL($L$7:$L$34,$N$7:$N$34)</f>
        <v>-0.0960768922830523</v>
      </c>
      <c r="AI34" s="20" t="n">
        <f aca="false">CORREL($M$7:$M$34,$N$7:$N$34)</f>
        <v>-0.0960768922830523</v>
      </c>
      <c r="AJ34" s="20" t="n">
        <f aca="false">CORREL($N$7:$N$34,$N$7:$N$34)</f>
        <v>1</v>
      </c>
    </row>
    <row r="35" customFormat="false" ht="15" hidden="false" customHeight="false" outlineLevel="0" collapsed="false">
      <c r="T35" s="5" t="s">
        <v>123</v>
      </c>
      <c r="U35" s="7" t="n">
        <f aca="false">$U$31/$U$33</f>
        <v>4.47431780625148</v>
      </c>
    </row>
    <row r="36" customFormat="false" ht="15" hidden="false" customHeight="false" outlineLevel="0" collapsed="false">
      <c r="T36" s="5" t="s">
        <v>124</v>
      </c>
      <c r="U36" s="7" t="n">
        <f aca="false">INDEX(LINEST(B7:B34,C7:N34,TRUE(),TRUE()),4,1)</f>
        <v>1.59217159878235</v>
      </c>
      <c r="V36" s="16" t="n">
        <v>1.59217159878235</v>
      </c>
    </row>
    <row r="37" customFormat="false" ht="15" hidden="false" customHeight="false" outlineLevel="0" collapsed="false">
      <c r="T37" s="5" t="s">
        <v>125</v>
      </c>
      <c r="U37" s="7" t="n">
        <f aca="false">_xlfn.F.DIST.RT($U$36,$U$32,$U$33)</f>
        <v>0.195595499368423</v>
      </c>
      <c r="V37" s="16" t="n">
        <v>0.195595499368423</v>
      </c>
    </row>
    <row r="39" customFormat="false" ht="15" hidden="false" customHeight="false" outlineLevel="0" collapsed="false">
      <c r="T39" s="9" t="s">
        <v>126</v>
      </c>
      <c r="U39" s="14" t="s">
        <v>91</v>
      </c>
      <c r="V39" s="14" t="s">
        <v>92</v>
      </c>
    </row>
    <row r="40" customFormat="false" ht="15" hidden="false" customHeight="false" outlineLevel="0" collapsed="false">
      <c r="T40" s="5" t="s">
        <v>109</v>
      </c>
      <c r="U40" s="7" t="n">
        <f aca="false">Y7</f>
        <v>0.147470167252518</v>
      </c>
      <c r="V40" s="16" t="n">
        <v>0.147470167252517</v>
      </c>
    </row>
    <row r="41" customFormat="false" ht="15" hidden="false" customHeight="false" outlineLevel="0" collapsed="false">
      <c r="T41" s="5" t="s">
        <v>110</v>
      </c>
      <c r="U41" s="7" t="n">
        <f aca="false">Z7</f>
        <v>0.851801062257146</v>
      </c>
      <c r="V41" s="16" t="n">
        <v>0.851801062257146</v>
      </c>
    </row>
    <row r="42" customFormat="false" ht="15" hidden="false" customHeight="false" outlineLevel="0" collapsed="false">
      <c r="T42" s="5" t="s">
        <v>102</v>
      </c>
      <c r="U42" s="7" t="n">
        <f aca="false">AA7</f>
        <v>0.17312747516626</v>
      </c>
      <c r="V42" s="16" t="n">
        <v>0.173127475166259</v>
      </c>
    </row>
    <row r="43" customFormat="false" ht="15" hidden="false" customHeight="false" outlineLevel="0" collapsed="false">
      <c r="T43" s="5" t="s">
        <v>88</v>
      </c>
      <c r="U43" s="7" t="n">
        <f aca="false">AB7</f>
        <v>0.864865794724498</v>
      </c>
      <c r="V43" s="16" t="n">
        <v>0.864865794724496</v>
      </c>
    </row>
    <row r="46" customFormat="false" ht="15" hidden="false" customHeight="false" outlineLevel="0" collapsed="false">
      <c r="T46" s="9" t="s">
        <v>158</v>
      </c>
      <c r="U46" s="14" t="s">
        <v>91</v>
      </c>
      <c r="V46" s="14" t="s">
        <v>92</v>
      </c>
    </row>
    <row r="47" customFormat="false" ht="15" hidden="false" customHeight="false" outlineLevel="0" collapsed="false">
      <c r="T47" s="5" t="s">
        <v>159</v>
      </c>
      <c r="U47" s="7" t="n">
        <f aca="false">INDEX(LINEST(B7:B34,R7:R34,TRUE(),TRUE()),1,1)</f>
        <v>0.223566001009592</v>
      </c>
      <c r="V47" s="16" t="n">
        <v>0.223566001009592</v>
      </c>
    </row>
    <row r="48" customFormat="false" ht="15" hidden="false" customHeight="false" outlineLevel="0" collapsed="false">
      <c r="T48" s="5" t="s">
        <v>110</v>
      </c>
      <c r="U48" s="7" t="n">
        <f aca="false">INDEX(LINEST(B7:B34,R7:R34,TRUE(),TRUE()),2,1)</f>
        <v>0.678734985373975</v>
      </c>
      <c r="V48" s="16" t="n">
        <v>0.678734985373976</v>
      </c>
    </row>
    <row r="49" customFormat="false" ht="15" hidden="false" customHeight="false" outlineLevel="0" collapsed="false">
      <c r="T49" s="5" t="s">
        <v>102</v>
      </c>
      <c r="U49" s="7" t="n">
        <f aca="false">$U$47/$U$48</f>
        <v>0.329386293365163</v>
      </c>
    </row>
    <row r="50" customFormat="false" ht="15" hidden="false" customHeight="false" outlineLevel="0" collapsed="false">
      <c r="T50" s="5" t="s">
        <v>88</v>
      </c>
      <c r="U50" s="7" t="n">
        <f aca="false">_xlfn.T.DIST.2T(ABS($U$49),INDEX(LINEST(B7:B34,R7:R34,TRUE(),TRUE()),4,2))</f>
        <v>0.744502583554776</v>
      </c>
      <c r="V50" s="16" t="n">
        <v>0.744502583554776</v>
      </c>
    </row>
    <row r="51" customFormat="false" ht="15" hidden="false" customHeight="false" outlineLevel="0" collapsed="false">
      <c r="T51" s="5" t="s">
        <v>115</v>
      </c>
      <c r="U51" s="13" t="n">
        <f aca="false">COUNT(B7:B34)</f>
        <v>28</v>
      </c>
      <c r="V51" s="15" t="n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6"/>
    <col collapsed="false" customWidth="true" hidden="false" outlineLevel="0" max="14" min="4" style="0" width="5"/>
    <col collapsed="false" customWidth="true" hidden="false" outlineLevel="0" max="16" min="15" style="0" width="8"/>
    <col collapsed="false" customWidth="true" hidden="false" outlineLevel="0" max="18" min="17" style="0" width="9"/>
    <col collapsed="false" customWidth="true" hidden="false" outlineLevel="0" max="19" min="19" style="0" width="2"/>
    <col collapsed="false" customWidth="true" hidden="false" outlineLevel="0" max="20" min="20" style="0" width="50"/>
    <col collapsed="false" customWidth="true" hidden="false" outlineLevel="0" max="22" min="21" style="0" width="13"/>
    <col collapsed="false" customWidth="true" hidden="false" outlineLevel="0" max="23" min="23" style="0" width="2"/>
    <col collapsed="false" customWidth="true" hidden="false" outlineLevel="0" max="24" min="24" style="0" width="10"/>
    <col collapsed="false" customWidth="true" hidden="false" outlineLevel="0" max="36" min="25" style="0" width="8"/>
  </cols>
  <sheetData>
    <row r="1" customFormat="false" ht="15" hidden="false" customHeight="false" outlineLevel="0" collapsed="false">
      <c r="A1" s="1" t="s">
        <v>163</v>
      </c>
    </row>
    <row r="2" customFormat="false" ht="15" hidden="false" customHeight="false" outlineLevel="0" collapsed="false">
      <c r="A2" s="2" t="s">
        <v>164</v>
      </c>
    </row>
    <row r="4" customFormat="false" ht="15" hidden="false" customHeight="false" outlineLevel="0" collapsed="false">
      <c r="A4" s="1" t="s">
        <v>165</v>
      </c>
      <c r="T4" s="6" t="s">
        <v>62</v>
      </c>
    </row>
    <row r="5" customFormat="false" ht="15" hidden="false" customHeight="false" outlineLevel="0" collapsed="false">
      <c r="T5" s="5" t="s">
        <v>64</v>
      </c>
      <c r="U5" s="8" t="n">
        <v>45777</v>
      </c>
    </row>
    <row r="6" customFormat="false" ht="30" hidden="false" customHeight="true" outlineLevel="0" collapsed="false">
      <c r="A6" s="3" t="s">
        <v>66</v>
      </c>
      <c r="B6" s="3" t="s">
        <v>67</v>
      </c>
      <c r="C6" s="3" t="s">
        <v>68</v>
      </c>
      <c r="D6" s="3" t="s">
        <v>69</v>
      </c>
      <c r="E6" s="3" t="s">
        <v>70</v>
      </c>
      <c r="F6" s="3" t="s">
        <v>71</v>
      </c>
      <c r="G6" s="3" t="s">
        <v>72</v>
      </c>
      <c r="H6" s="3" t="s">
        <v>73</v>
      </c>
      <c r="I6" s="3" t="s">
        <v>74</v>
      </c>
      <c r="J6" s="3" t="s">
        <v>75</v>
      </c>
      <c r="K6" s="3" t="s">
        <v>76</v>
      </c>
      <c r="L6" s="3" t="s">
        <v>77</v>
      </c>
      <c r="M6" s="3" t="s">
        <v>78</v>
      </c>
      <c r="N6" s="3" t="s">
        <v>79</v>
      </c>
      <c r="T6" s="2" t="s">
        <v>166</v>
      </c>
    </row>
    <row r="7" customFormat="false" ht="15" hidden="false" customHeight="false" outlineLevel="0" collapsed="false">
      <c r="A7" s="11" t="n">
        <f aca="false">Data_Monthly!A37</f>
        <v>45289</v>
      </c>
      <c r="B7" s="12" t="n">
        <f aca="false">Data_Monthly!K37</f>
        <v>1.91895980210042</v>
      </c>
      <c r="C7" s="13" t="n">
        <f aca="false">IF($A7&gt;=$U$5,1,0)</f>
        <v>0</v>
      </c>
      <c r="D7" s="13" t="n">
        <f aca="false">IF(MONTH($A7)=2,1,0)</f>
        <v>0</v>
      </c>
      <c r="E7" s="13" t="n">
        <f aca="false">IF(MONTH($A7)=3,1,0)</f>
        <v>0</v>
      </c>
      <c r="F7" s="13" t="n">
        <f aca="false">IF(MONTH($A7)=4,1,0)</f>
        <v>0</v>
      </c>
      <c r="G7" s="13" t="n">
        <f aca="false">IF(MONTH($A7)=5,1,0)</f>
        <v>0</v>
      </c>
      <c r="H7" s="13" t="n">
        <f aca="false">IF(MONTH($A7)=6,1,0)</f>
        <v>0</v>
      </c>
      <c r="I7" s="13" t="n">
        <f aca="false">IF(MONTH($A7)=7,1,0)</f>
        <v>0</v>
      </c>
      <c r="J7" s="13" t="n">
        <f aca="false">IF(MONTH($A7)=8,1,0)</f>
        <v>0</v>
      </c>
      <c r="K7" s="13" t="n">
        <f aca="false">IF(MONTH($A7)=9,1,0)</f>
        <v>0</v>
      </c>
      <c r="L7" s="13" t="n">
        <f aca="false">IF(MONTH($A7)=10,1,0)</f>
        <v>0</v>
      </c>
      <c r="M7" s="13" t="n">
        <f aca="false">IF(MONTH($A7)=11,1,0)</f>
        <v>0</v>
      </c>
      <c r="N7" s="13" t="n">
        <f aca="false">IF(MONTH($A7)=12,1,0)</f>
        <v>1</v>
      </c>
      <c r="T7" s="9" t="s">
        <v>90</v>
      </c>
      <c r="U7" s="14" t="s">
        <v>91</v>
      </c>
      <c r="V7" s="14" t="s">
        <v>92</v>
      </c>
    </row>
    <row r="8" customFormat="false" ht="15" hidden="false" customHeight="false" outlineLevel="0" collapsed="false">
      <c r="A8" s="11" t="n">
        <f aca="false">Data_Monthly!A38</f>
        <v>45317</v>
      </c>
      <c r="B8" s="12" t="n">
        <f aca="false">Data_Monthly!K38</f>
        <v>-3.51924131257313</v>
      </c>
      <c r="C8" s="13" t="n">
        <f aca="false">IF($A8&gt;=$U$5,1,0)</f>
        <v>0</v>
      </c>
      <c r="D8" s="13" t="n">
        <f aca="false">IF(MONTH($A8)=2,1,0)</f>
        <v>0</v>
      </c>
      <c r="E8" s="13" t="n">
        <f aca="false">IF(MONTH($A8)=3,1,0)</f>
        <v>0</v>
      </c>
      <c r="F8" s="13" t="n">
        <f aca="false">IF(MONTH($A8)=4,1,0)</f>
        <v>0</v>
      </c>
      <c r="G8" s="13" t="n">
        <f aca="false">IF(MONTH($A8)=5,1,0)</f>
        <v>0</v>
      </c>
      <c r="H8" s="13" t="n">
        <f aca="false">IF(MONTH($A8)=6,1,0)</f>
        <v>0</v>
      </c>
      <c r="I8" s="13" t="n">
        <f aca="false">IF(MONTH($A8)=7,1,0)</f>
        <v>0</v>
      </c>
      <c r="J8" s="13" t="n">
        <f aca="false">IF(MONTH($A8)=8,1,0)</f>
        <v>0</v>
      </c>
      <c r="K8" s="13" t="n">
        <f aca="false">IF(MONTH($A8)=9,1,0)</f>
        <v>0</v>
      </c>
      <c r="L8" s="13" t="n">
        <f aca="false">IF(MONTH($A8)=10,1,0)</f>
        <v>0</v>
      </c>
      <c r="M8" s="13" t="n">
        <f aca="false">IF(MONTH($A8)=11,1,0)</f>
        <v>0</v>
      </c>
      <c r="N8" s="13" t="n">
        <f aca="false">IF(MONTH($A8)=12,1,0)</f>
        <v>0</v>
      </c>
      <c r="T8" s="5" t="s">
        <v>93</v>
      </c>
      <c r="U8" s="13" t="n">
        <f aca="false">COUNT(B7:B23)</f>
        <v>17</v>
      </c>
      <c r="V8" s="15" t="n">
        <v>17</v>
      </c>
    </row>
    <row r="9" customFormat="false" ht="15" hidden="false" customHeight="false" outlineLevel="0" collapsed="false">
      <c r="A9" s="11" t="n">
        <f aca="false">Data_Monthly!A39</f>
        <v>45345</v>
      </c>
      <c r="B9" s="12" t="n">
        <f aca="false">Data_Monthly!K39</f>
        <v>-0.910248539768332</v>
      </c>
      <c r="C9" s="13" t="n">
        <f aca="false">IF($A9&gt;=$U$5,1,0)</f>
        <v>0</v>
      </c>
      <c r="D9" s="13" t="n">
        <f aca="false">IF(MONTH($A9)=2,1,0)</f>
        <v>1</v>
      </c>
      <c r="E9" s="13" t="n">
        <f aca="false">IF(MONTH($A9)=3,1,0)</f>
        <v>0</v>
      </c>
      <c r="F9" s="13" t="n">
        <f aca="false">IF(MONTH($A9)=4,1,0)</f>
        <v>0</v>
      </c>
      <c r="G9" s="13" t="n">
        <f aca="false">IF(MONTH($A9)=5,1,0)</f>
        <v>0</v>
      </c>
      <c r="H9" s="13" t="n">
        <f aca="false">IF(MONTH($A9)=6,1,0)</f>
        <v>0</v>
      </c>
      <c r="I9" s="13" t="n">
        <f aca="false">IF(MONTH($A9)=7,1,0)</f>
        <v>0</v>
      </c>
      <c r="J9" s="13" t="n">
        <f aca="false">IF(MONTH($A9)=8,1,0)</f>
        <v>0</v>
      </c>
      <c r="K9" s="13" t="n">
        <f aca="false">IF(MONTH($A9)=9,1,0)</f>
        <v>0</v>
      </c>
      <c r="L9" s="13" t="n">
        <f aca="false">IF(MONTH($A9)=10,1,0)</f>
        <v>0</v>
      </c>
      <c r="M9" s="13" t="n">
        <f aca="false">IF(MONTH($A9)=11,1,0)</f>
        <v>0</v>
      </c>
      <c r="N9" s="13" t="n">
        <f aca="false">IF(MONTH($A9)=12,1,0)</f>
        <v>0</v>
      </c>
      <c r="T9" s="5" t="s">
        <v>94</v>
      </c>
      <c r="U9" s="13" t="n">
        <f aca="false">COUNT(B24:B38)</f>
        <v>15</v>
      </c>
      <c r="V9" s="15" t="n">
        <v>15</v>
      </c>
    </row>
    <row r="10" customFormat="false" ht="15" hidden="false" customHeight="false" outlineLevel="0" collapsed="false">
      <c r="A10" s="11" t="n">
        <f aca="false">Data_Monthly!A40</f>
        <v>45373</v>
      </c>
      <c r="B10" s="12" t="n">
        <f aca="false">Data_Monthly!K40</f>
        <v>1.57067605077241</v>
      </c>
      <c r="C10" s="13" t="n">
        <f aca="false">IF($A10&gt;=$U$5,1,0)</f>
        <v>0</v>
      </c>
      <c r="D10" s="13" t="n">
        <f aca="false">IF(MONTH($A10)=2,1,0)</f>
        <v>0</v>
      </c>
      <c r="E10" s="13" t="n">
        <f aca="false">IF(MONTH($A10)=3,1,0)</f>
        <v>1</v>
      </c>
      <c r="F10" s="13" t="n">
        <f aca="false">IF(MONTH($A10)=4,1,0)</f>
        <v>0</v>
      </c>
      <c r="G10" s="13" t="n">
        <f aca="false">IF(MONTH($A10)=5,1,0)</f>
        <v>0</v>
      </c>
      <c r="H10" s="13" t="n">
        <f aca="false">IF(MONTH($A10)=6,1,0)</f>
        <v>0</v>
      </c>
      <c r="I10" s="13" t="n">
        <f aca="false">IF(MONTH($A10)=7,1,0)</f>
        <v>0</v>
      </c>
      <c r="J10" s="13" t="n">
        <f aca="false">IF(MONTH($A10)=8,1,0)</f>
        <v>0</v>
      </c>
      <c r="K10" s="13" t="n">
        <f aca="false">IF(MONTH($A10)=9,1,0)</f>
        <v>0</v>
      </c>
      <c r="L10" s="13" t="n">
        <f aca="false">IF(MONTH($A10)=10,1,0)</f>
        <v>0</v>
      </c>
      <c r="M10" s="13" t="n">
        <f aca="false">IF(MONTH($A10)=11,1,0)</f>
        <v>0</v>
      </c>
      <c r="N10" s="13" t="n">
        <f aca="false">IF(MONTH($A10)=12,1,0)</f>
        <v>0</v>
      </c>
      <c r="T10" s="5" t="s">
        <v>95</v>
      </c>
      <c r="U10" s="7" t="n">
        <f aca="false">AVERAGE(B7:B23)</f>
        <v>-0.267973764079417</v>
      </c>
      <c r="V10" s="16" t="n">
        <v>-0.267973764079417</v>
      </c>
    </row>
    <row r="11" customFormat="false" ht="15" hidden="false" customHeight="false" outlineLevel="0" collapsed="false">
      <c r="A11" s="11" t="n">
        <f aca="false">Data_Monthly!A41</f>
        <v>45401</v>
      </c>
      <c r="B11" s="12" t="n">
        <f aca="false">Data_Monthly!K41</f>
        <v>0.744457139650656</v>
      </c>
      <c r="C11" s="13" t="n">
        <f aca="false">IF($A11&gt;=$U$5,1,0)</f>
        <v>0</v>
      </c>
      <c r="D11" s="13" t="n">
        <f aca="false">IF(MONTH($A11)=2,1,0)</f>
        <v>0</v>
      </c>
      <c r="E11" s="13" t="n">
        <f aca="false">IF(MONTH($A11)=3,1,0)</f>
        <v>0</v>
      </c>
      <c r="F11" s="13" t="n">
        <f aca="false">IF(MONTH($A11)=4,1,0)</f>
        <v>1</v>
      </c>
      <c r="G11" s="13" t="n">
        <f aca="false">IF(MONTH($A11)=5,1,0)</f>
        <v>0</v>
      </c>
      <c r="H11" s="13" t="n">
        <f aca="false">IF(MONTH($A11)=6,1,0)</f>
        <v>0</v>
      </c>
      <c r="I11" s="13" t="n">
        <f aca="false">IF(MONTH($A11)=7,1,0)</f>
        <v>0</v>
      </c>
      <c r="J11" s="13" t="n">
        <f aca="false">IF(MONTH($A11)=8,1,0)</f>
        <v>0</v>
      </c>
      <c r="K11" s="13" t="n">
        <f aca="false">IF(MONTH($A11)=9,1,0)</f>
        <v>0</v>
      </c>
      <c r="L11" s="13" t="n">
        <f aca="false">IF(MONTH($A11)=10,1,0)</f>
        <v>0</v>
      </c>
      <c r="M11" s="13" t="n">
        <f aca="false">IF(MONTH($A11)=11,1,0)</f>
        <v>0</v>
      </c>
      <c r="N11" s="13" t="n">
        <f aca="false">IF(MONTH($A11)=12,1,0)</f>
        <v>0</v>
      </c>
      <c r="T11" s="5" t="s">
        <v>96</v>
      </c>
      <c r="U11" s="7" t="n">
        <f aca="false">AVERAGE(B24:B38)</f>
        <v>0.712958527300719</v>
      </c>
      <c r="V11" s="16" t="n">
        <v>0.712958527300719</v>
      </c>
    </row>
    <row r="12" customFormat="false" ht="15" hidden="false" customHeight="false" outlineLevel="0" collapsed="false">
      <c r="A12" s="11" t="n">
        <f aca="false">Data_Monthly!A42</f>
        <v>45443</v>
      </c>
      <c r="B12" s="12" t="n">
        <f aca="false">Data_Monthly!K42</f>
        <v>-1.26517805166611</v>
      </c>
      <c r="C12" s="13" t="n">
        <f aca="false">IF($A12&gt;=$U$5,1,0)</f>
        <v>0</v>
      </c>
      <c r="D12" s="13" t="n">
        <f aca="false">IF(MONTH($A12)=2,1,0)</f>
        <v>0</v>
      </c>
      <c r="E12" s="13" t="n">
        <f aca="false">IF(MONTH($A12)=3,1,0)</f>
        <v>0</v>
      </c>
      <c r="F12" s="13" t="n">
        <f aca="false">IF(MONTH($A12)=4,1,0)</f>
        <v>0</v>
      </c>
      <c r="G12" s="13" t="n">
        <f aca="false">IF(MONTH($A12)=5,1,0)</f>
        <v>1</v>
      </c>
      <c r="H12" s="13" t="n">
        <f aca="false">IF(MONTH($A12)=6,1,0)</f>
        <v>0</v>
      </c>
      <c r="I12" s="13" t="n">
        <f aca="false">IF(MONTH($A12)=7,1,0)</f>
        <v>0</v>
      </c>
      <c r="J12" s="13" t="n">
        <f aca="false">IF(MONTH($A12)=8,1,0)</f>
        <v>0</v>
      </c>
      <c r="K12" s="13" t="n">
        <f aca="false">IF(MONTH($A12)=9,1,0)</f>
        <v>0</v>
      </c>
      <c r="L12" s="13" t="n">
        <f aca="false">IF(MONTH($A12)=10,1,0)</f>
        <v>0</v>
      </c>
      <c r="M12" s="13" t="n">
        <f aca="false">IF(MONTH($A12)=11,1,0)</f>
        <v>0</v>
      </c>
      <c r="N12" s="13" t="n">
        <f aca="false">IF(MONTH($A12)=12,1,0)</f>
        <v>0</v>
      </c>
      <c r="T12" s="5" t="s">
        <v>97</v>
      </c>
      <c r="U12" s="7" t="n">
        <f aca="false">_xlfn.STDEV.S(B7:B23)</f>
        <v>1.64751593752674</v>
      </c>
      <c r="V12" s="16" t="n">
        <v>1.64751593752674</v>
      </c>
    </row>
    <row r="13" customFormat="false" ht="15" hidden="false" customHeight="false" outlineLevel="0" collapsed="false">
      <c r="A13" s="11" t="n">
        <f aca="false">Data_Monthly!A43</f>
        <v>45471</v>
      </c>
      <c r="B13" s="12" t="n">
        <f aca="false">Data_Monthly!K43</f>
        <v>-0.574701455649418</v>
      </c>
      <c r="C13" s="13" t="n">
        <f aca="false">IF($A13&gt;=$U$5,1,0)</f>
        <v>0</v>
      </c>
      <c r="D13" s="13" t="n">
        <f aca="false">IF(MONTH($A13)=2,1,0)</f>
        <v>0</v>
      </c>
      <c r="E13" s="13" t="n">
        <f aca="false">IF(MONTH($A13)=3,1,0)</f>
        <v>0</v>
      </c>
      <c r="F13" s="13" t="n">
        <f aca="false">IF(MONTH($A13)=4,1,0)</f>
        <v>0</v>
      </c>
      <c r="G13" s="13" t="n">
        <f aca="false">IF(MONTH($A13)=5,1,0)</f>
        <v>0</v>
      </c>
      <c r="H13" s="13" t="n">
        <f aca="false">IF(MONTH($A13)=6,1,0)</f>
        <v>1</v>
      </c>
      <c r="I13" s="13" t="n">
        <f aca="false">IF(MONTH($A13)=7,1,0)</f>
        <v>0</v>
      </c>
      <c r="J13" s="13" t="n">
        <f aca="false">IF(MONTH($A13)=8,1,0)</f>
        <v>0</v>
      </c>
      <c r="K13" s="13" t="n">
        <f aca="false">IF(MONTH($A13)=9,1,0)</f>
        <v>0</v>
      </c>
      <c r="L13" s="13" t="n">
        <f aca="false">IF(MONTH($A13)=10,1,0)</f>
        <v>0</v>
      </c>
      <c r="M13" s="13" t="n">
        <f aca="false">IF(MONTH($A13)=11,1,0)</f>
        <v>0</v>
      </c>
      <c r="N13" s="13" t="n">
        <f aca="false">IF(MONTH($A13)=12,1,0)</f>
        <v>0</v>
      </c>
      <c r="T13" s="5" t="s">
        <v>98</v>
      </c>
      <c r="U13" s="7" t="n">
        <f aca="false">_xlfn.STDEV.S(B24:B38)</f>
        <v>2.52137263048787</v>
      </c>
      <c r="V13" s="16" t="n">
        <v>2.52137263048787</v>
      </c>
    </row>
    <row r="14" customFormat="false" ht="15" hidden="false" customHeight="false" outlineLevel="0" collapsed="false">
      <c r="A14" s="11" t="n">
        <f aca="false">Data_Monthly!A44</f>
        <v>45499</v>
      </c>
      <c r="B14" s="12" t="n">
        <f aca="false">Data_Monthly!K44</f>
        <v>-1.15508176811154</v>
      </c>
      <c r="C14" s="13" t="n">
        <f aca="false">IF($A14&gt;=$U$5,1,0)</f>
        <v>0</v>
      </c>
      <c r="D14" s="13" t="n">
        <f aca="false">IF(MONTH($A14)=2,1,0)</f>
        <v>0</v>
      </c>
      <c r="E14" s="13" t="n">
        <f aca="false">IF(MONTH($A14)=3,1,0)</f>
        <v>0</v>
      </c>
      <c r="F14" s="13" t="n">
        <f aca="false">IF(MONTH($A14)=4,1,0)</f>
        <v>0</v>
      </c>
      <c r="G14" s="13" t="n">
        <f aca="false">IF(MONTH($A14)=5,1,0)</f>
        <v>0</v>
      </c>
      <c r="H14" s="13" t="n">
        <f aca="false">IF(MONTH($A14)=6,1,0)</f>
        <v>0</v>
      </c>
      <c r="I14" s="13" t="n">
        <f aca="false">IF(MONTH($A14)=7,1,0)</f>
        <v>1</v>
      </c>
      <c r="J14" s="13" t="n">
        <f aca="false">IF(MONTH($A14)=8,1,0)</f>
        <v>0</v>
      </c>
      <c r="K14" s="13" t="n">
        <f aca="false">IF(MONTH($A14)=9,1,0)</f>
        <v>0</v>
      </c>
      <c r="L14" s="13" t="n">
        <f aca="false">IF(MONTH($A14)=10,1,0)</f>
        <v>0</v>
      </c>
      <c r="M14" s="13" t="n">
        <f aca="false">IF(MONTH($A14)=11,1,0)</f>
        <v>0</v>
      </c>
      <c r="N14" s="13" t="n">
        <f aca="false">IF(MONTH($A14)=12,1,0)</f>
        <v>0</v>
      </c>
      <c r="T14" s="5" t="s">
        <v>99</v>
      </c>
      <c r="U14" s="7" t="n">
        <f aca="false">$U$11-$U$10</f>
        <v>0.980932291380135</v>
      </c>
      <c r="V14" s="16" t="n">
        <v>0.980932291380135</v>
      </c>
    </row>
    <row r="15" customFormat="false" ht="15" hidden="false" customHeight="false" outlineLevel="0" collapsed="false">
      <c r="A15" s="11" t="n">
        <f aca="false">Data_Monthly!A45</f>
        <v>45527</v>
      </c>
      <c r="B15" s="12" t="n">
        <f aca="false">Data_Monthly!K45</f>
        <v>-1.72448617437357</v>
      </c>
      <c r="C15" s="13" t="n">
        <f aca="false">IF($A15&gt;=$U$5,1,0)</f>
        <v>0</v>
      </c>
      <c r="D15" s="13" t="n">
        <f aca="false">IF(MONTH($A15)=2,1,0)</f>
        <v>0</v>
      </c>
      <c r="E15" s="13" t="n">
        <f aca="false">IF(MONTH($A15)=3,1,0)</f>
        <v>0</v>
      </c>
      <c r="F15" s="13" t="n">
        <f aca="false">IF(MONTH($A15)=4,1,0)</f>
        <v>0</v>
      </c>
      <c r="G15" s="13" t="n">
        <f aca="false">IF(MONTH($A15)=5,1,0)</f>
        <v>0</v>
      </c>
      <c r="H15" s="13" t="n">
        <f aca="false">IF(MONTH($A15)=6,1,0)</f>
        <v>0</v>
      </c>
      <c r="I15" s="13" t="n">
        <f aca="false">IF(MONTH($A15)=7,1,0)</f>
        <v>0</v>
      </c>
      <c r="J15" s="13" t="n">
        <f aca="false">IF(MONTH($A15)=8,1,0)</f>
        <v>1</v>
      </c>
      <c r="K15" s="13" t="n">
        <f aca="false">IF(MONTH($A15)=9,1,0)</f>
        <v>0</v>
      </c>
      <c r="L15" s="13" t="n">
        <f aca="false">IF(MONTH($A15)=10,1,0)</f>
        <v>0</v>
      </c>
      <c r="M15" s="13" t="n">
        <f aca="false">IF(MONTH($A15)=11,1,0)</f>
        <v>0</v>
      </c>
      <c r="N15" s="13" t="n">
        <f aca="false">IF(MONTH($A15)=12,1,0)</f>
        <v>0</v>
      </c>
      <c r="T15" s="5" t="s">
        <v>100</v>
      </c>
      <c r="U15" s="7" t="n">
        <f aca="false">12*$U$14</f>
        <v>11.7711874965616</v>
      </c>
      <c r="V15" s="16" t="n">
        <v>11.7711874965616</v>
      </c>
    </row>
    <row r="16" customFormat="false" ht="15" hidden="false" customHeight="false" outlineLevel="0" collapsed="false">
      <c r="A16" s="11" t="n">
        <f aca="false">Data_Monthly!A46</f>
        <v>45555</v>
      </c>
      <c r="B16" s="12" t="n">
        <f aca="false">Data_Monthly!K46</f>
        <v>-0.441653162857137</v>
      </c>
      <c r="C16" s="13" t="n">
        <f aca="false">IF($A16&gt;=$U$5,1,0)</f>
        <v>0</v>
      </c>
      <c r="D16" s="13" t="n">
        <f aca="false">IF(MONTH($A16)=2,1,0)</f>
        <v>0</v>
      </c>
      <c r="E16" s="13" t="n">
        <f aca="false">IF(MONTH($A16)=3,1,0)</f>
        <v>0</v>
      </c>
      <c r="F16" s="13" t="n">
        <f aca="false">IF(MONTH($A16)=4,1,0)</f>
        <v>0</v>
      </c>
      <c r="G16" s="13" t="n">
        <f aca="false">IF(MONTH($A16)=5,1,0)</f>
        <v>0</v>
      </c>
      <c r="H16" s="13" t="n">
        <f aca="false">IF(MONTH($A16)=6,1,0)</f>
        <v>0</v>
      </c>
      <c r="I16" s="13" t="n">
        <f aca="false">IF(MONTH($A16)=7,1,0)</f>
        <v>0</v>
      </c>
      <c r="J16" s="13" t="n">
        <f aca="false">IF(MONTH($A16)=8,1,0)</f>
        <v>0</v>
      </c>
      <c r="K16" s="13" t="n">
        <f aca="false">IF(MONTH($A16)=9,1,0)</f>
        <v>1</v>
      </c>
      <c r="L16" s="13" t="n">
        <f aca="false">IF(MONTH($A16)=10,1,0)</f>
        <v>0</v>
      </c>
      <c r="M16" s="13" t="n">
        <f aca="false">IF(MONTH($A16)=11,1,0)</f>
        <v>0</v>
      </c>
      <c r="N16" s="13" t="n">
        <f aca="false">IF(MONTH($A16)=12,1,0)</f>
        <v>0</v>
      </c>
      <c r="T16" s="5" t="s">
        <v>101</v>
      </c>
      <c r="U16" s="7" t="n">
        <f aca="false">SQRT($U$13^2/$U$9+$U$12^2/$U$8)</f>
        <v>0.763862913674383</v>
      </c>
    </row>
    <row r="17" customFormat="false" ht="15" hidden="false" customHeight="false" outlineLevel="0" collapsed="false">
      <c r="A17" s="11" t="n">
        <f aca="false">Data_Monthly!A47</f>
        <v>45583</v>
      </c>
      <c r="B17" s="12" t="n">
        <f aca="false">Data_Monthly!K47</f>
        <v>-0.928238106202706</v>
      </c>
      <c r="C17" s="13" t="n">
        <f aca="false">IF($A17&gt;=$U$5,1,0)</f>
        <v>0</v>
      </c>
      <c r="D17" s="13" t="n">
        <f aca="false">IF(MONTH($A17)=2,1,0)</f>
        <v>0</v>
      </c>
      <c r="E17" s="13" t="n">
        <f aca="false">IF(MONTH($A17)=3,1,0)</f>
        <v>0</v>
      </c>
      <c r="F17" s="13" t="n">
        <f aca="false">IF(MONTH($A17)=4,1,0)</f>
        <v>0</v>
      </c>
      <c r="G17" s="13" t="n">
        <f aca="false">IF(MONTH($A17)=5,1,0)</f>
        <v>0</v>
      </c>
      <c r="H17" s="13" t="n">
        <f aca="false">IF(MONTH($A17)=6,1,0)</f>
        <v>0</v>
      </c>
      <c r="I17" s="13" t="n">
        <f aca="false">IF(MONTH($A17)=7,1,0)</f>
        <v>0</v>
      </c>
      <c r="J17" s="13" t="n">
        <f aca="false">IF(MONTH($A17)=8,1,0)</f>
        <v>0</v>
      </c>
      <c r="K17" s="13" t="n">
        <f aca="false">IF(MONTH($A17)=9,1,0)</f>
        <v>0</v>
      </c>
      <c r="L17" s="13" t="n">
        <f aca="false">IF(MONTH($A17)=10,1,0)</f>
        <v>1</v>
      </c>
      <c r="M17" s="13" t="n">
        <f aca="false">IF(MONTH($A17)=11,1,0)</f>
        <v>0</v>
      </c>
      <c r="N17" s="13" t="n">
        <f aca="false">IF(MONTH($A17)=12,1,0)</f>
        <v>0</v>
      </c>
      <c r="T17" s="5" t="s">
        <v>102</v>
      </c>
      <c r="U17" s="7" t="n">
        <f aca="false">$U$14/$U$16</f>
        <v>1.28417321199898</v>
      </c>
      <c r="V17" s="16" t="n">
        <v>1.28417321199898</v>
      </c>
    </row>
    <row r="18" customFormat="false" ht="15" hidden="false" customHeight="false" outlineLevel="0" collapsed="false">
      <c r="A18" s="11" t="n">
        <f aca="false">Data_Monthly!A48</f>
        <v>45625</v>
      </c>
      <c r="B18" s="12" t="n">
        <f aca="false">Data_Monthly!K48</f>
        <v>2.6692902114009</v>
      </c>
      <c r="C18" s="13" t="n">
        <f aca="false">IF($A18&gt;=$U$5,1,0)</f>
        <v>0</v>
      </c>
      <c r="D18" s="13" t="n">
        <f aca="false">IF(MONTH($A18)=2,1,0)</f>
        <v>0</v>
      </c>
      <c r="E18" s="13" t="n">
        <f aca="false">IF(MONTH($A18)=3,1,0)</f>
        <v>0</v>
      </c>
      <c r="F18" s="13" t="n">
        <f aca="false">IF(MONTH($A18)=4,1,0)</f>
        <v>0</v>
      </c>
      <c r="G18" s="13" t="n">
        <f aca="false">IF(MONTH($A18)=5,1,0)</f>
        <v>0</v>
      </c>
      <c r="H18" s="13" t="n">
        <f aca="false">IF(MONTH($A18)=6,1,0)</f>
        <v>0</v>
      </c>
      <c r="I18" s="13" t="n">
        <f aca="false">IF(MONTH($A18)=7,1,0)</f>
        <v>0</v>
      </c>
      <c r="J18" s="13" t="n">
        <f aca="false">IF(MONTH($A18)=8,1,0)</f>
        <v>0</v>
      </c>
      <c r="K18" s="13" t="n">
        <f aca="false">IF(MONTH($A18)=9,1,0)</f>
        <v>0</v>
      </c>
      <c r="L18" s="13" t="n">
        <f aca="false">IF(MONTH($A18)=10,1,0)</f>
        <v>0</v>
      </c>
      <c r="M18" s="13" t="n">
        <f aca="false">IF(MONTH($A18)=11,1,0)</f>
        <v>1</v>
      </c>
      <c r="N18" s="13" t="n">
        <f aca="false">IF(MONTH($A18)=12,1,0)</f>
        <v>0</v>
      </c>
      <c r="T18" s="5" t="s">
        <v>103</v>
      </c>
      <c r="U18" s="17" t="n">
        <f aca="false">(($U$13^2/$U$9)+($U$12^2/$U$8))^2/(($U$13^2/$U$9)^2/($U$9-1)+($U$12^2/$U$8)^2/($U$8-1))</f>
        <v>23.6040757404914</v>
      </c>
      <c r="V18" s="18" t="n">
        <v>23.6040757404914</v>
      </c>
    </row>
    <row r="19" customFormat="false" ht="15" hidden="false" customHeight="false" outlineLevel="0" collapsed="false">
      <c r="A19" s="11" t="n">
        <f aca="false">Data_Monthly!A49</f>
        <v>45653</v>
      </c>
      <c r="B19" s="12" t="n">
        <f aca="false">Data_Monthly!K49</f>
        <v>2.34477070041255</v>
      </c>
      <c r="C19" s="13" t="n">
        <f aca="false">IF($A19&gt;=$U$5,1,0)</f>
        <v>0</v>
      </c>
      <c r="D19" s="13" t="n">
        <f aca="false">IF(MONTH($A19)=2,1,0)</f>
        <v>0</v>
      </c>
      <c r="E19" s="13" t="n">
        <f aca="false">IF(MONTH($A19)=3,1,0)</f>
        <v>0</v>
      </c>
      <c r="F19" s="13" t="n">
        <f aca="false">IF(MONTH($A19)=4,1,0)</f>
        <v>0</v>
      </c>
      <c r="G19" s="13" t="n">
        <f aca="false">IF(MONTH($A19)=5,1,0)</f>
        <v>0</v>
      </c>
      <c r="H19" s="13" t="n">
        <f aca="false">IF(MONTH($A19)=6,1,0)</f>
        <v>0</v>
      </c>
      <c r="I19" s="13" t="n">
        <f aca="false">IF(MONTH($A19)=7,1,0)</f>
        <v>0</v>
      </c>
      <c r="J19" s="13" t="n">
        <f aca="false">IF(MONTH($A19)=8,1,0)</f>
        <v>0</v>
      </c>
      <c r="K19" s="13" t="n">
        <f aca="false">IF(MONTH($A19)=9,1,0)</f>
        <v>0</v>
      </c>
      <c r="L19" s="13" t="n">
        <f aca="false">IF(MONTH($A19)=10,1,0)</f>
        <v>0</v>
      </c>
      <c r="M19" s="13" t="n">
        <f aca="false">IF(MONTH($A19)=11,1,0)</f>
        <v>0</v>
      </c>
      <c r="N19" s="13" t="n">
        <f aca="false">IF(MONTH($A19)=12,1,0)</f>
        <v>1</v>
      </c>
      <c r="T19" s="5" t="s">
        <v>104</v>
      </c>
      <c r="U19" s="7" t="n">
        <f aca="false">_xlfn.T.TEST(B24:B38,B7:B23,2,3)</f>
        <v>0.211543428713057</v>
      </c>
      <c r="V19" s="16" t="n">
        <v>0.211543428713057</v>
      </c>
    </row>
    <row r="20" customFormat="false" ht="15" hidden="false" customHeight="false" outlineLevel="0" collapsed="false">
      <c r="A20" s="11" t="n">
        <f aca="false">Data_Monthly!A50</f>
        <v>45681</v>
      </c>
      <c r="B20" s="12" t="n">
        <f aca="false">Data_Monthly!K50</f>
        <v>-1.4249475439815</v>
      </c>
      <c r="C20" s="13" t="n">
        <f aca="false">IF($A20&gt;=$U$5,1,0)</f>
        <v>0</v>
      </c>
      <c r="D20" s="13" t="n">
        <f aca="false">IF(MONTH($A20)=2,1,0)</f>
        <v>0</v>
      </c>
      <c r="E20" s="13" t="n">
        <f aca="false">IF(MONTH($A20)=3,1,0)</f>
        <v>0</v>
      </c>
      <c r="F20" s="13" t="n">
        <f aca="false">IF(MONTH($A20)=4,1,0)</f>
        <v>0</v>
      </c>
      <c r="G20" s="13" t="n">
        <f aca="false">IF(MONTH($A20)=5,1,0)</f>
        <v>0</v>
      </c>
      <c r="H20" s="13" t="n">
        <f aca="false">IF(MONTH($A20)=6,1,0)</f>
        <v>0</v>
      </c>
      <c r="I20" s="13" t="n">
        <f aca="false">IF(MONTH($A20)=7,1,0)</f>
        <v>0</v>
      </c>
      <c r="J20" s="13" t="n">
        <f aca="false">IF(MONTH($A20)=8,1,0)</f>
        <v>0</v>
      </c>
      <c r="K20" s="13" t="n">
        <f aca="false">IF(MONTH($A20)=9,1,0)</f>
        <v>0</v>
      </c>
      <c r="L20" s="13" t="n">
        <f aca="false">IF(MONTH($A20)=10,1,0)</f>
        <v>0</v>
      </c>
      <c r="M20" s="13" t="n">
        <f aca="false">IF(MONTH($A20)=11,1,0)</f>
        <v>0</v>
      </c>
      <c r="N20" s="13" t="n">
        <f aca="false">IF(MONTH($A20)=12,1,0)</f>
        <v>0</v>
      </c>
    </row>
    <row r="21" customFormat="false" ht="15" hidden="false" customHeight="false" outlineLevel="0" collapsed="false">
      <c r="A21" s="11" t="n">
        <f aca="false">Data_Monthly!A51</f>
        <v>45709</v>
      </c>
      <c r="B21" s="12" t="n">
        <f aca="false">Data_Monthly!K51</f>
        <v>-1.23060200936198</v>
      </c>
      <c r="C21" s="13" t="n">
        <f aca="false">IF($A21&gt;=$U$5,1,0)</f>
        <v>0</v>
      </c>
      <c r="D21" s="13" t="n">
        <f aca="false">IF(MONTH($A21)=2,1,0)</f>
        <v>1</v>
      </c>
      <c r="E21" s="13" t="n">
        <f aca="false">IF(MONTH($A21)=3,1,0)</f>
        <v>0</v>
      </c>
      <c r="F21" s="13" t="n">
        <f aca="false">IF(MONTH($A21)=4,1,0)</f>
        <v>0</v>
      </c>
      <c r="G21" s="13" t="n">
        <f aca="false">IF(MONTH($A21)=5,1,0)</f>
        <v>0</v>
      </c>
      <c r="H21" s="13" t="n">
        <f aca="false">IF(MONTH($A21)=6,1,0)</f>
        <v>0</v>
      </c>
      <c r="I21" s="13" t="n">
        <f aca="false">IF(MONTH($A21)=7,1,0)</f>
        <v>0</v>
      </c>
      <c r="J21" s="13" t="n">
        <f aca="false">IF(MONTH($A21)=8,1,0)</f>
        <v>0</v>
      </c>
      <c r="K21" s="13" t="n">
        <f aca="false">IF(MONTH($A21)=9,1,0)</f>
        <v>0</v>
      </c>
      <c r="L21" s="13" t="n">
        <f aca="false">IF(MONTH($A21)=10,1,0)</f>
        <v>0</v>
      </c>
      <c r="M21" s="13" t="n">
        <f aca="false">IF(MONTH($A21)=11,1,0)</f>
        <v>0</v>
      </c>
      <c r="N21" s="13" t="n">
        <f aca="false">IF(MONTH($A21)=12,1,0)</f>
        <v>0</v>
      </c>
    </row>
    <row r="22" customFormat="false" ht="15" hidden="false" customHeight="false" outlineLevel="0" collapsed="false">
      <c r="A22" s="11" t="n">
        <f aca="false">Data_Monthly!A52</f>
        <v>45737</v>
      </c>
      <c r="B22" s="12" t="n">
        <f aca="false">Data_Monthly!K52</f>
        <v>0.417045123126058</v>
      </c>
      <c r="C22" s="13" t="n">
        <f aca="false">IF($A22&gt;=$U$5,1,0)</f>
        <v>0</v>
      </c>
      <c r="D22" s="13" t="n">
        <f aca="false">IF(MONTH($A22)=2,1,0)</f>
        <v>0</v>
      </c>
      <c r="E22" s="13" t="n">
        <f aca="false">IF(MONTH($A22)=3,1,0)</f>
        <v>1</v>
      </c>
      <c r="F22" s="13" t="n">
        <f aca="false">IF(MONTH($A22)=4,1,0)</f>
        <v>0</v>
      </c>
      <c r="G22" s="13" t="n">
        <f aca="false">IF(MONTH($A22)=5,1,0)</f>
        <v>0</v>
      </c>
      <c r="H22" s="13" t="n">
        <f aca="false">IF(MONTH($A22)=6,1,0)</f>
        <v>0</v>
      </c>
      <c r="I22" s="13" t="n">
        <f aca="false">IF(MONTH($A22)=7,1,0)</f>
        <v>0</v>
      </c>
      <c r="J22" s="13" t="n">
        <f aca="false">IF(MONTH($A22)=8,1,0)</f>
        <v>0</v>
      </c>
      <c r="K22" s="13" t="n">
        <f aca="false">IF(MONTH($A22)=9,1,0)</f>
        <v>0</v>
      </c>
      <c r="L22" s="13" t="n">
        <f aca="false">IF(MONTH($A22)=10,1,0)</f>
        <v>0</v>
      </c>
      <c r="M22" s="13" t="n">
        <f aca="false">IF(MONTH($A22)=11,1,0)</f>
        <v>0</v>
      </c>
      <c r="N22" s="13" t="n">
        <f aca="false">IF(MONTH($A22)=12,1,0)</f>
        <v>0</v>
      </c>
    </row>
    <row r="23" customFormat="false" ht="15" hidden="false" customHeight="false" outlineLevel="0" collapsed="false">
      <c r="A23" s="11" t="n">
        <f aca="false">Data_Monthly!A53</f>
        <v>45765</v>
      </c>
      <c r="B23" s="12" t="n">
        <f aca="false">Data_Monthly!K53</f>
        <v>-1.04637489226764</v>
      </c>
      <c r="C23" s="13" t="n">
        <f aca="false">IF($A23&gt;=$U$5,1,0)</f>
        <v>0</v>
      </c>
      <c r="D23" s="13" t="n">
        <f aca="false">IF(MONTH($A23)=2,1,0)</f>
        <v>0</v>
      </c>
      <c r="E23" s="13" t="n">
        <f aca="false">IF(MONTH($A23)=3,1,0)</f>
        <v>0</v>
      </c>
      <c r="F23" s="13" t="n">
        <f aca="false">IF(MONTH($A23)=4,1,0)</f>
        <v>1</v>
      </c>
      <c r="G23" s="13" t="n">
        <f aca="false">IF(MONTH($A23)=5,1,0)</f>
        <v>0</v>
      </c>
      <c r="H23" s="13" t="n">
        <f aca="false">IF(MONTH($A23)=6,1,0)</f>
        <v>0</v>
      </c>
      <c r="I23" s="13" t="n">
        <f aca="false">IF(MONTH($A23)=7,1,0)</f>
        <v>0</v>
      </c>
      <c r="J23" s="13" t="n">
        <f aca="false">IF(MONTH($A23)=8,1,0)</f>
        <v>0</v>
      </c>
      <c r="K23" s="13" t="n">
        <f aca="false">IF(MONTH($A23)=9,1,0)</f>
        <v>0</v>
      </c>
      <c r="L23" s="13" t="n">
        <f aca="false">IF(MONTH($A23)=10,1,0)</f>
        <v>0</v>
      </c>
      <c r="M23" s="13" t="n">
        <f aca="false">IF(MONTH($A23)=11,1,0)</f>
        <v>0</v>
      </c>
      <c r="N23" s="13" t="n">
        <f aca="false">IF(MONTH($A23)=12,1,0)</f>
        <v>0</v>
      </c>
    </row>
    <row r="24" customFormat="false" ht="15" hidden="false" customHeight="false" outlineLevel="0" collapsed="false">
      <c r="A24" s="11" t="n">
        <f aca="false">Data_Monthly!A54</f>
        <v>45807</v>
      </c>
      <c r="B24" s="12" t="n">
        <f aca="false">Data_Monthly!K54</f>
        <v>-3.70349135132031</v>
      </c>
      <c r="C24" s="13" t="n">
        <f aca="false">IF($A24&gt;=$U$5,1,0)</f>
        <v>1</v>
      </c>
      <c r="D24" s="13" t="n">
        <f aca="false">IF(MONTH($A24)=2,1,0)</f>
        <v>0</v>
      </c>
      <c r="E24" s="13" t="n">
        <f aca="false">IF(MONTH($A24)=3,1,0)</f>
        <v>0</v>
      </c>
      <c r="F24" s="13" t="n">
        <f aca="false">IF(MONTH($A24)=4,1,0)</f>
        <v>0</v>
      </c>
      <c r="G24" s="13" t="n">
        <f aca="false">IF(MONTH($A24)=5,1,0)</f>
        <v>1</v>
      </c>
      <c r="H24" s="13" t="n">
        <f aca="false">IF(MONTH($A24)=6,1,0)</f>
        <v>0</v>
      </c>
      <c r="I24" s="13" t="n">
        <f aca="false">IF(MONTH($A24)=7,1,0)</f>
        <v>0</v>
      </c>
      <c r="J24" s="13" t="n">
        <f aca="false">IF(MONTH($A24)=8,1,0)</f>
        <v>0</v>
      </c>
      <c r="K24" s="13" t="n">
        <f aca="false">IF(MONTH($A24)=9,1,0)</f>
        <v>0</v>
      </c>
      <c r="L24" s="13" t="n">
        <f aca="false">IF(MONTH($A24)=10,1,0)</f>
        <v>0</v>
      </c>
      <c r="M24" s="13" t="n">
        <f aca="false">IF(MONTH($A24)=11,1,0)</f>
        <v>0</v>
      </c>
      <c r="N24" s="13" t="n">
        <f aca="false">IF(MONTH($A24)=12,1,0)</f>
        <v>0</v>
      </c>
    </row>
    <row r="25" customFormat="false" ht="15" hidden="false" customHeight="false" outlineLevel="0" collapsed="false">
      <c r="A25" s="11" t="n">
        <f aca="false">Data_Monthly!A55</f>
        <v>45835</v>
      </c>
      <c r="B25" s="12" t="n">
        <f aca="false">Data_Monthly!K55</f>
        <v>-0.255600247808729</v>
      </c>
      <c r="C25" s="13" t="n">
        <f aca="false">IF($A25&gt;=$U$5,1,0)</f>
        <v>1</v>
      </c>
      <c r="D25" s="13" t="n">
        <f aca="false">IF(MONTH($A25)=2,1,0)</f>
        <v>0</v>
      </c>
      <c r="E25" s="13" t="n">
        <f aca="false">IF(MONTH($A25)=3,1,0)</f>
        <v>0</v>
      </c>
      <c r="F25" s="13" t="n">
        <f aca="false">IF(MONTH($A25)=4,1,0)</f>
        <v>0</v>
      </c>
      <c r="G25" s="13" t="n">
        <f aca="false">IF(MONTH($A25)=5,1,0)</f>
        <v>0</v>
      </c>
      <c r="H25" s="13" t="n">
        <f aca="false">IF(MONTH($A25)=6,1,0)</f>
        <v>1</v>
      </c>
      <c r="I25" s="13" t="n">
        <f aca="false">IF(MONTH($A25)=7,1,0)</f>
        <v>0</v>
      </c>
      <c r="J25" s="13" t="n">
        <f aca="false">IF(MONTH($A25)=8,1,0)</f>
        <v>0</v>
      </c>
      <c r="K25" s="13" t="n">
        <f aca="false">IF(MONTH($A25)=9,1,0)</f>
        <v>0</v>
      </c>
      <c r="L25" s="13" t="n">
        <f aca="false">IF(MONTH($A25)=10,1,0)</f>
        <v>0</v>
      </c>
      <c r="M25" s="13" t="n">
        <f aca="false">IF(MONTH($A25)=11,1,0)</f>
        <v>0</v>
      </c>
      <c r="N25" s="13" t="n">
        <f aca="false">IF(MONTH($A25)=12,1,0)</f>
        <v>0</v>
      </c>
    </row>
    <row r="26" customFormat="false" ht="15" hidden="false" customHeight="false" outlineLevel="0" collapsed="false">
      <c r="A26" s="11" t="n">
        <f aca="false">Data_Monthly!A56</f>
        <v>45863</v>
      </c>
      <c r="B26" s="12" t="n">
        <f aca="false">Data_Monthly!K56</f>
        <v>-1.0766522675981</v>
      </c>
      <c r="C26" s="13" t="n">
        <f aca="false">IF($A26&gt;=$U$5,1,0)</f>
        <v>1</v>
      </c>
      <c r="D26" s="13" t="n">
        <f aca="false">IF(MONTH($A26)=2,1,0)</f>
        <v>0</v>
      </c>
      <c r="E26" s="13" t="n">
        <f aca="false">IF(MONTH($A26)=3,1,0)</f>
        <v>0</v>
      </c>
      <c r="F26" s="13" t="n">
        <f aca="false">IF(MONTH($A26)=4,1,0)</f>
        <v>0</v>
      </c>
      <c r="G26" s="13" t="n">
        <f aca="false">IF(MONTH($A26)=5,1,0)</f>
        <v>0</v>
      </c>
      <c r="H26" s="13" t="n">
        <f aca="false">IF(MONTH($A26)=6,1,0)</f>
        <v>0</v>
      </c>
      <c r="I26" s="13" t="n">
        <f aca="false">IF(MONTH($A26)=7,1,0)</f>
        <v>1</v>
      </c>
      <c r="J26" s="13" t="n">
        <f aca="false">IF(MONTH($A26)=8,1,0)</f>
        <v>0</v>
      </c>
      <c r="K26" s="13" t="n">
        <f aca="false">IF(MONTH($A26)=9,1,0)</f>
        <v>0</v>
      </c>
      <c r="L26" s="13" t="n">
        <f aca="false">IF(MONTH($A26)=10,1,0)</f>
        <v>0</v>
      </c>
      <c r="M26" s="13" t="n">
        <f aca="false">IF(MONTH($A26)=11,1,0)</f>
        <v>0</v>
      </c>
      <c r="N26" s="13" t="n">
        <f aca="false">IF(MONTH($A26)=12,1,0)</f>
        <v>0</v>
      </c>
    </row>
    <row r="27" customFormat="false" ht="15" hidden="false" customHeight="false" outlineLevel="0" collapsed="false">
      <c r="A27" s="11" t="n">
        <f aca="false">Data_Monthly!A57</f>
        <v>45891</v>
      </c>
      <c r="B27" s="12" t="n">
        <f aca="false">Data_Monthly!K57</f>
        <v>-0.596311407283068</v>
      </c>
      <c r="C27" s="13" t="n">
        <f aca="false">IF($A27&gt;=$U$5,1,0)</f>
        <v>1</v>
      </c>
      <c r="D27" s="13" t="n">
        <f aca="false">IF(MONTH($A27)=2,1,0)</f>
        <v>0</v>
      </c>
      <c r="E27" s="13" t="n">
        <f aca="false">IF(MONTH($A27)=3,1,0)</f>
        <v>0</v>
      </c>
      <c r="F27" s="13" t="n">
        <f aca="false">IF(MONTH($A27)=4,1,0)</f>
        <v>0</v>
      </c>
      <c r="G27" s="13" t="n">
        <f aca="false">IF(MONTH($A27)=5,1,0)</f>
        <v>0</v>
      </c>
      <c r="H27" s="13" t="n">
        <f aca="false">IF(MONTH($A27)=6,1,0)</f>
        <v>0</v>
      </c>
      <c r="I27" s="13" t="n">
        <f aca="false">IF(MONTH($A27)=7,1,0)</f>
        <v>0</v>
      </c>
      <c r="J27" s="13" t="n">
        <f aca="false">IF(MONTH($A27)=8,1,0)</f>
        <v>1</v>
      </c>
      <c r="K27" s="13" t="n">
        <f aca="false">IF(MONTH($A27)=9,1,0)</f>
        <v>0</v>
      </c>
      <c r="L27" s="13" t="n">
        <f aca="false">IF(MONTH($A27)=10,1,0)</f>
        <v>0</v>
      </c>
      <c r="M27" s="13" t="n">
        <f aca="false">IF(MONTH($A27)=11,1,0)</f>
        <v>0</v>
      </c>
      <c r="N27" s="13" t="n">
        <f aca="false">IF(MONTH($A27)=12,1,0)</f>
        <v>0</v>
      </c>
    </row>
    <row r="28" customFormat="false" ht="15" hidden="false" customHeight="false" outlineLevel="0" collapsed="false">
      <c r="A28" s="11" t="n">
        <f aca="false">Data_Monthly!A58</f>
        <v>45919</v>
      </c>
      <c r="B28" s="12" t="n">
        <f aca="false">Data_Monthly!K58</f>
        <v>-0.733511615356796</v>
      </c>
      <c r="C28" s="13" t="n">
        <f aca="false">IF($A28&gt;=$U$5,1,0)</f>
        <v>1</v>
      </c>
      <c r="D28" s="13" t="n">
        <f aca="false">IF(MONTH($A28)=2,1,0)</f>
        <v>0</v>
      </c>
      <c r="E28" s="13" t="n">
        <f aca="false">IF(MONTH($A28)=3,1,0)</f>
        <v>0</v>
      </c>
      <c r="F28" s="13" t="n">
        <f aca="false">IF(MONTH($A28)=4,1,0)</f>
        <v>0</v>
      </c>
      <c r="G28" s="13" t="n">
        <f aca="false">IF(MONTH($A28)=5,1,0)</f>
        <v>0</v>
      </c>
      <c r="H28" s="13" t="n">
        <f aca="false">IF(MONTH($A28)=6,1,0)</f>
        <v>0</v>
      </c>
      <c r="I28" s="13" t="n">
        <f aca="false">IF(MONTH($A28)=7,1,0)</f>
        <v>0</v>
      </c>
      <c r="J28" s="13" t="n">
        <f aca="false">IF(MONTH($A28)=8,1,0)</f>
        <v>0</v>
      </c>
      <c r="K28" s="13" t="n">
        <f aca="false">IF(MONTH($A28)=9,1,0)</f>
        <v>1</v>
      </c>
      <c r="L28" s="13" t="n">
        <f aca="false">IF(MONTH($A28)=10,1,0)</f>
        <v>0</v>
      </c>
      <c r="M28" s="13" t="n">
        <f aca="false">IF(MONTH($A28)=11,1,0)</f>
        <v>0</v>
      </c>
      <c r="N28" s="13" t="n">
        <f aca="false">IF(MONTH($A28)=12,1,0)</f>
        <v>0</v>
      </c>
    </row>
    <row r="29" customFormat="false" ht="15" hidden="false" customHeight="false" outlineLevel="0" collapsed="false">
      <c r="A29" s="11" t="n">
        <f aca="false">Data_Monthly!A59</f>
        <v>45961</v>
      </c>
      <c r="B29" s="12" t="n">
        <f aca="false">Data_Monthly!K59</f>
        <v>5.75773178501748</v>
      </c>
      <c r="C29" s="13" t="n">
        <f aca="false">IF($A29&gt;=$U$5,1,0)</f>
        <v>1</v>
      </c>
      <c r="D29" s="13" t="n">
        <f aca="false">IF(MONTH($A29)=2,1,0)</f>
        <v>0</v>
      </c>
      <c r="E29" s="13" t="n">
        <f aca="false">IF(MONTH($A29)=3,1,0)</f>
        <v>0</v>
      </c>
      <c r="F29" s="13" t="n">
        <f aca="false">IF(MONTH($A29)=4,1,0)</f>
        <v>0</v>
      </c>
      <c r="G29" s="13" t="n">
        <f aca="false">IF(MONTH($A29)=5,1,0)</f>
        <v>0</v>
      </c>
      <c r="H29" s="13" t="n">
        <f aca="false">IF(MONTH($A29)=6,1,0)</f>
        <v>0</v>
      </c>
      <c r="I29" s="13" t="n">
        <f aca="false">IF(MONTH($A29)=7,1,0)</f>
        <v>0</v>
      </c>
      <c r="J29" s="13" t="n">
        <f aca="false">IF(MONTH($A29)=8,1,0)</f>
        <v>0</v>
      </c>
      <c r="K29" s="13" t="n">
        <f aca="false">IF(MONTH($A29)=9,1,0)</f>
        <v>0</v>
      </c>
      <c r="L29" s="13" t="n">
        <f aca="false">IF(MONTH($A29)=10,1,0)</f>
        <v>1</v>
      </c>
      <c r="M29" s="13" t="n">
        <f aca="false">IF(MONTH($A29)=11,1,0)</f>
        <v>0</v>
      </c>
      <c r="N29" s="13" t="n">
        <f aca="false">IF(MONTH($A29)=12,1,0)</f>
        <v>0</v>
      </c>
    </row>
    <row r="30" customFormat="false" ht="15" hidden="false" customHeight="false" outlineLevel="0" collapsed="false">
      <c r="A30" s="11" t="n">
        <f aca="false">Data_Monthly!A60</f>
        <v>45989</v>
      </c>
      <c r="B30" s="12" t="n">
        <f aca="false">Data_Monthly!K60</f>
        <v>-0.240156521909185</v>
      </c>
      <c r="C30" s="13" t="n">
        <f aca="false">IF($A30&gt;=$U$5,1,0)</f>
        <v>1</v>
      </c>
      <c r="D30" s="13" t="n">
        <f aca="false">IF(MONTH($A30)=2,1,0)</f>
        <v>0</v>
      </c>
      <c r="E30" s="13" t="n">
        <f aca="false">IF(MONTH($A30)=3,1,0)</f>
        <v>0</v>
      </c>
      <c r="F30" s="13" t="n">
        <f aca="false">IF(MONTH($A30)=4,1,0)</f>
        <v>0</v>
      </c>
      <c r="G30" s="13" t="n">
        <f aca="false">IF(MONTH($A30)=5,1,0)</f>
        <v>0</v>
      </c>
      <c r="H30" s="13" t="n">
        <f aca="false">IF(MONTH($A30)=6,1,0)</f>
        <v>0</v>
      </c>
      <c r="I30" s="13" t="n">
        <f aca="false">IF(MONTH($A30)=7,1,0)</f>
        <v>0</v>
      </c>
      <c r="J30" s="13" t="n">
        <f aca="false">IF(MONTH($A30)=8,1,0)</f>
        <v>0</v>
      </c>
      <c r="K30" s="13" t="n">
        <f aca="false">IF(MONTH($A30)=9,1,0)</f>
        <v>0</v>
      </c>
      <c r="L30" s="13" t="n">
        <f aca="false">IF(MONTH($A30)=10,1,0)</f>
        <v>0</v>
      </c>
      <c r="M30" s="13" t="n">
        <f aca="false">IF(MONTH($A30)=11,1,0)</f>
        <v>1</v>
      </c>
      <c r="N30" s="13" t="n">
        <f aca="false">IF(MONTH($A30)=12,1,0)</f>
        <v>0</v>
      </c>
    </row>
    <row r="31" customFormat="false" ht="15" hidden="false" customHeight="false" outlineLevel="0" collapsed="false">
      <c r="A31" s="11" t="n">
        <f aca="false">Data_Monthly!A61</f>
        <v>46022</v>
      </c>
      <c r="B31" s="12" t="n">
        <f aca="false">Data_Monthly!K61</f>
        <v>5.38699066101245</v>
      </c>
      <c r="C31" s="13" t="n">
        <f aca="false">IF($A31&gt;=$U$5,1,0)</f>
        <v>1</v>
      </c>
      <c r="D31" s="13" t="n">
        <f aca="false">IF(MONTH($A31)=2,1,0)</f>
        <v>0</v>
      </c>
      <c r="E31" s="13" t="n">
        <f aca="false">IF(MONTH($A31)=3,1,0)</f>
        <v>0</v>
      </c>
      <c r="F31" s="13" t="n">
        <f aca="false">IF(MONTH($A31)=4,1,0)</f>
        <v>0</v>
      </c>
      <c r="G31" s="13" t="n">
        <f aca="false">IF(MONTH($A31)=5,1,0)</f>
        <v>0</v>
      </c>
      <c r="H31" s="13" t="n">
        <f aca="false">IF(MONTH($A31)=6,1,0)</f>
        <v>0</v>
      </c>
      <c r="I31" s="13" t="n">
        <f aca="false">IF(MONTH($A31)=7,1,0)</f>
        <v>0</v>
      </c>
      <c r="J31" s="13" t="n">
        <f aca="false">IF(MONTH($A31)=8,1,0)</f>
        <v>0</v>
      </c>
      <c r="K31" s="13" t="n">
        <f aca="false">IF(MONTH($A31)=9,1,0)</f>
        <v>0</v>
      </c>
      <c r="L31" s="13" t="n">
        <f aca="false">IF(MONTH($A31)=10,1,0)</f>
        <v>0</v>
      </c>
      <c r="M31" s="13" t="n">
        <f aca="false">IF(MONTH($A31)=11,1,0)</f>
        <v>0</v>
      </c>
      <c r="N31" s="13" t="n">
        <f aca="false">IF(MONTH($A31)=12,1,0)</f>
        <v>1</v>
      </c>
    </row>
    <row r="32" customFormat="false" ht="15" hidden="false" customHeight="false" outlineLevel="0" collapsed="false">
      <c r="A32" s="11" t="n">
        <f aca="false">Data_Monthly!A62</f>
        <v>46053</v>
      </c>
      <c r="B32" s="12" t="n">
        <f aca="false">Data_Monthly!K62</f>
        <v>1.83799473988078</v>
      </c>
      <c r="C32" s="13" t="n">
        <f aca="false">IF($A32&gt;=$U$5,1,0)</f>
        <v>1</v>
      </c>
      <c r="D32" s="13" t="n">
        <f aca="false">IF(MONTH($A32)=2,1,0)</f>
        <v>0</v>
      </c>
      <c r="E32" s="13" t="n">
        <f aca="false">IF(MONTH($A32)=3,1,0)</f>
        <v>0</v>
      </c>
      <c r="F32" s="13" t="n">
        <f aca="false">IF(MONTH($A32)=4,1,0)</f>
        <v>0</v>
      </c>
      <c r="G32" s="13" t="n">
        <f aca="false">IF(MONTH($A32)=5,1,0)</f>
        <v>0</v>
      </c>
      <c r="H32" s="13" t="n">
        <f aca="false">IF(MONTH($A32)=6,1,0)</f>
        <v>0</v>
      </c>
      <c r="I32" s="13" t="n">
        <f aca="false">IF(MONTH($A32)=7,1,0)</f>
        <v>0</v>
      </c>
      <c r="J32" s="13" t="n">
        <f aca="false">IF(MONTH($A32)=8,1,0)</f>
        <v>0</v>
      </c>
      <c r="K32" s="13" t="n">
        <f aca="false">IF(MONTH($A32)=9,1,0)</f>
        <v>0</v>
      </c>
      <c r="L32" s="13" t="n">
        <f aca="false">IF(MONTH($A32)=10,1,0)</f>
        <v>0</v>
      </c>
      <c r="M32" s="13" t="n">
        <f aca="false">IF(MONTH($A32)=11,1,0)</f>
        <v>0</v>
      </c>
      <c r="N32" s="13" t="n">
        <f aca="false">IF(MONTH($A32)=12,1,0)</f>
        <v>0</v>
      </c>
    </row>
    <row r="33" customFormat="false" ht="15" hidden="false" customHeight="false" outlineLevel="0" collapsed="false">
      <c r="A33" s="11" t="n">
        <f aca="false">Data_Monthly!A63</f>
        <v>46081</v>
      </c>
      <c r="B33" s="12" t="n">
        <f aca="false">Data_Monthly!K63</f>
        <v>0.938444931984428</v>
      </c>
      <c r="C33" s="13" t="n">
        <f aca="false">IF($A33&gt;=$U$5,1,0)</f>
        <v>1</v>
      </c>
      <c r="D33" s="13" t="n">
        <f aca="false">IF(MONTH($A33)=2,1,0)</f>
        <v>1</v>
      </c>
      <c r="E33" s="13" t="n">
        <f aca="false">IF(MONTH($A33)=3,1,0)</f>
        <v>0</v>
      </c>
      <c r="F33" s="13" t="n">
        <f aca="false">IF(MONTH($A33)=4,1,0)</f>
        <v>0</v>
      </c>
      <c r="G33" s="13" t="n">
        <f aca="false">IF(MONTH($A33)=5,1,0)</f>
        <v>0</v>
      </c>
      <c r="H33" s="13" t="n">
        <f aca="false">IF(MONTH($A33)=6,1,0)</f>
        <v>0</v>
      </c>
      <c r="I33" s="13" t="n">
        <f aca="false">IF(MONTH($A33)=7,1,0)</f>
        <v>0</v>
      </c>
      <c r="J33" s="13" t="n">
        <f aca="false">IF(MONTH($A33)=8,1,0)</f>
        <v>0</v>
      </c>
      <c r="K33" s="13" t="n">
        <f aca="false">IF(MONTH($A33)=9,1,0)</f>
        <v>0</v>
      </c>
      <c r="L33" s="13" t="n">
        <f aca="false">IF(MONTH($A33)=10,1,0)</f>
        <v>0</v>
      </c>
      <c r="M33" s="13" t="n">
        <f aca="false">IF(MONTH($A33)=11,1,0)</f>
        <v>0</v>
      </c>
      <c r="N33" s="13" t="n">
        <f aca="false">IF(MONTH($A33)=12,1,0)</f>
        <v>0</v>
      </c>
    </row>
    <row r="34" customFormat="false" ht="15" hidden="false" customHeight="false" outlineLevel="0" collapsed="false">
      <c r="A34" s="11" t="n">
        <f aca="false">Data_Monthly!A64</f>
        <v>46112</v>
      </c>
      <c r="B34" s="12" t="n">
        <f aca="false">Data_Monthly!K64</f>
        <v>3.62640347481804</v>
      </c>
      <c r="C34" s="13" t="n">
        <f aca="false">IF($A34&gt;=$U$5,1,0)</f>
        <v>1</v>
      </c>
      <c r="D34" s="13" t="n">
        <f aca="false">IF(MONTH($A34)=2,1,0)</f>
        <v>0</v>
      </c>
      <c r="E34" s="13" t="n">
        <f aca="false">IF(MONTH($A34)=3,1,0)</f>
        <v>1</v>
      </c>
      <c r="F34" s="13" t="n">
        <f aca="false">IF(MONTH($A34)=4,1,0)</f>
        <v>0</v>
      </c>
      <c r="G34" s="13" t="n">
        <f aca="false">IF(MONTH($A34)=5,1,0)</f>
        <v>0</v>
      </c>
      <c r="H34" s="13" t="n">
        <f aca="false">IF(MONTH($A34)=6,1,0)</f>
        <v>0</v>
      </c>
      <c r="I34" s="13" t="n">
        <f aca="false">IF(MONTH($A34)=7,1,0)</f>
        <v>0</v>
      </c>
      <c r="J34" s="13" t="n">
        <f aca="false">IF(MONTH($A34)=8,1,0)</f>
        <v>0</v>
      </c>
      <c r="K34" s="13" t="n">
        <f aca="false">IF(MONTH($A34)=9,1,0)</f>
        <v>0</v>
      </c>
      <c r="L34" s="13" t="n">
        <f aca="false">IF(MONTH($A34)=10,1,0)</f>
        <v>0</v>
      </c>
      <c r="M34" s="13" t="n">
        <f aca="false">IF(MONTH($A34)=11,1,0)</f>
        <v>0</v>
      </c>
      <c r="N34" s="13" t="n">
        <f aca="false">IF(MONTH($A34)=12,1,0)</f>
        <v>0</v>
      </c>
    </row>
    <row r="35" customFormat="false" ht="15" hidden="false" customHeight="false" outlineLevel="0" collapsed="false">
      <c r="A35" s="11" t="n">
        <f aca="false">Data_Monthly!A65</f>
        <v>46142</v>
      </c>
      <c r="B35" s="12" t="n">
        <f aca="false">Data_Monthly!K65</f>
        <v>0.426061744126827</v>
      </c>
      <c r="C35" s="13" t="n">
        <f aca="false">IF($A35&gt;=$U$5,1,0)</f>
        <v>1</v>
      </c>
      <c r="D35" s="13" t="n">
        <f aca="false">IF(MONTH($A35)=2,1,0)</f>
        <v>0</v>
      </c>
      <c r="E35" s="13" t="n">
        <f aca="false">IF(MONTH($A35)=3,1,0)</f>
        <v>0</v>
      </c>
      <c r="F35" s="13" t="n">
        <f aca="false">IF(MONTH($A35)=4,1,0)</f>
        <v>1</v>
      </c>
      <c r="G35" s="13" t="n">
        <f aca="false">IF(MONTH($A35)=5,1,0)</f>
        <v>0</v>
      </c>
      <c r="H35" s="13" t="n">
        <f aca="false">IF(MONTH($A35)=6,1,0)</f>
        <v>0</v>
      </c>
      <c r="I35" s="13" t="n">
        <f aca="false">IF(MONTH($A35)=7,1,0)</f>
        <v>0</v>
      </c>
      <c r="J35" s="13" t="n">
        <f aca="false">IF(MONTH($A35)=8,1,0)</f>
        <v>0</v>
      </c>
      <c r="K35" s="13" t="n">
        <f aca="false">IF(MONTH($A35)=9,1,0)</f>
        <v>0</v>
      </c>
      <c r="L35" s="13" t="n">
        <f aca="false">IF(MONTH($A35)=10,1,0)</f>
        <v>0</v>
      </c>
      <c r="M35" s="13" t="n">
        <f aca="false">IF(MONTH($A35)=11,1,0)</f>
        <v>0</v>
      </c>
      <c r="N35" s="13" t="n">
        <f aca="false">IF(MONTH($A35)=12,1,0)</f>
        <v>0</v>
      </c>
    </row>
    <row r="36" customFormat="false" ht="15" hidden="false" customHeight="false" outlineLevel="0" collapsed="false">
      <c r="A36" s="11" t="n">
        <f aca="false">Data_Monthly!A66</f>
        <v>46173</v>
      </c>
      <c r="B36" s="12" t="n">
        <f aca="false">Data_Monthly!K66</f>
        <v>0.471622007274952</v>
      </c>
      <c r="C36" s="13" t="n">
        <f aca="false">IF($A36&gt;=$U$5,1,0)</f>
        <v>1</v>
      </c>
      <c r="D36" s="13" t="n">
        <f aca="false">IF(MONTH($A36)=2,1,0)</f>
        <v>0</v>
      </c>
      <c r="E36" s="13" t="n">
        <f aca="false">IF(MONTH($A36)=3,1,0)</f>
        <v>0</v>
      </c>
      <c r="F36" s="13" t="n">
        <f aca="false">IF(MONTH($A36)=4,1,0)</f>
        <v>0</v>
      </c>
      <c r="G36" s="13" t="n">
        <f aca="false">IF(MONTH($A36)=5,1,0)</f>
        <v>1</v>
      </c>
      <c r="H36" s="13" t="n">
        <f aca="false">IF(MONTH($A36)=6,1,0)</f>
        <v>0</v>
      </c>
      <c r="I36" s="13" t="n">
        <f aca="false">IF(MONTH($A36)=7,1,0)</f>
        <v>0</v>
      </c>
      <c r="J36" s="13" t="n">
        <f aca="false">IF(MONTH($A36)=8,1,0)</f>
        <v>0</v>
      </c>
      <c r="K36" s="13" t="n">
        <f aca="false">IF(MONTH($A36)=9,1,0)</f>
        <v>0</v>
      </c>
      <c r="L36" s="13" t="n">
        <f aca="false">IF(MONTH($A36)=10,1,0)</f>
        <v>0</v>
      </c>
      <c r="M36" s="13" t="n">
        <f aca="false">IF(MONTH($A36)=11,1,0)</f>
        <v>0</v>
      </c>
      <c r="N36" s="13" t="n">
        <f aca="false">IF(MONTH($A36)=12,1,0)</f>
        <v>0</v>
      </c>
    </row>
    <row r="37" customFormat="false" ht="15" hidden="false" customHeight="false" outlineLevel="0" collapsed="false">
      <c r="A37" s="11" t="n">
        <f aca="false">Data_Monthly!A67</f>
        <v>46203</v>
      </c>
      <c r="B37" s="12" t="n">
        <f aca="false">Data_Monthly!K67</f>
        <v>-0.79049401684923</v>
      </c>
      <c r="C37" s="13" t="n">
        <f aca="false">IF($A37&gt;=$U$5,1,0)</f>
        <v>1</v>
      </c>
      <c r="D37" s="13" t="n">
        <f aca="false">IF(MONTH($A37)=2,1,0)</f>
        <v>0</v>
      </c>
      <c r="E37" s="13" t="n">
        <f aca="false">IF(MONTH($A37)=3,1,0)</f>
        <v>0</v>
      </c>
      <c r="F37" s="13" t="n">
        <f aca="false">IF(MONTH($A37)=4,1,0)</f>
        <v>0</v>
      </c>
      <c r="G37" s="13" t="n">
        <f aca="false">IF(MONTH($A37)=5,1,0)</f>
        <v>0</v>
      </c>
      <c r="H37" s="13" t="n">
        <f aca="false">IF(MONTH($A37)=6,1,0)</f>
        <v>1</v>
      </c>
      <c r="I37" s="13" t="n">
        <f aca="false">IF(MONTH($A37)=7,1,0)</f>
        <v>0</v>
      </c>
      <c r="J37" s="13" t="n">
        <f aca="false">IF(MONTH($A37)=8,1,0)</f>
        <v>0</v>
      </c>
      <c r="K37" s="13" t="n">
        <f aca="false">IF(MONTH($A37)=9,1,0)</f>
        <v>0</v>
      </c>
      <c r="L37" s="13" t="n">
        <f aca="false">IF(MONTH($A37)=10,1,0)</f>
        <v>0</v>
      </c>
      <c r="M37" s="13" t="n">
        <f aca="false">IF(MONTH($A37)=11,1,0)</f>
        <v>0</v>
      </c>
      <c r="N37" s="13" t="n">
        <f aca="false">IF(MONTH($A37)=12,1,0)</f>
        <v>0</v>
      </c>
    </row>
    <row r="38" customFormat="false" ht="15" hidden="false" customHeight="false" outlineLevel="0" collapsed="false">
      <c r="A38" s="11" t="n">
        <f aca="false">Data_Monthly!A68</f>
        <v>46234</v>
      </c>
      <c r="B38" s="12" t="n">
        <f aca="false">Data_Monthly!K68</f>
        <v>-0.354654006478761</v>
      </c>
      <c r="C38" s="13" t="n">
        <f aca="false">IF($A38&gt;=$U$5,1,0)</f>
        <v>1</v>
      </c>
      <c r="D38" s="13" t="n">
        <f aca="false">IF(MONTH($A38)=2,1,0)</f>
        <v>0</v>
      </c>
      <c r="E38" s="13" t="n">
        <f aca="false">IF(MONTH($A38)=3,1,0)</f>
        <v>0</v>
      </c>
      <c r="F38" s="13" t="n">
        <f aca="false">IF(MONTH($A38)=4,1,0)</f>
        <v>0</v>
      </c>
      <c r="G38" s="13" t="n">
        <f aca="false">IF(MONTH($A38)=5,1,0)</f>
        <v>0</v>
      </c>
      <c r="H38" s="13" t="n">
        <f aca="false">IF(MONTH($A38)=6,1,0)</f>
        <v>0</v>
      </c>
      <c r="I38" s="13" t="n">
        <f aca="false">IF(MONTH($A38)=7,1,0)</f>
        <v>1</v>
      </c>
      <c r="J38" s="13" t="n">
        <f aca="false">IF(MONTH($A38)=8,1,0)</f>
        <v>0</v>
      </c>
      <c r="K38" s="13" t="n">
        <f aca="false">IF(MONTH($A38)=9,1,0)</f>
        <v>0</v>
      </c>
      <c r="L38" s="13" t="n">
        <f aca="false">IF(MONTH($A38)=10,1,0)</f>
        <v>0</v>
      </c>
      <c r="M38" s="13" t="n">
        <f aca="false">IF(MONTH($A38)=11,1,0)</f>
        <v>0</v>
      </c>
      <c r="N38" s="13" t="n">
        <f aca="false">IF(MONTH($A38)=12,1,0)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14" min="6" style="0" width="5"/>
    <col collapsed="false" customWidth="true" hidden="false" outlineLevel="0" max="16" min="15" style="0" width="8"/>
    <col collapsed="false" customWidth="true" hidden="false" outlineLevel="0" max="18" min="17" style="0" width="9"/>
    <col collapsed="false" customWidth="true" hidden="false" outlineLevel="0" max="19" min="19" style="0" width="2"/>
    <col collapsed="false" customWidth="true" hidden="false" outlineLevel="0" max="20" min="20" style="0" width="50"/>
    <col collapsed="false" customWidth="true" hidden="false" outlineLevel="0" max="22" min="21" style="0" width="13"/>
    <col collapsed="false" customWidth="true" hidden="false" outlineLevel="0" max="23" min="23" style="0" width="2"/>
    <col collapsed="false" customWidth="true" hidden="false" outlineLevel="0" max="24" min="24" style="0" width="10"/>
    <col collapsed="false" customWidth="true" hidden="false" outlineLevel="0" max="36" min="25" style="0" width="8"/>
  </cols>
  <sheetData>
    <row r="1" customFormat="false" ht="15" hidden="false" customHeight="false" outlineLevel="0" collapsed="false">
      <c r="A1" s="1" t="s">
        <v>167</v>
      </c>
    </row>
    <row r="2" customFormat="false" ht="15" hidden="false" customHeight="false" outlineLevel="0" collapsed="false">
      <c r="A2" s="2" t="s">
        <v>168</v>
      </c>
    </row>
    <row r="4" customFormat="false" ht="42" hidden="false" customHeight="true" outlineLevel="0" collapsed="false">
      <c r="A4" s="3" t="s">
        <v>169</v>
      </c>
      <c r="B4" s="3" t="s">
        <v>170</v>
      </c>
      <c r="C4" s="3" t="s">
        <v>88</v>
      </c>
      <c r="D4" s="3" t="s">
        <v>171</v>
      </c>
      <c r="E4" s="3" t="s">
        <v>88</v>
      </c>
    </row>
    <row r="5" customFormat="false" ht="15" hidden="false" customHeight="false" outlineLevel="0" collapsed="false">
      <c r="A5" s="5" t="s">
        <v>172</v>
      </c>
      <c r="B5" s="7" t="n">
        <f aca="false">U22</f>
        <v>-0.638293429913361</v>
      </c>
      <c r="C5" s="7" t="n">
        <f aca="false">U27</f>
        <v>0.33054092651191</v>
      </c>
      <c r="D5" s="7" t="n">
        <f aca="false">U48</f>
        <v>-0.660986128971641</v>
      </c>
      <c r="E5" s="7" t="n">
        <f aca="false">U51</f>
        <v>0.324724682693798</v>
      </c>
    </row>
    <row r="6" customFormat="false" ht="15" hidden="false" customHeight="false" outlineLevel="0" collapsed="false">
      <c r="A6" s="5" t="s">
        <v>173</v>
      </c>
      <c r="B6" s="7" t="n">
        <f aca="false">U73</f>
        <v>-0.864131446552386</v>
      </c>
      <c r="C6" s="7" t="n">
        <f aca="false">U78</f>
        <v>0.00203958047387979</v>
      </c>
      <c r="D6" s="7" t="n">
        <f aca="false">U99</f>
        <v>-0.915881024912759</v>
      </c>
      <c r="E6" s="7" t="n">
        <f aca="false">U102</f>
        <v>0.0065109753051739</v>
      </c>
    </row>
    <row r="7" customFormat="false" ht="15" hidden="false" customHeight="false" outlineLevel="0" collapsed="false">
      <c r="A7" s="5" t="s">
        <v>174</v>
      </c>
      <c r="B7" s="7" t="n">
        <f aca="false">U123</f>
        <v>-0.694723236197722</v>
      </c>
      <c r="C7" s="7" t="n">
        <f aca="false">U128</f>
        <v>0.105692352404981</v>
      </c>
      <c r="D7" s="7" t="n">
        <f aca="false">U149</f>
        <v>-0.707107182565879</v>
      </c>
      <c r="E7" s="7" t="n">
        <f aca="false">U152</f>
        <v>0.104906354652841</v>
      </c>
    </row>
    <row r="8" customFormat="false" ht="15" hidden="false" customHeight="false" outlineLevel="0" collapsed="false">
      <c r="A8" s="5" t="s">
        <v>175</v>
      </c>
      <c r="B8" s="7" t="n">
        <f aca="false">U174</f>
        <v>-0.946753463640633</v>
      </c>
      <c r="C8" s="7" t="n">
        <f aca="false">U179</f>
        <v>0.017525489285178</v>
      </c>
      <c r="D8" s="7" t="n">
        <f aca="false">U200</f>
        <v>-0.986972656940344</v>
      </c>
      <c r="E8" s="7" t="n">
        <f aca="false">U203</f>
        <v>0.0314235126694144</v>
      </c>
    </row>
    <row r="9" customFormat="false" ht="15" hidden="false" customHeight="false" outlineLevel="0" collapsed="false">
      <c r="A9" s="5" t="s">
        <v>176</v>
      </c>
      <c r="B9" s="7" t="n">
        <f aca="false">U225</f>
        <v>-0.615300516312838</v>
      </c>
      <c r="C9" s="7" t="n">
        <f aca="false">U230</f>
        <v>0.118758584930702</v>
      </c>
      <c r="D9" s="7" t="n">
        <f aca="false">U251</f>
        <v>-0.654323311397505</v>
      </c>
      <c r="E9" s="7" t="n">
        <f aca="false">U254</f>
        <v>0.130962529846508</v>
      </c>
    </row>
    <row r="12" customFormat="false" ht="15" hidden="false" customHeight="false" outlineLevel="0" collapsed="false">
      <c r="A12" s="1" t="s">
        <v>172</v>
      </c>
      <c r="T12" s="6" t="s">
        <v>62</v>
      </c>
    </row>
    <row r="13" customFormat="false" ht="15" hidden="false" customHeight="false" outlineLevel="0" collapsed="false">
      <c r="A13" s="2" t="s">
        <v>63</v>
      </c>
      <c r="B13" s="7" t="n">
        <f aca="false">Y27</f>
        <v>1.27481500195383</v>
      </c>
      <c r="C13" s="7" t="n">
        <f aca="false">Y15</f>
        <v>-0.660986128971641</v>
      </c>
      <c r="D13" s="7" t="n">
        <f aca="false">Y16</f>
        <v>-1.82192647850994</v>
      </c>
      <c r="E13" s="7" t="n">
        <f aca="false">Y17</f>
        <v>0.282600578087322</v>
      </c>
      <c r="F13" s="7" t="n">
        <f aca="false">Y18</f>
        <v>-0.206502852019457</v>
      </c>
      <c r="G13" s="7" t="n">
        <f aca="false">Y19</f>
        <v>-2.45207516445904</v>
      </c>
      <c r="H13" s="7" t="n">
        <f aca="false">Y20</f>
        <v>-1.27871606074495</v>
      </c>
      <c r="I13" s="7" t="n">
        <f aca="false">Y21</f>
        <v>1.88681292288715</v>
      </c>
      <c r="J13" s="7" t="n">
        <f aca="false">Y22</f>
        <v>-0.382386850505579</v>
      </c>
      <c r="K13" s="7" t="n">
        <f aca="false">Y23</f>
        <v>-3.15061161047965</v>
      </c>
      <c r="L13" s="7" t="n">
        <f aca="false">Y24</f>
        <v>3.1737377798449</v>
      </c>
      <c r="M13" s="7" t="n">
        <f aca="false">Y25</f>
        <v>-1.82440925490127</v>
      </c>
      <c r="N13" s="7" t="n">
        <f aca="false">Y26</f>
        <v>-0.722718836777192</v>
      </c>
      <c r="T13" s="5" t="s">
        <v>64</v>
      </c>
      <c r="U13" s="8" t="n">
        <v>45260</v>
      </c>
      <c r="X13" s="9" t="s">
        <v>65</v>
      </c>
      <c r="Y13" s="10"/>
      <c r="Z13" s="10"/>
      <c r="AA13" s="10"/>
      <c r="AB13" s="10"/>
      <c r="AC13" s="10"/>
    </row>
    <row r="14" customFormat="false" ht="18" hidden="false" customHeight="true" outlineLevel="0" collapsed="false">
      <c r="A14" s="3" t="s">
        <v>66</v>
      </c>
      <c r="B14" s="3" t="s">
        <v>67</v>
      </c>
      <c r="C14" s="3" t="s">
        <v>68</v>
      </c>
      <c r="D14" s="3" t="s">
        <v>69</v>
      </c>
      <c r="E14" s="3" t="s">
        <v>70</v>
      </c>
      <c r="F14" s="3" t="s">
        <v>71</v>
      </c>
      <c r="G14" s="3" t="s">
        <v>72</v>
      </c>
      <c r="H14" s="3" t="s">
        <v>73</v>
      </c>
      <c r="I14" s="3" t="s">
        <v>74</v>
      </c>
      <c r="J14" s="3" t="s">
        <v>75</v>
      </c>
      <c r="K14" s="3" t="s">
        <v>76</v>
      </c>
      <c r="L14" s="3" t="s">
        <v>77</v>
      </c>
      <c r="M14" s="3" t="s">
        <v>78</v>
      </c>
      <c r="N14" s="3" t="s">
        <v>79</v>
      </c>
      <c r="O14" s="3" t="s">
        <v>80</v>
      </c>
      <c r="P14" s="3" t="s">
        <v>81</v>
      </c>
      <c r="Q14" s="3" t="s">
        <v>82</v>
      </c>
      <c r="T14" s="2" t="s">
        <v>177</v>
      </c>
      <c r="X14" s="3" t="s">
        <v>84</v>
      </c>
      <c r="Y14" s="3" t="s">
        <v>85</v>
      </c>
      <c r="Z14" s="3" t="s">
        <v>86</v>
      </c>
      <c r="AA14" s="3" t="s">
        <v>87</v>
      </c>
      <c r="AB14" s="3" t="s">
        <v>88</v>
      </c>
      <c r="AC14" s="3" t="s">
        <v>89</v>
      </c>
    </row>
    <row r="15" customFormat="false" ht="15" hidden="false" customHeight="false" outlineLevel="0" collapsed="false">
      <c r="A15" s="11" t="n">
        <f aca="false">Data_Monthly!A5</f>
        <v>44309</v>
      </c>
      <c r="B15" s="12" t="n">
        <f aca="false">Data_Monthly!B5-AVERAGE(Data_Monthly!D5:F5)</f>
        <v>-0.858965056732804</v>
      </c>
      <c r="C15" s="13" t="n">
        <f aca="false">IF($A15&gt;=$U$13,1,0)</f>
        <v>0</v>
      </c>
      <c r="D15" s="13" t="n">
        <f aca="false">IF(MONTH($A15)=2,1,0)</f>
        <v>0</v>
      </c>
      <c r="E15" s="13" t="n">
        <f aca="false">IF(MONTH($A15)=3,1,0)</f>
        <v>0</v>
      </c>
      <c r="F15" s="13" t="n">
        <f aca="false">IF(MONTH($A15)=4,1,0)</f>
        <v>1</v>
      </c>
      <c r="G15" s="13" t="n">
        <f aca="false">IF(MONTH($A15)=5,1,0)</f>
        <v>0</v>
      </c>
      <c r="H15" s="13" t="n">
        <f aca="false">IF(MONTH($A15)=6,1,0)</f>
        <v>0</v>
      </c>
      <c r="I15" s="13" t="n">
        <f aca="false">IF(MONTH($A15)=7,1,0)</f>
        <v>0</v>
      </c>
      <c r="J15" s="13" t="n">
        <f aca="false">IF(MONTH($A15)=8,1,0)</f>
        <v>0</v>
      </c>
      <c r="K15" s="13" t="n">
        <f aca="false">IF(MONTH($A15)=9,1,0)</f>
        <v>0</v>
      </c>
      <c r="L15" s="13" t="n">
        <f aca="false">IF(MONTH($A15)=10,1,0)</f>
        <v>0</v>
      </c>
      <c r="M15" s="13" t="n">
        <f aca="false">IF(MONTH($A15)=11,1,0)</f>
        <v>0</v>
      </c>
      <c r="N15" s="13" t="n">
        <f aca="false">IF(MONTH($A15)=12,1,0)</f>
        <v>0</v>
      </c>
      <c r="O15" s="7" t="n">
        <f aca="false">$B$13+SUMPRODUCT(C15:N15,$C$13:$N$13)</f>
        <v>1.06831214993438</v>
      </c>
      <c r="P15" s="7" t="n">
        <f aca="false">B15-O15</f>
        <v>-1.92727720666718</v>
      </c>
      <c r="Q15" s="7" t="n">
        <f aca="false">P15^2</f>
        <v>3.71439743133886</v>
      </c>
      <c r="T15" s="9" t="s">
        <v>90</v>
      </c>
      <c r="U15" s="14" t="s">
        <v>91</v>
      </c>
      <c r="V15" s="14" t="s">
        <v>92</v>
      </c>
      <c r="X15" s="5" t="s">
        <v>68</v>
      </c>
      <c r="Y15" s="7" t="n">
        <f aca="false">INDEX(LINEST(B15:B60,C15:N60,TRUE(),TRUE()),1,12)</f>
        <v>-0.660986128971641</v>
      </c>
      <c r="Z15" s="7" t="n">
        <f aca="false">INDEX(LINEST(B15:B60,C15:N60,TRUE(),TRUE()),2,12)</f>
        <v>0.661176888484005</v>
      </c>
      <c r="AA15" s="7" t="n">
        <f aca="false">Y15/Z15</f>
        <v>-0.999711484905649</v>
      </c>
      <c r="AB15" s="7" t="n">
        <f aca="false">_xlfn.T.DIST.2T(ABS(AA15),$U$33)</f>
        <v>0.324724682693798</v>
      </c>
      <c r="AC15" s="7" t="n">
        <f aca="false">INDEX(MINVERSE($Y$31:$AJ$42),1,1)</f>
        <v>1.04347826086957</v>
      </c>
    </row>
    <row r="16" customFormat="false" ht="15" hidden="false" customHeight="false" outlineLevel="0" collapsed="false">
      <c r="A16" s="11" t="n">
        <f aca="false">Data_Monthly!A6</f>
        <v>44337</v>
      </c>
      <c r="B16" s="12" t="n">
        <f aca="false">Data_Monthly!B6-AVERAGE(Data_Monthly!D6:F6)</f>
        <v>-6.87611503060825</v>
      </c>
      <c r="C16" s="13" t="n">
        <f aca="false">IF($A16&gt;=$U$13,1,0)</f>
        <v>0</v>
      </c>
      <c r="D16" s="13" t="n">
        <f aca="false">IF(MONTH($A16)=2,1,0)</f>
        <v>0</v>
      </c>
      <c r="E16" s="13" t="n">
        <f aca="false">IF(MONTH($A16)=3,1,0)</f>
        <v>0</v>
      </c>
      <c r="F16" s="13" t="n">
        <f aca="false">IF(MONTH($A16)=4,1,0)</f>
        <v>0</v>
      </c>
      <c r="G16" s="13" t="n">
        <f aca="false">IF(MONTH($A16)=5,1,0)</f>
        <v>1</v>
      </c>
      <c r="H16" s="13" t="n">
        <f aca="false">IF(MONTH($A16)=6,1,0)</f>
        <v>0</v>
      </c>
      <c r="I16" s="13" t="n">
        <f aca="false">IF(MONTH($A16)=7,1,0)</f>
        <v>0</v>
      </c>
      <c r="J16" s="13" t="n">
        <f aca="false">IF(MONTH($A16)=8,1,0)</f>
        <v>0</v>
      </c>
      <c r="K16" s="13" t="n">
        <f aca="false">IF(MONTH($A16)=9,1,0)</f>
        <v>0</v>
      </c>
      <c r="L16" s="13" t="n">
        <f aca="false">IF(MONTH($A16)=10,1,0)</f>
        <v>0</v>
      </c>
      <c r="M16" s="13" t="n">
        <f aca="false">IF(MONTH($A16)=11,1,0)</f>
        <v>0</v>
      </c>
      <c r="N16" s="13" t="n">
        <f aca="false">IF(MONTH($A16)=12,1,0)</f>
        <v>0</v>
      </c>
      <c r="O16" s="7" t="n">
        <f aca="false">$B$13+SUMPRODUCT(C16:N16,$C$13:$N$13)</f>
        <v>-1.1772601625052</v>
      </c>
      <c r="P16" s="7" t="n">
        <f aca="false">B16-O16</f>
        <v>-5.69885486810305</v>
      </c>
      <c r="Q16" s="7" t="n">
        <f aca="false">P16^2</f>
        <v>32.4769468077018</v>
      </c>
      <c r="T16" s="5" t="s">
        <v>93</v>
      </c>
      <c r="U16" s="13" t="n">
        <f aca="false">COUNT(B15:B46)</f>
        <v>32</v>
      </c>
      <c r="X16" s="5" t="s">
        <v>69</v>
      </c>
      <c r="Y16" s="7" t="n">
        <f aca="false">INDEX(LINEST(B15:B60,C15:N60,TRUE(),TRUE()),1,11)</f>
        <v>-1.82192647850994</v>
      </c>
      <c r="Z16" s="7" t="n">
        <f aca="false">INDEX(LINEST(B15:B60,C15:N60,TRUE(),TRUE()),2,11)</f>
        <v>1.54667664274335</v>
      </c>
      <c r="AA16" s="7" t="n">
        <f aca="false">Y16/Z16</f>
        <v>-1.17796210801916</v>
      </c>
      <c r="AB16" s="7" t="n">
        <f aca="false">_xlfn.T.DIST.2T(ABS(AA16),$U$33)</f>
        <v>0.247236986552105</v>
      </c>
      <c r="AC16" s="7" t="n">
        <f aca="false">INDEX(MINVERSE($Y$31:$AJ$42),2,2)</f>
        <v>1.64421583850932</v>
      </c>
    </row>
    <row r="17" customFormat="false" ht="15" hidden="false" customHeight="false" outlineLevel="0" collapsed="false">
      <c r="A17" s="11" t="n">
        <f aca="false">Data_Monthly!A7</f>
        <v>44365</v>
      </c>
      <c r="B17" s="12" t="n">
        <f aca="false">Data_Monthly!B7-AVERAGE(Data_Monthly!D7:F7)</f>
        <v>-1.06372453456807</v>
      </c>
      <c r="C17" s="13" t="n">
        <f aca="false">IF($A17&gt;=$U$13,1,0)</f>
        <v>0</v>
      </c>
      <c r="D17" s="13" t="n">
        <f aca="false">IF(MONTH($A17)=2,1,0)</f>
        <v>0</v>
      </c>
      <c r="E17" s="13" t="n">
        <f aca="false">IF(MONTH($A17)=3,1,0)</f>
        <v>0</v>
      </c>
      <c r="F17" s="13" t="n">
        <f aca="false">IF(MONTH($A17)=4,1,0)</f>
        <v>0</v>
      </c>
      <c r="G17" s="13" t="n">
        <f aca="false">IF(MONTH($A17)=5,1,0)</f>
        <v>0</v>
      </c>
      <c r="H17" s="13" t="n">
        <f aca="false">IF(MONTH($A17)=6,1,0)</f>
        <v>1</v>
      </c>
      <c r="I17" s="13" t="n">
        <f aca="false">IF(MONTH($A17)=7,1,0)</f>
        <v>0</v>
      </c>
      <c r="J17" s="13" t="n">
        <f aca="false">IF(MONTH($A17)=8,1,0)</f>
        <v>0</v>
      </c>
      <c r="K17" s="13" t="n">
        <f aca="false">IF(MONTH($A17)=9,1,0)</f>
        <v>0</v>
      </c>
      <c r="L17" s="13" t="n">
        <f aca="false">IF(MONTH($A17)=10,1,0)</f>
        <v>0</v>
      </c>
      <c r="M17" s="13" t="n">
        <f aca="false">IF(MONTH($A17)=11,1,0)</f>
        <v>0</v>
      </c>
      <c r="N17" s="13" t="n">
        <f aca="false">IF(MONTH($A17)=12,1,0)</f>
        <v>0</v>
      </c>
      <c r="O17" s="7" t="n">
        <f aca="false">$B$13+SUMPRODUCT(C17:N17,$C$13:$N$13)</f>
        <v>-0.00390105879111791</v>
      </c>
      <c r="P17" s="7" t="n">
        <f aca="false">B17-O17</f>
        <v>-1.05982347577695</v>
      </c>
      <c r="Q17" s="7" t="n">
        <f aca="false">P17^2</f>
        <v>1.12322579980793</v>
      </c>
      <c r="T17" s="5" t="s">
        <v>94</v>
      </c>
      <c r="U17" s="13" t="n">
        <f aca="false">COUNT(B47:B60)</f>
        <v>14</v>
      </c>
      <c r="X17" s="5" t="s">
        <v>70</v>
      </c>
      <c r="Y17" s="7" t="n">
        <f aca="false">INDEX(LINEST(B15:B60,C15:N60,TRUE(),TRUE()),1,10)</f>
        <v>0.282600578087322</v>
      </c>
      <c r="Z17" s="7" t="n">
        <f aca="false">INDEX(LINEST(B15:B60,C15:N60,TRUE(),TRUE()),2,10)</f>
        <v>1.54667664274335</v>
      </c>
      <c r="AA17" s="7" t="n">
        <f aca="false">Y17/Z17</f>
        <v>0.18271471248578</v>
      </c>
      <c r="AB17" s="7" t="n">
        <f aca="false">_xlfn.T.DIST.2T(ABS(AA17),$U$33)</f>
        <v>0.856139774108018</v>
      </c>
      <c r="AC17" s="7" t="n">
        <f aca="false">INDEX(MINVERSE($Y$31:$AJ$42),3,3)</f>
        <v>1.64421583850932</v>
      </c>
    </row>
    <row r="18" customFormat="false" ht="15" hidden="false" customHeight="false" outlineLevel="0" collapsed="false">
      <c r="A18" s="11" t="n">
        <f aca="false">Data_Monthly!A8</f>
        <v>44407</v>
      </c>
      <c r="B18" s="12" t="n">
        <f aca="false">Data_Monthly!B8-AVERAGE(Data_Monthly!D8:F8)</f>
        <v>7.22018539987304</v>
      </c>
      <c r="C18" s="13" t="n">
        <f aca="false">IF($A18&gt;=$U$13,1,0)</f>
        <v>0</v>
      </c>
      <c r="D18" s="13" t="n">
        <f aca="false">IF(MONTH($A18)=2,1,0)</f>
        <v>0</v>
      </c>
      <c r="E18" s="13" t="n">
        <f aca="false">IF(MONTH($A18)=3,1,0)</f>
        <v>0</v>
      </c>
      <c r="F18" s="13" t="n">
        <f aca="false">IF(MONTH($A18)=4,1,0)</f>
        <v>0</v>
      </c>
      <c r="G18" s="13" t="n">
        <f aca="false">IF(MONTH($A18)=5,1,0)</f>
        <v>0</v>
      </c>
      <c r="H18" s="13" t="n">
        <f aca="false">IF(MONTH($A18)=6,1,0)</f>
        <v>0</v>
      </c>
      <c r="I18" s="13" t="n">
        <f aca="false">IF(MONTH($A18)=7,1,0)</f>
        <v>1</v>
      </c>
      <c r="J18" s="13" t="n">
        <f aca="false">IF(MONTH($A18)=8,1,0)</f>
        <v>0</v>
      </c>
      <c r="K18" s="13" t="n">
        <f aca="false">IF(MONTH($A18)=9,1,0)</f>
        <v>0</v>
      </c>
      <c r="L18" s="13" t="n">
        <f aca="false">IF(MONTH($A18)=10,1,0)</f>
        <v>0</v>
      </c>
      <c r="M18" s="13" t="n">
        <f aca="false">IF(MONTH($A18)=11,1,0)</f>
        <v>0</v>
      </c>
      <c r="N18" s="13" t="n">
        <f aca="false">IF(MONTH($A18)=12,1,0)</f>
        <v>0</v>
      </c>
      <c r="O18" s="7" t="n">
        <f aca="false">$B$13+SUMPRODUCT(C18:N18,$C$13:$N$13)</f>
        <v>3.16162792484098</v>
      </c>
      <c r="P18" s="7" t="n">
        <f aca="false">B18-O18</f>
        <v>4.05855747503206</v>
      </c>
      <c r="Q18" s="7" t="n">
        <f aca="false">P18^2</f>
        <v>16.4718887781386</v>
      </c>
      <c r="T18" s="5" t="s">
        <v>95</v>
      </c>
      <c r="U18" s="7" t="n">
        <f aca="false">AVERAGE(B15:B46)</f>
        <v>0.736485541155919</v>
      </c>
      <c r="X18" s="5" t="s">
        <v>71</v>
      </c>
      <c r="Y18" s="7" t="n">
        <f aca="false">INDEX(LINEST(B15:B60,C15:N60,TRUE(),TRUE()),1,9)</f>
        <v>-0.206502852019457</v>
      </c>
      <c r="Z18" s="7" t="n">
        <f aca="false">INDEX(LINEST(B15:B60,C15:N60,TRUE(),TRUE()),2,9)</f>
        <v>1.43783805644855</v>
      </c>
      <c r="AA18" s="7" t="n">
        <f aca="false">Y18/Z18</f>
        <v>-0.143620382763771</v>
      </c>
      <c r="AB18" s="7" t="n">
        <f aca="false">_xlfn.T.DIST.2T(ABS(AA18),$U$33)</f>
        <v>0.886673692580027</v>
      </c>
      <c r="AC18" s="7" t="n">
        <f aca="false">INDEX(MINVERSE($Y$31:$AJ$42),4,4)</f>
        <v>1.85054347826087</v>
      </c>
    </row>
    <row r="19" customFormat="false" ht="15" hidden="false" customHeight="false" outlineLevel="0" collapsed="false">
      <c r="A19" s="11" t="n">
        <f aca="false">Data_Monthly!A9</f>
        <v>44435</v>
      </c>
      <c r="B19" s="12" t="n">
        <f aca="false">Data_Monthly!B9-AVERAGE(Data_Monthly!D9:F9)</f>
        <v>2.54528406279994</v>
      </c>
      <c r="C19" s="13" t="n">
        <f aca="false">IF($A19&gt;=$U$13,1,0)</f>
        <v>0</v>
      </c>
      <c r="D19" s="13" t="n">
        <f aca="false">IF(MONTH($A19)=2,1,0)</f>
        <v>0</v>
      </c>
      <c r="E19" s="13" t="n">
        <f aca="false">IF(MONTH($A19)=3,1,0)</f>
        <v>0</v>
      </c>
      <c r="F19" s="13" t="n">
        <f aca="false">IF(MONTH($A19)=4,1,0)</f>
        <v>0</v>
      </c>
      <c r="G19" s="13" t="n">
        <f aca="false">IF(MONTH($A19)=5,1,0)</f>
        <v>0</v>
      </c>
      <c r="H19" s="13" t="n">
        <f aca="false">IF(MONTH($A19)=6,1,0)</f>
        <v>0</v>
      </c>
      <c r="I19" s="13" t="n">
        <f aca="false">IF(MONTH($A19)=7,1,0)</f>
        <v>0</v>
      </c>
      <c r="J19" s="13" t="n">
        <f aca="false">IF(MONTH($A19)=8,1,0)</f>
        <v>1</v>
      </c>
      <c r="K19" s="13" t="n">
        <f aca="false">IF(MONTH($A19)=9,1,0)</f>
        <v>0</v>
      </c>
      <c r="L19" s="13" t="n">
        <f aca="false">IF(MONTH($A19)=10,1,0)</f>
        <v>0</v>
      </c>
      <c r="M19" s="13" t="n">
        <f aca="false">IF(MONTH($A19)=11,1,0)</f>
        <v>0</v>
      </c>
      <c r="N19" s="13" t="n">
        <f aca="false">IF(MONTH($A19)=12,1,0)</f>
        <v>0</v>
      </c>
      <c r="O19" s="7" t="n">
        <f aca="false">$B$13+SUMPRODUCT(C19:N19,$C$13:$N$13)</f>
        <v>0.892428151448256</v>
      </c>
      <c r="P19" s="7" t="n">
        <f aca="false">B19-O19</f>
        <v>1.65285591135168</v>
      </c>
      <c r="Q19" s="7" t="n">
        <f aca="false">P19^2</f>
        <v>2.7319326636902</v>
      </c>
      <c r="T19" s="5" t="s">
        <v>96</v>
      </c>
      <c r="U19" s="7" t="n">
        <f aca="false">AVERAGE(B47:B60)</f>
        <v>0.0981921112425576</v>
      </c>
      <c r="X19" s="5" t="s">
        <v>72</v>
      </c>
      <c r="Y19" s="7" t="n">
        <f aca="false">INDEX(LINEST(B15:B60,C15:N60,TRUE(),TRUE()),1,8)</f>
        <v>-2.45207516445904</v>
      </c>
      <c r="Z19" s="7" t="n">
        <f aca="false">INDEX(LINEST(B15:B60,C15:N60,TRUE(),TRUE()),2,8)</f>
        <v>1.43783805644855</v>
      </c>
      <c r="AA19" s="7" t="n">
        <f aca="false">Y19/Z19</f>
        <v>-1.70539036260846</v>
      </c>
      <c r="AB19" s="7" t="n">
        <f aca="false">_xlfn.T.DIST.2T(ABS(AA19),$U$33)</f>
        <v>0.0975192856727998</v>
      </c>
      <c r="AC19" s="7" t="n">
        <f aca="false">INDEX(MINVERSE($Y$31:$AJ$42),5,5)</f>
        <v>1.85054347826087</v>
      </c>
    </row>
    <row r="20" customFormat="false" ht="15" hidden="false" customHeight="false" outlineLevel="0" collapsed="false">
      <c r="A20" s="11" t="n">
        <f aca="false">Data_Monthly!A10</f>
        <v>44463</v>
      </c>
      <c r="B20" s="12" t="n">
        <f aca="false">Data_Monthly!B10-AVERAGE(Data_Monthly!D10:F10)</f>
        <v>-1.28730551946982</v>
      </c>
      <c r="C20" s="13" t="n">
        <f aca="false">IF($A20&gt;=$U$13,1,0)</f>
        <v>0</v>
      </c>
      <c r="D20" s="13" t="n">
        <f aca="false">IF(MONTH($A20)=2,1,0)</f>
        <v>0</v>
      </c>
      <c r="E20" s="13" t="n">
        <f aca="false">IF(MONTH($A20)=3,1,0)</f>
        <v>0</v>
      </c>
      <c r="F20" s="13" t="n">
        <f aca="false">IF(MONTH($A20)=4,1,0)</f>
        <v>0</v>
      </c>
      <c r="G20" s="13" t="n">
        <f aca="false">IF(MONTH($A20)=5,1,0)</f>
        <v>0</v>
      </c>
      <c r="H20" s="13" t="n">
        <f aca="false">IF(MONTH($A20)=6,1,0)</f>
        <v>0</v>
      </c>
      <c r="I20" s="13" t="n">
        <f aca="false">IF(MONTH($A20)=7,1,0)</f>
        <v>0</v>
      </c>
      <c r="J20" s="13" t="n">
        <f aca="false">IF(MONTH($A20)=8,1,0)</f>
        <v>0</v>
      </c>
      <c r="K20" s="13" t="n">
        <f aca="false">IF(MONTH($A20)=9,1,0)</f>
        <v>1</v>
      </c>
      <c r="L20" s="13" t="n">
        <f aca="false">IF(MONTH($A20)=10,1,0)</f>
        <v>0</v>
      </c>
      <c r="M20" s="13" t="n">
        <f aca="false">IF(MONTH($A20)=11,1,0)</f>
        <v>0</v>
      </c>
      <c r="N20" s="13" t="n">
        <f aca="false">IF(MONTH($A20)=12,1,0)</f>
        <v>0</v>
      </c>
      <c r="O20" s="7" t="n">
        <f aca="false">$B$13+SUMPRODUCT(C20:N20,$C$13:$N$13)</f>
        <v>-1.87579660852581</v>
      </c>
      <c r="P20" s="7" t="n">
        <f aca="false">B20-O20</f>
        <v>0.588491089055993</v>
      </c>
      <c r="Q20" s="7" t="n">
        <f aca="false">P20^2</f>
        <v>0.346321761898309</v>
      </c>
      <c r="T20" s="5" t="s">
        <v>97</v>
      </c>
      <c r="U20" s="7" t="n">
        <f aca="false">_xlfn.STDEV.S(B15:B46)</f>
        <v>2.78528451517575</v>
      </c>
      <c r="X20" s="5" t="s">
        <v>73</v>
      </c>
      <c r="Y20" s="7" t="n">
        <f aca="false">INDEX(LINEST(B15:B60,C15:N60,TRUE(),TRUE()),1,7)</f>
        <v>-1.27871606074495</v>
      </c>
      <c r="Z20" s="7" t="n">
        <f aca="false">INDEX(LINEST(B15:B60,C15:N60,TRUE(),TRUE()),2,7)</f>
        <v>1.43783805644855</v>
      </c>
      <c r="AA20" s="7" t="n">
        <f aca="false">Y20/Z20</f>
        <v>-0.889332463423157</v>
      </c>
      <c r="AB20" s="7" t="n">
        <f aca="false">_xlfn.T.DIST.2T(ABS(AA20),$U$33)</f>
        <v>0.380261812212857</v>
      </c>
      <c r="AC20" s="7" t="n">
        <f aca="false">INDEX(MINVERSE($Y$31:$AJ$42),6,6)</f>
        <v>1.85054347826087</v>
      </c>
    </row>
    <row r="21" customFormat="false" ht="15" hidden="false" customHeight="false" outlineLevel="0" collapsed="false">
      <c r="A21" s="11" t="n">
        <f aca="false">Data_Monthly!A11</f>
        <v>44491</v>
      </c>
      <c r="B21" s="12" t="n">
        <f aca="false">Data_Monthly!B11-AVERAGE(Data_Monthly!D11:F11)</f>
        <v>4.88232793228214</v>
      </c>
      <c r="C21" s="13" t="n">
        <f aca="false">IF($A21&gt;=$U$13,1,0)</f>
        <v>0</v>
      </c>
      <c r="D21" s="13" t="n">
        <f aca="false">IF(MONTH($A21)=2,1,0)</f>
        <v>0</v>
      </c>
      <c r="E21" s="13" t="n">
        <f aca="false">IF(MONTH($A21)=3,1,0)</f>
        <v>0</v>
      </c>
      <c r="F21" s="13" t="n">
        <f aca="false">IF(MONTH($A21)=4,1,0)</f>
        <v>0</v>
      </c>
      <c r="G21" s="13" t="n">
        <f aca="false">IF(MONTH($A21)=5,1,0)</f>
        <v>0</v>
      </c>
      <c r="H21" s="13" t="n">
        <f aca="false">IF(MONTH($A21)=6,1,0)</f>
        <v>0</v>
      </c>
      <c r="I21" s="13" t="n">
        <f aca="false">IF(MONTH($A21)=7,1,0)</f>
        <v>0</v>
      </c>
      <c r="J21" s="13" t="n">
        <f aca="false">IF(MONTH($A21)=8,1,0)</f>
        <v>0</v>
      </c>
      <c r="K21" s="13" t="n">
        <f aca="false">IF(MONTH($A21)=9,1,0)</f>
        <v>0</v>
      </c>
      <c r="L21" s="13" t="n">
        <f aca="false">IF(MONTH($A21)=10,1,0)</f>
        <v>1</v>
      </c>
      <c r="M21" s="13" t="n">
        <f aca="false">IF(MONTH($A21)=11,1,0)</f>
        <v>0</v>
      </c>
      <c r="N21" s="13" t="n">
        <f aca="false">IF(MONTH($A21)=12,1,0)</f>
        <v>0</v>
      </c>
      <c r="O21" s="7" t="n">
        <f aca="false">$B$13+SUMPRODUCT(C21:N21,$C$13:$N$13)</f>
        <v>4.44855278179874</v>
      </c>
      <c r="P21" s="7" t="n">
        <f aca="false">B21-O21</f>
        <v>0.433775150483402</v>
      </c>
      <c r="Q21" s="7" t="n">
        <f aca="false">P21^2</f>
        <v>0.188160881176898</v>
      </c>
      <c r="T21" s="5" t="s">
        <v>98</v>
      </c>
      <c r="U21" s="7" t="n">
        <f aca="false">_xlfn.STDEV.S(B47:B60)</f>
        <v>1.57722791459487</v>
      </c>
      <c r="X21" s="5" t="s">
        <v>74</v>
      </c>
      <c r="Y21" s="7" t="n">
        <f aca="false">INDEX(LINEST(B15:B60,C15:N60,TRUE(),TRUE()),1,6)</f>
        <v>1.88681292288715</v>
      </c>
      <c r="Z21" s="7" t="n">
        <f aca="false">INDEX(LINEST(B15:B60,C15:N60,TRUE(),TRUE()),2,6)</f>
        <v>1.43783805644855</v>
      </c>
      <c r="AA21" s="7" t="n">
        <f aca="false">Y21/Z21</f>
        <v>1.31225690850579</v>
      </c>
      <c r="AB21" s="7" t="n">
        <f aca="false">_xlfn.T.DIST.2T(ABS(AA21),$U$33)</f>
        <v>0.198488245599908</v>
      </c>
      <c r="AC21" s="7" t="n">
        <f aca="false">INDEX(MINVERSE($Y$31:$AJ$42),7,7)</f>
        <v>1.85054347826087</v>
      </c>
    </row>
    <row r="22" customFormat="false" ht="15" hidden="false" customHeight="false" outlineLevel="0" collapsed="false">
      <c r="A22" s="11" t="n">
        <f aca="false">Data_Monthly!A12</f>
        <v>44519</v>
      </c>
      <c r="B22" s="12" t="n">
        <f aca="false">Data_Monthly!B12-AVERAGE(Data_Monthly!D12:F12)</f>
        <v>-0.879766407192524</v>
      </c>
      <c r="C22" s="13" t="n">
        <f aca="false">IF($A22&gt;=$U$13,1,0)</f>
        <v>0</v>
      </c>
      <c r="D22" s="13" t="n">
        <f aca="false">IF(MONTH($A22)=2,1,0)</f>
        <v>0</v>
      </c>
      <c r="E22" s="13" t="n">
        <f aca="false">IF(MONTH($A22)=3,1,0)</f>
        <v>0</v>
      </c>
      <c r="F22" s="13" t="n">
        <f aca="false">IF(MONTH($A22)=4,1,0)</f>
        <v>0</v>
      </c>
      <c r="G22" s="13" t="n">
        <f aca="false">IF(MONTH($A22)=5,1,0)</f>
        <v>0</v>
      </c>
      <c r="H22" s="13" t="n">
        <f aca="false">IF(MONTH($A22)=6,1,0)</f>
        <v>0</v>
      </c>
      <c r="I22" s="13" t="n">
        <f aca="false">IF(MONTH($A22)=7,1,0)</f>
        <v>0</v>
      </c>
      <c r="J22" s="13" t="n">
        <f aca="false">IF(MONTH($A22)=8,1,0)</f>
        <v>0</v>
      </c>
      <c r="K22" s="13" t="n">
        <f aca="false">IF(MONTH($A22)=9,1,0)</f>
        <v>0</v>
      </c>
      <c r="L22" s="13" t="n">
        <f aca="false">IF(MONTH($A22)=10,1,0)</f>
        <v>0</v>
      </c>
      <c r="M22" s="13" t="n">
        <f aca="false">IF(MONTH($A22)=11,1,0)</f>
        <v>1</v>
      </c>
      <c r="N22" s="13" t="n">
        <f aca="false">IF(MONTH($A22)=12,1,0)</f>
        <v>0</v>
      </c>
      <c r="O22" s="7" t="n">
        <f aca="false">$B$13+SUMPRODUCT(C22:N22,$C$13:$N$13)</f>
        <v>-0.549594252947434</v>
      </c>
      <c r="P22" s="7" t="n">
        <f aca="false">B22-O22</f>
        <v>-0.330172154245091</v>
      </c>
      <c r="Q22" s="7" t="n">
        <f aca="false">P22^2</f>
        <v>0.109013651438844</v>
      </c>
      <c r="T22" s="5" t="s">
        <v>99</v>
      </c>
      <c r="U22" s="7" t="n">
        <f aca="false">$U$19-$U$18</f>
        <v>-0.638293429913361</v>
      </c>
      <c r="V22" s="16" t="n">
        <v>-0.638293429913361</v>
      </c>
      <c r="X22" s="5" t="s">
        <v>75</v>
      </c>
      <c r="Y22" s="7" t="n">
        <f aca="false">INDEX(LINEST(B15:B60,C15:N60,TRUE(),TRUE()),1,5)</f>
        <v>-0.382386850505579</v>
      </c>
      <c r="Z22" s="7" t="n">
        <f aca="false">INDEX(LINEST(B15:B60,C15:N60,TRUE(),TRUE()),2,5)</f>
        <v>1.43783805644855</v>
      </c>
      <c r="AA22" s="7" t="n">
        <f aca="false">Y22/Z22</f>
        <v>-0.265945701458252</v>
      </c>
      <c r="AB22" s="7" t="n">
        <f aca="false">_xlfn.T.DIST.2T(ABS(AA22),$U$33)</f>
        <v>0.791935588379558</v>
      </c>
      <c r="AC22" s="7" t="n">
        <f aca="false">INDEX(MINVERSE($Y$31:$AJ$42),8,8)</f>
        <v>1.85054347826087</v>
      </c>
    </row>
    <row r="23" customFormat="false" ht="15" hidden="false" customHeight="false" outlineLevel="0" collapsed="false">
      <c r="A23" s="11" t="n">
        <f aca="false">Data_Monthly!A13</f>
        <v>44561</v>
      </c>
      <c r="B23" s="12" t="n">
        <f aca="false">Data_Monthly!B13-AVERAGE(Data_Monthly!D13:F13)</f>
        <v>0.0962126737284423</v>
      </c>
      <c r="C23" s="13" t="n">
        <f aca="false">IF($A23&gt;=$U$13,1,0)</f>
        <v>0</v>
      </c>
      <c r="D23" s="13" t="n">
        <f aca="false">IF(MONTH($A23)=2,1,0)</f>
        <v>0</v>
      </c>
      <c r="E23" s="13" t="n">
        <f aca="false">IF(MONTH($A23)=3,1,0)</f>
        <v>0</v>
      </c>
      <c r="F23" s="13" t="n">
        <f aca="false">IF(MONTH($A23)=4,1,0)</f>
        <v>0</v>
      </c>
      <c r="G23" s="13" t="n">
        <f aca="false">IF(MONTH($A23)=5,1,0)</f>
        <v>0</v>
      </c>
      <c r="H23" s="13" t="n">
        <f aca="false">IF(MONTH($A23)=6,1,0)</f>
        <v>0</v>
      </c>
      <c r="I23" s="13" t="n">
        <f aca="false">IF(MONTH($A23)=7,1,0)</f>
        <v>0</v>
      </c>
      <c r="J23" s="13" t="n">
        <f aca="false">IF(MONTH($A23)=8,1,0)</f>
        <v>0</v>
      </c>
      <c r="K23" s="13" t="n">
        <f aca="false">IF(MONTH($A23)=9,1,0)</f>
        <v>0</v>
      </c>
      <c r="L23" s="13" t="n">
        <f aca="false">IF(MONTH($A23)=10,1,0)</f>
        <v>0</v>
      </c>
      <c r="M23" s="13" t="n">
        <f aca="false">IF(MONTH($A23)=11,1,0)</f>
        <v>0</v>
      </c>
      <c r="N23" s="13" t="n">
        <f aca="false">IF(MONTH($A23)=12,1,0)</f>
        <v>1</v>
      </c>
      <c r="O23" s="7" t="n">
        <f aca="false">$B$13+SUMPRODUCT(C23:N23,$C$13:$N$13)</f>
        <v>0.552096165176643</v>
      </c>
      <c r="P23" s="7" t="n">
        <f aca="false">B23-O23</f>
        <v>-0.4558834914482</v>
      </c>
      <c r="Q23" s="7" t="n">
        <f aca="false">P23^2</f>
        <v>0.207829757775001</v>
      </c>
      <c r="T23" s="5" t="s">
        <v>100</v>
      </c>
      <c r="U23" s="7" t="n">
        <f aca="false">12*$U$22</f>
        <v>-7.65952115896033</v>
      </c>
      <c r="X23" s="5" t="s">
        <v>76</v>
      </c>
      <c r="Y23" s="7" t="n">
        <f aca="false">INDEX(LINEST(B15:B60,C15:N60,TRUE(),TRUE()),1,4)</f>
        <v>-3.15061161047965</v>
      </c>
      <c r="Z23" s="7" t="n">
        <f aca="false">INDEX(LINEST(B15:B60,C15:N60,TRUE(),TRUE()),2,4)</f>
        <v>1.43783805644855</v>
      </c>
      <c r="AA23" s="7" t="n">
        <f aca="false">Y23/Z23</f>
        <v>-2.19121450871987</v>
      </c>
      <c r="AB23" s="7" t="n">
        <f aca="false">_xlfn.T.DIST.2T(ABS(AA23),$U$33)</f>
        <v>0.0356021057376857</v>
      </c>
      <c r="AC23" s="7" t="n">
        <f aca="false">INDEX(MINVERSE($Y$31:$AJ$42),9,9)</f>
        <v>1.85054347826087</v>
      </c>
    </row>
    <row r="24" customFormat="false" ht="15" hidden="false" customHeight="false" outlineLevel="0" collapsed="false">
      <c r="A24" s="11" t="n">
        <f aca="false">Data_Monthly!A14</f>
        <v>44589</v>
      </c>
      <c r="B24" s="12" t="n">
        <f aca="false">Data_Monthly!B14-AVERAGE(Data_Monthly!D14:F14)</f>
        <v>0.159795688564125</v>
      </c>
      <c r="C24" s="13" t="n">
        <f aca="false">IF($A24&gt;=$U$13,1,0)</f>
        <v>0</v>
      </c>
      <c r="D24" s="13" t="n">
        <f aca="false">IF(MONTH($A24)=2,1,0)</f>
        <v>0</v>
      </c>
      <c r="E24" s="13" t="n">
        <f aca="false">IF(MONTH($A24)=3,1,0)</f>
        <v>0</v>
      </c>
      <c r="F24" s="13" t="n">
        <f aca="false">IF(MONTH($A24)=4,1,0)</f>
        <v>0</v>
      </c>
      <c r="G24" s="13" t="n">
        <f aca="false">IF(MONTH($A24)=5,1,0)</f>
        <v>0</v>
      </c>
      <c r="H24" s="13" t="n">
        <f aca="false">IF(MONTH($A24)=6,1,0)</f>
        <v>0</v>
      </c>
      <c r="I24" s="13" t="n">
        <f aca="false">IF(MONTH($A24)=7,1,0)</f>
        <v>0</v>
      </c>
      <c r="J24" s="13" t="n">
        <f aca="false">IF(MONTH($A24)=8,1,0)</f>
        <v>0</v>
      </c>
      <c r="K24" s="13" t="n">
        <f aca="false">IF(MONTH($A24)=9,1,0)</f>
        <v>0</v>
      </c>
      <c r="L24" s="13" t="n">
        <f aca="false">IF(MONTH($A24)=10,1,0)</f>
        <v>0</v>
      </c>
      <c r="M24" s="13" t="n">
        <f aca="false">IF(MONTH($A24)=11,1,0)</f>
        <v>0</v>
      </c>
      <c r="N24" s="13" t="n">
        <f aca="false">IF(MONTH($A24)=12,1,0)</f>
        <v>0</v>
      </c>
      <c r="O24" s="7" t="n">
        <f aca="false">$B$13+SUMPRODUCT(C24:N24,$C$13:$N$13)</f>
        <v>1.27481500195383</v>
      </c>
      <c r="P24" s="7" t="n">
        <f aca="false">B24-O24</f>
        <v>-1.11501931338971</v>
      </c>
      <c r="Q24" s="7" t="n">
        <f aca="false">P24^2</f>
        <v>1.24326806923206</v>
      </c>
      <c r="T24" s="5" t="s">
        <v>101</v>
      </c>
      <c r="U24" s="7" t="n">
        <f aca="false">SQRT($U$21^2/$U$17+$U$20^2/$U$16)</f>
        <v>0.648167179460192</v>
      </c>
      <c r="X24" s="5" t="s">
        <v>77</v>
      </c>
      <c r="Y24" s="7" t="n">
        <f aca="false">INDEX(LINEST(B15:B60,C15:N60,TRUE(),TRUE()),1,3)</f>
        <v>3.1737377798449</v>
      </c>
      <c r="Z24" s="7" t="n">
        <f aca="false">INDEX(LINEST(B15:B60,C15:N60,TRUE(),TRUE()),2,3)</f>
        <v>1.43783805644855</v>
      </c>
      <c r="AA24" s="7" t="n">
        <f aca="false">Y24/Z24</f>
        <v>2.20729849624652</v>
      </c>
      <c r="AB24" s="7" t="n">
        <f aca="false">_xlfn.T.DIST.2T(ABS(AA24),$U$33)</f>
        <v>0.0343568305219381</v>
      </c>
      <c r="AC24" s="7" t="n">
        <f aca="false">INDEX(MINVERSE($Y$31:$AJ$42),10,10)</f>
        <v>1.85054347826087</v>
      </c>
    </row>
    <row r="25" customFormat="false" ht="15" hidden="false" customHeight="false" outlineLevel="0" collapsed="false">
      <c r="A25" s="11" t="n">
        <f aca="false">Data_Monthly!A15</f>
        <v>44617</v>
      </c>
      <c r="B25" s="12" t="n">
        <f aca="false">Data_Monthly!B15-AVERAGE(Data_Monthly!D15:F15)</f>
        <v>-0.510380371157026</v>
      </c>
      <c r="C25" s="13" t="n">
        <f aca="false">IF($A25&gt;=$U$13,1,0)</f>
        <v>0</v>
      </c>
      <c r="D25" s="13" t="n">
        <f aca="false">IF(MONTH($A25)=2,1,0)</f>
        <v>1</v>
      </c>
      <c r="E25" s="13" t="n">
        <f aca="false">IF(MONTH($A25)=3,1,0)</f>
        <v>0</v>
      </c>
      <c r="F25" s="13" t="n">
        <f aca="false">IF(MONTH($A25)=4,1,0)</f>
        <v>0</v>
      </c>
      <c r="G25" s="13" t="n">
        <f aca="false">IF(MONTH($A25)=5,1,0)</f>
        <v>0</v>
      </c>
      <c r="H25" s="13" t="n">
        <f aca="false">IF(MONTH($A25)=6,1,0)</f>
        <v>0</v>
      </c>
      <c r="I25" s="13" t="n">
        <f aca="false">IF(MONTH($A25)=7,1,0)</f>
        <v>0</v>
      </c>
      <c r="J25" s="13" t="n">
        <f aca="false">IF(MONTH($A25)=8,1,0)</f>
        <v>0</v>
      </c>
      <c r="K25" s="13" t="n">
        <f aca="false">IF(MONTH($A25)=9,1,0)</f>
        <v>0</v>
      </c>
      <c r="L25" s="13" t="n">
        <f aca="false">IF(MONTH($A25)=10,1,0)</f>
        <v>0</v>
      </c>
      <c r="M25" s="13" t="n">
        <f aca="false">IF(MONTH($A25)=11,1,0)</f>
        <v>0</v>
      </c>
      <c r="N25" s="13" t="n">
        <f aca="false">IF(MONTH($A25)=12,1,0)</f>
        <v>0</v>
      </c>
      <c r="O25" s="7" t="n">
        <f aca="false">$B$13+SUMPRODUCT(C25:N25,$C$13:$N$13)</f>
        <v>-0.54711147655611</v>
      </c>
      <c r="P25" s="7" t="n">
        <f aca="false">B25-O25</f>
        <v>0.0367311053990832</v>
      </c>
      <c r="Q25" s="7" t="n">
        <f aca="false">P25^2</f>
        <v>0.00134917410383856</v>
      </c>
      <c r="T25" s="5" t="s">
        <v>102</v>
      </c>
      <c r="U25" s="7" t="n">
        <f aca="false">$U$22/$U$24</f>
        <v>-0.984766662275226</v>
      </c>
      <c r="X25" s="5" t="s">
        <v>78</v>
      </c>
      <c r="Y25" s="7" t="n">
        <f aca="false">INDEX(LINEST(B15:B60,C15:N60,TRUE(),TRUE()),1,2)</f>
        <v>-1.82440925490127</v>
      </c>
      <c r="Z25" s="7" t="n">
        <f aca="false">INDEX(LINEST(B15:B60,C15:N60,TRUE(),TRUE()),2,2)</f>
        <v>1.43783805644855</v>
      </c>
      <c r="AA25" s="7" t="n">
        <f aca="false">Y25/Z25</f>
        <v>-1.26885586782113</v>
      </c>
      <c r="AB25" s="7" t="n">
        <f aca="false">_xlfn.T.DIST.2T(ABS(AA25),$U$33)</f>
        <v>0.213369768434595</v>
      </c>
      <c r="AC25" s="7" t="n">
        <f aca="false">INDEX(MINVERSE($Y$31:$AJ$42),11,11)</f>
        <v>1.85054347826087</v>
      </c>
    </row>
    <row r="26" customFormat="false" ht="15" hidden="false" customHeight="false" outlineLevel="0" collapsed="false">
      <c r="A26" s="11" t="n">
        <f aca="false">Data_Monthly!A16</f>
        <v>44645</v>
      </c>
      <c r="B26" s="12" t="n">
        <f aca="false">Data_Monthly!B16-AVERAGE(Data_Monthly!D16:F16)</f>
        <v>2.04173699343553</v>
      </c>
      <c r="C26" s="13" t="n">
        <f aca="false">IF($A26&gt;=$U$13,1,0)</f>
        <v>0</v>
      </c>
      <c r="D26" s="13" t="n">
        <f aca="false">IF(MONTH($A26)=2,1,0)</f>
        <v>0</v>
      </c>
      <c r="E26" s="13" t="n">
        <f aca="false">IF(MONTH($A26)=3,1,0)</f>
        <v>1</v>
      </c>
      <c r="F26" s="13" t="n">
        <f aca="false">IF(MONTH($A26)=4,1,0)</f>
        <v>0</v>
      </c>
      <c r="G26" s="13" t="n">
        <f aca="false">IF(MONTH($A26)=5,1,0)</f>
        <v>0</v>
      </c>
      <c r="H26" s="13" t="n">
        <f aca="false">IF(MONTH($A26)=6,1,0)</f>
        <v>0</v>
      </c>
      <c r="I26" s="13" t="n">
        <f aca="false">IF(MONTH($A26)=7,1,0)</f>
        <v>0</v>
      </c>
      <c r="J26" s="13" t="n">
        <f aca="false">IF(MONTH($A26)=8,1,0)</f>
        <v>0</v>
      </c>
      <c r="K26" s="13" t="n">
        <f aca="false">IF(MONTH($A26)=9,1,0)</f>
        <v>0</v>
      </c>
      <c r="L26" s="13" t="n">
        <f aca="false">IF(MONTH($A26)=10,1,0)</f>
        <v>0</v>
      </c>
      <c r="M26" s="13" t="n">
        <f aca="false">IF(MONTH($A26)=11,1,0)</f>
        <v>0</v>
      </c>
      <c r="N26" s="13" t="n">
        <f aca="false">IF(MONTH($A26)=12,1,0)</f>
        <v>0</v>
      </c>
      <c r="O26" s="7" t="n">
        <f aca="false">$B$13+SUMPRODUCT(C26:N26,$C$13:$N$13)</f>
        <v>1.55741558004116</v>
      </c>
      <c r="P26" s="7" t="n">
        <f aca="false">B26-O26</f>
        <v>0.484321413394371</v>
      </c>
      <c r="Q26" s="7" t="n">
        <f aca="false">P26^2</f>
        <v>0.234567231472321</v>
      </c>
      <c r="T26" s="5" t="s">
        <v>103</v>
      </c>
      <c r="U26" s="17" t="n">
        <f aca="false">(($U$21^2/$U$17)+($U$20^2/$U$16))^2/(($U$21^2/$U$17)^2/($U$17-1)+($U$20^2/$U$16)^2/($U$16-1))</f>
        <v>40.8130586506603</v>
      </c>
      <c r="X26" s="5" t="s">
        <v>79</v>
      </c>
      <c r="Y26" s="7" t="n">
        <f aca="false">INDEX(LINEST(B15:B60,C15:N60,TRUE(),TRUE()),1,1)</f>
        <v>-0.722718836777192</v>
      </c>
      <c r="Z26" s="7" t="n">
        <f aca="false">INDEX(LINEST(B15:B60,C15:N60,TRUE(),TRUE()),2,1)</f>
        <v>1.42830532334832</v>
      </c>
      <c r="AA26" s="7" t="n">
        <f aca="false">Y26/Z26</f>
        <v>-0.505997439737149</v>
      </c>
      <c r="AB26" s="7" t="n">
        <f aca="false">_xlfn.T.DIST.2T(ABS(AA26),$U$33)</f>
        <v>0.616222144768041</v>
      </c>
      <c r="AC26" s="7" t="n">
        <f aca="false">INDEX(MINVERSE($Y$31:$AJ$42),12,12)</f>
        <v>1.82608695652174</v>
      </c>
    </row>
    <row r="27" customFormat="false" ht="15" hidden="false" customHeight="false" outlineLevel="0" collapsed="false">
      <c r="A27" s="11" t="n">
        <f aca="false">Data_Monthly!A17</f>
        <v>44673</v>
      </c>
      <c r="B27" s="12" t="n">
        <f aca="false">Data_Monthly!B17-AVERAGE(Data_Monthly!D17:F17)</f>
        <v>2.74392428858814</v>
      </c>
      <c r="C27" s="13" t="n">
        <f aca="false">IF($A27&gt;=$U$13,1,0)</f>
        <v>0</v>
      </c>
      <c r="D27" s="13" t="n">
        <f aca="false">IF(MONTH($A27)=2,1,0)</f>
        <v>0</v>
      </c>
      <c r="E27" s="13" t="n">
        <f aca="false">IF(MONTH($A27)=3,1,0)</f>
        <v>0</v>
      </c>
      <c r="F27" s="13" t="n">
        <f aca="false">IF(MONTH($A27)=4,1,0)</f>
        <v>1</v>
      </c>
      <c r="G27" s="13" t="n">
        <f aca="false">IF(MONTH($A27)=5,1,0)</f>
        <v>0</v>
      </c>
      <c r="H27" s="13" t="n">
        <f aca="false">IF(MONTH($A27)=6,1,0)</f>
        <v>0</v>
      </c>
      <c r="I27" s="13" t="n">
        <f aca="false">IF(MONTH($A27)=7,1,0)</f>
        <v>0</v>
      </c>
      <c r="J27" s="13" t="n">
        <f aca="false">IF(MONTH($A27)=8,1,0)</f>
        <v>0</v>
      </c>
      <c r="K27" s="13" t="n">
        <f aca="false">IF(MONTH($A27)=9,1,0)</f>
        <v>0</v>
      </c>
      <c r="L27" s="13" t="n">
        <f aca="false">IF(MONTH($A27)=10,1,0)</f>
        <v>0</v>
      </c>
      <c r="M27" s="13" t="n">
        <f aca="false">IF(MONTH($A27)=11,1,0)</f>
        <v>0</v>
      </c>
      <c r="N27" s="13" t="n">
        <f aca="false">IF(MONTH($A27)=12,1,0)</f>
        <v>0</v>
      </c>
      <c r="O27" s="7" t="n">
        <f aca="false">$B$13+SUMPRODUCT(C27:N27,$C$13:$N$13)</f>
        <v>1.06831214993438</v>
      </c>
      <c r="P27" s="7" t="n">
        <f aca="false">B27-O27</f>
        <v>1.67561213865376</v>
      </c>
      <c r="Q27" s="7" t="n">
        <f aca="false">P27^2</f>
        <v>2.80767603920384</v>
      </c>
      <c r="T27" s="5" t="s">
        <v>104</v>
      </c>
      <c r="U27" s="7" t="n">
        <f aca="false">_xlfn.T.TEST(B47:B60,B15:B46,2,3)</f>
        <v>0.33054092651191</v>
      </c>
      <c r="V27" s="16" t="n">
        <v>0.330540926511911</v>
      </c>
      <c r="X27" s="5" t="s">
        <v>105</v>
      </c>
      <c r="Y27" s="7" t="n">
        <f aca="false">INDEX(LINEST(B15:B60,C15:N60,TRUE(),TRUE()),1,13)</f>
        <v>1.27481500195383</v>
      </c>
      <c r="Z27" s="7" t="n">
        <f aca="false">INDEX(LINEST(B15:B60,C15:N60,TRUE(),TRUE()),2,13)</f>
        <v>1.06269316729662</v>
      </c>
      <c r="AA27" s="7" t="n">
        <f aca="false">Y27/Z27</f>
        <v>1.19960779008002</v>
      </c>
      <c r="AB27" s="7" t="n">
        <f aca="false">_xlfn.T.DIST.2T(ABS(AA27),$U$33)</f>
        <v>0.238833981029027</v>
      </c>
    </row>
    <row r="28" customFormat="false" ht="15" hidden="false" customHeight="false" outlineLevel="0" collapsed="false">
      <c r="A28" s="11" t="n">
        <f aca="false">Data_Monthly!A18</f>
        <v>44701</v>
      </c>
      <c r="B28" s="12" t="n">
        <f aca="false">Data_Monthly!B18-AVERAGE(Data_Monthly!D18:F18)</f>
        <v>-0.0944789771441043</v>
      </c>
      <c r="C28" s="13" t="n">
        <f aca="false">IF($A28&gt;=$U$13,1,0)</f>
        <v>0</v>
      </c>
      <c r="D28" s="13" t="n">
        <f aca="false">IF(MONTH($A28)=2,1,0)</f>
        <v>0</v>
      </c>
      <c r="E28" s="13" t="n">
        <f aca="false">IF(MONTH($A28)=3,1,0)</f>
        <v>0</v>
      </c>
      <c r="F28" s="13" t="n">
        <f aca="false">IF(MONTH($A28)=4,1,0)</f>
        <v>0</v>
      </c>
      <c r="G28" s="13" t="n">
        <f aca="false">IF(MONTH($A28)=5,1,0)</f>
        <v>1</v>
      </c>
      <c r="H28" s="13" t="n">
        <f aca="false">IF(MONTH($A28)=6,1,0)</f>
        <v>0</v>
      </c>
      <c r="I28" s="13" t="n">
        <f aca="false">IF(MONTH($A28)=7,1,0)</f>
        <v>0</v>
      </c>
      <c r="J28" s="13" t="n">
        <f aca="false">IF(MONTH($A28)=8,1,0)</f>
        <v>0</v>
      </c>
      <c r="K28" s="13" t="n">
        <f aca="false">IF(MONTH($A28)=9,1,0)</f>
        <v>0</v>
      </c>
      <c r="L28" s="13" t="n">
        <f aca="false">IF(MONTH($A28)=10,1,0)</f>
        <v>0</v>
      </c>
      <c r="M28" s="13" t="n">
        <f aca="false">IF(MONTH($A28)=11,1,0)</f>
        <v>0</v>
      </c>
      <c r="N28" s="13" t="n">
        <f aca="false">IF(MONTH($A28)=12,1,0)</f>
        <v>0</v>
      </c>
      <c r="O28" s="7" t="n">
        <f aca="false">$B$13+SUMPRODUCT(C28:N28,$C$13:$N$13)</f>
        <v>-1.1772601625052</v>
      </c>
      <c r="P28" s="7" t="n">
        <f aca="false">B28-O28</f>
        <v>1.0827811853611</v>
      </c>
      <c r="Q28" s="7" t="n">
        <f aca="false">P28^2</f>
        <v>1.17241509537199</v>
      </c>
      <c r="X28" s="2" t="s">
        <v>178</v>
      </c>
    </row>
    <row r="29" customFormat="false" ht="15" hidden="false" customHeight="false" outlineLevel="0" collapsed="false">
      <c r="A29" s="11" t="n">
        <f aca="false">Data_Monthly!A19</f>
        <v>44729</v>
      </c>
      <c r="B29" s="12" t="n">
        <f aca="false">Data_Monthly!B19-AVERAGE(Data_Monthly!D19:F19)</f>
        <v>-1.96297133319145</v>
      </c>
      <c r="C29" s="13" t="n">
        <f aca="false">IF($A29&gt;=$U$13,1,0)</f>
        <v>0</v>
      </c>
      <c r="D29" s="13" t="n">
        <f aca="false">IF(MONTH($A29)=2,1,0)</f>
        <v>0</v>
      </c>
      <c r="E29" s="13" t="n">
        <f aca="false">IF(MONTH($A29)=3,1,0)</f>
        <v>0</v>
      </c>
      <c r="F29" s="13" t="n">
        <f aca="false">IF(MONTH($A29)=4,1,0)</f>
        <v>0</v>
      </c>
      <c r="G29" s="13" t="n">
        <f aca="false">IF(MONTH($A29)=5,1,0)</f>
        <v>0</v>
      </c>
      <c r="H29" s="13" t="n">
        <f aca="false">IF(MONTH($A29)=6,1,0)</f>
        <v>1</v>
      </c>
      <c r="I29" s="13" t="n">
        <f aca="false">IF(MONTH($A29)=7,1,0)</f>
        <v>0</v>
      </c>
      <c r="J29" s="13" t="n">
        <f aca="false">IF(MONTH($A29)=8,1,0)</f>
        <v>0</v>
      </c>
      <c r="K29" s="13" t="n">
        <f aca="false">IF(MONTH($A29)=9,1,0)</f>
        <v>0</v>
      </c>
      <c r="L29" s="13" t="n">
        <f aca="false">IF(MONTH($A29)=10,1,0)</f>
        <v>0</v>
      </c>
      <c r="M29" s="13" t="n">
        <f aca="false">IF(MONTH($A29)=11,1,0)</f>
        <v>0</v>
      </c>
      <c r="N29" s="13" t="n">
        <f aca="false">IF(MONTH($A29)=12,1,0)</f>
        <v>0</v>
      </c>
      <c r="O29" s="7" t="n">
        <f aca="false">$B$13+SUMPRODUCT(C29:N29,$C$13:$N$13)</f>
        <v>-0.00390105879111791</v>
      </c>
      <c r="P29" s="7" t="n">
        <f aca="false">B29-O29</f>
        <v>-1.95907027440034</v>
      </c>
      <c r="Q29" s="7" t="n">
        <f aca="false">P29^2</f>
        <v>3.83795634003901</v>
      </c>
      <c r="T29" s="9" t="s">
        <v>114</v>
      </c>
      <c r="U29" s="14" t="s">
        <v>91</v>
      </c>
      <c r="V29" s="14" t="s">
        <v>92</v>
      </c>
      <c r="X29" s="2" t="s">
        <v>108</v>
      </c>
    </row>
    <row r="30" customFormat="false" ht="15" hidden="false" customHeight="false" outlineLevel="0" collapsed="false">
      <c r="A30" s="11" t="n">
        <f aca="false">Data_Monthly!A20</f>
        <v>44771</v>
      </c>
      <c r="B30" s="12" t="n">
        <f aca="false">Data_Monthly!B20-AVERAGE(Data_Monthly!D20:F20)</f>
        <v>3.83714568419187</v>
      </c>
      <c r="C30" s="13" t="n">
        <f aca="false">IF($A30&gt;=$U$13,1,0)</f>
        <v>0</v>
      </c>
      <c r="D30" s="13" t="n">
        <f aca="false">IF(MONTH($A30)=2,1,0)</f>
        <v>0</v>
      </c>
      <c r="E30" s="13" t="n">
        <f aca="false">IF(MONTH($A30)=3,1,0)</f>
        <v>0</v>
      </c>
      <c r="F30" s="13" t="n">
        <f aca="false">IF(MONTH($A30)=4,1,0)</f>
        <v>0</v>
      </c>
      <c r="G30" s="13" t="n">
        <f aca="false">IF(MONTH($A30)=5,1,0)</f>
        <v>0</v>
      </c>
      <c r="H30" s="13" t="n">
        <f aca="false">IF(MONTH($A30)=6,1,0)</f>
        <v>0</v>
      </c>
      <c r="I30" s="13" t="n">
        <f aca="false">IF(MONTH($A30)=7,1,0)</f>
        <v>1</v>
      </c>
      <c r="J30" s="13" t="n">
        <f aca="false">IF(MONTH($A30)=8,1,0)</f>
        <v>0</v>
      </c>
      <c r="K30" s="13" t="n">
        <f aca="false">IF(MONTH($A30)=9,1,0)</f>
        <v>0</v>
      </c>
      <c r="L30" s="13" t="n">
        <f aca="false">IF(MONTH($A30)=10,1,0)</f>
        <v>0</v>
      </c>
      <c r="M30" s="13" t="n">
        <f aca="false">IF(MONTH($A30)=11,1,0)</f>
        <v>0</v>
      </c>
      <c r="N30" s="13" t="n">
        <f aca="false">IF(MONTH($A30)=12,1,0)</f>
        <v>0</v>
      </c>
      <c r="O30" s="7" t="n">
        <f aca="false">$B$13+SUMPRODUCT(C30:N30,$C$13:$N$13)</f>
        <v>3.16162792484098</v>
      </c>
      <c r="P30" s="7" t="n">
        <f aca="false">B30-O30</f>
        <v>0.675517759350885</v>
      </c>
      <c r="Q30" s="7" t="n">
        <f aca="false">P30^2</f>
        <v>0.45632424319844</v>
      </c>
      <c r="T30" s="5" t="s">
        <v>115</v>
      </c>
      <c r="U30" s="13" t="n">
        <f aca="false">COUNT(B15:B60)</f>
        <v>46</v>
      </c>
      <c r="Y30" s="19" t="s">
        <v>68</v>
      </c>
      <c r="Z30" s="19" t="s">
        <v>69</v>
      </c>
      <c r="AA30" s="19" t="s">
        <v>70</v>
      </c>
      <c r="AB30" s="19" t="s">
        <v>71</v>
      </c>
      <c r="AC30" s="19" t="s">
        <v>72</v>
      </c>
      <c r="AD30" s="19" t="s">
        <v>73</v>
      </c>
      <c r="AE30" s="19" t="s">
        <v>74</v>
      </c>
      <c r="AF30" s="19" t="s">
        <v>75</v>
      </c>
      <c r="AG30" s="19" t="s">
        <v>76</v>
      </c>
      <c r="AH30" s="19" t="s">
        <v>77</v>
      </c>
      <c r="AI30" s="19" t="s">
        <v>78</v>
      </c>
      <c r="AJ30" s="19" t="s">
        <v>79</v>
      </c>
    </row>
    <row r="31" customFormat="false" ht="15" hidden="false" customHeight="false" outlineLevel="0" collapsed="false">
      <c r="A31" s="11" t="n">
        <f aca="false">Data_Monthly!A21</f>
        <v>44799</v>
      </c>
      <c r="B31" s="12" t="n">
        <f aca="false">Data_Monthly!B21-AVERAGE(Data_Monthly!D21:F21)</f>
        <v>1.18878016048919</v>
      </c>
      <c r="C31" s="13" t="n">
        <f aca="false">IF($A31&gt;=$U$13,1,0)</f>
        <v>0</v>
      </c>
      <c r="D31" s="13" t="n">
        <f aca="false">IF(MONTH($A31)=2,1,0)</f>
        <v>0</v>
      </c>
      <c r="E31" s="13" t="n">
        <f aca="false">IF(MONTH($A31)=3,1,0)</f>
        <v>0</v>
      </c>
      <c r="F31" s="13" t="n">
        <f aca="false">IF(MONTH($A31)=4,1,0)</f>
        <v>0</v>
      </c>
      <c r="G31" s="13" t="n">
        <f aca="false">IF(MONTH($A31)=5,1,0)</f>
        <v>0</v>
      </c>
      <c r="H31" s="13" t="n">
        <f aca="false">IF(MONTH($A31)=6,1,0)</f>
        <v>0</v>
      </c>
      <c r="I31" s="13" t="n">
        <f aca="false">IF(MONTH($A31)=7,1,0)</f>
        <v>0</v>
      </c>
      <c r="J31" s="13" t="n">
        <f aca="false">IF(MONTH($A31)=8,1,0)</f>
        <v>1</v>
      </c>
      <c r="K31" s="13" t="n">
        <f aca="false">IF(MONTH($A31)=9,1,0)</f>
        <v>0</v>
      </c>
      <c r="L31" s="13" t="n">
        <f aca="false">IF(MONTH($A31)=10,1,0)</f>
        <v>0</v>
      </c>
      <c r="M31" s="13" t="n">
        <f aca="false">IF(MONTH($A31)=11,1,0)</f>
        <v>0</v>
      </c>
      <c r="N31" s="13" t="n">
        <f aca="false">IF(MONTH($A31)=12,1,0)</f>
        <v>0</v>
      </c>
      <c r="O31" s="7" t="n">
        <f aca="false">$B$13+SUMPRODUCT(C31:N31,$C$13:$N$13)</f>
        <v>0.892428151448256</v>
      </c>
      <c r="P31" s="7" t="n">
        <f aca="false">B31-O31</f>
        <v>0.29635200904093</v>
      </c>
      <c r="Q31" s="7" t="n">
        <f aca="false">P31^2</f>
        <v>0.0878245132625952</v>
      </c>
      <c r="T31" s="5" t="s">
        <v>112</v>
      </c>
      <c r="U31" s="7" t="n">
        <f aca="false">INDEX(LINEST(B15:B60,C15:N60,TRUE(),TRUE()),3,1)</f>
        <v>0.513569436481361</v>
      </c>
      <c r="X31" s="6" t="s">
        <v>68</v>
      </c>
      <c r="Y31" s="20" t="n">
        <f aca="false">CORREL($C$15:$C$60,$C$15:$C$60)</f>
        <v>1</v>
      </c>
      <c r="Z31" s="20" t="n">
        <f aca="false">CORREL($D$15:$D$60,$C$15:$C$60)</f>
        <v>0.016638958140993</v>
      </c>
      <c r="AA31" s="20" t="n">
        <f aca="false">CORREL($E$15:$E$60,$C$15:$C$60)</f>
        <v>0.016638958140993</v>
      </c>
      <c r="AB31" s="20" t="n">
        <f aca="false">CORREL($F$15:$F$60,$C$15:$C$60)</f>
        <v>-0.0364507402199878</v>
      </c>
      <c r="AC31" s="20" t="n">
        <f aca="false">CORREL($G$15:$G$60,$C$15:$C$60)</f>
        <v>-0.0364507402199878</v>
      </c>
      <c r="AD31" s="20" t="n">
        <f aca="false">CORREL($H$15:$H$60,$C$15:$C$60)</f>
        <v>-0.0364507402199878</v>
      </c>
      <c r="AE31" s="20" t="n">
        <f aca="false">CORREL($I$15:$I$60,$C$15:$C$60)</f>
        <v>-0.0364507402199878</v>
      </c>
      <c r="AF31" s="20" t="n">
        <f aca="false">CORREL($J$15:$J$60,$C$15:$C$60)</f>
        <v>-0.0364507402199878</v>
      </c>
      <c r="AG31" s="20" t="n">
        <f aca="false">CORREL($K$15:$K$60,$C$15:$C$60)</f>
        <v>-0.0364507402199878</v>
      </c>
      <c r="AH31" s="20" t="n">
        <f aca="false">CORREL($L$15:$L$60,$C$15:$C$60)</f>
        <v>-0.0364507402199878</v>
      </c>
      <c r="AI31" s="20" t="n">
        <f aca="false">CORREL($M$15:$M$60,$C$15:$C$60)</f>
        <v>-0.0364507402199878</v>
      </c>
      <c r="AJ31" s="20" t="n">
        <f aca="false">CORREL($N$15:$N$60,$C$15:$C$60)</f>
        <v>0.131222664791956</v>
      </c>
    </row>
    <row r="32" customFormat="false" ht="15" hidden="false" customHeight="false" outlineLevel="0" collapsed="false">
      <c r="A32" s="11" t="n">
        <f aca="false">Data_Monthly!A22</f>
        <v>44827</v>
      </c>
      <c r="B32" s="12" t="n">
        <f aca="false">Data_Monthly!B22-AVERAGE(Data_Monthly!D22:F22)</f>
        <v>-1.6702604202789</v>
      </c>
      <c r="C32" s="13" t="n">
        <f aca="false">IF($A32&gt;=$U$13,1,0)</f>
        <v>0</v>
      </c>
      <c r="D32" s="13" t="n">
        <f aca="false">IF(MONTH($A32)=2,1,0)</f>
        <v>0</v>
      </c>
      <c r="E32" s="13" t="n">
        <f aca="false">IF(MONTH($A32)=3,1,0)</f>
        <v>0</v>
      </c>
      <c r="F32" s="13" t="n">
        <f aca="false">IF(MONTH($A32)=4,1,0)</f>
        <v>0</v>
      </c>
      <c r="G32" s="13" t="n">
        <f aca="false">IF(MONTH($A32)=5,1,0)</f>
        <v>0</v>
      </c>
      <c r="H32" s="13" t="n">
        <f aca="false">IF(MONTH($A32)=6,1,0)</f>
        <v>0</v>
      </c>
      <c r="I32" s="13" t="n">
        <f aca="false">IF(MONTH($A32)=7,1,0)</f>
        <v>0</v>
      </c>
      <c r="J32" s="13" t="n">
        <f aca="false">IF(MONTH($A32)=8,1,0)</f>
        <v>0</v>
      </c>
      <c r="K32" s="13" t="n">
        <f aca="false">IF(MONTH($A32)=9,1,0)</f>
        <v>1</v>
      </c>
      <c r="L32" s="13" t="n">
        <f aca="false">IF(MONTH($A32)=10,1,0)</f>
        <v>0</v>
      </c>
      <c r="M32" s="13" t="n">
        <f aca="false">IF(MONTH($A32)=11,1,0)</f>
        <v>0</v>
      </c>
      <c r="N32" s="13" t="n">
        <f aca="false">IF(MONTH($A32)=12,1,0)</f>
        <v>0</v>
      </c>
      <c r="O32" s="7" t="n">
        <f aca="false">$B$13+SUMPRODUCT(C32:N32,$C$13:$N$13)</f>
        <v>-1.87579660852581</v>
      </c>
      <c r="P32" s="7" t="n">
        <f aca="false">B32-O32</f>
        <v>0.205536188246916</v>
      </c>
      <c r="Q32" s="7" t="n">
        <f aca="false">P32^2</f>
        <v>0.0422451246790715</v>
      </c>
      <c r="T32" s="5" t="s">
        <v>116</v>
      </c>
      <c r="U32" s="7" t="n">
        <f aca="false">SQRT($U$31)</f>
        <v>0.716637590753765</v>
      </c>
      <c r="X32" s="6" t="s">
        <v>69</v>
      </c>
      <c r="Y32" s="20" t="n">
        <f aca="false">CORREL($C$15:$C$60,$D$15:$D$60)</f>
        <v>0.016638958140993</v>
      </c>
      <c r="Z32" s="20" t="n">
        <f aca="false">CORREL($D$15:$D$60,$D$15:$D$60)</f>
        <v>1</v>
      </c>
      <c r="AA32" s="20" t="n">
        <f aca="false">CORREL($E$15:$E$60,$D$15:$D$60)</f>
        <v>-0.0697674418604651</v>
      </c>
      <c r="AB32" s="20" t="n">
        <f aca="false">CORREL($F$15:$F$60,$D$15:$D$60)</f>
        <v>-0.0815139145939222</v>
      </c>
      <c r="AC32" s="20" t="n">
        <f aca="false">CORREL($G$15:$G$60,$D$15:$D$60)</f>
        <v>-0.0815139145939222</v>
      </c>
      <c r="AD32" s="20" t="n">
        <f aca="false">CORREL($H$15:$H$60,$D$15:$D$60)</f>
        <v>-0.0815139145939222</v>
      </c>
      <c r="AE32" s="20" t="n">
        <f aca="false">CORREL($I$15:$I$60,$D$15:$D$60)</f>
        <v>-0.0815139145939222</v>
      </c>
      <c r="AF32" s="20" t="n">
        <f aca="false">CORREL($J$15:$J$60,$D$15:$D$60)</f>
        <v>-0.0815139145939222</v>
      </c>
      <c r="AG32" s="20" t="n">
        <f aca="false">CORREL($K$15:$K$60,$D$15:$D$60)</f>
        <v>-0.0815139145939222</v>
      </c>
      <c r="AH32" s="20" t="n">
        <f aca="false">CORREL($L$15:$L$60,$D$15:$D$60)</f>
        <v>-0.0815139145939222</v>
      </c>
      <c r="AI32" s="20" t="n">
        <f aca="false">CORREL($M$15:$M$60,$D$15:$D$60)</f>
        <v>-0.0815139145939222</v>
      </c>
      <c r="AJ32" s="20" t="n">
        <f aca="false">CORREL($N$15:$N$60,$D$15:$D$60)</f>
        <v>-0.0815139145939222</v>
      </c>
    </row>
    <row r="33" customFormat="false" ht="15" hidden="false" customHeight="false" outlineLevel="0" collapsed="false">
      <c r="A33" s="11" t="n">
        <f aca="false">Data_Monthly!A23</f>
        <v>44855</v>
      </c>
      <c r="B33" s="12" t="n">
        <f aca="false">Data_Monthly!B23-AVERAGE(Data_Monthly!D23:F23)</f>
        <v>5.59931483405596</v>
      </c>
      <c r="C33" s="13" t="n">
        <f aca="false">IF($A33&gt;=$U$13,1,0)</f>
        <v>0</v>
      </c>
      <c r="D33" s="13" t="n">
        <f aca="false">IF(MONTH($A33)=2,1,0)</f>
        <v>0</v>
      </c>
      <c r="E33" s="13" t="n">
        <f aca="false">IF(MONTH($A33)=3,1,0)</f>
        <v>0</v>
      </c>
      <c r="F33" s="13" t="n">
        <f aca="false">IF(MONTH($A33)=4,1,0)</f>
        <v>0</v>
      </c>
      <c r="G33" s="13" t="n">
        <f aca="false">IF(MONTH($A33)=5,1,0)</f>
        <v>0</v>
      </c>
      <c r="H33" s="13" t="n">
        <f aca="false">IF(MONTH($A33)=6,1,0)</f>
        <v>0</v>
      </c>
      <c r="I33" s="13" t="n">
        <f aca="false">IF(MONTH($A33)=7,1,0)</f>
        <v>0</v>
      </c>
      <c r="J33" s="13" t="n">
        <f aca="false">IF(MONTH($A33)=8,1,0)</f>
        <v>0</v>
      </c>
      <c r="K33" s="13" t="n">
        <f aca="false">IF(MONTH($A33)=9,1,0)</f>
        <v>0</v>
      </c>
      <c r="L33" s="13" t="n">
        <f aca="false">IF(MONTH($A33)=10,1,0)</f>
        <v>1</v>
      </c>
      <c r="M33" s="13" t="n">
        <f aca="false">IF(MONTH($A33)=11,1,0)</f>
        <v>0</v>
      </c>
      <c r="N33" s="13" t="n">
        <f aca="false">IF(MONTH($A33)=12,1,0)</f>
        <v>0</v>
      </c>
      <c r="O33" s="7" t="n">
        <f aca="false">$B$13+SUMPRODUCT(C33:N33,$C$13:$N$13)</f>
        <v>4.44855278179874</v>
      </c>
      <c r="P33" s="7" t="n">
        <f aca="false">B33-O33</f>
        <v>1.15076205225723</v>
      </c>
      <c r="Q33" s="7" t="n">
        <f aca="false">P33^2</f>
        <v>1.32425330091527</v>
      </c>
      <c r="T33" s="5" t="s">
        <v>111</v>
      </c>
      <c r="U33" s="13" t="n">
        <f aca="false">INDEX(LINEST(B15:B60,C15:N60,TRUE(),TRUE()),4,2)</f>
        <v>33</v>
      </c>
      <c r="X33" s="6" t="s">
        <v>70</v>
      </c>
      <c r="Y33" s="20" t="n">
        <f aca="false">CORREL($C$15:$C$60,$E$15:$E$60)</f>
        <v>0.016638958140993</v>
      </c>
      <c r="Z33" s="20" t="n">
        <f aca="false">CORREL($D$15:$D$60,$E$15:$E$60)</f>
        <v>-0.0697674418604651</v>
      </c>
      <c r="AA33" s="20" t="n">
        <f aca="false">CORREL($E$15:$E$60,$E$15:$E$60)</f>
        <v>1</v>
      </c>
      <c r="AB33" s="20" t="n">
        <f aca="false">CORREL($F$15:$F$60,$E$15:$E$60)</f>
        <v>-0.0815139145939222</v>
      </c>
      <c r="AC33" s="20" t="n">
        <f aca="false">CORREL($G$15:$G$60,$E$15:$E$60)</f>
        <v>-0.0815139145939222</v>
      </c>
      <c r="AD33" s="20" t="n">
        <f aca="false">CORREL($H$15:$H$60,$E$15:$E$60)</f>
        <v>-0.0815139145939222</v>
      </c>
      <c r="AE33" s="20" t="n">
        <f aca="false">CORREL($I$15:$I$60,$E$15:$E$60)</f>
        <v>-0.0815139145939222</v>
      </c>
      <c r="AF33" s="20" t="n">
        <f aca="false">CORREL($J$15:$J$60,$E$15:$E$60)</f>
        <v>-0.0815139145939222</v>
      </c>
      <c r="AG33" s="20" t="n">
        <f aca="false">CORREL($K$15:$K$60,$E$15:$E$60)</f>
        <v>-0.0815139145939222</v>
      </c>
      <c r="AH33" s="20" t="n">
        <f aca="false">CORREL($L$15:$L$60,$E$15:$E$60)</f>
        <v>-0.0815139145939222</v>
      </c>
      <c r="AI33" s="20" t="n">
        <f aca="false">CORREL($M$15:$M$60,$E$15:$E$60)</f>
        <v>-0.0815139145939222</v>
      </c>
      <c r="AJ33" s="20" t="n">
        <f aca="false">CORREL($N$15:$N$60,$E$15:$E$60)</f>
        <v>-0.0815139145939222</v>
      </c>
    </row>
    <row r="34" customFormat="false" ht="15" hidden="false" customHeight="false" outlineLevel="0" collapsed="false">
      <c r="A34" s="11" t="n">
        <f aca="false">Data_Monthly!A24</f>
        <v>44883</v>
      </c>
      <c r="B34" s="12" t="n">
        <f aca="false">Data_Monthly!B24-AVERAGE(Data_Monthly!D24:F24)</f>
        <v>-3.63820685442704</v>
      </c>
      <c r="C34" s="13" t="n">
        <f aca="false">IF($A34&gt;=$U$13,1,0)</f>
        <v>0</v>
      </c>
      <c r="D34" s="13" t="n">
        <f aca="false">IF(MONTH($A34)=2,1,0)</f>
        <v>0</v>
      </c>
      <c r="E34" s="13" t="n">
        <f aca="false">IF(MONTH($A34)=3,1,0)</f>
        <v>0</v>
      </c>
      <c r="F34" s="13" t="n">
        <f aca="false">IF(MONTH($A34)=4,1,0)</f>
        <v>0</v>
      </c>
      <c r="G34" s="13" t="n">
        <f aca="false">IF(MONTH($A34)=5,1,0)</f>
        <v>0</v>
      </c>
      <c r="H34" s="13" t="n">
        <f aca="false">IF(MONTH($A34)=6,1,0)</f>
        <v>0</v>
      </c>
      <c r="I34" s="13" t="n">
        <f aca="false">IF(MONTH($A34)=7,1,0)</f>
        <v>0</v>
      </c>
      <c r="J34" s="13" t="n">
        <f aca="false">IF(MONTH($A34)=8,1,0)</f>
        <v>0</v>
      </c>
      <c r="K34" s="13" t="n">
        <f aca="false">IF(MONTH($A34)=9,1,0)</f>
        <v>0</v>
      </c>
      <c r="L34" s="13" t="n">
        <f aca="false">IF(MONTH($A34)=10,1,0)</f>
        <v>0</v>
      </c>
      <c r="M34" s="13" t="n">
        <f aca="false">IF(MONTH($A34)=11,1,0)</f>
        <v>1</v>
      </c>
      <c r="N34" s="13" t="n">
        <f aca="false">IF(MONTH($A34)=12,1,0)</f>
        <v>0</v>
      </c>
      <c r="O34" s="7" t="n">
        <f aca="false">$B$13+SUMPRODUCT(C34:N34,$C$13:$N$13)</f>
        <v>-0.549594252947434</v>
      </c>
      <c r="P34" s="7" t="n">
        <f aca="false">B34-O34</f>
        <v>-3.08861260147961</v>
      </c>
      <c r="Q34" s="7" t="n">
        <f aca="false">P34^2</f>
        <v>9.53952780201862</v>
      </c>
      <c r="T34" s="5" t="s">
        <v>117</v>
      </c>
      <c r="U34" s="7" t="n">
        <f aca="false">1-(1-$U$31)*($U$30-1)/$U$33</f>
        <v>0.336685595201856</v>
      </c>
      <c r="X34" s="6" t="s">
        <v>71</v>
      </c>
      <c r="Y34" s="20" t="n">
        <f aca="false">CORREL($C$15:$C$60,$F$15:$F$60)</f>
        <v>-0.0364507402199878</v>
      </c>
      <c r="Z34" s="20" t="n">
        <f aca="false">CORREL($D$15:$D$60,$F$15:$F$60)</f>
        <v>-0.0815139145939222</v>
      </c>
      <c r="AA34" s="20" t="n">
        <f aca="false">CORREL($E$15:$E$60,$F$15:$F$60)</f>
        <v>-0.0815139145939222</v>
      </c>
      <c r="AB34" s="20" t="n">
        <f aca="false">CORREL($F$15:$F$60,$F$15:$F$60)</f>
        <v>1</v>
      </c>
      <c r="AC34" s="20" t="n">
        <f aca="false">CORREL($G$15:$G$60,$F$15:$F$60)</f>
        <v>-0.0952380952380953</v>
      </c>
      <c r="AD34" s="20" t="n">
        <f aca="false">CORREL($H$15:$H$60,$F$15:$F$60)</f>
        <v>-0.0952380952380953</v>
      </c>
      <c r="AE34" s="20" t="n">
        <f aca="false">CORREL($I$15:$I$60,$F$15:$F$60)</f>
        <v>-0.0952380952380953</v>
      </c>
      <c r="AF34" s="20" t="n">
        <f aca="false">CORREL($J$15:$J$60,$F$15:$F$60)</f>
        <v>-0.0952380952380953</v>
      </c>
      <c r="AG34" s="20" t="n">
        <f aca="false">CORREL($K$15:$K$60,$F$15:$F$60)</f>
        <v>-0.0952380952380953</v>
      </c>
      <c r="AH34" s="20" t="n">
        <f aca="false">CORREL($L$15:$L$60,$F$15:$F$60)</f>
        <v>-0.0952380952380953</v>
      </c>
      <c r="AI34" s="20" t="n">
        <f aca="false">CORREL($M$15:$M$60,$F$15:$F$60)</f>
        <v>-0.0952380952380953</v>
      </c>
      <c r="AJ34" s="20" t="n">
        <f aca="false">CORREL($N$15:$N$60,$F$15:$F$60)</f>
        <v>-0.0952380952380953</v>
      </c>
    </row>
    <row r="35" customFormat="false" ht="15" hidden="false" customHeight="false" outlineLevel="0" collapsed="false">
      <c r="A35" s="11" t="n">
        <f aca="false">Data_Monthly!A25</f>
        <v>44925</v>
      </c>
      <c r="B35" s="12" t="n">
        <f aca="false">Data_Monthly!B25-AVERAGE(Data_Monthly!D25:F25)</f>
        <v>0.917281134561717</v>
      </c>
      <c r="C35" s="13" t="n">
        <f aca="false">IF($A35&gt;=$U$13,1,0)</f>
        <v>0</v>
      </c>
      <c r="D35" s="13" t="n">
        <f aca="false">IF(MONTH($A35)=2,1,0)</f>
        <v>0</v>
      </c>
      <c r="E35" s="13" t="n">
        <f aca="false">IF(MONTH($A35)=3,1,0)</f>
        <v>0</v>
      </c>
      <c r="F35" s="13" t="n">
        <f aca="false">IF(MONTH($A35)=4,1,0)</f>
        <v>0</v>
      </c>
      <c r="G35" s="13" t="n">
        <f aca="false">IF(MONTH($A35)=5,1,0)</f>
        <v>0</v>
      </c>
      <c r="H35" s="13" t="n">
        <f aca="false">IF(MONTH($A35)=6,1,0)</f>
        <v>0</v>
      </c>
      <c r="I35" s="13" t="n">
        <f aca="false">IF(MONTH($A35)=7,1,0)</f>
        <v>0</v>
      </c>
      <c r="J35" s="13" t="n">
        <f aca="false">IF(MONTH($A35)=8,1,0)</f>
        <v>0</v>
      </c>
      <c r="K35" s="13" t="n">
        <f aca="false">IF(MONTH($A35)=9,1,0)</f>
        <v>0</v>
      </c>
      <c r="L35" s="13" t="n">
        <f aca="false">IF(MONTH($A35)=10,1,0)</f>
        <v>0</v>
      </c>
      <c r="M35" s="13" t="n">
        <f aca="false">IF(MONTH($A35)=11,1,0)</f>
        <v>0</v>
      </c>
      <c r="N35" s="13" t="n">
        <f aca="false">IF(MONTH($A35)=12,1,0)</f>
        <v>1</v>
      </c>
      <c r="O35" s="7" t="n">
        <f aca="false">$B$13+SUMPRODUCT(C35:N35,$C$13:$N$13)</f>
        <v>0.552096165176643</v>
      </c>
      <c r="P35" s="7" t="n">
        <f aca="false">B35-O35</f>
        <v>0.365184969385074</v>
      </c>
      <c r="Q35" s="7" t="n">
        <f aca="false">P35^2</f>
        <v>0.133360061864778</v>
      </c>
      <c r="T35" s="5" t="s">
        <v>118</v>
      </c>
      <c r="U35" s="7" t="n">
        <f aca="false">INDEX(LINEST(B15:B60,C15:N60,TRUE(),TRUE()),3,2)</f>
        <v>2.01992875948889</v>
      </c>
      <c r="X35" s="6" t="s">
        <v>72</v>
      </c>
      <c r="Y35" s="20" t="n">
        <f aca="false">CORREL($C$15:$C$60,$G$15:$G$60)</f>
        <v>-0.0364507402199878</v>
      </c>
      <c r="Z35" s="20" t="n">
        <f aca="false">CORREL($D$15:$D$60,$G$15:$G$60)</f>
        <v>-0.0815139145939222</v>
      </c>
      <c r="AA35" s="20" t="n">
        <f aca="false">CORREL($E$15:$E$60,$G$15:$G$60)</f>
        <v>-0.0815139145939222</v>
      </c>
      <c r="AB35" s="20" t="n">
        <f aca="false">CORREL($F$15:$F$60,$G$15:$G$60)</f>
        <v>-0.0952380952380953</v>
      </c>
      <c r="AC35" s="20" t="n">
        <f aca="false">CORREL($G$15:$G$60,$G$15:$G$60)</f>
        <v>1</v>
      </c>
      <c r="AD35" s="20" t="n">
        <f aca="false">CORREL($H$15:$H$60,$G$15:$G$60)</f>
        <v>-0.0952380952380953</v>
      </c>
      <c r="AE35" s="20" t="n">
        <f aca="false">CORREL($I$15:$I$60,$G$15:$G$60)</f>
        <v>-0.0952380952380953</v>
      </c>
      <c r="AF35" s="20" t="n">
        <f aca="false">CORREL($J$15:$J$60,$G$15:$G$60)</f>
        <v>-0.0952380952380953</v>
      </c>
      <c r="AG35" s="20" t="n">
        <f aca="false">CORREL($K$15:$K$60,$G$15:$G$60)</f>
        <v>-0.0952380952380953</v>
      </c>
      <c r="AH35" s="20" t="n">
        <f aca="false">CORREL($L$15:$L$60,$G$15:$G$60)</f>
        <v>-0.0952380952380953</v>
      </c>
      <c r="AI35" s="20" t="n">
        <f aca="false">CORREL($M$15:$M$60,$G$15:$G$60)</f>
        <v>-0.0952380952380953</v>
      </c>
      <c r="AJ35" s="20" t="n">
        <f aca="false">CORREL($N$15:$N$60,$G$15:$G$60)</f>
        <v>-0.0952380952380953</v>
      </c>
    </row>
    <row r="36" customFormat="false" ht="15" hidden="false" customHeight="false" outlineLevel="0" collapsed="false">
      <c r="A36" s="11" t="n">
        <f aca="false">Data_Monthly!A26</f>
        <v>44953</v>
      </c>
      <c r="B36" s="12" t="n">
        <f aca="false">Data_Monthly!B26-AVERAGE(Data_Monthly!D26:F26)</f>
        <v>2.63459963177368</v>
      </c>
      <c r="C36" s="13" t="n">
        <f aca="false">IF($A36&gt;=$U$13,1,0)</f>
        <v>0</v>
      </c>
      <c r="D36" s="13" t="n">
        <f aca="false">IF(MONTH($A36)=2,1,0)</f>
        <v>0</v>
      </c>
      <c r="E36" s="13" t="n">
        <f aca="false">IF(MONTH($A36)=3,1,0)</f>
        <v>0</v>
      </c>
      <c r="F36" s="13" t="n">
        <f aca="false">IF(MONTH($A36)=4,1,0)</f>
        <v>0</v>
      </c>
      <c r="G36" s="13" t="n">
        <f aca="false">IF(MONTH($A36)=5,1,0)</f>
        <v>0</v>
      </c>
      <c r="H36" s="13" t="n">
        <f aca="false">IF(MONTH($A36)=6,1,0)</f>
        <v>0</v>
      </c>
      <c r="I36" s="13" t="n">
        <f aca="false">IF(MONTH($A36)=7,1,0)</f>
        <v>0</v>
      </c>
      <c r="J36" s="13" t="n">
        <f aca="false">IF(MONTH($A36)=8,1,0)</f>
        <v>0</v>
      </c>
      <c r="K36" s="13" t="n">
        <f aca="false">IF(MONTH($A36)=9,1,0)</f>
        <v>0</v>
      </c>
      <c r="L36" s="13" t="n">
        <f aca="false">IF(MONTH($A36)=10,1,0)</f>
        <v>0</v>
      </c>
      <c r="M36" s="13" t="n">
        <f aca="false">IF(MONTH($A36)=11,1,0)</f>
        <v>0</v>
      </c>
      <c r="N36" s="13" t="n">
        <f aca="false">IF(MONTH($A36)=12,1,0)</f>
        <v>0</v>
      </c>
      <c r="O36" s="7" t="n">
        <f aca="false">$B$13+SUMPRODUCT(C36:N36,$C$13:$N$13)</f>
        <v>1.27481500195383</v>
      </c>
      <c r="P36" s="7" t="n">
        <f aca="false">B36-O36</f>
        <v>1.35978462981985</v>
      </c>
      <c r="Q36" s="7" t="n">
        <f aca="false">P36^2</f>
        <v>1.8490142394943</v>
      </c>
      <c r="X36" s="6" t="s">
        <v>73</v>
      </c>
      <c r="Y36" s="20" t="n">
        <f aca="false">CORREL($C$15:$C$60,$H$15:$H$60)</f>
        <v>-0.0364507402199878</v>
      </c>
      <c r="Z36" s="20" t="n">
        <f aca="false">CORREL($D$15:$D$60,$H$15:$H$60)</f>
        <v>-0.0815139145939222</v>
      </c>
      <c r="AA36" s="20" t="n">
        <f aca="false">CORREL($E$15:$E$60,$H$15:$H$60)</f>
        <v>-0.0815139145939222</v>
      </c>
      <c r="AB36" s="20" t="n">
        <f aca="false">CORREL($F$15:$F$60,$H$15:$H$60)</f>
        <v>-0.0952380952380953</v>
      </c>
      <c r="AC36" s="20" t="n">
        <f aca="false">CORREL($G$15:$G$60,$H$15:$H$60)</f>
        <v>-0.0952380952380953</v>
      </c>
      <c r="AD36" s="20" t="n">
        <f aca="false">CORREL($H$15:$H$60,$H$15:$H$60)</f>
        <v>1</v>
      </c>
      <c r="AE36" s="20" t="n">
        <f aca="false">CORREL($I$15:$I$60,$H$15:$H$60)</f>
        <v>-0.0952380952380953</v>
      </c>
      <c r="AF36" s="20" t="n">
        <f aca="false">CORREL($J$15:$J$60,$H$15:$H$60)</f>
        <v>-0.0952380952380953</v>
      </c>
      <c r="AG36" s="20" t="n">
        <f aca="false">CORREL($K$15:$K$60,$H$15:$H$60)</f>
        <v>-0.0952380952380953</v>
      </c>
      <c r="AH36" s="20" t="n">
        <f aca="false">CORREL($L$15:$L$60,$H$15:$H$60)</f>
        <v>-0.0952380952380953</v>
      </c>
      <c r="AI36" s="20" t="n">
        <f aca="false">CORREL($M$15:$M$60,$H$15:$H$60)</f>
        <v>-0.0952380952380953</v>
      </c>
      <c r="AJ36" s="20" t="n">
        <f aca="false">CORREL($N$15:$N$60,$H$15:$H$60)</f>
        <v>-0.0952380952380953</v>
      </c>
    </row>
    <row r="37" customFormat="false" ht="15" hidden="false" customHeight="false" outlineLevel="0" collapsed="false">
      <c r="A37" s="11" t="n">
        <f aca="false">Data_Monthly!A27</f>
        <v>44981</v>
      </c>
      <c r="B37" s="12" t="n">
        <f aca="false">Data_Monthly!B27-AVERAGE(Data_Monthly!D27:F27)</f>
        <v>-0.545221446187405</v>
      </c>
      <c r="C37" s="13" t="n">
        <f aca="false">IF($A37&gt;=$U$13,1,0)</f>
        <v>0</v>
      </c>
      <c r="D37" s="13" t="n">
        <f aca="false">IF(MONTH($A37)=2,1,0)</f>
        <v>1</v>
      </c>
      <c r="E37" s="13" t="n">
        <f aca="false">IF(MONTH($A37)=3,1,0)</f>
        <v>0</v>
      </c>
      <c r="F37" s="13" t="n">
        <f aca="false">IF(MONTH($A37)=4,1,0)</f>
        <v>0</v>
      </c>
      <c r="G37" s="13" t="n">
        <f aca="false">IF(MONTH($A37)=5,1,0)</f>
        <v>0</v>
      </c>
      <c r="H37" s="13" t="n">
        <f aca="false">IF(MONTH($A37)=6,1,0)</f>
        <v>0</v>
      </c>
      <c r="I37" s="13" t="n">
        <f aca="false">IF(MONTH($A37)=7,1,0)</f>
        <v>0</v>
      </c>
      <c r="J37" s="13" t="n">
        <f aca="false">IF(MONTH($A37)=8,1,0)</f>
        <v>0</v>
      </c>
      <c r="K37" s="13" t="n">
        <f aca="false">IF(MONTH($A37)=9,1,0)</f>
        <v>0</v>
      </c>
      <c r="L37" s="13" t="n">
        <f aca="false">IF(MONTH($A37)=10,1,0)</f>
        <v>0</v>
      </c>
      <c r="M37" s="13" t="n">
        <f aca="false">IF(MONTH($A37)=11,1,0)</f>
        <v>0</v>
      </c>
      <c r="N37" s="13" t="n">
        <f aca="false">IF(MONTH($A37)=12,1,0)</f>
        <v>0</v>
      </c>
      <c r="O37" s="7" t="n">
        <f aca="false">$B$13+SUMPRODUCT(C37:N37,$C$13:$N$13)</f>
        <v>-0.54711147655611</v>
      </c>
      <c r="P37" s="7" t="n">
        <f aca="false">B37-O37</f>
        <v>0.00189003036870472</v>
      </c>
      <c r="Q37" s="7" t="n">
        <f aca="false">P37^2</f>
        <v>3.5722147946261E-006</v>
      </c>
      <c r="T37" s="9" t="s">
        <v>119</v>
      </c>
      <c r="U37" s="14" t="s">
        <v>91</v>
      </c>
      <c r="V37" s="14" t="s">
        <v>92</v>
      </c>
      <c r="X37" s="6" t="s">
        <v>74</v>
      </c>
      <c r="Y37" s="20" t="n">
        <f aca="false">CORREL($C$15:$C$60,$I$15:$I$60)</f>
        <v>-0.0364507402199878</v>
      </c>
      <c r="Z37" s="20" t="n">
        <f aca="false">CORREL($D$15:$D$60,$I$15:$I$60)</f>
        <v>-0.0815139145939222</v>
      </c>
      <c r="AA37" s="20" t="n">
        <f aca="false">CORREL($E$15:$E$60,$I$15:$I$60)</f>
        <v>-0.0815139145939222</v>
      </c>
      <c r="AB37" s="20" t="n">
        <f aca="false">CORREL($F$15:$F$60,$I$15:$I$60)</f>
        <v>-0.0952380952380953</v>
      </c>
      <c r="AC37" s="20" t="n">
        <f aca="false">CORREL($G$15:$G$60,$I$15:$I$60)</f>
        <v>-0.0952380952380953</v>
      </c>
      <c r="AD37" s="20" t="n">
        <f aca="false">CORREL($H$15:$H$60,$I$15:$I$60)</f>
        <v>-0.0952380952380953</v>
      </c>
      <c r="AE37" s="20" t="n">
        <f aca="false">CORREL($I$15:$I$60,$I$15:$I$60)</f>
        <v>1</v>
      </c>
      <c r="AF37" s="20" t="n">
        <f aca="false">CORREL($J$15:$J$60,$I$15:$I$60)</f>
        <v>-0.0952380952380953</v>
      </c>
      <c r="AG37" s="20" t="n">
        <f aca="false">CORREL($K$15:$K$60,$I$15:$I$60)</f>
        <v>-0.0952380952380953</v>
      </c>
      <c r="AH37" s="20" t="n">
        <f aca="false">CORREL($L$15:$L$60,$I$15:$I$60)</f>
        <v>-0.0952380952380953</v>
      </c>
      <c r="AI37" s="20" t="n">
        <f aca="false">CORREL($M$15:$M$60,$I$15:$I$60)</f>
        <v>-0.0952380952380953</v>
      </c>
      <c r="AJ37" s="20" t="n">
        <f aca="false">CORREL($N$15:$N$60,$I$15:$I$60)</f>
        <v>-0.0952380952380953</v>
      </c>
    </row>
    <row r="38" customFormat="false" ht="15" hidden="false" customHeight="false" outlineLevel="0" collapsed="false">
      <c r="A38" s="11" t="n">
        <f aca="false">Data_Monthly!A28</f>
        <v>45009</v>
      </c>
      <c r="B38" s="12" t="n">
        <f aca="false">Data_Monthly!B28-AVERAGE(Data_Monthly!D28:F28)</f>
        <v>3.63516446358106</v>
      </c>
      <c r="C38" s="13" t="n">
        <f aca="false">IF($A38&gt;=$U$13,1,0)</f>
        <v>0</v>
      </c>
      <c r="D38" s="13" t="n">
        <f aca="false">IF(MONTH($A38)=2,1,0)</f>
        <v>0</v>
      </c>
      <c r="E38" s="13" t="n">
        <f aca="false">IF(MONTH($A38)=3,1,0)</f>
        <v>1</v>
      </c>
      <c r="F38" s="13" t="n">
        <f aca="false">IF(MONTH($A38)=4,1,0)</f>
        <v>0</v>
      </c>
      <c r="G38" s="13" t="n">
        <f aca="false">IF(MONTH($A38)=5,1,0)</f>
        <v>0</v>
      </c>
      <c r="H38" s="13" t="n">
        <f aca="false">IF(MONTH($A38)=6,1,0)</f>
        <v>0</v>
      </c>
      <c r="I38" s="13" t="n">
        <f aca="false">IF(MONTH($A38)=7,1,0)</f>
        <v>0</v>
      </c>
      <c r="J38" s="13" t="n">
        <f aca="false">IF(MONTH($A38)=8,1,0)</f>
        <v>0</v>
      </c>
      <c r="K38" s="13" t="n">
        <f aca="false">IF(MONTH($A38)=9,1,0)</f>
        <v>0</v>
      </c>
      <c r="L38" s="13" t="n">
        <f aca="false">IF(MONTH($A38)=10,1,0)</f>
        <v>0</v>
      </c>
      <c r="M38" s="13" t="n">
        <f aca="false">IF(MONTH($A38)=11,1,0)</f>
        <v>0</v>
      </c>
      <c r="N38" s="13" t="n">
        <f aca="false">IF(MONTH($A38)=12,1,0)</f>
        <v>0</v>
      </c>
      <c r="O38" s="7" t="n">
        <f aca="false">$B$13+SUMPRODUCT(C38:N38,$C$13:$N$13)</f>
        <v>1.55741558004116</v>
      </c>
      <c r="P38" s="7" t="n">
        <f aca="false">B38-O38</f>
        <v>2.0777488835399</v>
      </c>
      <c r="Q38" s="7" t="n">
        <f aca="false">P38^2</f>
        <v>4.31704042305132</v>
      </c>
      <c r="T38" s="5" t="s">
        <v>120</v>
      </c>
      <c r="U38" s="7" t="n">
        <f aca="false">INDEX(LINEST(B15:B60,C15:N60,TRUE(),TRUE()),5,1)</f>
        <v>142.15572693083</v>
      </c>
      <c r="X38" s="6" t="s">
        <v>75</v>
      </c>
      <c r="Y38" s="20" t="n">
        <f aca="false">CORREL($C$15:$C$60,$J$15:$J$60)</f>
        <v>-0.0364507402199878</v>
      </c>
      <c r="Z38" s="20" t="n">
        <f aca="false">CORREL($D$15:$D$60,$J$15:$J$60)</f>
        <v>-0.0815139145939222</v>
      </c>
      <c r="AA38" s="20" t="n">
        <f aca="false">CORREL($E$15:$E$60,$J$15:$J$60)</f>
        <v>-0.0815139145939222</v>
      </c>
      <c r="AB38" s="20" t="n">
        <f aca="false">CORREL($F$15:$F$60,$J$15:$J$60)</f>
        <v>-0.0952380952380953</v>
      </c>
      <c r="AC38" s="20" t="n">
        <f aca="false">CORREL($G$15:$G$60,$J$15:$J$60)</f>
        <v>-0.0952380952380953</v>
      </c>
      <c r="AD38" s="20" t="n">
        <f aca="false">CORREL($H$15:$H$60,$J$15:$J$60)</f>
        <v>-0.0952380952380953</v>
      </c>
      <c r="AE38" s="20" t="n">
        <f aca="false">CORREL($I$15:$I$60,$J$15:$J$60)</f>
        <v>-0.0952380952380953</v>
      </c>
      <c r="AF38" s="20" t="n">
        <f aca="false">CORREL($J$15:$J$60,$J$15:$J$60)</f>
        <v>1</v>
      </c>
      <c r="AG38" s="20" t="n">
        <f aca="false">CORREL($K$15:$K$60,$J$15:$J$60)</f>
        <v>-0.0952380952380953</v>
      </c>
      <c r="AH38" s="20" t="n">
        <f aca="false">CORREL($L$15:$L$60,$J$15:$J$60)</f>
        <v>-0.0952380952380953</v>
      </c>
      <c r="AI38" s="20" t="n">
        <f aca="false">CORREL($M$15:$M$60,$J$15:$J$60)</f>
        <v>-0.0952380952380953</v>
      </c>
      <c r="AJ38" s="20" t="n">
        <f aca="false">CORREL($N$15:$N$60,$J$15:$J$60)</f>
        <v>-0.0952380952380953</v>
      </c>
    </row>
    <row r="39" customFormat="false" ht="15" hidden="false" customHeight="false" outlineLevel="0" collapsed="false">
      <c r="A39" s="11" t="n">
        <f aca="false">Data_Monthly!A29</f>
        <v>45037</v>
      </c>
      <c r="B39" s="12" t="n">
        <f aca="false">Data_Monthly!B29-AVERAGE(Data_Monthly!D29:F29)</f>
        <v>1.31006133074407</v>
      </c>
      <c r="C39" s="13" t="n">
        <f aca="false">IF($A39&gt;=$U$13,1,0)</f>
        <v>0</v>
      </c>
      <c r="D39" s="13" t="n">
        <f aca="false">IF(MONTH($A39)=2,1,0)</f>
        <v>0</v>
      </c>
      <c r="E39" s="13" t="n">
        <f aca="false">IF(MONTH($A39)=3,1,0)</f>
        <v>0</v>
      </c>
      <c r="F39" s="13" t="n">
        <f aca="false">IF(MONTH($A39)=4,1,0)</f>
        <v>1</v>
      </c>
      <c r="G39" s="13" t="n">
        <f aca="false">IF(MONTH($A39)=5,1,0)</f>
        <v>0</v>
      </c>
      <c r="H39" s="13" t="n">
        <f aca="false">IF(MONTH($A39)=6,1,0)</f>
        <v>0</v>
      </c>
      <c r="I39" s="13" t="n">
        <f aca="false">IF(MONTH($A39)=7,1,0)</f>
        <v>0</v>
      </c>
      <c r="J39" s="13" t="n">
        <f aca="false">IF(MONTH($A39)=8,1,0)</f>
        <v>0</v>
      </c>
      <c r="K39" s="13" t="n">
        <f aca="false">IF(MONTH($A39)=9,1,0)</f>
        <v>0</v>
      </c>
      <c r="L39" s="13" t="n">
        <f aca="false">IF(MONTH($A39)=10,1,0)</f>
        <v>0</v>
      </c>
      <c r="M39" s="13" t="n">
        <f aca="false">IF(MONTH($A39)=11,1,0)</f>
        <v>0</v>
      </c>
      <c r="N39" s="13" t="n">
        <f aca="false">IF(MONTH($A39)=12,1,0)</f>
        <v>0</v>
      </c>
      <c r="O39" s="7" t="n">
        <f aca="false">$B$13+SUMPRODUCT(C39:N39,$C$13:$N$13)</f>
        <v>1.06831214993438</v>
      </c>
      <c r="P39" s="7" t="n">
        <f aca="false">B39-O39</f>
        <v>0.241749180809687</v>
      </c>
      <c r="Q39" s="7" t="n">
        <f aca="false">P39^2</f>
        <v>0.058442666422155</v>
      </c>
      <c r="T39" s="5" t="s">
        <v>113</v>
      </c>
      <c r="U39" s="7" t="n">
        <f aca="false">INDEX(LINEST(B15:B60,C15:N60,TRUE(),TRUE()),5,2)</f>
        <v>134.64370238254</v>
      </c>
      <c r="X39" s="6" t="s">
        <v>76</v>
      </c>
      <c r="Y39" s="20" t="n">
        <f aca="false">CORREL($C$15:$C$60,$K$15:$K$60)</f>
        <v>-0.0364507402199878</v>
      </c>
      <c r="Z39" s="20" t="n">
        <f aca="false">CORREL($D$15:$D$60,$K$15:$K$60)</f>
        <v>-0.0815139145939222</v>
      </c>
      <c r="AA39" s="20" t="n">
        <f aca="false">CORREL($E$15:$E$60,$K$15:$K$60)</f>
        <v>-0.0815139145939222</v>
      </c>
      <c r="AB39" s="20" t="n">
        <f aca="false">CORREL($F$15:$F$60,$K$15:$K$60)</f>
        <v>-0.0952380952380953</v>
      </c>
      <c r="AC39" s="20" t="n">
        <f aca="false">CORREL($G$15:$G$60,$K$15:$K$60)</f>
        <v>-0.0952380952380953</v>
      </c>
      <c r="AD39" s="20" t="n">
        <f aca="false">CORREL($H$15:$H$60,$K$15:$K$60)</f>
        <v>-0.0952380952380953</v>
      </c>
      <c r="AE39" s="20" t="n">
        <f aca="false">CORREL($I$15:$I$60,$K$15:$K$60)</f>
        <v>-0.0952380952380953</v>
      </c>
      <c r="AF39" s="20" t="n">
        <f aca="false">CORREL($J$15:$J$60,$K$15:$K$60)</f>
        <v>-0.0952380952380953</v>
      </c>
      <c r="AG39" s="20" t="n">
        <f aca="false">CORREL($K$15:$K$60,$K$15:$K$60)</f>
        <v>1</v>
      </c>
      <c r="AH39" s="20" t="n">
        <f aca="false">CORREL($L$15:$L$60,$K$15:$K$60)</f>
        <v>-0.0952380952380953</v>
      </c>
      <c r="AI39" s="20" t="n">
        <f aca="false">CORREL($M$15:$M$60,$K$15:$K$60)</f>
        <v>-0.0952380952380953</v>
      </c>
      <c r="AJ39" s="20" t="n">
        <f aca="false">CORREL($N$15:$N$60,$K$15:$K$60)</f>
        <v>-0.0952380952380953</v>
      </c>
    </row>
    <row r="40" customFormat="false" ht="15" hidden="false" customHeight="false" outlineLevel="0" collapsed="false">
      <c r="A40" s="11" t="n">
        <f aca="false">Data_Monthly!A30</f>
        <v>45065</v>
      </c>
      <c r="B40" s="12" t="n">
        <f aca="false">Data_Monthly!B30-AVERAGE(Data_Monthly!D30:F30)</f>
        <v>0.176208184737092</v>
      </c>
      <c r="C40" s="13" t="n">
        <f aca="false">IF($A40&gt;=$U$13,1,0)</f>
        <v>0</v>
      </c>
      <c r="D40" s="13" t="n">
        <f aca="false">IF(MONTH($A40)=2,1,0)</f>
        <v>0</v>
      </c>
      <c r="E40" s="13" t="n">
        <f aca="false">IF(MONTH($A40)=3,1,0)</f>
        <v>0</v>
      </c>
      <c r="F40" s="13" t="n">
        <f aca="false">IF(MONTH($A40)=4,1,0)</f>
        <v>0</v>
      </c>
      <c r="G40" s="13" t="n">
        <f aca="false">IF(MONTH($A40)=5,1,0)</f>
        <v>1</v>
      </c>
      <c r="H40" s="13" t="n">
        <f aca="false">IF(MONTH($A40)=6,1,0)</f>
        <v>0</v>
      </c>
      <c r="I40" s="13" t="n">
        <f aca="false">IF(MONTH($A40)=7,1,0)</f>
        <v>0</v>
      </c>
      <c r="J40" s="13" t="n">
        <f aca="false">IF(MONTH($A40)=8,1,0)</f>
        <v>0</v>
      </c>
      <c r="K40" s="13" t="n">
        <f aca="false">IF(MONTH($A40)=9,1,0)</f>
        <v>0</v>
      </c>
      <c r="L40" s="13" t="n">
        <f aca="false">IF(MONTH($A40)=10,1,0)</f>
        <v>0</v>
      </c>
      <c r="M40" s="13" t="n">
        <f aca="false">IF(MONTH($A40)=11,1,0)</f>
        <v>0</v>
      </c>
      <c r="N40" s="13" t="n">
        <f aca="false">IF(MONTH($A40)=12,1,0)</f>
        <v>0</v>
      </c>
      <c r="O40" s="7" t="n">
        <f aca="false">$B$13+SUMPRODUCT(C40:N40,$C$13:$N$13)</f>
        <v>-1.1772601625052</v>
      </c>
      <c r="P40" s="7" t="n">
        <f aca="false">B40-O40</f>
        <v>1.3534683472423</v>
      </c>
      <c r="Q40" s="7" t="n">
        <f aca="false">P40^2</f>
        <v>1.83187656698679</v>
      </c>
      <c r="T40" s="5" t="s">
        <v>121</v>
      </c>
      <c r="U40" s="13" t="n">
        <f aca="false">COLUMNS(C15:N60)</f>
        <v>12</v>
      </c>
      <c r="X40" s="6" t="s">
        <v>77</v>
      </c>
      <c r="Y40" s="20" t="n">
        <f aca="false">CORREL($C$15:$C$60,$L$15:$L$60)</f>
        <v>-0.0364507402199878</v>
      </c>
      <c r="Z40" s="20" t="n">
        <f aca="false">CORREL($D$15:$D$60,$L$15:$L$60)</f>
        <v>-0.0815139145939222</v>
      </c>
      <c r="AA40" s="20" t="n">
        <f aca="false">CORREL($E$15:$E$60,$L$15:$L$60)</f>
        <v>-0.0815139145939222</v>
      </c>
      <c r="AB40" s="20" t="n">
        <f aca="false">CORREL($F$15:$F$60,$L$15:$L$60)</f>
        <v>-0.0952380952380953</v>
      </c>
      <c r="AC40" s="20" t="n">
        <f aca="false">CORREL($G$15:$G$60,$L$15:$L$60)</f>
        <v>-0.0952380952380953</v>
      </c>
      <c r="AD40" s="20" t="n">
        <f aca="false">CORREL($H$15:$H$60,$L$15:$L$60)</f>
        <v>-0.0952380952380953</v>
      </c>
      <c r="AE40" s="20" t="n">
        <f aca="false">CORREL($I$15:$I$60,$L$15:$L$60)</f>
        <v>-0.0952380952380953</v>
      </c>
      <c r="AF40" s="20" t="n">
        <f aca="false">CORREL($J$15:$J$60,$L$15:$L$60)</f>
        <v>-0.0952380952380953</v>
      </c>
      <c r="AG40" s="20" t="n">
        <f aca="false">CORREL($K$15:$K$60,$L$15:$L$60)</f>
        <v>-0.0952380952380953</v>
      </c>
      <c r="AH40" s="20" t="n">
        <f aca="false">CORREL($L$15:$L$60,$L$15:$L$60)</f>
        <v>1</v>
      </c>
      <c r="AI40" s="20" t="n">
        <f aca="false">CORREL($M$15:$M$60,$L$15:$L$60)</f>
        <v>-0.0952380952380953</v>
      </c>
      <c r="AJ40" s="20" t="n">
        <f aca="false">CORREL($N$15:$N$60,$L$15:$L$60)</f>
        <v>-0.0952380952380953</v>
      </c>
    </row>
    <row r="41" customFormat="false" ht="15" hidden="false" customHeight="false" outlineLevel="0" collapsed="false">
      <c r="A41" s="11" t="n">
        <f aca="false">Data_Monthly!A31</f>
        <v>45107</v>
      </c>
      <c r="B41" s="12" t="n">
        <f aca="false">Data_Monthly!B31-AVERAGE(Data_Monthly!D31:F31)</f>
        <v>1.07184928117684</v>
      </c>
      <c r="C41" s="13" t="n">
        <f aca="false">IF($A41&gt;=$U$13,1,0)</f>
        <v>0</v>
      </c>
      <c r="D41" s="13" t="n">
        <f aca="false">IF(MONTH($A41)=2,1,0)</f>
        <v>0</v>
      </c>
      <c r="E41" s="13" t="n">
        <f aca="false">IF(MONTH($A41)=3,1,0)</f>
        <v>0</v>
      </c>
      <c r="F41" s="13" t="n">
        <f aca="false">IF(MONTH($A41)=4,1,0)</f>
        <v>0</v>
      </c>
      <c r="G41" s="13" t="n">
        <f aca="false">IF(MONTH($A41)=5,1,0)</f>
        <v>0</v>
      </c>
      <c r="H41" s="13" t="n">
        <f aca="false">IF(MONTH($A41)=6,1,0)</f>
        <v>1</v>
      </c>
      <c r="I41" s="13" t="n">
        <f aca="false">IF(MONTH($A41)=7,1,0)</f>
        <v>0</v>
      </c>
      <c r="J41" s="13" t="n">
        <f aca="false">IF(MONTH($A41)=8,1,0)</f>
        <v>0</v>
      </c>
      <c r="K41" s="13" t="n">
        <f aca="false">IF(MONTH($A41)=9,1,0)</f>
        <v>0</v>
      </c>
      <c r="L41" s="13" t="n">
        <f aca="false">IF(MONTH($A41)=10,1,0)</f>
        <v>0</v>
      </c>
      <c r="M41" s="13" t="n">
        <f aca="false">IF(MONTH($A41)=11,1,0)</f>
        <v>0</v>
      </c>
      <c r="N41" s="13" t="n">
        <f aca="false">IF(MONTH($A41)=12,1,0)</f>
        <v>0</v>
      </c>
      <c r="O41" s="7" t="n">
        <f aca="false">$B$13+SUMPRODUCT(C41:N41,$C$13:$N$13)</f>
        <v>-0.00390105879111791</v>
      </c>
      <c r="P41" s="7" t="n">
        <f aca="false">B41-O41</f>
        <v>1.07575033996795</v>
      </c>
      <c r="Q41" s="7" t="n">
        <f aca="false">P41^2</f>
        <v>1.15723879394117</v>
      </c>
      <c r="T41" s="5" t="s">
        <v>111</v>
      </c>
      <c r="U41" s="13" t="n">
        <f aca="false">$U$33</f>
        <v>33</v>
      </c>
      <c r="X41" s="6" t="s">
        <v>78</v>
      </c>
      <c r="Y41" s="20" t="n">
        <f aca="false">CORREL($C$15:$C$60,$M$15:$M$60)</f>
        <v>-0.0364507402199878</v>
      </c>
      <c r="Z41" s="20" t="n">
        <f aca="false">CORREL($D$15:$D$60,$M$15:$M$60)</f>
        <v>-0.0815139145939222</v>
      </c>
      <c r="AA41" s="20" t="n">
        <f aca="false">CORREL($E$15:$E$60,$M$15:$M$60)</f>
        <v>-0.0815139145939222</v>
      </c>
      <c r="AB41" s="20" t="n">
        <f aca="false">CORREL($F$15:$F$60,$M$15:$M$60)</f>
        <v>-0.0952380952380953</v>
      </c>
      <c r="AC41" s="20" t="n">
        <f aca="false">CORREL($G$15:$G$60,$M$15:$M$60)</f>
        <v>-0.0952380952380953</v>
      </c>
      <c r="AD41" s="20" t="n">
        <f aca="false">CORREL($H$15:$H$60,$M$15:$M$60)</f>
        <v>-0.0952380952380953</v>
      </c>
      <c r="AE41" s="20" t="n">
        <f aca="false">CORREL($I$15:$I$60,$M$15:$M$60)</f>
        <v>-0.0952380952380953</v>
      </c>
      <c r="AF41" s="20" t="n">
        <f aca="false">CORREL($J$15:$J$60,$M$15:$M$60)</f>
        <v>-0.0952380952380953</v>
      </c>
      <c r="AG41" s="20" t="n">
        <f aca="false">CORREL($K$15:$K$60,$M$15:$M$60)</f>
        <v>-0.0952380952380953</v>
      </c>
      <c r="AH41" s="20" t="n">
        <f aca="false">CORREL($L$15:$L$60,$M$15:$M$60)</f>
        <v>-0.0952380952380953</v>
      </c>
      <c r="AI41" s="20" t="n">
        <f aca="false">CORREL($M$15:$M$60,$M$15:$M$60)</f>
        <v>1</v>
      </c>
      <c r="AJ41" s="20" t="n">
        <f aca="false">CORREL($N$15:$N$60,$M$15:$M$60)</f>
        <v>-0.0952380952380953</v>
      </c>
    </row>
    <row r="42" customFormat="false" ht="15" hidden="false" customHeight="false" outlineLevel="0" collapsed="false">
      <c r="A42" s="11" t="n">
        <f aca="false">Data_Monthly!A32</f>
        <v>45135</v>
      </c>
      <c r="B42" s="12" t="n">
        <f aca="false">Data_Monthly!B32-AVERAGE(Data_Monthly!D32:F32)</f>
        <v>0.644751991621373</v>
      </c>
      <c r="C42" s="13" t="n">
        <f aca="false">IF($A42&gt;=$U$13,1,0)</f>
        <v>0</v>
      </c>
      <c r="D42" s="13" t="n">
        <f aca="false">IF(MONTH($A42)=2,1,0)</f>
        <v>0</v>
      </c>
      <c r="E42" s="13" t="n">
        <f aca="false">IF(MONTH($A42)=3,1,0)</f>
        <v>0</v>
      </c>
      <c r="F42" s="13" t="n">
        <f aca="false">IF(MONTH($A42)=4,1,0)</f>
        <v>0</v>
      </c>
      <c r="G42" s="13" t="n">
        <f aca="false">IF(MONTH($A42)=5,1,0)</f>
        <v>0</v>
      </c>
      <c r="H42" s="13" t="n">
        <f aca="false">IF(MONTH($A42)=6,1,0)</f>
        <v>0</v>
      </c>
      <c r="I42" s="13" t="n">
        <f aca="false">IF(MONTH($A42)=7,1,0)</f>
        <v>1</v>
      </c>
      <c r="J42" s="13" t="n">
        <f aca="false">IF(MONTH($A42)=8,1,0)</f>
        <v>0</v>
      </c>
      <c r="K42" s="13" t="n">
        <f aca="false">IF(MONTH($A42)=9,1,0)</f>
        <v>0</v>
      </c>
      <c r="L42" s="13" t="n">
        <f aca="false">IF(MONTH($A42)=10,1,0)</f>
        <v>0</v>
      </c>
      <c r="M42" s="13" t="n">
        <f aca="false">IF(MONTH($A42)=11,1,0)</f>
        <v>0</v>
      </c>
      <c r="N42" s="13" t="n">
        <f aca="false">IF(MONTH($A42)=12,1,0)</f>
        <v>0</v>
      </c>
      <c r="O42" s="7" t="n">
        <f aca="false">$B$13+SUMPRODUCT(C42:N42,$C$13:$N$13)</f>
        <v>3.16162792484098</v>
      </c>
      <c r="P42" s="7" t="n">
        <f aca="false">B42-O42</f>
        <v>-2.51687593321961</v>
      </c>
      <c r="Q42" s="7" t="n">
        <f aca="false">P42^2</f>
        <v>6.33466446322008</v>
      </c>
      <c r="T42" s="5" t="s">
        <v>122</v>
      </c>
      <c r="U42" s="7" t="n">
        <f aca="false">$U$38/$U$40</f>
        <v>11.8463105775691</v>
      </c>
      <c r="X42" s="6" t="s">
        <v>79</v>
      </c>
      <c r="Y42" s="20" t="n">
        <f aca="false">CORREL($C$15:$C$60,$N$15:$N$60)</f>
        <v>0.131222664791956</v>
      </c>
      <c r="Z42" s="20" t="n">
        <f aca="false">CORREL($D$15:$D$60,$N$15:$N$60)</f>
        <v>-0.0815139145939222</v>
      </c>
      <c r="AA42" s="20" t="n">
        <f aca="false">CORREL($E$15:$E$60,$N$15:$N$60)</f>
        <v>-0.0815139145939222</v>
      </c>
      <c r="AB42" s="20" t="n">
        <f aca="false">CORREL($F$15:$F$60,$N$15:$N$60)</f>
        <v>-0.0952380952380953</v>
      </c>
      <c r="AC42" s="20" t="n">
        <f aca="false">CORREL($G$15:$G$60,$N$15:$N$60)</f>
        <v>-0.0952380952380953</v>
      </c>
      <c r="AD42" s="20" t="n">
        <f aca="false">CORREL($H$15:$H$60,$N$15:$N$60)</f>
        <v>-0.0952380952380953</v>
      </c>
      <c r="AE42" s="20" t="n">
        <f aca="false">CORREL($I$15:$I$60,$N$15:$N$60)</f>
        <v>-0.0952380952380953</v>
      </c>
      <c r="AF42" s="20" t="n">
        <f aca="false">CORREL($J$15:$J$60,$N$15:$N$60)</f>
        <v>-0.0952380952380953</v>
      </c>
      <c r="AG42" s="20" t="n">
        <f aca="false">CORREL($K$15:$K$60,$N$15:$N$60)</f>
        <v>-0.0952380952380953</v>
      </c>
      <c r="AH42" s="20" t="n">
        <f aca="false">CORREL($L$15:$L$60,$N$15:$N$60)</f>
        <v>-0.0952380952380953</v>
      </c>
      <c r="AI42" s="20" t="n">
        <f aca="false">CORREL($M$15:$M$60,$N$15:$N$60)</f>
        <v>-0.0952380952380953</v>
      </c>
      <c r="AJ42" s="20" t="n">
        <f aca="false">CORREL($N$15:$N$60,$N$15:$N$60)</f>
        <v>1</v>
      </c>
    </row>
    <row r="43" customFormat="false" ht="15" hidden="false" customHeight="false" outlineLevel="0" collapsed="false">
      <c r="A43" s="11" t="n">
        <f aca="false">Data_Monthly!A33</f>
        <v>45163</v>
      </c>
      <c r="B43" s="12" t="n">
        <f aca="false">Data_Monthly!B33-AVERAGE(Data_Monthly!D33:F33)</f>
        <v>0.293814871552082</v>
      </c>
      <c r="C43" s="13" t="n">
        <f aca="false">IF($A43&gt;=$U$13,1,0)</f>
        <v>0</v>
      </c>
      <c r="D43" s="13" t="n">
        <f aca="false">IF(MONTH($A43)=2,1,0)</f>
        <v>0</v>
      </c>
      <c r="E43" s="13" t="n">
        <f aca="false">IF(MONTH($A43)=3,1,0)</f>
        <v>0</v>
      </c>
      <c r="F43" s="13" t="n">
        <f aca="false">IF(MONTH($A43)=4,1,0)</f>
        <v>0</v>
      </c>
      <c r="G43" s="13" t="n">
        <f aca="false">IF(MONTH($A43)=5,1,0)</f>
        <v>0</v>
      </c>
      <c r="H43" s="13" t="n">
        <f aca="false">IF(MONTH($A43)=6,1,0)</f>
        <v>0</v>
      </c>
      <c r="I43" s="13" t="n">
        <f aca="false">IF(MONTH($A43)=7,1,0)</f>
        <v>0</v>
      </c>
      <c r="J43" s="13" t="n">
        <f aca="false">IF(MONTH($A43)=8,1,0)</f>
        <v>1</v>
      </c>
      <c r="K43" s="13" t="n">
        <f aca="false">IF(MONTH($A43)=9,1,0)</f>
        <v>0</v>
      </c>
      <c r="L43" s="13" t="n">
        <f aca="false">IF(MONTH($A43)=10,1,0)</f>
        <v>0</v>
      </c>
      <c r="M43" s="13" t="n">
        <f aca="false">IF(MONTH($A43)=11,1,0)</f>
        <v>0</v>
      </c>
      <c r="N43" s="13" t="n">
        <f aca="false">IF(MONTH($A43)=12,1,0)</f>
        <v>0</v>
      </c>
      <c r="O43" s="7" t="n">
        <f aca="false">$B$13+SUMPRODUCT(C43:N43,$C$13:$N$13)</f>
        <v>0.892428151448256</v>
      </c>
      <c r="P43" s="7" t="n">
        <f aca="false">B43-O43</f>
        <v>-0.598613279896174</v>
      </c>
      <c r="Q43" s="7" t="n">
        <f aca="false">P43^2</f>
        <v>0.358337858868055</v>
      </c>
      <c r="T43" s="5" t="s">
        <v>123</v>
      </c>
      <c r="U43" s="7" t="n">
        <f aca="false">$U$39/$U$41</f>
        <v>4.08011219341031</v>
      </c>
    </row>
    <row r="44" customFormat="false" ht="15" hidden="false" customHeight="false" outlineLevel="0" collapsed="false">
      <c r="A44" s="11" t="n">
        <f aca="false">Data_Monthly!A34</f>
        <v>45191</v>
      </c>
      <c r="B44" s="12" t="n">
        <f aca="false">Data_Monthly!B34-AVERAGE(Data_Monthly!D34:F34)</f>
        <v>-2.06993421869619</v>
      </c>
      <c r="C44" s="13" t="n">
        <f aca="false">IF($A44&gt;=$U$13,1,0)</f>
        <v>0</v>
      </c>
      <c r="D44" s="13" t="n">
        <f aca="false">IF(MONTH($A44)=2,1,0)</f>
        <v>0</v>
      </c>
      <c r="E44" s="13" t="n">
        <f aca="false">IF(MONTH($A44)=3,1,0)</f>
        <v>0</v>
      </c>
      <c r="F44" s="13" t="n">
        <f aca="false">IF(MONTH($A44)=4,1,0)</f>
        <v>0</v>
      </c>
      <c r="G44" s="13" t="n">
        <f aca="false">IF(MONTH($A44)=5,1,0)</f>
        <v>0</v>
      </c>
      <c r="H44" s="13" t="n">
        <f aca="false">IF(MONTH($A44)=6,1,0)</f>
        <v>0</v>
      </c>
      <c r="I44" s="13" t="n">
        <f aca="false">IF(MONTH($A44)=7,1,0)</f>
        <v>0</v>
      </c>
      <c r="J44" s="13" t="n">
        <f aca="false">IF(MONTH($A44)=8,1,0)</f>
        <v>0</v>
      </c>
      <c r="K44" s="13" t="n">
        <f aca="false">IF(MONTH($A44)=9,1,0)</f>
        <v>1</v>
      </c>
      <c r="L44" s="13" t="n">
        <f aca="false">IF(MONTH($A44)=10,1,0)</f>
        <v>0</v>
      </c>
      <c r="M44" s="13" t="n">
        <f aca="false">IF(MONTH($A44)=11,1,0)</f>
        <v>0</v>
      </c>
      <c r="N44" s="13" t="n">
        <f aca="false">IF(MONTH($A44)=12,1,0)</f>
        <v>0</v>
      </c>
      <c r="O44" s="7" t="n">
        <f aca="false">$B$13+SUMPRODUCT(C44:N44,$C$13:$N$13)</f>
        <v>-1.87579660852581</v>
      </c>
      <c r="P44" s="7" t="n">
        <f aca="false">B44-O44</f>
        <v>-0.194137610170376</v>
      </c>
      <c r="Q44" s="7" t="n">
        <f aca="false">P44^2</f>
        <v>0.0376894116826651</v>
      </c>
      <c r="T44" s="5" t="s">
        <v>124</v>
      </c>
      <c r="U44" s="7" t="n">
        <f aca="false">INDEX(LINEST(B15:B60,C15:N60,TRUE(),TRUE()),4,1)</f>
        <v>2.90342765493111</v>
      </c>
    </row>
    <row r="45" customFormat="false" ht="15" hidden="false" customHeight="false" outlineLevel="0" collapsed="false">
      <c r="A45" s="11" t="n">
        <f aca="false">Data_Monthly!A35</f>
        <v>45219</v>
      </c>
      <c r="B45" s="12" t="n">
        <f aca="false">Data_Monthly!B35-AVERAGE(Data_Monthly!D35:F35)</f>
        <v>3.93249053457107</v>
      </c>
      <c r="C45" s="13" t="n">
        <f aca="false">IF($A45&gt;=$U$13,1,0)</f>
        <v>0</v>
      </c>
      <c r="D45" s="13" t="n">
        <f aca="false">IF(MONTH($A45)=2,1,0)</f>
        <v>0</v>
      </c>
      <c r="E45" s="13" t="n">
        <f aca="false">IF(MONTH($A45)=3,1,0)</f>
        <v>0</v>
      </c>
      <c r="F45" s="13" t="n">
        <f aca="false">IF(MONTH($A45)=4,1,0)</f>
        <v>0</v>
      </c>
      <c r="G45" s="13" t="n">
        <f aca="false">IF(MONTH($A45)=5,1,0)</f>
        <v>0</v>
      </c>
      <c r="H45" s="13" t="n">
        <f aca="false">IF(MONTH($A45)=6,1,0)</f>
        <v>0</v>
      </c>
      <c r="I45" s="13" t="n">
        <f aca="false">IF(MONTH($A45)=7,1,0)</f>
        <v>0</v>
      </c>
      <c r="J45" s="13" t="n">
        <f aca="false">IF(MONTH($A45)=8,1,0)</f>
        <v>0</v>
      </c>
      <c r="K45" s="13" t="n">
        <f aca="false">IF(MONTH($A45)=9,1,0)</f>
        <v>0</v>
      </c>
      <c r="L45" s="13" t="n">
        <f aca="false">IF(MONTH($A45)=10,1,0)</f>
        <v>1</v>
      </c>
      <c r="M45" s="13" t="n">
        <f aca="false">IF(MONTH($A45)=11,1,0)</f>
        <v>0</v>
      </c>
      <c r="N45" s="13" t="n">
        <f aca="false">IF(MONTH($A45)=12,1,0)</f>
        <v>0</v>
      </c>
      <c r="O45" s="7" t="n">
        <f aca="false">$B$13+SUMPRODUCT(C45:N45,$C$13:$N$13)</f>
        <v>4.44855278179874</v>
      </c>
      <c r="P45" s="7" t="n">
        <f aca="false">B45-O45</f>
        <v>-0.516062247227668</v>
      </c>
      <c r="Q45" s="7" t="n">
        <f aca="false">P45^2</f>
        <v>0.266320243013671</v>
      </c>
      <c r="T45" s="5" t="s">
        <v>125</v>
      </c>
      <c r="U45" s="7" t="n">
        <f aca="false">_xlfn.F.DIST.RT($U$44,$U$40,$U$41)</f>
        <v>0.0075777630417965</v>
      </c>
    </row>
    <row r="46" customFormat="false" ht="15" hidden="false" customHeight="false" outlineLevel="0" collapsed="false">
      <c r="A46" s="11" t="n">
        <f aca="false">Data_Monthly!A36</f>
        <v>45247</v>
      </c>
      <c r="B46" s="12" t="n">
        <f aca="false">Data_Monthly!B36-AVERAGE(Data_Monthly!D36:F36)</f>
        <v>0.0939383443156434</v>
      </c>
      <c r="C46" s="13" t="n">
        <f aca="false">IF($A46&gt;=$U$13,1,0)</f>
        <v>0</v>
      </c>
      <c r="D46" s="13" t="n">
        <f aca="false">IF(MONTH($A46)=2,1,0)</f>
        <v>0</v>
      </c>
      <c r="E46" s="13" t="n">
        <f aca="false">IF(MONTH($A46)=3,1,0)</f>
        <v>0</v>
      </c>
      <c r="F46" s="13" t="n">
        <f aca="false">IF(MONTH($A46)=4,1,0)</f>
        <v>0</v>
      </c>
      <c r="G46" s="13" t="n">
        <f aca="false">IF(MONTH($A46)=5,1,0)</f>
        <v>0</v>
      </c>
      <c r="H46" s="13" t="n">
        <f aca="false">IF(MONTH($A46)=6,1,0)</f>
        <v>0</v>
      </c>
      <c r="I46" s="13" t="n">
        <f aca="false">IF(MONTH($A46)=7,1,0)</f>
        <v>0</v>
      </c>
      <c r="J46" s="13" t="n">
        <f aca="false">IF(MONTH($A46)=8,1,0)</f>
        <v>0</v>
      </c>
      <c r="K46" s="13" t="n">
        <f aca="false">IF(MONTH($A46)=9,1,0)</f>
        <v>0</v>
      </c>
      <c r="L46" s="13" t="n">
        <f aca="false">IF(MONTH($A46)=10,1,0)</f>
        <v>0</v>
      </c>
      <c r="M46" s="13" t="n">
        <f aca="false">IF(MONTH($A46)=11,1,0)</f>
        <v>1</v>
      </c>
      <c r="N46" s="13" t="n">
        <f aca="false">IF(MONTH($A46)=12,1,0)</f>
        <v>0</v>
      </c>
      <c r="O46" s="7" t="n">
        <f aca="false">$B$13+SUMPRODUCT(C46:N46,$C$13:$N$13)</f>
        <v>-0.549594252947434</v>
      </c>
      <c r="P46" s="7" t="n">
        <f aca="false">B46-O46</f>
        <v>0.643532597263077</v>
      </c>
      <c r="Q46" s="7" t="n">
        <f aca="false">P46^2</f>
        <v>0.414134203740162</v>
      </c>
    </row>
    <row r="47" customFormat="false" ht="15" hidden="false" customHeight="false" outlineLevel="0" collapsed="false">
      <c r="A47" s="11" t="n">
        <f aca="false">Data_Monthly!A37</f>
        <v>45289</v>
      </c>
      <c r="B47" s="12" t="n">
        <f aca="false">Data_Monthly!B37-AVERAGE(Data_Monthly!D37:F37)</f>
        <v>0.377322404974715</v>
      </c>
      <c r="C47" s="13" t="n">
        <f aca="false">IF($A47&gt;=$U$13,1,0)</f>
        <v>1</v>
      </c>
      <c r="D47" s="13" t="n">
        <f aca="false">IF(MONTH($A47)=2,1,0)</f>
        <v>0</v>
      </c>
      <c r="E47" s="13" t="n">
        <f aca="false">IF(MONTH($A47)=3,1,0)</f>
        <v>0</v>
      </c>
      <c r="F47" s="13" t="n">
        <f aca="false">IF(MONTH($A47)=4,1,0)</f>
        <v>0</v>
      </c>
      <c r="G47" s="13" t="n">
        <f aca="false">IF(MONTH($A47)=5,1,0)</f>
        <v>0</v>
      </c>
      <c r="H47" s="13" t="n">
        <f aca="false">IF(MONTH($A47)=6,1,0)</f>
        <v>0</v>
      </c>
      <c r="I47" s="13" t="n">
        <f aca="false">IF(MONTH($A47)=7,1,0)</f>
        <v>0</v>
      </c>
      <c r="J47" s="13" t="n">
        <f aca="false">IF(MONTH($A47)=8,1,0)</f>
        <v>0</v>
      </c>
      <c r="K47" s="13" t="n">
        <f aca="false">IF(MONTH($A47)=9,1,0)</f>
        <v>0</v>
      </c>
      <c r="L47" s="13" t="n">
        <f aca="false">IF(MONTH($A47)=10,1,0)</f>
        <v>0</v>
      </c>
      <c r="M47" s="13" t="n">
        <f aca="false">IF(MONTH($A47)=11,1,0)</f>
        <v>0</v>
      </c>
      <c r="N47" s="13" t="n">
        <f aca="false">IF(MONTH($A47)=12,1,0)</f>
        <v>1</v>
      </c>
      <c r="O47" s="7" t="n">
        <f aca="false">$B$13+SUMPRODUCT(C47:N47,$C$13:$N$13)</f>
        <v>-0.108889963794999</v>
      </c>
      <c r="P47" s="7" t="n">
        <f aca="false">B47-O47</f>
        <v>0.486212368769714</v>
      </c>
      <c r="Q47" s="7" t="n">
        <f aca="false">P47^2</f>
        <v>0.236402467544656</v>
      </c>
      <c r="T47" s="9" t="s">
        <v>126</v>
      </c>
      <c r="U47" s="14" t="s">
        <v>91</v>
      </c>
      <c r="V47" s="14" t="s">
        <v>92</v>
      </c>
    </row>
    <row r="48" customFormat="false" ht="15" hidden="false" customHeight="false" outlineLevel="0" collapsed="false">
      <c r="A48" s="11" t="n">
        <f aca="false">Data_Monthly!A38</f>
        <v>45317</v>
      </c>
      <c r="B48" s="12" t="n">
        <f aca="false">Data_Monthly!B38-AVERAGE(Data_Monthly!D38:F38)</f>
        <v>1.59050562840856</v>
      </c>
      <c r="C48" s="13" t="n">
        <f aca="false">IF($A48&gt;=$U$13,1,0)</f>
        <v>1</v>
      </c>
      <c r="D48" s="13" t="n">
        <f aca="false">IF(MONTH($A48)=2,1,0)</f>
        <v>0</v>
      </c>
      <c r="E48" s="13" t="n">
        <f aca="false">IF(MONTH($A48)=3,1,0)</f>
        <v>0</v>
      </c>
      <c r="F48" s="13" t="n">
        <f aca="false">IF(MONTH($A48)=4,1,0)</f>
        <v>0</v>
      </c>
      <c r="G48" s="13" t="n">
        <f aca="false">IF(MONTH($A48)=5,1,0)</f>
        <v>0</v>
      </c>
      <c r="H48" s="13" t="n">
        <f aca="false">IF(MONTH($A48)=6,1,0)</f>
        <v>0</v>
      </c>
      <c r="I48" s="13" t="n">
        <f aca="false">IF(MONTH($A48)=7,1,0)</f>
        <v>0</v>
      </c>
      <c r="J48" s="13" t="n">
        <f aca="false">IF(MONTH($A48)=8,1,0)</f>
        <v>0</v>
      </c>
      <c r="K48" s="13" t="n">
        <f aca="false">IF(MONTH($A48)=9,1,0)</f>
        <v>0</v>
      </c>
      <c r="L48" s="13" t="n">
        <f aca="false">IF(MONTH($A48)=10,1,0)</f>
        <v>0</v>
      </c>
      <c r="M48" s="13" t="n">
        <f aca="false">IF(MONTH($A48)=11,1,0)</f>
        <v>0</v>
      </c>
      <c r="N48" s="13" t="n">
        <f aca="false">IF(MONTH($A48)=12,1,0)</f>
        <v>0</v>
      </c>
      <c r="O48" s="7" t="n">
        <f aca="false">$B$13+SUMPRODUCT(C48:N48,$C$13:$N$13)</f>
        <v>0.613828872982193</v>
      </c>
      <c r="P48" s="7" t="n">
        <f aca="false">B48-O48</f>
        <v>0.976676755426367</v>
      </c>
      <c r="Q48" s="7" t="n">
        <f aca="false">P48^2</f>
        <v>0.953897484590175</v>
      </c>
      <c r="T48" s="5" t="s">
        <v>109</v>
      </c>
      <c r="U48" s="7" t="n">
        <f aca="false">Y15</f>
        <v>-0.660986128971641</v>
      </c>
      <c r="V48" s="16" t="n">
        <v>-0.660986128971643</v>
      </c>
    </row>
    <row r="49" customFormat="false" ht="15" hidden="false" customHeight="false" outlineLevel="0" collapsed="false">
      <c r="A49" s="11" t="n">
        <f aca="false">Data_Monthly!A39</f>
        <v>45345</v>
      </c>
      <c r="B49" s="12" t="n">
        <f aca="false">Data_Monthly!B39-AVERAGE(Data_Monthly!D39:F39)</f>
        <v>-1.24671874129554</v>
      </c>
      <c r="C49" s="13" t="n">
        <f aca="false">IF($A49&gt;=$U$13,1,0)</f>
        <v>1</v>
      </c>
      <c r="D49" s="13" t="n">
        <f aca="false">IF(MONTH($A49)=2,1,0)</f>
        <v>1</v>
      </c>
      <c r="E49" s="13" t="n">
        <f aca="false">IF(MONTH($A49)=3,1,0)</f>
        <v>0</v>
      </c>
      <c r="F49" s="13" t="n">
        <f aca="false">IF(MONTH($A49)=4,1,0)</f>
        <v>0</v>
      </c>
      <c r="G49" s="13" t="n">
        <f aca="false">IF(MONTH($A49)=5,1,0)</f>
        <v>0</v>
      </c>
      <c r="H49" s="13" t="n">
        <f aca="false">IF(MONTH($A49)=6,1,0)</f>
        <v>0</v>
      </c>
      <c r="I49" s="13" t="n">
        <f aca="false">IF(MONTH($A49)=7,1,0)</f>
        <v>0</v>
      </c>
      <c r="J49" s="13" t="n">
        <f aca="false">IF(MONTH($A49)=8,1,0)</f>
        <v>0</v>
      </c>
      <c r="K49" s="13" t="n">
        <f aca="false">IF(MONTH($A49)=9,1,0)</f>
        <v>0</v>
      </c>
      <c r="L49" s="13" t="n">
        <f aca="false">IF(MONTH($A49)=10,1,0)</f>
        <v>0</v>
      </c>
      <c r="M49" s="13" t="n">
        <f aca="false">IF(MONTH($A49)=11,1,0)</f>
        <v>0</v>
      </c>
      <c r="N49" s="13" t="n">
        <f aca="false">IF(MONTH($A49)=12,1,0)</f>
        <v>0</v>
      </c>
      <c r="O49" s="7" t="n">
        <f aca="false">$B$13+SUMPRODUCT(C49:N49,$C$13:$N$13)</f>
        <v>-1.20809760552775</v>
      </c>
      <c r="P49" s="7" t="n">
        <f aca="false">B49-O49</f>
        <v>-0.0386211357677873</v>
      </c>
      <c r="Q49" s="7" t="n">
        <f aca="false">P49^2</f>
        <v>0.00149159212799386</v>
      </c>
      <c r="T49" s="5" t="s">
        <v>110</v>
      </c>
      <c r="U49" s="7" t="n">
        <f aca="false">Z15</f>
        <v>0.661176888484005</v>
      </c>
    </row>
    <row r="50" customFormat="false" ht="15" hidden="false" customHeight="false" outlineLevel="0" collapsed="false">
      <c r="A50" s="11" t="n">
        <f aca="false">Data_Monthly!A40</f>
        <v>45373</v>
      </c>
      <c r="B50" s="12" t="n">
        <f aca="false">Data_Monthly!B40-AVERAGE(Data_Monthly!D40:F40)</f>
        <v>-1.66564084586476</v>
      </c>
      <c r="C50" s="13" t="n">
        <f aca="false">IF($A50&gt;=$U$13,1,0)</f>
        <v>1</v>
      </c>
      <c r="D50" s="13" t="n">
        <f aca="false">IF(MONTH($A50)=2,1,0)</f>
        <v>0</v>
      </c>
      <c r="E50" s="13" t="n">
        <f aca="false">IF(MONTH($A50)=3,1,0)</f>
        <v>1</v>
      </c>
      <c r="F50" s="13" t="n">
        <f aca="false">IF(MONTH($A50)=4,1,0)</f>
        <v>0</v>
      </c>
      <c r="G50" s="13" t="n">
        <f aca="false">IF(MONTH($A50)=5,1,0)</f>
        <v>0</v>
      </c>
      <c r="H50" s="13" t="n">
        <f aca="false">IF(MONTH($A50)=6,1,0)</f>
        <v>0</v>
      </c>
      <c r="I50" s="13" t="n">
        <f aca="false">IF(MONTH($A50)=7,1,0)</f>
        <v>0</v>
      </c>
      <c r="J50" s="13" t="n">
        <f aca="false">IF(MONTH($A50)=8,1,0)</f>
        <v>0</v>
      </c>
      <c r="K50" s="13" t="n">
        <f aca="false">IF(MONTH($A50)=9,1,0)</f>
        <v>0</v>
      </c>
      <c r="L50" s="13" t="n">
        <f aca="false">IF(MONTH($A50)=10,1,0)</f>
        <v>0</v>
      </c>
      <c r="M50" s="13" t="n">
        <f aca="false">IF(MONTH($A50)=11,1,0)</f>
        <v>0</v>
      </c>
      <c r="N50" s="13" t="n">
        <f aca="false">IF(MONTH($A50)=12,1,0)</f>
        <v>0</v>
      </c>
      <c r="O50" s="7" t="n">
        <f aca="false">$B$13+SUMPRODUCT(C50:N50,$C$13:$N$13)</f>
        <v>0.896429451069516</v>
      </c>
      <c r="P50" s="7" t="n">
        <f aca="false">B50-O50</f>
        <v>-2.56207029693427</v>
      </c>
      <c r="Q50" s="7" t="n">
        <f aca="false">P50^2</f>
        <v>6.56420420643287</v>
      </c>
      <c r="T50" s="5" t="s">
        <v>102</v>
      </c>
      <c r="U50" s="7" t="n">
        <f aca="false">AA15</f>
        <v>-0.999711484905649</v>
      </c>
    </row>
    <row r="51" customFormat="false" ht="15" hidden="false" customHeight="false" outlineLevel="0" collapsed="false">
      <c r="A51" s="11" t="n">
        <f aca="false">Data_Monthly!A41</f>
        <v>45401</v>
      </c>
      <c r="B51" s="12" t="n">
        <f aca="false">Data_Monthly!B41-AVERAGE(Data_Monthly!D41:F41)</f>
        <v>0.41724190816647</v>
      </c>
      <c r="C51" s="13" t="n">
        <f aca="false">IF($A51&gt;=$U$13,1,0)</f>
        <v>1</v>
      </c>
      <c r="D51" s="13" t="n">
        <f aca="false">IF(MONTH($A51)=2,1,0)</f>
        <v>0</v>
      </c>
      <c r="E51" s="13" t="n">
        <f aca="false">IF(MONTH($A51)=3,1,0)</f>
        <v>0</v>
      </c>
      <c r="F51" s="13" t="n">
        <f aca="false">IF(MONTH($A51)=4,1,0)</f>
        <v>1</v>
      </c>
      <c r="G51" s="13" t="n">
        <f aca="false">IF(MONTH($A51)=5,1,0)</f>
        <v>0</v>
      </c>
      <c r="H51" s="13" t="n">
        <f aca="false">IF(MONTH($A51)=6,1,0)</f>
        <v>0</v>
      </c>
      <c r="I51" s="13" t="n">
        <f aca="false">IF(MONTH($A51)=7,1,0)</f>
        <v>0</v>
      </c>
      <c r="J51" s="13" t="n">
        <f aca="false">IF(MONTH($A51)=8,1,0)</f>
        <v>0</v>
      </c>
      <c r="K51" s="13" t="n">
        <f aca="false">IF(MONTH($A51)=9,1,0)</f>
        <v>0</v>
      </c>
      <c r="L51" s="13" t="n">
        <f aca="false">IF(MONTH($A51)=10,1,0)</f>
        <v>0</v>
      </c>
      <c r="M51" s="13" t="n">
        <f aca="false">IF(MONTH($A51)=11,1,0)</f>
        <v>0</v>
      </c>
      <c r="N51" s="13" t="n">
        <f aca="false">IF(MONTH($A51)=12,1,0)</f>
        <v>0</v>
      </c>
      <c r="O51" s="7" t="n">
        <f aca="false">$B$13+SUMPRODUCT(C51:N51,$C$13:$N$13)</f>
        <v>0.407326020962736</v>
      </c>
      <c r="P51" s="7" t="n">
        <f aca="false">B51-O51</f>
        <v>0.00991588720373393</v>
      </c>
      <c r="Q51" s="7" t="n">
        <f aca="false">P51^2</f>
        <v>9.83248190371743E-005</v>
      </c>
      <c r="T51" s="5" t="s">
        <v>88</v>
      </c>
      <c r="U51" s="7" t="n">
        <f aca="false">AB15</f>
        <v>0.324724682693798</v>
      </c>
      <c r="V51" s="16" t="n">
        <v>0.324724682693796</v>
      </c>
    </row>
    <row r="52" customFormat="false" ht="15" hidden="false" customHeight="false" outlineLevel="0" collapsed="false">
      <c r="A52" s="11" t="n">
        <f aca="false">Data_Monthly!A42</f>
        <v>45443</v>
      </c>
      <c r="B52" s="12" t="n">
        <f aca="false">Data_Monthly!B42-AVERAGE(Data_Monthly!D42:F42)</f>
        <v>1.42435904402281</v>
      </c>
      <c r="C52" s="13" t="n">
        <f aca="false">IF($A52&gt;=$U$13,1,0)</f>
        <v>1</v>
      </c>
      <c r="D52" s="13" t="n">
        <f aca="false">IF(MONTH($A52)=2,1,0)</f>
        <v>0</v>
      </c>
      <c r="E52" s="13" t="n">
        <f aca="false">IF(MONTH($A52)=3,1,0)</f>
        <v>0</v>
      </c>
      <c r="F52" s="13" t="n">
        <f aca="false">IF(MONTH($A52)=4,1,0)</f>
        <v>0</v>
      </c>
      <c r="G52" s="13" t="n">
        <f aca="false">IF(MONTH($A52)=5,1,0)</f>
        <v>1</v>
      </c>
      <c r="H52" s="13" t="n">
        <f aca="false">IF(MONTH($A52)=6,1,0)</f>
        <v>0</v>
      </c>
      <c r="I52" s="13" t="n">
        <f aca="false">IF(MONTH($A52)=7,1,0)</f>
        <v>0</v>
      </c>
      <c r="J52" s="13" t="n">
        <f aca="false">IF(MONTH($A52)=8,1,0)</f>
        <v>0</v>
      </c>
      <c r="K52" s="13" t="n">
        <f aca="false">IF(MONTH($A52)=9,1,0)</f>
        <v>0</v>
      </c>
      <c r="L52" s="13" t="n">
        <f aca="false">IF(MONTH($A52)=10,1,0)</f>
        <v>0</v>
      </c>
      <c r="M52" s="13" t="n">
        <f aca="false">IF(MONTH($A52)=11,1,0)</f>
        <v>0</v>
      </c>
      <c r="N52" s="13" t="n">
        <f aca="false">IF(MONTH($A52)=12,1,0)</f>
        <v>0</v>
      </c>
      <c r="O52" s="7" t="n">
        <f aca="false">$B$13+SUMPRODUCT(C52:N52,$C$13:$N$13)</f>
        <v>-1.83824629147684</v>
      </c>
      <c r="P52" s="7" t="n">
        <f aca="false">B52-O52</f>
        <v>3.26260533549966</v>
      </c>
      <c r="Q52" s="7" t="n">
        <f aca="false">P52^2</f>
        <v>10.6445935752308</v>
      </c>
    </row>
    <row r="53" customFormat="false" ht="15" hidden="false" customHeight="false" outlineLevel="0" collapsed="false">
      <c r="A53" s="11" t="n">
        <f aca="false">Data_Monthly!A43</f>
        <v>45471</v>
      </c>
      <c r="B53" s="12" t="n">
        <f aca="false">Data_Monthly!B43-AVERAGE(Data_Monthly!D43:F43)</f>
        <v>1.27825622244657</v>
      </c>
      <c r="C53" s="13" t="n">
        <f aca="false">IF($A53&gt;=$U$13,1,0)</f>
        <v>1</v>
      </c>
      <c r="D53" s="13" t="n">
        <f aca="false">IF(MONTH($A53)=2,1,0)</f>
        <v>0</v>
      </c>
      <c r="E53" s="13" t="n">
        <f aca="false">IF(MONTH($A53)=3,1,0)</f>
        <v>0</v>
      </c>
      <c r="F53" s="13" t="n">
        <f aca="false">IF(MONTH($A53)=4,1,0)</f>
        <v>0</v>
      </c>
      <c r="G53" s="13" t="n">
        <f aca="false">IF(MONTH($A53)=5,1,0)</f>
        <v>0</v>
      </c>
      <c r="H53" s="13" t="n">
        <f aca="false">IF(MONTH($A53)=6,1,0)</f>
        <v>1</v>
      </c>
      <c r="I53" s="13" t="n">
        <f aca="false">IF(MONTH($A53)=7,1,0)</f>
        <v>0</v>
      </c>
      <c r="J53" s="13" t="n">
        <f aca="false">IF(MONTH($A53)=8,1,0)</f>
        <v>0</v>
      </c>
      <c r="K53" s="13" t="n">
        <f aca="false">IF(MONTH($A53)=9,1,0)</f>
        <v>0</v>
      </c>
      <c r="L53" s="13" t="n">
        <f aca="false">IF(MONTH($A53)=10,1,0)</f>
        <v>0</v>
      </c>
      <c r="M53" s="13" t="n">
        <f aca="false">IF(MONTH($A53)=11,1,0)</f>
        <v>0</v>
      </c>
      <c r="N53" s="13" t="n">
        <f aca="false">IF(MONTH($A53)=12,1,0)</f>
        <v>0</v>
      </c>
      <c r="O53" s="7" t="n">
        <f aca="false">$B$13+SUMPRODUCT(C53:N53,$C$13:$N$13)</f>
        <v>-0.664887187762759</v>
      </c>
      <c r="P53" s="7" t="n">
        <f aca="false">B53-O53</f>
        <v>1.94314341020933</v>
      </c>
      <c r="Q53" s="7" t="n">
        <f aca="false">P53^2</f>
        <v>3.77580631263995</v>
      </c>
    </row>
    <row r="54" customFormat="false" ht="15" hidden="false" customHeight="false" outlineLevel="0" collapsed="false">
      <c r="A54" s="11" t="n">
        <f aca="false">Data_Monthly!A44</f>
        <v>45499</v>
      </c>
      <c r="B54" s="12" t="n">
        <f aca="false">Data_Monthly!B44-AVERAGE(Data_Monthly!D44:F44)</f>
        <v>0.283442494706006</v>
      </c>
      <c r="C54" s="13" t="n">
        <f aca="false">IF($A54&gt;=$U$13,1,0)</f>
        <v>1</v>
      </c>
      <c r="D54" s="13" t="n">
        <f aca="false">IF(MONTH($A54)=2,1,0)</f>
        <v>0</v>
      </c>
      <c r="E54" s="13" t="n">
        <f aca="false">IF(MONTH($A54)=3,1,0)</f>
        <v>0</v>
      </c>
      <c r="F54" s="13" t="n">
        <f aca="false">IF(MONTH($A54)=4,1,0)</f>
        <v>0</v>
      </c>
      <c r="G54" s="13" t="n">
        <f aca="false">IF(MONTH($A54)=5,1,0)</f>
        <v>0</v>
      </c>
      <c r="H54" s="13" t="n">
        <f aca="false">IF(MONTH($A54)=6,1,0)</f>
        <v>0</v>
      </c>
      <c r="I54" s="13" t="n">
        <f aca="false">IF(MONTH($A54)=7,1,0)</f>
        <v>1</v>
      </c>
      <c r="J54" s="13" t="n">
        <f aca="false">IF(MONTH($A54)=8,1,0)</f>
        <v>0</v>
      </c>
      <c r="K54" s="13" t="n">
        <f aca="false">IF(MONTH($A54)=9,1,0)</f>
        <v>0</v>
      </c>
      <c r="L54" s="13" t="n">
        <f aca="false">IF(MONTH($A54)=10,1,0)</f>
        <v>0</v>
      </c>
      <c r="M54" s="13" t="n">
        <f aca="false">IF(MONTH($A54)=11,1,0)</f>
        <v>0</v>
      </c>
      <c r="N54" s="13" t="n">
        <f aca="false">IF(MONTH($A54)=12,1,0)</f>
        <v>0</v>
      </c>
      <c r="O54" s="7" t="n">
        <f aca="false">$B$13+SUMPRODUCT(C54:N54,$C$13:$N$13)</f>
        <v>2.50064179586934</v>
      </c>
      <c r="P54" s="7" t="n">
        <f aca="false">B54-O54</f>
        <v>-2.21719930116334</v>
      </c>
      <c r="Q54" s="7" t="n">
        <f aca="false">P54^2</f>
        <v>4.91597274107918</v>
      </c>
    </row>
    <row r="55" customFormat="false" ht="15" hidden="false" customHeight="false" outlineLevel="0" collapsed="false">
      <c r="A55" s="11" t="n">
        <f aca="false">Data_Monthly!A45</f>
        <v>45527</v>
      </c>
      <c r="B55" s="12" t="n">
        <f aca="false">Data_Monthly!B45-AVERAGE(Data_Monthly!D45:F45)</f>
        <v>-1.11915261801983</v>
      </c>
      <c r="C55" s="13" t="n">
        <f aca="false">IF($A55&gt;=$U$13,1,0)</f>
        <v>1</v>
      </c>
      <c r="D55" s="13" t="n">
        <f aca="false">IF(MONTH($A55)=2,1,0)</f>
        <v>0</v>
      </c>
      <c r="E55" s="13" t="n">
        <f aca="false">IF(MONTH($A55)=3,1,0)</f>
        <v>0</v>
      </c>
      <c r="F55" s="13" t="n">
        <f aca="false">IF(MONTH($A55)=4,1,0)</f>
        <v>0</v>
      </c>
      <c r="G55" s="13" t="n">
        <f aca="false">IF(MONTH($A55)=5,1,0)</f>
        <v>0</v>
      </c>
      <c r="H55" s="13" t="n">
        <f aca="false">IF(MONTH($A55)=6,1,0)</f>
        <v>0</v>
      </c>
      <c r="I55" s="13" t="n">
        <f aca="false">IF(MONTH($A55)=7,1,0)</f>
        <v>0</v>
      </c>
      <c r="J55" s="13" t="n">
        <f aca="false">IF(MONTH($A55)=8,1,0)</f>
        <v>1</v>
      </c>
      <c r="K55" s="13" t="n">
        <f aca="false">IF(MONTH($A55)=9,1,0)</f>
        <v>0</v>
      </c>
      <c r="L55" s="13" t="n">
        <f aca="false">IF(MONTH($A55)=10,1,0)</f>
        <v>0</v>
      </c>
      <c r="M55" s="13" t="n">
        <f aca="false">IF(MONTH($A55)=11,1,0)</f>
        <v>0</v>
      </c>
      <c r="N55" s="13" t="n">
        <f aca="false">IF(MONTH($A55)=12,1,0)</f>
        <v>0</v>
      </c>
      <c r="O55" s="7" t="n">
        <f aca="false">$B$13+SUMPRODUCT(C55:N55,$C$13:$N$13)</f>
        <v>0.231442022476614</v>
      </c>
      <c r="P55" s="7" t="n">
        <f aca="false">B55-O55</f>
        <v>-1.35059464049644</v>
      </c>
      <c r="Q55" s="7" t="n">
        <f aca="false">P55^2</f>
        <v>1.82410588293771</v>
      </c>
    </row>
    <row r="56" customFormat="false" ht="15" hidden="false" customHeight="false" outlineLevel="0" collapsed="false">
      <c r="A56" s="11" t="n">
        <f aca="false">Data_Monthly!A46</f>
        <v>45555</v>
      </c>
      <c r="B56" s="12" t="n">
        <f aca="false">Data_Monthly!B46-AVERAGE(Data_Monthly!D46:F46)</f>
        <v>-3.13667240462999</v>
      </c>
      <c r="C56" s="13" t="n">
        <f aca="false">IF($A56&gt;=$U$13,1,0)</f>
        <v>1</v>
      </c>
      <c r="D56" s="13" t="n">
        <f aca="false">IF(MONTH($A56)=2,1,0)</f>
        <v>0</v>
      </c>
      <c r="E56" s="13" t="n">
        <f aca="false">IF(MONTH($A56)=3,1,0)</f>
        <v>0</v>
      </c>
      <c r="F56" s="13" t="n">
        <f aca="false">IF(MONTH($A56)=4,1,0)</f>
        <v>0</v>
      </c>
      <c r="G56" s="13" t="n">
        <f aca="false">IF(MONTH($A56)=5,1,0)</f>
        <v>0</v>
      </c>
      <c r="H56" s="13" t="n">
        <f aca="false">IF(MONTH($A56)=6,1,0)</f>
        <v>0</v>
      </c>
      <c r="I56" s="13" t="n">
        <f aca="false">IF(MONTH($A56)=7,1,0)</f>
        <v>0</v>
      </c>
      <c r="J56" s="13" t="n">
        <f aca="false">IF(MONTH($A56)=8,1,0)</f>
        <v>0</v>
      </c>
      <c r="K56" s="13" t="n">
        <f aca="false">IF(MONTH($A56)=9,1,0)</f>
        <v>1</v>
      </c>
      <c r="L56" s="13" t="n">
        <f aca="false">IF(MONTH($A56)=10,1,0)</f>
        <v>0</v>
      </c>
      <c r="M56" s="13" t="n">
        <f aca="false">IF(MONTH($A56)=11,1,0)</f>
        <v>0</v>
      </c>
      <c r="N56" s="13" t="n">
        <f aca="false">IF(MONTH($A56)=12,1,0)</f>
        <v>0</v>
      </c>
      <c r="O56" s="7" t="n">
        <f aca="false">$B$13+SUMPRODUCT(C56:N56,$C$13:$N$13)</f>
        <v>-2.53678273749745</v>
      </c>
      <c r="P56" s="7" t="n">
        <f aca="false">B56-O56</f>
        <v>-0.599889667132533</v>
      </c>
      <c r="Q56" s="7" t="n">
        <f aca="false">P56^2</f>
        <v>0.359867612732382</v>
      </c>
    </row>
    <row r="57" customFormat="false" ht="15" hidden="false" customHeight="false" outlineLevel="0" collapsed="false">
      <c r="A57" s="11" t="n">
        <f aca="false">Data_Monthly!A47</f>
        <v>45583</v>
      </c>
      <c r="B57" s="12" t="n">
        <f aca="false">Data_Monthly!B47-AVERAGE(Data_Monthly!D47:F47)</f>
        <v>2.71909169731413</v>
      </c>
      <c r="C57" s="13" t="n">
        <f aca="false">IF($A57&gt;=$U$13,1,0)</f>
        <v>1</v>
      </c>
      <c r="D57" s="13" t="n">
        <f aca="false">IF(MONTH($A57)=2,1,0)</f>
        <v>0</v>
      </c>
      <c r="E57" s="13" t="n">
        <f aca="false">IF(MONTH($A57)=3,1,0)</f>
        <v>0</v>
      </c>
      <c r="F57" s="13" t="n">
        <f aca="false">IF(MONTH($A57)=4,1,0)</f>
        <v>0</v>
      </c>
      <c r="G57" s="13" t="n">
        <f aca="false">IF(MONTH($A57)=5,1,0)</f>
        <v>0</v>
      </c>
      <c r="H57" s="13" t="n">
        <f aca="false">IF(MONTH($A57)=6,1,0)</f>
        <v>0</v>
      </c>
      <c r="I57" s="13" t="n">
        <f aca="false">IF(MONTH($A57)=7,1,0)</f>
        <v>0</v>
      </c>
      <c r="J57" s="13" t="n">
        <f aca="false">IF(MONTH($A57)=8,1,0)</f>
        <v>0</v>
      </c>
      <c r="K57" s="13" t="n">
        <f aca="false">IF(MONTH($A57)=9,1,0)</f>
        <v>0</v>
      </c>
      <c r="L57" s="13" t="n">
        <f aca="false">IF(MONTH($A57)=10,1,0)</f>
        <v>1</v>
      </c>
      <c r="M57" s="13" t="n">
        <f aca="false">IF(MONTH($A57)=11,1,0)</f>
        <v>0</v>
      </c>
      <c r="N57" s="13" t="n">
        <f aca="false">IF(MONTH($A57)=12,1,0)</f>
        <v>0</v>
      </c>
      <c r="O57" s="7" t="n">
        <f aca="false">$B$13+SUMPRODUCT(C57:N57,$C$13:$N$13)</f>
        <v>3.7875666528271</v>
      </c>
      <c r="P57" s="7" t="n">
        <f aca="false">B57-O57</f>
        <v>-1.06847495551296</v>
      </c>
      <c r="Q57" s="7" t="n">
        <f aca="false">P57^2</f>
        <v>1.14163873055843</v>
      </c>
    </row>
    <row r="58" customFormat="false" ht="15" hidden="false" customHeight="false" outlineLevel="0" collapsed="false">
      <c r="A58" s="11" t="n">
        <f aca="false">Data_Monthly!A48</f>
        <v>45625</v>
      </c>
      <c r="B58" s="12" t="n">
        <f aca="false">Data_Monthly!B48-AVERAGE(Data_Monthly!D48:F48)</f>
        <v>1.56467177654254</v>
      </c>
      <c r="C58" s="13" t="n">
        <f aca="false">IF($A58&gt;=$U$13,1,0)</f>
        <v>1</v>
      </c>
      <c r="D58" s="13" t="n">
        <f aca="false">IF(MONTH($A58)=2,1,0)</f>
        <v>0</v>
      </c>
      <c r="E58" s="13" t="n">
        <f aca="false">IF(MONTH($A58)=3,1,0)</f>
        <v>0</v>
      </c>
      <c r="F58" s="13" t="n">
        <f aca="false">IF(MONTH($A58)=4,1,0)</f>
        <v>0</v>
      </c>
      <c r="G58" s="13" t="n">
        <f aca="false">IF(MONTH($A58)=5,1,0)</f>
        <v>0</v>
      </c>
      <c r="H58" s="13" t="n">
        <f aca="false">IF(MONTH($A58)=6,1,0)</f>
        <v>0</v>
      </c>
      <c r="I58" s="13" t="n">
        <f aca="false">IF(MONTH($A58)=7,1,0)</f>
        <v>0</v>
      </c>
      <c r="J58" s="13" t="n">
        <f aca="false">IF(MONTH($A58)=8,1,0)</f>
        <v>0</v>
      </c>
      <c r="K58" s="13" t="n">
        <f aca="false">IF(MONTH($A58)=9,1,0)</f>
        <v>0</v>
      </c>
      <c r="L58" s="13" t="n">
        <f aca="false">IF(MONTH($A58)=10,1,0)</f>
        <v>0</v>
      </c>
      <c r="M58" s="13" t="n">
        <f aca="false">IF(MONTH($A58)=11,1,0)</f>
        <v>1</v>
      </c>
      <c r="N58" s="13" t="n">
        <f aca="false">IF(MONTH($A58)=12,1,0)</f>
        <v>0</v>
      </c>
      <c r="O58" s="7" t="n">
        <f aca="false">$B$13+SUMPRODUCT(C58:N58,$C$13:$N$13)</f>
        <v>-1.21058038191907</v>
      </c>
      <c r="P58" s="7" t="n">
        <f aca="false">B58-O58</f>
        <v>2.77525215846162</v>
      </c>
      <c r="Q58" s="7" t="n">
        <f aca="false">P58^2</f>
        <v>7.70202454304587</v>
      </c>
    </row>
    <row r="59" customFormat="false" ht="15" hidden="false" customHeight="false" outlineLevel="0" collapsed="false">
      <c r="A59" s="11" t="n">
        <f aca="false">Data_Monthly!A49</f>
        <v>45653</v>
      </c>
      <c r="B59" s="12" t="n">
        <f aca="false">Data_Monthly!B49-AVERAGE(Data_Monthly!D49:F49)</f>
        <v>-0.504403810501586</v>
      </c>
      <c r="C59" s="13" t="n">
        <f aca="false">IF($A59&gt;=$U$13,1,0)</f>
        <v>1</v>
      </c>
      <c r="D59" s="13" t="n">
        <f aca="false">IF(MONTH($A59)=2,1,0)</f>
        <v>0</v>
      </c>
      <c r="E59" s="13" t="n">
        <f aca="false">IF(MONTH($A59)=3,1,0)</f>
        <v>0</v>
      </c>
      <c r="F59" s="13" t="n">
        <f aca="false">IF(MONTH($A59)=4,1,0)</f>
        <v>0</v>
      </c>
      <c r="G59" s="13" t="n">
        <f aca="false">IF(MONTH($A59)=5,1,0)</f>
        <v>0</v>
      </c>
      <c r="H59" s="13" t="n">
        <f aca="false">IF(MONTH($A59)=6,1,0)</f>
        <v>0</v>
      </c>
      <c r="I59" s="13" t="n">
        <f aca="false">IF(MONTH($A59)=7,1,0)</f>
        <v>0</v>
      </c>
      <c r="J59" s="13" t="n">
        <f aca="false">IF(MONTH($A59)=8,1,0)</f>
        <v>0</v>
      </c>
      <c r="K59" s="13" t="n">
        <f aca="false">IF(MONTH($A59)=9,1,0)</f>
        <v>0</v>
      </c>
      <c r="L59" s="13" t="n">
        <f aca="false">IF(MONTH($A59)=10,1,0)</f>
        <v>0</v>
      </c>
      <c r="M59" s="13" t="n">
        <f aca="false">IF(MONTH($A59)=11,1,0)</f>
        <v>0</v>
      </c>
      <c r="N59" s="13" t="n">
        <f aca="false">IF(MONTH($A59)=12,1,0)</f>
        <v>1</v>
      </c>
      <c r="O59" s="7" t="n">
        <f aca="false">$B$13+SUMPRODUCT(C59:N59,$C$13:$N$13)</f>
        <v>-0.108889963794999</v>
      </c>
      <c r="P59" s="7" t="n">
        <f aca="false">B59-O59</f>
        <v>-0.395513846706587</v>
      </c>
      <c r="Q59" s="7" t="n">
        <f aca="false">P59^2</f>
        <v>0.156431202936641</v>
      </c>
    </row>
    <row r="60" customFormat="false" ht="15" hidden="false" customHeight="false" outlineLevel="0" collapsed="false">
      <c r="A60" s="11" t="n">
        <f aca="false">Data_Monthly!A50</f>
        <v>45681</v>
      </c>
      <c r="B60" s="12" t="n">
        <f aca="false">Data_Monthly!B50-AVERAGE(Data_Monthly!D50:F50)</f>
        <v>-0.607613198874309</v>
      </c>
      <c r="C60" s="13" t="n">
        <f aca="false">IF($A60&gt;=$U$13,1,0)</f>
        <v>1</v>
      </c>
      <c r="D60" s="13" t="n">
        <f aca="false">IF(MONTH($A60)=2,1,0)</f>
        <v>0</v>
      </c>
      <c r="E60" s="13" t="n">
        <f aca="false">IF(MONTH($A60)=3,1,0)</f>
        <v>0</v>
      </c>
      <c r="F60" s="13" t="n">
        <f aca="false">IF(MONTH($A60)=4,1,0)</f>
        <v>0</v>
      </c>
      <c r="G60" s="13" t="n">
        <f aca="false">IF(MONTH($A60)=5,1,0)</f>
        <v>0</v>
      </c>
      <c r="H60" s="13" t="n">
        <f aca="false">IF(MONTH($A60)=6,1,0)</f>
        <v>0</v>
      </c>
      <c r="I60" s="13" t="n">
        <f aca="false">IF(MONTH($A60)=7,1,0)</f>
        <v>0</v>
      </c>
      <c r="J60" s="13" t="n">
        <f aca="false">IF(MONTH($A60)=8,1,0)</f>
        <v>0</v>
      </c>
      <c r="K60" s="13" t="n">
        <f aca="false">IF(MONTH($A60)=9,1,0)</f>
        <v>0</v>
      </c>
      <c r="L60" s="13" t="n">
        <f aca="false">IF(MONTH($A60)=10,1,0)</f>
        <v>0</v>
      </c>
      <c r="M60" s="13" t="n">
        <f aca="false">IF(MONTH($A60)=11,1,0)</f>
        <v>0</v>
      </c>
      <c r="N60" s="13" t="n">
        <f aca="false">IF(MONTH($A60)=12,1,0)</f>
        <v>0</v>
      </c>
      <c r="O60" s="7" t="n">
        <f aca="false">$B$13+SUMPRODUCT(C60:N60,$C$13:$N$13)</f>
        <v>0.613828872982193</v>
      </c>
      <c r="P60" s="7" t="n">
        <f aca="false">B60-O60</f>
        <v>-1.2214420718565</v>
      </c>
      <c r="Q60" s="7" t="n">
        <f aca="false">P60^2</f>
        <v>1.49192073490111</v>
      </c>
    </row>
    <row r="63" customFormat="false" ht="15" hidden="false" customHeight="false" outlineLevel="0" collapsed="false">
      <c r="A63" s="1" t="s">
        <v>173</v>
      </c>
      <c r="T63" s="6" t="s">
        <v>62</v>
      </c>
    </row>
    <row r="64" customFormat="false" ht="15" hidden="false" customHeight="false" outlineLevel="0" collapsed="false">
      <c r="A64" s="2" t="s">
        <v>63</v>
      </c>
      <c r="B64" s="7" t="n">
        <f aca="false">Y78</f>
        <v>0.279918289937062</v>
      </c>
      <c r="C64" s="7" t="n">
        <f aca="false">Y66</f>
        <v>-0.915881024912759</v>
      </c>
      <c r="D64" s="7" t="n">
        <f aca="false">Y67</f>
        <v>1.08401084110169</v>
      </c>
      <c r="E64" s="7" t="n">
        <f aca="false">Y68</f>
        <v>1.57674290388329</v>
      </c>
      <c r="F64" s="7" t="n">
        <f aca="false">Y69</f>
        <v>-0.721213306424659</v>
      </c>
      <c r="G64" s="7" t="n">
        <f aca="false">Y70</f>
        <v>0.555320990504452</v>
      </c>
      <c r="H64" s="7" t="n">
        <f aca="false">Y71</f>
        <v>-0.419167349737127</v>
      </c>
      <c r="I64" s="7" t="n">
        <f aca="false">Y72</f>
        <v>0.785395690875809</v>
      </c>
      <c r="J64" s="7" t="n">
        <f aca="false">Y73</f>
        <v>-0.401273070674584</v>
      </c>
      <c r="K64" s="7" t="n">
        <f aca="false">Y74</f>
        <v>-0.0559628989106265</v>
      </c>
      <c r="L64" s="7" t="n">
        <f aca="false">Y75</f>
        <v>1.09882863321489</v>
      </c>
      <c r="M64" s="7" t="n">
        <f aca="false">Y76</f>
        <v>0.389862903158366</v>
      </c>
      <c r="N64" s="7" t="n">
        <f aca="false">Y77</f>
        <v>0.500918341566381</v>
      </c>
      <c r="T64" s="5" t="s">
        <v>64</v>
      </c>
      <c r="U64" s="8" t="n">
        <v>45260</v>
      </c>
      <c r="X64" s="9" t="s">
        <v>65</v>
      </c>
      <c r="Y64" s="10"/>
      <c r="Z64" s="10"/>
      <c r="AA64" s="10"/>
      <c r="AB64" s="10"/>
      <c r="AC64" s="10"/>
    </row>
    <row r="65" customFormat="false" ht="18" hidden="false" customHeight="true" outlineLevel="0" collapsed="false">
      <c r="A65" s="3" t="s">
        <v>66</v>
      </c>
      <c r="B65" s="3" t="s">
        <v>67</v>
      </c>
      <c r="C65" s="3" t="s">
        <v>68</v>
      </c>
      <c r="D65" s="3" t="s">
        <v>69</v>
      </c>
      <c r="E65" s="3" t="s">
        <v>70</v>
      </c>
      <c r="F65" s="3" t="s">
        <v>71</v>
      </c>
      <c r="G65" s="3" t="s">
        <v>72</v>
      </c>
      <c r="H65" s="3" t="s">
        <v>73</v>
      </c>
      <c r="I65" s="3" t="s">
        <v>74</v>
      </c>
      <c r="J65" s="3" t="s">
        <v>75</v>
      </c>
      <c r="K65" s="3" t="s">
        <v>76</v>
      </c>
      <c r="L65" s="3" t="s">
        <v>77</v>
      </c>
      <c r="M65" s="3" t="s">
        <v>78</v>
      </c>
      <c r="N65" s="3" t="s">
        <v>79</v>
      </c>
      <c r="O65" s="3" t="s">
        <v>80</v>
      </c>
      <c r="P65" s="3" t="s">
        <v>81</v>
      </c>
      <c r="Q65" s="3" t="s">
        <v>82</v>
      </c>
      <c r="T65" s="2" t="s">
        <v>179</v>
      </c>
      <c r="X65" s="3" t="s">
        <v>84</v>
      </c>
      <c r="Y65" s="3" t="s">
        <v>85</v>
      </c>
      <c r="Z65" s="3" t="s">
        <v>86</v>
      </c>
      <c r="AA65" s="3" t="s">
        <v>87</v>
      </c>
      <c r="AB65" s="3" t="s">
        <v>88</v>
      </c>
      <c r="AC65" s="3" t="s">
        <v>89</v>
      </c>
    </row>
    <row r="66" customFormat="false" ht="15" hidden="false" customHeight="false" outlineLevel="0" collapsed="false">
      <c r="A66" s="11" t="n">
        <f aca="false">Data_Monthly!A5</f>
        <v>44309</v>
      </c>
      <c r="B66" s="12" t="n">
        <f aca="false">Data_Monthly!C5-AVERAGE(Data_Monthly!D5:F5)</f>
        <v>-1.54108014541391</v>
      </c>
      <c r="C66" s="13" t="n">
        <f aca="false">IF($A66&gt;=$U$64,1,0)</f>
        <v>0</v>
      </c>
      <c r="D66" s="13" t="n">
        <f aca="false">IF(MONTH($A66)=2,1,0)</f>
        <v>0</v>
      </c>
      <c r="E66" s="13" t="n">
        <f aca="false">IF(MONTH($A66)=3,1,0)</f>
        <v>0</v>
      </c>
      <c r="F66" s="13" t="n">
        <f aca="false">IF(MONTH($A66)=4,1,0)</f>
        <v>1</v>
      </c>
      <c r="G66" s="13" t="n">
        <f aca="false">IF(MONTH($A66)=5,1,0)</f>
        <v>0</v>
      </c>
      <c r="H66" s="13" t="n">
        <f aca="false">IF(MONTH($A66)=6,1,0)</f>
        <v>0</v>
      </c>
      <c r="I66" s="13" t="n">
        <f aca="false">IF(MONTH($A66)=7,1,0)</f>
        <v>0</v>
      </c>
      <c r="J66" s="13" t="n">
        <f aca="false">IF(MONTH($A66)=8,1,0)</f>
        <v>0</v>
      </c>
      <c r="K66" s="13" t="n">
        <f aca="false">IF(MONTH($A66)=9,1,0)</f>
        <v>0</v>
      </c>
      <c r="L66" s="13" t="n">
        <f aca="false">IF(MONTH($A66)=10,1,0)</f>
        <v>0</v>
      </c>
      <c r="M66" s="13" t="n">
        <f aca="false">IF(MONTH($A66)=11,1,0)</f>
        <v>0</v>
      </c>
      <c r="N66" s="13" t="n">
        <f aca="false">IF(MONTH($A66)=12,1,0)</f>
        <v>0</v>
      </c>
      <c r="O66" s="7" t="n">
        <f aca="false">$B$64+SUMPRODUCT(C66:N66,$C$64:$N$64)</f>
        <v>-0.441295016487597</v>
      </c>
      <c r="P66" s="7" t="n">
        <f aca="false">B66-O66</f>
        <v>-1.09978512892631</v>
      </c>
      <c r="Q66" s="7" t="n">
        <f aca="false">P66^2</f>
        <v>1.20952732980746</v>
      </c>
      <c r="T66" s="9" t="s">
        <v>90</v>
      </c>
      <c r="U66" s="14" t="s">
        <v>91</v>
      </c>
      <c r="V66" s="14" t="s">
        <v>92</v>
      </c>
      <c r="X66" s="5" t="s">
        <v>68</v>
      </c>
      <c r="Y66" s="7" t="n">
        <f aca="false">INDEX(LINEST(B66:B110,C66:N110,TRUE(),TRUE()),1,12)</f>
        <v>-0.915881024912759</v>
      </c>
      <c r="Z66" s="7" t="n">
        <f aca="false">INDEX(LINEST(B66:B110,C66:N110,TRUE(),TRUE()),2,12)</f>
        <v>0.31463046050114</v>
      </c>
      <c r="AA66" s="7" t="n">
        <f aca="false">Y66/Z66</f>
        <v>-2.91097379272799</v>
      </c>
      <c r="AB66" s="7" t="n">
        <f aca="false">_xlfn.T.DIST.2T(ABS(AA66),$U$84)</f>
        <v>0.0065109753051739</v>
      </c>
      <c r="AC66" s="7" t="n">
        <f aca="false">INDEX(MINVERSE($Y$82:$AJ$93),1,1)</f>
        <v>1.04264264264264</v>
      </c>
    </row>
    <row r="67" customFormat="false" ht="15" hidden="false" customHeight="false" outlineLevel="0" collapsed="false">
      <c r="A67" s="11" t="n">
        <f aca="false">Data_Monthly!A6</f>
        <v>44337</v>
      </c>
      <c r="B67" s="12" t="n">
        <f aca="false">Data_Monthly!C6-AVERAGE(Data_Monthly!D6:F6)</f>
        <v>0.761155140398451</v>
      </c>
      <c r="C67" s="13" t="n">
        <f aca="false">IF($A67&gt;=$U$64,1,0)</f>
        <v>0</v>
      </c>
      <c r="D67" s="13" t="n">
        <f aca="false">IF(MONTH($A67)=2,1,0)</f>
        <v>0</v>
      </c>
      <c r="E67" s="13" t="n">
        <f aca="false">IF(MONTH($A67)=3,1,0)</f>
        <v>0</v>
      </c>
      <c r="F67" s="13" t="n">
        <f aca="false">IF(MONTH($A67)=4,1,0)</f>
        <v>0</v>
      </c>
      <c r="G67" s="13" t="n">
        <f aca="false">IF(MONTH($A67)=5,1,0)</f>
        <v>1</v>
      </c>
      <c r="H67" s="13" t="n">
        <f aca="false">IF(MONTH($A67)=6,1,0)</f>
        <v>0</v>
      </c>
      <c r="I67" s="13" t="n">
        <f aca="false">IF(MONTH($A67)=7,1,0)</f>
        <v>0</v>
      </c>
      <c r="J67" s="13" t="n">
        <f aca="false">IF(MONTH($A67)=8,1,0)</f>
        <v>0</v>
      </c>
      <c r="K67" s="13" t="n">
        <f aca="false">IF(MONTH($A67)=9,1,0)</f>
        <v>0</v>
      </c>
      <c r="L67" s="13" t="n">
        <f aca="false">IF(MONTH($A67)=10,1,0)</f>
        <v>0</v>
      </c>
      <c r="M67" s="13" t="n">
        <f aca="false">IF(MONTH($A67)=11,1,0)</f>
        <v>0</v>
      </c>
      <c r="N67" s="13" t="n">
        <f aca="false">IF(MONTH($A67)=12,1,0)</f>
        <v>0</v>
      </c>
      <c r="O67" s="7" t="n">
        <f aca="false">$B$64+SUMPRODUCT(C67:N67,$C$64:$N$64)</f>
        <v>0.835239280441514</v>
      </c>
      <c r="P67" s="7" t="n">
        <f aca="false">B67-O67</f>
        <v>-0.0740841400430629</v>
      </c>
      <c r="Q67" s="7" t="n">
        <f aca="false">P67^2</f>
        <v>0.00548845980592015</v>
      </c>
      <c r="T67" s="5" t="s">
        <v>93</v>
      </c>
      <c r="U67" s="13" t="n">
        <f aca="false">COUNT(B66:B96)</f>
        <v>31</v>
      </c>
      <c r="X67" s="5" t="s">
        <v>69</v>
      </c>
      <c r="Y67" s="7" t="n">
        <f aca="false">INDEX(LINEST(B66:B110,C66:N110,TRUE(),TRUE()),1,11)</f>
        <v>1.08401084110169</v>
      </c>
      <c r="Z67" s="7" t="n">
        <f aca="false">INDEX(LINEST(B66:B110,C66:N110,TRUE(),TRUE()),2,11)</f>
        <v>0.732731794635756</v>
      </c>
      <c r="AA67" s="7" t="n">
        <f aca="false">Y67/Z67</f>
        <v>1.47941013210782</v>
      </c>
      <c r="AB67" s="7" t="n">
        <f aca="false">_xlfn.T.DIST.2T(ABS(AA67),$U$84)</f>
        <v>0.148808751221905</v>
      </c>
      <c r="AC67" s="7" t="n">
        <f aca="false">INDEX(MINVERSE($Y$82:$AJ$93),2,2)</f>
        <v>1.64174174174174</v>
      </c>
    </row>
    <row r="68" customFormat="false" ht="15" hidden="false" customHeight="false" outlineLevel="0" collapsed="false">
      <c r="A68" s="11" t="n">
        <f aca="false">Data_Monthly!A7</f>
        <v>44365</v>
      </c>
      <c r="B68" s="12" t="n">
        <f aca="false">Data_Monthly!C7-AVERAGE(Data_Monthly!D7:F7)</f>
        <v>-0.766278043352742</v>
      </c>
      <c r="C68" s="13" t="n">
        <f aca="false">IF($A68&gt;=$U$64,1,0)</f>
        <v>0</v>
      </c>
      <c r="D68" s="13" t="n">
        <f aca="false">IF(MONTH($A68)=2,1,0)</f>
        <v>0</v>
      </c>
      <c r="E68" s="13" t="n">
        <f aca="false">IF(MONTH($A68)=3,1,0)</f>
        <v>0</v>
      </c>
      <c r="F68" s="13" t="n">
        <f aca="false">IF(MONTH($A68)=4,1,0)</f>
        <v>0</v>
      </c>
      <c r="G68" s="13" t="n">
        <f aca="false">IF(MONTH($A68)=5,1,0)</f>
        <v>0</v>
      </c>
      <c r="H68" s="13" t="n">
        <f aca="false">IF(MONTH($A68)=6,1,0)</f>
        <v>1</v>
      </c>
      <c r="I68" s="13" t="n">
        <f aca="false">IF(MONTH($A68)=7,1,0)</f>
        <v>0</v>
      </c>
      <c r="J68" s="13" t="n">
        <f aca="false">IF(MONTH($A68)=8,1,0)</f>
        <v>0</v>
      </c>
      <c r="K68" s="13" t="n">
        <f aca="false">IF(MONTH($A68)=9,1,0)</f>
        <v>0</v>
      </c>
      <c r="L68" s="13" t="n">
        <f aca="false">IF(MONTH($A68)=10,1,0)</f>
        <v>0</v>
      </c>
      <c r="M68" s="13" t="n">
        <f aca="false">IF(MONTH($A68)=11,1,0)</f>
        <v>0</v>
      </c>
      <c r="N68" s="13" t="n">
        <f aca="false">IF(MONTH($A68)=12,1,0)</f>
        <v>0</v>
      </c>
      <c r="O68" s="7" t="n">
        <f aca="false">$B$64+SUMPRODUCT(C68:N68,$C$64:$N$64)</f>
        <v>-0.139249059800065</v>
      </c>
      <c r="P68" s="7" t="n">
        <f aca="false">B68-O68</f>
        <v>-0.627028983552677</v>
      </c>
      <c r="Q68" s="7" t="n">
        <f aca="false">P68^2</f>
        <v>0.393165346215103</v>
      </c>
      <c r="T68" s="5" t="s">
        <v>94</v>
      </c>
      <c r="U68" s="13" t="n">
        <f aca="false">COUNT(B97:B110)</f>
        <v>14</v>
      </c>
      <c r="X68" s="5" t="s">
        <v>70</v>
      </c>
      <c r="Y68" s="7" t="n">
        <f aca="false">INDEX(LINEST(B66:B110,C66:N110,TRUE(),TRUE()),1,10)</f>
        <v>1.57674290388329</v>
      </c>
      <c r="Z68" s="7" t="n">
        <f aca="false">INDEX(LINEST(B66:B110,C66:N110,TRUE(),TRUE()),2,10)</f>
        <v>0.732731794635756</v>
      </c>
      <c r="AA68" s="7" t="n">
        <f aca="false">Y68/Z68</f>
        <v>2.15186909511289</v>
      </c>
      <c r="AB68" s="7" t="n">
        <f aca="false">_xlfn.T.DIST.2T(ABS(AA68),$U$84)</f>
        <v>0.0390564845395048</v>
      </c>
      <c r="AC68" s="7" t="n">
        <f aca="false">INDEX(MINVERSE($Y$82:$AJ$93),3,3)</f>
        <v>1.64174174174174</v>
      </c>
    </row>
    <row r="69" customFormat="false" ht="15" hidden="false" customHeight="false" outlineLevel="0" collapsed="false">
      <c r="A69" s="11" t="n">
        <f aca="false">Data_Monthly!A8</f>
        <v>44407</v>
      </c>
      <c r="B69" s="12" t="n">
        <f aca="false">Data_Monthly!C8-AVERAGE(Data_Monthly!D8:F8)</f>
        <v>2.54036821888922</v>
      </c>
      <c r="C69" s="13" t="n">
        <f aca="false">IF($A69&gt;=$U$64,1,0)</f>
        <v>0</v>
      </c>
      <c r="D69" s="13" t="n">
        <f aca="false">IF(MONTH($A69)=2,1,0)</f>
        <v>0</v>
      </c>
      <c r="E69" s="13" t="n">
        <f aca="false">IF(MONTH($A69)=3,1,0)</f>
        <v>0</v>
      </c>
      <c r="F69" s="13" t="n">
        <f aca="false">IF(MONTH($A69)=4,1,0)</f>
        <v>0</v>
      </c>
      <c r="G69" s="13" t="n">
        <f aca="false">IF(MONTH($A69)=5,1,0)</f>
        <v>0</v>
      </c>
      <c r="H69" s="13" t="n">
        <f aca="false">IF(MONTH($A69)=6,1,0)</f>
        <v>0</v>
      </c>
      <c r="I69" s="13" t="n">
        <f aca="false">IF(MONTH($A69)=7,1,0)</f>
        <v>1</v>
      </c>
      <c r="J69" s="13" t="n">
        <f aca="false">IF(MONTH($A69)=8,1,0)</f>
        <v>0</v>
      </c>
      <c r="K69" s="13" t="n">
        <f aca="false">IF(MONTH($A69)=9,1,0)</f>
        <v>0</v>
      </c>
      <c r="L69" s="13" t="n">
        <f aca="false">IF(MONTH($A69)=10,1,0)</f>
        <v>0</v>
      </c>
      <c r="M69" s="13" t="n">
        <f aca="false">IF(MONTH($A69)=11,1,0)</f>
        <v>0</v>
      </c>
      <c r="N69" s="13" t="n">
        <f aca="false">IF(MONTH($A69)=12,1,0)</f>
        <v>0</v>
      </c>
      <c r="O69" s="7" t="n">
        <f aca="false">$B$64+SUMPRODUCT(C69:N69,$C$64:$N$64)</f>
        <v>1.06531398081287</v>
      </c>
      <c r="P69" s="7" t="n">
        <f aca="false">B69-O69</f>
        <v>1.47505423807635</v>
      </c>
      <c r="Q69" s="7" t="n">
        <f aca="false">P69^2</f>
        <v>2.17578500526699</v>
      </c>
      <c r="T69" s="5" t="s">
        <v>95</v>
      </c>
      <c r="U69" s="7" t="n">
        <f aca="false">AVERAGE(B66:B96)</f>
        <v>0.577767427299851</v>
      </c>
      <c r="X69" s="5" t="s">
        <v>71</v>
      </c>
      <c r="Y69" s="7" t="n">
        <f aca="false">INDEX(LINEST(B66:B110,C66:N110,TRUE(),TRUE()),1,9)</f>
        <v>-0.721213306424659</v>
      </c>
      <c r="Z69" s="7" t="n">
        <f aca="false">INDEX(LINEST(B66:B110,C66:N110,TRUE(),TRUE()),2,9)</f>
        <v>0.681194928995959</v>
      </c>
      <c r="AA69" s="7" t="n">
        <f aca="false">Y69/Z69</f>
        <v>-1.05874732139842</v>
      </c>
      <c r="AB69" s="7" t="n">
        <f aca="false">_xlfn.T.DIST.2T(ABS(AA69),$U$84)</f>
        <v>0.297641722698953</v>
      </c>
      <c r="AC69" s="7" t="n">
        <f aca="false">INDEX(MINVERSE($Y$82:$AJ$93),4,4)</f>
        <v>1.84684684684685</v>
      </c>
    </row>
    <row r="70" customFormat="false" ht="15" hidden="false" customHeight="false" outlineLevel="0" collapsed="false">
      <c r="A70" s="11" t="n">
        <f aca="false">Data_Monthly!A9</f>
        <v>44435</v>
      </c>
      <c r="B70" s="12" t="n">
        <f aca="false">Data_Monthly!C9-AVERAGE(Data_Monthly!D9:F9)</f>
        <v>0.122876340686121</v>
      </c>
      <c r="C70" s="13" t="n">
        <f aca="false">IF($A70&gt;=$U$64,1,0)</f>
        <v>0</v>
      </c>
      <c r="D70" s="13" t="n">
        <f aca="false">IF(MONTH($A70)=2,1,0)</f>
        <v>0</v>
      </c>
      <c r="E70" s="13" t="n">
        <f aca="false">IF(MONTH($A70)=3,1,0)</f>
        <v>0</v>
      </c>
      <c r="F70" s="13" t="n">
        <f aca="false">IF(MONTH($A70)=4,1,0)</f>
        <v>0</v>
      </c>
      <c r="G70" s="13" t="n">
        <f aca="false">IF(MONTH($A70)=5,1,0)</f>
        <v>0</v>
      </c>
      <c r="H70" s="13" t="n">
        <f aca="false">IF(MONTH($A70)=6,1,0)</f>
        <v>0</v>
      </c>
      <c r="I70" s="13" t="n">
        <f aca="false">IF(MONTH($A70)=7,1,0)</f>
        <v>0</v>
      </c>
      <c r="J70" s="13" t="n">
        <f aca="false">IF(MONTH($A70)=8,1,0)</f>
        <v>1</v>
      </c>
      <c r="K70" s="13" t="n">
        <f aca="false">IF(MONTH($A70)=9,1,0)</f>
        <v>0</v>
      </c>
      <c r="L70" s="13" t="n">
        <f aca="false">IF(MONTH($A70)=10,1,0)</f>
        <v>0</v>
      </c>
      <c r="M70" s="13" t="n">
        <f aca="false">IF(MONTH($A70)=11,1,0)</f>
        <v>0</v>
      </c>
      <c r="N70" s="13" t="n">
        <f aca="false">IF(MONTH($A70)=12,1,0)</f>
        <v>0</v>
      </c>
      <c r="O70" s="7" t="n">
        <f aca="false">$B$64+SUMPRODUCT(C70:N70,$C$64:$N$64)</f>
        <v>-0.121354780737522</v>
      </c>
      <c r="P70" s="7" t="n">
        <f aca="false">B70-O70</f>
        <v>0.244231121423643</v>
      </c>
      <c r="Q70" s="7" t="n">
        <f aca="false">P70^2</f>
        <v>0.0596488406718501</v>
      </c>
      <c r="T70" s="5" t="s">
        <v>96</v>
      </c>
      <c r="U70" s="7" t="n">
        <f aca="false">AVERAGE(B97:B110)</f>
        <v>-0.286364019252536</v>
      </c>
      <c r="X70" s="5" t="s">
        <v>72</v>
      </c>
      <c r="Y70" s="7" t="n">
        <f aca="false">INDEX(LINEST(B66:B110,C66:N110,TRUE(),TRUE()),1,8)</f>
        <v>0.555320990504452</v>
      </c>
      <c r="Z70" s="7" t="n">
        <f aca="false">INDEX(LINEST(B66:B110,C66:N110,TRUE(),TRUE()),2,8)</f>
        <v>0.681194928995959</v>
      </c>
      <c r="AA70" s="7" t="n">
        <f aca="false">Y70/Z70</f>
        <v>0.815215978373418</v>
      </c>
      <c r="AB70" s="7" t="n">
        <f aca="false">_xlfn.T.DIST.2T(ABS(AA70),$U$84)</f>
        <v>0.420975044290967</v>
      </c>
      <c r="AC70" s="7" t="n">
        <f aca="false">INDEX(MINVERSE($Y$82:$AJ$93),5,5)</f>
        <v>1.84684684684685</v>
      </c>
    </row>
    <row r="71" customFormat="false" ht="15" hidden="false" customHeight="false" outlineLevel="0" collapsed="false">
      <c r="A71" s="11" t="n">
        <f aca="false">Data_Monthly!A10</f>
        <v>44463</v>
      </c>
      <c r="B71" s="12" t="n">
        <f aca="false">Data_Monthly!C10-AVERAGE(Data_Monthly!D10:F10)</f>
        <v>-0.476364304140612</v>
      </c>
      <c r="C71" s="13" t="n">
        <f aca="false">IF($A71&gt;=$U$64,1,0)</f>
        <v>0</v>
      </c>
      <c r="D71" s="13" t="n">
        <f aca="false">IF(MONTH($A71)=2,1,0)</f>
        <v>0</v>
      </c>
      <c r="E71" s="13" t="n">
        <f aca="false">IF(MONTH($A71)=3,1,0)</f>
        <v>0</v>
      </c>
      <c r="F71" s="13" t="n">
        <f aca="false">IF(MONTH($A71)=4,1,0)</f>
        <v>0</v>
      </c>
      <c r="G71" s="13" t="n">
        <f aca="false">IF(MONTH($A71)=5,1,0)</f>
        <v>0</v>
      </c>
      <c r="H71" s="13" t="n">
        <f aca="false">IF(MONTH($A71)=6,1,0)</f>
        <v>0</v>
      </c>
      <c r="I71" s="13" t="n">
        <f aca="false">IF(MONTH($A71)=7,1,0)</f>
        <v>0</v>
      </c>
      <c r="J71" s="13" t="n">
        <f aca="false">IF(MONTH($A71)=8,1,0)</f>
        <v>0</v>
      </c>
      <c r="K71" s="13" t="n">
        <f aca="false">IF(MONTH($A71)=9,1,0)</f>
        <v>1</v>
      </c>
      <c r="L71" s="13" t="n">
        <f aca="false">IF(MONTH($A71)=10,1,0)</f>
        <v>0</v>
      </c>
      <c r="M71" s="13" t="n">
        <f aca="false">IF(MONTH($A71)=11,1,0)</f>
        <v>0</v>
      </c>
      <c r="N71" s="13" t="n">
        <f aca="false">IF(MONTH($A71)=12,1,0)</f>
        <v>0</v>
      </c>
      <c r="O71" s="7" t="n">
        <f aca="false">$B$64+SUMPRODUCT(C71:N71,$C$64:$N$64)</f>
        <v>0.223955391026435</v>
      </c>
      <c r="P71" s="7" t="n">
        <f aca="false">B71-O71</f>
        <v>-0.700319695167048</v>
      </c>
      <c r="Q71" s="7" t="n">
        <f aca="false">P71^2</f>
        <v>0.490447675438867</v>
      </c>
      <c r="T71" s="5" t="s">
        <v>97</v>
      </c>
      <c r="U71" s="7" t="n">
        <f aca="false">_xlfn.STDEV.S(B66:B96)</f>
        <v>1.22464628843981</v>
      </c>
      <c r="X71" s="5" t="s">
        <v>73</v>
      </c>
      <c r="Y71" s="7" t="n">
        <f aca="false">INDEX(LINEST(B66:B110,C66:N110,TRUE(),TRUE()),1,7)</f>
        <v>-0.419167349737127</v>
      </c>
      <c r="Z71" s="7" t="n">
        <f aca="false">INDEX(LINEST(B66:B110,C66:N110,TRUE(),TRUE()),2,7)</f>
        <v>0.681194928995959</v>
      </c>
      <c r="AA71" s="7" t="n">
        <f aca="false">Y71/Z71</f>
        <v>-0.615341265612406</v>
      </c>
      <c r="AB71" s="7" t="n">
        <f aca="false">_xlfn.T.DIST.2T(ABS(AA71),$U$84)</f>
        <v>0.542681197853758</v>
      </c>
      <c r="AC71" s="7" t="n">
        <f aca="false">INDEX(MINVERSE($Y$82:$AJ$93),6,6)</f>
        <v>1.84684684684685</v>
      </c>
    </row>
    <row r="72" customFormat="false" ht="15" hidden="false" customHeight="false" outlineLevel="0" collapsed="false">
      <c r="A72" s="11" t="n">
        <f aca="false">Data_Monthly!A11</f>
        <v>44491</v>
      </c>
      <c r="B72" s="12" t="n">
        <f aca="false">Data_Monthly!C11-AVERAGE(Data_Monthly!D11:F11)</f>
        <v>1.21271305930737</v>
      </c>
      <c r="C72" s="13" t="n">
        <f aca="false">IF($A72&gt;=$U$64,1,0)</f>
        <v>0</v>
      </c>
      <c r="D72" s="13" t="n">
        <f aca="false">IF(MONTH($A72)=2,1,0)</f>
        <v>0</v>
      </c>
      <c r="E72" s="13" t="n">
        <f aca="false">IF(MONTH($A72)=3,1,0)</f>
        <v>0</v>
      </c>
      <c r="F72" s="13" t="n">
        <f aca="false">IF(MONTH($A72)=4,1,0)</f>
        <v>0</v>
      </c>
      <c r="G72" s="13" t="n">
        <f aca="false">IF(MONTH($A72)=5,1,0)</f>
        <v>0</v>
      </c>
      <c r="H72" s="13" t="n">
        <f aca="false">IF(MONTH($A72)=6,1,0)</f>
        <v>0</v>
      </c>
      <c r="I72" s="13" t="n">
        <f aca="false">IF(MONTH($A72)=7,1,0)</f>
        <v>0</v>
      </c>
      <c r="J72" s="13" t="n">
        <f aca="false">IF(MONTH($A72)=8,1,0)</f>
        <v>0</v>
      </c>
      <c r="K72" s="13" t="n">
        <f aca="false">IF(MONTH($A72)=9,1,0)</f>
        <v>0</v>
      </c>
      <c r="L72" s="13" t="n">
        <f aca="false">IF(MONTH($A72)=10,1,0)</f>
        <v>1</v>
      </c>
      <c r="M72" s="13" t="n">
        <f aca="false">IF(MONTH($A72)=11,1,0)</f>
        <v>0</v>
      </c>
      <c r="N72" s="13" t="n">
        <f aca="false">IF(MONTH($A72)=12,1,0)</f>
        <v>0</v>
      </c>
      <c r="O72" s="7" t="n">
        <f aca="false">$B$64+SUMPRODUCT(C72:N72,$C$64:$N$64)</f>
        <v>1.37874692315195</v>
      </c>
      <c r="P72" s="7" t="n">
        <f aca="false">B72-O72</f>
        <v>-0.16603386384458</v>
      </c>
      <c r="Q72" s="7" t="n">
        <f aca="false">P72^2</f>
        <v>0.0275672439431606</v>
      </c>
      <c r="T72" s="5" t="s">
        <v>98</v>
      </c>
      <c r="U72" s="7" t="n">
        <f aca="false">_xlfn.STDEV.S(B97:B110)</f>
        <v>0.540425571909289</v>
      </c>
      <c r="X72" s="5" t="s">
        <v>74</v>
      </c>
      <c r="Y72" s="7" t="n">
        <f aca="false">INDEX(LINEST(B66:B110,C66:N110,TRUE(),TRUE()),1,6)</f>
        <v>0.785395690875809</v>
      </c>
      <c r="Z72" s="7" t="n">
        <f aca="false">INDEX(LINEST(B66:B110,C66:N110,TRUE(),TRUE()),2,6)</f>
        <v>0.732731794635756</v>
      </c>
      <c r="AA72" s="7" t="n">
        <f aca="false">Y72/Z72</f>
        <v>1.07187336024668</v>
      </c>
      <c r="AB72" s="7" t="n">
        <f aca="false">_xlfn.T.DIST.2T(ABS(AA72),$U$84)</f>
        <v>0.291794546603585</v>
      </c>
      <c r="AC72" s="7" t="n">
        <f aca="false">INDEX(MINVERSE($Y$82:$AJ$93),7,7)</f>
        <v>1.64174174174174</v>
      </c>
    </row>
    <row r="73" customFormat="false" ht="15" hidden="false" customHeight="false" outlineLevel="0" collapsed="false">
      <c r="A73" s="11" t="n">
        <f aca="false">Data_Monthly!A12</f>
        <v>44519</v>
      </c>
      <c r="B73" s="12" t="n">
        <f aca="false">Data_Monthly!C12-AVERAGE(Data_Monthly!D12:F12)</f>
        <v>1.32611780124942</v>
      </c>
      <c r="C73" s="13" t="n">
        <f aca="false">IF($A73&gt;=$U$64,1,0)</f>
        <v>0</v>
      </c>
      <c r="D73" s="13" t="n">
        <f aca="false">IF(MONTH($A73)=2,1,0)</f>
        <v>0</v>
      </c>
      <c r="E73" s="13" t="n">
        <f aca="false">IF(MONTH($A73)=3,1,0)</f>
        <v>0</v>
      </c>
      <c r="F73" s="13" t="n">
        <f aca="false">IF(MONTH($A73)=4,1,0)</f>
        <v>0</v>
      </c>
      <c r="G73" s="13" t="n">
        <f aca="false">IF(MONTH($A73)=5,1,0)</f>
        <v>0</v>
      </c>
      <c r="H73" s="13" t="n">
        <f aca="false">IF(MONTH($A73)=6,1,0)</f>
        <v>0</v>
      </c>
      <c r="I73" s="13" t="n">
        <f aca="false">IF(MONTH($A73)=7,1,0)</f>
        <v>0</v>
      </c>
      <c r="J73" s="13" t="n">
        <f aca="false">IF(MONTH($A73)=8,1,0)</f>
        <v>0</v>
      </c>
      <c r="K73" s="13" t="n">
        <f aca="false">IF(MONTH($A73)=9,1,0)</f>
        <v>0</v>
      </c>
      <c r="L73" s="13" t="n">
        <f aca="false">IF(MONTH($A73)=10,1,0)</f>
        <v>0</v>
      </c>
      <c r="M73" s="13" t="n">
        <f aca="false">IF(MONTH($A73)=11,1,0)</f>
        <v>1</v>
      </c>
      <c r="N73" s="13" t="n">
        <f aca="false">IF(MONTH($A73)=12,1,0)</f>
        <v>0</v>
      </c>
      <c r="O73" s="7" t="n">
        <f aca="false">$B$64+SUMPRODUCT(C73:N73,$C$64:$N$64)</f>
        <v>0.669781193095428</v>
      </c>
      <c r="P73" s="7" t="n">
        <f aca="false">B73-O73</f>
        <v>0.656336608153991</v>
      </c>
      <c r="Q73" s="7" t="n">
        <f aca="false">P73^2</f>
        <v>0.430777743203086</v>
      </c>
      <c r="T73" s="5" t="s">
        <v>99</v>
      </c>
      <c r="U73" s="7" t="n">
        <f aca="false">$U$70-$U$69</f>
        <v>-0.864131446552386</v>
      </c>
      <c r="V73" s="16" t="n">
        <v>-0.864131446552386</v>
      </c>
      <c r="X73" s="5" t="s">
        <v>75</v>
      </c>
      <c r="Y73" s="7" t="n">
        <f aca="false">INDEX(LINEST(B66:B110,C66:N110,TRUE(),TRUE()),1,5)</f>
        <v>-0.401273070674584</v>
      </c>
      <c r="Z73" s="7" t="n">
        <f aca="false">INDEX(LINEST(B66:B110,C66:N110,TRUE(),TRUE()),2,5)</f>
        <v>0.681194928995959</v>
      </c>
      <c r="AA73" s="7" t="n">
        <f aca="false">Y73/Z73</f>
        <v>-0.589072310426674</v>
      </c>
      <c r="AB73" s="7" t="n">
        <f aca="false">_xlfn.T.DIST.2T(ABS(AA73),$U$84)</f>
        <v>0.559948697755136</v>
      </c>
      <c r="AC73" s="7" t="n">
        <f aca="false">INDEX(MINVERSE($Y$82:$AJ$93),8,8)</f>
        <v>1.84684684684685</v>
      </c>
    </row>
    <row r="74" customFormat="false" ht="15" hidden="false" customHeight="false" outlineLevel="0" collapsed="false">
      <c r="A74" s="11" t="n">
        <f aca="false">Data_Monthly!A13</f>
        <v>44561</v>
      </c>
      <c r="B74" s="12" t="n">
        <f aca="false">Data_Monthly!C13-AVERAGE(Data_Monthly!D13:F13)</f>
        <v>1.00601151388785</v>
      </c>
      <c r="C74" s="13" t="n">
        <f aca="false">IF($A74&gt;=$U$64,1,0)</f>
        <v>0</v>
      </c>
      <c r="D74" s="13" t="n">
        <f aca="false">IF(MONTH($A74)=2,1,0)</f>
        <v>0</v>
      </c>
      <c r="E74" s="13" t="n">
        <f aca="false">IF(MONTH($A74)=3,1,0)</f>
        <v>0</v>
      </c>
      <c r="F74" s="13" t="n">
        <f aca="false">IF(MONTH($A74)=4,1,0)</f>
        <v>0</v>
      </c>
      <c r="G74" s="13" t="n">
        <f aca="false">IF(MONTH($A74)=5,1,0)</f>
        <v>0</v>
      </c>
      <c r="H74" s="13" t="n">
        <f aca="false">IF(MONTH($A74)=6,1,0)</f>
        <v>0</v>
      </c>
      <c r="I74" s="13" t="n">
        <f aca="false">IF(MONTH($A74)=7,1,0)</f>
        <v>0</v>
      </c>
      <c r="J74" s="13" t="n">
        <f aca="false">IF(MONTH($A74)=8,1,0)</f>
        <v>0</v>
      </c>
      <c r="K74" s="13" t="n">
        <f aca="false">IF(MONTH($A74)=9,1,0)</f>
        <v>0</v>
      </c>
      <c r="L74" s="13" t="n">
        <f aca="false">IF(MONTH($A74)=10,1,0)</f>
        <v>0</v>
      </c>
      <c r="M74" s="13" t="n">
        <f aca="false">IF(MONTH($A74)=11,1,0)</f>
        <v>0</v>
      </c>
      <c r="N74" s="13" t="n">
        <f aca="false">IF(MONTH($A74)=12,1,0)</f>
        <v>1</v>
      </c>
      <c r="O74" s="7" t="n">
        <f aca="false">$B$64+SUMPRODUCT(C74:N74,$C$64:$N$64)</f>
        <v>0.780836631503443</v>
      </c>
      <c r="P74" s="7" t="n">
        <f aca="false">B74-O74</f>
        <v>0.225174882384404</v>
      </c>
      <c r="Q74" s="7" t="n">
        <f aca="false">P74^2</f>
        <v>0.0507037276568301</v>
      </c>
      <c r="T74" s="5" t="s">
        <v>100</v>
      </c>
      <c r="U74" s="7" t="n">
        <f aca="false">12*$U$73</f>
        <v>-10.3695773586286</v>
      </c>
      <c r="X74" s="5" t="s">
        <v>76</v>
      </c>
      <c r="Y74" s="7" t="n">
        <f aca="false">INDEX(LINEST(B66:B110,C66:N110,TRUE(),TRUE()),1,4)</f>
        <v>-0.0559628989106265</v>
      </c>
      <c r="Z74" s="7" t="n">
        <f aca="false">INDEX(LINEST(B66:B110,C66:N110,TRUE(),TRUE()),2,4)</f>
        <v>0.681194928995959</v>
      </c>
      <c r="AA74" s="7" t="n">
        <f aca="false">Y74/Z74</f>
        <v>-0.082154015728086</v>
      </c>
      <c r="AB74" s="7" t="n">
        <f aca="false">_xlfn.T.DIST.2T(ABS(AA74),$U$84)</f>
        <v>0.935035970646839</v>
      </c>
      <c r="AC74" s="7" t="n">
        <f aca="false">INDEX(MINVERSE($Y$82:$AJ$93),9,9)</f>
        <v>1.84684684684685</v>
      </c>
    </row>
    <row r="75" customFormat="false" ht="15" hidden="false" customHeight="false" outlineLevel="0" collapsed="false">
      <c r="A75" s="11" t="n">
        <f aca="false">Data_Monthly!A14</f>
        <v>44589</v>
      </c>
      <c r="B75" s="12" t="n">
        <f aca="false">Data_Monthly!C14-AVERAGE(Data_Monthly!D14:F14)</f>
        <v>-1.04070781489867</v>
      </c>
      <c r="C75" s="13" t="n">
        <f aca="false">IF($A75&gt;=$U$64,1,0)</f>
        <v>0</v>
      </c>
      <c r="D75" s="13" t="n">
        <f aca="false">IF(MONTH($A75)=2,1,0)</f>
        <v>0</v>
      </c>
      <c r="E75" s="13" t="n">
        <f aca="false">IF(MONTH($A75)=3,1,0)</f>
        <v>0</v>
      </c>
      <c r="F75" s="13" t="n">
        <f aca="false">IF(MONTH($A75)=4,1,0)</f>
        <v>0</v>
      </c>
      <c r="G75" s="13" t="n">
        <f aca="false">IF(MONTH($A75)=5,1,0)</f>
        <v>0</v>
      </c>
      <c r="H75" s="13" t="n">
        <f aca="false">IF(MONTH($A75)=6,1,0)</f>
        <v>0</v>
      </c>
      <c r="I75" s="13" t="n">
        <f aca="false">IF(MONTH($A75)=7,1,0)</f>
        <v>0</v>
      </c>
      <c r="J75" s="13" t="n">
        <f aca="false">IF(MONTH($A75)=8,1,0)</f>
        <v>0</v>
      </c>
      <c r="K75" s="13" t="n">
        <f aca="false">IF(MONTH($A75)=9,1,0)</f>
        <v>0</v>
      </c>
      <c r="L75" s="13" t="n">
        <f aca="false">IF(MONTH($A75)=10,1,0)</f>
        <v>0</v>
      </c>
      <c r="M75" s="13" t="n">
        <f aca="false">IF(MONTH($A75)=11,1,0)</f>
        <v>0</v>
      </c>
      <c r="N75" s="13" t="n">
        <f aca="false">IF(MONTH($A75)=12,1,0)</f>
        <v>0</v>
      </c>
      <c r="O75" s="7" t="n">
        <f aca="false">$B$64+SUMPRODUCT(C75:N75,$C$64:$N$64)</f>
        <v>0.279918289937062</v>
      </c>
      <c r="P75" s="7" t="n">
        <f aca="false">B75-O75</f>
        <v>-1.32062610483573</v>
      </c>
      <c r="Q75" s="7" t="n">
        <f aca="false">P75^2</f>
        <v>1.74405330877359</v>
      </c>
      <c r="T75" s="5" t="s">
        <v>101</v>
      </c>
      <c r="U75" s="7" t="n">
        <f aca="false">SQRT($U$72^2/$U$68+$U$71^2/$U$67)</f>
        <v>0.263136317666686</v>
      </c>
      <c r="X75" s="5" t="s">
        <v>77</v>
      </c>
      <c r="Y75" s="7" t="n">
        <f aca="false">INDEX(LINEST(B66:B110,C66:N110,TRUE(),TRUE()),1,3)</f>
        <v>1.09882863321489</v>
      </c>
      <c r="Z75" s="7" t="n">
        <f aca="false">INDEX(LINEST(B66:B110,C66:N110,TRUE(),TRUE()),2,3)</f>
        <v>0.68119492899596</v>
      </c>
      <c r="AA75" s="7" t="n">
        <f aca="false">Y75/Z75</f>
        <v>1.61308986083395</v>
      </c>
      <c r="AB75" s="7" t="n">
        <f aca="false">_xlfn.T.DIST.2T(ABS(AA75),$U$84)</f>
        <v>0.116544926619628</v>
      </c>
      <c r="AC75" s="7" t="n">
        <f aca="false">INDEX(MINVERSE($Y$82:$AJ$93),10,10)</f>
        <v>1.84684684684685</v>
      </c>
    </row>
    <row r="76" customFormat="false" ht="15" hidden="false" customHeight="false" outlineLevel="0" collapsed="false">
      <c r="A76" s="11" t="n">
        <f aca="false">Data_Monthly!A15</f>
        <v>44617</v>
      </c>
      <c r="B76" s="12" t="n">
        <f aca="false">Data_Monthly!C15-AVERAGE(Data_Monthly!D15:F15)</f>
        <v>1.40374438551234</v>
      </c>
      <c r="C76" s="13" t="n">
        <f aca="false">IF($A76&gt;=$U$64,1,0)</f>
        <v>0</v>
      </c>
      <c r="D76" s="13" t="n">
        <f aca="false">IF(MONTH($A76)=2,1,0)</f>
        <v>1</v>
      </c>
      <c r="E76" s="13" t="n">
        <f aca="false">IF(MONTH($A76)=3,1,0)</f>
        <v>0</v>
      </c>
      <c r="F76" s="13" t="n">
        <f aca="false">IF(MONTH($A76)=4,1,0)</f>
        <v>0</v>
      </c>
      <c r="G76" s="13" t="n">
        <f aca="false">IF(MONTH($A76)=5,1,0)</f>
        <v>0</v>
      </c>
      <c r="H76" s="13" t="n">
        <f aca="false">IF(MONTH($A76)=6,1,0)</f>
        <v>0</v>
      </c>
      <c r="I76" s="13" t="n">
        <f aca="false">IF(MONTH($A76)=7,1,0)</f>
        <v>0</v>
      </c>
      <c r="J76" s="13" t="n">
        <f aca="false">IF(MONTH($A76)=8,1,0)</f>
        <v>0</v>
      </c>
      <c r="K76" s="13" t="n">
        <f aca="false">IF(MONTH($A76)=9,1,0)</f>
        <v>0</v>
      </c>
      <c r="L76" s="13" t="n">
        <f aca="false">IF(MONTH($A76)=10,1,0)</f>
        <v>0</v>
      </c>
      <c r="M76" s="13" t="n">
        <f aca="false">IF(MONTH($A76)=11,1,0)</f>
        <v>0</v>
      </c>
      <c r="N76" s="13" t="n">
        <f aca="false">IF(MONTH($A76)=12,1,0)</f>
        <v>0</v>
      </c>
      <c r="O76" s="7" t="n">
        <f aca="false">$B$64+SUMPRODUCT(C76:N76,$C$64:$N$64)</f>
        <v>1.36392913103875</v>
      </c>
      <c r="P76" s="7" t="n">
        <f aca="false">B76-O76</f>
        <v>0.0398152544735917</v>
      </c>
      <c r="Q76" s="7" t="n">
        <f aca="false">P76^2</f>
        <v>0.00158525448879686</v>
      </c>
      <c r="T76" s="5" t="s">
        <v>102</v>
      </c>
      <c r="U76" s="7" t="n">
        <f aca="false">$U$73/$U$75</f>
        <v>-3.28396875891142</v>
      </c>
      <c r="X76" s="5" t="s">
        <v>78</v>
      </c>
      <c r="Y76" s="7" t="n">
        <f aca="false">INDEX(LINEST(B66:B110,C66:N110,TRUE(),TRUE()),1,2)</f>
        <v>0.389862903158366</v>
      </c>
      <c r="Z76" s="7" t="n">
        <f aca="false">INDEX(LINEST(B66:B110,C66:N110,TRUE(),TRUE()),2,2)</f>
        <v>0.681194928995959</v>
      </c>
      <c r="AA76" s="7" t="n">
        <f aca="false">Y76/Z76</f>
        <v>0.572322086620639</v>
      </c>
      <c r="AB76" s="7" t="n">
        <f aca="false">_xlfn.T.DIST.2T(ABS(AA76),$U$84)</f>
        <v>0.57110313841976</v>
      </c>
      <c r="AC76" s="7" t="n">
        <f aca="false">INDEX(MINVERSE($Y$82:$AJ$93),11,11)</f>
        <v>1.84684684684685</v>
      </c>
    </row>
    <row r="77" customFormat="false" ht="15" hidden="false" customHeight="false" outlineLevel="0" collapsed="false">
      <c r="A77" s="11" t="n">
        <f aca="false">Data_Monthly!A16</f>
        <v>44645</v>
      </c>
      <c r="B77" s="12" t="n">
        <f aca="false">Data_Monthly!C16-AVERAGE(Data_Monthly!D16:F16)</f>
        <v>1.64765760357692</v>
      </c>
      <c r="C77" s="13" t="n">
        <f aca="false">IF($A77&gt;=$U$64,1,0)</f>
        <v>0</v>
      </c>
      <c r="D77" s="13" t="n">
        <f aca="false">IF(MONTH($A77)=2,1,0)</f>
        <v>0</v>
      </c>
      <c r="E77" s="13" t="n">
        <f aca="false">IF(MONTH($A77)=3,1,0)</f>
        <v>1</v>
      </c>
      <c r="F77" s="13" t="n">
        <f aca="false">IF(MONTH($A77)=4,1,0)</f>
        <v>0</v>
      </c>
      <c r="G77" s="13" t="n">
        <f aca="false">IF(MONTH($A77)=5,1,0)</f>
        <v>0</v>
      </c>
      <c r="H77" s="13" t="n">
        <f aca="false">IF(MONTH($A77)=6,1,0)</f>
        <v>0</v>
      </c>
      <c r="I77" s="13" t="n">
        <f aca="false">IF(MONTH($A77)=7,1,0)</f>
        <v>0</v>
      </c>
      <c r="J77" s="13" t="n">
        <f aca="false">IF(MONTH($A77)=8,1,0)</f>
        <v>0</v>
      </c>
      <c r="K77" s="13" t="n">
        <f aca="false">IF(MONTH($A77)=9,1,0)</f>
        <v>0</v>
      </c>
      <c r="L77" s="13" t="n">
        <f aca="false">IF(MONTH($A77)=10,1,0)</f>
        <v>0</v>
      </c>
      <c r="M77" s="13" t="n">
        <f aca="false">IF(MONTH($A77)=11,1,0)</f>
        <v>0</v>
      </c>
      <c r="N77" s="13" t="n">
        <f aca="false">IF(MONTH($A77)=12,1,0)</f>
        <v>0</v>
      </c>
      <c r="O77" s="7" t="n">
        <f aca="false">$B$64+SUMPRODUCT(C77:N77,$C$64:$N$64)</f>
        <v>1.85666119382035</v>
      </c>
      <c r="P77" s="7" t="n">
        <f aca="false">B77-O77</f>
        <v>-0.209003590243424</v>
      </c>
      <c r="Q77" s="7" t="n">
        <f aca="false">P77^2</f>
        <v>0.0436825007346413</v>
      </c>
      <c r="T77" s="5" t="s">
        <v>103</v>
      </c>
      <c r="U77" s="17" t="n">
        <f aca="false">(($U$72^2/$U$68)+($U$71^2/$U$67))^2/(($U$72^2/$U$68)^2/($U$68-1)+($U$71^2/$U$67)^2/($U$67-1))</f>
        <v>42.9997806216767</v>
      </c>
      <c r="X77" s="5" t="s">
        <v>79</v>
      </c>
      <c r="Y77" s="7" t="n">
        <f aca="false">INDEX(LINEST(B66:B110,C66:N110,TRUE(),TRUE()),1,1)</f>
        <v>0.500918341566381</v>
      </c>
      <c r="Z77" s="7" t="n">
        <f aca="false">INDEX(LINEST(B66:B110,C66:N110,TRUE(),TRUE()),2,1)</f>
        <v>0.676638390037554</v>
      </c>
      <c r="AA77" s="7" t="n">
        <f aca="false">Y77/Z77</f>
        <v>0.740304347110101</v>
      </c>
      <c r="AB77" s="7" t="n">
        <f aca="false">_xlfn.T.DIST.2T(ABS(AA77),$U$84)</f>
        <v>0.464512771281465</v>
      </c>
      <c r="AC77" s="7" t="n">
        <f aca="false">INDEX(MINVERSE($Y$82:$AJ$93),12,12)</f>
        <v>1.82222222222222</v>
      </c>
    </row>
    <row r="78" customFormat="false" ht="15" hidden="false" customHeight="false" outlineLevel="0" collapsed="false">
      <c r="A78" s="11" t="n">
        <f aca="false">Data_Monthly!A17</f>
        <v>44673</v>
      </c>
      <c r="B78" s="12" t="n">
        <f aca="false">Data_Monthly!C17-AVERAGE(Data_Monthly!D17:F17)</f>
        <v>1.66924390882191</v>
      </c>
      <c r="C78" s="13" t="n">
        <f aca="false">IF($A78&gt;=$U$64,1,0)</f>
        <v>0</v>
      </c>
      <c r="D78" s="13" t="n">
        <f aca="false">IF(MONTH($A78)=2,1,0)</f>
        <v>0</v>
      </c>
      <c r="E78" s="13" t="n">
        <f aca="false">IF(MONTH($A78)=3,1,0)</f>
        <v>0</v>
      </c>
      <c r="F78" s="13" t="n">
        <f aca="false">IF(MONTH($A78)=4,1,0)</f>
        <v>1</v>
      </c>
      <c r="G78" s="13" t="n">
        <f aca="false">IF(MONTH($A78)=5,1,0)</f>
        <v>0</v>
      </c>
      <c r="H78" s="13" t="n">
        <f aca="false">IF(MONTH($A78)=6,1,0)</f>
        <v>0</v>
      </c>
      <c r="I78" s="13" t="n">
        <f aca="false">IF(MONTH($A78)=7,1,0)</f>
        <v>0</v>
      </c>
      <c r="J78" s="13" t="n">
        <f aca="false">IF(MONTH($A78)=8,1,0)</f>
        <v>0</v>
      </c>
      <c r="K78" s="13" t="n">
        <f aca="false">IF(MONTH($A78)=9,1,0)</f>
        <v>0</v>
      </c>
      <c r="L78" s="13" t="n">
        <f aca="false">IF(MONTH($A78)=10,1,0)</f>
        <v>0</v>
      </c>
      <c r="M78" s="13" t="n">
        <f aca="false">IF(MONTH($A78)=11,1,0)</f>
        <v>0</v>
      </c>
      <c r="N78" s="13" t="n">
        <f aca="false">IF(MONTH($A78)=12,1,0)</f>
        <v>0</v>
      </c>
      <c r="O78" s="7" t="n">
        <f aca="false">$B$64+SUMPRODUCT(C78:N78,$C$64:$N$64)</f>
        <v>-0.441295016487597</v>
      </c>
      <c r="P78" s="7" t="n">
        <f aca="false">B78-O78</f>
        <v>2.1105389253095</v>
      </c>
      <c r="Q78" s="7" t="n">
        <f aca="false">P78^2</f>
        <v>4.45437455524659</v>
      </c>
      <c r="T78" s="5" t="s">
        <v>104</v>
      </c>
      <c r="U78" s="7" t="n">
        <f aca="false">_xlfn.T.TEST(B97:B110,B66:B96,2,3)</f>
        <v>0.00203958047387979</v>
      </c>
      <c r="V78" s="16" t="n">
        <v>0.00203958047387979</v>
      </c>
      <c r="X78" s="5" t="s">
        <v>105</v>
      </c>
      <c r="Y78" s="7" t="n">
        <f aca="false">INDEX(LINEST(B66:B110,C66:N110,TRUE(),TRUE()),1,13)</f>
        <v>0.279918289937062</v>
      </c>
      <c r="Z78" s="7" t="n">
        <f aca="false">INDEX(LINEST(B66:B110,C66:N110,TRUE(),TRUE()),2,13)</f>
        <v>0.503654481867377</v>
      </c>
      <c r="AA78" s="7" t="n">
        <f aca="false">Y78/Z78</f>
        <v>0.555774444613739</v>
      </c>
      <c r="AB78" s="7" t="n">
        <f aca="false">_xlfn.T.DIST.2T(ABS(AA78),$U$84)</f>
        <v>0.582230390014208</v>
      </c>
    </row>
    <row r="79" customFormat="false" ht="15" hidden="false" customHeight="false" outlineLevel="0" collapsed="false">
      <c r="A79" s="11" t="n">
        <f aca="false">Data_Monthly!A18</f>
        <v>44701</v>
      </c>
      <c r="B79" s="12" t="n">
        <f aca="false">Data_Monthly!C18-AVERAGE(Data_Monthly!D18:F18)</f>
        <v>0.8180629508639</v>
      </c>
      <c r="C79" s="13" t="n">
        <f aca="false">IF($A79&gt;=$U$64,1,0)</f>
        <v>0</v>
      </c>
      <c r="D79" s="13" t="n">
        <f aca="false">IF(MONTH($A79)=2,1,0)</f>
        <v>0</v>
      </c>
      <c r="E79" s="13" t="n">
        <f aca="false">IF(MONTH($A79)=3,1,0)</f>
        <v>0</v>
      </c>
      <c r="F79" s="13" t="n">
        <f aca="false">IF(MONTH($A79)=4,1,0)</f>
        <v>0</v>
      </c>
      <c r="G79" s="13" t="n">
        <f aca="false">IF(MONTH($A79)=5,1,0)</f>
        <v>1</v>
      </c>
      <c r="H79" s="13" t="n">
        <f aca="false">IF(MONTH($A79)=6,1,0)</f>
        <v>0</v>
      </c>
      <c r="I79" s="13" t="n">
        <f aca="false">IF(MONTH($A79)=7,1,0)</f>
        <v>0</v>
      </c>
      <c r="J79" s="13" t="n">
        <f aca="false">IF(MONTH($A79)=8,1,0)</f>
        <v>0</v>
      </c>
      <c r="K79" s="13" t="n">
        <f aca="false">IF(MONTH($A79)=9,1,0)</f>
        <v>0</v>
      </c>
      <c r="L79" s="13" t="n">
        <f aca="false">IF(MONTH($A79)=10,1,0)</f>
        <v>0</v>
      </c>
      <c r="M79" s="13" t="n">
        <f aca="false">IF(MONTH($A79)=11,1,0)</f>
        <v>0</v>
      </c>
      <c r="N79" s="13" t="n">
        <f aca="false">IF(MONTH($A79)=12,1,0)</f>
        <v>0</v>
      </c>
      <c r="O79" s="7" t="n">
        <f aca="false">$B$64+SUMPRODUCT(C79:N79,$C$64:$N$64)</f>
        <v>0.835239280441514</v>
      </c>
      <c r="P79" s="7" t="n">
        <f aca="false">B79-O79</f>
        <v>-0.0171763295776139</v>
      </c>
      <c r="Q79" s="7" t="n">
        <f aca="false">P79^2</f>
        <v>0.000295026297758816</v>
      </c>
      <c r="X79" s="2" t="s">
        <v>180</v>
      </c>
    </row>
    <row r="80" customFormat="false" ht="15" hidden="false" customHeight="false" outlineLevel="0" collapsed="false">
      <c r="A80" s="11" t="n">
        <f aca="false">Data_Monthly!A19</f>
        <v>44729</v>
      </c>
      <c r="B80" s="12" t="n">
        <f aca="false">Data_Monthly!C19-AVERAGE(Data_Monthly!D19:F19)</f>
        <v>-0.612453679657143</v>
      </c>
      <c r="C80" s="13" t="n">
        <f aca="false">IF($A80&gt;=$U$64,1,0)</f>
        <v>0</v>
      </c>
      <c r="D80" s="13" t="n">
        <f aca="false">IF(MONTH($A80)=2,1,0)</f>
        <v>0</v>
      </c>
      <c r="E80" s="13" t="n">
        <f aca="false">IF(MONTH($A80)=3,1,0)</f>
        <v>0</v>
      </c>
      <c r="F80" s="13" t="n">
        <f aca="false">IF(MONTH($A80)=4,1,0)</f>
        <v>0</v>
      </c>
      <c r="G80" s="13" t="n">
        <f aca="false">IF(MONTH($A80)=5,1,0)</f>
        <v>0</v>
      </c>
      <c r="H80" s="13" t="n">
        <f aca="false">IF(MONTH($A80)=6,1,0)</f>
        <v>1</v>
      </c>
      <c r="I80" s="13" t="n">
        <f aca="false">IF(MONTH($A80)=7,1,0)</f>
        <v>0</v>
      </c>
      <c r="J80" s="13" t="n">
        <f aca="false">IF(MONTH($A80)=8,1,0)</f>
        <v>0</v>
      </c>
      <c r="K80" s="13" t="n">
        <f aca="false">IF(MONTH($A80)=9,1,0)</f>
        <v>0</v>
      </c>
      <c r="L80" s="13" t="n">
        <f aca="false">IF(MONTH($A80)=10,1,0)</f>
        <v>0</v>
      </c>
      <c r="M80" s="13" t="n">
        <f aca="false">IF(MONTH($A80)=11,1,0)</f>
        <v>0</v>
      </c>
      <c r="N80" s="13" t="n">
        <f aca="false">IF(MONTH($A80)=12,1,0)</f>
        <v>0</v>
      </c>
      <c r="O80" s="7" t="n">
        <f aca="false">$B$64+SUMPRODUCT(C80:N80,$C$64:$N$64)</f>
        <v>-0.139249059800065</v>
      </c>
      <c r="P80" s="7" t="n">
        <f aca="false">B80-O80</f>
        <v>-0.473204619857078</v>
      </c>
      <c r="Q80" s="7" t="n">
        <f aca="false">P80^2</f>
        <v>0.223922612254082</v>
      </c>
      <c r="T80" s="9" t="s">
        <v>114</v>
      </c>
      <c r="U80" s="14" t="s">
        <v>91</v>
      </c>
      <c r="V80" s="14" t="s">
        <v>92</v>
      </c>
      <c r="X80" s="2" t="s">
        <v>108</v>
      </c>
    </row>
    <row r="81" customFormat="false" ht="15" hidden="false" customHeight="false" outlineLevel="0" collapsed="false">
      <c r="A81" s="11" t="n">
        <f aca="false">Data_Monthly!A20</f>
        <v>44771</v>
      </c>
      <c r="B81" s="12" t="n">
        <f aca="false">Data_Monthly!C20-AVERAGE(Data_Monthly!D20:F20)</f>
        <v>0.300263788898114</v>
      </c>
      <c r="C81" s="13" t="n">
        <f aca="false">IF($A81&gt;=$U$64,1,0)</f>
        <v>0</v>
      </c>
      <c r="D81" s="13" t="n">
        <f aca="false">IF(MONTH($A81)=2,1,0)</f>
        <v>0</v>
      </c>
      <c r="E81" s="13" t="n">
        <f aca="false">IF(MONTH($A81)=3,1,0)</f>
        <v>0</v>
      </c>
      <c r="F81" s="13" t="n">
        <f aca="false">IF(MONTH($A81)=4,1,0)</f>
        <v>0</v>
      </c>
      <c r="G81" s="13" t="n">
        <f aca="false">IF(MONTH($A81)=5,1,0)</f>
        <v>0</v>
      </c>
      <c r="H81" s="13" t="n">
        <f aca="false">IF(MONTH($A81)=6,1,0)</f>
        <v>0</v>
      </c>
      <c r="I81" s="13" t="n">
        <f aca="false">IF(MONTH($A81)=7,1,0)</f>
        <v>1</v>
      </c>
      <c r="J81" s="13" t="n">
        <f aca="false">IF(MONTH($A81)=8,1,0)</f>
        <v>0</v>
      </c>
      <c r="K81" s="13" t="n">
        <f aca="false">IF(MONTH($A81)=9,1,0)</f>
        <v>0</v>
      </c>
      <c r="L81" s="13" t="n">
        <f aca="false">IF(MONTH($A81)=10,1,0)</f>
        <v>0</v>
      </c>
      <c r="M81" s="13" t="n">
        <f aca="false">IF(MONTH($A81)=11,1,0)</f>
        <v>0</v>
      </c>
      <c r="N81" s="13" t="n">
        <f aca="false">IF(MONTH($A81)=12,1,0)</f>
        <v>0</v>
      </c>
      <c r="O81" s="7" t="n">
        <f aca="false">$B$64+SUMPRODUCT(C81:N81,$C$64:$N$64)</f>
        <v>1.06531398081287</v>
      </c>
      <c r="P81" s="7" t="n">
        <f aca="false">B81-O81</f>
        <v>-0.765050191914757</v>
      </c>
      <c r="Q81" s="7" t="n">
        <f aca="false">P81^2</f>
        <v>0.585301796148806</v>
      </c>
      <c r="T81" s="5" t="s">
        <v>115</v>
      </c>
      <c r="U81" s="13" t="n">
        <f aca="false">COUNT(B66:B110)</f>
        <v>45</v>
      </c>
      <c r="Y81" s="19" t="s">
        <v>68</v>
      </c>
      <c r="Z81" s="19" t="s">
        <v>69</v>
      </c>
      <c r="AA81" s="19" t="s">
        <v>70</v>
      </c>
      <c r="AB81" s="19" t="s">
        <v>71</v>
      </c>
      <c r="AC81" s="19" t="s">
        <v>72</v>
      </c>
      <c r="AD81" s="19" t="s">
        <v>73</v>
      </c>
      <c r="AE81" s="19" t="s">
        <v>74</v>
      </c>
      <c r="AF81" s="19" t="s">
        <v>75</v>
      </c>
      <c r="AG81" s="19" t="s">
        <v>76</v>
      </c>
      <c r="AH81" s="19" t="s">
        <v>77</v>
      </c>
      <c r="AI81" s="19" t="s">
        <v>78</v>
      </c>
      <c r="AJ81" s="19" t="s">
        <v>79</v>
      </c>
    </row>
    <row r="82" customFormat="false" ht="15" hidden="false" customHeight="false" outlineLevel="0" collapsed="false">
      <c r="A82" s="11" t="n">
        <f aca="false">Data_Monthly!A21</f>
        <v>44799</v>
      </c>
      <c r="B82" s="12" t="n">
        <f aca="false">Data_Monthly!C21-AVERAGE(Data_Monthly!D21:F21)</f>
        <v>0.363836817497306</v>
      </c>
      <c r="C82" s="13" t="n">
        <f aca="false">IF($A82&gt;=$U$64,1,0)</f>
        <v>0</v>
      </c>
      <c r="D82" s="13" t="n">
        <f aca="false">IF(MONTH($A82)=2,1,0)</f>
        <v>0</v>
      </c>
      <c r="E82" s="13" t="n">
        <f aca="false">IF(MONTH($A82)=3,1,0)</f>
        <v>0</v>
      </c>
      <c r="F82" s="13" t="n">
        <f aca="false">IF(MONTH($A82)=4,1,0)</f>
        <v>0</v>
      </c>
      <c r="G82" s="13" t="n">
        <f aca="false">IF(MONTH($A82)=5,1,0)</f>
        <v>0</v>
      </c>
      <c r="H82" s="13" t="n">
        <f aca="false">IF(MONTH($A82)=6,1,0)</f>
        <v>0</v>
      </c>
      <c r="I82" s="13" t="n">
        <f aca="false">IF(MONTH($A82)=7,1,0)</f>
        <v>0</v>
      </c>
      <c r="J82" s="13" t="n">
        <f aca="false">IF(MONTH($A82)=8,1,0)</f>
        <v>1</v>
      </c>
      <c r="K82" s="13" t="n">
        <f aca="false">IF(MONTH($A82)=9,1,0)</f>
        <v>0</v>
      </c>
      <c r="L82" s="13" t="n">
        <f aca="false">IF(MONTH($A82)=10,1,0)</f>
        <v>0</v>
      </c>
      <c r="M82" s="13" t="n">
        <f aca="false">IF(MONTH($A82)=11,1,0)</f>
        <v>0</v>
      </c>
      <c r="N82" s="13" t="n">
        <f aca="false">IF(MONTH($A82)=12,1,0)</f>
        <v>0</v>
      </c>
      <c r="O82" s="7" t="n">
        <f aca="false">$B$64+SUMPRODUCT(C82:N82,$C$64:$N$64)</f>
        <v>-0.121354780737522</v>
      </c>
      <c r="P82" s="7" t="n">
        <f aca="false">B82-O82</f>
        <v>0.485191598234828</v>
      </c>
      <c r="Q82" s="7" t="n">
        <f aca="false">P82^2</f>
        <v>0.235410886997666</v>
      </c>
      <c r="T82" s="5" t="s">
        <v>112</v>
      </c>
      <c r="U82" s="7" t="n">
        <f aca="false">INDEX(LINEST(B66:B110,C66:N110,TRUE(),TRUE()),3,1)</f>
        <v>0.476673199568732</v>
      </c>
      <c r="X82" s="6" t="s">
        <v>68</v>
      </c>
      <c r="Y82" s="20" t="n">
        <f aca="false">CORREL($C$66:$C$110,$C$66:$C$110)</f>
        <v>1</v>
      </c>
      <c r="Z82" s="20" t="n">
        <f aca="false">CORREL($D$66:$D$110,$C$66:$C$110)</f>
        <v>0.0128289501447696</v>
      </c>
      <c r="AA82" s="20" t="n">
        <f aca="false">CORREL($E$66:$E$110,$C$66:$C$110)</f>
        <v>0.0128289501447696</v>
      </c>
      <c r="AB82" s="20" t="n">
        <f aca="false">CORREL($F$66:$F$110,$C$66:$C$110)</f>
        <v>-0.0412311925578649</v>
      </c>
      <c r="AC82" s="20" t="n">
        <f aca="false">CORREL($G$66:$G$110,$C$66:$C$110)</f>
        <v>-0.0412311925578649</v>
      </c>
      <c r="AD82" s="20" t="n">
        <f aca="false">CORREL($H$66:$H$110,$C$66:$C$110)</f>
        <v>-0.0412311925578649</v>
      </c>
      <c r="AE82" s="20" t="n">
        <f aca="false">CORREL($I$66:$I$110,$C$66:$C$110)</f>
        <v>0.0128289501447696</v>
      </c>
      <c r="AF82" s="20" t="n">
        <f aca="false">CORREL($J$66:$J$110,$C$66:$C$110)</f>
        <v>-0.0412311925578649</v>
      </c>
      <c r="AG82" s="20" t="n">
        <f aca="false">CORREL($K$66:$K$110,$C$66:$C$110)</f>
        <v>-0.0412311925578649</v>
      </c>
      <c r="AH82" s="20" t="n">
        <f aca="false">CORREL($L$66:$L$110,$C$66:$C$110)</f>
        <v>-0.0412311925578649</v>
      </c>
      <c r="AI82" s="20" t="n">
        <f aca="false">CORREL($M$66:$M$110,$C$66:$C$110)</f>
        <v>-0.0412311925578649</v>
      </c>
      <c r="AJ82" s="20" t="n">
        <f aca="false">CORREL($N$66:$N$110,$C$66:$C$110)</f>
        <v>0.127441867906128</v>
      </c>
    </row>
    <row r="83" customFormat="false" ht="15" hidden="false" customHeight="false" outlineLevel="0" collapsed="false">
      <c r="A83" s="11" t="n">
        <f aca="false">Data_Monthly!A22</f>
        <v>44827</v>
      </c>
      <c r="B83" s="12" t="n">
        <f aca="false">Data_Monthly!C22-AVERAGE(Data_Monthly!D22:F22)</f>
        <v>0.685130044844289</v>
      </c>
      <c r="C83" s="13" t="n">
        <f aca="false">IF($A83&gt;=$U$64,1,0)</f>
        <v>0</v>
      </c>
      <c r="D83" s="13" t="n">
        <f aca="false">IF(MONTH($A83)=2,1,0)</f>
        <v>0</v>
      </c>
      <c r="E83" s="13" t="n">
        <f aca="false">IF(MONTH($A83)=3,1,0)</f>
        <v>0</v>
      </c>
      <c r="F83" s="13" t="n">
        <f aca="false">IF(MONTH($A83)=4,1,0)</f>
        <v>0</v>
      </c>
      <c r="G83" s="13" t="n">
        <f aca="false">IF(MONTH($A83)=5,1,0)</f>
        <v>0</v>
      </c>
      <c r="H83" s="13" t="n">
        <f aca="false">IF(MONTH($A83)=6,1,0)</f>
        <v>0</v>
      </c>
      <c r="I83" s="13" t="n">
        <f aca="false">IF(MONTH($A83)=7,1,0)</f>
        <v>0</v>
      </c>
      <c r="J83" s="13" t="n">
        <f aca="false">IF(MONTH($A83)=8,1,0)</f>
        <v>0</v>
      </c>
      <c r="K83" s="13" t="n">
        <f aca="false">IF(MONTH($A83)=9,1,0)</f>
        <v>1</v>
      </c>
      <c r="L83" s="13" t="n">
        <f aca="false">IF(MONTH($A83)=10,1,0)</f>
        <v>0</v>
      </c>
      <c r="M83" s="13" t="n">
        <f aca="false">IF(MONTH($A83)=11,1,0)</f>
        <v>0</v>
      </c>
      <c r="N83" s="13" t="n">
        <f aca="false">IF(MONTH($A83)=12,1,0)</f>
        <v>0</v>
      </c>
      <c r="O83" s="7" t="n">
        <f aca="false">$B$64+SUMPRODUCT(C83:N83,$C$64:$N$64)</f>
        <v>0.223955391026435</v>
      </c>
      <c r="P83" s="7" t="n">
        <f aca="false">B83-O83</f>
        <v>0.461174653817853</v>
      </c>
      <c r="Q83" s="7" t="n">
        <f aca="false">P83^2</f>
        <v>0.212682061324017</v>
      </c>
      <c r="T83" s="5" t="s">
        <v>116</v>
      </c>
      <c r="U83" s="7" t="n">
        <f aca="false">SQRT($U$82)</f>
        <v>0.690415237062981</v>
      </c>
      <c r="X83" s="6" t="s">
        <v>69</v>
      </c>
      <c r="Y83" s="20" t="n">
        <f aca="false">CORREL($C$66:$C$110,$D$66:$D$110)</f>
        <v>0.0128289501447696</v>
      </c>
      <c r="Z83" s="20" t="n">
        <f aca="false">CORREL($D$66:$D$110,$D$66:$D$110)</f>
        <v>1</v>
      </c>
      <c r="AA83" s="20" t="n">
        <f aca="false">CORREL($E$66:$E$110,$D$66:$D$110)</f>
        <v>-0.0714285714285714</v>
      </c>
      <c r="AB83" s="20" t="n">
        <f aca="false">CORREL($F$66:$F$110,$D$66:$D$110)</f>
        <v>-0.0834783871129682</v>
      </c>
      <c r="AC83" s="20" t="n">
        <f aca="false">CORREL($G$66:$G$110,$D$66:$D$110)</f>
        <v>-0.0834783871129682</v>
      </c>
      <c r="AD83" s="20" t="n">
        <f aca="false">CORREL($H$66:$H$110,$D$66:$D$110)</f>
        <v>-0.0834783871129682</v>
      </c>
      <c r="AE83" s="20" t="n">
        <f aca="false">CORREL($I$66:$I$110,$D$66:$D$110)</f>
        <v>-0.0714285714285714</v>
      </c>
      <c r="AF83" s="20" t="n">
        <f aca="false">CORREL($J$66:$J$110,$D$66:$D$110)</f>
        <v>-0.0834783871129682</v>
      </c>
      <c r="AG83" s="20" t="n">
        <f aca="false">CORREL($K$66:$K$110,$D$66:$D$110)</f>
        <v>-0.0834783871129682</v>
      </c>
      <c r="AH83" s="20" t="n">
        <f aca="false">CORREL($L$66:$L$110,$D$66:$D$110)</f>
        <v>-0.0834783871129682</v>
      </c>
      <c r="AI83" s="20" t="n">
        <f aca="false">CORREL($M$66:$M$110,$D$66:$D$110)</f>
        <v>-0.0834783871129682</v>
      </c>
      <c r="AJ83" s="20" t="n">
        <f aca="false">CORREL($N$66:$N$110,$D$66:$D$110)</f>
        <v>-0.0834783871129682</v>
      </c>
    </row>
    <row r="84" customFormat="false" ht="15" hidden="false" customHeight="false" outlineLevel="0" collapsed="false">
      <c r="A84" s="11" t="n">
        <f aca="false">Data_Monthly!A23</f>
        <v>44855</v>
      </c>
      <c r="B84" s="12" t="n">
        <f aca="false">Data_Monthly!C23-AVERAGE(Data_Monthly!D23:F23)</f>
        <v>0.107745822297407</v>
      </c>
      <c r="C84" s="13" t="n">
        <f aca="false">IF($A84&gt;=$U$64,1,0)</f>
        <v>0</v>
      </c>
      <c r="D84" s="13" t="n">
        <f aca="false">IF(MONTH($A84)=2,1,0)</f>
        <v>0</v>
      </c>
      <c r="E84" s="13" t="n">
        <f aca="false">IF(MONTH($A84)=3,1,0)</f>
        <v>0</v>
      </c>
      <c r="F84" s="13" t="n">
        <f aca="false">IF(MONTH($A84)=4,1,0)</f>
        <v>0</v>
      </c>
      <c r="G84" s="13" t="n">
        <f aca="false">IF(MONTH($A84)=5,1,0)</f>
        <v>0</v>
      </c>
      <c r="H84" s="13" t="n">
        <f aca="false">IF(MONTH($A84)=6,1,0)</f>
        <v>0</v>
      </c>
      <c r="I84" s="13" t="n">
        <f aca="false">IF(MONTH($A84)=7,1,0)</f>
        <v>0</v>
      </c>
      <c r="J84" s="13" t="n">
        <f aca="false">IF(MONTH($A84)=8,1,0)</f>
        <v>0</v>
      </c>
      <c r="K84" s="13" t="n">
        <f aca="false">IF(MONTH($A84)=9,1,0)</f>
        <v>0</v>
      </c>
      <c r="L84" s="13" t="n">
        <f aca="false">IF(MONTH($A84)=10,1,0)</f>
        <v>1</v>
      </c>
      <c r="M84" s="13" t="n">
        <f aca="false">IF(MONTH($A84)=11,1,0)</f>
        <v>0</v>
      </c>
      <c r="N84" s="13" t="n">
        <f aca="false">IF(MONTH($A84)=12,1,0)</f>
        <v>0</v>
      </c>
      <c r="O84" s="7" t="n">
        <f aca="false">$B$64+SUMPRODUCT(C84:N84,$C$64:$N$64)</f>
        <v>1.37874692315195</v>
      </c>
      <c r="P84" s="7" t="n">
        <f aca="false">B84-O84</f>
        <v>-1.27100110085454</v>
      </c>
      <c r="Q84" s="7" t="n">
        <f aca="false">P84^2</f>
        <v>1.61544379837346</v>
      </c>
      <c r="T84" s="5" t="s">
        <v>111</v>
      </c>
      <c r="U84" s="13" t="n">
        <f aca="false">INDEX(LINEST(B66:B110,C66:N110,TRUE(),TRUE()),4,2)</f>
        <v>32</v>
      </c>
      <c r="X84" s="6" t="s">
        <v>70</v>
      </c>
      <c r="Y84" s="20" t="n">
        <f aca="false">CORREL($C$66:$C$110,$E$66:$E$110)</f>
        <v>0.0128289501447696</v>
      </c>
      <c r="Z84" s="20" t="n">
        <f aca="false">CORREL($D$66:$D$110,$E$66:$E$110)</f>
        <v>-0.0714285714285714</v>
      </c>
      <c r="AA84" s="20" t="n">
        <f aca="false">CORREL($E$66:$E$110,$E$66:$E$110)</f>
        <v>1</v>
      </c>
      <c r="AB84" s="20" t="n">
        <f aca="false">CORREL($F$66:$F$110,$E$66:$E$110)</f>
        <v>-0.0834783871129682</v>
      </c>
      <c r="AC84" s="20" t="n">
        <f aca="false">CORREL($G$66:$G$110,$E$66:$E$110)</f>
        <v>-0.0834783871129682</v>
      </c>
      <c r="AD84" s="20" t="n">
        <f aca="false">CORREL($H$66:$H$110,$E$66:$E$110)</f>
        <v>-0.0834783871129682</v>
      </c>
      <c r="AE84" s="20" t="n">
        <f aca="false">CORREL($I$66:$I$110,$E$66:$E$110)</f>
        <v>-0.0714285714285714</v>
      </c>
      <c r="AF84" s="20" t="n">
        <f aca="false">CORREL($J$66:$J$110,$E$66:$E$110)</f>
        <v>-0.0834783871129682</v>
      </c>
      <c r="AG84" s="20" t="n">
        <f aca="false">CORREL($K$66:$K$110,$E$66:$E$110)</f>
        <v>-0.0834783871129682</v>
      </c>
      <c r="AH84" s="20" t="n">
        <f aca="false">CORREL($L$66:$L$110,$E$66:$E$110)</f>
        <v>-0.0834783871129682</v>
      </c>
      <c r="AI84" s="20" t="n">
        <f aca="false">CORREL($M$66:$M$110,$E$66:$E$110)</f>
        <v>-0.0834783871129682</v>
      </c>
      <c r="AJ84" s="20" t="n">
        <f aca="false">CORREL($N$66:$N$110,$E$66:$E$110)</f>
        <v>-0.0834783871129682</v>
      </c>
    </row>
    <row r="85" customFormat="false" ht="15" hidden="false" customHeight="false" outlineLevel="0" collapsed="false">
      <c r="A85" s="11" t="n">
        <f aca="false">Data_Monthly!A24</f>
        <v>44883</v>
      </c>
      <c r="B85" s="12" t="n">
        <f aca="false">Data_Monthly!C24-AVERAGE(Data_Monthly!D24:F24)</f>
        <v>0.68587567292564</v>
      </c>
      <c r="C85" s="13" t="n">
        <f aca="false">IF($A85&gt;=$U$64,1,0)</f>
        <v>0</v>
      </c>
      <c r="D85" s="13" t="n">
        <f aca="false">IF(MONTH($A85)=2,1,0)</f>
        <v>0</v>
      </c>
      <c r="E85" s="13" t="n">
        <f aca="false">IF(MONTH($A85)=3,1,0)</f>
        <v>0</v>
      </c>
      <c r="F85" s="13" t="n">
        <f aca="false">IF(MONTH($A85)=4,1,0)</f>
        <v>0</v>
      </c>
      <c r="G85" s="13" t="n">
        <f aca="false">IF(MONTH($A85)=5,1,0)</f>
        <v>0</v>
      </c>
      <c r="H85" s="13" t="n">
        <f aca="false">IF(MONTH($A85)=6,1,0)</f>
        <v>0</v>
      </c>
      <c r="I85" s="13" t="n">
        <f aca="false">IF(MONTH($A85)=7,1,0)</f>
        <v>0</v>
      </c>
      <c r="J85" s="13" t="n">
        <f aca="false">IF(MONTH($A85)=8,1,0)</f>
        <v>0</v>
      </c>
      <c r="K85" s="13" t="n">
        <f aca="false">IF(MONTH($A85)=9,1,0)</f>
        <v>0</v>
      </c>
      <c r="L85" s="13" t="n">
        <f aca="false">IF(MONTH($A85)=10,1,0)</f>
        <v>0</v>
      </c>
      <c r="M85" s="13" t="n">
        <f aca="false">IF(MONTH($A85)=11,1,0)</f>
        <v>1</v>
      </c>
      <c r="N85" s="13" t="n">
        <f aca="false">IF(MONTH($A85)=12,1,0)</f>
        <v>0</v>
      </c>
      <c r="O85" s="7" t="n">
        <f aca="false">$B$64+SUMPRODUCT(C85:N85,$C$64:$N$64)</f>
        <v>0.669781193095428</v>
      </c>
      <c r="P85" s="7" t="n">
        <f aca="false">B85-O85</f>
        <v>0.016094479830212</v>
      </c>
      <c r="Q85" s="7" t="n">
        <f aca="false">P85^2</f>
        <v>0.000259032281005099</v>
      </c>
      <c r="T85" s="5" t="s">
        <v>117</v>
      </c>
      <c r="U85" s="7" t="n">
        <f aca="false">1-(1-$U$82)*($U$81-1)/$U$84</f>
        <v>0.280425649407007</v>
      </c>
      <c r="X85" s="6" t="s">
        <v>71</v>
      </c>
      <c r="Y85" s="20" t="n">
        <f aca="false">CORREL($C$66:$C$110,$F$66:$F$110)</f>
        <v>-0.0412311925578649</v>
      </c>
      <c r="Z85" s="20" t="n">
        <f aca="false">CORREL($D$66:$D$110,$F$66:$F$110)</f>
        <v>-0.0834783871129682</v>
      </c>
      <c r="AA85" s="20" t="n">
        <f aca="false">CORREL($E$66:$E$110,$F$66:$F$110)</f>
        <v>-0.0834783871129682</v>
      </c>
      <c r="AB85" s="20" t="n">
        <f aca="false">CORREL($F$66:$F$110,$F$66:$F$110)</f>
        <v>1</v>
      </c>
      <c r="AC85" s="20" t="n">
        <f aca="false">CORREL($G$66:$G$110,$F$66:$F$110)</f>
        <v>-0.0975609756097561</v>
      </c>
      <c r="AD85" s="20" t="n">
        <f aca="false">CORREL($H$66:$H$110,$F$66:$F$110)</f>
        <v>-0.0975609756097561</v>
      </c>
      <c r="AE85" s="20" t="n">
        <f aca="false">CORREL($I$66:$I$110,$F$66:$F$110)</f>
        <v>-0.0834783871129682</v>
      </c>
      <c r="AF85" s="20" t="n">
        <f aca="false">CORREL($J$66:$J$110,$F$66:$F$110)</f>
        <v>-0.0975609756097561</v>
      </c>
      <c r="AG85" s="20" t="n">
        <f aca="false">CORREL($K$66:$K$110,$F$66:$F$110)</f>
        <v>-0.0975609756097561</v>
      </c>
      <c r="AH85" s="20" t="n">
        <f aca="false">CORREL($L$66:$L$110,$F$66:$F$110)</f>
        <v>-0.0975609756097561</v>
      </c>
      <c r="AI85" s="20" t="n">
        <f aca="false">CORREL($M$66:$M$110,$F$66:$F$110)</f>
        <v>-0.0975609756097561</v>
      </c>
      <c r="AJ85" s="20" t="n">
        <f aca="false">CORREL($N$66:$N$110,$F$66:$F$110)</f>
        <v>-0.0975609756097561</v>
      </c>
    </row>
    <row r="86" customFormat="false" ht="15" hidden="false" customHeight="false" outlineLevel="0" collapsed="false">
      <c r="A86" s="11" t="n">
        <f aca="false">Data_Monthly!A25</f>
        <v>44925</v>
      </c>
      <c r="B86" s="12" t="n">
        <f aca="false">Data_Monthly!C25-AVERAGE(Data_Monthly!D25:F25)</f>
        <v>0.874893701741127</v>
      </c>
      <c r="C86" s="13" t="n">
        <f aca="false">IF($A86&gt;=$U$64,1,0)</f>
        <v>0</v>
      </c>
      <c r="D86" s="13" t="n">
        <f aca="false">IF(MONTH($A86)=2,1,0)</f>
        <v>0</v>
      </c>
      <c r="E86" s="13" t="n">
        <f aca="false">IF(MONTH($A86)=3,1,0)</f>
        <v>0</v>
      </c>
      <c r="F86" s="13" t="n">
        <f aca="false">IF(MONTH($A86)=4,1,0)</f>
        <v>0</v>
      </c>
      <c r="G86" s="13" t="n">
        <f aca="false">IF(MONTH($A86)=5,1,0)</f>
        <v>0</v>
      </c>
      <c r="H86" s="13" t="n">
        <f aca="false">IF(MONTH($A86)=6,1,0)</f>
        <v>0</v>
      </c>
      <c r="I86" s="13" t="n">
        <f aca="false">IF(MONTH($A86)=7,1,0)</f>
        <v>0</v>
      </c>
      <c r="J86" s="13" t="n">
        <f aca="false">IF(MONTH($A86)=8,1,0)</f>
        <v>0</v>
      </c>
      <c r="K86" s="13" t="n">
        <f aca="false">IF(MONTH($A86)=9,1,0)</f>
        <v>0</v>
      </c>
      <c r="L86" s="13" t="n">
        <f aca="false">IF(MONTH($A86)=10,1,0)</f>
        <v>0</v>
      </c>
      <c r="M86" s="13" t="n">
        <f aca="false">IF(MONTH($A86)=11,1,0)</f>
        <v>0</v>
      </c>
      <c r="N86" s="13" t="n">
        <f aca="false">IF(MONTH($A86)=12,1,0)</f>
        <v>1</v>
      </c>
      <c r="O86" s="7" t="n">
        <f aca="false">$B$64+SUMPRODUCT(C86:N86,$C$64:$N$64)</f>
        <v>0.780836631503443</v>
      </c>
      <c r="P86" s="7" t="n">
        <f aca="false">B86-O86</f>
        <v>0.0940570702376845</v>
      </c>
      <c r="Q86" s="7" t="n">
        <f aca="false">P86^2</f>
        <v>0.00884673246169672</v>
      </c>
      <c r="T86" s="5" t="s">
        <v>118</v>
      </c>
      <c r="U86" s="7" t="n">
        <f aca="false">INDEX(LINEST(B66:B110,C66:N110,TRUE(),TRUE()),3,2)</f>
        <v>0.956911188013405</v>
      </c>
      <c r="X86" s="6" t="s">
        <v>72</v>
      </c>
      <c r="Y86" s="20" t="n">
        <f aca="false">CORREL($C$66:$C$110,$G$66:$G$110)</f>
        <v>-0.0412311925578649</v>
      </c>
      <c r="Z86" s="20" t="n">
        <f aca="false">CORREL($D$66:$D$110,$G$66:$G$110)</f>
        <v>-0.0834783871129682</v>
      </c>
      <c r="AA86" s="20" t="n">
        <f aca="false">CORREL($E$66:$E$110,$G$66:$G$110)</f>
        <v>-0.0834783871129682</v>
      </c>
      <c r="AB86" s="20" t="n">
        <f aca="false">CORREL($F$66:$F$110,$G$66:$G$110)</f>
        <v>-0.0975609756097561</v>
      </c>
      <c r="AC86" s="20" t="n">
        <f aca="false">CORREL($G$66:$G$110,$G$66:$G$110)</f>
        <v>1</v>
      </c>
      <c r="AD86" s="20" t="n">
        <f aca="false">CORREL($H$66:$H$110,$G$66:$G$110)</f>
        <v>-0.0975609756097561</v>
      </c>
      <c r="AE86" s="20" t="n">
        <f aca="false">CORREL($I$66:$I$110,$G$66:$G$110)</f>
        <v>-0.0834783871129682</v>
      </c>
      <c r="AF86" s="20" t="n">
        <f aca="false">CORREL($J$66:$J$110,$G$66:$G$110)</f>
        <v>-0.0975609756097561</v>
      </c>
      <c r="AG86" s="20" t="n">
        <f aca="false">CORREL($K$66:$K$110,$G$66:$G$110)</f>
        <v>-0.0975609756097561</v>
      </c>
      <c r="AH86" s="20" t="n">
        <f aca="false">CORREL($L$66:$L$110,$G$66:$G$110)</f>
        <v>-0.0975609756097561</v>
      </c>
      <c r="AI86" s="20" t="n">
        <f aca="false">CORREL($M$66:$M$110,$G$66:$G$110)</f>
        <v>-0.0975609756097561</v>
      </c>
      <c r="AJ86" s="20" t="n">
        <f aca="false">CORREL($N$66:$N$110,$G$66:$G$110)</f>
        <v>-0.0975609756097561</v>
      </c>
    </row>
    <row r="87" customFormat="false" ht="15" hidden="false" customHeight="false" outlineLevel="0" collapsed="false">
      <c r="A87" s="11" t="n">
        <f aca="false">Data_Monthly!A26</f>
        <v>44953</v>
      </c>
      <c r="B87" s="12" t="n">
        <f aca="false">Data_Monthly!C26-AVERAGE(Data_Monthly!D26:F26)</f>
        <v>0.314962853772194</v>
      </c>
      <c r="C87" s="13" t="n">
        <f aca="false">IF($A87&gt;=$U$64,1,0)</f>
        <v>0</v>
      </c>
      <c r="D87" s="13" t="n">
        <f aca="false">IF(MONTH($A87)=2,1,0)</f>
        <v>0</v>
      </c>
      <c r="E87" s="13" t="n">
        <f aca="false">IF(MONTH($A87)=3,1,0)</f>
        <v>0</v>
      </c>
      <c r="F87" s="13" t="n">
        <f aca="false">IF(MONTH($A87)=4,1,0)</f>
        <v>0</v>
      </c>
      <c r="G87" s="13" t="n">
        <f aca="false">IF(MONTH($A87)=5,1,0)</f>
        <v>0</v>
      </c>
      <c r="H87" s="13" t="n">
        <f aca="false">IF(MONTH($A87)=6,1,0)</f>
        <v>0</v>
      </c>
      <c r="I87" s="13" t="n">
        <f aca="false">IF(MONTH($A87)=7,1,0)</f>
        <v>0</v>
      </c>
      <c r="J87" s="13" t="n">
        <f aca="false">IF(MONTH($A87)=8,1,0)</f>
        <v>0</v>
      </c>
      <c r="K87" s="13" t="n">
        <f aca="false">IF(MONTH($A87)=9,1,0)</f>
        <v>0</v>
      </c>
      <c r="L87" s="13" t="n">
        <f aca="false">IF(MONTH($A87)=10,1,0)</f>
        <v>0</v>
      </c>
      <c r="M87" s="13" t="n">
        <f aca="false">IF(MONTH($A87)=11,1,0)</f>
        <v>0</v>
      </c>
      <c r="N87" s="13" t="n">
        <f aca="false">IF(MONTH($A87)=12,1,0)</f>
        <v>0</v>
      </c>
      <c r="O87" s="7" t="n">
        <f aca="false">$B$64+SUMPRODUCT(C87:N87,$C$64:$N$64)</f>
        <v>0.279918289937062</v>
      </c>
      <c r="P87" s="7" t="n">
        <f aca="false">B87-O87</f>
        <v>0.0350445638351323</v>
      </c>
      <c r="Q87" s="7" t="n">
        <f aca="false">P87^2</f>
        <v>0.00122812145439466</v>
      </c>
      <c r="X87" s="6" t="s">
        <v>73</v>
      </c>
      <c r="Y87" s="20" t="n">
        <f aca="false">CORREL($C$66:$C$110,$H$66:$H$110)</f>
        <v>-0.0412311925578649</v>
      </c>
      <c r="Z87" s="20" t="n">
        <f aca="false">CORREL($D$66:$D$110,$H$66:$H$110)</f>
        <v>-0.0834783871129682</v>
      </c>
      <c r="AA87" s="20" t="n">
        <f aca="false">CORREL($E$66:$E$110,$H$66:$H$110)</f>
        <v>-0.0834783871129682</v>
      </c>
      <c r="AB87" s="20" t="n">
        <f aca="false">CORREL($F$66:$F$110,$H$66:$H$110)</f>
        <v>-0.0975609756097561</v>
      </c>
      <c r="AC87" s="20" t="n">
        <f aca="false">CORREL($G$66:$G$110,$H$66:$H$110)</f>
        <v>-0.0975609756097561</v>
      </c>
      <c r="AD87" s="20" t="n">
        <f aca="false">CORREL($H$66:$H$110,$H$66:$H$110)</f>
        <v>1</v>
      </c>
      <c r="AE87" s="20" t="n">
        <f aca="false">CORREL($I$66:$I$110,$H$66:$H$110)</f>
        <v>-0.0834783871129682</v>
      </c>
      <c r="AF87" s="20" t="n">
        <f aca="false">CORREL($J$66:$J$110,$H$66:$H$110)</f>
        <v>-0.0975609756097561</v>
      </c>
      <c r="AG87" s="20" t="n">
        <f aca="false">CORREL($K$66:$K$110,$H$66:$H$110)</f>
        <v>-0.0975609756097561</v>
      </c>
      <c r="AH87" s="20" t="n">
        <f aca="false">CORREL($L$66:$L$110,$H$66:$H$110)</f>
        <v>-0.0975609756097561</v>
      </c>
      <c r="AI87" s="20" t="n">
        <f aca="false">CORREL($M$66:$M$110,$H$66:$H$110)</f>
        <v>-0.0975609756097561</v>
      </c>
      <c r="AJ87" s="20" t="n">
        <f aca="false">CORREL($N$66:$N$110,$H$66:$H$110)</f>
        <v>-0.0975609756097561</v>
      </c>
    </row>
    <row r="88" customFormat="false" ht="15" hidden="false" customHeight="false" outlineLevel="0" collapsed="false">
      <c r="A88" s="11" t="n">
        <f aca="false">Data_Monthly!A27</f>
        <v>44981</v>
      </c>
      <c r="B88" s="12" t="n">
        <f aca="false">Data_Monthly!C27-AVERAGE(Data_Monthly!D27:F27)</f>
        <v>1.65117901712897</v>
      </c>
      <c r="C88" s="13" t="n">
        <f aca="false">IF($A88&gt;=$U$64,1,0)</f>
        <v>0</v>
      </c>
      <c r="D88" s="13" t="n">
        <f aca="false">IF(MONTH($A88)=2,1,0)</f>
        <v>1</v>
      </c>
      <c r="E88" s="13" t="n">
        <f aca="false">IF(MONTH($A88)=3,1,0)</f>
        <v>0</v>
      </c>
      <c r="F88" s="13" t="n">
        <f aca="false">IF(MONTH($A88)=4,1,0)</f>
        <v>0</v>
      </c>
      <c r="G88" s="13" t="n">
        <f aca="false">IF(MONTH($A88)=5,1,0)</f>
        <v>0</v>
      </c>
      <c r="H88" s="13" t="n">
        <f aca="false">IF(MONTH($A88)=6,1,0)</f>
        <v>0</v>
      </c>
      <c r="I88" s="13" t="n">
        <f aca="false">IF(MONTH($A88)=7,1,0)</f>
        <v>0</v>
      </c>
      <c r="J88" s="13" t="n">
        <f aca="false">IF(MONTH($A88)=8,1,0)</f>
        <v>0</v>
      </c>
      <c r="K88" s="13" t="n">
        <f aca="false">IF(MONTH($A88)=9,1,0)</f>
        <v>0</v>
      </c>
      <c r="L88" s="13" t="n">
        <f aca="false">IF(MONTH($A88)=10,1,0)</f>
        <v>0</v>
      </c>
      <c r="M88" s="13" t="n">
        <f aca="false">IF(MONTH($A88)=11,1,0)</f>
        <v>0</v>
      </c>
      <c r="N88" s="13" t="n">
        <f aca="false">IF(MONTH($A88)=12,1,0)</f>
        <v>0</v>
      </c>
      <c r="O88" s="7" t="n">
        <f aca="false">$B$64+SUMPRODUCT(C88:N88,$C$64:$N$64)</f>
        <v>1.36392913103875</v>
      </c>
      <c r="P88" s="7" t="n">
        <f aca="false">B88-O88</f>
        <v>0.287249886090219</v>
      </c>
      <c r="Q88" s="7" t="n">
        <f aca="false">P88^2</f>
        <v>0.082512497058844</v>
      </c>
      <c r="T88" s="9" t="s">
        <v>119</v>
      </c>
      <c r="U88" s="14" t="s">
        <v>91</v>
      </c>
      <c r="V88" s="14" t="s">
        <v>92</v>
      </c>
      <c r="X88" s="6" t="s">
        <v>74</v>
      </c>
      <c r="Y88" s="20" t="n">
        <f aca="false">CORREL($C$66:$C$110,$I$66:$I$110)</f>
        <v>0.0128289501447696</v>
      </c>
      <c r="Z88" s="20" t="n">
        <f aca="false">CORREL($D$66:$D$110,$I$66:$I$110)</f>
        <v>-0.0714285714285714</v>
      </c>
      <c r="AA88" s="20" t="n">
        <f aca="false">CORREL($E$66:$E$110,$I$66:$I$110)</f>
        <v>-0.0714285714285714</v>
      </c>
      <c r="AB88" s="20" t="n">
        <f aca="false">CORREL($F$66:$F$110,$I$66:$I$110)</f>
        <v>-0.0834783871129682</v>
      </c>
      <c r="AC88" s="20" t="n">
        <f aca="false">CORREL($G$66:$G$110,$I$66:$I$110)</f>
        <v>-0.0834783871129682</v>
      </c>
      <c r="AD88" s="20" t="n">
        <f aca="false">CORREL($H$66:$H$110,$I$66:$I$110)</f>
        <v>-0.0834783871129682</v>
      </c>
      <c r="AE88" s="20" t="n">
        <f aca="false">CORREL($I$66:$I$110,$I$66:$I$110)</f>
        <v>1</v>
      </c>
      <c r="AF88" s="20" t="n">
        <f aca="false">CORREL($J$66:$J$110,$I$66:$I$110)</f>
        <v>-0.0834783871129682</v>
      </c>
      <c r="AG88" s="20" t="n">
        <f aca="false">CORREL($K$66:$K$110,$I$66:$I$110)</f>
        <v>-0.0834783871129682</v>
      </c>
      <c r="AH88" s="20" t="n">
        <f aca="false">CORREL($L$66:$L$110,$I$66:$I$110)</f>
        <v>-0.0834783871129682</v>
      </c>
      <c r="AI88" s="20" t="n">
        <f aca="false">CORREL($M$66:$M$110,$I$66:$I$110)</f>
        <v>-0.0834783871129682</v>
      </c>
      <c r="AJ88" s="20" t="n">
        <f aca="false">CORREL($N$66:$N$110,$I$66:$I$110)</f>
        <v>-0.0834783871129682</v>
      </c>
    </row>
    <row r="89" customFormat="false" ht="15" hidden="false" customHeight="false" outlineLevel="0" collapsed="false">
      <c r="A89" s="11" t="n">
        <f aca="false">Data_Monthly!A28</f>
        <v>45009</v>
      </c>
      <c r="B89" s="12" t="n">
        <f aca="false">Data_Monthly!C28-AVERAGE(Data_Monthly!D28:F28)</f>
        <v>3.07373456837728</v>
      </c>
      <c r="C89" s="13" t="n">
        <f aca="false">IF($A89&gt;=$U$64,1,0)</f>
        <v>0</v>
      </c>
      <c r="D89" s="13" t="n">
        <f aca="false">IF(MONTH($A89)=2,1,0)</f>
        <v>0</v>
      </c>
      <c r="E89" s="13" t="n">
        <f aca="false">IF(MONTH($A89)=3,1,0)</f>
        <v>1</v>
      </c>
      <c r="F89" s="13" t="n">
        <f aca="false">IF(MONTH($A89)=4,1,0)</f>
        <v>0</v>
      </c>
      <c r="G89" s="13" t="n">
        <f aca="false">IF(MONTH($A89)=5,1,0)</f>
        <v>0</v>
      </c>
      <c r="H89" s="13" t="n">
        <f aca="false">IF(MONTH($A89)=6,1,0)</f>
        <v>0</v>
      </c>
      <c r="I89" s="13" t="n">
        <f aca="false">IF(MONTH($A89)=7,1,0)</f>
        <v>0</v>
      </c>
      <c r="J89" s="13" t="n">
        <f aca="false">IF(MONTH($A89)=8,1,0)</f>
        <v>0</v>
      </c>
      <c r="K89" s="13" t="n">
        <f aca="false">IF(MONTH($A89)=9,1,0)</f>
        <v>0</v>
      </c>
      <c r="L89" s="13" t="n">
        <f aca="false">IF(MONTH($A89)=10,1,0)</f>
        <v>0</v>
      </c>
      <c r="M89" s="13" t="n">
        <f aca="false">IF(MONTH($A89)=11,1,0)</f>
        <v>0</v>
      </c>
      <c r="N89" s="13" t="n">
        <f aca="false">IF(MONTH($A89)=12,1,0)</f>
        <v>0</v>
      </c>
      <c r="O89" s="7" t="n">
        <f aca="false">$B$64+SUMPRODUCT(C89:N89,$C$64:$N$64)</f>
        <v>1.85666119382035</v>
      </c>
      <c r="P89" s="7" t="n">
        <f aca="false">B89-O89</f>
        <v>1.21707337455693</v>
      </c>
      <c r="Q89" s="7" t="n">
        <f aca="false">P89^2</f>
        <v>1.4812675990554</v>
      </c>
      <c r="T89" s="5" t="s">
        <v>120</v>
      </c>
      <c r="U89" s="7" t="n">
        <f aca="false">INDEX(LINEST(B66:B110,C66:N110,TRUE(),TRUE()),5,1)</f>
        <v>26.6895346441919</v>
      </c>
      <c r="X89" s="6" t="s">
        <v>75</v>
      </c>
      <c r="Y89" s="20" t="n">
        <f aca="false">CORREL($C$66:$C$110,$J$66:$J$110)</f>
        <v>-0.0412311925578649</v>
      </c>
      <c r="Z89" s="20" t="n">
        <f aca="false">CORREL($D$66:$D$110,$J$66:$J$110)</f>
        <v>-0.0834783871129682</v>
      </c>
      <c r="AA89" s="20" t="n">
        <f aca="false">CORREL($E$66:$E$110,$J$66:$J$110)</f>
        <v>-0.0834783871129682</v>
      </c>
      <c r="AB89" s="20" t="n">
        <f aca="false">CORREL($F$66:$F$110,$J$66:$J$110)</f>
        <v>-0.0975609756097561</v>
      </c>
      <c r="AC89" s="20" t="n">
        <f aca="false">CORREL($G$66:$G$110,$J$66:$J$110)</f>
        <v>-0.0975609756097561</v>
      </c>
      <c r="AD89" s="20" t="n">
        <f aca="false">CORREL($H$66:$H$110,$J$66:$J$110)</f>
        <v>-0.0975609756097561</v>
      </c>
      <c r="AE89" s="20" t="n">
        <f aca="false">CORREL($I$66:$I$110,$J$66:$J$110)</f>
        <v>-0.0834783871129682</v>
      </c>
      <c r="AF89" s="20" t="n">
        <f aca="false">CORREL($J$66:$J$110,$J$66:$J$110)</f>
        <v>1</v>
      </c>
      <c r="AG89" s="20" t="n">
        <f aca="false">CORREL($K$66:$K$110,$J$66:$J$110)</f>
        <v>-0.0975609756097561</v>
      </c>
      <c r="AH89" s="20" t="n">
        <f aca="false">CORREL($L$66:$L$110,$J$66:$J$110)</f>
        <v>-0.0975609756097561</v>
      </c>
      <c r="AI89" s="20" t="n">
        <f aca="false">CORREL($M$66:$M$110,$J$66:$J$110)</f>
        <v>-0.0975609756097561</v>
      </c>
      <c r="AJ89" s="20" t="n">
        <f aca="false">CORREL($N$66:$N$110,$J$66:$J$110)</f>
        <v>-0.0975609756097561</v>
      </c>
    </row>
    <row r="90" customFormat="false" ht="15" hidden="false" customHeight="false" outlineLevel="0" collapsed="false">
      <c r="A90" s="11" t="n">
        <f aca="false">Data_Monthly!A29</f>
        <v>45037</v>
      </c>
      <c r="B90" s="12" t="n">
        <f aca="false">Data_Monthly!C29-AVERAGE(Data_Monthly!D29:F29)</f>
        <v>-1.44926984660086</v>
      </c>
      <c r="C90" s="13" t="n">
        <f aca="false">IF($A90&gt;=$U$64,1,0)</f>
        <v>0</v>
      </c>
      <c r="D90" s="13" t="n">
        <f aca="false">IF(MONTH($A90)=2,1,0)</f>
        <v>0</v>
      </c>
      <c r="E90" s="13" t="n">
        <f aca="false">IF(MONTH($A90)=3,1,0)</f>
        <v>0</v>
      </c>
      <c r="F90" s="13" t="n">
        <f aca="false">IF(MONTH($A90)=4,1,0)</f>
        <v>1</v>
      </c>
      <c r="G90" s="13" t="n">
        <f aca="false">IF(MONTH($A90)=5,1,0)</f>
        <v>0</v>
      </c>
      <c r="H90" s="13" t="n">
        <f aca="false">IF(MONTH($A90)=6,1,0)</f>
        <v>0</v>
      </c>
      <c r="I90" s="13" t="n">
        <f aca="false">IF(MONTH($A90)=7,1,0)</f>
        <v>0</v>
      </c>
      <c r="J90" s="13" t="n">
        <f aca="false">IF(MONTH($A90)=8,1,0)</f>
        <v>0</v>
      </c>
      <c r="K90" s="13" t="n">
        <f aca="false">IF(MONTH($A90)=9,1,0)</f>
        <v>0</v>
      </c>
      <c r="L90" s="13" t="n">
        <f aca="false">IF(MONTH($A90)=10,1,0)</f>
        <v>0</v>
      </c>
      <c r="M90" s="13" t="n">
        <f aca="false">IF(MONTH($A90)=11,1,0)</f>
        <v>0</v>
      </c>
      <c r="N90" s="13" t="n">
        <f aca="false">IF(MONTH($A90)=12,1,0)</f>
        <v>0</v>
      </c>
      <c r="O90" s="7" t="n">
        <f aca="false">$B$64+SUMPRODUCT(C90:N90,$C$64:$N$64)</f>
        <v>-0.441295016487597</v>
      </c>
      <c r="P90" s="7" t="n">
        <f aca="false">B90-O90</f>
        <v>-1.00797483011326</v>
      </c>
      <c r="Q90" s="7" t="n">
        <f aca="false">P90^2</f>
        <v>1.01601325814186</v>
      </c>
      <c r="T90" s="5" t="s">
        <v>113</v>
      </c>
      <c r="U90" s="7" t="n">
        <f aca="false">INDEX(LINEST(B66:B110,C66:N110,TRUE(),TRUE()),5,2)</f>
        <v>29.3017286958472</v>
      </c>
      <c r="X90" s="6" t="s">
        <v>76</v>
      </c>
      <c r="Y90" s="20" t="n">
        <f aca="false">CORREL($C$66:$C$110,$K$66:$K$110)</f>
        <v>-0.0412311925578649</v>
      </c>
      <c r="Z90" s="20" t="n">
        <f aca="false">CORREL($D$66:$D$110,$K$66:$K$110)</f>
        <v>-0.0834783871129682</v>
      </c>
      <c r="AA90" s="20" t="n">
        <f aca="false">CORREL($E$66:$E$110,$K$66:$K$110)</f>
        <v>-0.0834783871129682</v>
      </c>
      <c r="AB90" s="20" t="n">
        <f aca="false">CORREL($F$66:$F$110,$K$66:$K$110)</f>
        <v>-0.0975609756097561</v>
      </c>
      <c r="AC90" s="20" t="n">
        <f aca="false">CORREL($G$66:$G$110,$K$66:$K$110)</f>
        <v>-0.0975609756097561</v>
      </c>
      <c r="AD90" s="20" t="n">
        <f aca="false">CORREL($H$66:$H$110,$K$66:$K$110)</f>
        <v>-0.0975609756097561</v>
      </c>
      <c r="AE90" s="20" t="n">
        <f aca="false">CORREL($I$66:$I$110,$K$66:$K$110)</f>
        <v>-0.0834783871129682</v>
      </c>
      <c r="AF90" s="20" t="n">
        <f aca="false">CORREL($J$66:$J$110,$K$66:$K$110)</f>
        <v>-0.0975609756097561</v>
      </c>
      <c r="AG90" s="20" t="n">
        <f aca="false">CORREL($K$66:$K$110,$K$66:$K$110)</f>
        <v>1</v>
      </c>
      <c r="AH90" s="20" t="n">
        <f aca="false">CORREL($L$66:$L$110,$K$66:$K$110)</f>
        <v>-0.0975609756097561</v>
      </c>
      <c r="AI90" s="20" t="n">
        <f aca="false">CORREL($M$66:$M$110,$K$66:$K$110)</f>
        <v>-0.0975609756097561</v>
      </c>
      <c r="AJ90" s="20" t="n">
        <f aca="false">CORREL($N$66:$N$110,$K$66:$K$110)</f>
        <v>-0.0975609756097561</v>
      </c>
    </row>
    <row r="91" customFormat="false" ht="15" hidden="false" customHeight="false" outlineLevel="0" collapsed="false">
      <c r="A91" s="11" t="n">
        <f aca="false">Data_Monthly!A30</f>
        <v>45065</v>
      </c>
      <c r="B91" s="12" t="n">
        <f aca="false">Data_Monthly!C30-AVERAGE(Data_Monthly!D30:F30)</f>
        <v>0.528201308610399</v>
      </c>
      <c r="C91" s="13" t="n">
        <f aca="false">IF($A91&gt;=$U$64,1,0)</f>
        <v>0</v>
      </c>
      <c r="D91" s="13" t="n">
        <f aca="false">IF(MONTH($A91)=2,1,0)</f>
        <v>0</v>
      </c>
      <c r="E91" s="13" t="n">
        <f aca="false">IF(MONTH($A91)=3,1,0)</f>
        <v>0</v>
      </c>
      <c r="F91" s="13" t="n">
        <f aca="false">IF(MONTH($A91)=4,1,0)</f>
        <v>0</v>
      </c>
      <c r="G91" s="13" t="n">
        <f aca="false">IF(MONTH($A91)=5,1,0)</f>
        <v>1</v>
      </c>
      <c r="H91" s="13" t="n">
        <f aca="false">IF(MONTH($A91)=6,1,0)</f>
        <v>0</v>
      </c>
      <c r="I91" s="13" t="n">
        <f aca="false">IF(MONTH($A91)=7,1,0)</f>
        <v>0</v>
      </c>
      <c r="J91" s="13" t="n">
        <f aca="false">IF(MONTH($A91)=8,1,0)</f>
        <v>0</v>
      </c>
      <c r="K91" s="13" t="n">
        <f aca="false">IF(MONTH($A91)=9,1,0)</f>
        <v>0</v>
      </c>
      <c r="L91" s="13" t="n">
        <f aca="false">IF(MONTH($A91)=10,1,0)</f>
        <v>0</v>
      </c>
      <c r="M91" s="13" t="n">
        <f aca="false">IF(MONTH($A91)=11,1,0)</f>
        <v>0</v>
      </c>
      <c r="N91" s="13" t="n">
        <f aca="false">IF(MONTH($A91)=12,1,0)</f>
        <v>0</v>
      </c>
      <c r="O91" s="7" t="n">
        <f aca="false">$B$64+SUMPRODUCT(C91:N91,$C$64:$N$64)</f>
        <v>0.835239280441514</v>
      </c>
      <c r="P91" s="7" t="n">
        <f aca="false">B91-O91</f>
        <v>-0.307037971831115</v>
      </c>
      <c r="Q91" s="7" t="n">
        <f aca="false">P91^2</f>
        <v>0.0942723161461645</v>
      </c>
      <c r="T91" s="5" t="s">
        <v>121</v>
      </c>
      <c r="U91" s="13" t="n">
        <f aca="false">COLUMNS(C66:N110)</f>
        <v>12</v>
      </c>
      <c r="X91" s="6" t="s">
        <v>77</v>
      </c>
      <c r="Y91" s="20" t="n">
        <f aca="false">CORREL($C$66:$C$110,$L$66:$L$110)</f>
        <v>-0.0412311925578649</v>
      </c>
      <c r="Z91" s="20" t="n">
        <f aca="false">CORREL($D$66:$D$110,$L$66:$L$110)</f>
        <v>-0.0834783871129682</v>
      </c>
      <c r="AA91" s="20" t="n">
        <f aca="false">CORREL($E$66:$E$110,$L$66:$L$110)</f>
        <v>-0.0834783871129682</v>
      </c>
      <c r="AB91" s="20" t="n">
        <f aca="false">CORREL($F$66:$F$110,$L$66:$L$110)</f>
        <v>-0.0975609756097561</v>
      </c>
      <c r="AC91" s="20" t="n">
        <f aca="false">CORREL($G$66:$G$110,$L$66:$L$110)</f>
        <v>-0.0975609756097561</v>
      </c>
      <c r="AD91" s="20" t="n">
        <f aca="false">CORREL($H$66:$H$110,$L$66:$L$110)</f>
        <v>-0.0975609756097561</v>
      </c>
      <c r="AE91" s="20" t="n">
        <f aca="false">CORREL($I$66:$I$110,$L$66:$L$110)</f>
        <v>-0.0834783871129682</v>
      </c>
      <c r="AF91" s="20" t="n">
        <f aca="false">CORREL($J$66:$J$110,$L$66:$L$110)</f>
        <v>-0.0975609756097561</v>
      </c>
      <c r="AG91" s="20" t="n">
        <f aca="false">CORREL($K$66:$K$110,$L$66:$L$110)</f>
        <v>-0.0975609756097561</v>
      </c>
      <c r="AH91" s="20" t="n">
        <f aca="false">CORREL($L$66:$L$110,$L$66:$L$110)</f>
        <v>1</v>
      </c>
      <c r="AI91" s="20" t="n">
        <f aca="false">CORREL($M$66:$M$110,$L$66:$L$110)</f>
        <v>-0.0975609756097561</v>
      </c>
      <c r="AJ91" s="20" t="n">
        <f aca="false">CORREL($N$66:$N$110,$L$66:$L$110)</f>
        <v>-0.0975609756097561</v>
      </c>
    </row>
    <row r="92" customFormat="false" ht="15" hidden="false" customHeight="false" outlineLevel="0" collapsed="false">
      <c r="A92" s="11" t="n">
        <f aca="false">Data_Monthly!A31</f>
        <v>45107</v>
      </c>
      <c r="B92" s="12" t="n">
        <f aca="false">Data_Monthly!C31-AVERAGE(Data_Monthly!D31:F31)</f>
        <v>0.478546680001498</v>
      </c>
      <c r="C92" s="13" t="n">
        <f aca="false">IF($A92&gt;=$U$64,1,0)</f>
        <v>0</v>
      </c>
      <c r="D92" s="13" t="n">
        <f aca="false">IF(MONTH($A92)=2,1,0)</f>
        <v>0</v>
      </c>
      <c r="E92" s="13" t="n">
        <f aca="false">IF(MONTH($A92)=3,1,0)</f>
        <v>0</v>
      </c>
      <c r="F92" s="13" t="n">
        <f aca="false">IF(MONTH($A92)=4,1,0)</f>
        <v>0</v>
      </c>
      <c r="G92" s="13" t="n">
        <f aca="false">IF(MONTH($A92)=5,1,0)</f>
        <v>0</v>
      </c>
      <c r="H92" s="13" t="n">
        <f aca="false">IF(MONTH($A92)=6,1,0)</f>
        <v>1</v>
      </c>
      <c r="I92" s="13" t="n">
        <f aca="false">IF(MONTH($A92)=7,1,0)</f>
        <v>0</v>
      </c>
      <c r="J92" s="13" t="n">
        <f aca="false">IF(MONTH($A92)=8,1,0)</f>
        <v>0</v>
      </c>
      <c r="K92" s="13" t="n">
        <f aca="false">IF(MONTH($A92)=9,1,0)</f>
        <v>0</v>
      </c>
      <c r="L92" s="13" t="n">
        <f aca="false">IF(MONTH($A92)=10,1,0)</f>
        <v>0</v>
      </c>
      <c r="M92" s="13" t="n">
        <f aca="false">IF(MONTH($A92)=11,1,0)</f>
        <v>0</v>
      </c>
      <c r="N92" s="13" t="n">
        <f aca="false">IF(MONTH($A92)=12,1,0)</f>
        <v>0</v>
      </c>
      <c r="O92" s="7" t="n">
        <f aca="false">$B$64+SUMPRODUCT(C92:N92,$C$64:$N$64)</f>
        <v>-0.139249059800065</v>
      </c>
      <c r="P92" s="7" t="n">
        <f aca="false">B92-O92</f>
        <v>0.617795739801563</v>
      </c>
      <c r="Q92" s="7" t="n">
        <f aca="false">P92^2</f>
        <v>0.38167157611696</v>
      </c>
      <c r="T92" s="5" t="s">
        <v>111</v>
      </c>
      <c r="U92" s="13" t="n">
        <f aca="false">$U$84</f>
        <v>32</v>
      </c>
      <c r="X92" s="6" t="s">
        <v>78</v>
      </c>
      <c r="Y92" s="20" t="n">
        <f aca="false">CORREL($C$66:$C$110,$M$66:$M$110)</f>
        <v>-0.0412311925578649</v>
      </c>
      <c r="Z92" s="20" t="n">
        <f aca="false">CORREL($D$66:$D$110,$M$66:$M$110)</f>
        <v>-0.0834783871129682</v>
      </c>
      <c r="AA92" s="20" t="n">
        <f aca="false">CORREL($E$66:$E$110,$M$66:$M$110)</f>
        <v>-0.0834783871129682</v>
      </c>
      <c r="AB92" s="20" t="n">
        <f aca="false">CORREL($F$66:$F$110,$M$66:$M$110)</f>
        <v>-0.0975609756097561</v>
      </c>
      <c r="AC92" s="20" t="n">
        <f aca="false">CORREL($G$66:$G$110,$M$66:$M$110)</f>
        <v>-0.0975609756097561</v>
      </c>
      <c r="AD92" s="20" t="n">
        <f aca="false">CORREL($H$66:$H$110,$M$66:$M$110)</f>
        <v>-0.0975609756097561</v>
      </c>
      <c r="AE92" s="20" t="n">
        <f aca="false">CORREL($I$66:$I$110,$M$66:$M$110)</f>
        <v>-0.0834783871129682</v>
      </c>
      <c r="AF92" s="20" t="n">
        <f aca="false">CORREL($J$66:$J$110,$M$66:$M$110)</f>
        <v>-0.0975609756097561</v>
      </c>
      <c r="AG92" s="20" t="n">
        <f aca="false">CORREL($K$66:$K$110,$M$66:$M$110)</f>
        <v>-0.0975609756097561</v>
      </c>
      <c r="AH92" s="20" t="n">
        <f aca="false">CORREL($L$66:$L$110,$M$66:$M$110)</f>
        <v>-0.0975609756097561</v>
      </c>
      <c r="AI92" s="20" t="n">
        <f aca="false">CORREL($M$66:$M$110,$M$66:$M$110)</f>
        <v>1</v>
      </c>
      <c r="AJ92" s="20" t="n">
        <f aca="false">CORREL($N$66:$N$110,$M$66:$M$110)</f>
        <v>-0.0975609756097561</v>
      </c>
    </row>
    <row r="93" customFormat="false" ht="15" hidden="false" customHeight="false" outlineLevel="0" collapsed="false">
      <c r="A93" s="11" t="n">
        <f aca="false">Data_Monthly!A33</f>
        <v>45163</v>
      </c>
      <c r="B93" s="12" t="n">
        <f aca="false">Data_Monthly!C33-AVERAGE(Data_Monthly!D33:F33)</f>
        <v>-0.85599004597577</v>
      </c>
      <c r="C93" s="13" t="n">
        <f aca="false">IF($A93&gt;=$U$64,1,0)</f>
        <v>0</v>
      </c>
      <c r="D93" s="13" t="n">
        <f aca="false">IF(MONTH($A93)=2,1,0)</f>
        <v>0</v>
      </c>
      <c r="E93" s="13" t="n">
        <f aca="false">IF(MONTH($A93)=3,1,0)</f>
        <v>0</v>
      </c>
      <c r="F93" s="13" t="n">
        <f aca="false">IF(MONTH($A93)=4,1,0)</f>
        <v>0</v>
      </c>
      <c r="G93" s="13" t="n">
        <f aca="false">IF(MONTH($A93)=5,1,0)</f>
        <v>0</v>
      </c>
      <c r="H93" s="13" t="n">
        <f aca="false">IF(MONTH($A93)=6,1,0)</f>
        <v>0</v>
      </c>
      <c r="I93" s="13" t="n">
        <f aca="false">IF(MONTH($A93)=7,1,0)</f>
        <v>0</v>
      </c>
      <c r="J93" s="13" t="n">
        <f aca="false">IF(MONTH($A93)=8,1,0)</f>
        <v>1</v>
      </c>
      <c r="K93" s="13" t="n">
        <f aca="false">IF(MONTH($A93)=9,1,0)</f>
        <v>0</v>
      </c>
      <c r="L93" s="13" t="n">
        <f aca="false">IF(MONTH($A93)=10,1,0)</f>
        <v>0</v>
      </c>
      <c r="M93" s="13" t="n">
        <f aca="false">IF(MONTH($A93)=11,1,0)</f>
        <v>0</v>
      </c>
      <c r="N93" s="13" t="n">
        <f aca="false">IF(MONTH($A93)=12,1,0)</f>
        <v>0</v>
      </c>
      <c r="O93" s="7" t="n">
        <f aca="false">$B$64+SUMPRODUCT(C93:N93,$C$64:$N$64)</f>
        <v>-0.121354780737522</v>
      </c>
      <c r="P93" s="7" t="n">
        <f aca="false">B93-O93</f>
        <v>-0.734635265238249</v>
      </c>
      <c r="Q93" s="7" t="n">
        <f aca="false">P93^2</f>
        <v>0.539688972931672</v>
      </c>
      <c r="T93" s="5" t="s">
        <v>122</v>
      </c>
      <c r="U93" s="7" t="n">
        <f aca="false">$U$89/$U$91</f>
        <v>2.22412788701599</v>
      </c>
      <c r="X93" s="6" t="s">
        <v>79</v>
      </c>
      <c r="Y93" s="20" t="n">
        <f aca="false">CORREL($C$66:$C$110,$N$66:$N$110)</f>
        <v>0.127441867906128</v>
      </c>
      <c r="Z93" s="20" t="n">
        <f aca="false">CORREL($D$66:$D$110,$N$66:$N$110)</f>
        <v>-0.0834783871129682</v>
      </c>
      <c r="AA93" s="20" t="n">
        <f aca="false">CORREL($E$66:$E$110,$N$66:$N$110)</f>
        <v>-0.0834783871129682</v>
      </c>
      <c r="AB93" s="20" t="n">
        <f aca="false">CORREL($F$66:$F$110,$N$66:$N$110)</f>
        <v>-0.0975609756097561</v>
      </c>
      <c r="AC93" s="20" t="n">
        <f aca="false">CORREL($G$66:$G$110,$N$66:$N$110)</f>
        <v>-0.0975609756097561</v>
      </c>
      <c r="AD93" s="20" t="n">
        <f aca="false">CORREL($H$66:$H$110,$N$66:$N$110)</f>
        <v>-0.0975609756097561</v>
      </c>
      <c r="AE93" s="20" t="n">
        <f aca="false">CORREL($I$66:$I$110,$N$66:$N$110)</f>
        <v>-0.0834783871129682</v>
      </c>
      <c r="AF93" s="20" t="n">
        <f aca="false">CORREL($J$66:$J$110,$N$66:$N$110)</f>
        <v>-0.0975609756097561</v>
      </c>
      <c r="AG93" s="20" t="n">
        <f aca="false">CORREL($K$66:$K$110,$N$66:$N$110)</f>
        <v>-0.0975609756097561</v>
      </c>
      <c r="AH93" s="20" t="n">
        <f aca="false">CORREL($L$66:$L$110,$N$66:$N$110)</f>
        <v>-0.0975609756097561</v>
      </c>
      <c r="AI93" s="20" t="n">
        <f aca="false">CORREL($M$66:$M$110,$N$66:$N$110)</f>
        <v>-0.0975609756097561</v>
      </c>
      <c r="AJ93" s="20" t="n">
        <f aca="false">CORREL($N$66:$N$110,$N$66:$N$110)</f>
        <v>1</v>
      </c>
    </row>
    <row r="94" customFormat="false" ht="15" hidden="false" customHeight="false" outlineLevel="0" collapsed="false">
      <c r="A94" s="11" t="n">
        <f aca="false">Data_Monthly!A34</f>
        <v>45191</v>
      </c>
      <c r="B94" s="12" t="n">
        <f aca="false">Data_Monthly!C34-AVERAGE(Data_Monthly!D34:F34)</f>
        <v>0.183618203940483</v>
      </c>
      <c r="C94" s="13" t="n">
        <f aca="false">IF($A94&gt;=$U$64,1,0)</f>
        <v>0</v>
      </c>
      <c r="D94" s="13" t="n">
        <f aca="false">IF(MONTH($A94)=2,1,0)</f>
        <v>0</v>
      </c>
      <c r="E94" s="13" t="n">
        <f aca="false">IF(MONTH($A94)=3,1,0)</f>
        <v>0</v>
      </c>
      <c r="F94" s="13" t="n">
        <f aca="false">IF(MONTH($A94)=4,1,0)</f>
        <v>0</v>
      </c>
      <c r="G94" s="13" t="n">
        <f aca="false">IF(MONTH($A94)=5,1,0)</f>
        <v>0</v>
      </c>
      <c r="H94" s="13" t="n">
        <f aca="false">IF(MONTH($A94)=6,1,0)</f>
        <v>0</v>
      </c>
      <c r="I94" s="13" t="n">
        <f aca="false">IF(MONTH($A94)=7,1,0)</f>
        <v>0</v>
      </c>
      <c r="J94" s="13" t="n">
        <f aca="false">IF(MONTH($A94)=8,1,0)</f>
        <v>0</v>
      </c>
      <c r="K94" s="13" t="n">
        <f aca="false">IF(MONTH($A94)=9,1,0)</f>
        <v>1</v>
      </c>
      <c r="L94" s="13" t="n">
        <f aca="false">IF(MONTH($A94)=10,1,0)</f>
        <v>0</v>
      </c>
      <c r="M94" s="13" t="n">
        <f aca="false">IF(MONTH($A94)=11,1,0)</f>
        <v>0</v>
      </c>
      <c r="N94" s="13" t="n">
        <f aca="false">IF(MONTH($A94)=12,1,0)</f>
        <v>0</v>
      </c>
      <c r="O94" s="7" t="n">
        <f aca="false">$B$64+SUMPRODUCT(C94:N94,$C$64:$N$64)</f>
        <v>0.223955391026435</v>
      </c>
      <c r="P94" s="7" t="n">
        <f aca="false">B94-O94</f>
        <v>-0.0403371870859519</v>
      </c>
      <c r="Q94" s="7" t="n">
        <f aca="false">P94^2</f>
        <v>0.00162708866200708</v>
      </c>
      <c r="T94" s="5" t="s">
        <v>123</v>
      </c>
      <c r="U94" s="7" t="n">
        <f aca="false">$U$90/$U$92</f>
        <v>0.915679021745225</v>
      </c>
    </row>
    <row r="95" customFormat="false" ht="15" hidden="false" customHeight="false" outlineLevel="0" collapsed="false">
      <c r="A95" s="11" t="n">
        <f aca="false">Data_Monthly!A35</f>
        <v>45219</v>
      </c>
      <c r="B95" s="12" t="n">
        <f aca="false">Data_Monthly!C35-AVERAGE(Data_Monthly!D35:F35)</f>
        <v>3.62562138972683</v>
      </c>
      <c r="C95" s="13" t="n">
        <f aca="false">IF($A95&gt;=$U$64,1,0)</f>
        <v>0</v>
      </c>
      <c r="D95" s="13" t="n">
        <f aca="false">IF(MONTH($A95)=2,1,0)</f>
        <v>0</v>
      </c>
      <c r="E95" s="13" t="n">
        <f aca="false">IF(MONTH($A95)=3,1,0)</f>
        <v>0</v>
      </c>
      <c r="F95" s="13" t="n">
        <f aca="false">IF(MONTH($A95)=4,1,0)</f>
        <v>0</v>
      </c>
      <c r="G95" s="13" t="n">
        <f aca="false">IF(MONTH($A95)=5,1,0)</f>
        <v>0</v>
      </c>
      <c r="H95" s="13" t="n">
        <f aca="false">IF(MONTH($A95)=6,1,0)</f>
        <v>0</v>
      </c>
      <c r="I95" s="13" t="n">
        <f aca="false">IF(MONTH($A95)=7,1,0)</f>
        <v>0</v>
      </c>
      <c r="J95" s="13" t="n">
        <f aca="false">IF(MONTH($A95)=8,1,0)</f>
        <v>0</v>
      </c>
      <c r="K95" s="13" t="n">
        <f aca="false">IF(MONTH($A95)=9,1,0)</f>
        <v>0</v>
      </c>
      <c r="L95" s="13" t="n">
        <f aca="false">IF(MONTH($A95)=10,1,0)</f>
        <v>1</v>
      </c>
      <c r="M95" s="13" t="n">
        <f aca="false">IF(MONTH($A95)=11,1,0)</f>
        <v>0</v>
      </c>
      <c r="N95" s="13" t="n">
        <f aca="false">IF(MONTH($A95)=12,1,0)</f>
        <v>0</v>
      </c>
      <c r="O95" s="7" t="n">
        <f aca="false">$B$64+SUMPRODUCT(C95:N95,$C$64:$N$64)</f>
        <v>1.37874692315195</v>
      </c>
      <c r="P95" s="7" t="n">
        <f aca="false">B95-O95</f>
        <v>2.24687446657488</v>
      </c>
      <c r="Q95" s="7" t="n">
        <f aca="false">P95^2</f>
        <v>5.04844486854617</v>
      </c>
      <c r="T95" s="5" t="s">
        <v>124</v>
      </c>
      <c r="U95" s="7" t="n">
        <f aca="false">INDEX(LINEST(B66:B110,C66:N110,TRUE(),TRUE()),4,1)</f>
        <v>2.42893834433047</v>
      </c>
    </row>
    <row r="96" customFormat="false" ht="15" hidden="false" customHeight="false" outlineLevel="0" collapsed="false">
      <c r="A96" s="11" t="n">
        <f aca="false">Data_Monthly!A36</f>
        <v>45247</v>
      </c>
      <c r="B96" s="12" t="n">
        <f aca="false">Data_Monthly!C36-AVERAGE(Data_Monthly!D36:F36)</f>
        <v>-0.728626666619962</v>
      </c>
      <c r="C96" s="13" t="n">
        <f aca="false">IF($A96&gt;=$U$64,1,0)</f>
        <v>0</v>
      </c>
      <c r="D96" s="13" t="n">
        <f aca="false">IF(MONTH($A96)=2,1,0)</f>
        <v>0</v>
      </c>
      <c r="E96" s="13" t="n">
        <f aca="false">IF(MONTH($A96)=3,1,0)</f>
        <v>0</v>
      </c>
      <c r="F96" s="13" t="n">
        <f aca="false">IF(MONTH($A96)=4,1,0)</f>
        <v>0</v>
      </c>
      <c r="G96" s="13" t="n">
        <f aca="false">IF(MONTH($A96)=5,1,0)</f>
        <v>0</v>
      </c>
      <c r="H96" s="13" t="n">
        <f aca="false">IF(MONTH($A96)=6,1,0)</f>
        <v>0</v>
      </c>
      <c r="I96" s="13" t="n">
        <f aca="false">IF(MONTH($A96)=7,1,0)</f>
        <v>0</v>
      </c>
      <c r="J96" s="13" t="n">
        <f aca="false">IF(MONTH($A96)=8,1,0)</f>
        <v>0</v>
      </c>
      <c r="K96" s="13" t="n">
        <f aca="false">IF(MONTH($A96)=9,1,0)</f>
        <v>0</v>
      </c>
      <c r="L96" s="13" t="n">
        <f aca="false">IF(MONTH($A96)=10,1,0)</f>
        <v>0</v>
      </c>
      <c r="M96" s="13" t="n">
        <f aca="false">IF(MONTH($A96)=11,1,0)</f>
        <v>1</v>
      </c>
      <c r="N96" s="13" t="n">
        <f aca="false">IF(MONTH($A96)=12,1,0)</f>
        <v>0</v>
      </c>
      <c r="O96" s="7" t="n">
        <f aca="false">$B$64+SUMPRODUCT(C96:N96,$C$64:$N$64)</f>
        <v>0.669781193095428</v>
      </c>
      <c r="P96" s="7" t="n">
        <f aca="false">B96-O96</f>
        <v>-1.39840785971539</v>
      </c>
      <c r="Q96" s="7" t="n">
        <f aca="false">P96^2</f>
        <v>1.95554454211378</v>
      </c>
      <c r="T96" s="5" t="s">
        <v>125</v>
      </c>
      <c r="U96" s="7" t="n">
        <f aca="false">_xlfn.F.DIST.RT($U$95,$U$91,$U$92)</f>
        <v>0.0224573696787754</v>
      </c>
    </row>
    <row r="97" customFormat="false" ht="15" hidden="false" customHeight="false" outlineLevel="0" collapsed="false">
      <c r="A97" s="11" t="n">
        <f aca="false">Data_Monthly!A37</f>
        <v>45289</v>
      </c>
      <c r="B97" s="12" t="n">
        <f aca="false">Data_Monthly!C37-AVERAGE(Data_Monthly!D37:F37)</f>
        <v>0.190563987177465</v>
      </c>
      <c r="C97" s="13" t="n">
        <f aca="false">IF($A97&gt;=$U$64,1,0)</f>
        <v>1</v>
      </c>
      <c r="D97" s="13" t="n">
        <f aca="false">IF(MONTH($A97)=2,1,0)</f>
        <v>0</v>
      </c>
      <c r="E97" s="13" t="n">
        <f aca="false">IF(MONTH($A97)=3,1,0)</f>
        <v>0</v>
      </c>
      <c r="F97" s="13" t="n">
        <f aca="false">IF(MONTH($A97)=4,1,0)</f>
        <v>0</v>
      </c>
      <c r="G97" s="13" t="n">
        <f aca="false">IF(MONTH($A97)=5,1,0)</f>
        <v>0</v>
      </c>
      <c r="H97" s="13" t="n">
        <f aca="false">IF(MONTH($A97)=6,1,0)</f>
        <v>0</v>
      </c>
      <c r="I97" s="13" t="n">
        <f aca="false">IF(MONTH($A97)=7,1,0)</f>
        <v>0</v>
      </c>
      <c r="J97" s="13" t="n">
        <f aca="false">IF(MONTH($A97)=8,1,0)</f>
        <v>0</v>
      </c>
      <c r="K97" s="13" t="n">
        <f aca="false">IF(MONTH($A97)=9,1,0)</f>
        <v>0</v>
      </c>
      <c r="L97" s="13" t="n">
        <f aca="false">IF(MONTH($A97)=10,1,0)</f>
        <v>0</v>
      </c>
      <c r="M97" s="13" t="n">
        <f aca="false">IF(MONTH($A97)=11,1,0)</f>
        <v>0</v>
      </c>
      <c r="N97" s="13" t="n">
        <f aca="false">IF(MONTH($A97)=12,1,0)</f>
        <v>1</v>
      </c>
      <c r="O97" s="7" t="n">
        <f aca="false">$B$64+SUMPRODUCT(C97:N97,$C$64:$N$64)</f>
        <v>-0.135044393409316</v>
      </c>
      <c r="P97" s="7" t="n">
        <f aca="false">B97-O97</f>
        <v>0.325608380586781</v>
      </c>
      <c r="Q97" s="7" t="n">
        <f aca="false">P97^2</f>
        <v>0.106020817508346</v>
      </c>
    </row>
    <row r="98" customFormat="false" ht="15" hidden="false" customHeight="false" outlineLevel="0" collapsed="false">
      <c r="A98" s="11" t="n">
        <f aca="false">Data_Monthly!A38</f>
        <v>45317</v>
      </c>
      <c r="B98" s="12" t="n">
        <f aca="false">Data_Monthly!C38-AVERAGE(Data_Monthly!D38:F38)</f>
        <v>0.23331381038633</v>
      </c>
      <c r="C98" s="13" t="n">
        <f aca="false">IF($A98&gt;=$U$64,1,0)</f>
        <v>1</v>
      </c>
      <c r="D98" s="13" t="n">
        <f aca="false">IF(MONTH($A98)=2,1,0)</f>
        <v>0</v>
      </c>
      <c r="E98" s="13" t="n">
        <f aca="false">IF(MONTH($A98)=3,1,0)</f>
        <v>0</v>
      </c>
      <c r="F98" s="13" t="n">
        <f aca="false">IF(MONTH($A98)=4,1,0)</f>
        <v>0</v>
      </c>
      <c r="G98" s="13" t="n">
        <f aca="false">IF(MONTH($A98)=5,1,0)</f>
        <v>0</v>
      </c>
      <c r="H98" s="13" t="n">
        <f aca="false">IF(MONTH($A98)=6,1,0)</f>
        <v>0</v>
      </c>
      <c r="I98" s="13" t="n">
        <f aca="false">IF(MONTH($A98)=7,1,0)</f>
        <v>0</v>
      </c>
      <c r="J98" s="13" t="n">
        <f aca="false">IF(MONTH($A98)=8,1,0)</f>
        <v>0</v>
      </c>
      <c r="K98" s="13" t="n">
        <f aca="false">IF(MONTH($A98)=9,1,0)</f>
        <v>0</v>
      </c>
      <c r="L98" s="13" t="n">
        <f aca="false">IF(MONTH($A98)=10,1,0)</f>
        <v>0</v>
      </c>
      <c r="M98" s="13" t="n">
        <f aca="false">IF(MONTH($A98)=11,1,0)</f>
        <v>0</v>
      </c>
      <c r="N98" s="13" t="n">
        <f aca="false">IF(MONTH($A98)=12,1,0)</f>
        <v>0</v>
      </c>
      <c r="O98" s="7" t="n">
        <f aca="false">$B$64+SUMPRODUCT(C98:N98,$C$64:$N$64)</f>
        <v>-0.635962734975697</v>
      </c>
      <c r="P98" s="7" t="n">
        <f aca="false">B98-O98</f>
        <v>0.869276545362027</v>
      </c>
      <c r="Q98" s="7" t="n">
        <f aca="false">P98^2</f>
        <v>0.75564171231654</v>
      </c>
      <c r="T98" s="9" t="s">
        <v>126</v>
      </c>
      <c r="U98" s="14" t="s">
        <v>91</v>
      </c>
      <c r="V98" s="14" t="s">
        <v>92</v>
      </c>
    </row>
    <row r="99" customFormat="false" ht="15" hidden="false" customHeight="false" outlineLevel="0" collapsed="false">
      <c r="A99" s="11" t="n">
        <f aca="false">Data_Monthly!A39</f>
        <v>45345</v>
      </c>
      <c r="B99" s="12" t="n">
        <f aca="false">Data_Monthly!C39-AVERAGE(Data_Monthly!D39:F39)</f>
        <v>0.120982965562178</v>
      </c>
      <c r="C99" s="13" t="n">
        <f aca="false">IF($A99&gt;=$U$64,1,0)</f>
        <v>1</v>
      </c>
      <c r="D99" s="13" t="n">
        <f aca="false">IF(MONTH($A99)=2,1,0)</f>
        <v>1</v>
      </c>
      <c r="E99" s="13" t="n">
        <f aca="false">IF(MONTH($A99)=3,1,0)</f>
        <v>0</v>
      </c>
      <c r="F99" s="13" t="n">
        <f aca="false">IF(MONTH($A99)=4,1,0)</f>
        <v>0</v>
      </c>
      <c r="G99" s="13" t="n">
        <f aca="false">IF(MONTH($A99)=5,1,0)</f>
        <v>0</v>
      </c>
      <c r="H99" s="13" t="n">
        <f aca="false">IF(MONTH($A99)=6,1,0)</f>
        <v>0</v>
      </c>
      <c r="I99" s="13" t="n">
        <f aca="false">IF(MONTH($A99)=7,1,0)</f>
        <v>0</v>
      </c>
      <c r="J99" s="13" t="n">
        <f aca="false">IF(MONTH($A99)=8,1,0)</f>
        <v>0</v>
      </c>
      <c r="K99" s="13" t="n">
        <f aca="false">IF(MONTH($A99)=9,1,0)</f>
        <v>0</v>
      </c>
      <c r="L99" s="13" t="n">
        <f aca="false">IF(MONTH($A99)=10,1,0)</f>
        <v>0</v>
      </c>
      <c r="M99" s="13" t="n">
        <f aca="false">IF(MONTH($A99)=11,1,0)</f>
        <v>0</v>
      </c>
      <c r="N99" s="13" t="n">
        <f aca="false">IF(MONTH($A99)=12,1,0)</f>
        <v>0</v>
      </c>
      <c r="O99" s="7" t="n">
        <f aca="false">$B$64+SUMPRODUCT(C99:N99,$C$64:$N$64)</f>
        <v>0.448048106125989</v>
      </c>
      <c r="P99" s="7" t="n">
        <f aca="false">B99-O99</f>
        <v>-0.327065140563811</v>
      </c>
      <c r="Q99" s="7" t="n">
        <f aca="false">P99^2</f>
        <v>0.106971606172026</v>
      </c>
      <c r="T99" s="5" t="s">
        <v>109</v>
      </c>
      <c r="U99" s="7" t="n">
        <f aca="false">Y66</f>
        <v>-0.915881024912759</v>
      </c>
      <c r="V99" s="16" t="n">
        <v>-0.915881024912758</v>
      </c>
    </row>
    <row r="100" customFormat="false" ht="15" hidden="false" customHeight="false" outlineLevel="0" collapsed="false">
      <c r="A100" s="11" t="n">
        <f aca="false">Data_Monthly!A40</f>
        <v>45373</v>
      </c>
      <c r="B100" s="12" t="n">
        <f aca="false">Data_Monthly!C40-AVERAGE(Data_Monthly!D40:F40)</f>
        <v>-0.0672896154059188</v>
      </c>
      <c r="C100" s="13" t="n">
        <f aca="false">IF($A100&gt;=$U$64,1,0)</f>
        <v>1</v>
      </c>
      <c r="D100" s="13" t="n">
        <f aca="false">IF(MONTH($A100)=2,1,0)</f>
        <v>0</v>
      </c>
      <c r="E100" s="13" t="n">
        <f aca="false">IF(MONTH($A100)=3,1,0)</f>
        <v>1</v>
      </c>
      <c r="F100" s="13" t="n">
        <f aca="false">IF(MONTH($A100)=4,1,0)</f>
        <v>0</v>
      </c>
      <c r="G100" s="13" t="n">
        <f aca="false">IF(MONTH($A100)=5,1,0)</f>
        <v>0</v>
      </c>
      <c r="H100" s="13" t="n">
        <f aca="false">IF(MONTH($A100)=6,1,0)</f>
        <v>0</v>
      </c>
      <c r="I100" s="13" t="n">
        <f aca="false">IF(MONTH($A100)=7,1,0)</f>
        <v>0</v>
      </c>
      <c r="J100" s="13" t="n">
        <f aca="false">IF(MONTH($A100)=8,1,0)</f>
        <v>0</v>
      </c>
      <c r="K100" s="13" t="n">
        <f aca="false">IF(MONTH($A100)=9,1,0)</f>
        <v>0</v>
      </c>
      <c r="L100" s="13" t="n">
        <f aca="false">IF(MONTH($A100)=10,1,0)</f>
        <v>0</v>
      </c>
      <c r="M100" s="13" t="n">
        <f aca="false">IF(MONTH($A100)=11,1,0)</f>
        <v>0</v>
      </c>
      <c r="N100" s="13" t="n">
        <f aca="false">IF(MONTH($A100)=12,1,0)</f>
        <v>0</v>
      </c>
      <c r="O100" s="7" t="n">
        <f aca="false">$B$64+SUMPRODUCT(C100:N100,$C$64:$N$64)</f>
        <v>0.94078016890759</v>
      </c>
      <c r="P100" s="7" t="n">
        <f aca="false">B100-O100</f>
        <v>-1.00806978431351</v>
      </c>
      <c r="Q100" s="7" t="n">
        <f aca="false">P100^2</f>
        <v>1.01620469004588</v>
      </c>
      <c r="T100" s="5" t="s">
        <v>110</v>
      </c>
      <c r="U100" s="7" t="n">
        <f aca="false">Z66</f>
        <v>0.31463046050114</v>
      </c>
    </row>
    <row r="101" customFormat="false" ht="15" hidden="false" customHeight="false" outlineLevel="0" collapsed="false">
      <c r="A101" s="11" t="n">
        <f aca="false">Data_Monthly!A41</f>
        <v>45401</v>
      </c>
      <c r="B101" s="12" t="n">
        <f aca="false">Data_Monthly!C41-AVERAGE(Data_Monthly!D41:F41)</f>
        <v>-1.35995500767028</v>
      </c>
      <c r="C101" s="13" t="n">
        <f aca="false">IF($A101&gt;=$U$64,1,0)</f>
        <v>1</v>
      </c>
      <c r="D101" s="13" t="n">
        <f aca="false">IF(MONTH($A101)=2,1,0)</f>
        <v>0</v>
      </c>
      <c r="E101" s="13" t="n">
        <f aca="false">IF(MONTH($A101)=3,1,0)</f>
        <v>0</v>
      </c>
      <c r="F101" s="13" t="n">
        <f aca="false">IF(MONTH($A101)=4,1,0)</f>
        <v>1</v>
      </c>
      <c r="G101" s="13" t="n">
        <f aca="false">IF(MONTH($A101)=5,1,0)</f>
        <v>0</v>
      </c>
      <c r="H101" s="13" t="n">
        <f aca="false">IF(MONTH($A101)=6,1,0)</f>
        <v>0</v>
      </c>
      <c r="I101" s="13" t="n">
        <f aca="false">IF(MONTH($A101)=7,1,0)</f>
        <v>0</v>
      </c>
      <c r="J101" s="13" t="n">
        <f aca="false">IF(MONTH($A101)=8,1,0)</f>
        <v>0</v>
      </c>
      <c r="K101" s="13" t="n">
        <f aca="false">IF(MONTH($A101)=9,1,0)</f>
        <v>0</v>
      </c>
      <c r="L101" s="13" t="n">
        <f aca="false">IF(MONTH($A101)=10,1,0)</f>
        <v>0</v>
      </c>
      <c r="M101" s="13" t="n">
        <f aca="false">IF(MONTH($A101)=11,1,0)</f>
        <v>0</v>
      </c>
      <c r="N101" s="13" t="n">
        <f aca="false">IF(MONTH($A101)=12,1,0)</f>
        <v>0</v>
      </c>
      <c r="O101" s="7" t="n">
        <f aca="false">$B$64+SUMPRODUCT(C101:N101,$C$64:$N$64)</f>
        <v>-1.35717604140036</v>
      </c>
      <c r="P101" s="7" t="n">
        <f aca="false">B101-O101</f>
        <v>-0.00277896626992891</v>
      </c>
      <c r="Q101" s="7" t="n">
        <f aca="false">P101^2</f>
        <v>7.72265352940258E-006</v>
      </c>
      <c r="T101" s="5" t="s">
        <v>102</v>
      </c>
      <c r="U101" s="7" t="n">
        <f aca="false">AA66</f>
        <v>-2.91097379272799</v>
      </c>
    </row>
    <row r="102" customFormat="false" ht="15" hidden="false" customHeight="false" outlineLevel="0" collapsed="false">
      <c r="A102" s="11" t="n">
        <f aca="false">Data_Monthly!A42</f>
        <v>45443</v>
      </c>
      <c r="B102" s="12" t="n">
        <f aca="false">Data_Monthly!C42-AVERAGE(Data_Monthly!D42:F42)</f>
        <v>0.317656696980547</v>
      </c>
      <c r="C102" s="13" t="n">
        <f aca="false">IF($A102&gt;=$U$64,1,0)</f>
        <v>1</v>
      </c>
      <c r="D102" s="13" t="n">
        <f aca="false">IF(MONTH($A102)=2,1,0)</f>
        <v>0</v>
      </c>
      <c r="E102" s="13" t="n">
        <f aca="false">IF(MONTH($A102)=3,1,0)</f>
        <v>0</v>
      </c>
      <c r="F102" s="13" t="n">
        <f aca="false">IF(MONTH($A102)=4,1,0)</f>
        <v>0</v>
      </c>
      <c r="G102" s="13" t="n">
        <f aca="false">IF(MONTH($A102)=5,1,0)</f>
        <v>1</v>
      </c>
      <c r="H102" s="13" t="n">
        <f aca="false">IF(MONTH($A102)=6,1,0)</f>
        <v>0</v>
      </c>
      <c r="I102" s="13" t="n">
        <f aca="false">IF(MONTH($A102)=7,1,0)</f>
        <v>0</v>
      </c>
      <c r="J102" s="13" t="n">
        <f aca="false">IF(MONTH($A102)=8,1,0)</f>
        <v>0</v>
      </c>
      <c r="K102" s="13" t="n">
        <f aca="false">IF(MONTH($A102)=9,1,0)</f>
        <v>0</v>
      </c>
      <c r="L102" s="13" t="n">
        <f aca="false">IF(MONTH($A102)=10,1,0)</f>
        <v>0</v>
      </c>
      <c r="M102" s="13" t="n">
        <f aca="false">IF(MONTH($A102)=11,1,0)</f>
        <v>0</v>
      </c>
      <c r="N102" s="13" t="n">
        <f aca="false">IF(MONTH($A102)=12,1,0)</f>
        <v>0</v>
      </c>
      <c r="O102" s="7" t="n">
        <f aca="false">$B$64+SUMPRODUCT(C102:N102,$C$64:$N$64)</f>
        <v>-0.080641744471245</v>
      </c>
      <c r="P102" s="7" t="n">
        <f aca="false">B102-O102</f>
        <v>0.398298441451792</v>
      </c>
      <c r="Q102" s="7" t="n">
        <f aca="false">P102^2</f>
        <v>0.158641648462927</v>
      </c>
      <c r="T102" s="5" t="s">
        <v>88</v>
      </c>
      <c r="U102" s="7" t="n">
        <f aca="false">AB66</f>
        <v>0.0065109753051739</v>
      </c>
      <c r="V102" s="16" t="n">
        <v>0.0065109753051739</v>
      </c>
    </row>
    <row r="103" customFormat="false" ht="15" hidden="false" customHeight="false" outlineLevel="0" collapsed="false">
      <c r="A103" s="11" t="n">
        <f aca="false">Data_Monthly!A43</f>
        <v>45471</v>
      </c>
      <c r="B103" s="12" t="n">
        <f aca="false">Data_Monthly!C43-AVERAGE(Data_Monthly!D43:F43)</f>
        <v>-0.572692221104632</v>
      </c>
      <c r="C103" s="13" t="n">
        <f aca="false">IF($A103&gt;=$U$64,1,0)</f>
        <v>1</v>
      </c>
      <c r="D103" s="13" t="n">
        <f aca="false">IF(MONTH($A103)=2,1,0)</f>
        <v>0</v>
      </c>
      <c r="E103" s="13" t="n">
        <f aca="false">IF(MONTH($A103)=3,1,0)</f>
        <v>0</v>
      </c>
      <c r="F103" s="13" t="n">
        <f aca="false">IF(MONTH($A103)=4,1,0)</f>
        <v>0</v>
      </c>
      <c r="G103" s="13" t="n">
        <f aca="false">IF(MONTH($A103)=5,1,0)</f>
        <v>0</v>
      </c>
      <c r="H103" s="13" t="n">
        <f aca="false">IF(MONTH($A103)=6,1,0)</f>
        <v>1</v>
      </c>
      <c r="I103" s="13" t="n">
        <f aca="false">IF(MONTH($A103)=7,1,0)</f>
        <v>0</v>
      </c>
      <c r="J103" s="13" t="n">
        <f aca="false">IF(MONTH($A103)=8,1,0)</f>
        <v>0</v>
      </c>
      <c r="K103" s="13" t="n">
        <f aca="false">IF(MONTH($A103)=9,1,0)</f>
        <v>0</v>
      </c>
      <c r="L103" s="13" t="n">
        <f aca="false">IF(MONTH($A103)=10,1,0)</f>
        <v>0</v>
      </c>
      <c r="M103" s="13" t="n">
        <f aca="false">IF(MONTH($A103)=11,1,0)</f>
        <v>0</v>
      </c>
      <c r="N103" s="13" t="n">
        <f aca="false">IF(MONTH($A103)=12,1,0)</f>
        <v>0</v>
      </c>
      <c r="O103" s="7" t="n">
        <f aca="false">$B$64+SUMPRODUCT(C103:N103,$C$64:$N$64)</f>
        <v>-1.05513008471282</v>
      </c>
      <c r="P103" s="7" t="n">
        <f aca="false">B103-O103</f>
        <v>0.482437863608192</v>
      </c>
      <c r="Q103" s="7" t="n">
        <f aca="false">P103^2</f>
        <v>0.232746292242837</v>
      </c>
    </row>
    <row r="104" customFormat="false" ht="15" hidden="false" customHeight="false" outlineLevel="0" collapsed="false">
      <c r="A104" s="11" t="n">
        <f aca="false">Data_Monthly!A44</f>
        <v>45499</v>
      </c>
      <c r="B104" s="12" t="n">
        <f aca="false">Data_Monthly!C44-AVERAGE(Data_Monthly!D44:F44)</f>
        <v>-0.560571090261478</v>
      </c>
      <c r="C104" s="13" t="n">
        <f aca="false">IF($A104&gt;=$U$64,1,0)</f>
        <v>1</v>
      </c>
      <c r="D104" s="13" t="n">
        <f aca="false">IF(MONTH($A104)=2,1,0)</f>
        <v>0</v>
      </c>
      <c r="E104" s="13" t="n">
        <f aca="false">IF(MONTH($A104)=3,1,0)</f>
        <v>0</v>
      </c>
      <c r="F104" s="13" t="n">
        <f aca="false">IF(MONTH($A104)=4,1,0)</f>
        <v>0</v>
      </c>
      <c r="G104" s="13" t="n">
        <f aca="false">IF(MONTH($A104)=5,1,0)</f>
        <v>0</v>
      </c>
      <c r="H104" s="13" t="n">
        <f aca="false">IF(MONTH($A104)=6,1,0)</f>
        <v>0</v>
      </c>
      <c r="I104" s="13" t="n">
        <f aca="false">IF(MONTH($A104)=7,1,0)</f>
        <v>1</v>
      </c>
      <c r="J104" s="13" t="n">
        <f aca="false">IF(MONTH($A104)=8,1,0)</f>
        <v>0</v>
      </c>
      <c r="K104" s="13" t="n">
        <f aca="false">IF(MONTH($A104)=9,1,0)</f>
        <v>0</v>
      </c>
      <c r="L104" s="13" t="n">
        <f aca="false">IF(MONTH($A104)=10,1,0)</f>
        <v>0</v>
      </c>
      <c r="M104" s="13" t="n">
        <f aca="false">IF(MONTH($A104)=11,1,0)</f>
        <v>0</v>
      </c>
      <c r="N104" s="13" t="n">
        <f aca="false">IF(MONTH($A104)=12,1,0)</f>
        <v>0</v>
      </c>
      <c r="O104" s="7" t="n">
        <f aca="false">$B$64+SUMPRODUCT(C104:N104,$C$64:$N$64)</f>
        <v>0.149432955900112</v>
      </c>
      <c r="P104" s="7" t="n">
        <f aca="false">B104-O104</f>
        <v>-0.710004046161591</v>
      </c>
      <c r="Q104" s="7" t="n">
        <f aca="false">P104^2</f>
        <v>0.50410574556583</v>
      </c>
    </row>
    <row r="105" customFormat="false" ht="15" hidden="false" customHeight="false" outlineLevel="0" collapsed="false">
      <c r="A105" s="11" t="n">
        <f aca="false">Data_Monthly!A45</f>
        <v>45527</v>
      </c>
      <c r="B105" s="12" t="n">
        <f aca="false">Data_Monthly!C45-AVERAGE(Data_Monthly!D45:F45)</f>
        <v>-1.0320232600705</v>
      </c>
      <c r="C105" s="13" t="n">
        <f aca="false">IF($A105&gt;=$U$64,1,0)</f>
        <v>1</v>
      </c>
      <c r="D105" s="13" t="n">
        <f aca="false">IF(MONTH($A105)=2,1,0)</f>
        <v>0</v>
      </c>
      <c r="E105" s="13" t="n">
        <f aca="false">IF(MONTH($A105)=3,1,0)</f>
        <v>0</v>
      </c>
      <c r="F105" s="13" t="n">
        <f aca="false">IF(MONTH($A105)=4,1,0)</f>
        <v>0</v>
      </c>
      <c r="G105" s="13" t="n">
        <f aca="false">IF(MONTH($A105)=5,1,0)</f>
        <v>0</v>
      </c>
      <c r="H105" s="13" t="n">
        <f aca="false">IF(MONTH($A105)=6,1,0)</f>
        <v>0</v>
      </c>
      <c r="I105" s="13" t="n">
        <f aca="false">IF(MONTH($A105)=7,1,0)</f>
        <v>0</v>
      </c>
      <c r="J105" s="13" t="n">
        <f aca="false">IF(MONTH($A105)=8,1,0)</f>
        <v>1</v>
      </c>
      <c r="K105" s="13" t="n">
        <f aca="false">IF(MONTH($A105)=9,1,0)</f>
        <v>0</v>
      </c>
      <c r="L105" s="13" t="n">
        <f aca="false">IF(MONTH($A105)=10,1,0)</f>
        <v>0</v>
      </c>
      <c r="M105" s="13" t="n">
        <f aca="false">IF(MONTH($A105)=11,1,0)</f>
        <v>0</v>
      </c>
      <c r="N105" s="13" t="n">
        <f aca="false">IF(MONTH($A105)=12,1,0)</f>
        <v>0</v>
      </c>
      <c r="O105" s="7" t="n">
        <f aca="false">$B$64+SUMPRODUCT(C105:N105,$C$64:$N$64)</f>
        <v>-1.03723580565028</v>
      </c>
      <c r="P105" s="7" t="n">
        <f aca="false">B105-O105</f>
        <v>0.00521254557977779</v>
      </c>
      <c r="Q105" s="7" t="n">
        <f aca="false">P105^2</f>
        <v>2.7170631421261E-005</v>
      </c>
    </row>
    <row r="106" customFormat="false" ht="15" hidden="false" customHeight="false" outlineLevel="0" collapsed="false">
      <c r="A106" s="11" t="n">
        <f aca="false">Data_Monthly!A46</f>
        <v>45555</v>
      </c>
      <c r="B106" s="12" t="n">
        <f aca="false">Data_Monthly!C46-AVERAGE(Data_Monthly!D46:F46)</f>
        <v>-0.412443405451176</v>
      </c>
      <c r="C106" s="13" t="n">
        <f aca="false">IF($A106&gt;=$U$64,1,0)</f>
        <v>1</v>
      </c>
      <c r="D106" s="13" t="n">
        <f aca="false">IF(MONTH($A106)=2,1,0)</f>
        <v>0</v>
      </c>
      <c r="E106" s="13" t="n">
        <f aca="false">IF(MONTH($A106)=3,1,0)</f>
        <v>0</v>
      </c>
      <c r="F106" s="13" t="n">
        <f aca="false">IF(MONTH($A106)=4,1,0)</f>
        <v>0</v>
      </c>
      <c r="G106" s="13" t="n">
        <f aca="false">IF(MONTH($A106)=5,1,0)</f>
        <v>0</v>
      </c>
      <c r="H106" s="13" t="n">
        <f aca="false">IF(MONTH($A106)=6,1,0)</f>
        <v>0</v>
      </c>
      <c r="I106" s="13" t="n">
        <f aca="false">IF(MONTH($A106)=7,1,0)</f>
        <v>0</v>
      </c>
      <c r="J106" s="13" t="n">
        <f aca="false">IF(MONTH($A106)=8,1,0)</f>
        <v>0</v>
      </c>
      <c r="K106" s="13" t="n">
        <f aca="false">IF(MONTH($A106)=9,1,0)</f>
        <v>1</v>
      </c>
      <c r="L106" s="13" t="n">
        <f aca="false">IF(MONTH($A106)=10,1,0)</f>
        <v>0</v>
      </c>
      <c r="M106" s="13" t="n">
        <f aca="false">IF(MONTH($A106)=11,1,0)</f>
        <v>0</v>
      </c>
      <c r="N106" s="13" t="n">
        <f aca="false">IF(MONTH($A106)=12,1,0)</f>
        <v>0</v>
      </c>
      <c r="O106" s="7" t="n">
        <f aca="false">$B$64+SUMPRODUCT(C106:N106,$C$64:$N$64)</f>
        <v>-0.691925633886323</v>
      </c>
      <c r="P106" s="7" t="n">
        <f aca="false">B106-O106</f>
        <v>0.279482228435147</v>
      </c>
      <c r="Q106" s="7" t="n">
        <f aca="false">P106^2</f>
        <v>0.0781103160110758</v>
      </c>
    </row>
    <row r="107" customFormat="false" ht="15" hidden="false" customHeight="false" outlineLevel="0" collapsed="false">
      <c r="A107" s="11" t="n">
        <f aca="false">Data_Monthly!A47</f>
        <v>45583</v>
      </c>
      <c r="B107" s="12" t="n">
        <f aca="false">Data_Monthly!C47-AVERAGE(Data_Monthly!D47:F47)</f>
        <v>-0.346973603636573</v>
      </c>
      <c r="C107" s="13" t="n">
        <f aca="false">IF($A107&gt;=$U$64,1,0)</f>
        <v>1</v>
      </c>
      <c r="D107" s="13" t="n">
        <f aca="false">IF(MONTH($A107)=2,1,0)</f>
        <v>0</v>
      </c>
      <c r="E107" s="13" t="n">
        <f aca="false">IF(MONTH($A107)=3,1,0)</f>
        <v>0</v>
      </c>
      <c r="F107" s="13" t="n">
        <f aca="false">IF(MONTH($A107)=4,1,0)</f>
        <v>0</v>
      </c>
      <c r="G107" s="13" t="n">
        <f aca="false">IF(MONTH($A107)=5,1,0)</f>
        <v>0</v>
      </c>
      <c r="H107" s="13" t="n">
        <f aca="false">IF(MONTH($A107)=6,1,0)</f>
        <v>0</v>
      </c>
      <c r="I107" s="13" t="n">
        <f aca="false">IF(MONTH($A107)=7,1,0)</f>
        <v>0</v>
      </c>
      <c r="J107" s="13" t="n">
        <f aca="false">IF(MONTH($A107)=8,1,0)</f>
        <v>0</v>
      </c>
      <c r="K107" s="13" t="n">
        <f aca="false">IF(MONTH($A107)=9,1,0)</f>
        <v>0</v>
      </c>
      <c r="L107" s="13" t="n">
        <f aca="false">IF(MONTH($A107)=10,1,0)</f>
        <v>1</v>
      </c>
      <c r="M107" s="13" t="n">
        <f aca="false">IF(MONTH($A107)=11,1,0)</f>
        <v>0</v>
      </c>
      <c r="N107" s="13" t="n">
        <f aca="false">IF(MONTH($A107)=12,1,0)</f>
        <v>0</v>
      </c>
      <c r="O107" s="7" t="n">
        <f aca="false">$B$64+SUMPRODUCT(C107:N107,$C$64:$N$64)</f>
        <v>0.46286589823919</v>
      </c>
      <c r="P107" s="7" t="n">
        <f aca="false">B107-O107</f>
        <v>-0.809839501875763</v>
      </c>
      <c r="Q107" s="7" t="n">
        <f aca="false">P107^2</f>
        <v>0.655840018798384</v>
      </c>
    </row>
    <row r="108" customFormat="false" ht="15" hidden="false" customHeight="false" outlineLevel="0" collapsed="false">
      <c r="A108" s="11" t="n">
        <f aca="false">Data_Monthly!A48</f>
        <v>45625</v>
      </c>
      <c r="B108" s="12" t="n">
        <f aca="false">Data_Monthly!C48-AVERAGE(Data_Monthly!D48:F48)</f>
        <v>0.479876939913856</v>
      </c>
      <c r="C108" s="13" t="n">
        <f aca="false">IF($A108&gt;=$U$64,1,0)</f>
        <v>1</v>
      </c>
      <c r="D108" s="13" t="n">
        <f aca="false">IF(MONTH($A108)=2,1,0)</f>
        <v>0</v>
      </c>
      <c r="E108" s="13" t="n">
        <f aca="false">IF(MONTH($A108)=3,1,0)</f>
        <v>0</v>
      </c>
      <c r="F108" s="13" t="n">
        <f aca="false">IF(MONTH($A108)=4,1,0)</f>
        <v>0</v>
      </c>
      <c r="G108" s="13" t="n">
        <f aca="false">IF(MONTH($A108)=5,1,0)</f>
        <v>0</v>
      </c>
      <c r="H108" s="13" t="n">
        <f aca="false">IF(MONTH($A108)=6,1,0)</f>
        <v>0</v>
      </c>
      <c r="I108" s="13" t="n">
        <f aca="false">IF(MONTH($A108)=7,1,0)</f>
        <v>0</v>
      </c>
      <c r="J108" s="13" t="n">
        <f aca="false">IF(MONTH($A108)=8,1,0)</f>
        <v>0</v>
      </c>
      <c r="K108" s="13" t="n">
        <f aca="false">IF(MONTH($A108)=9,1,0)</f>
        <v>0</v>
      </c>
      <c r="L108" s="13" t="n">
        <f aca="false">IF(MONTH($A108)=10,1,0)</f>
        <v>0</v>
      </c>
      <c r="M108" s="13" t="n">
        <f aca="false">IF(MONTH($A108)=11,1,0)</f>
        <v>1</v>
      </c>
      <c r="N108" s="13" t="n">
        <f aca="false">IF(MONTH($A108)=12,1,0)</f>
        <v>0</v>
      </c>
      <c r="O108" s="7" t="n">
        <f aca="false">$B$64+SUMPRODUCT(C108:N108,$C$64:$N$64)</f>
        <v>-0.246099831817331</v>
      </c>
      <c r="P108" s="7" t="n">
        <f aca="false">B108-O108</f>
        <v>0.725976771731187</v>
      </c>
      <c r="Q108" s="7" t="n">
        <f aca="false">P108^2</f>
        <v>0.527042273093236</v>
      </c>
    </row>
    <row r="109" customFormat="false" ht="15" hidden="false" customHeight="false" outlineLevel="0" collapsed="false">
      <c r="A109" s="11" t="n">
        <f aca="false">Data_Monthly!A49</f>
        <v>45653</v>
      </c>
      <c r="B109" s="12" t="n">
        <f aca="false">Data_Monthly!C49-AVERAGE(Data_Monthly!D49:F49)</f>
        <v>-0.779884726618185</v>
      </c>
      <c r="C109" s="13" t="n">
        <f aca="false">IF($A109&gt;=$U$64,1,0)</f>
        <v>1</v>
      </c>
      <c r="D109" s="13" t="n">
        <f aca="false">IF(MONTH($A109)=2,1,0)</f>
        <v>0</v>
      </c>
      <c r="E109" s="13" t="n">
        <f aca="false">IF(MONTH($A109)=3,1,0)</f>
        <v>0</v>
      </c>
      <c r="F109" s="13" t="n">
        <f aca="false">IF(MONTH($A109)=4,1,0)</f>
        <v>0</v>
      </c>
      <c r="G109" s="13" t="n">
        <f aca="false">IF(MONTH($A109)=5,1,0)</f>
        <v>0</v>
      </c>
      <c r="H109" s="13" t="n">
        <f aca="false">IF(MONTH($A109)=6,1,0)</f>
        <v>0</v>
      </c>
      <c r="I109" s="13" t="n">
        <f aca="false">IF(MONTH($A109)=7,1,0)</f>
        <v>0</v>
      </c>
      <c r="J109" s="13" t="n">
        <f aca="false">IF(MONTH($A109)=8,1,0)</f>
        <v>0</v>
      </c>
      <c r="K109" s="13" t="n">
        <f aca="false">IF(MONTH($A109)=9,1,0)</f>
        <v>0</v>
      </c>
      <c r="L109" s="13" t="n">
        <f aca="false">IF(MONTH($A109)=10,1,0)</f>
        <v>0</v>
      </c>
      <c r="M109" s="13" t="n">
        <f aca="false">IF(MONTH($A109)=11,1,0)</f>
        <v>0</v>
      </c>
      <c r="N109" s="13" t="n">
        <f aca="false">IF(MONTH($A109)=12,1,0)</f>
        <v>1</v>
      </c>
      <c r="O109" s="7" t="n">
        <f aca="false">$B$64+SUMPRODUCT(C109:N109,$C$64:$N$64)</f>
        <v>-0.135044393409316</v>
      </c>
      <c r="P109" s="7" t="n">
        <f aca="false">B109-O109</f>
        <v>-0.644840333208869</v>
      </c>
      <c r="Q109" s="7" t="n">
        <f aca="false">P109^2</f>
        <v>0.415819055332926</v>
      </c>
    </row>
    <row r="110" customFormat="false" ht="15" hidden="false" customHeight="false" outlineLevel="0" collapsed="false">
      <c r="A110" s="11" t="n">
        <f aca="false">Data_Monthly!A50</f>
        <v>45681</v>
      </c>
      <c r="B110" s="12" t="n">
        <f aca="false">Data_Monthly!C50-AVERAGE(Data_Monthly!D50:F50)</f>
        <v>-0.219657739337128</v>
      </c>
      <c r="C110" s="13" t="n">
        <f aca="false">IF($A110&gt;=$U$64,1,0)</f>
        <v>1</v>
      </c>
      <c r="D110" s="13" t="n">
        <f aca="false">IF(MONTH($A110)=2,1,0)</f>
        <v>0</v>
      </c>
      <c r="E110" s="13" t="n">
        <f aca="false">IF(MONTH($A110)=3,1,0)</f>
        <v>0</v>
      </c>
      <c r="F110" s="13" t="n">
        <f aca="false">IF(MONTH($A110)=4,1,0)</f>
        <v>0</v>
      </c>
      <c r="G110" s="13" t="n">
        <f aca="false">IF(MONTH($A110)=5,1,0)</f>
        <v>0</v>
      </c>
      <c r="H110" s="13" t="n">
        <f aca="false">IF(MONTH($A110)=6,1,0)</f>
        <v>0</v>
      </c>
      <c r="I110" s="13" t="n">
        <f aca="false">IF(MONTH($A110)=7,1,0)</f>
        <v>0</v>
      </c>
      <c r="J110" s="13" t="n">
        <f aca="false">IF(MONTH($A110)=8,1,0)</f>
        <v>0</v>
      </c>
      <c r="K110" s="13" t="n">
        <f aca="false">IF(MONTH($A110)=9,1,0)</f>
        <v>0</v>
      </c>
      <c r="L110" s="13" t="n">
        <f aca="false">IF(MONTH($A110)=10,1,0)</f>
        <v>0</v>
      </c>
      <c r="M110" s="13" t="n">
        <f aca="false">IF(MONTH($A110)=11,1,0)</f>
        <v>0</v>
      </c>
      <c r="N110" s="13" t="n">
        <f aca="false">IF(MONTH($A110)=12,1,0)</f>
        <v>0</v>
      </c>
      <c r="O110" s="7" t="n">
        <f aca="false">$B$64+SUMPRODUCT(C110:N110,$C$64:$N$64)</f>
        <v>-0.635962734975697</v>
      </c>
      <c r="P110" s="7" t="n">
        <f aca="false">B110-O110</f>
        <v>0.416304995638569</v>
      </c>
      <c r="Q110" s="7" t="n">
        <f aca="false">P110^2</f>
        <v>0.173309849393629</v>
      </c>
    </row>
    <row r="113" customFormat="false" ht="15" hidden="false" customHeight="false" outlineLevel="0" collapsed="false">
      <c r="A113" s="1" t="s">
        <v>174</v>
      </c>
      <c r="T113" s="6" t="s">
        <v>62</v>
      </c>
    </row>
    <row r="114" customFormat="false" ht="15" hidden="false" customHeight="false" outlineLevel="0" collapsed="false">
      <c r="A114" s="2" t="s">
        <v>63</v>
      </c>
      <c r="B114" s="7" t="n">
        <f aca="false">Y128</f>
        <v>0.456005566877759</v>
      </c>
      <c r="C114" s="7" t="n">
        <f aca="false">Y116</f>
        <v>-0.707107182565879</v>
      </c>
      <c r="D114" s="7" t="n">
        <f aca="false">Y117</f>
        <v>0.130695741540406</v>
      </c>
      <c r="E114" s="7" t="n">
        <f aca="false">Y118</f>
        <v>1.66248485782775</v>
      </c>
      <c r="F114" s="7" t="n">
        <f aca="false">Y119</f>
        <v>-0.0484516734624296</v>
      </c>
      <c r="G114" s="7" t="n">
        <f aca="false">Y120</f>
        <v>-0.586303639929814</v>
      </c>
      <c r="H114" s="7" t="n">
        <f aca="false">Y121</f>
        <v>-0.60359028189842</v>
      </c>
      <c r="I114" s="7" t="n">
        <f aca="false">Y122</f>
        <v>1.53601113802607</v>
      </c>
      <c r="J114" s="7" t="n">
        <f aca="false">Y123</f>
        <v>-0.301181216435403</v>
      </c>
      <c r="K114" s="7" t="n">
        <f aca="false">Y124</f>
        <v>-1.4890126721041</v>
      </c>
      <c r="L114" s="7" t="n">
        <f aca="false">Y125</f>
        <v>2.65520810751463</v>
      </c>
      <c r="M114" s="7" t="n">
        <f aca="false">Y126</f>
        <v>-0.209730692410964</v>
      </c>
      <c r="N114" s="7" t="n">
        <f aca="false">Y127</f>
        <v>0.219577118568259</v>
      </c>
      <c r="T114" s="5" t="s">
        <v>64</v>
      </c>
      <c r="U114" s="8" t="n">
        <v>45260</v>
      </c>
      <c r="X114" s="9" t="s">
        <v>65</v>
      </c>
      <c r="Y114" s="10"/>
      <c r="Z114" s="10"/>
      <c r="AA114" s="10"/>
      <c r="AB114" s="10"/>
      <c r="AC114" s="10"/>
    </row>
    <row r="115" customFormat="false" ht="18" hidden="false" customHeight="true" outlineLevel="0" collapsed="false">
      <c r="A115" s="3" t="s">
        <v>66</v>
      </c>
      <c r="B115" s="3" t="s">
        <v>67</v>
      </c>
      <c r="C115" s="3" t="s">
        <v>68</v>
      </c>
      <c r="D115" s="3" t="s">
        <v>69</v>
      </c>
      <c r="E115" s="3" t="s">
        <v>70</v>
      </c>
      <c r="F115" s="3" t="s">
        <v>71</v>
      </c>
      <c r="G115" s="3" t="s">
        <v>72</v>
      </c>
      <c r="H115" s="3" t="s">
        <v>73</v>
      </c>
      <c r="I115" s="3" t="s">
        <v>74</v>
      </c>
      <c r="J115" s="3" t="s">
        <v>75</v>
      </c>
      <c r="K115" s="3" t="s">
        <v>76</v>
      </c>
      <c r="L115" s="3" t="s">
        <v>77</v>
      </c>
      <c r="M115" s="3" t="s">
        <v>78</v>
      </c>
      <c r="N115" s="3" t="s">
        <v>79</v>
      </c>
      <c r="O115" s="3" t="s">
        <v>80</v>
      </c>
      <c r="P115" s="3" t="s">
        <v>81</v>
      </c>
      <c r="Q115" s="3" t="s">
        <v>82</v>
      </c>
      <c r="T115" s="2" t="s">
        <v>181</v>
      </c>
      <c r="X115" s="3" t="s">
        <v>84</v>
      </c>
      <c r="Y115" s="3" t="s">
        <v>85</v>
      </c>
      <c r="Z115" s="3" t="s">
        <v>86</v>
      </c>
      <c r="AA115" s="3" t="s">
        <v>87</v>
      </c>
      <c r="AB115" s="3" t="s">
        <v>88</v>
      </c>
      <c r="AC115" s="3" t="s">
        <v>89</v>
      </c>
    </row>
    <row r="116" customFormat="false" ht="15" hidden="false" customHeight="false" outlineLevel="0" collapsed="false">
      <c r="A116" s="11" t="n">
        <f aca="false">Data_Monthly!A5</f>
        <v>44309</v>
      </c>
      <c r="B116" s="12" t="n">
        <f aca="false">AVERAGE(Data_Monthly!B5:C5)-AVERAGE(Data_Monthly!E5:F5)</f>
        <v>-0.479121015012485</v>
      </c>
      <c r="C116" s="13" t="n">
        <f aca="false">IF($A116&gt;=$U$114,1,0)</f>
        <v>0</v>
      </c>
      <c r="D116" s="13" t="n">
        <f aca="false">IF(MONTH($A116)=2,1,0)</f>
        <v>0</v>
      </c>
      <c r="E116" s="13" t="n">
        <f aca="false">IF(MONTH($A116)=3,1,0)</f>
        <v>0</v>
      </c>
      <c r="F116" s="13" t="n">
        <f aca="false">IF(MONTH($A116)=4,1,0)</f>
        <v>1</v>
      </c>
      <c r="G116" s="13" t="n">
        <f aca="false">IF(MONTH($A116)=5,1,0)</f>
        <v>0</v>
      </c>
      <c r="H116" s="13" t="n">
        <f aca="false">IF(MONTH($A116)=6,1,0)</f>
        <v>0</v>
      </c>
      <c r="I116" s="13" t="n">
        <f aca="false">IF(MONTH($A116)=7,1,0)</f>
        <v>0</v>
      </c>
      <c r="J116" s="13" t="n">
        <f aca="false">IF(MONTH($A116)=8,1,0)</f>
        <v>0</v>
      </c>
      <c r="K116" s="13" t="n">
        <f aca="false">IF(MONTH($A116)=9,1,0)</f>
        <v>0</v>
      </c>
      <c r="L116" s="13" t="n">
        <f aca="false">IF(MONTH($A116)=10,1,0)</f>
        <v>0</v>
      </c>
      <c r="M116" s="13" t="n">
        <f aca="false">IF(MONTH($A116)=11,1,0)</f>
        <v>0</v>
      </c>
      <c r="N116" s="13" t="n">
        <f aca="false">IF(MONTH($A116)=12,1,0)</f>
        <v>0</v>
      </c>
      <c r="O116" s="7" t="n">
        <f aca="false">$B$114+SUMPRODUCT(C116:N116,$C$114:$N$114)</f>
        <v>0.40755389341533</v>
      </c>
      <c r="P116" s="7" t="n">
        <f aca="false">B116-O116</f>
        <v>-0.886674908427814</v>
      </c>
      <c r="Q116" s="7" t="n">
        <f aca="false">P116^2</f>
        <v>0.786192393235473</v>
      </c>
      <c r="T116" s="9" t="s">
        <v>90</v>
      </c>
      <c r="U116" s="14" t="s">
        <v>91</v>
      </c>
      <c r="V116" s="14" t="s">
        <v>92</v>
      </c>
      <c r="X116" s="5" t="s">
        <v>68</v>
      </c>
      <c r="Y116" s="7" t="n">
        <f aca="false">INDEX(LINEST(B116:B161,C116:N161,TRUE(),TRUE()),1,12)</f>
        <v>-0.707107182565879</v>
      </c>
      <c r="Z116" s="7" t="n">
        <f aca="false">INDEX(LINEST(B116:B161,C116:N161,TRUE(),TRUE()),2,12)</f>
        <v>0.424087015213128</v>
      </c>
      <c r="AA116" s="7" t="n">
        <f aca="false">Y116/Z116</f>
        <v>-1.667363435333</v>
      </c>
      <c r="AB116" s="7" t="n">
        <f aca="false">_xlfn.T.DIST.2T(ABS(AA116),$U$134)</f>
        <v>0.104906354652841</v>
      </c>
      <c r="AC116" s="7" t="n">
        <f aca="false">INDEX(MINVERSE($Y$132:$AJ$143),1,1)</f>
        <v>1.04347826086957</v>
      </c>
    </row>
    <row r="117" customFormat="false" ht="15" hidden="false" customHeight="false" outlineLevel="0" collapsed="false">
      <c r="A117" s="11" t="n">
        <f aca="false">Data_Monthly!A6</f>
        <v>44337</v>
      </c>
      <c r="B117" s="12" t="n">
        <f aca="false">AVERAGE(Data_Monthly!B6:C6)-AVERAGE(Data_Monthly!E6:F6)</f>
        <v>-2.79909192787313</v>
      </c>
      <c r="C117" s="13" t="n">
        <f aca="false">IF($A117&gt;=$U$114,1,0)</f>
        <v>0</v>
      </c>
      <c r="D117" s="13" t="n">
        <f aca="false">IF(MONTH($A117)=2,1,0)</f>
        <v>0</v>
      </c>
      <c r="E117" s="13" t="n">
        <f aca="false">IF(MONTH($A117)=3,1,0)</f>
        <v>0</v>
      </c>
      <c r="F117" s="13" t="n">
        <f aca="false">IF(MONTH($A117)=4,1,0)</f>
        <v>0</v>
      </c>
      <c r="G117" s="13" t="n">
        <f aca="false">IF(MONTH($A117)=5,1,0)</f>
        <v>1</v>
      </c>
      <c r="H117" s="13" t="n">
        <f aca="false">IF(MONTH($A117)=6,1,0)</f>
        <v>0</v>
      </c>
      <c r="I117" s="13" t="n">
        <f aca="false">IF(MONTH($A117)=7,1,0)</f>
        <v>0</v>
      </c>
      <c r="J117" s="13" t="n">
        <f aca="false">IF(MONTH($A117)=8,1,0)</f>
        <v>0</v>
      </c>
      <c r="K117" s="13" t="n">
        <f aca="false">IF(MONTH($A117)=9,1,0)</f>
        <v>0</v>
      </c>
      <c r="L117" s="13" t="n">
        <f aca="false">IF(MONTH($A117)=10,1,0)</f>
        <v>0</v>
      </c>
      <c r="M117" s="13" t="n">
        <f aca="false">IF(MONTH($A117)=11,1,0)</f>
        <v>0</v>
      </c>
      <c r="N117" s="13" t="n">
        <f aca="false">IF(MONTH($A117)=12,1,0)</f>
        <v>0</v>
      </c>
      <c r="O117" s="7" t="n">
        <f aca="false">$B$114+SUMPRODUCT(C117:N117,$C$114:$N$114)</f>
        <v>-0.130298073052055</v>
      </c>
      <c r="P117" s="7" t="n">
        <f aca="false">B117-O117</f>
        <v>-2.66879385482108</v>
      </c>
      <c r="Q117" s="7" t="n">
        <f aca="false">P117^2</f>
        <v>7.12246063953075</v>
      </c>
      <c r="T117" s="5" t="s">
        <v>93</v>
      </c>
      <c r="U117" s="13" t="n">
        <f aca="false">COUNT(B116:B147)</f>
        <v>32</v>
      </c>
      <c r="X117" s="5" t="s">
        <v>69</v>
      </c>
      <c r="Y117" s="7" t="n">
        <f aca="false">INDEX(LINEST(B116:B161,C116:N161,TRUE(),TRUE()),1,11)</f>
        <v>0.130695741540406</v>
      </c>
      <c r="Z117" s="7" t="n">
        <f aca="false">INDEX(LINEST(B116:B161,C116:N161,TRUE(),TRUE()),2,11)</f>
        <v>0.99205748468438</v>
      </c>
      <c r="AA117" s="7" t="n">
        <f aca="false">Y117/Z117</f>
        <v>0.131742105228898</v>
      </c>
      <c r="AB117" s="7" t="n">
        <f aca="false">_xlfn.T.DIST.2T(ABS(AA117),$U$134)</f>
        <v>0.895988235759311</v>
      </c>
      <c r="AC117" s="7" t="n">
        <f aca="false">INDEX(MINVERSE($Y$132:$AJ$143),2,2)</f>
        <v>1.64421583850932</v>
      </c>
    </row>
    <row r="118" customFormat="false" ht="15" hidden="false" customHeight="false" outlineLevel="0" collapsed="false">
      <c r="A118" s="11" t="n">
        <f aca="false">Data_Monthly!A7</f>
        <v>44365</v>
      </c>
      <c r="B118" s="12" t="n">
        <f aca="false">AVERAGE(Data_Monthly!B7:C7)-AVERAGE(Data_Monthly!E7:F7)</f>
        <v>-0.579753101382785</v>
      </c>
      <c r="C118" s="13" t="n">
        <f aca="false">IF($A118&gt;=$U$114,1,0)</f>
        <v>0</v>
      </c>
      <c r="D118" s="13" t="n">
        <f aca="false">IF(MONTH($A118)=2,1,0)</f>
        <v>0</v>
      </c>
      <c r="E118" s="13" t="n">
        <f aca="false">IF(MONTH($A118)=3,1,0)</f>
        <v>0</v>
      </c>
      <c r="F118" s="13" t="n">
        <f aca="false">IF(MONTH($A118)=4,1,0)</f>
        <v>0</v>
      </c>
      <c r="G118" s="13" t="n">
        <f aca="false">IF(MONTH($A118)=5,1,0)</f>
        <v>0</v>
      </c>
      <c r="H118" s="13" t="n">
        <f aca="false">IF(MONTH($A118)=6,1,0)</f>
        <v>1</v>
      </c>
      <c r="I118" s="13" t="n">
        <f aca="false">IF(MONTH($A118)=7,1,0)</f>
        <v>0</v>
      </c>
      <c r="J118" s="13" t="n">
        <f aca="false">IF(MONTH($A118)=8,1,0)</f>
        <v>0</v>
      </c>
      <c r="K118" s="13" t="n">
        <f aca="false">IF(MONTH($A118)=9,1,0)</f>
        <v>0</v>
      </c>
      <c r="L118" s="13" t="n">
        <f aca="false">IF(MONTH($A118)=10,1,0)</f>
        <v>0</v>
      </c>
      <c r="M118" s="13" t="n">
        <f aca="false">IF(MONTH($A118)=11,1,0)</f>
        <v>0</v>
      </c>
      <c r="N118" s="13" t="n">
        <f aca="false">IF(MONTH($A118)=12,1,0)</f>
        <v>0</v>
      </c>
      <c r="O118" s="7" t="n">
        <f aca="false">$B$114+SUMPRODUCT(C118:N118,$C$114:$N$114)</f>
        <v>-0.14758471502066</v>
      </c>
      <c r="P118" s="7" t="n">
        <f aca="false">B118-O118</f>
        <v>-0.432168386362125</v>
      </c>
      <c r="Q118" s="7" t="n">
        <f aca="false">P118^2</f>
        <v>0.186769514170843</v>
      </c>
      <c r="T118" s="5" t="s">
        <v>94</v>
      </c>
      <c r="U118" s="13" t="n">
        <f aca="false">COUNT(B148:B161)</f>
        <v>14</v>
      </c>
      <c r="X118" s="5" t="s">
        <v>70</v>
      </c>
      <c r="Y118" s="7" t="n">
        <f aca="false">INDEX(LINEST(B116:B161,C116:N161,TRUE(),TRUE()),1,10)</f>
        <v>1.66248485782775</v>
      </c>
      <c r="Z118" s="7" t="n">
        <f aca="false">INDEX(LINEST(B116:B161,C116:N161,TRUE(),TRUE()),2,10)</f>
        <v>0.99205748468438</v>
      </c>
      <c r="AA118" s="7" t="n">
        <f aca="false">Y118/Z118</f>
        <v>1.67579488436264</v>
      </c>
      <c r="AB118" s="7" t="n">
        <f aca="false">_xlfn.T.DIST.2T(ABS(AA118),$U$134)</f>
        <v>0.10322955411637</v>
      </c>
      <c r="AC118" s="7" t="n">
        <f aca="false">INDEX(MINVERSE($Y$132:$AJ$143),3,3)</f>
        <v>1.64421583850932</v>
      </c>
    </row>
    <row r="119" customFormat="false" ht="15" hidden="false" customHeight="false" outlineLevel="0" collapsed="false">
      <c r="A119" s="11" t="n">
        <f aca="false">Data_Monthly!A8</f>
        <v>44407</v>
      </c>
      <c r="B119" s="12" t="n">
        <f aca="false">AVERAGE(Data_Monthly!B8:C8)-AVERAGE(Data_Monthly!E8:F8)</f>
        <v>4.87664013127445</v>
      </c>
      <c r="C119" s="13" t="n">
        <f aca="false">IF($A119&gt;=$U$114,1,0)</f>
        <v>0</v>
      </c>
      <c r="D119" s="13" t="n">
        <f aca="false">IF(MONTH($A119)=2,1,0)</f>
        <v>0</v>
      </c>
      <c r="E119" s="13" t="n">
        <f aca="false">IF(MONTH($A119)=3,1,0)</f>
        <v>0</v>
      </c>
      <c r="F119" s="13" t="n">
        <f aca="false">IF(MONTH($A119)=4,1,0)</f>
        <v>0</v>
      </c>
      <c r="G119" s="13" t="n">
        <f aca="false">IF(MONTH($A119)=5,1,0)</f>
        <v>0</v>
      </c>
      <c r="H119" s="13" t="n">
        <f aca="false">IF(MONTH($A119)=6,1,0)</f>
        <v>0</v>
      </c>
      <c r="I119" s="13" t="n">
        <f aca="false">IF(MONTH($A119)=7,1,0)</f>
        <v>1</v>
      </c>
      <c r="J119" s="13" t="n">
        <f aca="false">IF(MONTH($A119)=8,1,0)</f>
        <v>0</v>
      </c>
      <c r="K119" s="13" t="n">
        <f aca="false">IF(MONTH($A119)=9,1,0)</f>
        <v>0</v>
      </c>
      <c r="L119" s="13" t="n">
        <f aca="false">IF(MONTH($A119)=10,1,0)</f>
        <v>0</v>
      </c>
      <c r="M119" s="13" t="n">
        <f aca="false">IF(MONTH($A119)=11,1,0)</f>
        <v>0</v>
      </c>
      <c r="N119" s="13" t="n">
        <f aca="false">IF(MONTH($A119)=12,1,0)</f>
        <v>0</v>
      </c>
      <c r="O119" s="7" t="n">
        <f aca="false">$B$114+SUMPRODUCT(C119:N119,$C$114:$N$114)</f>
        <v>1.99201670490383</v>
      </c>
      <c r="P119" s="7" t="n">
        <f aca="false">B119-O119</f>
        <v>2.88462342637062</v>
      </c>
      <c r="Q119" s="7" t="n">
        <f aca="false">P119^2</f>
        <v>8.32105231196618</v>
      </c>
      <c r="T119" s="5" t="s">
        <v>95</v>
      </c>
      <c r="U119" s="7" t="n">
        <f aca="false">AVERAGE(B116:B147)</f>
        <v>0.67114189949562</v>
      </c>
      <c r="X119" s="5" t="s">
        <v>71</v>
      </c>
      <c r="Y119" s="7" t="n">
        <f aca="false">INDEX(LINEST(B116:B161,C116:N161,TRUE(),TRUE()),1,9)</f>
        <v>-0.0484516734624296</v>
      </c>
      <c r="Z119" s="7" t="n">
        <f aca="false">INDEX(LINEST(B116:B161,C116:N161,TRUE(),TRUE()),2,9)</f>
        <v>0.922247072363996</v>
      </c>
      <c r="AA119" s="7" t="n">
        <f aca="false">Y119/Z119</f>
        <v>-0.0525365435297436</v>
      </c>
      <c r="AB119" s="7" t="n">
        <f aca="false">_xlfn.T.DIST.2T(ABS(AA119),$U$134)</f>
        <v>0.95841792480033</v>
      </c>
      <c r="AC119" s="7" t="n">
        <f aca="false">INDEX(MINVERSE($Y$132:$AJ$143),4,4)</f>
        <v>1.85054347826087</v>
      </c>
    </row>
    <row r="120" customFormat="false" ht="15" hidden="false" customHeight="false" outlineLevel="0" collapsed="false">
      <c r="A120" s="11" t="n">
        <f aca="false">Data_Monthly!A9</f>
        <v>44435</v>
      </c>
      <c r="B120" s="12" t="n">
        <f aca="false">AVERAGE(Data_Monthly!B9:C9)-AVERAGE(Data_Monthly!E9:F9)</f>
        <v>1.19164601777397</v>
      </c>
      <c r="C120" s="13" t="n">
        <f aca="false">IF($A120&gt;=$U$114,1,0)</f>
        <v>0</v>
      </c>
      <c r="D120" s="13" t="n">
        <f aca="false">IF(MONTH($A120)=2,1,0)</f>
        <v>0</v>
      </c>
      <c r="E120" s="13" t="n">
        <f aca="false">IF(MONTH($A120)=3,1,0)</f>
        <v>0</v>
      </c>
      <c r="F120" s="13" t="n">
        <f aca="false">IF(MONTH($A120)=4,1,0)</f>
        <v>0</v>
      </c>
      <c r="G120" s="13" t="n">
        <f aca="false">IF(MONTH($A120)=5,1,0)</f>
        <v>0</v>
      </c>
      <c r="H120" s="13" t="n">
        <f aca="false">IF(MONTH($A120)=6,1,0)</f>
        <v>0</v>
      </c>
      <c r="I120" s="13" t="n">
        <f aca="false">IF(MONTH($A120)=7,1,0)</f>
        <v>0</v>
      </c>
      <c r="J120" s="13" t="n">
        <f aca="false">IF(MONTH($A120)=8,1,0)</f>
        <v>1</v>
      </c>
      <c r="K120" s="13" t="n">
        <f aca="false">IF(MONTH($A120)=9,1,0)</f>
        <v>0</v>
      </c>
      <c r="L120" s="13" t="n">
        <f aca="false">IF(MONTH($A120)=10,1,0)</f>
        <v>0</v>
      </c>
      <c r="M120" s="13" t="n">
        <f aca="false">IF(MONTH($A120)=11,1,0)</f>
        <v>0</v>
      </c>
      <c r="N120" s="13" t="n">
        <f aca="false">IF(MONTH($A120)=12,1,0)</f>
        <v>0</v>
      </c>
      <c r="O120" s="7" t="n">
        <f aca="false">$B$114+SUMPRODUCT(C120:N120,$C$114:$N$114)</f>
        <v>0.154824350442356</v>
      </c>
      <c r="P120" s="7" t="n">
        <f aca="false">B120-O120</f>
        <v>1.03682166733162</v>
      </c>
      <c r="Q120" s="7" t="n">
        <f aca="false">P120^2</f>
        <v>1.07499916984831</v>
      </c>
      <c r="T120" s="5" t="s">
        <v>96</v>
      </c>
      <c r="U120" s="7" t="n">
        <f aca="false">AVERAGE(B148:B161)</f>
        <v>-0.0235813367021022</v>
      </c>
      <c r="X120" s="5" t="s">
        <v>72</v>
      </c>
      <c r="Y120" s="7" t="n">
        <f aca="false">INDEX(LINEST(B116:B161,C116:N161,TRUE(),TRUE()),1,8)</f>
        <v>-0.586303639929814</v>
      </c>
      <c r="Z120" s="7" t="n">
        <f aca="false">INDEX(LINEST(B116:B161,C116:N161,TRUE(),TRUE()),2,8)</f>
        <v>0.922247072363996</v>
      </c>
      <c r="AA120" s="7" t="n">
        <f aca="false">Y120/Z120</f>
        <v>-0.635733804420698</v>
      </c>
      <c r="AB120" s="7" t="n">
        <f aca="false">_xlfn.T.DIST.2T(ABS(AA120),$U$134)</f>
        <v>0.529334403124701</v>
      </c>
      <c r="AC120" s="7" t="n">
        <f aca="false">INDEX(MINVERSE($Y$132:$AJ$143),5,5)</f>
        <v>1.85054347826087</v>
      </c>
    </row>
    <row r="121" customFormat="false" ht="15" hidden="false" customHeight="false" outlineLevel="0" collapsed="false">
      <c r="A121" s="11" t="n">
        <f aca="false">Data_Monthly!A10</f>
        <v>44463</v>
      </c>
      <c r="B121" s="12" t="n">
        <f aca="false">AVERAGE(Data_Monthly!B10:C10)-AVERAGE(Data_Monthly!E10:F10)</f>
        <v>-0.776188413131784</v>
      </c>
      <c r="C121" s="13" t="n">
        <f aca="false">IF($A121&gt;=$U$114,1,0)</f>
        <v>0</v>
      </c>
      <c r="D121" s="13" t="n">
        <f aca="false">IF(MONTH($A121)=2,1,0)</f>
        <v>0</v>
      </c>
      <c r="E121" s="13" t="n">
        <f aca="false">IF(MONTH($A121)=3,1,0)</f>
        <v>0</v>
      </c>
      <c r="F121" s="13" t="n">
        <f aca="false">IF(MONTH($A121)=4,1,0)</f>
        <v>0</v>
      </c>
      <c r="G121" s="13" t="n">
        <f aca="false">IF(MONTH($A121)=5,1,0)</f>
        <v>0</v>
      </c>
      <c r="H121" s="13" t="n">
        <f aca="false">IF(MONTH($A121)=6,1,0)</f>
        <v>0</v>
      </c>
      <c r="I121" s="13" t="n">
        <f aca="false">IF(MONTH($A121)=7,1,0)</f>
        <v>0</v>
      </c>
      <c r="J121" s="13" t="n">
        <f aca="false">IF(MONTH($A121)=8,1,0)</f>
        <v>0</v>
      </c>
      <c r="K121" s="13" t="n">
        <f aca="false">IF(MONTH($A121)=9,1,0)</f>
        <v>1</v>
      </c>
      <c r="L121" s="13" t="n">
        <f aca="false">IF(MONTH($A121)=10,1,0)</f>
        <v>0</v>
      </c>
      <c r="M121" s="13" t="n">
        <f aca="false">IF(MONTH($A121)=11,1,0)</f>
        <v>0</v>
      </c>
      <c r="N121" s="13" t="n">
        <f aca="false">IF(MONTH($A121)=12,1,0)</f>
        <v>0</v>
      </c>
      <c r="O121" s="7" t="n">
        <f aca="false">$B$114+SUMPRODUCT(C121:N121,$C$114:$N$114)</f>
        <v>-1.03300710522634</v>
      </c>
      <c r="P121" s="7" t="n">
        <f aca="false">B121-O121</f>
        <v>0.256818692094557</v>
      </c>
      <c r="Q121" s="7" t="n">
        <f aca="false">P121^2</f>
        <v>0.0659558406091588</v>
      </c>
      <c r="T121" s="5" t="s">
        <v>97</v>
      </c>
      <c r="U121" s="7" t="n">
        <f aca="false">_xlfn.STDEV.S(B116:B147)</f>
        <v>1.77284441145303</v>
      </c>
      <c r="X121" s="5" t="s">
        <v>73</v>
      </c>
      <c r="Y121" s="7" t="n">
        <f aca="false">INDEX(LINEST(B116:B161,C116:N161,TRUE(),TRUE()),1,7)</f>
        <v>-0.60359028189842</v>
      </c>
      <c r="Z121" s="7" t="n">
        <f aca="false">INDEX(LINEST(B116:B161,C116:N161,TRUE(),TRUE()),2,7)</f>
        <v>0.922247072363996</v>
      </c>
      <c r="AA121" s="7" t="n">
        <f aca="false">Y121/Z121</f>
        <v>-0.654477850877029</v>
      </c>
      <c r="AB121" s="7" t="n">
        <f aca="false">_xlfn.T.DIST.2T(ABS(AA121),$U$134)</f>
        <v>0.517339805894657</v>
      </c>
      <c r="AC121" s="7" t="n">
        <f aca="false">INDEX(MINVERSE($Y$132:$AJ$143),6,6)</f>
        <v>1.85054347826087</v>
      </c>
    </row>
    <row r="122" customFormat="false" ht="15" hidden="false" customHeight="false" outlineLevel="0" collapsed="false">
      <c r="A122" s="11" t="n">
        <f aca="false">Data_Monthly!A11</f>
        <v>44491</v>
      </c>
      <c r="B122" s="12" t="n">
        <f aca="false">AVERAGE(Data_Monthly!B11:C11)-AVERAGE(Data_Monthly!E11:F11)</f>
        <v>3.12568420004213</v>
      </c>
      <c r="C122" s="13" t="n">
        <f aca="false">IF($A122&gt;=$U$114,1,0)</f>
        <v>0</v>
      </c>
      <c r="D122" s="13" t="n">
        <f aca="false">IF(MONTH($A122)=2,1,0)</f>
        <v>0</v>
      </c>
      <c r="E122" s="13" t="n">
        <f aca="false">IF(MONTH($A122)=3,1,0)</f>
        <v>0</v>
      </c>
      <c r="F122" s="13" t="n">
        <f aca="false">IF(MONTH($A122)=4,1,0)</f>
        <v>0</v>
      </c>
      <c r="G122" s="13" t="n">
        <f aca="false">IF(MONTH($A122)=5,1,0)</f>
        <v>0</v>
      </c>
      <c r="H122" s="13" t="n">
        <f aca="false">IF(MONTH($A122)=6,1,0)</f>
        <v>0</v>
      </c>
      <c r="I122" s="13" t="n">
        <f aca="false">IF(MONTH($A122)=7,1,0)</f>
        <v>0</v>
      </c>
      <c r="J122" s="13" t="n">
        <f aca="false">IF(MONTH($A122)=8,1,0)</f>
        <v>0</v>
      </c>
      <c r="K122" s="13" t="n">
        <f aca="false">IF(MONTH($A122)=9,1,0)</f>
        <v>0</v>
      </c>
      <c r="L122" s="13" t="n">
        <f aca="false">IF(MONTH($A122)=10,1,0)</f>
        <v>1</v>
      </c>
      <c r="M122" s="13" t="n">
        <f aca="false">IF(MONTH($A122)=11,1,0)</f>
        <v>0</v>
      </c>
      <c r="N122" s="13" t="n">
        <f aca="false">IF(MONTH($A122)=12,1,0)</f>
        <v>0</v>
      </c>
      <c r="O122" s="7" t="n">
        <f aca="false">$B$114+SUMPRODUCT(C122:N122,$C$114:$N$114)</f>
        <v>3.11121367439239</v>
      </c>
      <c r="P122" s="7" t="n">
        <f aca="false">B122-O122</f>
        <v>0.0144705256497413</v>
      </c>
      <c r="Q122" s="7" t="n">
        <f aca="false">P122^2</f>
        <v>0.00020939611257982</v>
      </c>
      <c r="T122" s="5" t="s">
        <v>98</v>
      </c>
      <c r="U122" s="7" t="n">
        <f aca="false">_xlfn.STDEV.S(B148:B161)</f>
        <v>1.04433502612675</v>
      </c>
      <c r="X122" s="5" t="s">
        <v>74</v>
      </c>
      <c r="Y122" s="7" t="n">
        <f aca="false">INDEX(LINEST(B116:B161,C116:N161,TRUE(),TRUE()),1,6)</f>
        <v>1.53601113802607</v>
      </c>
      <c r="Z122" s="7" t="n">
        <f aca="false">INDEX(LINEST(B116:B161,C116:N161,TRUE(),TRUE()),2,6)</f>
        <v>0.922247072363996</v>
      </c>
      <c r="AA122" s="7" t="n">
        <f aca="false">Y122/Z122</f>
        <v>1.6655093673421</v>
      </c>
      <c r="AB122" s="7" t="n">
        <f aca="false">_xlfn.T.DIST.2T(ABS(AA122),$U$134)</f>
        <v>0.105278099037564</v>
      </c>
      <c r="AC122" s="7" t="n">
        <f aca="false">INDEX(MINVERSE($Y$132:$AJ$143),7,7)</f>
        <v>1.85054347826087</v>
      </c>
    </row>
    <row r="123" customFormat="false" ht="15" hidden="false" customHeight="false" outlineLevel="0" collapsed="false">
      <c r="A123" s="11" t="n">
        <f aca="false">Data_Monthly!A12</f>
        <v>44519</v>
      </c>
      <c r="B123" s="12" t="n">
        <f aca="false">AVERAGE(Data_Monthly!B12:C12)-AVERAGE(Data_Monthly!E12:F12)</f>
        <v>0.518448540026828</v>
      </c>
      <c r="C123" s="13" t="n">
        <f aca="false">IF($A123&gt;=$U$114,1,0)</f>
        <v>0</v>
      </c>
      <c r="D123" s="13" t="n">
        <f aca="false">IF(MONTH($A123)=2,1,0)</f>
        <v>0</v>
      </c>
      <c r="E123" s="13" t="n">
        <f aca="false">IF(MONTH($A123)=3,1,0)</f>
        <v>0</v>
      </c>
      <c r="F123" s="13" t="n">
        <f aca="false">IF(MONTH($A123)=4,1,0)</f>
        <v>0</v>
      </c>
      <c r="G123" s="13" t="n">
        <f aca="false">IF(MONTH($A123)=5,1,0)</f>
        <v>0</v>
      </c>
      <c r="H123" s="13" t="n">
        <f aca="false">IF(MONTH($A123)=6,1,0)</f>
        <v>0</v>
      </c>
      <c r="I123" s="13" t="n">
        <f aca="false">IF(MONTH($A123)=7,1,0)</f>
        <v>0</v>
      </c>
      <c r="J123" s="13" t="n">
        <f aca="false">IF(MONTH($A123)=8,1,0)</f>
        <v>0</v>
      </c>
      <c r="K123" s="13" t="n">
        <f aca="false">IF(MONTH($A123)=9,1,0)</f>
        <v>0</v>
      </c>
      <c r="L123" s="13" t="n">
        <f aca="false">IF(MONTH($A123)=10,1,0)</f>
        <v>0</v>
      </c>
      <c r="M123" s="13" t="n">
        <f aca="false">IF(MONTH($A123)=11,1,0)</f>
        <v>1</v>
      </c>
      <c r="N123" s="13" t="n">
        <f aca="false">IF(MONTH($A123)=12,1,0)</f>
        <v>0</v>
      </c>
      <c r="O123" s="7" t="n">
        <f aca="false">$B$114+SUMPRODUCT(C123:N123,$C$114:$N$114)</f>
        <v>0.246274874466795</v>
      </c>
      <c r="P123" s="7" t="n">
        <f aca="false">B123-O123</f>
        <v>0.272173665560033</v>
      </c>
      <c r="Q123" s="7" t="n">
        <f aca="false">P123^2</f>
        <v>0.0740785042243844</v>
      </c>
      <c r="T123" s="5" t="s">
        <v>99</v>
      </c>
      <c r="U123" s="7" t="n">
        <f aca="false">$U$120-$U$119</f>
        <v>-0.694723236197722</v>
      </c>
      <c r="V123" s="16" t="n">
        <v>-0.694723236197722</v>
      </c>
      <c r="X123" s="5" t="s">
        <v>75</v>
      </c>
      <c r="Y123" s="7" t="n">
        <f aca="false">INDEX(LINEST(B116:B161,C116:N161,TRUE(),TRUE()),1,5)</f>
        <v>-0.301181216435403</v>
      </c>
      <c r="Z123" s="7" t="n">
        <f aca="false">INDEX(LINEST(B116:B161,C116:N161,TRUE(),TRUE()),2,5)</f>
        <v>0.922247072363996</v>
      </c>
      <c r="AA123" s="7" t="n">
        <f aca="false">Y123/Z123</f>
        <v>-0.326573242095944</v>
      </c>
      <c r="AB123" s="7" t="n">
        <f aca="false">_xlfn.T.DIST.2T(ABS(AA123),$U$134)</f>
        <v>0.746052972524187</v>
      </c>
      <c r="AC123" s="7" t="n">
        <f aca="false">INDEX(MINVERSE($Y$132:$AJ$143),8,8)</f>
        <v>1.85054347826087</v>
      </c>
    </row>
    <row r="124" customFormat="false" ht="15" hidden="false" customHeight="false" outlineLevel="0" collapsed="false">
      <c r="A124" s="11" t="n">
        <f aca="false">Data_Monthly!A13</f>
        <v>44561</v>
      </c>
      <c r="B124" s="12" t="n">
        <f aca="false">AVERAGE(Data_Monthly!B13:C13)-AVERAGE(Data_Monthly!E13:F13)</f>
        <v>0.991000030040823</v>
      </c>
      <c r="C124" s="13" t="n">
        <f aca="false">IF($A124&gt;=$U$114,1,0)</f>
        <v>0</v>
      </c>
      <c r="D124" s="13" t="n">
        <f aca="false">IF(MONTH($A124)=2,1,0)</f>
        <v>0</v>
      </c>
      <c r="E124" s="13" t="n">
        <f aca="false">IF(MONTH($A124)=3,1,0)</f>
        <v>0</v>
      </c>
      <c r="F124" s="13" t="n">
        <f aca="false">IF(MONTH($A124)=4,1,0)</f>
        <v>0</v>
      </c>
      <c r="G124" s="13" t="n">
        <f aca="false">IF(MONTH($A124)=5,1,0)</f>
        <v>0</v>
      </c>
      <c r="H124" s="13" t="n">
        <f aca="false">IF(MONTH($A124)=6,1,0)</f>
        <v>0</v>
      </c>
      <c r="I124" s="13" t="n">
        <f aca="false">IF(MONTH($A124)=7,1,0)</f>
        <v>0</v>
      </c>
      <c r="J124" s="13" t="n">
        <f aca="false">IF(MONTH($A124)=8,1,0)</f>
        <v>0</v>
      </c>
      <c r="K124" s="13" t="n">
        <f aca="false">IF(MONTH($A124)=9,1,0)</f>
        <v>0</v>
      </c>
      <c r="L124" s="13" t="n">
        <f aca="false">IF(MONTH($A124)=10,1,0)</f>
        <v>0</v>
      </c>
      <c r="M124" s="13" t="n">
        <f aca="false">IF(MONTH($A124)=11,1,0)</f>
        <v>0</v>
      </c>
      <c r="N124" s="13" t="n">
        <f aca="false">IF(MONTH($A124)=12,1,0)</f>
        <v>1</v>
      </c>
      <c r="O124" s="7" t="n">
        <f aca="false">$B$114+SUMPRODUCT(C124:N124,$C$114:$N$114)</f>
        <v>0.675582685446018</v>
      </c>
      <c r="P124" s="7" t="n">
        <f aca="false">B124-O124</f>
        <v>0.315417344594804</v>
      </c>
      <c r="Q124" s="7" t="n">
        <f aca="false">P124^2</f>
        <v>0.0994881012712376</v>
      </c>
      <c r="T124" s="5" t="s">
        <v>100</v>
      </c>
      <c r="U124" s="7" t="n">
        <f aca="false">12*$U$123</f>
        <v>-8.33667883437266</v>
      </c>
      <c r="X124" s="5" t="s">
        <v>76</v>
      </c>
      <c r="Y124" s="7" t="n">
        <f aca="false">INDEX(LINEST(B116:B161,C116:N161,TRUE(),TRUE()),1,4)</f>
        <v>-1.4890126721041</v>
      </c>
      <c r="Z124" s="7" t="n">
        <f aca="false">INDEX(LINEST(B116:B161,C116:N161,TRUE(),TRUE()),2,4)</f>
        <v>0.922247072363996</v>
      </c>
      <c r="AA124" s="7" t="n">
        <f aca="false">Y124/Z124</f>
        <v>-1.61454854856553</v>
      </c>
      <c r="AB124" s="7" t="n">
        <f aca="false">_xlfn.T.DIST.2T(ABS(AA124),$U$134)</f>
        <v>0.115931107963727</v>
      </c>
      <c r="AC124" s="7" t="n">
        <f aca="false">INDEX(MINVERSE($Y$132:$AJ$143),9,9)</f>
        <v>1.85054347826087</v>
      </c>
    </row>
    <row r="125" customFormat="false" ht="15" hidden="false" customHeight="false" outlineLevel="0" collapsed="false">
      <c r="A125" s="11" t="n">
        <f aca="false">Data_Monthly!A14</f>
        <v>44589</v>
      </c>
      <c r="B125" s="12" t="n">
        <f aca="false">AVERAGE(Data_Monthly!B14:C14)-AVERAGE(Data_Monthly!E14:F14)</f>
        <v>-0.934702459798408</v>
      </c>
      <c r="C125" s="13" t="n">
        <f aca="false">IF($A125&gt;=$U$114,1,0)</f>
        <v>0</v>
      </c>
      <c r="D125" s="13" t="n">
        <f aca="false">IF(MONTH($A125)=2,1,0)</f>
        <v>0</v>
      </c>
      <c r="E125" s="13" t="n">
        <f aca="false">IF(MONTH($A125)=3,1,0)</f>
        <v>0</v>
      </c>
      <c r="F125" s="13" t="n">
        <f aca="false">IF(MONTH($A125)=4,1,0)</f>
        <v>0</v>
      </c>
      <c r="G125" s="13" t="n">
        <f aca="false">IF(MONTH($A125)=5,1,0)</f>
        <v>0</v>
      </c>
      <c r="H125" s="13" t="n">
        <f aca="false">IF(MONTH($A125)=6,1,0)</f>
        <v>0</v>
      </c>
      <c r="I125" s="13" t="n">
        <f aca="false">IF(MONTH($A125)=7,1,0)</f>
        <v>0</v>
      </c>
      <c r="J125" s="13" t="n">
        <f aca="false">IF(MONTH($A125)=8,1,0)</f>
        <v>0</v>
      </c>
      <c r="K125" s="13" t="n">
        <f aca="false">IF(MONTH($A125)=9,1,0)</f>
        <v>0</v>
      </c>
      <c r="L125" s="13" t="n">
        <f aca="false">IF(MONTH($A125)=10,1,0)</f>
        <v>0</v>
      </c>
      <c r="M125" s="13" t="n">
        <f aca="false">IF(MONTH($A125)=11,1,0)</f>
        <v>0</v>
      </c>
      <c r="N125" s="13" t="n">
        <f aca="false">IF(MONTH($A125)=12,1,0)</f>
        <v>0</v>
      </c>
      <c r="O125" s="7" t="n">
        <f aca="false">$B$114+SUMPRODUCT(C125:N125,$C$114:$N$114)</f>
        <v>0.456005566877759</v>
      </c>
      <c r="P125" s="7" t="n">
        <f aca="false">B125-O125</f>
        <v>-1.39070802667617</v>
      </c>
      <c r="Q125" s="7" t="n">
        <f aca="false">P125^2</f>
        <v>1.93406881546152</v>
      </c>
      <c r="T125" s="5" t="s">
        <v>101</v>
      </c>
      <c r="U125" s="7" t="n">
        <f aca="false">SQRT($U$122^2/$U$118+$U$121^2/$U$117)</f>
        <v>0.419667233710575</v>
      </c>
      <c r="X125" s="5" t="s">
        <v>77</v>
      </c>
      <c r="Y125" s="7" t="n">
        <f aca="false">INDEX(LINEST(B116:B161,C116:N161,TRUE(),TRUE()),1,3)</f>
        <v>2.65520810751463</v>
      </c>
      <c r="Z125" s="7" t="n">
        <f aca="false">INDEX(LINEST(B116:B161,C116:N161,TRUE(),TRUE()),2,3)</f>
        <v>0.922247072363996</v>
      </c>
      <c r="AA125" s="7" t="n">
        <f aca="false">Y125/Z125</f>
        <v>2.87906374233158</v>
      </c>
      <c r="AB125" s="7" t="n">
        <f aca="false">_xlfn.T.DIST.2T(ABS(AA125),$U$134)</f>
        <v>0.00695003933578713</v>
      </c>
      <c r="AC125" s="7" t="n">
        <f aca="false">INDEX(MINVERSE($Y$132:$AJ$143),10,10)</f>
        <v>1.85054347826087</v>
      </c>
    </row>
    <row r="126" customFormat="false" ht="15" hidden="false" customHeight="false" outlineLevel="0" collapsed="false">
      <c r="A126" s="11" t="n">
        <f aca="false">Data_Monthly!A15</f>
        <v>44617</v>
      </c>
      <c r="B126" s="12" t="n">
        <f aca="false">AVERAGE(Data_Monthly!B15:C15)-AVERAGE(Data_Monthly!E15:F15)</f>
        <v>0.783612415074763</v>
      </c>
      <c r="C126" s="13" t="n">
        <f aca="false">IF($A126&gt;=$U$114,1,0)</f>
        <v>0</v>
      </c>
      <c r="D126" s="13" t="n">
        <f aca="false">IF(MONTH($A126)=2,1,0)</f>
        <v>1</v>
      </c>
      <c r="E126" s="13" t="n">
        <f aca="false">IF(MONTH($A126)=3,1,0)</f>
        <v>0</v>
      </c>
      <c r="F126" s="13" t="n">
        <f aca="false">IF(MONTH($A126)=4,1,0)</f>
        <v>0</v>
      </c>
      <c r="G126" s="13" t="n">
        <f aca="false">IF(MONTH($A126)=5,1,0)</f>
        <v>0</v>
      </c>
      <c r="H126" s="13" t="n">
        <f aca="false">IF(MONTH($A126)=6,1,0)</f>
        <v>0</v>
      </c>
      <c r="I126" s="13" t="n">
        <f aca="false">IF(MONTH($A126)=7,1,0)</f>
        <v>0</v>
      </c>
      <c r="J126" s="13" t="n">
        <f aca="false">IF(MONTH($A126)=8,1,0)</f>
        <v>0</v>
      </c>
      <c r="K126" s="13" t="n">
        <f aca="false">IF(MONTH($A126)=9,1,0)</f>
        <v>0</v>
      </c>
      <c r="L126" s="13" t="n">
        <f aca="false">IF(MONTH($A126)=10,1,0)</f>
        <v>0</v>
      </c>
      <c r="M126" s="13" t="n">
        <f aca="false">IF(MONTH($A126)=11,1,0)</f>
        <v>0</v>
      </c>
      <c r="N126" s="13" t="n">
        <f aca="false">IF(MONTH($A126)=12,1,0)</f>
        <v>0</v>
      </c>
      <c r="O126" s="7" t="n">
        <f aca="false">$B$114+SUMPRODUCT(C126:N126,$C$114:$N$114)</f>
        <v>0.586701308418165</v>
      </c>
      <c r="P126" s="7" t="n">
        <f aca="false">B126-O126</f>
        <v>0.196911106656598</v>
      </c>
      <c r="Q126" s="7" t="n">
        <f aca="false">P126^2</f>
        <v>0.0387739839247262</v>
      </c>
      <c r="T126" s="5" t="s">
        <v>102</v>
      </c>
      <c r="U126" s="7" t="n">
        <f aca="false">$U$123/$U$125</f>
        <v>-1.65541452940031</v>
      </c>
      <c r="X126" s="5" t="s">
        <v>78</v>
      </c>
      <c r="Y126" s="7" t="n">
        <f aca="false">INDEX(LINEST(B116:B161,C116:N161,TRUE(),TRUE()),1,2)</f>
        <v>-0.209730692410964</v>
      </c>
      <c r="Z126" s="7" t="n">
        <f aca="false">INDEX(LINEST(B116:B161,C116:N161,TRUE(),TRUE()),2,2)</f>
        <v>0.922247072363996</v>
      </c>
      <c r="AA126" s="7" t="n">
        <f aca="false">Y126/Z126</f>
        <v>-0.227412695248098</v>
      </c>
      <c r="AB126" s="7" t="n">
        <f aca="false">_xlfn.T.DIST.2T(ABS(AA126),$U$134)</f>
        <v>0.821505915401854</v>
      </c>
      <c r="AC126" s="7" t="n">
        <f aca="false">INDEX(MINVERSE($Y$132:$AJ$143),11,11)</f>
        <v>1.85054347826087</v>
      </c>
    </row>
    <row r="127" customFormat="false" ht="15" hidden="false" customHeight="false" outlineLevel="0" collapsed="false">
      <c r="A127" s="11" t="n">
        <f aca="false">Data_Monthly!A16</f>
        <v>44645</v>
      </c>
      <c r="B127" s="12" t="n">
        <f aca="false">AVERAGE(Data_Monthly!B16:C16)-AVERAGE(Data_Monthly!E16:F16)</f>
        <v>2.28992591764667</v>
      </c>
      <c r="C127" s="13" t="n">
        <f aca="false">IF($A127&gt;=$U$114,1,0)</f>
        <v>0</v>
      </c>
      <c r="D127" s="13" t="n">
        <f aca="false">IF(MONTH($A127)=2,1,0)</f>
        <v>0</v>
      </c>
      <c r="E127" s="13" t="n">
        <f aca="false">IF(MONTH($A127)=3,1,0)</f>
        <v>1</v>
      </c>
      <c r="F127" s="13" t="n">
        <f aca="false">IF(MONTH($A127)=4,1,0)</f>
        <v>0</v>
      </c>
      <c r="G127" s="13" t="n">
        <f aca="false">IF(MONTH($A127)=5,1,0)</f>
        <v>0</v>
      </c>
      <c r="H127" s="13" t="n">
        <f aca="false">IF(MONTH($A127)=6,1,0)</f>
        <v>0</v>
      </c>
      <c r="I127" s="13" t="n">
        <f aca="false">IF(MONTH($A127)=7,1,0)</f>
        <v>0</v>
      </c>
      <c r="J127" s="13" t="n">
        <f aca="false">IF(MONTH($A127)=8,1,0)</f>
        <v>0</v>
      </c>
      <c r="K127" s="13" t="n">
        <f aca="false">IF(MONTH($A127)=9,1,0)</f>
        <v>0</v>
      </c>
      <c r="L127" s="13" t="n">
        <f aca="false">IF(MONTH($A127)=10,1,0)</f>
        <v>0</v>
      </c>
      <c r="M127" s="13" t="n">
        <f aca="false">IF(MONTH($A127)=11,1,0)</f>
        <v>0</v>
      </c>
      <c r="N127" s="13" t="n">
        <f aca="false">IF(MONTH($A127)=12,1,0)</f>
        <v>0</v>
      </c>
      <c r="O127" s="7" t="n">
        <f aca="false">$B$114+SUMPRODUCT(C127:N127,$C$114:$N$114)</f>
        <v>2.11849042470551</v>
      </c>
      <c r="P127" s="7" t="n">
        <f aca="false">B127-O127</f>
        <v>0.171435492941164</v>
      </c>
      <c r="Q127" s="7" t="n">
        <f aca="false">P127^2</f>
        <v>0.0293901282399799</v>
      </c>
      <c r="T127" s="5" t="s">
        <v>103</v>
      </c>
      <c r="U127" s="17" t="n">
        <f aca="false">(($U$122^2/$U$118)+($U$121^2/$U$117))^2/(($U$122^2/$U$118)^2/($U$118-1)+($U$121^2/$U$117)^2/($U$117-1))</f>
        <v>39.8685726062454</v>
      </c>
      <c r="X127" s="5" t="s">
        <v>79</v>
      </c>
      <c r="Y127" s="7" t="n">
        <f aca="false">INDEX(LINEST(B116:B161,C116:N161,TRUE(),TRUE()),1,1)</f>
        <v>0.219577118568259</v>
      </c>
      <c r="Z127" s="7" t="n">
        <f aca="false">INDEX(LINEST(B116:B161,C116:N161,TRUE(),TRUE()),2,1)</f>
        <v>0.916132659719343</v>
      </c>
      <c r="AA127" s="7" t="n">
        <f aca="false">Y127/Z127</f>
        <v>0.239678300122524</v>
      </c>
      <c r="AB127" s="7" t="n">
        <f aca="false">_xlfn.T.DIST.2T(ABS(AA127),$U$134)</f>
        <v>0.812062176181434</v>
      </c>
      <c r="AC127" s="7" t="n">
        <f aca="false">INDEX(MINVERSE($Y$132:$AJ$143),12,12)</f>
        <v>1.82608695652174</v>
      </c>
    </row>
    <row r="128" customFormat="false" ht="15" hidden="false" customHeight="false" outlineLevel="0" collapsed="false">
      <c r="A128" s="11" t="n">
        <f aca="false">Data_Monthly!A17</f>
        <v>44673</v>
      </c>
      <c r="B128" s="12" t="n">
        <f aca="false">AVERAGE(Data_Monthly!B17:C17)-AVERAGE(Data_Monthly!E17:F17)</f>
        <v>2.22980240610893</v>
      </c>
      <c r="C128" s="13" t="n">
        <f aca="false">IF($A128&gt;=$U$114,1,0)</f>
        <v>0</v>
      </c>
      <c r="D128" s="13" t="n">
        <f aca="false">IF(MONTH($A128)=2,1,0)</f>
        <v>0</v>
      </c>
      <c r="E128" s="13" t="n">
        <f aca="false">IF(MONTH($A128)=3,1,0)</f>
        <v>0</v>
      </c>
      <c r="F128" s="13" t="n">
        <f aca="false">IF(MONTH($A128)=4,1,0)</f>
        <v>1</v>
      </c>
      <c r="G128" s="13" t="n">
        <f aca="false">IF(MONTH($A128)=5,1,0)</f>
        <v>0</v>
      </c>
      <c r="H128" s="13" t="n">
        <f aca="false">IF(MONTH($A128)=6,1,0)</f>
        <v>0</v>
      </c>
      <c r="I128" s="13" t="n">
        <f aca="false">IF(MONTH($A128)=7,1,0)</f>
        <v>0</v>
      </c>
      <c r="J128" s="13" t="n">
        <f aca="false">IF(MONTH($A128)=8,1,0)</f>
        <v>0</v>
      </c>
      <c r="K128" s="13" t="n">
        <f aca="false">IF(MONTH($A128)=9,1,0)</f>
        <v>0</v>
      </c>
      <c r="L128" s="13" t="n">
        <f aca="false">IF(MONTH($A128)=10,1,0)</f>
        <v>0</v>
      </c>
      <c r="M128" s="13" t="n">
        <f aca="false">IF(MONTH($A128)=11,1,0)</f>
        <v>0</v>
      </c>
      <c r="N128" s="13" t="n">
        <f aca="false">IF(MONTH($A128)=12,1,0)</f>
        <v>0</v>
      </c>
      <c r="O128" s="7" t="n">
        <f aca="false">$B$114+SUMPRODUCT(C128:N128,$C$114:$N$114)</f>
        <v>0.40755389341533</v>
      </c>
      <c r="P128" s="7" t="n">
        <f aca="false">B128-O128</f>
        <v>1.8222485126936</v>
      </c>
      <c r="Q128" s="7" t="n">
        <f aca="false">P128^2</f>
        <v>3.32058964201403</v>
      </c>
      <c r="T128" s="5" t="s">
        <v>104</v>
      </c>
      <c r="U128" s="7" t="n">
        <f aca="false">_xlfn.T.TEST(B148:B161,B116:B147,2,3)</f>
        <v>0.105692352404981</v>
      </c>
      <c r="V128" s="16" t="n">
        <v>0.105692352404981</v>
      </c>
      <c r="X128" s="5" t="s">
        <v>105</v>
      </c>
      <c r="Y128" s="7" t="n">
        <f aca="false">INDEX(LINEST(B116:B161,C116:N161,TRUE(),TRUE()),1,13)</f>
        <v>0.456005566877759</v>
      </c>
      <c r="Z128" s="7" t="n">
        <f aca="false">INDEX(LINEST(B116:B161,C116:N161,TRUE(),TRUE()),2,13)</f>
        <v>0.681624511164552</v>
      </c>
      <c r="AA128" s="7" t="n">
        <f aca="false">Y128/Z128</f>
        <v>0.668998193886362</v>
      </c>
      <c r="AB128" s="7" t="n">
        <f aca="false">_xlfn.T.DIST.2T(ABS(AA128),$U$134)</f>
        <v>0.508150134859842</v>
      </c>
    </row>
    <row r="129" customFormat="false" ht="15" hidden="false" customHeight="false" outlineLevel="0" collapsed="false">
      <c r="A129" s="11" t="n">
        <f aca="false">Data_Monthly!A18</f>
        <v>44701</v>
      </c>
      <c r="B129" s="12" t="n">
        <f aca="false">AVERAGE(Data_Monthly!B18:C18)-AVERAGE(Data_Monthly!E18:F18)</f>
        <v>0.238492028520554</v>
      </c>
      <c r="C129" s="13" t="n">
        <f aca="false">IF($A129&gt;=$U$114,1,0)</f>
        <v>0</v>
      </c>
      <c r="D129" s="13" t="n">
        <f aca="false">IF(MONTH($A129)=2,1,0)</f>
        <v>0</v>
      </c>
      <c r="E129" s="13" t="n">
        <f aca="false">IF(MONTH($A129)=3,1,0)</f>
        <v>0</v>
      </c>
      <c r="F129" s="13" t="n">
        <f aca="false">IF(MONTH($A129)=4,1,0)</f>
        <v>0</v>
      </c>
      <c r="G129" s="13" t="n">
        <f aca="false">IF(MONTH($A129)=5,1,0)</f>
        <v>1</v>
      </c>
      <c r="H129" s="13" t="n">
        <f aca="false">IF(MONTH($A129)=6,1,0)</f>
        <v>0</v>
      </c>
      <c r="I129" s="13" t="n">
        <f aca="false">IF(MONTH($A129)=7,1,0)</f>
        <v>0</v>
      </c>
      <c r="J129" s="13" t="n">
        <f aca="false">IF(MONTH($A129)=8,1,0)</f>
        <v>0</v>
      </c>
      <c r="K129" s="13" t="n">
        <f aca="false">IF(MONTH($A129)=9,1,0)</f>
        <v>0</v>
      </c>
      <c r="L129" s="13" t="n">
        <f aca="false">IF(MONTH($A129)=10,1,0)</f>
        <v>0</v>
      </c>
      <c r="M129" s="13" t="n">
        <f aca="false">IF(MONTH($A129)=11,1,0)</f>
        <v>0</v>
      </c>
      <c r="N129" s="13" t="n">
        <f aca="false">IF(MONTH($A129)=12,1,0)</f>
        <v>0</v>
      </c>
      <c r="O129" s="7" t="n">
        <f aca="false">$B$114+SUMPRODUCT(C129:N129,$C$114:$N$114)</f>
        <v>-0.130298073052055</v>
      </c>
      <c r="P129" s="7" t="n">
        <f aca="false">B129-O129</f>
        <v>0.368790101572608</v>
      </c>
      <c r="Q129" s="7" t="n">
        <f aca="false">P129^2</f>
        <v>0.136006139017935</v>
      </c>
      <c r="X129" s="2" t="s">
        <v>182</v>
      </c>
    </row>
    <row r="130" customFormat="false" ht="15" hidden="false" customHeight="false" outlineLevel="0" collapsed="false">
      <c r="A130" s="11" t="n">
        <f aca="false">Data_Monthly!A19</f>
        <v>44729</v>
      </c>
      <c r="B130" s="12" t="n">
        <f aca="false">AVERAGE(Data_Monthly!B19:C19)-AVERAGE(Data_Monthly!E19:F19)</f>
        <v>-1.45728046036071</v>
      </c>
      <c r="C130" s="13" t="n">
        <f aca="false">IF($A130&gt;=$U$114,1,0)</f>
        <v>0</v>
      </c>
      <c r="D130" s="13" t="n">
        <f aca="false">IF(MONTH($A130)=2,1,0)</f>
        <v>0</v>
      </c>
      <c r="E130" s="13" t="n">
        <f aca="false">IF(MONTH($A130)=3,1,0)</f>
        <v>0</v>
      </c>
      <c r="F130" s="13" t="n">
        <f aca="false">IF(MONTH($A130)=4,1,0)</f>
        <v>0</v>
      </c>
      <c r="G130" s="13" t="n">
        <f aca="false">IF(MONTH($A130)=5,1,0)</f>
        <v>0</v>
      </c>
      <c r="H130" s="13" t="n">
        <f aca="false">IF(MONTH($A130)=6,1,0)</f>
        <v>1</v>
      </c>
      <c r="I130" s="13" t="n">
        <f aca="false">IF(MONTH($A130)=7,1,0)</f>
        <v>0</v>
      </c>
      <c r="J130" s="13" t="n">
        <f aca="false">IF(MONTH($A130)=8,1,0)</f>
        <v>0</v>
      </c>
      <c r="K130" s="13" t="n">
        <f aca="false">IF(MONTH($A130)=9,1,0)</f>
        <v>0</v>
      </c>
      <c r="L130" s="13" t="n">
        <f aca="false">IF(MONTH($A130)=10,1,0)</f>
        <v>0</v>
      </c>
      <c r="M130" s="13" t="n">
        <f aca="false">IF(MONTH($A130)=11,1,0)</f>
        <v>0</v>
      </c>
      <c r="N130" s="13" t="n">
        <f aca="false">IF(MONTH($A130)=12,1,0)</f>
        <v>0</v>
      </c>
      <c r="O130" s="7" t="n">
        <f aca="false">$B$114+SUMPRODUCT(C130:N130,$C$114:$N$114)</f>
        <v>-0.14758471502066</v>
      </c>
      <c r="P130" s="7" t="n">
        <f aca="false">B130-O130</f>
        <v>-1.30969574534005</v>
      </c>
      <c r="Q130" s="7" t="n">
        <f aca="false">P130^2</f>
        <v>1.71530294536183</v>
      </c>
      <c r="T130" s="9" t="s">
        <v>114</v>
      </c>
      <c r="U130" s="14" t="s">
        <v>91</v>
      </c>
      <c r="V130" s="14" t="s">
        <v>92</v>
      </c>
      <c r="X130" s="2" t="s">
        <v>108</v>
      </c>
    </row>
    <row r="131" customFormat="false" ht="15" hidden="false" customHeight="false" outlineLevel="0" collapsed="false">
      <c r="A131" s="11" t="n">
        <f aca="false">Data_Monthly!A20</f>
        <v>44771</v>
      </c>
      <c r="B131" s="12" t="n">
        <f aca="false">AVERAGE(Data_Monthly!B20:C20)-AVERAGE(Data_Monthly!E20:F20)</f>
        <v>1.87235592398842</v>
      </c>
      <c r="C131" s="13" t="n">
        <f aca="false">IF($A131&gt;=$U$114,1,0)</f>
        <v>0</v>
      </c>
      <c r="D131" s="13" t="n">
        <f aca="false">IF(MONTH($A131)=2,1,0)</f>
        <v>0</v>
      </c>
      <c r="E131" s="13" t="n">
        <f aca="false">IF(MONTH($A131)=3,1,0)</f>
        <v>0</v>
      </c>
      <c r="F131" s="13" t="n">
        <f aca="false">IF(MONTH($A131)=4,1,0)</f>
        <v>0</v>
      </c>
      <c r="G131" s="13" t="n">
        <f aca="false">IF(MONTH($A131)=5,1,0)</f>
        <v>0</v>
      </c>
      <c r="H131" s="13" t="n">
        <f aca="false">IF(MONTH($A131)=6,1,0)</f>
        <v>0</v>
      </c>
      <c r="I131" s="13" t="n">
        <f aca="false">IF(MONTH($A131)=7,1,0)</f>
        <v>1</v>
      </c>
      <c r="J131" s="13" t="n">
        <f aca="false">IF(MONTH($A131)=8,1,0)</f>
        <v>0</v>
      </c>
      <c r="K131" s="13" t="n">
        <f aca="false">IF(MONTH($A131)=9,1,0)</f>
        <v>0</v>
      </c>
      <c r="L131" s="13" t="n">
        <f aca="false">IF(MONTH($A131)=10,1,0)</f>
        <v>0</v>
      </c>
      <c r="M131" s="13" t="n">
        <f aca="false">IF(MONTH($A131)=11,1,0)</f>
        <v>0</v>
      </c>
      <c r="N131" s="13" t="n">
        <f aca="false">IF(MONTH($A131)=12,1,0)</f>
        <v>0</v>
      </c>
      <c r="O131" s="7" t="n">
        <f aca="false">$B$114+SUMPRODUCT(C131:N131,$C$114:$N$114)</f>
        <v>1.99201670490383</v>
      </c>
      <c r="P131" s="7" t="n">
        <f aca="false">B131-O131</f>
        <v>-0.119660780915403</v>
      </c>
      <c r="Q131" s="7" t="n">
        <f aca="false">P131^2</f>
        <v>0.0143187024892841</v>
      </c>
      <c r="T131" s="5" t="s">
        <v>115</v>
      </c>
      <c r="U131" s="13" t="n">
        <f aca="false">COUNT(B116:B161)</f>
        <v>46</v>
      </c>
      <c r="Y131" s="19" t="s">
        <v>68</v>
      </c>
      <c r="Z131" s="19" t="s">
        <v>69</v>
      </c>
      <c r="AA131" s="19" t="s">
        <v>70</v>
      </c>
      <c r="AB131" s="19" t="s">
        <v>71</v>
      </c>
      <c r="AC131" s="19" t="s">
        <v>72</v>
      </c>
      <c r="AD131" s="19" t="s">
        <v>73</v>
      </c>
      <c r="AE131" s="19" t="s">
        <v>74</v>
      </c>
      <c r="AF131" s="19" t="s">
        <v>75</v>
      </c>
      <c r="AG131" s="19" t="s">
        <v>76</v>
      </c>
      <c r="AH131" s="19" t="s">
        <v>77</v>
      </c>
      <c r="AI131" s="19" t="s">
        <v>78</v>
      </c>
      <c r="AJ131" s="19" t="s">
        <v>79</v>
      </c>
    </row>
    <row r="132" customFormat="false" ht="15" hidden="false" customHeight="false" outlineLevel="0" collapsed="false">
      <c r="A132" s="11" t="n">
        <f aca="false">Data_Monthly!A21</f>
        <v>44799</v>
      </c>
      <c r="B132" s="12" t="n">
        <f aca="false">AVERAGE(Data_Monthly!B21:C21)-AVERAGE(Data_Monthly!E21:F21)</f>
        <v>0.426765204653545</v>
      </c>
      <c r="C132" s="13" t="n">
        <f aca="false">IF($A132&gt;=$U$114,1,0)</f>
        <v>0</v>
      </c>
      <c r="D132" s="13" t="n">
        <f aca="false">IF(MONTH($A132)=2,1,0)</f>
        <v>0</v>
      </c>
      <c r="E132" s="13" t="n">
        <f aca="false">IF(MONTH($A132)=3,1,0)</f>
        <v>0</v>
      </c>
      <c r="F132" s="13" t="n">
        <f aca="false">IF(MONTH($A132)=4,1,0)</f>
        <v>0</v>
      </c>
      <c r="G132" s="13" t="n">
        <f aca="false">IF(MONTH($A132)=5,1,0)</f>
        <v>0</v>
      </c>
      <c r="H132" s="13" t="n">
        <f aca="false">IF(MONTH($A132)=6,1,0)</f>
        <v>0</v>
      </c>
      <c r="I132" s="13" t="n">
        <f aca="false">IF(MONTH($A132)=7,1,0)</f>
        <v>0</v>
      </c>
      <c r="J132" s="13" t="n">
        <f aca="false">IF(MONTH($A132)=8,1,0)</f>
        <v>1</v>
      </c>
      <c r="K132" s="13" t="n">
        <f aca="false">IF(MONTH($A132)=9,1,0)</f>
        <v>0</v>
      </c>
      <c r="L132" s="13" t="n">
        <f aca="false">IF(MONTH($A132)=10,1,0)</f>
        <v>0</v>
      </c>
      <c r="M132" s="13" t="n">
        <f aca="false">IF(MONTH($A132)=11,1,0)</f>
        <v>0</v>
      </c>
      <c r="N132" s="13" t="n">
        <f aca="false">IF(MONTH($A132)=12,1,0)</f>
        <v>0</v>
      </c>
      <c r="O132" s="7" t="n">
        <f aca="false">$B$114+SUMPRODUCT(C132:N132,$C$114:$N$114)</f>
        <v>0.154824350442356</v>
      </c>
      <c r="P132" s="7" t="n">
        <f aca="false">B132-O132</f>
        <v>0.271940854211189</v>
      </c>
      <c r="Q132" s="7" t="n">
        <f aca="false">P132^2</f>
        <v>0.073951828189111</v>
      </c>
      <c r="T132" s="5" t="s">
        <v>112</v>
      </c>
      <c r="U132" s="7" t="n">
        <f aca="false">INDEX(LINEST(B116:B161,C116:N161,TRUE(),TRUE()),3,1)</f>
        <v>0.523744874255458</v>
      </c>
      <c r="X132" s="6" t="s">
        <v>68</v>
      </c>
      <c r="Y132" s="20" t="n">
        <f aca="false">CORREL($C$116:$C$161,$C$116:$C$161)</f>
        <v>1</v>
      </c>
      <c r="Z132" s="20" t="n">
        <f aca="false">CORREL($D$116:$D$161,$C$116:$C$161)</f>
        <v>0.016638958140993</v>
      </c>
      <c r="AA132" s="20" t="n">
        <f aca="false">CORREL($E$116:$E$161,$C$116:$C$161)</f>
        <v>0.016638958140993</v>
      </c>
      <c r="AB132" s="20" t="n">
        <f aca="false">CORREL($F$116:$F$161,$C$116:$C$161)</f>
        <v>-0.0364507402199878</v>
      </c>
      <c r="AC132" s="20" t="n">
        <f aca="false">CORREL($G$116:$G$161,$C$116:$C$161)</f>
        <v>-0.0364507402199878</v>
      </c>
      <c r="AD132" s="20" t="n">
        <f aca="false">CORREL($H$116:$H$161,$C$116:$C$161)</f>
        <v>-0.0364507402199878</v>
      </c>
      <c r="AE132" s="20" t="n">
        <f aca="false">CORREL($I$116:$I$161,$C$116:$C$161)</f>
        <v>-0.0364507402199878</v>
      </c>
      <c r="AF132" s="20" t="n">
        <f aca="false">CORREL($J$116:$J$161,$C$116:$C$161)</f>
        <v>-0.0364507402199878</v>
      </c>
      <c r="AG132" s="20" t="n">
        <f aca="false">CORREL($K$116:$K$161,$C$116:$C$161)</f>
        <v>-0.0364507402199878</v>
      </c>
      <c r="AH132" s="20" t="n">
        <f aca="false">CORREL($L$116:$L$161,$C$116:$C$161)</f>
        <v>-0.0364507402199878</v>
      </c>
      <c r="AI132" s="20" t="n">
        <f aca="false">CORREL($M$116:$M$161,$C$116:$C$161)</f>
        <v>-0.0364507402199878</v>
      </c>
      <c r="AJ132" s="20" t="n">
        <f aca="false">CORREL($N$116:$N$161,$C$116:$C$161)</f>
        <v>0.131222664791956</v>
      </c>
    </row>
    <row r="133" customFormat="false" ht="15" hidden="false" customHeight="false" outlineLevel="0" collapsed="false">
      <c r="A133" s="11" t="n">
        <f aca="false">Data_Monthly!A22</f>
        <v>44827</v>
      </c>
      <c r="B133" s="12" t="n">
        <f aca="false">AVERAGE(Data_Monthly!B22:C22)-AVERAGE(Data_Monthly!E22:F22)</f>
        <v>-0.67512744935172</v>
      </c>
      <c r="C133" s="13" t="n">
        <f aca="false">IF($A133&gt;=$U$114,1,0)</f>
        <v>0</v>
      </c>
      <c r="D133" s="13" t="n">
        <f aca="false">IF(MONTH($A133)=2,1,0)</f>
        <v>0</v>
      </c>
      <c r="E133" s="13" t="n">
        <f aca="false">IF(MONTH($A133)=3,1,0)</f>
        <v>0</v>
      </c>
      <c r="F133" s="13" t="n">
        <f aca="false">IF(MONTH($A133)=4,1,0)</f>
        <v>0</v>
      </c>
      <c r="G133" s="13" t="n">
        <f aca="false">IF(MONTH($A133)=5,1,0)</f>
        <v>0</v>
      </c>
      <c r="H133" s="13" t="n">
        <f aca="false">IF(MONTH($A133)=6,1,0)</f>
        <v>0</v>
      </c>
      <c r="I133" s="13" t="n">
        <f aca="false">IF(MONTH($A133)=7,1,0)</f>
        <v>0</v>
      </c>
      <c r="J133" s="13" t="n">
        <f aca="false">IF(MONTH($A133)=8,1,0)</f>
        <v>0</v>
      </c>
      <c r="K133" s="13" t="n">
        <f aca="false">IF(MONTH($A133)=9,1,0)</f>
        <v>1</v>
      </c>
      <c r="L133" s="13" t="n">
        <f aca="false">IF(MONTH($A133)=10,1,0)</f>
        <v>0</v>
      </c>
      <c r="M133" s="13" t="n">
        <f aca="false">IF(MONTH($A133)=11,1,0)</f>
        <v>0</v>
      </c>
      <c r="N133" s="13" t="n">
        <f aca="false">IF(MONTH($A133)=12,1,0)</f>
        <v>0</v>
      </c>
      <c r="O133" s="7" t="n">
        <f aca="false">$B$114+SUMPRODUCT(C133:N133,$C$114:$N$114)</f>
        <v>-1.03300710522634</v>
      </c>
      <c r="P133" s="7" t="n">
        <f aca="false">B133-O133</f>
        <v>0.357879655874621</v>
      </c>
      <c r="Q133" s="7" t="n">
        <f aca="false">P133^2</f>
        <v>0.128077848088937</v>
      </c>
      <c r="T133" s="5" t="s">
        <v>116</v>
      </c>
      <c r="U133" s="7" t="n">
        <f aca="false">SQRT($U$132)</f>
        <v>0.7237021999797</v>
      </c>
      <c r="X133" s="6" t="s">
        <v>69</v>
      </c>
      <c r="Y133" s="20" t="n">
        <f aca="false">CORREL($C$116:$C$161,$D$116:$D$161)</f>
        <v>0.016638958140993</v>
      </c>
      <c r="Z133" s="20" t="n">
        <f aca="false">CORREL($D$116:$D$161,$D$116:$D$161)</f>
        <v>1</v>
      </c>
      <c r="AA133" s="20" t="n">
        <f aca="false">CORREL($E$116:$E$161,$D$116:$D$161)</f>
        <v>-0.0697674418604651</v>
      </c>
      <c r="AB133" s="20" t="n">
        <f aca="false">CORREL($F$116:$F$161,$D$116:$D$161)</f>
        <v>-0.0815139145939222</v>
      </c>
      <c r="AC133" s="20" t="n">
        <f aca="false">CORREL($G$116:$G$161,$D$116:$D$161)</f>
        <v>-0.0815139145939222</v>
      </c>
      <c r="AD133" s="20" t="n">
        <f aca="false">CORREL($H$116:$H$161,$D$116:$D$161)</f>
        <v>-0.0815139145939222</v>
      </c>
      <c r="AE133" s="20" t="n">
        <f aca="false">CORREL($I$116:$I$161,$D$116:$D$161)</f>
        <v>-0.0815139145939222</v>
      </c>
      <c r="AF133" s="20" t="n">
        <f aca="false">CORREL($J$116:$J$161,$D$116:$D$161)</f>
        <v>-0.0815139145939222</v>
      </c>
      <c r="AG133" s="20" t="n">
        <f aca="false">CORREL($K$116:$K$161,$D$116:$D$161)</f>
        <v>-0.0815139145939222</v>
      </c>
      <c r="AH133" s="20" t="n">
        <f aca="false">CORREL($L$116:$L$161,$D$116:$D$161)</f>
        <v>-0.0815139145939222</v>
      </c>
      <c r="AI133" s="20" t="n">
        <f aca="false">CORREL($M$116:$M$161,$D$116:$D$161)</f>
        <v>-0.0815139145939222</v>
      </c>
      <c r="AJ133" s="20" t="n">
        <f aca="false">CORREL($N$116:$N$161,$D$116:$D$161)</f>
        <v>-0.0815139145939222</v>
      </c>
    </row>
    <row r="134" customFormat="false" ht="15" hidden="false" customHeight="false" outlineLevel="0" collapsed="false">
      <c r="A134" s="11" t="n">
        <f aca="false">Data_Monthly!A23</f>
        <v>44855</v>
      </c>
      <c r="B134" s="12" t="n">
        <f aca="false">AVERAGE(Data_Monthly!B23:C23)-AVERAGE(Data_Monthly!E23:F23)</f>
        <v>2.67158561195728</v>
      </c>
      <c r="C134" s="13" t="n">
        <f aca="false">IF($A134&gt;=$U$114,1,0)</f>
        <v>0</v>
      </c>
      <c r="D134" s="13" t="n">
        <f aca="false">IF(MONTH($A134)=2,1,0)</f>
        <v>0</v>
      </c>
      <c r="E134" s="13" t="n">
        <f aca="false">IF(MONTH($A134)=3,1,0)</f>
        <v>0</v>
      </c>
      <c r="F134" s="13" t="n">
        <f aca="false">IF(MONTH($A134)=4,1,0)</f>
        <v>0</v>
      </c>
      <c r="G134" s="13" t="n">
        <f aca="false">IF(MONTH($A134)=5,1,0)</f>
        <v>0</v>
      </c>
      <c r="H134" s="13" t="n">
        <f aca="false">IF(MONTH($A134)=6,1,0)</f>
        <v>0</v>
      </c>
      <c r="I134" s="13" t="n">
        <f aca="false">IF(MONTH($A134)=7,1,0)</f>
        <v>0</v>
      </c>
      <c r="J134" s="13" t="n">
        <f aca="false">IF(MONTH($A134)=8,1,0)</f>
        <v>0</v>
      </c>
      <c r="K134" s="13" t="n">
        <f aca="false">IF(MONTH($A134)=9,1,0)</f>
        <v>0</v>
      </c>
      <c r="L134" s="13" t="n">
        <f aca="false">IF(MONTH($A134)=10,1,0)</f>
        <v>1</v>
      </c>
      <c r="M134" s="13" t="n">
        <f aca="false">IF(MONTH($A134)=11,1,0)</f>
        <v>0</v>
      </c>
      <c r="N134" s="13" t="n">
        <f aca="false">IF(MONTH($A134)=12,1,0)</f>
        <v>0</v>
      </c>
      <c r="O134" s="7" t="n">
        <f aca="false">$B$114+SUMPRODUCT(C134:N134,$C$114:$N$114)</f>
        <v>3.11121367439239</v>
      </c>
      <c r="P134" s="7" t="n">
        <f aca="false">B134-O134</f>
        <v>-0.439628062435109</v>
      </c>
      <c r="Q134" s="7" t="n">
        <f aca="false">P134^2</f>
        <v>0.193272833280448</v>
      </c>
      <c r="T134" s="5" t="s">
        <v>111</v>
      </c>
      <c r="U134" s="13" t="n">
        <f aca="false">INDEX(LINEST(B116:B161,C116:N161,TRUE(),TRUE()),4,2)</f>
        <v>33</v>
      </c>
      <c r="X134" s="6" t="s">
        <v>70</v>
      </c>
      <c r="Y134" s="20" t="n">
        <f aca="false">CORREL($C$116:$C$161,$E$116:$E$161)</f>
        <v>0.016638958140993</v>
      </c>
      <c r="Z134" s="20" t="n">
        <f aca="false">CORREL($D$116:$D$161,$E$116:$E$161)</f>
        <v>-0.0697674418604651</v>
      </c>
      <c r="AA134" s="20" t="n">
        <f aca="false">CORREL($E$116:$E$161,$E$116:$E$161)</f>
        <v>1</v>
      </c>
      <c r="AB134" s="20" t="n">
        <f aca="false">CORREL($F$116:$F$161,$E$116:$E$161)</f>
        <v>-0.0815139145939222</v>
      </c>
      <c r="AC134" s="20" t="n">
        <f aca="false">CORREL($G$116:$G$161,$E$116:$E$161)</f>
        <v>-0.0815139145939222</v>
      </c>
      <c r="AD134" s="20" t="n">
        <f aca="false">CORREL($H$116:$H$161,$E$116:$E$161)</f>
        <v>-0.0815139145939222</v>
      </c>
      <c r="AE134" s="20" t="n">
        <f aca="false">CORREL($I$116:$I$161,$E$116:$E$161)</f>
        <v>-0.0815139145939222</v>
      </c>
      <c r="AF134" s="20" t="n">
        <f aca="false">CORREL($J$116:$J$161,$E$116:$E$161)</f>
        <v>-0.0815139145939222</v>
      </c>
      <c r="AG134" s="20" t="n">
        <f aca="false">CORREL($K$116:$K$161,$E$116:$E$161)</f>
        <v>-0.0815139145939222</v>
      </c>
      <c r="AH134" s="20" t="n">
        <f aca="false">CORREL($L$116:$L$161,$E$116:$E$161)</f>
        <v>-0.0815139145939222</v>
      </c>
      <c r="AI134" s="20" t="n">
        <f aca="false">CORREL($M$116:$M$161,$E$116:$E$161)</f>
        <v>-0.0815139145939222</v>
      </c>
      <c r="AJ134" s="20" t="n">
        <f aca="false">CORREL($N$116:$N$161,$E$116:$E$161)</f>
        <v>-0.0815139145939222</v>
      </c>
    </row>
    <row r="135" customFormat="false" ht="15" hidden="false" customHeight="false" outlineLevel="0" collapsed="false">
      <c r="A135" s="11" t="n">
        <f aca="false">Data_Monthly!A24</f>
        <v>44883</v>
      </c>
      <c r="B135" s="12" t="n">
        <f aca="false">AVERAGE(Data_Monthly!B24:C24)-AVERAGE(Data_Monthly!E24:F24)</f>
        <v>-1.22074523577975</v>
      </c>
      <c r="C135" s="13" t="n">
        <f aca="false">IF($A135&gt;=$U$114,1,0)</f>
        <v>0</v>
      </c>
      <c r="D135" s="13" t="n">
        <f aca="false">IF(MONTH($A135)=2,1,0)</f>
        <v>0</v>
      </c>
      <c r="E135" s="13" t="n">
        <f aca="false">IF(MONTH($A135)=3,1,0)</f>
        <v>0</v>
      </c>
      <c r="F135" s="13" t="n">
        <f aca="false">IF(MONTH($A135)=4,1,0)</f>
        <v>0</v>
      </c>
      <c r="G135" s="13" t="n">
        <f aca="false">IF(MONTH($A135)=5,1,0)</f>
        <v>0</v>
      </c>
      <c r="H135" s="13" t="n">
        <f aca="false">IF(MONTH($A135)=6,1,0)</f>
        <v>0</v>
      </c>
      <c r="I135" s="13" t="n">
        <f aca="false">IF(MONTH($A135)=7,1,0)</f>
        <v>0</v>
      </c>
      <c r="J135" s="13" t="n">
        <f aca="false">IF(MONTH($A135)=8,1,0)</f>
        <v>0</v>
      </c>
      <c r="K135" s="13" t="n">
        <f aca="false">IF(MONTH($A135)=9,1,0)</f>
        <v>0</v>
      </c>
      <c r="L135" s="13" t="n">
        <f aca="false">IF(MONTH($A135)=10,1,0)</f>
        <v>0</v>
      </c>
      <c r="M135" s="13" t="n">
        <f aca="false">IF(MONTH($A135)=11,1,0)</f>
        <v>1</v>
      </c>
      <c r="N135" s="13" t="n">
        <f aca="false">IF(MONTH($A135)=12,1,0)</f>
        <v>0</v>
      </c>
      <c r="O135" s="7" t="n">
        <f aca="false">$B$114+SUMPRODUCT(C135:N135,$C$114:$N$114)</f>
        <v>0.246274874466795</v>
      </c>
      <c r="P135" s="7" t="n">
        <f aca="false">B135-O135</f>
        <v>-1.46702011024655</v>
      </c>
      <c r="Q135" s="7" t="n">
        <f aca="false">P135^2</f>
        <v>2.15214800386779</v>
      </c>
      <c r="T135" s="5" t="s">
        <v>117</v>
      </c>
      <c r="U135" s="7" t="n">
        <f aca="false">1-(1-$U$132)*($U$131-1)/$U$134</f>
        <v>0.350561192166534</v>
      </c>
      <c r="X135" s="6" t="s">
        <v>71</v>
      </c>
      <c r="Y135" s="20" t="n">
        <f aca="false">CORREL($C$116:$C$161,$F$116:$F$161)</f>
        <v>-0.0364507402199878</v>
      </c>
      <c r="Z135" s="20" t="n">
        <f aca="false">CORREL($D$116:$D$161,$F$116:$F$161)</f>
        <v>-0.0815139145939222</v>
      </c>
      <c r="AA135" s="20" t="n">
        <f aca="false">CORREL($E$116:$E$161,$F$116:$F$161)</f>
        <v>-0.0815139145939222</v>
      </c>
      <c r="AB135" s="20" t="n">
        <f aca="false">CORREL($F$116:$F$161,$F$116:$F$161)</f>
        <v>1</v>
      </c>
      <c r="AC135" s="20" t="n">
        <f aca="false">CORREL($G$116:$G$161,$F$116:$F$161)</f>
        <v>-0.0952380952380953</v>
      </c>
      <c r="AD135" s="20" t="n">
        <f aca="false">CORREL($H$116:$H$161,$F$116:$F$161)</f>
        <v>-0.0952380952380953</v>
      </c>
      <c r="AE135" s="20" t="n">
        <f aca="false">CORREL($I$116:$I$161,$F$116:$F$161)</f>
        <v>-0.0952380952380953</v>
      </c>
      <c r="AF135" s="20" t="n">
        <f aca="false">CORREL($J$116:$J$161,$F$116:$F$161)</f>
        <v>-0.0952380952380953</v>
      </c>
      <c r="AG135" s="20" t="n">
        <f aca="false">CORREL($K$116:$K$161,$F$116:$F$161)</f>
        <v>-0.0952380952380953</v>
      </c>
      <c r="AH135" s="20" t="n">
        <f aca="false">CORREL($L$116:$L$161,$F$116:$F$161)</f>
        <v>-0.0952380952380953</v>
      </c>
      <c r="AI135" s="20" t="n">
        <f aca="false">CORREL($M$116:$M$161,$F$116:$F$161)</f>
        <v>-0.0952380952380953</v>
      </c>
      <c r="AJ135" s="20" t="n">
        <f aca="false">CORREL($N$116:$N$161,$F$116:$F$161)</f>
        <v>-0.0952380952380953</v>
      </c>
    </row>
    <row r="136" customFormat="false" ht="15" hidden="false" customHeight="false" outlineLevel="0" collapsed="false">
      <c r="A136" s="11" t="n">
        <f aca="false">Data_Monthly!A25</f>
        <v>44925</v>
      </c>
      <c r="B136" s="12" t="n">
        <f aca="false">AVERAGE(Data_Monthly!B25:C25)-AVERAGE(Data_Monthly!E25:F25)</f>
        <v>0.72241523123866</v>
      </c>
      <c r="C136" s="13" t="n">
        <f aca="false">IF($A136&gt;=$U$114,1,0)</f>
        <v>0</v>
      </c>
      <c r="D136" s="13" t="n">
        <f aca="false">IF(MONTH($A136)=2,1,0)</f>
        <v>0</v>
      </c>
      <c r="E136" s="13" t="n">
        <f aca="false">IF(MONTH($A136)=3,1,0)</f>
        <v>0</v>
      </c>
      <c r="F136" s="13" t="n">
        <f aca="false">IF(MONTH($A136)=4,1,0)</f>
        <v>0</v>
      </c>
      <c r="G136" s="13" t="n">
        <f aca="false">IF(MONTH($A136)=5,1,0)</f>
        <v>0</v>
      </c>
      <c r="H136" s="13" t="n">
        <f aca="false">IF(MONTH($A136)=6,1,0)</f>
        <v>0</v>
      </c>
      <c r="I136" s="13" t="n">
        <f aca="false">IF(MONTH($A136)=7,1,0)</f>
        <v>0</v>
      </c>
      <c r="J136" s="13" t="n">
        <f aca="false">IF(MONTH($A136)=8,1,0)</f>
        <v>0</v>
      </c>
      <c r="K136" s="13" t="n">
        <f aca="false">IF(MONTH($A136)=9,1,0)</f>
        <v>0</v>
      </c>
      <c r="L136" s="13" t="n">
        <f aca="false">IF(MONTH($A136)=10,1,0)</f>
        <v>0</v>
      </c>
      <c r="M136" s="13" t="n">
        <f aca="false">IF(MONTH($A136)=11,1,0)</f>
        <v>0</v>
      </c>
      <c r="N136" s="13" t="n">
        <f aca="false">IF(MONTH($A136)=12,1,0)</f>
        <v>1</v>
      </c>
      <c r="O136" s="7" t="n">
        <f aca="false">$B$114+SUMPRODUCT(C136:N136,$C$114:$N$114)</f>
        <v>0.675582685446018</v>
      </c>
      <c r="P136" s="7" t="n">
        <f aca="false">B136-O136</f>
        <v>0.0468325457926418</v>
      </c>
      <c r="Q136" s="7" t="n">
        <f aca="false">P136^2</f>
        <v>0.0021932873454199</v>
      </c>
      <c r="T136" s="5" t="s">
        <v>118</v>
      </c>
      <c r="U136" s="7" t="n">
        <f aca="false">INDEX(LINEST(B116:B161,C116:N161,TRUE(),TRUE()),3,2)</f>
        <v>1.29560723230803</v>
      </c>
      <c r="X136" s="6" t="s">
        <v>72</v>
      </c>
      <c r="Y136" s="20" t="n">
        <f aca="false">CORREL($C$116:$C$161,$G$116:$G$161)</f>
        <v>-0.0364507402199878</v>
      </c>
      <c r="Z136" s="20" t="n">
        <f aca="false">CORREL($D$116:$D$161,$G$116:$G$161)</f>
        <v>-0.0815139145939222</v>
      </c>
      <c r="AA136" s="20" t="n">
        <f aca="false">CORREL($E$116:$E$161,$G$116:$G$161)</f>
        <v>-0.0815139145939222</v>
      </c>
      <c r="AB136" s="20" t="n">
        <f aca="false">CORREL($F$116:$F$161,$G$116:$G$161)</f>
        <v>-0.0952380952380953</v>
      </c>
      <c r="AC136" s="20" t="n">
        <f aca="false">CORREL($G$116:$G$161,$G$116:$G$161)</f>
        <v>1</v>
      </c>
      <c r="AD136" s="20" t="n">
        <f aca="false">CORREL($H$116:$H$161,$G$116:$G$161)</f>
        <v>-0.0952380952380953</v>
      </c>
      <c r="AE136" s="20" t="n">
        <f aca="false">CORREL($I$116:$I$161,$G$116:$G$161)</f>
        <v>-0.0952380952380953</v>
      </c>
      <c r="AF136" s="20" t="n">
        <f aca="false">CORREL($J$116:$J$161,$G$116:$G$161)</f>
        <v>-0.0952380952380953</v>
      </c>
      <c r="AG136" s="20" t="n">
        <f aca="false">CORREL($K$116:$K$161,$G$116:$G$161)</f>
        <v>-0.0952380952380953</v>
      </c>
      <c r="AH136" s="20" t="n">
        <f aca="false">CORREL($L$116:$L$161,$G$116:$G$161)</f>
        <v>-0.0952380952380953</v>
      </c>
      <c r="AI136" s="20" t="n">
        <f aca="false">CORREL($M$116:$M$161,$G$116:$G$161)</f>
        <v>-0.0952380952380953</v>
      </c>
      <c r="AJ136" s="20" t="n">
        <f aca="false">CORREL($N$116:$N$161,$G$116:$G$161)</f>
        <v>-0.0952380952380953</v>
      </c>
    </row>
    <row r="137" customFormat="false" ht="15" hidden="false" customHeight="false" outlineLevel="0" collapsed="false">
      <c r="A137" s="11" t="n">
        <f aca="false">Data_Monthly!A26</f>
        <v>44953</v>
      </c>
      <c r="B137" s="12" t="n">
        <f aca="false">AVERAGE(Data_Monthly!B26:C26)-AVERAGE(Data_Monthly!E26:F26)</f>
        <v>0.786064993314373</v>
      </c>
      <c r="C137" s="13" t="n">
        <f aca="false">IF($A137&gt;=$U$114,1,0)</f>
        <v>0</v>
      </c>
      <c r="D137" s="13" t="n">
        <f aca="false">IF(MONTH($A137)=2,1,0)</f>
        <v>0</v>
      </c>
      <c r="E137" s="13" t="n">
        <f aca="false">IF(MONTH($A137)=3,1,0)</f>
        <v>0</v>
      </c>
      <c r="F137" s="13" t="n">
        <f aca="false">IF(MONTH($A137)=4,1,0)</f>
        <v>0</v>
      </c>
      <c r="G137" s="13" t="n">
        <f aca="false">IF(MONTH($A137)=5,1,0)</f>
        <v>0</v>
      </c>
      <c r="H137" s="13" t="n">
        <f aca="false">IF(MONTH($A137)=6,1,0)</f>
        <v>0</v>
      </c>
      <c r="I137" s="13" t="n">
        <f aca="false">IF(MONTH($A137)=7,1,0)</f>
        <v>0</v>
      </c>
      <c r="J137" s="13" t="n">
        <f aca="false">IF(MONTH($A137)=8,1,0)</f>
        <v>0</v>
      </c>
      <c r="K137" s="13" t="n">
        <f aca="false">IF(MONTH($A137)=9,1,0)</f>
        <v>0</v>
      </c>
      <c r="L137" s="13" t="n">
        <f aca="false">IF(MONTH($A137)=10,1,0)</f>
        <v>0</v>
      </c>
      <c r="M137" s="13" t="n">
        <f aca="false">IF(MONTH($A137)=11,1,0)</f>
        <v>0</v>
      </c>
      <c r="N137" s="13" t="n">
        <f aca="false">IF(MONTH($A137)=12,1,0)</f>
        <v>0</v>
      </c>
      <c r="O137" s="7" t="n">
        <f aca="false">$B$114+SUMPRODUCT(C137:N137,$C$114:$N$114)</f>
        <v>0.456005566877759</v>
      </c>
      <c r="P137" s="7" t="n">
        <f aca="false">B137-O137</f>
        <v>0.330059426436614</v>
      </c>
      <c r="Q137" s="7" t="n">
        <f aca="false">P137^2</f>
        <v>0.108939224979666</v>
      </c>
      <c r="X137" s="6" t="s">
        <v>73</v>
      </c>
      <c r="Y137" s="20" t="n">
        <f aca="false">CORREL($C$116:$C$161,$H$116:$H$161)</f>
        <v>-0.0364507402199878</v>
      </c>
      <c r="Z137" s="20" t="n">
        <f aca="false">CORREL($D$116:$D$161,$H$116:$H$161)</f>
        <v>-0.0815139145939222</v>
      </c>
      <c r="AA137" s="20" t="n">
        <f aca="false">CORREL($E$116:$E$161,$H$116:$H$161)</f>
        <v>-0.0815139145939222</v>
      </c>
      <c r="AB137" s="20" t="n">
        <f aca="false">CORREL($F$116:$F$161,$H$116:$H$161)</f>
        <v>-0.0952380952380953</v>
      </c>
      <c r="AC137" s="20" t="n">
        <f aca="false">CORREL($G$116:$G$161,$H$116:$H$161)</f>
        <v>-0.0952380952380953</v>
      </c>
      <c r="AD137" s="20" t="n">
        <f aca="false">CORREL($H$116:$H$161,$H$116:$H$161)</f>
        <v>1</v>
      </c>
      <c r="AE137" s="20" t="n">
        <f aca="false">CORREL($I$116:$I$161,$H$116:$H$161)</f>
        <v>-0.0952380952380953</v>
      </c>
      <c r="AF137" s="20" t="n">
        <f aca="false">CORREL($J$116:$J$161,$H$116:$H$161)</f>
        <v>-0.0952380952380953</v>
      </c>
      <c r="AG137" s="20" t="n">
        <f aca="false">CORREL($K$116:$K$161,$H$116:$H$161)</f>
        <v>-0.0952380952380953</v>
      </c>
      <c r="AH137" s="20" t="n">
        <f aca="false">CORREL($L$116:$L$161,$H$116:$H$161)</f>
        <v>-0.0952380952380953</v>
      </c>
      <c r="AI137" s="20" t="n">
        <f aca="false">CORREL($M$116:$M$161,$H$116:$H$161)</f>
        <v>-0.0952380952380953</v>
      </c>
      <c r="AJ137" s="20" t="n">
        <f aca="false">CORREL($N$116:$N$161,$H$116:$H$161)</f>
        <v>-0.0952380952380953</v>
      </c>
    </row>
    <row r="138" customFormat="false" ht="15" hidden="false" customHeight="false" outlineLevel="0" collapsed="false">
      <c r="A138" s="11" t="n">
        <f aca="false">Data_Monthly!A27</f>
        <v>44981</v>
      </c>
      <c r="B138" s="12" t="n">
        <f aca="false">AVERAGE(Data_Monthly!B27:C27)-AVERAGE(Data_Monthly!E27:F27)</f>
        <v>0.807220523254148</v>
      </c>
      <c r="C138" s="13" t="n">
        <f aca="false">IF($A138&gt;=$U$114,1,0)</f>
        <v>0</v>
      </c>
      <c r="D138" s="13" t="n">
        <f aca="false">IF(MONTH($A138)=2,1,0)</f>
        <v>1</v>
      </c>
      <c r="E138" s="13" t="n">
        <f aca="false">IF(MONTH($A138)=3,1,0)</f>
        <v>0</v>
      </c>
      <c r="F138" s="13" t="n">
        <f aca="false">IF(MONTH($A138)=4,1,0)</f>
        <v>0</v>
      </c>
      <c r="G138" s="13" t="n">
        <f aca="false">IF(MONTH($A138)=5,1,0)</f>
        <v>0</v>
      </c>
      <c r="H138" s="13" t="n">
        <f aca="false">IF(MONTH($A138)=6,1,0)</f>
        <v>0</v>
      </c>
      <c r="I138" s="13" t="n">
        <f aca="false">IF(MONTH($A138)=7,1,0)</f>
        <v>0</v>
      </c>
      <c r="J138" s="13" t="n">
        <f aca="false">IF(MONTH($A138)=8,1,0)</f>
        <v>0</v>
      </c>
      <c r="K138" s="13" t="n">
        <f aca="false">IF(MONTH($A138)=9,1,0)</f>
        <v>0</v>
      </c>
      <c r="L138" s="13" t="n">
        <f aca="false">IF(MONTH($A138)=10,1,0)</f>
        <v>0</v>
      </c>
      <c r="M138" s="13" t="n">
        <f aca="false">IF(MONTH($A138)=11,1,0)</f>
        <v>0</v>
      </c>
      <c r="N138" s="13" t="n">
        <f aca="false">IF(MONTH($A138)=12,1,0)</f>
        <v>0</v>
      </c>
      <c r="O138" s="7" t="n">
        <f aca="false">$B$114+SUMPRODUCT(C138:N138,$C$114:$N$114)</f>
        <v>0.586701308418165</v>
      </c>
      <c r="P138" s="7" t="n">
        <f aca="false">B138-O138</f>
        <v>0.220519214835983</v>
      </c>
      <c r="Q138" s="7" t="n">
        <f aca="false">P138^2</f>
        <v>0.0486287241118785</v>
      </c>
      <c r="T138" s="9" t="s">
        <v>119</v>
      </c>
      <c r="U138" s="14" t="s">
        <v>91</v>
      </c>
      <c r="V138" s="14" t="s">
        <v>92</v>
      </c>
      <c r="X138" s="6" t="s">
        <v>74</v>
      </c>
      <c r="Y138" s="20" t="n">
        <f aca="false">CORREL($C$116:$C$161,$I$116:$I$161)</f>
        <v>-0.0364507402199878</v>
      </c>
      <c r="Z138" s="20" t="n">
        <f aca="false">CORREL($D$116:$D$161,$I$116:$I$161)</f>
        <v>-0.0815139145939222</v>
      </c>
      <c r="AA138" s="20" t="n">
        <f aca="false">CORREL($E$116:$E$161,$I$116:$I$161)</f>
        <v>-0.0815139145939222</v>
      </c>
      <c r="AB138" s="20" t="n">
        <f aca="false">CORREL($F$116:$F$161,$I$116:$I$161)</f>
        <v>-0.0952380952380953</v>
      </c>
      <c r="AC138" s="20" t="n">
        <f aca="false">CORREL($G$116:$G$161,$I$116:$I$161)</f>
        <v>-0.0952380952380953</v>
      </c>
      <c r="AD138" s="20" t="n">
        <f aca="false">CORREL($H$116:$H$161,$I$116:$I$161)</f>
        <v>-0.0952380952380953</v>
      </c>
      <c r="AE138" s="20" t="n">
        <f aca="false">CORREL($I$116:$I$161,$I$116:$I$161)</f>
        <v>1</v>
      </c>
      <c r="AF138" s="20" t="n">
        <f aca="false">CORREL($J$116:$J$161,$I$116:$I$161)</f>
        <v>-0.0952380952380953</v>
      </c>
      <c r="AG138" s="20" t="n">
        <f aca="false">CORREL($K$116:$K$161,$I$116:$I$161)</f>
        <v>-0.0952380952380953</v>
      </c>
      <c r="AH138" s="20" t="n">
        <f aca="false">CORREL($L$116:$L$161,$I$116:$I$161)</f>
        <v>-0.0952380952380953</v>
      </c>
      <c r="AI138" s="20" t="n">
        <f aca="false">CORREL($M$116:$M$161,$I$116:$I$161)</f>
        <v>-0.0952380952380953</v>
      </c>
      <c r="AJ138" s="20" t="n">
        <f aca="false">CORREL($N$116:$N$161,$I$116:$I$161)</f>
        <v>-0.0952380952380953</v>
      </c>
    </row>
    <row r="139" customFormat="false" ht="15" hidden="false" customHeight="false" outlineLevel="0" collapsed="false">
      <c r="A139" s="11" t="n">
        <f aca="false">Data_Monthly!A28</f>
        <v>45009</v>
      </c>
      <c r="B139" s="12" t="n">
        <f aca="false">AVERAGE(Data_Monthly!B28:C28)-AVERAGE(Data_Monthly!E28:F28)</f>
        <v>3.93761156532584</v>
      </c>
      <c r="C139" s="13" t="n">
        <f aca="false">IF($A139&gt;=$U$114,1,0)</f>
        <v>0</v>
      </c>
      <c r="D139" s="13" t="n">
        <f aca="false">IF(MONTH($A139)=2,1,0)</f>
        <v>0</v>
      </c>
      <c r="E139" s="13" t="n">
        <f aca="false">IF(MONTH($A139)=3,1,0)</f>
        <v>1</v>
      </c>
      <c r="F139" s="13" t="n">
        <f aca="false">IF(MONTH($A139)=4,1,0)</f>
        <v>0</v>
      </c>
      <c r="G139" s="13" t="n">
        <f aca="false">IF(MONTH($A139)=5,1,0)</f>
        <v>0</v>
      </c>
      <c r="H139" s="13" t="n">
        <f aca="false">IF(MONTH($A139)=6,1,0)</f>
        <v>0</v>
      </c>
      <c r="I139" s="13" t="n">
        <f aca="false">IF(MONTH($A139)=7,1,0)</f>
        <v>0</v>
      </c>
      <c r="J139" s="13" t="n">
        <f aca="false">IF(MONTH($A139)=8,1,0)</f>
        <v>0</v>
      </c>
      <c r="K139" s="13" t="n">
        <f aca="false">IF(MONTH($A139)=9,1,0)</f>
        <v>0</v>
      </c>
      <c r="L139" s="13" t="n">
        <f aca="false">IF(MONTH($A139)=10,1,0)</f>
        <v>0</v>
      </c>
      <c r="M139" s="13" t="n">
        <f aca="false">IF(MONTH($A139)=11,1,0)</f>
        <v>0</v>
      </c>
      <c r="N139" s="13" t="n">
        <f aca="false">IF(MONTH($A139)=12,1,0)</f>
        <v>0</v>
      </c>
      <c r="O139" s="7" t="n">
        <f aca="false">$B$114+SUMPRODUCT(C139:N139,$C$114:$N$114)</f>
        <v>2.11849042470551</v>
      </c>
      <c r="P139" s="7" t="n">
        <f aca="false">B139-O139</f>
        <v>1.81912114062033</v>
      </c>
      <c r="Q139" s="7" t="n">
        <f aca="false">P139^2</f>
        <v>3.30920172425181</v>
      </c>
      <c r="T139" s="5" t="s">
        <v>120</v>
      </c>
      <c r="U139" s="7" t="n">
        <f aca="false">INDEX(LINEST(B116:B161,C116:N161,TRUE(),TRUE()),5,1)</f>
        <v>60.9173201830421</v>
      </c>
      <c r="X139" s="6" t="s">
        <v>75</v>
      </c>
      <c r="Y139" s="20" t="n">
        <f aca="false">CORREL($C$116:$C$161,$J$116:$J$161)</f>
        <v>-0.0364507402199878</v>
      </c>
      <c r="Z139" s="20" t="n">
        <f aca="false">CORREL($D$116:$D$161,$J$116:$J$161)</f>
        <v>-0.0815139145939222</v>
      </c>
      <c r="AA139" s="20" t="n">
        <f aca="false">CORREL($E$116:$E$161,$J$116:$J$161)</f>
        <v>-0.0815139145939222</v>
      </c>
      <c r="AB139" s="20" t="n">
        <f aca="false">CORREL($F$116:$F$161,$J$116:$J$161)</f>
        <v>-0.0952380952380953</v>
      </c>
      <c r="AC139" s="20" t="n">
        <f aca="false">CORREL($G$116:$G$161,$J$116:$J$161)</f>
        <v>-0.0952380952380953</v>
      </c>
      <c r="AD139" s="20" t="n">
        <f aca="false">CORREL($H$116:$H$161,$J$116:$J$161)</f>
        <v>-0.0952380952380953</v>
      </c>
      <c r="AE139" s="20" t="n">
        <f aca="false">CORREL($I$116:$I$161,$J$116:$J$161)</f>
        <v>-0.0952380952380953</v>
      </c>
      <c r="AF139" s="20" t="n">
        <f aca="false">CORREL($J$116:$J$161,$J$116:$J$161)</f>
        <v>1</v>
      </c>
      <c r="AG139" s="20" t="n">
        <f aca="false">CORREL($K$116:$K$161,$J$116:$J$161)</f>
        <v>-0.0952380952380953</v>
      </c>
      <c r="AH139" s="20" t="n">
        <f aca="false">CORREL($L$116:$L$161,$J$116:$J$161)</f>
        <v>-0.0952380952380953</v>
      </c>
      <c r="AI139" s="20" t="n">
        <f aca="false">CORREL($M$116:$M$161,$J$116:$J$161)</f>
        <v>-0.0952380952380953</v>
      </c>
      <c r="AJ139" s="20" t="n">
        <f aca="false">CORREL($N$116:$N$161,$J$116:$J$161)</f>
        <v>-0.0952380952380953</v>
      </c>
    </row>
    <row r="140" customFormat="false" ht="15" hidden="false" customHeight="false" outlineLevel="0" collapsed="false">
      <c r="A140" s="11" t="n">
        <f aca="false">Data_Monthly!A29</f>
        <v>45037</v>
      </c>
      <c r="B140" s="12" t="n">
        <f aca="false">AVERAGE(Data_Monthly!B29:C29)-AVERAGE(Data_Monthly!E29:F29)</f>
        <v>-0.618834662016266</v>
      </c>
      <c r="C140" s="13" t="n">
        <f aca="false">IF($A140&gt;=$U$114,1,0)</f>
        <v>0</v>
      </c>
      <c r="D140" s="13" t="n">
        <f aca="false">IF(MONTH($A140)=2,1,0)</f>
        <v>0</v>
      </c>
      <c r="E140" s="13" t="n">
        <f aca="false">IF(MONTH($A140)=3,1,0)</f>
        <v>0</v>
      </c>
      <c r="F140" s="13" t="n">
        <f aca="false">IF(MONTH($A140)=4,1,0)</f>
        <v>1</v>
      </c>
      <c r="G140" s="13" t="n">
        <f aca="false">IF(MONTH($A140)=5,1,0)</f>
        <v>0</v>
      </c>
      <c r="H140" s="13" t="n">
        <f aca="false">IF(MONTH($A140)=6,1,0)</f>
        <v>0</v>
      </c>
      <c r="I140" s="13" t="n">
        <f aca="false">IF(MONTH($A140)=7,1,0)</f>
        <v>0</v>
      </c>
      <c r="J140" s="13" t="n">
        <f aca="false">IF(MONTH($A140)=8,1,0)</f>
        <v>0</v>
      </c>
      <c r="K140" s="13" t="n">
        <f aca="false">IF(MONTH($A140)=9,1,0)</f>
        <v>0</v>
      </c>
      <c r="L140" s="13" t="n">
        <f aca="false">IF(MONTH($A140)=10,1,0)</f>
        <v>0</v>
      </c>
      <c r="M140" s="13" t="n">
        <f aca="false">IF(MONTH($A140)=11,1,0)</f>
        <v>0</v>
      </c>
      <c r="N140" s="13" t="n">
        <f aca="false">IF(MONTH($A140)=12,1,0)</f>
        <v>0</v>
      </c>
      <c r="O140" s="7" t="n">
        <f aca="false">$B$114+SUMPRODUCT(C140:N140,$C$114:$N$114)</f>
        <v>0.40755389341533</v>
      </c>
      <c r="P140" s="7" t="n">
        <f aca="false">B140-O140</f>
        <v>-1.0263885554316</v>
      </c>
      <c r="Q140" s="7" t="n">
        <f aca="false">P140^2</f>
        <v>1.05347346672096</v>
      </c>
      <c r="T140" s="5" t="s">
        <v>113</v>
      </c>
      <c r="U140" s="7" t="n">
        <f aca="false">INDEX(LINEST(B116:B161,C116:N161,TRUE(),TRUE()),5,2)</f>
        <v>55.3937373134929</v>
      </c>
      <c r="X140" s="6" t="s">
        <v>76</v>
      </c>
      <c r="Y140" s="20" t="n">
        <f aca="false">CORREL($C$116:$C$161,$K$116:$K$161)</f>
        <v>-0.0364507402199878</v>
      </c>
      <c r="Z140" s="20" t="n">
        <f aca="false">CORREL($D$116:$D$161,$K$116:$K$161)</f>
        <v>-0.0815139145939222</v>
      </c>
      <c r="AA140" s="20" t="n">
        <f aca="false">CORREL($E$116:$E$161,$K$116:$K$161)</f>
        <v>-0.0815139145939222</v>
      </c>
      <c r="AB140" s="20" t="n">
        <f aca="false">CORREL($F$116:$F$161,$K$116:$K$161)</f>
        <v>-0.0952380952380953</v>
      </c>
      <c r="AC140" s="20" t="n">
        <f aca="false">CORREL($G$116:$G$161,$K$116:$K$161)</f>
        <v>-0.0952380952380953</v>
      </c>
      <c r="AD140" s="20" t="n">
        <f aca="false">CORREL($H$116:$H$161,$K$116:$K$161)</f>
        <v>-0.0952380952380953</v>
      </c>
      <c r="AE140" s="20" t="n">
        <f aca="false">CORREL($I$116:$I$161,$K$116:$K$161)</f>
        <v>-0.0952380952380953</v>
      </c>
      <c r="AF140" s="20" t="n">
        <f aca="false">CORREL($J$116:$J$161,$K$116:$K$161)</f>
        <v>-0.0952380952380953</v>
      </c>
      <c r="AG140" s="20" t="n">
        <f aca="false">CORREL($K$116:$K$161,$K$116:$K$161)</f>
        <v>1</v>
      </c>
      <c r="AH140" s="20" t="n">
        <f aca="false">CORREL($L$116:$L$161,$K$116:$K$161)</f>
        <v>-0.0952380952380953</v>
      </c>
      <c r="AI140" s="20" t="n">
        <f aca="false">CORREL($M$116:$M$161,$K$116:$K$161)</f>
        <v>-0.0952380952380953</v>
      </c>
      <c r="AJ140" s="20" t="n">
        <f aca="false">CORREL($N$116:$N$161,$K$116:$K$161)</f>
        <v>-0.0952380952380953</v>
      </c>
    </row>
    <row r="141" customFormat="false" ht="15" hidden="false" customHeight="false" outlineLevel="0" collapsed="false">
      <c r="A141" s="11" t="n">
        <f aca="false">Data_Monthly!A30</f>
        <v>45065</v>
      </c>
      <c r="B141" s="12" t="n">
        <f aca="false">AVERAGE(Data_Monthly!B30:C30)-AVERAGE(Data_Monthly!E30:F30)</f>
        <v>0.262616594983101</v>
      </c>
      <c r="C141" s="13" t="n">
        <f aca="false">IF($A141&gt;=$U$114,1,0)</f>
        <v>0</v>
      </c>
      <c r="D141" s="13" t="n">
        <f aca="false">IF(MONTH($A141)=2,1,0)</f>
        <v>0</v>
      </c>
      <c r="E141" s="13" t="n">
        <f aca="false">IF(MONTH($A141)=3,1,0)</f>
        <v>0</v>
      </c>
      <c r="F141" s="13" t="n">
        <f aca="false">IF(MONTH($A141)=4,1,0)</f>
        <v>0</v>
      </c>
      <c r="G141" s="13" t="n">
        <f aca="false">IF(MONTH($A141)=5,1,0)</f>
        <v>1</v>
      </c>
      <c r="H141" s="13" t="n">
        <f aca="false">IF(MONTH($A141)=6,1,0)</f>
        <v>0</v>
      </c>
      <c r="I141" s="13" t="n">
        <f aca="false">IF(MONTH($A141)=7,1,0)</f>
        <v>0</v>
      </c>
      <c r="J141" s="13" t="n">
        <f aca="false">IF(MONTH($A141)=8,1,0)</f>
        <v>0</v>
      </c>
      <c r="K141" s="13" t="n">
        <f aca="false">IF(MONTH($A141)=9,1,0)</f>
        <v>0</v>
      </c>
      <c r="L141" s="13" t="n">
        <f aca="false">IF(MONTH($A141)=10,1,0)</f>
        <v>0</v>
      </c>
      <c r="M141" s="13" t="n">
        <f aca="false">IF(MONTH($A141)=11,1,0)</f>
        <v>0</v>
      </c>
      <c r="N141" s="13" t="n">
        <f aca="false">IF(MONTH($A141)=12,1,0)</f>
        <v>0</v>
      </c>
      <c r="O141" s="7" t="n">
        <f aca="false">$B$114+SUMPRODUCT(C141:N141,$C$114:$N$114)</f>
        <v>-0.130298073052055</v>
      </c>
      <c r="P141" s="7" t="n">
        <f aca="false">B141-O141</f>
        <v>0.392914668035155</v>
      </c>
      <c r="Q141" s="7" t="n">
        <f aca="false">P141^2</f>
        <v>0.154381936357176</v>
      </c>
      <c r="T141" s="5" t="s">
        <v>121</v>
      </c>
      <c r="U141" s="13" t="n">
        <f aca="false">COLUMNS(C116:N161)</f>
        <v>12</v>
      </c>
      <c r="X141" s="6" t="s">
        <v>77</v>
      </c>
      <c r="Y141" s="20" t="n">
        <f aca="false">CORREL($C$116:$C$161,$L$116:$L$161)</f>
        <v>-0.0364507402199878</v>
      </c>
      <c r="Z141" s="20" t="n">
        <f aca="false">CORREL($D$116:$D$161,$L$116:$L$161)</f>
        <v>-0.0815139145939222</v>
      </c>
      <c r="AA141" s="20" t="n">
        <f aca="false">CORREL($E$116:$E$161,$L$116:$L$161)</f>
        <v>-0.0815139145939222</v>
      </c>
      <c r="AB141" s="20" t="n">
        <f aca="false">CORREL($F$116:$F$161,$L$116:$L$161)</f>
        <v>-0.0952380952380953</v>
      </c>
      <c r="AC141" s="20" t="n">
        <f aca="false">CORREL($G$116:$G$161,$L$116:$L$161)</f>
        <v>-0.0952380952380953</v>
      </c>
      <c r="AD141" s="20" t="n">
        <f aca="false">CORREL($H$116:$H$161,$L$116:$L$161)</f>
        <v>-0.0952380952380953</v>
      </c>
      <c r="AE141" s="20" t="n">
        <f aca="false">CORREL($I$116:$I$161,$L$116:$L$161)</f>
        <v>-0.0952380952380953</v>
      </c>
      <c r="AF141" s="20" t="n">
        <f aca="false">CORREL($J$116:$J$161,$L$116:$L$161)</f>
        <v>-0.0952380952380953</v>
      </c>
      <c r="AG141" s="20" t="n">
        <f aca="false">CORREL($K$116:$K$161,$L$116:$L$161)</f>
        <v>-0.0952380952380953</v>
      </c>
      <c r="AH141" s="20" t="n">
        <f aca="false">CORREL($L$116:$L$161,$L$116:$L$161)</f>
        <v>1</v>
      </c>
      <c r="AI141" s="20" t="n">
        <f aca="false">CORREL($M$116:$M$161,$L$116:$L$161)</f>
        <v>-0.0952380952380953</v>
      </c>
      <c r="AJ141" s="20" t="n">
        <f aca="false">CORREL($N$116:$N$161,$L$116:$L$161)</f>
        <v>-0.0952380952380953</v>
      </c>
    </row>
    <row r="142" customFormat="false" ht="15" hidden="false" customHeight="false" outlineLevel="0" collapsed="false">
      <c r="A142" s="11" t="n">
        <f aca="false">Data_Monthly!A31</f>
        <v>45107</v>
      </c>
      <c r="B142" s="12" t="n">
        <f aca="false">AVERAGE(Data_Monthly!B31:C31)-AVERAGE(Data_Monthly!E31:F31)</f>
        <v>0.30583134387907</v>
      </c>
      <c r="C142" s="13" t="n">
        <f aca="false">IF($A142&gt;=$U$114,1,0)</f>
        <v>0</v>
      </c>
      <c r="D142" s="13" t="n">
        <f aca="false">IF(MONTH($A142)=2,1,0)</f>
        <v>0</v>
      </c>
      <c r="E142" s="13" t="n">
        <f aca="false">IF(MONTH($A142)=3,1,0)</f>
        <v>0</v>
      </c>
      <c r="F142" s="13" t="n">
        <f aca="false">IF(MONTH($A142)=4,1,0)</f>
        <v>0</v>
      </c>
      <c r="G142" s="13" t="n">
        <f aca="false">IF(MONTH($A142)=5,1,0)</f>
        <v>0</v>
      </c>
      <c r="H142" s="13" t="n">
        <f aca="false">IF(MONTH($A142)=6,1,0)</f>
        <v>1</v>
      </c>
      <c r="I142" s="13" t="n">
        <f aca="false">IF(MONTH($A142)=7,1,0)</f>
        <v>0</v>
      </c>
      <c r="J142" s="13" t="n">
        <f aca="false">IF(MONTH($A142)=8,1,0)</f>
        <v>0</v>
      </c>
      <c r="K142" s="13" t="n">
        <f aca="false">IF(MONTH($A142)=9,1,0)</f>
        <v>0</v>
      </c>
      <c r="L142" s="13" t="n">
        <f aca="false">IF(MONTH($A142)=10,1,0)</f>
        <v>0</v>
      </c>
      <c r="M142" s="13" t="n">
        <f aca="false">IF(MONTH($A142)=11,1,0)</f>
        <v>0</v>
      </c>
      <c r="N142" s="13" t="n">
        <f aca="false">IF(MONTH($A142)=12,1,0)</f>
        <v>0</v>
      </c>
      <c r="O142" s="7" t="n">
        <f aca="false">$B$114+SUMPRODUCT(C142:N142,$C$114:$N$114)</f>
        <v>-0.14758471502066</v>
      </c>
      <c r="P142" s="7" t="n">
        <f aca="false">B142-O142</f>
        <v>0.45341605889973</v>
      </c>
      <c r="Q142" s="7" t="n">
        <f aca="false">P142^2</f>
        <v>0.205586122468164</v>
      </c>
      <c r="T142" s="5" t="s">
        <v>111</v>
      </c>
      <c r="U142" s="13" t="n">
        <f aca="false">$U$134</f>
        <v>33</v>
      </c>
      <c r="X142" s="6" t="s">
        <v>78</v>
      </c>
      <c r="Y142" s="20" t="n">
        <f aca="false">CORREL($C$116:$C$161,$M$116:$M$161)</f>
        <v>-0.0364507402199878</v>
      </c>
      <c r="Z142" s="20" t="n">
        <f aca="false">CORREL($D$116:$D$161,$M$116:$M$161)</f>
        <v>-0.0815139145939222</v>
      </c>
      <c r="AA142" s="20" t="n">
        <f aca="false">CORREL($E$116:$E$161,$M$116:$M$161)</f>
        <v>-0.0815139145939222</v>
      </c>
      <c r="AB142" s="20" t="n">
        <f aca="false">CORREL($F$116:$F$161,$M$116:$M$161)</f>
        <v>-0.0952380952380953</v>
      </c>
      <c r="AC142" s="20" t="n">
        <f aca="false">CORREL($G$116:$G$161,$M$116:$M$161)</f>
        <v>-0.0952380952380953</v>
      </c>
      <c r="AD142" s="20" t="n">
        <f aca="false">CORREL($H$116:$H$161,$M$116:$M$161)</f>
        <v>-0.0952380952380953</v>
      </c>
      <c r="AE142" s="20" t="n">
        <f aca="false">CORREL($I$116:$I$161,$M$116:$M$161)</f>
        <v>-0.0952380952380953</v>
      </c>
      <c r="AF142" s="20" t="n">
        <f aca="false">CORREL($J$116:$J$161,$M$116:$M$161)</f>
        <v>-0.0952380952380953</v>
      </c>
      <c r="AG142" s="20" t="n">
        <f aca="false">CORREL($K$116:$K$161,$M$116:$M$161)</f>
        <v>-0.0952380952380953</v>
      </c>
      <c r="AH142" s="20" t="n">
        <f aca="false">CORREL($L$116:$L$161,$M$116:$M$161)</f>
        <v>-0.0952380952380953</v>
      </c>
      <c r="AI142" s="20" t="n">
        <f aca="false">CORREL($M$116:$M$161,$M$116:$M$161)</f>
        <v>1</v>
      </c>
      <c r="AJ142" s="20" t="n">
        <f aca="false">CORREL($N$116:$N$161,$M$116:$M$161)</f>
        <v>-0.0952380952380953</v>
      </c>
    </row>
    <row r="143" customFormat="false" ht="15" hidden="false" customHeight="false" outlineLevel="0" collapsed="false">
      <c r="A143" s="11" t="n">
        <f aca="false">Data_Monthly!A32</f>
        <v>45135</v>
      </c>
      <c r="B143" s="12" t="n">
        <f aca="false">AVERAGE(Data_Monthly!B32:C32)-AVERAGE(Data_Monthly!E32:F32)</f>
        <v>0.644751991621373</v>
      </c>
      <c r="C143" s="13" t="n">
        <f aca="false">IF($A143&gt;=$U$114,1,0)</f>
        <v>0</v>
      </c>
      <c r="D143" s="13" t="n">
        <f aca="false">IF(MONTH($A143)=2,1,0)</f>
        <v>0</v>
      </c>
      <c r="E143" s="13" t="n">
        <f aca="false">IF(MONTH($A143)=3,1,0)</f>
        <v>0</v>
      </c>
      <c r="F143" s="13" t="n">
        <f aca="false">IF(MONTH($A143)=4,1,0)</f>
        <v>0</v>
      </c>
      <c r="G143" s="13" t="n">
        <f aca="false">IF(MONTH($A143)=5,1,0)</f>
        <v>0</v>
      </c>
      <c r="H143" s="13" t="n">
        <f aca="false">IF(MONTH($A143)=6,1,0)</f>
        <v>0</v>
      </c>
      <c r="I143" s="13" t="n">
        <f aca="false">IF(MONTH($A143)=7,1,0)</f>
        <v>1</v>
      </c>
      <c r="J143" s="13" t="n">
        <f aca="false">IF(MONTH($A143)=8,1,0)</f>
        <v>0</v>
      </c>
      <c r="K143" s="13" t="n">
        <f aca="false">IF(MONTH($A143)=9,1,0)</f>
        <v>0</v>
      </c>
      <c r="L143" s="13" t="n">
        <f aca="false">IF(MONTH($A143)=10,1,0)</f>
        <v>0</v>
      </c>
      <c r="M143" s="13" t="n">
        <f aca="false">IF(MONTH($A143)=11,1,0)</f>
        <v>0</v>
      </c>
      <c r="N143" s="13" t="n">
        <f aca="false">IF(MONTH($A143)=12,1,0)</f>
        <v>0</v>
      </c>
      <c r="O143" s="7" t="n">
        <f aca="false">$B$114+SUMPRODUCT(C143:N143,$C$114:$N$114)</f>
        <v>1.99201670490383</v>
      </c>
      <c r="P143" s="7" t="n">
        <f aca="false">B143-O143</f>
        <v>-1.34726471328245</v>
      </c>
      <c r="Q143" s="7" t="n">
        <f aca="false">P143^2</f>
        <v>1.81512220765605</v>
      </c>
      <c r="T143" s="5" t="s">
        <v>122</v>
      </c>
      <c r="U143" s="7" t="n">
        <f aca="false">$U$139/$U$141</f>
        <v>5.07644334858684</v>
      </c>
      <c r="X143" s="6" t="s">
        <v>79</v>
      </c>
      <c r="Y143" s="20" t="n">
        <f aca="false">CORREL($C$116:$C$161,$N$116:$N$161)</f>
        <v>0.131222664791956</v>
      </c>
      <c r="Z143" s="20" t="n">
        <f aca="false">CORREL($D$116:$D$161,$N$116:$N$161)</f>
        <v>-0.0815139145939222</v>
      </c>
      <c r="AA143" s="20" t="n">
        <f aca="false">CORREL($E$116:$E$161,$N$116:$N$161)</f>
        <v>-0.0815139145939222</v>
      </c>
      <c r="AB143" s="20" t="n">
        <f aca="false">CORREL($F$116:$F$161,$N$116:$N$161)</f>
        <v>-0.0952380952380953</v>
      </c>
      <c r="AC143" s="20" t="n">
        <f aca="false">CORREL($G$116:$G$161,$N$116:$N$161)</f>
        <v>-0.0952380952380953</v>
      </c>
      <c r="AD143" s="20" t="n">
        <f aca="false">CORREL($H$116:$H$161,$N$116:$N$161)</f>
        <v>-0.0952380952380953</v>
      </c>
      <c r="AE143" s="20" t="n">
        <f aca="false">CORREL($I$116:$I$161,$N$116:$N$161)</f>
        <v>-0.0952380952380953</v>
      </c>
      <c r="AF143" s="20" t="n">
        <f aca="false">CORREL($J$116:$J$161,$N$116:$N$161)</f>
        <v>-0.0952380952380953</v>
      </c>
      <c r="AG143" s="20" t="n">
        <f aca="false">CORREL($K$116:$K$161,$N$116:$N$161)</f>
        <v>-0.0952380952380953</v>
      </c>
      <c r="AH143" s="20" t="n">
        <f aca="false">CORREL($L$116:$L$161,$N$116:$N$161)</f>
        <v>-0.0952380952380953</v>
      </c>
      <c r="AI143" s="20" t="n">
        <f aca="false">CORREL($M$116:$M$161,$N$116:$N$161)</f>
        <v>-0.0952380952380953</v>
      </c>
      <c r="AJ143" s="20" t="n">
        <f aca="false">CORREL($N$116:$N$161,$N$116:$N$161)</f>
        <v>1</v>
      </c>
    </row>
    <row r="144" customFormat="false" ht="15" hidden="false" customHeight="false" outlineLevel="0" collapsed="false">
      <c r="A144" s="11" t="n">
        <f aca="false">Data_Monthly!A33</f>
        <v>45163</v>
      </c>
      <c r="B144" s="12" t="n">
        <f aca="false">AVERAGE(Data_Monthly!B33:C33)-AVERAGE(Data_Monthly!E33:F33)</f>
        <v>-0.463350858702683</v>
      </c>
      <c r="C144" s="13" t="n">
        <f aca="false">IF($A144&gt;=$U$114,1,0)</f>
        <v>0</v>
      </c>
      <c r="D144" s="13" t="n">
        <f aca="false">IF(MONTH($A144)=2,1,0)</f>
        <v>0</v>
      </c>
      <c r="E144" s="13" t="n">
        <f aca="false">IF(MONTH($A144)=3,1,0)</f>
        <v>0</v>
      </c>
      <c r="F144" s="13" t="n">
        <f aca="false">IF(MONTH($A144)=4,1,0)</f>
        <v>0</v>
      </c>
      <c r="G144" s="13" t="n">
        <f aca="false">IF(MONTH($A144)=5,1,0)</f>
        <v>0</v>
      </c>
      <c r="H144" s="13" t="n">
        <f aca="false">IF(MONTH($A144)=6,1,0)</f>
        <v>0</v>
      </c>
      <c r="I144" s="13" t="n">
        <f aca="false">IF(MONTH($A144)=7,1,0)</f>
        <v>0</v>
      </c>
      <c r="J144" s="13" t="n">
        <f aca="false">IF(MONTH($A144)=8,1,0)</f>
        <v>1</v>
      </c>
      <c r="K144" s="13" t="n">
        <f aca="false">IF(MONTH($A144)=9,1,0)</f>
        <v>0</v>
      </c>
      <c r="L144" s="13" t="n">
        <f aca="false">IF(MONTH($A144)=10,1,0)</f>
        <v>0</v>
      </c>
      <c r="M144" s="13" t="n">
        <f aca="false">IF(MONTH($A144)=11,1,0)</f>
        <v>0</v>
      </c>
      <c r="N144" s="13" t="n">
        <f aca="false">IF(MONTH($A144)=12,1,0)</f>
        <v>0</v>
      </c>
      <c r="O144" s="7" t="n">
        <f aca="false">$B$114+SUMPRODUCT(C144:N144,$C$114:$N$114)</f>
        <v>0.154824350442356</v>
      </c>
      <c r="P144" s="7" t="n">
        <f aca="false">B144-O144</f>
        <v>-0.618175209145039</v>
      </c>
      <c r="Q144" s="7" t="n">
        <f aca="false">P144^2</f>
        <v>0.382140589201512</v>
      </c>
      <c r="T144" s="5" t="s">
        <v>123</v>
      </c>
      <c r="U144" s="7" t="n">
        <f aca="false">$U$140/$U$142</f>
        <v>1.67859810040888</v>
      </c>
    </row>
    <row r="145" customFormat="false" ht="15" hidden="false" customHeight="false" outlineLevel="0" collapsed="false">
      <c r="A145" s="11" t="n">
        <f aca="false">Data_Monthly!A34</f>
        <v>45191</v>
      </c>
      <c r="B145" s="12" t="n">
        <f aca="false">AVERAGE(Data_Monthly!B34:C34)-AVERAGE(Data_Monthly!E34:F34)</f>
        <v>-1.29824843818369</v>
      </c>
      <c r="C145" s="13" t="n">
        <f aca="false">IF($A145&gt;=$U$114,1,0)</f>
        <v>0</v>
      </c>
      <c r="D145" s="13" t="n">
        <f aca="false">IF(MONTH($A145)=2,1,0)</f>
        <v>0</v>
      </c>
      <c r="E145" s="13" t="n">
        <f aca="false">IF(MONTH($A145)=3,1,0)</f>
        <v>0</v>
      </c>
      <c r="F145" s="13" t="n">
        <f aca="false">IF(MONTH($A145)=4,1,0)</f>
        <v>0</v>
      </c>
      <c r="G145" s="13" t="n">
        <f aca="false">IF(MONTH($A145)=5,1,0)</f>
        <v>0</v>
      </c>
      <c r="H145" s="13" t="n">
        <f aca="false">IF(MONTH($A145)=6,1,0)</f>
        <v>0</v>
      </c>
      <c r="I145" s="13" t="n">
        <f aca="false">IF(MONTH($A145)=7,1,0)</f>
        <v>0</v>
      </c>
      <c r="J145" s="13" t="n">
        <f aca="false">IF(MONTH($A145)=8,1,0)</f>
        <v>0</v>
      </c>
      <c r="K145" s="13" t="n">
        <f aca="false">IF(MONTH($A145)=9,1,0)</f>
        <v>1</v>
      </c>
      <c r="L145" s="13" t="n">
        <f aca="false">IF(MONTH($A145)=10,1,0)</f>
        <v>0</v>
      </c>
      <c r="M145" s="13" t="n">
        <f aca="false">IF(MONTH($A145)=11,1,0)</f>
        <v>0</v>
      </c>
      <c r="N145" s="13" t="n">
        <f aca="false">IF(MONTH($A145)=12,1,0)</f>
        <v>0</v>
      </c>
      <c r="O145" s="7" t="n">
        <f aca="false">$B$114+SUMPRODUCT(C145:N145,$C$114:$N$114)</f>
        <v>-1.03300710522634</v>
      </c>
      <c r="P145" s="7" t="n">
        <f aca="false">B145-O145</f>
        <v>-0.26524133295735</v>
      </c>
      <c r="Q145" s="7" t="n">
        <f aca="false">P145^2</f>
        <v>0.070352964708992</v>
      </c>
      <c r="T145" s="5" t="s">
        <v>124</v>
      </c>
      <c r="U145" s="7" t="n">
        <f aca="false">INDEX(LINEST(B116:B161,C116:N161,TRUE(),TRUE()),4,1)</f>
        <v>3.02421606896273</v>
      </c>
    </row>
    <row r="146" customFormat="false" ht="15" hidden="false" customHeight="false" outlineLevel="0" collapsed="false">
      <c r="A146" s="11" t="n">
        <f aca="false">Data_Monthly!A35</f>
        <v>45219</v>
      </c>
      <c r="B146" s="12" t="n">
        <f aca="false">AVERAGE(Data_Monthly!B35:C35)-AVERAGE(Data_Monthly!E35:F35)</f>
        <v>4.43752206804442</v>
      </c>
      <c r="C146" s="13" t="n">
        <f aca="false">IF($A146&gt;=$U$114,1,0)</f>
        <v>0</v>
      </c>
      <c r="D146" s="13" t="n">
        <f aca="false">IF(MONTH($A146)=2,1,0)</f>
        <v>0</v>
      </c>
      <c r="E146" s="13" t="n">
        <f aca="false">IF(MONTH($A146)=3,1,0)</f>
        <v>0</v>
      </c>
      <c r="F146" s="13" t="n">
        <f aca="false">IF(MONTH($A146)=4,1,0)</f>
        <v>0</v>
      </c>
      <c r="G146" s="13" t="n">
        <f aca="false">IF(MONTH($A146)=5,1,0)</f>
        <v>0</v>
      </c>
      <c r="H146" s="13" t="n">
        <f aca="false">IF(MONTH($A146)=6,1,0)</f>
        <v>0</v>
      </c>
      <c r="I146" s="13" t="n">
        <f aca="false">IF(MONTH($A146)=7,1,0)</f>
        <v>0</v>
      </c>
      <c r="J146" s="13" t="n">
        <f aca="false">IF(MONTH($A146)=8,1,0)</f>
        <v>0</v>
      </c>
      <c r="K146" s="13" t="n">
        <f aca="false">IF(MONTH($A146)=9,1,0)</f>
        <v>0</v>
      </c>
      <c r="L146" s="13" t="n">
        <f aca="false">IF(MONTH($A146)=10,1,0)</f>
        <v>1</v>
      </c>
      <c r="M146" s="13" t="n">
        <f aca="false">IF(MONTH($A146)=11,1,0)</f>
        <v>0</v>
      </c>
      <c r="N146" s="13" t="n">
        <f aca="false">IF(MONTH($A146)=12,1,0)</f>
        <v>0</v>
      </c>
      <c r="O146" s="7" t="n">
        <f aca="false">$B$114+SUMPRODUCT(C146:N146,$C$114:$N$114)</f>
        <v>3.11121367439239</v>
      </c>
      <c r="P146" s="7" t="n">
        <f aca="false">B146-O146</f>
        <v>1.32630839365203</v>
      </c>
      <c r="Q146" s="7" t="n">
        <f aca="false">P146^2</f>
        <v>1.75909395507182</v>
      </c>
      <c r="T146" s="5" t="s">
        <v>125</v>
      </c>
      <c r="U146" s="7" t="n">
        <f aca="false">_xlfn.F.DIST.RT($U$145,$U$141,$U$142)</f>
        <v>0.0058257701932713</v>
      </c>
    </row>
    <row r="147" customFormat="false" ht="15" hidden="false" customHeight="false" outlineLevel="0" collapsed="false">
      <c r="A147" s="11" t="n">
        <f aca="false">Data_Monthly!A36</f>
        <v>45247</v>
      </c>
      <c r="B147" s="12" t="n">
        <f aca="false">AVERAGE(Data_Monthly!B36:C36)-AVERAGE(Data_Monthly!E36:F36)</f>
        <v>-0.341007933316107</v>
      </c>
      <c r="C147" s="13" t="n">
        <f aca="false">IF($A147&gt;=$U$114,1,0)</f>
        <v>0</v>
      </c>
      <c r="D147" s="13" t="n">
        <f aca="false">IF(MONTH($A147)=2,1,0)</f>
        <v>0</v>
      </c>
      <c r="E147" s="13" t="n">
        <f aca="false">IF(MONTH($A147)=3,1,0)</f>
        <v>0</v>
      </c>
      <c r="F147" s="13" t="n">
        <f aca="false">IF(MONTH($A147)=4,1,0)</f>
        <v>0</v>
      </c>
      <c r="G147" s="13" t="n">
        <f aca="false">IF(MONTH($A147)=5,1,0)</f>
        <v>0</v>
      </c>
      <c r="H147" s="13" t="n">
        <f aca="false">IF(MONTH($A147)=6,1,0)</f>
        <v>0</v>
      </c>
      <c r="I147" s="13" t="n">
        <f aca="false">IF(MONTH($A147)=7,1,0)</f>
        <v>0</v>
      </c>
      <c r="J147" s="13" t="n">
        <f aca="false">IF(MONTH($A147)=8,1,0)</f>
        <v>0</v>
      </c>
      <c r="K147" s="13" t="n">
        <f aca="false">IF(MONTH($A147)=9,1,0)</f>
        <v>0</v>
      </c>
      <c r="L147" s="13" t="n">
        <f aca="false">IF(MONTH($A147)=10,1,0)</f>
        <v>0</v>
      </c>
      <c r="M147" s="13" t="n">
        <f aca="false">IF(MONTH($A147)=11,1,0)</f>
        <v>1</v>
      </c>
      <c r="N147" s="13" t="n">
        <f aca="false">IF(MONTH($A147)=12,1,0)</f>
        <v>0</v>
      </c>
      <c r="O147" s="7" t="n">
        <f aca="false">$B$114+SUMPRODUCT(C147:N147,$C$114:$N$114)</f>
        <v>0.246274874466795</v>
      </c>
      <c r="P147" s="7" t="n">
        <f aca="false">B147-O147</f>
        <v>-0.587282807782902</v>
      </c>
      <c r="Q147" s="7" t="n">
        <f aca="false">P147^2</f>
        <v>0.344901096317369</v>
      </c>
    </row>
    <row r="148" customFormat="false" ht="15" hidden="false" customHeight="false" outlineLevel="0" collapsed="false">
      <c r="A148" s="11" t="n">
        <f aca="false">Data_Monthly!A37</f>
        <v>45289</v>
      </c>
      <c r="B148" s="12" t="n">
        <f aca="false">AVERAGE(Data_Monthly!B37:C37)-AVERAGE(Data_Monthly!E37:F37)</f>
        <v>0.195334104706468</v>
      </c>
      <c r="C148" s="13" t="n">
        <f aca="false">IF($A148&gt;=$U$114,1,0)</f>
        <v>1</v>
      </c>
      <c r="D148" s="13" t="n">
        <f aca="false">IF(MONTH($A148)=2,1,0)</f>
        <v>0</v>
      </c>
      <c r="E148" s="13" t="n">
        <f aca="false">IF(MONTH($A148)=3,1,0)</f>
        <v>0</v>
      </c>
      <c r="F148" s="13" t="n">
        <f aca="false">IF(MONTH($A148)=4,1,0)</f>
        <v>0</v>
      </c>
      <c r="G148" s="13" t="n">
        <f aca="false">IF(MONTH($A148)=5,1,0)</f>
        <v>0</v>
      </c>
      <c r="H148" s="13" t="n">
        <f aca="false">IF(MONTH($A148)=6,1,0)</f>
        <v>0</v>
      </c>
      <c r="I148" s="13" t="n">
        <f aca="false">IF(MONTH($A148)=7,1,0)</f>
        <v>0</v>
      </c>
      <c r="J148" s="13" t="n">
        <f aca="false">IF(MONTH($A148)=8,1,0)</f>
        <v>0</v>
      </c>
      <c r="K148" s="13" t="n">
        <f aca="false">IF(MONTH($A148)=9,1,0)</f>
        <v>0</v>
      </c>
      <c r="L148" s="13" t="n">
        <f aca="false">IF(MONTH($A148)=10,1,0)</f>
        <v>0</v>
      </c>
      <c r="M148" s="13" t="n">
        <f aca="false">IF(MONTH($A148)=11,1,0)</f>
        <v>0</v>
      </c>
      <c r="N148" s="13" t="n">
        <f aca="false">IF(MONTH($A148)=12,1,0)</f>
        <v>1</v>
      </c>
      <c r="O148" s="7" t="n">
        <f aca="false">$B$114+SUMPRODUCT(C148:N148,$C$114:$N$114)</f>
        <v>-0.0315244971198606</v>
      </c>
      <c r="P148" s="7" t="n">
        <f aca="false">B148-O148</f>
        <v>0.226858601826329</v>
      </c>
      <c r="Q148" s="7" t="n">
        <f aca="false">P148^2</f>
        <v>0.0514648252225968</v>
      </c>
      <c r="T148" s="9" t="s">
        <v>126</v>
      </c>
      <c r="U148" s="14" t="s">
        <v>91</v>
      </c>
      <c r="V148" s="14" t="s">
        <v>92</v>
      </c>
    </row>
    <row r="149" customFormat="false" ht="15" hidden="false" customHeight="false" outlineLevel="0" collapsed="false">
      <c r="A149" s="11" t="n">
        <f aca="false">Data_Monthly!A38</f>
        <v>45317</v>
      </c>
      <c r="B149" s="12" t="n">
        <f aca="false">AVERAGE(Data_Monthly!B38:C38)-AVERAGE(Data_Monthly!E38:F38)</f>
        <v>1.19376069431691</v>
      </c>
      <c r="C149" s="13" t="n">
        <f aca="false">IF($A149&gt;=$U$114,1,0)</f>
        <v>1</v>
      </c>
      <c r="D149" s="13" t="n">
        <f aca="false">IF(MONTH($A149)=2,1,0)</f>
        <v>0</v>
      </c>
      <c r="E149" s="13" t="n">
        <f aca="false">IF(MONTH($A149)=3,1,0)</f>
        <v>0</v>
      </c>
      <c r="F149" s="13" t="n">
        <f aca="false">IF(MONTH($A149)=4,1,0)</f>
        <v>0</v>
      </c>
      <c r="G149" s="13" t="n">
        <f aca="false">IF(MONTH($A149)=5,1,0)</f>
        <v>0</v>
      </c>
      <c r="H149" s="13" t="n">
        <f aca="false">IF(MONTH($A149)=6,1,0)</f>
        <v>0</v>
      </c>
      <c r="I149" s="13" t="n">
        <f aca="false">IF(MONTH($A149)=7,1,0)</f>
        <v>0</v>
      </c>
      <c r="J149" s="13" t="n">
        <f aca="false">IF(MONTH($A149)=8,1,0)</f>
        <v>0</v>
      </c>
      <c r="K149" s="13" t="n">
        <f aca="false">IF(MONTH($A149)=9,1,0)</f>
        <v>0</v>
      </c>
      <c r="L149" s="13" t="n">
        <f aca="false">IF(MONTH($A149)=10,1,0)</f>
        <v>0</v>
      </c>
      <c r="M149" s="13" t="n">
        <f aca="false">IF(MONTH($A149)=11,1,0)</f>
        <v>0</v>
      </c>
      <c r="N149" s="13" t="n">
        <f aca="false">IF(MONTH($A149)=12,1,0)</f>
        <v>0</v>
      </c>
      <c r="O149" s="7" t="n">
        <f aca="false">$B$114+SUMPRODUCT(C149:N149,$C$114:$N$114)</f>
        <v>-0.25110161568812</v>
      </c>
      <c r="P149" s="7" t="n">
        <f aca="false">B149-O149</f>
        <v>1.44486231000503</v>
      </c>
      <c r="Q149" s="7" t="n">
        <f aca="false">P149^2</f>
        <v>2.08762709487308</v>
      </c>
      <c r="T149" s="5" t="s">
        <v>109</v>
      </c>
      <c r="U149" s="7" t="n">
        <f aca="false">Y116</f>
        <v>-0.707107182565879</v>
      </c>
      <c r="V149" s="16" t="n">
        <v>-0.707107182565879</v>
      </c>
    </row>
    <row r="150" customFormat="false" ht="15" hidden="false" customHeight="false" outlineLevel="0" collapsed="false">
      <c r="A150" s="11" t="n">
        <f aca="false">Data_Monthly!A39</f>
        <v>45345</v>
      </c>
      <c r="B150" s="12" t="n">
        <f aca="false">AVERAGE(Data_Monthly!B39:C39)-AVERAGE(Data_Monthly!E39:F39)</f>
        <v>-0.537836195640295</v>
      </c>
      <c r="C150" s="13" t="n">
        <f aca="false">IF($A150&gt;=$U$114,1,0)</f>
        <v>1</v>
      </c>
      <c r="D150" s="13" t="n">
        <f aca="false">IF(MONTH($A150)=2,1,0)</f>
        <v>1</v>
      </c>
      <c r="E150" s="13" t="n">
        <f aca="false">IF(MONTH($A150)=3,1,0)</f>
        <v>0</v>
      </c>
      <c r="F150" s="13" t="n">
        <f aca="false">IF(MONTH($A150)=4,1,0)</f>
        <v>0</v>
      </c>
      <c r="G150" s="13" t="n">
        <f aca="false">IF(MONTH($A150)=5,1,0)</f>
        <v>0</v>
      </c>
      <c r="H150" s="13" t="n">
        <f aca="false">IF(MONTH($A150)=6,1,0)</f>
        <v>0</v>
      </c>
      <c r="I150" s="13" t="n">
        <f aca="false">IF(MONTH($A150)=7,1,0)</f>
        <v>0</v>
      </c>
      <c r="J150" s="13" t="n">
        <f aca="false">IF(MONTH($A150)=8,1,0)</f>
        <v>0</v>
      </c>
      <c r="K150" s="13" t="n">
        <f aca="false">IF(MONTH($A150)=9,1,0)</f>
        <v>0</v>
      </c>
      <c r="L150" s="13" t="n">
        <f aca="false">IF(MONTH($A150)=10,1,0)</f>
        <v>0</v>
      </c>
      <c r="M150" s="13" t="n">
        <f aca="false">IF(MONTH($A150)=11,1,0)</f>
        <v>0</v>
      </c>
      <c r="N150" s="13" t="n">
        <f aca="false">IF(MONTH($A150)=12,1,0)</f>
        <v>0</v>
      </c>
      <c r="O150" s="7" t="n">
        <f aca="false">$B$114+SUMPRODUCT(C150:N150,$C$114:$N$114)</f>
        <v>-0.120405874147714</v>
      </c>
      <c r="P150" s="7" t="n">
        <f aca="false">B150-O150</f>
        <v>-0.417430321492582</v>
      </c>
      <c r="Q150" s="7" t="n">
        <f aca="false">P150^2</f>
        <v>0.1742480733014</v>
      </c>
      <c r="T150" s="5" t="s">
        <v>110</v>
      </c>
      <c r="U150" s="7" t="n">
        <f aca="false">Z116</f>
        <v>0.424087015213128</v>
      </c>
    </row>
    <row r="151" customFormat="false" ht="15" hidden="false" customHeight="false" outlineLevel="0" collapsed="false">
      <c r="A151" s="11" t="n">
        <f aca="false">Data_Monthly!A40</f>
        <v>45373</v>
      </c>
      <c r="B151" s="12" t="n">
        <f aca="false">AVERAGE(Data_Monthly!B40:C40)-AVERAGE(Data_Monthly!E40:F40)</f>
        <v>-0.579173391421861</v>
      </c>
      <c r="C151" s="13" t="n">
        <f aca="false">IF($A151&gt;=$U$114,1,0)</f>
        <v>1</v>
      </c>
      <c r="D151" s="13" t="n">
        <f aca="false">IF(MONTH($A151)=2,1,0)</f>
        <v>0</v>
      </c>
      <c r="E151" s="13" t="n">
        <f aca="false">IF(MONTH($A151)=3,1,0)</f>
        <v>1</v>
      </c>
      <c r="F151" s="13" t="n">
        <f aca="false">IF(MONTH($A151)=4,1,0)</f>
        <v>0</v>
      </c>
      <c r="G151" s="13" t="n">
        <f aca="false">IF(MONTH($A151)=5,1,0)</f>
        <v>0</v>
      </c>
      <c r="H151" s="13" t="n">
        <f aca="false">IF(MONTH($A151)=6,1,0)</f>
        <v>0</v>
      </c>
      <c r="I151" s="13" t="n">
        <f aca="false">IF(MONTH($A151)=7,1,0)</f>
        <v>0</v>
      </c>
      <c r="J151" s="13" t="n">
        <f aca="false">IF(MONTH($A151)=8,1,0)</f>
        <v>0</v>
      </c>
      <c r="K151" s="13" t="n">
        <f aca="false">IF(MONTH($A151)=9,1,0)</f>
        <v>0</v>
      </c>
      <c r="L151" s="13" t="n">
        <f aca="false">IF(MONTH($A151)=10,1,0)</f>
        <v>0</v>
      </c>
      <c r="M151" s="13" t="n">
        <f aca="false">IF(MONTH($A151)=11,1,0)</f>
        <v>0</v>
      </c>
      <c r="N151" s="13" t="n">
        <f aca="false">IF(MONTH($A151)=12,1,0)</f>
        <v>0</v>
      </c>
      <c r="O151" s="7" t="n">
        <f aca="false">$B$114+SUMPRODUCT(C151:N151,$C$114:$N$114)</f>
        <v>1.41138324213963</v>
      </c>
      <c r="P151" s="7" t="n">
        <f aca="false">B151-O151</f>
        <v>-1.99055663356149</v>
      </c>
      <c r="Q151" s="7" t="n">
        <f aca="false">P151^2</f>
        <v>3.96231571141566</v>
      </c>
      <c r="T151" s="5" t="s">
        <v>102</v>
      </c>
      <c r="U151" s="7" t="n">
        <f aca="false">AA116</f>
        <v>-1.667363435333</v>
      </c>
    </row>
    <row r="152" customFormat="false" ht="15" hidden="false" customHeight="false" outlineLevel="0" collapsed="false">
      <c r="A152" s="11" t="n">
        <f aca="false">Data_Monthly!A41</f>
        <v>45401</v>
      </c>
      <c r="B152" s="12" t="n">
        <f aca="false">AVERAGE(Data_Monthly!B41:C41)-AVERAGE(Data_Monthly!E41:F41)</f>
        <v>-0.208738337984737</v>
      </c>
      <c r="C152" s="13" t="n">
        <f aca="false">IF($A152&gt;=$U$114,1,0)</f>
        <v>1</v>
      </c>
      <c r="D152" s="13" t="n">
        <f aca="false">IF(MONTH($A152)=2,1,0)</f>
        <v>0</v>
      </c>
      <c r="E152" s="13" t="n">
        <f aca="false">IF(MONTH($A152)=3,1,0)</f>
        <v>0</v>
      </c>
      <c r="F152" s="13" t="n">
        <f aca="false">IF(MONTH($A152)=4,1,0)</f>
        <v>1</v>
      </c>
      <c r="G152" s="13" t="n">
        <f aca="false">IF(MONTH($A152)=5,1,0)</f>
        <v>0</v>
      </c>
      <c r="H152" s="13" t="n">
        <f aca="false">IF(MONTH($A152)=6,1,0)</f>
        <v>0</v>
      </c>
      <c r="I152" s="13" t="n">
        <f aca="false">IF(MONTH($A152)=7,1,0)</f>
        <v>0</v>
      </c>
      <c r="J152" s="13" t="n">
        <f aca="false">IF(MONTH($A152)=8,1,0)</f>
        <v>0</v>
      </c>
      <c r="K152" s="13" t="n">
        <f aca="false">IF(MONTH($A152)=9,1,0)</f>
        <v>0</v>
      </c>
      <c r="L152" s="13" t="n">
        <f aca="false">IF(MONTH($A152)=10,1,0)</f>
        <v>0</v>
      </c>
      <c r="M152" s="13" t="n">
        <f aca="false">IF(MONTH($A152)=11,1,0)</f>
        <v>0</v>
      </c>
      <c r="N152" s="13" t="n">
        <f aca="false">IF(MONTH($A152)=12,1,0)</f>
        <v>0</v>
      </c>
      <c r="O152" s="7" t="n">
        <f aca="false">$B$114+SUMPRODUCT(C152:N152,$C$114:$N$114)</f>
        <v>-0.299553289150549</v>
      </c>
      <c r="P152" s="7" t="n">
        <f aca="false">B152-O152</f>
        <v>0.090814951165812</v>
      </c>
      <c r="Q152" s="7" t="n">
        <f aca="false">P152^2</f>
        <v>0.00824735535524881</v>
      </c>
      <c r="T152" s="5" t="s">
        <v>88</v>
      </c>
      <c r="U152" s="7" t="n">
        <f aca="false">AB116</f>
        <v>0.104906354652841</v>
      </c>
      <c r="V152" s="16" t="n">
        <v>0.104906354652841</v>
      </c>
    </row>
    <row r="153" customFormat="false" ht="15" hidden="false" customHeight="false" outlineLevel="0" collapsed="false">
      <c r="A153" s="11" t="n">
        <f aca="false">Data_Monthly!A42</f>
        <v>45443</v>
      </c>
      <c r="B153" s="12" t="n">
        <f aca="false">AVERAGE(Data_Monthly!B42:C42)-AVERAGE(Data_Monthly!E42:F42)</f>
        <v>1.06968382959538</v>
      </c>
      <c r="C153" s="13" t="n">
        <f aca="false">IF($A153&gt;=$U$114,1,0)</f>
        <v>1</v>
      </c>
      <c r="D153" s="13" t="n">
        <f aca="false">IF(MONTH($A153)=2,1,0)</f>
        <v>0</v>
      </c>
      <c r="E153" s="13" t="n">
        <f aca="false">IF(MONTH($A153)=3,1,0)</f>
        <v>0</v>
      </c>
      <c r="F153" s="13" t="n">
        <f aca="false">IF(MONTH($A153)=4,1,0)</f>
        <v>0</v>
      </c>
      <c r="G153" s="13" t="n">
        <f aca="false">IF(MONTH($A153)=5,1,0)</f>
        <v>1</v>
      </c>
      <c r="H153" s="13" t="n">
        <f aca="false">IF(MONTH($A153)=6,1,0)</f>
        <v>0</v>
      </c>
      <c r="I153" s="13" t="n">
        <f aca="false">IF(MONTH($A153)=7,1,0)</f>
        <v>0</v>
      </c>
      <c r="J153" s="13" t="n">
        <f aca="false">IF(MONTH($A153)=8,1,0)</f>
        <v>0</v>
      </c>
      <c r="K153" s="13" t="n">
        <f aca="false">IF(MONTH($A153)=9,1,0)</f>
        <v>0</v>
      </c>
      <c r="L153" s="13" t="n">
        <f aca="false">IF(MONTH($A153)=10,1,0)</f>
        <v>0</v>
      </c>
      <c r="M153" s="13" t="n">
        <f aca="false">IF(MONTH($A153)=11,1,0)</f>
        <v>0</v>
      </c>
      <c r="N153" s="13" t="n">
        <f aca="false">IF(MONTH($A153)=12,1,0)</f>
        <v>0</v>
      </c>
      <c r="O153" s="7" t="n">
        <f aca="false">$B$114+SUMPRODUCT(C153:N153,$C$114:$N$114)</f>
        <v>-0.837405255617933</v>
      </c>
      <c r="P153" s="7" t="n">
        <f aca="false">B153-O153</f>
        <v>1.90708908521331</v>
      </c>
      <c r="Q153" s="7" t="n">
        <f aca="false">P153^2</f>
        <v>3.63698877893975</v>
      </c>
    </row>
    <row r="154" customFormat="false" ht="15" hidden="false" customHeight="false" outlineLevel="0" collapsed="false">
      <c r="A154" s="11" t="n">
        <f aca="false">Data_Monthly!A43</f>
        <v>45471</v>
      </c>
      <c r="B154" s="12" t="n">
        <f aca="false">AVERAGE(Data_Monthly!B43:C43)-AVERAGE(Data_Monthly!E43:F43)</f>
        <v>0.433756175215905</v>
      </c>
      <c r="C154" s="13" t="n">
        <f aca="false">IF($A154&gt;=$U$114,1,0)</f>
        <v>1</v>
      </c>
      <c r="D154" s="13" t="n">
        <f aca="false">IF(MONTH($A154)=2,1,0)</f>
        <v>0</v>
      </c>
      <c r="E154" s="13" t="n">
        <f aca="false">IF(MONTH($A154)=3,1,0)</f>
        <v>0</v>
      </c>
      <c r="F154" s="13" t="n">
        <f aca="false">IF(MONTH($A154)=4,1,0)</f>
        <v>0</v>
      </c>
      <c r="G154" s="13" t="n">
        <f aca="false">IF(MONTH($A154)=5,1,0)</f>
        <v>0</v>
      </c>
      <c r="H154" s="13" t="n">
        <f aca="false">IF(MONTH($A154)=6,1,0)</f>
        <v>1</v>
      </c>
      <c r="I154" s="13" t="n">
        <f aca="false">IF(MONTH($A154)=7,1,0)</f>
        <v>0</v>
      </c>
      <c r="J154" s="13" t="n">
        <f aca="false">IF(MONTH($A154)=8,1,0)</f>
        <v>0</v>
      </c>
      <c r="K154" s="13" t="n">
        <f aca="false">IF(MONTH($A154)=9,1,0)</f>
        <v>0</v>
      </c>
      <c r="L154" s="13" t="n">
        <f aca="false">IF(MONTH($A154)=10,1,0)</f>
        <v>0</v>
      </c>
      <c r="M154" s="13" t="n">
        <f aca="false">IF(MONTH($A154)=11,1,0)</f>
        <v>0</v>
      </c>
      <c r="N154" s="13" t="n">
        <f aca="false">IF(MONTH($A154)=12,1,0)</f>
        <v>0</v>
      </c>
      <c r="O154" s="7" t="n">
        <f aca="false">$B$114+SUMPRODUCT(C154:N154,$C$114:$N$114)</f>
        <v>-0.854691897586539</v>
      </c>
      <c r="P154" s="7" t="n">
        <f aca="false">B154-O154</f>
        <v>1.28844807280244</v>
      </c>
      <c r="Q154" s="7" t="n">
        <f aca="false">P154^2</f>
        <v>1.66009843630833</v>
      </c>
    </row>
    <row r="155" customFormat="false" ht="15" hidden="false" customHeight="false" outlineLevel="0" collapsed="false">
      <c r="A155" s="11" t="n">
        <f aca="false">Data_Monthly!A44</f>
        <v>45499</v>
      </c>
      <c r="B155" s="12" t="n">
        <f aca="false">AVERAGE(Data_Monthly!B44:C44)-AVERAGE(Data_Monthly!E44:F44)</f>
        <v>-0.132788409834816</v>
      </c>
      <c r="C155" s="13" t="n">
        <f aca="false">IF($A155&gt;=$U$114,1,0)</f>
        <v>1</v>
      </c>
      <c r="D155" s="13" t="n">
        <f aca="false">IF(MONTH($A155)=2,1,0)</f>
        <v>0</v>
      </c>
      <c r="E155" s="13" t="n">
        <f aca="false">IF(MONTH($A155)=3,1,0)</f>
        <v>0</v>
      </c>
      <c r="F155" s="13" t="n">
        <f aca="false">IF(MONTH($A155)=4,1,0)</f>
        <v>0</v>
      </c>
      <c r="G155" s="13" t="n">
        <f aca="false">IF(MONTH($A155)=5,1,0)</f>
        <v>0</v>
      </c>
      <c r="H155" s="13" t="n">
        <f aca="false">IF(MONTH($A155)=6,1,0)</f>
        <v>0</v>
      </c>
      <c r="I155" s="13" t="n">
        <f aca="false">IF(MONTH($A155)=7,1,0)</f>
        <v>1</v>
      </c>
      <c r="J155" s="13" t="n">
        <f aca="false">IF(MONTH($A155)=8,1,0)</f>
        <v>0</v>
      </c>
      <c r="K155" s="13" t="n">
        <f aca="false">IF(MONTH($A155)=9,1,0)</f>
        <v>0</v>
      </c>
      <c r="L155" s="13" t="n">
        <f aca="false">IF(MONTH($A155)=10,1,0)</f>
        <v>0</v>
      </c>
      <c r="M155" s="13" t="n">
        <f aca="false">IF(MONTH($A155)=11,1,0)</f>
        <v>0</v>
      </c>
      <c r="N155" s="13" t="n">
        <f aca="false">IF(MONTH($A155)=12,1,0)</f>
        <v>0</v>
      </c>
      <c r="O155" s="7" t="n">
        <f aca="false">$B$114+SUMPRODUCT(C155:N155,$C$114:$N$114)</f>
        <v>1.28490952233795</v>
      </c>
      <c r="P155" s="7" t="n">
        <f aca="false">B155-O155</f>
        <v>-1.41769793217276</v>
      </c>
      <c r="Q155" s="7" t="n">
        <f aca="false">P155^2</f>
        <v>2.00986742688693</v>
      </c>
    </row>
    <row r="156" customFormat="false" ht="15" hidden="false" customHeight="false" outlineLevel="0" collapsed="false">
      <c r="A156" s="11" t="n">
        <f aca="false">Data_Monthly!A45</f>
        <v>45527</v>
      </c>
      <c r="B156" s="12" t="n">
        <f aca="false">AVERAGE(Data_Monthly!B45:C45)-AVERAGE(Data_Monthly!E45:F45)</f>
        <v>-1.24287014452129</v>
      </c>
      <c r="C156" s="13" t="n">
        <f aca="false">IF($A156&gt;=$U$114,1,0)</f>
        <v>1</v>
      </c>
      <c r="D156" s="13" t="n">
        <f aca="false">IF(MONTH($A156)=2,1,0)</f>
        <v>0</v>
      </c>
      <c r="E156" s="13" t="n">
        <f aca="false">IF(MONTH($A156)=3,1,0)</f>
        <v>0</v>
      </c>
      <c r="F156" s="13" t="n">
        <f aca="false">IF(MONTH($A156)=4,1,0)</f>
        <v>0</v>
      </c>
      <c r="G156" s="13" t="n">
        <f aca="false">IF(MONTH($A156)=5,1,0)</f>
        <v>0</v>
      </c>
      <c r="H156" s="13" t="n">
        <f aca="false">IF(MONTH($A156)=6,1,0)</f>
        <v>0</v>
      </c>
      <c r="I156" s="13" t="n">
        <f aca="false">IF(MONTH($A156)=7,1,0)</f>
        <v>0</v>
      </c>
      <c r="J156" s="13" t="n">
        <f aca="false">IF(MONTH($A156)=8,1,0)</f>
        <v>1</v>
      </c>
      <c r="K156" s="13" t="n">
        <f aca="false">IF(MONTH($A156)=9,1,0)</f>
        <v>0</v>
      </c>
      <c r="L156" s="13" t="n">
        <f aca="false">IF(MONTH($A156)=10,1,0)</f>
        <v>0</v>
      </c>
      <c r="M156" s="13" t="n">
        <f aca="false">IF(MONTH($A156)=11,1,0)</f>
        <v>0</v>
      </c>
      <c r="N156" s="13" t="n">
        <f aca="false">IF(MONTH($A156)=12,1,0)</f>
        <v>0</v>
      </c>
      <c r="O156" s="7" t="n">
        <f aca="false">$B$114+SUMPRODUCT(C156:N156,$C$114:$N$114)</f>
        <v>-0.552282832123523</v>
      </c>
      <c r="P156" s="7" t="n">
        <f aca="false">B156-O156</f>
        <v>-0.690587312397768</v>
      </c>
      <c r="Q156" s="7" t="n">
        <f aca="false">P156^2</f>
        <v>0.476910836044772</v>
      </c>
    </row>
    <row r="157" customFormat="false" ht="15" hidden="false" customHeight="false" outlineLevel="0" collapsed="false">
      <c r="A157" s="11" t="n">
        <f aca="false">Data_Monthly!A46</f>
        <v>45555</v>
      </c>
      <c r="B157" s="12" t="n">
        <f aca="false">AVERAGE(Data_Monthly!B46:C46)-AVERAGE(Data_Monthly!E46:F46)</f>
        <v>-2.08957130280405</v>
      </c>
      <c r="C157" s="13" t="n">
        <f aca="false">IF($A157&gt;=$U$114,1,0)</f>
        <v>1</v>
      </c>
      <c r="D157" s="13" t="n">
        <f aca="false">IF(MONTH($A157)=2,1,0)</f>
        <v>0</v>
      </c>
      <c r="E157" s="13" t="n">
        <f aca="false">IF(MONTH($A157)=3,1,0)</f>
        <v>0</v>
      </c>
      <c r="F157" s="13" t="n">
        <f aca="false">IF(MONTH($A157)=4,1,0)</f>
        <v>0</v>
      </c>
      <c r="G157" s="13" t="n">
        <f aca="false">IF(MONTH($A157)=5,1,0)</f>
        <v>0</v>
      </c>
      <c r="H157" s="13" t="n">
        <f aca="false">IF(MONTH($A157)=6,1,0)</f>
        <v>0</v>
      </c>
      <c r="I157" s="13" t="n">
        <f aca="false">IF(MONTH($A157)=7,1,0)</f>
        <v>0</v>
      </c>
      <c r="J157" s="13" t="n">
        <f aca="false">IF(MONTH($A157)=8,1,0)</f>
        <v>0</v>
      </c>
      <c r="K157" s="13" t="n">
        <f aca="false">IF(MONTH($A157)=9,1,0)</f>
        <v>1</v>
      </c>
      <c r="L157" s="13" t="n">
        <f aca="false">IF(MONTH($A157)=10,1,0)</f>
        <v>0</v>
      </c>
      <c r="M157" s="13" t="n">
        <f aca="false">IF(MONTH($A157)=11,1,0)</f>
        <v>0</v>
      </c>
      <c r="N157" s="13" t="n">
        <f aca="false">IF(MONTH($A157)=12,1,0)</f>
        <v>0</v>
      </c>
      <c r="O157" s="7" t="n">
        <f aca="false">$B$114+SUMPRODUCT(C157:N157,$C$114:$N$114)</f>
        <v>-1.74011428779222</v>
      </c>
      <c r="P157" s="7" t="n">
        <f aca="false">B157-O157</f>
        <v>-0.34945701501183</v>
      </c>
      <c r="Q157" s="7" t="n">
        <f aca="false">P157^2</f>
        <v>0.122120205340978</v>
      </c>
    </row>
    <row r="158" customFormat="false" ht="15" hidden="false" customHeight="false" outlineLevel="0" collapsed="false">
      <c r="A158" s="11" t="n">
        <f aca="false">Data_Monthly!A47</f>
        <v>45583</v>
      </c>
      <c r="B158" s="12" t="n">
        <f aca="false">AVERAGE(Data_Monthly!B47:C47)-AVERAGE(Data_Monthly!E47:F47)</f>
        <v>1.50295563495986</v>
      </c>
      <c r="C158" s="13" t="n">
        <f aca="false">IF($A158&gt;=$U$114,1,0)</f>
        <v>1</v>
      </c>
      <c r="D158" s="13" t="n">
        <f aca="false">IF(MONTH($A158)=2,1,0)</f>
        <v>0</v>
      </c>
      <c r="E158" s="13" t="n">
        <f aca="false">IF(MONTH($A158)=3,1,0)</f>
        <v>0</v>
      </c>
      <c r="F158" s="13" t="n">
        <f aca="false">IF(MONTH($A158)=4,1,0)</f>
        <v>0</v>
      </c>
      <c r="G158" s="13" t="n">
        <f aca="false">IF(MONTH($A158)=5,1,0)</f>
        <v>0</v>
      </c>
      <c r="H158" s="13" t="n">
        <f aca="false">IF(MONTH($A158)=6,1,0)</f>
        <v>0</v>
      </c>
      <c r="I158" s="13" t="n">
        <f aca="false">IF(MONTH($A158)=7,1,0)</f>
        <v>0</v>
      </c>
      <c r="J158" s="13" t="n">
        <f aca="false">IF(MONTH($A158)=8,1,0)</f>
        <v>0</v>
      </c>
      <c r="K158" s="13" t="n">
        <f aca="false">IF(MONTH($A158)=9,1,0)</f>
        <v>0</v>
      </c>
      <c r="L158" s="13" t="n">
        <f aca="false">IF(MONTH($A158)=10,1,0)</f>
        <v>1</v>
      </c>
      <c r="M158" s="13" t="n">
        <f aca="false">IF(MONTH($A158)=11,1,0)</f>
        <v>0</v>
      </c>
      <c r="N158" s="13" t="n">
        <f aca="false">IF(MONTH($A158)=12,1,0)</f>
        <v>0</v>
      </c>
      <c r="O158" s="7" t="n">
        <f aca="false">$B$114+SUMPRODUCT(C158:N158,$C$114:$N$114)</f>
        <v>2.40410649182651</v>
      </c>
      <c r="P158" s="7" t="n">
        <f aca="false">B158-O158</f>
        <v>-0.901150856866657</v>
      </c>
      <c r="Q158" s="7" t="n">
        <f aca="false">P158^2</f>
        <v>0.81207286683151</v>
      </c>
    </row>
    <row r="159" customFormat="false" ht="15" hidden="false" customHeight="false" outlineLevel="0" collapsed="false">
      <c r="A159" s="11" t="n">
        <f aca="false">Data_Monthly!A48</f>
        <v>45625</v>
      </c>
      <c r="B159" s="12" t="n">
        <f aca="false">AVERAGE(Data_Monthly!B48:C48)-AVERAGE(Data_Monthly!E48:F48)</f>
        <v>1.32129694437033</v>
      </c>
      <c r="C159" s="13" t="n">
        <f aca="false">IF($A159&gt;=$U$114,1,0)</f>
        <v>1</v>
      </c>
      <c r="D159" s="13" t="n">
        <f aca="false">IF(MONTH($A159)=2,1,0)</f>
        <v>0</v>
      </c>
      <c r="E159" s="13" t="n">
        <f aca="false">IF(MONTH($A159)=3,1,0)</f>
        <v>0</v>
      </c>
      <c r="F159" s="13" t="n">
        <f aca="false">IF(MONTH($A159)=4,1,0)</f>
        <v>0</v>
      </c>
      <c r="G159" s="13" t="n">
        <f aca="false">IF(MONTH($A159)=5,1,0)</f>
        <v>0</v>
      </c>
      <c r="H159" s="13" t="n">
        <f aca="false">IF(MONTH($A159)=6,1,0)</f>
        <v>0</v>
      </c>
      <c r="I159" s="13" t="n">
        <f aca="false">IF(MONTH($A159)=7,1,0)</f>
        <v>0</v>
      </c>
      <c r="J159" s="13" t="n">
        <f aca="false">IF(MONTH($A159)=8,1,0)</f>
        <v>0</v>
      </c>
      <c r="K159" s="13" t="n">
        <f aca="false">IF(MONTH($A159)=9,1,0)</f>
        <v>0</v>
      </c>
      <c r="L159" s="13" t="n">
        <f aca="false">IF(MONTH($A159)=10,1,0)</f>
        <v>0</v>
      </c>
      <c r="M159" s="13" t="n">
        <f aca="false">IF(MONTH($A159)=11,1,0)</f>
        <v>1</v>
      </c>
      <c r="N159" s="13" t="n">
        <f aca="false">IF(MONTH($A159)=12,1,0)</f>
        <v>0</v>
      </c>
      <c r="O159" s="7" t="n">
        <f aca="false">$B$114+SUMPRODUCT(C159:N159,$C$114:$N$114)</f>
        <v>-0.460832308099084</v>
      </c>
      <c r="P159" s="7" t="n">
        <f aca="false">B159-O159</f>
        <v>1.78212925246942</v>
      </c>
      <c r="Q159" s="7" t="n">
        <f aca="false">P159^2</f>
        <v>3.1759846725072</v>
      </c>
    </row>
    <row r="160" customFormat="false" ht="15" hidden="false" customHeight="false" outlineLevel="0" collapsed="false">
      <c r="A160" s="11" t="n">
        <f aca="false">Data_Monthly!A49</f>
        <v>45653</v>
      </c>
      <c r="B160" s="12" t="n">
        <f aca="false">AVERAGE(Data_Monthly!B49:C49)-AVERAGE(Data_Monthly!E49:F49)</f>
        <v>-0.620632989333636</v>
      </c>
      <c r="C160" s="13" t="n">
        <f aca="false">IF($A160&gt;=$U$114,1,0)</f>
        <v>1</v>
      </c>
      <c r="D160" s="13" t="n">
        <f aca="false">IF(MONTH($A160)=2,1,0)</f>
        <v>0</v>
      </c>
      <c r="E160" s="13" t="n">
        <f aca="false">IF(MONTH($A160)=3,1,0)</f>
        <v>0</v>
      </c>
      <c r="F160" s="13" t="n">
        <f aca="false">IF(MONTH($A160)=4,1,0)</f>
        <v>0</v>
      </c>
      <c r="G160" s="13" t="n">
        <f aca="false">IF(MONTH($A160)=5,1,0)</f>
        <v>0</v>
      </c>
      <c r="H160" s="13" t="n">
        <f aca="false">IF(MONTH($A160)=6,1,0)</f>
        <v>0</v>
      </c>
      <c r="I160" s="13" t="n">
        <f aca="false">IF(MONTH($A160)=7,1,0)</f>
        <v>0</v>
      </c>
      <c r="J160" s="13" t="n">
        <f aca="false">IF(MONTH($A160)=8,1,0)</f>
        <v>0</v>
      </c>
      <c r="K160" s="13" t="n">
        <f aca="false">IF(MONTH($A160)=9,1,0)</f>
        <v>0</v>
      </c>
      <c r="L160" s="13" t="n">
        <f aca="false">IF(MONTH($A160)=10,1,0)</f>
        <v>0</v>
      </c>
      <c r="M160" s="13" t="n">
        <f aca="false">IF(MONTH($A160)=11,1,0)</f>
        <v>0</v>
      </c>
      <c r="N160" s="13" t="n">
        <f aca="false">IF(MONTH($A160)=12,1,0)</f>
        <v>1</v>
      </c>
      <c r="O160" s="7" t="n">
        <f aca="false">$B$114+SUMPRODUCT(C160:N160,$C$114:$N$114)</f>
        <v>-0.0315244971198606</v>
      </c>
      <c r="P160" s="7" t="n">
        <f aca="false">B160-O160</f>
        <v>-0.589108492213775</v>
      </c>
      <c r="Q160" s="7" t="n">
        <f aca="false">P160^2</f>
        <v>0.347048815598388</v>
      </c>
    </row>
    <row r="161" customFormat="false" ht="15" hidden="false" customHeight="false" outlineLevel="0" collapsed="false">
      <c r="A161" s="11" t="n">
        <f aca="false">Data_Monthly!A50</f>
        <v>45681</v>
      </c>
      <c r="B161" s="12" t="n">
        <f aca="false">AVERAGE(Data_Monthly!B50:C50)-AVERAGE(Data_Monthly!E50:F50)</f>
        <v>-0.635315325453601</v>
      </c>
      <c r="C161" s="13" t="n">
        <f aca="false">IF($A161&gt;=$U$114,1,0)</f>
        <v>1</v>
      </c>
      <c r="D161" s="13" t="n">
        <f aca="false">IF(MONTH($A161)=2,1,0)</f>
        <v>0</v>
      </c>
      <c r="E161" s="13" t="n">
        <f aca="false">IF(MONTH($A161)=3,1,0)</f>
        <v>0</v>
      </c>
      <c r="F161" s="13" t="n">
        <f aca="false">IF(MONTH($A161)=4,1,0)</f>
        <v>0</v>
      </c>
      <c r="G161" s="13" t="n">
        <f aca="false">IF(MONTH($A161)=5,1,0)</f>
        <v>0</v>
      </c>
      <c r="H161" s="13" t="n">
        <f aca="false">IF(MONTH($A161)=6,1,0)</f>
        <v>0</v>
      </c>
      <c r="I161" s="13" t="n">
        <f aca="false">IF(MONTH($A161)=7,1,0)</f>
        <v>0</v>
      </c>
      <c r="J161" s="13" t="n">
        <f aca="false">IF(MONTH($A161)=8,1,0)</f>
        <v>0</v>
      </c>
      <c r="K161" s="13" t="n">
        <f aca="false">IF(MONTH($A161)=9,1,0)</f>
        <v>0</v>
      </c>
      <c r="L161" s="13" t="n">
        <f aca="false">IF(MONTH($A161)=10,1,0)</f>
        <v>0</v>
      </c>
      <c r="M161" s="13" t="n">
        <f aca="false">IF(MONTH($A161)=11,1,0)</f>
        <v>0</v>
      </c>
      <c r="N161" s="13" t="n">
        <f aca="false">IF(MONTH($A161)=12,1,0)</f>
        <v>0</v>
      </c>
      <c r="O161" s="7" t="n">
        <f aca="false">$B$114+SUMPRODUCT(C161:N161,$C$114:$N$114)</f>
        <v>-0.25110161568812</v>
      </c>
      <c r="P161" s="7" t="n">
        <f aca="false">B161-O161</f>
        <v>-0.384213709765481</v>
      </c>
      <c r="Q161" s="7" t="n">
        <f aca="false">P161^2</f>
        <v>0.147620174771753</v>
      </c>
    </row>
    <row r="164" customFormat="false" ht="15" hidden="false" customHeight="false" outlineLevel="0" collapsed="false">
      <c r="A164" s="1" t="s">
        <v>175</v>
      </c>
      <c r="T164" s="6" t="s">
        <v>62</v>
      </c>
    </row>
    <row r="165" customFormat="false" ht="15" hidden="false" customHeight="false" outlineLevel="0" collapsed="false">
      <c r="A165" s="2" t="s">
        <v>63</v>
      </c>
      <c r="B165" s="7" t="n">
        <f aca="false">Y179</f>
        <v>0.889930908170711</v>
      </c>
      <c r="C165" s="7" t="n">
        <f aca="false">Y167</f>
        <v>-0.986972656940344</v>
      </c>
      <c r="D165" s="7" t="n">
        <f aca="false">Y168</f>
        <v>-0.505145070231383</v>
      </c>
      <c r="E165" s="7" t="n">
        <f aca="false">Y169</f>
        <v>0.571099855324308</v>
      </c>
      <c r="F165" s="7" t="n">
        <f aca="false">Y170</f>
        <v>-0.0708629318533996</v>
      </c>
      <c r="G165" s="7" t="n">
        <f aca="false">Y171</f>
        <v>-1.07122357001009</v>
      </c>
      <c r="H165" s="7" t="n">
        <f aca="false">Y172</f>
        <v>-1.07427584624465</v>
      </c>
      <c r="I165" s="7" t="n">
        <f aca="false">Y173</f>
        <v>1.27889330672036</v>
      </c>
      <c r="J165" s="7" t="n">
        <f aca="false">Y174</f>
        <v>-0.699676703519126</v>
      </c>
      <c r="K165" s="7" t="n">
        <f aca="false">Y175</f>
        <v>-1.8767637161761</v>
      </c>
      <c r="L165" s="7" t="n">
        <f aca="false">Y176</f>
        <v>1.877420498451</v>
      </c>
      <c r="M165" s="7" t="n">
        <f aca="false">Y177</f>
        <v>-0.591904095044471</v>
      </c>
      <c r="N165" s="7" t="n">
        <f aca="false">Y178</f>
        <v>-0.125820864412951</v>
      </c>
      <c r="T165" s="5" t="s">
        <v>64</v>
      </c>
      <c r="U165" s="8" t="n">
        <v>45260</v>
      </c>
      <c r="X165" s="9" t="s">
        <v>65</v>
      </c>
      <c r="Y165" s="10"/>
      <c r="Z165" s="10"/>
      <c r="AA165" s="10"/>
      <c r="AB165" s="10"/>
      <c r="AC165" s="10"/>
    </row>
    <row r="166" customFormat="false" ht="18" hidden="false" customHeight="true" outlineLevel="0" collapsed="false">
      <c r="A166" s="3" t="s">
        <v>66</v>
      </c>
      <c r="B166" s="3" t="s">
        <v>67</v>
      </c>
      <c r="C166" s="3" t="s">
        <v>68</v>
      </c>
      <c r="D166" s="3" t="s">
        <v>69</v>
      </c>
      <c r="E166" s="3" t="s">
        <v>70</v>
      </c>
      <c r="F166" s="3" t="s">
        <v>71</v>
      </c>
      <c r="G166" s="3" t="s">
        <v>72</v>
      </c>
      <c r="H166" s="3" t="s">
        <v>73</v>
      </c>
      <c r="I166" s="3" t="s">
        <v>74</v>
      </c>
      <c r="J166" s="3" t="s">
        <v>75</v>
      </c>
      <c r="K166" s="3" t="s">
        <v>76</v>
      </c>
      <c r="L166" s="3" t="s">
        <v>77</v>
      </c>
      <c r="M166" s="3" t="s">
        <v>78</v>
      </c>
      <c r="N166" s="3" t="s">
        <v>79</v>
      </c>
      <c r="O166" s="3" t="s">
        <v>80</v>
      </c>
      <c r="P166" s="3" t="s">
        <v>81</v>
      </c>
      <c r="Q166" s="3" t="s">
        <v>82</v>
      </c>
      <c r="T166" s="2" t="s">
        <v>183</v>
      </c>
      <c r="X166" s="3" t="s">
        <v>84</v>
      </c>
      <c r="Y166" s="3" t="s">
        <v>85</v>
      </c>
      <c r="Z166" s="3" t="s">
        <v>86</v>
      </c>
      <c r="AA166" s="3" t="s">
        <v>87</v>
      </c>
      <c r="AB166" s="3" t="s">
        <v>88</v>
      </c>
      <c r="AC166" s="3" t="s">
        <v>89</v>
      </c>
    </row>
    <row r="167" customFormat="false" ht="15" hidden="false" customHeight="false" outlineLevel="0" collapsed="false">
      <c r="A167" s="11" t="n">
        <f aca="false">Data_Monthly!A5</f>
        <v>44309</v>
      </c>
      <c r="B167" s="12" t="n">
        <f aca="false">AVERAGE(Data_Monthly!B5:C5)-AVERAGE(Data_Monthly!D5,Data_Monthly!F5)</f>
        <v>-1.37369958351865</v>
      </c>
      <c r="C167" s="13" t="n">
        <f aca="false">IF($A167&gt;=$U$165,1,0)</f>
        <v>0</v>
      </c>
      <c r="D167" s="13" t="n">
        <f aca="false">IF(MONTH($A167)=2,1,0)</f>
        <v>0</v>
      </c>
      <c r="E167" s="13" t="n">
        <f aca="false">IF(MONTH($A167)=3,1,0)</f>
        <v>0</v>
      </c>
      <c r="F167" s="13" t="n">
        <f aca="false">IF(MONTH($A167)=4,1,0)</f>
        <v>1</v>
      </c>
      <c r="G167" s="13" t="n">
        <f aca="false">IF(MONTH($A167)=5,1,0)</f>
        <v>0</v>
      </c>
      <c r="H167" s="13" t="n">
        <f aca="false">IF(MONTH($A167)=6,1,0)</f>
        <v>0</v>
      </c>
      <c r="I167" s="13" t="n">
        <f aca="false">IF(MONTH($A167)=7,1,0)</f>
        <v>0</v>
      </c>
      <c r="J167" s="13" t="n">
        <f aca="false">IF(MONTH($A167)=8,1,0)</f>
        <v>0</v>
      </c>
      <c r="K167" s="13" t="n">
        <f aca="false">IF(MONTH($A167)=9,1,0)</f>
        <v>0</v>
      </c>
      <c r="L167" s="13" t="n">
        <f aca="false">IF(MONTH($A167)=10,1,0)</f>
        <v>0</v>
      </c>
      <c r="M167" s="13" t="n">
        <f aca="false">IF(MONTH($A167)=11,1,0)</f>
        <v>0</v>
      </c>
      <c r="N167" s="13" t="n">
        <f aca="false">IF(MONTH($A167)=12,1,0)</f>
        <v>0</v>
      </c>
      <c r="O167" s="7" t="n">
        <f aca="false">$B$165+SUMPRODUCT(C167:N167,$C$165:$N$165)</f>
        <v>0.819067976317311</v>
      </c>
      <c r="P167" s="7" t="n">
        <f aca="false">B167-O167</f>
        <v>-2.19276755983596</v>
      </c>
      <c r="Q167" s="7" t="n">
        <f aca="false">P167^2</f>
        <v>4.80822957146896</v>
      </c>
      <c r="T167" s="9" t="s">
        <v>90</v>
      </c>
      <c r="U167" s="14" t="s">
        <v>91</v>
      </c>
      <c r="V167" s="14" t="s">
        <v>92</v>
      </c>
      <c r="X167" s="5" t="s">
        <v>68</v>
      </c>
      <c r="Y167" s="7" t="n">
        <f aca="false">INDEX(LINEST(B167:B212,C167:N212,TRUE(),TRUE()),1,12)</f>
        <v>-0.986972656940344</v>
      </c>
      <c r="Z167" s="7" t="n">
        <f aca="false">INDEX(LINEST(B167:B212,C167:N212,TRUE(),TRUE()),2,12)</f>
        <v>0.439171923727286</v>
      </c>
      <c r="AA167" s="7" t="n">
        <f aca="false">Y167/Z167</f>
        <v>-2.24734916695911</v>
      </c>
      <c r="AB167" s="7" t="n">
        <f aca="false">_xlfn.T.DIST.2T(ABS(AA167),$U$185)</f>
        <v>0.0314235126694144</v>
      </c>
      <c r="AC167" s="7" t="n">
        <f aca="false">INDEX(MINVERSE($Y$183:$AJ$194),1,1)</f>
        <v>1.04347826086957</v>
      </c>
    </row>
    <row r="168" customFormat="false" ht="15" hidden="false" customHeight="false" outlineLevel="0" collapsed="false">
      <c r="A168" s="11" t="n">
        <f aca="false">Data_Monthly!A6</f>
        <v>44337</v>
      </c>
      <c r="B168" s="12" t="n">
        <f aca="false">AVERAGE(Data_Monthly!B6:C6)-AVERAGE(Data_Monthly!D6,Data_Monthly!F6)</f>
        <v>-3.51263371891886</v>
      </c>
      <c r="C168" s="13" t="n">
        <f aca="false">IF($A168&gt;=$U$165,1,0)</f>
        <v>0</v>
      </c>
      <c r="D168" s="13" t="n">
        <f aca="false">IF(MONTH($A168)=2,1,0)</f>
        <v>0</v>
      </c>
      <c r="E168" s="13" t="n">
        <f aca="false">IF(MONTH($A168)=3,1,0)</f>
        <v>0</v>
      </c>
      <c r="F168" s="13" t="n">
        <f aca="false">IF(MONTH($A168)=4,1,0)</f>
        <v>0</v>
      </c>
      <c r="G168" s="13" t="n">
        <f aca="false">IF(MONTH($A168)=5,1,0)</f>
        <v>1</v>
      </c>
      <c r="H168" s="13" t="n">
        <f aca="false">IF(MONTH($A168)=6,1,0)</f>
        <v>0</v>
      </c>
      <c r="I168" s="13" t="n">
        <f aca="false">IF(MONTH($A168)=7,1,0)</f>
        <v>0</v>
      </c>
      <c r="J168" s="13" t="n">
        <f aca="false">IF(MONTH($A168)=8,1,0)</f>
        <v>0</v>
      </c>
      <c r="K168" s="13" t="n">
        <f aca="false">IF(MONTH($A168)=9,1,0)</f>
        <v>0</v>
      </c>
      <c r="L168" s="13" t="n">
        <f aca="false">IF(MONTH($A168)=10,1,0)</f>
        <v>0</v>
      </c>
      <c r="M168" s="13" t="n">
        <f aca="false">IF(MONTH($A168)=11,1,0)</f>
        <v>0</v>
      </c>
      <c r="N168" s="13" t="n">
        <f aca="false">IF(MONTH($A168)=12,1,0)</f>
        <v>0</v>
      </c>
      <c r="O168" s="7" t="n">
        <f aca="false">$B$165+SUMPRODUCT(C168:N168,$C$165:$N$165)</f>
        <v>-0.181292661839383</v>
      </c>
      <c r="P168" s="7" t="n">
        <f aca="false">B168-O168</f>
        <v>-3.33134105707947</v>
      </c>
      <c r="Q168" s="7" t="n">
        <f aca="false">P168^2</f>
        <v>11.0978332385834</v>
      </c>
      <c r="T168" s="5" t="s">
        <v>93</v>
      </c>
      <c r="U168" s="13" t="n">
        <f aca="false">COUNT(B167:B198)</f>
        <v>32</v>
      </c>
      <c r="X168" s="5" t="s">
        <v>69</v>
      </c>
      <c r="Y168" s="7" t="n">
        <f aca="false">INDEX(LINEST(B167:B212,C167:N212,TRUE(),TRUE()),1,11)</f>
        <v>-0.505145070231383</v>
      </c>
      <c r="Z168" s="7" t="n">
        <f aca="false">INDEX(LINEST(B167:B212,C167:N212,TRUE(),TRUE()),2,11)</f>
        <v>1.0273452814346</v>
      </c>
      <c r="AA168" s="7" t="n">
        <f aca="false">Y168/Z168</f>
        <v>-0.491699411444212</v>
      </c>
      <c r="AB168" s="7" t="n">
        <f aca="false">_xlfn.T.DIST.2T(ABS(AA168),$U$185)</f>
        <v>0.626186706199449</v>
      </c>
      <c r="AC168" s="7" t="n">
        <f aca="false">INDEX(MINVERSE($Y$183:$AJ$194),2,2)</f>
        <v>1.64421583850932</v>
      </c>
    </row>
    <row r="169" customFormat="false" ht="15" hidden="false" customHeight="false" outlineLevel="0" collapsed="false">
      <c r="A169" s="11" t="n">
        <f aca="false">Data_Monthly!A7</f>
        <v>44365</v>
      </c>
      <c r="B169" s="12" t="n">
        <f aca="false">AVERAGE(Data_Monthly!B7:C7)-AVERAGE(Data_Monthly!D7,Data_Monthly!F7)</f>
        <v>-1.34712995563682</v>
      </c>
      <c r="C169" s="13" t="n">
        <f aca="false">IF($A169&gt;=$U$165,1,0)</f>
        <v>0</v>
      </c>
      <c r="D169" s="13" t="n">
        <f aca="false">IF(MONTH($A169)=2,1,0)</f>
        <v>0</v>
      </c>
      <c r="E169" s="13" t="n">
        <f aca="false">IF(MONTH($A169)=3,1,0)</f>
        <v>0</v>
      </c>
      <c r="F169" s="13" t="n">
        <f aca="false">IF(MONTH($A169)=4,1,0)</f>
        <v>0</v>
      </c>
      <c r="G169" s="13" t="n">
        <f aca="false">IF(MONTH($A169)=5,1,0)</f>
        <v>0</v>
      </c>
      <c r="H169" s="13" t="n">
        <f aca="false">IF(MONTH($A169)=6,1,0)</f>
        <v>1</v>
      </c>
      <c r="I169" s="13" t="n">
        <f aca="false">IF(MONTH($A169)=7,1,0)</f>
        <v>0</v>
      </c>
      <c r="J169" s="13" t="n">
        <f aca="false">IF(MONTH($A169)=8,1,0)</f>
        <v>0</v>
      </c>
      <c r="K169" s="13" t="n">
        <f aca="false">IF(MONTH($A169)=9,1,0)</f>
        <v>0</v>
      </c>
      <c r="L169" s="13" t="n">
        <f aca="false">IF(MONTH($A169)=10,1,0)</f>
        <v>0</v>
      </c>
      <c r="M169" s="13" t="n">
        <f aca="false">IF(MONTH($A169)=11,1,0)</f>
        <v>0</v>
      </c>
      <c r="N169" s="13" t="n">
        <f aca="false">IF(MONTH($A169)=12,1,0)</f>
        <v>0</v>
      </c>
      <c r="O169" s="7" t="n">
        <f aca="false">$B$165+SUMPRODUCT(C169:N169,$C$165:$N$165)</f>
        <v>-0.184344938073944</v>
      </c>
      <c r="P169" s="7" t="n">
        <f aca="false">B169-O169</f>
        <v>-1.16278501756287</v>
      </c>
      <c r="Q169" s="7" t="n">
        <f aca="false">P169^2</f>
        <v>1.35206899706869</v>
      </c>
      <c r="T169" s="5" t="s">
        <v>94</v>
      </c>
      <c r="U169" s="13" t="n">
        <f aca="false">COUNT(B199:B212)</f>
        <v>14</v>
      </c>
      <c r="X169" s="5" t="s">
        <v>70</v>
      </c>
      <c r="Y169" s="7" t="n">
        <f aca="false">INDEX(LINEST(B167:B212,C167:N212,TRUE(),TRUE()),1,10)</f>
        <v>0.571099855324308</v>
      </c>
      <c r="Z169" s="7" t="n">
        <f aca="false">INDEX(LINEST(B167:B212,C167:N212,TRUE(),TRUE()),2,10)</f>
        <v>1.0273452814346</v>
      </c>
      <c r="AA169" s="7" t="n">
        <f aca="false">Y169/Z169</f>
        <v>0.555898650283198</v>
      </c>
      <c r="AB169" s="7" t="n">
        <f aca="false">_xlfn.T.DIST.2T(ABS(AA169),$U$185)</f>
        <v>0.582029922117426</v>
      </c>
      <c r="AC169" s="7" t="n">
        <f aca="false">INDEX(MINVERSE($Y$183:$AJ$194),3,3)</f>
        <v>1.64421583850932</v>
      </c>
    </row>
    <row r="170" customFormat="false" ht="15" hidden="false" customHeight="false" outlineLevel="0" collapsed="false">
      <c r="A170" s="11" t="n">
        <f aca="false">Data_Monthly!A8</f>
        <v>44407</v>
      </c>
      <c r="B170" s="12" t="n">
        <f aca="false">AVERAGE(Data_Monthly!B8:C8)-AVERAGE(Data_Monthly!D8,Data_Monthly!F8)</f>
        <v>5.14945236003639</v>
      </c>
      <c r="C170" s="13" t="n">
        <f aca="false">IF($A170&gt;=$U$165,1,0)</f>
        <v>0</v>
      </c>
      <c r="D170" s="13" t="n">
        <f aca="false">IF(MONTH($A170)=2,1,0)</f>
        <v>0</v>
      </c>
      <c r="E170" s="13" t="n">
        <f aca="false">IF(MONTH($A170)=3,1,0)</f>
        <v>0</v>
      </c>
      <c r="F170" s="13" t="n">
        <f aca="false">IF(MONTH($A170)=4,1,0)</f>
        <v>0</v>
      </c>
      <c r="G170" s="13" t="n">
        <f aca="false">IF(MONTH($A170)=5,1,0)</f>
        <v>0</v>
      </c>
      <c r="H170" s="13" t="n">
        <f aca="false">IF(MONTH($A170)=6,1,0)</f>
        <v>0</v>
      </c>
      <c r="I170" s="13" t="n">
        <f aca="false">IF(MONTH($A170)=7,1,0)</f>
        <v>1</v>
      </c>
      <c r="J170" s="13" t="n">
        <f aca="false">IF(MONTH($A170)=8,1,0)</f>
        <v>0</v>
      </c>
      <c r="K170" s="13" t="n">
        <f aca="false">IF(MONTH($A170)=9,1,0)</f>
        <v>0</v>
      </c>
      <c r="L170" s="13" t="n">
        <f aca="false">IF(MONTH($A170)=10,1,0)</f>
        <v>0</v>
      </c>
      <c r="M170" s="13" t="n">
        <f aca="false">IF(MONTH($A170)=11,1,0)</f>
        <v>0</v>
      </c>
      <c r="N170" s="13" t="n">
        <f aca="false">IF(MONTH($A170)=12,1,0)</f>
        <v>0</v>
      </c>
      <c r="O170" s="7" t="n">
        <f aca="false">$B$165+SUMPRODUCT(C170:N170,$C$165:$N$165)</f>
        <v>2.16882421489107</v>
      </c>
      <c r="P170" s="7" t="n">
        <f aca="false">B170-O170</f>
        <v>2.98062814514531</v>
      </c>
      <c r="Q170" s="7" t="n">
        <f aca="false">P170^2</f>
        <v>8.88414413963239</v>
      </c>
      <c r="T170" s="5" t="s">
        <v>95</v>
      </c>
      <c r="U170" s="7" t="n">
        <f aca="false">AVERAGE(B167:B198)</f>
        <v>0.677277429056039</v>
      </c>
      <c r="X170" s="5" t="s">
        <v>71</v>
      </c>
      <c r="Y170" s="7" t="n">
        <f aca="false">INDEX(LINEST(B167:B212,C167:N212,TRUE(),TRUE()),1,9)</f>
        <v>-0.0708629318533996</v>
      </c>
      <c r="Z170" s="7" t="n">
        <f aca="false">INDEX(LINEST(B167:B212,C167:N212,TRUE(),TRUE()),2,9)</f>
        <v>0.955051690791347</v>
      </c>
      <c r="AA170" s="7" t="n">
        <f aca="false">Y170/Z170</f>
        <v>-0.0741980068059805</v>
      </c>
      <c r="AB170" s="7" t="n">
        <f aca="false">_xlfn.T.DIST.2T(ABS(AA170),$U$185)</f>
        <v>0.941300783580602</v>
      </c>
      <c r="AC170" s="7" t="n">
        <f aca="false">INDEX(MINVERSE($Y$183:$AJ$194),4,4)</f>
        <v>1.85054347826087</v>
      </c>
    </row>
    <row r="171" customFormat="false" ht="15" hidden="false" customHeight="false" outlineLevel="0" collapsed="false">
      <c r="A171" s="11" t="n">
        <f aca="false">Data_Monthly!A9</f>
        <v>44435</v>
      </c>
      <c r="B171" s="12" t="n">
        <f aca="false">AVERAGE(Data_Monthly!B9:C9)-AVERAGE(Data_Monthly!D9,Data_Monthly!F9)</f>
        <v>1.31739449675008</v>
      </c>
      <c r="C171" s="13" t="n">
        <f aca="false">IF($A171&gt;=$U$165,1,0)</f>
        <v>0</v>
      </c>
      <c r="D171" s="13" t="n">
        <f aca="false">IF(MONTH($A171)=2,1,0)</f>
        <v>0</v>
      </c>
      <c r="E171" s="13" t="n">
        <f aca="false">IF(MONTH($A171)=3,1,0)</f>
        <v>0</v>
      </c>
      <c r="F171" s="13" t="n">
        <f aca="false">IF(MONTH($A171)=4,1,0)</f>
        <v>0</v>
      </c>
      <c r="G171" s="13" t="n">
        <f aca="false">IF(MONTH($A171)=5,1,0)</f>
        <v>0</v>
      </c>
      <c r="H171" s="13" t="n">
        <f aca="false">IF(MONTH($A171)=6,1,0)</f>
        <v>0</v>
      </c>
      <c r="I171" s="13" t="n">
        <f aca="false">IF(MONTH($A171)=7,1,0)</f>
        <v>0</v>
      </c>
      <c r="J171" s="13" t="n">
        <f aca="false">IF(MONTH($A171)=8,1,0)</f>
        <v>1</v>
      </c>
      <c r="K171" s="13" t="n">
        <f aca="false">IF(MONTH($A171)=9,1,0)</f>
        <v>0</v>
      </c>
      <c r="L171" s="13" t="n">
        <f aca="false">IF(MONTH($A171)=10,1,0)</f>
        <v>0</v>
      </c>
      <c r="M171" s="13" t="n">
        <f aca="false">IF(MONTH($A171)=11,1,0)</f>
        <v>0</v>
      </c>
      <c r="N171" s="13" t="n">
        <f aca="false">IF(MONTH($A171)=12,1,0)</f>
        <v>0</v>
      </c>
      <c r="O171" s="7" t="n">
        <f aca="false">$B$165+SUMPRODUCT(C171:N171,$C$165:$N$165)</f>
        <v>0.190254204651585</v>
      </c>
      <c r="P171" s="7" t="n">
        <f aca="false">B171-O171</f>
        <v>1.12714029209849</v>
      </c>
      <c r="Q171" s="7" t="n">
        <f aca="false">P171^2</f>
        <v>1.27044523807188</v>
      </c>
      <c r="T171" s="5" t="s">
        <v>96</v>
      </c>
      <c r="U171" s="7" t="n">
        <f aca="false">AVERAGE(B199:B212)</f>
        <v>-0.269476034584594</v>
      </c>
      <c r="X171" s="5" t="s">
        <v>72</v>
      </c>
      <c r="Y171" s="7" t="n">
        <f aca="false">INDEX(LINEST(B167:B212,C167:N212,TRUE(),TRUE()),1,8)</f>
        <v>-1.07122357001009</v>
      </c>
      <c r="Z171" s="7" t="n">
        <f aca="false">INDEX(LINEST(B167:B212,C167:N212,TRUE(),TRUE()),2,8)</f>
        <v>0.955051690791347</v>
      </c>
      <c r="AA171" s="7" t="n">
        <f aca="false">Y171/Z171</f>
        <v>-1.12163936291499</v>
      </c>
      <c r="AB171" s="7" t="n">
        <f aca="false">_xlfn.T.DIST.2T(ABS(AA171),$U$185)</f>
        <v>0.27011141600029</v>
      </c>
      <c r="AC171" s="7" t="n">
        <f aca="false">INDEX(MINVERSE($Y$183:$AJ$194),5,5)</f>
        <v>1.85054347826087</v>
      </c>
    </row>
    <row r="172" customFormat="false" ht="15" hidden="false" customHeight="false" outlineLevel="0" collapsed="false">
      <c r="A172" s="11" t="n">
        <f aca="false">Data_Monthly!A10</f>
        <v>44463</v>
      </c>
      <c r="B172" s="12" t="n">
        <f aca="false">AVERAGE(Data_Monthly!B10:C10)-AVERAGE(Data_Monthly!D10,Data_Monthly!F10)</f>
        <v>-1.15618182467792</v>
      </c>
      <c r="C172" s="13" t="n">
        <f aca="false">IF($A172&gt;=$U$165,1,0)</f>
        <v>0</v>
      </c>
      <c r="D172" s="13" t="n">
        <f aca="false">IF(MONTH($A172)=2,1,0)</f>
        <v>0</v>
      </c>
      <c r="E172" s="13" t="n">
        <f aca="false">IF(MONTH($A172)=3,1,0)</f>
        <v>0</v>
      </c>
      <c r="F172" s="13" t="n">
        <f aca="false">IF(MONTH($A172)=4,1,0)</f>
        <v>0</v>
      </c>
      <c r="G172" s="13" t="n">
        <f aca="false">IF(MONTH($A172)=5,1,0)</f>
        <v>0</v>
      </c>
      <c r="H172" s="13" t="n">
        <f aca="false">IF(MONTH($A172)=6,1,0)</f>
        <v>0</v>
      </c>
      <c r="I172" s="13" t="n">
        <f aca="false">IF(MONTH($A172)=7,1,0)</f>
        <v>0</v>
      </c>
      <c r="J172" s="13" t="n">
        <f aca="false">IF(MONTH($A172)=8,1,0)</f>
        <v>0</v>
      </c>
      <c r="K172" s="13" t="n">
        <f aca="false">IF(MONTH($A172)=9,1,0)</f>
        <v>1</v>
      </c>
      <c r="L172" s="13" t="n">
        <f aca="false">IF(MONTH($A172)=10,1,0)</f>
        <v>0</v>
      </c>
      <c r="M172" s="13" t="n">
        <f aca="false">IF(MONTH($A172)=11,1,0)</f>
        <v>0</v>
      </c>
      <c r="N172" s="13" t="n">
        <f aca="false">IF(MONTH($A172)=12,1,0)</f>
        <v>0</v>
      </c>
      <c r="O172" s="7" t="n">
        <f aca="false">$B$165+SUMPRODUCT(C172:N172,$C$165:$N$165)</f>
        <v>-0.986832808005388</v>
      </c>
      <c r="P172" s="7" t="n">
        <f aca="false">B172-O172</f>
        <v>-0.169349016672527</v>
      </c>
      <c r="Q172" s="7" t="n">
        <f aca="false">P172^2</f>
        <v>0.0286790894479519</v>
      </c>
      <c r="T172" s="5" t="s">
        <v>97</v>
      </c>
      <c r="U172" s="7" t="n">
        <f aca="false">_xlfn.STDEV.S(B167:B198)</f>
        <v>1.77670549334558</v>
      </c>
      <c r="X172" s="5" t="s">
        <v>73</v>
      </c>
      <c r="Y172" s="7" t="n">
        <f aca="false">INDEX(LINEST(B167:B212,C167:N212,TRUE(),TRUE()),1,7)</f>
        <v>-1.07427584624465</v>
      </c>
      <c r="Z172" s="7" t="n">
        <f aca="false">INDEX(LINEST(B167:B212,C167:N212,TRUE(),TRUE()),2,7)</f>
        <v>0.955051690791347</v>
      </c>
      <c r="AA172" s="7" t="n">
        <f aca="false">Y172/Z172</f>
        <v>-1.12483529069984</v>
      </c>
      <c r="AB172" s="7" t="n">
        <f aca="false">_xlfn.T.DIST.2T(ABS(AA172),$U$185)</f>
        <v>0.268774078009568</v>
      </c>
      <c r="AC172" s="7" t="n">
        <f aca="false">INDEX(MINVERSE($Y$183:$AJ$194),6,6)</f>
        <v>1.85054347826087</v>
      </c>
    </row>
    <row r="173" customFormat="false" ht="15" hidden="false" customHeight="false" outlineLevel="0" collapsed="false">
      <c r="A173" s="11" t="n">
        <f aca="false">Data_Monthly!A11</f>
        <v>44491</v>
      </c>
      <c r="B173" s="12" t="n">
        <f aca="false">AVERAGE(Data_Monthly!B11:C11)-AVERAGE(Data_Monthly!D11,Data_Monthly!F11)</f>
        <v>3.02991687830936</v>
      </c>
      <c r="C173" s="13" t="n">
        <f aca="false">IF($A173&gt;=$U$165,1,0)</f>
        <v>0</v>
      </c>
      <c r="D173" s="13" t="n">
        <f aca="false">IF(MONTH($A173)=2,1,0)</f>
        <v>0</v>
      </c>
      <c r="E173" s="13" t="n">
        <f aca="false">IF(MONTH($A173)=3,1,0)</f>
        <v>0</v>
      </c>
      <c r="F173" s="13" t="n">
        <f aca="false">IF(MONTH($A173)=4,1,0)</f>
        <v>0</v>
      </c>
      <c r="G173" s="13" t="n">
        <f aca="false">IF(MONTH($A173)=5,1,0)</f>
        <v>0</v>
      </c>
      <c r="H173" s="13" t="n">
        <f aca="false">IF(MONTH($A173)=6,1,0)</f>
        <v>0</v>
      </c>
      <c r="I173" s="13" t="n">
        <f aca="false">IF(MONTH($A173)=7,1,0)</f>
        <v>0</v>
      </c>
      <c r="J173" s="13" t="n">
        <f aca="false">IF(MONTH($A173)=8,1,0)</f>
        <v>0</v>
      </c>
      <c r="K173" s="13" t="n">
        <f aca="false">IF(MONTH($A173)=9,1,0)</f>
        <v>0</v>
      </c>
      <c r="L173" s="13" t="n">
        <f aca="false">IF(MONTH($A173)=10,1,0)</f>
        <v>1</v>
      </c>
      <c r="M173" s="13" t="n">
        <f aca="false">IF(MONTH($A173)=11,1,0)</f>
        <v>0</v>
      </c>
      <c r="N173" s="13" t="n">
        <f aca="false">IF(MONTH($A173)=12,1,0)</f>
        <v>0</v>
      </c>
      <c r="O173" s="7" t="n">
        <f aca="false">$B$165+SUMPRODUCT(C173:N173,$C$165:$N$165)</f>
        <v>2.76735140662171</v>
      </c>
      <c r="P173" s="7" t="n">
        <f aca="false">B173-O173</f>
        <v>0.262565471687648</v>
      </c>
      <c r="Q173" s="7" t="n">
        <f aca="false">P173^2</f>
        <v>0.0689406269225573</v>
      </c>
      <c r="T173" s="5" t="s">
        <v>98</v>
      </c>
      <c r="U173" s="7" t="n">
        <f aca="false">_xlfn.STDEV.S(B199:B212)</f>
        <v>0.823102170121344</v>
      </c>
      <c r="X173" s="5" t="s">
        <v>74</v>
      </c>
      <c r="Y173" s="7" t="n">
        <f aca="false">INDEX(LINEST(B167:B212,C167:N212,TRUE(),TRUE()),1,6)</f>
        <v>1.27889330672036</v>
      </c>
      <c r="Z173" s="7" t="n">
        <f aca="false">INDEX(LINEST(B167:B212,C167:N212,TRUE(),TRUE()),2,6)</f>
        <v>0.955051690791347</v>
      </c>
      <c r="AA173" s="7" t="n">
        <f aca="false">Y173/Z173</f>
        <v>1.3390828151518</v>
      </c>
      <c r="AB173" s="7" t="n">
        <f aca="false">_xlfn.T.DIST.2T(ABS(AA173),$U$185)</f>
        <v>0.189695016820069</v>
      </c>
      <c r="AC173" s="7" t="n">
        <f aca="false">INDEX(MINVERSE($Y$183:$AJ$194),7,7)</f>
        <v>1.85054347826087</v>
      </c>
    </row>
    <row r="174" customFormat="false" ht="15" hidden="false" customHeight="false" outlineLevel="0" collapsed="false">
      <c r="A174" s="11" t="n">
        <f aca="false">Data_Monthly!A12</f>
        <v>44519</v>
      </c>
      <c r="B174" s="12" t="n">
        <f aca="false">AVERAGE(Data_Monthly!B12:C12)-AVERAGE(Data_Monthly!D12,Data_Monthly!F12)</f>
        <v>0.501704131980585</v>
      </c>
      <c r="C174" s="13" t="n">
        <f aca="false">IF($A174&gt;=$U$165,1,0)</f>
        <v>0</v>
      </c>
      <c r="D174" s="13" t="n">
        <f aca="false">IF(MONTH($A174)=2,1,0)</f>
        <v>0</v>
      </c>
      <c r="E174" s="13" t="n">
        <f aca="false">IF(MONTH($A174)=3,1,0)</f>
        <v>0</v>
      </c>
      <c r="F174" s="13" t="n">
        <f aca="false">IF(MONTH($A174)=4,1,0)</f>
        <v>0</v>
      </c>
      <c r="G174" s="13" t="n">
        <f aca="false">IF(MONTH($A174)=5,1,0)</f>
        <v>0</v>
      </c>
      <c r="H174" s="13" t="n">
        <f aca="false">IF(MONTH($A174)=6,1,0)</f>
        <v>0</v>
      </c>
      <c r="I174" s="13" t="n">
        <f aca="false">IF(MONTH($A174)=7,1,0)</f>
        <v>0</v>
      </c>
      <c r="J174" s="13" t="n">
        <f aca="false">IF(MONTH($A174)=8,1,0)</f>
        <v>0</v>
      </c>
      <c r="K174" s="13" t="n">
        <f aca="false">IF(MONTH($A174)=9,1,0)</f>
        <v>0</v>
      </c>
      <c r="L174" s="13" t="n">
        <f aca="false">IF(MONTH($A174)=10,1,0)</f>
        <v>0</v>
      </c>
      <c r="M174" s="13" t="n">
        <f aca="false">IF(MONTH($A174)=11,1,0)</f>
        <v>1</v>
      </c>
      <c r="N174" s="13" t="n">
        <f aca="false">IF(MONTH($A174)=12,1,0)</f>
        <v>0</v>
      </c>
      <c r="O174" s="7" t="n">
        <f aca="false">$B$165+SUMPRODUCT(C174:N174,$C$165:$N$165)</f>
        <v>0.29802681312624</v>
      </c>
      <c r="P174" s="7" t="n">
        <f aca="false">B174-O174</f>
        <v>0.203677318854345</v>
      </c>
      <c r="Q174" s="7" t="n">
        <f aca="false">P174^2</f>
        <v>0.0414844502156945</v>
      </c>
      <c r="T174" s="5" t="s">
        <v>99</v>
      </c>
      <c r="U174" s="7" t="n">
        <f aca="false">$U$171-$U$170</f>
        <v>-0.946753463640633</v>
      </c>
      <c r="V174" s="16" t="n">
        <v>-0.946753463640633</v>
      </c>
      <c r="X174" s="5" t="s">
        <v>75</v>
      </c>
      <c r="Y174" s="7" t="n">
        <f aca="false">INDEX(LINEST(B167:B212,C167:N212,TRUE(),TRUE()),1,5)</f>
        <v>-0.699676703519126</v>
      </c>
      <c r="Z174" s="7" t="n">
        <f aca="false">INDEX(LINEST(B167:B212,C167:N212,TRUE(),TRUE()),2,5)</f>
        <v>0.955051690791347</v>
      </c>
      <c r="AA174" s="7" t="n">
        <f aca="false">Y174/Z174</f>
        <v>-0.73260610945506</v>
      </c>
      <c r="AB174" s="7" t="n">
        <f aca="false">_xlfn.T.DIST.2T(ABS(AA174),$U$185)</f>
        <v>0.468970689094156</v>
      </c>
      <c r="AC174" s="7" t="n">
        <f aca="false">INDEX(MINVERSE($Y$183:$AJ$194),8,8)</f>
        <v>1.85054347826087</v>
      </c>
    </row>
    <row r="175" customFormat="false" ht="15" hidden="false" customHeight="false" outlineLevel="0" collapsed="false">
      <c r="A175" s="11" t="n">
        <f aca="false">Data_Monthly!A13</f>
        <v>44561</v>
      </c>
      <c r="B175" s="12" t="n">
        <f aca="false">AVERAGE(Data_Monthly!B13:C13)-AVERAGE(Data_Monthly!D13,Data_Monthly!F13)</f>
        <v>0.336060429466301</v>
      </c>
      <c r="C175" s="13" t="n">
        <f aca="false">IF($A175&gt;=$U$165,1,0)</f>
        <v>0</v>
      </c>
      <c r="D175" s="13" t="n">
        <f aca="false">IF(MONTH($A175)=2,1,0)</f>
        <v>0</v>
      </c>
      <c r="E175" s="13" t="n">
        <f aca="false">IF(MONTH($A175)=3,1,0)</f>
        <v>0</v>
      </c>
      <c r="F175" s="13" t="n">
        <f aca="false">IF(MONTH($A175)=4,1,0)</f>
        <v>0</v>
      </c>
      <c r="G175" s="13" t="n">
        <f aca="false">IF(MONTH($A175)=5,1,0)</f>
        <v>0</v>
      </c>
      <c r="H175" s="13" t="n">
        <f aca="false">IF(MONTH($A175)=6,1,0)</f>
        <v>0</v>
      </c>
      <c r="I175" s="13" t="n">
        <f aca="false">IF(MONTH($A175)=7,1,0)</f>
        <v>0</v>
      </c>
      <c r="J175" s="13" t="n">
        <f aca="false">IF(MONTH($A175)=8,1,0)</f>
        <v>0</v>
      </c>
      <c r="K175" s="13" t="n">
        <f aca="false">IF(MONTH($A175)=9,1,0)</f>
        <v>0</v>
      </c>
      <c r="L175" s="13" t="n">
        <f aca="false">IF(MONTH($A175)=10,1,0)</f>
        <v>0</v>
      </c>
      <c r="M175" s="13" t="n">
        <f aca="false">IF(MONTH($A175)=11,1,0)</f>
        <v>0</v>
      </c>
      <c r="N175" s="13" t="n">
        <f aca="false">IF(MONTH($A175)=12,1,0)</f>
        <v>1</v>
      </c>
      <c r="O175" s="7" t="n">
        <f aca="false">$B$165+SUMPRODUCT(C175:N175,$C$165:$N$165)</f>
        <v>0.76411004375776</v>
      </c>
      <c r="P175" s="7" t="n">
        <f aca="false">B175-O175</f>
        <v>-0.428049614291459</v>
      </c>
      <c r="Q175" s="7" t="n">
        <f aca="false">P175^2</f>
        <v>0.183226472295067</v>
      </c>
      <c r="T175" s="5" t="s">
        <v>100</v>
      </c>
      <c r="U175" s="7" t="n">
        <f aca="false">12*$U$174</f>
        <v>-11.3610415636876</v>
      </c>
      <c r="X175" s="5" t="s">
        <v>76</v>
      </c>
      <c r="Y175" s="7" t="n">
        <f aca="false">INDEX(LINEST(B167:B212,C167:N212,TRUE(),TRUE()),1,4)</f>
        <v>-1.8767637161761</v>
      </c>
      <c r="Z175" s="7" t="n">
        <f aca="false">INDEX(LINEST(B167:B212,C167:N212,TRUE(),TRUE()),2,4)</f>
        <v>0.955051690791347</v>
      </c>
      <c r="AA175" s="7" t="n">
        <f aca="false">Y175/Z175</f>
        <v>-1.96509124508332</v>
      </c>
      <c r="AB175" s="7" t="n">
        <f aca="false">_xlfn.T.DIST.2T(ABS(AA175),$U$185)</f>
        <v>0.05786786205444</v>
      </c>
      <c r="AC175" s="7" t="n">
        <f aca="false">INDEX(MINVERSE($Y$183:$AJ$194),9,9)</f>
        <v>1.85054347826087</v>
      </c>
    </row>
    <row r="176" customFormat="false" ht="15" hidden="false" customHeight="false" outlineLevel="0" collapsed="false">
      <c r="A176" s="11" t="n">
        <f aca="false">Data_Monthly!A14</f>
        <v>44589</v>
      </c>
      <c r="B176" s="12" t="n">
        <f aca="false">AVERAGE(Data_Monthly!B14:C14)-AVERAGE(Data_Monthly!D14,Data_Monthly!F14)</f>
        <v>-0.0811063438083788</v>
      </c>
      <c r="C176" s="13" t="n">
        <f aca="false">IF($A176&gt;=$U$165,1,0)</f>
        <v>0</v>
      </c>
      <c r="D176" s="13" t="n">
        <f aca="false">IF(MONTH($A176)=2,1,0)</f>
        <v>0</v>
      </c>
      <c r="E176" s="13" t="n">
        <f aca="false">IF(MONTH($A176)=3,1,0)</f>
        <v>0</v>
      </c>
      <c r="F176" s="13" t="n">
        <f aca="false">IF(MONTH($A176)=4,1,0)</f>
        <v>0</v>
      </c>
      <c r="G176" s="13" t="n">
        <f aca="false">IF(MONTH($A176)=5,1,0)</f>
        <v>0</v>
      </c>
      <c r="H176" s="13" t="n">
        <f aca="false">IF(MONTH($A176)=6,1,0)</f>
        <v>0</v>
      </c>
      <c r="I176" s="13" t="n">
        <f aca="false">IF(MONTH($A176)=7,1,0)</f>
        <v>0</v>
      </c>
      <c r="J176" s="13" t="n">
        <f aca="false">IF(MONTH($A176)=8,1,0)</f>
        <v>0</v>
      </c>
      <c r="K176" s="13" t="n">
        <f aca="false">IF(MONTH($A176)=9,1,0)</f>
        <v>0</v>
      </c>
      <c r="L176" s="13" t="n">
        <f aca="false">IF(MONTH($A176)=10,1,0)</f>
        <v>0</v>
      </c>
      <c r="M176" s="13" t="n">
        <f aca="false">IF(MONTH($A176)=11,1,0)</f>
        <v>0</v>
      </c>
      <c r="N176" s="13" t="n">
        <f aca="false">IF(MONTH($A176)=12,1,0)</f>
        <v>0</v>
      </c>
      <c r="O176" s="7" t="n">
        <f aca="false">$B$165+SUMPRODUCT(C176:N176,$C$165:$N$165)</f>
        <v>0.889930908170711</v>
      </c>
      <c r="P176" s="7" t="n">
        <f aca="false">B176-O176</f>
        <v>-0.97103725197909</v>
      </c>
      <c r="Q176" s="7" t="n">
        <f aca="false">P176^2</f>
        <v>0.942913344731102</v>
      </c>
      <c r="T176" s="5" t="s">
        <v>101</v>
      </c>
      <c r="U176" s="7" t="n">
        <f aca="false">SQRT($U$173^2/$U$169+$U$172^2/$U$168)</f>
        <v>0.383456622325169</v>
      </c>
      <c r="X176" s="5" t="s">
        <v>77</v>
      </c>
      <c r="Y176" s="7" t="n">
        <f aca="false">INDEX(LINEST(B167:B212,C167:N212,TRUE(),TRUE()),1,3)</f>
        <v>1.877420498451</v>
      </c>
      <c r="Z176" s="7" t="n">
        <f aca="false">INDEX(LINEST(B167:B212,C167:N212,TRUE(),TRUE()),2,3)</f>
        <v>0.955051690791347</v>
      </c>
      <c r="AA176" s="7" t="n">
        <f aca="false">Y176/Z176</f>
        <v>1.96577893799171</v>
      </c>
      <c r="AB176" s="7" t="n">
        <f aca="false">_xlfn.T.DIST.2T(ABS(AA176),$U$185)</f>
        <v>0.0577849240650994</v>
      </c>
      <c r="AC176" s="7" t="n">
        <f aca="false">INDEX(MINVERSE($Y$183:$AJ$194),10,10)</f>
        <v>1.85054347826087</v>
      </c>
    </row>
    <row r="177" customFormat="false" ht="15" hidden="false" customHeight="false" outlineLevel="0" collapsed="false">
      <c r="A177" s="11" t="n">
        <f aca="false">Data_Monthly!A15</f>
        <v>44617</v>
      </c>
      <c r="B177" s="12" t="n">
        <f aca="false">AVERAGE(Data_Monthly!B15:C15)-AVERAGE(Data_Monthly!D15,Data_Monthly!F15)</f>
        <v>0.704720299797756</v>
      </c>
      <c r="C177" s="13" t="n">
        <f aca="false">IF($A177&gt;=$U$165,1,0)</f>
        <v>0</v>
      </c>
      <c r="D177" s="13" t="n">
        <f aca="false">IF(MONTH($A177)=2,1,0)</f>
        <v>1</v>
      </c>
      <c r="E177" s="13" t="n">
        <f aca="false">IF(MONTH($A177)=3,1,0)</f>
        <v>0</v>
      </c>
      <c r="F177" s="13" t="n">
        <f aca="false">IF(MONTH($A177)=4,1,0)</f>
        <v>0</v>
      </c>
      <c r="G177" s="13" t="n">
        <f aca="false">IF(MONTH($A177)=5,1,0)</f>
        <v>0</v>
      </c>
      <c r="H177" s="13" t="n">
        <f aca="false">IF(MONTH($A177)=6,1,0)</f>
        <v>0</v>
      </c>
      <c r="I177" s="13" t="n">
        <f aca="false">IF(MONTH($A177)=7,1,0)</f>
        <v>0</v>
      </c>
      <c r="J177" s="13" t="n">
        <f aca="false">IF(MONTH($A177)=8,1,0)</f>
        <v>0</v>
      </c>
      <c r="K177" s="13" t="n">
        <f aca="false">IF(MONTH($A177)=9,1,0)</f>
        <v>0</v>
      </c>
      <c r="L177" s="13" t="n">
        <f aca="false">IF(MONTH($A177)=10,1,0)</f>
        <v>0</v>
      </c>
      <c r="M177" s="13" t="n">
        <f aca="false">IF(MONTH($A177)=11,1,0)</f>
        <v>0</v>
      </c>
      <c r="N177" s="13" t="n">
        <f aca="false">IF(MONTH($A177)=12,1,0)</f>
        <v>0</v>
      </c>
      <c r="O177" s="7" t="n">
        <f aca="false">$B$165+SUMPRODUCT(C177:N177,$C$165:$N$165)</f>
        <v>0.384785837939328</v>
      </c>
      <c r="P177" s="7" t="n">
        <f aca="false">B177-O177</f>
        <v>0.319934461858429</v>
      </c>
      <c r="Q177" s="7" t="n">
        <f aca="false">P177^2</f>
        <v>0.102358059884642</v>
      </c>
      <c r="T177" s="5" t="s">
        <v>102</v>
      </c>
      <c r="U177" s="7" t="n">
        <f aca="false">$U$174/$U$176</f>
        <v>-2.46899755675048</v>
      </c>
      <c r="X177" s="5" t="s">
        <v>78</v>
      </c>
      <c r="Y177" s="7" t="n">
        <f aca="false">INDEX(LINEST(B167:B212,C167:N212,TRUE(),TRUE()),1,2)</f>
        <v>-0.591904095044471</v>
      </c>
      <c r="Z177" s="7" t="n">
        <f aca="false">INDEX(LINEST(B167:B212,C167:N212,TRUE(),TRUE()),2,2)</f>
        <v>0.955051690791347</v>
      </c>
      <c r="AA177" s="7" t="n">
        <f aca="false">Y177/Z177</f>
        <v>-0.619761318420393</v>
      </c>
      <c r="AB177" s="7" t="n">
        <f aca="false">_xlfn.T.DIST.2T(ABS(AA177),$U$185)</f>
        <v>0.539671031533545</v>
      </c>
      <c r="AC177" s="7" t="n">
        <f aca="false">INDEX(MINVERSE($Y$183:$AJ$194),11,11)</f>
        <v>1.85054347826087</v>
      </c>
    </row>
    <row r="178" customFormat="false" ht="15" hidden="false" customHeight="false" outlineLevel="0" collapsed="false">
      <c r="A178" s="11" t="n">
        <f aca="false">Data_Monthly!A16</f>
        <v>44645</v>
      </c>
      <c r="B178" s="12" t="n">
        <f aca="false">AVERAGE(Data_Monthly!B16:C16)-AVERAGE(Data_Monthly!D16,Data_Monthly!F16)</f>
        <v>1.70930925227797</v>
      </c>
      <c r="C178" s="13" t="n">
        <f aca="false">IF($A178&gt;=$U$165,1,0)</f>
        <v>0</v>
      </c>
      <c r="D178" s="13" t="n">
        <f aca="false">IF(MONTH($A178)=2,1,0)</f>
        <v>0</v>
      </c>
      <c r="E178" s="13" t="n">
        <f aca="false">IF(MONTH($A178)=3,1,0)</f>
        <v>1</v>
      </c>
      <c r="F178" s="13" t="n">
        <f aca="false">IF(MONTH($A178)=4,1,0)</f>
        <v>0</v>
      </c>
      <c r="G178" s="13" t="n">
        <f aca="false">IF(MONTH($A178)=5,1,0)</f>
        <v>0</v>
      </c>
      <c r="H178" s="13" t="n">
        <f aca="false">IF(MONTH($A178)=6,1,0)</f>
        <v>0</v>
      </c>
      <c r="I178" s="13" t="n">
        <f aca="false">IF(MONTH($A178)=7,1,0)</f>
        <v>0</v>
      </c>
      <c r="J178" s="13" t="n">
        <f aca="false">IF(MONTH($A178)=8,1,0)</f>
        <v>0</v>
      </c>
      <c r="K178" s="13" t="n">
        <f aca="false">IF(MONTH($A178)=9,1,0)</f>
        <v>0</v>
      </c>
      <c r="L178" s="13" t="n">
        <f aca="false">IF(MONTH($A178)=10,1,0)</f>
        <v>0</v>
      </c>
      <c r="M178" s="13" t="n">
        <f aca="false">IF(MONTH($A178)=11,1,0)</f>
        <v>0</v>
      </c>
      <c r="N178" s="13" t="n">
        <f aca="false">IF(MONTH($A178)=12,1,0)</f>
        <v>0</v>
      </c>
      <c r="O178" s="7" t="n">
        <f aca="false">$B$165+SUMPRODUCT(C178:N178,$C$165:$N$165)</f>
        <v>1.46103076349502</v>
      </c>
      <c r="P178" s="7" t="n">
        <f aca="false">B178-O178</f>
        <v>0.24827848878295</v>
      </c>
      <c r="Q178" s="7" t="n">
        <f aca="false">P178^2</f>
        <v>0.0616422079923453</v>
      </c>
      <c r="T178" s="5" t="s">
        <v>103</v>
      </c>
      <c r="U178" s="17" t="n">
        <f aca="false">(($U$173^2/$U$169)+($U$172^2/$U$168))^2/(($U$173^2/$U$169)^2/($U$169-1)+($U$172^2/$U$168)^2/($U$168-1))</f>
        <v>43.7618109541495</v>
      </c>
      <c r="X178" s="5" t="s">
        <v>79</v>
      </c>
      <c r="Y178" s="7" t="n">
        <f aca="false">INDEX(LINEST(B167:B212,C167:N212,TRUE(),TRUE()),1,1)</f>
        <v>-0.125820864412951</v>
      </c>
      <c r="Z178" s="7" t="n">
        <f aca="false">INDEX(LINEST(B167:B212,C167:N212,TRUE(),TRUE()),2,1)</f>
        <v>0.948719786565831</v>
      </c>
      <c r="AA178" s="7" t="n">
        <f aca="false">Y178/Z178</f>
        <v>-0.132621735305423</v>
      </c>
      <c r="AB178" s="7" t="n">
        <f aca="false">_xlfn.T.DIST.2T(ABS(AA178),$U$185)</f>
        <v>0.895297928300642</v>
      </c>
      <c r="AC178" s="7" t="n">
        <f aca="false">INDEX(MINVERSE($Y$183:$AJ$194),12,12)</f>
        <v>1.82608695652174</v>
      </c>
    </row>
    <row r="179" customFormat="false" ht="15" hidden="false" customHeight="false" outlineLevel="0" collapsed="false">
      <c r="A179" s="11" t="n">
        <f aca="false">Data_Monthly!A17</f>
        <v>44673</v>
      </c>
      <c r="B179" s="12" t="n">
        <f aca="false">AVERAGE(Data_Monthly!B17:C17)-AVERAGE(Data_Monthly!D17,Data_Monthly!F17)</f>
        <v>2.8859053868219</v>
      </c>
      <c r="C179" s="13" t="n">
        <f aca="false">IF($A179&gt;=$U$165,1,0)</f>
        <v>0</v>
      </c>
      <c r="D179" s="13" t="n">
        <f aca="false">IF(MONTH($A179)=2,1,0)</f>
        <v>0</v>
      </c>
      <c r="E179" s="13" t="n">
        <f aca="false">IF(MONTH($A179)=3,1,0)</f>
        <v>0</v>
      </c>
      <c r="F179" s="13" t="n">
        <f aca="false">IF(MONTH($A179)=4,1,0)</f>
        <v>1</v>
      </c>
      <c r="G179" s="13" t="n">
        <f aca="false">IF(MONTH($A179)=5,1,0)</f>
        <v>0</v>
      </c>
      <c r="H179" s="13" t="n">
        <f aca="false">IF(MONTH($A179)=6,1,0)</f>
        <v>0</v>
      </c>
      <c r="I179" s="13" t="n">
        <f aca="false">IF(MONTH($A179)=7,1,0)</f>
        <v>0</v>
      </c>
      <c r="J179" s="13" t="n">
        <f aca="false">IF(MONTH($A179)=8,1,0)</f>
        <v>0</v>
      </c>
      <c r="K179" s="13" t="n">
        <f aca="false">IF(MONTH($A179)=9,1,0)</f>
        <v>0</v>
      </c>
      <c r="L179" s="13" t="n">
        <f aca="false">IF(MONTH($A179)=10,1,0)</f>
        <v>0</v>
      </c>
      <c r="M179" s="13" t="n">
        <f aca="false">IF(MONTH($A179)=11,1,0)</f>
        <v>0</v>
      </c>
      <c r="N179" s="13" t="n">
        <f aca="false">IF(MONTH($A179)=12,1,0)</f>
        <v>0</v>
      </c>
      <c r="O179" s="7" t="n">
        <f aca="false">$B$165+SUMPRODUCT(C179:N179,$C$165:$N$165)</f>
        <v>0.819067976317311</v>
      </c>
      <c r="P179" s="7" t="n">
        <f aca="false">B179-O179</f>
        <v>2.06683741050459</v>
      </c>
      <c r="Q179" s="7" t="n">
        <f aca="false">P179^2</f>
        <v>4.2718168814613</v>
      </c>
      <c r="T179" s="5" t="s">
        <v>104</v>
      </c>
      <c r="U179" s="7" t="n">
        <f aca="false">_xlfn.T.TEST(B199:B212,B167:B198,2,3)</f>
        <v>0.017525489285178</v>
      </c>
      <c r="V179" s="16" t="n">
        <v>0.017525489285178</v>
      </c>
      <c r="X179" s="5" t="s">
        <v>105</v>
      </c>
      <c r="Y179" s="7" t="n">
        <f aca="false">INDEX(LINEST(B167:B212,C167:N212,TRUE(),TRUE()),1,13)</f>
        <v>0.889930908170711</v>
      </c>
      <c r="Z179" s="7" t="n">
        <f aca="false">INDEX(LINEST(B167:B212,C167:N212,TRUE(),TRUE()),2,13)</f>
        <v>0.705870109409896</v>
      </c>
      <c r="AA179" s="7" t="n">
        <f aca="false">Y179/Z179</f>
        <v>1.26075732108091</v>
      </c>
      <c r="AB179" s="7" t="n">
        <f aca="false">_xlfn.T.DIST.2T(ABS(AA179),$U$185)</f>
        <v>0.2162376288771</v>
      </c>
    </row>
    <row r="180" customFormat="false" ht="15" hidden="false" customHeight="false" outlineLevel="0" collapsed="false">
      <c r="A180" s="11" t="n">
        <f aca="false">Data_Monthly!A18</f>
        <v>44701</v>
      </c>
      <c r="B180" s="12" t="n">
        <f aca="false">AVERAGE(Data_Monthly!B18:C18)-AVERAGE(Data_Monthly!D18,Data_Monthly!F18)</f>
        <v>0.684235346070139</v>
      </c>
      <c r="C180" s="13" t="n">
        <f aca="false">IF($A180&gt;=$U$165,1,0)</f>
        <v>0</v>
      </c>
      <c r="D180" s="13" t="n">
        <f aca="false">IF(MONTH($A180)=2,1,0)</f>
        <v>0</v>
      </c>
      <c r="E180" s="13" t="n">
        <f aca="false">IF(MONTH($A180)=3,1,0)</f>
        <v>0</v>
      </c>
      <c r="F180" s="13" t="n">
        <f aca="false">IF(MONTH($A180)=4,1,0)</f>
        <v>0</v>
      </c>
      <c r="G180" s="13" t="n">
        <f aca="false">IF(MONTH($A180)=5,1,0)</f>
        <v>1</v>
      </c>
      <c r="H180" s="13" t="n">
        <f aca="false">IF(MONTH($A180)=6,1,0)</f>
        <v>0</v>
      </c>
      <c r="I180" s="13" t="n">
        <f aca="false">IF(MONTH($A180)=7,1,0)</f>
        <v>0</v>
      </c>
      <c r="J180" s="13" t="n">
        <f aca="false">IF(MONTH($A180)=8,1,0)</f>
        <v>0</v>
      </c>
      <c r="K180" s="13" t="n">
        <f aca="false">IF(MONTH($A180)=9,1,0)</f>
        <v>0</v>
      </c>
      <c r="L180" s="13" t="n">
        <f aca="false">IF(MONTH($A180)=10,1,0)</f>
        <v>0</v>
      </c>
      <c r="M180" s="13" t="n">
        <f aca="false">IF(MONTH($A180)=11,1,0)</f>
        <v>0</v>
      </c>
      <c r="N180" s="13" t="n">
        <f aca="false">IF(MONTH($A180)=12,1,0)</f>
        <v>0</v>
      </c>
      <c r="O180" s="7" t="n">
        <f aca="false">$B$165+SUMPRODUCT(C180:N180,$C$165:$N$165)</f>
        <v>-0.181292661839383</v>
      </c>
      <c r="P180" s="7" t="n">
        <f aca="false">B180-O180</f>
        <v>0.865528007909522</v>
      </c>
      <c r="Q180" s="7" t="n">
        <f aca="false">P180^2</f>
        <v>0.749138732475825</v>
      </c>
      <c r="X180" s="2" t="s">
        <v>184</v>
      </c>
    </row>
    <row r="181" customFormat="false" ht="15" hidden="false" customHeight="false" outlineLevel="0" collapsed="false">
      <c r="A181" s="11" t="n">
        <f aca="false">Data_Monthly!A19</f>
        <v>44729</v>
      </c>
      <c r="B181" s="12" t="n">
        <f aca="false">AVERAGE(Data_Monthly!B19:C19)-AVERAGE(Data_Monthly!D19,Data_Monthly!F19)</f>
        <v>-1.24687462991036</v>
      </c>
      <c r="C181" s="13" t="n">
        <f aca="false">IF($A181&gt;=$U$165,1,0)</f>
        <v>0</v>
      </c>
      <c r="D181" s="13" t="n">
        <f aca="false">IF(MONTH($A181)=2,1,0)</f>
        <v>0</v>
      </c>
      <c r="E181" s="13" t="n">
        <f aca="false">IF(MONTH($A181)=3,1,0)</f>
        <v>0</v>
      </c>
      <c r="F181" s="13" t="n">
        <f aca="false">IF(MONTH($A181)=4,1,0)</f>
        <v>0</v>
      </c>
      <c r="G181" s="13" t="n">
        <f aca="false">IF(MONTH($A181)=5,1,0)</f>
        <v>0</v>
      </c>
      <c r="H181" s="13" t="n">
        <f aca="false">IF(MONTH($A181)=6,1,0)</f>
        <v>1</v>
      </c>
      <c r="I181" s="13" t="n">
        <f aca="false">IF(MONTH($A181)=7,1,0)</f>
        <v>0</v>
      </c>
      <c r="J181" s="13" t="n">
        <f aca="false">IF(MONTH($A181)=8,1,0)</f>
        <v>0</v>
      </c>
      <c r="K181" s="13" t="n">
        <f aca="false">IF(MONTH($A181)=9,1,0)</f>
        <v>0</v>
      </c>
      <c r="L181" s="13" t="n">
        <f aca="false">IF(MONTH($A181)=10,1,0)</f>
        <v>0</v>
      </c>
      <c r="M181" s="13" t="n">
        <f aca="false">IF(MONTH($A181)=11,1,0)</f>
        <v>0</v>
      </c>
      <c r="N181" s="13" t="n">
        <f aca="false">IF(MONTH($A181)=12,1,0)</f>
        <v>0</v>
      </c>
      <c r="O181" s="7" t="n">
        <f aca="false">$B$165+SUMPRODUCT(C181:N181,$C$165:$N$165)</f>
        <v>-0.184344938073944</v>
      </c>
      <c r="P181" s="7" t="n">
        <f aca="false">B181-O181</f>
        <v>-1.06252969183641</v>
      </c>
      <c r="Q181" s="7" t="n">
        <f aca="false">P181^2</f>
        <v>1.12896934603398</v>
      </c>
      <c r="T181" s="9" t="s">
        <v>114</v>
      </c>
      <c r="U181" s="14" t="s">
        <v>91</v>
      </c>
      <c r="V181" s="14" t="s">
        <v>92</v>
      </c>
      <c r="X181" s="2" t="s">
        <v>108</v>
      </c>
    </row>
    <row r="182" customFormat="false" ht="15" hidden="false" customHeight="false" outlineLevel="0" collapsed="false">
      <c r="A182" s="11" t="n">
        <f aca="false">Data_Monthly!A20</f>
        <v>44771</v>
      </c>
      <c r="B182" s="12" t="n">
        <f aca="false">AVERAGE(Data_Monthly!B20:C20)-AVERAGE(Data_Monthly!D20,Data_Monthly!F20)</f>
        <v>2.41560423387899</v>
      </c>
      <c r="C182" s="13" t="n">
        <f aca="false">IF($A182&gt;=$U$165,1,0)</f>
        <v>0</v>
      </c>
      <c r="D182" s="13" t="n">
        <f aca="false">IF(MONTH($A182)=2,1,0)</f>
        <v>0</v>
      </c>
      <c r="E182" s="13" t="n">
        <f aca="false">IF(MONTH($A182)=3,1,0)</f>
        <v>0</v>
      </c>
      <c r="F182" s="13" t="n">
        <f aca="false">IF(MONTH($A182)=4,1,0)</f>
        <v>0</v>
      </c>
      <c r="G182" s="13" t="n">
        <f aca="false">IF(MONTH($A182)=5,1,0)</f>
        <v>0</v>
      </c>
      <c r="H182" s="13" t="n">
        <f aca="false">IF(MONTH($A182)=6,1,0)</f>
        <v>0</v>
      </c>
      <c r="I182" s="13" t="n">
        <f aca="false">IF(MONTH($A182)=7,1,0)</f>
        <v>1</v>
      </c>
      <c r="J182" s="13" t="n">
        <f aca="false">IF(MONTH($A182)=8,1,0)</f>
        <v>0</v>
      </c>
      <c r="K182" s="13" t="n">
        <f aca="false">IF(MONTH($A182)=9,1,0)</f>
        <v>0</v>
      </c>
      <c r="L182" s="13" t="n">
        <f aca="false">IF(MONTH($A182)=10,1,0)</f>
        <v>0</v>
      </c>
      <c r="M182" s="13" t="n">
        <f aca="false">IF(MONTH($A182)=11,1,0)</f>
        <v>0</v>
      </c>
      <c r="N182" s="13" t="n">
        <f aca="false">IF(MONTH($A182)=12,1,0)</f>
        <v>0</v>
      </c>
      <c r="O182" s="7" t="n">
        <f aca="false">$B$165+SUMPRODUCT(C182:N182,$C$165:$N$165)</f>
        <v>2.16882421489107</v>
      </c>
      <c r="P182" s="7" t="n">
        <f aca="false">B182-O182</f>
        <v>0.246780018987913</v>
      </c>
      <c r="Q182" s="7" t="n">
        <f aca="false">P182^2</f>
        <v>0.0609003777716746</v>
      </c>
      <c r="T182" s="5" t="s">
        <v>115</v>
      </c>
      <c r="U182" s="13" t="n">
        <f aca="false">COUNT(B167:B212)</f>
        <v>46</v>
      </c>
      <c r="Y182" s="19" t="s">
        <v>68</v>
      </c>
      <c r="Z182" s="19" t="s">
        <v>69</v>
      </c>
      <c r="AA182" s="19" t="s">
        <v>70</v>
      </c>
      <c r="AB182" s="19" t="s">
        <v>71</v>
      </c>
      <c r="AC182" s="19" t="s">
        <v>72</v>
      </c>
      <c r="AD182" s="19" t="s">
        <v>73</v>
      </c>
      <c r="AE182" s="19" t="s">
        <v>74</v>
      </c>
      <c r="AF182" s="19" t="s">
        <v>75</v>
      </c>
      <c r="AG182" s="19" t="s">
        <v>76</v>
      </c>
      <c r="AH182" s="19" t="s">
        <v>77</v>
      </c>
      <c r="AI182" s="19" t="s">
        <v>78</v>
      </c>
      <c r="AJ182" s="19" t="s">
        <v>79</v>
      </c>
    </row>
    <row r="183" customFormat="false" ht="15" hidden="false" customHeight="false" outlineLevel="0" collapsed="false">
      <c r="A183" s="11" t="n">
        <f aca="false">Data_Monthly!A21</f>
        <v>44799</v>
      </c>
      <c r="B183" s="12" t="n">
        <f aca="false">AVERAGE(Data_Monthly!B21:C21)-AVERAGE(Data_Monthly!D21,Data_Monthly!F21)</f>
        <v>0.593677722033359</v>
      </c>
      <c r="C183" s="13" t="n">
        <f aca="false">IF($A183&gt;=$U$165,1,0)</f>
        <v>0</v>
      </c>
      <c r="D183" s="13" t="n">
        <f aca="false">IF(MONTH($A183)=2,1,0)</f>
        <v>0</v>
      </c>
      <c r="E183" s="13" t="n">
        <f aca="false">IF(MONTH($A183)=3,1,0)</f>
        <v>0</v>
      </c>
      <c r="F183" s="13" t="n">
        <f aca="false">IF(MONTH($A183)=4,1,0)</f>
        <v>0</v>
      </c>
      <c r="G183" s="13" t="n">
        <f aca="false">IF(MONTH($A183)=5,1,0)</f>
        <v>0</v>
      </c>
      <c r="H183" s="13" t="n">
        <f aca="false">IF(MONTH($A183)=6,1,0)</f>
        <v>0</v>
      </c>
      <c r="I183" s="13" t="n">
        <f aca="false">IF(MONTH($A183)=7,1,0)</f>
        <v>0</v>
      </c>
      <c r="J183" s="13" t="n">
        <f aca="false">IF(MONTH($A183)=8,1,0)</f>
        <v>1</v>
      </c>
      <c r="K183" s="13" t="n">
        <f aca="false">IF(MONTH($A183)=9,1,0)</f>
        <v>0</v>
      </c>
      <c r="L183" s="13" t="n">
        <f aca="false">IF(MONTH($A183)=10,1,0)</f>
        <v>0</v>
      </c>
      <c r="M183" s="13" t="n">
        <f aca="false">IF(MONTH($A183)=11,1,0)</f>
        <v>0</v>
      </c>
      <c r="N183" s="13" t="n">
        <f aca="false">IF(MONTH($A183)=12,1,0)</f>
        <v>0</v>
      </c>
      <c r="O183" s="7" t="n">
        <f aca="false">$B$165+SUMPRODUCT(C183:N183,$C$165:$N$165)</f>
        <v>0.190254204651585</v>
      </c>
      <c r="P183" s="7" t="n">
        <f aca="false">B183-O183</f>
        <v>0.403423517381773</v>
      </c>
      <c r="Q183" s="7" t="n">
        <f aca="false">P183^2</f>
        <v>0.162750534376682</v>
      </c>
      <c r="T183" s="5" t="s">
        <v>112</v>
      </c>
      <c r="U183" s="7" t="n">
        <f aca="false">INDEX(LINEST(B167:B212,C167:N212,TRUE(),TRUE()),3,1)</f>
        <v>0.485203209631492</v>
      </c>
      <c r="X183" s="6" t="s">
        <v>68</v>
      </c>
      <c r="Y183" s="20" t="n">
        <f aca="false">CORREL($C$167:$C$212,$C$167:$C$212)</f>
        <v>1</v>
      </c>
      <c r="Z183" s="20" t="n">
        <f aca="false">CORREL($D$167:$D$212,$C$167:$C$212)</f>
        <v>0.016638958140993</v>
      </c>
      <c r="AA183" s="20" t="n">
        <f aca="false">CORREL($E$167:$E$212,$C$167:$C$212)</f>
        <v>0.016638958140993</v>
      </c>
      <c r="AB183" s="20" t="n">
        <f aca="false">CORREL($F$167:$F$212,$C$167:$C$212)</f>
        <v>-0.0364507402199878</v>
      </c>
      <c r="AC183" s="20" t="n">
        <f aca="false">CORREL($G$167:$G$212,$C$167:$C$212)</f>
        <v>-0.0364507402199878</v>
      </c>
      <c r="AD183" s="20" t="n">
        <f aca="false">CORREL($H$167:$H$212,$C$167:$C$212)</f>
        <v>-0.0364507402199878</v>
      </c>
      <c r="AE183" s="20" t="n">
        <f aca="false">CORREL($I$167:$I$212,$C$167:$C$212)</f>
        <v>-0.0364507402199878</v>
      </c>
      <c r="AF183" s="20" t="n">
        <f aca="false">CORREL($J$167:$J$212,$C$167:$C$212)</f>
        <v>-0.0364507402199878</v>
      </c>
      <c r="AG183" s="20" t="n">
        <f aca="false">CORREL($K$167:$K$212,$C$167:$C$212)</f>
        <v>-0.0364507402199878</v>
      </c>
      <c r="AH183" s="20" t="n">
        <f aca="false">CORREL($L$167:$L$212,$C$167:$C$212)</f>
        <v>-0.0364507402199878</v>
      </c>
      <c r="AI183" s="20" t="n">
        <f aca="false">CORREL($M$167:$M$212,$C$167:$C$212)</f>
        <v>-0.0364507402199878</v>
      </c>
      <c r="AJ183" s="20" t="n">
        <f aca="false">CORREL($N$167:$N$212,$C$167:$C$212)</f>
        <v>0.131222664791956</v>
      </c>
    </row>
    <row r="184" customFormat="false" ht="15" hidden="false" customHeight="false" outlineLevel="0" collapsed="false">
      <c r="A184" s="11" t="n">
        <f aca="false">Data_Monthly!A22</f>
        <v>44827</v>
      </c>
      <c r="B184" s="12" t="n">
        <f aca="false">AVERAGE(Data_Monthly!B22:C22)-AVERAGE(Data_Monthly!D22,Data_Monthly!F22)</f>
        <v>-0.739490390839048</v>
      </c>
      <c r="C184" s="13" t="n">
        <f aca="false">IF($A184&gt;=$U$165,1,0)</f>
        <v>0</v>
      </c>
      <c r="D184" s="13" t="n">
        <f aca="false">IF(MONTH($A184)=2,1,0)</f>
        <v>0</v>
      </c>
      <c r="E184" s="13" t="n">
        <f aca="false">IF(MONTH($A184)=3,1,0)</f>
        <v>0</v>
      </c>
      <c r="F184" s="13" t="n">
        <f aca="false">IF(MONTH($A184)=4,1,0)</f>
        <v>0</v>
      </c>
      <c r="G184" s="13" t="n">
        <f aca="false">IF(MONTH($A184)=5,1,0)</f>
        <v>0</v>
      </c>
      <c r="H184" s="13" t="n">
        <f aca="false">IF(MONTH($A184)=6,1,0)</f>
        <v>0</v>
      </c>
      <c r="I184" s="13" t="n">
        <f aca="false">IF(MONTH($A184)=7,1,0)</f>
        <v>0</v>
      </c>
      <c r="J184" s="13" t="n">
        <f aca="false">IF(MONTH($A184)=8,1,0)</f>
        <v>0</v>
      </c>
      <c r="K184" s="13" t="n">
        <f aca="false">IF(MONTH($A184)=9,1,0)</f>
        <v>1</v>
      </c>
      <c r="L184" s="13" t="n">
        <f aca="false">IF(MONTH($A184)=10,1,0)</f>
        <v>0</v>
      </c>
      <c r="M184" s="13" t="n">
        <f aca="false">IF(MONTH($A184)=11,1,0)</f>
        <v>0</v>
      </c>
      <c r="N184" s="13" t="n">
        <f aca="false">IF(MONTH($A184)=12,1,0)</f>
        <v>0</v>
      </c>
      <c r="O184" s="7" t="n">
        <f aca="false">$B$165+SUMPRODUCT(C184:N184,$C$165:$N$165)</f>
        <v>-0.986832808005388</v>
      </c>
      <c r="P184" s="7" t="n">
        <f aca="false">B184-O184</f>
        <v>0.247342417166341</v>
      </c>
      <c r="Q184" s="7" t="n">
        <f aca="false">P184^2</f>
        <v>0.061178271329688</v>
      </c>
      <c r="T184" s="5" t="s">
        <v>116</v>
      </c>
      <c r="U184" s="7" t="n">
        <f aca="false">SQRT($U$183)</f>
        <v>0.696565294593042</v>
      </c>
      <c r="X184" s="6" t="s">
        <v>69</v>
      </c>
      <c r="Y184" s="20" t="n">
        <f aca="false">CORREL($C$167:$C$212,$D$167:$D$212)</f>
        <v>0.016638958140993</v>
      </c>
      <c r="Z184" s="20" t="n">
        <f aca="false">CORREL($D$167:$D$212,$D$167:$D$212)</f>
        <v>1</v>
      </c>
      <c r="AA184" s="20" t="n">
        <f aca="false">CORREL($E$167:$E$212,$D$167:$D$212)</f>
        <v>-0.0697674418604651</v>
      </c>
      <c r="AB184" s="20" t="n">
        <f aca="false">CORREL($F$167:$F$212,$D$167:$D$212)</f>
        <v>-0.0815139145939222</v>
      </c>
      <c r="AC184" s="20" t="n">
        <f aca="false">CORREL($G$167:$G$212,$D$167:$D$212)</f>
        <v>-0.0815139145939222</v>
      </c>
      <c r="AD184" s="20" t="n">
        <f aca="false">CORREL($H$167:$H$212,$D$167:$D$212)</f>
        <v>-0.0815139145939222</v>
      </c>
      <c r="AE184" s="20" t="n">
        <f aca="false">CORREL($I$167:$I$212,$D$167:$D$212)</f>
        <v>-0.0815139145939222</v>
      </c>
      <c r="AF184" s="20" t="n">
        <f aca="false">CORREL($J$167:$J$212,$D$167:$D$212)</f>
        <v>-0.0815139145939222</v>
      </c>
      <c r="AG184" s="20" t="n">
        <f aca="false">CORREL($K$167:$K$212,$D$167:$D$212)</f>
        <v>-0.0815139145939222</v>
      </c>
      <c r="AH184" s="20" t="n">
        <f aca="false">CORREL($L$167:$L$212,$D$167:$D$212)</f>
        <v>-0.0815139145939222</v>
      </c>
      <c r="AI184" s="20" t="n">
        <f aca="false">CORREL($M$167:$M$212,$D$167:$D$212)</f>
        <v>-0.0815139145939222</v>
      </c>
      <c r="AJ184" s="20" t="n">
        <f aca="false">CORREL($N$167:$N$212,$D$167:$D$212)</f>
        <v>-0.0815139145939222</v>
      </c>
    </row>
    <row r="185" customFormat="false" ht="15" hidden="false" customHeight="false" outlineLevel="0" collapsed="false">
      <c r="A185" s="11" t="n">
        <f aca="false">Data_Monthly!A23</f>
        <v>44855</v>
      </c>
      <c r="B185" s="12" t="n">
        <f aca="false">AVERAGE(Data_Monthly!B23:C23)-AVERAGE(Data_Monthly!D23,Data_Monthly!F23)</f>
        <v>3.40499424950211</v>
      </c>
      <c r="C185" s="13" t="n">
        <f aca="false">IF($A185&gt;=$U$165,1,0)</f>
        <v>0</v>
      </c>
      <c r="D185" s="13" t="n">
        <f aca="false">IF(MONTH($A185)=2,1,0)</f>
        <v>0</v>
      </c>
      <c r="E185" s="13" t="n">
        <f aca="false">IF(MONTH($A185)=3,1,0)</f>
        <v>0</v>
      </c>
      <c r="F185" s="13" t="n">
        <f aca="false">IF(MONTH($A185)=4,1,0)</f>
        <v>0</v>
      </c>
      <c r="G185" s="13" t="n">
        <f aca="false">IF(MONTH($A185)=5,1,0)</f>
        <v>0</v>
      </c>
      <c r="H185" s="13" t="n">
        <f aca="false">IF(MONTH($A185)=6,1,0)</f>
        <v>0</v>
      </c>
      <c r="I185" s="13" t="n">
        <f aca="false">IF(MONTH($A185)=7,1,0)</f>
        <v>0</v>
      </c>
      <c r="J185" s="13" t="n">
        <f aca="false">IF(MONTH($A185)=8,1,0)</f>
        <v>0</v>
      </c>
      <c r="K185" s="13" t="n">
        <f aca="false">IF(MONTH($A185)=9,1,0)</f>
        <v>0</v>
      </c>
      <c r="L185" s="13" t="n">
        <f aca="false">IF(MONTH($A185)=10,1,0)</f>
        <v>1</v>
      </c>
      <c r="M185" s="13" t="n">
        <f aca="false">IF(MONTH($A185)=11,1,0)</f>
        <v>0</v>
      </c>
      <c r="N185" s="13" t="n">
        <f aca="false">IF(MONTH($A185)=12,1,0)</f>
        <v>0</v>
      </c>
      <c r="O185" s="7" t="n">
        <f aca="false">$B$165+SUMPRODUCT(C185:N185,$C$165:$N$165)</f>
        <v>2.76735140662171</v>
      </c>
      <c r="P185" s="7" t="n">
        <f aca="false">B185-O185</f>
        <v>0.637642842880404</v>
      </c>
      <c r="Q185" s="7" t="n">
        <f aca="false">P185^2</f>
        <v>0.406588395076604</v>
      </c>
      <c r="T185" s="5" t="s">
        <v>111</v>
      </c>
      <c r="U185" s="13" t="n">
        <f aca="false">INDEX(LINEST(B167:B212,C167:N212,TRUE(),TRUE()),4,2)</f>
        <v>33</v>
      </c>
      <c r="X185" s="6" t="s">
        <v>70</v>
      </c>
      <c r="Y185" s="20" t="n">
        <f aca="false">CORREL($C$167:$C$212,$E$167:$E$212)</f>
        <v>0.016638958140993</v>
      </c>
      <c r="Z185" s="20" t="n">
        <f aca="false">CORREL($D$167:$D$212,$E$167:$E$212)</f>
        <v>-0.0697674418604651</v>
      </c>
      <c r="AA185" s="20" t="n">
        <f aca="false">CORREL($E$167:$E$212,$E$167:$E$212)</f>
        <v>1</v>
      </c>
      <c r="AB185" s="20" t="n">
        <f aca="false">CORREL($F$167:$F$212,$E$167:$E$212)</f>
        <v>-0.0815139145939222</v>
      </c>
      <c r="AC185" s="20" t="n">
        <f aca="false">CORREL($G$167:$G$212,$E$167:$E$212)</f>
        <v>-0.0815139145939222</v>
      </c>
      <c r="AD185" s="20" t="n">
        <f aca="false">CORREL($H$167:$H$212,$E$167:$E$212)</f>
        <v>-0.0815139145939222</v>
      </c>
      <c r="AE185" s="20" t="n">
        <f aca="false">CORREL($I$167:$I$212,$E$167:$E$212)</f>
        <v>-0.0815139145939222</v>
      </c>
      <c r="AF185" s="20" t="n">
        <f aca="false">CORREL($J$167:$J$212,$E$167:$E$212)</f>
        <v>-0.0815139145939222</v>
      </c>
      <c r="AG185" s="20" t="n">
        <f aca="false">CORREL($K$167:$K$212,$E$167:$E$212)</f>
        <v>-0.0815139145939222</v>
      </c>
      <c r="AH185" s="20" t="n">
        <f aca="false">CORREL($L$167:$L$212,$E$167:$E$212)</f>
        <v>-0.0815139145939222</v>
      </c>
      <c r="AI185" s="20" t="n">
        <f aca="false">CORREL($M$167:$M$212,$E$167:$E$212)</f>
        <v>-0.0815139145939222</v>
      </c>
      <c r="AJ185" s="20" t="n">
        <f aca="false">CORREL($N$167:$N$212,$E$167:$E$212)</f>
        <v>-0.0815139145939222</v>
      </c>
    </row>
    <row r="186" customFormat="false" ht="15" hidden="false" customHeight="false" outlineLevel="0" collapsed="false">
      <c r="A186" s="11" t="n">
        <f aca="false">Data_Monthly!A24</f>
        <v>44883</v>
      </c>
      <c r="B186" s="12" t="n">
        <f aca="false">AVERAGE(Data_Monthly!B24:C24)-AVERAGE(Data_Monthly!D24,Data_Monthly!F24)</f>
        <v>-1.02458998470665</v>
      </c>
      <c r="C186" s="13" t="n">
        <f aca="false">IF($A186&gt;=$U$165,1,0)</f>
        <v>0</v>
      </c>
      <c r="D186" s="13" t="n">
        <f aca="false">IF(MONTH($A186)=2,1,0)</f>
        <v>0</v>
      </c>
      <c r="E186" s="13" t="n">
        <f aca="false">IF(MONTH($A186)=3,1,0)</f>
        <v>0</v>
      </c>
      <c r="F186" s="13" t="n">
        <f aca="false">IF(MONTH($A186)=4,1,0)</f>
        <v>0</v>
      </c>
      <c r="G186" s="13" t="n">
        <f aca="false">IF(MONTH($A186)=5,1,0)</f>
        <v>0</v>
      </c>
      <c r="H186" s="13" t="n">
        <f aca="false">IF(MONTH($A186)=6,1,0)</f>
        <v>0</v>
      </c>
      <c r="I186" s="13" t="n">
        <f aca="false">IF(MONTH($A186)=7,1,0)</f>
        <v>0</v>
      </c>
      <c r="J186" s="13" t="n">
        <f aca="false">IF(MONTH($A186)=8,1,0)</f>
        <v>0</v>
      </c>
      <c r="K186" s="13" t="n">
        <f aca="false">IF(MONTH($A186)=9,1,0)</f>
        <v>0</v>
      </c>
      <c r="L186" s="13" t="n">
        <f aca="false">IF(MONTH($A186)=10,1,0)</f>
        <v>0</v>
      </c>
      <c r="M186" s="13" t="n">
        <f aca="false">IF(MONTH($A186)=11,1,0)</f>
        <v>1</v>
      </c>
      <c r="N186" s="13" t="n">
        <f aca="false">IF(MONTH($A186)=12,1,0)</f>
        <v>0</v>
      </c>
      <c r="O186" s="7" t="n">
        <f aca="false">$B$165+SUMPRODUCT(C186:N186,$C$165:$N$165)</f>
        <v>0.29802681312624</v>
      </c>
      <c r="P186" s="7" t="n">
        <f aca="false">B186-O186</f>
        <v>-1.32261679783289</v>
      </c>
      <c r="Q186" s="7" t="n">
        <f aca="false">P186^2</f>
        <v>1.74931519390972</v>
      </c>
      <c r="T186" s="5" t="s">
        <v>117</v>
      </c>
      <c r="U186" s="7" t="n">
        <f aca="false">1-(1-$U$183)*($U$182-1)/$U$185</f>
        <v>0.298004376770216</v>
      </c>
      <c r="X186" s="6" t="s">
        <v>71</v>
      </c>
      <c r="Y186" s="20" t="n">
        <f aca="false">CORREL($C$167:$C$212,$F$167:$F$212)</f>
        <v>-0.0364507402199878</v>
      </c>
      <c r="Z186" s="20" t="n">
        <f aca="false">CORREL($D$167:$D$212,$F$167:$F$212)</f>
        <v>-0.0815139145939222</v>
      </c>
      <c r="AA186" s="20" t="n">
        <f aca="false">CORREL($E$167:$E$212,$F$167:$F$212)</f>
        <v>-0.0815139145939222</v>
      </c>
      <c r="AB186" s="20" t="n">
        <f aca="false">CORREL($F$167:$F$212,$F$167:$F$212)</f>
        <v>1</v>
      </c>
      <c r="AC186" s="20" t="n">
        <f aca="false">CORREL($G$167:$G$212,$F$167:$F$212)</f>
        <v>-0.0952380952380953</v>
      </c>
      <c r="AD186" s="20" t="n">
        <f aca="false">CORREL($H$167:$H$212,$F$167:$F$212)</f>
        <v>-0.0952380952380953</v>
      </c>
      <c r="AE186" s="20" t="n">
        <f aca="false">CORREL($I$167:$I$212,$F$167:$F$212)</f>
        <v>-0.0952380952380953</v>
      </c>
      <c r="AF186" s="20" t="n">
        <f aca="false">CORREL($J$167:$J$212,$F$167:$F$212)</f>
        <v>-0.0952380952380953</v>
      </c>
      <c r="AG186" s="20" t="n">
        <f aca="false">CORREL($K$167:$K$212,$F$167:$F$212)</f>
        <v>-0.0952380952380953</v>
      </c>
      <c r="AH186" s="20" t="n">
        <f aca="false">CORREL($L$167:$L$212,$F$167:$F$212)</f>
        <v>-0.0952380952380953</v>
      </c>
      <c r="AI186" s="20" t="n">
        <f aca="false">CORREL($M$167:$M$212,$F$167:$F$212)</f>
        <v>-0.0952380952380953</v>
      </c>
      <c r="AJ186" s="20" t="n">
        <f aca="false">CORREL($N$167:$N$212,$F$167:$F$212)</f>
        <v>-0.0952380952380953</v>
      </c>
    </row>
    <row r="187" customFormat="false" ht="15" hidden="false" customHeight="false" outlineLevel="0" collapsed="false">
      <c r="A187" s="11" t="n">
        <f aca="false">Data_Monthly!A25</f>
        <v>44925</v>
      </c>
      <c r="B187" s="12" t="n">
        <f aca="false">AVERAGE(Data_Monthly!B25:C25)-AVERAGE(Data_Monthly!D25,Data_Monthly!F25)</f>
        <v>1.02129914907145</v>
      </c>
      <c r="C187" s="13" t="n">
        <f aca="false">IF($A187&gt;=$U$165,1,0)</f>
        <v>0</v>
      </c>
      <c r="D187" s="13" t="n">
        <f aca="false">IF(MONTH($A187)=2,1,0)</f>
        <v>0</v>
      </c>
      <c r="E187" s="13" t="n">
        <f aca="false">IF(MONTH($A187)=3,1,0)</f>
        <v>0</v>
      </c>
      <c r="F187" s="13" t="n">
        <f aca="false">IF(MONTH($A187)=4,1,0)</f>
        <v>0</v>
      </c>
      <c r="G187" s="13" t="n">
        <f aca="false">IF(MONTH($A187)=5,1,0)</f>
        <v>0</v>
      </c>
      <c r="H187" s="13" t="n">
        <f aca="false">IF(MONTH($A187)=6,1,0)</f>
        <v>0</v>
      </c>
      <c r="I187" s="13" t="n">
        <f aca="false">IF(MONTH($A187)=7,1,0)</f>
        <v>0</v>
      </c>
      <c r="J187" s="13" t="n">
        <f aca="false">IF(MONTH($A187)=8,1,0)</f>
        <v>0</v>
      </c>
      <c r="K187" s="13" t="n">
        <f aca="false">IF(MONTH($A187)=9,1,0)</f>
        <v>0</v>
      </c>
      <c r="L187" s="13" t="n">
        <f aca="false">IF(MONTH($A187)=10,1,0)</f>
        <v>0</v>
      </c>
      <c r="M187" s="13" t="n">
        <f aca="false">IF(MONTH($A187)=11,1,0)</f>
        <v>0</v>
      </c>
      <c r="N187" s="13" t="n">
        <f aca="false">IF(MONTH($A187)=12,1,0)</f>
        <v>1</v>
      </c>
      <c r="O187" s="7" t="n">
        <f aca="false">$B$165+SUMPRODUCT(C187:N187,$C$165:$N$165)</f>
        <v>0.76411004375776</v>
      </c>
      <c r="P187" s="7" t="n">
        <f aca="false">B187-O187</f>
        <v>0.257189105313693</v>
      </c>
      <c r="Q187" s="7" t="n">
        <f aca="false">P187^2</f>
        <v>0.066146235892058</v>
      </c>
      <c r="T187" s="5" t="s">
        <v>118</v>
      </c>
      <c r="U187" s="7" t="n">
        <f aca="false">INDEX(LINEST(B167:B212,C167:N212,TRUE(),TRUE()),3,2)</f>
        <v>1.34169238905311</v>
      </c>
      <c r="X187" s="6" t="s">
        <v>72</v>
      </c>
      <c r="Y187" s="20" t="n">
        <f aca="false">CORREL($C$167:$C$212,$G$167:$G$212)</f>
        <v>-0.0364507402199878</v>
      </c>
      <c r="Z187" s="20" t="n">
        <f aca="false">CORREL($D$167:$D$212,$G$167:$G$212)</f>
        <v>-0.0815139145939222</v>
      </c>
      <c r="AA187" s="20" t="n">
        <f aca="false">CORREL($E$167:$E$212,$G$167:$G$212)</f>
        <v>-0.0815139145939222</v>
      </c>
      <c r="AB187" s="20" t="n">
        <f aca="false">CORREL($F$167:$F$212,$G$167:$G$212)</f>
        <v>-0.0952380952380953</v>
      </c>
      <c r="AC187" s="20" t="n">
        <f aca="false">CORREL($G$167:$G$212,$G$167:$G$212)</f>
        <v>1</v>
      </c>
      <c r="AD187" s="20" t="n">
        <f aca="false">CORREL($H$167:$H$212,$G$167:$G$212)</f>
        <v>-0.0952380952380953</v>
      </c>
      <c r="AE187" s="20" t="n">
        <f aca="false">CORREL($I$167:$I$212,$G$167:$G$212)</f>
        <v>-0.0952380952380953</v>
      </c>
      <c r="AF187" s="20" t="n">
        <f aca="false">CORREL($J$167:$J$212,$G$167:$G$212)</f>
        <v>-0.0952380952380953</v>
      </c>
      <c r="AG187" s="20" t="n">
        <f aca="false">CORREL($K$167:$K$212,$G$167:$G$212)</f>
        <v>-0.0952380952380953</v>
      </c>
      <c r="AH187" s="20" t="n">
        <f aca="false">CORREL($L$167:$L$212,$G$167:$G$212)</f>
        <v>-0.0952380952380953</v>
      </c>
      <c r="AI187" s="20" t="n">
        <f aca="false">CORREL($M$167:$M$212,$G$167:$G$212)</f>
        <v>-0.0952380952380953</v>
      </c>
      <c r="AJ187" s="20" t="n">
        <f aca="false">CORREL($N$167:$N$212,$G$167:$G$212)</f>
        <v>-0.0952380952380953</v>
      </c>
    </row>
    <row r="188" customFormat="false" ht="15" hidden="false" customHeight="false" outlineLevel="0" collapsed="false">
      <c r="A188" s="11" t="n">
        <f aca="false">Data_Monthly!A26</f>
        <v>44953</v>
      </c>
      <c r="B188" s="12" t="n">
        <f aca="false">AVERAGE(Data_Monthly!B26:C26)-AVERAGE(Data_Monthly!D26,Data_Monthly!F26)</f>
        <v>2.21830310935003</v>
      </c>
      <c r="C188" s="13" t="n">
        <f aca="false">IF($A188&gt;=$U$165,1,0)</f>
        <v>0</v>
      </c>
      <c r="D188" s="13" t="n">
        <f aca="false">IF(MONTH($A188)=2,1,0)</f>
        <v>0</v>
      </c>
      <c r="E188" s="13" t="n">
        <f aca="false">IF(MONTH($A188)=3,1,0)</f>
        <v>0</v>
      </c>
      <c r="F188" s="13" t="n">
        <f aca="false">IF(MONTH($A188)=4,1,0)</f>
        <v>0</v>
      </c>
      <c r="G188" s="13" t="n">
        <f aca="false">IF(MONTH($A188)=5,1,0)</f>
        <v>0</v>
      </c>
      <c r="H188" s="13" t="n">
        <f aca="false">IF(MONTH($A188)=6,1,0)</f>
        <v>0</v>
      </c>
      <c r="I188" s="13" t="n">
        <f aca="false">IF(MONTH($A188)=7,1,0)</f>
        <v>0</v>
      </c>
      <c r="J188" s="13" t="n">
        <f aca="false">IF(MONTH($A188)=8,1,0)</f>
        <v>0</v>
      </c>
      <c r="K188" s="13" t="n">
        <f aca="false">IF(MONTH($A188)=9,1,0)</f>
        <v>0</v>
      </c>
      <c r="L188" s="13" t="n">
        <f aca="false">IF(MONTH($A188)=10,1,0)</f>
        <v>0</v>
      </c>
      <c r="M188" s="13" t="n">
        <f aca="false">IF(MONTH($A188)=11,1,0)</f>
        <v>0</v>
      </c>
      <c r="N188" s="13" t="n">
        <f aca="false">IF(MONTH($A188)=12,1,0)</f>
        <v>0</v>
      </c>
      <c r="O188" s="7" t="n">
        <f aca="false">$B$165+SUMPRODUCT(C188:N188,$C$165:$N$165)</f>
        <v>0.889930908170711</v>
      </c>
      <c r="P188" s="7" t="n">
        <f aca="false">B188-O188</f>
        <v>1.32837220117932</v>
      </c>
      <c r="Q188" s="7" t="n">
        <f aca="false">P188^2</f>
        <v>1.76457270486599</v>
      </c>
      <c r="X188" s="6" t="s">
        <v>73</v>
      </c>
      <c r="Y188" s="20" t="n">
        <f aca="false">CORREL($C$167:$C$212,$H$167:$H$212)</f>
        <v>-0.0364507402199878</v>
      </c>
      <c r="Z188" s="20" t="n">
        <f aca="false">CORREL($D$167:$D$212,$H$167:$H$212)</f>
        <v>-0.0815139145939222</v>
      </c>
      <c r="AA188" s="20" t="n">
        <f aca="false">CORREL($E$167:$E$212,$H$167:$H$212)</f>
        <v>-0.0815139145939222</v>
      </c>
      <c r="AB188" s="20" t="n">
        <f aca="false">CORREL($F$167:$F$212,$H$167:$H$212)</f>
        <v>-0.0952380952380953</v>
      </c>
      <c r="AC188" s="20" t="n">
        <f aca="false">CORREL($G$167:$G$212,$H$167:$H$212)</f>
        <v>-0.0952380952380953</v>
      </c>
      <c r="AD188" s="20" t="n">
        <f aca="false">CORREL($H$167:$H$212,$H$167:$H$212)</f>
        <v>1</v>
      </c>
      <c r="AE188" s="20" t="n">
        <f aca="false">CORREL($I$167:$I$212,$H$167:$H$212)</f>
        <v>-0.0952380952380953</v>
      </c>
      <c r="AF188" s="20" t="n">
        <f aca="false">CORREL($J$167:$J$212,$H$167:$H$212)</f>
        <v>-0.0952380952380953</v>
      </c>
      <c r="AG188" s="20" t="n">
        <f aca="false">CORREL($K$167:$K$212,$H$167:$H$212)</f>
        <v>-0.0952380952380953</v>
      </c>
      <c r="AH188" s="20" t="n">
        <f aca="false">CORREL($L$167:$L$212,$H$167:$H$212)</f>
        <v>-0.0952380952380953</v>
      </c>
      <c r="AI188" s="20" t="n">
        <f aca="false">CORREL($M$167:$M$212,$H$167:$H$212)</f>
        <v>-0.0952380952380953</v>
      </c>
      <c r="AJ188" s="20" t="n">
        <f aca="false">CORREL($N$167:$N$212,$H$167:$H$212)</f>
        <v>-0.0952380952380953</v>
      </c>
    </row>
    <row r="189" customFormat="false" ht="15" hidden="false" customHeight="false" outlineLevel="0" collapsed="false">
      <c r="A189" s="11" t="n">
        <f aca="false">Data_Monthly!A27</f>
        <v>44981</v>
      </c>
      <c r="B189" s="12" t="n">
        <f aca="false">AVERAGE(Data_Monthly!B27:C27)-AVERAGE(Data_Monthly!D27,Data_Monthly!F27)</f>
        <v>0.148731219179598</v>
      </c>
      <c r="C189" s="13" t="n">
        <f aca="false">IF($A189&gt;=$U$165,1,0)</f>
        <v>0</v>
      </c>
      <c r="D189" s="13" t="n">
        <f aca="false">IF(MONTH($A189)=2,1,0)</f>
        <v>1</v>
      </c>
      <c r="E189" s="13" t="n">
        <f aca="false">IF(MONTH($A189)=3,1,0)</f>
        <v>0</v>
      </c>
      <c r="F189" s="13" t="n">
        <f aca="false">IF(MONTH($A189)=4,1,0)</f>
        <v>0</v>
      </c>
      <c r="G189" s="13" t="n">
        <f aca="false">IF(MONTH($A189)=5,1,0)</f>
        <v>0</v>
      </c>
      <c r="H189" s="13" t="n">
        <f aca="false">IF(MONTH($A189)=6,1,0)</f>
        <v>0</v>
      </c>
      <c r="I189" s="13" t="n">
        <f aca="false">IF(MONTH($A189)=7,1,0)</f>
        <v>0</v>
      </c>
      <c r="J189" s="13" t="n">
        <f aca="false">IF(MONTH($A189)=8,1,0)</f>
        <v>0</v>
      </c>
      <c r="K189" s="13" t="n">
        <f aca="false">IF(MONTH($A189)=9,1,0)</f>
        <v>0</v>
      </c>
      <c r="L189" s="13" t="n">
        <f aca="false">IF(MONTH($A189)=10,1,0)</f>
        <v>0</v>
      </c>
      <c r="M189" s="13" t="n">
        <f aca="false">IF(MONTH($A189)=11,1,0)</f>
        <v>0</v>
      </c>
      <c r="N189" s="13" t="n">
        <f aca="false">IF(MONTH($A189)=12,1,0)</f>
        <v>0</v>
      </c>
      <c r="O189" s="7" t="n">
        <f aca="false">$B$165+SUMPRODUCT(C189:N189,$C$165:$N$165)</f>
        <v>0.384785837939328</v>
      </c>
      <c r="P189" s="7" t="n">
        <f aca="false">B189-O189</f>
        <v>-0.236054618759729</v>
      </c>
      <c r="Q189" s="7" t="n">
        <f aca="false">P189^2</f>
        <v>0.0557217830378011</v>
      </c>
      <c r="T189" s="9" t="s">
        <v>119</v>
      </c>
      <c r="U189" s="14" t="s">
        <v>91</v>
      </c>
      <c r="V189" s="14" t="s">
        <v>92</v>
      </c>
      <c r="X189" s="6" t="s">
        <v>74</v>
      </c>
      <c r="Y189" s="20" t="n">
        <f aca="false">CORREL($C$167:$C$212,$I$167:$I$212)</f>
        <v>-0.0364507402199878</v>
      </c>
      <c r="Z189" s="20" t="n">
        <f aca="false">CORREL($D$167:$D$212,$I$167:$I$212)</f>
        <v>-0.0815139145939222</v>
      </c>
      <c r="AA189" s="20" t="n">
        <f aca="false">CORREL($E$167:$E$212,$I$167:$I$212)</f>
        <v>-0.0815139145939222</v>
      </c>
      <c r="AB189" s="20" t="n">
        <f aca="false">CORREL($F$167:$F$212,$I$167:$I$212)</f>
        <v>-0.0952380952380953</v>
      </c>
      <c r="AC189" s="20" t="n">
        <f aca="false">CORREL($G$167:$G$212,$I$167:$I$212)</f>
        <v>-0.0952380952380953</v>
      </c>
      <c r="AD189" s="20" t="n">
        <f aca="false">CORREL($H$167:$H$212,$I$167:$I$212)</f>
        <v>-0.0952380952380953</v>
      </c>
      <c r="AE189" s="20" t="n">
        <f aca="false">CORREL($I$167:$I$212,$I$167:$I$212)</f>
        <v>1</v>
      </c>
      <c r="AF189" s="20" t="n">
        <f aca="false">CORREL($J$167:$J$212,$I$167:$I$212)</f>
        <v>-0.0952380952380953</v>
      </c>
      <c r="AG189" s="20" t="n">
        <f aca="false">CORREL($K$167:$K$212,$I$167:$I$212)</f>
        <v>-0.0952380952380953</v>
      </c>
      <c r="AH189" s="20" t="n">
        <f aca="false">CORREL($L$167:$L$212,$I$167:$I$212)</f>
        <v>-0.0952380952380953</v>
      </c>
      <c r="AI189" s="20" t="n">
        <f aca="false">CORREL($M$167:$M$212,$I$167:$I$212)</f>
        <v>-0.0952380952380953</v>
      </c>
      <c r="AJ189" s="20" t="n">
        <f aca="false">CORREL($N$167:$N$212,$I$167:$I$212)</f>
        <v>-0.0952380952380953</v>
      </c>
    </row>
    <row r="190" customFormat="false" ht="15" hidden="false" customHeight="false" outlineLevel="0" collapsed="false">
      <c r="A190" s="11" t="n">
        <f aca="false">Data_Monthly!A28</f>
        <v>45009</v>
      </c>
      <c r="B190" s="12" t="n">
        <f aca="false">AVERAGE(Data_Monthly!B28:C28)-AVERAGE(Data_Monthly!D28,Data_Monthly!F28)</f>
        <v>2.50200743101008</v>
      </c>
      <c r="C190" s="13" t="n">
        <f aca="false">IF($A190&gt;=$U$165,1,0)</f>
        <v>0</v>
      </c>
      <c r="D190" s="13" t="n">
        <f aca="false">IF(MONTH($A190)=2,1,0)</f>
        <v>0</v>
      </c>
      <c r="E190" s="13" t="n">
        <f aca="false">IF(MONTH($A190)=3,1,0)</f>
        <v>1</v>
      </c>
      <c r="F190" s="13" t="n">
        <f aca="false">IF(MONTH($A190)=4,1,0)</f>
        <v>0</v>
      </c>
      <c r="G190" s="13" t="n">
        <f aca="false">IF(MONTH($A190)=5,1,0)</f>
        <v>0</v>
      </c>
      <c r="H190" s="13" t="n">
        <f aca="false">IF(MONTH($A190)=6,1,0)</f>
        <v>0</v>
      </c>
      <c r="I190" s="13" t="n">
        <f aca="false">IF(MONTH($A190)=7,1,0)</f>
        <v>0</v>
      </c>
      <c r="J190" s="13" t="n">
        <f aca="false">IF(MONTH($A190)=8,1,0)</f>
        <v>0</v>
      </c>
      <c r="K190" s="13" t="n">
        <f aca="false">IF(MONTH($A190)=9,1,0)</f>
        <v>0</v>
      </c>
      <c r="L190" s="13" t="n">
        <f aca="false">IF(MONTH($A190)=10,1,0)</f>
        <v>0</v>
      </c>
      <c r="M190" s="13" t="n">
        <f aca="false">IF(MONTH($A190)=11,1,0)</f>
        <v>0</v>
      </c>
      <c r="N190" s="13" t="n">
        <f aca="false">IF(MONTH($A190)=12,1,0)</f>
        <v>0</v>
      </c>
      <c r="O190" s="7" t="n">
        <f aca="false">$B$165+SUMPRODUCT(C190:N190,$C$165:$N$165)</f>
        <v>1.46103076349502</v>
      </c>
      <c r="P190" s="7" t="n">
        <f aca="false">B190-O190</f>
        <v>1.04097666751506</v>
      </c>
      <c r="Q190" s="7" t="n">
        <f aca="false">P190^2</f>
        <v>1.08363242231076</v>
      </c>
      <c r="T190" s="5" t="s">
        <v>120</v>
      </c>
      <c r="U190" s="7" t="n">
        <f aca="false">INDEX(LINEST(B167:B212,C167:N212,TRUE(),TRUE()),5,1)</f>
        <v>55.9896415085416</v>
      </c>
      <c r="X190" s="6" t="s">
        <v>75</v>
      </c>
      <c r="Y190" s="20" t="n">
        <f aca="false">CORREL($C$167:$C$212,$J$167:$J$212)</f>
        <v>-0.0364507402199878</v>
      </c>
      <c r="Z190" s="20" t="n">
        <f aca="false">CORREL($D$167:$D$212,$J$167:$J$212)</f>
        <v>-0.0815139145939222</v>
      </c>
      <c r="AA190" s="20" t="n">
        <f aca="false">CORREL($E$167:$E$212,$J$167:$J$212)</f>
        <v>-0.0815139145939222</v>
      </c>
      <c r="AB190" s="20" t="n">
        <f aca="false">CORREL($F$167:$F$212,$J$167:$J$212)</f>
        <v>-0.0952380952380953</v>
      </c>
      <c r="AC190" s="20" t="n">
        <f aca="false">CORREL($G$167:$G$212,$J$167:$J$212)</f>
        <v>-0.0952380952380953</v>
      </c>
      <c r="AD190" s="20" t="n">
        <f aca="false">CORREL($H$167:$H$212,$J$167:$J$212)</f>
        <v>-0.0952380952380953</v>
      </c>
      <c r="AE190" s="20" t="n">
        <f aca="false">CORREL($I$167:$I$212,$J$167:$J$212)</f>
        <v>-0.0952380952380953</v>
      </c>
      <c r="AF190" s="20" t="n">
        <f aca="false">CORREL($J$167:$J$212,$J$167:$J$212)</f>
        <v>1</v>
      </c>
      <c r="AG190" s="20" t="n">
        <f aca="false">CORREL($K$167:$K$212,$J$167:$J$212)</f>
        <v>-0.0952380952380953</v>
      </c>
      <c r="AH190" s="20" t="n">
        <f aca="false">CORREL($L$167:$L$212,$J$167:$J$212)</f>
        <v>-0.0952380952380953</v>
      </c>
      <c r="AI190" s="20" t="n">
        <f aca="false">CORREL($M$167:$M$212,$J$167:$J$212)</f>
        <v>-0.0952380952380953</v>
      </c>
      <c r="AJ190" s="20" t="n">
        <f aca="false">CORREL($N$167:$N$212,$J$167:$J$212)</f>
        <v>-0.0952380952380953</v>
      </c>
    </row>
    <row r="191" customFormat="false" ht="15" hidden="false" customHeight="false" outlineLevel="0" collapsed="false">
      <c r="A191" s="11" t="n">
        <f aca="false">Data_Monthly!A29</f>
        <v>45037</v>
      </c>
      <c r="B191" s="12" t="n">
        <f aca="false">AVERAGE(Data_Monthly!B29:C29)-AVERAGE(Data_Monthly!D29,Data_Monthly!F29)</f>
        <v>1.10467748031509</v>
      </c>
      <c r="C191" s="13" t="n">
        <f aca="false">IF($A191&gt;=$U$165,1,0)</f>
        <v>0</v>
      </c>
      <c r="D191" s="13" t="n">
        <f aca="false">IF(MONTH($A191)=2,1,0)</f>
        <v>0</v>
      </c>
      <c r="E191" s="13" t="n">
        <f aca="false">IF(MONTH($A191)=3,1,0)</f>
        <v>0</v>
      </c>
      <c r="F191" s="13" t="n">
        <f aca="false">IF(MONTH($A191)=4,1,0)</f>
        <v>1</v>
      </c>
      <c r="G191" s="13" t="n">
        <f aca="false">IF(MONTH($A191)=5,1,0)</f>
        <v>0</v>
      </c>
      <c r="H191" s="13" t="n">
        <f aca="false">IF(MONTH($A191)=6,1,0)</f>
        <v>0</v>
      </c>
      <c r="I191" s="13" t="n">
        <f aca="false">IF(MONTH($A191)=7,1,0)</f>
        <v>0</v>
      </c>
      <c r="J191" s="13" t="n">
        <f aca="false">IF(MONTH($A191)=8,1,0)</f>
        <v>0</v>
      </c>
      <c r="K191" s="13" t="n">
        <f aca="false">IF(MONTH($A191)=9,1,0)</f>
        <v>0</v>
      </c>
      <c r="L191" s="13" t="n">
        <f aca="false">IF(MONTH($A191)=10,1,0)</f>
        <v>0</v>
      </c>
      <c r="M191" s="13" t="n">
        <f aca="false">IF(MONTH($A191)=11,1,0)</f>
        <v>0</v>
      </c>
      <c r="N191" s="13" t="n">
        <f aca="false">IF(MONTH($A191)=12,1,0)</f>
        <v>0</v>
      </c>
      <c r="O191" s="7" t="n">
        <f aca="false">$B$165+SUMPRODUCT(C191:N191,$C$165:$N$165)</f>
        <v>0.819067976317311</v>
      </c>
      <c r="P191" s="7" t="n">
        <f aca="false">B191-O191</f>
        <v>0.285609503997775</v>
      </c>
      <c r="Q191" s="7" t="n">
        <f aca="false">P191^2</f>
        <v>0.081572788773855</v>
      </c>
      <c r="T191" s="5" t="s">
        <v>113</v>
      </c>
      <c r="U191" s="7" t="n">
        <f aca="false">INDEX(LINEST(B167:B212,C167:N212,TRUE(),TRUE()),5,2)</f>
        <v>59.40456940582</v>
      </c>
      <c r="X191" s="6" t="s">
        <v>76</v>
      </c>
      <c r="Y191" s="20" t="n">
        <f aca="false">CORREL($C$167:$C$212,$K$167:$K$212)</f>
        <v>-0.0364507402199878</v>
      </c>
      <c r="Z191" s="20" t="n">
        <f aca="false">CORREL($D$167:$D$212,$K$167:$K$212)</f>
        <v>-0.0815139145939222</v>
      </c>
      <c r="AA191" s="20" t="n">
        <f aca="false">CORREL($E$167:$E$212,$K$167:$K$212)</f>
        <v>-0.0815139145939222</v>
      </c>
      <c r="AB191" s="20" t="n">
        <f aca="false">CORREL($F$167:$F$212,$K$167:$K$212)</f>
        <v>-0.0952380952380953</v>
      </c>
      <c r="AC191" s="20" t="n">
        <f aca="false">CORREL($G$167:$G$212,$K$167:$K$212)</f>
        <v>-0.0952380952380953</v>
      </c>
      <c r="AD191" s="20" t="n">
        <f aca="false">CORREL($H$167:$H$212,$K$167:$K$212)</f>
        <v>-0.0952380952380953</v>
      </c>
      <c r="AE191" s="20" t="n">
        <f aca="false">CORREL($I$167:$I$212,$K$167:$K$212)</f>
        <v>-0.0952380952380953</v>
      </c>
      <c r="AF191" s="20" t="n">
        <f aca="false">CORREL($J$167:$J$212,$K$167:$K$212)</f>
        <v>-0.0952380952380953</v>
      </c>
      <c r="AG191" s="20" t="n">
        <f aca="false">CORREL($K$167:$K$212,$K$167:$K$212)</f>
        <v>1</v>
      </c>
      <c r="AH191" s="20" t="n">
        <f aca="false">CORREL($L$167:$L$212,$K$167:$K$212)</f>
        <v>-0.0952380952380953</v>
      </c>
      <c r="AI191" s="20" t="n">
        <f aca="false">CORREL($M$167:$M$212,$K$167:$K$212)</f>
        <v>-0.0952380952380953</v>
      </c>
      <c r="AJ191" s="20" t="n">
        <f aca="false">CORREL($N$167:$N$212,$K$167:$K$212)</f>
        <v>-0.0952380952380953</v>
      </c>
    </row>
    <row r="192" customFormat="false" ht="15" hidden="false" customHeight="false" outlineLevel="0" collapsed="false">
      <c r="A192" s="11" t="n">
        <f aca="false">Data_Monthly!A30</f>
        <v>45065</v>
      </c>
      <c r="B192" s="12" t="n">
        <f aca="false">AVERAGE(Data_Monthly!B30:C30)-AVERAGE(Data_Monthly!D30,Data_Monthly!F30)</f>
        <v>0.399040648677396</v>
      </c>
      <c r="C192" s="13" t="n">
        <f aca="false">IF($A192&gt;=$U$165,1,0)</f>
        <v>0</v>
      </c>
      <c r="D192" s="13" t="n">
        <f aca="false">IF(MONTH($A192)=2,1,0)</f>
        <v>0</v>
      </c>
      <c r="E192" s="13" t="n">
        <f aca="false">IF(MONTH($A192)=3,1,0)</f>
        <v>0</v>
      </c>
      <c r="F192" s="13" t="n">
        <f aca="false">IF(MONTH($A192)=4,1,0)</f>
        <v>0</v>
      </c>
      <c r="G192" s="13" t="n">
        <f aca="false">IF(MONTH($A192)=5,1,0)</f>
        <v>1</v>
      </c>
      <c r="H192" s="13" t="n">
        <f aca="false">IF(MONTH($A192)=6,1,0)</f>
        <v>0</v>
      </c>
      <c r="I192" s="13" t="n">
        <f aca="false">IF(MONTH($A192)=7,1,0)</f>
        <v>0</v>
      </c>
      <c r="J192" s="13" t="n">
        <f aca="false">IF(MONTH($A192)=8,1,0)</f>
        <v>0</v>
      </c>
      <c r="K192" s="13" t="n">
        <f aca="false">IF(MONTH($A192)=9,1,0)</f>
        <v>0</v>
      </c>
      <c r="L192" s="13" t="n">
        <f aca="false">IF(MONTH($A192)=10,1,0)</f>
        <v>0</v>
      </c>
      <c r="M192" s="13" t="n">
        <f aca="false">IF(MONTH($A192)=11,1,0)</f>
        <v>0</v>
      </c>
      <c r="N192" s="13" t="n">
        <f aca="false">IF(MONTH($A192)=12,1,0)</f>
        <v>0</v>
      </c>
      <c r="O192" s="7" t="n">
        <f aca="false">$B$165+SUMPRODUCT(C192:N192,$C$165:$N$165)</f>
        <v>-0.181292661839383</v>
      </c>
      <c r="P192" s="7" t="n">
        <f aca="false">B192-O192</f>
        <v>0.580333310516779</v>
      </c>
      <c r="Q192" s="7" t="n">
        <f aca="false">P192^2</f>
        <v>0.336786751295364</v>
      </c>
      <c r="T192" s="5" t="s">
        <v>121</v>
      </c>
      <c r="U192" s="13" t="n">
        <f aca="false">COLUMNS(C167:N212)</f>
        <v>12</v>
      </c>
      <c r="X192" s="6" t="s">
        <v>77</v>
      </c>
      <c r="Y192" s="20" t="n">
        <f aca="false">CORREL($C$167:$C$212,$L$167:$L$212)</f>
        <v>-0.0364507402199878</v>
      </c>
      <c r="Z192" s="20" t="n">
        <f aca="false">CORREL($D$167:$D$212,$L$167:$L$212)</f>
        <v>-0.0815139145939222</v>
      </c>
      <c r="AA192" s="20" t="n">
        <f aca="false">CORREL($E$167:$E$212,$L$167:$L$212)</f>
        <v>-0.0815139145939222</v>
      </c>
      <c r="AB192" s="20" t="n">
        <f aca="false">CORREL($F$167:$F$212,$L$167:$L$212)</f>
        <v>-0.0952380952380953</v>
      </c>
      <c r="AC192" s="20" t="n">
        <f aca="false">CORREL($G$167:$G$212,$L$167:$L$212)</f>
        <v>-0.0952380952380953</v>
      </c>
      <c r="AD192" s="20" t="n">
        <f aca="false">CORREL($H$167:$H$212,$L$167:$L$212)</f>
        <v>-0.0952380952380953</v>
      </c>
      <c r="AE192" s="20" t="n">
        <f aca="false">CORREL($I$167:$I$212,$L$167:$L$212)</f>
        <v>-0.0952380952380953</v>
      </c>
      <c r="AF192" s="20" t="n">
        <f aca="false">CORREL($J$167:$J$212,$L$167:$L$212)</f>
        <v>-0.0952380952380953</v>
      </c>
      <c r="AG192" s="20" t="n">
        <f aca="false">CORREL($K$167:$K$212,$L$167:$L$212)</f>
        <v>-0.0952380952380953</v>
      </c>
      <c r="AH192" s="20" t="n">
        <f aca="false">CORREL($L$167:$L$212,$L$167:$L$212)</f>
        <v>1</v>
      </c>
      <c r="AI192" s="20" t="n">
        <f aca="false">CORREL($M$167:$M$212,$L$167:$L$212)</f>
        <v>-0.0952380952380953</v>
      </c>
      <c r="AJ192" s="20" t="n">
        <f aca="false">CORREL($N$167:$N$212,$L$167:$L$212)</f>
        <v>-0.0952380952380953</v>
      </c>
    </row>
    <row r="193" customFormat="false" ht="15" hidden="false" customHeight="false" outlineLevel="0" collapsed="false">
      <c r="A193" s="11" t="n">
        <f aca="false">Data_Monthly!A31</f>
        <v>45107</v>
      </c>
      <c r="B193" s="12" t="n">
        <f aca="false">AVERAGE(Data_Monthly!B31:C31)-AVERAGE(Data_Monthly!D31,Data_Monthly!F31)</f>
        <v>0.665450641644138</v>
      </c>
      <c r="C193" s="13" t="n">
        <f aca="false">IF($A193&gt;=$U$165,1,0)</f>
        <v>0</v>
      </c>
      <c r="D193" s="13" t="n">
        <f aca="false">IF(MONTH($A193)=2,1,0)</f>
        <v>0</v>
      </c>
      <c r="E193" s="13" t="n">
        <f aca="false">IF(MONTH($A193)=3,1,0)</f>
        <v>0</v>
      </c>
      <c r="F193" s="13" t="n">
        <f aca="false">IF(MONTH($A193)=4,1,0)</f>
        <v>0</v>
      </c>
      <c r="G193" s="13" t="n">
        <f aca="false">IF(MONTH($A193)=5,1,0)</f>
        <v>0</v>
      </c>
      <c r="H193" s="13" t="n">
        <f aca="false">IF(MONTH($A193)=6,1,0)</f>
        <v>1</v>
      </c>
      <c r="I193" s="13" t="n">
        <f aca="false">IF(MONTH($A193)=7,1,0)</f>
        <v>0</v>
      </c>
      <c r="J193" s="13" t="n">
        <f aca="false">IF(MONTH($A193)=8,1,0)</f>
        <v>0</v>
      </c>
      <c r="K193" s="13" t="n">
        <f aca="false">IF(MONTH($A193)=9,1,0)</f>
        <v>0</v>
      </c>
      <c r="L193" s="13" t="n">
        <f aca="false">IF(MONTH($A193)=10,1,0)</f>
        <v>0</v>
      </c>
      <c r="M193" s="13" t="n">
        <f aca="false">IF(MONTH($A193)=11,1,0)</f>
        <v>0</v>
      </c>
      <c r="N193" s="13" t="n">
        <f aca="false">IF(MONTH($A193)=12,1,0)</f>
        <v>0</v>
      </c>
      <c r="O193" s="7" t="n">
        <f aca="false">$B$165+SUMPRODUCT(C193:N193,$C$165:$N$165)</f>
        <v>-0.184344938073944</v>
      </c>
      <c r="P193" s="7" t="n">
        <f aca="false">B193-O193</f>
        <v>0.849795579718082</v>
      </c>
      <c r="Q193" s="7" t="n">
        <f aca="false">P193^2</f>
        <v>0.722152527308391</v>
      </c>
      <c r="T193" s="5" t="s">
        <v>111</v>
      </c>
      <c r="U193" s="13" t="n">
        <f aca="false">$U$185</f>
        <v>33</v>
      </c>
      <c r="X193" s="6" t="s">
        <v>78</v>
      </c>
      <c r="Y193" s="20" t="n">
        <f aca="false">CORREL($C$167:$C$212,$M$167:$M$212)</f>
        <v>-0.0364507402199878</v>
      </c>
      <c r="Z193" s="20" t="n">
        <f aca="false">CORREL($D$167:$D$212,$M$167:$M$212)</f>
        <v>-0.0815139145939222</v>
      </c>
      <c r="AA193" s="20" t="n">
        <f aca="false">CORREL($E$167:$E$212,$M$167:$M$212)</f>
        <v>-0.0815139145939222</v>
      </c>
      <c r="AB193" s="20" t="n">
        <f aca="false">CORREL($F$167:$F$212,$M$167:$M$212)</f>
        <v>-0.0952380952380953</v>
      </c>
      <c r="AC193" s="20" t="n">
        <f aca="false">CORREL($G$167:$G$212,$M$167:$M$212)</f>
        <v>-0.0952380952380953</v>
      </c>
      <c r="AD193" s="20" t="n">
        <f aca="false">CORREL($H$167:$H$212,$M$167:$M$212)</f>
        <v>-0.0952380952380953</v>
      </c>
      <c r="AE193" s="20" t="n">
        <f aca="false">CORREL($I$167:$I$212,$M$167:$M$212)</f>
        <v>-0.0952380952380953</v>
      </c>
      <c r="AF193" s="20" t="n">
        <f aca="false">CORREL($J$167:$J$212,$M$167:$M$212)</f>
        <v>-0.0952380952380953</v>
      </c>
      <c r="AG193" s="20" t="n">
        <f aca="false">CORREL($K$167:$K$212,$M$167:$M$212)</f>
        <v>-0.0952380952380953</v>
      </c>
      <c r="AH193" s="20" t="n">
        <f aca="false">CORREL($L$167:$L$212,$M$167:$M$212)</f>
        <v>-0.0952380952380953</v>
      </c>
      <c r="AI193" s="20" t="n">
        <f aca="false">CORREL($M$167:$M$212,$M$167:$M$212)</f>
        <v>1</v>
      </c>
      <c r="AJ193" s="20" t="n">
        <f aca="false">CORREL($N$167:$N$212,$M$167:$M$212)</f>
        <v>-0.0952380952380953</v>
      </c>
    </row>
    <row r="194" customFormat="false" ht="15" hidden="false" customHeight="false" outlineLevel="0" collapsed="false">
      <c r="A194" s="11" t="n">
        <f aca="false">Data_Monthly!A32</f>
        <v>45135</v>
      </c>
      <c r="B194" s="12" t="n">
        <f aca="false">AVERAGE(Data_Monthly!B32:C32)-AVERAGE(Data_Monthly!D32,Data_Monthly!F32)</f>
        <v>0.382234415795857</v>
      </c>
      <c r="C194" s="13" t="n">
        <f aca="false">IF($A194&gt;=$U$165,1,0)</f>
        <v>0</v>
      </c>
      <c r="D194" s="13" t="n">
        <f aca="false">IF(MONTH($A194)=2,1,0)</f>
        <v>0</v>
      </c>
      <c r="E194" s="13" t="n">
        <f aca="false">IF(MONTH($A194)=3,1,0)</f>
        <v>0</v>
      </c>
      <c r="F194" s="13" t="n">
        <f aca="false">IF(MONTH($A194)=4,1,0)</f>
        <v>0</v>
      </c>
      <c r="G194" s="13" t="n">
        <f aca="false">IF(MONTH($A194)=5,1,0)</f>
        <v>0</v>
      </c>
      <c r="H194" s="13" t="n">
        <f aca="false">IF(MONTH($A194)=6,1,0)</f>
        <v>0</v>
      </c>
      <c r="I194" s="13" t="n">
        <f aca="false">IF(MONTH($A194)=7,1,0)</f>
        <v>1</v>
      </c>
      <c r="J194" s="13" t="n">
        <f aca="false">IF(MONTH($A194)=8,1,0)</f>
        <v>0</v>
      </c>
      <c r="K194" s="13" t="n">
        <f aca="false">IF(MONTH($A194)=9,1,0)</f>
        <v>0</v>
      </c>
      <c r="L194" s="13" t="n">
        <f aca="false">IF(MONTH($A194)=10,1,0)</f>
        <v>0</v>
      </c>
      <c r="M194" s="13" t="n">
        <f aca="false">IF(MONTH($A194)=11,1,0)</f>
        <v>0</v>
      </c>
      <c r="N194" s="13" t="n">
        <f aca="false">IF(MONTH($A194)=12,1,0)</f>
        <v>0</v>
      </c>
      <c r="O194" s="7" t="n">
        <f aca="false">$B$165+SUMPRODUCT(C194:N194,$C$165:$N$165)</f>
        <v>2.16882421489107</v>
      </c>
      <c r="P194" s="7" t="n">
        <f aca="false">B194-O194</f>
        <v>-1.78658979909522</v>
      </c>
      <c r="Q194" s="7" t="n">
        <f aca="false">P194^2</f>
        <v>3.19190311023109</v>
      </c>
      <c r="T194" s="5" t="s">
        <v>122</v>
      </c>
      <c r="U194" s="7" t="n">
        <f aca="false">$U$190/$U$192</f>
        <v>4.66580345904513</v>
      </c>
      <c r="X194" s="6" t="s">
        <v>79</v>
      </c>
      <c r="Y194" s="20" t="n">
        <f aca="false">CORREL($C$167:$C$212,$N$167:$N$212)</f>
        <v>0.131222664791956</v>
      </c>
      <c r="Z194" s="20" t="n">
        <f aca="false">CORREL($D$167:$D$212,$N$167:$N$212)</f>
        <v>-0.0815139145939222</v>
      </c>
      <c r="AA194" s="20" t="n">
        <f aca="false">CORREL($E$167:$E$212,$N$167:$N$212)</f>
        <v>-0.0815139145939222</v>
      </c>
      <c r="AB194" s="20" t="n">
        <f aca="false">CORREL($F$167:$F$212,$N$167:$N$212)</f>
        <v>-0.0952380952380953</v>
      </c>
      <c r="AC194" s="20" t="n">
        <f aca="false">CORREL($G$167:$G$212,$N$167:$N$212)</f>
        <v>-0.0952380952380953</v>
      </c>
      <c r="AD194" s="20" t="n">
        <f aca="false">CORREL($H$167:$H$212,$N$167:$N$212)</f>
        <v>-0.0952380952380953</v>
      </c>
      <c r="AE194" s="20" t="n">
        <f aca="false">CORREL($I$167:$I$212,$N$167:$N$212)</f>
        <v>-0.0952380952380953</v>
      </c>
      <c r="AF194" s="20" t="n">
        <f aca="false">CORREL($J$167:$J$212,$N$167:$N$212)</f>
        <v>-0.0952380952380953</v>
      </c>
      <c r="AG194" s="20" t="n">
        <f aca="false">CORREL($K$167:$K$212,$N$167:$N$212)</f>
        <v>-0.0952380952380953</v>
      </c>
      <c r="AH194" s="20" t="n">
        <f aca="false">CORREL($L$167:$L$212,$N$167:$N$212)</f>
        <v>-0.0952380952380953</v>
      </c>
      <c r="AI194" s="20" t="n">
        <f aca="false">CORREL($M$167:$M$212,$N$167:$N$212)</f>
        <v>-0.0952380952380953</v>
      </c>
      <c r="AJ194" s="20" t="n">
        <f aca="false">CORREL($N$167:$N$212,$N$167:$N$212)</f>
        <v>1</v>
      </c>
    </row>
    <row r="195" customFormat="false" ht="15" hidden="false" customHeight="false" outlineLevel="0" collapsed="false">
      <c r="A195" s="11" t="n">
        <f aca="false">Data_Monthly!A33</f>
        <v>45163</v>
      </c>
      <c r="B195" s="12" t="n">
        <f aca="false">AVERAGE(Data_Monthly!B33:C33)-AVERAGE(Data_Monthly!D33,Data_Monthly!F33)</f>
        <v>-0.727956126138807</v>
      </c>
      <c r="C195" s="13" t="n">
        <f aca="false">IF($A195&gt;=$U$165,1,0)</f>
        <v>0</v>
      </c>
      <c r="D195" s="13" t="n">
        <f aca="false">IF(MONTH($A195)=2,1,0)</f>
        <v>0</v>
      </c>
      <c r="E195" s="13" t="n">
        <f aca="false">IF(MONTH($A195)=3,1,0)</f>
        <v>0</v>
      </c>
      <c r="F195" s="13" t="n">
        <f aca="false">IF(MONTH($A195)=4,1,0)</f>
        <v>0</v>
      </c>
      <c r="G195" s="13" t="n">
        <f aca="false">IF(MONTH($A195)=5,1,0)</f>
        <v>0</v>
      </c>
      <c r="H195" s="13" t="n">
        <f aca="false">IF(MONTH($A195)=6,1,0)</f>
        <v>0</v>
      </c>
      <c r="I195" s="13" t="n">
        <f aca="false">IF(MONTH($A195)=7,1,0)</f>
        <v>0</v>
      </c>
      <c r="J195" s="13" t="n">
        <f aca="false">IF(MONTH($A195)=8,1,0)</f>
        <v>1</v>
      </c>
      <c r="K195" s="13" t="n">
        <f aca="false">IF(MONTH($A195)=9,1,0)</f>
        <v>0</v>
      </c>
      <c r="L195" s="13" t="n">
        <f aca="false">IF(MONTH($A195)=10,1,0)</f>
        <v>0</v>
      </c>
      <c r="M195" s="13" t="n">
        <f aca="false">IF(MONTH($A195)=11,1,0)</f>
        <v>0</v>
      </c>
      <c r="N195" s="13" t="n">
        <f aca="false">IF(MONTH($A195)=12,1,0)</f>
        <v>0</v>
      </c>
      <c r="O195" s="7" t="n">
        <f aca="false">$B$165+SUMPRODUCT(C195:N195,$C$165:$N$165)</f>
        <v>0.190254204651585</v>
      </c>
      <c r="P195" s="7" t="n">
        <f aca="false">B195-O195</f>
        <v>-0.918210330790392</v>
      </c>
      <c r="Q195" s="7" t="n">
        <f aca="false">P195^2</f>
        <v>0.843110211570202</v>
      </c>
      <c r="T195" s="5" t="s">
        <v>123</v>
      </c>
      <c r="U195" s="7" t="n">
        <f aca="false">$U$191/$U$193</f>
        <v>1.80013846684303</v>
      </c>
    </row>
    <row r="196" customFormat="false" ht="15" hidden="false" customHeight="false" outlineLevel="0" collapsed="false">
      <c r="A196" s="11" t="n">
        <f aca="false">Data_Monthly!A34</f>
        <v>45191</v>
      </c>
      <c r="B196" s="12" t="n">
        <f aca="false">AVERAGE(Data_Monthly!B34:C34)-AVERAGE(Data_Monthly!D34,Data_Monthly!F34)</f>
        <v>-1.11601814474787</v>
      </c>
      <c r="C196" s="13" t="n">
        <f aca="false">IF($A196&gt;=$U$165,1,0)</f>
        <v>0</v>
      </c>
      <c r="D196" s="13" t="n">
        <f aca="false">IF(MONTH($A196)=2,1,0)</f>
        <v>0</v>
      </c>
      <c r="E196" s="13" t="n">
        <f aca="false">IF(MONTH($A196)=3,1,0)</f>
        <v>0</v>
      </c>
      <c r="F196" s="13" t="n">
        <f aca="false">IF(MONTH($A196)=4,1,0)</f>
        <v>0</v>
      </c>
      <c r="G196" s="13" t="n">
        <f aca="false">IF(MONTH($A196)=5,1,0)</f>
        <v>0</v>
      </c>
      <c r="H196" s="13" t="n">
        <f aca="false">IF(MONTH($A196)=6,1,0)</f>
        <v>0</v>
      </c>
      <c r="I196" s="13" t="n">
        <f aca="false">IF(MONTH($A196)=7,1,0)</f>
        <v>0</v>
      </c>
      <c r="J196" s="13" t="n">
        <f aca="false">IF(MONTH($A196)=8,1,0)</f>
        <v>0</v>
      </c>
      <c r="K196" s="13" t="n">
        <f aca="false">IF(MONTH($A196)=9,1,0)</f>
        <v>1</v>
      </c>
      <c r="L196" s="13" t="n">
        <f aca="false">IF(MONTH($A196)=10,1,0)</f>
        <v>0</v>
      </c>
      <c r="M196" s="13" t="n">
        <f aca="false">IF(MONTH($A196)=11,1,0)</f>
        <v>0</v>
      </c>
      <c r="N196" s="13" t="n">
        <f aca="false">IF(MONTH($A196)=12,1,0)</f>
        <v>0</v>
      </c>
      <c r="O196" s="7" t="n">
        <f aca="false">$B$165+SUMPRODUCT(C196:N196,$C$165:$N$165)</f>
        <v>-0.986832808005388</v>
      </c>
      <c r="P196" s="7" t="n">
        <f aca="false">B196-O196</f>
        <v>-0.129185336742478</v>
      </c>
      <c r="Q196" s="7" t="n">
        <f aca="false">P196^2</f>
        <v>0.0166888512292673</v>
      </c>
      <c r="T196" s="5" t="s">
        <v>124</v>
      </c>
      <c r="U196" s="7" t="n">
        <f aca="false">INDEX(LINEST(B167:B212,C167:N212,TRUE(),TRUE()),4,1)</f>
        <v>2.59191364719167</v>
      </c>
    </row>
    <row r="197" customFormat="false" ht="15" hidden="false" customHeight="false" outlineLevel="0" collapsed="false">
      <c r="A197" s="11" t="n">
        <f aca="false">Data_Monthly!A35</f>
        <v>45219</v>
      </c>
      <c r="B197" s="12" t="n">
        <f aca="false">AVERAGE(Data_Monthly!B35:C35)-AVERAGE(Data_Monthly!D35,Data_Monthly!F35)</f>
        <v>2.86615899497154</v>
      </c>
      <c r="C197" s="13" t="n">
        <f aca="false">IF($A197&gt;=$U$165,1,0)</f>
        <v>0</v>
      </c>
      <c r="D197" s="13" t="n">
        <f aca="false">IF(MONTH($A197)=2,1,0)</f>
        <v>0</v>
      </c>
      <c r="E197" s="13" t="n">
        <f aca="false">IF(MONTH($A197)=3,1,0)</f>
        <v>0</v>
      </c>
      <c r="F197" s="13" t="n">
        <f aca="false">IF(MONTH($A197)=4,1,0)</f>
        <v>0</v>
      </c>
      <c r="G197" s="13" t="n">
        <f aca="false">IF(MONTH($A197)=5,1,0)</f>
        <v>0</v>
      </c>
      <c r="H197" s="13" t="n">
        <f aca="false">IF(MONTH($A197)=6,1,0)</f>
        <v>0</v>
      </c>
      <c r="I197" s="13" t="n">
        <f aca="false">IF(MONTH($A197)=7,1,0)</f>
        <v>0</v>
      </c>
      <c r="J197" s="13" t="n">
        <f aca="false">IF(MONTH($A197)=8,1,0)</f>
        <v>0</v>
      </c>
      <c r="K197" s="13" t="n">
        <f aca="false">IF(MONTH($A197)=9,1,0)</f>
        <v>0</v>
      </c>
      <c r="L197" s="13" t="n">
        <f aca="false">IF(MONTH($A197)=10,1,0)</f>
        <v>1</v>
      </c>
      <c r="M197" s="13" t="n">
        <f aca="false">IF(MONTH($A197)=11,1,0)</f>
        <v>0</v>
      </c>
      <c r="N197" s="13" t="n">
        <f aca="false">IF(MONTH($A197)=12,1,0)</f>
        <v>0</v>
      </c>
      <c r="O197" s="7" t="n">
        <f aca="false">$B$165+SUMPRODUCT(C197:N197,$C$165:$N$165)</f>
        <v>2.76735140662171</v>
      </c>
      <c r="P197" s="7" t="n">
        <f aca="false">B197-O197</f>
        <v>0.0988075883498256</v>
      </c>
      <c r="Q197" s="7" t="n">
        <f aca="false">P197^2</f>
        <v>0.00976293951550859</v>
      </c>
      <c r="T197" s="5" t="s">
        <v>125</v>
      </c>
      <c r="U197" s="7" t="n">
        <f aca="false">_xlfn.F.DIST.RT($U$196,$U$192,$U$193)</f>
        <v>0.0150798941178346</v>
      </c>
    </row>
    <row r="198" customFormat="false" ht="15" hidden="false" customHeight="false" outlineLevel="0" collapsed="false">
      <c r="A198" s="11" t="n">
        <f aca="false">Data_Monthly!A36</f>
        <v>45247</v>
      </c>
      <c r="B198" s="12" t="n">
        <f aca="false">AVERAGE(Data_Monthly!B36:C36)-AVERAGE(Data_Monthly!D36,Data_Monthly!F36)</f>
        <v>-0.0423194442435106</v>
      </c>
      <c r="C198" s="13" t="n">
        <f aca="false">IF($A198&gt;=$U$165,1,0)</f>
        <v>0</v>
      </c>
      <c r="D198" s="13" t="n">
        <f aca="false">IF(MONTH($A198)=2,1,0)</f>
        <v>0</v>
      </c>
      <c r="E198" s="13" t="n">
        <f aca="false">IF(MONTH($A198)=3,1,0)</f>
        <v>0</v>
      </c>
      <c r="F198" s="13" t="n">
        <f aca="false">IF(MONTH($A198)=4,1,0)</f>
        <v>0</v>
      </c>
      <c r="G198" s="13" t="n">
        <f aca="false">IF(MONTH($A198)=5,1,0)</f>
        <v>0</v>
      </c>
      <c r="H198" s="13" t="n">
        <f aca="false">IF(MONTH($A198)=6,1,0)</f>
        <v>0</v>
      </c>
      <c r="I198" s="13" t="n">
        <f aca="false">IF(MONTH($A198)=7,1,0)</f>
        <v>0</v>
      </c>
      <c r="J198" s="13" t="n">
        <f aca="false">IF(MONTH($A198)=8,1,0)</f>
        <v>0</v>
      </c>
      <c r="K198" s="13" t="n">
        <f aca="false">IF(MONTH($A198)=9,1,0)</f>
        <v>0</v>
      </c>
      <c r="L198" s="13" t="n">
        <f aca="false">IF(MONTH($A198)=10,1,0)</f>
        <v>0</v>
      </c>
      <c r="M198" s="13" t="n">
        <f aca="false">IF(MONTH($A198)=11,1,0)</f>
        <v>1</v>
      </c>
      <c r="N198" s="13" t="n">
        <f aca="false">IF(MONTH($A198)=12,1,0)</f>
        <v>0</v>
      </c>
      <c r="O198" s="7" t="n">
        <f aca="false">$B$165+SUMPRODUCT(C198:N198,$C$165:$N$165)</f>
        <v>0.29802681312624</v>
      </c>
      <c r="P198" s="7" t="n">
        <f aca="false">B198-O198</f>
        <v>-0.34034625736975</v>
      </c>
      <c r="Q198" s="7" t="n">
        <f aca="false">P198^2</f>
        <v>0.115835574905596</v>
      </c>
    </row>
    <row r="199" customFormat="false" ht="15" hidden="false" customHeight="false" outlineLevel="0" collapsed="false">
      <c r="A199" s="11" t="n">
        <f aca="false">Data_Monthly!A37</f>
        <v>45289</v>
      </c>
      <c r="B199" s="12" t="n">
        <f aca="false">AVERAGE(Data_Monthly!B37:C37)-AVERAGE(Data_Monthly!D37,Data_Monthly!F37)</f>
        <v>0.346819314238278</v>
      </c>
      <c r="C199" s="13" t="n">
        <f aca="false">IF($A199&gt;=$U$165,1,0)</f>
        <v>1</v>
      </c>
      <c r="D199" s="13" t="n">
        <f aca="false">IF(MONTH($A199)=2,1,0)</f>
        <v>0</v>
      </c>
      <c r="E199" s="13" t="n">
        <f aca="false">IF(MONTH($A199)=3,1,0)</f>
        <v>0</v>
      </c>
      <c r="F199" s="13" t="n">
        <f aca="false">IF(MONTH($A199)=4,1,0)</f>
        <v>0</v>
      </c>
      <c r="G199" s="13" t="n">
        <f aca="false">IF(MONTH($A199)=5,1,0)</f>
        <v>0</v>
      </c>
      <c r="H199" s="13" t="n">
        <f aca="false">IF(MONTH($A199)=6,1,0)</f>
        <v>0</v>
      </c>
      <c r="I199" s="13" t="n">
        <f aca="false">IF(MONTH($A199)=7,1,0)</f>
        <v>0</v>
      </c>
      <c r="J199" s="13" t="n">
        <f aca="false">IF(MONTH($A199)=8,1,0)</f>
        <v>0</v>
      </c>
      <c r="K199" s="13" t="n">
        <f aca="false">IF(MONTH($A199)=9,1,0)</f>
        <v>0</v>
      </c>
      <c r="L199" s="13" t="n">
        <f aca="false">IF(MONTH($A199)=10,1,0)</f>
        <v>0</v>
      </c>
      <c r="M199" s="13" t="n">
        <f aca="false">IF(MONTH($A199)=11,1,0)</f>
        <v>0</v>
      </c>
      <c r="N199" s="13" t="n">
        <f aca="false">IF(MONTH($A199)=12,1,0)</f>
        <v>1</v>
      </c>
      <c r="O199" s="7" t="n">
        <f aca="false">$B$165+SUMPRODUCT(C199:N199,$C$165:$N$165)</f>
        <v>-0.222862613182584</v>
      </c>
      <c r="P199" s="7" t="n">
        <f aca="false">B199-O199</f>
        <v>0.569681927420862</v>
      </c>
      <c r="Q199" s="7" t="n">
        <f aca="false">P199^2</f>
        <v>0.324537498429948</v>
      </c>
      <c r="T199" s="9" t="s">
        <v>126</v>
      </c>
      <c r="U199" s="14" t="s">
        <v>91</v>
      </c>
      <c r="V199" s="14" t="s">
        <v>92</v>
      </c>
    </row>
    <row r="200" customFormat="false" ht="15" hidden="false" customHeight="false" outlineLevel="0" collapsed="false">
      <c r="A200" s="11" t="n">
        <f aca="false">Data_Monthly!A38</f>
        <v>45317</v>
      </c>
      <c r="B200" s="12" t="n">
        <f aca="false">AVERAGE(Data_Monthly!B38:C38)-AVERAGE(Data_Monthly!D38,Data_Monthly!F38)</f>
        <v>0.179108698822717</v>
      </c>
      <c r="C200" s="13" t="n">
        <f aca="false">IF($A200&gt;=$U$165,1,0)</f>
        <v>1</v>
      </c>
      <c r="D200" s="13" t="n">
        <f aca="false">IF(MONTH($A200)=2,1,0)</f>
        <v>0</v>
      </c>
      <c r="E200" s="13" t="n">
        <f aca="false">IF(MONTH($A200)=3,1,0)</f>
        <v>0</v>
      </c>
      <c r="F200" s="13" t="n">
        <f aca="false">IF(MONTH($A200)=4,1,0)</f>
        <v>0</v>
      </c>
      <c r="G200" s="13" t="n">
        <f aca="false">IF(MONTH($A200)=5,1,0)</f>
        <v>0</v>
      </c>
      <c r="H200" s="13" t="n">
        <f aca="false">IF(MONTH($A200)=6,1,0)</f>
        <v>0</v>
      </c>
      <c r="I200" s="13" t="n">
        <f aca="false">IF(MONTH($A200)=7,1,0)</f>
        <v>0</v>
      </c>
      <c r="J200" s="13" t="n">
        <f aca="false">IF(MONTH($A200)=8,1,0)</f>
        <v>0</v>
      </c>
      <c r="K200" s="13" t="n">
        <f aca="false">IF(MONTH($A200)=9,1,0)</f>
        <v>0</v>
      </c>
      <c r="L200" s="13" t="n">
        <f aca="false">IF(MONTH($A200)=10,1,0)</f>
        <v>0</v>
      </c>
      <c r="M200" s="13" t="n">
        <f aca="false">IF(MONTH($A200)=11,1,0)</f>
        <v>0</v>
      </c>
      <c r="N200" s="13" t="n">
        <f aca="false">IF(MONTH($A200)=12,1,0)</f>
        <v>0</v>
      </c>
      <c r="O200" s="7" t="n">
        <f aca="false">$B$165+SUMPRODUCT(C200:N200,$C$165:$N$165)</f>
        <v>-0.0970417487696328</v>
      </c>
      <c r="P200" s="7" t="n">
        <f aca="false">B200-O200</f>
        <v>0.276150447592349</v>
      </c>
      <c r="Q200" s="7" t="n">
        <f aca="false">P200^2</f>
        <v>0.0762590697054549</v>
      </c>
      <c r="T200" s="5" t="s">
        <v>109</v>
      </c>
      <c r="U200" s="7" t="n">
        <f aca="false">Y167</f>
        <v>-0.986972656940344</v>
      </c>
      <c r="V200" s="16" t="n">
        <v>-0.986972656940344</v>
      </c>
    </row>
    <row r="201" customFormat="false" ht="15" hidden="false" customHeight="false" outlineLevel="0" collapsed="false">
      <c r="A201" s="11" t="n">
        <f aca="false">Data_Monthly!A39</f>
        <v>45345</v>
      </c>
      <c r="B201" s="12" t="n">
        <f aca="false">AVERAGE(Data_Monthly!B39:C39)-AVERAGE(Data_Monthly!D39,Data_Monthly!F39)</f>
        <v>-0.686066662099716</v>
      </c>
      <c r="C201" s="13" t="n">
        <f aca="false">IF($A201&gt;=$U$165,1,0)</f>
        <v>1</v>
      </c>
      <c r="D201" s="13" t="n">
        <f aca="false">IF(MONTH($A201)=2,1,0)</f>
        <v>1</v>
      </c>
      <c r="E201" s="13" t="n">
        <f aca="false">IF(MONTH($A201)=3,1,0)</f>
        <v>0</v>
      </c>
      <c r="F201" s="13" t="n">
        <f aca="false">IF(MONTH($A201)=4,1,0)</f>
        <v>0</v>
      </c>
      <c r="G201" s="13" t="n">
        <f aca="false">IF(MONTH($A201)=5,1,0)</f>
        <v>0</v>
      </c>
      <c r="H201" s="13" t="n">
        <f aca="false">IF(MONTH($A201)=6,1,0)</f>
        <v>0</v>
      </c>
      <c r="I201" s="13" t="n">
        <f aca="false">IF(MONTH($A201)=7,1,0)</f>
        <v>0</v>
      </c>
      <c r="J201" s="13" t="n">
        <f aca="false">IF(MONTH($A201)=8,1,0)</f>
        <v>0</v>
      </c>
      <c r="K201" s="13" t="n">
        <f aca="false">IF(MONTH($A201)=9,1,0)</f>
        <v>0</v>
      </c>
      <c r="L201" s="13" t="n">
        <f aca="false">IF(MONTH($A201)=10,1,0)</f>
        <v>0</v>
      </c>
      <c r="M201" s="13" t="n">
        <f aca="false">IF(MONTH($A201)=11,1,0)</f>
        <v>0</v>
      </c>
      <c r="N201" s="13" t="n">
        <f aca="false">IF(MONTH($A201)=12,1,0)</f>
        <v>0</v>
      </c>
      <c r="O201" s="7" t="n">
        <f aca="false">$B$165+SUMPRODUCT(C201:N201,$C$165:$N$165)</f>
        <v>-0.602186819001016</v>
      </c>
      <c r="P201" s="7" t="n">
        <f aca="false">B201-O201</f>
        <v>-0.0838798430986996</v>
      </c>
      <c r="Q201" s="7" t="n">
        <f aca="false">P201^2</f>
        <v>0.00703582807826246</v>
      </c>
      <c r="T201" s="5" t="s">
        <v>110</v>
      </c>
      <c r="U201" s="7" t="n">
        <f aca="false">Z167</f>
        <v>0.439171923727286</v>
      </c>
    </row>
    <row r="202" customFormat="false" ht="15" hidden="false" customHeight="false" outlineLevel="0" collapsed="false">
      <c r="A202" s="11" t="n">
        <f aca="false">Data_Monthly!A40</f>
        <v>45373</v>
      </c>
      <c r="B202" s="12" t="n">
        <f aca="false">AVERAGE(Data_Monthly!B40:C40)-AVERAGE(Data_Monthly!D40,Data_Monthly!F40)</f>
        <v>-0.815197049743333</v>
      </c>
      <c r="C202" s="13" t="n">
        <f aca="false">IF($A202&gt;=$U$165,1,0)</f>
        <v>1</v>
      </c>
      <c r="D202" s="13" t="n">
        <f aca="false">IF(MONTH($A202)=2,1,0)</f>
        <v>0</v>
      </c>
      <c r="E202" s="13" t="n">
        <f aca="false">IF(MONTH($A202)=3,1,0)</f>
        <v>1</v>
      </c>
      <c r="F202" s="13" t="n">
        <f aca="false">IF(MONTH($A202)=4,1,0)</f>
        <v>0</v>
      </c>
      <c r="G202" s="13" t="n">
        <f aca="false">IF(MONTH($A202)=5,1,0)</f>
        <v>0</v>
      </c>
      <c r="H202" s="13" t="n">
        <f aca="false">IF(MONTH($A202)=6,1,0)</f>
        <v>0</v>
      </c>
      <c r="I202" s="13" t="n">
        <f aca="false">IF(MONTH($A202)=7,1,0)</f>
        <v>0</v>
      </c>
      <c r="J202" s="13" t="n">
        <f aca="false">IF(MONTH($A202)=8,1,0)</f>
        <v>0</v>
      </c>
      <c r="K202" s="13" t="n">
        <f aca="false">IF(MONTH($A202)=9,1,0)</f>
        <v>0</v>
      </c>
      <c r="L202" s="13" t="n">
        <f aca="false">IF(MONTH($A202)=10,1,0)</f>
        <v>0</v>
      </c>
      <c r="M202" s="13" t="n">
        <f aca="false">IF(MONTH($A202)=11,1,0)</f>
        <v>0</v>
      </c>
      <c r="N202" s="13" t="n">
        <f aca="false">IF(MONTH($A202)=12,1,0)</f>
        <v>0</v>
      </c>
      <c r="O202" s="7" t="n">
        <f aca="false">$B$165+SUMPRODUCT(C202:N202,$C$165:$N$165)</f>
        <v>0.474058106554675</v>
      </c>
      <c r="P202" s="7" t="n">
        <f aca="false">B202-O202</f>
        <v>-1.28925515629801</v>
      </c>
      <c r="Q202" s="7" t="n">
        <f aca="false">P202^2</f>
        <v>1.662178858041</v>
      </c>
      <c r="T202" s="5" t="s">
        <v>102</v>
      </c>
      <c r="U202" s="7" t="n">
        <f aca="false">AA167</f>
        <v>-2.24734916695911</v>
      </c>
    </row>
    <row r="203" customFormat="false" ht="15" hidden="false" customHeight="false" outlineLevel="0" collapsed="false">
      <c r="A203" s="11" t="n">
        <f aca="false">Data_Monthly!A41</f>
        <v>45401</v>
      </c>
      <c r="B203" s="12" t="n">
        <f aca="false">AVERAGE(Data_Monthly!B41:C41)-AVERAGE(Data_Monthly!D41,Data_Monthly!F41)</f>
        <v>-0.32758403528943</v>
      </c>
      <c r="C203" s="13" t="n">
        <f aca="false">IF($A203&gt;=$U$165,1,0)</f>
        <v>1</v>
      </c>
      <c r="D203" s="13" t="n">
        <f aca="false">IF(MONTH($A203)=2,1,0)</f>
        <v>0</v>
      </c>
      <c r="E203" s="13" t="n">
        <f aca="false">IF(MONTH($A203)=3,1,0)</f>
        <v>0</v>
      </c>
      <c r="F203" s="13" t="n">
        <f aca="false">IF(MONTH($A203)=4,1,0)</f>
        <v>1</v>
      </c>
      <c r="G203" s="13" t="n">
        <f aca="false">IF(MONTH($A203)=5,1,0)</f>
        <v>0</v>
      </c>
      <c r="H203" s="13" t="n">
        <f aca="false">IF(MONTH($A203)=6,1,0)</f>
        <v>0</v>
      </c>
      <c r="I203" s="13" t="n">
        <f aca="false">IF(MONTH($A203)=7,1,0)</f>
        <v>0</v>
      </c>
      <c r="J203" s="13" t="n">
        <f aca="false">IF(MONTH($A203)=8,1,0)</f>
        <v>0</v>
      </c>
      <c r="K203" s="13" t="n">
        <f aca="false">IF(MONTH($A203)=9,1,0)</f>
        <v>0</v>
      </c>
      <c r="L203" s="13" t="n">
        <f aca="false">IF(MONTH($A203)=10,1,0)</f>
        <v>0</v>
      </c>
      <c r="M203" s="13" t="n">
        <f aca="false">IF(MONTH($A203)=11,1,0)</f>
        <v>0</v>
      </c>
      <c r="N203" s="13" t="n">
        <f aca="false">IF(MONTH($A203)=12,1,0)</f>
        <v>0</v>
      </c>
      <c r="O203" s="7" t="n">
        <f aca="false">$B$165+SUMPRODUCT(C203:N203,$C$165:$N$165)</f>
        <v>-0.167904680623032</v>
      </c>
      <c r="P203" s="7" t="n">
        <f aca="false">B203-O203</f>
        <v>-0.159679354666397</v>
      </c>
      <c r="Q203" s="7" t="n">
        <f aca="false">P203^2</f>
        <v>0.0254974963066771</v>
      </c>
      <c r="T203" s="5" t="s">
        <v>88</v>
      </c>
      <c r="U203" s="7" t="n">
        <f aca="false">AB167</f>
        <v>0.0314235126694144</v>
      </c>
      <c r="V203" s="16" t="n">
        <v>0.0314235126694145</v>
      </c>
    </row>
    <row r="204" customFormat="false" ht="15" hidden="false" customHeight="false" outlineLevel="0" collapsed="false">
      <c r="A204" s="11" t="n">
        <f aca="false">Data_Monthly!A42</f>
        <v>45443</v>
      </c>
      <c r="B204" s="12" t="n">
        <f aca="false">AVERAGE(Data_Monthly!B42:C42)-AVERAGE(Data_Monthly!D42,Data_Monthly!F42)</f>
        <v>0.717214419873447</v>
      </c>
      <c r="C204" s="13" t="n">
        <f aca="false">IF($A204&gt;=$U$165,1,0)</f>
        <v>1</v>
      </c>
      <c r="D204" s="13" t="n">
        <f aca="false">IF(MONTH($A204)=2,1,0)</f>
        <v>0</v>
      </c>
      <c r="E204" s="13" t="n">
        <f aca="false">IF(MONTH($A204)=3,1,0)</f>
        <v>0</v>
      </c>
      <c r="F204" s="13" t="n">
        <f aca="false">IF(MONTH($A204)=4,1,0)</f>
        <v>0</v>
      </c>
      <c r="G204" s="13" t="n">
        <f aca="false">IF(MONTH($A204)=5,1,0)</f>
        <v>1</v>
      </c>
      <c r="H204" s="13" t="n">
        <f aca="false">IF(MONTH($A204)=6,1,0)</f>
        <v>0</v>
      </c>
      <c r="I204" s="13" t="n">
        <f aca="false">IF(MONTH($A204)=7,1,0)</f>
        <v>0</v>
      </c>
      <c r="J204" s="13" t="n">
        <f aca="false">IF(MONTH($A204)=8,1,0)</f>
        <v>0</v>
      </c>
      <c r="K204" s="13" t="n">
        <f aca="false">IF(MONTH($A204)=9,1,0)</f>
        <v>0</v>
      </c>
      <c r="L204" s="13" t="n">
        <f aca="false">IF(MONTH($A204)=10,1,0)</f>
        <v>0</v>
      </c>
      <c r="M204" s="13" t="n">
        <f aca="false">IF(MONTH($A204)=11,1,0)</f>
        <v>0</v>
      </c>
      <c r="N204" s="13" t="n">
        <f aca="false">IF(MONTH($A204)=12,1,0)</f>
        <v>0</v>
      </c>
      <c r="O204" s="7" t="n">
        <f aca="false">$B$165+SUMPRODUCT(C204:N204,$C$165:$N$165)</f>
        <v>-1.16826531877973</v>
      </c>
      <c r="P204" s="7" t="n">
        <f aca="false">B204-O204</f>
        <v>1.88547973865317</v>
      </c>
      <c r="Q204" s="7" t="n">
        <f aca="false">P204^2</f>
        <v>3.55503384487164</v>
      </c>
    </row>
    <row r="205" customFormat="false" ht="15" hidden="false" customHeight="false" outlineLevel="0" collapsed="false">
      <c r="A205" s="11" t="n">
        <f aca="false">Data_Monthly!A43</f>
        <v>45471</v>
      </c>
      <c r="B205" s="12" t="n">
        <f aca="false">AVERAGE(Data_Monthly!B43:C43)-AVERAGE(Data_Monthly!D43,Data_Monthly!F43)</f>
        <v>0.204201534666915</v>
      </c>
      <c r="C205" s="13" t="n">
        <f aca="false">IF($A205&gt;=$U$165,1,0)</f>
        <v>1</v>
      </c>
      <c r="D205" s="13" t="n">
        <f aca="false">IF(MONTH($A205)=2,1,0)</f>
        <v>0</v>
      </c>
      <c r="E205" s="13" t="n">
        <f aca="false">IF(MONTH($A205)=3,1,0)</f>
        <v>0</v>
      </c>
      <c r="F205" s="13" t="n">
        <f aca="false">IF(MONTH($A205)=4,1,0)</f>
        <v>0</v>
      </c>
      <c r="G205" s="13" t="n">
        <f aca="false">IF(MONTH($A205)=5,1,0)</f>
        <v>0</v>
      </c>
      <c r="H205" s="13" t="n">
        <f aca="false">IF(MONTH($A205)=6,1,0)</f>
        <v>1</v>
      </c>
      <c r="I205" s="13" t="n">
        <f aca="false">IF(MONTH($A205)=7,1,0)</f>
        <v>0</v>
      </c>
      <c r="J205" s="13" t="n">
        <f aca="false">IF(MONTH($A205)=8,1,0)</f>
        <v>0</v>
      </c>
      <c r="K205" s="13" t="n">
        <f aca="false">IF(MONTH($A205)=9,1,0)</f>
        <v>0</v>
      </c>
      <c r="L205" s="13" t="n">
        <f aca="false">IF(MONTH($A205)=10,1,0)</f>
        <v>0</v>
      </c>
      <c r="M205" s="13" t="n">
        <f aca="false">IF(MONTH($A205)=11,1,0)</f>
        <v>0</v>
      </c>
      <c r="N205" s="13" t="n">
        <f aca="false">IF(MONTH($A205)=12,1,0)</f>
        <v>0</v>
      </c>
      <c r="O205" s="7" t="n">
        <f aca="false">$B$165+SUMPRODUCT(C205:N205,$C$165:$N$165)</f>
        <v>-1.17131759501429</v>
      </c>
      <c r="P205" s="7" t="n">
        <f aca="false">B205-O205</f>
        <v>1.3755191296812</v>
      </c>
      <c r="Q205" s="7" t="n">
        <f aca="false">P205^2</f>
        <v>1.89205287611893</v>
      </c>
    </row>
    <row r="206" customFormat="false" ht="15" hidden="false" customHeight="false" outlineLevel="0" collapsed="false">
      <c r="A206" s="11" t="n">
        <f aca="false">Data_Monthly!A44</f>
        <v>45499</v>
      </c>
      <c r="B206" s="12" t="n">
        <f aca="false">AVERAGE(Data_Monthly!B44:C44)-AVERAGE(Data_Monthly!D44,Data_Monthly!F44)</f>
        <v>-0.25896680708728</v>
      </c>
      <c r="C206" s="13" t="n">
        <f aca="false">IF($A206&gt;=$U$165,1,0)</f>
        <v>1</v>
      </c>
      <c r="D206" s="13" t="n">
        <f aca="false">IF(MONTH($A206)=2,1,0)</f>
        <v>0</v>
      </c>
      <c r="E206" s="13" t="n">
        <f aca="false">IF(MONTH($A206)=3,1,0)</f>
        <v>0</v>
      </c>
      <c r="F206" s="13" t="n">
        <f aca="false">IF(MONTH($A206)=4,1,0)</f>
        <v>0</v>
      </c>
      <c r="G206" s="13" t="n">
        <f aca="false">IF(MONTH($A206)=5,1,0)</f>
        <v>0</v>
      </c>
      <c r="H206" s="13" t="n">
        <f aca="false">IF(MONTH($A206)=6,1,0)</f>
        <v>0</v>
      </c>
      <c r="I206" s="13" t="n">
        <f aca="false">IF(MONTH($A206)=7,1,0)</f>
        <v>1</v>
      </c>
      <c r="J206" s="13" t="n">
        <f aca="false">IF(MONTH($A206)=8,1,0)</f>
        <v>0</v>
      </c>
      <c r="K206" s="13" t="n">
        <f aca="false">IF(MONTH($A206)=9,1,0)</f>
        <v>0</v>
      </c>
      <c r="L206" s="13" t="n">
        <f aca="false">IF(MONTH($A206)=10,1,0)</f>
        <v>0</v>
      </c>
      <c r="M206" s="13" t="n">
        <f aca="false">IF(MONTH($A206)=11,1,0)</f>
        <v>0</v>
      </c>
      <c r="N206" s="13" t="n">
        <f aca="false">IF(MONTH($A206)=12,1,0)</f>
        <v>0</v>
      </c>
      <c r="O206" s="7" t="n">
        <f aca="false">$B$165+SUMPRODUCT(C206:N206,$C$165:$N$165)</f>
        <v>1.18185155795073</v>
      </c>
      <c r="P206" s="7" t="n">
        <f aca="false">B206-O206</f>
        <v>-1.44081836503801</v>
      </c>
      <c r="Q206" s="7" t="n">
        <f aca="false">P206^2</f>
        <v>2.07595756103081</v>
      </c>
    </row>
    <row r="207" customFormat="false" ht="15" hidden="false" customHeight="false" outlineLevel="0" collapsed="false">
      <c r="A207" s="11" t="n">
        <f aca="false">Data_Monthly!A45</f>
        <v>45527</v>
      </c>
      <c r="B207" s="12" t="n">
        <f aca="false">AVERAGE(Data_Monthly!B45:C45)-AVERAGE(Data_Monthly!D45,Data_Monthly!F45)</f>
        <v>-1.40907193097863</v>
      </c>
      <c r="C207" s="13" t="n">
        <f aca="false">IF($A207&gt;=$U$165,1,0)</f>
        <v>1</v>
      </c>
      <c r="D207" s="13" t="n">
        <f aca="false">IF(MONTH($A207)=2,1,0)</f>
        <v>0</v>
      </c>
      <c r="E207" s="13" t="n">
        <f aca="false">IF(MONTH($A207)=3,1,0)</f>
        <v>0</v>
      </c>
      <c r="F207" s="13" t="n">
        <f aca="false">IF(MONTH($A207)=4,1,0)</f>
        <v>0</v>
      </c>
      <c r="G207" s="13" t="n">
        <f aca="false">IF(MONTH($A207)=5,1,0)</f>
        <v>0</v>
      </c>
      <c r="H207" s="13" t="n">
        <f aca="false">IF(MONTH($A207)=6,1,0)</f>
        <v>0</v>
      </c>
      <c r="I207" s="13" t="n">
        <f aca="false">IF(MONTH($A207)=7,1,0)</f>
        <v>0</v>
      </c>
      <c r="J207" s="13" t="n">
        <f aca="false">IF(MONTH($A207)=8,1,0)</f>
        <v>1</v>
      </c>
      <c r="K207" s="13" t="n">
        <f aca="false">IF(MONTH($A207)=9,1,0)</f>
        <v>0</v>
      </c>
      <c r="L207" s="13" t="n">
        <f aca="false">IF(MONTH($A207)=10,1,0)</f>
        <v>0</v>
      </c>
      <c r="M207" s="13" t="n">
        <f aca="false">IF(MONTH($A207)=11,1,0)</f>
        <v>0</v>
      </c>
      <c r="N207" s="13" t="n">
        <f aca="false">IF(MONTH($A207)=12,1,0)</f>
        <v>0</v>
      </c>
      <c r="O207" s="7" t="n">
        <f aca="false">$B$165+SUMPRODUCT(C207:N207,$C$165:$N$165)</f>
        <v>-0.796718452288758</v>
      </c>
      <c r="P207" s="7" t="n">
        <f aca="false">B207-O207</f>
        <v>-0.612353478689876</v>
      </c>
      <c r="Q207" s="7" t="n">
        <f aca="false">P207^2</f>
        <v>0.374976782863592</v>
      </c>
    </row>
    <row r="208" customFormat="false" ht="15" hidden="false" customHeight="false" outlineLevel="0" collapsed="false">
      <c r="A208" s="11" t="n">
        <f aca="false">Data_Monthly!A46</f>
        <v>45555</v>
      </c>
      <c r="B208" s="12" t="n">
        <f aca="false">AVERAGE(Data_Monthly!B46:C46)-AVERAGE(Data_Monthly!D46,Data_Monthly!F46)</f>
        <v>-1.92261352869707</v>
      </c>
      <c r="C208" s="13" t="n">
        <f aca="false">IF($A208&gt;=$U$165,1,0)</f>
        <v>1</v>
      </c>
      <c r="D208" s="13" t="n">
        <f aca="false">IF(MONTH($A208)=2,1,0)</f>
        <v>0</v>
      </c>
      <c r="E208" s="13" t="n">
        <f aca="false">IF(MONTH($A208)=3,1,0)</f>
        <v>0</v>
      </c>
      <c r="F208" s="13" t="n">
        <f aca="false">IF(MONTH($A208)=4,1,0)</f>
        <v>0</v>
      </c>
      <c r="G208" s="13" t="n">
        <f aca="false">IF(MONTH($A208)=5,1,0)</f>
        <v>0</v>
      </c>
      <c r="H208" s="13" t="n">
        <f aca="false">IF(MONTH($A208)=6,1,0)</f>
        <v>0</v>
      </c>
      <c r="I208" s="13" t="n">
        <f aca="false">IF(MONTH($A208)=7,1,0)</f>
        <v>0</v>
      </c>
      <c r="J208" s="13" t="n">
        <f aca="false">IF(MONTH($A208)=8,1,0)</f>
        <v>0</v>
      </c>
      <c r="K208" s="13" t="n">
        <f aca="false">IF(MONTH($A208)=9,1,0)</f>
        <v>1</v>
      </c>
      <c r="L208" s="13" t="n">
        <f aca="false">IF(MONTH($A208)=10,1,0)</f>
        <v>0</v>
      </c>
      <c r="M208" s="13" t="n">
        <f aca="false">IF(MONTH($A208)=11,1,0)</f>
        <v>0</v>
      </c>
      <c r="N208" s="13" t="n">
        <f aca="false">IF(MONTH($A208)=12,1,0)</f>
        <v>0</v>
      </c>
      <c r="O208" s="7" t="n">
        <f aca="false">$B$165+SUMPRODUCT(C208:N208,$C$165:$N$165)</f>
        <v>-1.97380546494573</v>
      </c>
      <c r="P208" s="7" t="n">
        <f aca="false">B208-O208</f>
        <v>0.0511919362486615</v>
      </c>
      <c r="Q208" s="7" t="n">
        <f aca="false">P208^2</f>
        <v>0.00262061433688702</v>
      </c>
    </row>
    <row r="209" customFormat="false" ht="15" hidden="false" customHeight="false" outlineLevel="0" collapsed="false">
      <c r="A209" s="11" t="n">
        <f aca="false">Data_Monthly!A47</f>
        <v>45583</v>
      </c>
      <c r="B209" s="12" t="n">
        <f aca="false">AVERAGE(Data_Monthly!B47:C47)-AVERAGE(Data_Monthly!D47,Data_Monthly!F47)</f>
        <v>0.781362846763489</v>
      </c>
      <c r="C209" s="13" t="n">
        <f aca="false">IF($A209&gt;=$U$165,1,0)</f>
        <v>1</v>
      </c>
      <c r="D209" s="13" t="n">
        <f aca="false">IF(MONTH($A209)=2,1,0)</f>
        <v>0</v>
      </c>
      <c r="E209" s="13" t="n">
        <f aca="false">IF(MONTH($A209)=3,1,0)</f>
        <v>0</v>
      </c>
      <c r="F209" s="13" t="n">
        <f aca="false">IF(MONTH($A209)=4,1,0)</f>
        <v>0</v>
      </c>
      <c r="G209" s="13" t="n">
        <f aca="false">IF(MONTH($A209)=5,1,0)</f>
        <v>0</v>
      </c>
      <c r="H209" s="13" t="n">
        <f aca="false">IF(MONTH($A209)=6,1,0)</f>
        <v>0</v>
      </c>
      <c r="I209" s="13" t="n">
        <f aca="false">IF(MONTH($A209)=7,1,0)</f>
        <v>0</v>
      </c>
      <c r="J209" s="13" t="n">
        <f aca="false">IF(MONTH($A209)=8,1,0)</f>
        <v>0</v>
      </c>
      <c r="K209" s="13" t="n">
        <f aca="false">IF(MONTH($A209)=9,1,0)</f>
        <v>0</v>
      </c>
      <c r="L209" s="13" t="n">
        <f aca="false">IF(MONTH($A209)=10,1,0)</f>
        <v>1</v>
      </c>
      <c r="M209" s="13" t="n">
        <f aca="false">IF(MONTH($A209)=11,1,0)</f>
        <v>0</v>
      </c>
      <c r="N209" s="13" t="n">
        <f aca="false">IF(MONTH($A209)=12,1,0)</f>
        <v>0</v>
      </c>
      <c r="O209" s="7" t="n">
        <f aca="false">$B$165+SUMPRODUCT(C209:N209,$C$165:$N$165)</f>
        <v>1.78037874968137</v>
      </c>
      <c r="P209" s="7" t="n">
        <f aca="false">B209-O209</f>
        <v>-0.999015902917877</v>
      </c>
      <c r="Q209" s="7" t="n">
        <f aca="false">P209^2</f>
        <v>0.99803277428282</v>
      </c>
    </row>
    <row r="210" customFormat="false" ht="15" hidden="false" customHeight="false" outlineLevel="0" collapsed="false">
      <c r="A210" s="11" t="n">
        <f aca="false">Data_Monthly!A48</f>
        <v>45625</v>
      </c>
      <c r="B210" s="12" t="n">
        <f aca="false">AVERAGE(Data_Monthly!B48:C48)-AVERAGE(Data_Monthly!D48,Data_Monthly!F48)</f>
        <v>0.770339892534188</v>
      </c>
      <c r="C210" s="13" t="n">
        <f aca="false">IF($A210&gt;=$U$165,1,0)</f>
        <v>1</v>
      </c>
      <c r="D210" s="13" t="n">
        <f aca="false">IF(MONTH($A210)=2,1,0)</f>
        <v>0</v>
      </c>
      <c r="E210" s="13" t="n">
        <f aca="false">IF(MONTH($A210)=3,1,0)</f>
        <v>0</v>
      </c>
      <c r="F210" s="13" t="n">
        <f aca="false">IF(MONTH($A210)=4,1,0)</f>
        <v>0</v>
      </c>
      <c r="G210" s="13" t="n">
        <f aca="false">IF(MONTH($A210)=5,1,0)</f>
        <v>0</v>
      </c>
      <c r="H210" s="13" t="n">
        <f aca="false">IF(MONTH($A210)=6,1,0)</f>
        <v>0</v>
      </c>
      <c r="I210" s="13" t="n">
        <f aca="false">IF(MONTH($A210)=7,1,0)</f>
        <v>0</v>
      </c>
      <c r="J210" s="13" t="n">
        <f aca="false">IF(MONTH($A210)=8,1,0)</f>
        <v>0</v>
      </c>
      <c r="K210" s="13" t="n">
        <f aca="false">IF(MONTH($A210)=9,1,0)</f>
        <v>0</v>
      </c>
      <c r="L210" s="13" t="n">
        <f aca="false">IF(MONTH($A210)=10,1,0)</f>
        <v>0</v>
      </c>
      <c r="M210" s="13" t="n">
        <f aca="false">IF(MONTH($A210)=11,1,0)</f>
        <v>1</v>
      </c>
      <c r="N210" s="13" t="n">
        <f aca="false">IF(MONTH($A210)=12,1,0)</f>
        <v>0</v>
      </c>
      <c r="O210" s="7" t="n">
        <f aca="false">$B$165+SUMPRODUCT(C210:N210,$C$165:$N$165)</f>
        <v>-0.688945843814104</v>
      </c>
      <c r="P210" s="7" t="n">
        <f aca="false">B210-O210</f>
        <v>1.45928573634829</v>
      </c>
      <c r="Q210" s="7" t="n">
        <f aca="false">P210^2</f>
        <v>2.12951486030958</v>
      </c>
    </row>
    <row r="211" customFormat="false" ht="15" hidden="false" customHeight="false" outlineLevel="0" collapsed="false">
      <c r="A211" s="11" t="n">
        <f aca="false">Data_Monthly!A49</f>
        <v>45653</v>
      </c>
      <c r="B211" s="12" t="n">
        <f aca="false">AVERAGE(Data_Monthly!B49:C49)-AVERAGE(Data_Monthly!D49,Data_Monthly!F49)</f>
        <v>-0.62168403162568</v>
      </c>
      <c r="C211" s="13" t="n">
        <f aca="false">IF($A211&gt;=$U$165,1,0)</f>
        <v>1</v>
      </c>
      <c r="D211" s="13" t="n">
        <f aca="false">IF(MONTH($A211)=2,1,0)</f>
        <v>0</v>
      </c>
      <c r="E211" s="13" t="n">
        <f aca="false">IF(MONTH($A211)=3,1,0)</f>
        <v>0</v>
      </c>
      <c r="F211" s="13" t="n">
        <f aca="false">IF(MONTH($A211)=4,1,0)</f>
        <v>0</v>
      </c>
      <c r="G211" s="13" t="n">
        <f aca="false">IF(MONTH($A211)=5,1,0)</f>
        <v>0</v>
      </c>
      <c r="H211" s="13" t="n">
        <f aca="false">IF(MONTH($A211)=6,1,0)</f>
        <v>0</v>
      </c>
      <c r="I211" s="13" t="n">
        <f aca="false">IF(MONTH($A211)=7,1,0)</f>
        <v>0</v>
      </c>
      <c r="J211" s="13" t="n">
        <f aca="false">IF(MONTH($A211)=8,1,0)</f>
        <v>0</v>
      </c>
      <c r="K211" s="13" t="n">
        <f aca="false">IF(MONTH($A211)=9,1,0)</f>
        <v>0</v>
      </c>
      <c r="L211" s="13" t="n">
        <f aca="false">IF(MONTH($A211)=10,1,0)</f>
        <v>0</v>
      </c>
      <c r="M211" s="13" t="n">
        <f aca="false">IF(MONTH($A211)=11,1,0)</f>
        <v>0</v>
      </c>
      <c r="N211" s="13" t="n">
        <f aca="false">IF(MONTH($A211)=12,1,0)</f>
        <v>1</v>
      </c>
      <c r="O211" s="7" t="n">
        <f aca="false">$B$165+SUMPRODUCT(C211:N211,$C$165:$N$165)</f>
        <v>-0.222862613182584</v>
      </c>
      <c r="P211" s="7" t="n">
        <f aca="false">B211-O211</f>
        <v>-0.398821418443096</v>
      </c>
      <c r="Q211" s="7" t="n">
        <f aca="false">P211^2</f>
        <v>0.159058523808963</v>
      </c>
    </row>
    <row r="212" customFormat="false" ht="15" hidden="false" customHeight="false" outlineLevel="0" collapsed="false">
      <c r="A212" s="11" t="n">
        <f aca="false">Data_Monthly!A50</f>
        <v>45681</v>
      </c>
      <c r="B212" s="12" t="n">
        <f aca="false">AVERAGE(Data_Monthly!B50:C50)-AVERAGE(Data_Monthly!D50,Data_Monthly!F50)</f>
        <v>-0.73052714556221</v>
      </c>
      <c r="C212" s="13" t="n">
        <f aca="false">IF($A212&gt;=$U$165,1,0)</f>
        <v>1</v>
      </c>
      <c r="D212" s="13" t="n">
        <f aca="false">IF(MONTH($A212)=2,1,0)</f>
        <v>0</v>
      </c>
      <c r="E212" s="13" t="n">
        <f aca="false">IF(MONTH($A212)=3,1,0)</f>
        <v>0</v>
      </c>
      <c r="F212" s="13" t="n">
        <f aca="false">IF(MONTH($A212)=4,1,0)</f>
        <v>0</v>
      </c>
      <c r="G212" s="13" t="n">
        <f aca="false">IF(MONTH($A212)=5,1,0)</f>
        <v>0</v>
      </c>
      <c r="H212" s="13" t="n">
        <f aca="false">IF(MONTH($A212)=6,1,0)</f>
        <v>0</v>
      </c>
      <c r="I212" s="13" t="n">
        <f aca="false">IF(MONTH($A212)=7,1,0)</f>
        <v>0</v>
      </c>
      <c r="J212" s="13" t="n">
        <f aca="false">IF(MONTH($A212)=8,1,0)</f>
        <v>0</v>
      </c>
      <c r="K212" s="13" t="n">
        <f aca="false">IF(MONTH($A212)=9,1,0)</f>
        <v>0</v>
      </c>
      <c r="L212" s="13" t="n">
        <f aca="false">IF(MONTH($A212)=10,1,0)</f>
        <v>0</v>
      </c>
      <c r="M212" s="13" t="n">
        <f aca="false">IF(MONTH($A212)=11,1,0)</f>
        <v>0</v>
      </c>
      <c r="N212" s="13" t="n">
        <f aca="false">IF(MONTH($A212)=12,1,0)</f>
        <v>0</v>
      </c>
      <c r="O212" s="7" t="n">
        <f aca="false">$B$165+SUMPRODUCT(C212:N212,$C$165:$N$165)</f>
        <v>-0.0970417487696328</v>
      </c>
      <c r="P212" s="7" t="n">
        <f aca="false">B212-O212</f>
        <v>-0.633485396792577</v>
      </c>
      <c r="Q212" s="7" t="n">
        <f aca="false">P212^2</f>
        <v>0.401303747949449</v>
      </c>
    </row>
    <row r="215" customFormat="false" ht="15" hidden="false" customHeight="false" outlineLevel="0" collapsed="false">
      <c r="A215" s="1" t="s">
        <v>176</v>
      </c>
      <c r="T215" s="6" t="s">
        <v>62</v>
      </c>
    </row>
    <row r="216" customFormat="false" ht="15" hidden="false" customHeight="false" outlineLevel="0" collapsed="false">
      <c r="A216" s="2" t="s">
        <v>63</v>
      </c>
      <c r="B216" s="7" t="n">
        <f aca="false">Y230</f>
        <v>0.977714672826439</v>
      </c>
      <c r="C216" s="7" t="n">
        <f aca="false">Y218</f>
        <v>-0.654323311397505</v>
      </c>
      <c r="D216" s="7" t="n">
        <f aca="false">Y219</f>
        <v>-0.729607864100932</v>
      </c>
      <c r="E216" s="7" t="n">
        <f aca="false">Y220</f>
        <v>0.558246773124333</v>
      </c>
      <c r="F216" s="7" t="n">
        <f aca="false">Y221</f>
        <v>-1.26803523736963</v>
      </c>
      <c r="G216" s="7" t="n">
        <f aca="false">Y222</f>
        <v>-1.18337965601125</v>
      </c>
      <c r="H216" s="7" t="n">
        <f aca="false">Y223</f>
        <v>-0.864734592599327</v>
      </c>
      <c r="I216" s="7" t="n">
        <f aca="false">Y224</f>
        <v>1.03992212493191</v>
      </c>
      <c r="J216" s="7" t="n">
        <f aca="false">Y225</f>
        <v>-0.170407566834998</v>
      </c>
      <c r="K216" s="7" t="n">
        <f aca="false">Y226</f>
        <v>-1.43986098082449</v>
      </c>
      <c r="L216" s="7" t="n">
        <f aca="false">Y227</f>
        <v>1.88044540860477</v>
      </c>
      <c r="M216" s="7" t="n">
        <f aca="false">Y228</f>
        <v>-1.3459603451782</v>
      </c>
      <c r="N216" s="7" t="n">
        <f aca="false">Y229</f>
        <v>-0.426456996971525</v>
      </c>
      <c r="T216" s="5" t="s">
        <v>64</v>
      </c>
      <c r="U216" s="8" t="n">
        <v>45260</v>
      </c>
      <c r="X216" s="9" t="s">
        <v>65</v>
      </c>
      <c r="Y216" s="10"/>
      <c r="Z216" s="10"/>
      <c r="AA216" s="10"/>
      <c r="AB216" s="10"/>
      <c r="AC216" s="10"/>
    </row>
    <row r="217" customFormat="false" ht="18" hidden="false" customHeight="true" outlineLevel="0" collapsed="false">
      <c r="A217" s="3" t="s">
        <v>66</v>
      </c>
      <c r="B217" s="3" t="s">
        <v>67</v>
      </c>
      <c r="C217" s="3" t="s">
        <v>68</v>
      </c>
      <c r="D217" s="3" t="s">
        <v>69</v>
      </c>
      <c r="E217" s="3" t="s">
        <v>70</v>
      </c>
      <c r="F217" s="3" t="s">
        <v>71</v>
      </c>
      <c r="G217" s="3" t="s">
        <v>72</v>
      </c>
      <c r="H217" s="3" t="s">
        <v>73</v>
      </c>
      <c r="I217" s="3" t="s">
        <v>74</v>
      </c>
      <c r="J217" s="3" t="s">
        <v>75</v>
      </c>
      <c r="K217" s="3" t="s">
        <v>76</v>
      </c>
      <c r="L217" s="3" t="s">
        <v>77</v>
      </c>
      <c r="M217" s="3" t="s">
        <v>78</v>
      </c>
      <c r="N217" s="3" t="s">
        <v>79</v>
      </c>
      <c r="O217" s="3" t="s">
        <v>80</v>
      </c>
      <c r="P217" s="3" t="s">
        <v>81</v>
      </c>
      <c r="Q217" s="3" t="s">
        <v>82</v>
      </c>
      <c r="T217" s="2" t="s">
        <v>185</v>
      </c>
      <c r="X217" s="3" t="s">
        <v>84</v>
      </c>
      <c r="Y217" s="3" t="s">
        <v>85</v>
      </c>
      <c r="Z217" s="3" t="s">
        <v>86</v>
      </c>
      <c r="AA217" s="3" t="s">
        <v>87</v>
      </c>
      <c r="AB217" s="3" t="s">
        <v>88</v>
      </c>
      <c r="AC217" s="3" t="s">
        <v>89</v>
      </c>
    </row>
    <row r="218" customFormat="false" ht="15" hidden="false" customHeight="false" outlineLevel="0" collapsed="false">
      <c r="A218" s="11" t="n">
        <f aca="false">Data_Monthly!A5</f>
        <v>44309</v>
      </c>
      <c r="B218" s="12" t="n">
        <f aca="false">AVERAGE(Data_Monthly!B5:C5)-AVERAGE(Data_Monthly!D5:E5)</f>
        <v>-1.74724720468893</v>
      </c>
      <c r="C218" s="13" t="n">
        <f aca="false">IF($A218&gt;=$U$216,1,0)</f>
        <v>0</v>
      </c>
      <c r="D218" s="13" t="n">
        <f aca="false">IF(MONTH($A218)=2,1,0)</f>
        <v>0</v>
      </c>
      <c r="E218" s="13" t="n">
        <f aca="false">IF(MONTH($A218)=3,1,0)</f>
        <v>0</v>
      </c>
      <c r="F218" s="13" t="n">
        <f aca="false">IF(MONTH($A218)=4,1,0)</f>
        <v>1</v>
      </c>
      <c r="G218" s="13" t="n">
        <f aca="false">IF(MONTH($A218)=5,1,0)</f>
        <v>0</v>
      </c>
      <c r="H218" s="13" t="n">
        <f aca="false">IF(MONTH($A218)=6,1,0)</f>
        <v>0</v>
      </c>
      <c r="I218" s="13" t="n">
        <f aca="false">IF(MONTH($A218)=7,1,0)</f>
        <v>0</v>
      </c>
      <c r="J218" s="13" t="n">
        <f aca="false">IF(MONTH($A218)=8,1,0)</f>
        <v>0</v>
      </c>
      <c r="K218" s="13" t="n">
        <f aca="false">IF(MONTH($A218)=9,1,0)</f>
        <v>0</v>
      </c>
      <c r="L218" s="13" t="n">
        <f aca="false">IF(MONTH($A218)=10,1,0)</f>
        <v>0</v>
      </c>
      <c r="M218" s="13" t="n">
        <f aca="false">IF(MONTH($A218)=11,1,0)</f>
        <v>0</v>
      </c>
      <c r="N218" s="13" t="n">
        <f aca="false">IF(MONTH($A218)=12,1,0)</f>
        <v>0</v>
      </c>
      <c r="O218" s="7" t="n">
        <f aca="false">$B$216+SUMPRODUCT(C218:N218,$C$216:$N$216)</f>
        <v>-0.290320564543188</v>
      </c>
      <c r="P218" s="7" t="n">
        <f aca="false">B218-O218</f>
        <v>-1.45692664014574</v>
      </c>
      <c r="Q218" s="7" t="n">
        <f aca="false">P218^2</f>
        <v>2.12263523476636</v>
      </c>
      <c r="T218" s="9" t="s">
        <v>90</v>
      </c>
      <c r="U218" s="14" t="s">
        <v>91</v>
      </c>
      <c r="V218" s="14" t="s">
        <v>92</v>
      </c>
      <c r="X218" s="5" t="s">
        <v>68</v>
      </c>
      <c r="Y218" s="7" t="n">
        <f aca="false">INDEX(LINEST(B218:B263,C218:N263,TRUE(),TRUE()),1,12)</f>
        <v>-0.654323311397505</v>
      </c>
      <c r="Z218" s="7" t="n">
        <f aca="false">INDEX(LINEST(B218:B263,C218:N263,TRUE(),TRUE()),2,12)</f>
        <v>0.422465075334449</v>
      </c>
      <c r="AA218" s="7" t="n">
        <f aca="false">Y218/Z218</f>
        <v>-1.54882225679721</v>
      </c>
      <c r="AB218" s="7" t="n">
        <f aca="false">_xlfn.T.DIST.2T(ABS(AA218),$U$236)</f>
        <v>0.130962529846508</v>
      </c>
      <c r="AC218" s="7" t="n">
        <f aca="false">INDEX(MINVERSE($Y$234:$AJ$245),1,1)</f>
        <v>1.04347826086957</v>
      </c>
    </row>
    <row r="219" customFormat="false" ht="15" hidden="false" customHeight="false" outlineLevel="0" collapsed="false">
      <c r="A219" s="11" t="n">
        <f aca="false">Data_Monthly!A6</f>
        <v>44337</v>
      </c>
      <c r="B219" s="12" t="n">
        <f aca="false">AVERAGE(Data_Monthly!B6:C6)-AVERAGE(Data_Monthly!D6:E6)</f>
        <v>-2.86071418852272</v>
      </c>
      <c r="C219" s="13" t="n">
        <f aca="false">IF($A219&gt;=$U$216,1,0)</f>
        <v>0</v>
      </c>
      <c r="D219" s="13" t="n">
        <f aca="false">IF(MONTH($A219)=2,1,0)</f>
        <v>0</v>
      </c>
      <c r="E219" s="13" t="n">
        <f aca="false">IF(MONTH($A219)=3,1,0)</f>
        <v>0</v>
      </c>
      <c r="F219" s="13" t="n">
        <f aca="false">IF(MONTH($A219)=4,1,0)</f>
        <v>0</v>
      </c>
      <c r="G219" s="13" t="n">
        <f aca="false">IF(MONTH($A219)=5,1,0)</f>
        <v>1</v>
      </c>
      <c r="H219" s="13" t="n">
        <f aca="false">IF(MONTH($A219)=6,1,0)</f>
        <v>0</v>
      </c>
      <c r="I219" s="13" t="n">
        <f aca="false">IF(MONTH($A219)=7,1,0)</f>
        <v>0</v>
      </c>
      <c r="J219" s="13" t="n">
        <f aca="false">IF(MONTH($A219)=8,1,0)</f>
        <v>0</v>
      </c>
      <c r="K219" s="13" t="n">
        <f aca="false">IF(MONTH($A219)=9,1,0)</f>
        <v>0</v>
      </c>
      <c r="L219" s="13" t="n">
        <f aca="false">IF(MONTH($A219)=10,1,0)</f>
        <v>0</v>
      </c>
      <c r="M219" s="13" t="n">
        <f aca="false">IF(MONTH($A219)=11,1,0)</f>
        <v>0</v>
      </c>
      <c r="N219" s="13" t="n">
        <f aca="false">IF(MONTH($A219)=12,1,0)</f>
        <v>0</v>
      </c>
      <c r="O219" s="7" t="n">
        <f aca="false">$B$216+SUMPRODUCT(C219:N219,$C$216:$N$216)</f>
        <v>-0.205664983184815</v>
      </c>
      <c r="P219" s="7" t="n">
        <f aca="false">B219-O219</f>
        <v>-2.6550492053379</v>
      </c>
      <c r="Q219" s="7" t="n">
        <f aca="false">P219^2</f>
        <v>7.04928628276542</v>
      </c>
      <c r="T219" s="5" t="s">
        <v>93</v>
      </c>
      <c r="U219" s="13" t="n">
        <f aca="false">COUNT(B218:B249)</f>
        <v>32</v>
      </c>
      <c r="X219" s="5" t="s">
        <v>69</v>
      </c>
      <c r="Y219" s="7" t="n">
        <f aca="false">INDEX(LINEST(B218:B263,C218:N263,TRUE(),TRUE()),1,11)</f>
        <v>-0.729607864100932</v>
      </c>
      <c r="Z219" s="7" t="n">
        <f aca="false">INDEX(LINEST(B218:B263,C218:N263,TRUE(),TRUE()),2,11)</f>
        <v>0.988263316179733</v>
      </c>
      <c r="AA219" s="7" t="n">
        <f aca="false">Y219/Z219</f>
        <v>-0.738272737797585</v>
      </c>
      <c r="AB219" s="7" t="n">
        <f aca="false">_xlfn.T.DIST.2T(ABS(AA219),$U$236)</f>
        <v>0.465567013460274</v>
      </c>
      <c r="AC219" s="7" t="n">
        <f aca="false">INDEX(MINVERSE($Y$234:$AJ$245),2,2)</f>
        <v>1.64421583850932</v>
      </c>
    </row>
    <row r="220" customFormat="false" ht="15" hidden="false" customHeight="false" outlineLevel="0" collapsed="false">
      <c r="A220" s="11" t="n">
        <f aca="false">Data_Monthly!A7</f>
        <v>44365</v>
      </c>
      <c r="B220" s="12" t="n">
        <f aca="false">AVERAGE(Data_Monthly!B7:C7)-AVERAGE(Data_Monthly!D7:E7)</f>
        <v>-0.818120809861611</v>
      </c>
      <c r="C220" s="13" t="n">
        <f aca="false">IF($A220&gt;=$U$216,1,0)</f>
        <v>0</v>
      </c>
      <c r="D220" s="13" t="n">
        <f aca="false">IF(MONTH($A220)=2,1,0)</f>
        <v>0</v>
      </c>
      <c r="E220" s="13" t="n">
        <f aca="false">IF(MONTH($A220)=3,1,0)</f>
        <v>0</v>
      </c>
      <c r="F220" s="13" t="n">
        <f aca="false">IF(MONTH($A220)=4,1,0)</f>
        <v>0</v>
      </c>
      <c r="G220" s="13" t="n">
        <f aca="false">IF(MONTH($A220)=5,1,0)</f>
        <v>0</v>
      </c>
      <c r="H220" s="13" t="n">
        <f aca="false">IF(MONTH($A220)=6,1,0)</f>
        <v>1</v>
      </c>
      <c r="I220" s="13" t="n">
        <f aca="false">IF(MONTH($A220)=7,1,0)</f>
        <v>0</v>
      </c>
      <c r="J220" s="13" t="n">
        <f aca="false">IF(MONTH($A220)=8,1,0)</f>
        <v>0</v>
      </c>
      <c r="K220" s="13" t="n">
        <f aca="false">IF(MONTH($A220)=9,1,0)</f>
        <v>0</v>
      </c>
      <c r="L220" s="13" t="n">
        <f aca="false">IF(MONTH($A220)=10,1,0)</f>
        <v>0</v>
      </c>
      <c r="M220" s="13" t="n">
        <f aca="false">IF(MONTH($A220)=11,1,0)</f>
        <v>0</v>
      </c>
      <c r="N220" s="13" t="n">
        <f aca="false">IF(MONTH($A220)=12,1,0)</f>
        <v>0</v>
      </c>
      <c r="O220" s="7" t="n">
        <f aca="false">$B$216+SUMPRODUCT(C220:N220,$C$216:$N$216)</f>
        <v>0.112980080227111</v>
      </c>
      <c r="P220" s="7" t="n">
        <f aca="false">B220-O220</f>
        <v>-0.931100890088723</v>
      </c>
      <c r="Q220" s="7" t="n">
        <f aca="false">P220^2</f>
        <v>0.866948867524011</v>
      </c>
      <c r="T220" s="5" t="s">
        <v>94</v>
      </c>
      <c r="U220" s="13" t="n">
        <f aca="false">COUNT(B250:B263)</f>
        <v>14</v>
      </c>
      <c r="X220" s="5" t="s">
        <v>70</v>
      </c>
      <c r="Y220" s="7" t="n">
        <f aca="false">INDEX(LINEST(B218:B263,C218:N263,TRUE(),TRUE()),1,10)</f>
        <v>0.558246773124333</v>
      </c>
      <c r="Z220" s="7" t="n">
        <f aca="false">INDEX(LINEST(B218:B263,C218:N263,TRUE(),TRUE()),2,10)</f>
        <v>0.988263316179733</v>
      </c>
      <c r="AA220" s="7" t="n">
        <f aca="false">Y220/Z220</f>
        <v>0.564876550596164</v>
      </c>
      <c r="AB220" s="7" t="n">
        <f aca="false">_xlfn.T.DIST.2T(ABS(AA220),$U$236)</f>
        <v>0.5759779300378</v>
      </c>
      <c r="AC220" s="7" t="n">
        <f aca="false">INDEX(MINVERSE($Y$234:$AJ$245),3,3)</f>
        <v>1.64421583850932</v>
      </c>
    </row>
    <row r="221" customFormat="false" ht="15" hidden="false" customHeight="false" outlineLevel="0" collapsed="false">
      <c r="A221" s="11" t="n">
        <f aca="false">Data_Monthly!A8</f>
        <v>44407</v>
      </c>
      <c r="B221" s="12" t="n">
        <f aca="false">AVERAGE(Data_Monthly!B8:C8)-AVERAGE(Data_Monthly!D8:E8)</f>
        <v>4.61473793683256</v>
      </c>
      <c r="C221" s="13" t="n">
        <f aca="false">IF($A221&gt;=$U$216,1,0)</f>
        <v>0</v>
      </c>
      <c r="D221" s="13" t="n">
        <f aca="false">IF(MONTH($A221)=2,1,0)</f>
        <v>0</v>
      </c>
      <c r="E221" s="13" t="n">
        <f aca="false">IF(MONTH($A221)=3,1,0)</f>
        <v>0</v>
      </c>
      <c r="F221" s="13" t="n">
        <f aca="false">IF(MONTH($A221)=4,1,0)</f>
        <v>0</v>
      </c>
      <c r="G221" s="13" t="n">
        <f aca="false">IF(MONTH($A221)=5,1,0)</f>
        <v>0</v>
      </c>
      <c r="H221" s="13" t="n">
        <f aca="false">IF(MONTH($A221)=6,1,0)</f>
        <v>0</v>
      </c>
      <c r="I221" s="13" t="n">
        <f aca="false">IF(MONTH($A221)=7,1,0)</f>
        <v>1</v>
      </c>
      <c r="J221" s="13" t="n">
        <f aca="false">IF(MONTH($A221)=8,1,0)</f>
        <v>0</v>
      </c>
      <c r="K221" s="13" t="n">
        <f aca="false">IF(MONTH($A221)=9,1,0)</f>
        <v>0</v>
      </c>
      <c r="L221" s="13" t="n">
        <f aca="false">IF(MONTH($A221)=10,1,0)</f>
        <v>0</v>
      </c>
      <c r="M221" s="13" t="n">
        <f aca="false">IF(MONTH($A221)=11,1,0)</f>
        <v>0</v>
      </c>
      <c r="N221" s="13" t="n">
        <f aca="false">IF(MONTH($A221)=12,1,0)</f>
        <v>0</v>
      </c>
      <c r="O221" s="7" t="n">
        <f aca="false">$B$216+SUMPRODUCT(C221:N221,$C$216:$N$216)</f>
        <v>2.01763679775835</v>
      </c>
      <c r="P221" s="7" t="n">
        <f aca="false">B221-O221</f>
        <v>2.59710113907421</v>
      </c>
      <c r="Q221" s="7" t="n">
        <f aca="false">P221^2</f>
        <v>6.74493432658055</v>
      </c>
      <c r="T221" s="5" t="s">
        <v>95</v>
      </c>
      <c r="U221" s="7" t="n">
        <f aca="false">AVERAGE(B218:B249)</f>
        <v>0.626100025584567</v>
      </c>
      <c r="X221" s="5" t="s">
        <v>71</v>
      </c>
      <c r="Y221" s="7" t="n">
        <f aca="false">INDEX(LINEST(B218:B263,C218:N263,TRUE(),TRUE()),1,9)</f>
        <v>-1.26803523736963</v>
      </c>
      <c r="Z221" s="7" t="n">
        <f aca="false">INDEX(LINEST(B218:B263,C218:N263,TRUE(),TRUE()),2,9)</f>
        <v>0.918719896923573</v>
      </c>
      <c r="AA221" s="7" t="n">
        <f aca="false">Y221/Z221</f>
        <v>-1.38021963126713</v>
      </c>
      <c r="AB221" s="7" t="n">
        <f aca="false">_xlfn.T.DIST.2T(ABS(AA221),$U$236)</f>
        <v>0.176798165907218</v>
      </c>
      <c r="AC221" s="7" t="n">
        <f aca="false">INDEX(MINVERSE($Y$234:$AJ$245),4,4)</f>
        <v>1.85054347826087</v>
      </c>
    </row>
    <row r="222" customFormat="false" ht="15" hidden="false" customHeight="false" outlineLevel="0" collapsed="false">
      <c r="A222" s="11" t="n">
        <f aca="false">Data_Monthly!A9</f>
        <v>44435</v>
      </c>
      <c r="B222" s="12" t="n">
        <f aca="false">AVERAGE(Data_Monthly!B9:C9)-AVERAGE(Data_Monthly!D9:E9)</f>
        <v>1.49320009070504</v>
      </c>
      <c r="C222" s="13" t="n">
        <f aca="false">IF($A222&gt;=$U$216,1,0)</f>
        <v>0</v>
      </c>
      <c r="D222" s="13" t="n">
        <f aca="false">IF(MONTH($A222)=2,1,0)</f>
        <v>0</v>
      </c>
      <c r="E222" s="13" t="n">
        <f aca="false">IF(MONTH($A222)=3,1,0)</f>
        <v>0</v>
      </c>
      <c r="F222" s="13" t="n">
        <f aca="false">IF(MONTH($A222)=4,1,0)</f>
        <v>0</v>
      </c>
      <c r="G222" s="13" t="n">
        <f aca="false">IF(MONTH($A222)=5,1,0)</f>
        <v>0</v>
      </c>
      <c r="H222" s="13" t="n">
        <f aca="false">IF(MONTH($A222)=6,1,0)</f>
        <v>0</v>
      </c>
      <c r="I222" s="13" t="n">
        <f aca="false">IF(MONTH($A222)=7,1,0)</f>
        <v>0</v>
      </c>
      <c r="J222" s="13" t="n">
        <f aca="false">IF(MONTH($A222)=8,1,0)</f>
        <v>1</v>
      </c>
      <c r="K222" s="13" t="n">
        <f aca="false">IF(MONTH($A222)=9,1,0)</f>
        <v>0</v>
      </c>
      <c r="L222" s="13" t="n">
        <f aca="false">IF(MONTH($A222)=10,1,0)</f>
        <v>0</v>
      </c>
      <c r="M222" s="13" t="n">
        <f aca="false">IF(MONTH($A222)=11,1,0)</f>
        <v>0</v>
      </c>
      <c r="N222" s="13" t="n">
        <f aca="false">IF(MONTH($A222)=12,1,0)</f>
        <v>0</v>
      </c>
      <c r="O222" s="7" t="n">
        <f aca="false">$B$216+SUMPRODUCT(C222:N222,$C$216:$N$216)</f>
        <v>0.807307105991441</v>
      </c>
      <c r="P222" s="7" t="n">
        <f aca="false">B222-O222</f>
        <v>0.685892984713597</v>
      </c>
      <c r="Q222" s="7" t="n">
        <f aca="false">P222^2</f>
        <v>0.470449186479326</v>
      </c>
      <c r="T222" s="5" t="s">
        <v>96</v>
      </c>
      <c r="U222" s="7" t="n">
        <f aca="false">AVERAGE(B250:B263)</f>
        <v>0.010799509271729</v>
      </c>
      <c r="X222" s="5" t="s">
        <v>72</v>
      </c>
      <c r="Y222" s="7" t="n">
        <f aca="false">INDEX(LINEST(B218:B263,C218:N263,TRUE(),TRUE()),1,8)</f>
        <v>-1.18337965601125</v>
      </c>
      <c r="Z222" s="7" t="n">
        <f aca="false">INDEX(LINEST(B218:B263,C218:N263,TRUE(),TRUE()),2,8)</f>
        <v>0.918719896923573</v>
      </c>
      <c r="AA222" s="7" t="n">
        <f aca="false">Y222/Z222</f>
        <v>-1.28807448273834</v>
      </c>
      <c r="AB222" s="7" t="n">
        <f aca="false">_xlfn.T.DIST.2T(ABS(AA222),$U$236)</f>
        <v>0.206679121150382</v>
      </c>
      <c r="AC222" s="7" t="n">
        <f aca="false">INDEX(MINVERSE($Y$234:$AJ$245),5,5)</f>
        <v>1.85054347826087</v>
      </c>
    </row>
    <row r="223" customFormat="false" ht="15" hidden="false" customHeight="false" outlineLevel="0" collapsed="false">
      <c r="A223" s="11" t="n">
        <f aca="false">Data_Monthly!A10</f>
        <v>44463</v>
      </c>
      <c r="B223" s="12" t="n">
        <f aca="false">AVERAGE(Data_Monthly!B10:C10)-AVERAGE(Data_Monthly!D10:E10)</f>
        <v>-0.71313449760595</v>
      </c>
      <c r="C223" s="13" t="n">
        <f aca="false">IF($A223&gt;=$U$216,1,0)</f>
        <v>0</v>
      </c>
      <c r="D223" s="13" t="n">
        <f aca="false">IF(MONTH($A223)=2,1,0)</f>
        <v>0</v>
      </c>
      <c r="E223" s="13" t="n">
        <f aca="false">IF(MONTH($A223)=3,1,0)</f>
        <v>0</v>
      </c>
      <c r="F223" s="13" t="n">
        <f aca="false">IF(MONTH($A223)=4,1,0)</f>
        <v>0</v>
      </c>
      <c r="G223" s="13" t="n">
        <f aca="false">IF(MONTH($A223)=5,1,0)</f>
        <v>0</v>
      </c>
      <c r="H223" s="13" t="n">
        <f aca="false">IF(MONTH($A223)=6,1,0)</f>
        <v>0</v>
      </c>
      <c r="I223" s="13" t="n">
        <f aca="false">IF(MONTH($A223)=7,1,0)</f>
        <v>0</v>
      </c>
      <c r="J223" s="13" t="n">
        <f aca="false">IF(MONTH($A223)=8,1,0)</f>
        <v>0</v>
      </c>
      <c r="K223" s="13" t="n">
        <f aca="false">IF(MONTH($A223)=9,1,0)</f>
        <v>1</v>
      </c>
      <c r="L223" s="13" t="n">
        <f aca="false">IF(MONTH($A223)=10,1,0)</f>
        <v>0</v>
      </c>
      <c r="M223" s="13" t="n">
        <f aca="false">IF(MONTH($A223)=11,1,0)</f>
        <v>0</v>
      </c>
      <c r="N223" s="13" t="n">
        <f aca="false">IF(MONTH($A223)=12,1,0)</f>
        <v>0</v>
      </c>
      <c r="O223" s="7" t="n">
        <f aca="false">$B$216+SUMPRODUCT(C223:N223,$C$216:$N$216)</f>
        <v>-0.462146307998055</v>
      </c>
      <c r="P223" s="7" t="n">
        <f aca="false">B223-O223</f>
        <v>-0.250988189607895</v>
      </c>
      <c r="Q223" s="7" t="n">
        <f aca="false">P223^2</f>
        <v>0.0629950713226486</v>
      </c>
      <c r="T223" s="5" t="s">
        <v>97</v>
      </c>
      <c r="U223" s="7" t="n">
        <f aca="false">_xlfn.STDEV.S(B218:B249)</f>
        <v>1.71988377724881</v>
      </c>
      <c r="X223" s="5" t="s">
        <v>73</v>
      </c>
      <c r="Y223" s="7" t="n">
        <f aca="false">INDEX(LINEST(B218:B263,C218:N263,TRUE(),TRUE()),1,7)</f>
        <v>-0.864734592599327</v>
      </c>
      <c r="Z223" s="7" t="n">
        <f aca="false">INDEX(LINEST(B218:B263,C218:N263,TRUE(),TRUE()),2,7)</f>
        <v>0.918719896923572</v>
      </c>
      <c r="AA223" s="7" t="n">
        <f aca="false">Y223/Z223</f>
        <v>-0.941238559755786</v>
      </c>
      <c r="AB223" s="7" t="n">
        <f aca="false">_xlfn.T.DIST.2T(ABS(AA223),$U$236)</f>
        <v>0.353422221658661</v>
      </c>
      <c r="AC223" s="7" t="n">
        <f aca="false">INDEX(MINVERSE($Y$234:$AJ$245),6,6)</f>
        <v>1.85054347826087</v>
      </c>
    </row>
    <row r="224" customFormat="false" ht="15" hidden="false" customHeight="false" outlineLevel="0" collapsed="false">
      <c r="A224" s="11" t="n">
        <f aca="false">Data_Monthly!A11</f>
        <v>44491</v>
      </c>
      <c r="B224" s="12" t="n">
        <f aca="false">AVERAGE(Data_Monthly!B11:C11)-AVERAGE(Data_Monthly!D11:E11)</f>
        <v>2.98696040903277</v>
      </c>
      <c r="C224" s="13" t="n">
        <f aca="false">IF($A224&gt;=$U$216,1,0)</f>
        <v>0</v>
      </c>
      <c r="D224" s="13" t="n">
        <f aca="false">IF(MONTH($A224)=2,1,0)</f>
        <v>0</v>
      </c>
      <c r="E224" s="13" t="n">
        <f aca="false">IF(MONTH($A224)=3,1,0)</f>
        <v>0</v>
      </c>
      <c r="F224" s="13" t="n">
        <f aca="false">IF(MONTH($A224)=4,1,0)</f>
        <v>0</v>
      </c>
      <c r="G224" s="13" t="n">
        <f aca="false">IF(MONTH($A224)=5,1,0)</f>
        <v>0</v>
      </c>
      <c r="H224" s="13" t="n">
        <f aca="false">IF(MONTH($A224)=6,1,0)</f>
        <v>0</v>
      </c>
      <c r="I224" s="13" t="n">
        <f aca="false">IF(MONTH($A224)=7,1,0)</f>
        <v>0</v>
      </c>
      <c r="J224" s="13" t="n">
        <f aca="false">IF(MONTH($A224)=8,1,0)</f>
        <v>0</v>
      </c>
      <c r="K224" s="13" t="n">
        <f aca="false">IF(MONTH($A224)=9,1,0)</f>
        <v>0</v>
      </c>
      <c r="L224" s="13" t="n">
        <f aca="false">IF(MONTH($A224)=10,1,0)</f>
        <v>1</v>
      </c>
      <c r="M224" s="13" t="n">
        <f aca="false">IF(MONTH($A224)=11,1,0)</f>
        <v>0</v>
      </c>
      <c r="N224" s="13" t="n">
        <f aca="false">IF(MONTH($A224)=12,1,0)</f>
        <v>0</v>
      </c>
      <c r="O224" s="7" t="n">
        <f aca="false">$B$216+SUMPRODUCT(C224:N224,$C$216:$N$216)</f>
        <v>2.85816008143121</v>
      </c>
      <c r="P224" s="7" t="n">
        <f aca="false">B224-O224</f>
        <v>0.128800327601562</v>
      </c>
      <c r="Q224" s="7" t="n">
        <f aca="false">P224^2</f>
        <v>0.0165895243902697</v>
      </c>
      <c r="T224" s="5" t="s">
        <v>98</v>
      </c>
      <c r="U224" s="7" t="n">
        <f aca="false">_xlfn.STDEV.S(B250:B263)</f>
        <v>0.892604629009522</v>
      </c>
      <c r="X224" s="5" t="s">
        <v>74</v>
      </c>
      <c r="Y224" s="7" t="n">
        <f aca="false">INDEX(LINEST(B218:B263,C218:N263,TRUE(),TRUE()),1,6)</f>
        <v>1.03992212493191</v>
      </c>
      <c r="Z224" s="7" t="n">
        <f aca="false">INDEX(LINEST(B218:B263,C218:N263,TRUE(),TRUE()),2,6)</f>
        <v>0.918719896923573</v>
      </c>
      <c r="AA224" s="7" t="n">
        <f aca="false">Y224/Z224</f>
        <v>1.13192511494983</v>
      </c>
      <c r="AB224" s="7" t="n">
        <f aca="false">_xlfn.T.DIST.2T(ABS(AA224),$U$236)</f>
        <v>0.265824329129416</v>
      </c>
      <c r="AC224" s="7" t="n">
        <f aca="false">INDEX(MINVERSE($Y$234:$AJ$245),7,7)</f>
        <v>1.85054347826087</v>
      </c>
    </row>
    <row r="225" customFormat="false" ht="15" hidden="false" customHeight="false" outlineLevel="0" collapsed="false">
      <c r="A225" s="11" t="n">
        <f aca="false">Data_Monthly!A12</f>
        <v>44519</v>
      </c>
      <c r="B225" s="12" t="n">
        <f aca="false">AVERAGE(Data_Monthly!B12:C12)-AVERAGE(Data_Monthly!D12:E12)</f>
        <v>-0.350625580922071</v>
      </c>
      <c r="C225" s="13" t="n">
        <f aca="false">IF($A225&gt;=$U$216,1,0)</f>
        <v>0</v>
      </c>
      <c r="D225" s="13" t="n">
        <f aca="false">IF(MONTH($A225)=2,1,0)</f>
        <v>0</v>
      </c>
      <c r="E225" s="13" t="n">
        <f aca="false">IF(MONTH($A225)=3,1,0)</f>
        <v>0</v>
      </c>
      <c r="F225" s="13" t="n">
        <f aca="false">IF(MONTH($A225)=4,1,0)</f>
        <v>0</v>
      </c>
      <c r="G225" s="13" t="n">
        <f aca="false">IF(MONTH($A225)=5,1,0)</f>
        <v>0</v>
      </c>
      <c r="H225" s="13" t="n">
        <f aca="false">IF(MONTH($A225)=6,1,0)</f>
        <v>0</v>
      </c>
      <c r="I225" s="13" t="n">
        <f aca="false">IF(MONTH($A225)=7,1,0)</f>
        <v>0</v>
      </c>
      <c r="J225" s="13" t="n">
        <f aca="false">IF(MONTH($A225)=8,1,0)</f>
        <v>0</v>
      </c>
      <c r="K225" s="13" t="n">
        <f aca="false">IF(MONTH($A225)=9,1,0)</f>
        <v>0</v>
      </c>
      <c r="L225" s="13" t="n">
        <f aca="false">IF(MONTH($A225)=10,1,0)</f>
        <v>0</v>
      </c>
      <c r="M225" s="13" t="n">
        <f aca="false">IF(MONTH($A225)=11,1,0)</f>
        <v>1</v>
      </c>
      <c r="N225" s="13" t="n">
        <f aca="false">IF(MONTH($A225)=12,1,0)</f>
        <v>0</v>
      </c>
      <c r="O225" s="7" t="n">
        <f aca="false">$B$216+SUMPRODUCT(C225:N225,$C$216:$N$216)</f>
        <v>-0.368245672351762</v>
      </c>
      <c r="P225" s="7" t="n">
        <f aca="false">B225-O225</f>
        <v>0.0176200914296913</v>
      </c>
      <c r="Q225" s="7" t="n">
        <f aca="false">P225^2</f>
        <v>0.000310467621990682</v>
      </c>
      <c r="T225" s="5" t="s">
        <v>99</v>
      </c>
      <c r="U225" s="7" t="n">
        <f aca="false">$U$222-$U$221</f>
        <v>-0.615300516312838</v>
      </c>
      <c r="V225" s="16" t="n">
        <v>-0.615300516312838</v>
      </c>
      <c r="X225" s="5" t="s">
        <v>75</v>
      </c>
      <c r="Y225" s="7" t="n">
        <f aca="false">INDEX(LINEST(B218:B263,C218:N263,TRUE(),TRUE()),1,5)</f>
        <v>-0.170407566834998</v>
      </c>
      <c r="Z225" s="7" t="n">
        <f aca="false">INDEX(LINEST(B218:B263,C218:N263,TRUE(),TRUE()),2,5)</f>
        <v>0.918719896923573</v>
      </c>
      <c r="AA225" s="7" t="n">
        <f aca="false">Y225/Z225</f>
        <v>-0.185483701186428</v>
      </c>
      <c r="AB225" s="7" t="n">
        <f aca="false">_xlfn.T.DIST.2T(ABS(AA225),$U$236)</f>
        <v>0.853985044868648</v>
      </c>
      <c r="AC225" s="7" t="n">
        <f aca="false">INDEX(MINVERSE($Y$234:$AJ$245),8,8)</f>
        <v>1.85054347826087</v>
      </c>
    </row>
    <row r="226" customFormat="false" ht="15" hidden="false" customHeight="false" outlineLevel="0" collapsed="false">
      <c r="A226" s="11" t="n">
        <f aca="false">Data_Monthly!A13</f>
        <v>44561</v>
      </c>
      <c r="B226" s="12" t="n">
        <f aca="false">AVERAGE(Data_Monthly!B13:C13)-AVERAGE(Data_Monthly!D13:E13)</f>
        <v>0.32627582191731</v>
      </c>
      <c r="C226" s="13" t="n">
        <f aca="false">IF($A226&gt;=$U$216,1,0)</f>
        <v>0</v>
      </c>
      <c r="D226" s="13" t="n">
        <f aca="false">IF(MONTH($A226)=2,1,0)</f>
        <v>0</v>
      </c>
      <c r="E226" s="13" t="n">
        <f aca="false">IF(MONTH($A226)=3,1,0)</f>
        <v>0</v>
      </c>
      <c r="F226" s="13" t="n">
        <f aca="false">IF(MONTH($A226)=4,1,0)</f>
        <v>0</v>
      </c>
      <c r="G226" s="13" t="n">
        <f aca="false">IF(MONTH($A226)=5,1,0)</f>
        <v>0</v>
      </c>
      <c r="H226" s="13" t="n">
        <f aca="false">IF(MONTH($A226)=6,1,0)</f>
        <v>0</v>
      </c>
      <c r="I226" s="13" t="n">
        <f aca="false">IF(MONTH($A226)=7,1,0)</f>
        <v>0</v>
      </c>
      <c r="J226" s="13" t="n">
        <f aca="false">IF(MONTH($A226)=8,1,0)</f>
        <v>0</v>
      </c>
      <c r="K226" s="13" t="n">
        <f aca="false">IF(MONTH($A226)=9,1,0)</f>
        <v>0</v>
      </c>
      <c r="L226" s="13" t="n">
        <f aca="false">IF(MONTH($A226)=10,1,0)</f>
        <v>0</v>
      </c>
      <c r="M226" s="13" t="n">
        <f aca="false">IF(MONTH($A226)=11,1,0)</f>
        <v>0</v>
      </c>
      <c r="N226" s="13" t="n">
        <f aca="false">IF(MONTH($A226)=12,1,0)</f>
        <v>1</v>
      </c>
      <c r="O226" s="7" t="n">
        <f aca="false">$B$216+SUMPRODUCT(C226:N226,$C$216:$N$216)</f>
        <v>0.551257675854914</v>
      </c>
      <c r="P226" s="7" t="n">
        <f aca="false">B226-O226</f>
        <v>-0.224981853937604</v>
      </c>
      <c r="Q226" s="7" t="n">
        <f aca="false">P226^2</f>
        <v>0.0506168346012013</v>
      </c>
      <c r="T226" s="5" t="s">
        <v>100</v>
      </c>
      <c r="U226" s="7" t="n">
        <f aca="false">12*$U$225</f>
        <v>-7.38360619575405</v>
      </c>
      <c r="X226" s="5" t="s">
        <v>76</v>
      </c>
      <c r="Y226" s="7" t="n">
        <f aca="false">INDEX(LINEST(B218:B263,C218:N263,TRUE(),TRUE()),1,4)</f>
        <v>-1.43986098082449</v>
      </c>
      <c r="Z226" s="7" t="n">
        <f aca="false">INDEX(LINEST(B218:B263,C218:N263,TRUE(),TRUE()),2,4)</f>
        <v>0.918719896923573</v>
      </c>
      <c r="AA226" s="7" t="n">
        <f aca="false">Y226/Z226</f>
        <v>-1.56724697663131</v>
      </c>
      <c r="AB226" s="7" t="n">
        <f aca="false">_xlfn.T.DIST.2T(ABS(AA226),$U$236)</f>
        <v>0.126597228586314</v>
      </c>
      <c r="AC226" s="7" t="n">
        <f aca="false">INDEX(MINVERSE($Y$234:$AJ$245),9,9)</f>
        <v>1.85054347826087</v>
      </c>
    </row>
    <row r="227" customFormat="false" ht="15" hidden="false" customHeight="false" outlineLevel="0" collapsed="false">
      <c r="A227" s="11" t="n">
        <f aca="false">Data_Monthly!A14</f>
        <v>44589</v>
      </c>
      <c r="B227" s="12" t="n">
        <f aca="false">AVERAGE(Data_Monthly!B14:C14)-AVERAGE(Data_Monthly!D14:E14)</f>
        <v>-0.305559385895026</v>
      </c>
      <c r="C227" s="13" t="n">
        <f aca="false">IF($A227&gt;=$U$216,1,0)</f>
        <v>0</v>
      </c>
      <c r="D227" s="13" t="n">
        <f aca="false">IF(MONTH($A227)=2,1,0)</f>
        <v>0</v>
      </c>
      <c r="E227" s="13" t="n">
        <f aca="false">IF(MONTH($A227)=3,1,0)</f>
        <v>0</v>
      </c>
      <c r="F227" s="13" t="n">
        <f aca="false">IF(MONTH($A227)=4,1,0)</f>
        <v>0</v>
      </c>
      <c r="G227" s="13" t="n">
        <f aca="false">IF(MONTH($A227)=5,1,0)</f>
        <v>0</v>
      </c>
      <c r="H227" s="13" t="n">
        <f aca="false">IF(MONTH($A227)=6,1,0)</f>
        <v>0</v>
      </c>
      <c r="I227" s="13" t="n">
        <f aca="false">IF(MONTH($A227)=7,1,0)</f>
        <v>0</v>
      </c>
      <c r="J227" s="13" t="n">
        <f aca="false">IF(MONTH($A227)=8,1,0)</f>
        <v>0</v>
      </c>
      <c r="K227" s="13" t="n">
        <f aca="false">IF(MONTH($A227)=9,1,0)</f>
        <v>0</v>
      </c>
      <c r="L227" s="13" t="n">
        <f aca="false">IF(MONTH($A227)=10,1,0)</f>
        <v>0</v>
      </c>
      <c r="M227" s="13" t="n">
        <f aca="false">IF(MONTH($A227)=11,1,0)</f>
        <v>0</v>
      </c>
      <c r="N227" s="13" t="n">
        <f aca="false">IF(MONTH($A227)=12,1,0)</f>
        <v>0</v>
      </c>
      <c r="O227" s="7" t="n">
        <f aca="false">$B$216+SUMPRODUCT(C227:N227,$C$216:$N$216)</f>
        <v>0.977714672826439</v>
      </c>
      <c r="P227" s="7" t="n">
        <f aca="false">B227-O227</f>
        <v>-1.28327405872147</v>
      </c>
      <c r="Q227" s="7" t="n">
        <f aca="false">P227^2</f>
        <v>1.64679230978746</v>
      </c>
      <c r="T227" s="5" t="s">
        <v>101</v>
      </c>
      <c r="U227" s="7" t="n">
        <f aca="false">SQRT($U$224^2/$U$220+$U$223^2/$U$219)</f>
        <v>0.386455330480798</v>
      </c>
      <c r="X227" s="5" t="s">
        <v>77</v>
      </c>
      <c r="Y227" s="7" t="n">
        <f aca="false">INDEX(LINEST(B218:B263,C218:N263,TRUE(),TRUE()),1,3)</f>
        <v>1.88044540860477</v>
      </c>
      <c r="Z227" s="7" t="n">
        <f aca="false">INDEX(LINEST(B218:B263,C218:N263,TRUE(),TRUE()),2,3)</f>
        <v>0.918719896923573</v>
      </c>
      <c r="AA227" s="7" t="n">
        <f aca="false">Y227/Z227</f>
        <v>2.04681036614275</v>
      </c>
      <c r="AB227" s="7" t="n">
        <f aca="false">_xlfn.T.DIST.2T(ABS(AA227),$U$236)</f>
        <v>0.0487088290072915</v>
      </c>
      <c r="AC227" s="7" t="n">
        <f aca="false">INDEX(MINVERSE($Y$234:$AJ$245),10,10)</f>
        <v>1.85054347826087</v>
      </c>
    </row>
    <row r="228" customFormat="false" ht="15" hidden="false" customHeight="false" outlineLevel="0" collapsed="false">
      <c r="A228" s="11" t="n">
        <f aca="false">Data_Monthly!A15</f>
        <v>44617</v>
      </c>
      <c r="B228" s="12" t="n">
        <f aca="false">AVERAGE(Data_Monthly!B15:C15)-AVERAGE(Data_Monthly!D15:E15)</f>
        <v>-0.14828669333955</v>
      </c>
      <c r="C228" s="13" t="n">
        <f aca="false">IF($A228&gt;=$U$216,1,0)</f>
        <v>0</v>
      </c>
      <c r="D228" s="13" t="n">
        <f aca="false">IF(MONTH($A228)=2,1,0)</f>
        <v>1</v>
      </c>
      <c r="E228" s="13" t="n">
        <f aca="false">IF(MONTH($A228)=3,1,0)</f>
        <v>0</v>
      </c>
      <c r="F228" s="13" t="n">
        <f aca="false">IF(MONTH($A228)=4,1,0)</f>
        <v>0</v>
      </c>
      <c r="G228" s="13" t="n">
        <f aca="false">IF(MONTH($A228)=5,1,0)</f>
        <v>0</v>
      </c>
      <c r="H228" s="13" t="n">
        <f aca="false">IF(MONTH($A228)=6,1,0)</f>
        <v>0</v>
      </c>
      <c r="I228" s="13" t="n">
        <f aca="false">IF(MONTH($A228)=7,1,0)</f>
        <v>0</v>
      </c>
      <c r="J228" s="13" t="n">
        <f aca="false">IF(MONTH($A228)=8,1,0)</f>
        <v>0</v>
      </c>
      <c r="K228" s="13" t="n">
        <f aca="false">IF(MONTH($A228)=9,1,0)</f>
        <v>0</v>
      </c>
      <c r="L228" s="13" t="n">
        <f aca="false">IF(MONTH($A228)=10,1,0)</f>
        <v>0</v>
      </c>
      <c r="M228" s="13" t="n">
        <f aca="false">IF(MONTH($A228)=11,1,0)</f>
        <v>0</v>
      </c>
      <c r="N228" s="13" t="n">
        <f aca="false">IF(MONTH($A228)=12,1,0)</f>
        <v>0</v>
      </c>
      <c r="O228" s="7" t="n">
        <f aca="false">$B$216+SUMPRODUCT(C228:N228,$C$216:$N$216)</f>
        <v>0.248106808725507</v>
      </c>
      <c r="P228" s="7" t="n">
        <f aca="false">B228-O228</f>
        <v>-0.396393502065057</v>
      </c>
      <c r="Q228" s="7" t="n">
        <f aca="false">P228^2</f>
        <v>0.157127808479401</v>
      </c>
      <c r="T228" s="5" t="s">
        <v>102</v>
      </c>
      <c r="U228" s="7" t="n">
        <f aca="false">$U$225/$U$227</f>
        <v>-1.59216465082091</v>
      </c>
      <c r="X228" s="5" t="s">
        <v>78</v>
      </c>
      <c r="Y228" s="7" t="n">
        <f aca="false">INDEX(LINEST(B218:B263,C218:N263,TRUE(),TRUE()),1,2)</f>
        <v>-1.3459603451782</v>
      </c>
      <c r="Z228" s="7" t="n">
        <f aca="false">INDEX(LINEST(B218:B263,C218:N263,TRUE(),TRUE()),2,2)</f>
        <v>0.918719896923573</v>
      </c>
      <c r="AA228" s="7" t="n">
        <f aca="false">Y228/Z228</f>
        <v>-1.46503885426373</v>
      </c>
      <c r="AB228" s="7" t="n">
        <f aca="false">_xlfn.T.DIST.2T(ABS(AA228),$U$236)</f>
        <v>0.15237358709323</v>
      </c>
      <c r="AC228" s="7" t="n">
        <f aca="false">INDEX(MINVERSE($Y$234:$AJ$245),11,11)</f>
        <v>1.85054347826087</v>
      </c>
    </row>
    <row r="229" customFormat="false" ht="15" hidden="false" customHeight="false" outlineLevel="0" collapsed="false">
      <c r="A229" s="11" t="n">
        <f aca="false">Data_Monthly!A16</f>
        <v>44645</v>
      </c>
      <c r="B229" s="12" t="n">
        <f aca="false">AVERAGE(Data_Monthly!B16:C16)-AVERAGE(Data_Monthly!D16:E16)</f>
        <v>1.53485672559404</v>
      </c>
      <c r="C229" s="13" t="n">
        <f aca="false">IF($A229&gt;=$U$216,1,0)</f>
        <v>0</v>
      </c>
      <c r="D229" s="13" t="n">
        <f aca="false">IF(MONTH($A229)=2,1,0)</f>
        <v>0</v>
      </c>
      <c r="E229" s="13" t="n">
        <f aca="false">IF(MONTH($A229)=3,1,0)</f>
        <v>1</v>
      </c>
      <c r="F229" s="13" t="n">
        <f aca="false">IF(MONTH($A229)=4,1,0)</f>
        <v>0</v>
      </c>
      <c r="G229" s="13" t="n">
        <f aca="false">IF(MONTH($A229)=5,1,0)</f>
        <v>0</v>
      </c>
      <c r="H229" s="13" t="n">
        <f aca="false">IF(MONTH($A229)=6,1,0)</f>
        <v>0</v>
      </c>
      <c r="I229" s="13" t="n">
        <f aca="false">IF(MONTH($A229)=7,1,0)</f>
        <v>0</v>
      </c>
      <c r="J229" s="13" t="n">
        <f aca="false">IF(MONTH($A229)=8,1,0)</f>
        <v>0</v>
      </c>
      <c r="K229" s="13" t="n">
        <f aca="false">IF(MONTH($A229)=9,1,0)</f>
        <v>0</v>
      </c>
      <c r="L229" s="13" t="n">
        <f aca="false">IF(MONTH($A229)=10,1,0)</f>
        <v>0</v>
      </c>
      <c r="M229" s="13" t="n">
        <f aca="false">IF(MONTH($A229)=11,1,0)</f>
        <v>0</v>
      </c>
      <c r="N229" s="13" t="n">
        <f aca="false">IF(MONTH($A229)=12,1,0)</f>
        <v>0</v>
      </c>
      <c r="O229" s="7" t="n">
        <f aca="false">$B$216+SUMPRODUCT(C229:N229,$C$216:$N$216)</f>
        <v>1.53596144595077</v>
      </c>
      <c r="P229" s="7" t="n">
        <f aca="false">B229-O229</f>
        <v>-0.00110472035673581</v>
      </c>
      <c r="Q229" s="7" t="n">
        <f aca="false">P229^2</f>
        <v>1.2204070665865E-006</v>
      </c>
      <c r="T229" s="5" t="s">
        <v>103</v>
      </c>
      <c r="U229" s="17" t="n">
        <f aca="false">(($U$224^2/$U$220)+($U$223^2/$U$219))^2/(($U$224^2/$U$220)^2/($U$220-1)+($U$223^2/$U$219)^2/($U$219-1))</f>
        <v>42.5037139379097</v>
      </c>
      <c r="X229" s="5" t="s">
        <v>79</v>
      </c>
      <c r="Y229" s="7" t="n">
        <f aca="false">INDEX(LINEST(B218:B263,C218:N263,TRUE(),TRUE()),1,1)</f>
        <v>-0.426456996971525</v>
      </c>
      <c r="Z229" s="7" t="n">
        <f aca="false">INDEX(LINEST(B218:B263,C218:N263,TRUE(),TRUE()),2,1)</f>
        <v>0.912628869125301</v>
      </c>
      <c r="AA229" s="7" t="n">
        <f aca="false">Y229/Z229</f>
        <v>-0.467284140792366</v>
      </c>
      <c r="AB229" s="7" t="n">
        <f aca="false">_xlfn.T.DIST.2T(ABS(AA229),$U$236)</f>
        <v>0.64336754476608</v>
      </c>
      <c r="AC229" s="7" t="n">
        <f aca="false">INDEX(MINVERSE($Y$234:$AJ$245),12,12)</f>
        <v>1.82608695652174</v>
      </c>
    </row>
    <row r="230" customFormat="false" ht="15" hidden="false" customHeight="false" outlineLevel="0" collapsed="false">
      <c r="A230" s="11" t="n">
        <f aca="false">Data_Monthly!A17</f>
        <v>44673</v>
      </c>
      <c r="B230" s="12" t="n">
        <f aca="false">AVERAGE(Data_Monthly!B17:C17)-AVERAGE(Data_Monthly!D17:E17)</f>
        <v>1.50404450318424</v>
      </c>
      <c r="C230" s="13" t="n">
        <f aca="false">IF($A230&gt;=$U$216,1,0)</f>
        <v>0</v>
      </c>
      <c r="D230" s="13" t="n">
        <f aca="false">IF(MONTH($A230)=2,1,0)</f>
        <v>0</v>
      </c>
      <c r="E230" s="13" t="n">
        <f aca="false">IF(MONTH($A230)=3,1,0)</f>
        <v>0</v>
      </c>
      <c r="F230" s="13" t="n">
        <f aca="false">IF(MONTH($A230)=4,1,0)</f>
        <v>1</v>
      </c>
      <c r="G230" s="13" t="n">
        <f aca="false">IF(MONTH($A230)=5,1,0)</f>
        <v>0</v>
      </c>
      <c r="H230" s="13" t="n">
        <f aca="false">IF(MONTH($A230)=6,1,0)</f>
        <v>0</v>
      </c>
      <c r="I230" s="13" t="n">
        <f aca="false">IF(MONTH($A230)=7,1,0)</f>
        <v>0</v>
      </c>
      <c r="J230" s="13" t="n">
        <f aca="false">IF(MONTH($A230)=8,1,0)</f>
        <v>0</v>
      </c>
      <c r="K230" s="13" t="n">
        <f aca="false">IF(MONTH($A230)=9,1,0)</f>
        <v>0</v>
      </c>
      <c r="L230" s="13" t="n">
        <f aca="false">IF(MONTH($A230)=10,1,0)</f>
        <v>0</v>
      </c>
      <c r="M230" s="13" t="n">
        <f aca="false">IF(MONTH($A230)=11,1,0)</f>
        <v>0</v>
      </c>
      <c r="N230" s="13" t="n">
        <f aca="false">IF(MONTH($A230)=12,1,0)</f>
        <v>0</v>
      </c>
      <c r="O230" s="7" t="n">
        <f aca="false">$B$216+SUMPRODUCT(C230:N230,$C$216:$N$216)</f>
        <v>-0.290320564543188</v>
      </c>
      <c r="P230" s="7" t="n">
        <f aca="false">B230-O230</f>
        <v>1.79436506772743</v>
      </c>
      <c r="Q230" s="7" t="n">
        <f aca="false">P230^2</f>
        <v>3.21974599628047</v>
      </c>
      <c r="T230" s="5" t="s">
        <v>104</v>
      </c>
      <c r="U230" s="7" t="n">
        <f aca="false">_xlfn.T.TEST(B250:B263,B218:B249,2,3)</f>
        <v>0.118758584930702</v>
      </c>
      <c r="V230" s="16" t="n">
        <v>0.118758584930702</v>
      </c>
      <c r="X230" s="5" t="s">
        <v>105</v>
      </c>
      <c r="Y230" s="7" t="n">
        <f aca="false">INDEX(LINEST(B218:B263,C218:N263,TRUE(),TRUE()),1,13)</f>
        <v>0.977714672826439</v>
      </c>
      <c r="Z230" s="7" t="n">
        <f aca="false">INDEX(LINEST(B218:B263,C218:N263,TRUE(),TRUE()),2,13)</f>
        <v>0.679017607540334</v>
      </c>
      <c r="AA230" s="7" t="n">
        <f aca="false">Y230/Z230</f>
        <v>1.43989590545097</v>
      </c>
      <c r="AB230" s="7" t="n">
        <f aca="false">_xlfn.T.DIST.2T(ABS(AA230),$U$236)</f>
        <v>0.159316850009917</v>
      </c>
    </row>
    <row r="231" customFormat="false" ht="15" hidden="false" customHeight="false" outlineLevel="0" collapsed="false">
      <c r="A231" s="11" t="n">
        <f aca="false">Data_Monthly!A18</f>
        <v>44701</v>
      </c>
      <c r="B231" s="12" t="n">
        <f aca="false">AVERAGE(Data_Monthly!B18:C18)-AVERAGE(Data_Monthly!D18:E18)</f>
        <v>0.162648585989</v>
      </c>
      <c r="C231" s="13" t="n">
        <f aca="false">IF($A231&gt;=$U$216,1,0)</f>
        <v>0</v>
      </c>
      <c r="D231" s="13" t="n">
        <f aca="false">IF(MONTH($A231)=2,1,0)</f>
        <v>0</v>
      </c>
      <c r="E231" s="13" t="n">
        <f aca="false">IF(MONTH($A231)=3,1,0)</f>
        <v>0</v>
      </c>
      <c r="F231" s="13" t="n">
        <f aca="false">IF(MONTH($A231)=4,1,0)</f>
        <v>0</v>
      </c>
      <c r="G231" s="13" t="n">
        <f aca="false">IF(MONTH($A231)=5,1,0)</f>
        <v>1</v>
      </c>
      <c r="H231" s="13" t="n">
        <f aca="false">IF(MONTH($A231)=6,1,0)</f>
        <v>0</v>
      </c>
      <c r="I231" s="13" t="n">
        <f aca="false">IF(MONTH($A231)=7,1,0)</f>
        <v>0</v>
      </c>
      <c r="J231" s="13" t="n">
        <f aca="false">IF(MONTH($A231)=8,1,0)</f>
        <v>0</v>
      </c>
      <c r="K231" s="13" t="n">
        <f aca="false">IF(MONTH($A231)=9,1,0)</f>
        <v>0</v>
      </c>
      <c r="L231" s="13" t="n">
        <f aca="false">IF(MONTH($A231)=10,1,0)</f>
        <v>0</v>
      </c>
      <c r="M231" s="13" t="n">
        <f aca="false">IF(MONTH($A231)=11,1,0)</f>
        <v>0</v>
      </c>
      <c r="N231" s="13" t="n">
        <f aca="false">IF(MONTH($A231)=12,1,0)</f>
        <v>0</v>
      </c>
      <c r="O231" s="7" t="n">
        <f aca="false">$B$216+SUMPRODUCT(C231:N231,$C$216:$N$216)</f>
        <v>-0.205664983184815</v>
      </c>
      <c r="P231" s="7" t="n">
        <f aca="false">B231-O231</f>
        <v>0.368313569173816</v>
      </c>
      <c r="Q231" s="7" t="n">
        <f aca="false">P231^2</f>
        <v>0.135654885237555</v>
      </c>
      <c r="X231" s="2" t="s">
        <v>186</v>
      </c>
    </row>
    <row r="232" customFormat="false" ht="15" hidden="false" customHeight="false" outlineLevel="0" collapsed="false">
      <c r="A232" s="11" t="n">
        <f aca="false">Data_Monthly!A19</f>
        <v>44729</v>
      </c>
      <c r="B232" s="12" t="n">
        <f aca="false">AVERAGE(Data_Monthly!B19:C19)-AVERAGE(Data_Monthly!D19:E19)</f>
        <v>-1.15898242900183</v>
      </c>
      <c r="C232" s="13" t="n">
        <f aca="false">IF($A232&gt;=$U$216,1,0)</f>
        <v>0</v>
      </c>
      <c r="D232" s="13" t="n">
        <f aca="false">IF(MONTH($A232)=2,1,0)</f>
        <v>0</v>
      </c>
      <c r="E232" s="13" t="n">
        <f aca="false">IF(MONTH($A232)=3,1,0)</f>
        <v>0</v>
      </c>
      <c r="F232" s="13" t="n">
        <f aca="false">IF(MONTH($A232)=4,1,0)</f>
        <v>0</v>
      </c>
      <c r="G232" s="13" t="n">
        <f aca="false">IF(MONTH($A232)=5,1,0)</f>
        <v>0</v>
      </c>
      <c r="H232" s="13" t="n">
        <f aca="false">IF(MONTH($A232)=6,1,0)</f>
        <v>1</v>
      </c>
      <c r="I232" s="13" t="n">
        <f aca="false">IF(MONTH($A232)=7,1,0)</f>
        <v>0</v>
      </c>
      <c r="J232" s="13" t="n">
        <f aca="false">IF(MONTH($A232)=8,1,0)</f>
        <v>0</v>
      </c>
      <c r="K232" s="13" t="n">
        <f aca="false">IF(MONTH($A232)=9,1,0)</f>
        <v>0</v>
      </c>
      <c r="L232" s="13" t="n">
        <f aca="false">IF(MONTH($A232)=10,1,0)</f>
        <v>0</v>
      </c>
      <c r="M232" s="13" t="n">
        <f aca="false">IF(MONTH($A232)=11,1,0)</f>
        <v>0</v>
      </c>
      <c r="N232" s="13" t="n">
        <f aca="false">IF(MONTH($A232)=12,1,0)</f>
        <v>0</v>
      </c>
      <c r="O232" s="7" t="n">
        <f aca="false">$B$216+SUMPRODUCT(C232:N232,$C$216:$N$216)</f>
        <v>0.112980080227111</v>
      </c>
      <c r="P232" s="7" t="n">
        <f aca="false">B232-O232</f>
        <v>-1.27196250922894</v>
      </c>
      <c r="Q232" s="7" t="n">
        <f aca="false">P232^2</f>
        <v>1.61788862488399</v>
      </c>
      <c r="T232" s="9" t="s">
        <v>114</v>
      </c>
      <c r="U232" s="14" t="s">
        <v>91</v>
      </c>
      <c r="V232" s="14" t="s">
        <v>92</v>
      </c>
      <c r="X232" s="2" t="s">
        <v>108</v>
      </c>
    </row>
    <row r="233" customFormat="false" ht="15" hidden="false" customHeight="false" outlineLevel="0" collapsed="false">
      <c r="A233" s="11" t="n">
        <f aca="false">Data_Monthly!A20</f>
        <v>44771</v>
      </c>
      <c r="B233" s="12" t="n">
        <f aca="false">AVERAGE(Data_Monthly!B20:C20)-AVERAGE(Data_Monthly!D20:E20)</f>
        <v>1.91815405176756</v>
      </c>
      <c r="C233" s="13" t="n">
        <f aca="false">IF($A233&gt;=$U$216,1,0)</f>
        <v>0</v>
      </c>
      <c r="D233" s="13" t="n">
        <f aca="false">IF(MONTH($A233)=2,1,0)</f>
        <v>0</v>
      </c>
      <c r="E233" s="13" t="n">
        <f aca="false">IF(MONTH($A233)=3,1,0)</f>
        <v>0</v>
      </c>
      <c r="F233" s="13" t="n">
        <f aca="false">IF(MONTH($A233)=4,1,0)</f>
        <v>0</v>
      </c>
      <c r="G233" s="13" t="n">
        <f aca="false">IF(MONTH($A233)=5,1,0)</f>
        <v>0</v>
      </c>
      <c r="H233" s="13" t="n">
        <f aca="false">IF(MONTH($A233)=6,1,0)</f>
        <v>0</v>
      </c>
      <c r="I233" s="13" t="n">
        <f aca="false">IF(MONTH($A233)=7,1,0)</f>
        <v>1</v>
      </c>
      <c r="J233" s="13" t="n">
        <f aca="false">IF(MONTH($A233)=8,1,0)</f>
        <v>0</v>
      </c>
      <c r="K233" s="13" t="n">
        <f aca="false">IF(MONTH($A233)=9,1,0)</f>
        <v>0</v>
      </c>
      <c r="L233" s="13" t="n">
        <f aca="false">IF(MONTH($A233)=10,1,0)</f>
        <v>0</v>
      </c>
      <c r="M233" s="13" t="n">
        <f aca="false">IF(MONTH($A233)=11,1,0)</f>
        <v>0</v>
      </c>
      <c r="N233" s="13" t="n">
        <f aca="false">IF(MONTH($A233)=12,1,0)</f>
        <v>0</v>
      </c>
      <c r="O233" s="7" t="n">
        <f aca="false">$B$216+SUMPRODUCT(C233:N233,$C$216:$N$216)</f>
        <v>2.01763679775835</v>
      </c>
      <c r="P233" s="7" t="n">
        <f aca="false">B233-O233</f>
        <v>-0.0994827459907879</v>
      </c>
      <c r="Q233" s="7" t="n">
        <f aca="false">P233^2</f>
        <v>0.00989681674986762</v>
      </c>
      <c r="T233" s="5" t="s">
        <v>115</v>
      </c>
      <c r="U233" s="13" t="n">
        <f aca="false">COUNT(B218:B263)</f>
        <v>46</v>
      </c>
      <c r="Y233" s="19" t="s">
        <v>68</v>
      </c>
      <c r="Z233" s="19" t="s">
        <v>69</v>
      </c>
      <c r="AA233" s="19" t="s">
        <v>70</v>
      </c>
      <c r="AB233" s="19" t="s">
        <v>71</v>
      </c>
      <c r="AC233" s="19" t="s">
        <v>72</v>
      </c>
      <c r="AD233" s="19" t="s">
        <v>73</v>
      </c>
      <c r="AE233" s="19" t="s">
        <v>74</v>
      </c>
      <c r="AF233" s="19" t="s">
        <v>75</v>
      </c>
      <c r="AG233" s="19" t="s">
        <v>76</v>
      </c>
      <c r="AH233" s="19" t="s">
        <v>77</v>
      </c>
      <c r="AI233" s="19" t="s">
        <v>78</v>
      </c>
      <c r="AJ233" s="19" t="s">
        <v>79</v>
      </c>
    </row>
    <row r="234" customFormat="false" ht="15" hidden="false" customHeight="false" outlineLevel="0" collapsed="false">
      <c r="A234" s="11" t="n">
        <f aca="false">Data_Monthly!A21</f>
        <v>44799</v>
      </c>
      <c r="B234" s="12" t="n">
        <f aca="false">AVERAGE(Data_Monthly!B21:C21)-AVERAGE(Data_Monthly!D21:E21)</f>
        <v>1.30848254029283</v>
      </c>
      <c r="C234" s="13" t="n">
        <f aca="false">IF($A234&gt;=$U$216,1,0)</f>
        <v>0</v>
      </c>
      <c r="D234" s="13" t="n">
        <f aca="false">IF(MONTH($A234)=2,1,0)</f>
        <v>0</v>
      </c>
      <c r="E234" s="13" t="n">
        <f aca="false">IF(MONTH($A234)=3,1,0)</f>
        <v>0</v>
      </c>
      <c r="F234" s="13" t="n">
        <f aca="false">IF(MONTH($A234)=4,1,0)</f>
        <v>0</v>
      </c>
      <c r="G234" s="13" t="n">
        <f aca="false">IF(MONTH($A234)=5,1,0)</f>
        <v>0</v>
      </c>
      <c r="H234" s="13" t="n">
        <f aca="false">IF(MONTH($A234)=6,1,0)</f>
        <v>0</v>
      </c>
      <c r="I234" s="13" t="n">
        <f aca="false">IF(MONTH($A234)=7,1,0)</f>
        <v>0</v>
      </c>
      <c r="J234" s="13" t="n">
        <f aca="false">IF(MONTH($A234)=8,1,0)</f>
        <v>1</v>
      </c>
      <c r="K234" s="13" t="n">
        <f aca="false">IF(MONTH($A234)=9,1,0)</f>
        <v>0</v>
      </c>
      <c r="L234" s="13" t="n">
        <f aca="false">IF(MONTH($A234)=10,1,0)</f>
        <v>0</v>
      </c>
      <c r="M234" s="13" t="n">
        <f aca="false">IF(MONTH($A234)=11,1,0)</f>
        <v>0</v>
      </c>
      <c r="N234" s="13" t="n">
        <f aca="false">IF(MONTH($A234)=12,1,0)</f>
        <v>0</v>
      </c>
      <c r="O234" s="7" t="n">
        <f aca="false">$B$216+SUMPRODUCT(C234:N234,$C$216:$N$216)</f>
        <v>0.807307105991441</v>
      </c>
      <c r="P234" s="7" t="n">
        <f aca="false">B234-O234</f>
        <v>0.501175434301391</v>
      </c>
      <c r="Q234" s="7" t="n">
        <f aca="false">P234^2</f>
        <v>0.251176815947188</v>
      </c>
      <c r="T234" s="5" t="s">
        <v>112</v>
      </c>
      <c r="U234" s="7" t="n">
        <f aca="false">INDEX(LINEST(B218:B263,C218:N263,TRUE(),TRUE()),3,1)</f>
        <v>0.480146068254268</v>
      </c>
      <c r="X234" s="6" t="s">
        <v>68</v>
      </c>
      <c r="Y234" s="20" t="n">
        <f aca="false">CORREL($C$218:$C$263,$C$218:$C$263)</f>
        <v>1</v>
      </c>
      <c r="Z234" s="20" t="n">
        <f aca="false">CORREL($D$218:$D$263,$C$218:$C$263)</f>
        <v>0.016638958140993</v>
      </c>
      <c r="AA234" s="20" t="n">
        <f aca="false">CORREL($E$218:$E$263,$C$218:$C$263)</f>
        <v>0.016638958140993</v>
      </c>
      <c r="AB234" s="20" t="n">
        <f aca="false">CORREL($F$218:$F$263,$C$218:$C$263)</f>
        <v>-0.0364507402199878</v>
      </c>
      <c r="AC234" s="20" t="n">
        <f aca="false">CORREL($G$218:$G$263,$C$218:$C$263)</f>
        <v>-0.0364507402199878</v>
      </c>
      <c r="AD234" s="20" t="n">
        <f aca="false">CORREL($H$218:$H$263,$C$218:$C$263)</f>
        <v>-0.0364507402199878</v>
      </c>
      <c r="AE234" s="20" t="n">
        <f aca="false">CORREL($I$218:$I$263,$C$218:$C$263)</f>
        <v>-0.0364507402199878</v>
      </c>
      <c r="AF234" s="20" t="n">
        <f aca="false">CORREL($J$218:$J$263,$C$218:$C$263)</f>
        <v>-0.0364507402199878</v>
      </c>
      <c r="AG234" s="20" t="n">
        <f aca="false">CORREL($K$218:$K$263,$C$218:$C$263)</f>
        <v>-0.0364507402199878</v>
      </c>
      <c r="AH234" s="20" t="n">
        <f aca="false">CORREL($L$218:$L$263,$C$218:$C$263)</f>
        <v>-0.0364507402199878</v>
      </c>
      <c r="AI234" s="20" t="n">
        <f aca="false">CORREL($M$218:$M$263,$C$218:$C$263)</f>
        <v>-0.0364507402199878</v>
      </c>
      <c r="AJ234" s="20" t="n">
        <f aca="false">CORREL($N$218:$N$263,$C$218:$C$263)</f>
        <v>0.131222664791956</v>
      </c>
    </row>
    <row r="235" customFormat="false" ht="15" hidden="false" customHeight="false" outlineLevel="0" collapsed="false">
      <c r="A235" s="11" t="n">
        <f aca="false">Data_Monthly!A22</f>
        <v>44827</v>
      </c>
      <c r="B235" s="12" t="n">
        <f aca="false">AVERAGE(Data_Monthly!B22:C22)-AVERAGE(Data_Monthly!D22:E22)</f>
        <v>-0.0630777229611463</v>
      </c>
      <c r="C235" s="13" t="n">
        <f aca="false">IF($A235&gt;=$U$216,1,0)</f>
        <v>0</v>
      </c>
      <c r="D235" s="13" t="n">
        <f aca="false">IF(MONTH($A235)=2,1,0)</f>
        <v>0</v>
      </c>
      <c r="E235" s="13" t="n">
        <f aca="false">IF(MONTH($A235)=3,1,0)</f>
        <v>0</v>
      </c>
      <c r="F235" s="13" t="n">
        <f aca="false">IF(MONTH($A235)=4,1,0)</f>
        <v>0</v>
      </c>
      <c r="G235" s="13" t="n">
        <f aca="false">IF(MONTH($A235)=5,1,0)</f>
        <v>0</v>
      </c>
      <c r="H235" s="13" t="n">
        <f aca="false">IF(MONTH($A235)=6,1,0)</f>
        <v>0</v>
      </c>
      <c r="I235" s="13" t="n">
        <f aca="false">IF(MONTH($A235)=7,1,0)</f>
        <v>0</v>
      </c>
      <c r="J235" s="13" t="n">
        <f aca="false">IF(MONTH($A235)=8,1,0)</f>
        <v>0</v>
      </c>
      <c r="K235" s="13" t="n">
        <f aca="false">IF(MONTH($A235)=9,1,0)</f>
        <v>1</v>
      </c>
      <c r="L235" s="13" t="n">
        <f aca="false">IF(MONTH($A235)=10,1,0)</f>
        <v>0</v>
      </c>
      <c r="M235" s="13" t="n">
        <f aca="false">IF(MONTH($A235)=11,1,0)</f>
        <v>0</v>
      </c>
      <c r="N235" s="13" t="n">
        <f aca="false">IF(MONTH($A235)=12,1,0)</f>
        <v>0</v>
      </c>
      <c r="O235" s="7" t="n">
        <f aca="false">$B$216+SUMPRODUCT(C235:N235,$C$216:$N$216)</f>
        <v>-0.462146307998055</v>
      </c>
      <c r="P235" s="7" t="n">
        <f aca="false">B235-O235</f>
        <v>0.399068585036908</v>
      </c>
      <c r="Q235" s="7" t="n">
        <f aca="false">P235^2</f>
        <v>0.15925573556336</v>
      </c>
      <c r="T235" s="5" t="s">
        <v>116</v>
      </c>
      <c r="U235" s="7" t="n">
        <f aca="false">SQRT($U$234)</f>
        <v>0.692925730691442</v>
      </c>
      <c r="X235" s="6" t="s">
        <v>69</v>
      </c>
      <c r="Y235" s="20" t="n">
        <f aca="false">CORREL($C$218:$C$263,$D$218:$D$263)</f>
        <v>0.016638958140993</v>
      </c>
      <c r="Z235" s="20" t="n">
        <f aca="false">CORREL($D$218:$D$263,$D$218:$D$263)</f>
        <v>1</v>
      </c>
      <c r="AA235" s="20" t="n">
        <f aca="false">CORREL($E$218:$E$263,$D$218:$D$263)</f>
        <v>-0.0697674418604651</v>
      </c>
      <c r="AB235" s="20" t="n">
        <f aca="false">CORREL($F$218:$F$263,$D$218:$D$263)</f>
        <v>-0.0815139145939222</v>
      </c>
      <c r="AC235" s="20" t="n">
        <f aca="false">CORREL($G$218:$G$263,$D$218:$D$263)</f>
        <v>-0.0815139145939222</v>
      </c>
      <c r="AD235" s="20" t="n">
        <f aca="false">CORREL($H$218:$H$263,$D$218:$D$263)</f>
        <v>-0.0815139145939222</v>
      </c>
      <c r="AE235" s="20" t="n">
        <f aca="false">CORREL($I$218:$I$263,$D$218:$D$263)</f>
        <v>-0.0815139145939222</v>
      </c>
      <c r="AF235" s="20" t="n">
        <f aca="false">CORREL($J$218:$J$263,$D$218:$D$263)</f>
        <v>-0.0815139145939222</v>
      </c>
      <c r="AG235" s="20" t="n">
        <f aca="false">CORREL($K$218:$K$263,$D$218:$D$263)</f>
        <v>-0.0815139145939222</v>
      </c>
      <c r="AH235" s="20" t="n">
        <f aca="false">CORREL($L$218:$L$263,$D$218:$D$263)</f>
        <v>-0.0815139145939222</v>
      </c>
      <c r="AI235" s="20" t="n">
        <f aca="false">CORREL($M$218:$M$263,$D$218:$D$263)</f>
        <v>-0.0815139145939222</v>
      </c>
      <c r="AJ235" s="20" t="n">
        <f aca="false">CORREL($N$218:$N$263,$D$218:$D$263)</f>
        <v>-0.0815139145939222</v>
      </c>
    </row>
    <row r="236" customFormat="false" ht="15" hidden="false" customHeight="false" outlineLevel="0" collapsed="false">
      <c r="A236" s="11" t="n">
        <f aca="false">Data_Monthly!A23</f>
        <v>44855</v>
      </c>
      <c r="B236" s="12" t="n">
        <f aca="false">AVERAGE(Data_Monthly!B23:C23)-AVERAGE(Data_Monthly!D23:E23)</f>
        <v>2.48401112307066</v>
      </c>
      <c r="C236" s="13" t="n">
        <f aca="false">IF($A236&gt;=$U$216,1,0)</f>
        <v>0</v>
      </c>
      <c r="D236" s="13" t="n">
        <f aca="false">IF(MONTH($A236)=2,1,0)</f>
        <v>0</v>
      </c>
      <c r="E236" s="13" t="n">
        <f aca="false">IF(MONTH($A236)=3,1,0)</f>
        <v>0</v>
      </c>
      <c r="F236" s="13" t="n">
        <f aca="false">IF(MONTH($A236)=4,1,0)</f>
        <v>0</v>
      </c>
      <c r="G236" s="13" t="n">
        <f aca="false">IF(MONTH($A236)=5,1,0)</f>
        <v>0</v>
      </c>
      <c r="H236" s="13" t="n">
        <f aca="false">IF(MONTH($A236)=6,1,0)</f>
        <v>0</v>
      </c>
      <c r="I236" s="13" t="n">
        <f aca="false">IF(MONTH($A236)=7,1,0)</f>
        <v>0</v>
      </c>
      <c r="J236" s="13" t="n">
        <f aca="false">IF(MONTH($A236)=8,1,0)</f>
        <v>0</v>
      </c>
      <c r="K236" s="13" t="n">
        <f aca="false">IF(MONTH($A236)=9,1,0)</f>
        <v>0</v>
      </c>
      <c r="L236" s="13" t="n">
        <f aca="false">IF(MONTH($A236)=10,1,0)</f>
        <v>1</v>
      </c>
      <c r="M236" s="13" t="n">
        <f aca="false">IF(MONTH($A236)=11,1,0)</f>
        <v>0</v>
      </c>
      <c r="N236" s="13" t="n">
        <f aca="false">IF(MONTH($A236)=12,1,0)</f>
        <v>0</v>
      </c>
      <c r="O236" s="7" t="n">
        <f aca="false">$B$216+SUMPRODUCT(C236:N236,$C$216:$N$216)</f>
        <v>2.85816008143121</v>
      </c>
      <c r="P236" s="7" t="n">
        <f aca="false">B236-O236</f>
        <v>-0.374148958360545</v>
      </c>
      <c r="Q236" s="7" t="n">
        <f aca="false">P236^2</f>
        <v>0.139987443042281</v>
      </c>
      <c r="T236" s="5" t="s">
        <v>111</v>
      </c>
      <c r="U236" s="13" t="n">
        <f aca="false">INDEX(LINEST(B218:B263,C218:N263,TRUE(),TRUE()),4,2)</f>
        <v>33</v>
      </c>
      <c r="X236" s="6" t="s">
        <v>70</v>
      </c>
      <c r="Y236" s="20" t="n">
        <f aca="false">CORREL($C$218:$C$263,$E$218:$E$263)</f>
        <v>0.016638958140993</v>
      </c>
      <c r="Z236" s="20" t="n">
        <f aca="false">CORREL($D$218:$D$263,$E$218:$E$263)</f>
        <v>-0.0697674418604651</v>
      </c>
      <c r="AA236" s="20" t="n">
        <f aca="false">CORREL($E$218:$E$263,$E$218:$E$263)</f>
        <v>1</v>
      </c>
      <c r="AB236" s="20" t="n">
        <f aca="false">CORREL($F$218:$F$263,$E$218:$E$263)</f>
        <v>-0.0815139145939222</v>
      </c>
      <c r="AC236" s="20" t="n">
        <f aca="false">CORREL($G$218:$G$263,$E$218:$E$263)</f>
        <v>-0.0815139145939222</v>
      </c>
      <c r="AD236" s="20" t="n">
        <f aca="false">CORREL($H$218:$H$263,$E$218:$E$263)</f>
        <v>-0.0815139145939222</v>
      </c>
      <c r="AE236" s="20" t="n">
        <f aca="false">CORREL($I$218:$I$263,$E$218:$E$263)</f>
        <v>-0.0815139145939222</v>
      </c>
      <c r="AF236" s="20" t="n">
        <f aca="false">CORREL($J$218:$J$263,$E$218:$E$263)</f>
        <v>-0.0815139145939222</v>
      </c>
      <c r="AG236" s="20" t="n">
        <f aca="false">CORREL($K$218:$K$263,$E$218:$E$263)</f>
        <v>-0.0815139145939222</v>
      </c>
      <c r="AH236" s="20" t="n">
        <f aca="false">CORREL($L$218:$L$263,$E$218:$E$263)</f>
        <v>-0.0815139145939222</v>
      </c>
      <c r="AI236" s="20" t="n">
        <f aca="false">CORREL($M$218:$M$263,$E$218:$E$263)</f>
        <v>-0.0815139145939222</v>
      </c>
      <c r="AJ236" s="20" t="n">
        <f aca="false">CORREL($N$218:$N$263,$E$218:$E$263)</f>
        <v>-0.0815139145939222</v>
      </c>
    </row>
    <row r="237" customFormat="false" ht="15" hidden="false" customHeight="false" outlineLevel="0" collapsed="false">
      <c r="A237" s="11" t="n">
        <f aca="false">Data_Monthly!A24</f>
        <v>44883</v>
      </c>
      <c r="B237" s="12" t="n">
        <f aca="false">AVERAGE(Data_Monthly!B24:C24)-AVERAGE(Data_Monthly!D24:E24)</f>
        <v>-2.1831615517657</v>
      </c>
      <c r="C237" s="13" t="n">
        <f aca="false">IF($A237&gt;=$U$216,1,0)</f>
        <v>0</v>
      </c>
      <c r="D237" s="13" t="n">
        <f aca="false">IF(MONTH($A237)=2,1,0)</f>
        <v>0</v>
      </c>
      <c r="E237" s="13" t="n">
        <f aca="false">IF(MONTH($A237)=3,1,0)</f>
        <v>0</v>
      </c>
      <c r="F237" s="13" t="n">
        <f aca="false">IF(MONTH($A237)=4,1,0)</f>
        <v>0</v>
      </c>
      <c r="G237" s="13" t="n">
        <f aca="false">IF(MONTH($A237)=5,1,0)</f>
        <v>0</v>
      </c>
      <c r="H237" s="13" t="n">
        <f aca="false">IF(MONTH($A237)=6,1,0)</f>
        <v>0</v>
      </c>
      <c r="I237" s="13" t="n">
        <f aca="false">IF(MONTH($A237)=7,1,0)</f>
        <v>0</v>
      </c>
      <c r="J237" s="13" t="n">
        <f aca="false">IF(MONTH($A237)=8,1,0)</f>
        <v>0</v>
      </c>
      <c r="K237" s="13" t="n">
        <f aca="false">IF(MONTH($A237)=9,1,0)</f>
        <v>0</v>
      </c>
      <c r="L237" s="13" t="n">
        <f aca="false">IF(MONTH($A237)=10,1,0)</f>
        <v>0</v>
      </c>
      <c r="M237" s="13" t="n">
        <f aca="false">IF(MONTH($A237)=11,1,0)</f>
        <v>1</v>
      </c>
      <c r="N237" s="13" t="n">
        <f aca="false">IF(MONTH($A237)=12,1,0)</f>
        <v>0</v>
      </c>
      <c r="O237" s="7" t="n">
        <f aca="false">$B$216+SUMPRODUCT(C237:N237,$C$216:$N$216)</f>
        <v>-0.368245672351762</v>
      </c>
      <c r="P237" s="7" t="n">
        <f aca="false">B237-O237</f>
        <v>-1.81491587941394</v>
      </c>
      <c r="Q237" s="7" t="n">
        <f aca="false">P237^2</f>
        <v>3.29391964934887</v>
      </c>
      <c r="T237" s="5" t="s">
        <v>117</v>
      </c>
      <c r="U237" s="7" t="n">
        <f aca="false">1-(1-$U$234)*($U$233-1)/$U$236</f>
        <v>0.291108274892184</v>
      </c>
      <c r="X237" s="6" t="s">
        <v>71</v>
      </c>
      <c r="Y237" s="20" t="n">
        <f aca="false">CORREL($C$218:$C$263,$F$218:$F$263)</f>
        <v>-0.0364507402199878</v>
      </c>
      <c r="Z237" s="20" t="n">
        <f aca="false">CORREL($D$218:$D$263,$F$218:$F$263)</f>
        <v>-0.0815139145939222</v>
      </c>
      <c r="AA237" s="20" t="n">
        <f aca="false">CORREL($E$218:$E$263,$F$218:$F$263)</f>
        <v>-0.0815139145939222</v>
      </c>
      <c r="AB237" s="20" t="n">
        <f aca="false">CORREL($F$218:$F$263,$F$218:$F$263)</f>
        <v>1</v>
      </c>
      <c r="AC237" s="20" t="n">
        <f aca="false">CORREL($G$218:$G$263,$F$218:$F$263)</f>
        <v>-0.0952380952380953</v>
      </c>
      <c r="AD237" s="20" t="n">
        <f aca="false">CORREL($H$218:$H$263,$F$218:$F$263)</f>
        <v>-0.0952380952380953</v>
      </c>
      <c r="AE237" s="20" t="n">
        <f aca="false">CORREL($I$218:$I$263,$F$218:$F$263)</f>
        <v>-0.0952380952380953</v>
      </c>
      <c r="AF237" s="20" t="n">
        <f aca="false">CORREL($J$218:$J$263,$F$218:$F$263)</f>
        <v>-0.0952380952380953</v>
      </c>
      <c r="AG237" s="20" t="n">
        <f aca="false">CORREL($K$218:$K$263,$F$218:$F$263)</f>
        <v>-0.0952380952380953</v>
      </c>
      <c r="AH237" s="20" t="n">
        <f aca="false">CORREL($L$218:$L$263,$F$218:$F$263)</f>
        <v>-0.0952380952380953</v>
      </c>
      <c r="AI237" s="20" t="n">
        <f aca="false">CORREL($M$218:$M$263,$F$218:$F$263)</f>
        <v>-0.0952380952380953</v>
      </c>
      <c r="AJ237" s="20" t="n">
        <f aca="false">CORREL($N$218:$N$263,$F$218:$F$263)</f>
        <v>-0.0952380952380953</v>
      </c>
    </row>
    <row r="238" customFormat="false" ht="15" hidden="false" customHeight="false" outlineLevel="0" collapsed="false">
      <c r="A238" s="11" t="n">
        <f aca="false">Data_Monthly!A25</f>
        <v>44925</v>
      </c>
      <c r="B238" s="12" t="n">
        <f aca="false">AVERAGE(Data_Monthly!B25:C25)-AVERAGE(Data_Monthly!D25:E25)</f>
        <v>0.944547874144153</v>
      </c>
      <c r="C238" s="13" t="n">
        <f aca="false">IF($A238&gt;=$U$216,1,0)</f>
        <v>0</v>
      </c>
      <c r="D238" s="13" t="n">
        <f aca="false">IF(MONTH($A238)=2,1,0)</f>
        <v>0</v>
      </c>
      <c r="E238" s="13" t="n">
        <f aca="false">IF(MONTH($A238)=3,1,0)</f>
        <v>0</v>
      </c>
      <c r="F238" s="13" t="n">
        <f aca="false">IF(MONTH($A238)=4,1,0)</f>
        <v>0</v>
      </c>
      <c r="G238" s="13" t="n">
        <f aca="false">IF(MONTH($A238)=5,1,0)</f>
        <v>0</v>
      </c>
      <c r="H238" s="13" t="n">
        <f aca="false">IF(MONTH($A238)=6,1,0)</f>
        <v>0</v>
      </c>
      <c r="I238" s="13" t="n">
        <f aca="false">IF(MONTH($A238)=7,1,0)</f>
        <v>0</v>
      </c>
      <c r="J238" s="13" t="n">
        <f aca="false">IF(MONTH($A238)=8,1,0)</f>
        <v>0</v>
      </c>
      <c r="K238" s="13" t="n">
        <f aca="false">IF(MONTH($A238)=9,1,0)</f>
        <v>0</v>
      </c>
      <c r="L238" s="13" t="n">
        <f aca="false">IF(MONTH($A238)=10,1,0)</f>
        <v>0</v>
      </c>
      <c r="M238" s="13" t="n">
        <f aca="false">IF(MONTH($A238)=11,1,0)</f>
        <v>0</v>
      </c>
      <c r="N238" s="13" t="n">
        <f aca="false">IF(MONTH($A238)=12,1,0)</f>
        <v>1</v>
      </c>
      <c r="O238" s="7" t="n">
        <f aca="false">$B$216+SUMPRODUCT(C238:N238,$C$216:$N$216)</f>
        <v>0.551257675854914</v>
      </c>
      <c r="P238" s="7" t="n">
        <f aca="false">B238-O238</f>
        <v>0.393290198289239</v>
      </c>
      <c r="Q238" s="7" t="n">
        <f aca="false">P238^2</f>
        <v>0.154677180070389</v>
      </c>
      <c r="T238" s="5" t="s">
        <v>118</v>
      </c>
      <c r="U238" s="7" t="n">
        <f aca="false">INDEX(LINEST(B218:B263,C218:N263,TRUE(),TRUE()),3,2)</f>
        <v>1.29065212413022</v>
      </c>
      <c r="X238" s="6" t="s">
        <v>72</v>
      </c>
      <c r="Y238" s="20" t="n">
        <f aca="false">CORREL($C$218:$C$263,$G$218:$G$263)</f>
        <v>-0.0364507402199878</v>
      </c>
      <c r="Z238" s="20" t="n">
        <f aca="false">CORREL($D$218:$D$263,$G$218:$G$263)</f>
        <v>-0.0815139145939222</v>
      </c>
      <c r="AA238" s="20" t="n">
        <f aca="false">CORREL($E$218:$E$263,$G$218:$G$263)</f>
        <v>-0.0815139145939222</v>
      </c>
      <c r="AB238" s="20" t="n">
        <f aca="false">CORREL($F$218:$F$263,$G$218:$G$263)</f>
        <v>-0.0952380952380953</v>
      </c>
      <c r="AC238" s="20" t="n">
        <f aca="false">CORREL($G$218:$G$263,$G$218:$G$263)</f>
        <v>1</v>
      </c>
      <c r="AD238" s="20" t="n">
        <f aca="false">CORREL($H$218:$H$263,$G$218:$G$263)</f>
        <v>-0.0952380952380953</v>
      </c>
      <c r="AE238" s="20" t="n">
        <f aca="false">CORREL($I$218:$I$263,$G$218:$G$263)</f>
        <v>-0.0952380952380953</v>
      </c>
      <c r="AF238" s="20" t="n">
        <f aca="false">CORREL($J$218:$J$263,$G$218:$G$263)</f>
        <v>-0.0952380952380953</v>
      </c>
      <c r="AG238" s="20" t="n">
        <f aca="false">CORREL($K$218:$K$263,$G$218:$G$263)</f>
        <v>-0.0952380952380953</v>
      </c>
      <c r="AH238" s="20" t="n">
        <f aca="false">CORREL($L$218:$L$263,$G$218:$G$263)</f>
        <v>-0.0952380952380953</v>
      </c>
      <c r="AI238" s="20" t="n">
        <f aca="false">CORREL($M$218:$M$263,$G$218:$G$263)</f>
        <v>-0.0952380952380953</v>
      </c>
      <c r="AJ238" s="20" t="n">
        <f aca="false">CORREL($N$218:$N$263,$G$218:$G$263)</f>
        <v>-0.0952380952380953</v>
      </c>
    </row>
    <row r="239" customFormat="false" ht="15" hidden="false" customHeight="false" outlineLevel="0" collapsed="false">
      <c r="A239" s="11" t="n">
        <f aca="false">Data_Monthly!A26</f>
        <v>44953</v>
      </c>
      <c r="B239" s="12" t="n">
        <f aca="false">AVERAGE(Data_Monthly!B26:C26)-AVERAGE(Data_Monthly!D26:E26)</f>
        <v>1.41997562565441</v>
      </c>
      <c r="C239" s="13" t="n">
        <f aca="false">IF($A239&gt;=$U$216,1,0)</f>
        <v>0</v>
      </c>
      <c r="D239" s="13" t="n">
        <f aca="false">IF(MONTH($A239)=2,1,0)</f>
        <v>0</v>
      </c>
      <c r="E239" s="13" t="n">
        <f aca="false">IF(MONTH($A239)=3,1,0)</f>
        <v>0</v>
      </c>
      <c r="F239" s="13" t="n">
        <f aca="false">IF(MONTH($A239)=4,1,0)</f>
        <v>0</v>
      </c>
      <c r="G239" s="13" t="n">
        <f aca="false">IF(MONTH($A239)=5,1,0)</f>
        <v>0</v>
      </c>
      <c r="H239" s="13" t="n">
        <f aca="false">IF(MONTH($A239)=6,1,0)</f>
        <v>0</v>
      </c>
      <c r="I239" s="13" t="n">
        <f aca="false">IF(MONTH($A239)=7,1,0)</f>
        <v>0</v>
      </c>
      <c r="J239" s="13" t="n">
        <f aca="false">IF(MONTH($A239)=8,1,0)</f>
        <v>0</v>
      </c>
      <c r="K239" s="13" t="n">
        <f aca="false">IF(MONTH($A239)=9,1,0)</f>
        <v>0</v>
      </c>
      <c r="L239" s="13" t="n">
        <f aca="false">IF(MONTH($A239)=10,1,0)</f>
        <v>0</v>
      </c>
      <c r="M239" s="13" t="n">
        <f aca="false">IF(MONTH($A239)=11,1,0)</f>
        <v>0</v>
      </c>
      <c r="N239" s="13" t="n">
        <f aca="false">IF(MONTH($A239)=12,1,0)</f>
        <v>0</v>
      </c>
      <c r="O239" s="7" t="n">
        <f aca="false">$B$216+SUMPRODUCT(C239:N239,$C$216:$N$216)</f>
        <v>0.977714672826439</v>
      </c>
      <c r="P239" s="7" t="n">
        <f aca="false">B239-O239</f>
        <v>0.442260952827974</v>
      </c>
      <c r="Q239" s="7" t="n">
        <f aca="false">P239^2</f>
        <v>0.195594750396308</v>
      </c>
      <c r="X239" s="6" t="s">
        <v>73</v>
      </c>
      <c r="Y239" s="20" t="n">
        <f aca="false">CORREL($C$218:$C$263,$H$218:$H$263)</f>
        <v>-0.0364507402199878</v>
      </c>
      <c r="Z239" s="20" t="n">
        <f aca="false">CORREL($D$218:$D$263,$H$218:$H$263)</f>
        <v>-0.0815139145939222</v>
      </c>
      <c r="AA239" s="20" t="n">
        <f aca="false">CORREL($E$218:$E$263,$H$218:$H$263)</f>
        <v>-0.0815139145939222</v>
      </c>
      <c r="AB239" s="20" t="n">
        <f aca="false">CORREL($F$218:$F$263,$H$218:$H$263)</f>
        <v>-0.0952380952380953</v>
      </c>
      <c r="AC239" s="20" t="n">
        <f aca="false">CORREL($G$218:$G$263,$H$218:$H$263)</f>
        <v>-0.0952380952380953</v>
      </c>
      <c r="AD239" s="20" t="n">
        <f aca="false">CORREL($H$218:$H$263,$H$218:$H$263)</f>
        <v>1</v>
      </c>
      <c r="AE239" s="20" t="n">
        <f aca="false">CORREL($I$218:$I$263,$H$218:$H$263)</f>
        <v>-0.0952380952380953</v>
      </c>
      <c r="AF239" s="20" t="n">
        <f aca="false">CORREL($J$218:$J$263,$H$218:$H$263)</f>
        <v>-0.0952380952380953</v>
      </c>
      <c r="AG239" s="20" t="n">
        <f aca="false">CORREL($K$218:$K$263,$H$218:$H$263)</f>
        <v>-0.0952380952380953</v>
      </c>
      <c r="AH239" s="20" t="n">
        <f aca="false">CORREL($L$218:$L$263,$H$218:$H$263)</f>
        <v>-0.0952380952380953</v>
      </c>
      <c r="AI239" s="20" t="n">
        <f aca="false">CORREL($M$218:$M$263,$H$218:$H$263)</f>
        <v>-0.0952380952380953</v>
      </c>
      <c r="AJ239" s="20" t="n">
        <f aca="false">CORREL($N$218:$N$263,$H$218:$H$263)</f>
        <v>-0.0952380952380953</v>
      </c>
    </row>
    <row r="240" customFormat="false" ht="15" hidden="false" customHeight="false" outlineLevel="0" collapsed="false">
      <c r="A240" s="11" t="n">
        <f aca="false">Data_Monthly!A27</f>
        <v>44981</v>
      </c>
      <c r="B240" s="12" t="n">
        <f aca="false">AVERAGE(Data_Monthly!B27:C27)-AVERAGE(Data_Monthly!D27:E27)</f>
        <v>0.702984613978597</v>
      </c>
      <c r="C240" s="13" t="n">
        <f aca="false">IF($A240&gt;=$U$216,1,0)</f>
        <v>0</v>
      </c>
      <c r="D240" s="13" t="n">
        <f aca="false">IF(MONTH($A240)=2,1,0)</f>
        <v>1</v>
      </c>
      <c r="E240" s="13" t="n">
        <f aca="false">IF(MONTH($A240)=3,1,0)</f>
        <v>0</v>
      </c>
      <c r="F240" s="13" t="n">
        <f aca="false">IF(MONTH($A240)=4,1,0)</f>
        <v>0</v>
      </c>
      <c r="G240" s="13" t="n">
        <f aca="false">IF(MONTH($A240)=5,1,0)</f>
        <v>0</v>
      </c>
      <c r="H240" s="13" t="n">
        <f aca="false">IF(MONTH($A240)=6,1,0)</f>
        <v>0</v>
      </c>
      <c r="I240" s="13" t="n">
        <f aca="false">IF(MONTH($A240)=7,1,0)</f>
        <v>0</v>
      </c>
      <c r="J240" s="13" t="n">
        <f aca="false">IF(MONTH($A240)=8,1,0)</f>
        <v>0</v>
      </c>
      <c r="K240" s="13" t="n">
        <f aca="false">IF(MONTH($A240)=9,1,0)</f>
        <v>0</v>
      </c>
      <c r="L240" s="13" t="n">
        <f aca="false">IF(MONTH($A240)=10,1,0)</f>
        <v>0</v>
      </c>
      <c r="M240" s="13" t="n">
        <f aca="false">IF(MONTH($A240)=11,1,0)</f>
        <v>0</v>
      </c>
      <c r="N240" s="13" t="n">
        <f aca="false">IF(MONTH($A240)=12,1,0)</f>
        <v>0</v>
      </c>
      <c r="O240" s="7" t="n">
        <f aca="false">$B$216+SUMPRODUCT(C240:N240,$C$216:$N$216)</f>
        <v>0.248106808725507</v>
      </c>
      <c r="P240" s="7" t="n">
        <f aca="false">B240-O240</f>
        <v>0.45487780525309</v>
      </c>
      <c r="Q240" s="7" t="n">
        <f aca="false">P240^2</f>
        <v>0.206913817711868</v>
      </c>
      <c r="T240" s="9" t="s">
        <v>119</v>
      </c>
      <c r="U240" s="14" t="s">
        <v>91</v>
      </c>
      <c r="V240" s="14" t="s">
        <v>92</v>
      </c>
      <c r="X240" s="6" t="s">
        <v>74</v>
      </c>
      <c r="Y240" s="20" t="n">
        <f aca="false">CORREL($C$218:$C$263,$I$218:$I$263)</f>
        <v>-0.0364507402199878</v>
      </c>
      <c r="Z240" s="20" t="n">
        <f aca="false">CORREL($D$218:$D$263,$I$218:$I$263)</f>
        <v>-0.0815139145939222</v>
      </c>
      <c r="AA240" s="20" t="n">
        <f aca="false">CORREL($E$218:$E$263,$I$218:$I$263)</f>
        <v>-0.0815139145939222</v>
      </c>
      <c r="AB240" s="20" t="n">
        <f aca="false">CORREL($F$218:$F$263,$I$218:$I$263)</f>
        <v>-0.0952380952380953</v>
      </c>
      <c r="AC240" s="20" t="n">
        <f aca="false">CORREL($G$218:$G$263,$I$218:$I$263)</f>
        <v>-0.0952380952380953</v>
      </c>
      <c r="AD240" s="20" t="n">
        <f aca="false">CORREL($H$218:$H$263,$I$218:$I$263)</f>
        <v>-0.0952380952380953</v>
      </c>
      <c r="AE240" s="20" t="n">
        <f aca="false">CORREL($I$218:$I$263,$I$218:$I$263)</f>
        <v>1</v>
      </c>
      <c r="AF240" s="20" t="n">
        <f aca="false">CORREL($J$218:$J$263,$I$218:$I$263)</f>
        <v>-0.0952380952380953</v>
      </c>
      <c r="AG240" s="20" t="n">
        <f aca="false">CORREL($K$218:$K$263,$I$218:$I$263)</f>
        <v>-0.0952380952380953</v>
      </c>
      <c r="AH240" s="20" t="n">
        <f aca="false">CORREL($L$218:$L$263,$I$218:$I$263)</f>
        <v>-0.0952380952380953</v>
      </c>
      <c r="AI240" s="20" t="n">
        <f aca="false">CORREL($M$218:$M$263,$I$218:$I$263)</f>
        <v>-0.0952380952380953</v>
      </c>
      <c r="AJ240" s="20" t="n">
        <f aca="false">CORREL($N$218:$N$263,$I$218:$I$263)</f>
        <v>-0.0952380952380953</v>
      </c>
    </row>
    <row r="241" customFormat="false" ht="15" hidden="false" customHeight="false" outlineLevel="0" collapsed="false">
      <c r="A241" s="11" t="n">
        <f aca="false">Data_Monthly!A28</f>
        <v>45009</v>
      </c>
      <c r="B241" s="12" t="n">
        <f aca="false">AVERAGE(Data_Monthly!B28:C28)-AVERAGE(Data_Monthly!D28:E28)</f>
        <v>3.6237295516016</v>
      </c>
      <c r="C241" s="13" t="n">
        <f aca="false">IF($A241&gt;=$U$216,1,0)</f>
        <v>0</v>
      </c>
      <c r="D241" s="13" t="n">
        <f aca="false">IF(MONTH($A241)=2,1,0)</f>
        <v>0</v>
      </c>
      <c r="E241" s="13" t="n">
        <f aca="false">IF(MONTH($A241)=3,1,0)</f>
        <v>1</v>
      </c>
      <c r="F241" s="13" t="n">
        <f aca="false">IF(MONTH($A241)=4,1,0)</f>
        <v>0</v>
      </c>
      <c r="G241" s="13" t="n">
        <f aca="false">IF(MONTH($A241)=5,1,0)</f>
        <v>0</v>
      </c>
      <c r="H241" s="13" t="n">
        <f aca="false">IF(MONTH($A241)=6,1,0)</f>
        <v>0</v>
      </c>
      <c r="I241" s="13" t="n">
        <f aca="false">IF(MONTH($A241)=7,1,0)</f>
        <v>0</v>
      </c>
      <c r="J241" s="13" t="n">
        <f aca="false">IF(MONTH($A241)=8,1,0)</f>
        <v>0</v>
      </c>
      <c r="K241" s="13" t="n">
        <f aca="false">IF(MONTH($A241)=9,1,0)</f>
        <v>0</v>
      </c>
      <c r="L241" s="13" t="n">
        <f aca="false">IF(MONTH($A241)=10,1,0)</f>
        <v>0</v>
      </c>
      <c r="M241" s="13" t="n">
        <f aca="false">IF(MONTH($A241)=11,1,0)</f>
        <v>0</v>
      </c>
      <c r="N241" s="13" t="n">
        <f aca="false">IF(MONTH($A241)=12,1,0)</f>
        <v>0</v>
      </c>
      <c r="O241" s="7" t="n">
        <f aca="false">$B$216+SUMPRODUCT(C241:N241,$C$216:$N$216)</f>
        <v>1.53596144595077</v>
      </c>
      <c r="P241" s="7" t="n">
        <f aca="false">B241-O241</f>
        <v>2.08776810565082</v>
      </c>
      <c r="Q241" s="7" t="n">
        <f aca="false">P241^2</f>
        <v>4.35877566297283</v>
      </c>
      <c r="T241" s="5" t="s">
        <v>120</v>
      </c>
      <c r="U241" s="7" t="n">
        <f aca="false">INDEX(LINEST(B218:B263,C218:N263,TRUE(),TRUE()),5,1)</f>
        <v>50.7720132631579</v>
      </c>
      <c r="X241" s="6" t="s">
        <v>75</v>
      </c>
      <c r="Y241" s="20" t="n">
        <f aca="false">CORREL($C$218:$C$263,$J$218:$J$263)</f>
        <v>-0.0364507402199878</v>
      </c>
      <c r="Z241" s="20" t="n">
        <f aca="false">CORREL($D$218:$D$263,$J$218:$J$263)</f>
        <v>-0.0815139145939222</v>
      </c>
      <c r="AA241" s="20" t="n">
        <f aca="false">CORREL($E$218:$E$263,$J$218:$J$263)</f>
        <v>-0.0815139145939222</v>
      </c>
      <c r="AB241" s="20" t="n">
        <f aca="false">CORREL($F$218:$F$263,$J$218:$J$263)</f>
        <v>-0.0952380952380953</v>
      </c>
      <c r="AC241" s="20" t="n">
        <f aca="false">CORREL($G$218:$G$263,$J$218:$J$263)</f>
        <v>-0.0952380952380953</v>
      </c>
      <c r="AD241" s="20" t="n">
        <f aca="false">CORREL($H$218:$H$263,$J$218:$J$263)</f>
        <v>-0.0952380952380953</v>
      </c>
      <c r="AE241" s="20" t="n">
        <f aca="false">CORREL($I$218:$I$263,$J$218:$J$263)</f>
        <v>-0.0952380952380953</v>
      </c>
      <c r="AF241" s="20" t="n">
        <f aca="false">CORREL($J$218:$J$263,$J$218:$J$263)</f>
        <v>1</v>
      </c>
      <c r="AG241" s="20" t="n">
        <f aca="false">CORREL($K$218:$K$263,$J$218:$J$263)</f>
        <v>-0.0952380952380953</v>
      </c>
      <c r="AH241" s="20" t="n">
        <f aca="false">CORREL($L$218:$L$263,$J$218:$J$263)</f>
        <v>-0.0952380952380953</v>
      </c>
      <c r="AI241" s="20" t="n">
        <f aca="false">CORREL($M$218:$M$263,$J$218:$J$263)</f>
        <v>-0.0952380952380953</v>
      </c>
      <c r="AJ241" s="20" t="n">
        <f aca="false">CORREL($N$218:$N$263,$J$218:$J$263)</f>
        <v>-0.0952380952380953</v>
      </c>
    </row>
    <row r="242" customFormat="false" ht="15" hidden="false" customHeight="false" outlineLevel="0" collapsed="false">
      <c r="A242" s="11" t="n">
        <f aca="false">Data_Monthly!A29</f>
        <v>45037</v>
      </c>
      <c r="B242" s="12" t="n">
        <f aca="false">AVERAGE(Data_Monthly!B29:C29)-AVERAGE(Data_Monthly!D29:E29)</f>
        <v>-0.694655592084015</v>
      </c>
      <c r="C242" s="13" t="n">
        <f aca="false">IF($A242&gt;=$U$216,1,0)</f>
        <v>0</v>
      </c>
      <c r="D242" s="13" t="n">
        <f aca="false">IF(MONTH($A242)=2,1,0)</f>
        <v>0</v>
      </c>
      <c r="E242" s="13" t="n">
        <f aca="false">IF(MONTH($A242)=3,1,0)</f>
        <v>0</v>
      </c>
      <c r="F242" s="13" t="n">
        <f aca="false">IF(MONTH($A242)=4,1,0)</f>
        <v>1</v>
      </c>
      <c r="G242" s="13" t="n">
        <f aca="false">IF(MONTH($A242)=5,1,0)</f>
        <v>0</v>
      </c>
      <c r="H242" s="13" t="n">
        <f aca="false">IF(MONTH($A242)=6,1,0)</f>
        <v>0</v>
      </c>
      <c r="I242" s="13" t="n">
        <f aca="false">IF(MONTH($A242)=7,1,0)</f>
        <v>0</v>
      </c>
      <c r="J242" s="13" t="n">
        <f aca="false">IF(MONTH($A242)=8,1,0)</f>
        <v>0</v>
      </c>
      <c r="K242" s="13" t="n">
        <f aca="false">IF(MONTH($A242)=9,1,0)</f>
        <v>0</v>
      </c>
      <c r="L242" s="13" t="n">
        <f aca="false">IF(MONTH($A242)=10,1,0)</f>
        <v>0</v>
      </c>
      <c r="M242" s="13" t="n">
        <f aca="false">IF(MONTH($A242)=11,1,0)</f>
        <v>0</v>
      </c>
      <c r="N242" s="13" t="n">
        <f aca="false">IF(MONTH($A242)=12,1,0)</f>
        <v>0</v>
      </c>
      <c r="O242" s="7" t="n">
        <f aca="false">$B$216+SUMPRODUCT(C242:N242,$C$216:$N$216)</f>
        <v>-0.290320564543188</v>
      </c>
      <c r="P242" s="7" t="n">
        <f aca="false">B242-O242</f>
        <v>-0.404335027540827</v>
      </c>
      <c r="Q242" s="7" t="n">
        <f aca="false">P242^2</f>
        <v>0.163486814496441</v>
      </c>
      <c r="T242" s="5" t="s">
        <v>113</v>
      </c>
      <c r="U242" s="7" t="n">
        <f aca="false">INDEX(LINEST(B218:B263,C218:N263,TRUE(),TRUE()),5,2)</f>
        <v>54.9708358822211</v>
      </c>
      <c r="X242" s="6" t="s">
        <v>76</v>
      </c>
      <c r="Y242" s="20" t="n">
        <f aca="false">CORREL($C$218:$C$263,$K$218:$K$263)</f>
        <v>-0.0364507402199878</v>
      </c>
      <c r="Z242" s="20" t="n">
        <f aca="false">CORREL($D$218:$D$263,$K$218:$K$263)</f>
        <v>-0.0815139145939222</v>
      </c>
      <c r="AA242" s="20" t="n">
        <f aca="false">CORREL($E$218:$E$263,$K$218:$K$263)</f>
        <v>-0.0815139145939222</v>
      </c>
      <c r="AB242" s="20" t="n">
        <f aca="false">CORREL($F$218:$F$263,$K$218:$K$263)</f>
        <v>-0.0952380952380953</v>
      </c>
      <c r="AC242" s="20" t="n">
        <f aca="false">CORREL($G$218:$G$263,$K$218:$K$263)</f>
        <v>-0.0952380952380953</v>
      </c>
      <c r="AD242" s="20" t="n">
        <f aca="false">CORREL($H$218:$H$263,$K$218:$K$263)</f>
        <v>-0.0952380952380953</v>
      </c>
      <c r="AE242" s="20" t="n">
        <f aca="false">CORREL($I$218:$I$263,$K$218:$K$263)</f>
        <v>-0.0952380952380953</v>
      </c>
      <c r="AF242" s="20" t="n">
        <f aca="false">CORREL($J$218:$J$263,$K$218:$K$263)</f>
        <v>-0.0952380952380953</v>
      </c>
      <c r="AG242" s="20" t="n">
        <f aca="false">CORREL($K$218:$K$263,$K$218:$K$263)</f>
        <v>1</v>
      </c>
      <c r="AH242" s="20" t="n">
        <f aca="false">CORREL($L$218:$L$263,$K$218:$K$263)</f>
        <v>-0.0952380952380953</v>
      </c>
      <c r="AI242" s="20" t="n">
        <f aca="false">CORREL($M$218:$M$263,$K$218:$K$263)</f>
        <v>-0.0952380952380953</v>
      </c>
      <c r="AJ242" s="20" t="n">
        <f aca="false">CORREL($N$218:$N$263,$K$218:$K$263)</f>
        <v>-0.0952380952380953</v>
      </c>
    </row>
    <row r="243" customFormat="false" ht="15" hidden="false" customHeight="false" outlineLevel="0" collapsed="false">
      <c r="A243" s="11" t="n">
        <f aca="false">Data_Monthly!A30</f>
        <v>45065</v>
      </c>
      <c r="B243" s="12" t="n">
        <f aca="false">AVERAGE(Data_Monthly!B30:C30)-AVERAGE(Data_Monthly!D30:E30)</f>
        <v>0.39495699636074</v>
      </c>
      <c r="C243" s="13" t="n">
        <f aca="false">IF($A243&gt;=$U$216,1,0)</f>
        <v>0</v>
      </c>
      <c r="D243" s="13" t="n">
        <f aca="false">IF(MONTH($A243)=2,1,0)</f>
        <v>0</v>
      </c>
      <c r="E243" s="13" t="n">
        <f aca="false">IF(MONTH($A243)=3,1,0)</f>
        <v>0</v>
      </c>
      <c r="F243" s="13" t="n">
        <f aca="false">IF(MONTH($A243)=4,1,0)</f>
        <v>0</v>
      </c>
      <c r="G243" s="13" t="n">
        <f aca="false">IF(MONTH($A243)=5,1,0)</f>
        <v>1</v>
      </c>
      <c r="H243" s="13" t="n">
        <f aca="false">IF(MONTH($A243)=6,1,0)</f>
        <v>0</v>
      </c>
      <c r="I243" s="13" t="n">
        <f aca="false">IF(MONTH($A243)=7,1,0)</f>
        <v>0</v>
      </c>
      <c r="J243" s="13" t="n">
        <f aca="false">IF(MONTH($A243)=8,1,0)</f>
        <v>0</v>
      </c>
      <c r="K243" s="13" t="n">
        <f aca="false">IF(MONTH($A243)=9,1,0)</f>
        <v>0</v>
      </c>
      <c r="L243" s="13" t="n">
        <f aca="false">IF(MONTH($A243)=10,1,0)</f>
        <v>0</v>
      </c>
      <c r="M243" s="13" t="n">
        <f aca="false">IF(MONTH($A243)=11,1,0)</f>
        <v>0</v>
      </c>
      <c r="N243" s="13" t="n">
        <f aca="false">IF(MONTH($A243)=12,1,0)</f>
        <v>0</v>
      </c>
      <c r="O243" s="7" t="n">
        <f aca="false">$B$216+SUMPRODUCT(C243:N243,$C$216:$N$216)</f>
        <v>-0.205664983184815</v>
      </c>
      <c r="P243" s="7" t="n">
        <f aca="false">B243-O243</f>
        <v>0.600621979545556</v>
      </c>
      <c r="Q243" s="7" t="n">
        <f aca="false">P243^2</f>
        <v>0.360746762313222</v>
      </c>
      <c r="T243" s="5" t="s">
        <v>121</v>
      </c>
      <c r="U243" s="13" t="n">
        <f aca="false">COLUMNS(C218:N263)</f>
        <v>12</v>
      </c>
      <c r="X243" s="6" t="s">
        <v>77</v>
      </c>
      <c r="Y243" s="20" t="n">
        <f aca="false">CORREL($C$218:$C$263,$L$218:$L$263)</f>
        <v>-0.0364507402199878</v>
      </c>
      <c r="Z243" s="20" t="n">
        <f aca="false">CORREL($D$218:$D$263,$L$218:$L$263)</f>
        <v>-0.0815139145939222</v>
      </c>
      <c r="AA243" s="20" t="n">
        <f aca="false">CORREL($E$218:$E$263,$L$218:$L$263)</f>
        <v>-0.0815139145939222</v>
      </c>
      <c r="AB243" s="20" t="n">
        <f aca="false">CORREL($F$218:$F$263,$L$218:$L$263)</f>
        <v>-0.0952380952380953</v>
      </c>
      <c r="AC243" s="20" t="n">
        <f aca="false">CORREL($G$218:$G$263,$L$218:$L$263)</f>
        <v>-0.0952380952380953</v>
      </c>
      <c r="AD243" s="20" t="n">
        <f aca="false">CORREL($H$218:$H$263,$L$218:$L$263)</f>
        <v>-0.0952380952380953</v>
      </c>
      <c r="AE243" s="20" t="n">
        <f aca="false">CORREL($I$218:$I$263,$L$218:$L$263)</f>
        <v>-0.0952380952380953</v>
      </c>
      <c r="AF243" s="20" t="n">
        <f aca="false">CORREL($J$218:$J$263,$L$218:$L$263)</f>
        <v>-0.0952380952380953</v>
      </c>
      <c r="AG243" s="20" t="n">
        <f aca="false">CORREL($K$218:$K$263,$L$218:$L$263)</f>
        <v>-0.0952380952380953</v>
      </c>
      <c r="AH243" s="20" t="n">
        <f aca="false">CORREL($L$218:$L$263,$L$218:$L$263)</f>
        <v>1</v>
      </c>
      <c r="AI243" s="20" t="n">
        <f aca="false">CORREL($M$218:$M$263,$L$218:$L$263)</f>
        <v>-0.0952380952380953</v>
      </c>
      <c r="AJ243" s="20" t="n">
        <f aca="false">CORREL($N$218:$N$263,$L$218:$L$263)</f>
        <v>-0.0952380952380953</v>
      </c>
    </row>
    <row r="244" customFormat="false" ht="15" hidden="false" customHeight="false" outlineLevel="0" collapsed="false">
      <c r="A244" s="11" t="n">
        <f aca="false">Data_Monthly!A31</f>
        <v>45107</v>
      </c>
      <c r="B244" s="12" t="n">
        <f aca="false">AVERAGE(Data_Monthly!B31:C31)-AVERAGE(Data_Monthly!D31:E31)</f>
        <v>1.35431195624429</v>
      </c>
      <c r="C244" s="13" t="n">
        <f aca="false">IF($A244&gt;=$U$216,1,0)</f>
        <v>0</v>
      </c>
      <c r="D244" s="13" t="n">
        <f aca="false">IF(MONTH($A244)=2,1,0)</f>
        <v>0</v>
      </c>
      <c r="E244" s="13" t="n">
        <f aca="false">IF(MONTH($A244)=3,1,0)</f>
        <v>0</v>
      </c>
      <c r="F244" s="13" t="n">
        <f aca="false">IF(MONTH($A244)=4,1,0)</f>
        <v>0</v>
      </c>
      <c r="G244" s="13" t="n">
        <f aca="false">IF(MONTH($A244)=5,1,0)</f>
        <v>0</v>
      </c>
      <c r="H244" s="13" t="n">
        <f aca="false">IF(MONTH($A244)=6,1,0)</f>
        <v>1</v>
      </c>
      <c r="I244" s="13" t="n">
        <f aca="false">IF(MONTH($A244)=7,1,0)</f>
        <v>0</v>
      </c>
      <c r="J244" s="13" t="n">
        <f aca="false">IF(MONTH($A244)=8,1,0)</f>
        <v>0</v>
      </c>
      <c r="K244" s="13" t="n">
        <f aca="false">IF(MONTH($A244)=9,1,0)</f>
        <v>0</v>
      </c>
      <c r="L244" s="13" t="n">
        <f aca="false">IF(MONTH($A244)=10,1,0)</f>
        <v>0</v>
      </c>
      <c r="M244" s="13" t="n">
        <f aca="false">IF(MONTH($A244)=11,1,0)</f>
        <v>0</v>
      </c>
      <c r="N244" s="13" t="n">
        <f aca="false">IF(MONTH($A244)=12,1,0)</f>
        <v>0</v>
      </c>
      <c r="O244" s="7" t="n">
        <f aca="false">$B$216+SUMPRODUCT(C244:N244,$C$216:$N$216)</f>
        <v>0.112980080227111</v>
      </c>
      <c r="P244" s="7" t="n">
        <f aca="false">B244-O244</f>
        <v>1.24133187601718</v>
      </c>
      <c r="Q244" s="7" t="n">
        <f aca="false">P244^2</f>
        <v>1.54090482641633</v>
      </c>
      <c r="T244" s="5" t="s">
        <v>111</v>
      </c>
      <c r="U244" s="13" t="n">
        <f aca="false">$U$236</f>
        <v>33</v>
      </c>
      <c r="X244" s="6" t="s">
        <v>78</v>
      </c>
      <c r="Y244" s="20" t="n">
        <f aca="false">CORREL($C$218:$C$263,$M$218:$M$263)</f>
        <v>-0.0364507402199878</v>
      </c>
      <c r="Z244" s="20" t="n">
        <f aca="false">CORREL($D$218:$D$263,$M$218:$M$263)</f>
        <v>-0.0815139145939222</v>
      </c>
      <c r="AA244" s="20" t="n">
        <f aca="false">CORREL($E$218:$E$263,$M$218:$M$263)</f>
        <v>-0.0815139145939222</v>
      </c>
      <c r="AB244" s="20" t="n">
        <f aca="false">CORREL($F$218:$F$263,$M$218:$M$263)</f>
        <v>-0.0952380952380953</v>
      </c>
      <c r="AC244" s="20" t="n">
        <f aca="false">CORREL($G$218:$G$263,$M$218:$M$263)</f>
        <v>-0.0952380952380953</v>
      </c>
      <c r="AD244" s="20" t="n">
        <f aca="false">CORREL($H$218:$H$263,$M$218:$M$263)</f>
        <v>-0.0952380952380953</v>
      </c>
      <c r="AE244" s="20" t="n">
        <f aca="false">CORREL($I$218:$I$263,$M$218:$M$263)</f>
        <v>-0.0952380952380953</v>
      </c>
      <c r="AF244" s="20" t="n">
        <f aca="false">CORREL($J$218:$J$263,$M$218:$M$263)</f>
        <v>-0.0952380952380953</v>
      </c>
      <c r="AG244" s="20" t="n">
        <f aca="false">CORREL($K$218:$K$263,$M$218:$M$263)</f>
        <v>-0.0952380952380953</v>
      </c>
      <c r="AH244" s="20" t="n">
        <f aca="false">CORREL($L$218:$L$263,$M$218:$M$263)</f>
        <v>-0.0952380952380953</v>
      </c>
      <c r="AI244" s="20" t="n">
        <f aca="false">CORREL($M$218:$M$263,$M$218:$M$263)</f>
        <v>1</v>
      </c>
      <c r="AJ244" s="20" t="n">
        <f aca="false">CORREL($N$218:$N$263,$M$218:$M$263)</f>
        <v>-0.0952380952380953</v>
      </c>
    </row>
    <row r="245" customFormat="false" ht="15" hidden="false" customHeight="false" outlineLevel="0" collapsed="false">
      <c r="A245" s="11" t="n">
        <f aca="false">Data_Monthly!A32</f>
        <v>45135</v>
      </c>
      <c r="B245" s="12" t="n">
        <f aca="false">AVERAGE(Data_Monthly!B32:C32)-AVERAGE(Data_Monthly!D32:E32)</f>
        <v>0.907269567446889</v>
      </c>
      <c r="C245" s="13" t="n">
        <f aca="false">IF($A245&gt;=$U$216,1,0)</f>
        <v>0</v>
      </c>
      <c r="D245" s="13" t="n">
        <f aca="false">IF(MONTH($A245)=2,1,0)</f>
        <v>0</v>
      </c>
      <c r="E245" s="13" t="n">
        <f aca="false">IF(MONTH($A245)=3,1,0)</f>
        <v>0</v>
      </c>
      <c r="F245" s="13" t="n">
        <f aca="false">IF(MONTH($A245)=4,1,0)</f>
        <v>0</v>
      </c>
      <c r="G245" s="13" t="n">
        <f aca="false">IF(MONTH($A245)=5,1,0)</f>
        <v>0</v>
      </c>
      <c r="H245" s="13" t="n">
        <f aca="false">IF(MONTH($A245)=6,1,0)</f>
        <v>0</v>
      </c>
      <c r="I245" s="13" t="n">
        <f aca="false">IF(MONTH($A245)=7,1,0)</f>
        <v>1</v>
      </c>
      <c r="J245" s="13" t="n">
        <f aca="false">IF(MONTH($A245)=8,1,0)</f>
        <v>0</v>
      </c>
      <c r="K245" s="13" t="n">
        <f aca="false">IF(MONTH($A245)=9,1,0)</f>
        <v>0</v>
      </c>
      <c r="L245" s="13" t="n">
        <f aca="false">IF(MONTH($A245)=10,1,0)</f>
        <v>0</v>
      </c>
      <c r="M245" s="13" t="n">
        <f aca="false">IF(MONTH($A245)=11,1,0)</f>
        <v>0</v>
      </c>
      <c r="N245" s="13" t="n">
        <f aca="false">IF(MONTH($A245)=12,1,0)</f>
        <v>0</v>
      </c>
      <c r="O245" s="7" t="n">
        <f aca="false">$B$216+SUMPRODUCT(C245:N245,$C$216:$N$216)</f>
        <v>2.01763679775835</v>
      </c>
      <c r="P245" s="7" t="n">
        <f aca="false">B245-O245</f>
        <v>-1.11036723031146</v>
      </c>
      <c r="Q245" s="7" t="n">
        <f aca="false">P245^2</f>
        <v>1.23291538614955</v>
      </c>
      <c r="T245" s="5" t="s">
        <v>122</v>
      </c>
      <c r="U245" s="7" t="n">
        <f aca="false">$U$241/$U$243</f>
        <v>4.23100110526316</v>
      </c>
      <c r="X245" s="6" t="s">
        <v>79</v>
      </c>
      <c r="Y245" s="20" t="n">
        <f aca="false">CORREL($C$218:$C$263,$N$218:$N$263)</f>
        <v>0.131222664791956</v>
      </c>
      <c r="Z245" s="20" t="n">
        <f aca="false">CORREL($D$218:$D$263,$N$218:$N$263)</f>
        <v>-0.0815139145939222</v>
      </c>
      <c r="AA245" s="20" t="n">
        <f aca="false">CORREL($E$218:$E$263,$N$218:$N$263)</f>
        <v>-0.0815139145939222</v>
      </c>
      <c r="AB245" s="20" t="n">
        <f aca="false">CORREL($F$218:$F$263,$N$218:$N$263)</f>
        <v>-0.0952380952380953</v>
      </c>
      <c r="AC245" s="20" t="n">
        <f aca="false">CORREL($G$218:$G$263,$N$218:$N$263)</f>
        <v>-0.0952380952380953</v>
      </c>
      <c r="AD245" s="20" t="n">
        <f aca="false">CORREL($H$218:$H$263,$N$218:$N$263)</f>
        <v>-0.0952380952380953</v>
      </c>
      <c r="AE245" s="20" t="n">
        <f aca="false">CORREL($I$218:$I$263,$N$218:$N$263)</f>
        <v>-0.0952380952380953</v>
      </c>
      <c r="AF245" s="20" t="n">
        <f aca="false">CORREL($J$218:$J$263,$N$218:$N$263)</f>
        <v>-0.0952380952380953</v>
      </c>
      <c r="AG245" s="20" t="n">
        <f aca="false">CORREL($K$218:$K$263,$N$218:$N$263)</f>
        <v>-0.0952380952380953</v>
      </c>
      <c r="AH245" s="20" t="n">
        <f aca="false">CORREL($L$218:$L$263,$N$218:$N$263)</f>
        <v>-0.0952380952380953</v>
      </c>
      <c r="AI245" s="20" t="n">
        <f aca="false">CORREL($M$218:$M$263,$N$218:$N$263)</f>
        <v>-0.0952380952380953</v>
      </c>
      <c r="AJ245" s="20" t="n">
        <f aca="false">CORREL($N$218:$N$263,$N$218:$N$263)</f>
        <v>1</v>
      </c>
    </row>
    <row r="246" customFormat="false" ht="15" hidden="false" customHeight="false" outlineLevel="0" collapsed="false">
      <c r="A246" s="11" t="n">
        <f aca="false">Data_Monthly!A33</f>
        <v>45163</v>
      </c>
      <c r="B246" s="12" t="n">
        <f aca="false">AVERAGE(Data_Monthly!B33:C33)-AVERAGE(Data_Monthly!D33:E33)</f>
        <v>0.348044223205956</v>
      </c>
      <c r="C246" s="13" t="n">
        <f aca="false">IF($A246&gt;=$U$216,1,0)</f>
        <v>0</v>
      </c>
      <c r="D246" s="13" t="n">
        <f aca="false">IF(MONTH($A246)=2,1,0)</f>
        <v>0</v>
      </c>
      <c r="E246" s="13" t="n">
        <f aca="false">IF(MONTH($A246)=3,1,0)</f>
        <v>0</v>
      </c>
      <c r="F246" s="13" t="n">
        <f aca="false">IF(MONTH($A246)=4,1,0)</f>
        <v>0</v>
      </c>
      <c r="G246" s="13" t="n">
        <f aca="false">IF(MONTH($A246)=5,1,0)</f>
        <v>0</v>
      </c>
      <c r="H246" s="13" t="n">
        <f aca="false">IF(MONTH($A246)=6,1,0)</f>
        <v>0</v>
      </c>
      <c r="I246" s="13" t="n">
        <f aca="false">IF(MONTH($A246)=7,1,0)</f>
        <v>0</v>
      </c>
      <c r="J246" s="13" t="n">
        <f aca="false">IF(MONTH($A246)=8,1,0)</f>
        <v>1</v>
      </c>
      <c r="K246" s="13" t="n">
        <f aca="false">IF(MONTH($A246)=9,1,0)</f>
        <v>0</v>
      </c>
      <c r="L246" s="13" t="n">
        <f aca="false">IF(MONTH($A246)=10,1,0)</f>
        <v>0</v>
      </c>
      <c r="M246" s="13" t="n">
        <f aca="false">IF(MONTH($A246)=11,1,0)</f>
        <v>0</v>
      </c>
      <c r="N246" s="13" t="n">
        <f aca="false">IF(MONTH($A246)=12,1,0)</f>
        <v>0</v>
      </c>
      <c r="O246" s="7" t="n">
        <f aca="false">$B$216+SUMPRODUCT(C246:N246,$C$216:$N$216)</f>
        <v>0.807307105991441</v>
      </c>
      <c r="P246" s="7" t="n">
        <f aca="false">B246-O246</f>
        <v>-0.459262882785485</v>
      </c>
      <c r="Q246" s="7" t="n">
        <f aca="false">P246^2</f>
        <v>0.210922395504434</v>
      </c>
      <c r="T246" s="5" t="s">
        <v>123</v>
      </c>
      <c r="U246" s="7" t="n">
        <f aca="false">$U$242/$U$244</f>
        <v>1.66578290552185</v>
      </c>
    </row>
    <row r="247" customFormat="false" ht="15" hidden="false" customHeight="false" outlineLevel="0" collapsed="false">
      <c r="A247" s="11" t="n">
        <f aca="false">Data_Monthly!A34</f>
        <v>45191</v>
      </c>
      <c r="B247" s="12" t="n">
        <f aca="false">AVERAGE(Data_Monthly!B34:C34)-AVERAGE(Data_Monthly!D34:E34)</f>
        <v>-0.415207439202003</v>
      </c>
      <c r="C247" s="13" t="n">
        <f aca="false">IF($A247&gt;=$U$216,1,0)</f>
        <v>0</v>
      </c>
      <c r="D247" s="13" t="n">
        <f aca="false">IF(MONTH($A247)=2,1,0)</f>
        <v>0</v>
      </c>
      <c r="E247" s="13" t="n">
        <f aca="false">IF(MONTH($A247)=3,1,0)</f>
        <v>0</v>
      </c>
      <c r="F247" s="13" t="n">
        <f aca="false">IF(MONTH($A247)=4,1,0)</f>
        <v>0</v>
      </c>
      <c r="G247" s="13" t="n">
        <f aca="false">IF(MONTH($A247)=5,1,0)</f>
        <v>0</v>
      </c>
      <c r="H247" s="13" t="n">
        <f aca="false">IF(MONTH($A247)=6,1,0)</f>
        <v>0</v>
      </c>
      <c r="I247" s="13" t="n">
        <f aca="false">IF(MONTH($A247)=7,1,0)</f>
        <v>0</v>
      </c>
      <c r="J247" s="13" t="n">
        <f aca="false">IF(MONTH($A247)=8,1,0)</f>
        <v>0</v>
      </c>
      <c r="K247" s="13" t="n">
        <f aca="false">IF(MONTH($A247)=9,1,0)</f>
        <v>1</v>
      </c>
      <c r="L247" s="13" t="n">
        <f aca="false">IF(MONTH($A247)=10,1,0)</f>
        <v>0</v>
      </c>
      <c r="M247" s="13" t="n">
        <f aca="false">IF(MONTH($A247)=11,1,0)</f>
        <v>0</v>
      </c>
      <c r="N247" s="13" t="n">
        <f aca="false">IF(MONTH($A247)=12,1,0)</f>
        <v>0</v>
      </c>
      <c r="O247" s="7" t="n">
        <f aca="false">$B$216+SUMPRODUCT(C247:N247,$C$216:$N$216)</f>
        <v>-0.462146307998055</v>
      </c>
      <c r="P247" s="7" t="n">
        <f aca="false">B247-O247</f>
        <v>0.0469388687960515</v>
      </c>
      <c r="Q247" s="7" t="n">
        <f aca="false">P247^2</f>
        <v>0.00220325740385293</v>
      </c>
      <c r="T247" s="5" t="s">
        <v>124</v>
      </c>
      <c r="U247" s="7" t="n">
        <f aca="false">INDEX(LINEST(B218:B263,C218:N263,TRUE(),TRUE()),4,1)</f>
        <v>2.53994748729738</v>
      </c>
    </row>
    <row r="248" customFormat="false" ht="15" hidden="false" customHeight="false" outlineLevel="0" collapsed="false">
      <c r="A248" s="11" t="n">
        <f aca="false">Data_Monthly!A35</f>
        <v>45219</v>
      </c>
      <c r="B248" s="12" t="n">
        <f aca="false">AVERAGE(Data_Monthly!B35:C35)-AVERAGE(Data_Monthly!D35:E35)</f>
        <v>4.0334868234309</v>
      </c>
      <c r="C248" s="13" t="n">
        <f aca="false">IF($A248&gt;=$U$216,1,0)</f>
        <v>0</v>
      </c>
      <c r="D248" s="13" t="n">
        <f aca="false">IF(MONTH($A248)=2,1,0)</f>
        <v>0</v>
      </c>
      <c r="E248" s="13" t="n">
        <f aca="false">IF(MONTH($A248)=3,1,0)</f>
        <v>0</v>
      </c>
      <c r="F248" s="13" t="n">
        <f aca="false">IF(MONTH($A248)=4,1,0)</f>
        <v>0</v>
      </c>
      <c r="G248" s="13" t="n">
        <f aca="false">IF(MONTH($A248)=5,1,0)</f>
        <v>0</v>
      </c>
      <c r="H248" s="13" t="n">
        <f aca="false">IF(MONTH($A248)=6,1,0)</f>
        <v>0</v>
      </c>
      <c r="I248" s="13" t="n">
        <f aca="false">IF(MONTH($A248)=7,1,0)</f>
        <v>0</v>
      </c>
      <c r="J248" s="13" t="n">
        <f aca="false">IF(MONTH($A248)=8,1,0)</f>
        <v>0</v>
      </c>
      <c r="K248" s="13" t="n">
        <f aca="false">IF(MONTH($A248)=9,1,0)</f>
        <v>0</v>
      </c>
      <c r="L248" s="13" t="n">
        <f aca="false">IF(MONTH($A248)=10,1,0)</f>
        <v>1</v>
      </c>
      <c r="M248" s="13" t="n">
        <f aca="false">IF(MONTH($A248)=11,1,0)</f>
        <v>0</v>
      </c>
      <c r="N248" s="13" t="n">
        <f aca="false">IF(MONTH($A248)=12,1,0)</f>
        <v>0</v>
      </c>
      <c r="O248" s="7" t="n">
        <f aca="false">$B$216+SUMPRODUCT(C248:N248,$C$216:$N$216)</f>
        <v>2.85816008143121</v>
      </c>
      <c r="P248" s="7" t="n">
        <f aca="false">B248-O248</f>
        <v>1.17532674199969</v>
      </c>
      <c r="Q248" s="7" t="n">
        <f aca="false">P248^2</f>
        <v>1.38139295045961</v>
      </c>
      <c r="T248" s="5" t="s">
        <v>125</v>
      </c>
      <c r="U248" s="7" t="n">
        <f aca="false">_xlfn.F.DIST.RT($U$247,$U$243,$U$244)</f>
        <v>0.0169351183560004</v>
      </c>
    </row>
    <row r="249" customFormat="false" ht="15" hidden="false" customHeight="false" outlineLevel="0" collapsed="false">
      <c r="A249" s="11" t="n">
        <f aca="false">Data_Monthly!A36</f>
        <v>45247</v>
      </c>
      <c r="B249" s="12" t="n">
        <f aca="false">AVERAGE(Data_Monthly!B36:C36)-AVERAGE(Data_Monthly!D36:E36)</f>
        <v>-0.568705105896861</v>
      </c>
      <c r="C249" s="13" t="n">
        <f aca="false">IF($A249&gt;=$U$216,1,0)</f>
        <v>0</v>
      </c>
      <c r="D249" s="13" t="n">
        <f aca="false">IF(MONTH($A249)=2,1,0)</f>
        <v>0</v>
      </c>
      <c r="E249" s="13" t="n">
        <f aca="false">IF(MONTH($A249)=3,1,0)</f>
        <v>0</v>
      </c>
      <c r="F249" s="13" t="n">
        <f aca="false">IF(MONTH($A249)=4,1,0)</f>
        <v>0</v>
      </c>
      <c r="G249" s="13" t="n">
        <f aca="false">IF(MONTH($A249)=5,1,0)</f>
        <v>0</v>
      </c>
      <c r="H249" s="13" t="n">
        <f aca="false">IF(MONTH($A249)=6,1,0)</f>
        <v>0</v>
      </c>
      <c r="I249" s="13" t="n">
        <f aca="false">IF(MONTH($A249)=7,1,0)</f>
        <v>0</v>
      </c>
      <c r="J249" s="13" t="n">
        <f aca="false">IF(MONTH($A249)=8,1,0)</f>
        <v>0</v>
      </c>
      <c r="K249" s="13" t="n">
        <f aca="false">IF(MONTH($A249)=9,1,0)</f>
        <v>0</v>
      </c>
      <c r="L249" s="13" t="n">
        <f aca="false">IF(MONTH($A249)=10,1,0)</f>
        <v>0</v>
      </c>
      <c r="M249" s="13" t="n">
        <f aca="false">IF(MONTH($A249)=11,1,0)</f>
        <v>1</v>
      </c>
      <c r="N249" s="13" t="n">
        <f aca="false">IF(MONTH($A249)=12,1,0)</f>
        <v>0</v>
      </c>
      <c r="O249" s="7" t="n">
        <f aca="false">$B$216+SUMPRODUCT(C249:N249,$C$216:$N$216)</f>
        <v>-0.368245672351762</v>
      </c>
      <c r="P249" s="7" t="n">
        <f aca="false">B249-O249</f>
        <v>-0.200459433545099</v>
      </c>
      <c r="Q249" s="7" t="n">
        <f aca="false">P249^2</f>
        <v>0.0401839844972218</v>
      </c>
    </row>
    <row r="250" customFormat="false" ht="15" hidden="false" customHeight="false" outlineLevel="0" collapsed="false">
      <c r="A250" s="11" t="n">
        <f aca="false">Data_Monthly!A37</f>
        <v>45289</v>
      </c>
      <c r="B250" s="12" t="n">
        <f aca="false">AVERAGE(Data_Monthly!B37:C37)-AVERAGE(Data_Monthly!D37:E37)</f>
        <v>0.309676169283524</v>
      </c>
      <c r="C250" s="13" t="n">
        <f aca="false">IF($A250&gt;=$U$216,1,0)</f>
        <v>1</v>
      </c>
      <c r="D250" s="13" t="n">
        <f aca="false">IF(MONTH($A250)=2,1,0)</f>
        <v>0</v>
      </c>
      <c r="E250" s="13" t="n">
        <f aca="false">IF(MONTH($A250)=3,1,0)</f>
        <v>0</v>
      </c>
      <c r="F250" s="13" t="n">
        <f aca="false">IF(MONTH($A250)=4,1,0)</f>
        <v>0</v>
      </c>
      <c r="G250" s="13" t="n">
        <f aca="false">IF(MONTH($A250)=5,1,0)</f>
        <v>0</v>
      </c>
      <c r="H250" s="13" t="n">
        <f aca="false">IF(MONTH($A250)=6,1,0)</f>
        <v>0</v>
      </c>
      <c r="I250" s="13" t="n">
        <f aca="false">IF(MONTH($A250)=7,1,0)</f>
        <v>0</v>
      </c>
      <c r="J250" s="13" t="n">
        <f aca="false">IF(MONTH($A250)=8,1,0)</f>
        <v>0</v>
      </c>
      <c r="K250" s="13" t="n">
        <f aca="false">IF(MONTH($A250)=9,1,0)</f>
        <v>0</v>
      </c>
      <c r="L250" s="13" t="n">
        <f aca="false">IF(MONTH($A250)=10,1,0)</f>
        <v>0</v>
      </c>
      <c r="M250" s="13" t="n">
        <f aca="false">IF(MONTH($A250)=11,1,0)</f>
        <v>0</v>
      </c>
      <c r="N250" s="13" t="n">
        <f aca="false">IF(MONTH($A250)=12,1,0)</f>
        <v>1</v>
      </c>
      <c r="O250" s="7" t="n">
        <f aca="false">$B$216+SUMPRODUCT(C250:N250,$C$216:$N$216)</f>
        <v>-0.103065635542591</v>
      </c>
      <c r="P250" s="7" t="n">
        <f aca="false">B250-O250</f>
        <v>0.412741804826115</v>
      </c>
      <c r="Q250" s="7" t="n">
        <f aca="false">P250^2</f>
        <v>0.170355797451119</v>
      </c>
      <c r="T250" s="9" t="s">
        <v>126</v>
      </c>
      <c r="U250" s="14" t="s">
        <v>91</v>
      </c>
      <c r="V250" s="14" t="s">
        <v>92</v>
      </c>
    </row>
    <row r="251" customFormat="false" ht="15" hidden="false" customHeight="false" outlineLevel="0" collapsed="false">
      <c r="A251" s="11" t="n">
        <f aca="false">Data_Monthly!A38</f>
        <v>45317</v>
      </c>
      <c r="B251" s="12" t="n">
        <f aca="false">AVERAGE(Data_Monthly!B38:C38)-AVERAGE(Data_Monthly!D38:E38)</f>
        <v>1.3628597650527</v>
      </c>
      <c r="C251" s="13" t="n">
        <f aca="false">IF($A251&gt;=$U$216,1,0)</f>
        <v>1</v>
      </c>
      <c r="D251" s="13" t="n">
        <f aca="false">IF(MONTH($A251)=2,1,0)</f>
        <v>0</v>
      </c>
      <c r="E251" s="13" t="n">
        <f aca="false">IF(MONTH($A251)=3,1,0)</f>
        <v>0</v>
      </c>
      <c r="F251" s="13" t="n">
        <f aca="false">IF(MONTH($A251)=4,1,0)</f>
        <v>0</v>
      </c>
      <c r="G251" s="13" t="n">
        <f aca="false">IF(MONTH($A251)=5,1,0)</f>
        <v>0</v>
      </c>
      <c r="H251" s="13" t="n">
        <f aca="false">IF(MONTH($A251)=6,1,0)</f>
        <v>0</v>
      </c>
      <c r="I251" s="13" t="n">
        <f aca="false">IF(MONTH($A251)=7,1,0)</f>
        <v>0</v>
      </c>
      <c r="J251" s="13" t="n">
        <f aca="false">IF(MONTH($A251)=8,1,0)</f>
        <v>0</v>
      </c>
      <c r="K251" s="13" t="n">
        <f aca="false">IF(MONTH($A251)=9,1,0)</f>
        <v>0</v>
      </c>
      <c r="L251" s="13" t="n">
        <f aca="false">IF(MONTH($A251)=10,1,0)</f>
        <v>0</v>
      </c>
      <c r="M251" s="13" t="n">
        <f aca="false">IF(MONTH($A251)=11,1,0)</f>
        <v>0</v>
      </c>
      <c r="N251" s="13" t="n">
        <f aca="false">IF(MONTH($A251)=12,1,0)</f>
        <v>0</v>
      </c>
      <c r="O251" s="7" t="n">
        <f aca="false">$B$216+SUMPRODUCT(C251:N251,$C$216:$N$216)</f>
        <v>0.323391361428934</v>
      </c>
      <c r="P251" s="7" t="n">
        <f aca="false">B251-O251</f>
        <v>1.03946840362377</v>
      </c>
      <c r="Q251" s="7" t="n">
        <f aca="false">P251^2</f>
        <v>1.08049456213215</v>
      </c>
      <c r="T251" s="5" t="s">
        <v>109</v>
      </c>
      <c r="U251" s="7" t="n">
        <f aca="false">Y218</f>
        <v>-0.654323311397505</v>
      </c>
      <c r="V251" s="16" t="n">
        <v>-0.654323311397506</v>
      </c>
    </row>
    <row r="252" customFormat="false" ht="15" hidden="false" customHeight="false" outlineLevel="0" collapsed="false">
      <c r="A252" s="11" t="n">
        <f aca="false">Data_Monthly!A39</f>
        <v>45345</v>
      </c>
      <c r="B252" s="12" t="n">
        <f aca="false">AVERAGE(Data_Monthly!B39:C39)-AVERAGE(Data_Monthly!D39:E39)</f>
        <v>-0.46470080586003</v>
      </c>
      <c r="C252" s="13" t="n">
        <f aca="false">IF($A252&gt;=$U$216,1,0)</f>
        <v>1</v>
      </c>
      <c r="D252" s="13" t="n">
        <f aca="false">IF(MONTH($A252)=2,1,0)</f>
        <v>1</v>
      </c>
      <c r="E252" s="13" t="n">
        <f aca="false">IF(MONTH($A252)=3,1,0)</f>
        <v>0</v>
      </c>
      <c r="F252" s="13" t="n">
        <f aca="false">IF(MONTH($A252)=4,1,0)</f>
        <v>0</v>
      </c>
      <c r="G252" s="13" t="n">
        <f aca="false">IF(MONTH($A252)=5,1,0)</f>
        <v>0</v>
      </c>
      <c r="H252" s="13" t="n">
        <f aca="false">IF(MONTH($A252)=6,1,0)</f>
        <v>0</v>
      </c>
      <c r="I252" s="13" t="n">
        <f aca="false">IF(MONTH($A252)=7,1,0)</f>
        <v>0</v>
      </c>
      <c r="J252" s="13" t="n">
        <f aca="false">IF(MONTH($A252)=8,1,0)</f>
        <v>0</v>
      </c>
      <c r="K252" s="13" t="n">
        <f aca="false">IF(MONTH($A252)=9,1,0)</f>
        <v>0</v>
      </c>
      <c r="L252" s="13" t="n">
        <f aca="false">IF(MONTH($A252)=10,1,0)</f>
        <v>0</v>
      </c>
      <c r="M252" s="13" t="n">
        <f aca="false">IF(MONTH($A252)=11,1,0)</f>
        <v>0</v>
      </c>
      <c r="N252" s="13" t="n">
        <f aca="false">IF(MONTH($A252)=12,1,0)</f>
        <v>0</v>
      </c>
      <c r="O252" s="7" t="n">
        <f aca="false">$B$216+SUMPRODUCT(C252:N252,$C$216:$N$216)</f>
        <v>-0.406216502671998</v>
      </c>
      <c r="P252" s="7" t="n">
        <f aca="false">B252-O252</f>
        <v>-0.058484303188032</v>
      </c>
      <c r="Q252" s="7" t="n">
        <f aca="false">P252^2</f>
        <v>0.00342041371938965</v>
      </c>
      <c r="T252" s="5" t="s">
        <v>110</v>
      </c>
      <c r="U252" s="7" t="n">
        <f aca="false">Z218</f>
        <v>0.422465075334449</v>
      </c>
    </row>
    <row r="253" customFormat="false" ht="15" hidden="false" customHeight="false" outlineLevel="0" collapsed="false">
      <c r="A253" s="11" t="n">
        <f aca="false">Data_Monthly!A40</f>
        <v>45373</v>
      </c>
      <c r="B253" s="12" t="n">
        <f aca="false">AVERAGE(Data_Monthly!B40:C40)-AVERAGE(Data_Monthly!D40:E40)</f>
        <v>-1.20502525074082</v>
      </c>
      <c r="C253" s="13" t="n">
        <f aca="false">IF($A253&gt;=$U$216,1,0)</f>
        <v>1</v>
      </c>
      <c r="D253" s="13" t="n">
        <f aca="false">IF(MONTH($A253)=2,1,0)</f>
        <v>0</v>
      </c>
      <c r="E253" s="13" t="n">
        <f aca="false">IF(MONTH($A253)=3,1,0)</f>
        <v>1</v>
      </c>
      <c r="F253" s="13" t="n">
        <f aca="false">IF(MONTH($A253)=4,1,0)</f>
        <v>0</v>
      </c>
      <c r="G253" s="13" t="n">
        <f aca="false">IF(MONTH($A253)=5,1,0)</f>
        <v>0</v>
      </c>
      <c r="H253" s="13" t="n">
        <f aca="false">IF(MONTH($A253)=6,1,0)</f>
        <v>0</v>
      </c>
      <c r="I253" s="13" t="n">
        <f aca="false">IF(MONTH($A253)=7,1,0)</f>
        <v>0</v>
      </c>
      <c r="J253" s="13" t="n">
        <f aca="false">IF(MONTH($A253)=8,1,0)</f>
        <v>0</v>
      </c>
      <c r="K253" s="13" t="n">
        <f aca="false">IF(MONTH($A253)=9,1,0)</f>
        <v>0</v>
      </c>
      <c r="L253" s="13" t="n">
        <f aca="false">IF(MONTH($A253)=10,1,0)</f>
        <v>0</v>
      </c>
      <c r="M253" s="13" t="n">
        <f aca="false">IF(MONTH($A253)=11,1,0)</f>
        <v>0</v>
      </c>
      <c r="N253" s="13" t="n">
        <f aca="false">IF(MONTH($A253)=12,1,0)</f>
        <v>0</v>
      </c>
      <c r="O253" s="7" t="n">
        <f aca="false">$B$216+SUMPRODUCT(C253:N253,$C$216:$N$216)</f>
        <v>0.881638134553267</v>
      </c>
      <c r="P253" s="7" t="n">
        <f aca="false">B253-O253</f>
        <v>-2.08666338529409</v>
      </c>
      <c r="Q253" s="7" t="n">
        <f aca="false">P253^2</f>
        <v>4.35416408352698</v>
      </c>
      <c r="T253" s="5" t="s">
        <v>102</v>
      </c>
      <c r="U253" s="7" t="n">
        <f aca="false">AA218</f>
        <v>-1.54882225679721</v>
      </c>
    </row>
    <row r="254" customFormat="false" ht="15" hidden="false" customHeight="false" outlineLevel="0" collapsed="false">
      <c r="A254" s="11" t="n">
        <f aca="false">Data_Monthly!A41</f>
        <v>45401</v>
      </c>
      <c r="B254" s="12" t="n">
        <f aca="false">AVERAGE(Data_Monthly!B41:C41)-AVERAGE(Data_Monthly!D41:E41)</f>
        <v>-0.877747275981555</v>
      </c>
      <c r="C254" s="13" t="n">
        <f aca="false">IF($A254&gt;=$U$216,1,0)</f>
        <v>1</v>
      </c>
      <c r="D254" s="13" t="n">
        <f aca="false">IF(MONTH($A254)=2,1,0)</f>
        <v>0</v>
      </c>
      <c r="E254" s="13" t="n">
        <f aca="false">IF(MONTH($A254)=3,1,0)</f>
        <v>0</v>
      </c>
      <c r="F254" s="13" t="n">
        <f aca="false">IF(MONTH($A254)=4,1,0)</f>
        <v>1</v>
      </c>
      <c r="G254" s="13" t="n">
        <f aca="false">IF(MONTH($A254)=5,1,0)</f>
        <v>0</v>
      </c>
      <c r="H254" s="13" t="n">
        <f aca="false">IF(MONTH($A254)=6,1,0)</f>
        <v>0</v>
      </c>
      <c r="I254" s="13" t="n">
        <f aca="false">IF(MONTH($A254)=7,1,0)</f>
        <v>0</v>
      </c>
      <c r="J254" s="13" t="n">
        <f aca="false">IF(MONTH($A254)=8,1,0)</f>
        <v>0</v>
      </c>
      <c r="K254" s="13" t="n">
        <f aca="false">IF(MONTH($A254)=9,1,0)</f>
        <v>0</v>
      </c>
      <c r="L254" s="13" t="n">
        <f aca="false">IF(MONTH($A254)=10,1,0)</f>
        <v>0</v>
      </c>
      <c r="M254" s="13" t="n">
        <f aca="false">IF(MONTH($A254)=11,1,0)</f>
        <v>0</v>
      </c>
      <c r="N254" s="13" t="n">
        <f aca="false">IF(MONTH($A254)=12,1,0)</f>
        <v>0</v>
      </c>
      <c r="O254" s="7" t="n">
        <f aca="false">$B$216+SUMPRODUCT(C254:N254,$C$216:$N$216)</f>
        <v>-0.944643875940693</v>
      </c>
      <c r="P254" s="7" t="n">
        <f aca="false">B254-O254</f>
        <v>0.0668965999591376</v>
      </c>
      <c r="Q254" s="7" t="n">
        <f aca="false">P254^2</f>
        <v>0.00447515508609288</v>
      </c>
      <c r="T254" s="5" t="s">
        <v>88</v>
      </c>
      <c r="U254" s="7" t="n">
        <f aca="false">AB218</f>
        <v>0.130962529846508</v>
      </c>
      <c r="V254" s="16" t="n">
        <v>0.130962529846509</v>
      </c>
    </row>
    <row r="255" customFormat="false" ht="15" hidden="false" customHeight="false" outlineLevel="0" collapsed="false">
      <c r="A255" s="11" t="n">
        <f aca="false">Data_Monthly!A42</f>
        <v>45443</v>
      </c>
      <c r="B255" s="12" t="n">
        <f aca="false">AVERAGE(Data_Monthly!B42:C42)-AVERAGE(Data_Monthly!D42:E42)</f>
        <v>0.826125362036212</v>
      </c>
      <c r="C255" s="13" t="n">
        <f aca="false">IF($A255&gt;=$U$216,1,0)</f>
        <v>1</v>
      </c>
      <c r="D255" s="13" t="n">
        <f aca="false">IF(MONTH($A255)=2,1,0)</f>
        <v>0</v>
      </c>
      <c r="E255" s="13" t="n">
        <f aca="false">IF(MONTH($A255)=3,1,0)</f>
        <v>0</v>
      </c>
      <c r="F255" s="13" t="n">
        <f aca="false">IF(MONTH($A255)=4,1,0)</f>
        <v>0</v>
      </c>
      <c r="G255" s="13" t="n">
        <f aca="false">IF(MONTH($A255)=5,1,0)</f>
        <v>1</v>
      </c>
      <c r="H255" s="13" t="n">
        <f aca="false">IF(MONTH($A255)=6,1,0)</f>
        <v>0</v>
      </c>
      <c r="I255" s="13" t="n">
        <f aca="false">IF(MONTH($A255)=7,1,0)</f>
        <v>0</v>
      </c>
      <c r="J255" s="13" t="n">
        <f aca="false">IF(MONTH($A255)=8,1,0)</f>
        <v>0</v>
      </c>
      <c r="K255" s="13" t="n">
        <f aca="false">IF(MONTH($A255)=9,1,0)</f>
        <v>0</v>
      </c>
      <c r="L255" s="13" t="n">
        <f aca="false">IF(MONTH($A255)=10,1,0)</f>
        <v>0</v>
      </c>
      <c r="M255" s="13" t="n">
        <f aca="false">IF(MONTH($A255)=11,1,0)</f>
        <v>0</v>
      </c>
      <c r="N255" s="13" t="n">
        <f aca="false">IF(MONTH($A255)=12,1,0)</f>
        <v>0</v>
      </c>
      <c r="O255" s="7" t="n">
        <f aca="false">$B$216+SUMPRODUCT(C255:N255,$C$216:$N$216)</f>
        <v>-0.85998829458232</v>
      </c>
      <c r="P255" s="7" t="n">
        <f aca="false">B255-O255</f>
        <v>1.68611365661853</v>
      </c>
      <c r="Q255" s="7" t="n">
        <f aca="false">P255^2</f>
        <v>2.84297926303552</v>
      </c>
    </row>
    <row r="256" customFormat="false" ht="15" hidden="false" customHeight="false" outlineLevel="0" collapsed="false">
      <c r="A256" s="11" t="n">
        <f aca="false">Data_Monthly!A43</f>
        <v>45471</v>
      </c>
      <c r="B256" s="12" t="n">
        <f aca="false">AVERAGE(Data_Monthly!B43:C43)-AVERAGE(Data_Monthly!D43:E43)</f>
        <v>0.420388292130092</v>
      </c>
      <c r="C256" s="13" t="n">
        <f aca="false">IF($A256&gt;=$U$216,1,0)</f>
        <v>1</v>
      </c>
      <c r="D256" s="13" t="n">
        <f aca="false">IF(MONTH($A256)=2,1,0)</f>
        <v>0</v>
      </c>
      <c r="E256" s="13" t="n">
        <f aca="false">IF(MONTH($A256)=3,1,0)</f>
        <v>0</v>
      </c>
      <c r="F256" s="13" t="n">
        <f aca="false">IF(MONTH($A256)=4,1,0)</f>
        <v>0</v>
      </c>
      <c r="G256" s="13" t="n">
        <f aca="false">IF(MONTH($A256)=5,1,0)</f>
        <v>0</v>
      </c>
      <c r="H256" s="13" t="n">
        <f aca="false">IF(MONTH($A256)=6,1,0)</f>
        <v>1</v>
      </c>
      <c r="I256" s="13" t="n">
        <f aca="false">IF(MONTH($A256)=7,1,0)</f>
        <v>0</v>
      </c>
      <c r="J256" s="13" t="n">
        <f aca="false">IF(MONTH($A256)=8,1,0)</f>
        <v>0</v>
      </c>
      <c r="K256" s="13" t="n">
        <f aca="false">IF(MONTH($A256)=9,1,0)</f>
        <v>0</v>
      </c>
      <c r="L256" s="13" t="n">
        <f aca="false">IF(MONTH($A256)=10,1,0)</f>
        <v>0</v>
      </c>
      <c r="M256" s="13" t="n">
        <f aca="false">IF(MONTH($A256)=11,1,0)</f>
        <v>0</v>
      </c>
      <c r="N256" s="13" t="n">
        <f aca="false">IF(MONTH($A256)=12,1,0)</f>
        <v>0</v>
      </c>
      <c r="O256" s="7" t="n">
        <f aca="false">$B$216+SUMPRODUCT(C256:N256,$C$216:$N$216)</f>
        <v>-0.541343231170393</v>
      </c>
      <c r="P256" s="7" t="n">
        <f aca="false">B256-O256</f>
        <v>0.961731523300485</v>
      </c>
      <c r="Q256" s="7" t="n">
        <f aca="false">P256^2</f>
        <v>0.924927522909872</v>
      </c>
    </row>
    <row r="257" customFormat="false" ht="15" hidden="false" customHeight="false" outlineLevel="0" collapsed="false">
      <c r="A257" s="11" t="n">
        <f aca="false">Data_Monthly!A44</f>
        <v>45499</v>
      </c>
      <c r="B257" s="12" t="n">
        <f aca="false">AVERAGE(Data_Monthly!B44:C44)-AVERAGE(Data_Monthly!D44:E44)</f>
        <v>-0.0239376764111121</v>
      </c>
      <c r="C257" s="13" t="n">
        <f aca="false">IF($A257&gt;=$U$216,1,0)</f>
        <v>1</v>
      </c>
      <c r="D257" s="13" t="n">
        <f aca="false">IF(MONTH($A257)=2,1,0)</f>
        <v>0</v>
      </c>
      <c r="E257" s="13" t="n">
        <f aca="false">IF(MONTH($A257)=3,1,0)</f>
        <v>0</v>
      </c>
      <c r="F257" s="13" t="n">
        <f aca="false">IF(MONTH($A257)=4,1,0)</f>
        <v>0</v>
      </c>
      <c r="G257" s="13" t="n">
        <f aca="false">IF(MONTH($A257)=5,1,0)</f>
        <v>0</v>
      </c>
      <c r="H257" s="13" t="n">
        <f aca="false">IF(MONTH($A257)=6,1,0)</f>
        <v>0</v>
      </c>
      <c r="I257" s="13" t="n">
        <f aca="false">IF(MONTH($A257)=7,1,0)</f>
        <v>1</v>
      </c>
      <c r="J257" s="13" t="n">
        <f aca="false">IF(MONTH($A257)=8,1,0)</f>
        <v>0</v>
      </c>
      <c r="K257" s="13" t="n">
        <f aca="false">IF(MONTH($A257)=9,1,0)</f>
        <v>0</v>
      </c>
      <c r="L257" s="13" t="n">
        <f aca="false">IF(MONTH($A257)=10,1,0)</f>
        <v>0</v>
      </c>
      <c r="M257" s="13" t="n">
        <f aca="false">IF(MONTH($A257)=11,1,0)</f>
        <v>0</v>
      </c>
      <c r="N257" s="13" t="n">
        <f aca="false">IF(MONTH($A257)=12,1,0)</f>
        <v>0</v>
      </c>
      <c r="O257" s="7" t="n">
        <f aca="false">$B$216+SUMPRODUCT(C257:N257,$C$216:$N$216)</f>
        <v>1.36331348636085</v>
      </c>
      <c r="P257" s="7" t="n">
        <f aca="false">B257-O257</f>
        <v>-1.38725116277196</v>
      </c>
      <c r="Q257" s="7" t="n">
        <f aca="false">P257^2</f>
        <v>1.92446578861215</v>
      </c>
    </row>
    <row r="258" customFormat="false" ht="15" hidden="false" customHeight="false" outlineLevel="0" collapsed="false">
      <c r="A258" s="11" t="n">
        <f aca="false">Data_Monthly!A45</f>
        <v>45527</v>
      </c>
      <c r="B258" s="12" t="n">
        <f aca="false">AVERAGE(Data_Monthly!B45:C45)-AVERAGE(Data_Monthly!D45:E45)</f>
        <v>-0.574821741635567</v>
      </c>
      <c r="C258" s="13" t="n">
        <f aca="false">IF($A258&gt;=$U$216,1,0)</f>
        <v>1</v>
      </c>
      <c r="D258" s="13" t="n">
        <f aca="false">IF(MONTH($A258)=2,1,0)</f>
        <v>0</v>
      </c>
      <c r="E258" s="13" t="n">
        <f aca="false">IF(MONTH($A258)=3,1,0)</f>
        <v>0</v>
      </c>
      <c r="F258" s="13" t="n">
        <f aca="false">IF(MONTH($A258)=4,1,0)</f>
        <v>0</v>
      </c>
      <c r="G258" s="13" t="n">
        <f aca="false">IF(MONTH($A258)=5,1,0)</f>
        <v>0</v>
      </c>
      <c r="H258" s="13" t="n">
        <f aca="false">IF(MONTH($A258)=6,1,0)</f>
        <v>0</v>
      </c>
      <c r="I258" s="13" t="n">
        <f aca="false">IF(MONTH($A258)=7,1,0)</f>
        <v>0</v>
      </c>
      <c r="J258" s="13" t="n">
        <f aca="false">IF(MONTH($A258)=8,1,0)</f>
        <v>1</v>
      </c>
      <c r="K258" s="13" t="n">
        <f aca="false">IF(MONTH($A258)=9,1,0)</f>
        <v>0</v>
      </c>
      <c r="L258" s="13" t="n">
        <f aca="false">IF(MONTH($A258)=10,1,0)</f>
        <v>0</v>
      </c>
      <c r="M258" s="13" t="n">
        <f aca="false">IF(MONTH($A258)=11,1,0)</f>
        <v>0</v>
      </c>
      <c r="N258" s="13" t="n">
        <f aca="false">IF(MONTH($A258)=12,1,0)</f>
        <v>0</v>
      </c>
      <c r="O258" s="7" t="n">
        <f aca="false">$B$216+SUMPRODUCT(C258:N258,$C$216:$N$216)</f>
        <v>0.152983794593937</v>
      </c>
      <c r="P258" s="7" t="n">
        <f aca="false">B258-O258</f>
        <v>-0.727805536229504</v>
      </c>
      <c r="Q258" s="7" t="n">
        <f aca="false">P258^2</f>
        <v>0.529700898566316</v>
      </c>
    </row>
    <row r="259" customFormat="false" ht="15" hidden="false" customHeight="false" outlineLevel="0" collapsed="false">
      <c r="A259" s="11" t="n">
        <f aca="false">Data_Monthly!A46</f>
        <v>45555</v>
      </c>
      <c r="B259" s="12" t="n">
        <f aca="false">AVERAGE(Data_Monthly!B46:C46)-AVERAGE(Data_Monthly!D46:E46)</f>
        <v>-1.31148888362063</v>
      </c>
      <c r="C259" s="13" t="n">
        <f aca="false">IF($A259&gt;=$U$216,1,0)</f>
        <v>1</v>
      </c>
      <c r="D259" s="13" t="n">
        <f aca="false">IF(MONTH($A259)=2,1,0)</f>
        <v>0</v>
      </c>
      <c r="E259" s="13" t="n">
        <f aca="false">IF(MONTH($A259)=3,1,0)</f>
        <v>0</v>
      </c>
      <c r="F259" s="13" t="n">
        <f aca="false">IF(MONTH($A259)=4,1,0)</f>
        <v>0</v>
      </c>
      <c r="G259" s="13" t="n">
        <f aca="false">IF(MONTH($A259)=5,1,0)</f>
        <v>0</v>
      </c>
      <c r="H259" s="13" t="n">
        <f aca="false">IF(MONTH($A259)=6,1,0)</f>
        <v>0</v>
      </c>
      <c r="I259" s="13" t="n">
        <f aca="false">IF(MONTH($A259)=7,1,0)</f>
        <v>0</v>
      </c>
      <c r="J259" s="13" t="n">
        <f aca="false">IF(MONTH($A259)=8,1,0)</f>
        <v>0</v>
      </c>
      <c r="K259" s="13" t="n">
        <f aca="false">IF(MONTH($A259)=9,1,0)</f>
        <v>1</v>
      </c>
      <c r="L259" s="13" t="n">
        <f aca="false">IF(MONTH($A259)=10,1,0)</f>
        <v>0</v>
      </c>
      <c r="M259" s="13" t="n">
        <f aca="false">IF(MONTH($A259)=11,1,0)</f>
        <v>0</v>
      </c>
      <c r="N259" s="13" t="n">
        <f aca="false">IF(MONTH($A259)=12,1,0)</f>
        <v>0</v>
      </c>
      <c r="O259" s="7" t="n">
        <f aca="false">$B$216+SUMPRODUCT(C259:N259,$C$216:$N$216)</f>
        <v>-1.11646961939556</v>
      </c>
      <c r="P259" s="7" t="n">
        <f aca="false">B259-O259</f>
        <v>-0.195019264225067</v>
      </c>
      <c r="Q259" s="7" t="n">
        <f aca="false">P259^2</f>
        <v>0.0380325134188863</v>
      </c>
    </row>
    <row r="260" customFormat="false" ht="15" hidden="false" customHeight="false" outlineLevel="0" collapsed="false">
      <c r="A260" s="11" t="n">
        <f aca="false">Data_Monthly!A47</f>
        <v>45583</v>
      </c>
      <c r="B260" s="12" t="n">
        <f aca="false">AVERAGE(Data_Monthly!B47:C47)-AVERAGE(Data_Monthly!D47:E47)</f>
        <v>1.27385865879299</v>
      </c>
      <c r="C260" s="13" t="n">
        <f aca="false">IF($A260&gt;=$U$216,1,0)</f>
        <v>1</v>
      </c>
      <c r="D260" s="13" t="n">
        <f aca="false">IF(MONTH($A260)=2,1,0)</f>
        <v>0</v>
      </c>
      <c r="E260" s="13" t="n">
        <f aca="false">IF(MONTH($A260)=3,1,0)</f>
        <v>0</v>
      </c>
      <c r="F260" s="13" t="n">
        <f aca="false">IF(MONTH($A260)=4,1,0)</f>
        <v>0</v>
      </c>
      <c r="G260" s="13" t="n">
        <f aca="false">IF(MONTH($A260)=5,1,0)</f>
        <v>0</v>
      </c>
      <c r="H260" s="13" t="n">
        <f aca="false">IF(MONTH($A260)=6,1,0)</f>
        <v>0</v>
      </c>
      <c r="I260" s="13" t="n">
        <f aca="false">IF(MONTH($A260)=7,1,0)</f>
        <v>0</v>
      </c>
      <c r="J260" s="13" t="n">
        <f aca="false">IF(MONTH($A260)=8,1,0)</f>
        <v>0</v>
      </c>
      <c r="K260" s="13" t="n">
        <f aca="false">IF(MONTH($A260)=9,1,0)</f>
        <v>0</v>
      </c>
      <c r="L260" s="13" t="n">
        <f aca="false">IF(MONTH($A260)=10,1,0)</f>
        <v>1</v>
      </c>
      <c r="M260" s="13" t="n">
        <f aca="false">IF(MONTH($A260)=11,1,0)</f>
        <v>0</v>
      </c>
      <c r="N260" s="13" t="n">
        <f aca="false">IF(MONTH($A260)=12,1,0)</f>
        <v>0</v>
      </c>
      <c r="O260" s="7" t="n">
        <f aca="false">$B$216+SUMPRODUCT(C260:N260,$C$216:$N$216)</f>
        <v>2.2038367700337</v>
      </c>
      <c r="P260" s="7" t="n">
        <f aca="false">B260-O260</f>
        <v>-0.92997811124071</v>
      </c>
      <c r="Q260" s="7" t="n">
        <f aca="false">P260^2</f>
        <v>0.864859287386838</v>
      </c>
    </row>
    <row r="261" customFormat="false" ht="15" hidden="false" customHeight="false" outlineLevel="0" collapsed="false">
      <c r="A261" s="11" t="n">
        <f aca="false">Data_Monthly!A48</f>
        <v>45625</v>
      </c>
      <c r="B261" s="12" t="n">
        <f aca="false">AVERAGE(Data_Monthly!B48:C48)-AVERAGE(Data_Monthly!D48:E48)</f>
        <v>0.975186237780079</v>
      </c>
      <c r="C261" s="13" t="n">
        <f aca="false">IF($A261&gt;=$U$216,1,0)</f>
        <v>1</v>
      </c>
      <c r="D261" s="13" t="n">
        <f aca="false">IF(MONTH($A261)=2,1,0)</f>
        <v>0</v>
      </c>
      <c r="E261" s="13" t="n">
        <f aca="false">IF(MONTH($A261)=3,1,0)</f>
        <v>0</v>
      </c>
      <c r="F261" s="13" t="n">
        <f aca="false">IF(MONTH($A261)=4,1,0)</f>
        <v>0</v>
      </c>
      <c r="G261" s="13" t="n">
        <f aca="false">IF(MONTH($A261)=5,1,0)</f>
        <v>0</v>
      </c>
      <c r="H261" s="13" t="n">
        <f aca="false">IF(MONTH($A261)=6,1,0)</f>
        <v>0</v>
      </c>
      <c r="I261" s="13" t="n">
        <f aca="false">IF(MONTH($A261)=7,1,0)</f>
        <v>0</v>
      </c>
      <c r="J261" s="13" t="n">
        <f aca="false">IF(MONTH($A261)=8,1,0)</f>
        <v>0</v>
      </c>
      <c r="K261" s="13" t="n">
        <f aca="false">IF(MONTH($A261)=9,1,0)</f>
        <v>0</v>
      </c>
      <c r="L261" s="13" t="n">
        <f aca="false">IF(MONTH($A261)=10,1,0)</f>
        <v>0</v>
      </c>
      <c r="M261" s="13" t="n">
        <f aca="false">IF(MONTH($A261)=11,1,0)</f>
        <v>1</v>
      </c>
      <c r="N261" s="13" t="n">
        <f aca="false">IF(MONTH($A261)=12,1,0)</f>
        <v>0</v>
      </c>
      <c r="O261" s="7" t="n">
        <f aca="false">$B$216+SUMPRODUCT(C261:N261,$C$216:$N$216)</f>
        <v>-1.02256898374927</v>
      </c>
      <c r="P261" s="7" t="n">
        <f aca="false">B261-O261</f>
        <v>1.99775522152935</v>
      </c>
      <c r="Q261" s="7" t="n">
        <f aca="false">P261^2</f>
        <v>3.99102592514777</v>
      </c>
    </row>
    <row r="262" customFormat="false" ht="15" hidden="false" customHeight="false" outlineLevel="0" collapsed="false">
      <c r="A262" s="11" t="n">
        <f aca="false">Data_Monthly!A49</f>
        <v>45653</v>
      </c>
      <c r="B262" s="12" t="n">
        <f aca="false">AVERAGE(Data_Monthly!B49:C49)-AVERAGE(Data_Monthly!D49:E49)</f>
        <v>-0.684115784720341</v>
      </c>
      <c r="C262" s="13" t="n">
        <f aca="false">IF($A262&gt;=$U$216,1,0)</f>
        <v>1</v>
      </c>
      <c r="D262" s="13" t="n">
        <f aca="false">IF(MONTH($A262)=2,1,0)</f>
        <v>0</v>
      </c>
      <c r="E262" s="13" t="n">
        <f aca="false">IF(MONTH($A262)=3,1,0)</f>
        <v>0</v>
      </c>
      <c r="F262" s="13" t="n">
        <f aca="false">IF(MONTH($A262)=4,1,0)</f>
        <v>0</v>
      </c>
      <c r="G262" s="13" t="n">
        <f aca="false">IF(MONTH($A262)=5,1,0)</f>
        <v>0</v>
      </c>
      <c r="H262" s="13" t="n">
        <f aca="false">IF(MONTH($A262)=6,1,0)</f>
        <v>0</v>
      </c>
      <c r="I262" s="13" t="n">
        <f aca="false">IF(MONTH($A262)=7,1,0)</f>
        <v>0</v>
      </c>
      <c r="J262" s="13" t="n">
        <f aca="false">IF(MONTH($A262)=8,1,0)</f>
        <v>0</v>
      </c>
      <c r="K262" s="13" t="n">
        <f aca="false">IF(MONTH($A262)=9,1,0)</f>
        <v>0</v>
      </c>
      <c r="L262" s="13" t="n">
        <f aca="false">IF(MONTH($A262)=10,1,0)</f>
        <v>0</v>
      </c>
      <c r="M262" s="13" t="n">
        <f aca="false">IF(MONTH($A262)=11,1,0)</f>
        <v>0</v>
      </c>
      <c r="N262" s="13" t="n">
        <f aca="false">IF(MONTH($A262)=12,1,0)</f>
        <v>1</v>
      </c>
      <c r="O262" s="7" t="n">
        <f aca="false">$B$216+SUMPRODUCT(C262:N262,$C$216:$N$216)</f>
        <v>-0.103065635542591</v>
      </c>
      <c r="P262" s="7" t="n">
        <f aca="false">B262-O262</f>
        <v>-0.58105014917775</v>
      </c>
      <c r="Q262" s="7" t="n">
        <f aca="false">P262^2</f>
        <v>0.337619275859485</v>
      </c>
    </row>
    <row r="263" customFormat="false" ht="15" hidden="false" customHeight="false" outlineLevel="0" collapsed="false">
      <c r="A263" s="11" t="n">
        <f aca="false">Data_Monthly!A50</f>
        <v>45681</v>
      </c>
      <c r="B263" s="12" t="n">
        <f aca="false">AVERAGE(Data_Monthly!B50:C50)-AVERAGE(Data_Monthly!D50:E50)</f>
        <v>0.124936063698655</v>
      </c>
      <c r="C263" s="13" t="n">
        <f aca="false">IF($A263&gt;=$U$216,1,0)</f>
        <v>1</v>
      </c>
      <c r="D263" s="13" t="n">
        <f aca="false">IF(MONTH($A263)=2,1,0)</f>
        <v>0</v>
      </c>
      <c r="E263" s="13" t="n">
        <f aca="false">IF(MONTH($A263)=3,1,0)</f>
        <v>0</v>
      </c>
      <c r="F263" s="13" t="n">
        <f aca="false">IF(MONTH($A263)=4,1,0)</f>
        <v>0</v>
      </c>
      <c r="G263" s="13" t="n">
        <f aca="false">IF(MONTH($A263)=5,1,0)</f>
        <v>0</v>
      </c>
      <c r="H263" s="13" t="n">
        <f aca="false">IF(MONTH($A263)=6,1,0)</f>
        <v>0</v>
      </c>
      <c r="I263" s="13" t="n">
        <f aca="false">IF(MONTH($A263)=7,1,0)</f>
        <v>0</v>
      </c>
      <c r="J263" s="13" t="n">
        <f aca="false">IF(MONTH($A263)=8,1,0)</f>
        <v>0</v>
      </c>
      <c r="K263" s="13" t="n">
        <f aca="false">IF(MONTH($A263)=9,1,0)</f>
        <v>0</v>
      </c>
      <c r="L263" s="13" t="n">
        <f aca="false">IF(MONTH($A263)=10,1,0)</f>
        <v>0</v>
      </c>
      <c r="M263" s="13" t="n">
        <f aca="false">IF(MONTH($A263)=11,1,0)</f>
        <v>0</v>
      </c>
      <c r="N263" s="13" t="n">
        <f aca="false">IF(MONTH($A263)=12,1,0)</f>
        <v>0</v>
      </c>
      <c r="O263" s="7" t="n">
        <f aca="false">$B$216+SUMPRODUCT(C263:N263,$C$216:$N$216)</f>
        <v>0.323391361428934</v>
      </c>
      <c r="P263" s="7" t="n">
        <f aca="false">B263-O263</f>
        <v>-0.198455297730279</v>
      </c>
      <c r="Q263" s="7" t="n">
        <f aca="false">P263^2</f>
        <v>0.0393845051972136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8" min="2" style="0" width="14"/>
  </cols>
  <sheetData>
    <row r="1" customFormat="false" ht="15" hidden="false" customHeight="false" outlineLevel="0" collapsed="false">
      <c r="A1" s="1" t="s">
        <v>187</v>
      </c>
    </row>
    <row r="2" customFormat="false" ht="15" hidden="false" customHeight="false" outlineLevel="0" collapsed="false">
      <c r="A2" s="2" t="s">
        <v>188</v>
      </c>
    </row>
    <row r="4" customFormat="false" ht="15" hidden="false" customHeight="false" outlineLevel="0" collapsed="false">
      <c r="A4" s="9" t="s">
        <v>189</v>
      </c>
      <c r="B4" s="10"/>
      <c r="C4" s="10"/>
      <c r="D4" s="10"/>
      <c r="E4" s="10"/>
      <c r="F4" s="10"/>
      <c r="G4" s="10"/>
      <c r="H4" s="10"/>
    </row>
    <row r="5" customFormat="false" ht="30" hidden="false" customHeight="true" outlineLevel="0" collapsed="false">
      <c r="A5" s="3" t="s">
        <v>190</v>
      </c>
      <c r="B5" s="3" t="s">
        <v>191</v>
      </c>
      <c r="C5" s="3" t="s">
        <v>192</v>
      </c>
      <c r="D5" s="3" t="s">
        <v>193</v>
      </c>
      <c r="E5" s="3" t="s">
        <v>194</v>
      </c>
      <c r="F5" s="3" t="s">
        <v>195</v>
      </c>
      <c r="G5" s="3" t="s">
        <v>196</v>
      </c>
      <c r="H5" s="3" t="s">
        <v>197</v>
      </c>
    </row>
    <row r="6" customFormat="false" ht="15" hidden="false" customHeight="false" outlineLevel="0" collapsed="false">
      <c r="A6" s="5" t="s">
        <v>198</v>
      </c>
      <c r="B6" s="26" t="n">
        <v>46</v>
      </c>
      <c r="C6" s="27" t="n">
        <v>-0.752259072050398</v>
      </c>
      <c r="D6" s="27" t="n">
        <v>0.485563626681194</v>
      </c>
      <c r="E6" s="27" t="n">
        <v>0.12848536413011</v>
      </c>
      <c r="F6" s="27" t="n">
        <v>0.255831878869348</v>
      </c>
      <c r="G6" s="27" t="n">
        <v>-2.94044305727267</v>
      </c>
      <c r="H6" s="27" t="n">
        <v>0.00520744101069002</v>
      </c>
    </row>
    <row r="7" customFormat="false" ht="15" hidden="false" customHeight="false" outlineLevel="0" collapsed="false">
      <c r="A7" s="5" t="s">
        <v>199</v>
      </c>
      <c r="B7" s="26" t="n">
        <v>46</v>
      </c>
      <c r="C7" s="27" t="n">
        <v>-0.782801050301243</v>
      </c>
      <c r="D7" s="27" t="n">
        <v>0.416361168675314</v>
      </c>
      <c r="E7" s="27" t="n">
        <v>0.0689463480625736</v>
      </c>
      <c r="F7" s="27" t="n">
        <v>0.253964511434885</v>
      </c>
      <c r="G7" s="27" t="n">
        <v>-3.08232455738978</v>
      </c>
      <c r="H7" s="27" t="n">
        <v>0.00412813155829402</v>
      </c>
    </row>
    <row r="8" customFormat="false" ht="15" hidden="false" customHeight="false" outlineLevel="0" collapsed="false">
      <c r="A8" s="5" t="s">
        <v>200</v>
      </c>
      <c r="B8" s="26" t="n">
        <v>45</v>
      </c>
      <c r="C8" s="27" t="n">
        <v>-1.06939703164603</v>
      </c>
      <c r="D8" s="27" t="n">
        <v>0.730232895513335</v>
      </c>
      <c r="E8" s="27" t="n">
        <v>0.15034158736143</v>
      </c>
      <c r="F8" s="27" t="n">
        <v>0.579781149239657</v>
      </c>
      <c r="G8" s="27" t="n">
        <v>-1.84448396269604</v>
      </c>
      <c r="H8" s="27" t="n">
        <v>0.0720086029829464</v>
      </c>
    </row>
    <row r="9" customFormat="false" ht="15" hidden="false" customHeight="false" outlineLevel="0" collapsed="false">
      <c r="A9" s="5" t="s">
        <v>201</v>
      </c>
      <c r="B9" s="26" t="n">
        <v>45</v>
      </c>
      <c r="C9" s="27" t="n">
        <v>-1.26388638315066</v>
      </c>
      <c r="D9" s="27" t="n">
        <v>0.613162278537938</v>
      </c>
      <c r="E9" s="27" t="n">
        <v>0.0474813534543866</v>
      </c>
      <c r="F9" s="27" t="n">
        <v>0.454908812583667</v>
      </c>
      <c r="G9" s="27" t="n">
        <v>-2.7783290808819</v>
      </c>
      <c r="H9" s="27" t="n">
        <v>0.00906567335671332</v>
      </c>
    </row>
    <row r="10" customFormat="false" ht="15" hidden="false" customHeight="false" outlineLevel="0" collapsed="false">
      <c r="A10" s="5" t="s">
        <v>202</v>
      </c>
      <c r="B10" s="26" t="n">
        <v>45</v>
      </c>
      <c r="C10" s="27" t="n">
        <v>-1.45813517729789</v>
      </c>
      <c r="D10" s="27" t="n">
        <v>0.674928720231118</v>
      </c>
      <c r="E10" s="27" t="n">
        <v>0.0383338072997834</v>
      </c>
      <c r="F10" s="27" t="n">
        <v>0.491196877825907</v>
      </c>
      <c r="G10" s="27" t="n">
        <v>-2.96853510908245</v>
      </c>
      <c r="H10" s="27" t="n">
        <v>0.00562819959337752</v>
      </c>
    </row>
    <row r="11" customFormat="false" ht="15" hidden="false" customHeight="false" outlineLevel="0" collapsed="false">
      <c r="A11" s="5" t="s">
        <v>203</v>
      </c>
      <c r="B11" s="26" t="n">
        <v>29</v>
      </c>
      <c r="C11" s="27" t="n">
        <v>-0.0530975559496079</v>
      </c>
      <c r="D11" s="27" t="n">
        <v>0.432782689977899</v>
      </c>
      <c r="E11" s="27" t="n">
        <v>0.903881456322124</v>
      </c>
      <c r="F11" s="27" t="n">
        <v>0.305671851088237</v>
      </c>
      <c r="G11" s="27" t="n">
        <v>-0.173707705699994</v>
      </c>
      <c r="H11" s="27" t="n">
        <v>0.864273905931046</v>
      </c>
    </row>
    <row r="12" customFormat="false" ht="15" hidden="false" customHeight="false" outlineLevel="0" collapsed="false">
      <c r="A12" s="5" t="s">
        <v>204</v>
      </c>
      <c r="B12" s="26" t="n">
        <v>28</v>
      </c>
      <c r="C12" s="27" t="n">
        <v>0.147470167252517</v>
      </c>
      <c r="D12" s="27" t="n">
        <v>0.851801062257146</v>
      </c>
      <c r="E12" s="27" t="n">
        <v>0.864865794724496</v>
      </c>
      <c r="F12" s="27" t="n">
        <v>0.409119242960827</v>
      </c>
      <c r="G12" s="27" t="n">
        <v>0.360457665558003</v>
      </c>
      <c r="H12" s="27" t="n">
        <v>0.723530404836896</v>
      </c>
    </row>
    <row r="14" customFormat="false" ht="15" hidden="false" customHeight="false" outlineLevel="0" collapsed="false">
      <c r="A14" s="9" t="s">
        <v>205</v>
      </c>
      <c r="B14" s="10"/>
      <c r="C14" s="10"/>
      <c r="D14" s="10"/>
      <c r="E14" s="10"/>
      <c r="F14" s="10"/>
      <c r="G14" s="10"/>
      <c r="H14" s="10"/>
    </row>
    <row r="15" customFormat="false" ht="30" hidden="false" customHeight="true" outlineLevel="0" collapsed="false">
      <c r="A15" s="3" t="s">
        <v>84</v>
      </c>
      <c r="B15" s="3" t="s">
        <v>85</v>
      </c>
      <c r="C15" s="3" t="s">
        <v>193</v>
      </c>
      <c r="D15" s="3" t="s">
        <v>195</v>
      </c>
      <c r="E15" s="3" t="s">
        <v>196</v>
      </c>
      <c r="F15" s="3" t="s">
        <v>197</v>
      </c>
      <c r="G15" s="3" t="s">
        <v>206</v>
      </c>
      <c r="H15" s="3" t="s">
        <v>207</v>
      </c>
    </row>
    <row r="16" customFormat="false" ht="15" hidden="false" customHeight="false" outlineLevel="0" collapsed="false">
      <c r="A16" s="5" t="s">
        <v>105</v>
      </c>
      <c r="B16" s="27" t="n">
        <v>0.774550382624969</v>
      </c>
      <c r="C16" s="27" t="n">
        <v>0.669206950190601</v>
      </c>
      <c r="D16" s="27" t="n">
        <v>0.479986705860697</v>
      </c>
      <c r="E16" s="27" t="n">
        <v>1.61369132346295</v>
      </c>
      <c r="F16" s="27" t="n">
        <v>0.116117623944856</v>
      </c>
      <c r="G16" s="26" t="n">
        <v>33</v>
      </c>
      <c r="H16" s="26" t="n">
        <v>3</v>
      </c>
    </row>
    <row r="17" customFormat="false" ht="15" hidden="false" customHeight="false" outlineLevel="0" collapsed="false">
      <c r="A17" s="5" t="s">
        <v>68</v>
      </c>
      <c r="B17" s="27" t="n">
        <v>-0.782801050301243</v>
      </c>
      <c r="C17" s="27" t="n">
        <v>0.416361168675314</v>
      </c>
      <c r="D17" s="27" t="n">
        <v>0.253964511434885</v>
      </c>
      <c r="E17" s="27" t="n">
        <v>-3.08232455738978</v>
      </c>
      <c r="F17" s="27" t="n">
        <v>0.00412813155829402</v>
      </c>
      <c r="G17" s="26" t="n">
        <v>33</v>
      </c>
      <c r="H17" s="26" t="n">
        <v>3</v>
      </c>
    </row>
    <row r="18" customFormat="false" ht="15" hidden="false" customHeight="false" outlineLevel="0" collapsed="false">
      <c r="A18" s="5" t="s">
        <v>69</v>
      </c>
      <c r="B18" s="27" t="n">
        <v>-0.368019064263968</v>
      </c>
      <c r="C18" s="27" t="n">
        <v>0.973984580755667</v>
      </c>
      <c r="D18" s="27" t="n">
        <v>0.466708424625825</v>
      </c>
      <c r="E18" s="27" t="n">
        <v>-0.788541720794992</v>
      </c>
      <c r="F18" s="27" t="n">
        <v>0.436008344554498</v>
      </c>
      <c r="G18" s="26" t="n">
        <v>33</v>
      </c>
      <c r="H18" s="26" t="n">
        <v>3</v>
      </c>
    </row>
    <row r="19" customFormat="false" ht="15" hidden="false" customHeight="false" outlineLevel="0" collapsed="false">
      <c r="A19" s="5" t="s">
        <v>70</v>
      </c>
      <c r="B19" s="27" t="n">
        <v>0.930610495425466</v>
      </c>
      <c r="C19" s="27" t="n">
        <v>0.973984580755668</v>
      </c>
      <c r="D19" s="27" t="n">
        <v>0.947472963242586</v>
      </c>
      <c r="E19" s="27" t="n">
        <v>0.982202692349752</v>
      </c>
      <c r="F19" s="27" t="n">
        <v>0.333146635991831</v>
      </c>
      <c r="G19" s="26" t="n">
        <v>33</v>
      </c>
      <c r="H19" s="26" t="n">
        <v>3</v>
      </c>
    </row>
    <row r="20" customFormat="false" ht="15" hidden="false" customHeight="false" outlineLevel="0" collapsed="false">
      <c r="A20" s="5" t="s">
        <v>71</v>
      </c>
      <c r="B20" s="27" t="n">
        <v>-0.462449947561817</v>
      </c>
      <c r="C20" s="27" t="n">
        <v>0.905445946426547</v>
      </c>
      <c r="D20" s="27" t="n">
        <v>0.799082904551995</v>
      </c>
      <c r="E20" s="27" t="n">
        <v>-0.578725868026284</v>
      </c>
      <c r="F20" s="27" t="n">
        <v>0.566703497297289</v>
      </c>
      <c r="G20" s="26" t="n">
        <v>33</v>
      </c>
      <c r="H20" s="26" t="n">
        <v>3</v>
      </c>
    </row>
    <row r="21" customFormat="false" ht="15" hidden="false" customHeight="false" outlineLevel="0" collapsed="false">
      <c r="A21" s="5" t="s">
        <v>72</v>
      </c>
      <c r="B21" s="27" t="n">
        <v>-0.946968955317053</v>
      </c>
      <c r="C21" s="27" t="n">
        <v>0.905445946426547</v>
      </c>
      <c r="D21" s="27" t="n">
        <v>0.976391792501873</v>
      </c>
      <c r="E21" s="27" t="n">
        <v>-0.969865747120398</v>
      </c>
      <c r="F21" s="27" t="n">
        <v>0.339168683280754</v>
      </c>
      <c r="G21" s="26" t="n">
        <v>33</v>
      </c>
      <c r="H21" s="26" t="n">
        <v>3</v>
      </c>
    </row>
    <row r="22" customFormat="false" ht="15" hidden="false" customHeight="false" outlineLevel="0" collapsed="false">
      <c r="A22" s="5" t="s">
        <v>73</v>
      </c>
      <c r="B22" s="27" t="n">
        <v>-0.847533573580799</v>
      </c>
      <c r="C22" s="27" t="n">
        <v>0.905445946426547</v>
      </c>
      <c r="D22" s="27" t="n">
        <v>0.695720426995392</v>
      </c>
      <c r="E22" s="27" t="n">
        <v>-1.21820998880404</v>
      </c>
      <c r="F22" s="27" t="n">
        <v>0.231782466967241</v>
      </c>
      <c r="G22" s="26" t="n">
        <v>33</v>
      </c>
      <c r="H22" s="26" t="n">
        <v>3</v>
      </c>
    </row>
    <row r="23" customFormat="false" ht="15" hidden="false" customHeight="false" outlineLevel="0" collapsed="false">
      <c r="A23" s="5" t="s">
        <v>74</v>
      </c>
      <c r="B23" s="27" t="n">
        <v>1.28494218989278</v>
      </c>
      <c r="C23" s="27" t="n">
        <v>0.905445946426547</v>
      </c>
      <c r="D23" s="27" t="n">
        <v>0.971081659269103</v>
      </c>
      <c r="E23" s="27" t="n">
        <v>1.32320714496854</v>
      </c>
      <c r="F23" s="27" t="n">
        <v>0.194861917079033</v>
      </c>
      <c r="G23" s="26" t="n">
        <v>33</v>
      </c>
      <c r="H23" s="26" t="n">
        <v>3</v>
      </c>
    </row>
    <row r="24" customFormat="false" ht="15" hidden="false" customHeight="false" outlineLevel="0" collapsed="false">
      <c r="A24" s="5" t="s">
        <v>75</v>
      </c>
      <c r="B24" s="27" t="n">
        <v>-0.390421828929841</v>
      </c>
      <c r="C24" s="27" t="n">
        <v>0.905445946426547</v>
      </c>
      <c r="D24" s="27" t="n">
        <v>0.569330218644661</v>
      </c>
      <c r="E24" s="27" t="n">
        <v>-0.685756378537703</v>
      </c>
      <c r="F24" s="27" t="n">
        <v>0.497656478697589</v>
      </c>
      <c r="G24" s="26" t="n">
        <v>33</v>
      </c>
      <c r="H24" s="26" t="n">
        <v>3</v>
      </c>
    </row>
    <row r="25" customFormat="false" ht="15" hidden="false" customHeight="false" outlineLevel="0" collapsed="false">
      <c r="A25" s="5" t="s">
        <v>76</v>
      </c>
      <c r="B25" s="27" t="n">
        <v>-1.6018791230349</v>
      </c>
      <c r="C25" s="27" t="n">
        <v>0.905445946426547</v>
      </c>
      <c r="D25" s="27" t="n">
        <v>0.46478286210826</v>
      </c>
      <c r="E25" s="27" t="n">
        <v>-3.4465107335687</v>
      </c>
      <c r="F25" s="27" t="n">
        <v>0.00156775536272608</v>
      </c>
      <c r="G25" s="26" t="n">
        <v>33</v>
      </c>
      <c r="H25" s="26" t="n">
        <v>3</v>
      </c>
    </row>
    <row r="26" customFormat="false" ht="15" hidden="false" customHeight="false" outlineLevel="0" collapsed="false">
      <c r="A26" s="5" t="s">
        <v>77</v>
      </c>
      <c r="B26" s="27" t="n">
        <v>2.13769133819013</v>
      </c>
      <c r="C26" s="27" t="n">
        <v>0.905445946426547</v>
      </c>
      <c r="D26" s="27" t="n">
        <v>0.535684982962656</v>
      </c>
      <c r="E26" s="27" t="n">
        <v>3.99057544299157</v>
      </c>
      <c r="F26" s="27" t="n">
        <v>0.000345576801468242</v>
      </c>
      <c r="G26" s="26" t="n">
        <v>33</v>
      </c>
      <c r="H26" s="26" t="n">
        <v>3</v>
      </c>
    </row>
    <row r="27" customFormat="false" ht="15" hidden="false" customHeight="false" outlineLevel="0" collapsed="false">
      <c r="A27" s="5" t="s">
        <v>78</v>
      </c>
      <c r="B27" s="27" t="n">
        <v>-0.715865044211211</v>
      </c>
      <c r="C27" s="27" t="n">
        <v>0.905445946426547</v>
      </c>
      <c r="D27" s="27" t="n">
        <v>0.838252975940493</v>
      </c>
      <c r="E27" s="27" t="n">
        <v>-0.853996424418337</v>
      </c>
      <c r="F27" s="27" t="n">
        <v>0.399263995911883</v>
      </c>
      <c r="G27" s="26" t="n">
        <v>33</v>
      </c>
      <c r="H27" s="26" t="n">
        <v>3</v>
      </c>
    </row>
    <row r="28" customFormat="false" ht="15" hidden="false" customHeight="false" outlineLevel="0" collapsed="false">
      <c r="A28" s="5" t="s">
        <v>79</v>
      </c>
      <c r="B28" s="27" t="n">
        <v>-0.110900247605405</v>
      </c>
      <c r="C28" s="27" t="n">
        <v>0.899442923690255</v>
      </c>
      <c r="D28" s="27" t="n">
        <v>0.36713980783308</v>
      </c>
      <c r="E28" s="27" t="n">
        <v>-0.30206544002939</v>
      </c>
      <c r="F28" s="27" t="n">
        <v>0.764497789582363</v>
      </c>
      <c r="G28" s="26" t="n">
        <v>33</v>
      </c>
      <c r="H28" s="26" t="n">
        <v>3</v>
      </c>
    </row>
    <row r="30" customFormat="false" ht="15" hidden="false" customHeight="false" outlineLevel="0" collapsed="false">
      <c r="A30" s="9" t="s">
        <v>208</v>
      </c>
      <c r="B30" s="10"/>
      <c r="C30" s="10"/>
      <c r="D30" s="10"/>
      <c r="E30" s="10"/>
      <c r="F30" s="10"/>
      <c r="G30" s="10"/>
      <c r="H30" s="10"/>
    </row>
    <row r="31" customFormat="false" ht="30" hidden="false" customHeight="true" outlineLevel="0" collapsed="false">
      <c r="A31" s="3" t="s">
        <v>84</v>
      </c>
      <c r="B31" s="3" t="s">
        <v>85</v>
      </c>
      <c r="C31" s="3" t="s">
        <v>193</v>
      </c>
      <c r="D31" s="3" t="s">
        <v>195</v>
      </c>
      <c r="E31" s="3" t="s">
        <v>196</v>
      </c>
      <c r="F31" s="3" t="s">
        <v>197</v>
      </c>
      <c r="G31" s="3" t="s">
        <v>206</v>
      </c>
      <c r="H31" s="3" t="s">
        <v>207</v>
      </c>
    </row>
    <row r="32" customFormat="false" ht="15" hidden="false" customHeight="false" outlineLevel="0" collapsed="false">
      <c r="A32" s="5" t="s">
        <v>105</v>
      </c>
      <c r="B32" s="27" t="n">
        <v>-0.799384127538978</v>
      </c>
      <c r="C32" s="27" t="n">
        <v>0.981538561796455</v>
      </c>
      <c r="D32" s="27" t="n">
        <v>0.853955229728805</v>
      </c>
      <c r="E32" s="27" t="n">
        <v>-0.936096061842542</v>
      </c>
      <c r="F32" s="27" t="n">
        <v>0.356234981360951</v>
      </c>
      <c r="G32" s="26" t="n">
        <v>32</v>
      </c>
      <c r="H32" s="26" t="n">
        <v>3</v>
      </c>
    </row>
    <row r="33" customFormat="false" ht="15" hidden="false" customHeight="false" outlineLevel="0" collapsed="false">
      <c r="A33" s="5" t="s">
        <v>68</v>
      </c>
      <c r="B33" s="27" t="n">
        <v>-1.26388638315066</v>
      </c>
      <c r="C33" s="27" t="n">
        <v>0.613162278537938</v>
      </c>
      <c r="D33" s="27" t="n">
        <v>0.454908812583667</v>
      </c>
      <c r="E33" s="27" t="n">
        <v>-2.7783290808819</v>
      </c>
      <c r="F33" s="27" t="n">
        <v>0.00906567335671332</v>
      </c>
      <c r="G33" s="26" t="n">
        <v>32</v>
      </c>
      <c r="H33" s="26" t="n">
        <v>3</v>
      </c>
    </row>
    <row r="34" customFormat="false" ht="15" hidden="false" customHeight="false" outlineLevel="0" collapsed="false">
      <c r="A34" s="5" t="s">
        <v>69</v>
      </c>
      <c r="B34" s="27" t="n">
        <v>1.02968522450571</v>
      </c>
      <c r="C34" s="27" t="n">
        <v>1.42797202801165</v>
      </c>
      <c r="D34" s="27" t="n">
        <v>1.22323121407516</v>
      </c>
      <c r="E34" s="27" t="n">
        <v>0.841774811382832</v>
      </c>
      <c r="F34" s="27" t="n">
        <v>0.406161127967927</v>
      </c>
      <c r="G34" s="26" t="n">
        <v>32</v>
      </c>
      <c r="H34" s="26" t="n">
        <v>3</v>
      </c>
    </row>
    <row r="35" customFormat="false" ht="15" hidden="false" customHeight="false" outlineLevel="0" collapsed="false">
      <c r="A35" s="5" t="s">
        <v>70</v>
      </c>
      <c r="B35" s="27" t="n">
        <v>2.00442251677859</v>
      </c>
      <c r="C35" s="27" t="n">
        <v>1.42797202801165</v>
      </c>
      <c r="D35" s="27" t="n">
        <v>1.12984335910716</v>
      </c>
      <c r="E35" s="27" t="n">
        <v>1.77407115829096</v>
      </c>
      <c r="F35" s="27" t="n">
        <v>0.0855678922732555</v>
      </c>
      <c r="G35" s="26" t="n">
        <v>32</v>
      </c>
      <c r="H35" s="26" t="n">
        <v>3</v>
      </c>
    </row>
    <row r="36" customFormat="false" ht="15" hidden="false" customHeight="false" outlineLevel="0" collapsed="false">
      <c r="A36" s="5" t="s">
        <v>71</v>
      </c>
      <c r="B36" s="27" t="n">
        <v>0.525975832258043</v>
      </c>
      <c r="C36" s="27" t="n">
        <v>1.32753527464051</v>
      </c>
      <c r="D36" s="27" t="n">
        <v>1.34652015261243</v>
      </c>
      <c r="E36" s="27" t="n">
        <v>0.390618611416679</v>
      </c>
      <c r="F36" s="27" t="n">
        <v>0.69866761115166</v>
      </c>
      <c r="G36" s="26" t="n">
        <v>32</v>
      </c>
      <c r="H36" s="26" t="n">
        <v>3</v>
      </c>
    </row>
    <row r="37" customFormat="false" ht="15" hidden="false" customHeight="false" outlineLevel="0" collapsed="false">
      <c r="A37" s="5" t="s">
        <v>72</v>
      </c>
      <c r="B37" s="27" t="n">
        <v>0.0437426460995673</v>
      </c>
      <c r="C37" s="27" t="n">
        <v>1.32753527464051</v>
      </c>
      <c r="D37" s="27" t="n">
        <v>0.886615072510561</v>
      </c>
      <c r="E37" s="27" t="n">
        <v>0.0493366822376531</v>
      </c>
      <c r="F37" s="27" t="n">
        <v>0.960957648195636</v>
      </c>
      <c r="G37" s="26" t="n">
        <v>32</v>
      </c>
      <c r="H37" s="26" t="n">
        <v>3</v>
      </c>
    </row>
    <row r="38" customFormat="false" ht="15" hidden="false" customHeight="false" outlineLevel="0" collapsed="false">
      <c r="A38" s="5" t="s">
        <v>73</v>
      </c>
      <c r="B38" s="27" t="n">
        <v>1.5232828078895</v>
      </c>
      <c r="C38" s="27" t="n">
        <v>1.32753527464051</v>
      </c>
      <c r="D38" s="27" t="n">
        <v>1.22275107290595</v>
      </c>
      <c r="E38" s="27" t="n">
        <v>1.24578325191677</v>
      </c>
      <c r="F38" s="27" t="n">
        <v>0.221888344987383</v>
      </c>
      <c r="G38" s="26" t="n">
        <v>32</v>
      </c>
      <c r="H38" s="26" t="n">
        <v>3</v>
      </c>
    </row>
    <row r="39" customFormat="false" ht="15" hidden="false" customHeight="false" outlineLevel="0" collapsed="false">
      <c r="A39" s="5" t="s">
        <v>74</v>
      </c>
      <c r="B39" s="27" t="n">
        <v>2.71842785839306</v>
      </c>
      <c r="C39" s="27" t="n">
        <v>1.42797202801165</v>
      </c>
      <c r="D39" s="27" t="n">
        <v>1.69801942617301</v>
      </c>
      <c r="E39" s="27" t="n">
        <v>1.60094037588241</v>
      </c>
      <c r="F39" s="27" t="n">
        <v>0.119217652671101</v>
      </c>
      <c r="G39" s="26" t="n">
        <v>32</v>
      </c>
      <c r="H39" s="26" t="n">
        <v>3</v>
      </c>
    </row>
    <row r="40" customFormat="false" ht="15" hidden="false" customHeight="false" outlineLevel="0" collapsed="false">
      <c r="A40" s="5" t="s">
        <v>75</v>
      </c>
      <c r="B40" s="27" t="n">
        <v>0.0308740367662316</v>
      </c>
      <c r="C40" s="27" t="n">
        <v>1.32753527464051</v>
      </c>
      <c r="D40" s="27" t="n">
        <v>0.919023327074425</v>
      </c>
      <c r="E40" s="27" t="n">
        <v>0.0335943994637378</v>
      </c>
      <c r="F40" s="27" t="n">
        <v>0.973409265456732</v>
      </c>
      <c r="G40" s="26" t="n">
        <v>32</v>
      </c>
      <c r="H40" s="26" t="n">
        <v>3</v>
      </c>
    </row>
    <row r="41" customFormat="false" ht="15" hidden="false" customHeight="false" outlineLevel="0" collapsed="false">
      <c r="A41" s="5" t="s">
        <v>76</v>
      </c>
      <c r="B41" s="27" t="n">
        <v>1.58883574314915</v>
      </c>
      <c r="C41" s="27" t="n">
        <v>1.32753527464051</v>
      </c>
      <c r="D41" s="27" t="n">
        <v>0.903055353244452</v>
      </c>
      <c r="E41" s="27" t="n">
        <v>1.75940017125291</v>
      </c>
      <c r="F41" s="27" t="n">
        <v>0.088068603639894</v>
      </c>
      <c r="G41" s="26" t="n">
        <v>32</v>
      </c>
      <c r="H41" s="26" t="n">
        <v>3</v>
      </c>
    </row>
    <row r="42" customFormat="false" ht="15" hidden="false" customHeight="false" outlineLevel="0" collapsed="false">
      <c r="A42" s="5" t="s">
        <v>77</v>
      </c>
      <c r="B42" s="27" t="n">
        <v>3.13165765226167</v>
      </c>
      <c r="C42" s="27" t="n">
        <v>1.32753527464051</v>
      </c>
      <c r="D42" s="27" t="n">
        <v>1.49073976965332</v>
      </c>
      <c r="E42" s="27" t="n">
        <v>2.10074066313395</v>
      </c>
      <c r="F42" s="27" t="n">
        <v>0.0436309410033061</v>
      </c>
      <c r="G42" s="26" t="n">
        <v>32</v>
      </c>
      <c r="H42" s="26" t="n">
        <v>3</v>
      </c>
    </row>
    <row r="43" customFormat="false" ht="15" hidden="false" customHeight="false" outlineLevel="0" collapsed="false">
      <c r="A43" s="5" t="s">
        <v>78</v>
      </c>
      <c r="B43" s="27" t="n">
        <v>3.16595010340622</v>
      </c>
      <c r="C43" s="27" t="n">
        <v>1.32753527464051</v>
      </c>
      <c r="D43" s="27" t="n">
        <v>0.831246807152908</v>
      </c>
      <c r="E43" s="27" t="n">
        <v>3.80867640773246</v>
      </c>
      <c r="F43" s="27" t="n">
        <v>0.000597601203810598</v>
      </c>
      <c r="G43" s="26" t="n">
        <v>32</v>
      </c>
      <c r="H43" s="26" t="n">
        <v>3</v>
      </c>
    </row>
    <row r="44" customFormat="false" ht="15" hidden="false" customHeight="false" outlineLevel="0" collapsed="false">
      <c r="A44" s="5" t="s">
        <v>79</v>
      </c>
      <c r="B44" s="27" t="n">
        <v>5.21365525865032</v>
      </c>
      <c r="C44" s="27" t="n">
        <v>1.31865534036608</v>
      </c>
      <c r="D44" s="27" t="n">
        <v>1.11896765776783</v>
      </c>
      <c r="E44" s="27" t="n">
        <v>4.65934401450956</v>
      </c>
      <c r="F44" s="27" t="n">
        <v>5.33390541488967E-005</v>
      </c>
      <c r="G44" s="26" t="n">
        <v>32</v>
      </c>
      <c r="H44" s="26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3"/>
    <col collapsed="false" customWidth="true" hidden="false" outlineLevel="0" max="13" min="4" style="0" width="11"/>
  </cols>
  <sheetData>
    <row r="1" customFormat="false" ht="15" hidden="false" customHeight="false" outlineLevel="0" collapsed="false">
      <c r="A1" s="1" t="s">
        <v>209</v>
      </c>
    </row>
    <row r="2" customFormat="false" ht="15" hidden="false" customHeight="false" outlineLevel="0" collapsed="false">
      <c r="A2" s="2" t="s">
        <v>210</v>
      </c>
    </row>
    <row r="4" customFormat="false" ht="42" hidden="false" customHeight="true" outlineLevel="0" collapsed="false">
      <c r="A4" s="3" t="s">
        <v>211</v>
      </c>
      <c r="B4" s="3" t="s">
        <v>212</v>
      </c>
      <c r="C4" s="3" t="s">
        <v>213</v>
      </c>
      <c r="D4" s="3" t="s">
        <v>214</v>
      </c>
      <c r="E4" s="3" t="s">
        <v>215</v>
      </c>
      <c r="F4" s="3" t="s">
        <v>216</v>
      </c>
      <c r="G4" s="3" t="s">
        <v>217</v>
      </c>
      <c r="H4" s="3" t="s">
        <v>218</v>
      </c>
      <c r="I4" s="3" t="s">
        <v>219</v>
      </c>
      <c r="J4" s="3" t="s">
        <v>220</v>
      </c>
      <c r="K4" s="3" t="s">
        <v>221</v>
      </c>
      <c r="L4" s="3" t="s">
        <v>222</v>
      </c>
      <c r="M4" s="3" t="s">
        <v>223</v>
      </c>
    </row>
    <row r="5" customFormat="false" ht="15" hidden="false" customHeight="false" outlineLevel="0" collapsed="false">
      <c r="A5" s="6" t="s">
        <v>224</v>
      </c>
      <c r="D5" s="28" t="n">
        <f aca="false">Data_Returns!A56</f>
        <v>44881</v>
      </c>
      <c r="E5" s="5" t="s">
        <v>225</v>
      </c>
      <c r="F5" s="28" t="n">
        <f aca="false">Data_Returns!A275</f>
        <v>45203</v>
      </c>
      <c r="I5" s="28" t="n">
        <f aca="false">Data_Returns!A375</f>
        <v>45349</v>
      </c>
      <c r="J5" s="5" t="s">
        <v>225</v>
      </c>
      <c r="K5" s="28" t="n">
        <f aca="false">Data_Returns!A594</f>
        <v>45672</v>
      </c>
    </row>
    <row r="6" customFormat="false" ht="15" hidden="false" customHeight="false" outlineLevel="0" collapsed="false">
      <c r="A6" s="5" t="s">
        <v>226</v>
      </c>
      <c r="B6" s="5" t="s">
        <v>227</v>
      </c>
      <c r="C6" s="5" t="s">
        <v>228</v>
      </c>
      <c r="D6" s="29" t="n">
        <f aca="false">INTERCEPT(Data_Returns!$J$56:$J$275,Data_Returns!$B$56:$B$275)</f>
        <v>0.00186509724797339</v>
      </c>
      <c r="E6" s="7" t="n">
        <f aca="false">SLOPE(Data_Returns!$J$56:$J$275,Data_Returns!$B$56:$B$275)</f>
        <v>0.344861157518612</v>
      </c>
      <c r="F6" s="7" t="n">
        <f aca="false">RSQ(Data_Returns!$J$56:$J$275,Data_Returns!$B$56:$B$275)</f>
        <v>0.00700659288957672</v>
      </c>
      <c r="G6" s="29" t="n">
        <f aca="false">STEYX(Data_Returns!$J$56:$J$275,Data_Returns!$B$56:$B$275)</f>
        <v>0.0250930126457172</v>
      </c>
      <c r="H6" s="13" t="n">
        <f aca="false">COUNT(Data_Returns!$J$56:$J$275)</f>
        <v>220</v>
      </c>
      <c r="I6" s="29" t="n">
        <f aca="false">INTERCEPT(Data_Returns!$J$375:$J$594,Data_Returns!$B$375:$B$594)</f>
        <v>-0.00243229034793754</v>
      </c>
      <c r="J6" s="7" t="n">
        <f aca="false">SLOPE(Data_Returns!$J$375:$J$594,Data_Returns!$B$375:$B$594)</f>
        <v>0.597422903734402</v>
      </c>
      <c r="K6" s="7" t="n">
        <f aca="false">RSQ(Data_Returns!$J$375:$J$594,Data_Returns!$B$375:$B$594)</f>
        <v>0.0455854731398207</v>
      </c>
      <c r="L6" s="29" t="n">
        <f aca="false">STEYX(Data_Returns!$J$375:$J$594,Data_Returns!$B$375:$B$594)</f>
        <v>0.0247192795068764</v>
      </c>
      <c r="M6" s="13" t="n">
        <f aca="false">COUNT(Data_Returns!$J$375:$J$594)</f>
        <v>220</v>
      </c>
    </row>
    <row r="7" customFormat="false" ht="15" hidden="false" customHeight="false" outlineLevel="0" collapsed="false">
      <c r="A7" s="5" t="s">
        <v>229</v>
      </c>
      <c r="B7" s="5" t="s">
        <v>230</v>
      </c>
      <c r="C7" s="5" t="s">
        <v>228</v>
      </c>
      <c r="D7" s="29" t="n">
        <f aca="false">INTERCEPT(Data_Returns!$K$56:$K$275,Data_Returns!$B$56:$B$275)</f>
        <v>0.000337199632988187</v>
      </c>
      <c r="E7" s="7" t="n">
        <f aca="false">SLOPE(Data_Returns!$K$56:$K$275,Data_Returns!$B$56:$B$275)</f>
        <v>1.04630293587963</v>
      </c>
      <c r="F7" s="7" t="n">
        <f aca="false">RSQ(Data_Returns!$K$56:$K$275,Data_Returns!$B$56:$B$275)</f>
        <v>0.184119302185739</v>
      </c>
      <c r="G7" s="29" t="n">
        <f aca="false">STEYX(Data_Returns!$K$56:$K$275,Data_Returns!$B$56:$B$275)</f>
        <v>0.0134620096189862</v>
      </c>
      <c r="H7" s="13" t="n">
        <f aca="false">COUNT(Data_Returns!$K$56:$K$275)</f>
        <v>220</v>
      </c>
      <c r="I7" s="29" t="n">
        <f aca="false">INTERCEPT(Data_Returns!$K$375:$K$594,Data_Returns!$B$375:$B$594)</f>
        <v>0.000197250939391859</v>
      </c>
      <c r="J7" s="7" t="n">
        <f aca="false">SLOPE(Data_Returns!$K$375:$K$594,Data_Returns!$B$375:$B$594)</f>
        <v>1.11822876110056</v>
      </c>
      <c r="K7" s="7" t="n">
        <f aca="false">RSQ(Data_Returns!$K$375:$K$594,Data_Returns!$B$375:$B$594)</f>
        <v>0.373418204567916</v>
      </c>
      <c r="L7" s="29" t="n">
        <f aca="false">STEYX(Data_Returns!$K$375:$K$594,Data_Returns!$B$375:$B$594)</f>
        <v>0.0130984665129283</v>
      </c>
      <c r="M7" s="13" t="n">
        <f aca="false">COUNT(Data_Returns!$K$375:$K$594)</f>
        <v>220</v>
      </c>
    </row>
    <row r="8" customFormat="false" ht="15" hidden="false" customHeight="false" outlineLevel="0" collapsed="false">
      <c r="A8" s="5" t="s">
        <v>231</v>
      </c>
      <c r="B8" s="5" t="s">
        <v>232</v>
      </c>
      <c r="C8" s="5" t="s">
        <v>228</v>
      </c>
      <c r="D8" s="29" t="n">
        <f aca="false">INTERCEPT(Data_Returns!$L$56:$L$275,Data_Returns!$B$56:$B$275)</f>
        <v>0.00223864813639791</v>
      </c>
      <c r="E8" s="7" t="n">
        <f aca="false">SLOPE(Data_Returns!$L$56:$L$275,Data_Returns!$B$56:$B$275)</f>
        <v>0.973034782372528</v>
      </c>
      <c r="F8" s="7" t="n">
        <f aca="false">RSQ(Data_Returns!$L$56:$L$275,Data_Returns!$B$56:$B$275)</f>
        <v>0.118483427233451</v>
      </c>
      <c r="G8" s="29" t="n">
        <f aca="false">STEYX(Data_Returns!$L$56:$L$275,Data_Returns!$B$56:$B$275)</f>
        <v>0.0162219696718609</v>
      </c>
      <c r="H8" s="13" t="n">
        <f aca="false">COUNT(Data_Returns!$L$56:$L$275)</f>
        <v>220</v>
      </c>
      <c r="I8" s="29" t="n">
        <f aca="false">INTERCEPT(Data_Returns!$L$375:$L$594,Data_Returns!$B$375:$B$594)</f>
        <v>0.000482244714416341</v>
      </c>
      <c r="J8" s="7" t="n">
        <f aca="false">SLOPE(Data_Returns!$L$375:$L$594,Data_Returns!$B$375:$B$594)</f>
        <v>1.12692721863598</v>
      </c>
      <c r="K8" s="7" t="n">
        <f aca="false">RSQ(Data_Returns!$L$375:$L$594,Data_Returns!$B$375:$B$594)</f>
        <v>0.227342875838781</v>
      </c>
      <c r="L8" s="29" t="n">
        <f aca="false">STEYX(Data_Returns!$L$375:$L$594,Data_Returns!$B$375:$B$594)</f>
        <v>0.0187865595376289</v>
      </c>
      <c r="M8" s="13" t="n">
        <f aca="false">COUNT(Data_Returns!$L$375:$L$594)</f>
        <v>220</v>
      </c>
    </row>
    <row r="9" customFormat="false" ht="15" hidden="false" customHeight="false" outlineLevel="0" collapsed="false">
      <c r="A9" s="5" t="s">
        <v>233</v>
      </c>
      <c r="B9" s="5" t="s">
        <v>234</v>
      </c>
      <c r="C9" s="5" t="s">
        <v>228</v>
      </c>
      <c r="D9" s="29" t="n">
        <f aca="false">INTERCEPT(Data_Returns!$M$56:$M$275,Data_Returns!$B$56:$B$275)</f>
        <v>0.00143011753857886</v>
      </c>
      <c r="E9" s="7" t="n">
        <f aca="false">SLOPE(Data_Returns!$M$56:$M$275,Data_Returns!$B$56:$B$275)</f>
        <v>0.579717810595403</v>
      </c>
      <c r="F9" s="7" t="n">
        <f aca="false">RSQ(Data_Returns!$M$56:$M$275,Data_Returns!$B$56:$B$275)</f>
        <v>0.0293220421635482</v>
      </c>
      <c r="G9" s="29" t="n">
        <f aca="false">STEYX(Data_Returns!$M$56:$M$275,Data_Returns!$B$56:$B$275)</f>
        <v>0.0203866517228759</v>
      </c>
      <c r="H9" s="13" t="n">
        <f aca="false">COUNT(Data_Returns!$M$56:$M$275)</f>
        <v>220</v>
      </c>
      <c r="I9" s="29" t="n">
        <f aca="false">INTERCEPT(Data_Returns!$M$375:$M$594,Data_Returns!$B$375:$B$594)</f>
        <v>-0.00215793536304711</v>
      </c>
      <c r="J9" s="7" t="n">
        <f aca="false">SLOPE(Data_Returns!$M$375:$M$594,Data_Returns!$B$375:$B$594)</f>
        <v>0.945340822125315</v>
      </c>
      <c r="K9" s="7" t="n">
        <f aca="false">RSQ(Data_Returns!$M$375:$M$594,Data_Returns!$B$375:$B$594)</f>
        <v>0.115731575297876</v>
      </c>
      <c r="L9" s="29" t="n">
        <f aca="false">STEYX(Data_Returns!$M$375:$M$594,Data_Returns!$B$375:$B$594)</f>
        <v>0.0236294270566593</v>
      </c>
      <c r="M9" s="13" t="n">
        <f aca="false">COUNT(Data_Returns!$M$375:$M$594)</f>
        <v>220</v>
      </c>
    </row>
    <row r="10" customFormat="false" ht="15" hidden="false" customHeight="false" outlineLevel="0" collapsed="false">
      <c r="A10" s="5" t="s">
        <v>235</v>
      </c>
      <c r="B10" s="5" t="s">
        <v>236</v>
      </c>
      <c r="C10" s="5" t="s">
        <v>228</v>
      </c>
      <c r="D10" s="29" t="n">
        <f aca="false">INTERCEPT(Data_Returns!$N$56:$N$275,Data_Returns!$B$56:$B$275)</f>
        <v>0.00171934814997376</v>
      </c>
      <c r="E10" s="7" t="n">
        <f aca="false">SLOPE(Data_Returns!$N$56:$N$275,Data_Returns!$B$56:$B$275)</f>
        <v>0.92085549500729</v>
      </c>
      <c r="F10" s="7" t="n">
        <f aca="false">RSQ(Data_Returns!$N$56:$N$275,Data_Returns!$B$56:$B$275)</f>
        <v>0.0582437118642756</v>
      </c>
      <c r="G10" s="29" t="n">
        <f aca="false">STEYX(Data_Returns!$N$56:$N$275,Data_Returns!$B$56:$B$275)</f>
        <v>0.0226321081291004</v>
      </c>
      <c r="H10" s="13" t="n">
        <f aca="false">COUNT(Data_Returns!$N$56:$N$275)</f>
        <v>220</v>
      </c>
      <c r="I10" s="29" t="n">
        <f aca="false">INTERCEPT(Data_Returns!$N$375:$N$594,Data_Returns!$B$375:$B$594)</f>
        <v>-0.00150453718120124</v>
      </c>
      <c r="J10" s="7" t="n">
        <f aca="false">SLOPE(Data_Returns!$N$375:$N$594,Data_Returns!$B$375:$B$594)</f>
        <v>1.30848933633365</v>
      </c>
      <c r="K10" s="7" t="n">
        <f aca="false">RSQ(Data_Returns!$N$375:$N$594,Data_Returns!$B$375:$B$594)</f>
        <v>0.102720440439569</v>
      </c>
      <c r="L10" s="29" t="n">
        <f aca="false">STEYX(Data_Returns!$N$375:$N$594,Data_Returns!$B$375:$B$594)</f>
        <v>0.0349706972315434</v>
      </c>
      <c r="M10" s="13" t="n">
        <f aca="false">COUNT(Data_Returns!$N$375:$N$594)</f>
        <v>220</v>
      </c>
    </row>
    <row r="11" customFormat="false" ht="15" hidden="false" customHeight="false" outlineLevel="0" collapsed="false">
      <c r="A11" s="5" t="s">
        <v>237</v>
      </c>
      <c r="B11" s="5" t="s">
        <v>238</v>
      </c>
      <c r="C11" s="5" t="s">
        <v>228</v>
      </c>
      <c r="D11" s="29" t="n">
        <f aca="false">INTERCEPT(Data_Returns!$O$56:$O$275,Data_Returns!$B$56:$B$275)</f>
        <v>0.00120712288176927</v>
      </c>
      <c r="E11" s="7" t="n">
        <f aca="false">SLOPE(Data_Returns!$O$56:$O$275,Data_Returns!$B$56:$B$275)</f>
        <v>1.29320073367548</v>
      </c>
      <c r="F11" s="7" t="n">
        <f aca="false">RSQ(Data_Returns!$O$56:$O$275,Data_Returns!$B$56:$B$275)</f>
        <v>0.171593350996575</v>
      </c>
      <c r="G11" s="29" t="n">
        <f aca="false">STEYX(Data_Returns!$O$56:$O$275,Data_Returns!$B$56:$B$275)</f>
        <v>0.0173670592504047</v>
      </c>
      <c r="H11" s="13" t="n">
        <f aca="false">COUNT(Data_Returns!$O$56:$O$275)</f>
        <v>220</v>
      </c>
      <c r="I11" s="29" t="n">
        <f aca="false">INTERCEPT(Data_Returns!$O$375:$O$594,Data_Returns!$B$375:$B$594)</f>
        <v>-0.00049827579637762</v>
      </c>
      <c r="J11" s="7" t="n">
        <f aca="false">SLOPE(Data_Returns!$O$375:$O$594,Data_Returns!$B$375:$B$594)</f>
        <v>1.16442233407232</v>
      </c>
      <c r="K11" s="7" t="n">
        <f aca="false">RSQ(Data_Returns!$O$375:$O$594,Data_Returns!$B$375:$B$594)</f>
        <v>0.312416640973234</v>
      </c>
      <c r="L11" s="29" t="n">
        <f aca="false">STEYX(Data_Returns!$O$375:$O$594,Data_Returns!$B$375:$B$594)</f>
        <v>0.0156208541996771</v>
      </c>
      <c r="M11" s="13" t="n">
        <f aca="false">COUNT(Data_Returns!$O$375:$O$594)</f>
        <v>220</v>
      </c>
    </row>
    <row r="12" customFormat="false" ht="15" hidden="false" customHeight="false" outlineLevel="0" collapsed="false">
      <c r="A12" s="5" t="s">
        <v>239</v>
      </c>
      <c r="B12" s="5" t="s">
        <v>240</v>
      </c>
      <c r="C12" s="5" t="s">
        <v>228</v>
      </c>
      <c r="D12" s="29" t="n">
        <f aca="false">INTERCEPT(Data_Returns!$P$56:$P$275,Data_Returns!$B$56:$B$275)</f>
        <v>0.000241488235860082</v>
      </c>
      <c r="E12" s="7" t="n">
        <f aca="false">SLOPE(Data_Returns!$P$56:$P$275,Data_Returns!$B$56:$B$275)</f>
        <v>0.860884423797457</v>
      </c>
      <c r="F12" s="7" t="n">
        <f aca="false">RSQ(Data_Returns!$P$56:$P$275,Data_Returns!$B$56:$B$275)</f>
        <v>0.139123182450695</v>
      </c>
      <c r="G12" s="29" t="n">
        <f aca="false">STEYX(Data_Returns!$P$56:$P$275,Data_Returns!$B$56:$B$275)</f>
        <v>0.013088937324601</v>
      </c>
      <c r="H12" s="13" t="n">
        <f aca="false">COUNT(Data_Returns!$P$56:$P$275)</f>
        <v>220</v>
      </c>
      <c r="I12" s="29" t="n">
        <f aca="false">INTERCEPT(Data_Returns!$P$375:$P$594,Data_Returns!$B$375:$B$594)</f>
        <v>0.00225708258730798</v>
      </c>
      <c r="J12" s="7" t="n">
        <f aca="false">SLOPE(Data_Returns!$P$375:$P$594,Data_Returns!$B$375:$B$594)</f>
        <v>0.847394678949749</v>
      </c>
      <c r="K12" s="7" t="n">
        <f aca="false">RSQ(Data_Returns!$P$375:$P$594,Data_Returns!$B$375:$B$594)</f>
        <v>0.193859485757915</v>
      </c>
      <c r="L12" s="29" t="n">
        <f aca="false">STEYX(Data_Returns!$P$375:$P$594,Data_Returns!$B$375:$B$594)</f>
        <v>0.0156259428353196</v>
      </c>
      <c r="M12" s="13" t="n">
        <f aca="false">COUNT(Data_Returns!$P$375:$P$594)</f>
        <v>220</v>
      </c>
    </row>
    <row r="13" customFormat="false" ht="15" hidden="false" customHeight="false" outlineLevel="0" collapsed="false">
      <c r="A13" s="5" t="s">
        <v>241</v>
      </c>
      <c r="B13" s="5" t="s">
        <v>242</v>
      </c>
      <c r="C13" s="5" t="s">
        <v>228</v>
      </c>
      <c r="D13" s="29" t="n">
        <f aca="false">INTERCEPT(Data_Returns!$Q$56:$Q$275,Data_Returns!$B$56:$B$275)</f>
        <v>0.000739413202501879</v>
      </c>
      <c r="E13" s="7" t="n">
        <f aca="false">SLOPE(Data_Returns!$Q$56:$Q$275,Data_Returns!$B$56:$B$275)</f>
        <v>1.26837393833949</v>
      </c>
      <c r="F13" s="7" t="n">
        <f aca="false">RSQ(Data_Returns!$Q$56:$Q$275,Data_Returns!$B$56:$B$275)</f>
        <v>0.134304445680076</v>
      </c>
      <c r="G13" s="29" t="n">
        <f aca="false">STEYX(Data_Returns!$Q$56:$Q$275,Data_Returns!$B$56:$B$275)</f>
        <v>0.0196821932912488</v>
      </c>
      <c r="H13" s="13" t="n">
        <f aca="false">COUNT(Data_Returns!$Q$56:$Q$275)</f>
        <v>220</v>
      </c>
      <c r="I13" s="29" t="n">
        <f aca="false">INTERCEPT(Data_Returns!$Q$375:$Q$594,Data_Returns!$B$375:$B$594)</f>
        <v>-0.00181286569281445</v>
      </c>
      <c r="J13" s="7" t="n">
        <f aca="false">SLOPE(Data_Returns!$Q$375:$Q$594,Data_Returns!$B$375:$B$594)</f>
        <v>0.839233834603551</v>
      </c>
      <c r="K13" s="7" t="n">
        <f aca="false">RSQ(Data_Returns!$Q$375:$Q$594,Data_Returns!$B$375:$B$594)</f>
        <v>0.0913470287436503</v>
      </c>
      <c r="L13" s="29" t="n">
        <f aca="false">STEYX(Data_Returns!$Q$375:$Q$594,Data_Returns!$B$375:$B$594)</f>
        <v>0.0239350010054467</v>
      </c>
      <c r="M13" s="13" t="n">
        <f aca="false">COUNT(Data_Returns!$Q$375:$Q$594)</f>
        <v>220</v>
      </c>
    </row>
    <row r="14" customFormat="false" ht="15" hidden="false" customHeight="false" outlineLevel="0" collapsed="false">
      <c r="A14" s="5" t="s">
        <v>243</v>
      </c>
      <c r="B14" s="5" t="s">
        <v>244</v>
      </c>
      <c r="C14" s="5" t="s">
        <v>228</v>
      </c>
      <c r="D14" s="29" t="n">
        <f aca="false">INTERCEPT(Data_Returns!$R$56:$R$275,Data_Returns!$B$56:$B$275)</f>
        <v>-0.000257315459702497</v>
      </c>
      <c r="E14" s="7" t="n">
        <f aca="false">SLOPE(Data_Returns!$R$56:$R$275,Data_Returns!$B$56:$B$275)</f>
        <v>0.838855090958471</v>
      </c>
      <c r="F14" s="7" t="n">
        <f aca="false">RSQ(Data_Returns!$R$56:$R$275,Data_Returns!$B$56:$B$275)</f>
        <v>0.17925629149307</v>
      </c>
      <c r="G14" s="29" t="n">
        <f aca="false">STEYX(Data_Returns!$R$56:$R$275,Data_Returns!$B$56:$B$275)</f>
        <v>0.0109709012367812</v>
      </c>
      <c r="H14" s="13" t="n">
        <f aca="false">COUNT(Data_Returns!$R$56:$R$275)</f>
        <v>220</v>
      </c>
      <c r="I14" s="29" t="n">
        <f aca="false">INTERCEPT(Data_Returns!$R$375:$R$594,Data_Returns!$B$375:$B$594)</f>
        <v>-2.83001587649688E-005</v>
      </c>
      <c r="J14" s="7" t="n">
        <f aca="false">SLOPE(Data_Returns!$R$375:$R$594,Data_Returns!$B$375:$B$594)</f>
        <v>0.585988260900572</v>
      </c>
      <c r="K14" s="7" t="n">
        <f aca="false">RSQ(Data_Returns!$R$375:$R$594,Data_Returns!$B$375:$B$594)</f>
        <v>0.152407643290069</v>
      </c>
      <c r="L14" s="29" t="n">
        <f aca="false">STEYX(Data_Returns!$R$375:$R$594,Data_Returns!$B$375:$B$594)</f>
        <v>0.0124961926140027</v>
      </c>
      <c r="M14" s="13" t="n">
        <f aca="false">COUNT(Data_Returns!$R$375:$R$594)</f>
        <v>220</v>
      </c>
    </row>
    <row r="15" customFormat="false" ht="15" hidden="false" customHeight="false" outlineLevel="0" collapsed="false">
      <c r="A15" s="5" t="s">
        <v>245</v>
      </c>
      <c r="B15" s="5" t="s">
        <v>246</v>
      </c>
      <c r="C15" s="5" t="s">
        <v>228</v>
      </c>
      <c r="D15" s="29" t="n">
        <f aca="false">INTERCEPT(Data_Returns!$S$56:$S$275,Data_Returns!$B$56:$B$275)</f>
        <v>0.00179684494998852</v>
      </c>
      <c r="E15" s="7" t="n">
        <f aca="false">SLOPE(Data_Returns!$S$56:$S$275,Data_Returns!$B$56:$B$275)</f>
        <v>0.614121220338723</v>
      </c>
      <c r="F15" s="7" t="n">
        <f aca="false">RSQ(Data_Returns!$S$56:$S$275,Data_Returns!$B$56:$B$275)</f>
        <v>0.0371578721845737</v>
      </c>
      <c r="G15" s="29" t="n">
        <f aca="false">STEYX(Data_Returns!$S$56:$S$275,Data_Returns!$B$56:$B$275)</f>
        <v>0.0191071103306014</v>
      </c>
      <c r="H15" s="13" t="n">
        <f aca="false">COUNT(Data_Returns!$S$56:$S$275)</f>
        <v>220</v>
      </c>
      <c r="I15" s="29" t="n">
        <f aca="false">INTERCEPT(Data_Returns!$S$375:$S$594,Data_Returns!$B$375:$B$594)</f>
        <v>0.000150692590146303</v>
      </c>
      <c r="J15" s="7" t="n">
        <f aca="false">SLOPE(Data_Returns!$S$375:$S$594,Data_Returns!$B$375:$B$594)</f>
        <v>1.62453996626402</v>
      </c>
      <c r="K15" s="7" t="n">
        <f aca="false">RSQ(Data_Returns!$S$375:$S$594,Data_Returns!$B$375:$B$594)</f>
        <v>0.422236618904151</v>
      </c>
      <c r="L15" s="29" t="n">
        <f aca="false">STEYX(Data_Returns!$S$375:$S$594,Data_Returns!$B$375:$B$594)</f>
        <v>0.0171840731031384</v>
      </c>
      <c r="M15" s="13" t="n">
        <f aca="false">COUNT(Data_Returns!$S$375:$S$594)</f>
        <v>220</v>
      </c>
    </row>
    <row r="16" customFormat="false" ht="15" hidden="false" customHeight="false" outlineLevel="0" collapsed="false">
      <c r="A16" s="5" t="s">
        <v>247</v>
      </c>
      <c r="B16" s="5" t="s">
        <v>248</v>
      </c>
      <c r="C16" s="5" t="s">
        <v>249</v>
      </c>
      <c r="D16" s="29" t="n">
        <f aca="false">INTERCEPT(Data_Returns!$D$56:$D$275,Data_Returns!$B$56:$B$275)</f>
        <v>-0.000464870953883037</v>
      </c>
      <c r="E16" s="7" t="n">
        <f aca="false">SLOPE(Data_Returns!$D$56:$D$275,Data_Returns!$B$56:$B$275)</f>
        <v>0.122323652428704</v>
      </c>
      <c r="F16" s="7" t="n">
        <f aca="false">RSQ(Data_Returns!$D$56:$D$275,Data_Returns!$B$56:$B$275)</f>
        <v>0.00184765709542171</v>
      </c>
      <c r="G16" s="29" t="n">
        <f aca="false">STEYX(Data_Returns!$D$56:$D$275,Data_Returns!$B$56:$B$275)</f>
        <v>0.0173774861741224</v>
      </c>
      <c r="H16" s="13" t="n">
        <f aca="false">COUNT(Data_Returns!$D$56:$D$275)</f>
        <v>220</v>
      </c>
      <c r="I16" s="29" t="n">
        <f aca="false">INTERCEPT(Data_Returns!$D$375:$D$594,Data_Returns!$B$375:$B$594)</f>
        <v>0.000519762758088248</v>
      </c>
      <c r="J16" s="7" t="n">
        <f aca="false">SLOPE(Data_Returns!$D$375:$D$594,Data_Returns!$B$375:$B$594)</f>
        <v>0.598063008697234</v>
      </c>
      <c r="K16" s="7" t="n">
        <f aca="false">RSQ(Data_Returns!$D$375:$D$594,Data_Returns!$B$375:$B$594)</f>
        <v>0.083508658754012</v>
      </c>
      <c r="L16" s="29" t="n">
        <f aca="false">STEYX(Data_Returns!$D$375:$D$594,Data_Returns!$B$375:$B$594)</f>
        <v>0.0179161224879513</v>
      </c>
      <c r="M16" s="13" t="n">
        <f aca="false">COUNT(Data_Returns!$D$375:$D$594)</f>
        <v>220</v>
      </c>
    </row>
    <row r="17" customFormat="false" ht="15" hidden="false" customHeight="false" outlineLevel="0" collapsed="false">
      <c r="A17" s="5" t="s">
        <v>250</v>
      </c>
      <c r="B17" s="5" t="s">
        <v>251</v>
      </c>
      <c r="C17" s="5" t="s">
        <v>249</v>
      </c>
      <c r="D17" s="29" t="n">
        <f aca="false">INTERCEPT(Data_Returns!$E$56:$E$275,Data_Returns!$B$56:$B$275)</f>
        <v>0.00141398258390106</v>
      </c>
      <c r="E17" s="7" t="n">
        <f aca="false">SLOPE(Data_Returns!$E$56:$E$275,Data_Returns!$B$56:$B$275)</f>
        <v>1.28528439840947</v>
      </c>
      <c r="F17" s="7" t="n">
        <f aca="false">RSQ(Data_Returns!$E$56:$E$275,Data_Returns!$B$56:$B$275)</f>
        <v>0.151393593979589</v>
      </c>
      <c r="G17" s="29" t="n">
        <f aca="false">STEYX(Data_Returns!$E$56:$E$275,Data_Returns!$B$56:$B$275)</f>
        <v>0.0185989069938523</v>
      </c>
      <c r="H17" s="13" t="n">
        <f aca="false">COUNT(Data_Returns!$E$56:$E$275)</f>
        <v>220</v>
      </c>
      <c r="I17" s="29" t="n">
        <f aca="false">INTERCEPT(Data_Returns!$E$375:$E$594,Data_Returns!$B$375:$B$594)</f>
        <v>-0.000931958377759116</v>
      </c>
      <c r="J17" s="7" t="n">
        <f aca="false">SLOPE(Data_Returns!$E$375:$E$594,Data_Returns!$B$375:$B$594)</f>
        <v>1.34293755124641</v>
      </c>
      <c r="K17" s="7" t="n">
        <f aca="false">RSQ(Data_Returns!$E$375:$E$594,Data_Returns!$B$375:$B$594)</f>
        <v>0.37115703802298</v>
      </c>
      <c r="L17" s="29" t="n">
        <f aca="false">STEYX(Data_Returns!$E$375:$E$594,Data_Returns!$B$375:$B$594)</f>
        <v>0.0158069006148919</v>
      </c>
      <c r="M17" s="13" t="n">
        <f aca="false">COUNT(Data_Returns!$E$375:$E$594)</f>
        <v>220</v>
      </c>
    </row>
    <row r="18" customFormat="false" ht="15" hidden="false" customHeight="false" outlineLevel="0" collapsed="false">
      <c r="A18" s="5" t="s">
        <v>252</v>
      </c>
      <c r="B18" s="5" t="s">
        <v>253</v>
      </c>
      <c r="C18" s="5" t="s">
        <v>249</v>
      </c>
      <c r="D18" s="29" t="n">
        <f aca="false">INTERCEPT(Data_Returns!$F$56:$F$275,Data_Returns!$B$56:$B$275)</f>
        <v>0.000985610980159769</v>
      </c>
      <c r="E18" s="7" t="n">
        <f aca="false">SLOPE(Data_Returns!$F$56:$F$275,Data_Returns!$B$56:$B$275)</f>
        <v>0.387326108218532</v>
      </c>
      <c r="F18" s="7" t="n">
        <f aca="false">RSQ(Data_Returns!$F$56:$F$275,Data_Returns!$B$56:$B$275)</f>
        <v>0.0162935715994748</v>
      </c>
      <c r="G18" s="29" t="n">
        <f aca="false">STEYX(Data_Returns!$F$56:$F$275,Data_Returns!$B$56:$B$275)</f>
        <v>0.0183945921756662</v>
      </c>
      <c r="H18" s="13" t="n">
        <f aca="false">COUNT(Data_Returns!$F$56:$F$275)</f>
        <v>220</v>
      </c>
      <c r="I18" s="29" t="n">
        <f aca="false">INTERCEPT(Data_Returns!$F$375:$F$594,Data_Returns!$B$375:$B$594)</f>
        <v>0.000631545415839002</v>
      </c>
      <c r="J18" s="7" t="n">
        <f aca="false">SLOPE(Data_Returns!$F$375:$F$594,Data_Returns!$B$375:$B$594)</f>
        <v>0.61328006965006</v>
      </c>
      <c r="K18" s="7" t="n">
        <f aca="false">RSQ(Data_Returns!$F$375:$F$594,Data_Returns!$B$375:$B$594)</f>
        <v>0.0457847250901446</v>
      </c>
      <c r="L18" s="29" t="n">
        <f aca="false">STEYX(Data_Returns!$F$375:$F$594,Data_Returns!$B$375:$B$594)</f>
        <v>0.0253174744716041</v>
      </c>
      <c r="M18" s="13" t="n">
        <f aca="false">COUNT(Data_Returns!$F$375:$F$594)</f>
        <v>220</v>
      </c>
    </row>
    <row r="19" customFormat="false" ht="15" hidden="false" customHeight="false" outlineLevel="0" collapsed="false">
      <c r="A19" s="5" t="s">
        <v>254</v>
      </c>
      <c r="B19" s="5" t="s">
        <v>255</v>
      </c>
      <c r="C19" s="5" t="s">
        <v>249</v>
      </c>
      <c r="D19" s="29" t="n">
        <f aca="false">INTERCEPT(Data_Returns!$G$56:$G$275,Data_Returns!$B$56:$B$275)</f>
        <v>0.000781216035554192</v>
      </c>
      <c r="E19" s="7" t="n">
        <f aca="false">SLOPE(Data_Returns!$G$56:$G$275,Data_Returns!$B$56:$B$275)</f>
        <v>1.34186209712293</v>
      </c>
      <c r="F19" s="7" t="n">
        <f aca="false">RSQ(Data_Returns!$G$56:$G$275,Data_Returns!$B$56:$B$275)</f>
        <v>0.236843991603533</v>
      </c>
      <c r="G19" s="29" t="n">
        <f aca="false">STEYX(Data_Returns!$G$56:$G$275,Data_Returns!$B$56:$B$275)</f>
        <v>0.0147221808095595</v>
      </c>
      <c r="H19" s="13" t="n">
        <f aca="false">COUNT(Data_Returns!$G$56:$G$275)</f>
        <v>220</v>
      </c>
      <c r="I19" s="29" t="n">
        <f aca="false">INTERCEPT(Data_Returns!$G$375:$G$594,Data_Returns!$B$375:$B$594)</f>
        <v>-0.00097016637479861</v>
      </c>
      <c r="J19" s="7" t="n">
        <f aca="false">SLOPE(Data_Returns!$G$375:$G$594,Data_Returns!$B$375:$B$594)</f>
        <v>1.66860177329709</v>
      </c>
      <c r="K19" s="7" t="n">
        <f aca="false">RSQ(Data_Returns!$G$375:$G$594,Data_Returns!$B$375:$B$594)</f>
        <v>0.44138544761829</v>
      </c>
      <c r="L19" s="29" t="n">
        <f aca="false">STEYX(Data_Returns!$G$375:$G$594,Data_Returns!$B$375:$B$594)</f>
        <v>0.0169745578594122</v>
      </c>
      <c r="M19" s="13" t="n">
        <f aca="false">COUNT(Data_Returns!$G$375:$G$594)</f>
        <v>220</v>
      </c>
    </row>
    <row r="20" customFormat="false" ht="15" hidden="false" customHeight="false" outlineLevel="0" collapsed="false">
      <c r="A20" s="5" t="s">
        <v>256</v>
      </c>
      <c r="B20" s="5" t="s">
        <v>257</v>
      </c>
      <c r="C20" s="5" t="s">
        <v>249</v>
      </c>
      <c r="D20" s="29" t="n">
        <f aca="false">INTERCEPT(Data_Returns!$H$56:$H$275,Data_Returns!$B$56:$B$275)</f>
        <v>0.00334587444036503</v>
      </c>
      <c r="E20" s="7" t="n">
        <f aca="false">SLOPE(Data_Returns!$H$56:$H$275,Data_Returns!$B$56:$B$275)</f>
        <v>1.41928632294382</v>
      </c>
      <c r="F20" s="7" t="n">
        <f aca="false">RSQ(Data_Returns!$H$56:$H$275,Data_Returns!$B$56:$B$275)</f>
        <v>0.0907192482172141</v>
      </c>
      <c r="G20" s="29" t="n">
        <f aca="false">STEYX(Data_Returns!$H$56:$H$275,Data_Returns!$B$56:$B$275)</f>
        <v>0.027463638800732</v>
      </c>
      <c r="H20" s="13" t="n">
        <f aca="false">COUNT(Data_Returns!$H$56:$H$275)</f>
        <v>220</v>
      </c>
      <c r="I20" s="29" t="n">
        <f aca="false">INTERCEPT(Data_Returns!$H$375:$H$594,Data_Returns!$B$375:$B$594)</f>
        <v>0.000864256351615642</v>
      </c>
      <c r="J20" s="7" t="n">
        <f aca="false">SLOPE(Data_Returns!$H$375:$H$594,Data_Returns!$B$375:$B$594)</f>
        <v>1.2672118095297</v>
      </c>
      <c r="K20" s="7" t="n">
        <f aca="false">RSQ(Data_Returns!$H$375:$H$594,Data_Returns!$B$375:$B$594)</f>
        <v>0.148641328938497</v>
      </c>
      <c r="L20" s="29" t="n">
        <f aca="false">STEYX(Data_Returns!$H$375:$H$594,Data_Returns!$B$375:$B$594)</f>
        <v>0.0274242245584606</v>
      </c>
      <c r="M20" s="13" t="n">
        <f aca="false">COUNT(Data_Returns!$H$375:$H$594)</f>
        <v>220</v>
      </c>
    </row>
    <row r="21" customFormat="false" ht="15" hidden="false" customHeight="false" outlineLevel="0" collapsed="false">
      <c r="A21" s="5" t="s">
        <v>258</v>
      </c>
      <c r="B21" s="5" t="s">
        <v>259</v>
      </c>
      <c r="C21" s="5" t="s">
        <v>249</v>
      </c>
      <c r="D21" s="29" t="n">
        <f aca="false">INTERCEPT(Data_Returns!$I$56:$I$275,Data_Returns!$B$56:$B$275)</f>
        <v>0.0020065734077593</v>
      </c>
      <c r="E21" s="7" t="n">
        <f aca="false">SLOPE(Data_Returns!$I$56:$I$275,Data_Returns!$B$56:$B$275)</f>
        <v>1.63223917316787</v>
      </c>
      <c r="F21" s="7" t="n">
        <f aca="false">RSQ(Data_Returns!$I$56:$I$275,Data_Returns!$B$56:$B$275)</f>
        <v>0.136697819644966</v>
      </c>
      <c r="G21" s="29" t="n">
        <f aca="false">STEYX(Data_Returns!$I$56:$I$275,Data_Returns!$B$56:$B$275)</f>
        <v>0.0250710893733548</v>
      </c>
      <c r="H21" s="13" t="n">
        <f aca="false">COUNT(Data_Returns!$I$56:$I$275)</f>
        <v>220</v>
      </c>
      <c r="I21" s="29" t="n">
        <f aca="false">INTERCEPT(Data_Returns!$I$375:$I$594,Data_Returns!$B$375:$B$594)</f>
        <v>-0.000402242178204602</v>
      </c>
      <c r="J21" s="7" t="n">
        <f aca="false">SLOPE(Data_Returns!$I$375:$I$594,Data_Returns!$B$375:$B$594)</f>
        <v>1.16879953125142</v>
      </c>
      <c r="K21" s="7" t="n">
        <f aca="false">RSQ(Data_Returns!$I$375:$I$594,Data_Returns!$B$375:$B$594)</f>
        <v>0.162064845886273</v>
      </c>
      <c r="L21" s="29" t="n">
        <f aca="false">STEYX(Data_Returns!$I$375:$I$594,Data_Returns!$B$375:$B$594)</f>
        <v>0.0240325290884058</v>
      </c>
      <c r="M21" s="13" t="n">
        <f aca="false">COUNT(Data_Returns!$I$375:$I$594)</f>
        <v>220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5" min="3" style="0" width="11"/>
    <col collapsed="false" customWidth="true" hidden="false" outlineLevel="0" max="6" min="6" style="0" width="7"/>
    <col collapsed="false" customWidth="true" hidden="false" outlineLevel="0" max="22" min="7" style="0" width="10"/>
  </cols>
  <sheetData>
    <row r="1" customFormat="false" ht="15" hidden="false" customHeight="false" outlineLevel="0" collapsed="false">
      <c r="A1" s="1" t="s">
        <v>260</v>
      </c>
    </row>
    <row r="2" customFormat="false" ht="15" hidden="false" customHeight="false" outlineLevel="0" collapsed="false">
      <c r="A2" s="2" t="s">
        <v>261</v>
      </c>
    </row>
    <row r="4" customFormat="false" ht="15" hidden="false" customHeight="false" outlineLevel="0" collapsed="false">
      <c r="A4" s="6" t="s">
        <v>262</v>
      </c>
      <c r="G4" s="30" t="n">
        <f aca="false">Data_Returns!A305</f>
        <v>45246</v>
      </c>
      <c r="H4" s="30" t="n">
        <f aca="false">Data_Returns!A306</f>
        <v>45247</v>
      </c>
      <c r="I4" s="30" t="n">
        <f aca="false">Data_Returns!A307</f>
        <v>45250</v>
      </c>
      <c r="J4" s="30" t="n">
        <f aca="false">Data_Returns!A308</f>
        <v>45251</v>
      </c>
    </row>
    <row r="5" customFormat="false" ht="15" hidden="false" customHeight="false" outlineLevel="0" collapsed="false">
      <c r="A5" s="5" t="s">
        <v>263</v>
      </c>
      <c r="H5" s="31" t="n">
        <f aca="false">Data_Returns!B306</f>
        <v>-0.00168983870641337</v>
      </c>
    </row>
    <row r="7" customFormat="false" ht="15" hidden="false" customHeight="false" outlineLevel="0" collapsed="false">
      <c r="A7" s="9" t="s">
        <v>264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</row>
    <row r="8" customFormat="false" ht="30" hidden="false" customHeight="true" outlineLevel="0" collapsed="false">
      <c r="A8" s="3" t="s">
        <v>265</v>
      </c>
      <c r="B8" s="3" t="s">
        <v>213</v>
      </c>
      <c r="C8" s="3" t="s">
        <v>266</v>
      </c>
      <c r="D8" s="3" t="s">
        <v>267</v>
      </c>
      <c r="E8" s="3" t="s">
        <v>268</v>
      </c>
      <c r="F8" s="3" t="s">
        <v>269</v>
      </c>
      <c r="G8" s="3" t="s">
        <v>270</v>
      </c>
      <c r="H8" s="3" t="s">
        <v>271</v>
      </c>
      <c r="I8" s="3" t="s">
        <v>272</v>
      </c>
      <c r="J8" s="3" t="s">
        <v>273</v>
      </c>
      <c r="K8" s="3" t="s">
        <v>274</v>
      </c>
      <c r="L8" s="3" t="s">
        <v>275</v>
      </c>
      <c r="M8" s="3" t="s">
        <v>276</v>
      </c>
      <c r="N8" s="3" t="s">
        <v>277</v>
      </c>
      <c r="O8" s="3" t="s">
        <v>278</v>
      </c>
      <c r="P8" s="3" t="s">
        <v>279</v>
      </c>
      <c r="Q8" s="3" t="s">
        <v>280</v>
      </c>
      <c r="R8" s="3" t="s">
        <v>281</v>
      </c>
      <c r="S8" s="3" t="s">
        <v>282</v>
      </c>
      <c r="T8" s="3" t="s">
        <v>283</v>
      </c>
      <c r="U8" s="3" t="s">
        <v>284</v>
      </c>
      <c r="V8" s="3" t="s">
        <v>285</v>
      </c>
    </row>
    <row r="9" customFormat="false" ht="15" hidden="false" customHeight="false" outlineLevel="0" collapsed="false">
      <c r="A9" s="5" t="s">
        <v>286</v>
      </c>
      <c r="B9" s="5" t="s">
        <v>287</v>
      </c>
      <c r="C9" s="29" t="n">
        <f aca="false">INTERCEPT(Data_Returns!$T$56:$T$275,Data_Returns!$B$56:$B$275)</f>
        <v>0.00121164693813661</v>
      </c>
      <c r="D9" s="7" t="n">
        <f aca="false">SLOPE(Data_Returns!$T$56:$T$275,Data_Returns!$B$56:$B$275)</f>
        <v>0.933033083798401</v>
      </c>
      <c r="E9" s="29" t="n">
        <f aca="false">STEYX(Data_Returns!$T$56:$T$275,Data_Returns!$B$56:$B$275)</f>
        <v>0.00790919163189469</v>
      </c>
      <c r="F9" s="13" t="n">
        <f aca="false">COUNT(Data_Returns!$T$56:$T$275)</f>
        <v>220</v>
      </c>
      <c r="G9" s="32" t="n">
        <f aca="false">Data_Returns!T305-($C9+$D9*Data_Returns!B305)</f>
        <v>-0.00779868454495786</v>
      </c>
      <c r="H9" s="32" t="n">
        <f aca="false">Data_Returns!T306-($C9+$D9*Data_Returns!B306)</f>
        <v>-0.0164974021722137</v>
      </c>
      <c r="I9" s="32" t="n">
        <f aca="false">Data_Returns!T307-($C9+$D9*Data_Returns!B307)</f>
        <v>0.00625404100185707</v>
      </c>
      <c r="J9" s="32" t="n">
        <f aca="false">Data_Returns!T308-($C9+$D9*Data_Returns!B308)</f>
        <v>-0.00665575907121547</v>
      </c>
      <c r="K9" s="32" t="n">
        <f aca="false">H9</f>
        <v>-0.0164974021722137</v>
      </c>
      <c r="L9" s="32" t="n">
        <f aca="false">H9+I9</f>
        <v>-0.0102433611703566</v>
      </c>
      <c r="M9" s="32" t="n">
        <f aca="false">H9+I9+J9</f>
        <v>-0.0168991202415721</v>
      </c>
      <c r="N9" s="32" t="n">
        <f aca="false">G9+H9+I9</f>
        <v>-0.0180420457153144</v>
      </c>
      <c r="O9" s="20" t="n">
        <f aca="false">K9/($E9*SQRT(1))</f>
        <v>-2.0858518721036</v>
      </c>
      <c r="P9" s="20" t="n">
        <f aca="false">L9/($E9*SQRT(2))</f>
        <v>-0.91578893050123</v>
      </c>
      <c r="Q9" s="20" t="n">
        <f aca="false">M9/($E9*SQRT(3))</f>
        <v>-1.23359150651939</v>
      </c>
      <c r="R9" s="20" t="n">
        <f aca="false">N9/($E9*SQRT(3))</f>
        <v>-1.31702207194757</v>
      </c>
      <c r="S9" s="7" t="n">
        <f aca="false">_xlfn.T.DIST.2T(ABS(O9),$F9-2)</f>
        <v>0.0381554601415557</v>
      </c>
      <c r="T9" s="7" t="n">
        <f aca="false">_xlfn.T.DIST.2T(ABS(P9),$F9-2)</f>
        <v>0.360789516030114</v>
      </c>
      <c r="U9" s="7" t="n">
        <f aca="false">_xlfn.T.DIST.2T(ABS(Q9),$F9-2)</f>
        <v>0.218683525857511</v>
      </c>
      <c r="V9" s="7" t="n">
        <f aca="false">_xlfn.T.DIST.2T(ABS(R9),$F9-2)</f>
        <v>0.189213935166175</v>
      </c>
    </row>
    <row r="10" customFormat="false" ht="15" hidden="false" customHeight="false" outlineLevel="0" collapsed="false">
      <c r="A10" s="5" t="s">
        <v>288</v>
      </c>
      <c r="B10" s="5" t="s">
        <v>287</v>
      </c>
      <c r="C10" s="29" t="n">
        <f aca="false">INTERCEPT(Data_Returns!$U$56:$U$275,Data_Returns!$B$56:$B$275)</f>
        <v>0.00113179645163294</v>
      </c>
      <c r="D10" s="7" t="n">
        <f aca="false">SLOPE(Data_Returns!$U$56:$U$275,Data_Returns!$B$56:$B$275)</f>
        <v>0.874020758848308</v>
      </c>
      <c r="E10" s="29" t="n">
        <f aca="false">STEYX(Data_Returns!$U$56:$U$275,Data_Returns!$B$56:$B$275)</f>
        <v>0.00851768890651943</v>
      </c>
      <c r="F10" s="13" t="n">
        <f aca="false">COUNT(Data_Returns!$U$56:$U$275)</f>
        <v>220</v>
      </c>
      <c r="G10" s="32" t="n">
        <f aca="false">Data_Returns!U305-($C10+$D10*Data_Returns!B305)</f>
        <v>-0.00361003805856846</v>
      </c>
      <c r="H10" s="32" t="n">
        <f aca="false">Data_Returns!U306-($C10+$D10*Data_Returns!B306)</f>
        <v>-0.0263534386658351</v>
      </c>
      <c r="I10" s="32" t="n">
        <f aca="false">Data_Returns!U307-($C10+$D10*Data_Returns!B307)</f>
        <v>0.00437602508667071</v>
      </c>
      <c r="J10" s="32" t="n">
        <f aca="false">Data_Returns!U308-($C10+$D10*Data_Returns!B308)</f>
        <v>-0.00432842455531962</v>
      </c>
      <c r="K10" s="32" t="n">
        <f aca="false">H10</f>
        <v>-0.0263534386658351</v>
      </c>
      <c r="L10" s="32" t="n">
        <f aca="false">H10+I10</f>
        <v>-0.0219774135791643</v>
      </c>
      <c r="M10" s="32" t="n">
        <f aca="false">H10+I10+J10</f>
        <v>-0.026305838134484</v>
      </c>
      <c r="N10" s="32" t="n">
        <f aca="false">G10+H10+I10</f>
        <v>-0.0255874516377328</v>
      </c>
      <c r="O10" s="20" t="n">
        <f aca="false">K10/($E10*SQRT(1))</f>
        <v>-3.09396585799983</v>
      </c>
      <c r="P10" s="20" t="n">
        <f aca="false">L10/($E10*SQRT(2))</f>
        <v>-1.82448294899263</v>
      </c>
      <c r="Q10" s="20" t="n">
        <f aca="false">M10/($E10*SQRT(3))</f>
        <v>-1.7830755378467</v>
      </c>
      <c r="R10" s="20" t="n">
        <f aca="false">N10/($E10*SQRT(3))</f>
        <v>-1.73438150336934</v>
      </c>
      <c r="S10" s="7" t="n">
        <f aca="false">_xlfn.T.DIST.2T(ABS(O10),$F10-2)</f>
        <v>0.0022334788984066</v>
      </c>
      <c r="T10" s="7" t="n">
        <f aca="false">_xlfn.T.DIST.2T(ABS(P10),$F10-2)</f>
        <v>0.0694479163670137</v>
      </c>
      <c r="U10" s="7" t="n">
        <f aca="false">_xlfn.T.DIST.2T(ABS(Q10),$F10-2)</f>
        <v>0.0759653732062521</v>
      </c>
      <c r="V10" s="7" t="n">
        <f aca="false">_xlfn.T.DIST.2T(ABS(R10),$F10-2)</f>
        <v>0.0842639557096005</v>
      </c>
    </row>
    <row r="11" customFormat="false" ht="15" hidden="false" customHeight="false" outlineLevel="0" collapsed="false">
      <c r="A11" s="5" t="s">
        <v>289</v>
      </c>
      <c r="B11" s="5" t="s">
        <v>287</v>
      </c>
      <c r="C11" s="29" t="n">
        <f aca="false">INTERCEPT(Data_Returns!$V$56:$V$275,Data_Returns!$B$56:$B$275)</f>
        <v>0.00134473108230939</v>
      </c>
      <c r="D11" s="7" t="n">
        <f aca="false">SLOPE(Data_Returns!$V$56:$V$275,Data_Returns!$B$56:$B$275)</f>
        <v>1.03138695871522</v>
      </c>
      <c r="E11" s="29" t="n">
        <f aca="false">STEYX(Data_Returns!$V$56:$V$275,Data_Returns!$B$56:$B$275)</f>
        <v>0.0102922646636997</v>
      </c>
      <c r="F11" s="13" t="n">
        <f aca="false">COUNT(Data_Returns!$V$56:$V$275)</f>
        <v>220</v>
      </c>
      <c r="G11" s="32" t="n">
        <f aca="false">Data_Returns!V305-($C11+$D11*Data_Returns!B305)</f>
        <v>-0.0147797620222735</v>
      </c>
      <c r="H11" s="32" t="n">
        <f aca="false">Data_Returns!V306-($C11+$D11*Data_Returns!B306)</f>
        <v>-7.06746828446559E-005</v>
      </c>
      <c r="I11" s="32" t="n">
        <f aca="false">Data_Returns!V307-($C11+$D11*Data_Returns!B307)</f>
        <v>0.00938406752716766</v>
      </c>
      <c r="J11" s="32" t="n">
        <f aca="false">Data_Returns!V308-($C11+$D11*Data_Returns!B308)</f>
        <v>-0.0105346499310419</v>
      </c>
      <c r="K11" s="32" t="n">
        <f aca="false">H11</f>
        <v>-7.06746828446559E-005</v>
      </c>
      <c r="L11" s="32" t="n">
        <f aca="false">H11+I11</f>
        <v>0.00931339284432301</v>
      </c>
      <c r="M11" s="32" t="n">
        <f aca="false">H11+I11+J11</f>
        <v>-0.00122125708671888</v>
      </c>
      <c r="N11" s="32" t="n">
        <f aca="false">G11+H11+I11</f>
        <v>-0.00546636917795052</v>
      </c>
      <c r="O11" s="20" t="n">
        <f aca="false">K11/($E11*SQRT(1))</f>
        <v>-0.00686677666713355</v>
      </c>
      <c r="P11" s="20" t="n">
        <f aca="false">L11/($E11*SQRT(2))</f>
        <v>0.639855605278209</v>
      </c>
      <c r="Q11" s="20" t="n">
        <f aca="false">M11/($E11*SQRT(3))</f>
        <v>-0.0685070905972439</v>
      </c>
      <c r="R11" s="20" t="n">
        <f aca="false">N11/($E11*SQRT(3))</f>
        <v>-0.306638997295776</v>
      </c>
      <c r="S11" s="7" t="n">
        <f aca="false">_xlfn.T.DIST.2T(ABS(O11),$F11-2)</f>
        <v>0.994527427633077</v>
      </c>
      <c r="T11" s="7" t="n">
        <f aca="false">_xlfn.T.DIST.2T(ABS(P11),$F11-2)</f>
        <v>0.522938349081414</v>
      </c>
      <c r="U11" s="7" t="n">
        <f aca="false">_xlfn.T.DIST.2T(ABS(Q11),$F11-2)</f>
        <v>0.945444770436857</v>
      </c>
      <c r="V11" s="7" t="n">
        <f aca="false">_xlfn.T.DIST.2T(ABS(R11),$F11-2)</f>
        <v>0.75941084653473</v>
      </c>
    </row>
    <row r="12" customFormat="false" ht="15" hidden="false" customHeight="false" outlineLevel="0" collapsed="false">
      <c r="A12" s="5" t="s">
        <v>290</v>
      </c>
      <c r="B12" s="5" t="s">
        <v>287</v>
      </c>
      <c r="C12" s="29" t="n">
        <f aca="false">INTERCEPT(Data_Returns!$W$56:$W$275,Data_Returns!$B$56:$B$275)</f>
        <v>0.000273099125262523</v>
      </c>
      <c r="D12" s="7" t="n">
        <f aca="false">SLOPE(Data_Returns!$W$56:$W$275,Data_Returns!$B$56:$B$275)</f>
        <v>1.05117732172586</v>
      </c>
      <c r="E12" s="29" t="n">
        <f aca="false">STEYX(Data_Returns!$W$56:$W$275,Data_Returns!$B$56:$B$275)</f>
        <v>0.00960817852559348</v>
      </c>
      <c r="F12" s="13" t="n">
        <f aca="false">COUNT(Data_Returns!$W$56:$W$275)</f>
        <v>220</v>
      </c>
      <c r="G12" s="32" t="n">
        <f aca="false">Data_Returns!W305-($C12+$D12*Data_Returns!B305)</f>
        <v>-0.00387620136463892</v>
      </c>
      <c r="H12" s="32" t="n">
        <f aca="false">Data_Returns!W306-($C12+$D12*Data_Returns!B306)</f>
        <v>-0.0328042543265548</v>
      </c>
      <c r="I12" s="32" t="n">
        <f aca="false">Data_Returns!W307-($C12+$D12*Data_Returns!B307)</f>
        <v>-0.00808802537401058</v>
      </c>
      <c r="J12" s="32" t="n">
        <f aca="false">Data_Returns!W308-($C12+$D12*Data_Returns!B308)</f>
        <v>-0.00941450459207918</v>
      </c>
      <c r="K12" s="32" t="n">
        <f aca="false">H12</f>
        <v>-0.0328042543265548</v>
      </c>
      <c r="L12" s="32" t="n">
        <f aca="false">H12+I12</f>
        <v>-0.0408922797005654</v>
      </c>
      <c r="M12" s="32" t="n">
        <f aca="false">H12+I12+J12</f>
        <v>-0.0503067842926445</v>
      </c>
      <c r="N12" s="32" t="n">
        <f aca="false">G12+H12+I12</f>
        <v>-0.0447684810652043</v>
      </c>
      <c r="O12" s="20" t="n">
        <f aca="false">K12/($E12*SQRT(1))</f>
        <v>-3.41420116613919</v>
      </c>
      <c r="P12" s="20" t="n">
        <f aca="false">L12/($E12*SQRT(2))</f>
        <v>-3.00943703298443</v>
      </c>
      <c r="Q12" s="20" t="n">
        <f aca="false">M12/($E12*SQRT(3))</f>
        <v>-3.02290755485611</v>
      </c>
      <c r="R12" s="20" t="n">
        <f aca="false">N12/($E12*SQRT(3))</f>
        <v>-2.69011389883702</v>
      </c>
      <c r="S12" s="7" t="n">
        <f aca="false">_xlfn.T.DIST.2T(ABS(O12),$F12-2)</f>
        <v>0.000762691097758932</v>
      </c>
      <c r="T12" s="7" t="n">
        <f aca="false">_xlfn.T.DIST.2T(ABS(P12),$F12-2)</f>
        <v>0.00292547263731229</v>
      </c>
      <c r="U12" s="7" t="n">
        <f aca="false">_xlfn.T.DIST.2T(ABS(Q12),$F12-2)</f>
        <v>0.0028033974129451</v>
      </c>
      <c r="V12" s="7" t="n">
        <f aca="false">_xlfn.T.DIST.2T(ABS(R12),$F12-2)</f>
        <v>0.00769581933759049</v>
      </c>
    </row>
    <row r="13" customFormat="false" ht="15" hidden="false" customHeight="false" outlineLevel="0" collapsed="false">
      <c r="A13" s="5" t="s">
        <v>291</v>
      </c>
      <c r="B13" s="5" t="s">
        <v>287</v>
      </c>
      <c r="C13" s="29" t="n">
        <f aca="false">INTERCEPT(Data_Returns!$X$56:$X$275,Data_Returns!$B$56:$B$275)</f>
        <v>0.00100284371622214</v>
      </c>
      <c r="D13" s="7" t="n">
        <f aca="false">SLOPE(Data_Returns!$X$56:$X$275,Data_Returns!$B$56:$B$275)</f>
        <v>0.976953577546133</v>
      </c>
      <c r="E13" s="29" t="n">
        <f aca="false">STEYX(Data_Returns!$X$56:$X$275,Data_Returns!$B$56:$B$275)</f>
        <v>0.00864399861015996</v>
      </c>
      <c r="F13" s="13" t="n">
        <f aca="false">COUNT(Data_Returns!$X$56:$X$275)</f>
        <v>220</v>
      </c>
      <c r="G13" s="32" t="n">
        <f aca="false">Data_Returns!X305-($C13+$D13*Data_Returns!B305)</f>
        <v>-0.00166265894422867</v>
      </c>
      <c r="H13" s="32" t="n">
        <f aca="false">Data_Returns!X306-($C13+$D13*Data_Returns!B306)</f>
        <v>-0.0225657332625971</v>
      </c>
      <c r="I13" s="32" t="n">
        <f aca="false">Data_Returns!X307-($C13+$D13*Data_Returns!B307)</f>
        <v>-0.00615618724125946</v>
      </c>
      <c r="J13" s="32" t="n">
        <f aca="false">Data_Returns!X308-($C13+$D13*Data_Returns!B308)</f>
        <v>-0.0108979905807497</v>
      </c>
      <c r="K13" s="32" t="n">
        <f aca="false">H13</f>
        <v>-0.0225657332625971</v>
      </c>
      <c r="L13" s="32" t="n">
        <f aca="false">H13+I13</f>
        <v>-0.0287219205038566</v>
      </c>
      <c r="M13" s="32" t="n">
        <f aca="false">H13+I13+J13</f>
        <v>-0.0396199110846063</v>
      </c>
      <c r="N13" s="32" t="n">
        <f aca="false">G13+H13+I13</f>
        <v>-0.0303845794480853</v>
      </c>
      <c r="O13" s="20" t="n">
        <f aca="false">K13/($E13*SQRT(1))</f>
        <v>-2.61056650750428</v>
      </c>
      <c r="P13" s="20" t="n">
        <f aca="false">L13/($E13*SQRT(2))</f>
        <v>-2.3495451206004</v>
      </c>
      <c r="Q13" s="20" t="n">
        <f aca="false">M13/($E13*SQRT(3))</f>
        <v>-2.64629454047809</v>
      </c>
      <c r="R13" s="20" t="n">
        <f aca="false">N13/($E13*SQRT(3))</f>
        <v>-2.02944793430976</v>
      </c>
      <c r="S13" s="7" t="n">
        <f aca="false">_xlfn.T.DIST.2T(ABS(O13),$F13-2)</f>
        <v>0.00966637565414685</v>
      </c>
      <c r="T13" s="7" t="n">
        <f aca="false">_xlfn.T.DIST.2T(ABS(P13),$F13-2)</f>
        <v>0.0196901189573612</v>
      </c>
      <c r="U13" s="7" t="n">
        <f aca="false">_xlfn.T.DIST.2T(ABS(Q13),$F13-2)</f>
        <v>0.0087311991141046</v>
      </c>
      <c r="V13" s="7" t="n">
        <f aca="false">_xlfn.T.DIST.2T(ABS(R13),$F13-2)</f>
        <v>0.0436279621021901</v>
      </c>
    </row>
    <row r="14" customFormat="false" ht="15" hidden="false" customHeight="false" outlineLevel="0" collapsed="false">
      <c r="A14" s="5" t="s">
        <v>292</v>
      </c>
      <c r="B14" s="5" t="s">
        <v>287</v>
      </c>
      <c r="C14" s="29" t="n">
        <f aca="false">INTERCEPT(Data_Returns!$Y$56:$Y$275,Data_Returns!$B$56:$B$275)</f>
        <v>0.00122008498703791</v>
      </c>
      <c r="D14" s="7" t="n">
        <f aca="false">SLOPE(Data_Returns!$Y$56:$Y$275,Data_Returns!$B$56:$B$275)</f>
        <v>0.854878294733717</v>
      </c>
      <c r="E14" s="29" t="n">
        <f aca="false">STEYX(Data_Returns!$Y$56:$Y$275,Data_Returns!$B$56:$B$275)</f>
        <v>0.00907509737914167</v>
      </c>
      <c r="F14" s="13" t="n">
        <f aca="false">COUNT(Data_Returns!$Y$56:$Y$275)</f>
        <v>220</v>
      </c>
      <c r="G14" s="32" t="n">
        <f aca="false">Data_Returns!Y305-($C14+$D14*Data_Returns!B305)</f>
        <v>-0.005567192302407</v>
      </c>
      <c r="H14" s="32" t="n">
        <f aca="false">Data_Returns!Y306-($C14+$D14*Data_Returns!B306)</f>
        <v>-0.0273067396406106</v>
      </c>
      <c r="I14" s="32" t="n">
        <f aca="false">Data_Returns!Y307-($C14+$D14*Data_Returns!B307)</f>
        <v>0.00702212403399845</v>
      </c>
      <c r="J14" s="32" t="n">
        <f aca="false">Data_Returns!Y308-($C14+$D14*Data_Returns!B308)</f>
        <v>-0.00478719778491176</v>
      </c>
      <c r="K14" s="32" t="n">
        <f aca="false">H14</f>
        <v>-0.0273067396406106</v>
      </c>
      <c r="L14" s="32" t="n">
        <f aca="false">H14+I14</f>
        <v>-0.0202846156066121</v>
      </c>
      <c r="M14" s="32" t="n">
        <f aca="false">H14+I14+J14</f>
        <v>-0.0250718133915239</v>
      </c>
      <c r="N14" s="32" t="n">
        <f aca="false">G14+H14+I14</f>
        <v>-0.0258518079090191</v>
      </c>
      <c r="O14" s="20" t="n">
        <f aca="false">K14/($E14*SQRT(1))</f>
        <v>-3.00897483517618</v>
      </c>
      <c r="P14" s="20" t="n">
        <f aca="false">L14/($E14*SQRT(2))</f>
        <v>-1.58052180047841</v>
      </c>
      <c r="Q14" s="20" t="n">
        <f aca="false">M14/($E14*SQRT(3))</f>
        <v>-1.59504825192713</v>
      </c>
      <c r="R14" s="20" t="n">
        <f aca="false">N14/($E14*SQRT(3))</f>
        <v>-1.64467086486761</v>
      </c>
      <c r="S14" s="7" t="n">
        <f aca="false">_xlfn.T.DIST.2T(ABS(O14),$F14-2)</f>
        <v>0.00292974665898945</v>
      </c>
      <c r="T14" s="7" t="n">
        <f aca="false">_xlfn.T.DIST.2T(ABS(P14),$F14-2)</f>
        <v>0.115437219231588</v>
      </c>
      <c r="U14" s="7" t="n">
        <f aca="false">_xlfn.T.DIST.2T(ABS(Q14),$F14-2)</f>
        <v>0.112150139030155</v>
      </c>
      <c r="V14" s="7" t="n">
        <f aca="false">_xlfn.T.DIST.2T(ABS(R14),$F14-2)</f>
        <v>0.101478896840243</v>
      </c>
    </row>
    <row r="15" customFormat="false" ht="15" hidden="false" customHeight="false" outlineLevel="0" collapsed="false">
      <c r="A15" s="5" t="s">
        <v>293</v>
      </c>
      <c r="B15" s="5" t="s">
        <v>294</v>
      </c>
      <c r="C15" s="29" t="n">
        <f aca="false">INTERCEPT(Data_Returns!$Z$56:$Z$275,Data_Returns!$B$56:$B$275)</f>
        <v>-0.000212934630676448</v>
      </c>
      <c r="D15" s="7" t="n">
        <f aca="false">SLOPE(Data_Returns!$Z$56:$Z$275,Data_Returns!$B$56:$B$275)</f>
        <v>-0.157366199866913</v>
      </c>
      <c r="E15" s="29" t="n">
        <f aca="false">STEYX(Data_Returns!$Z$56:$Z$275,Data_Returns!$B$56:$B$275)</f>
        <v>0.00980080973808129</v>
      </c>
      <c r="F15" s="13" t="n">
        <f aca="false">COUNT(Data_Returns!$Z$56:$Z$275)</f>
        <v>220</v>
      </c>
      <c r="G15" s="32" t="n">
        <f aca="false">Data_Returns!Z305-($C15+$D15*Data_Returns!B305)</f>
        <v>0.0111697239637051</v>
      </c>
      <c r="H15" s="32" t="n">
        <f aca="false">Data_Returns!Z306-($C15+$D15*Data_Returns!B306)</f>
        <v>-0.0262827639829904</v>
      </c>
      <c r="I15" s="32" t="n">
        <f aca="false">Data_Returns!Z307-($C15+$D15*Data_Returns!B307)</f>
        <v>-0.00500804244049695</v>
      </c>
      <c r="J15" s="32" t="n">
        <f aca="false">Data_Returns!Z308-($C15+$D15*Data_Returns!B308)</f>
        <v>0.00620622537572227</v>
      </c>
      <c r="K15" s="32" t="n">
        <f aca="false">H15</f>
        <v>-0.0262827639829904</v>
      </c>
      <c r="L15" s="32" t="n">
        <f aca="false">H15+I15</f>
        <v>-0.0312908064234874</v>
      </c>
      <c r="M15" s="32" t="n">
        <f aca="false">H15+I15+J15</f>
        <v>-0.0250845810477651</v>
      </c>
      <c r="N15" s="32" t="n">
        <f aca="false">G15+H15+I15</f>
        <v>-0.0201210824597823</v>
      </c>
      <c r="O15" s="20" t="n">
        <f aca="false">K15/($E15*SQRT(1))</f>
        <v>-2.68169311366877</v>
      </c>
      <c r="P15" s="20" t="n">
        <f aca="false">L15/($E15*SQRT(2))</f>
        <v>-2.25756258943305</v>
      </c>
      <c r="Q15" s="20" t="n">
        <f aca="false">M15/($E15*SQRT(3))</f>
        <v>-1.47769317102073</v>
      </c>
      <c r="R15" s="20" t="n">
        <f aca="false">N15/($E15*SQRT(3))</f>
        <v>-1.18530128479121</v>
      </c>
      <c r="S15" s="7" t="n">
        <f aca="false">_xlfn.T.DIST.2T(ABS(O15),$F15-2)</f>
        <v>0.00788574221725719</v>
      </c>
      <c r="T15" s="7" t="n">
        <f aca="false">_xlfn.T.DIST.2T(ABS(P15),$F15-2)</f>
        <v>0.0249636514458009</v>
      </c>
      <c r="U15" s="7" t="n">
        <f aca="false">_xlfn.T.DIST.2T(ABS(Q15),$F15-2)</f>
        <v>0.140933184855701</v>
      </c>
      <c r="V15" s="7" t="n">
        <f aca="false">_xlfn.T.DIST.2T(ABS(R15),$F15-2)</f>
        <v>0.237188796478454</v>
      </c>
    </row>
    <row r="16" customFormat="false" ht="15" hidden="false" customHeight="false" outlineLevel="0" collapsed="false">
      <c r="A16" s="5" t="s">
        <v>295</v>
      </c>
      <c r="B16" s="5" t="s">
        <v>294</v>
      </c>
      <c r="C16" s="29" t="n">
        <f aca="false">INTERCEPT(Data_Returns!$AA$56:$AA$275,Data_Returns!$B$56:$B$275)</f>
        <v>-0.00107163195704686</v>
      </c>
      <c r="D16" s="7" t="n">
        <f aca="false">SLOPE(Data_Returns!$AA$56:$AA$275,Data_Returns!$B$56:$B$275)</f>
        <v>0.0197903630106426</v>
      </c>
      <c r="E16" s="29" t="n">
        <f aca="false">STEYX(Data_Returns!$AA$56:$AA$275,Data_Returns!$B$56:$B$275)</f>
        <v>0.0122401336387783</v>
      </c>
      <c r="F16" s="13" t="n">
        <f aca="false">COUNT(Data_Returns!$AA$56:$AA$275)</f>
        <v>220</v>
      </c>
      <c r="G16" s="32" t="n">
        <f aca="false">Data_Returns!AA305-($C16+$D16*Data_Returns!B305)</f>
        <v>0.0109035606576346</v>
      </c>
      <c r="H16" s="32" t="n">
        <f aca="false">Data_Returns!AA306-($C16+$D16*Data_Returns!B306)</f>
        <v>-0.0327335796437101</v>
      </c>
      <c r="I16" s="32" t="n">
        <f aca="false">Data_Returns!AA307-($C16+$D16*Data_Returns!B307)</f>
        <v>-0.0174720929011782</v>
      </c>
      <c r="J16" s="32" t="n">
        <f aca="false">Data_Returns!AA308-($C16+$D16*Data_Returns!B308)</f>
        <v>0.00112014533896271</v>
      </c>
      <c r="K16" s="32" t="n">
        <f aca="false">H16</f>
        <v>-0.0327335796437101</v>
      </c>
      <c r="L16" s="32" t="n">
        <f aca="false">H16+I16</f>
        <v>-0.0502056725448884</v>
      </c>
      <c r="M16" s="32" t="n">
        <f aca="false">H16+I16+J16</f>
        <v>-0.0490855272059257</v>
      </c>
      <c r="N16" s="32" t="n">
        <f aca="false">G16+H16+I16</f>
        <v>-0.0393021118872538</v>
      </c>
      <c r="O16" s="20" t="n">
        <f aca="false">K16/($E16*SQRT(1))</f>
        <v>-2.67428286403721</v>
      </c>
      <c r="P16" s="20" t="n">
        <f aca="false">L16/($E16*SQRT(2))</f>
        <v>-2.90035816259807</v>
      </c>
      <c r="Q16" s="20" t="n">
        <f aca="false">M16/($E16*SQRT(3))</f>
        <v>-2.31529680818783</v>
      </c>
      <c r="R16" s="20" t="n">
        <f aca="false">N16/($E16*SQRT(3))</f>
        <v>-1.85382656329328</v>
      </c>
      <c r="S16" s="7" t="n">
        <f aca="false">_xlfn.T.DIST.2T(ABS(O16),$F16-2)</f>
        <v>0.00805635905126557</v>
      </c>
      <c r="T16" s="7" t="n">
        <f aca="false">_xlfn.T.DIST.2T(ABS(P16),$F16-2)</f>
        <v>0.00410904997652778</v>
      </c>
      <c r="U16" s="7" t="n">
        <f aca="false">_xlfn.T.DIST.2T(ABS(Q16),$F16-2)</f>
        <v>0.0215266463825326</v>
      </c>
      <c r="V16" s="7" t="n">
        <f aca="false">_xlfn.T.DIST.2T(ABS(R16),$F16-2)</f>
        <v>0.065114899033257</v>
      </c>
    </row>
    <row r="18" customFormat="false" ht="15" hidden="false" customHeight="false" outlineLevel="0" collapsed="false">
      <c r="A18" s="9" t="s">
        <v>296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</row>
    <row r="19" customFormat="false" ht="30" hidden="false" customHeight="true" outlineLevel="0" collapsed="false">
      <c r="A19" s="3" t="s">
        <v>265</v>
      </c>
      <c r="B19" s="3" t="s">
        <v>213</v>
      </c>
      <c r="C19" s="3" t="s">
        <v>266</v>
      </c>
      <c r="D19" s="3" t="s">
        <v>267</v>
      </c>
      <c r="E19" s="3" t="s">
        <v>268</v>
      </c>
      <c r="F19" s="3" t="s">
        <v>269</v>
      </c>
      <c r="G19" s="3" t="s">
        <v>270</v>
      </c>
      <c r="H19" s="3" t="s">
        <v>271</v>
      </c>
      <c r="I19" s="3" t="s">
        <v>272</v>
      </c>
      <c r="J19" s="3" t="s">
        <v>273</v>
      </c>
      <c r="K19" s="3" t="s">
        <v>274</v>
      </c>
      <c r="L19" s="3" t="s">
        <v>275</v>
      </c>
      <c r="M19" s="3" t="s">
        <v>276</v>
      </c>
      <c r="N19" s="3" t="s">
        <v>277</v>
      </c>
      <c r="O19" s="3" t="s">
        <v>278</v>
      </c>
      <c r="P19" s="3" t="s">
        <v>279</v>
      </c>
      <c r="Q19" s="3" t="s">
        <v>280</v>
      </c>
      <c r="R19" s="3" t="s">
        <v>281</v>
      </c>
      <c r="S19" s="3" t="s">
        <v>282</v>
      </c>
      <c r="T19" s="3" t="s">
        <v>283</v>
      </c>
      <c r="U19" s="3" t="s">
        <v>284</v>
      </c>
      <c r="V19" s="3" t="s">
        <v>285</v>
      </c>
    </row>
    <row r="20" customFormat="false" ht="15" hidden="false" customHeight="false" outlineLevel="0" collapsed="false">
      <c r="A20" s="5" t="s">
        <v>226</v>
      </c>
      <c r="B20" s="5" t="s">
        <v>228</v>
      </c>
      <c r="C20" s="33" t="n">
        <f aca="false">ES_MarketModel!$D$6</f>
        <v>0.00186509724797339</v>
      </c>
      <c r="D20" s="12" t="n">
        <f aca="false">ES_MarketModel!$E$6</f>
        <v>0.344861157518612</v>
      </c>
      <c r="E20" s="33" t="n">
        <f aca="false">ES_MarketModel!$G$6</f>
        <v>0.0250930126457172</v>
      </c>
      <c r="F20" s="34" t="n">
        <f aca="false">ES_MarketModel!$H$6</f>
        <v>220</v>
      </c>
      <c r="G20" s="32" t="n">
        <f aca="false">Data_Returns!J305-($C20+$D20*Data_Returns!B305)</f>
        <v>-0.0178288595933191</v>
      </c>
      <c r="H20" s="32" t="n">
        <f aca="false">Data_Returns!J306-($C20+$D20*Data_Returns!B306)</f>
        <v>-0.0417953764668645</v>
      </c>
      <c r="I20" s="32" t="n">
        <f aca="false">Data_Returns!J307-($C20+$D20*Data_Returns!B307)</f>
        <v>0.0774716212365129</v>
      </c>
      <c r="J20" s="32" t="n">
        <f aca="false">Data_Returns!J308-($C20+$D20*Data_Returns!B308)</f>
        <v>-0.0149085371460656</v>
      </c>
      <c r="K20" s="32" t="n">
        <f aca="false">H20</f>
        <v>-0.0417953764668645</v>
      </c>
      <c r="L20" s="32" t="n">
        <f aca="false">H20+I20</f>
        <v>0.0356762447696483</v>
      </c>
      <c r="M20" s="32" t="n">
        <f aca="false">H20+I20+J20</f>
        <v>0.0207677076235827</v>
      </c>
      <c r="N20" s="32" t="n">
        <f aca="false">G20+H20+I20</f>
        <v>0.0178473851763292</v>
      </c>
      <c r="O20" s="20" t="n">
        <f aca="false">K20/($E20*SQRT(1))</f>
        <v>-1.6656181167628</v>
      </c>
      <c r="P20" s="20" t="n">
        <f aca="false">L20/($E20*SQRT(2))</f>
        <v>1.00533622487115</v>
      </c>
      <c r="Q20" s="20" t="n">
        <f aca="false">M20/($E20*SQRT(3))</f>
        <v>0.47783188715578</v>
      </c>
      <c r="R20" s="20" t="n">
        <f aca="false">N20/($E20*SQRT(3))</f>
        <v>0.410639917229838</v>
      </c>
      <c r="S20" s="7" t="n">
        <f aca="false">_xlfn.T.DIST.2T(ABS(O20),$F20-2)</f>
        <v>0.0972258302978594</v>
      </c>
      <c r="T20" s="7" t="n">
        <f aca="false">_xlfn.T.DIST.2T(ABS(P20),$F20-2)</f>
        <v>0.31584955700734</v>
      </c>
      <c r="U20" s="7" t="n">
        <f aca="false">_xlfn.T.DIST.2T(ABS(Q20),$F20-2)</f>
        <v>0.63324863499806</v>
      </c>
      <c r="V20" s="7" t="n">
        <f aca="false">_xlfn.T.DIST.2T(ABS(R20),$F20-2)</f>
        <v>0.681739915183793</v>
      </c>
    </row>
    <row r="21" customFormat="false" ht="15" hidden="false" customHeight="false" outlineLevel="0" collapsed="false">
      <c r="A21" s="5" t="s">
        <v>229</v>
      </c>
      <c r="B21" s="5" t="s">
        <v>228</v>
      </c>
      <c r="C21" s="33" t="n">
        <f aca="false">ES_MarketModel!$D$7</f>
        <v>0.000337199632988187</v>
      </c>
      <c r="D21" s="12" t="n">
        <f aca="false">ES_MarketModel!$E$7</f>
        <v>1.04630293587963</v>
      </c>
      <c r="E21" s="33" t="n">
        <f aca="false">ES_MarketModel!$G$7</f>
        <v>0.0134620096189862</v>
      </c>
      <c r="F21" s="34" t="n">
        <f aca="false">ES_MarketModel!$H$7</f>
        <v>220</v>
      </c>
      <c r="G21" s="32" t="n">
        <f aca="false">Data_Returns!K305-($C21+$D21*Data_Returns!B305)</f>
        <v>0.0140043501359784</v>
      </c>
      <c r="H21" s="32" t="n">
        <f aca="false">Data_Returns!K306-($C21+$D21*Data_Returns!B306)</f>
        <v>-0.0177737298928554</v>
      </c>
      <c r="I21" s="32" t="n">
        <f aca="false">Data_Returns!K307-($C21+$D21*Data_Returns!B307)</f>
        <v>-0.0194388654392789</v>
      </c>
      <c r="J21" s="32" t="n">
        <f aca="false">Data_Returns!K308-($C21+$D21*Data_Returns!B308)</f>
        <v>-0.000199465488990339</v>
      </c>
      <c r="K21" s="32" t="n">
        <f aca="false">H21</f>
        <v>-0.0177737298928554</v>
      </c>
      <c r="L21" s="32" t="n">
        <f aca="false">H21+I21</f>
        <v>-0.0372125953321343</v>
      </c>
      <c r="M21" s="32" t="n">
        <f aca="false">H21+I21+J21</f>
        <v>-0.0374120608211247</v>
      </c>
      <c r="N21" s="32" t="n">
        <f aca="false">G21+H21+I21</f>
        <v>-0.0232082451961559</v>
      </c>
      <c r="O21" s="20" t="n">
        <f aca="false">K21/($E21*SQRT(1))</f>
        <v>-1.32028801017852</v>
      </c>
      <c r="P21" s="20" t="n">
        <f aca="false">L21/($E21*SQRT(2))</f>
        <v>-1.95463227628303</v>
      </c>
      <c r="Q21" s="20" t="n">
        <f aca="false">M21/($E21*SQRT(3))</f>
        <v>-1.60450512199542</v>
      </c>
      <c r="R21" s="20" t="n">
        <f aca="false">N21/($E21*SQRT(3))</f>
        <v>-0.995340739656114</v>
      </c>
      <c r="S21" s="7" t="n">
        <f aca="false">_xlfn.T.DIST.2T(ABS(O21),$F21-2)</f>
        <v>0.188123408833112</v>
      </c>
      <c r="T21" s="7" t="n">
        <f aca="false">_xlfn.T.DIST.2T(ABS(P21),$F21-2)</f>
        <v>0.051904943677705</v>
      </c>
      <c r="U21" s="7" t="n">
        <f aca="false">_xlfn.T.DIST.2T(ABS(Q21),$F21-2)</f>
        <v>0.11005046147256</v>
      </c>
      <c r="V21" s="7" t="n">
        <f aca="false">_xlfn.T.DIST.2T(ABS(R21),$F21-2)</f>
        <v>0.320674079850288</v>
      </c>
    </row>
    <row r="22" customFormat="false" ht="15" hidden="false" customHeight="false" outlineLevel="0" collapsed="false">
      <c r="A22" s="5" t="s">
        <v>231</v>
      </c>
      <c r="B22" s="5" t="s">
        <v>228</v>
      </c>
      <c r="C22" s="33" t="n">
        <f aca="false">ES_MarketModel!$D$8</f>
        <v>0.00223864813639791</v>
      </c>
      <c r="D22" s="12" t="n">
        <f aca="false">ES_MarketModel!$E$8</f>
        <v>0.973034782372528</v>
      </c>
      <c r="E22" s="33" t="n">
        <f aca="false">ES_MarketModel!$G$8</f>
        <v>0.0162219696718609</v>
      </c>
      <c r="F22" s="34" t="n">
        <f aca="false">ES_MarketModel!$H$8</f>
        <v>220</v>
      </c>
      <c r="G22" s="32" t="n">
        <f aca="false">Data_Returns!L305-($C22+$D22*Data_Returns!B305)</f>
        <v>-0.0079199361738257</v>
      </c>
      <c r="H22" s="32" t="n">
        <f aca="false">Data_Returns!L306-($C22+$D22*Data_Returns!B306)</f>
        <v>-0.0339763380250522</v>
      </c>
      <c r="I22" s="32" t="n">
        <f aca="false">Data_Returns!L307-($C22+$D22*Data_Returns!B307)</f>
        <v>-0.000152669700323573</v>
      </c>
      <c r="J22" s="32" t="n">
        <f aca="false">Data_Returns!L308-($C22+$D22*Data_Returns!B308)</f>
        <v>-0.0268926801759967</v>
      </c>
      <c r="K22" s="32" t="n">
        <f aca="false">H22</f>
        <v>-0.0339763380250522</v>
      </c>
      <c r="L22" s="32" t="n">
        <f aca="false">H22+I22</f>
        <v>-0.0341290077253758</v>
      </c>
      <c r="M22" s="32" t="n">
        <f aca="false">H22+I22+J22</f>
        <v>-0.0610216879013725</v>
      </c>
      <c r="N22" s="32" t="n">
        <f aca="false">G22+H22+I22</f>
        <v>-0.0420489438992015</v>
      </c>
      <c r="O22" s="20" t="n">
        <f aca="false">K22/($E22*SQRT(1))</f>
        <v>-2.09446440304895</v>
      </c>
      <c r="P22" s="20" t="n">
        <f aca="false">L22/($E22*SQRT(2))</f>
        <v>-1.4876647710446</v>
      </c>
      <c r="Q22" s="20" t="n">
        <f aca="false">M22/($E22*SQRT(3))</f>
        <v>-2.1718008755358</v>
      </c>
      <c r="R22" s="20" t="n">
        <f aca="false">N22/($E22*SQRT(3))</f>
        <v>-1.4965487897228</v>
      </c>
      <c r="S22" s="7" t="n">
        <f aca="false">_xlfn.T.DIST.2T(ABS(O22),$F22-2)</f>
        <v>0.037373859742534</v>
      </c>
      <c r="T22" s="7" t="n">
        <f aca="false">_xlfn.T.DIST.2T(ABS(P22),$F22-2)</f>
        <v>0.13828432922349</v>
      </c>
      <c r="U22" s="7" t="n">
        <f aca="false">_xlfn.T.DIST.2T(ABS(Q22),$F22-2)</f>
        <v>0.0309497867694768</v>
      </c>
      <c r="V22" s="7" t="n">
        <f aca="false">_xlfn.T.DIST.2T(ABS(R22),$F22-2)</f>
        <v>0.135957063489007</v>
      </c>
    </row>
    <row r="23" customFormat="false" ht="15" hidden="false" customHeight="false" outlineLevel="0" collapsed="false">
      <c r="A23" s="5" t="s">
        <v>233</v>
      </c>
      <c r="B23" s="5" t="s">
        <v>228</v>
      </c>
      <c r="C23" s="33" t="n">
        <f aca="false">ES_MarketModel!$D$9</f>
        <v>0.00143011753857886</v>
      </c>
      <c r="D23" s="12" t="n">
        <f aca="false">ES_MarketModel!$E$9</f>
        <v>0.579717810595403</v>
      </c>
      <c r="E23" s="33" t="n">
        <f aca="false">ES_MarketModel!$G$9</f>
        <v>0.0203866517228759</v>
      </c>
      <c r="F23" s="34" t="n">
        <f aca="false">ES_MarketModel!$H$9</f>
        <v>220</v>
      </c>
      <c r="G23" s="32" t="n">
        <f aca="false">Data_Returns!M305-($C23+$D23*Data_Returns!B305)</f>
        <v>-0.00497024943853607</v>
      </c>
      <c r="H23" s="32" t="n">
        <f aca="false">Data_Returns!M306-($C23+$D23*Data_Returns!B306)</f>
        <v>-0.0412131440907089</v>
      </c>
      <c r="I23" s="32" t="n">
        <f aca="false">Data_Returns!M307-($C23+$D23*Data_Returns!B307)</f>
        <v>0.0155381275602699</v>
      </c>
      <c r="J23" s="32" t="n">
        <f aca="false">Data_Returns!M308-($C23+$D23*Data_Returns!B308)</f>
        <v>0.0588082162388671</v>
      </c>
      <c r="K23" s="32" t="n">
        <f aca="false">H23</f>
        <v>-0.0412131440907089</v>
      </c>
      <c r="L23" s="32" t="n">
        <f aca="false">H23+I23</f>
        <v>-0.025675016530439</v>
      </c>
      <c r="M23" s="32" t="n">
        <f aca="false">H23+I23+J23</f>
        <v>0.0331331997084281</v>
      </c>
      <c r="N23" s="32" t="n">
        <f aca="false">G23+H23+I23</f>
        <v>-0.030645265968975</v>
      </c>
      <c r="O23" s="20" t="n">
        <f aca="false">K23/($E23*SQRT(1))</f>
        <v>-2.02157493299714</v>
      </c>
      <c r="P23" s="20" t="n">
        <f aca="false">L23/($E23*SQRT(2))</f>
        <v>-0.890532616269613</v>
      </c>
      <c r="Q23" s="20" t="n">
        <f aca="false">M23/($E23*SQRT(3))</f>
        <v>0.938332690959222</v>
      </c>
      <c r="R23" s="20" t="n">
        <f aca="false">N23/($E23*SQRT(3))</f>
        <v>-0.867874371774449</v>
      </c>
      <c r="S23" s="7" t="n">
        <f aca="false">_xlfn.T.DIST.2T(ABS(O23),$F23-2)</f>
        <v>0.0444425299516561</v>
      </c>
      <c r="T23" s="7" t="n">
        <f aca="false">_xlfn.T.DIST.2T(ABS(P23),$F23-2)</f>
        <v>0.374161709476291</v>
      </c>
      <c r="U23" s="7" t="n">
        <f aca="false">_xlfn.T.DIST.2T(ABS(Q23),$F23-2)</f>
        <v>0.349111897758729</v>
      </c>
      <c r="V23" s="7" t="n">
        <f aca="false">_xlfn.T.DIST.2T(ABS(R23),$F23-2)</f>
        <v>0.386417461549432</v>
      </c>
    </row>
    <row r="24" customFormat="false" ht="15" hidden="false" customHeight="false" outlineLevel="0" collapsed="false">
      <c r="A24" s="5" t="s">
        <v>235</v>
      </c>
      <c r="B24" s="5" t="s">
        <v>228</v>
      </c>
      <c r="C24" s="33" t="n">
        <f aca="false">ES_MarketModel!$D$10</f>
        <v>0.00171934814997376</v>
      </c>
      <c r="D24" s="12" t="n">
        <f aca="false">ES_MarketModel!$E$10</f>
        <v>0.92085549500729</v>
      </c>
      <c r="E24" s="33" t="n">
        <f aca="false">ES_MarketModel!$G$10</f>
        <v>0.0226321081291004</v>
      </c>
      <c r="F24" s="34" t="n">
        <f aca="false">ES_MarketModel!$H$10</f>
        <v>220</v>
      </c>
      <c r="G24" s="32" t="n">
        <f aca="false">Data_Returns!N305-($C24+$D24*Data_Returns!B305)</f>
        <v>0.00965784229285337</v>
      </c>
      <c r="H24" s="32" t="n">
        <f aca="false">Data_Returns!N306-($C24+$D24*Data_Returns!B306)</f>
        <v>-0.0336456441854016</v>
      </c>
      <c r="I24" s="32" t="n">
        <f aca="false">Data_Returns!N307-($C24+$D24*Data_Returns!B307)</f>
        <v>-0.0206511060281067</v>
      </c>
      <c r="J24" s="32" t="n">
        <f aca="false">Data_Returns!N308-($C24+$D24*Data_Returns!B308)</f>
        <v>-0.0225114434982606</v>
      </c>
      <c r="K24" s="32" t="n">
        <f aca="false">H24</f>
        <v>-0.0336456441854016</v>
      </c>
      <c r="L24" s="32" t="n">
        <f aca="false">H24+I24</f>
        <v>-0.0542967502135083</v>
      </c>
      <c r="M24" s="32" t="n">
        <f aca="false">H24+I24+J24</f>
        <v>-0.0768081937117689</v>
      </c>
      <c r="N24" s="32" t="n">
        <f aca="false">G24+H24+I24</f>
        <v>-0.0446389079206549</v>
      </c>
      <c r="O24" s="20" t="n">
        <f aca="false">K24/($E24*SQRT(1))</f>
        <v>-1.48663323776454</v>
      </c>
      <c r="P24" s="20" t="n">
        <f aca="false">L24/($E24*SQRT(2))</f>
        <v>-1.69642174088932</v>
      </c>
      <c r="Q24" s="20" t="n">
        <f aca="false">M24/($E24*SQRT(3))</f>
        <v>-1.9593946380293</v>
      </c>
      <c r="R24" s="20" t="n">
        <f aca="false">N24/($E24*SQRT(3))</f>
        <v>-1.13874877927006</v>
      </c>
      <c r="S24" s="7" t="n">
        <f aca="false">_xlfn.T.DIST.2T(ABS(O24),$F24-2)</f>
        <v>0.138556541459116</v>
      </c>
      <c r="T24" s="7" t="n">
        <f aca="false">_xlfn.T.DIST.2T(ABS(P24),$F24-2)</f>
        <v>0.0912334341489896</v>
      </c>
      <c r="U24" s="7" t="n">
        <f aca="false">_xlfn.T.DIST.2T(ABS(Q24),$F24-2)</f>
        <v>0.0513412384048998</v>
      </c>
      <c r="V24" s="7" t="n">
        <f aca="false">_xlfn.T.DIST.2T(ABS(R24),$F24-2)</f>
        <v>0.256057770407425</v>
      </c>
    </row>
    <row r="25" customFormat="false" ht="15" hidden="false" customHeight="false" outlineLevel="0" collapsed="false">
      <c r="A25" s="5" t="s">
        <v>237</v>
      </c>
      <c r="B25" s="5" t="s">
        <v>228</v>
      </c>
      <c r="C25" s="33" t="n">
        <f aca="false">ES_MarketModel!$D$11</f>
        <v>0.00120712288176927</v>
      </c>
      <c r="D25" s="12" t="n">
        <f aca="false">ES_MarketModel!$E$11</f>
        <v>1.29320073367548</v>
      </c>
      <c r="E25" s="33" t="n">
        <f aca="false">ES_MarketModel!$G$11</f>
        <v>0.0173670592504047</v>
      </c>
      <c r="F25" s="34" t="n">
        <f aca="false">ES_MarketModel!$H$11</f>
        <v>220</v>
      </c>
      <c r="G25" s="32" t="n">
        <f aca="false">Data_Returns!O305-($C25+$D25*Data_Returns!B305)</f>
        <v>-0.0105431343648796</v>
      </c>
      <c r="H25" s="32" t="n">
        <f aca="false">Data_Returns!O306-($C25+$D25*Data_Returns!B306)</f>
        <v>-0.00501202008489261</v>
      </c>
      <c r="I25" s="32" t="n">
        <f aca="false">Data_Returns!O307-($C25+$D25*Data_Returns!B307)</f>
        <v>0.00729654461589673</v>
      </c>
      <c r="J25" s="32" t="n">
        <f aca="false">Data_Returns!O308-($C25+$D25*Data_Returns!B308)</f>
        <v>-0.00816667454369401</v>
      </c>
      <c r="K25" s="32" t="n">
        <f aca="false">H25</f>
        <v>-0.00501202008489261</v>
      </c>
      <c r="L25" s="32" t="n">
        <f aca="false">H25+I25</f>
        <v>0.00228452453100412</v>
      </c>
      <c r="M25" s="32" t="n">
        <f aca="false">H25+I25+J25</f>
        <v>-0.00588215001268989</v>
      </c>
      <c r="N25" s="32" t="n">
        <f aca="false">G25+H25+I25</f>
        <v>-0.00825860983387549</v>
      </c>
      <c r="O25" s="20" t="n">
        <f aca="false">K25/($E25*SQRT(1))</f>
        <v>-0.288593481062479</v>
      </c>
      <c r="P25" s="20" t="n">
        <f aca="false">L25/($E25*SQRT(2))</f>
        <v>0.0930153323235992</v>
      </c>
      <c r="Q25" s="20" t="n">
        <f aca="false">M25/($E25*SQRT(3))</f>
        <v>-0.195546110845516</v>
      </c>
      <c r="R25" s="20" t="n">
        <f aca="false">N25/($E25*SQRT(3))</f>
        <v>-0.274549107132746</v>
      </c>
      <c r="S25" s="7" t="n">
        <f aca="false">_xlfn.T.DIST.2T(ABS(O25),$F25-2)</f>
        <v>0.773166705977793</v>
      </c>
      <c r="T25" s="7" t="n">
        <f aca="false">_xlfn.T.DIST.2T(ABS(P25),$F25-2)</f>
        <v>0.925976806328378</v>
      </c>
      <c r="U25" s="7" t="n">
        <f aca="false">_xlfn.T.DIST.2T(ABS(Q25),$F25-2)</f>
        <v>0.845147584681563</v>
      </c>
      <c r="V25" s="7" t="n">
        <f aca="false">_xlfn.T.DIST.2T(ABS(R25),$F25-2)</f>
        <v>0.78392266962175</v>
      </c>
    </row>
    <row r="26" customFormat="false" ht="15" hidden="false" customHeight="false" outlineLevel="0" collapsed="false">
      <c r="A26" s="5" t="s">
        <v>239</v>
      </c>
      <c r="B26" s="5" t="s">
        <v>228</v>
      </c>
      <c r="C26" s="33" t="n">
        <f aca="false">ES_MarketModel!$D$12</f>
        <v>0.000241488235860082</v>
      </c>
      <c r="D26" s="12" t="n">
        <f aca="false">ES_MarketModel!$E$12</f>
        <v>0.860884423797457</v>
      </c>
      <c r="E26" s="33" t="n">
        <f aca="false">ES_MarketModel!$G$12</f>
        <v>0.013088937324601</v>
      </c>
      <c r="F26" s="34" t="n">
        <f aca="false">ES_MarketModel!$H$12</f>
        <v>220</v>
      </c>
      <c r="G26" s="32" t="n">
        <f aca="false">Data_Returns!P305-($C26+$D26*Data_Returns!B305)</f>
        <v>0.0117307332545056</v>
      </c>
      <c r="H26" s="32" t="n">
        <f aca="false">Data_Returns!P306-($C26+$D26*Data_Returns!B306)</f>
        <v>0.0113954148869522</v>
      </c>
      <c r="I26" s="32" t="n">
        <f aca="false">Data_Returns!P307-($C26+$D26*Data_Returns!B307)</f>
        <v>-0.00792518642989287</v>
      </c>
      <c r="J26" s="32" t="n">
        <f aca="false">Data_Returns!P308-($C26+$D26*Data_Returns!B308)</f>
        <v>-0.00226527143124848</v>
      </c>
      <c r="K26" s="32" t="n">
        <f aca="false">H26</f>
        <v>0.0113954148869522</v>
      </c>
      <c r="L26" s="32" t="n">
        <f aca="false">H26+I26</f>
        <v>0.00347022845705931</v>
      </c>
      <c r="M26" s="32" t="n">
        <f aca="false">H26+I26+J26</f>
        <v>0.00120495702581084</v>
      </c>
      <c r="N26" s="32" t="n">
        <f aca="false">G26+H26+I26</f>
        <v>0.015200961711565</v>
      </c>
      <c r="O26" s="20" t="n">
        <f aca="false">K26/($E26*SQRT(1))</f>
        <v>0.87061421445836</v>
      </c>
      <c r="P26" s="20" t="n">
        <f aca="false">L26/($E26*SQRT(2))</f>
        <v>0.187472979157839</v>
      </c>
      <c r="Q26" s="20" t="n">
        <f aca="false">M26/($E26*SQRT(3))</f>
        <v>0.0531504006751003</v>
      </c>
      <c r="R26" s="20" t="n">
        <f aca="false">N26/($E26*SQRT(3))</f>
        <v>0.670511220159791</v>
      </c>
      <c r="S26" s="7" t="n">
        <f aca="false">_xlfn.T.DIST.2T(ABS(O26),$F26-2)</f>
        <v>0.384922511674778</v>
      </c>
      <c r="T26" s="7" t="n">
        <f aca="false">_xlfn.T.DIST.2T(ABS(P26),$F26-2)</f>
        <v>0.851464178979828</v>
      </c>
      <c r="U26" s="7" t="n">
        <f aca="false">_xlfn.T.DIST.2T(ABS(Q26),$F26-2)</f>
        <v>0.957660747546199</v>
      </c>
      <c r="V26" s="7" t="n">
        <f aca="false">_xlfn.T.DIST.2T(ABS(R26),$F26-2)</f>
        <v>0.503241665094259</v>
      </c>
    </row>
    <row r="27" customFormat="false" ht="15" hidden="false" customHeight="false" outlineLevel="0" collapsed="false">
      <c r="A27" s="5" t="s">
        <v>241</v>
      </c>
      <c r="B27" s="5" t="s">
        <v>228</v>
      </c>
      <c r="C27" s="33" t="n">
        <f aca="false">ES_MarketModel!$D$13</f>
        <v>0.000739413202501879</v>
      </c>
      <c r="D27" s="12" t="n">
        <f aca="false">ES_MarketModel!$E$13</f>
        <v>1.26837393833949</v>
      </c>
      <c r="E27" s="33" t="n">
        <f aca="false">ES_MarketModel!$G$13</f>
        <v>0.0196821932912488</v>
      </c>
      <c r="F27" s="34" t="n">
        <f aca="false">ES_MarketModel!$H$13</f>
        <v>220</v>
      </c>
      <c r="G27" s="32" t="n">
        <f aca="false">Data_Returns!Q305-($C27+$D27*Data_Returns!B305)</f>
        <v>-0.0298253581357261</v>
      </c>
      <c r="H27" s="32" t="n">
        <f aca="false">Data_Returns!Q306-($C27+$D27*Data_Returns!B306)</f>
        <v>-0.0309256186887161</v>
      </c>
      <c r="I27" s="32" t="n">
        <f aca="false">Data_Returns!Q307-($C27+$D27*Data_Returns!B307)</f>
        <v>-0.0204030958970251</v>
      </c>
      <c r="J27" s="32" t="n">
        <f aca="false">Data_Returns!Q308-($C27+$D27*Data_Returns!B308)</f>
        <v>-0.0135228990187915</v>
      </c>
      <c r="K27" s="32" t="n">
        <f aca="false">H27</f>
        <v>-0.0309256186887161</v>
      </c>
      <c r="L27" s="32" t="n">
        <f aca="false">H27+I27</f>
        <v>-0.0513287145857412</v>
      </c>
      <c r="M27" s="32" t="n">
        <f aca="false">H27+I27+J27</f>
        <v>-0.0648516136045327</v>
      </c>
      <c r="N27" s="32" t="n">
        <f aca="false">G27+H27+I27</f>
        <v>-0.0811540727214673</v>
      </c>
      <c r="O27" s="20" t="n">
        <f aca="false">K27/($E27*SQRT(1))</f>
        <v>-1.57124860177379</v>
      </c>
      <c r="P27" s="20" t="n">
        <f aca="false">L27/($E27*SQRT(2))</f>
        <v>-1.84404662712585</v>
      </c>
      <c r="Q27" s="20" t="n">
        <f aca="false">M27/($E27*SQRT(3))</f>
        <v>-1.90233354677023</v>
      </c>
      <c r="R27" s="20" t="n">
        <f aca="false">N27/($E27*SQRT(3))</f>
        <v>-2.38054392812036</v>
      </c>
      <c r="S27" s="7" t="n">
        <f aca="false">_xlfn.T.DIST.2T(ABS(O27),$F27-2)</f>
        <v>0.117575162205012</v>
      </c>
      <c r="T27" s="7" t="n">
        <f aca="false">_xlfn.T.DIST.2T(ABS(P27),$F27-2)</f>
        <v>0.0665334057819116</v>
      </c>
      <c r="U27" s="7" t="n">
        <f aca="false">_xlfn.T.DIST.2T(ABS(Q27),$F27-2)</f>
        <v>0.0584456222044067</v>
      </c>
      <c r="V27" s="7" t="n">
        <f aca="false">_xlfn.T.DIST.2T(ABS(R27),$F27-2)</f>
        <v>0.0181481192209753</v>
      </c>
    </row>
    <row r="28" customFormat="false" ht="15" hidden="false" customHeight="false" outlineLevel="0" collapsed="false">
      <c r="A28" s="5" t="s">
        <v>243</v>
      </c>
      <c r="B28" s="5" t="s">
        <v>228</v>
      </c>
      <c r="C28" s="33" t="n">
        <f aca="false">ES_MarketModel!$D$14</f>
        <v>-0.000257315459702497</v>
      </c>
      <c r="D28" s="12" t="n">
        <f aca="false">ES_MarketModel!$E$14</f>
        <v>0.838855090958471</v>
      </c>
      <c r="E28" s="33" t="n">
        <f aca="false">ES_MarketModel!$G$14</f>
        <v>0.0109709012367812</v>
      </c>
      <c r="F28" s="34" t="n">
        <f aca="false">ES_MarketModel!$H$14</f>
        <v>220</v>
      </c>
      <c r="G28" s="32" t="n">
        <f aca="false">Data_Returns!R305-($C28+$D28*Data_Returns!B305)</f>
        <v>0.00419240390583094</v>
      </c>
      <c r="H28" s="32" t="n">
        <f aca="false">Data_Returns!R306-($C28+$D28*Data_Returns!B306)</f>
        <v>-0.0497134143980928</v>
      </c>
      <c r="I28" s="32" t="n">
        <f aca="false">Data_Returns!R307-($C28+$D28*Data_Returns!B307)</f>
        <v>0.0155778852142722</v>
      </c>
      <c r="J28" s="32" t="n">
        <f aca="false">Data_Returns!R308-($C28+$D28*Data_Returns!B308)</f>
        <v>-0.0145211492684557</v>
      </c>
      <c r="K28" s="32" t="n">
        <f aca="false">H28</f>
        <v>-0.0497134143980928</v>
      </c>
      <c r="L28" s="32" t="n">
        <f aca="false">H28+I28</f>
        <v>-0.0341355291838206</v>
      </c>
      <c r="M28" s="32" t="n">
        <f aca="false">H28+I28+J28</f>
        <v>-0.0486566784522763</v>
      </c>
      <c r="N28" s="32" t="n">
        <f aca="false">G28+H28+I28</f>
        <v>-0.0299431252779896</v>
      </c>
      <c r="O28" s="20" t="n">
        <f aca="false">K28/($E28*SQRT(1))</f>
        <v>-4.53138838142329</v>
      </c>
      <c r="P28" s="20" t="n">
        <f aca="false">L28/($E28*SQRT(2))</f>
        <v>-2.20013503397034</v>
      </c>
      <c r="Q28" s="20" t="n">
        <f aca="false">M28/($E28*SQRT(3))</f>
        <v>-2.56058693775433</v>
      </c>
      <c r="R28" s="20" t="n">
        <f aca="false">N28/($E28*SQRT(3))</f>
        <v>-1.57577495836596</v>
      </c>
      <c r="S28" s="7" t="n">
        <f aca="false">_xlfn.T.DIST.2T(ABS(O28),$F28-2)</f>
        <v>9.65461418148741E-006</v>
      </c>
      <c r="T28" s="7" t="n">
        <f aca="false">_xlfn.T.DIST.2T(ABS(P28),$F28-2)</f>
        <v>0.0288475697334982</v>
      </c>
      <c r="U28" s="7" t="n">
        <f aca="false">_xlfn.T.DIST.2T(ABS(Q28),$F28-2)</f>
        <v>0.0111253935581984</v>
      </c>
      <c r="V28" s="7" t="n">
        <f aca="false">_xlfn.T.DIST.2T(ABS(R28),$F28-2)</f>
        <v>0.116527730274728</v>
      </c>
    </row>
    <row r="29" customFormat="false" ht="15" hidden="false" customHeight="false" outlineLevel="0" collapsed="false">
      <c r="A29" s="5" t="s">
        <v>245</v>
      </c>
      <c r="B29" s="5" t="s">
        <v>228</v>
      </c>
      <c r="C29" s="33" t="n">
        <f aca="false">ES_MarketModel!$D$15</f>
        <v>0.00179684494998852</v>
      </c>
      <c r="D29" s="12" t="n">
        <f aca="false">ES_MarketModel!$E$15</f>
        <v>0.614121220338723</v>
      </c>
      <c r="E29" s="33" t="n">
        <f aca="false">ES_MarketModel!$G$15</f>
        <v>0.0191071103306014</v>
      </c>
      <c r="F29" s="34" t="n">
        <f aca="false">ES_MarketModel!$H$15</f>
        <v>220</v>
      </c>
      <c r="G29" s="32" t="n">
        <f aca="false">Data_Returns!S305-($C29+$D29*Data_Returns!B305)</f>
        <v>-0.00459817246856631</v>
      </c>
      <c r="H29" s="32" t="n">
        <f aca="false">Data_Returns!S306-($C29+$D29*Data_Returns!B306)</f>
        <v>-0.0208745157127186</v>
      </c>
      <c r="I29" s="32" t="n">
        <f aca="false">Data_Returns!S307-($C29+$D29*Data_Returns!B307)</f>
        <v>-0.00355300426561751</v>
      </c>
      <c r="J29" s="32" t="n">
        <f aca="false">Data_Returns!S308-($C29+$D29*Data_Returns!B308)</f>
        <v>0.000895658779439611</v>
      </c>
      <c r="K29" s="32" t="n">
        <f aca="false">H29</f>
        <v>-0.0208745157127186</v>
      </c>
      <c r="L29" s="32" t="n">
        <f aca="false">H29+I29</f>
        <v>-0.0244275199783361</v>
      </c>
      <c r="M29" s="32" t="n">
        <f aca="false">H29+I29+J29</f>
        <v>-0.0235318611988965</v>
      </c>
      <c r="N29" s="32" t="n">
        <f aca="false">G29+H29+I29</f>
        <v>-0.0290256924469024</v>
      </c>
      <c r="O29" s="20" t="n">
        <f aca="false">K29/($E29*SQRT(1))</f>
        <v>-1.09249987839797</v>
      </c>
      <c r="P29" s="20" t="n">
        <f aca="false">L29/($E29*SQRT(2))</f>
        <v>-0.904001951388096</v>
      </c>
      <c r="Q29" s="20" t="n">
        <f aca="false">M29/($E29*SQRT(3))</f>
        <v>-0.711050816300393</v>
      </c>
      <c r="R29" s="20" t="n">
        <f aca="false">N29/($E29*SQRT(3))</f>
        <v>-0.87705524580529</v>
      </c>
      <c r="S29" s="7" t="n">
        <f aca="false">_xlfn.T.DIST.2T(ABS(O29),$F29-2)</f>
        <v>0.275819290434235</v>
      </c>
      <c r="T29" s="7" t="n">
        <f aca="false">_xlfn.T.DIST.2T(ABS(P29),$F29-2)</f>
        <v>0.366992250875288</v>
      </c>
      <c r="U29" s="7" t="n">
        <f aca="false">_xlfn.T.DIST.2T(ABS(Q29),$F29-2)</f>
        <v>0.477812828796454</v>
      </c>
      <c r="V29" s="7" t="n">
        <f aca="false">_xlfn.T.DIST.2T(ABS(R29),$F29-2)</f>
        <v>0.381422118204224</v>
      </c>
    </row>
    <row r="30" customFormat="false" ht="15" hidden="false" customHeight="false" outlineLevel="0" collapsed="false">
      <c r="A30" s="5" t="s">
        <v>247</v>
      </c>
      <c r="B30" s="5" t="s">
        <v>249</v>
      </c>
      <c r="C30" s="33" t="n">
        <f aca="false">ES_MarketModel!$D$16</f>
        <v>-0.000464870953883037</v>
      </c>
      <c r="D30" s="12" t="n">
        <f aca="false">ES_MarketModel!$E$16</f>
        <v>0.122323652428704</v>
      </c>
      <c r="E30" s="33" t="n">
        <f aca="false">ES_MarketModel!$G$16</f>
        <v>0.0173774861741224</v>
      </c>
      <c r="F30" s="34" t="n">
        <f aca="false">ES_MarketModel!$H$16</f>
        <v>220</v>
      </c>
      <c r="G30" s="32" t="n">
        <f aca="false">Data_Returns!D305-($C30+$D30*Data_Returns!B305)</f>
        <v>-0.000697198749839468</v>
      </c>
      <c r="H30" s="32" t="n">
        <f aca="false">Data_Returns!D306-($C30+$D30*Data_Returns!B306)</f>
        <v>-0.0292488355178956</v>
      </c>
      <c r="I30" s="32" t="n">
        <f aca="false">Data_Returns!D307-($C30+$D30*Data_Returns!B307)</f>
        <v>0.0415119993173946</v>
      </c>
      <c r="J30" s="32" t="n">
        <f aca="false">Data_Returns!D308-($C30+$D30*Data_Returns!B308)</f>
        <v>0.0149426811640254</v>
      </c>
      <c r="K30" s="32" t="n">
        <f aca="false">H30</f>
        <v>-0.0292488355178956</v>
      </c>
      <c r="L30" s="32" t="n">
        <f aca="false">H30+I30</f>
        <v>0.012263163799499</v>
      </c>
      <c r="M30" s="32" t="n">
        <f aca="false">H30+I30+J30</f>
        <v>0.0272058449635244</v>
      </c>
      <c r="N30" s="32" t="n">
        <f aca="false">G30+H30+I30</f>
        <v>0.0115659650496596</v>
      </c>
      <c r="O30" s="20" t="n">
        <f aca="false">K30/($E30*SQRT(1))</f>
        <v>-1.68314537700231</v>
      </c>
      <c r="P30" s="20" t="n">
        <f aca="false">L30/($E30*SQRT(2))</f>
        <v>0.499000039162171</v>
      </c>
      <c r="Q30" s="20" t="n">
        <f aca="false">M30/($E30*SQRT(3))</f>
        <v>0.90388803972191</v>
      </c>
      <c r="R30" s="20" t="n">
        <f aca="false">N30/($E30*SQRT(3))</f>
        <v>0.384268067771661</v>
      </c>
      <c r="S30" s="7" t="n">
        <f aca="false">_xlfn.T.DIST.2T(ABS(O30),$F30-2)</f>
        <v>0.0937784554753488</v>
      </c>
      <c r="T30" s="7" t="n">
        <f aca="false">_xlfn.T.DIST.2T(ABS(P30),$F30-2)</f>
        <v>0.618282518555091</v>
      </c>
      <c r="U30" s="7" t="n">
        <f aca="false">_xlfn.T.DIST.2T(ABS(Q30),$F30-2)</f>
        <v>0.367052520005589</v>
      </c>
      <c r="V30" s="7" t="n">
        <f aca="false">_xlfn.T.DIST.2T(ABS(R30),$F30-2)</f>
        <v>0.70115433620821</v>
      </c>
    </row>
    <row r="31" customFormat="false" ht="15" hidden="false" customHeight="false" outlineLevel="0" collapsed="false">
      <c r="A31" s="5" t="s">
        <v>250</v>
      </c>
      <c r="B31" s="5" t="s">
        <v>249</v>
      </c>
      <c r="C31" s="33" t="n">
        <f aca="false">ES_MarketModel!$D$17</f>
        <v>0.00141398258390106</v>
      </c>
      <c r="D31" s="12" t="n">
        <f aca="false">ES_MarketModel!$E$17</f>
        <v>1.28528439840947</v>
      </c>
      <c r="E31" s="33" t="n">
        <f aca="false">ES_MarketModel!$G$17</f>
        <v>0.0185989069938523</v>
      </c>
      <c r="F31" s="34" t="n">
        <f aca="false">ES_MarketModel!$H$17</f>
        <v>220</v>
      </c>
      <c r="G31" s="32" t="n">
        <f aca="false">Data_Returns!E305-($C31+$D31*Data_Returns!B305)</f>
        <v>-0.0109987552189005</v>
      </c>
      <c r="H31" s="32" t="n">
        <f aca="false">Data_Returns!E306-($C31+$D31*Data_Returns!B306)</f>
        <v>0.0234397285998528</v>
      </c>
      <c r="I31" s="32" t="n">
        <f aca="false">Data_Returns!E307-($C31+$D31*Data_Returns!B307)</f>
        <v>0.00998494848249496</v>
      </c>
      <c r="J31" s="32" t="n">
        <f aca="false">Data_Returns!E308-($C31+$D31*Data_Returns!B308)</f>
        <v>0.000962558409100296</v>
      </c>
      <c r="K31" s="32" t="n">
        <f aca="false">H31</f>
        <v>0.0234397285998528</v>
      </c>
      <c r="L31" s="32" t="n">
        <f aca="false">H31+I31</f>
        <v>0.0334246770823478</v>
      </c>
      <c r="M31" s="32" t="n">
        <f aca="false">H31+I31+J31</f>
        <v>0.0343872354914481</v>
      </c>
      <c r="N31" s="32" t="n">
        <f aca="false">G31+H31+I31</f>
        <v>0.0224259218634473</v>
      </c>
      <c r="O31" s="20" t="n">
        <f aca="false">K31/($E31*SQRT(1))</f>
        <v>1.2602745208415</v>
      </c>
      <c r="P31" s="20" t="n">
        <f aca="false">L31/($E31*SQRT(2))</f>
        <v>1.27076369765766</v>
      </c>
      <c r="Q31" s="20" t="n">
        <f aca="false">M31/($E31*SQRT(3))</f>
        <v>1.06745410761165</v>
      </c>
      <c r="R31" s="20" t="n">
        <f aca="false">N31/($E31*SQRT(3))</f>
        <v>0.696149081715745</v>
      </c>
      <c r="S31" s="7" t="n">
        <f aca="false">_xlfn.T.DIST.2T(ABS(O31),$F31-2)</f>
        <v>0.208917685665086</v>
      </c>
      <c r="T31" s="7" t="n">
        <f aca="false">_xlfn.T.DIST.2T(ABS(P31),$F31-2)</f>
        <v>0.20516712037666</v>
      </c>
      <c r="U31" s="7" t="n">
        <f aca="false">_xlfn.T.DIST.2T(ABS(Q31),$F31-2)</f>
        <v>0.286947494861818</v>
      </c>
      <c r="V31" s="7" t="n">
        <f aca="false">_xlfn.T.DIST.2T(ABS(R31),$F31-2)</f>
        <v>0.487077004449017</v>
      </c>
    </row>
    <row r="32" customFormat="false" ht="15" hidden="false" customHeight="false" outlineLevel="0" collapsed="false">
      <c r="A32" s="5" t="s">
        <v>252</v>
      </c>
      <c r="B32" s="5" t="s">
        <v>249</v>
      </c>
      <c r="C32" s="33" t="n">
        <f aca="false">ES_MarketModel!$D$18</f>
        <v>0.000985610980159769</v>
      </c>
      <c r="D32" s="12" t="n">
        <f aca="false">ES_MarketModel!$E$18</f>
        <v>0.387326108218532</v>
      </c>
      <c r="E32" s="33" t="n">
        <f aca="false">ES_MarketModel!$G$18</f>
        <v>0.0183945921756662</v>
      </c>
      <c r="F32" s="34" t="n">
        <f aca="false">ES_MarketModel!$H$18</f>
        <v>220</v>
      </c>
      <c r="G32" s="32" t="n">
        <f aca="false">Data_Returns!F305-($C32+$D32*Data_Returns!B305)</f>
        <v>-0.0166269157624048</v>
      </c>
      <c r="H32" s="32" t="n">
        <f aca="false">Data_Returns!F306-($C32+$D32*Data_Returns!B306)</f>
        <v>-0.0177082447874385</v>
      </c>
      <c r="I32" s="32" t="n">
        <f aca="false">Data_Returns!F307-($C32+$D32*Data_Returns!B307)</f>
        <v>0.00739649880369233</v>
      </c>
      <c r="J32" s="32" t="n">
        <f aca="false">Data_Returns!F308-($C32+$D32*Data_Returns!B308)</f>
        <v>-0.00603124059214563</v>
      </c>
      <c r="K32" s="32" t="n">
        <f aca="false">H32</f>
        <v>-0.0177082447874385</v>
      </c>
      <c r="L32" s="32" t="n">
        <f aca="false">H32+I32</f>
        <v>-0.0103117459837461</v>
      </c>
      <c r="M32" s="32" t="n">
        <f aca="false">H32+I32+J32</f>
        <v>-0.0163429865758918</v>
      </c>
      <c r="N32" s="32" t="n">
        <f aca="false">G32+H32+I32</f>
        <v>-0.026938661746151</v>
      </c>
      <c r="O32" s="20" t="n">
        <f aca="false">K32/($E32*SQRT(1))</f>
        <v>-0.962687545248454</v>
      </c>
      <c r="P32" s="20" t="n">
        <f aca="false">L32/($E32*SQRT(2))</f>
        <v>-0.396393974998034</v>
      </c>
      <c r="Q32" s="20" t="n">
        <f aca="false">M32/($E32*SQRT(3))</f>
        <v>-0.512956612946046</v>
      </c>
      <c r="R32" s="20" t="n">
        <f aca="false">N32/($E32*SQRT(3))</f>
        <v>-0.845522611331571</v>
      </c>
      <c r="S32" s="7" t="n">
        <f aca="false">_xlfn.T.DIST.2T(ABS(O32),$F32-2)</f>
        <v>0.336770963416723</v>
      </c>
      <c r="T32" s="7" t="n">
        <f aca="false">_xlfn.T.DIST.2T(ABS(P32),$F32-2)</f>
        <v>0.692202138559543</v>
      </c>
      <c r="U32" s="7" t="n">
        <f aca="false">_xlfn.T.DIST.2T(ABS(Q32),$F32-2)</f>
        <v>0.608501068949066</v>
      </c>
      <c r="V32" s="7" t="n">
        <f aca="false">_xlfn.T.DIST.2T(ABS(R32),$F32-2)</f>
        <v>0.398746178423654</v>
      </c>
    </row>
    <row r="33" customFormat="false" ht="15" hidden="false" customHeight="false" outlineLevel="0" collapsed="false">
      <c r="A33" s="5" t="s">
        <v>254</v>
      </c>
      <c r="B33" s="5" t="s">
        <v>249</v>
      </c>
      <c r="C33" s="33" t="n">
        <f aca="false">ES_MarketModel!$D$19</f>
        <v>0.000781216035554192</v>
      </c>
      <c r="D33" s="12" t="n">
        <f aca="false">ES_MarketModel!$E$19</f>
        <v>1.34186209712293</v>
      </c>
      <c r="E33" s="33" t="n">
        <f aca="false">ES_MarketModel!$G$19</f>
        <v>0.0147221808095595</v>
      </c>
      <c r="F33" s="34" t="n">
        <f aca="false">ES_MarketModel!$H$19</f>
        <v>220</v>
      </c>
      <c r="G33" s="32" t="n">
        <f aca="false">Data_Returns!G305-($C33+$D33*Data_Returns!B305)</f>
        <v>-0.0152685553099792</v>
      </c>
      <c r="H33" s="32" t="n">
        <f aca="false">Data_Returns!G306-($C33+$D33*Data_Returns!B306)</f>
        <v>0.00927430798483852</v>
      </c>
      <c r="I33" s="32" t="n">
        <f aca="false">Data_Returns!G307-($C33+$D33*Data_Returns!B307)</f>
        <v>-0.000893892192910153</v>
      </c>
      <c r="J33" s="32" t="n">
        <f aca="false">Data_Returns!G308-($C33+$D33*Data_Returns!B308)</f>
        <v>-0.0123611291551547</v>
      </c>
      <c r="K33" s="32" t="n">
        <f aca="false">H33</f>
        <v>0.00927430798483852</v>
      </c>
      <c r="L33" s="32" t="n">
        <f aca="false">H33+I33</f>
        <v>0.00838041579192837</v>
      </c>
      <c r="M33" s="32" t="n">
        <f aca="false">H33+I33+J33</f>
        <v>-0.00398071336322634</v>
      </c>
      <c r="N33" s="32" t="n">
        <f aca="false">G33+H33+I33</f>
        <v>-0.00688813951805085</v>
      </c>
      <c r="O33" s="20" t="n">
        <f aca="false">K33/($E33*SQRT(1))</f>
        <v>0.629954767218756</v>
      </c>
      <c r="P33" s="20" t="n">
        <f aca="false">L33/($E33*SQRT(2))</f>
        <v>0.402511619188073</v>
      </c>
      <c r="Q33" s="20" t="n">
        <f aca="false">M33/($E33*SQRT(3))</f>
        <v>-0.156109068456294</v>
      </c>
      <c r="R33" s="20" t="n">
        <f aca="false">N33/($E33*SQRT(3))</f>
        <v>-0.270127724717255</v>
      </c>
      <c r="S33" s="7" t="n">
        <f aca="false">_xlfn.T.DIST.2T(ABS(O33),$F33-2)</f>
        <v>0.529383892593846</v>
      </c>
      <c r="T33" s="7" t="n">
        <f aca="false">_xlfn.T.DIST.2T(ABS(P33),$F33-2)</f>
        <v>0.687701948120826</v>
      </c>
      <c r="U33" s="7" t="n">
        <f aca="false">_xlfn.T.DIST.2T(ABS(Q33),$F33-2)</f>
        <v>0.876091515164812</v>
      </c>
      <c r="V33" s="7" t="n">
        <f aca="false">_xlfn.T.DIST.2T(ABS(R33),$F33-2)</f>
        <v>0.787317540188717</v>
      </c>
    </row>
    <row r="34" customFormat="false" ht="15" hidden="false" customHeight="false" outlineLevel="0" collapsed="false">
      <c r="A34" s="5" t="s">
        <v>256</v>
      </c>
      <c r="B34" s="5" t="s">
        <v>249</v>
      </c>
      <c r="C34" s="33" t="n">
        <f aca="false">ES_MarketModel!$D$20</f>
        <v>0.00334587444036503</v>
      </c>
      <c r="D34" s="12" t="n">
        <f aca="false">ES_MarketModel!$E$20</f>
        <v>1.41928632294382</v>
      </c>
      <c r="E34" s="33" t="n">
        <f aca="false">ES_MarketModel!$G$20</f>
        <v>0.027463638800732</v>
      </c>
      <c r="F34" s="34" t="n">
        <f aca="false">ES_MarketModel!$H$20</f>
        <v>220</v>
      </c>
      <c r="G34" s="32" t="n">
        <f aca="false">Data_Returns!H305-($C34+$D34*Data_Returns!B305)</f>
        <v>-0.028284631943079</v>
      </c>
      <c r="H34" s="32" t="n">
        <f aca="false">Data_Returns!H306-($C34+$D34*Data_Returns!B306)</f>
        <v>0.0408641127372608</v>
      </c>
      <c r="I34" s="32" t="n">
        <f aca="false">Data_Returns!H307-($C34+$D34*Data_Returns!B307)</f>
        <v>0.0134723509027097</v>
      </c>
      <c r="J34" s="32" t="n">
        <f aca="false">Data_Returns!H308-($C34+$D34*Data_Returns!B308)</f>
        <v>-0.0227162764439069</v>
      </c>
      <c r="K34" s="32" t="n">
        <f aca="false">H34</f>
        <v>0.0408641127372608</v>
      </c>
      <c r="L34" s="32" t="n">
        <f aca="false">H34+I34</f>
        <v>0.0543364636399704</v>
      </c>
      <c r="M34" s="32" t="n">
        <f aca="false">H34+I34+J34</f>
        <v>0.0316201871960635</v>
      </c>
      <c r="N34" s="32" t="n">
        <f aca="false">G34+H34+I34</f>
        <v>0.0260518316968915</v>
      </c>
      <c r="O34" s="20" t="n">
        <f aca="false">K34/($E34*SQRT(1))</f>
        <v>1.48793512155321</v>
      </c>
      <c r="P34" s="20" t="n">
        <f aca="false">L34/($E34*SQRT(2))</f>
        <v>1.39900186513141</v>
      </c>
      <c r="Q34" s="20" t="n">
        <f aca="false">M34/($E34*SQRT(3))</f>
        <v>0.664730690711933</v>
      </c>
      <c r="R34" s="20" t="n">
        <f aca="false">N34/($E34*SQRT(3))</f>
        <v>0.547670763958716</v>
      </c>
      <c r="S34" s="7" t="n">
        <f aca="false">_xlfn.T.DIST.2T(ABS(O34),$F34-2)</f>
        <v>0.138213054855786</v>
      </c>
      <c r="T34" s="7" t="n">
        <f aca="false">_xlfn.T.DIST.2T(ABS(P34),$F34-2)</f>
        <v>0.163233574801966</v>
      </c>
      <c r="U34" s="7" t="n">
        <f aca="false">_xlfn.T.DIST.2T(ABS(Q34),$F34-2)</f>
        <v>0.506925313868213</v>
      </c>
      <c r="V34" s="7" t="n">
        <f aca="false">_xlfn.T.DIST.2T(ABS(R34),$F34-2)</f>
        <v>0.584478279252823</v>
      </c>
    </row>
    <row r="35" customFormat="false" ht="15" hidden="false" customHeight="false" outlineLevel="0" collapsed="false">
      <c r="A35" s="5" t="s">
        <v>258</v>
      </c>
      <c r="B35" s="5" t="s">
        <v>249</v>
      </c>
      <c r="C35" s="33" t="n">
        <f aca="false">ES_MarketModel!$D$21</f>
        <v>0.0020065734077593</v>
      </c>
      <c r="D35" s="12" t="n">
        <f aca="false">ES_MarketModel!$E$21</f>
        <v>1.63223917316787</v>
      </c>
      <c r="E35" s="33" t="n">
        <f aca="false">ES_MarketModel!$G$21</f>
        <v>0.0250710893733548</v>
      </c>
      <c r="F35" s="34" t="n">
        <f aca="false">ES_MarketModel!$H$21</f>
        <v>220</v>
      </c>
      <c r="G35" s="32" t="n">
        <f aca="false">Data_Returns!I305-($C35+$D35*Data_Returns!B305)</f>
        <v>-0.0168025151494382</v>
      </c>
      <c r="H35" s="32" t="n">
        <f aca="false">Data_Returns!I306-($C35+$D35*Data_Returns!B306)</f>
        <v>-0.027045117113686</v>
      </c>
      <c r="I35" s="32" t="n">
        <f aca="false">Data_Returns!I307-($C35+$D35*Data_Returns!B307)</f>
        <v>-0.0151675001503754</v>
      </c>
      <c r="J35" s="32" t="n">
        <f aca="false">Data_Returns!I308-($C35+$D35*Data_Returns!B308)</f>
        <v>-0.0380044929681698</v>
      </c>
      <c r="K35" s="32" t="n">
        <f aca="false">H35</f>
        <v>-0.027045117113686</v>
      </c>
      <c r="L35" s="32" t="n">
        <f aca="false">H35+I35</f>
        <v>-0.0422126172640615</v>
      </c>
      <c r="M35" s="32" t="n">
        <f aca="false">H35+I35+J35</f>
        <v>-0.0802171102322312</v>
      </c>
      <c r="N35" s="32" t="n">
        <f aca="false">G35+H35+I35</f>
        <v>-0.0590151324134997</v>
      </c>
      <c r="O35" s="20" t="n">
        <f aca="false">K35/($E35*SQRT(1))</f>
        <v>-1.07873721444387</v>
      </c>
      <c r="P35" s="20" t="n">
        <f aca="false">L35/($E35*SQRT(2))</f>
        <v>-1.19056764843944</v>
      </c>
      <c r="Q35" s="20" t="n">
        <f aca="false">M35/($E35*SQRT(3))</f>
        <v>-1.84728192287543</v>
      </c>
      <c r="R35" s="20" t="n">
        <f aca="false">N35/($E35*SQRT(3))</f>
        <v>-1.35903159522885</v>
      </c>
      <c r="S35" s="7" t="n">
        <f aca="false">_xlfn.T.DIST.2T(ABS(O35),$F35-2)</f>
        <v>0.281897014467929</v>
      </c>
      <c r="T35" s="7" t="n">
        <f aca="false">_xlfn.T.DIST.2T(ABS(P35),$F35-2)</f>
        <v>0.235118159989293</v>
      </c>
      <c r="U35" s="7" t="n">
        <f aca="false">_xlfn.T.DIST.2T(ABS(Q35),$F35-2)</f>
        <v>0.0660613401530174</v>
      </c>
      <c r="V35" s="7" t="n">
        <f aca="false">_xlfn.T.DIST.2T(ABS(R35),$F35-2)</f>
        <v>0.175540906568804</v>
      </c>
    </row>
    <row r="37" customFormat="false" ht="15" hidden="false" customHeight="false" outlineLevel="0" collapsed="false">
      <c r="A37" s="9" t="s">
        <v>297</v>
      </c>
      <c r="B37" s="10"/>
      <c r="C37" s="10"/>
      <c r="D37" s="10"/>
      <c r="E37" s="10"/>
      <c r="F37" s="10"/>
      <c r="G37" s="10"/>
      <c r="H37" s="10"/>
    </row>
    <row r="38" customFormat="false" ht="54" hidden="false" customHeight="true" outlineLevel="0" collapsed="false">
      <c r="A38" s="3" t="s">
        <v>298</v>
      </c>
      <c r="B38" s="3" t="s">
        <v>299</v>
      </c>
      <c r="C38" s="3" t="s">
        <v>300</v>
      </c>
      <c r="D38" s="3" t="s">
        <v>301</v>
      </c>
      <c r="E38" s="3" t="s">
        <v>302</v>
      </c>
    </row>
    <row r="39" customFormat="false" ht="15" hidden="false" customHeight="false" outlineLevel="0" collapsed="false">
      <c r="A39" s="5" t="s">
        <v>303</v>
      </c>
      <c r="B39" s="13" t="n">
        <f aca="false">COUNT(K20:K29)</f>
        <v>10</v>
      </c>
      <c r="C39" s="13" t="n">
        <f aca="false">COUNTIF(K20:K29,"&lt;0")</f>
        <v>9</v>
      </c>
      <c r="D39" s="7" t="n">
        <f aca="false">MIN(1,2*MIN(_xlfn.BINOM.DIST(C39,B39,0.5,TRUE()),1-_xlfn.BINOM.DIST(C39-1,B39,0.5,TRUE())))</f>
        <v>0.021484375</v>
      </c>
      <c r="E39" s="16" t="n">
        <v>0.021484375</v>
      </c>
    </row>
    <row r="40" customFormat="false" ht="15" hidden="false" customHeight="false" outlineLevel="0" collapsed="false">
      <c r="A40" s="5" t="s">
        <v>304</v>
      </c>
      <c r="B40" s="13" t="n">
        <f aca="false">COUNT(L20:L29)</f>
        <v>10</v>
      </c>
      <c r="C40" s="13" t="n">
        <f aca="false">COUNTIF(L20:L29,"&lt;0")</f>
        <v>7</v>
      </c>
      <c r="D40" s="7" t="n">
        <f aca="false">MIN(1,2*MIN(_xlfn.BINOM.DIST(C40,B40,0.5,TRUE()),1-_xlfn.BINOM.DIST(C40-1,B40,0.5,TRUE())))</f>
        <v>0.34375</v>
      </c>
      <c r="E40" s="16" t="n">
        <v>0.34375</v>
      </c>
    </row>
    <row r="41" customFormat="false" ht="15" hidden="false" customHeight="false" outlineLevel="0" collapsed="false">
      <c r="A41" s="5" t="s">
        <v>305</v>
      </c>
      <c r="B41" s="13" t="n">
        <f aca="false">COUNT(M20:M29)</f>
        <v>10</v>
      </c>
      <c r="C41" s="13" t="n">
        <f aca="false">COUNTIF(M20:M29,"&lt;0")</f>
        <v>7</v>
      </c>
      <c r="D41" s="7" t="n">
        <f aca="false">MIN(1,2*MIN(_xlfn.BINOM.DIST(C41,B41,0.5,TRUE()),1-_xlfn.BINOM.DIST(C41-1,B41,0.5,TRUE())))</f>
        <v>0.34375</v>
      </c>
      <c r="E41" s="16" t="n">
        <v>0.34375</v>
      </c>
    </row>
    <row r="42" customFormat="false" ht="15" hidden="false" customHeight="false" outlineLevel="0" collapsed="false">
      <c r="A42" s="5" t="s">
        <v>306</v>
      </c>
      <c r="B42" s="13" t="n">
        <f aca="false">COUNT(N20:N29)</f>
        <v>10</v>
      </c>
      <c r="C42" s="13" t="n">
        <f aca="false">COUNTIF(N20:N29,"&lt;0")</f>
        <v>8</v>
      </c>
      <c r="D42" s="7" t="n">
        <f aca="false">MIN(1,2*MIN(_xlfn.BINOM.DIST(C42,B42,0.5,TRUE()),1-_xlfn.BINOM.DIST(C42-1,B42,0.5,TRUE())))</f>
        <v>0.109375</v>
      </c>
      <c r="E42" s="16" t="n">
        <v>0.109375</v>
      </c>
    </row>
    <row r="44" customFormat="false" ht="15" hidden="false" customHeight="false" outlineLevel="0" collapsed="false">
      <c r="A44" s="9" t="s">
        <v>307</v>
      </c>
      <c r="B44" s="10"/>
      <c r="C44" s="10"/>
      <c r="D44" s="10"/>
      <c r="E44" s="10"/>
      <c r="F44" s="10"/>
      <c r="G44" s="10"/>
      <c r="H44" s="10"/>
    </row>
    <row r="45" customFormat="false" ht="30" hidden="false" customHeight="true" outlineLevel="0" collapsed="false">
      <c r="A45" s="3" t="s">
        <v>211</v>
      </c>
      <c r="B45" s="3" t="s">
        <v>308</v>
      </c>
      <c r="C45" s="3" t="s">
        <v>274</v>
      </c>
    </row>
    <row r="46" customFormat="false" ht="15" hidden="false" customHeight="false" outlineLevel="0" collapsed="false">
      <c r="A46" s="5" t="s">
        <v>226</v>
      </c>
      <c r="B46" s="35" t="n">
        <v>32.3</v>
      </c>
      <c r="C46" s="32" t="n">
        <f aca="false">K20</f>
        <v>-0.0417953764668645</v>
      </c>
    </row>
    <row r="47" customFormat="false" ht="15" hidden="false" customHeight="false" outlineLevel="0" collapsed="false">
      <c r="A47" s="5" t="s">
        <v>229</v>
      </c>
      <c r="B47" s="35" t="n">
        <v>23</v>
      </c>
      <c r="C47" s="32" t="n">
        <f aca="false">K21</f>
        <v>-0.0177737298928554</v>
      </c>
    </row>
    <row r="48" customFormat="false" ht="15" hidden="false" customHeight="false" outlineLevel="0" collapsed="false">
      <c r="A48" s="5" t="s">
        <v>231</v>
      </c>
      <c r="B48" s="35" t="n">
        <v>60</v>
      </c>
      <c r="C48" s="32" t="n">
        <f aca="false">K22</f>
        <v>-0.0339763380250522</v>
      </c>
    </row>
    <row r="49" customFormat="false" ht="15" hidden="false" customHeight="false" outlineLevel="0" collapsed="false">
      <c r="A49" s="5" t="s">
        <v>233</v>
      </c>
      <c r="B49" s="35" t="n">
        <v>52.9</v>
      </c>
      <c r="C49" s="32" t="n">
        <f aca="false">K23</f>
        <v>-0.0412131440907089</v>
      </c>
    </row>
    <row r="50" customFormat="false" ht="15" hidden="false" customHeight="false" outlineLevel="0" collapsed="false">
      <c r="A50" s="5" t="s">
        <v>235</v>
      </c>
      <c r="B50" s="35" t="n">
        <v>55.3</v>
      </c>
      <c r="C50" s="32" t="n">
        <f aca="false">K24</f>
        <v>-0.0336456441854016</v>
      </c>
    </row>
    <row r="51" customFormat="false" ht="15" hidden="false" customHeight="false" outlineLevel="0" collapsed="false">
      <c r="A51" s="5" t="s">
        <v>237</v>
      </c>
      <c r="B51" s="35" t="n">
        <v>57.2</v>
      </c>
      <c r="C51" s="32" t="n">
        <f aca="false">K25</f>
        <v>-0.00501202008489261</v>
      </c>
    </row>
    <row r="52" customFormat="false" ht="15" hidden="false" customHeight="false" outlineLevel="0" collapsed="false">
      <c r="A52" s="5" t="s">
        <v>239</v>
      </c>
      <c r="B52" s="35" t="n">
        <v>65.4</v>
      </c>
      <c r="C52" s="32" t="n">
        <f aca="false">K26</f>
        <v>0.0113954148869522</v>
      </c>
    </row>
    <row r="53" customFormat="false" ht="15" hidden="false" customHeight="false" outlineLevel="0" collapsed="false">
      <c r="A53" s="5" t="s">
        <v>243</v>
      </c>
      <c r="B53" s="35" t="n">
        <v>77</v>
      </c>
      <c r="C53" s="32" t="n">
        <f aca="false">K28</f>
        <v>-0.0497134143980928</v>
      </c>
    </row>
    <row r="54" customFormat="false" ht="15" hidden="false" customHeight="false" outlineLevel="0" collapsed="false">
      <c r="A54" s="5" t="s">
        <v>245</v>
      </c>
      <c r="B54" s="35" t="n">
        <v>25.6</v>
      </c>
      <c r="C54" s="32" t="n">
        <f aca="false">K29</f>
        <v>-0.0208745157127186</v>
      </c>
    </row>
    <row r="55" customFormat="false" ht="15" hidden="false" customHeight="false" outlineLevel="0" collapsed="false">
      <c r="A55" s="2" t="s">
        <v>309</v>
      </c>
    </row>
    <row r="56" customFormat="false" ht="15" hidden="false" customHeight="false" outlineLevel="0" collapsed="false">
      <c r="A56" s="5" t="s">
        <v>310</v>
      </c>
      <c r="B56" s="36" t="n">
        <f aca="false">INDEX(LINEST(C46:C54,B46:B54,TRUE(),TRUE()),1,1)</f>
        <v>-5.19544088181712E-005</v>
      </c>
      <c r="C56" s="37" t="n">
        <v>-5.19544088181711E-005</v>
      </c>
    </row>
    <row r="57" customFormat="false" ht="15" hidden="false" customHeight="false" outlineLevel="0" collapsed="false">
      <c r="A57" s="5" t="s">
        <v>110</v>
      </c>
      <c r="B57" s="36" t="n">
        <f aca="false">INDEX(LINEST(C46:C54,B46:B54,TRUE(),TRUE()),2,1)</f>
        <v>0.000397654974041216</v>
      </c>
    </row>
    <row r="58" customFormat="false" ht="15" hidden="false" customHeight="false" outlineLevel="0" collapsed="false">
      <c r="A58" s="5" t="s">
        <v>102</v>
      </c>
      <c r="B58" s="20" t="n">
        <f aca="false">B56/B57</f>
        <v>-0.130651977743868</v>
      </c>
    </row>
    <row r="59" customFormat="false" ht="15" hidden="false" customHeight="false" outlineLevel="0" collapsed="false">
      <c r="A59" s="5" t="s">
        <v>88</v>
      </c>
      <c r="B59" s="7" t="n">
        <f aca="false">_xlfn.T.DIST.2T(ABS(B58),INDEX(LINEST(C46:C54,B46:B54,TRUE(),TRUE()),4,2))</f>
        <v>0.899726110636412</v>
      </c>
      <c r="C59" s="16" t="n">
        <v>0.899726110636412</v>
      </c>
    </row>
    <row r="60" customFormat="false" ht="15" hidden="false" customHeight="false" outlineLevel="0" collapsed="false">
      <c r="A60" s="5" t="s">
        <v>311</v>
      </c>
      <c r="B60" s="13" t="n">
        <f aca="false">COUNT(B46:B54)</f>
        <v>9</v>
      </c>
      <c r="C60" s="15" t="n">
        <v>9</v>
      </c>
    </row>
    <row r="61" customFormat="false" ht="15" hidden="false" customHeight="false" outlineLevel="0" collapsed="false">
      <c r="A61" s="2" t="s">
        <v>312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5" min="3" style="0" width="11"/>
    <col collapsed="false" customWidth="true" hidden="false" outlineLevel="0" max="6" min="6" style="0" width="7"/>
    <col collapsed="false" customWidth="true" hidden="false" outlineLevel="0" max="22" min="7" style="0" width="10"/>
  </cols>
  <sheetData>
    <row r="1" customFormat="false" ht="15" hidden="false" customHeight="false" outlineLevel="0" collapsed="false">
      <c r="A1" s="1" t="s">
        <v>313</v>
      </c>
    </row>
    <row r="2" customFormat="false" ht="15" hidden="false" customHeight="false" outlineLevel="0" collapsed="false">
      <c r="A2" s="2" t="s">
        <v>314</v>
      </c>
    </row>
    <row r="4" customFormat="false" ht="15" hidden="false" customHeight="false" outlineLevel="0" collapsed="false">
      <c r="A4" s="6" t="s">
        <v>262</v>
      </c>
      <c r="G4" s="30" t="n">
        <f aca="false">Data_Returns!A624</f>
        <v>45713</v>
      </c>
      <c r="H4" s="30" t="n">
        <f aca="false">Data_Returns!A625</f>
        <v>45715</v>
      </c>
      <c r="I4" s="30" t="n">
        <f aca="false">Data_Returns!A626</f>
        <v>45716</v>
      </c>
      <c r="J4" s="30" t="n">
        <f aca="false">Data_Returns!A627</f>
        <v>45719</v>
      </c>
    </row>
    <row r="5" customFormat="false" ht="15" hidden="false" customHeight="false" outlineLevel="0" collapsed="false">
      <c r="A5" s="5" t="s">
        <v>263</v>
      </c>
      <c r="H5" s="31" t="n">
        <f aca="false">Data_Returns!B625</f>
        <v>-0.000110876791491799</v>
      </c>
    </row>
    <row r="7" customFormat="false" ht="15" hidden="false" customHeight="false" outlineLevel="0" collapsed="false">
      <c r="A7" s="9" t="s">
        <v>264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</row>
    <row r="8" customFormat="false" ht="30" hidden="false" customHeight="true" outlineLevel="0" collapsed="false">
      <c r="A8" s="3" t="s">
        <v>265</v>
      </c>
      <c r="B8" s="3" t="s">
        <v>213</v>
      </c>
      <c r="C8" s="3" t="s">
        <v>266</v>
      </c>
      <c r="D8" s="3" t="s">
        <v>267</v>
      </c>
      <c r="E8" s="3" t="s">
        <v>268</v>
      </c>
      <c r="F8" s="3" t="s">
        <v>269</v>
      </c>
      <c r="G8" s="3" t="s">
        <v>270</v>
      </c>
      <c r="H8" s="3" t="s">
        <v>271</v>
      </c>
      <c r="I8" s="3" t="s">
        <v>272</v>
      </c>
      <c r="J8" s="3" t="s">
        <v>273</v>
      </c>
      <c r="K8" s="3" t="s">
        <v>274</v>
      </c>
      <c r="L8" s="3" t="s">
        <v>275</v>
      </c>
      <c r="M8" s="3" t="s">
        <v>276</v>
      </c>
      <c r="N8" s="3" t="s">
        <v>277</v>
      </c>
      <c r="O8" s="3" t="s">
        <v>278</v>
      </c>
      <c r="P8" s="3" t="s">
        <v>279</v>
      </c>
      <c r="Q8" s="3" t="s">
        <v>280</v>
      </c>
      <c r="R8" s="3" t="s">
        <v>281</v>
      </c>
      <c r="S8" s="3" t="s">
        <v>282</v>
      </c>
      <c r="T8" s="3" t="s">
        <v>283</v>
      </c>
      <c r="U8" s="3" t="s">
        <v>284</v>
      </c>
      <c r="V8" s="3" t="s">
        <v>285</v>
      </c>
    </row>
    <row r="9" customFormat="false" ht="15" hidden="false" customHeight="false" outlineLevel="0" collapsed="false">
      <c r="A9" s="5" t="s">
        <v>286</v>
      </c>
      <c r="B9" s="5" t="s">
        <v>287</v>
      </c>
      <c r="C9" s="29" t="n">
        <f aca="false">INTERCEPT(Data_Returns!$T$375:$T$594,Data_Returns!$B$375:$B$594)</f>
        <v>-0.000352233507131242</v>
      </c>
      <c r="D9" s="7" t="n">
        <f aca="false">SLOPE(Data_Returns!$T$375:$T$594,Data_Returns!$B$375:$B$594)</f>
        <v>1.0510551162745</v>
      </c>
      <c r="E9" s="29" t="n">
        <f aca="false">STEYX(Data_Returns!$T$375:$T$594,Data_Returns!$B$375:$B$594)</f>
        <v>0.00957804764300028</v>
      </c>
      <c r="F9" s="13" t="n">
        <f aca="false">COUNT(Data_Returns!$T$375:$T$594)</f>
        <v>220</v>
      </c>
      <c r="G9" s="32" t="n">
        <f aca="false">Data_Returns!T624-($C9+$D9*Data_Returns!B624)</f>
        <v>-0.00457658706916028</v>
      </c>
      <c r="H9" s="32" t="n">
        <f aca="false">Data_Returns!T625-($C9+$D9*Data_Returns!B625)</f>
        <v>0.0240819411595417</v>
      </c>
      <c r="I9" s="32" t="n">
        <f aca="false">Data_Returns!T626-($C9+$D9*Data_Returns!B626)</f>
        <v>0.0059264150367484</v>
      </c>
      <c r="J9" s="32" t="n">
        <f aca="false">Data_Returns!T627-($C9+$D9*Data_Returns!B627)</f>
        <v>-0.00573410573837925</v>
      </c>
      <c r="K9" s="32" t="n">
        <f aca="false">H9</f>
        <v>0.0240819411595417</v>
      </c>
      <c r="L9" s="32" t="n">
        <f aca="false">H9+I9</f>
        <v>0.0300083561962901</v>
      </c>
      <c r="M9" s="32" t="n">
        <f aca="false">H9+I9+J9</f>
        <v>0.0242742504579109</v>
      </c>
      <c r="N9" s="32" t="n">
        <f aca="false">G9+H9+I9</f>
        <v>0.0254317691271299</v>
      </c>
      <c r="O9" s="20" t="n">
        <f aca="false">K9/($E9*SQRT(1))</f>
        <v>2.51428496256656</v>
      </c>
      <c r="P9" s="20" t="n">
        <f aca="false">L9/($E9*SQRT(2))</f>
        <v>2.21539012432927</v>
      </c>
      <c r="Q9" s="20" t="n">
        <f aca="false">M9/($E9*SQRT(3))</f>
        <v>1.46321521447989</v>
      </c>
      <c r="R9" s="20" t="n">
        <f aca="false">N9/($E9*SQRT(3))</f>
        <v>1.53298869443893</v>
      </c>
      <c r="S9" s="7" t="n">
        <f aca="false">_xlfn.T.DIST.2T(ABS(O9),$F9-2)</f>
        <v>0.0126496282256246</v>
      </c>
      <c r="T9" s="7" t="n">
        <f aca="false">_xlfn.T.DIST.2T(ABS(P9),$F9-2)</f>
        <v>0.0277678585979674</v>
      </c>
      <c r="U9" s="7" t="n">
        <f aca="false">_xlfn.T.DIST.2T(ABS(Q9),$F9-2)</f>
        <v>0.144848802358263</v>
      </c>
      <c r="V9" s="7" t="n">
        <f aca="false">_xlfn.T.DIST.2T(ABS(R9),$F9-2)</f>
        <v>0.126728566375554</v>
      </c>
    </row>
    <row r="10" customFormat="false" ht="15" hidden="false" customHeight="false" outlineLevel="0" collapsed="false">
      <c r="A10" s="5" t="s">
        <v>288</v>
      </c>
      <c r="B10" s="5" t="s">
        <v>287</v>
      </c>
      <c r="C10" s="29" t="n">
        <f aca="false">INTERCEPT(Data_Returns!$U$375:$U$594,Data_Returns!$B$375:$B$594)</f>
        <v>-0.000534693370888044</v>
      </c>
      <c r="D10" s="7" t="n">
        <f aca="false">SLOPE(Data_Returns!$U$375:$U$594,Data_Returns!$B$375:$B$594)</f>
        <v>1.01579881167201</v>
      </c>
      <c r="E10" s="29" t="n">
        <f aca="false">STEYX(Data_Returns!$U$375:$U$594,Data_Returns!$B$375:$B$594)</f>
        <v>0.00974600858250813</v>
      </c>
      <c r="F10" s="13" t="n">
        <f aca="false">COUNT(Data_Returns!$U$375:$U$594)</f>
        <v>220</v>
      </c>
      <c r="G10" s="32" t="n">
        <f aca="false">Data_Returns!U624-($C10+$D10*Data_Returns!B624)</f>
        <v>0.000790658012709516</v>
      </c>
      <c r="H10" s="32" t="n">
        <f aca="false">Data_Returns!U625-($C10+$D10*Data_Returns!B625)</f>
        <v>0.0356866940795588</v>
      </c>
      <c r="I10" s="32" t="n">
        <f aca="false">Data_Returns!U626-($C10+$D10*Data_Returns!B626)</f>
        <v>-0.00403175501079321</v>
      </c>
      <c r="J10" s="32" t="n">
        <f aca="false">Data_Returns!U627-($C10+$D10*Data_Returns!B627)</f>
        <v>-0.00538682689155794</v>
      </c>
      <c r="K10" s="32" t="n">
        <f aca="false">H10</f>
        <v>0.0356866940795588</v>
      </c>
      <c r="L10" s="32" t="n">
        <f aca="false">H10+I10</f>
        <v>0.0316549390687656</v>
      </c>
      <c r="M10" s="32" t="n">
        <f aca="false">H10+I10+J10</f>
        <v>0.0262681121772076</v>
      </c>
      <c r="N10" s="32" t="n">
        <f aca="false">G10+H10+I10</f>
        <v>0.0324455970814751</v>
      </c>
      <c r="O10" s="20" t="n">
        <f aca="false">K10/($E10*SQRT(1))</f>
        <v>3.66167275325493</v>
      </c>
      <c r="P10" s="20" t="n">
        <f aca="false">L10/($E10*SQRT(2))</f>
        <v>2.29667580159372</v>
      </c>
      <c r="Q10" s="20" t="n">
        <f aca="false">M10/($E10*SQRT(3))</f>
        <v>1.55611412694972</v>
      </c>
      <c r="R10" s="20" t="n">
        <f aca="false">N10/($E10*SQRT(3))</f>
        <v>1.92206625414103</v>
      </c>
      <c r="S10" s="7" t="n">
        <f aca="false">_xlfn.T.DIST.2T(ABS(O10),$F10-2)</f>
        <v>0.00031449444858116</v>
      </c>
      <c r="T10" s="7" t="n">
        <f aca="false">_xlfn.T.DIST.2T(ABS(P10),$F10-2)</f>
        <v>0.0225868761851881</v>
      </c>
      <c r="U10" s="7" t="n">
        <f aca="false">_xlfn.T.DIST.2T(ABS(Q10),$F10-2)</f>
        <v>0.12113149394291</v>
      </c>
      <c r="V10" s="7" t="n">
        <f aca="false">_xlfn.T.DIST.2T(ABS(R10),$F10-2)</f>
        <v>0.0559010209706263</v>
      </c>
    </row>
    <row r="11" customFormat="false" ht="15" hidden="false" customHeight="false" outlineLevel="0" collapsed="false">
      <c r="A11" s="5" t="s">
        <v>289</v>
      </c>
      <c r="B11" s="5" t="s">
        <v>287</v>
      </c>
      <c r="C11" s="29" t="n">
        <f aca="false">INTERCEPT(Data_Returns!$V$375:$V$594,Data_Returns!$B$375:$B$594)</f>
        <v>-4.81337342032394E-005</v>
      </c>
      <c r="D11" s="7" t="n">
        <f aca="false">SLOPE(Data_Returns!$V$375:$V$594,Data_Returns!$B$375:$B$594)</f>
        <v>1.10981562394532</v>
      </c>
      <c r="E11" s="29" t="n">
        <f aca="false">STEYX(Data_Returns!$V$375:$V$594,Data_Returns!$B$375:$B$594)</f>
        <v>0.0131012393348899</v>
      </c>
      <c r="F11" s="13" t="n">
        <f aca="false">COUNT(Data_Returns!$V$375:$V$594)</f>
        <v>220</v>
      </c>
      <c r="G11" s="32" t="n">
        <f aca="false">Data_Returns!V624-($C11+$D11*Data_Returns!B624)</f>
        <v>-0.0135219955389433</v>
      </c>
      <c r="H11" s="32" t="n">
        <f aca="false">Data_Returns!V625-($C11+$D11*Data_Returns!B625)</f>
        <v>0.0047406862928467</v>
      </c>
      <c r="I11" s="32" t="n">
        <f aca="false">Data_Returns!V626-($C11+$D11*Data_Returns!B626)</f>
        <v>0.0225233651159844</v>
      </c>
      <c r="J11" s="32" t="n">
        <f aca="false">Data_Returns!V627-($C11+$D11*Data_Returns!B627)</f>
        <v>-0.00631290381641477</v>
      </c>
      <c r="K11" s="32" t="n">
        <f aca="false">H11</f>
        <v>0.0047406862928467</v>
      </c>
      <c r="L11" s="32" t="n">
        <f aca="false">H11+I11</f>
        <v>0.0272640514088311</v>
      </c>
      <c r="M11" s="32" t="n">
        <f aca="false">H11+I11+J11</f>
        <v>0.0209511475924163</v>
      </c>
      <c r="N11" s="32" t="n">
        <f aca="false">G11+H11+I11</f>
        <v>0.0137420558698878</v>
      </c>
      <c r="O11" s="20" t="n">
        <f aca="false">K11/($E11*SQRT(1))</f>
        <v>0.361850216736504</v>
      </c>
      <c r="P11" s="20" t="n">
        <f aca="false">L11/($E11*SQRT(2))</f>
        <v>1.47150930847148</v>
      </c>
      <c r="Q11" s="20" t="n">
        <f aca="false">M11/($E11*SQRT(3))</f>
        <v>0.923282934775487</v>
      </c>
      <c r="R11" s="20" t="n">
        <f aca="false">N11/($E11*SQRT(3))</f>
        <v>0.605590009684784</v>
      </c>
      <c r="S11" s="7" t="n">
        <f aca="false">_xlfn.T.DIST.2T(ABS(O11),$F11-2)</f>
        <v>0.717814457302014</v>
      </c>
      <c r="T11" s="7" t="n">
        <f aca="false">_xlfn.T.DIST.2T(ABS(P11),$F11-2)</f>
        <v>0.142595491768247</v>
      </c>
      <c r="U11" s="7" t="n">
        <f aca="false">_xlfn.T.DIST.2T(ABS(Q11),$F11-2)</f>
        <v>0.356880546346155</v>
      </c>
      <c r="V11" s="7" t="n">
        <f aca="false">_xlfn.T.DIST.2T(ABS(R11),$F11-2)</f>
        <v>0.545416991623663</v>
      </c>
    </row>
    <row r="12" customFormat="false" ht="15" hidden="false" customHeight="false" outlineLevel="0" collapsed="false">
      <c r="A12" s="5" t="s">
        <v>290</v>
      </c>
      <c r="B12" s="5" t="s">
        <v>287</v>
      </c>
      <c r="C12" s="29" t="n">
        <f aca="false">INTERCEPT(Data_Returns!$W$375:$W$594,Data_Returns!$B$375:$B$594)</f>
        <v>-0.000547971637395854</v>
      </c>
      <c r="D12" s="7" t="n">
        <f aca="false">SLOPE(Data_Returns!$W$375:$W$594,Data_Returns!$B$375:$B$594)</f>
        <v>0.847816952201561</v>
      </c>
      <c r="E12" s="29" t="n">
        <f aca="false">STEYX(Data_Returns!$W$375:$W$594,Data_Returns!$B$375:$B$594)</f>
        <v>0.0110527302139893</v>
      </c>
      <c r="F12" s="13" t="n">
        <f aca="false">COUNT(Data_Returns!$W$375:$W$594)</f>
        <v>220</v>
      </c>
      <c r="G12" s="32" t="n">
        <f aca="false">Data_Returns!W624-($C12+$D12*Data_Returns!B624)</f>
        <v>-0.0012686015371957</v>
      </c>
      <c r="H12" s="32" t="n">
        <f aca="false">Data_Returns!W625-($C12+$D12*Data_Returns!B625)</f>
        <v>0.0236570566493441</v>
      </c>
      <c r="I12" s="32" t="n">
        <f aca="false">Data_Returns!W626-($C12+$D12*Data_Returns!B626)</f>
        <v>0.000721780899546137</v>
      </c>
      <c r="J12" s="32" t="n">
        <f aca="false">Data_Returns!W627-($C12+$D12*Data_Returns!B627)</f>
        <v>-0.00863290166063396</v>
      </c>
      <c r="K12" s="32" t="n">
        <f aca="false">H12</f>
        <v>0.0236570566493441</v>
      </c>
      <c r="L12" s="32" t="n">
        <f aca="false">H12+I12</f>
        <v>0.0243788375488902</v>
      </c>
      <c r="M12" s="32" t="n">
        <f aca="false">H12+I12+J12</f>
        <v>0.0157459358882562</v>
      </c>
      <c r="N12" s="32" t="n">
        <f aca="false">G12+H12+I12</f>
        <v>0.0231102360116945</v>
      </c>
      <c r="O12" s="20" t="n">
        <f aca="false">K12/($E12*SQRT(1))</f>
        <v>2.14038126248677</v>
      </c>
      <c r="P12" s="20" t="n">
        <f aca="false">L12/($E12*SQRT(2))</f>
        <v>1.55965458438921</v>
      </c>
      <c r="Q12" s="20" t="n">
        <f aca="false">M12/($E12*SQRT(3))</f>
        <v>0.822504498682244</v>
      </c>
      <c r="R12" s="20" t="n">
        <f aca="false">N12/($E12*SQRT(3))</f>
        <v>1.20718598247336</v>
      </c>
      <c r="S12" s="7" t="n">
        <f aca="false">_xlfn.T.DIST.2T(ABS(O12),$F12-2)</f>
        <v>0.0334345118641543</v>
      </c>
      <c r="T12" s="7" t="n">
        <f aca="false">_xlfn.T.DIST.2T(ABS(P12),$F12-2)</f>
        <v>0.120292048496228</v>
      </c>
      <c r="U12" s="7" t="n">
        <f aca="false">_xlfn.T.DIST.2T(ABS(Q12),$F12-2)</f>
        <v>0.411688572051898</v>
      </c>
      <c r="V12" s="7" t="n">
        <f aca="false">_xlfn.T.DIST.2T(ABS(R12),$F12-2)</f>
        <v>0.228668717348593</v>
      </c>
    </row>
    <row r="13" customFormat="false" ht="15" hidden="false" customHeight="false" outlineLevel="0" collapsed="false">
      <c r="A13" s="5" t="s">
        <v>291</v>
      </c>
      <c r="B13" s="5" t="s">
        <v>287</v>
      </c>
      <c r="C13" s="29" t="n">
        <f aca="false">INTERCEPT(Data_Returns!$X$375:$X$594,Data_Returns!$B$375:$B$594)</f>
        <v>-9.45884997369739E-005</v>
      </c>
      <c r="D13" s="7" t="n">
        <f aca="false">SLOPE(Data_Returns!$X$375:$X$594,Data_Returns!$B$375:$B$594)</f>
        <v>1.07690304885755</v>
      </c>
      <c r="E13" s="29" t="n">
        <f aca="false">STEYX(Data_Returns!$X$375:$X$594,Data_Returns!$B$375:$B$594)</f>
        <v>0.00986608113844188</v>
      </c>
      <c r="F13" s="13" t="n">
        <f aca="false">COUNT(Data_Returns!$X$375:$X$594)</f>
        <v>220</v>
      </c>
      <c r="G13" s="32" t="n">
        <f aca="false">Data_Returns!X624-($C13+$D13*Data_Returns!B624)</f>
        <v>-0.00172884283498614</v>
      </c>
      <c r="H13" s="32" t="n">
        <f aca="false">Data_Returns!X625-($C13+$D13*Data_Returns!B625)</f>
        <v>0.0306467192399781</v>
      </c>
      <c r="I13" s="32" t="n">
        <f aca="false">Data_Returns!X626-($C13+$D13*Data_Returns!B626)</f>
        <v>-0.00203943585161597</v>
      </c>
      <c r="J13" s="32" t="n">
        <f aca="false">Data_Returns!X627-($C13+$D13*Data_Returns!B627)</f>
        <v>-0.0041198166632098</v>
      </c>
      <c r="K13" s="32" t="n">
        <f aca="false">H13</f>
        <v>0.0306467192399781</v>
      </c>
      <c r="L13" s="32" t="n">
        <f aca="false">H13+I13</f>
        <v>0.0286072833883621</v>
      </c>
      <c r="M13" s="32" t="n">
        <f aca="false">H13+I13+J13</f>
        <v>0.0244874667251523</v>
      </c>
      <c r="N13" s="32" t="n">
        <f aca="false">G13+H13+I13</f>
        <v>0.026878440553376</v>
      </c>
      <c r="O13" s="20" t="n">
        <f aca="false">K13/($E13*SQRT(1))</f>
        <v>3.1062707482272</v>
      </c>
      <c r="P13" s="20" t="n">
        <f aca="false">L13/($E13*SQRT(2))</f>
        <v>2.05029776173428</v>
      </c>
      <c r="Q13" s="20" t="n">
        <f aca="false">M13/($E13*SQRT(3))</f>
        <v>1.43297478574877</v>
      </c>
      <c r="R13" s="20" t="n">
        <f aca="false">N13/($E13*SQRT(3))</f>
        <v>1.57289147242304</v>
      </c>
      <c r="S13" s="7" t="n">
        <f aca="false">_xlfn.T.DIST.2T(ABS(O13),$F13-2)</f>
        <v>0.00214639799449863</v>
      </c>
      <c r="T13" s="7" t="n">
        <f aca="false">_xlfn.T.DIST.2T(ABS(P13),$F13-2)</f>
        <v>0.0415318668173587</v>
      </c>
      <c r="U13" s="7" t="n">
        <f aca="false">_xlfn.T.DIST.2T(ABS(Q13),$F13-2)</f>
        <v>0.1532975483977</v>
      </c>
      <c r="V13" s="7" t="n">
        <f aca="false">_xlfn.T.DIST.2T(ABS(R13),$F13-2)</f>
        <v>0.117194133103268</v>
      </c>
    </row>
    <row r="14" customFormat="false" ht="15" hidden="false" customHeight="false" outlineLevel="0" collapsed="false">
      <c r="A14" s="5" t="s">
        <v>292</v>
      </c>
      <c r="B14" s="5" t="s">
        <v>287</v>
      </c>
      <c r="C14" s="29" t="n">
        <f aca="false">INTERCEPT(Data_Returns!$Y$375:$Y$594,Data_Returns!$B$375:$B$594)</f>
        <v>-0.0006160205164747</v>
      </c>
      <c r="D14" s="7" t="n">
        <f aca="false">SLOPE(Data_Returns!$Y$375:$Y$594,Data_Returns!$B$375:$B$594)</f>
        <v>1.00441770617995</v>
      </c>
      <c r="E14" s="29" t="n">
        <f aca="false">STEYX(Data_Returns!$Y$375:$Y$594,Data_Returns!$B$375:$B$594)</f>
        <v>0.0103943018396966</v>
      </c>
      <c r="F14" s="13" t="n">
        <f aca="false">COUNT(Data_Returns!$Y$375:$Y$594)</f>
        <v>220</v>
      </c>
      <c r="G14" s="32" t="n">
        <f aca="false">Data_Returns!Y624-($C14+$D14*Data_Returns!B624)</f>
        <v>-0.000911999967319407</v>
      </c>
      <c r="H14" s="32" t="n">
        <f aca="false">Data_Returns!Y625-($C14+$D14*Data_Returns!B625)</f>
        <v>0.0368250007447652</v>
      </c>
      <c r="I14" s="32" t="n">
        <f aca="false">Data_Returns!Y626-($C14+$D14*Data_Returns!B626)</f>
        <v>-0.00453903384819749</v>
      </c>
      <c r="J14" s="32" t="n">
        <f aca="false">Data_Returns!Y627-($C14+$D14*Data_Returns!B627)</f>
        <v>-0.00726417941814805</v>
      </c>
      <c r="K14" s="32" t="n">
        <f aca="false">H14</f>
        <v>0.0368250007447652</v>
      </c>
      <c r="L14" s="32" t="n">
        <f aca="false">H14+I14</f>
        <v>0.0322859668965677</v>
      </c>
      <c r="M14" s="32" t="n">
        <f aca="false">H14+I14+J14</f>
        <v>0.0250217874784197</v>
      </c>
      <c r="N14" s="32" t="n">
        <f aca="false">G14+H14+I14</f>
        <v>0.0313739669292483</v>
      </c>
      <c r="O14" s="20" t="n">
        <f aca="false">K14/($E14*SQRT(1))</f>
        <v>3.54280656004503</v>
      </c>
      <c r="P14" s="20" t="n">
        <f aca="false">L14/($E14*SQRT(2))</f>
        <v>2.19635974419556</v>
      </c>
      <c r="Q14" s="20" t="n">
        <f aca="false">M14/($E14*SQRT(3))</f>
        <v>1.38983223299323</v>
      </c>
      <c r="R14" s="20" t="n">
        <f aca="false">N14/($E14*SQRT(3))</f>
        <v>1.74266329105146</v>
      </c>
      <c r="S14" s="7" t="n">
        <f aca="false">_xlfn.T.DIST.2T(ABS(O14),$F14-2)</f>
        <v>0.000484182364588177</v>
      </c>
      <c r="T14" s="7" t="n">
        <f aca="false">_xlfn.T.DIST.2T(ABS(P14),$F14-2)</f>
        <v>0.0291203258296104</v>
      </c>
      <c r="U14" s="7" t="n">
        <f aca="false">_xlfn.T.DIST.2T(ABS(Q14),$F14-2)</f>
        <v>0.165997448161462</v>
      </c>
      <c r="V14" s="7" t="n">
        <f aca="false">_xlfn.T.DIST.2T(ABS(R14),$F14-2)</f>
        <v>0.0828025597310819</v>
      </c>
    </row>
    <row r="15" customFormat="false" ht="15" hidden="false" customHeight="false" outlineLevel="0" collapsed="false">
      <c r="A15" s="5" t="s">
        <v>293</v>
      </c>
      <c r="B15" s="5" t="s">
        <v>294</v>
      </c>
      <c r="C15" s="29" t="n">
        <f aca="false">INTERCEPT(Data_Returns!$Z$375:$Z$594,Data_Returns!$B$375:$B$594)</f>
        <v>-0.000486559636684804</v>
      </c>
      <c r="D15" s="7" t="n">
        <f aca="false">SLOPE(Data_Returns!$Z$375:$Z$594,Data_Returns!$B$375:$B$594)</f>
        <v>-0.0940168122733064</v>
      </c>
      <c r="E15" s="29" t="n">
        <f aca="false">STEYX(Data_Returns!$Z$375:$Z$594,Data_Returns!$B$375:$B$594)</f>
        <v>0.0116833524770736</v>
      </c>
      <c r="F15" s="13" t="n">
        <f aca="false">COUNT(Data_Returns!$Z$375:$Z$594)</f>
        <v>220</v>
      </c>
      <c r="G15" s="32" t="n">
        <f aca="false">Data_Returns!Z624-($C15+$D15*Data_Returns!B624)</f>
        <v>0.0143126535516528</v>
      </c>
      <c r="H15" s="32" t="n">
        <f aca="false">Data_Returns!Z625-($C15+$D15*Data_Returns!B625)</f>
        <v>0.0309460077867121</v>
      </c>
      <c r="I15" s="32" t="n">
        <f aca="false">Data_Returns!Z626-($C15+$D15*Data_Returns!B626)</f>
        <v>-0.0265551201267776</v>
      </c>
      <c r="J15" s="32" t="n">
        <f aca="false">Data_Returns!Z627-($C15+$D15*Data_Returns!B627)</f>
        <v>0.000926076924856831</v>
      </c>
      <c r="K15" s="32" t="n">
        <f aca="false">H15</f>
        <v>0.0309460077867121</v>
      </c>
      <c r="L15" s="32" t="n">
        <f aca="false">H15+I15</f>
        <v>0.00439088765993445</v>
      </c>
      <c r="M15" s="32" t="n">
        <f aca="false">H15+I15+J15</f>
        <v>0.00531696458479128</v>
      </c>
      <c r="N15" s="32" t="n">
        <f aca="false">G15+H15+I15</f>
        <v>0.0187035412115872</v>
      </c>
      <c r="O15" s="20" t="n">
        <f aca="false">K15/($E15*SQRT(1))</f>
        <v>2.64872671156998</v>
      </c>
      <c r="P15" s="20" t="n">
        <f aca="false">L15/($E15*SQRT(2))</f>
        <v>0.265747904624176</v>
      </c>
      <c r="Q15" s="20" t="n">
        <f aca="false">M15/($E15*SQRT(3))</f>
        <v>0.262745726479174</v>
      </c>
      <c r="R15" s="20" t="n">
        <f aca="false">N15/($E15*SQRT(3))</f>
        <v>0.924263354589292</v>
      </c>
      <c r="S15" s="7" t="n">
        <f aca="false">_xlfn.T.DIST.2T(ABS(O15),$F15-2)</f>
        <v>0.00867059964077289</v>
      </c>
      <c r="T15" s="7" t="n">
        <f aca="false">_xlfn.T.DIST.2T(ABS(P15),$F15-2)</f>
        <v>0.790684515169639</v>
      </c>
      <c r="U15" s="7" t="n">
        <f aca="false">_xlfn.T.DIST.2T(ABS(Q15),$F15-2)</f>
        <v>0.792994709991265</v>
      </c>
      <c r="V15" s="7" t="n">
        <f aca="false">_xlfn.T.DIST.2T(ABS(R15),$F15-2)</f>
        <v>0.356371141117697</v>
      </c>
    </row>
    <row r="16" customFormat="false" ht="15" hidden="false" customHeight="false" outlineLevel="0" collapsed="false">
      <c r="A16" s="5" t="s">
        <v>295</v>
      </c>
      <c r="B16" s="5" t="s">
        <v>294</v>
      </c>
      <c r="C16" s="29" t="n">
        <f aca="false">INTERCEPT(Data_Returns!$AA$375:$AA$594,Data_Returns!$B$375:$B$594)</f>
        <v>-0.000499837903192615</v>
      </c>
      <c r="D16" s="7" t="n">
        <f aca="false">SLOPE(Data_Returns!$AA$375:$AA$594,Data_Returns!$B$375:$B$594)</f>
        <v>-0.261998671743758</v>
      </c>
      <c r="E16" s="29" t="n">
        <f aca="false">STEYX(Data_Returns!$AA$375:$AA$594,Data_Returns!$B$375:$B$594)</f>
        <v>0.014795154369793</v>
      </c>
      <c r="F16" s="13" t="n">
        <f aca="false">COUNT(Data_Returns!$AA$375:$AA$594)</f>
        <v>220</v>
      </c>
      <c r="G16" s="32" t="n">
        <f aca="false">Data_Returns!AA624-($C16+$D16*Data_Returns!B624)</f>
        <v>0.0122533940017476</v>
      </c>
      <c r="H16" s="32" t="n">
        <f aca="false">Data_Returns!AA625-($C16+$D16*Data_Returns!B625)</f>
        <v>0.0189163703564974</v>
      </c>
      <c r="I16" s="32" t="n">
        <f aca="false">Data_Returns!AA626-($C16+$D16*Data_Returns!B626)</f>
        <v>-0.0218015842164383</v>
      </c>
      <c r="J16" s="32" t="n">
        <f aca="false">Data_Returns!AA627-($C16+$D16*Data_Returns!B627)</f>
        <v>-0.00231999784421919</v>
      </c>
      <c r="K16" s="32" t="n">
        <f aca="false">H16</f>
        <v>0.0189163703564974</v>
      </c>
      <c r="L16" s="32" t="n">
        <f aca="false">H16+I16</f>
        <v>-0.0028852138599409</v>
      </c>
      <c r="M16" s="32" t="n">
        <f aca="false">H16+I16+J16</f>
        <v>-0.00520521170416009</v>
      </c>
      <c r="N16" s="32" t="n">
        <f aca="false">G16+H16+I16</f>
        <v>0.00936818014180667</v>
      </c>
      <c r="O16" s="20" t="n">
        <f aca="false">K16/($E16*SQRT(1))</f>
        <v>1.27855173955593</v>
      </c>
      <c r="P16" s="20" t="n">
        <f aca="false">L16/($E16*SQRT(2))</f>
        <v>-0.137893409865528</v>
      </c>
      <c r="Q16" s="20" t="n">
        <f aca="false">M16/($E16*SQRT(3))</f>
        <v>-0.203122610516423</v>
      </c>
      <c r="R16" s="20" t="n">
        <f aca="false">N16/($E16*SQRT(3))</f>
        <v>0.365573835291092</v>
      </c>
      <c r="S16" s="7" t="n">
        <f aca="false">_xlfn.T.DIST.2T(ABS(O16),$F16-2)</f>
        <v>0.202414436308548</v>
      </c>
      <c r="T16" s="7" t="n">
        <f aca="false">_xlfn.T.DIST.2T(ABS(P16),$F16-2)</f>
        <v>0.890451940153763</v>
      </c>
      <c r="U16" s="7" t="n">
        <f aca="false">_xlfn.T.DIST.2T(ABS(Q16),$F16-2)</f>
        <v>0.839228661978756</v>
      </c>
      <c r="V16" s="7" t="n">
        <f aca="false">_xlfn.T.DIST.2T(ABS(R16),$F16-2)</f>
        <v>0.715037569487309</v>
      </c>
    </row>
    <row r="18" customFormat="false" ht="15" hidden="false" customHeight="false" outlineLevel="0" collapsed="false">
      <c r="A18" s="9" t="s">
        <v>296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</row>
    <row r="19" customFormat="false" ht="30" hidden="false" customHeight="true" outlineLevel="0" collapsed="false">
      <c r="A19" s="3" t="s">
        <v>265</v>
      </c>
      <c r="B19" s="3" t="s">
        <v>213</v>
      </c>
      <c r="C19" s="3" t="s">
        <v>266</v>
      </c>
      <c r="D19" s="3" t="s">
        <v>267</v>
      </c>
      <c r="E19" s="3" t="s">
        <v>268</v>
      </c>
      <c r="F19" s="3" t="s">
        <v>269</v>
      </c>
      <c r="G19" s="3" t="s">
        <v>270</v>
      </c>
      <c r="H19" s="3" t="s">
        <v>271</v>
      </c>
      <c r="I19" s="3" t="s">
        <v>272</v>
      </c>
      <c r="J19" s="3" t="s">
        <v>273</v>
      </c>
      <c r="K19" s="3" t="s">
        <v>274</v>
      </c>
      <c r="L19" s="3" t="s">
        <v>275</v>
      </c>
      <c r="M19" s="3" t="s">
        <v>276</v>
      </c>
      <c r="N19" s="3" t="s">
        <v>277</v>
      </c>
      <c r="O19" s="3" t="s">
        <v>278</v>
      </c>
      <c r="P19" s="3" t="s">
        <v>279</v>
      </c>
      <c r="Q19" s="3" t="s">
        <v>280</v>
      </c>
      <c r="R19" s="3" t="s">
        <v>281</v>
      </c>
      <c r="S19" s="3" t="s">
        <v>282</v>
      </c>
      <c r="T19" s="3" t="s">
        <v>283</v>
      </c>
      <c r="U19" s="3" t="s">
        <v>284</v>
      </c>
      <c r="V19" s="3" t="s">
        <v>285</v>
      </c>
    </row>
    <row r="20" customFormat="false" ht="15" hidden="false" customHeight="false" outlineLevel="0" collapsed="false">
      <c r="A20" s="5" t="s">
        <v>226</v>
      </c>
      <c r="B20" s="5" t="s">
        <v>228</v>
      </c>
      <c r="C20" s="33" t="n">
        <f aca="false">ES_MarketModel!$I$6</f>
        <v>-0.00243229034793754</v>
      </c>
      <c r="D20" s="12" t="n">
        <f aca="false">ES_MarketModel!$J$6</f>
        <v>0.597422903734402</v>
      </c>
      <c r="E20" s="33" t="n">
        <f aca="false">ES_MarketModel!$L$6</f>
        <v>0.0247192795068764</v>
      </c>
      <c r="F20" s="34" t="n">
        <f aca="false">ES_MarketModel!$M$6</f>
        <v>220</v>
      </c>
      <c r="G20" s="32" t="n">
        <f aca="false">Data_Returns!J624-($C20+$D20*Data_Returns!B624)</f>
        <v>0.00416345822271609</v>
      </c>
      <c r="H20" s="32" t="n">
        <f aca="false">Data_Returns!J625-($C20+$D20*Data_Returns!B625)</f>
        <v>-0.0117537070339014</v>
      </c>
      <c r="I20" s="32" t="n">
        <f aca="false">Data_Returns!J626-($C20+$D20*Data_Returns!B626)</f>
        <v>0.0101027419139065</v>
      </c>
      <c r="J20" s="32" t="n">
        <f aca="false">Data_Returns!J627-($C20+$D20*Data_Returns!B627)</f>
        <v>0.000583657182526475</v>
      </c>
      <c r="K20" s="32" t="n">
        <f aca="false">H20</f>
        <v>-0.0117537070339014</v>
      </c>
      <c r="L20" s="32" t="n">
        <f aca="false">H20+I20</f>
        <v>-0.00165096511999484</v>
      </c>
      <c r="M20" s="32" t="n">
        <f aca="false">H20+I20+J20</f>
        <v>-0.00106730793746837</v>
      </c>
      <c r="N20" s="32" t="n">
        <f aca="false">G20+H20+I20</f>
        <v>0.00251249310272125</v>
      </c>
      <c r="O20" s="20" t="n">
        <f aca="false">K20/($E20*SQRT(1))</f>
        <v>-0.475487444147865</v>
      </c>
      <c r="P20" s="20" t="n">
        <f aca="false">L20/($E20*SQRT(2))</f>
        <v>-0.0472266447541913</v>
      </c>
      <c r="Q20" s="20" t="n">
        <f aca="false">M20/($E20*SQRT(3))</f>
        <v>-0.0249283368001955</v>
      </c>
      <c r="R20" s="20" t="n">
        <f aca="false">N20/($E20*SQRT(3))</f>
        <v>0.058682477731184</v>
      </c>
      <c r="S20" s="7" t="n">
        <f aca="false">_xlfn.T.DIST.2T(ABS(O20),$F20-2)</f>
        <v>0.634915668392066</v>
      </c>
      <c r="T20" s="7" t="n">
        <f aca="false">_xlfn.T.DIST.2T(ABS(P20),$F20-2)</f>
        <v>0.962375827518977</v>
      </c>
      <c r="U20" s="7" t="n">
        <f aca="false">_xlfn.T.DIST.2T(ABS(Q20),$F20-2)</f>
        <v>0.980134928234753</v>
      </c>
      <c r="V20" s="7" t="n">
        <f aca="false">_xlfn.T.DIST.2T(ABS(R20),$F20-2)</f>
        <v>0.953258771928177</v>
      </c>
    </row>
    <row r="21" customFormat="false" ht="15" hidden="false" customHeight="false" outlineLevel="0" collapsed="false">
      <c r="A21" s="5" t="s">
        <v>229</v>
      </c>
      <c r="B21" s="5" t="s">
        <v>228</v>
      </c>
      <c r="C21" s="33" t="n">
        <f aca="false">ES_MarketModel!$I$7</f>
        <v>0.000197250939391859</v>
      </c>
      <c r="D21" s="12" t="n">
        <f aca="false">ES_MarketModel!$J$7</f>
        <v>1.11822876110056</v>
      </c>
      <c r="E21" s="33" t="n">
        <f aca="false">ES_MarketModel!$L$7</f>
        <v>0.0130984665129283</v>
      </c>
      <c r="F21" s="34" t="n">
        <f aca="false">ES_MarketModel!$M$7</f>
        <v>220</v>
      </c>
      <c r="G21" s="32" t="n">
        <f aca="false">Data_Returns!K624-($C21+$D21*Data_Returns!B624)</f>
        <v>0.0161145798329698</v>
      </c>
      <c r="H21" s="32" t="n">
        <f aca="false">Data_Returns!K625-($C21+$D21*Data_Returns!B625)</f>
        <v>0.0254419340927009</v>
      </c>
      <c r="I21" s="32" t="n">
        <f aca="false">Data_Returns!K626-($C21+$D21*Data_Returns!B626)</f>
        <v>0.000533754525845292</v>
      </c>
      <c r="J21" s="32" t="n">
        <f aca="false">Data_Returns!K627-($C21+$D21*Data_Returns!B627)</f>
        <v>0.011509345847753</v>
      </c>
      <c r="K21" s="32" t="n">
        <f aca="false">H21</f>
        <v>0.0254419340927009</v>
      </c>
      <c r="L21" s="32" t="n">
        <f aca="false">H21+I21</f>
        <v>0.0259756886185462</v>
      </c>
      <c r="M21" s="32" t="n">
        <f aca="false">H21+I21+J21</f>
        <v>0.0374850344662992</v>
      </c>
      <c r="N21" s="32" t="n">
        <f aca="false">G21+H21+I21</f>
        <v>0.042090268451516</v>
      </c>
      <c r="O21" s="20" t="n">
        <f aca="false">K21/($E21*SQRT(1))</f>
        <v>1.94235974627943</v>
      </c>
      <c r="P21" s="20" t="n">
        <f aca="false">L21/($E21*SQRT(2))</f>
        <v>1.40226991839353</v>
      </c>
      <c r="Q21" s="20" t="n">
        <f aca="false">M21/($E21*SQRT(3))</f>
        <v>1.65225408015049</v>
      </c>
      <c r="R21" s="20" t="n">
        <f aca="false">N21/($E21*SQRT(3))</f>
        <v>1.85524219928809</v>
      </c>
      <c r="S21" s="7" t="n">
        <f aca="false">_xlfn.T.DIST.2T(ABS(O21),$F21-2)</f>
        <v>0.0533816765683795</v>
      </c>
      <c r="T21" s="7" t="n">
        <f aca="false">_xlfn.T.DIST.2T(ABS(P21),$F21-2)</f>
        <v>0.162257021399293</v>
      </c>
      <c r="U21" s="7" t="n">
        <f aca="false">_xlfn.T.DIST.2T(ABS(Q21),$F21-2)</f>
        <v>0.0999223130841373</v>
      </c>
      <c r="V21" s="7" t="n">
        <f aca="false">_xlfn.T.DIST.2T(ABS(R21),$F21-2)</f>
        <v>0.0649116677353342</v>
      </c>
    </row>
    <row r="22" customFormat="false" ht="15" hidden="false" customHeight="false" outlineLevel="0" collapsed="false">
      <c r="A22" s="5" t="s">
        <v>231</v>
      </c>
      <c r="B22" s="5" t="s">
        <v>228</v>
      </c>
      <c r="C22" s="33" t="n">
        <f aca="false">ES_MarketModel!$I$8</f>
        <v>0.000482244714416341</v>
      </c>
      <c r="D22" s="12" t="n">
        <f aca="false">ES_MarketModel!$J$8</f>
        <v>1.12692721863598</v>
      </c>
      <c r="E22" s="33" t="n">
        <f aca="false">ES_MarketModel!$L$8</f>
        <v>0.0187865595376289</v>
      </c>
      <c r="F22" s="34" t="n">
        <f aca="false">ES_MarketModel!$M$8</f>
        <v>220</v>
      </c>
      <c r="G22" s="32" t="n">
        <f aca="false">Data_Returns!L624-($C22+$D22*Data_Returns!B624)</f>
        <v>-0.00705393445577316</v>
      </c>
      <c r="H22" s="32" t="n">
        <f aca="false">Data_Returns!L625-($C22+$D22*Data_Returns!B625)</f>
        <v>0.0514412139137131</v>
      </c>
      <c r="I22" s="32" t="n">
        <f aca="false">Data_Returns!L626-($C22+$D22*Data_Returns!B626)</f>
        <v>-0.00581495162763753</v>
      </c>
      <c r="J22" s="32" t="n">
        <f aca="false">Data_Returns!L627-($C22+$D22*Data_Returns!B627)</f>
        <v>0.0133569677143142</v>
      </c>
      <c r="K22" s="32" t="n">
        <f aca="false">H22</f>
        <v>0.0514412139137131</v>
      </c>
      <c r="L22" s="32" t="n">
        <f aca="false">H22+I22</f>
        <v>0.0456262622860756</v>
      </c>
      <c r="M22" s="32" t="n">
        <f aca="false">H22+I22+J22</f>
        <v>0.0589832300003898</v>
      </c>
      <c r="N22" s="32" t="n">
        <f aca="false">G22+H22+I22</f>
        <v>0.0385723278303025</v>
      </c>
      <c r="O22" s="20" t="n">
        <f aca="false">K22/($E22*SQRT(1))</f>
        <v>2.73819236623279</v>
      </c>
      <c r="P22" s="20" t="n">
        <f aca="false">L22/($E22*SQRT(2))</f>
        <v>1.71732559109927</v>
      </c>
      <c r="Q22" s="20" t="n">
        <f aca="false">M22/($E22*SQRT(3))</f>
        <v>1.81267802921496</v>
      </c>
      <c r="R22" s="20" t="n">
        <f aca="false">N22/($E22*SQRT(3))</f>
        <v>1.18540831340033</v>
      </c>
      <c r="S22" s="7" t="n">
        <f aca="false">_xlfn.T.DIST.2T(ABS(O22),$F22-2)</f>
        <v>0.00668837783750379</v>
      </c>
      <c r="T22" s="7" t="n">
        <f aca="false">_xlfn.T.DIST.2T(ABS(P22),$F22-2)</f>
        <v>0.0873398460832196</v>
      </c>
      <c r="U22" s="7" t="n">
        <f aca="false">_xlfn.T.DIST.2T(ABS(Q22),$F22-2)</f>
        <v>0.071257077813496</v>
      </c>
      <c r="V22" s="7" t="n">
        <f aca="false">_xlfn.T.DIST.2T(ABS(R22),$F22-2)</f>
        <v>0.237146586060123</v>
      </c>
    </row>
    <row r="23" customFormat="false" ht="15" hidden="false" customHeight="false" outlineLevel="0" collapsed="false">
      <c r="A23" s="5" t="s">
        <v>233</v>
      </c>
      <c r="B23" s="5" t="s">
        <v>228</v>
      </c>
      <c r="C23" s="33" t="n">
        <f aca="false">ES_MarketModel!$I$9</f>
        <v>-0.00215793536304711</v>
      </c>
      <c r="D23" s="12" t="n">
        <f aca="false">ES_MarketModel!$J$9</f>
        <v>0.945340822125315</v>
      </c>
      <c r="E23" s="33" t="n">
        <f aca="false">ES_MarketModel!$L$9</f>
        <v>0.0236294270566593</v>
      </c>
      <c r="F23" s="34" t="n">
        <f aca="false">ES_MarketModel!$M$9</f>
        <v>220</v>
      </c>
      <c r="G23" s="32" t="n">
        <f aca="false">Data_Returns!M624-($C23+$D23*Data_Returns!B624)</f>
        <v>0.0175738645842682</v>
      </c>
      <c r="H23" s="32" t="n">
        <f aca="false">Data_Returns!M625-($C23+$D23*Data_Returns!B625)</f>
        <v>0.123446893909664</v>
      </c>
      <c r="I23" s="32" t="n">
        <f aca="false">Data_Returns!M626-($C23+$D23*Data_Returns!B626)</f>
        <v>-0.0341048052089109</v>
      </c>
      <c r="J23" s="32" t="n">
        <f aca="false">Data_Returns!M627-($C23+$D23*Data_Returns!B627)</f>
        <v>-0.0214933927924275</v>
      </c>
      <c r="K23" s="32" t="n">
        <f aca="false">H23</f>
        <v>0.123446893909664</v>
      </c>
      <c r="L23" s="32" t="n">
        <f aca="false">H23+I23</f>
        <v>0.0893420887007533</v>
      </c>
      <c r="M23" s="32" t="n">
        <f aca="false">H23+I23+J23</f>
        <v>0.0678486959083258</v>
      </c>
      <c r="N23" s="32" t="n">
        <f aca="false">G23+H23+I23</f>
        <v>0.106915953285022</v>
      </c>
      <c r="O23" s="20" t="n">
        <f aca="false">K23/($E23*SQRT(1))</f>
        <v>5.22428637874544</v>
      </c>
      <c r="P23" s="20" t="n">
        <f aca="false">L23/($E23*SQRT(2))</f>
        <v>2.67354754790251</v>
      </c>
      <c r="Q23" s="20" t="n">
        <f aca="false">M23/($E23*SQRT(3))</f>
        <v>1.65778301576708</v>
      </c>
      <c r="R23" s="20" t="n">
        <f aca="false">N23/($E23*SQRT(3))</f>
        <v>2.61233394537073</v>
      </c>
      <c r="S23" s="7" t="n">
        <f aca="false">_xlfn.T.DIST.2T(ABS(O23),$F23-2)</f>
        <v>4.07868850395967E-007</v>
      </c>
      <c r="T23" s="7" t="n">
        <f aca="false">_xlfn.T.DIST.2T(ABS(P23),$F23-2)</f>
        <v>0.00807346948580899</v>
      </c>
      <c r="U23" s="7" t="n">
        <f aca="false">_xlfn.T.DIST.2T(ABS(Q23),$F23-2)</f>
        <v>0.0987995355949375</v>
      </c>
      <c r="V23" s="7" t="n">
        <f aca="false">_xlfn.T.DIST.2T(ABS(R23),$F23-2)</f>
        <v>0.00961807916653345</v>
      </c>
    </row>
    <row r="24" customFormat="false" ht="15" hidden="false" customHeight="false" outlineLevel="0" collapsed="false">
      <c r="A24" s="5" t="s">
        <v>235</v>
      </c>
      <c r="B24" s="5" t="s">
        <v>228</v>
      </c>
      <c r="C24" s="33" t="n">
        <f aca="false">ES_MarketModel!$I$10</f>
        <v>-0.00150453718120124</v>
      </c>
      <c r="D24" s="12" t="n">
        <f aca="false">ES_MarketModel!$J$10</f>
        <v>1.30848933633365</v>
      </c>
      <c r="E24" s="33" t="n">
        <f aca="false">ES_MarketModel!$L$10</f>
        <v>0.0349706972315434</v>
      </c>
      <c r="F24" s="34" t="n">
        <f aca="false">ES_MarketModel!$M$10</f>
        <v>220</v>
      </c>
      <c r="G24" s="32" t="n">
        <f aca="false">Data_Returns!N624-($C24+$D24*Data_Returns!B624)</f>
        <v>0.00682576300409818</v>
      </c>
      <c r="H24" s="32" t="n">
        <f aca="false">Data_Returns!N625-($C24+$D24*Data_Returns!B625)</f>
        <v>0.015729618280515</v>
      </c>
      <c r="I24" s="32" t="n">
        <f aca="false">Data_Returns!N626-($C24+$D24*Data_Returns!B626)</f>
        <v>-0.0214323654635221</v>
      </c>
      <c r="J24" s="32" t="n">
        <f aca="false">Data_Returns!N627-($C24+$D24*Data_Returns!B627)</f>
        <v>-0.0314652669781002</v>
      </c>
      <c r="K24" s="32" t="n">
        <f aca="false">H24</f>
        <v>0.015729618280515</v>
      </c>
      <c r="L24" s="32" t="n">
        <f aca="false">H24+I24</f>
        <v>-0.00570274718300712</v>
      </c>
      <c r="M24" s="32" t="n">
        <f aca="false">H24+I24+J24</f>
        <v>-0.0371680141611073</v>
      </c>
      <c r="N24" s="32" t="n">
        <f aca="false">G24+H24+I24</f>
        <v>0.00112301582109106</v>
      </c>
      <c r="O24" s="20" t="n">
        <f aca="false">K24/($E24*SQRT(1))</f>
        <v>0.449794242773261</v>
      </c>
      <c r="P24" s="20" t="n">
        <f aca="false">L24/($E24*SQRT(2))</f>
        <v>-0.115309431144529</v>
      </c>
      <c r="Q24" s="20" t="n">
        <f aca="false">M24/($E24*SQRT(3))</f>
        <v>-0.613626970005141</v>
      </c>
      <c r="R24" s="20" t="n">
        <f aca="false">N24/($E24*SQRT(3))</f>
        <v>0.0185404792566248</v>
      </c>
      <c r="S24" s="7" t="n">
        <f aca="false">_xlfn.T.DIST.2T(ABS(O24),$F24-2)</f>
        <v>0.653305726873885</v>
      </c>
      <c r="T24" s="7" t="n">
        <f aca="false">_xlfn.T.DIST.2T(ABS(P24),$F24-2)</f>
        <v>0.908306004656542</v>
      </c>
      <c r="U24" s="7" t="n">
        <f aca="false">_xlfn.T.DIST.2T(ABS(Q24),$F24-2)</f>
        <v>0.54010160133264</v>
      </c>
      <c r="V24" s="7" t="n">
        <f aca="false">_xlfn.T.DIST.2T(ABS(R24),$F24-2)</f>
        <v>0.985224643094368</v>
      </c>
    </row>
    <row r="25" customFormat="false" ht="15" hidden="false" customHeight="false" outlineLevel="0" collapsed="false">
      <c r="A25" s="5" t="s">
        <v>237</v>
      </c>
      <c r="B25" s="5" t="s">
        <v>228</v>
      </c>
      <c r="C25" s="33" t="n">
        <f aca="false">ES_MarketModel!$I$11</f>
        <v>-0.00049827579637762</v>
      </c>
      <c r="D25" s="12" t="n">
        <f aca="false">ES_MarketModel!$J$11</f>
        <v>1.16442233407232</v>
      </c>
      <c r="E25" s="33" t="n">
        <f aca="false">ES_MarketModel!$L$11</f>
        <v>0.0156208541996771</v>
      </c>
      <c r="F25" s="34" t="n">
        <f aca="false">ES_MarketModel!$M$11</f>
        <v>220</v>
      </c>
      <c r="G25" s="32" t="n">
        <f aca="false">Data_Returns!O624-($C25+$D25*Data_Returns!B624)</f>
        <v>-0.000492119097303077</v>
      </c>
      <c r="H25" s="32" t="n">
        <f aca="false">Data_Returns!O625-($C25+$D25*Data_Returns!B625)</f>
        <v>0.0408487854227431</v>
      </c>
      <c r="I25" s="32" t="n">
        <f aca="false">Data_Returns!O626-($C25+$D25*Data_Returns!B626)</f>
        <v>-0.0178763332718442</v>
      </c>
      <c r="J25" s="32" t="n">
        <f aca="false">Data_Returns!O627-($C25+$D25*Data_Returns!B627)</f>
        <v>4.33793432886378E-005</v>
      </c>
      <c r="K25" s="32" t="n">
        <f aca="false">H25</f>
        <v>0.0408487854227431</v>
      </c>
      <c r="L25" s="32" t="n">
        <f aca="false">H25+I25</f>
        <v>0.0229724521508989</v>
      </c>
      <c r="M25" s="32" t="n">
        <f aca="false">H25+I25+J25</f>
        <v>0.0230158314941876</v>
      </c>
      <c r="N25" s="32" t="n">
        <f aca="false">G25+H25+I25</f>
        <v>0.0224803330535959</v>
      </c>
      <c r="O25" s="20" t="n">
        <f aca="false">K25/($E25*SQRT(1))</f>
        <v>2.61501611247274</v>
      </c>
      <c r="P25" s="20" t="n">
        <f aca="false">L25/($E25*SQRT(2))</f>
        <v>1.03989042396413</v>
      </c>
      <c r="Q25" s="20" t="n">
        <f aca="false">M25/($E25*SQRT(3))</f>
        <v>0.850670285948057</v>
      </c>
      <c r="R25" s="20" t="n">
        <f aca="false">N25/($E25*SQRT(3))</f>
        <v>0.830878143669907</v>
      </c>
      <c r="S25" s="7" t="n">
        <f aca="false">_xlfn.T.DIST.2T(ABS(O25),$F25-2)</f>
        <v>0.00954520078267484</v>
      </c>
      <c r="T25" s="7" t="n">
        <f aca="false">_xlfn.T.DIST.2T(ABS(P25),$F25-2)</f>
        <v>0.299542759891231</v>
      </c>
      <c r="U25" s="7" t="n">
        <f aca="false">_xlfn.T.DIST.2T(ABS(Q25),$F25-2)</f>
        <v>0.395885903197435</v>
      </c>
      <c r="V25" s="7" t="n">
        <f aca="false">_xlfn.T.DIST.2T(ABS(R25),$F25-2)</f>
        <v>0.406951541655184</v>
      </c>
    </row>
    <row r="26" customFormat="false" ht="15" hidden="false" customHeight="false" outlineLevel="0" collapsed="false">
      <c r="A26" s="5" t="s">
        <v>239</v>
      </c>
      <c r="B26" s="5" t="s">
        <v>228</v>
      </c>
      <c r="C26" s="33" t="n">
        <f aca="false">ES_MarketModel!$I$12</f>
        <v>0.00225708258730798</v>
      </c>
      <c r="D26" s="12" t="n">
        <f aca="false">ES_MarketModel!$J$12</f>
        <v>0.847394678949749</v>
      </c>
      <c r="E26" s="33" t="n">
        <f aca="false">ES_MarketModel!$L$12</f>
        <v>0.0156259428353196</v>
      </c>
      <c r="F26" s="34" t="n">
        <f aca="false">ES_MarketModel!$M$12</f>
        <v>220</v>
      </c>
      <c r="G26" s="32" t="n">
        <f aca="false">Data_Returns!P624-($C26+$D26*Data_Returns!B624)</f>
        <v>-0.00446085451862267</v>
      </c>
      <c r="H26" s="32" t="n">
        <f aca="false">Data_Returns!P625-($C26+$D26*Data_Returns!B625)</f>
        <v>0.00947090564909735</v>
      </c>
      <c r="I26" s="32" t="n">
        <f aca="false">Data_Returns!P626-($C26+$D26*Data_Returns!B626)</f>
        <v>-0.0207997464212226</v>
      </c>
      <c r="J26" s="32" t="n">
        <f aca="false">Data_Returns!P627-($C26+$D26*Data_Returns!B627)</f>
        <v>0.00427944939609996</v>
      </c>
      <c r="K26" s="32" t="n">
        <f aca="false">H26</f>
        <v>0.00947090564909735</v>
      </c>
      <c r="L26" s="32" t="n">
        <f aca="false">H26+I26</f>
        <v>-0.0113288407721253</v>
      </c>
      <c r="M26" s="32" t="n">
        <f aca="false">H26+I26+J26</f>
        <v>-0.0070493913760253</v>
      </c>
      <c r="N26" s="32" t="n">
        <f aca="false">G26+H26+I26</f>
        <v>-0.0157896952907479</v>
      </c>
      <c r="O26" s="20" t="n">
        <f aca="false">K26/($E26*SQRT(1))</f>
        <v>0.606101388499263</v>
      </c>
      <c r="P26" s="20" t="n">
        <f aca="false">L26/($E26*SQRT(2))</f>
        <v>-0.512653874225475</v>
      </c>
      <c r="Q26" s="20" t="n">
        <f aca="false">M26/($E26*SQRT(3))</f>
        <v>-0.260462235876852</v>
      </c>
      <c r="R26" s="20" t="n">
        <f aca="false">N26/($E26*SQRT(3))</f>
        <v>-0.583400625652488</v>
      </c>
      <c r="S26" s="7" t="n">
        <f aca="false">_xlfn.T.DIST.2T(ABS(O26),$F26-2)</f>
        <v>0.545078004824618</v>
      </c>
      <c r="T26" s="7" t="n">
        <f aca="false">_xlfn.T.DIST.2T(ABS(P26),$F26-2)</f>
        <v>0.608712505263399</v>
      </c>
      <c r="U26" s="7" t="n">
        <f aca="false">_xlfn.T.DIST.2T(ABS(Q26),$F26-2)</f>
        <v>0.794753097157043</v>
      </c>
      <c r="V26" s="7" t="n">
        <f aca="false">_xlfn.T.DIST.2T(ABS(R26),$F26-2)</f>
        <v>0.560226707179901</v>
      </c>
    </row>
    <row r="27" customFormat="false" ht="15" hidden="false" customHeight="false" outlineLevel="0" collapsed="false">
      <c r="A27" s="5" t="s">
        <v>241</v>
      </c>
      <c r="B27" s="5" t="s">
        <v>228</v>
      </c>
      <c r="C27" s="33" t="n">
        <f aca="false">ES_MarketModel!$I$13</f>
        <v>-0.00181286569281445</v>
      </c>
      <c r="D27" s="12" t="n">
        <f aca="false">ES_MarketModel!$J$13</f>
        <v>0.839233834603551</v>
      </c>
      <c r="E27" s="33" t="n">
        <f aca="false">ES_MarketModel!$L$13</f>
        <v>0.0239350010054467</v>
      </c>
      <c r="F27" s="34" t="n">
        <f aca="false">ES_MarketModel!$M$13</f>
        <v>220</v>
      </c>
      <c r="G27" s="32" t="n">
        <f aca="false">Data_Returns!Q624-($C27+$D27*Data_Returns!B624)</f>
        <v>-0.0218271151296922</v>
      </c>
      <c r="H27" s="32" t="n">
        <f aca="false">Data_Returns!Q625-($C27+$D27*Data_Returns!B625)</f>
        <v>0.0263447297024497</v>
      </c>
      <c r="I27" s="32" t="n">
        <f aca="false">Data_Returns!Q626-($C27+$D27*Data_Returns!B626)</f>
        <v>0.0116288700898642</v>
      </c>
      <c r="J27" s="32" t="n">
        <f aca="false">Data_Returns!Q627-($C27+$D27*Data_Returns!B627)</f>
        <v>-0.0246442283455146</v>
      </c>
      <c r="K27" s="32" t="n">
        <f aca="false">H27</f>
        <v>0.0263447297024497</v>
      </c>
      <c r="L27" s="32" t="n">
        <f aca="false">H27+I27</f>
        <v>0.0379735997923139</v>
      </c>
      <c r="M27" s="32" t="n">
        <f aca="false">H27+I27+J27</f>
        <v>0.0133293714467993</v>
      </c>
      <c r="N27" s="32" t="n">
        <f aca="false">G27+H27+I27</f>
        <v>0.0161464846626217</v>
      </c>
      <c r="O27" s="20" t="n">
        <f aca="false">K27/($E27*SQRT(1))</f>
        <v>1.10067802781602</v>
      </c>
      <c r="P27" s="20" t="n">
        <f aca="false">L27/($E27*SQRT(2))</f>
        <v>1.12184619975988</v>
      </c>
      <c r="Q27" s="20" t="n">
        <f aca="false">M27/($E27*SQRT(3))</f>
        <v>0.32152562647425</v>
      </c>
      <c r="R27" s="20" t="n">
        <f aca="false">N27/($E27*SQRT(3))</f>
        <v>0.389478875071258</v>
      </c>
      <c r="S27" s="7" t="n">
        <f aca="false">_xlfn.T.DIST.2T(ABS(O27),$F27-2)</f>
        <v>0.272250679500241</v>
      </c>
      <c r="T27" s="7" t="n">
        <f aca="false">_xlfn.T.DIST.2T(ABS(P27),$F27-2)</f>
        <v>0.263161984605872</v>
      </c>
      <c r="U27" s="7" t="n">
        <f aca="false">_xlfn.T.DIST.2T(ABS(Q27),$F27-2)</f>
        <v>0.748120161428566</v>
      </c>
      <c r="V27" s="7" t="n">
        <f aca="false">_xlfn.T.DIST.2T(ABS(R27),$F27-2)</f>
        <v>0.697302142938503</v>
      </c>
    </row>
    <row r="28" customFormat="false" ht="15" hidden="false" customHeight="false" outlineLevel="0" collapsed="false">
      <c r="A28" s="5" t="s">
        <v>243</v>
      </c>
      <c r="B28" s="5" t="s">
        <v>228</v>
      </c>
      <c r="C28" s="33" t="n">
        <f aca="false">ES_MarketModel!$I$14</f>
        <v>-2.83001587649688E-005</v>
      </c>
      <c r="D28" s="12" t="n">
        <f aca="false">ES_MarketModel!$J$14</f>
        <v>0.585988260900572</v>
      </c>
      <c r="E28" s="33" t="n">
        <f aca="false">ES_MarketModel!$L$14</f>
        <v>0.0124961926140027</v>
      </c>
      <c r="F28" s="34" t="n">
        <f aca="false">ES_MarketModel!$M$14</f>
        <v>220</v>
      </c>
      <c r="G28" s="32" t="n">
        <f aca="false">Data_Returns!R624-($C28+$D28*Data_Returns!B624)</f>
        <v>0.00190673068513525</v>
      </c>
      <c r="H28" s="32" t="n">
        <f aca="false">Data_Returns!R625-($C28+$D28*Data_Returns!B625)</f>
        <v>0.0191845061528816</v>
      </c>
      <c r="I28" s="32" t="n">
        <f aca="false">Data_Returns!R626-($C28+$D28*Data_Returns!B626)</f>
        <v>-0.00999728191707113</v>
      </c>
      <c r="J28" s="32" t="n">
        <f aca="false">Data_Returns!R627-($C28+$D28*Data_Returns!B627)</f>
        <v>-0.0127638224841403</v>
      </c>
      <c r="K28" s="32" t="n">
        <f aca="false">H28</f>
        <v>0.0191845061528816</v>
      </c>
      <c r="L28" s="32" t="n">
        <f aca="false">H28+I28</f>
        <v>0.0091872242358105</v>
      </c>
      <c r="M28" s="32" t="n">
        <f aca="false">H28+I28+J28</f>
        <v>-0.00357659824832975</v>
      </c>
      <c r="N28" s="32" t="n">
        <f aca="false">G28+H28+I28</f>
        <v>0.0110939549209458</v>
      </c>
      <c r="O28" s="20" t="n">
        <f aca="false">K28/($E28*SQRT(1))</f>
        <v>1.53522810871083</v>
      </c>
      <c r="P28" s="20" t="n">
        <f aca="false">L28/($E28*SQRT(2))</f>
        <v>0.519866231106542</v>
      </c>
      <c r="Q28" s="20" t="n">
        <f aca="false">M28/($E28*SQRT(3))</f>
        <v>-0.165246329441372</v>
      </c>
      <c r="R28" s="20" t="n">
        <f aca="false">N28/($E28*SQRT(3))</f>
        <v>0.51256395110366</v>
      </c>
      <c r="S28" s="7" t="n">
        <f aca="false">_xlfn.T.DIST.2T(ABS(O28),$F28-2)</f>
        <v>0.126177847150638</v>
      </c>
      <c r="T28" s="7" t="n">
        <f aca="false">_xlfn.T.DIST.2T(ABS(P28),$F28-2)</f>
        <v>0.603684293951146</v>
      </c>
      <c r="U28" s="7" t="n">
        <f aca="false">_xlfn.T.DIST.2T(ABS(Q28),$F28-2)</f>
        <v>0.868903234467225</v>
      </c>
      <c r="V28" s="7" t="n">
        <f aca="false">_xlfn.T.DIST.2T(ABS(R28),$F28-2)</f>
        <v>0.608775314982223</v>
      </c>
    </row>
    <row r="29" customFormat="false" ht="15" hidden="false" customHeight="false" outlineLevel="0" collapsed="false">
      <c r="A29" s="5" t="s">
        <v>245</v>
      </c>
      <c r="B29" s="5" t="s">
        <v>228</v>
      </c>
      <c r="C29" s="33" t="n">
        <f aca="false">ES_MarketModel!$I$15</f>
        <v>0.000150692590146303</v>
      </c>
      <c r="D29" s="12" t="n">
        <f aca="false">ES_MarketModel!$J$15</f>
        <v>1.62453996626402</v>
      </c>
      <c r="E29" s="33" t="n">
        <f aca="false">ES_MarketModel!$L$15</f>
        <v>0.0171840731031384</v>
      </c>
      <c r="F29" s="34" t="n">
        <f aca="false">ES_MarketModel!$M$15</f>
        <v>220</v>
      </c>
      <c r="G29" s="32" t="n">
        <f aca="false">Data_Returns!S624-($C29+$D29*Data_Returns!B624)</f>
        <v>-0.00484379300070135</v>
      </c>
      <c r="H29" s="32" t="n">
        <f aca="false">Data_Returns!S625-($C29+$D29*Data_Returns!B625)</f>
        <v>0.0567120607057241</v>
      </c>
      <c r="I29" s="32" t="n">
        <f aca="false">Data_Returns!S626-($C29+$D29*Data_Returns!B626)</f>
        <v>0.0474425672726603</v>
      </c>
      <c r="J29" s="32" t="n">
        <f aca="false">Data_Returns!S627-($C29+$D29*Data_Returns!B627)</f>
        <v>0.00672564220062086</v>
      </c>
      <c r="K29" s="32" t="n">
        <f aca="false">H29</f>
        <v>0.0567120607057241</v>
      </c>
      <c r="L29" s="32" t="n">
        <f aca="false">H29+I29</f>
        <v>0.104154627978384</v>
      </c>
      <c r="M29" s="32" t="n">
        <f aca="false">H29+I29+J29</f>
        <v>0.110880270179005</v>
      </c>
      <c r="N29" s="32" t="n">
        <f aca="false">G29+H29+I29</f>
        <v>0.099310834977683</v>
      </c>
      <c r="O29" s="20" t="n">
        <f aca="false">K29/($E29*SQRT(1))</f>
        <v>3.30026882249276</v>
      </c>
      <c r="P29" s="20" t="n">
        <f aca="false">L29/($E29*SQRT(2))</f>
        <v>4.28585488978319</v>
      </c>
      <c r="Q29" s="20" t="n">
        <f aca="false">M29/($E29*SQRT(3))</f>
        <v>3.72535390483036</v>
      </c>
      <c r="R29" s="20" t="n">
        <f aca="false">N29/($E29*SQRT(3))</f>
        <v>3.33664416833399</v>
      </c>
      <c r="S29" s="7" t="n">
        <f aca="false">_xlfn.T.DIST.2T(ABS(O29),$F29-2)</f>
        <v>0.00112832799557658</v>
      </c>
      <c r="T29" s="7" t="n">
        <f aca="false">_xlfn.T.DIST.2T(ABS(P29),$F29-2)</f>
        <v>2.73240309220902E-005</v>
      </c>
      <c r="U29" s="7" t="n">
        <f aca="false">_xlfn.T.DIST.2T(ABS(Q29),$F29-2)</f>
        <v>0.000248460275846932</v>
      </c>
      <c r="V29" s="7" t="n">
        <f aca="false">_xlfn.T.DIST.2T(ABS(R29),$F29-2)</f>
        <v>0.000996821718946267</v>
      </c>
    </row>
    <row r="30" customFormat="false" ht="15" hidden="false" customHeight="false" outlineLevel="0" collapsed="false">
      <c r="A30" s="5" t="s">
        <v>247</v>
      </c>
      <c r="B30" s="5" t="s">
        <v>249</v>
      </c>
      <c r="C30" s="33" t="n">
        <f aca="false">ES_MarketModel!$I$16</f>
        <v>0.000519762758088248</v>
      </c>
      <c r="D30" s="12" t="n">
        <f aca="false">ES_MarketModel!$J$16</f>
        <v>0.598063008697234</v>
      </c>
      <c r="E30" s="33" t="n">
        <f aca="false">ES_MarketModel!$L$16</f>
        <v>0.0179161224879513</v>
      </c>
      <c r="F30" s="34" t="n">
        <f aca="false">ES_MarketModel!$M$16</f>
        <v>220</v>
      </c>
      <c r="G30" s="32" t="n">
        <f aca="false">Data_Returns!D624-($C30+$D30*Data_Returns!B624)</f>
        <v>0.00851645925730062</v>
      </c>
      <c r="H30" s="32" t="n">
        <f aca="false">Data_Returns!D625-($C30+$D30*Data_Returns!B625)</f>
        <v>-0.00498806468339986</v>
      </c>
      <c r="I30" s="32" t="n">
        <f aca="false">Data_Returns!D626-($C30+$D30*Data_Returns!B626)</f>
        <v>0.00779140826097348</v>
      </c>
      <c r="J30" s="32" t="n">
        <f aca="false">Data_Returns!D627-($C30+$D30*Data_Returns!B627)</f>
        <v>-0.00488270686239939</v>
      </c>
      <c r="K30" s="32" t="n">
        <f aca="false">H30</f>
        <v>-0.00498806468339986</v>
      </c>
      <c r="L30" s="32" t="n">
        <f aca="false">H30+I30</f>
        <v>0.00280334357757363</v>
      </c>
      <c r="M30" s="32" t="n">
        <f aca="false">H30+I30+J30</f>
        <v>-0.00207936328482576</v>
      </c>
      <c r="N30" s="32" t="n">
        <f aca="false">G30+H30+I30</f>
        <v>0.0113198028348742</v>
      </c>
      <c r="O30" s="20" t="n">
        <f aca="false">K30/($E30*SQRT(1))</f>
        <v>-0.278412066380679</v>
      </c>
      <c r="P30" s="20" t="n">
        <f aca="false">L30/($E30*SQRT(2))</f>
        <v>0.110641309526163</v>
      </c>
      <c r="Q30" s="20" t="n">
        <f aca="false">M30/($E30*SQRT(3))</f>
        <v>-0.0670078558038738</v>
      </c>
      <c r="R30" s="20" t="n">
        <f aca="false">N30/($E30*SQRT(3))</f>
        <v>0.364782682094482</v>
      </c>
      <c r="S30" s="7" t="n">
        <f aca="false">_xlfn.T.DIST.2T(ABS(O30),$F30-2)</f>
        <v>0.780959956425461</v>
      </c>
      <c r="T30" s="7" t="n">
        <f aca="false">_xlfn.T.DIST.2T(ABS(P30),$F30-2)</f>
        <v>0.912002580437036</v>
      </c>
      <c r="U30" s="7" t="n">
        <f aca="false">_xlfn.T.DIST.2T(ABS(Q30),$F30-2)</f>
        <v>0.946636863412835</v>
      </c>
      <c r="V30" s="7" t="n">
        <f aca="false">_xlfn.T.DIST.2T(ABS(R30),$F30-2)</f>
        <v>0.715627255670093</v>
      </c>
    </row>
    <row r="31" customFormat="false" ht="15" hidden="false" customHeight="false" outlineLevel="0" collapsed="false">
      <c r="A31" s="5" t="s">
        <v>250</v>
      </c>
      <c r="B31" s="5" t="s">
        <v>249</v>
      </c>
      <c r="C31" s="33" t="n">
        <f aca="false">ES_MarketModel!$I$17</f>
        <v>-0.000931958377759116</v>
      </c>
      <c r="D31" s="12" t="n">
        <f aca="false">ES_MarketModel!$J$17</f>
        <v>1.34293755124641</v>
      </c>
      <c r="E31" s="33" t="n">
        <f aca="false">ES_MarketModel!$L$17</f>
        <v>0.0158069006148919</v>
      </c>
      <c r="F31" s="34" t="n">
        <f aca="false">ES_MarketModel!$M$17</f>
        <v>220</v>
      </c>
      <c r="G31" s="32" t="n">
        <f aca="false">Data_Returns!E624-($C31+$D31*Data_Returns!B624)</f>
        <v>-0.0439143532273575</v>
      </c>
      <c r="H31" s="32" t="n">
        <f aca="false">Data_Returns!E625-($C31+$D31*Data_Returns!B625)</f>
        <v>-0.0041973273959335</v>
      </c>
      <c r="I31" s="32" t="n">
        <f aca="false">Data_Returns!E626-($C31+$D31*Data_Returns!B626)</f>
        <v>0.0309291289966681</v>
      </c>
      <c r="J31" s="32" t="n">
        <f aca="false">Data_Returns!E627-($C31+$D31*Data_Returns!B627)</f>
        <v>0.0030774403170426</v>
      </c>
      <c r="K31" s="32" t="n">
        <f aca="false">H31</f>
        <v>-0.0041973273959335</v>
      </c>
      <c r="L31" s="32" t="n">
        <f aca="false">H31+I31</f>
        <v>0.0267318016007346</v>
      </c>
      <c r="M31" s="32" t="n">
        <f aca="false">H31+I31+J31</f>
        <v>0.0298092419177772</v>
      </c>
      <c r="N31" s="32" t="n">
        <f aca="false">G31+H31+I31</f>
        <v>-0.017182551626623</v>
      </c>
      <c r="O31" s="20" t="n">
        <f aca="false">K31/($E31*SQRT(1))</f>
        <v>-0.265537659671191</v>
      </c>
      <c r="P31" s="20" t="n">
        <f aca="false">L31/($E31*SQRT(2))</f>
        <v>1.1958219163727</v>
      </c>
      <c r="Q31" s="20" t="n">
        <f aca="false">M31/($E31*SQRT(3))</f>
        <v>1.08878864142115</v>
      </c>
      <c r="R31" s="20" t="n">
        <f aca="false">N31/($E31*SQRT(3))</f>
        <v>-0.627596202993098</v>
      </c>
      <c r="S31" s="7" t="n">
        <f aca="false">_xlfn.T.DIST.2T(ABS(O31),$F31-2)</f>
        <v>0.790846239948938</v>
      </c>
      <c r="T31" s="7" t="n">
        <f aca="false">_xlfn.T.DIST.2T(ABS(P31),$F31-2)</f>
        <v>0.233065152480463</v>
      </c>
      <c r="U31" s="7" t="n">
        <f aca="false">_xlfn.T.DIST.2T(ABS(Q31),$F31-2)</f>
        <v>0.277449275245028</v>
      </c>
      <c r="V31" s="7" t="n">
        <f aca="false">_xlfn.T.DIST.2T(ABS(R31),$F31-2)</f>
        <v>0.530925319491524</v>
      </c>
    </row>
    <row r="32" customFormat="false" ht="15" hidden="false" customHeight="false" outlineLevel="0" collapsed="false">
      <c r="A32" s="5" t="s">
        <v>252</v>
      </c>
      <c r="B32" s="5" t="s">
        <v>249</v>
      </c>
      <c r="C32" s="33" t="n">
        <f aca="false">ES_MarketModel!$I$18</f>
        <v>0.000631545415839002</v>
      </c>
      <c r="D32" s="12" t="n">
        <f aca="false">ES_MarketModel!$J$18</f>
        <v>0.61328006965006</v>
      </c>
      <c r="E32" s="33" t="n">
        <f aca="false">ES_MarketModel!$L$18</f>
        <v>0.0253174744716041</v>
      </c>
      <c r="F32" s="34" t="n">
        <f aca="false">ES_MarketModel!$M$18</f>
        <v>220</v>
      </c>
      <c r="G32" s="32" t="n">
        <f aca="false">Data_Returns!F624-($C32+$D32*Data_Returns!B624)</f>
        <v>-0.0261261469207552</v>
      </c>
      <c r="H32" s="32" t="n">
        <f aca="false">Data_Returns!F625-($C32+$D32*Data_Returns!B625)</f>
        <v>0.0445211988732816</v>
      </c>
      <c r="I32" s="32" t="n">
        <f aca="false">Data_Returns!F626-($C32+$D32*Data_Returns!B626)</f>
        <v>0.112165304078482</v>
      </c>
      <c r="J32" s="32" t="n">
        <f aca="false">Data_Returns!F627-($C32+$D32*Data_Returns!B627)</f>
        <v>-0.0198702676948455</v>
      </c>
      <c r="K32" s="32" t="n">
        <f aca="false">H32</f>
        <v>0.0445211988732816</v>
      </c>
      <c r="L32" s="32" t="n">
        <f aca="false">H32+I32</f>
        <v>0.156686502951763</v>
      </c>
      <c r="M32" s="32" t="n">
        <f aca="false">H32+I32+J32</f>
        <v>0.136816235256918</v>
      </c>
      <c r="N32" s="32" t="n">
        <f aca="false">G32+H32+I32</f>
        <v>0.130560356031008</v>
      </c>
      <c r="O32" s="20" t="n">
        <f aca="false">K32/($E32*SQRT(1))</f>
        <v>1.75851658992354</v>
      </c>
      <c r="P32" s="20" t="n">
        <f aca="false">L32/($E32*SQRT(2))</f>
        <v>4.37619040089735</v>
      </c>
      <c r="Q32" s="20" t="n">
        <f aca="false">M32/($E32*SQRT(3))</f>
        <v>3.12001461060771</v>
      </c>
      <c r="R32" s="20" t="n">
        <f aca="false">N32/($E32*SQRT(3))</f>
        <v>2.97735292611988</v>
      </c>
      <c r="S32" s="7" t="n">
        <f aca="false">_xlfn.T.DIST.2T(ABS(O32),$F32-2)</f>
        <v>0.0800628042070924</v>
      </c>
      <c r="T32" s="7" t="n">
        <f aca="false">_xlfn.T.DIST.2T(ABS(P32),$F32-2)</f>
        <v>1.87294091970282E-005</v>
      </c>
      <c r="U32" s="7" t="n">
        <f aca="false">_xlfn.T.DIST.2T(ABS(Q32),$F32-2)</f>
        <v>0.00205284556891097</v>
      </c>
      <c r="V32" s="7" t="n">
        <f aca="false">_xlfn.T.DIST.2T(ABS(R32),$F32-2)</f>
        <v>0.00323615698329872</v>
      </c>
    </row>
    <row r="33" customFormat="false" ht="15" hidden="false" customHeight="false" outlineLevel="0" collapsed="false">
      <c r="A33" s="5" t="s">
        <v>254</v>
      </c>
      <c r="B33" s="5" t="s">
        <v>249</v>
      </c>
      <c r="C33" s="33" t="n">
        <f aca="false">ES_MarketModel!$I$19</f>
        <v>-0.00097016637479861</v>
      </c>
      <c r="D33" s="12" t="n">
        <f aca="false">ES_MarketModel!$J$19</f>
        <v>1.66860177329709</v>
      </c>
      <c r="E33" s="33" t="n">
        <f aca="false">ES_MarketModel!$L$19</f>
        <v>0.0169745578594122</v>
      </c>
      <c r="F33" s="34" t="n">
        <f aca="false">ES_MarketModel!$M$19</f>
        <v>220</v>
      </c>
      <c r="G33" s="32" t="n">
        <f aca="false">Data_Returns!G624-($C33+$D33*Data_Returns!B624)</f>
        <v>-0.0280097500925447</v>
      </c>
      <c r="H33" s="32" t="n">
        <f aca="false">Data_Returns!G625-($C33+$D33*Data_Returns!B625)</f>
        <v>-0.0141866596813445</v>
      </c>
      <c r="I33" s="32" t="n">
        <f aca="false">Data_Returns!G626-($C33+$D33*Data_Returns!B626)</f>
        <v>-0.000151869501220384</v>
      </c>
      <c r="J33" s="32" t="n">
        <f aca="false">Data_Returns!G627-($C33+$D33*Data_Returns!B627)</f>
        <v>0.00932670942569991</v>
      </c>
      <c r="K33" s="32" t="n">
        <f aca="false">H33</f>
        <v>-0.0141866596813445</v>
      </c>
      <c r="L33" s="32" t="n">
        <f aca="false">H33+I33</f>
        <v>-0.0143385291825649</v>
      </c>
      <c r="M33" s="32" t="n">
        <f aca="false">H33+I33+J33</f>
        <v>-0.00501181975686496</v>
      </c>
      <c r="N33" s="32" t="n">
        <f aca="false">G33+H33+I33</f>
        <v>-0.0423482792751096</v>
      </c>
      <c r="O33" s="20" t="n">
        <f aca="false">K33/($E33*SQRT(1))</f>
        <v>-0.835760188797975</v>
      </c>
      <c r="P33" s="20" t="n">
        <f aca="false">L33/($E33*SQRT(2))</f>
        <v>-0.597298103503234</v>
      </c>
      <c r="Q33" s="20" t="n">
        <f aca="false">M33/($E33*SQRT(3))</f>
        <v>-0.170465440674286</v>
      </c>
      <c r="R33" s="20" t="n">
        <f aca="false">N33/($E33*SQRT(3))</f>
        <v>-1.4403786326396</v>
      </c>
      <c r="S33" s="7" t="n">
        <f aca="false">_xlfn.T.DIST.2T(ABS(O33),$F33-2)</f>
        <v>0.404204905294594</v>
      </c>
      <c r="T33" s="7" t="n">
        <f aca="false">_xlfn.T.DIST.2T(ABS(P33),$F33-2)</f>
        <v>0.550928252102046</v>
      </c>
      <c r="U33" s="7" t="n">
        <f aca="false">_xlfn.T.DIST.2T(ABS(Q33),$F33-2)</f>
        <v>0.864802211802955</v>
      </c>
      <c r="V33" s="7" t="n">
        <f aca="false">_xlfn.T.DIST.2T(ABS(R33),$F33-2)</f>
        <v>0.151194921921422</v>
      </c>
    </row>
    <row r="34" customFormat="false" ht="15" hidden="false" customHeight="false" outlineLevel="0" collapsed="false">
      <c r="A34" s="5" t="s">
        <v>256</v>
      </c>
      <c r="B34" s="5" t="s">
        <v>249</v>
      </c>
      <c r="C34" s="33" t="n">
        <f aca="false">ES_MarketModel!$I$20</f>
        <v>0.000864256351615642</v>
      </c>
      <c r="D34" s="12" t="n">
        <f aca="false">ES_MarketModel!$J$20</f>
        <v>1.2672118095297</v>
      </c>
      <c r="E34" s="33" t="n">
        <f aca="false">ES_MarketModel!$L$20</f>
        <v>0.0274242245584606</v>
      </c>
      <c r="F34" s="34" t="n">
        <f aca="false">ES_MarketModel!$M$20</f>
        <v>220</v>
      </c>
      <c r="G34" s="32" t="n">
        <f aca="false">Data_Returns!H624-($C34+$D34*Data_Returns!B624)</f>
        <v>0.0035173967733263</v>
      </c>
      <c r="H34" s="32" t="n">
        <f aca="false">Data_Returns!H625-($C34+$D34*Data_Returns!B625)</f>
        <v>-0.0101910582078335</v>
      </c>
      <c r="I34" s="32" t="n">
        <f aca="false">Data_Returns!H626-($C34+$D34*Data_Returns!B626)</f>
        <v>-0.00444508041381236</v>
      </c>
      <c r="J34" s="32" t="n">
        <f aca="false">Data_Returns!H627-($C34+$D34*Data_Returns!B627)</f>
        <v>0.00298207411230218</v>
      </c>
      <c r="K34" s="32" t="n">
        <f aca="false">H34</f>
        <v>-0.0101910582078335</v>
      </c>
      <c r="L34" s="32" t="n">
        <f aca="false">H34+I34</f>
        <v>-0.0146361386216459</v>
      </c>
      <c r="M34" s="32" t="n">
        <f aca="false">H34+I34+J34</f>
        <v>-0.0116540645093437</v>
      </c>
      <c r="N34" s="32" t="n">
        <f aca="false">G34+H34+I34</f>
        <v>-0.0111187418483196</v>
      </c>
      <c r="O34" s="20" t="n">
        <f aca="false">K34/($E34*SQRT(1))</f>
        <v>-0.371607889444936</v>
      </c>
      <c r="P34" s="20" t="n">
        <f aca="false">L34/($E34*SQRT(2))</f>
        <v>-0.377378505185821</v>
      </c>
      <c r="Q34" s="20" t="n">
        <f aca="false">M34/($E34*SQRT(3))</f>
        <v>-0.245347950213858</v>
      </c>
      <c r="R34" s="20" t="n">
        <f aca="false">N34/($E34*SQRT(3))</f>
        <v>-0.234078035114281</v>
      </c>
      <c r="S34" s="7" t="n">
        <f aca="false">_xlfn.T.DIST.2T(ABS(O34),$F34-2)</f>
        <v>0.710545741674508</v>
      </c>
      <c r="T34" s="7" t="n">
        <f aca="false">_xlfn.T.DIST.2T(ABS(P34),$F34-2)</f>
        <v>0.706259467497626</v>
      </c>
      <c r="U34" s="7" t="n">
        <f aca="false">_xlfn.T.DIST.2T(ABS(Q34),$F34-2)</f>
        <v>0.806417839408612</v>
      </c>
      <c r="V34" s="7" t="n">
        <f aca="false">_xlfn.T.DIST.2T(ABS(R34),$F34-2)</f>
        <v>0.815144078735656</v>
      </c>
    </row>
    <row r="35" customFormat="false" ht="15" hidden="false" customHeight="false" outlineLevel="0" collapsed="false">
      <c r="A35" s="5" t="s">
        <v>258</v>
      </c>
      <c r="B35" s="5" t="s">
        <v>249</v>
      </c>
      <c r="C35" s="33" t="n">
        <f aca="false">ES_MarketModel!$I$21</f>
        <v>-0.000402242178204602</v>
      </c>
      <c r="D35" s="12" t="n">
        <f aca="false">ES_MarketModel!$J$21</f>
        <v>1.16879953125142</v>
      </c>
      <c r="E35" s="33" t="n">
        <f aca="false">ES_MarketModel!$L$21</f>
        <v>0.0240325290884058</v>
      </c>
      <c r="F35" s="34" t="n">
        <f aca="false">ES_MarketModel!$M$21</f>
        <v>220</v>
      </c>
      <c r="G35" s="32" t="n">
        <f aca="false">Data_Returns!I624-($C35+$D35*Data_Returns!B624)</f>
        <v>0.00488442097637088</v>
      </c>
      <c r="H35" s="32" t="n">
        <f aca="false">Data_Returns!I625-($C35+$D35*Data_Returns!B625)</f>
        <v>0.01748602885231</v>
      </c>
      <c r="I35" s="32" t="n">
        <f aca="false">Data_Returns!I626-($C35+$D35*Data_Returns!B626)</f>
        <v>-0.011148700725184</v>
      </c>
      <c r="J35" s="32" t="n">
        <f aca="false">Data_Returns!I627-($C35+$D35*Data_Returns!B627)</f>
        <v>-0.0285106721962884</v>
      </c>
      <c r="K35" s="32" t="n">
        <f aca="false">H35</f>
        <v>0.01748602885231</v>
      </c>
      <c r="L35" s="32" t="n">
        <f aca="false">H35+I35</f>
        <v>0.00633732812712597</v>
      </c>
      <c r="M35" s="32" t="n">
        <f aca="false">H35+I35+J35</f>
        <v>-0.0221733440691624</v>
      </c>
      <c r="N35" s="32" t="n">
        <f aca="false">G35+H35+I35</f>
        <v>0.0112217491034968</v>
      </c>
      <c r="O35" s="20" t="n">
        <f aca="false">K35/($E35*SQRT(1))</f>
        <v>0.727598364199877</v>
      </c>
      <c r="P35" s="20" t="n">
        <f aca="false">L35/($E35*SQRT(2))</f>
        <v>0.186462593129947</v>
      </c>
      <c r="Q35" s="20" t="n">
        <f aca="false">M35/($E35*SQRT(3))</f>
        <v>-0.53268576603289</v>
      </c>
      <c r="R35" s="20" t="n">
        <f aca="false">N35/($E35*SQRT(3))</f>
        <v>0.269587933997675</v>
      </c>
      <c r="S35" s="7" t="n">
        <f aca="false">_xlfn.T.DIST.2T(ABS(O35),$F35-2)</f>
        <v>0.467640190479343</v>
      </c>
      <c r="T35" s="7" t="n">
        <f aca="false">_xlfn.T.DIST.2T(ABS(P35),$F35-2)</f>
        <v>0.852255411845448</v>
      </c>
      <c r="U35" s="7" t="n">
        <f aca="false">_xlfn.T.DIST.2T(ABS(Q35),$F35-2)</f>
        <v>0.594793672653372</v>
      </c>
      <c r="V35" s="7" t="n">
        <f aca="false">_xlfn.T.DIST.2T(ABS(R35),$F35-2)</f>
        <v>0.787732288068745</v>
      </c>
    </row>
    <row r="37" customFormat="false" ht="15" hidden="false" customHeight="false" outlineLevel="0" collapsed="false">
      <c r="A37" s="9" t="s">
        <v>315</v>
      </c>
      <c r="B37" s="10"/>
      <c r="C37" s="10"/>
      <c r="D37" s="10"/>
      <c r="E37" s="10"/>
      <c r="F37" s="10"/>
      <c r="G37" s="10"/>
      <c r="H37" s="10"/>
    </row>
    <row r="38" customFormat="false" ht="54" hidden="false" customHeight="true" outlineLevel="0" collapsed="false">
      <c r="A38" s="3" t="s">
        <v>298</v>
      </c>
      <c r="B38" s="3" t="s">
        <v>299</v>
      </c>
      <c r="C38" s="3" t="s">
        <v>316</v>
      </c>
      <c r="D38" s="3" t="s">
        <v>301</v>
      </c>
      <c r="E38" s="3" t="s">
        <v>302</v>
      </c>
    </row>
    <row r="39" customFormat="false" ht="15" hidden="false" customHeight="false" outlineLevel="0" collapsed="false">
      <c r="A39" s="5" t="s">
        <v>303</v>
      </c>
      <c r="B39" s="13" t="n">
        <f aca="false">COUNT(K20:K29)</f>
        <v>10</v>
      </c>
      <c r="C39" s="13" t="n">
        <f aca="false">COUNTIF(K20:K29,"&gt;0")</f>
        <v>9</v>
      </c>
      <c r="D39" s="7" t="n">
        <f aca="false">MIN(1,2*MIN(_xlfn.BINOM.DIST(C39,B39,0.5,TRUE()),1-_xlfn.BINOM.DIST(C39-1,B39,0.5,TRUE())))</f>
        <v>0.021484375</v>
      </c>
      <c r="E39" s="16" t="n">
        <v>0.021484375</v>
      </c>
    </row>
    <row r="40" customFormat="false" ht="15" hidden="false" customHeight="false" outlineLevel="0" collapsed="false">
      <c r="A40" s="5" t="s">
        <v>304</v>
      </c>
      <c r="B40" s="13" t="n">
        <f aca="false">COUNT(L20:L29)</f>
        <v>10</v>
      </c>
      <c r="C40" s="13" t="n">
        <f aca="false">COUNTIF(L20:L29,"&gt;0")</f>
        <v>7</v>
      </c>
      <c r="D40" s="7" t="n">
        <f aca="false">MIN(1,2*MIN(_xlfn.BINOM.DIST(C40,B40,0.5,TRUE()),1-_xlfn.BINOM.DIST(C40-1,B40,0.5,TRUE())))</f>
        <v>0.34375</v>
      </c>
      <c r="E40" s="16" t="n">
        <v>0.34375</v>
      </c>
    </row>
    <row r="41" customFormat="false" ht="15" hidden="false" customHeight="false" outlineLevel="0" collapsed="false">
      <c r="A41" s="5" t="s">
        <v>305</v>
      </c>
      <c r="B41" s="13" t="n">
        <f aca="false">COUNT(M20:M29)</f>
        <v>10</v>
      </c>
      <c r="C41" s="13" t="n">
        <f aca="false">COUNTIF(M20:M29,"&gt;0")</f>
        <v>6</v>
      </c>
      <c r="D41" s="7" t="n">
        <f aca="false">MIN(1,2*MIN(_xlfn.BINOM.DIST(C41,B41,0.5,TRUE()),1-_xlfn.BINOM.DIST(C41-1,B41,0.5,TRUE())))</f>
        <v>0.75390625</v>
      </c>
      <c r="E41" s="16" t="n">
        <v>0.75390625</v>
      </c>
    </row>
    <row r="42" customFormat="false" ht="15" hidden="false" customHeight="false" outlineLevel="0" collapsed="false">
      <c r="A42" s="5" t="s">
        <v>306</v>
      </c>
      <c r="B42" s="13" t="n">
        <f aca="false">COUNT(N20:N29)</f>
        <v>10</v>
      </c>
      <c r="C42" s="13" t="n">
        <f aca="false">COUNTIF(N20:N29,"&gt;0")</f>
        <v>9</v>
      </c>
      <c r="D42" s="7" t="n">
        <f aca="false">MIN(1,2*MIN(_xlfn.BINOM.DIST(C42,B42,0.5,TRUE()),1-_xlfn.BINOM.DIST(C42-1,B42,0.5,TRUE())))</f>
        <v>0.021484375</v>
      </c>
      <c r="E42" s="16" t="n">
        <v>0.021484375</v>
      </c>
    </row>
    <row r="44" customFormat="false" ht="15" hidden="false" customHeight="false" outlineLevel="0" collapsed="false">
      <c r="A44" s="9" t="s">
        <v>307</v>
      </c>
      <c r="B44" s="10"/>
      <c r="C44" s="10"/>
      <c r="D44" s="10"/>
      <c r="E44" s="10"/>
      <c r="F44" s="10"/>
      <c r="G44" s="10"/>
      <c r="H44" s="10"/>
    </row>
    <row r="45" customFormat="false" ht="30" hidden="false" customHeight="true" outlineLevel="0" collapsed="false">
      <c r="A45" s="3" t="s">
        <v>211</v>
      </c>
      <c r="B45" s="3" t="s">
        <v>308</v>
      </c>
      <c r="C45" s="3" t="s">
        <v>274</v>
      </c>
    </row>
    <row r="46" customFormat="false" ht="15" hidden="false" customHeight="false" outlineLevel="0" collapsed="false">
      <c r="A46" s="5" t="s">
        <v>226</v>
      </c>
      <c r="B46" s="35" t="n">
        <v>32.3</v>
      </c>
      <c r="C46" s="32" t="n">
        <f aca="false">K20</f>
        <v>-0.0117537070339014</v>
      </c>
    </row>
    <row r="47" customFormat="false" ht="15" hidden="false" customHeight="false" outlineLevel="0" collapsed="false">
      <c r="A47" s="5" t="s">
        <v>229</v>
      </c>
      <c r="B47" s="35" t="n">
        <v>23</v>
      </c>
      <c r="C47" s="32" t="n">
        <f aca="false">K21</f>
        <v>0.0254419340927009</v>
      </c>
    </row>
    <row r="48" customFormat="false" ht="15" hidden="false" customHeight="false" outlineLevel="0" collapsed="false">
      <c r="A48" s="5" t="s">
        <v>231</v>
      </c>
      <c r="B48" s="35" t="n">
        <v>60</v>
      </c>
      <c r="C48" s="32" t="n">
        <f aca="false">K22</f>
        <v>0.0514412139137131</v>
      </c>
    </row>
    <row r="49" customFormat="false" ht="15" hidden="false" customHeight="false" outlineLevel="0" collapsed="false">
      <c r="A49" s="5" t="s">
        <v>233</v>
      </c>
      <c r="B49" s="35" t="n">
        <v>52.9</v>
      </c>
      <c r="C49" s="32" t="n">
        <f aca="false">K23</f>
        <v>0.123446893909664</v>
      </c>
    </row>
    <row r="50" customFormat="false" ht="15" hidden="false" customHeight="false" outlineLevel="0" collapsed="false">
      <c r="A50" s="5" t="s">
        <v>235</v>
      </c>
      <c r="B50" s="35" t="n">
        <v>55.3</v>
      </c>
      <c r="C50" s="32" t="n">
        <f aca="false">K24</f>
        <v>0.015729618280515</v>
      </c>
    </row>
    <row r="51" customFormat="false" ht="15" hidden="false" customHeight="false" outlineLevel="0" collapsed="false">
      <c r="A51" s="5" t="s">
        <v>237</v>
      </c>
      <c r="B51" s="35" t="n">
        <v>57.2</v>
      </c>
      <c r="C51" s="32" t="n">
        <f aca="false">K25</f>
        <v>0.0408487854227431</v>
      </c>
    </row>
    <row r="52" customFormat="false" ht="15" hidden="false" customHeight="false" outlineLevel="0" collapsed="false">
      <c r="A52" s="5" t="s">
        <v>239</v>
      </c>
      <c r="B52" s="35" t="n">
        <v>65.4</v>
      </c>
      <c r="C52" s="32" t="n">
        <f aca="false">K26</f>
        <v>0.00947090564909735</v>
      </c>
    </row>
    <row r="53" customFormat="false" ht="15" hidden="false" customHeight="false" outlineLevel="0" collapsed="false">
      <c r="A53" s="5" t="s">
        <v>243</v>
      </c>
      <c r="B53" s="35" t="n">
        <v>77</v>
      </c>
      <c r="C53" s="32" t="n">
        <f aca="false">K28</f>
        <v>0.0191845061528816</v>
      </c>
    </row>
    <row r="54" customFormat="false" ht="15" hidden="false" customHeight="false" outlineLevel="0" collapsed="false">
      <c r="A54" s="5" t="s">
        <v>245</v>
      </c>
      <c r="B54" s="35" t="n">
        <v>25.6</v>
      </c>
      <c r="C54" s="32" t="n">
        <f aca="false">K29</f>
        <v>0.0567120607057241</v>
      </c>
    </row>
    <row r="55" customFormat="false" ht="15" hidden="false" customHeight="false" outlineLevel="0" collapsed="false">
      <c r="A55" s="2" t="s">
        <v>309</v>
      </c>
    </row>
    <row r="56" customFormat="false" ht="15" hidden="false" customHeight="false" outlineLevel="0" collapsed="false">
      <c r="A56" s="5" t="s">
        <v>310</v>
      </c>
      <c r="B56" s="36" t="n">
        <f aca="false">INDEX(LINEST(C46:C54,B46:B54,TRUE(),TRUE()),1,1)</f>
        <v>3.53859324021456E-005</v>
      </c>
      <c r="C56" s="37" t="n">
        <v>3.53859324021455E-005</v>
      </c>
    </row>
    <row r="57" customFormat="false" ht="15" hidden="false" customHeight="false" outlineLevel="0" collapsed="false">
      <c r="A57" s="5" t="s">
        <v>110</v>
      </c>
      <c r="B57" s="36" t="n">
        <f aca="false">INDEX(LINEST(C46:C54,B46:B54,TRUE(),TRUE()),2,1)</f>
        <v>0.000787461974043773</v>
      </c>
    </row>
    <row r="58" customFormat="false" ht="15" hidden="false" customHeight="false" outlineLevel="0" collapsed="false">
      <c r="A58" s="5" t="s">
        <v>102</v>
      </c>
      <c r="B58" s="20" t="n">
        <f aca="false">B56/B57</f>
        <v>0.0449366871906612</v>
      </c>
    </row>
    <row r="59" customFormat="false" ht="15" hidden="false" customHeight="false" outlineLevel="0" collapsed="false">
      <c r="A59" s="5" t="s">
        <v>88</v>
      </c>
      <c r="B59" s="7" t="n">
        <f aca="false">_xlfn.T.DIST.2T(ABS(B58),INDEX(LINEST(C46:C54,B46:B54,TRUE(),TRUE()),4,2))</f>
        <v>0.965412821821565</v>
      </c>
      <c r="C59" s="16" t="n">
        <v>0.965412821821562</v>
      </c>
    </row>
    <row r="60" customFormat="false" ht="15" hidden="false" customHeight="false" outlineLevel="0" collapsed="false">
      <c r="A60" s="5" t="s">
        <v>311</v>
      </c>
      <c r="B60" s="13" t="n">
        <f aca="false">COUNT(B46:B54)</f>
        <v>9</v>
      </c>
      <c r="C60" s="15" t="n">
        <v>9</v>
      </c>
    </row>
    <row r="61" customFormat="false" ht="15" hidden="false" customHeight="false" outlineLevel="0" collapsed="false">
      <c r="A61" s="2" t="s">
        <v>312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2" style="0" width="11"/>
    <col collapsed="false" customWidth="true" hidden="false" outlineLevel="0" max="6" min="6" style="0" width="7"/>
    <col collapsed="false" customWidth="true" hidden="false" outlineLevel="0" max="22" min="7" style="0" width="10"/>
  </cols>
  <sheetData>
    <row r="1" customFormat="false" ht="15" hidden="false" customHeight="false" outlineLevel="0" collapsed="false">
      <c r="A1" s="1" t="s">
        <v>317</v>
      </c>
    </row>
    <row r="2" customFormat="false" ht="15" hidden="false" customHeight="false" outlineLevel="0" collapsed="false">
      <c r="A2" s="2" t="s">
        <v>318</v>
      </c>
    </row>
    <row r="4" customFormat="false" ht="15" hidden="false" customHeight="false" outlineLevel="0" collapsed="false">
      <c r="A4" s="9" t="s">
        <v>319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</row>
    <row r="5" customFormat="false" ht="30" hidden="false" customHeight="true" outlineLevel="0" collapsed="false">
      <c r="A5" s="3" t="s">
        <v>265</v>
      </c>
      <c r="B5" s="3" t="s">
        <v>213</v>
      </c>
      <c r="C5" s="3" t="s">
        <v>266</v>
      </c>
      <c r="D5" s="3" t="s">
        <v>267</v>
      </c>
      <c r="E5" s="3" t="s">
        <v>268</v>
      </c>
      <c r="F5" s="3" t="s">
        <v>269</v>
      </c>
      <c r="G5" s="3" t="s">
        <v>270</v>
      </c>
      <c r="H5" s="3" t="s">
        <v>271</v>
      </c>
      <c r="I5" s="3" t="s">
        <v>272</v>
      </c>
      <c r="J5" s="3" t="s">
        <v>273</v>
      </c>
      <c r="K5" s="3" t="s">
        <v>274</v>
      </c>
      <c r="L5" s="3" t="s">
        <v>275</v>
      </c>
      <c r="M5" s="3" t="s">
        <v>276</v>
      </c>
      <c r="N5" s="3" t="s">
        <v>277</v>
      </c>
      <c r="O5" s="3" t="s">
        <v>278</v>
      </c>
      <c r="P5" s="3" t="s">
        <v>279</v>
      </c>
      <c r="Q5" s="3" t="s">
        <v>280</v>
      </c>
      <c r="R5" s="3" t="s">
        <v>281</v>
      </c>
      <c r="S5" s="3" t="s">
        <v>282</v>
      </c>
      <c r="T5" s="3" t="s">
        <v>283</v>
      </c>
      <c r="U5" s="3" t="s">
        <v>284</v>
      </c>
      <c r="V5" s="3" t="s">
        <v>285</v>
      </c>
    </row>
    <row r="6" customFormat="false" ht="15" hidden="false" customHeight="false" outlineLevel="0" collapsed="false">
      <c r="A6" s="5" t="s">
        <v>286</v>
      </c>
      <c r="B6" s="5" t="s">
        <v>287</v>
      </c>
      <c r="C6" s="29" t="n">
        <f aca="false">INTERCEPT(Data_Returns!$T$56:$T$275,Data_Returns!$C$56:$C$275)</f>
        <v>0.000980518055355968</v>
      </c>
      <c r="D6" s="7" t="n">
        <f aca="false">SLOPE(Data_Returns!$T$56:$T$275,Data_Returns!$C$56:$C$275)</f>
        <v>1.15775409487517</v>
      </c>
      <c r="E6" s="29" t="n">
        <f aca="false">STEYX(Data_Returns!$T$56:$T$275,Data_Returns!$C$56:$C$275)</f>
        <v>0.00675015709297473</v>
      </c>
      <c r="F6" s="13" t="n">
        <f aca="false">COUNT(Data_Returns!$T$56:$T$275)</f>
        <v>220</v>
      </c>
      <c r="G6" s="32" t="n">
        <f aca="false">Data_Returns!T305-($C6+$D6*Data_Returns!C305)</f>
        <v>-0.00893560244661345</v>
      </c>
      <c r="H6" s="32" t="n">
        <f aca="false">Data_Returns!T306-($C6+$D6*Data_Returns!C306)</f>
        <v>-0.0183299225964078</v>
      </c>
      <c r="I6" s="32" t="n">
        <f aca="false">Data_Returns!T307-($C6+$D6*Data_Returns!C307)</f>
        <v>0.00646395093489061</v>
      </c>
      <c r="J6" s="32" t="n">
        <f aca="false">Data_Returns!T308-($C6+$D6*Data_Returns!C308)</f>
        <v>-0.00574340200008862</v>
      </c>
      <c r="K6" s="32" t="n">
        <f aca="false">H6</f>
        <v>-0.0183299225964078</v>
      </c>
      <c r="L6" s="32" t="n">
        <f aca="false">H6+I6</f>
        <v>-0.0118659716615172</v>
      </c>
      <c r="M6" s="32" t="n">
        <f aca="false">H6+I6+J6</f>
        <v>-0.0176093736616058</v>
      </c>
      <c r="N6" s="32" t="n">
        <f aca="false">G6+H6+I6</f>
        <v>-0.0208015741081307</v>
      </c>
      <c r="O6" s="20" t="n">
        <f aca="false">K6/($E6*SQRT(1))</f>
        <v>-2.71548089087953</v>
      </c>
      <c r="P6" s="20" t="n">
        <f aca="false">L6/($E6*SQRT(2))</f>
        <v>-1.24300944580367</v>
      </c>
      <c r="Q6" s="20" t="n">
        <f aca="false">M6/($E6*SQRT(3))</f>
        <v>-1.50615407667623</v>
      </c>
      <c r="R6" s="20" t="n">
        <f aca="false">N6/($E6*SQRT(3))</f>
        <v>-1.77918739452693</v>
      </c>
      <c r="S6" s="7" t="n">
        <f aca="false">_xlfn.T.DIST.2T(ABS(O6),$F6-2)</f>
        <v>0.00714837880219025</v>
      </c>
      <c r="T6" s="7" t="n">
        <f aca="false">_xlfn.T.DIST.2T(ABS(P6),$F6-2)</f>
        <v>0.215199580600993</v>
      </c>
      <c r="U6" s="7" t="n">
        <f aca="false">_xlfn.T.DIST.2T(ABS(Q6),$F6-2)</f>
        <v>0.133475234708871</v>
      </c>
      <c r="V6" s="7" t="n">
        <f aca="false">_xlfn.T.DIST.2T(ABS(R6),$F6-2)</f>
        <v>0.0766023560273744</v>
      </c>
    </row>
    <row r="7" customFormat="false" ht="15" hidden="false" customHeight="false" outlineLevel="0" collapsed="false">
      <c r="A7" s="5" t="s">
        <v>288</v>
      </c>
      <c r="B7" s="5" t="s">
        <v>287</v>
      </c>
      <c r="C7" s="29" t="n">
        <f aca="false">INTERCEPT(Data_Returns!$U$56:$U$275,Data_Returns!$C$56:$C$275)</f>
        <v>0.000913289287077544</v>
      </c>
      <c r="D7" s="7" t="n">
        <f aca="false">SLOPE(Data_Returns!$U$56:$U$275,Data_Returns!$C$56:$C$275)</f>
        <v>1.08934477060047</v>
      </c>
      <c r="E7" s="29" t="n">
        <f aca="false">STEYX(Data_Returns!$U$56:$U$275,Data_Returns!$C$56:$C$275)</f>
        <v>0.00756669549849894</v>
      </c>
      <c r="F7" s="13" t="n">
        <f aca="false">COUNT(Data_Returns!$U$56:$U$275)</f>
        <v>220</v>
      </c>
      <c r="G7" s="32" t="n">
        <f aca="false">Data_Returns!U305-($C7+$D7*Data_Returns!C305)</f>
        <v>-0.00469644725246634</v>
      </c>
      <c r="H7" s="32" t="n">
        <f aca="false">Data_Returns!U306-($C7+$D7*Data_Returns!C306)</f>
        <v>-0.0280700852052251</v>
      </c>
      <c r="I7" s="32" t="n">
        <f aca="false">Data_Returns!U307-($C7+$D7*Data_Returns!C307)</f>
        <v>0.00458200246287053</v>
      </c>
      <c r="J7" s="32" t="n">
        <f aca="false">Data_Returns!U308-($C7+$D7*Data_Returns!C308)</f>
        <v>-0.0034865605936393</v>
      </c>
      <c r="K7" s="32" t="n">
        <f aca="false">H7</f>
        <v>-0.0280700852052251</v>
      </c>
      <c r="L7" s="32" t="n">
        <f aca="false">H7+I7</f>
        <v>-0.0234880827423546</v>
      </c>
      <c r="M7" s="32" t="n">
        <f aca="false">H7+I7+J7</f>
        <v>-0.0269746433359939</v>
      </c>
      <c r="N7" s="32" t="n">
        <f aca="false">G7+H7+I7</f>
        <v>-0.0281845299948209</v>
      </c>
      <c r="O7" s="20" t="n">
        <f aca="false">K7/($E7*SQRT(1))</f>
        <v>-3.70968875525566</v>
      </c>
      <c r="P7" s="20" t="n">
        <f aca="false">L7/($E7*SQRT(2))</f>
        <v>-2.19495849773318</v>
      </c>
      <c r="Q7" s="20" t="n">
        <f aca="false">M7/($E7*SQRT(3))</f>
        <v>-2.05820593605488</v>
      </c>
      <c r="R7" s="20" t="n">
        <f aca="false">N7/($E7*SQRT(3))</f>
        <v>-2.15052211136566</v>
      </c>
      <c r="S7" s="7" t="n">
        <f aca="false">_xlfn.T.DIST.2T(ABS(O7),$F7-2)</f>
        <v>0.000263367513893042</v>
      </c>
      <c r="T7" s="7" t="n">
        <f aca="false">_xlfn.T.DIST.2T(ABS(P7),$F7-2)</f>
        <v>0.0292221298654492</v>
      </c>
      <c r="U7" s="7" t="n">
        <f aca="false">_xlfn.T.DIST.2T(ABS(Q7),$F7-2)</f>
        <v>0.0407596055731907</v>
      </c>
      <c r="V7" s="7" t="n">
        <f aca="false">_xlfn.T.DIST.2T(ABS(R7),$F7-2)</f>
        <v>0.032614404124896</v>
      </c>
    </row>
    <row r="8" customFormat="false" ht="15" hidden="false" customHeight="false" outlineLevel="0" collapsed="false">
      <c r="A8" s="5" t="s">
        <v>289</v>
      </c>
      <c r="B8" s="5" t="s">
        <v>287</v>
      </c>
      <c r="C8" s="29" t="n">
        <f aca="false">INTERCEPT(Data_Returns!$V$56:$V$275,Data_Returns!$C$56:$C$275)</f>
        <v>0.00109256600248668</v>
      </c>
      <c r="D8" s="7" t="n">
        <f aca="false">SLOPE(Data_Returns!$V$56:$V$275,Data_Returns!$C$56:$C$275)</f>
        <v>1.271769635333</v>
      </c>
      <c r="E8" s="29" t="n">
        <f aca="false">STEYX(Data_Returns!$V$56:$V$275,Data_Returns!$C$56:$C$275)</f>
        <v>0.00926961064658044</v>
      </c>
      <c r="F8" s="13" t="n">
        <f aca="false">COUNT(Data_Returns!$V$56:$V$275)</f>
        <v>220</v>
      </c>
      <c r="G8" s="32" t="n">
        <f aca="false">Data_Returns!V305-($C8+$D8*Data_Returns!C305)</f>
        <v>-0.0160008611035253</v>
      </c>
      <c r="H8" s="32" t="n">
        <f aca="false">Data_Returns!V306-($C8+$D8*Data_Returns!C306)</f>
        <v>-0.00209631824837897</v>
      </c>
      <c r="I8" s="32" t="n">
        <f aca="false">Data_Returns!V307-($C8+$D8*Data_Returns!C307)</f>
        <v>0.00960053172159073</v>
      </c>
      <c r="J8" s="32" t="n">
        <f aca="false">Data_Returns!V308-($C8+$D8*Data_Returns!C308)</f>
        <v>-0.00950480434417083</v>
      </c>
      <c r="K8" s="32" t="n">
        <f aca="false">H8</f>
        <v>-0.00209631824837897</v>
      </c>
      <c r="L8" s="32" t="n">
        <f aca="false">H8+I8</f>
        <v>0.00750421347321176</v>
      </c>
      <c r="M8" s="32" t="n">
        <f aca="false">H8+I8+J8</f>
        <v>-0.00200059087095906</v>
      </c>
      <c r="N8" s="32" t="n">
        <f aca="false">G8+H8+I8</f>
        <v>-0.00849664763031354</v>
      </c>
      <c r="O8" s="20" t="n">
        <f aca="false">K8/($E8*SQRT(1))</f>
        <v>-0.226149546977176</v>
      </c>
      <c r="P8" s="20" t="n">
        <f aca="false">L8/($E8*SQRT(2))</f>
        <v>0.572438308003474</v>
      </c>
      <c r="Q8" s="20" t="n">
        <f aca="false">M8/($E8*SQRT(3))</f>
        <v>-0.124605198850787</v>
      </c>
      <c r="R8" s="20" t="n">
        <f aca="false">N8/($E8*SQRT(3))</f>
        <v>-0.529206887279626</v>
      </c>
      <c r="S8" s="7" t="n">
        <f aca="false">_xlfn.T.DIST.2T(ABS(O8),$F8-2)</f>
        <v>0.821297002270572</v>
      </c>
      <c r="T8" s="7" t="n">
        <f aca="false">_xlfn.T.DIST.2T(ABS(P8),$F8-2)</f>
        <v>0.567614944262314</v>
      </c>
      <c r="U8" s="7" t="n">
        <f aca="false">_xlfn.T.DIST.2T(ABS(Q8),$F8-2)</f>
        <v>0.900950934700055</v>
      </c>
      <c r="V8" s="7" t="n">
        <f aca="false">_xlfn.T.DIST.2T(ABS(R8),$F8-2)</f>
        <v>0.597200391751786</v>
      </c>
    </row>
    <row r="9" customFormat="false" ht="15" hidden="false" customHeight="false" outlineLevel="0" collapsed="false">
      <c r="A9" s="5" t="s">
        <v>290</v>
      </c>
      <c r="B9" s="5" t="s">
        <v>287</v>
      </c>
      <c r="C9" s="29" t="n">
        <f aca="false">INTERCEPT(Data_Returns!$W$56:$W$275,Data_Returns!$C$56:$C$275)</f>
        <v>6.54950339422975E-005</v>
      </c>
      <c r="D9" s="7" t="n">
        <f aca="false">SLOPE(Data_Returns!$W$56:$W$275,Data_Returns!$C$56:$C$275)</f>
        <v>1.177017847872</v>
      </c>
      <c r="E9" s="29" t="n">
        <f aca="false">STEYX(Data_Returns!$W$56:$W$275,Data_Returns!$C$56:$C$275)</f>
        <v>0.00907868324680919</v>
      </c>
      <c r="F9" s="13" t="n">
        <f aca="false">COUNT(Data_Returns!$W$56:$W$275)</f>
        <v>220</v>
      </c>
      <c r="G9" s="32" t="n">
        <f aca="false">Data_Returns!W305-($C9+$D9*Data_Returns!C305)</f>
        <v>-0.00459130529879547</v>
      </c>
      <c r="H9" s="32" t="n">
        <f aca="false">Data_Returns!W306-($C9+$D9*Data_Returns!C306)</f>
        <v>-0.0348680469575392</v>
      </c>
      <c r="I9" s="32" t="n">
        <f aca="false">Data_Returns!W307-($C9+$D9*Data_Returns!C307)</f>
        <v>-0.00809858056232301</v>
      </c>
      <c r="J9" s="32" t="n">
        <f aca="false">Data_Returns!W308-($C9+$D9*Data_Returns!C308)</f>
        <v>-0.00804850053130635</v>
      </c>
      <c r="K9" s="32" t="n">
        <f aca="false">H9</f>
        <v>-0.0348680469575392</v>
      </c>
      <c r="L9" s="32" t="n">
        <f aca="false">H9+I9</f>
        <v>-0.0429666275198622</v>
      </c>
      <c r="M9" s="32" t="n">
        <f aca="false">H9+I9+J9</f>
        <v>-0.0510151280511686</v>
      </c>
      <c r="N9" s="32" t="n">
        <f aca="false">G9+H9+I9</f>
        <v>-0.0475579328186577</v>
      </c>
      <c r="O9" s="20" t="n">
        <f aca="false">K9/($E9*SQRT(1))</f>
        <v>-3.84065023634281</v>
      </c>
      <c r="P9" s="20" t="n">
        <f aca="false">L9/($E9*SQRT(2))</f>
        <v>-3.34651984853522</v>
      </c>
      <c r="Q9" s="20" t="n">
        <f aca="false">M9/($E9*SQRT(3))</f>
        <v>-3.24425878867811</v>
      </c>
      <c r="R9" s="20" t="n">
        <f aca="false">N9/($E9*SQRT(3))</f>
        <v>-3.02440172968965</v>
      </c>
      <c r="S9" s="7" t="n">
        <f aca="false">_xlfn.T.DIST.2T(ABS(O9),$F9-2)</f>
        <v>0.000160873826440531</v>
      </c>
      <c r="T9" s="7" t="n">
        <f aca="false">_xlfn.T.DIST.2T(ABS(P9),$F9-2)</f>
        <v>0.000963668093387301</v>
      </c>
      <c r="U9" s="7" t="n">
        <f aca="false">_xlfn.T.DIST.2T(ABS(Q9),$F9-2)</f>
        <v>0.00136272578530536</v>
      </c>
      <c r="V9" s="7" t="n">
        <f aca="false">_xlfn.T.DIST.2T(ABS(R9),$F9-2)</f>
        <v>0.00279014919471364</v>
      </c>
    </row>
    <row r="10" customFormat="false" ht="15" hidden="false" customHeight="false" outlineLevel="0" collapsed="false">
      <c r="A10" s="5" t="s">
        <v>291</v>
      </c>
      <c r="B10" s="5" t="s">
        <v>287</v>
      </c>
      <c r="C10" s="29" t="n">
        <f aca="false">INTERCEPT(Data_Returns!$X$56:$X$275,Data_Returns!$C$56:$C$275)</f>
        <v>0.000778376618967605</v>
      </c>
      <c r="D10" s="7" t="n">
        <f aca="false">SLOPE(Data_Returns!$X$56:$X$275,Data_Returns!$C$56:$C$275)</f>
        <v>1.16994129398551</v>
      </c>
      <c r="E10" s="29" t="n">
        <f aca="false">STEYX(Data_Returns!$X$56:$X$275,Data_Returns!$C$56:$C$275)</f>
        <v>0.00773394926858242</v>
      </c>
      <c r="F10" s="13" t="n">
        <f aca="false">COUNT(Data_Returns!$X$56:$X$275)</f>
        <v>220</v>
      </c>
      <c r="G10" s="32" t="n">
        <f aca="false">Data_Returns!X305-($C10+$D10*Data_Returns!C305)</f>
        <v>-0.0026650968830438</v>
      </c>
      <c r="H10" s="32" t="n">
        <f aca="false">Data_Returns!X306-($C10+$D10*Data_Returns!C306)</f>
        <v>-0.0244842601956122</v>
      </c>
      <c r="I10" s="32" t="n">
        <f aca="false">Data_Returns!X307-($C10+$D10*Data_Returns!C307)</f>
        <v>-0.00601848524282829</v>
      </c>
      <c r="J10" s="32" t="n">
        <f aca="false">Data_Returns!X308-($C10+$D10*Data_Returns!C308)</f>
        <v>-0.00983033418451684</v>
      </c>
      <c r="K10" s="32" t="n">
        <f aca="false">H10</f>
        <v>-0.0244842601956122</v>
      </c>
      <c r="L10" s="32" t="n">
        <f aca="false">H10+I10</f>
        <v>-0.0305027454384405</v>
      </c>
      <c r="M10" s="32" t="n">
        <f aca="false">H10+I10+J10</f>
        <v>-0.0403330796229573</v>
      </c>
      <c r="N10" s="32" t="n">
        <f aca="false">G10+H10+I10</f>
        <v>-0.0331678423214843</v>
      </c>
      <c r="O10" s="20" t="n">
        <f aca="false">K10/($E10*SQRT(1))</f>
        <v>-3.16581598163237</v>
      </c>
      <c r="P10" s="20" t="n">
        <f aca="false">L10/($E10*SQRT(2))</f>
        <v>-2.78883367284897</v>
      </c>
      <c r="Q10" s="20" t="n">
        <f aca="false">M10/($E10*SQRT(3))</f>
        <v>-3.0109215316626</v>
      </c>
      <c r="R10" s="20" t="n">
        <f aca="false">N10/($E10*SQRT(3))</f>
        <v>-2.47602641648282</v>
      </c>
      <c r="S10" s="7" t="n">
        <f aca="false">_xlfn.T.DIST.2T(ABS(O10),$F10-2)</f>
        <v>0.00176759653744002</v>
      </c>
      <c r="T10" s="7" t="n">
        <f aca="false">_xlfn.T.DIST.2T(ABS(P10),$F10-2)</f>
        <v>0.00575771111106638</v>
      </c>
      <c r="U10" s="7" t="n">
        <f aca="false">_xlfn.T.DIST.2T(ABS(Q10),$F10-2)</f>
        <v>0.00291178394943047</v>
      </c>
      <c r="V10" s="7" t="n">
        <f aca="false">_xlfn.T.DIST.2T(ABS(R10),$F10-2)</f>
        <v>0.0140466968186855</v>
      </c>
    </row>
    <row r="11" customFormat="false" ht="15" hidden="false" customHeight="false" outlineLevel="0" collapsed="false">
      <c r="A11" s="5" t="s">
        <v>292</v>
      </c>
      <c r="B11" s="5" t="s">
        <v>287</v>
      </c>
      <c r="C11" s="29" t="n">
        <f aca="false">INTERCEPT(Data_Returns!$Y$56:$Y$275,Data_Returns!$C$56:$C$275)</f>
        <v>0.000991983329737425</v>
      </c>
      <c r="D11" s="7" t="n">
        <f aca="false">SLOPE(Data_Returns!$Y$56:$Y$275,Data_Returns!$C$56:$C$275)</f>
        <v>1.10017213504629</v>
      </c>
      <c r="E11" s="29" t="n">
        <f aca="false">STEYX(Data_Returns!$Y$56:$Y$275,Data_Returns!$C$56:$C$275)</f>
        <v>0.00805910645459603</v>
      </c>
      <c r="F11" s="13" t="n">
        <f aca="false">COUNT(Data_Returns!$Y$56:$Y$275)</f>
        <v>220</v>
      </c>
      <c r="G11" s="32" t="n">
        <f aca="false">Data_Returns!Y305-($C11+$D11*Data_Returns!C305)</f>
        <v>-0.00678392257334482</v>
      </c>
      <c r="H11" s="32" t="n">
        <f aca="false">Data_Returns!Y306-($C11+$D11*Data_Returns!C306)</f>
        <v>-0.0289859982105085</v>
      </c>
      <c r="I11" s="32" t="n">
        <f aca="false">Data_Returns!Y307-($C11+$D11*Data_Returns!C307)</f>
        <v>0.00729088433188451</v>
      </c>
      <c r="J11" s="32" t="n">
        <f aca="false">Data_Returns!Y308-($C11+$D11*Data_Returns!C308)</f>
        <v>-0.00405587498663847</v>
      </c>
      <c r="K11" s="32" t="n">
        <f aca="false">H11</f>
        <v>-0.0289859982105085</v>
      </c>
      <c r="L11" s="32" t="n">
        <f aca="false">H11+I11</f>
        <v>-0.021695113878624</v>
      </c>
      <c r="M11" s="32" t="n">
        <f aca="false">H11+I11+J11</f>
        <v>-0.0257509888652625</v>
      </c>
      <c r="N11" s="32" t="n">
        <f aca="false">G11+H11+I11</f>
        <v>-0.0284790364519688</v>
      </c>
      <c r="O11" s="20" t="n">
        <f aca="false">K11/($E11*SQRT(1))</f>
        <v>-3.59667642732007</v>
      </c>
      <c r="P11" s="20" t="n">
        <f aca="false">L11/($E11*SQRT(2))</f>
        <v>-1.90353139378631</v>
      </c>
      <c r="Q11" s="20" t="n">
        <f aca="false">M11/($E11*SQRT(3))</f>
        <v>-1.84478768670188</v>
      </c>
      <c r="R11" s="20" t="n">
        <f aca="false">N11/($E11*SQRT(3))</f>
        <v>-2.04022362211489</v>
      </c>
      <c r="S11" s="7" t="n">
        <f aca="false">_xlfn.T.DIST.2T(ABS(O11),$F11-2)</f>
        <v>0.000398725597560876</v>
      </c>
      <c r="T11" s="7" t="n">
        <f aca="false">_xlfn.T.DIST.2T(ABS(P11),$F11-2)</f>
        <v>0.0582884404202114</v>
      </c>
      <c r="U11" s="7" t="n">
        <f aca="false">_xlfn.T.DIST.2T(ABS(Q11),$F11-2)</f>
        <v>0.0664250306736807</v>
      </c>
      <c r="V11" s="7" t="n">
        <f aca="false">_xlfn.T.DIST.2T(ABS(R11),$F11-2)</f>
        <v>0.042533679937212</v>
      </c>
    </row>
    <row r="12" customFormat="false" ht="15" hidden="false" customHeight="false" outlineLevel="0" collapsed="false">
      <c r="A12" s="5" t="s">
        <v>293</v>
      </c>
      <c r="B12" s="5" t="s">
        <v>294</v>
      </c>
      <c r="C12" s="29" t="n">
        <f aca="false">INTERCEPT(Data_Returns!$Z$56:$Z$275,Data_Returns!$C$56:$C$275)</f>
        <v>-0.000179276715409131</v>
      </c>
      <c r="D12" s="7" t="n">
        <f aca="false">SLOPE(Data_Returns!$Z$56:$Z$275,Data_Returns!$C$56:$C$275)</f>
        <v>-0.182424864732532</v>
      </c>
      <c r="E12" s="29" t="n">
        <f aca="false">STEYX(Data_Returns!$Z$56:$Z$275,Data_Returns!$C$56:$C$275)</f>
        <v>0.00978528097948248</v>
      </c>
      <c r="F12" s="13" t="n">
        <f aca="false">COUNT(Data_Returns!$Z$56:$Z$275)</f>
        <v>220</v>
      </c>
      <c r="G12" s="32" t="n">
        <f aca="false">Data_Returns!Z305-($C12+$D12*Data_Returns!C305)</f>
        <v>0.011304413851059</v>
      </c>
      <c r="H12" s="32" t="n">
        <f aca="false">Data_Returns!Z306-($C12+$D12*Data_Returns!C306)</f>
        <v>-0.0259737669568461</v>
      </c>
      <c r="I12" s="32" t="n">
        <f aca="false">Data_Returns!Z307-($C12+$D12*Data_Returns!C307)</f>
        <v>-0.0050185292587202</v>
      </c>
      <c r="J12" s="32" t="n">
        <f aca="false">Data_Returns!Z308-($C12+$D12*Data_Returns!C308)</f>
        <v>0.00601824375053153</v>
      </c>
      <c r="K12" s="32" t="n">
        <f aca="false">H12</f>
        <v>-0.0259737669568461</v>
      </c>
      <c r="L12" s="32" t="n">
        <f aca="false">H12+I12</f>
        <v>-0.0309922962155664</v>
      </c>
      <c r="M12" s="32" t="n">
        <f aca="false">H12+I12+J12</f>
        <v>-0.0249740524650348</v>
      </c>
      <c r="N12" s="32" t="n">
        <f aca="false">G12+H12+I12</f>
        <v>-0.0196878823645074</v>
      </c>
      <c r="O12" s="20" t="n">
        <f aca="false">K12/($E12*SQRT(1))</f>
        <v>-2.65437109177624</v>
      </c>
      <c r="P12" s="20" t="n">
        <f aca="false">L12/($E12*SQRT(2))</f>
        <v>-2.23957419971073</v>
      </c>
      <c r="Q12" s="20" t="n">
        <f aca="false">M12/($E12*SQRT(3))</f>
        <v>-1.47351679974</v>
      </c>
      <c r="R12" s="20" t="n">
        <f aca="false">N12/($E12*SQRT(3))</f>
        <v>-1.16162266640638</v>
      </c>
      <c r="S12" s="7" t="n">
        <f aca="false">_xlfn.T.DIST.2T(ABS(O12),$F12-2)</f>
        <v>0.00853142142792622</v>
      </c>
      <c r="T12" s="7" t="n">
        <f aca="false">_xlfn.T.DIST.2T(ABS(P12),$F12-2)</f>
        <v>0.0261280657253111</v>
      </c>
      <c r="U12" s="7" t="n">
        <f aca="false">_xlfn.T.DIST.2T(ABS(Q12),$F12-2)</f>
        <v>0.142054197335655</v>
      </c>
      <c r="V12" s="7" t="n">
        <f aca="false">_xlfn.T.DIST.2T(ABS(R12),$F12-2)</f>
        <v>0.246659033014137</v>
      </c>
    </row>
    <row r="13" customFormat="false" ht="15" hidden="false" customHeight="false" outlineLevel="0" collapsed="false">
      <c r="A13" s="5" t="s">
        <v>295</v>
      </c>
      <c r="B13" s="5" t="s">
        <v>294</v>
      </c>
      <c r="C13" s="29" t="n">
        <f aca="false">INTERCEPT(Data_Returns!$AA$56:$AA$275,Data_Returns!$C$56:$C$275)</f>
        <v>-0.00102707096854438</v>
      </c>
      <c r="D13" s="7" t="n">
        <f aca="false">SLOPE(Data_Returns!$AA$56:$AA$275,Data_Returns!$C$56:$C$275)</f>
        <v>-0.0947517874610042</v>
      </c>
      <c r="E13" s="29" t="n">
        <f aca="false">STEYX(Data_Returns!$AA$56:$AA$275,Data_Returns!$C$56:$C$275)</f>
        <v>0.0122271775947948</v>
      </c>
      <c r="F13" s="13" t="n">
        <f aca="false">COUNT(Data_Returns!$AA$56:$AA$275)</f>
        <v>220</v>
      </c>
      <c r="G13" s="32" t="n">
        <f aca="false">Data_Returns!AA305-($C13+$D13*Data_Returns!C305)</f>
        <v>0.0114095558047298</v>
      </c>
      <c r="H13" s="32" t="n">
        <f aca="false">Data_Returns!AA306-($C13+$D13*Data_Returns!C306)</f>
        <v>-0.0327717287091602</v>
      </c>
      <c r="I13" s="32" t="n">
        <f aca="false">Data_Returns!AA307-($C13+$D13*Data_Returns!C307)</f>
        <v>-0.0176991122839137</v>
      </c>
      <c r="J13" s="32" t="n">
        <f aca="false">Data_Returns!AA308-($C13+$D13*Data_Returns!C308)</f>
        <v>0.00145630381286448</v>
      </c>
      <c r="K13" s="32" t="n">
        <f aca="false">H13</f>
        <v>-0.0327717287091602</v>
      </c>
      <c r="L13" s="32" t="n">
        <f aca="false">H13+I13</f>
        <v>-0.050470840993074</v>
      </c>
      <c r="M13" s="32" t="n">
        <f aca="false">H13+I13+J13</f>
        <v>-0.0490145371802095</v>
      </c>
      <c r="N13" s="32" t="n">
        <f aca="false">G13+H13+I13</f>
        <v>-0.0390612851883442</v>
      </c>
      <c r="O13" s="20" t="n">
        <f aca="false">K13/($E13*SQRT(1))</f>
        <v>-2.68023658404303</v>
      </c>
      <c r="P13" s="20" t="n">
        <f aca="false">L13/($E13*SQRT(2))</f>
        <v>-2.91876630086598</v>
      </c>
      <c r="Q13" s="20" t="n">
        <f aca="false">M13/($E13*SQRT(3))</f>
        <v>-2.31439807067543</v>
      </c>
      <c r="R13" s="20" t="n">
        <f aca="false">N13/($E13*SQRT(3))</f>
        <v>-1.84441939634408</v>
      </c>
      <c r="S13" s="7" t="n">
        <f aca="false">_xlfn.T.DIST.2T(ABS(O13),$F13-2)</f>
        <v>0.00791901841533757</v>
      </c>
      <c r="T13" s="7" t="n">
        <f aca="false">_xlfn.T.DIST.2T(ABS(P13),$F13-2)</f>
        <v>0.00388271823576494</v>
      </c>
      <c r="U13" s="7" t="n">
        <f aca="false">_xlfn.T.DIST.2T(ABS(Q13),$F13-2)</f>
        <v>0.0215767980047694</v>
      </c>
      <c r="V13" s="7" t="n">
        <f aca="false">_xlfn.T.DIST.2T(ABS(R13),$F13-2)</f>
        <v>0.0664788724111586</v>
      </c>
    </row>
    <row r="15" customFormat="false" ht="15" hidden="false" customHeight="false" outlineLevel="0" collapsed="false">
      <c r="A15" s="9" t="s">
        <v>320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</row>
    <row r="16" customFormat="false" ht="30" hidden="false" customHeight="true" outlineLevel="0" collapsed="false">
      <c r="A16" s="3" t="s">
        <v>265</v>
      </c>
      <c r="B16" s="3" t="s">
        <v>213</v>
      </c>
      <c r="C16" s="3" t="s">
        <v>266</v>
      </c>
      <c r="D16" s="3" t="s">
        <v>267</v>
      </c>
      <c r="E16" s="3" t="s">
        <v>268</v>
      </c>
      <c r="F16" s="3" t="s">
        <v>269</v>
      </c>
      <c r="G16" s="3" t="s">
        <v>270</v>
      </c>
      <c r="H16" s="3" t="s">
        <v>271</v>
      </c>
      <c r="I16" s="3" t="s">
        <v>272</v>
      </c>
      <c r="J16" s="3" t="s">
        <v>273</v>
      </c>
      <c r="K16" s="3" t="s">
        <v>274</v>
      </c>
      <c r="L16" s="3" t="s">
        <v>275</v>
      </c>
      <c r="M16" s="3" t="s">
        <v>276</v>
      </c>
      <c r="N16" s="3" t="s">
        <v>277</v>
      </c>
      <c r="O16" s="3" t="s">
        <v>278</v>
      </c>
      <c r="P16" s="3" t="s">
        <v>279</v>
      </c>
      <c r="Q16" s="3" t="s">
        <v>280</v>
      </c>
      <c r="R16" s="3" t="s">
        <v>281</v>
      </c>
      <c r="S16" s="3" t="s">
        <v>282</v>
      </c>
      <c r="T16" s="3" t="s">
        <v>283</v>
      </c>
      <c r="U16" s="3" t="s">
        <v>284</v>
      </c>
      <c r="V16" s="3" t="s">
        <v>285</v>
      </c>
    </row>
    <row r="17" customFormat="false" ht="15" hidden="false" customHeight="false" outlineLevel="0" collapsed="false">
      <c r="A17" s="5" t="s">
        <v>286</v>
      </c>
      <c r="B17" s="5" t="s">
        <v>287</v>
      </c>
      <c r="C17" s="29" t="n">
        <f aca="false">INTERCEPT(Data_Returns!$T$375:$T$594,Data_Returns!$C$375:$C$594)</f>
        <v>-0.00044130186085616</v>
      </c>
      <c r="D17" s="7" t="n">
        <f aca="false">SLOPE(Data_Returns!$T$375:$T$594,Data_Returns!$C$375:$C$594)</f>
        <v>1.09330323146244</v>
      </c>
      <c r="E17" s="29" t="n">
        <f aca="false">STEYX(Data_Returns!$T$375:$T$594,Data_Returns!$C$375:$C$594)</f>
        <v>0.00802900613509396</v>
      </c>
      <c r="F17" s="13" t="n">
        <f aca="false">COUNT(Data_Returns!$T$375:$T$594)</f>
        <v>220</v>
      </c>
      <c r="G17" s="32" t="n">
        <f aca="false">Data_Returns!T624-($C17+$D17*Data_Returns!C624)</f>
        <v>-0.00210313715745917</v>
      </c>
      <c r="H17" s="32" t="n">
        <f aca="false">Data_Returns!T625-($C17+$D17*Data_Returns!C625)</f>
        <v>0.0295802211927038</v>
      </c>
      <c r="I17" s="32" t="n">
        <f aca="false">Data_Returns!T626-($C17+$D17*Data_Returns!C626)</f>
        <v>0.00980983377998227</v>
      </c>
      <c r="J17" s="32" t="n">
        <f aca="false">Data_Returns!T627-($C17+$D17*Data_Returns!C627)</f>
        <v>-0.00678420148571214</v>
      </c>
      <c r="K17" s="32" t="n">
        <f aca="false">H17</f>
        <v>0.0295802211927038</v>
      </c>
      <c r="L17" s="32" t="n">
        <f aca="false">H17+I17</f>
        <v>0.0393900549726861</v>
      </c>
      <c r="M17" s="32" t="n">
        <f aca="false">H17+I17+J17</f>
        <v>0.032605853486974</v>
      </c>
      <c r="N17" s="32" t="n">
        <f aca="false">G17+H17+I17</f>
        <v>0.0372869178152269</v>
      </c>
      <c r="O17" s="20" t="n">
        <f aca="false">K17/($E17*SQRT(1))</f>
        <v>3.68416970855356</v>
      </c>
      <c r="P17" s="20" t="n">
        <f aca="false">L17/($E17*SQRT(2))</f>
        <v>3.46904392820859</v>
      </c>
      <c r="Q17" s="20" t="n">
        <f aca="false">M17/($E17*SQRT(3))</f>
        <v>2.34462372691183</v>
      </c>
      <c r="R17" s="20" t="n">
        <f aca="false">N17/($E17*SQRT(3))</f>
        <v>2.68122998982125</v>
      </c>
      <c r="S17" s="7" t="n">
        <f aca="false">_xlfn.T.DIST.2T(ABS(O17),$F17-2)</f>
        <v>0.000289473542727082</v>
      </c>
      <c r="T17" s="7" t="n">
        <f aca="false">_xlfn.T.DIST.2T(ABS(P17),$F17-2)</f>
        <v>0.000629340409052234</v>
      </c>
      <c r="U17" s="7" t="n">
        <f aca="false">_xlfn.T.DIST.2T(ABS(Q17),$F17-2)</f>
        <v>0.019945245308801</v>
      </c>
      <c r="V17" s="7" t="n">
        <f aca="false">_xlfn.T.DIST.2T(ABS(R17),$F17-2)</f>
        <v>0.00789630914740547</v>
      </c>
    </row>
    <row r="18" customFormat="false" ht="15" hidden="false" customHeight="false" outlineLevel="0" collapsed="false">
      <c r="A18" s="5" t="s">
        <v>288</v>
      </c>
      <c r="B18" s="5" t="s">
        <v>287</v>
      </c>
      <c r="C18" s="29" t="n">
        <f aca="false">INTERCEPT(Data_Returns!$U$375:$U$594,Data_Returns!$C$375:$C$594)</f>
        <v>-0.000612419161678731</v>
      </c>
      <c r="D18" s="7" t="n">
        <f aca="false">SLOPE(Data_Returns!$U$375:$U$594,Data_Returns!$C$375:$C$594)</f>
        <v>1.03139309339794</v>
      </c>
      <c r="E18" s="29" t="n">
        <f aca="false">STEYX(Data_Returns!$U$375:$U$594,Data_Returns!$C$375:$C$594)</f>
        <v>0.00864258945179164</v>
      </c>
      <c r="F18" s="13" t="n">
        <f aca="false">COUNT(Data_Returns!$U$375:$U$594)</f>
        <v>220</v>
      </c>
      <c r="G18" s="32" t="n">
        <f aca="false">Data_Returns!U624-($C18+$D18*Data_Returns!C624)</f>
        <v>0.00311150646532966</v>
      </c>
      <c r="H18" s="32" t="n">
        <f aca="false">Data_Returns!U625-($C18+$D18*Data_Returns!C625)</f>
        <v>0.0408646357889559</v>
      </c>
      <c r="I18" s="32" t="n">
        <f aca="false">Data_Returns!U626-($C18+$D18*Data_Returns!C626)</f>
        <v>-0.000826892644462743</v>
      </c>
      <c r="J18" s="32" t="n">
        <f aca="false">Data_Returns!U627-($C18+$D18*Data_Returns!C627)</f>
        <v>-0.0063896796367734</v>
      </c>
      <c r="K18" s="32" t="n">
        <f aca="false">H18</f>
        <v>0.0408646357889559</v>
      </c>
      <c r="L18" s="32" t="n">
        <f aca="false">H18+I18</f>
        <v>0.0400377431444931</v>
      </c>
      <c r="M18" s="32" t="n">
        <f aca="false">H18+I18+J18</f>
        <v>0.0336480635077197</v>
      </c>
      <c r="N18" s="32" t="n">
        <f aca="false">G18+H18+I18</f>
        <v>0.0431492496098228</v>
      </c>
      <c r="O18" s="20" t="n">
        <f aca="false">K18/($E18*SQRT(1))</f>
        <v>4.72828612499747</v>
      </c>
      <c r="P18" s="20" t="n">
        <f aca="false">L18/($E18*SQRT(2))</f>
        <v>3.27574968576198</v>
      </c>
      <c r="Q18" s="20" t="n">
        <f aca="false">M18/($E18*SQRT(3))</f>
        <v>2.24778911832546</v>
      </c>
      <c r="R18" s="20" t="n">
        <f aca="false">N18/($E18*SQRT(3))</f>
        <v>2.88249615656534</v>
      </c>
      <c r="S18" s="7" t="n">
        <f aca="false">_xlfn.T.DIST.2T(ABS(O18),$F18-2)</f>
        <v>4.06329754488709E-006</v>
      </c>
      <c r="T18" s="7" t="n">
        <f aca="false">_xlfn.T.DIST.2T(ABS(P18),$F18-2)</f>
        <v>0.00122589659774937</v>
      </c>
      <c r="U18" s="7" t="n">
        <f aca="false">_xlfn.T.DIST.2T(ABS(Q18),$F18-2)</f>
        <v>0.025590562972882</v>
      </c>
      <c r="V18" s="7" t="n">
        <f aca="false">_xlfn.T.DIST.2T(ABS(R18),$F18-2)</f>
        <v>0.00434012820276428</v>
      </c>
    </row>
    <row r="19" customFormat="false" ht="15" hidden="false" customHeight="false" outlineLevel="0" collapsed="false">
      <c r="A19" s="5" t="s">
        <v>289</v>
      </c>
      <c r="B19" s="5" t="s">
        <v>287</v>
      </c>
      <c r="C19" s="29" t="n">
        <f aca="false">INTERCEPT(Data_Returns!$V$375:$V$594,Data_Returns!$C$375:$C$594)</f>
        <v>-0.000156106359485209</v>
      </c>
      <c r="D19" s="7" t="n">
        <f aca="false">SLOPE(Data_Returns!$V$375:$V$594,Data_Returns!$C$375:$C$594)</f>
        <v>1.19648679490329</v>
      </c>
      <c r="E19" s="29" t="n">
        <f aca="false">STEYX(Data_Returns!$V$375:$V$594,Data_Returns!$C$375:$C$594)</f>
        <v>0.0114675425295386</v>
      </c>
      <c r="F19" s="13" t="n">
        <f aca="false">COUNT(Data_Returns!$V$375:$V$594)</f>
        <v>220</v>
      </c>
      <c r="G19" s="32" t="n">
        <f aca="false">Data_Returns!V624-($C19+$D19*Data_Returns!C624)</f>
        <v>-0.0107942098621072</v>
      </c>
      <c r="H19" s="32" t="n">
        <f aca="false">Data_Returns!V625-($C19+$D19*Data_Returns!C625)</f>
        <v>0.0107728635322838</v>
      </c>
      <c r="I19" s="32" t="n">
        <f aca="false">Data_Returns!V626-($C19+$D19*Data_Returns!C626)</f>
        <v>0.0275377111540573</v>
      </c>
      <c r="J19" s="32" t="n">
        <f aca="false">Data_Returns!V627-($C19+$D19*Data_Returns!C627)</f>
        <v>-0.00744173790061004</v>
      </c>
      <c r="K19" s="32" t="n">
        <f aca="false">H19</f>
        <v>0.0107728635322838</v>
      </c>
      <c r="L19" s="32" t="n">
        <f aca="false">H19+I19</f>
        <v>0.0383105746863411</v>
      </c>
      <c r="M19" s="32" t="n">
        <f aca="false">H19+I19+J19</f>
        <v>0.0308688367857311</v>
      </c>
      <c r="N19" s="32" t="n">
        <f aca="false">G19+H19+I19</f>
        <v>0.0275163648242339</v>
      </c>
      <c r="O19" s="20" t="n">
        <f aca="false">K19/($E19*SQRT(1))</f>
        <v>0.939422156450222</v>
      </c>
      <c r="P19" s="20" t="n">
        <f aca="false">L19/($E19*SQRT(2))</f>
        <v>2.36229053278736</v>
      </c>
      <c r="Q19" s="20" t="n">
        <f aca="false">M19/($E19*SQRT(3))</f>
        <v>1.55413692008601</v>
      </c>
      <c r="R19" s="20" t="n">
        <f aca="false">N19/($E19*SQRT(3))</f>
        <v>1.38535179594669</v>
      </c>
      <c r="S19" s="7" t="n">
        <f aca="false">_xlfn.T.DIST.2T(ABS(O19),$F19-2)</f>
        <v>0.348553746539972</v>
      </c>
      <c r="T19" s="7" t="n">
        <f aca="false">_xlfn.T.DIST.2T(ABS(P19),$F19-2)</f>
        <v>0.0190426874223419</v>
      </c>
      <c r="U19" s="7" t="n">
        <f aca="false">_xlfn.T.DIST.2T(ABS(Q19),$F19-2)</f>
        <v>0.121602295476395</v>
      </c>
      <c r="V19" s="7" t="n">
        <f aca="false">_xlfn.T.DIST.2T(ABS(R19),$F19-2)</f>
        <v>0.167360746842717</v>
      </c>
    </row>
    <row r="20" customFormat="false" ht="15" hidden="false" customHeight="false" outlineLevel="0" collapsed="false">
      <c r="A20" s="5" t="s">
        <v>290</v>
      </c>
      <c r="B20" s="5" t="s">
        <v>287</v>
      </c>
      <c r="C20" s="29" t="n">
        <f aca="false">INTERCEPT(Data_Returns!$W$375:$W$594,Data_Returns!$C$375:$C$594)</f>
        <v>-0.000604838534490172</v>
      </c>
      <c r="D20" s="7" t="n">
        <f aca="false">SLOPE(Data_Returns!$W$375:$W$594,Data_Returns!$C$375:$C$594)</f>
        <v>0.836651255980169</v>
      </c>
      <c r="E20" s="29" t="n">
        <f aca="false">STEYX(Data_Returns!$W$375:$W$594,Data_Returns!$C$375:$C$594)</f>
        <v>0.0105861739416612</v>
      </c>
      <c r="F20" s="13" t="n">
        <f aca="false">COUNT(Data_Returns!$W$375:$W$594)</f>
        <v>220</v>
      </c>
      <c r="G20" s="32" t="n">
        <f aca="false">Data_Returns!W624-($C20+$D20*Data_Returns!C624)</f>
        <v>0.000601729630579422</v>
      </c>
      <c r="H20" s="32" t="n">
        <f aca="false">Data_Returns!W625-($C20+$D20*Data_Returns!C625)</f>
        <v>0.0278485048160407</v>
      </c>
      <c r="I20" s="32" t="n">
        <f aca="false">Data_Returns!W626-($C20+$D20*Data_Returns!C626)</f>
        <v>0.00287129765035743</v>
      </c>
      <c r="J20" s="32" t="n">
        <f aca="false">Data_Returns!W627-($C20+$D20*Data_Returns!C627)</f>
        <v>-0.00945839723223115</v>
      </c>
      <c r="K20" s="32" t="n">
        <f aca="false">H20</f>
        <v>0.0278485048160407</v>
      </c>
      <c r="L20" s="32" t="n">
        <f aca="false">H20+I20</f>
        <v>0.0307198024663981</v>
      </c>
      <c r="M20" s="32" t="n">
        <f aca="false">H20+I20+J20</f>
        <v>0.021261405234167</v>
      </c>
      <c r="N20" s="32" t="n">
        <f aca="false">G20+H20+I20</f>
        <v>0.0313215320969775</v>
      </c>
      <c r="O20" s="20" t="n">
        <f aca="false">K20/($E20*SQRT(1))</f>
        <v>2.63064870929853</v>
      </c>
      <c r="P20" s="20" t="n">
        <f aca="false">L20/($E20*SQRT(2))</f>
        <v>2.05193876091674</v>
      </c>
      <c r="Q20" s="20" t="n">
        <f aca="false">M20/($E20*SQRT(3))</f>
        <v>1.15955756092269</v>
      </c>
      <c r="R20" s="20" t="n">
        <f aca="false">N20/($E20*SQRT(3))</f>
        <v>1.7082181992547</v>
      </c>
      <c r="S20" s="7" t="n">
        <f aca="false">_xlfn.T.DIST.2T(ABS(O20),$F20-2)</f>
        <v>0.00913022145089929</v>
      </c>
      <c r="T20" s="7" t="n">
        <f aca="false">_xlfn.T.DIST.2T(ABS(P20),$F20-2)</f>
        <v>0.0413705996121909</v>
      </c>
      <c r="U20" s="7" t="n">
        <f aca="false">_xlfn.T.DIST.2T(ABS(Q20),$F20-2)</f>
        <v>0.24749744201565</v>
      </c>
      <c r="V20" s="7" t="n">
        <f aca="false">_xlfn.T.DIST.2T(ABS(R20),$F20-2)</f>
        <v>0.0890192838537917</v>
      </c>
    </row>
    <row r="21" customFormat="false" ht="15" hidden="false" customHeight="false" outlineLevel="0" collapsed="false">
      <c r="A21" s="5" t="s">
        <v>291</v>
      </c>
      <c r="B21" s="5" t="s">
        <v>287</v>
      </c>
      <c r="C21" s="29" t="n">
        <f aca="false">INTERCEPT(Data_Returns!$X$375:$X$594,Data_Returns!$C$375:$C$594)</f>
        <v>-0.000171747316227308</v>
      </c>
      <c r="D21" s="7" t="n">
        <f aca="false">SLOPE(Data_Returns!$X$375:$X$594,Data_Returns!$C$375:$C$594)</f>
        <v>1.07759999100131</v>
      </c>
      <c r="E21" s="29" t="n">
        <f aca="false">STEYX(Data_Returns!$X$375:$X$594,Data_Returns!$C$375:$C$594)</f>
        <v>0.00882707832689793</v>
      </c>
      <c r="F21" s="13" t="n">
        <f aca="false">COUNT(Data_Returns!$X$375:$X$594)</f>
        <v>220</v>
      </c>
      <c r="G21" s="32" t="n">
        <f aca="false">Data_Returns!X624-($C21+$D21*Data_Returns!C624)</f>
        <v>0.000687920813105453</v>
      </c>
      <c r="H21" s="32" t="n">
        <f aca="false">Data_Returns!X625-($C21+$D21*Data_Returns!C625)</f>
        <v>0.0360508568253284</v>
      </c>
      <c r="I21" s="32" t="n">
        <f aca="false">Data_Returns!X626-($C21+$D21*Data_Returns!C626)</f>
        <v>0.00101417156051655</v>
      </c>
      <c r="J21" s="32" t="n">
        <f aca="false">Data_Returns!X627-($C21+$D21*Data_Returns!C627)</f>
        <v>-0.00517545333721799</v>
      </c>
      <c r="K21" s="32" t="n">
        <f aca="false">H21</f>
        <v>0.0360508568253284</v>
      </c>
      <c r="L21" s="32" t="n">
        <f aca="false">H21+I21</f>
        <v>0.037065028385845</v>
      </c>
      <c r="M21" s="32" t="n">
        <f aca="false">H21+I21+J21</f>
        <v>0.031889575048627</v>
      </c>
      <c r="N21" s="32" t="n">
        <f aca="false">G21+H21+I21</f>
        <v>0.0377529491989504</v>
      </c>
      <c r="O21" s="20" t="n">
        <f aca="false">K21/($E21*SQRT(1))</f>
        <v>4.08412109763137</v>
      </c>
      <c r="P21" s="20" t="n">
        <f aca="false">L21/($E21*SQRT(2))</f>
        <v>2.96915150697585</v>
      </c>
      <c r="Q21" s="20" t="n">
        <f aca="false">M21/($E21*SQRT(3))</f>
        <v>2.0857926096072</v>
      </c>
      <c r="R21" s="20" t="n">
        <f aca="false">N21/($E21*SQRT(3))</f>
        <v>2.46929669993947</v>
      </c>
      <c r="S21" s="7" t="n">
        <f aca="false">_xlfn.T.DIST.2T(ABS(O21),$F21-2)</f>
        <v>6.21457859315356E-005</v>
      </c>
      <c r="T21" s="7" t="n">
        <f aca="false">_xlfn.T.DIST.2T(ABS(P21),$F21-2)</f>
        <v>0.00332029216549539</v>
      </c>
      <c r="U21" s="7" t="n">
        <f aca="false">_xlfn.T.DIST.2T(ABS(Q21),$F21-2)</f>
        <v>0.0381608864177726</v>
      </c>
      <c r="V21" s="7" t="n">
        <f aca="false">_xlfn.T.DIST.2T(ABS(R21),$F21-2)</f>
        <v>0.0143061524402388</v>
      </c>
    </row>
    <row r="22" customFormat="false" ht="15" hidden="false" customHeight="false" outlineLevel="0" collapsed="false">
      <c r="A22" s="5" t="s">
        <v>292</v>
      </c>
      <c r="B22" s="5" t="s">
        <v>287</v>
      </c>
      <c r="C22" s="29" t="n">
        <f aca="false">INTERCEPT(Data_Returns!$Y$375:$Y$594,Data_Returns!$C$375:$C$594)</f>
        <v>-0.000700113019863203</v>
      </c>
      <c r="D22" s="7" t="n">
        <f aca="false">SLOPE(Data_Returns!$Y$375:$Y$594,Data_Returns!$C$375:$C$594)</f>
        <v>1.04169897871862</v>
      </c>
      <c r="E22" s="29" t="n">
        <f aca="false">STEYX(Data_Returns!$Y$375:$Y$594,Data_Returns!$C$375:$C$594)</f>
        <v>0.00915253875829948</v>
      </c>
      <c r="F22" s="13" t="n">
        <f aca="false">COUNT(Data_Returns!$Y$375:$Y$594)</f>
        <v>220</v>
      </c>
      <c r="G22" s="32" t="n">
        <f aca="false">Data_Returns!Y624-($C22+$D22*Data_Returns!C624)</f>
        <v>0.0014431660544529</v>
      </c>
      <c r="H22" s="32" t="n">
        <f aca="false">Data_Returns!Y625-($C22+$D22*Data_Returns!C625)</f>
        <v>0.0420626588475743</v>
      </c>
      <c r="I22" s="32" t="n">
        <f aca="false">Data_Returns!Y626-($C22+$D22*Data_Returns!C626)</f>
        <v>-0.000895111486210267</v>
      </c>
      <c r="J22" s="32" t="n">
        <f aca="false">Data_Returns!Y627-($C22+$D22*Data_Returns!C627)</f>
        <v>-0.00826620767044127</v>
      </c>
      <c r="K22" s="32" t="n">
        <f aca="false">H22</f>
        <v>0.0420626588475743</v>
      </c>
      <c r="L22" s="32" t="n">
        <f aca="false">H22+I22</f>
        <v>0.041167547361364</v>
      </c>
      <c r="M22" s="32" t="n">
        <f aca="false">H22+I22+J22</f>
        <v>0.0329013396909227</v>
      </c>
      <c r="N22" s="32" t="n">
        <f aca="false">G22+H22+I22</f>
        <v>0.0426107134158169</v>
      </c>
      <c r="O22" s="20" t="n">
        <f aca="false">K22/($E22*SQRT(1))</f>
        <v>4.59573676313931</v>
      </c>
      <c r="P22" s="20" t="n">
        <f aca="false">L22/($E22*SQRT(2))</f>
        <v>3.18052211225461</v>
      </c>
      <c r="Q22" s="20" t="n">
        <f aca="false">M22/($E22*SQRT(3))</f>
        <v>2.07544571281148</v>
      </c>
      <c r="R22" s="20" t="n">
        <f aca="false">N22/($E22*SQRT(3))</f>
        <v>2.68792162597242</v>
      </c>
      <c r="S22" s="7" t="n">
        <f aca="false">_xlfn.T.DIST.2T(ABS(O22),$F22-2)</f>
        <v>7.29813357518656E-006</v>
      </c>
      <c r="T22" s="7" t="n">
        <f aca="false">_xlfn.T.DIST.2T(ABS(P22),$F22-2)</f>
        <v>0.00168409321971586</v>
      </c>
      <c r="U22" s="7" t="n">
        <f aca="false">_xlfn.T.DIST.2T(ABS(Q22),$F22-2)</f>
        <v>0.039118466388347</v>
      </c>
      <c r="V22" s="7" t="n">
        <f aca="false">_xlfn.T.DIST.2T(ABS(R22),$F22-2)</f>
        <v>0.00774486243124121</v>
      </c>
    </row>
    <row r="23" customFormat="false" ht="15" hidden="false" customHeight="false" outlineLevel="0" collapsed="false">
      <c r="A23" s="5" t="s">
        <v>293</v>
      </c>
      <c r="B23" s="5" t="s">
        <v>294</v>
      </c>
      <c r="C23" s="29" t="n">
        <f aca="false">INTERCEPT(Data_Returns!$Z$375:$Z$594,Data_Returns!$C$375:$C$594)</f>
        <v>-0.000456312802193522</v>
      </c>
      <c r="D23" s="7" t="n">
        <f aca="false">SLOPE(Data_Returns!$Z$375:$Z$594,Data_Returns!$C$375:$C$594)</f>
        <v>-0.165093701505352</v>
      </c>
      <c r="E23" s="29" t="n">
        <f aca="false">STEYX(Data_Returns!$Z$375:$Z$594,Data_Returns!$C$375:$C$594)</f>
        <v>0.0115992147095666</v>
      </c>
      <c r="F23" s="13" t="n">
        <f aca="false">COUNT(Data_Returns!$Z$375:$Z$594)</f>
        <v>220</v>
      </c>
      <c r="G23" s="32" t="n">
        <f aca="false">Data_Returns!Z624-($C23+$D23*Data_Returns!C624)</f>
        <v>0.0139057163274369</v>
      </c>
      <c r="H23" s="32" t="n">
        <f aca="false">Data_Returns!Z625-($C23+$D23*Data_Returns!C625)</f>
        <v>0.030091772256672</v>
      </c>
      <c r="I23" s="32" t="n">
        <f aca="false">Data_Returns!Z626-($C23+$D23*Data_Returns!C626)</f>
        <v>-0.02836460379852</v>
      </c>
      <c r="J23" s="32" t="n">
        <f aca="false">Data_Returns!Z627-($C23+$D23*Data_Returns!C627)</f>
        <v>0.00105205826383664</v>
      </c>
      <c r="K23" s="32" t="n">
        <f aca="false">H23</f>
        <v>0.030091772256672</v>
      </c>
      <c r="L23" s="32" t="n">
        <f aca="false">H23+I23</f>
        <v>0.00172716845815199</v>
      </c>
      <c r="M23" s="32" t="n">
        <f aca="false">H23+I23+J23</f>
        <v>0.00277922672198863</v>
      </c>
      <c r="N23" s="32" t="n">
        <f aca="false">G23+H23+I23</f>
        <v>0.0156328847855889</v>
      </c>
      <c r="O23" s="20" t="n">
        <f aca="false">K23/($E23*SQRT(1))</f>
        <v>2.59429392507525</v>
      </c>
      <c r="P23" s="20" t="n">
        <f aca="false">L23/($E23*SQRT(2))</f>
        <v>0.105290966637898</v>
      </c>
      <c r="Q23" s="20" t="n">
        <f aca="false">M23/($E23*SQRT(3))</f>
        <v>0.138335856026162</v>
      </c>
      <c r="R23" s="20" t="n">
        <f aca="false">N23/($E23*SQRT(3))</f>
        <v>0.77812597362528</v>
      </c>
      <c r="S23" s="7" t="n">
        <f aca="false">_xlfn.T.DIST.2T(ABS(O23),$F23-2)</f>
        <v>0.0101213667904255</v>
      </c>
      <c r="T23" s="7" t="n">
        <f aca="false">_xlfn.T.DIST.2T(ABS(P23),$F23-2)</f>
        <v>0.916241745819109</v>
      </c>
      <c r="U23" s="7" t="n">
        <f aca="false">_xlfn.T.DIST.2T(ABS(Q23),$F23-2)</f>
        <v>0.890102686142894</v>
      </c>
      <c r="V23" s="7" t="n">
        <f aca="false">_xlfn.T.DIST.2T(ABS(R23),$F23-2)</f>
        <v>0.437338454203847</v>
      </c>
    </row>
    <row r="24" customFormat="false" ht="15" hidden="false" customHeight="false" outlineLevel="0" collapsed="false">
      <c r="A24" s="5" t="s">
        <v>295</v>
      </c>
      <c r="B24" s="5" t="s">
        <v>294</v>
      </c>
      <c r="C24" s="29" t="n">
        <f aca="false">INTERCEPT(Data_Returns!$AA$375:$AA$594,Data_Returns!$C$375:$C$594)</f>
        <v>-0.000448732175004963</v>
      </c>
      <c r="D24" s="7" t="n">
        <f aca="false">SLOPE(Data_Returns!$AA$375:$AA$594,Data_Returns!$C$375:$C$594)</f>
        <v>-0.359835538923121</v>
      </c>
      <c r="E24" s="29" t="n">
        <f aca="false">STEYX(Data_Returns!$AA$375:$AA$594,Data_Returns!$C$375:$C$594)</f>
        <v>0.0145523134481556</v>
      </c>
      <c r="F24" s="13" t="n">
        <f aca="false">COUNT(Data_Returns!$AA$375:$AA$594)</f>
        <v>220</v>
      </c>
      <c r="G24" s="32" t="n">
        <f aca="false">Data_Returns!AA624-($C24+$D24*Data_Returns!C624)</f>
        <v>0.0113959394926867</v>
      </c>
      <c r="H24" s="32" t="n">
        <f aca="false">Data_Returns!AA625-($C24+$D24*Data_Returns!C625)</f>
        <v>0.0170756412837568</v>
      </c>
      <c r="I24" s="32" t="n">
        <f aca="false">Data_Returns!AA626-($C24+$D24*Data_Returns!C626)</f>
        <v>-0.0246664135036999</v>
      </c>
      <c r="J24" s="32" t="n">
        <f aca="false">Data_Returns!AA627-($C24+$D24*Data_Returns!C627)</f>
        <v>-0.00201665933162112</v>
      </c>
      <c r="K24" s="32" t="n">
        <f aca="false">H24</f>
        <v>0.0170756412837568</v>
      </c>
      <c r="L24" s="32" t="n">
        <f aca="false">H24+I24</f>
        <v>-0.00759077221994301</v>
      </c>
      <c r="M24" s="32" t="n">
        <f aca="false">H24+I24+J24</f>
        <v>-0.00960743155156413</v>
      </c>
      <c r="N24" s="32" t="n">
        <f aca="false">G24+H24+I24</f>
        <v>0.00380516727274364</v>
      </c>
      <c r="O24" s="20" t="n">
        <f aca="false">K24/($E24*SQRT(1))</f>
        <v>1.17339702340737</v>
      </c>
      <c r="P24" s="20" t="n">
        <f aca="false">L24/($E24*SQRT(2))</f>
        <v>-0.368840770939033</v>
      </c>
      <c r="Q24" s="20" t="n">
        <f aca="false">M24/($E24*SQRT(3))</f>
        <v>-0.381166418128485</v>
      </c>
      <c r="R24" s="20" t="n">
        <f aca="false">N24/($E24*SQRT(3))</f>
        <v>0.150966673241122</v>
      </c>
      <c r="S24" s="7" t="n">
        <f aca="false">_xlfn.T.DIST.2T(ABS(O24),$F24-2)</f>
        <v>0.241917058048044</v>
      </c>
      <c r="T24" s="7" t="n">
        <f aca="false">_xlfn.T.DIST.2T(ABS(P24),$F24-2)</f>
        <v>0.712604375045148</v>
      </c>
      <c r="U24" s="7" t="n">
        <f aca="false">_xlfn.T.DIST.2T(ABS(Q24),$F24-2)</f>
        <v>0.703450978418666</v>
      </c>
      <c r="V24" s="7" t="n">
        <f aca="false">_xlfn.T.DIST.2T(ABS(R24),$F24-2)</f>
        <v>0.88014160629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2"/>
    <col collapsed="false" customWidth="true" hidden="false" outlineLevel="0" max="5" min="5" style="0" width="3"/>
    <col collapsed="false" customWidth="true" hidden="false" outlineLevel="0" max="6" min="6" style="0" width="30"/>
    <col collapsed="false" customWidth="true" hidden="false" outlineLevel="0" max="9" min="7" style="0" width="12"/>
    <col collapsed="false" customWidth="true" hidden="false" outlineLevel="0" max="10" min="10" style="0" width="3"/>
    <col collapsed="false" customWidth="true" hidden="false" outlineLevel="0" max="11" min="11" style="0" width="30"/>
    <col collapsed="false" customWidth="true" hidden="false" outlineLevel="0" max="14" min="12" style="0" width="12"/>
    <col collapsed="false" customWidth="true" hidden="false" outlineLevel="0" max="15" min="15" style="0" width="3"/>
    <col collapsed="false" customWidth="true" hidden="false" outlineLevel="0" max="16" min="16" style="0" width="30"/>
    <col collapsed="false" customWidth="true" hidden="false" outlineLevel="0" max="19" min="17" style="0" width="12"/>
    <col collapsed="false" customWidth="true" hidden="false" outlineLevel="0" max="20" min="20" style="0" width="3"/>
  </cols>
  <sheetData>
    <row r="1" customFormat="false" ht="15" hidden="false" customHeight="false" outlineLevel="0" collapsed="false">
      <c r="A1" s="1" t="s">
        <v>321</v>
      </c>
    </row>
    <row r="2" customFormat="false" ht="15" hidden="false" customHeight="false" outlineLevel="0" collapsed="false">
      <c r="A2" s="2" t="s">
        <v>322</v>
      </c>
    </row>
    <row r="4" customFormat="false" ht="15" hidden="false" customHeight="false" outlineLevel="0" collapsed="false">
      <c r="A4" s="9" t="s">
        <v>323</v>
      </c>
      <c r="B4" s="10"/>
      <c r="C4" s="10"/>
      <c r="D4" s="10"/>
      <c r="F4" s="9" t="s">
        <v>324</v>
      </c>
      <c r="G4" s="10"/>
      <c r="H4" s="10"/>
      <c r="I4" s="10"/>
      <c r="K4" s="9" t="s">
        <v>325</v>
      </c>
      <c r="L4" s="10"/>
      <c r="M4" s="10"/>
      <c r="N4" s="10"/>
      <c r="P4" s="9" t="s">
        <v>326</v>
      </c>
      <c r="Q4" s="10"/>
      <c r="R4" s="10"/>
      <c r="S4" s="10"/>
    </row>
    <row r="5" customFormat="false" ht="15" hidden="false" customHeight="false" outlineLevel="0" collapsed="false">
      <c r="A5" s="5" t="s">
        <v>266</v>
      </c>
      <c r="B5" s="29" t="n">
        <f aca="false">INTERCEPT(B14:B233,C14:C233)</f>
        <v>-0.000212934630676448</v>
      </c>
      <c r="F5" s="5" t="s">
        <v>266</v>
      </c>
      <c r="G5" s="29" t="n">
        <f aca="false">INTERCEPT(G14:G233,H14:H233)</f>
        <v>-0.00107163195704686</v>
      </c>
      <c r="K5" s="5" t="s">
        <v>266</v>
      </c>
      <c r="L5" s="29" t="n">
        <f aca="false">INTERCEPT(L14:L233,M14:M233)</f>
        <v>-0.000486559636684804</v>
      </c>
      <c r="P5" s="5" t="s">
        <v>266</v>
      </c>
      <c r="Q5" s="29" t="n">
        <f aca="false">INTERCEPT(Q14:Q233,R14:R233)</f>
        <v>-0.000499837903192615</v>
      </c>
    </row>
    <row r="6" customFormat="false" ht="15" hidden="false" customHeight="false" outlineLevel="0" collapsed="false">
      <c r="A6" s="5" t="s">
        <v>267</v>
      </c>
      <c r="B6" s="7" t="n">
        <f aca="false">SLOPE(B14:B233,C14:C233)</f>
        <v>-0.157366199866913</v>
      </c>
      <c r="F6" s="5" t="s">
        <v>267</v>
      </c>
      <c r="G6" s="7" t="n">
        <f aca="false">SLOPE(G14:G233,H14:H233)</f>
        <v>0.0197903630106426</v>
      </c>
      <c r="K6" s="5" t="s">
        <v>267</v>
      </c>
      <c r="L6" s="7" t="n">
        <f aca="false">SLOPE(L14:L233,M14:M233)</f>
        <v>-0.0940168122733064</v>
      </c>
      <c r="P6" s="5" t="s">
        <v>267</v>
      </c>
      <c r="Q6" s="7" t="n">
        <f aca="false">SLOPE(Q14:Q233,R14:R233)</f>
        <v>-0.261998671743758</v>
      </c>
    </row>
    <row r="7" customFormat="false" ht="15" hidden="false" customHeight="false" outlineLevel="0" collapsed="false">
      <c r="A7" s="5" t="s">
        <v>327</v>
      </c>
      <c r="B7" s="32" t="n">
        <f aca="false">Data_Returns!Z306-(B5+B6*Data_Returns!B306)</f>
        <v>-0.0262827639829904</v>
      </c>
      <c r="C7" s="38" t="n">
        <v>-0.0262827639829904</v>
      </c>
      <c r="F7" s="5" t="s">
        <v>327</v>
      </c>
      <c r="G7" s="32" t="n">
        <f aca="false">Data_Returns!AA306-(G5+G6*Data_Returns!B306)</f>
        <v>-0.0327335796437101</v>
      </c>
      <c r="H7" s="38" t="n">
        <v>-0.0327335796437101</v>
      </c>
      <c r="K7" s="5" t="s">
        <v>327</v>
      </c>
      <c r="L7" s="32" t="n">
        <f aca="false">Data_Returns!Z625-(L5+L6*Data_Returns!B625)</f>
        <v>0.0309460077867121</v>
      </c>
      <c r="M7" s="38" t="n">
        <v>0.0309460077867121</v>
      </c>
      <c r="P7" s="5" t="s">
        <v>327</v>
      </c>
      <c r="Q7" s="32" t="n">
        <f aca="false">Data_Returns!AA625-(Q5+Q6*Data_Returns!B625)</f>
        <v>0.0189163703564974</v>
      </c>
      <c r="R7" s="38" t="n">
        <v>0.0189163703564974</v>
      </c>
    </row>
    <row r="8" customFormat="false" ht="15" hidden="false" customHeight="false" outlineLevel="0" collapsed="false">
      <c r="A8" s="5" t="s">
        <v>328</v>
      </c>
      <c r="B8" s="13" t="n">
        <f aca="false">COUNT(D14:D233)</f>
        <v>220</v>
      </c>
      <c r="C8" s="15" t="n">
        <v>220</v>
      </c>
      <c r="F8" s="5" t="s">
        <v>328</v>
      </c>
      <c r="G8" s="13" t="n">
        <f aca="false">COUNT(I14:I233)</f>
        <v>220</v>
      </c>
      <c r="H8" s="15" t="n">
        <v>220</v>
      </c>
      <c r="K8" s="5" t="s">
        <v>328</v>
      </c>
      <c r="L8" s="13" t="n">
        <f aca="false">COUNT(N14:N233)</f>
        <v>220</v>
      </c>
      <c r="M8" s="15" t="n">
        <v>220</v>
      </c>
      <c r="P8" s="5" t="s">
        <v>328</v>
      </c>
      <c r="Q8" s="13" t="n">
        <f aca="false">COUNT(S14:S233)</f>
        <v>220</v>
      </c>
      <c r="R8" s="15" t="n">
        <v>220</v>
      </c>
    </row>
    <row r="9" customFormat="false" ht="15" hidden="false" customHeight="false" outlineLevel="0" collapsed="false">
      <c r="A9" s="5" t="s">
        <v>329</v>
      </c>
      <c r="B9" s="13" t="n">
        <f aca="false">SUMPRODUCT(--(ABS(D14:D233)&gt;=ABS(B7)))</f>
        <v>0</v>
      </c>
      <c r="C9" s="15" t="n">
        <v>0</v>
      </c>
      <c r="F9" s="5" t="s">
        <v>329</v>
      </c>
      <c r="G9" s="13" t="n">
        <f aca="false">SUMPRODUCT(--(ABS(I14:I233)&gt;=ABS(G7)))</f>
        <v>2</v>
      </c>
      <c r="H9" s="15" t="n">
        <v>2</v>
      </c>
      <c r="K9" s="5" t="s">
        <v>329</v>
      </c>
      <c r="L9" s="13" t="n">
        <f aca="false">SUMPRODUCT(--(ABS(N14:N233)&gt;=ABS(L7)))</f>
        <v>7</v>
      </c>
      <c r="M9" s="15" t="n">
        <v>7</v>
      </c>
      <c r="P9" s="5" t="s">
        <v>329</v>
      </c>
      <c r="Q9" s="13" t="n">
        <f aca="false">SUMPRODUCT(--(ABS(S14:S233)&gt;=ABS(Q7)))</f>
        <v>31</v>
      </c>
      <c r="R9" s="15" t="n">
        <v>31</v>
      </c>
    </row>
    <row r="10" customFormat="false" ht="15" hidden="false" customHeight="false" outlineLevel="0" collapsed="false">
      <c r="A10" s="5" t="s">
        <v>330</v>
      </c>
      <c r="B10" s="7" t="n">
        <f aca="false">B9/B8</f>
        <v>0</v>
      </c>
      <c r="C10" s="16" t="n">
        <v>0</v>
      </c>
      <c r="F10" s="5" t="s">
        <v>330</v>
      </c>
      <c r="G10" s="7" t="n">
        <f aca="false">G9/G8</f>
        <v>0.00909090909090909</v>
      </c>
      <c r="H10" s="16" t="n">
        <v>0.00909090909090909</v>
      </c>
      <c r="K10" s="5" t="s">
        <v>330</v>
      </c>
      <c r="L10" s="7" t="n">
        <f aca="false">L9/L8</f>
        <v>0.0318181818181818</v>
      </c>
      <c r="M10" s="16" t="n">
        <v>0.0318181818181818</v>
      </c>
      <c r="P10" s="5" t="s">
        <v>330</v>
      </c>
      <c r="Q10" s="7" t="n">
        <f aca="false">Q9/Q8</f>
        <v>0.140909090909091</v>
      </c>
      <c r="R10" s="16" t="n">
        <v>0.140909090909091</v>
      </c>
    </row>
    <row r="11" customFormat="false" ht="15" hidden="false" customHeight="false" outlineLevel="0" collapsed="false">
      <c r="C11" s="2" t="s">
        <v>331</v>
      </c>
      <c r="H11" s="2" t="s">
        <v>331</v>
      </c>
      <c r="M11" s="2" t="s">
        <v>331</v>
      </c>
      <c r="R11" s="2" t="s">
        <v>331</v>
      </c>
    </row>
    <row r="13" customFormat="false" ht="30" hidden="false" customHeight="true" outlineLevel="0" collapsed="false">
      <c r="A13" s="3" t="s">
        <v>66</v>
      </c>
      <c r="B13" s="3" t="s">
        <v>332</v>
      </c>
      <c r="C13" s="3" t="s">
        <v>333</v>
      </c>
      <c r="D13" s="3" t="s">
        <v>334</v>
      </c>
      <c r="F13" s="3" t="s">
        <v>66</v>
      </c>
      <c r="G13" s="3" t="s">
        <v>332</v>
      </c>
      <c r="H13" s="3" t="s">
        <v>333</v>
      </c>
      <c r="I13" s="3" t="s">
        <v>334</v>
      </c>
      <c r="K13" s="3" t="s">
        <v>66</v>
      </c>
      <c r="L13" s="3" t="s">
        <v>332</v>
      </c>
      <c r="M13" s="3" t="s">
        <v>333</v>
      </c>
      <c r="N13" s="3" t="s">
        <v>334</v>
      </c>
      <c r="P13" s="3" t="s">
        <v>66</v>
      </c>
      <c r="Q13" s="3" t="s">
        <v>332</v>
      </c>
      <c r="R13" s="3" t="s">
        <v>333</v>
      </c>
      <c r="S13" s="3" t="s">
        <v>334</v>
      </c>
    </row>
    <row r="14" customFormat="false" ht="15" hidden="false" customHeight="false" outlineLevel="0" collapsed="false">
      <c r="A14" s="30" t="n">
        <f aca="false">Data_Returns!A56</f>
        <v>44881</v>
      </c>
      <c r="B14" s="31" t="n">
        <f aca="false">Data_Returns!Z56</f>
        <v>-0.0197593098984043</v>
      </c>
      <c r="C14" s="31" t="n">
        <f aca="false">Data_Returns!B56</f>
        <v>0.000339611158807651</v>
      </c>
      <c r="D14" s="32" t="n">
        <f aca="false">B14-($B$5+$B$6*C14)</f>
        <v>-0.0194929319502339</v>
      </c>
      <c r="F14" s="30" t="n">
        <f aca="false">Data_Returns!A56</f>
        <v>44881</v>
      </c>
      <c r="G14" s="31" t="n">
        <f aca="false">Data_Returns!AA56</f>
        <v>-0.0162086196669373</v>
      </c>
      <c r="H14" s="31" t="n">
        <f aca="false">Data_Returns!B56</f>
        <v>0.000339611158807651</v>
      </c>
      <c r="I14" s="32" t="n">
        <f aca="false">G14-($G$5+$G$6*H14)</f>
        <v>-0.0151437087380057</v>
      </c>
      <c r="K14" s="30" t="n">
        <f aca="false">Data_Returns!A375</f>
        <v>45349</v>
      </c>
      <c r="L14" s="31" t="n">
        <f aca="false">Data_Returns!Z375</f>
        <v>0.00938801231950078</v>
      </c>
      <c r="M14" s="31" t="n">
        <f aca="false">Data_Returns!B375</f>
        <v>0.00344904744361396</v>
      </c>
      <c r="N14" s="32" t="n">
        <f aca="false">L14-($L$5+$L$6*M14)</f>
        <v>0.0101988404022136</v>
      </c>
      <c r="P14" s="30" t="n">
        <f aca="false">Data_Returns!A375</f>
        <v>45349</v>
      </c>
      <c r="Q14" s="31" t="n">
        <f aca="false">Data_Returns!AA375</f>
        <v>0.0135286875588895</v>
      </c>
      <c r="R14" s="31" t="n">
        <f aca="false">Data_Returns!B375</f>
        <v>0.00344904744361396</v>
      </c>
      <c r="S14" s="32" t="n">
        <f aca="false">Q14-($Q$5+$Q$6*R14)</f>
        <v>0.0149321713110902</v>
      </c>
    </row>
    <row r="15" customFormat="false" ht="15" hidden="false" customHeight="false" outlineLevel="0" collapsed="false">
      <c r="A15" s="30" t="n">
        <f aca="false">Data_Returns!A57</f>
        <v>44882</v>
      </c>
      <c r="B15" s="31" t="n">
        <f aca="false">Data_Returns!Z57</f>
        <v>0.00164823073177288</v>
      </c>
      <c r="C15" s="31" t="n">
        <f aca="false">Data_Returns!B57</f>
        <v>-0.00357149647060107</v>
      </c>
      <c r="D15" s="32" t="n">
        <f aca="false">B15-($B$5+$B$6*C15)</f>
        <v>0.00129913253503274</v>
      </c>
      <c r="F15" s="30" t="n">
        <f aca="false">Data_Returns!A57</f>
        <v>44882</v>
      </c>
      <c r="G15" s="31" t="n">
        <f aca="false">Data_Returns!AA57</f>
        <v>0.00171125298634084</v>
      </c>
      <c r="H15" s="31" t="n">
        <f aca="false">Data_Returns!B57</f>
        <v>-0.00357149647060107</v>
      </c>
      <c r="I15" s="32" t="n">
        <f aca="false">G15-($G$5+$G$6*H15)</f>
        <v>0.00285356615503213</v>
      </c>
      <c r="K15" s="30" t="n">
        <f aca="false">Data_Returns!A376</f>
        <v>45350</v>
      </c>
      <c r="L15" s="31" t="n">
        <f aca="false">Data_Returns!Z376</f>
        <v>-0.00760128297601247</v>
      </c>
      <c r="M15" s="31" t="n">
        <f aca="false">Data_Returns!B376</f>
        <v>-0.0111359628080464</v>
      </c>
      <c r="N15" s="32" t="n">
        <f aca="false">L15-($L$5+$L$6*M15)</f>
        <v>-0.00816169106413429</v>
      </c>
      <c r="P15" s="30" t="n">
        <f aca="false">Data_Returns!A376</f>
        <v>45350</v>
      </c>
      <c r="Q15" s="31" t="n">
        <f aca="false">Data_Returns!AA376</f>
        <v>-0.00214574053621695</v>
      </c>
      <c r="R15" s="31" t="n">
        <f aca="false">Data_Returns!B376</f>
        <v>-0.0111359628080464</v>
      </c>
      <c r="S15" s="32" t="n">
        <f aca="false">Q15-($Q$5+$Q$6*R15)</f>
        <v>-0.00456351009732038</v>
      </c>
    </row>
    <row r="16" customFormat="false" ht="15" hidden="false" customHeight="false" outlineLevel="0" collapsed="false">
      <c r="A16" s="30" t="n">
        <f aca="false">Data_Returns!A58</f>
        <v>44883</v>
      </c>
      <c r="B16" s="31" t="n">
        <f aca="false">Data_Returns!Z58</f>
        <v>0.015778210766559</v>
      </c>
      <c r="C16" s="31" t="n">
        <f aca="false">Data_Returns!B58</f>
        <v>-0.00197613375563543</v>
      </c>
      <c r="D16" s="32" t="n">
        <f aca="false">B16-($B$5+$B$6*C16)</f>
        <v>0.0156801687376824</v>
      </c>
      <c r="F16" s="30" t="n">
        <f aca="false">Data_Returns!A58</f>
        <v>44883</v>
      </c>
      <c r="G16" s="31" t="n">
        <f aca="false">Data_Returns!AA58</f>
        <v>0.00669039285757619</v>
      </c>
      <c r="H16" s="31" t="n">
        <f aca="false">Data_Returns!B58</f>
        <v>-0.00197613375563543</v>
      </c>
      <c r="I16" s="32" t="n">
        <f aca="false">G16-($G$5+$G$6*H16)</f>
        <v>0.00780113321900466</v>
      </c>
      <c r="K16" s="30" t="n">
        <f aca="false">Data_Returns!A377</f>
        <v>45351</v>
      </c>
      <c r="L16" s="31" t="n">
        <f aca="false">Data_Returns!Z377</f>
        <v>0.00906559314224864</v>
      </c>
      <c r="M16" s="31" t="n">
        <f aca="false">Data_Returns!B377</f>
        <v>0.0014418378991532</v>
      </c>
      <c r="N16" s="32" t="n">
        <f aca="false">L16-($L$5+$L$6*M16)</f>
        <v>0.00968770978202667</v>
      </c>
      <c r="P16" s="30" t="n">
        <f aca="false">Data_Returns!A377</f>
        <v>45351</v>
      </c>
      <c r="Q16" s="31" t="n">
        <f aca="false">Data_Returns!AA377</f>
        <v>0.00704558031504904</v>
      </c>
      <c r="R16" s="31" t="n">
        <f aca="false">Data_Returns!B377</f>
        <v>0.0014418378991532</v>
      </c>
      <c r="S16" s="32" t="n">
        <f aca="false">Q16-($Q$5+$Q$6*R16)</f>
        <v>0.0079231778326896</v>
      </c>
    </row>
    <row r="17" customFormat="false" ht="15" hidden="false" customHeight="false" outlineLevel="0" collapsed="false">
      <c r="A17" s="30" t="n">
        <f aca="false">Data_Returns!A59</f>
        <v>44886</v>
      </c>
      <c r="B17" s="31" t="n">
        <f aca="false">Data_Returns!Z59</f>
        <v>0.0146949508363087</v>
      </c>
      <c r="C17" s="31" t="n">
        <f aca="false">Data_Returns!B59</f>
        <v>-0.00806766570258888</v>
      </c>
      <c r="D17" s="32" t="n">
        <f aca="false">B17-($B$5+$B$6*C17)</f>
        <v>0.0136383075735721</v>
      </c>
      <c r="F17" s="30" t="n">
        <f aca="false">Data_Returns!A59</f>
        <v>44886</v>
      </c>
      <c r="G17" s="31" t="n">
        <f aca="false">Data_Returns!AA59</f>
        <v>0.00277991465426675</v>
      </c>
      <c r="H17" s="31" t="n">
        <f aca="false">Data_Returns!B59</f>
        <v>-0.00806766570258888</v>
      </c>
      <c r="I17" s="32" t="n">
        <f aca="false">G17-($G$5+$G$6*H17)</f>
        <v>0.00401120864421635</v>
      </c>
      <c r="K17" s="30" t="n">
        <f aca="false">Data_Returns!A378</f>
        <v>45352</v>
      </c>
      <c r="L17" s="31" t="n">
        <f aca="false">Data_Returns!Z378</f>
        <v>-0.0066637586637959</v>
      </c>
      <c r="M17" s="31" t="n">
        <f aca="false">Data_Returns!B378</f>
        <v>0.0161922048146734</v>
      </c>
      <c r="N17" s="32" t="n">
        <f aca="false">L17-($L$5+$L$6*M17)</f>
        <v>-0.00465485954675901</v>
      </c>
      <c r="P17" s="30" t="n">
        <f aca="false">Data_Returns!A378</f>
        <v>45352</v>
      </c>
      <c r="Q17" s="31" t="n">
        <f aca="false">Data_Returns!AA378</f>
        <v>-0.0160381037585204</v>
      </c>
      <c r="R17" s="31" t="n">
        <f aca="false">Data_Returns!B378</f>
        <v>0.0161922048146734</v>
      </c>
      <c r="S17" s="32" t="n">
        <f aca="false">Q17-($Q$5+$Q$6*R17)</f>
        <v>-0.0112959297012804</v>
      </c>
    </row>
    <row r="18" customFormat="false" ht="15" hidden="false" customHeight="false" outlineLevel="0" collapsed="false">
      <c r="A18" s="30" t="n">
        <f aca="false">Data_Returns!A60</f>
        <v>44887</v>
      </c>
      <c r="B18" s="31" t="n">
        <f aca="false">Data_Returns!Z60</f>
        <v>0.00125130660016776</v>
      </c>
      <c r="C18" s="31" t="n">
        <f aca="false">Data_Returns!B60</f>
        <v>0.00463932995410232</v>
      </c>
      <c r="D18" s="32" t="n">
        <f aca="false">B18-($B$5+$B$6*C18)</f>
        <v>0.00219431495565003</v>
      </c>
      <c r="F18" s="30" t="n">
        <f aca="false">Data_Returns!A60</f>
        <v>44887</v>
      </c>
      <c r="G18" s="31" t="n">
        <f aca="false">Data_Returns!AA60</f>
        <v>0.00539009658552327</v>
      </c>
      <c r="H18" s="31" t="n">
        <f aca="false">Data_Returns!B60</f>
        <v>0.00463932995410232</v>
      </c>
      <c r="I18" s="32" t="n">
        <f aca="false">G18-($G$5+$G$6*H18)</f>
        <v>0.0063699145186523</v>
      </c>
      <c r="K18" s="30" t="n">
        <f aca="false">Data_Returns!A379</f>
        <v>45353</v>
      </c>
      <c r="L18" s="31" t="n">
        <f aca="false">Data_Returns!Z379</f>
        <v>-0.000446178139093186</v>
      </c>
      <c r="M18" s="31" t="n">
        <f aca="false">Data_Returns!B379</f>
        <v>0.00177494264450795</v>
      </c>
      <c r="N18" s="32" t="n">
        <f aca="false">L18-($L$5+$L$6*M18)</f>
        <v>0.000207255946996208</v>
      </c>
      <c r="P18" s="30" t="n">
        <f aca="false">Data_Returns!A379</f>
        <v>45353</v>
      </c>
      <c r="Q18" s="31" t="n">
        <f aca="false">Data_Returns!AA379</f>
        <v>-0.00297310292400355</v>
      </c>
      <c r="R18" s="31" t="n">
        <f aca="false">Data_Returns!B379</f>
        <v>0.00177494264450795</v>
      </c>
      <c r="S18" s="32" t="n">
        <f aca="false">Q18-($Q$5+$Q$6*R18)</f>
        <v>-0.0020082324055285</v>
      </c>
    </row>
    <row r="19" customFormat="false" ht="15" hidden="false" customHeight="false" outlineLevel="0" collapsed="false">
      <c r="A19" s="30" t="n">
        <f aca="false">Data_Returns!A61</f>
        <v>44888</v>
      </c>
      <c r="B19" s="31" t="n">
        <f aca="false">Data_Returns!Z61</f>
        <v>0.00479181674965609</v>
      </c>
      <c r="C19" s="31" t="n">
        <f aca="false">Data_Returns!B61</f>
        <v>0.00126341522237206</v>
      </c>
      <c r="D19" s="32" t="n">
        <f aca="false">B19-($B$5+$B$6*C19)</f>
        <v>0.00520357023273124</v>
      </c>
      <c r="F19" s="30" t="n">
        <f aca="false">Data_Returns!A61</f>
        <v>44888</v>
      </c>
      <c r="G19" s="31" t="n">
        <f aca="false">Data_Returns!AA61</f>
        <v>0.00668982516967864</v>
      </c>
      <c r="H19" s="31" t="n">
        <f aca="false">Data_Returns!B61</f>
        <v>0.00126341522237206</v>
      </c>
      <c r="I19" s="32" t="n">
        <f aca="false">G19-($G$5+$G$6*H19)</f>
        <v>0.00773645368084159</v>
      </c>
      <c r="K19" s="30" t="n">
        <f aca="false">Data_Returns!A380</f>
        <v>45355</v>
      </c>
      <c r="L19" s="31" t="n">
        <f aca="false">Data_Returns!Z380</f>
        <v>-0.00789358565287621</v>
      </c>
      <c r="M19" s="31" t="n">
        <f aca="false">Data_Returns!B380</f>
        <v>0.00121545776284271</v>
      </c>
      <c r="N19" s="32" t="n">
        <f aca="false">L19-($L$5+$L$6*M19)</f>
        <v>-0.00729275255187609</v>
      </c>
      <c r="P19" s="30" t="n">
        <f aca="false">Data_Returns!A380</f>
        <v>45355</v>
      </c>
      <c r="Q19" s="31" t="n">
        <f aca="false">Data_Returns!AA380</f>
        <v>0.0024692290147356</v>
      </c>
      <c r="R19" s="31" t="n">
        <f aca="false">Data_Returns!B380</f>
        <v>0.00121545776284271</v>
      </c>
      <c r="S19" s="32" t="n">
        <f aca="false">Q19-($Q$5+$Q$6*R19)</f>
        <v>0.00328751523735364</v>
      </c>
    </row>
    <row r="20" customFormat="false" ht="15" hidden="false" customHeight="false" outlineLevel="0" collapsed="false">
      <c r="A20" s="30" t="n">
        <f aca="false">Data_Returns!A62</f>
        <v>44889</v>
      </c>
      <c r="B20" s="31" t="n">
        <f aca="false">Data_Returns!Z62</f>
        <v>-0.00805326858955019</v>
      </c>
      <c r="C20" s="31" t="n">
        <f aca="false">Data_Returns!B62</f>
        <v>0.0118709712737275</v>
      </c>
      <c r="D20" s="32" t="n">
        <f aca="false">B20-($B$5+$B$6*C20)</f>
        <v>-0.00597224432079795</v>
      </c>
      <c r="F20" s="30" t="n">
        <f aca="false">Data_Returns!A62</f>
        <v>44889</v>
      </c>
      <c r="G20" s="31" t="n">
        <f aca="false">Data_Returns!AA62</f>
        <v>-0.0143613951473447</v>
      </c>
      <c r="H20" s="31" t="n">
        <f aca="false">Data_Returns!B62</f>
        <v>0.0118709712737275</v>
      </c>
      <c r="I20" s="32" t="n">
        <f aca="false">G20-($G$5+$G$6*H20)</f>
        <v>-0.0135246940210939</v>
      </c>
      <c r="K20" s="30" t="n">
        <f aca="false">Data_Returns!A381</f>
        <v>45356</v>
      </c>
      <c r="L20" s="31" t="n">
        <f aca="false">Data_Returns!Z381</f>
        <v>-0.00522817108805899</v>
      </c>
      <c r="M20" s="31" t="n">
        <f aca="false">Data_Returns!B381</f>
        <v>-0.00220034277144998</v>
      </c>
      <c r="N20" s="32" t="n">
        <f aca="false">L20-($L$5+$L$6*M20)</f>
        <v>-0.00494848066465453</v>
      </c>
      <c r="P20" s="30" t="n">
        <f aca="false">Data_Returns!A381</f>
        <v>45356</v>
      </c>
      <c r="Q20" s="31" t="n">
        <f aca="false">Data_Returns!AA381</f>
        <v>0.00708691447144452</v>
      </c>
      <c r="R20" s="31" t="n">
        <f aca="false">Data_Returns!B381</f>
        <v>-0.00220034277144998</v>
      </c>
      <c r="S20" s="32" t="n">
        <f aca="false">Q20-($Q$5+$Q$6*R20)</f>
        <v>0.00701026549113626</v>
      </c>
    </row>
    <row r="21" customFormat="false" ht="15" hidden="false" customHeight="false" outlineLevel="0" collapsed="false">
      <c r="A21" s="30" t="n">
        <f aca="false">Data_Returns!A63</f>
        <v>44890</v>
      </c>
      <c r="B21" s="31" t="n">
        <f aca="false">Data_Returns!Z63</f>
        <v>-0.00818029879323551</v>
      </c>
      <c r="C21" s="31" t="n">
        <f aca="false">Data_Returns!B63</f>
        <v>0.00154998079430446</v>
      </c>
      <c r="D21" s="32" t="n">
        <f aca="false">B21-($B$5+$B$6*C21)</f>
        <v>-0.00772344957509267</v>
      </c>
      <c r="F21" s="30" t="n">
        <f aca="false">Data_Returns!A63</f>
        <v>44890</v>
      </c>
      <c r="G21" s="31" t="n">
        <f aca="false">Data_Returns!AA63</f>
        <v>-0.00909032724844185</v>
      </c>
      <c r="H21" s="31" t="n">
        <f aca="false">Data_Returns!B63</f>
        <v>0.00154998079430446</v>
      </c>
      <c r="I21" s="32" t="n">
        <f aca="false">G21-($G$5+$G$6*H21)</f>
        <v>-0.0080493699739738</v>
      </c>
      <c r="K21" s="30" t="n">
        <f aca="false">Data_Returns!A382</f>
        <v>45357</v>
      </c>
      <c r="L21" s="31" t="n">
        <f aca="false">Data_Returns!Z382</f>
        <v>-0.015670018726378</v>
      </c>
      <c r="M21" s="31" t="n">
        <f aca="false">Data_Returns!B382</f>
        <v>0.0052669717260907</v>
      </c>
      <c r="N21" s="32" t="n">
        <f aca="false">L21-($L$5+$L$6*M21)</f>
        <v>-0.0146882751976725</v>
      </c>
      <c r="P21" s="30" t="n">
        <f aca="false">Data_Returns!A382</f>
        <v>45357</v>
      </c>
      <c r="Q21" s="31" t="n">
        <f aca="false">Data_Returns!AA382</f>
        <v>0.00400118487769839</v>
      </c>
      <c r="R21" s="31" t="n">
        <f aca="false">Data_Returns!B382</f>
        <v>0.0052669717260907</v>
      </c>
      <c r="S21" s="32" t="n">
        <f aca="false">Q21-($Q$5+$Q$6*R21)</f>
        <v>0.00588096237723869</v>
      </c>
    </row>
    <row r="22" customFormat="false" ht="15" hidden="false" customHeight="false" outlineLevel="0" collapsed="false">
      <c r="A22" s="30" t="n">
        <f aca="false">Data_Returns!A64</f>
        <v>44893</v>
      </c>
      <c r="B22" s="31" t="n">
        <f aca="false">Data_Returns!Z64</f>
        <v>-0.00274143509818944</v>
      </c>
      <c r="C22" s="31" t="n">
        <f aca="false">Data_Returns!B64</f>
        <v>0.0027008413120686</v>
      </c>
      <c r="D22" s="32" t="n">
        <f aca="false">B22-($B$5+$B$6*C22)</f>
        <v>-0.00210347933378919</v>
      </c>
      <c r="F22" s="30" t="n">
        <f aca="false">Data_Returns!A64</f>
        <v>44893</v>
      </c>
      <c r="G22" s="31" t="n">
        <f aca="false">Data_Returns!AA64</f>
        <v>0.000953837534262128</v>
      </c>
      <c r="H22" s="31" t="n">
        <f aca="false">Data_Returns!B64</f>
        <v>0.0027008413120686</v>
      </c>
      <c r="I22" s="32" t="n">
        <f aca="false">G22-($G$5+$G$6*H22)</f>
        <v>0.00197201886130901</v>
      </c>
      <c r="K22" s="30" t="n">
        <f aca="false">Data_Returns!A383</f>
        <v>45358</v>
      </c>
      <c r="L22" s="31" t="n">
        <f aca="false">Data_Returns!Z383</f>
        <v>-0.000978838217858213</v>
      </c>
      <c r="M22" s="31" t="n">
        <f aca="false">Data_Returns!B383</f>
        <v>0.000867667376374115</v>
      </c>
      <c r="N22" s="32" t="n">
        <f aca="false">L22-($L$5+$L$6*M22)</f>
        <v>-0.000410703260333172</v>
      </c>
      <c r="P22" s="30" t="n">
        <f aca="false">Data_Returns!A383</f>
        <v>45358</v>
      </c>
      <c r="Q22" s="31" t="n">
        <f aca="false">Data_Returns!AA383</f>
        <v>-0.0197948684600102</v>
      </c>
      <c r="R22" s="31" t="n">
        <f aca="false">Data_Returns!B383</f>
        <v>0.000867667376374115</v>
      </c>
      <c r="S22" s="32" t="n">
        <f aca="false">Q22-($Q$5+$Q$6*R22)</f>
        <v>-0.0190677028566922</v>
      </c>
    </row>
    <row r="23" customFormat="false" ht="15" hidden="false" customHeight="false" outlineLevel="0" collapsed="false">
      <c r="A23" s="30" t="n">
        <f aca="false">Data_Returns!A65</f>
        <v>44894</v>
      </c>
      <c r="B23" s="31" t="n">
        <f aca="false">Data_Returns!Z65</f>
        <v>-0.0107130098820445</v>
      </c>
      <c r="C23" s="31" t="n">
        <f aca="false">Data_Returns!B65</f>
        <v>0.00297908445677497</v>
      </c>
      <c r="D23" s="32" t="n">
        <f aca="false">B23-($B$5+$B$6*C23)</f>
        <v>-0.0100312680513228</v>
      </c>
      <c r="F23" s="30" t="n">
        <f aca="false">Data_Returns!A65</f>
        <v>44894</v>
      </c>
      <c r="G23" s="31" t="n">
        <f aca="false">Data_Returns!AA65</f>
        <v>-0.00126127699788797</v>
      </c>
      <c r="H23" s="31" t="n">
        <f aca="false">Data_Returns!B65</f>
        <v>0.00297908445677497</v>
      </c>
      <c r="I23" s="32" t="n">
        <f aca="false">G23-($G$5+$G$6*H23)</f>
        <v>-0.000248602203680049</v>
      </c>
      <c r="K23" s="30" t="n">
        <f aca="false">Data_Returns!A384</f>
        <v>45362</v>
      </c>
      <c r="L23" s="31" t="n">
        <f aca="false">Data_Returns!Z384</f>
        <v>0.00798291029257767</v>
      </c>
      <c r="M23" s="31" t="n">
        <f aca="false">Data_Returns!B384</f>
        <v>-0.00715316168412716</v>
      </c>
      <c r="N23" s="32" t="n">
        <f aca="false">L23-($L$5+$L$6*M23)</f>
        <v>0.00779695247004528</v>
      </c>
      <c r="P23" s="30" t="n">
        <f aca="false">Data_Returns!A384</f>
        <v>45362</v>
      </c>
      <c r="Q23" s="31" t="n">
        <f aca="false">Data_Returns!AA384</f>
        <v>0.0287669951321316</v>
      </c>
      <c r="R23" s="31" t="n">
        <f aca="false">Data_Returns!B384</f>
        <v>-0.00715316168412716</v>
      </c>
      <c r="S23" s="32" t="n">
        <f aca="false">Q23-($Q$5+$Q$6*R23)</f>
        <v>0.0273927141753145</v>
      </c>
    </row>
    <row r="24" customFormat="false" ht="15" hidden="false" customHeight="false" outlineLevel="0" collapsed="false">
      <c r="A24" s="30" t="n">
        <f aca="false">Data_Returns!A66</f>
        <v>44895</v>
      </c>
      <c r="B24" s="31" t="n">
        <f aca="false">Data_Returns!Z66</f>
        <v>-0.0136244926345491</v>
      </c>
      <c r="C24" s="31" t="n">
        <f aca="false">Data_Returns!B66</f>
        <v>0.00753569788457975</v>
      </c>
      <c r="D24" s="32" t="n">
        <f aca="false">B24-($B$5+$B$6*C24)</f>
        <v>-0.0122256938644312</v>
      </c>
      <c r="F24" s="30" t="n">
        <f aca="false">Data_Returns!A66</f>
        <v>44895</v>
      </c>
      <c r="G24" s="31" t="n">
        <f aca="false">Data_Returns!AA66</f>
        <v>-0.0188280883686397</v>
      </c>
      <c r="H24" s="31" t="n">
        <f aca="false">Data_Returns!B66</f>
        <v>0.00753569788457975</v>
      </c>
      <c r="I24" s="32" t="n">
        <f aca="false">G24-($G$5+$G$6*H24)</f>
        <v>-0.0179055906082672</v>
      </c>
      <c r="K24" s="30" t="n">
        <f aca="false">Data_Returns!A385</f>
        <v>45363</v>
      </c>
      <c r="L24" s="31" t="n">
        <f aca="false">Data_Returns!Z385</f>
        <v>0.0170853701654191</v>
      </c>
      <c r="M24" s="31" t="n">
        <f aca="false">Data_Returns!B385</f>
        <v>0.000136571342854497</v>
      </c>
      <c r="N24" s="32" t="n">
        <f aca="false">L24-($L$5+$L$6*M24)</f>
        <v>0.017584769804407</v>
      </c>
      <c r="P24" s="30" t="n">
        <f aca="false">Data_Returns!A385</f>
        <v>45363</v>
      </c>
      <c r="Q24" s="31" t="n">
        <f aca="false">Data_Returns!AA385</f>
        <v>0.030834418493064</v>
      </c>
      <c r="R24" s="31" t="n">
        <f aca="false">Data_Returns!B385</f>
        <v>0.000136571342854497</v>
      </c>
      <c r="S24" s="32" t="n">
        <f aca="false">Q24-($Q$5+$Q$6*R24)</f>
        <v>0.0313700379066827</v>
      </c>
    </row>
    <row r="25" customFormat="false" ht="15" hidden="false" customHeight="false" outlineLevel="0" collapsed="false">
      <c r="A25" s="30" t="n">
        <f aca="false">Data_Returns!A67</f>
        <v>44896</v>
      </c>
      <c r="B25" s="31" t="n">
        <f aca="false">Data_Returns!Z67</f>
        <v>-0.00154641430253057</v>
      </c>
      <c r="C25" s="31" t="n">
        <f aca="false">Data_Returns!B67</f>
        <v>0.00288671444983168</v>
      </c>
      <c r="D25" s="32" t="n">
        <f aca="false">B25-($B$5+$B$6*C25)</f>
        <v>-0.000879208388783206</v>
      </c>
      <c r="F25" s="30" t="n">
        <f aca="false">Data_Returns!A67</f>
        <v>44896</v>
      </c>
      <c r="G25" s="31" t="n">
        <f aca="false">Data_Returns!AA67</f>
        <v>-0.00213578851592555</v>
      </c>
      <c r="H25" s="31" t="n">
        <f aca="false">Data_Returns!B67</f>
        <v>0.00288671444983168</v>
      </c>
      <c r="I25" s="32" t="n">
        <f aca="false">G25-($G$5+$G$6*H25)</f>
        <v>-0.00112128568574893</v>
      </c>
      <c r="K25" s="30" t="n">
        <f aca="false">Data_Returns!A386</f>
        <v>45364</v>
      </c>
      <c r="L25" s="31" t="n">
        <f aca="false">Data_Returns!Z386</f>
        <v>0.0256648102045034</v>
      </c>
      <c r="M25" s="31" t="n">
        <f aca="false">Data_Returns!B386</f>
        <v>-0.0151327247411095</v>
      </c>
      <c r="N25" s="32" t="n">
        <f aca="false">L25-($L$5+$L$6*M25)</f>
        <v>0.0247286393000196</v>
      </c>
      <c r="P25" s="30" t="n">
        <f aca="false">Data_Returns!A386</f>
        <v>45364</v>
      </c>
      <c r="Q25" s="31" t="n">
        <f aca="false">Data_Returns!AA386</f>
        <v>0.0410157360871925</v>
      </c>
      <c r="R25" s="31" t="n">
        <f aca="false">Data_Returns!B386</f>
        <v>-0.0151327247411095</v>
      </c>
      <c r="S25" s="32" t="n">
        <f aca="false">Q25-($Q$5+$Q$6*R25)</f>
        <v>0.0375508202083505</v>
      </c>
    </row>
    <row r="26" customFormat="false" ht="15" hidden="false" customHeight="false" outlineLevel="0" collapsed="false">
      <c r="A26" s="30" t="n">
        <f aca="false">Data_Returns!A68</f>
        <v>44897</v>
      </c>
      <c r="B26" s="31" t="n">
        <f aca="false">Data_Returns!Z68</f>
        <v>0.0025660472587402</v>
      </c>
      <c r="C26" s="31" t="n">
        <f aca="false">Data_Returns!B68</f>
        <v>-0.00618737541528247</v>
      </c>
      <c r="D26" s="32" t="n">
        <f aca="false">B26-($B$5+$B$6*C26)</f>
        <v>0.00180529813316368</v>
      </c>
      <c r="F26" s="30" t="n">
        <f aca="false">Data_Returns!A68</f>
        <v>44897</v>
      </c>
      <c r="G26" s="31" t="n">
        <f aca="false">Data_Returns!AA68</f>
        <v>-0.0044253294705335</v>
      </c>
      <c r="H26" s="31" t="n">
        <f aca="false">Data_Returns!B68</f>
        <v>-0.00618737541528247</v>
      </c>
      <c r="I26" s="32" t="n">
        <f aca="false">G26-($G$5+$G$6*H26)</f>
        <v>-0.00323124710793507</v>
      </c>
      <c r="K26" s="30" t="n">
        <f aca="false">Data_Returns!A387</f>
        <v>45365</v>
      </c>
      <c r="L26" s="31" t="n">
        <f aca="false">Data_Returns!Z387</f>
        <v>-0.0189239029431259</v>
      </c>
      <c r="M26" s="31" t="n">
        <f aca="false">Data_Returns!B387</f>
        <v>0.00677116243970954</v>
      </c>
      <c r="N26" s="32" t="n">
        <f aca="false">L26-($L$5+$L$6*M26)</f>
        <v>-0.0178007401984748</v>
      </c>
      <c r="P26" s="30" t="n">
        <f aca="false">Data_Returns!A387</f>
        <v>45365</v>
      </c>
      <c r="Q26" s="31" t="n">
        <f aca="false">Data_Returns!AA387</f>
        <v>-0.0284497484875922</v>
      </c>
      <c r="R26" s="31" t="n">
        <f aca="false">Data_Returns!B387</f>
        <v>0.00677116243970954</v>
      </c>
      <c r="S26" s="32" t="n">
        <f aca="false">Q26-($Q$5+$Q$6*R26)</f>
        <v>-0.0261758750190345</v>
      </c>
    </row>
    <row r="27" customFormat="false" ht="15" hidden="false" customHeight="false" outlineLevel="0" collapsed="false">
      <c r="A27" s="30" t="n">
        <f aca="false">Data_Returns!A69</f>
        <v>44900</v>
      </c>
      <c r="B27" s="31" t="n">
        <f aca="false">Data_Returns!Z69</f>
        <v>0.00233224693918734</v>
      </c>
      <c r="C27" s="31" t="n">
        <f aca="false">Data_Returns!B69</f>
        <v>0.000264761099908473</v>
      </c>
      <c r="D27" s="32" t="n">
        <f aca="false">B27-($B$5+$B$6*C27)</f>
        <v>0.00258684601802897</v>
      </c>
      <c r="F27" s="30" t="n">
        <f aca="false">Data_Returns!A69</f>
        <v>44900</v>
      </c>
      <c r="G27" s="31" t="n">
        <f aca="false">Data_Returns!AA69</f>
        <v>-0.00992764039511109</v>
      </c>
      <c r="H27" s="31" t="n">
        <f aca="false">Data_Returns!B69</f>
        <v>0.000264761099908473</v>
      </c>
      <c r="I27" s="32" t="n">
        <f aca="false">G27-($G$5+$G$6*H27)</f>
        <v>-0.00886124815634251</v>
      </c>
      <c r="K27" s="30" t="n">
        <f aca="false">Data_Returns!A388</f>
        <v>45366</v>
      </c>
      <c r="L27" s="31" t="n">
        <f aca="false">Data_Returns!Z388</f>
        <v>0.00825766932035829</v>
      </c>
      <c r="M27" s="31" t="n">
        <f aca="false">Data_Returns!B388</f>
        <v>-0.00556743344930288</v>
      </c>
      <c r="N27" s="32" t="n">
        <f aca="false">L27-($L$5+$L$6*M27)</f>
        <v>0.00822079661159585</v>
      </c>
      <c r="P27" s="30" t="n">
        <f aca="false">Data_Returns!A388</f>
        <v>45366</v>
      </c>
      <c r="Q27" s="31" t="n">
        <f aca="false">Data_Returns!AA388</f>
        <v>0.0177746811497488</v>
      </c>
      <c r="R27" s="31" t="n">
        <f aca="false">Data_Returns!B388</f>
        <v>-0.00556743344930288</v>
      </c>
      <c r="S27" s="32" t="n">
        <f aca="false">Q27-($Q$5+$Q$6*R27)</f>
        <v>0.0168158588842023</v>
      </c>
    </row>
    <row r="28" customFormat="false" ht="15" hidden="false" customHeight="false" outlineLevel="0" collapsed="false">
      <c r="A28" s="30" t="n">
        <f aca="false">Data_Returns!A70</f>
        <v>44901</v>
      </c>
      <c r="B28" s="31" t="n">
        <f aca="false">Data_Returns!Z70</f>
        <v>-0.00379084969749519</v>
      </c>
      <c r="C28" s="31" t="n">
        <f aca="false">Data_Returns!B70</f>
        <v>-0.00311747201360346</v>
      </c>
      <c r="D28" s="32" t="n">
        <f aca="false">B28-($B$5+$B$6*C28)</f>
        <v>-0.00406849979079097</v>
      </c>
      <c r="F28" s="30" t="n">
        <f aca="false">Data_Returns!A70</f>
        <v>44901</v>
      </c>
      <c r="G28" s="31" t="n">
        <f aca="false">Data_Returns!AA70</f>
        <v>-0.00633752533428304</v>
      </c>
      <c r="H28" s="31" t="n">
        <f aca="false">Data_Returns!B70</f>
        <v>-0.00311747201360346</v>
      </c>
      <c r="I28" s="32" t="n">
        <f aca="false">G28-($G$5+$G$6*H28)</f>
        <v>-0.00520419747441144</v>
      </c>
      <c r="K28" s="30" t="n">
        <f aca="false">Data_Returns!A389</f>
        <v>45369</v>
      </c>
      <c r="L28" s="31" t="n">
        <f aca="false">Data_Returns!Z389</f>
        <v>0.00341689712399299</v>
      </c>
      <c r="M28" s="31" t="n">
        <f aca="false">Data_Returns!B389</f>
        <v>0.00146889551317142</v>
      </c>
      <c r="N28" s="32" t="n">
        <f aca="false">L28-($L$5+$L$6*M28)</f>
        <v>0.00404155763438873</v>
      </c>
      <c r="P28" s="30" t="n">
        <f aca="false">Data_Returns!A389</f>
        <v>45369</v>
      </c>
      <c r="Q28" s="31" t="n">
        <f aca="false">Data_Returns!AA389</f>
        <v>0.00897243597195602</v>
      </c>
      <c r="R28" s="31" t="n">
        <f aca="false">Data_Returns!B389</f>
        <v>0.00146889551317142</v>
      </c>
      <c r="S28" s="32" t="n">
        <f aca="false">Q28-($Q$5+$Q$6*R28)</f>
        <v>0.00985712254852991</v>
      </c>
    </row>
    <row r="29" customFormat="false" ht="15" hidden="false" customHeight="false" outlineLevel="0" collapsed="false">
      <c r="A29" s="30" t="n">
        <f aca="false">Data_Returns!A71</f>
        <v>44902</v>
      </c>
      <c r="B29" s="31" t="n">
        <f aca="false">Data_Returns!Z71</f>
        <v>0.00133306225644817</v>
      </c>
      <c r="C29" s="31" t="n">
        <f aca="false">Data_Returns!B71</f>
        <v>-0.00441190275039893</v>
      </c>
      <c r="D29" s="32" t="n">
        <f aca="false">B29-($B$5+$B$6*C29)</f>
        <v>0.000851712517111955</v>
      </c>
      <c r="F29" s="30" t="n">
        <f aca="false">Data_Returns!A71</f>
        <v>44902</v>
      </c>
      <c r="G29" s="31" t="n">
        <f aca="false">Data_Returns!AA71</f>
        <v>-0.0114762178378162</v>
      </c>
      <c r="H29" s="31" t="n">
        <f aca="false">Data_Returns!B71</f>
        <v>-0.00441190275039893</v>
      </c>
      <c r="I29" s="32" t="n">
        <f aca="false">G29-($G$5+$G$6*H29)</f>
        <v>-0.0103172727237713</v>
      </c>
      <c r="K29" s="30" t="n">
        <f aca="false">Data_Returns!A390</f>
        <v>45370</v>
      </c>
      <c r="L29" s="31" t="n">
        <f aca="false">Data_Returns!Z390</f>
        <v>-0.00145479738461606</v>
      </c>
      <c r="M29" s="31" t="n">
        <f aca="false">Data_Returns!B390</f>
        <v>-0.0108021962576568</v>
      </c>
      <c r="N29" s="32" t="n">
        <f aca="false">L29-($L$5+$L$6*M29)</f>
        <v>-0.00198382580562678</v>
      </c>
      <c r="P29" s="30" t="n">
        <f aca="false">Data_Returns!A390</f>
        <v>45370</v>
      </c>
      <c r="Q29" s="31" t="n">
        <f aca="false">Data_Returns!AA390</f>
        <v>-5.14866776365104E-005</v>
      </c>
      <c r="R29" s="31" t="n">
        <f aca="false">Data_Returns!B390</f>
        <v>-0.0108021962576568</v>
      </c>
      <c r="S29" s="32" t="n">
        <f aca="false">Q29-($Q$5+$Q$6*R29)</f>
        <v>-0.00238180984586536</v>
      </c>
    </row>
    <row r="30" customFormat="false" ht="15" hidden="false" customHeight="false" outlineLevel="0" collapsed="false">
      <c r="A30" s="30" t="n">
        <f aca="false">Data_Returns!A72</f>
        <v>44903</v>
      </c>
      <c r="B30" s="31" t="n">
        <f aca="false">Data_Returns!Z72</f>
        <v>8.83211228960659E-005</v>
      </c>
      <c r="C30" s="31" t="n">
        <f aca="false">Data_Returns!B72</f>
        <v>0.00263193340696644</v>
      </c>
      <c r="D30" s="32" t="n">
        <f aca="false">B30-($B$5+$B$6*C30)</f>
        <v>0.000715433112129601</v>
      </c>
      <c r="F30" s="30" t="n">
        <f aca="false">Data_Returns!A72</f>
        <v>44903</v>
      </c>
      <c r="G30" s="31" t="n">
        <f aca="false">Data_Returns!AA72</f>
        <v>-0.00349964449918783</v>
      </c>
      <c r="H30" s="31" t="n">
        <f aca="false">Data_Returns!B72</f>
        <v>0.00263193340696644</v>
      </c>
      <c r="I30" s="32" t="n">
        <f aca="false">G30-($G$5+$G$6*H30)</f>
        <v>-0.00248009945968467</v>
      </c>
      <c r="K30" s="30" t="n">
        <f aca="false">Data_Returns!A391</f>
        <v>45371</v>
      </c>
      <c r="L30" s="31" t="n">
        <f aca="false">Data_Returns!Z391</f>
        <v>-0.00480752949572005</v>
      </c>
      <c r="M30" s="31" t="n">
        <f aca="false">Data_Returns!B391</f>
        <v>0.000992324950899404</v>
      </c>
      <c r="N30" s="32" t="n">
        <f aca="false">L30-($L$5+$L$6*M30)</f>
        <v>-0.00422767463041242</v>
      </c>
      <c r="P30" s="30" t="n">
        <f aca="false">Data_Returns!A391</f>
        <v>45371</v>
      </c>
      <c r="Q30" s="31" t="n">
        <f aca="false">Data_Returns!AA391</f>
        <v>0.0029365662310518</v>
      </c>
      <c r="R30" s="31" t="n">
        <f aca="false">Data_Returns!B391</f>
        <v>0.000992324950899404</v>
      </c>
      <c r="S30" s="32" t="n">
        <f aca="false">Q30-($Q$5+$Q$6*R30)</f>
        <v>0.00369639195331825</v>
      </c>
    </row>
    <row r="31" customFormat="false" ht="15" hidden="false" customHeight="false" outlineLevel="0" collapsed="false">
      <c r="A31" s="30" t="n">
        <f aca="false">Data_Returns!A73</f>
        <v>44904</v>
      </c>
      <c r="B31" s="31" t="n">
        <f aca="false">Data_Returns!Z73</f>
        <v>-0.000543720054969643</v>
      </c>
      <c r="C31" s="31" t="n">
        <f aca="false">Data_Returns!B73</f>
        <v>-0.00605878227880075</v>
      </c>
      <c r="D31" s="32" t="n">
        <f aca="false">B31-($B$5+$B$6*C31)</f>
        <v>-0.00128423296732907</v>
      </c>
      <c r="F31" s="30" t="n">
        <f aca="false">Data_Returns!A73</f>
        <v>44904</v>
      </c>
      <c r="G31" s="31" t="n">
        <f aca="false">Data_Returns!AA73</f>
        <v>0.0034507083911399</v>
      </c>
      <c r="H31" s="31" t="n">
        <f aca="false">Data_Returns!B73</f>
        <v>-0.00605878227880075</v>
      </c>
      <c r="I31" s="32" t="n">
        <f aca="false">G31-($G$5+$G$6*H31)</f>
        <v>0.00464224584888668</v>
      </c>
      <c r="K31" s="30" t="n">
        <f aca="false">Data_Returns!A392</f>
        <v>45372</v>
      </c>
      <c r="L31" s="31" t="n">
        <f aca="false">Data_Returns!Z392</f>
        <v>-0.00332821294267551</v>
      </c>
      <c r="M31" s="31" t="n">
        <f aca="false">Data_Returns!B392</f>
        <v>0.0079147034447391</v>
      </c>
      <c r="N31" s="32" t="n">
        <f aca="false">L31-($L$5+$L$6*M31)</f>
        <v>-0.00209753811802778</v>
      </c>
      <c r="P31" s="30" t="n">
        <f aca="false">Data_Returns!A392</f>
        <v>45372</v>
      </c>
      <c r="Q31" s="31" t="n">
        <f aca="false">Data_Returns!AA392</f>
        <v>-0.0123438876377842</v>
      </c>
      <c r="R31" s="31" t="n">
        <f aca="false">Data_Returns!B392</f>
        <v>0.0079147034447391</v>
      </c>
      <c r="S31" s="32" t="n">
        <f aca="false">Q31-($Q$5+$Q$6*R31)</f>
        <v>-0.00977040794482416</v>
      </c>
    </row>
    <row r="32" customFormat="false" ht="15" hidden="false" customHeight="false" outlineLevel="0" collapsed="false">
      <c r="A32" s="30" t="n">
        <f aca="false">Data_Returns!A74</f>
        <v>44907</v>
      </c>
      <c r="B32" s="31" t="n">
        <f aca="false">Data_Returns!Z74</f>
        <v>0.00714514458372649</v>
      </c>
      <c r="C32" s="31" t="n">
        <f aca="false">Data_Returns!B74</f>
        <v>2.97351945763857E-005</v>
      </c>
      <c r="D32" s="32" t="n">
        <f aca="false">B32-($B$5+$B$6*C32)</f>
        <v>0.00736275852897572</v>
      </c>
      <c r="F32" s="30" t="n">
        <f aca="false">Data_Returns!A74</f>
        <v>44907</v>
      </c>
      <c r="G32" s="31" t="n">
        <f aca="false">Data_Returns!AA74</f>
        <v>0.00792877025783238</v>
      </c>
      <c r="H32" s="31" t="n">
        <f aca="false">Data_Returns!B74</f>
        <v>2.97351945763857E-005</v>
      </c>
      <c r="I32" s="32" t="n">
        <f aca="false">G32-($G$5+$G$6*H32)</f>
        <v>0.00899981374458438</v>
      </c>
      <c r="K32" s="30" t="n">
        <f aca="false">Data_Returns!A393</f>
        <v>45373</v>
      </c>
      <c r="L32" s="31" t="n">
        <f aca="false">Data_Returns!Z393</f>
        <v>-0.00793829803586072</v>
      </c>
      <c r="M32" s="31" t="n">
        <f aca="false">Data_Returns!B393</f>
        <v>0.00385245287218994</v>
      </c>
      <c r="N32" s="32" t="n">
        <f aca="false">L32-($L$5+$L$6*M32)</f>
        <v>-0.00708954306069948</v>
      </c>
      <c r="P32" s="30" t="n">
        <f aca="false">Data_Returns!A393</f>
        <v>45373</v>
      </c>
      <c r="Q32" s="31" t="n">
        <f aca="false">Data_Returns!AA393</f>
        <v>-0.00931461758374038</v>
      </c>
      <c r="R32" s="31" t="n">
        <f aca="false">Data_Returns!B393</f>
        <v>0.00385245287218994</v>
      </c>
      <c r="S32" s="32" t="n">
        <f aca="false">Q32-($Q$5+$Q$6*R32)</f>
        <v>-0.00780544214507858</v>
      </c>
    </row>
    <row r="33" customFormat="false" ht="15" hidden="false" customHeight="false" outlineLevel="0" collapsed="false">
      <c r="A33" s="30" t="n">
        <f aca="false">Data_Returns!A75</f>
        <v>44908</v>
      </c>
      <c r="B33" s="31" t="n">
        <f aca="false">Data_Returns!Z75</f>
        <v>-0.00163239529608414</v>
      </c>
      <c r="C33" s="31" t="n">
        <f aca="false">Data_Returns!B75</f>
        <v>0.00599281510935468</v>
      </c>
      <c r="D33" s="32" t="n">
        <f aca="false">B33-($B$5+$B$6*C33)</f>
        <v>-0.000476394125143525</v>
      </c>
      <c r="F33" s="30" t="n">
        <f aca="false">Data_Returns!A75</f>
        <v>44908</v>
      </c>
      <c r="G33" s="31" t="n">
        <f aca="false">Data_Returns!AA75</f>
        <v>-0.00599284724344114</v>
      </c>
      <c r="H33" s="31" t="n">
        <f aca="false">Data_Returns!B75</f>
        <v>0.00599281510935468</v>
      </c>
      <c r="I33" s="32" t="n">
        <f aca="false">G33-($G$5+$G$6*H33)</f>
        <v>-0.00503981527286407</v>
      </c>
      <c r="K33" s="30" t="n">
        <f aca="false">Data_Returns!A394</f>
        <v>45377</v>
      </c>
      <c r="L33" s="31" t="n">
        <f aca="false">Data_Returns!Z394</f>
        <v>0.00870813301289298</v>
      </c>
      <c r="M33" s="31" t="n">
        <f aca="false">Data_Returns!B394</f>
        <v>-0.00416577098442073</v>
      </c>
      <c r="N33" s="32" t="n">
        <f aca="false">L33-($L$5+$L$6*M33)</f>
        <v>0.00880304014096192</v>
      </c>
      <c r="P33" s="30" t="n">
        <f aca="false">Data_Returns!A394</f>
        <v>45377</v>
      </c>
      <c r="Q33" s="31" t="n">
        <f aca="false">Data_Returns!AA394</f>
        <v>0.0166740182454552</v>
      </c>
      <c r="R33" s="31" t="n">
        <f aca="false">Data_Returns!B394</f>
        <v>-0.00416577098442073</v>
      </c>
      <c r="S33" s="32" t="n">
        <f aca="false">Q33-($Q$5+$Q$6*R33)</f>
        <v>0.0160824296839409</v>
      </c>
    </row>
    <row r="34" customFormat="false" ht="15" hidden="false" customHeight="false" outlineLevel="0" collapsed="false">
      <c r="A34" s="30" t="n">
        <f aca="false">Data_Returns!A76</f>
        <v>44909</v>
      </c>
      <c r="B34" s="31" t="n">
        <f aca="false">Data_Returns!Z76</f>
        <v>-0.0232292350754447</v>
      </c>
      <c r="C34" s="31" t="n">
        <f aca="false">Data_Returns!B76</f>
        <v>0.00281061908856395</v>
      </c>
      <c r="D34" s="32" t="n">
        <f aca="false">B34-($B$5+$B$6*C34)</f>
        <v>-0.0225740039995276</v>
      </c>
      <c r="F34" s="30" t="n">
        <f aca="false">Data_Returns!A76</f>
        <v>44909</v>
      </c>
      <c r="G34" s="31" t="n">
        <f aca="false">Data_Returns!AA76</f>
        <v>-0.0222181161727085</v>
      </c>
      <c r="H34" s="31" t="n">
        <f aca="false">Data_Returns!B76</f>
        <v>0.00281061908856395</v>
      </c>
      <c r="I34" s="32" t="n">
        <f aca="false">G34-($G$5+$G$6*H34)</f>
        <v>-0.0212021073877089</v>
      </c>
      <c r="K34" s="30" t="n">
        <f aca="false">Data_Returns!A395</f>
        <v>45378</v>
      </c>
      <c r="L34" s="31" t="n">
        <f aca="false">Data_Returns!Z395</f>
        <v>0.0128336274152264</v>
      </c>
      <c r="M34" s="31" t="n">
        <f aca="false">Data_Returns!B395</f>
        <v>0.00540566333556014</v>
      </c>
      <c r="N34" s="32" t="n">
        <f aca="false">L34-($L$5+$L$6*M34)</f>
        <v>0.0138284102869432</v>
      </c>
      <c r="P34" s="30" t="n">
        <f aca="false">Data_Returns!A395</f>
        <v>45378</v>
      </c>
      <c r="Q34" s="31" t="n">
        <f aca="false">Data_Returns!AA395</f>
        <v>-0.000225124416720309</v>
      </c>
      <c r="R34" s="31" t="n">
        <f aca="false">Data_Returns!B395</f>
        <v>0.00540566333556014</v>
      </c>
      <c r="S34" s="32" t="n">
        <f aca="false">Q34-($Q$5+$Q$6*R34)</f>
        <v>0.00169099010028299</v>
      </c>
    </row>
    <row r="35" customFormat="false" ht="15" hidden="false" customHeight="false" outlineLevel="0" collapsed="false">
      <c r="A35" s="30" t="n">
        <f aca="false">Data_Returns!A77</f>
        <v>44910</v>
      </c>
      <c r="B35" s="31" t="n">
        <f aca="false">Data_Returns!Z77</f>
        <v>-0.00495502599382099</v>
      </c>
      <c r="C35" s="31" t="n">
        <f aca="false">Data_Returns!B77</f>
        <v>-0.0131509139724441</v>
      </c>
      <c r="D35" s="32" t="n">
        <f aca="false">B35-($B$5+$B$6*C35)</f>
        <v>-0.00681160071976475</v>
      </c>
      <c r="F35" s="30" t="n">
        <f aca="false">Data_Returns!A77</f>
        <v>44910</v>
      </c>
      <c r="G35" s="31" t="n">
        <f aca="false">Data_Returns!AA77</f>
        <v>-0.0166004031048611</v>
      </c>
      <c r="H35" s="31" t="n">
        <f aca="false">Data_Returns!B77</f>
        <v>-0.0131509139724441</v>
      </c>
      <c r="I35" s="32" t="n">
        <f aca="false">G35-($G$5+$G$6*H35)</f>
        <v>-0.0152685097863778</v>
      </c>
      <c r="K35" s="30" t="n">
        <f aca="false">Data_Returns!A396</f>
        <v>45379</v>
      </c>
      <c r="L35" s="31" t="n">
        <f aca="false">Data_Returns!Z396</f>
        <v>-0.000467856313598739</v>
      </c>
      <c r="M35" s="31" t="n">
        <f aca="false">Data_Returns!B396</f>
        <v>0.00918700124075378</v>
      </c>
      <c r="N35" s="32" t="n">
        <f aca="false">L35-($L$5+$L$6*M35)</f>
        <v>0.000882435894092646</v>
      </c>
      <c r="P35" s="30" t="n">
        <f aca="false">Data_Returns!A396</f>
        <v>45379</v>
      </c>
      <c r="Q35" s="31" t="n">
        <f aca="false">Data_Returns!AA396</f>
        <v>-0.000809754256665259</v>
      </c>
      <c r="R35" s="31" t="n">
        <f aca="false">Data_Returns!B396</f>
        <v>0.00918700124075378</v>
      </c>
      <c r="S35" s="32" t="n">
        <f aca="false">Q35-($Q$5+$Q$6*R35)</f>
        <v>0.0020970657689131</v>
      </c>
    </row>
    <row r="36" customFormat="false" ht="15" hidden="false" customHeight="false" outlineLevel="0" collapsed="false">
      <c r="A36" s="30" t="n">
        <f aca="false">Data_Returns!A78</f>
        <v>44911</v>
      </c>
      <c r="B36" s="31" t="n">
        <f aca="false">Data_Returns!Z78</f>
        <v>0.0159739780225366</v>
      </c>
      <c r="C36" s="31" t="n">
        <f aca="false">Data_Returns!B78</f>
        <v>-0.00792293197356497</v>
      </c>
      <c r="D36" s="32" t="n">
        <f aca="false">B36-($B$5+$B$6*C36)</f>
        <v>0.014940110956729</v>
      </c>
      <c r="F36" s="30" t="n">
        <f aca="false">Data_Returns!A78</f>
        <v>44911</v>
      </c>
      <c r="G36" s="31" t="n">
        <f aca="false">Data_Returns!AA78</f>
        <v>0.0218553950644101</v>
      </c>
      <c r="H36" s="31" t="n">
        <f aca="false">Data_Returns!B78</f>
        <v>-0.00792293197356497</v>
      </c>
      <c r="I36" s="32" t="n">
        <f aca="false">G36-($G$5+$G$6*H36)</f>
        <v>0.0230838247213224</v>
      </c>
      <c r="K36" s="30" t="n">
        <f aca="false">Data_Returns!A397</f>
        <v>45383</v>
      </c>
      <c r="L36" s="31" t="n">
        <f aca="false">Data_Returns!Z397</f>
        <v>-0.0595377015871269</v>
      </c>
      <c r="M36" s="31" t="n">
        <f aca="false">Data_Returns!B397</f>
        <v>0.00605099677966936</v>
      </c>
      <c r="N36" s="32" t="n">
        <f aca="false">L36-($L$5+$L$6*M36)</f>
        <v>-0.0584822465221416</v>
      </c>
      <c r="P36" s="30" t="n">
        <f aca="false">Data_Returns!A397</f>
        <v>45383</v>
      </c>
      <c r="Q36" s="31" t="n">
        <f aca="false">Data_Returns!AA397</f>
        <v>-0.0724710102654741</v>
      </c>
      <c r="R36" s="31" t="n">
        <f aca="false">Data_Returns!B397</f>
        <v>0.00605099677966936</v>
      </c>
      <c r="S36" s="32" t="n">
        <f aca="false">Q36-($Q$5+$Q$6*R36)</f>
        <v>-0.0703858192432824</v>
      </c>
    </row>
    <row r="37" customFormat="false" ht="15" hidden="false" customHeight="false" outlineLevel="0" collapsed="false">
      <c r="A37" s="30" t="n">
        <f aca="false">Data_Returns!A79</f>
        <v>44914</v>
      </c>
      <c r="B37" s="31" t="n">
        <f aca="false">Data_Returns!Z79</f>
        <v>-0.0151250954019395</v>
      </c>
      <c r="C37" s="31" t="n">
        <f aca="false">Data_Returns!B79</f>
        <v>0.00828999945262465</v>
      </c>
      <c r="D37" s="32" t="n">
        <f aca="false">B37-($B$5+$B$6*C37)</f>
        <v>-0.0136075950605047</v>
      </c>
      <c r="F37" s="30" t="n">
        <f aca="false">Data_Returns!A79</f>
        <v>44914</v>
      </c>
      <c r="G37" s="31" t="n">
        <f aca="false">Data_Returns!AA79</f>
        <v>-0.0188137979116258</v>
      </c>
      <c r="H37" s="31" t="n">
        <f aca="false">Data_Returns!B79</f>
        <v>0.00828999945262465</v>
      </c>
      <c r="I37" s="32" t="n">
        <f aca="false">G37-($G$5+$G$6*H37)</f>
        <v>-0.0179062280531044</v>
      </c>
      <c r="K37" s="30" t="n">
        <f aca="false">Data_Returns!A398</f>
        <v>45384</v>
      </c>
      <c r="L37" s="31" t="n">
        <f aca="false">Data_Returns!Z398</f>
        <v>0.00653047013030537</v>
      </c>
      <c r="M37" s="31" t="n">
        <f aca="false">Data_Returns!B398</f>
        <v>-0.000387320808476588</v>
      </c>
      <c r="N37" s="32" t="n">
        <f aca="false">L37-($L$5+$L$6*M37)</f>
        <v>0.00698061509925009</v>
      </c>
      <c r="P37" s="30" t="n">
        <f aca="false">Data_Returns!A398</f>
        <v>45384</v>
      </c>
      <c r="Q37" s="31" t="n">
        <f aca="false">Data_Returns!AA398</f>
        <v>-0.000835211539084298</v>
      </c>
      <c r="R37" s="31" t="n">
        <f aca="false">Data_Returns!B398</f>
        <v>-0.000387320808476588</v>
      </c>
      <c r="S37" s="32" t="n">
        <f aca="false">Q37-($Q$5+$Q$6*R37)</f>
        <v>-0.000436851173251268</v>
      </c>
    </row>
    <row r="38" customFormat="false" ht="15" hidden="false" customHeight="false" outlineLevel="0" collapsed="false">
      <c r="A38" s="30" t="n">
        <f aca="false">Data_Returns!A80</f>
        <v>44915</v>
      </c>
      <c r="B38" s="31" t="n">
        <f aca="false">Data_Returns!Z80</f>
        <v>-0.00745179352626023</v>
      </c>
      <c r="C38" s="31" t="n">
        <f aca="false">Data_Returns!B80</f>
        <v>-0.00190820528271574</v>
      </c>
      <c r="D38" s="32" t="n">
        <f aca="false">B38-($B$5+$B$6*C38)</f>
        <v>-0.00753914590949072</v>
      </c>
      <c r="F38" s="30" t="n">
        <f aca="false">Data_Returns!A80</f>
        <v>44915</v>
      </c>
      <c r="G38" s="31" t="n">
        <f aca="false">Data_Returns!AA80</f>
        <v>-0.00926238691174551</v>
      </c>
      <c r="H38" s="31" t="n">
        <f aca="false">Data_Returns!B80</f>
        <v>-0.00190820528271574</v>
      </c>
      <c r="I38" s="32" t="n">
        <f aca="false">G38-($G$5+$G$6*H38)</f>
        <v>-0.00815299087945487</v>
      </c>
      <c r="K38" s="30" t="n">
        <f aca="false">Data_Returns!A399</f>
        <v>45385</v>
      </c>
      <c r="L38" s="31" t="n">
        <f aca="false">Data_Returns!Z399</f>
        <v>0.0154561876713805</v>
      </c>
      <c r="M38" s="31" t="n">
        <f aca="false">Data_Returns!B399</f>
        <v>-0.000830612872049885</v>
      </c>
      <c r="N38" s="32" t="n">
        <f aca="false">L38-($L$5+$L$6*M38)</f>
        <v>0.015864655733602</v>
      </c>
      <c r="P38" s="30" t="n">
        <f aca="false">Data_Returns!A399</f>
        <v>45385</v>
      </c>
      <c r="Q38" s="31" t="n">
        <f aca="false">Data_Returns!AA399</f>
        <v>0.0170375317136331</v>
      </c>
      <c r="R38" s="31" t="n">
        <f aca="false">Data_Returns!B399</f>
        <v>-0.000830612872049885</v>
      </c>
      <c r="S38" s="32" t="n">
        <f aca="false">Q38-($Q$5+$Q$6*R38)</f>
        <v>0.0173197501476154</v>
      </c>
    </row>
    <row r="39" customFormat="false" ht="15" hidden="false" customHeight="false" outlineLevel="0" collapsed="false">
      <c r="A39" s="30" t="n">
        <f aca="false">Data_Returns!A81</f>
        <v>44916</v>
      </c>
      <c r="B39" s="31" t="n">
        <f aca="false">Data_Returns!Z81</f>
        <v>0.00307196051925694</v>
      </c>
      <c r="C39" s="31" t="n">
        <f aca="false">Data_Returns!B81</f>
        <v>-0.0101276563341366</v>
      </c>
      <c r="D39" s="32" t="n">
        <f aca="false">B39-($B$5+$B$6*C39)</f>
        <v>0.00169114435907224</v>
      </c>
      <c r="F39" s="30" t="n">
        <f aca="false">Data_Returns!A81</f>
        <v>44916</v>
      </c>
      <c r="G39" s="31" t="n">
        <f aca="false">Data_Returns!AA81</f>
        <v>-0.00129480188389288</v>
      </c>
      <c r="H39" s="31" t="n">
        <f aca="false">Data_Returns!B81</f>
        <v>-0.0101276563341366</v>
      </c>
      <c r="I39" s="32" t="n">
        <f aca="false">G39-($G$5+$G$6*H39)</f>
        <v>-2.27399315464176E-005</v>
      </c>
      <c r="K39" s="30" t="n">
        <f aca="false">Data_Returns!A400</f>
        <v>45386</v>
      </c>
      <c r="L39" s="31" t="n">
        <f aca="false">Data_Returns!Z400</f>
        <v>-0.0103730294451853</v>
      </c>
      <c r="M39" s="31" t="n">
        <f aca="false">Data_Returns!B400</f>
        <v>0.00356591255045213</v>
      </c>
      <c r="N39" s="32" t="n">
        <f aca="false">L39-($L$5+$L$6*M39)</f>
        <v>-0.00955121407766158</v>
      </c>
      <c r="P39" s="30" t="n">
        <f aca="false">Data_Returns!A400</f>
        <v>45386</v>
      </c>
      <c r="Q39" s="31" t="n">
        <f aca="false">Data_Returns!AA400</f>
        <v>-0.0193237710297391</v>
      </c>
      <c r="R39" s="31" t="n">
        <f aca="false">Data_Returns!B400</f>
        <v>0.00356591255045213</v>
      </c>
      <c r="S39" s="32" t="n">
        <f aca="false">Q39-($Q$5+$Q$6*R39)</f>
        <v>-0.0178896687747737</v>
      </c>
    </row>
    <row r="40" customFormat="false" ht="15" hidden="false" customHeight="false" outlineLevel="0" collapsed="false">
      <c r="A40" s="30" t="n">
        <f aca="false">Data_Returns!A82</f>
        <v>44917</v>
      </c>
      <c r="B40" s="31" t="n">
        <f aca="false">Data_Returns!Z82</f>
        <v>0.000844515949641744</v>
      </c>
      <c r="C40" s="31" t="n">
        <f aca="false">Data_Returns!B82</f>
        <v>-0.00394250265122997</v>
      </c>
      <c r="D40" s="32" t="n">
        <f aca="false">B40-($B$5+$B$6*C40)</f>
        <v>0.000437033920128901</v>
      </c>
      <c r="F40" s="30" t="n">
        <f aca="false">Data_Returns!A82</f>
        <v>44917</v>
      </c>
      <c r="G40" s="31" t="n">
        <f aca="false">Data_Returns!AA82</f>
        <v>-0.00277497070912502</v>
      </c>
      <c r="H40" s="31" t="n">
        <f aca="false">Data_Returns!B82</f>
        <v>-0.00394250265122997</v>
      </c>
      <c r="I40" s="32" t="n">
        <f aca="false">G40-($G$5+$G$6*H40)</f>
        <v>-0.0016253151934399</v>
      </c>
      <c r="K40" s="30" t="n">
        <f aca="false">Data_Returns!A401</f>
        <v>45387</v>
      </c>
      <c r="L40" s="31" t="n">
        <f aca="false">Data_Returns!Z401</f>
        <v>0.00732326705729992</v>
      </c>
      <c r="M40" s="31" t="n">
        <f aca="false">Data_Returns!B401</f>
        <v>-4.21947487525554E-005</v>
      </c>
      <c r="N40" s="32" t="n">
        <f aca="false">L40-($L$5+$L$6*M40)</f>
        <v>0.00780585967821233</v>
      </c>
      <c r="P40" s="30" t="n">
        <f aca="false">Data_Returns!A401</f>
        <v>45387</v>
      </c>
      <c r="Q40" s="31" t="n">
        <f aca="false">Data_Returns!AA401</f>
        <v>-0.000483088979875274</v>
      </c>
      <c r="R40" s="31" t="n">
        <f aca="false">Data_Returns!B401</f>
        <v>-4.21947487525554E-005</v>
      </c>
      <c r="S40" s="32" t="n">
        <f aca="false">Q40-($Q$5+$Q$6*R40)</f>
        <v>5.69395518960935E-006</v>
      </c>
    </row>
    <row r="41" customFormat="false" ht="15" hidden="false" customHeight="false" outlineLevel="0" collapsed="false">
      <c r="A41" s="30" t="n">
        <f aca="false">Data_Returns!A83</f>
        <v>44918</v>
      </c>
      <c r="B41" s="31" t="n">
        <f aca="false">Data_Returns!Z83</f>
        <v>0.00797540599810064</v>
      </c>
      <c r="C41" s="31" t="n">
        <f aca="false">Data_Returns!B83</f>
        <v>-0.0176832245198553</v>
      </c>
      <c r="D41" s="32" t="n">
        <f aca="false">B41-($B$5+$B$6*C41)</f>
        <v>0.00540559878469404</v>
      </c>
      <c r="F41" s="30" t="n">
        <f aca="false">Data_Returns!A83</f>
        <v>44918</v>
      </c>
      <c r="G41" s="31" t="n">
        <f aca="false">Data_Returns!AA83</f>
        <v>0.010286146903048</v>
      </c>
      <c r="H41" s="31" t="n">
        <f aca="false">Data_Returns!B83</f>
        <v>-0.0176832245198553</v>
      </c>
      <c r="I41" s="32" t="n">
        <f aca="false">G41-($G$5+$G$6*H41)</f>
        <v>0.0117077362925415</v>
      </c>
      <c r="K41" s="30" t="n">
        <f aca="false">Data_Returns!A402</f>
        <v>45390</v>
      </c>
      <c r="L41" s="31" t="n">
        <f aca="false">Data_Returns!Z402</f>
        <v>-0.00128257867559915</v>
      </c>
      <c r="M41" s="31" t="n">
        <f aca="false">Data_Returns!B402</f>
        <v>0.0067780951154186</v>
      </c>
      <c r="N41" s="32" t="n">
        <f aca="false">L41-($L$5+$L$6*M41)</f>
        <v>-0.000158764142877421</v>
      </c>
      <c r="P41" s="30" t="n">
        <f aca="false">Data_Returns!A402</f>
        <v>45390</v>
      </c>
      <c r="Q41" s="31" t="n">
        <f aca="false">Data_Returns!AA402</f>
        <v>-0.0117866364667683</v>
      </c>
      <c r="R41" s="31" t="n">
        <f aca="false">Data_Returns!B402</f>
        <v>0.0067780951154186</v>
      </c>
      <c r="S41" s="32" t="n">
        <f aca="false">Q41-($Q$5+$Q$6*R41)</f>
        <v>-0.00951094664638313</v>
      </c>
    </row>
    <row r="42" customFormat="false" ht="15" hidden="false" customHeight="false" outlineLevel="0" collapsed="false">
      <c r="A42" s="30" t="n">
        <f aca="false">Data_Returns!A84</f>
        <v>44921</v>
      </c>
      <c r="B42" s="31" t="n">
        <f aca="false">Data_Returns!Z84</f>
        <v>0.0133391976297425</v>
      </c>
      <c r="C42" s="31" t="n">
        <f aca="false">Data_Returns!B84</f>
        <v>0.0116696992160299</v>
      </c>
      <c r="D42" s="32" t="n">
        <f aca="false">B42-($B$5+$B$6*C42)</f>
        <v>0.0153885484796355</v>
      </c>
      <c r="F42" s="30" t="n">
        <f aca="false">Data_Returns!A84</f>
        <v>44921</v>
      </c>
      <c r="G42" s="31" t="n">
        <f aca="false">Data_Returns!AA84</f>
        <v>0.0299775700556962</v>
      </c>
      <c r="H42" s="31" t="n">
        <f aca="false">Data_Returns!B84</f>
        <v>0.0116696992160299</v>
      </c>
      <c r="I42" s="32" t="n">
        <f aca="false">G42-($G$5+$G$6*H42)</f>
        <v>0.0308182544290329</v>
      </c>
      <c r="K42" s="30" t="n">
        <f aca="false">Data_Returns!A403</f>
        <v>45391</v>
      </c>
      <c r="L42" s="31" t="n">
        <f aca="false">Data_Returns!Z403</f>
        <v>0.0141907320943416</v>
      </c>
      <c r="M42" s="31" t="n">
        <f aca="false">Data_Returns!B403</f>
        <v>-0.00103898739538433</v>
      </c>
      <c r="N42" s="32" t="n">
        <f aca="false">L42-($L$5+$L$6*M42)</f>
        <v>0.0145796094481202</v>
      </c>
      <c r="P42" s="30" t="n">
        <f aca="false">Data_Returns!A403</f>
        <v>45391</v>
      </c>
      <c r="Q42" s="31" t="n">
        <f aca="false">Data_Returns!AA403</f>
        <v>0.0225255792418443</v>
      </c>
      <c r="R42" s="31" t="n">
        <f aca="false">Data_Returns!B403</f>
        <v>-0.00103898739538433</v>
      </c>
      <c r="S42" s="32" t="n">
        <f aca="false">Q42-($Q$5+$Q$6*R42)</f>
        <v>0.0227532038274877</v>
      </c>
    </row>
    <row r="43" customFormat="false" ht="15" hidden="false" customHeight="false" outlineLevel="0" collapsed="false">
      <c r="A43" s="30" t="n">
        <f aca="false">Data_Returns!A85</f>
        <v>44922</v>
      </c>
      <c r="B43" s="31" t="n">
        <f aca="false">Data_Returns!Z85</f>
        <v>-0.0158092936850037</v>
      </c>
      <c r="C43" s="31" t="n">
        <f aca="false">Data_Returns!B85</f>
        <v>0.0065335894219134</v>
      </c>
      <c r="D43" s="32" t="n">
        <f aca="false">B43-($B$5+$B$6*C43)</f>
        <v>-0.0145681929155101</v>
      </c>
      <c r="F43" s="30" t="n">
        <f aca="false">Data_Returns!A85</f>
        <v>44922</v>
      </c>
      <c r="G43" s="31" t="n">
        <f aca="false">Data_Returns!AA85</f>
        <v>-0.0044038798928509</v>
      </c>
      <c r="H43" s="31" t="n">
        <f aca="false">Data_Returns!B85</f>
        <v>0.0065335894219134</v>
      </c>
      <c r="I43" s="32" t="n">
        <f aca="false">G43-($G$5+$G$6*H43)</f>
        <v>-0.0034615500422262</v>
      </c>
      <c r="K43" s="30" t="n">
        <f aca="false">Data_Returns!A404</f>
        <v>45392</v>
      </c>
      <c r="L43" s="31" t="n">
        <f aca="false">Data_Returns!Z404</f>
        <v>0.00355972841536121</v>
      </c>
      <c r="M43" s="31" t="n">
        <f aca="false">Data_Returns!B404</f>
        <v>0.00490443961091303</v>
      </c>
      <c r="N43" s="32" t="n">
        <f aca="false">L43-($L$5+$L$6*M43)</f>
        <v>0.00450738783025099</v>
      </c>
      <c r="P43" s="30" t="n">
        <f aca="false">Data_Returns!A404</f>
        <v>45392</v>
      </c>
      <c r="Q43" s="31" t="n">
        <f aca="false">Data_Returns!AA404</f>
        <v>0.00960975281621287</v>
      </c>
      <c r="R43" s="31" t="n">
        <f aca="false">Data_Returns!B404</f>
        <v>0.00490443961091303</v>
      </c>
      <c r="S43" s="32" t="n">
        <f aca="false">Q43-($Q$5+$Q$6*R43)</f>
        <v>0.0113945473831122</v>
      </c>
    </row>
    <row r="44" customFormat="false" ht="15" hidden="false" customHeight="false" outlineLevel="0" collapsed="false">
      <c r="A44" s="30" t="n">
        <f aca="false">Data_Returns!A86</f>
        <v>44923</v>
      </c>
      <c r="B44" s="31" t="n">
        <f aca="false">Data_Returns!Z86</f>
        <v>0.0141511873969526</v>
      </c>
      <c r="C44" s="31" t="n">
        <f aca="false">Data_Returns!B86</f>
        <v>-0.000540471975425061</v>
      </c>
      <c r="D44" s="32" t="n">
        <f aca="false">B44-($B$5+$B$6*C44)</f>
        <v>0.0142790700067218</v>
      </c>
      <c r="F44" s="30" t="n">
        <f aca="false">Data_Returns!A86</f>
        <v>44923</v>
      </c>
      <c r="G44" s="31" t="n">
        <f aca="false">Data_Returns!AA86</f>
        <v>0.012935396412099</v>
      </c>
      <c r="H44" s="31" t="n">
        <f aca="false">Data_Returns!B86</f>
        <v>-0.000540471975425061</v>
      </c>
      <c r="I44" s="32" t="n">
        <f aca="false">G44-($G$5+$G$6*H44)</f>
        <v>0.0140177245057367</v>
      </c>
      <c r="K44" s="30" t="n">
        <f aca="false">Data_Returns!A405</f>
        <v>45394</v>
      </c>
      <c r="L44" s="31" t="n">
        <f aca="false">Data_Returns!Z405</f>
        <v>-0.00930938897506088</v>
      </c>
      <c r="M44" s="31" t="n">
        <f aca="false">Data_Returns!B405</f>
        <v>-0.0103015760004921</v>
      </c>
      <c r="N44" s="32" t="n">
        <f aca="false">L44-($L$5+$L$6*M44)</f>
        <v>-0.00979135067533354</v>
      </c>
      <c r="P44" s="30" t="n">
        <f aca="false">Data_Returns!A405</f>
        <v>45394</v>
      </c>
      <c r="Q44" s="31" t="n">
        <f aca="false">Data_Returns!AA405</f>
        <v>-0.0071463899453029</v>
      </c>
      <c r="R44" s="31" t="n">
        <f aca="false">Data_Returns!B405</f>
        <v>-0.0103015760004921</v>
      </c>
      <c r="S44" s="32" t="n">
        <f aca="false">Q44-($Q$5+$Q$6*R44)</f>
        <v>-0.00934555127110659</v>
      </c>
    </row>
    <row r="45" customFormat="false" ht="15" hidden="false" customHeight="false" outlineLevel="0" collapsed="false">
      <c r="A45" s="30" t="n">
        <f aca="false">Data_Returns!A87</f>
        <v>44924</v>
      </c>
      <c r="B45" s="31" t="n">
        <f aca="false">Data_Returns!Z87</f>
        <v>-0.010901046605437</v>
      </c>
      <c r="C45" s="31" t="n">
        <f aca="false">Data_Returns!B87</f>
        <v>0.00377983170092433</v>
      </c>
      <c r="D45" s="32" t="n">
        <f aca="false">B45-($B$5+$B$6*C45)</f>
        <v>-0.0100932942238496</v>
      </c>
      <c r="F45" s="30" t="n">
        <f aca="false">Data_Returns!A87</f>
        <v>44924</v>
      </c>
      <c r="G45" s="31" t="n">
        <f aca="false">Data_Returns!AA87</f>
        <v>-0.00286157828395158</v>
      </c>
      <c r="H45" s="31" t="n">
        <f aca="false">Data_Returns!B87</f>
        <v>0.00377983170092433</v>
      </c>
      <c r="I45" s="32" t="n">
        <f aca="false">G45-($G$5+$G$6*H45)</f>
        <v>-0.00186475056838514</v>
      </c>
      <c r="K45" s="30" t="n">
        <f aca="false">Data_Returns!A406</f>
        <v>45397</v>
      </c>
      <c r="L45" s="31" t="n">
        <f aca="false">Data_Returns!Z406</f>
        <v>0.00251158148250526</v>
      </c>
      <c r="M45" s="31" t="n">
        <f aca="false">Data_Returns!B406</f>
        <v>-0.0109638800323277</v>
      </c>
      <c r="N45" s="32" t="n">
        <f aca="false">L45-($L$5+$L$6*M45)</f>
        <v>0.00196735206840366</v>
      </c>
      <c r="P45" s="30" t="n">
        <f aca="false">Data_Returns!A406</f>
        <v>45397</v>
      </c>
      <c r="Q45" s="31" t="n">
        <f aca="false">Data_Returns!AA406</f>
        <v>-0.00415673099138745</v>
      </c>
      <c r="R45" s="31" t="n">
        <f aca="false">Data_Returns!B406</f>
        <v>-0.0109638800323277</v>
      </c>
      <c r="S45" s="32" t="n">
        <f aca="false">Q45-($Q$5+$Q$6*R45)</f>
        <v>-0.00652941509382261</v>
      </c>
    </row>
    <row r="46" customFormat="false" ht="15" hidden="false" customHeight="false" outlineLevel="0" collapsed="false">
      <c r="A46" s="30" t="n">
        <f aca="false">Data_Returns!A88</f>
        <v>44925</v>
      </c>
      <c r="B46" s="31" t="n">
        <f aca="false">Data_Returns!Z88</f>
        <v>-0.000612204676084919</v>
      </c>
      <c r="C46" s="31" t="n">
        <f aca="false">Data_Returns!B88</f>
        <v>-0.00471112088395365</v>
      </c>
      <c r="D46" s="32" t="n">
        <f aca="false">B46-($B$5+$B$6*C46)</f>
        <v>-0.00114064123602991</v>
      </c>
      <c r="F46" s="30" t="n">
        <f aca="false">Data_Returns!A88</f>
        <v>44925</v>
      </c>
      <c r="G46" s="31" t="n">
        <f aca="false">Data_Returns!AA88</f>
        <v>-0.00497376472159711</v>
      </c>
      <c r="H46" s="31" t="n">
        <f aca="false">Data_Returns!B88</f>
        <v>-0.00471112088395365</v>
      </c>
      <c r="I46" s="32" t="n">
        <f aca="false">G46-($G$5+$G$6*H46)</f>
        <v>-0.00380889797206978</v>
      </c>
      <c r="K46" s="30" t="n">
        <f aca="false">Data_Returns!A407</f>
        <v>45398</v>
      </c>
      <c r="L46" s="31" t="n">
        <f aca="false">Data_Returns!Z407</f>
        <v>-0.0140290741745087</v>
      </c>
      <c r="M46" s="31" t="n">
        <f aca="false">Data_Returns!B407</f>
        <v>-0.00559434279941629</v>
      </c>
      <c r="N46" s="32" t="n">
        <f aca="false">L46-($L$5+$L$6*M46)</f>
        <v>-0.0140684768145892</v>
      </c>
      <c r="P46" s="30" t="n">
        <f aca="false">Data_Returns!A407</f>
        <v>45398</v>
      </c>
      <c r="Q46" s="31" t="n">
        <f aca="false">Data_Returns!AA407</f>
        <v>-0.00642410375017371</v>
      </c>
      <c r="R46" s="31" t="n">
        <f aca="false">Data_Returns!B407</f>
        <v>-0.00559434279941629</v>
      </c>
      <c r="S46" s="32" t="n">
        <f aca="false">Q46-($Q$5+$Q$6*R46)</f>
        <v>-0.00738997622970742</v>
      </c>
    </row>
    <row r="47" customFormat="false" ht="15" hidden="false" customHeight="false" outlineLevel="0" collapsed="false">
      <c r="A47" s="30" t="n">
        <f aca="false">Data_Returns!A89</f>
        <v>44928</v>
      </c>
      <c r="B47" s="31" t="n">
        <f aca="false">Data_Returns!Z89</f>
        <v>-0.0191113551701505</v>
      </c>
      <c r="C47" s="31" t="n">
        <f aca="false">Data_Returns!B89</f>
        <v>0.00508966987567194</v>
      </c>
      <c r="D47" s="32" t="n">
        <f aca="false">B47-($B$5+$B$6*C47)</f>
        <v>-0.0180974785325625</v>
      </c>
      <c r="F47" s="30" t="n">
        <f aca="false">Data_Returns!A89</f>
        <v>44928</v>
      </c>
      <c r="G47" s="31" t="n">
        <f aca="false">Data_Returns!AA89</f>
        <v>-0.0286770996175914</v>
      </c>
      <c r="H47" s="31" t="n">
        <f aca="false">Data_Returns!B89</f>
        <v>0.00508966987567194</v>
      </c>
      <c r="I47" s="32" t="n">
        <f aca="false">G47-($G$5+$G$6*H47)</f>
        <v>-0.0277061940749885</v>
      </c>
      <c r="K47" s="30" t="n">
        <f aca="false">Data_Returns!A408</f>
        <v>45400</v>
      </c>
      <c r="L47" s="31" t="n">
        <f aca="false">Data_Returns!Z408</f>
        <v>0.0024178686926913</v>
      </c>
      <c r="M47" s="31" t="n">
        <f aca="false">Data_Returns!B408</f>
        <v>-0.00686521069717683</v>
      </c>
      <c r="N47" s="32" t="n">
        <f aca="false">L47-($L$5+$L$6*M47)</f>
        <v>0.00225898310404293</v>
      </c>
      <c r="P47" s="30" t="n">
        <f aca="false">Data_Returns!A408</f>
        <v>45400</v>
      </c>
      <c r="Q47" s="31" t="n">
        <f aca="false">Data_Returns!AA408</f>
        <v>0.00798620884303982</v>
      </c>
      <c r="R47" s="31" t="n">
        <f aca="false">Data_Returns!B408</f>
        <v>-0.00686521069717683</v>
      </c>
      <c r="S47" s="32" t="n">
        <f aca="false">Q47-($Q$5+$Q$6*R47)</f>
        <v>0.00668737066233107</v>
      </c>
    </row>
    <row r="48" customFormat="false" ht="15" hidden="false" customHeight="false" outlineLevel="0" collapsed="false">
      <c r="A48" s="30" t="n">
        <f aca="false">Data_Returns!A90</f>
        <v>44929</v>
      </c>
      <c r="B48" s="31" t="n">
        <f aca="false">Data_Returns!Z90</f>
        <v>-0.00386358399622877</v>
      </c>
      <c r="C48" s="31" t="n">
        <f aca="false">Data_Returns!B90</f>
        <v>0.00192884167836693</v>
      </c>
      <c r="D48" s="32" t="n">
        <f aca="false">B48-($B$5+$B$6*C48)</f>
        <v>-0.0033471148804828</v>
      </c>
      <c r="F48" s="30" t="n">
        <f aca="false">Data_Returns!A90</f>
        <v>44929</v>
      </c>
      <c r="G48" s="31" t="n">
        <f aca="false">Data_Returns!AA90</f>
        <v>0.00672424134197808</v>
      </c>
      <c r="H48" s="31" t="n">
        <f aca="false">Data_Returns!B90</f>
        <v>0.00192884167836693</v>
      </c>
      <c r="I48" s="32" t="n">
        <f aca="false">G48-($G$5+$G$6*H48)</f>
        <v>0.00775770082202</v>
      </c>
      <c r="K48" s="30" t="n">
        <f aca="false">Data_Returns!A409</f>
        <v>45401</v>
      </c>
      <c r="L48" s="31" t="n">
        <f aca="false">Data_Returns!Z409</f>
        <v>-0.018691511857802</v>
      </c>
      <c r="M48" s="31" t="n">
        <f aca="false">Data_Returns!B409</f>
        <v>0.00687175080753866</v>
      </c>
      <c r="N48" s="32" t="n">
        <f aca="false">L48-($L$5+$L$6*M48)</f>
        <v>-0.0175588921154559</v>
      </c>
      <c r="P48" s="30" t="n">
        <f aca="false">Data_Returns!A409</f>
        <v>45401</v>
      </c>
      <c r="Q48" s="31" t="n">
        <f aca="false">Data_Returns!AA409</f>
        <v>-0.0034663495271412</v>
      </c>
      <c r="R48" s="31" t="n">
        <f aca="false">Data_Returns!B409</f>
        <v>0.00687175080753866</v>
      </c>
      <c r="S48" s="32" t="n">
        <f aca="false">Q48-($Q$5+$Q$6*R48)</f>
        <v>-0.00116612203981936</v>
      </c>
    </row>
    <row r="49" customFormat="false" ht="15" hidden="false" customHeight="false" outlineLevel="0" collapsed="false">
      <c r="A49" s="30" t="n">
        <f aca="false">Data_Returns!A91</f>
        <v>44930</v>
      </c>
      <c r="B49" s="31" t="n">
        <f aca="false">Data_Returns!Z91</f>
        <v>-0.000420640350464607</v>
      </c>
      <c r="C49" s="31" t="n">
        <f aca="false">Data_Returns!B91</f>
        <v>-0.0103989842342404</v>
      </c>
      <c r="D49" s="32" t="n">
        <f aca="false">B49-($B$5+$B$6*C49)</f>
        <v>-0.00184415435120651</v>
      </c>
      <c r="F49" s="30" t="n">
        <f aca="false">Data_Returns!A91</f>
        <v>44930</v>
      </c>
      <c r="G49" s="31" t="n">
        <f aca="false">Data_Returns!AA91</f>
        <v>-0.00317243018276655</v>
      </c>
      <c r="H49" s="31" t="n">
        <f aca="false">Data_Returns!B91</f>
        <v>-0.0103989842342404</v>
      </c>
      <c r="I49" s="32" t="n">
        <f aca="false">G49-($G$5+$G$6*H49)</f>
        <v>-0.00189499855278212</v>
      </c>
      <c r="K49" s="30" t="n">
        <f aca="false">Data_Returns!A410</f>
        <v>45404</v>
      </c>
      <c r="L49" s="31" t="n">
        <f aca="false">Data_Returns!Z410</f>
        <v>0.00644793324541045</v>
      </c>
      <c r="M49" s="31" t="n">
        <f aca="false">Data_Returns!B410</f>
        <v>0.00855194834514839</v>
      </c>
      <c r="N49" s="32" t="n">
        <f aca="false">L49-($L$5+$L$6*M49)</f>
        <v>0.00773851980423208</v>
      </c>
      <c r="P49" s="30" t="n">
        <f aca="false">Data_Returns!A410</f>
        <v>45404</v>
      </c>
      <c r="Q49" s="31" t="n">
        <f aca="false">Data_Returns!AA410</f>
        <v>0.00196634199325526</v>
      </c>
      <c r="R49" s="31" t="n">
        <f aca="false">Data_Returns!B410</f>
        <v>0.00855194834514839</v>
      </c>
      <c r="S49" s="32" t="n">
        <f aca="false">Q49-($Q$5+$Q$6*R49)</f>
        <v>0.00470677900369797</v>
      </c>
    </row>
    <row r="50" customFormat="false" ht="15" hidden="false" customHeight="false" outlineLevel="0" collapsed="false">
      <c r="A50" s="30" t="n">
        <f aca="false">Data_Returns!A92</f>
        <v>44931</v>
      </c>
      <c r="B50" s="31" t="n">
        <f aca="false">Data_Returns!Z92</f>
        <v>-0.0145853087670208</v>
      </c>
      <c r="C50" s="31" t="n">
        <f aca="false">Data_Returns!B92</f>
        <v>-0.00281550411656628</v>
      </c>
      <c r="D50" s="32" t="n">
        <f aca="false">B50-($B$5+$B$6*C50)</f>
        <v>-0.0148154393198781</v>
      </c>
      <c r="F50" s="30" t="n">
        <f aca="false">Data_Returns!A92</f>
        <v>44931</v>
      </c>
      <c r="G50" s="31" t="n">
        <f aca="false">Data_Returns!AA92</f>
        <v>-0.0319633618747728</v>
      </c>
      <c r="H50" s="31" t="n">
        <f aca="false">Data_Returns!B92</f>
        <v>-0.00281550411656628</v>
      </c>
      <c r="I50" s="32" t="n">
        <f aca="false">G50-($G$5+$G$6*H50)</f>
        <v>-0.0308360100692011</v>
      </c>
      <c r="K50" s="30" t="n">
        <f aca="false">Data_Returns!A411</f>
        <v>45405</v>
      </c>
      <c r="L50" s="31" t="n">
        <f aca="false">Data_Returns!Z411</f>
        <v>-0.00654938600833963</v>
      </c>
      <c r="M50" s="31" t="n">
        <f aca="false">Data_Returns!B411</f>
        <v>0.00141473111154888</v>
      </c>
      <c r="N50" s="32" t="n">
        <f aca="false">L50-($L$5+$L$6*M50)</f>
        <v>-0.00592981786232313</v>
      </c>
      <c r="P50" s="30" t="n">
        <f aca="false">Data_Returns!A411</f>
        <v>45405</v>
      </c>
      <c r="Q50" s="31" t="n">
        <f aca="false">Data_Returns!AA411</f>
        <v>-0.001938245916093</v>
      </c>
      <c r="R50" s="31" t="n">
        <f aca="false">Data_Returns!B411</f>
        <v>0.00141473111154888</v>
      </c>
      <c r="S50" s="32" t="n">
        <f aca="false">Q50-($Q$5+$Q$6*R50)</f>
        <v>-0.00106775034080001</v>
      </c>
    </row>
    <row r="51" customFormat="false" ht="15" hidden="false" customHeight="false" outlineLevel="0" collapsed="false">
      <c r="A51" s="30" t="n">
        <f aca="false">Data_Returns!A93</f>
        <v>44932</v>
      </c>
      <c r="B51" s="31" t="n">
        <f aca="false">Data_Returns!Z93</f>
        <v>-0.00136069937588254</v>
      </c>
      <c r="C51" s="31" t="n">
        <f aca="false">Data_Returns!B93</f>
        <v>-0.00737543873300306</v>
      </c>
      <c r="D51" s="32" t="n">
        <f aca="false">B51-($B$5+$B$6*C51)</f>
        <v>-0.00230840951097002</v>
      </c>
      <c r="F51" s="30" t="n">
        <f aca="false">Data_Returns!A93</f>
        <v>44932</v>
      </c>
      <c r="G51" s="31" t="n">
        <f aca="false">Data_Returns!AA93</f>
        <v>-0.00100627480535241</v>
      </c>
      <c r="H51" s="31" t="n">
        <f aca="false">Data_Returns!B93</f>
        <v>-0.00737543873300306</v>
      </c>
      <c r="I51" s="32" t="n">
        <f aca="false">G51-($G$5+$G$6*H51)</f>
        <v>0.000211319761583341</v>
      </c>
      <c r="K51" s="30" t="n">
        <f aca="false">Data_Returns!A412</f>
        <v>45406</v>
      </c>
      <c r="L51" s="31" t="n">
        <f aca="false">Data_Returns!Z412</f>
        <v>-0.00564223552467897</v>
      </c>
      <c r="M51" s="31" t="n">
        <f aca="false">Data_Returns!B412</f>
        <v>0.00153791130185987</v>
      </c>
      <c r="N51" s="32" t="n">
        <f aca="false">L51-($L$5+$L$6*M51)</f>
        <v>-0.00501108636983421</v>
      </c>
      <c r="P51" s="30" t="n">
        <f aca="false">Data_Returns!A412</f>
        <v>45406</v>
      </c>
      <c r="Q51" s="31" t="n">
        <f aca="false">Data_Returns!AA412</f>
        <v>-0.00567177014462371</v>
      </c>
      <c r="R51" s="31" t="n">
        <f aca="false">Data_Returns!B412</f>
        <v>0.00153791130185987</v>
      </c>
      <c r="S51" s="32" t="n">
        <f aca="false">Q51-($Q$5+$Q$6*R51)</f>
        <v>-0.00476900152308409</v>
      </c>
    </row>
    <row r="52" customFormat="false" ht="15" hidden="false" customHeight="false" outlineLevel="0" collapsed="false">
      <c r="A52" s="30" t="n">
        <f aca="false">Data_Returns!A94</f>
        <v>44935</v>
      </c>
      <c r="B52" s="31" t="n">
        <f aca="false">Data_Returns!Z94</f>
        <v>-0.000241911540953288</v>
      </c>
      <c r="C52" s="31" t="n">
        <f aca="false">Data_Returns!B94</f>
        <v>0.0135362511163557</v>
      </c>
      <c r="D52" s="32" t="n">
        <f aca="false">B52-($B$5+$B$6*C52)</f>
        <v>0.00210117148834832</v>
      </c>
      <c r="F52" s="30" t="n">
        <f aca="false">Data_Returns!A94</f>
        <v>44935</v>
      </c>
      <c r="G52" s="31" t="n">
        <f aca="false">Data_Returns!AA94</f>
        <v>-0.00637942105379979</v>
      </c>
      <c r="H52" s="31" t="n">
        <f aca="false">Data_Returns!B94</f>
        <v>0.0135362511163557</v>
      </c>
      <c r="I52" s="32" t="n">
        <f aca="false">G52-($G$5+$G$6*H52)</f>
        <v>-0.00557567642014883</v>
      </c>
      <c r="K52" s="30" t="n">
        <f aca="false">Data_Returns!A413</f>
        <v>45407</v>
      </c>
      <c r="L52" s="31" t="n">
        <f aca="false">Data_Returns!Z413</f>
        <v>0.00415594191607492</v>
      </c>
      <c r="M52" s="31" t="n">
        <f aca="false">Data_Returns!B413</f>
        <v>0.00749696461093441</v>
      </c>
      <c r="N52" s="32" t="n">
        <f aca="false">L52-($L$5+$L$6*M52)</f>
        <v>0.00534734226720557</v>
      </c>
      <c r="P52" s="30" t="n">
        <f aca="false">Data_Returns!A413</f>
        <v>45407</v>
      </c>
      <c r="Q52" s="31" t="n">
        <f aca="false">Data_Returns!AA413</f>
        <v>0.00636573678043434</v>
      </c>
      <c r="R52" s="31" t="n">
        <f aca="false">Data_Returns!B413</f>
        <v>0.00749696461093441</v>
      </c>
      <c r="S52" s="32" t="n">
        <f aca="false">Q52-($Q$5+$Q$6*R52)</f>
        <v>0.00882976945380173</v>
      </c>
    </row>
    <row r="53" customFormat="false" ht="15" hidden="false" customHeight="false" outlineLevel="0" collapsed="false">
      <c r="A53" s="30" t="n">
        <f aca="false">Data_Returns!A95</f>
        <v>44936</v>
      </c>
      <c r="B53" s="31" t="n">
        <f aca="false">Data_Returns!Z95</f>
        <v>0.00170790354669054</v>
      </c>
      <c r="C53" s="31" t="n">
        <f aca="false">Data_Returns!B95</f>
        <v>-0.0103335690451462</v>
      </c>
      <c r="D53" s="32" t="n">
        <f aca="false">B53-($B$5+$B$6*C53)</f>
        <v>0.000294683685669974</v>
      </c>
      <c r="F53" s="30" t="n">
        <f aca="false">Data_Returns!A95</f>
        <v>44936</v>
      </c>
      <c r="G53" s="31" t="n">
        <f aca="false">Data_Returns!AA95</f>
        <v>0.000344460109054904</v>
      </c>
      <c r="H53" s="31" t="n">
        <f aca="false">Data_Returns!B95</f>
        <v>-0.0103335690451462</v>
      </c>
      <c r="I53" s="32" t="n">
        <f aca="false">G53-($G$5+$G$6*H53)</f>
        <v>0.00162059714870075</v>
      </c>
      <c r="K53" s="30" t="n">
        <f aca="false">Data_Returns!A414</f>
        <v>45408</v>
      </c>
      <c r="L53" s="31" t="n">
        <f aca="false">Data_Returns!Z414</f>
        <v>-0.0136038660842476</v>
      </c>
      <c r="M53" s="31" t="n">
        <f aca="false">Data_Returns!B414</f>
        <v>-0.00666360955855794</v>
      </c>
      <c r="N53" s="32" t="n">
        <f aca="false">L53-($L$5+$L$6*M53)</f>
        <v>-0.0137437977764924</v>
      </c>
      <c r="P53" s="30" t="n">
        <f aca="false">Data_Returns!A414</f>
        <v>45408</v>
      </c>
      <c r="Q53" s="31" t="n">
        <f aca="false">Data_Returns!AA414</f>
        <v>-0.0400579418118375</v>
      </c>
      <c r="R53" s="31" t="n">
        <f aca="false">Data_Returns!B414</f>
        <v>-0.00666360955855794</v>
      </c>
      <c r="S53" s="32" t="n">
        <f aca="false">Q53-($Q$5+$Q$6*R53)</f>
        <v>-0.0413039607620061</v>
      </c>
    </row>
    <row r="54" customFormat="false" ht="15" hidden="false" customHeight="false" outlineLevel="0" collapsed="false">
      <c r="A54" s="30" t="n">
        <f aca="false">Data_Returns!A96</f>
        <v>44937</v>
      </c>
      <c r="B54" s="31" t="n">
        <f aca="false">Data_Returns!Z96</f>
        <v>-0.0110650416292701</v>
      </c>
      <c r="C54" s="31" t="n">
        <f aca="false">Data_Returns!B96</f>
        <v>-0.00102991210858461</v>
      </c>
      <c r="D54" s="32" t="n">
        <f aca="false">B54-($B$5+$B$6*C54)</f>
        <v>-0.0110141803533186</v>
      </c>
      <c r="F54" s="30" t="n">
        <f aca="false">Data_Returns!A96</f>
        <v>44937</v>
      </c>
      <c r="G54" s="31" t="n">
        <f aca="false">Data_Returns!AA96</f>
        <v>-0.00819878844953104</v>
      </c>
      <c r="H54" s="31" t="n">
        <f aca="false">Data_Returns!B96</f>
        <v>-0.00102991210858461</v>
      </c>
      <c r="I54" s="32" t="n">
        <f aca="false">G54-($G$5+$G$6*H54)</f>
        <v>-0.00710677415798623</v>
      </c>
      <c r="K54" s="30" t="n">
        <f aca="false">Data_Returns!A415</f>
        <v>45411</v>
      </c>
      <c r="L54" s="31" t="n">
        <f aca="false">Data_Returns!Z415</f>
        <v>-0.00228110603303756</v>
      </c>
      <c r="M54" s="31" t="n">
        <f aca="false">Data_Returns!B415</f>
        <v>0.00996656995220779</v>
      </c>
      <c r="N54" s="32" t="n">
        <f aca="false">L54-($L$5+$L$6*M54)</f>
        <v>-0.00085752126014726</v>
      </c>
      <c r="P54" s="30" t="n">
        <f aca="false">Data_Returns!A415</f>
        <v>45411</v>
      </c>
      <c r="Q54" s="31" t="n">
        <f aca="false">Data_Returns!AA415</f>
        <v>-0.00851402538169862</v>
      </c>
      <c r="R54" s="31" t="n">
        <f aca="false">Data_Returns!B415</f>
        <v>0.00996656995220779</v>
      </c>
      <c r="S54" s="32" t="n">
        <f aca="false">Q54-($Q$5+$Q$6*R54)</f>
        <v>-0.00540295938918631</v>
      </c>
    </row>
    <row r="55" customFormat="false" ht="15" hidden="false" customHeight="false" outlineLevel="0" collapsed="false">
      <c r="A55" s="30" t="n">
        <f aca="false">Data_Returns!A97</f>
        <v>44938</v>
      </c>
      <c r="B55" s="31" t="n">
        <f aca="false">Data_Returns!Z97</f>
        <v>-0.000135865837958105</v>
      </c>
      <c r="C55" s="31" t="n">
        <f aca="false">Data_Returns!B97</f>
        <v>-0.00209547544940969</v>
      </c>
      <c r="D55" s="32" t="n">
        <f aca="false">B55-($B$5+$B$6*C55)</f>
        <v>-0.000252688215669672</v>
      </c>
      <c r="F55" s="30" t="n">
        <f aca="false">Data_Returns!A97</f>
        <v>44938</v>
      </c>
      <c r="G55" s="31" t="n">
        <f aca="false">Data_Returns!AA97</f>
        <v>-0.0109187156575692</v>
      </c>
      <c r="H55" s="31" t="n">
        <f aca="false">Data_Returns!B97</f>
        <v>-0.00209547544940969</v>
      </c>
      <c r="I55" s="32" t="n">
        <f aca="false">G55-($G$5+$G$6*H55)</f>
        <v>-0.00980561348069864</v>
      </c>
      <c r="K55" s="30" t="n">
        <f aca="false">Data_Returns!A416</f>
        <v>45412</v>
      </c>
      <c r="L55" s="31" t="n">
        <f aca="false">Data_Returns!Z416</f>
        <v>-0.00244722124107034</v>
      </c>
      <c r="M55" s="31" t="n">
        <f aca="false">Data_Returns!B416</f>
        <v>-0.00170248284268282</v>
      </c>
      <c r="N55" s="32" t="n">
        <f aca="false">L55-($L$5+$L$6*M55)</f>
        <v>-0.00212072361420457</v>
      </c>
      <c r="P55" s="30" t="n">
        <f aca="false">Data_Returns!A416</f>
        <v>45412</v>
      </c>
      <c r="Q55" s="31" t="n">
        <f aca="false">Data_Returns!AA416</f>
        <v>-0.00279719754315535</v>
      </c>
      <c r="R55" s="31" t="n">
        <f aca="false">Data_Returns!B416</f>
        <v>-0.00170248284268282</v>
      </c>
      <c r="S55" s="32" t="n">
        <f aca="false">Q55-($Q$5+$Q$6*R55)</f>
        <v>-0.00274340788341217</v>
      </c>
    </row>
    <row r="56" customFormat="false" ht="15" hidden="false" customHeight="false" outlineLevel="0" collapsed="false">
      <c r="A56" s="30" t="n">
        <f aca="false">Data_Returns!A98</f>
        <v>44939</v>
      </c>
      <c r="B56" s="31" t="n">
        <f aca="false">Data_Returns!Z98</f>
        <v>0.00643263286794194</v>
      </c>
      <c r="C56" s="31" t="n">
        <f aca="false">Data_Returns!B98</f>
        <v>0.00551007380363067</v>
      </c>
      <c r="D56" s="32" t="n">
        <f aca="false">B56-($B$5+$B$6*C56)</f>
        <v>0.00751266687408197</v>
      </c>
      <c r="F56" s="30" t="n">
        <f aca="false">Data_Returns!A98</f>
        <v>44939</v>
      </c>
      <c r="G56" s="31" t="n">
        <f aca="false">Data_Returns!AA98</f>
        <v>0.00830139920760013</v>
      </c>
      <c r="H56" s="31" t="n">
        <f aca="false">Data_Returns!B98</f>
        <v>0.00551007380363067</v>
      </c>
      <c r="I56" s="32" t="n">
        <f aca="false">G56-($G$5+$G$6*H56)</f>
        <v>0.00926398480385771</v>
      </c>
      <c r="K56" s="30" t="n">
        <f aca="false">Data_Returns!A417</f>
        <v>45414</v>
      </c>
      <c r="L56" s="31" t="n">
        <f aca="false">Data_Returns!Z417</f>
        <v>0.0121554493535679</v>
      </c>
      <c r="M56" s="31" t="n">
        <f aca="false">Data_Returns!B417</f>
        <v>0.00191773004465867</v>
      </c>
      <c r="N56" s="32" t="n">
        <f aca="false">L56-($L$5+$L$6*M56)</f>
        <v>0.0128223078558522</v>
      </c>
      <c r="P56" s="30" t="n">
        <f aca="false">Data_Returns!A417</f>
        <v>45414</v>
      </c>
      <c r="Q56" s="31" t="n">
        <f aca="false">Data_Returns!AA417</f>
        <v>0.00379245932747576</v>
      </c>
      <c r="R56" s="31" t="n">
        <f aca="false">Data_Returns!B417</f>
        <v>0.00191773004465867</v>
      </c>
      <c r="S56" s="32" t="n">
        <f aca="false">Q56-($Q$5+$Q$6*R56)</f>
        <v>0.00479473995513204</v>
      </c>
    </row>
    <row r="57" customFormat="false" ht="15" hidden="false" customHeight="false" outlineLevel="0" collapsed="false">
      <c r="A57" s="30" t="n">
        <f aca="false">Data_Returns!A99</f>
        <v>44942</v>
      </c>
      <c r="B57" s="31" t="n">
        <f aca="false">Data_Returns!Z99</f>
        <v>-0.00292368406438388</v>
      </c>
      <c r="C57" s="31" t="n">
        <f aca="false">Data_Returns!B99</f>
        <v>-0.00343884699776131</v>
      </c>
      <c r="D57" s="32" t="n">
        <f aca="false">B57-($B$5+$B$6*C57)</f>
        <v>-0.00325190771766888</v>
      </c>
      <c r="F57" s="30" t="n">
        <f aca="false">Data_Returns!A99</f>
        <v>44942</v>
      </c>
      <c r="G57" s="31" t="n">
        <f aca="false">Data_Returns!AA99</f>
        <v>0.00349378473944351</v>
      </c>
      <c r="H57" s="31" t="n">
        <f aca="false">Data_Returns!B99</f>
        <v>-0.00343884699776131</v>
      </c>
      <c r="I57" s="32" t="n">
        <f aca="false">G57-($G$5+$G$6*H57)</f>
        <v>0.00463347272691412</v>
      </c>
      <c r="K57" s="30" t="n">
        <f aca="false">Data_Returns!A418</f>
        <v>45415</v>
      </c>
      <c r="L57" s="31" t="n">
        <f aca="false">Data_Returns!Z418</f>
        <v>0.00466125459981379</v>
      </c>
      <c r="M57" s="31" t="n">
        <f aca="false">Data_Returns!B418</f>
        <v>-0.00760987628155885</v>
      </c>
      <c r="N57" s="32" t="n">
        <f aca="false">L57-($L$5+$L$6*M57)</f>
        <v>0.00443235792671219</v>
      </c>
      <c r="P57" s="30" t="n">
        <f aca="false">Data_Returns!A418</f>
        <v>45415</v>
      </c>
      <c r="Q57" s="31" t="n">
        <f aca="false">Data_Returns!AA418</f>
        <v>-0.000722801641299971</v>
      </c>
      <c r="R57" s="31" t="n">
        <f aca="false">Data_Returns!B418</f>
        <v>-0.00760987628155885</v>
      </c>
      <c r="S57" s="32" t="n">
        <f aca="false">Q57-($Q$5+$Q$6*R57)</f>
        <v>-0.0022167412160101</v>
      </c>
    </row>
    <row r="58" customFormat="false" ht="15" hidden="false" customHeight="false" outlineLevel="0" collapsed="false">
      <c r="A58" s="30" t="n">
        <f aca="false">Data_Returns!A100</f>
        <v>44943</v>
      </c>
      <c r="B58" s="31" t="n">
        <f aca="false">Data_Returns!Z100</f>
        <v>0.0233488187078339</v>
      </c>
      <c r="C58" s="31" t="n">
        <f aca="false">Data_Returns!B100</f>
        <v>0.00885450283182032</v>
      </c>
      <c r="D58" s="32" t="n">
        <f aca="false">B58-($B$5+$B$6*C58)</f>
        <v>0.0249551528008647</v>
      </c>
      <c r="F58" s="30" t="n">
        <f aca="false">Data_Returns!A100</f>
        <v>44943</v>
      </c>
      <c r="G58" s="31" t="n">
        <f aca="false">Data_Returns!AA100</f>
        <v>0.0186525792985846</v>
      </c>
      <c r="H58" s="31" t="n">
        <f aca="false">Data_Returns!B100</f>
        <v>0.00885450283182032</v>
      </c>
      <c r="I58" s="32" t="n">
        <f aca="false">G58-($G$5+$G$6*H58)</f>
        <v>0.0195489774303109</v>
      </c>
      <c r="K58" s="30" t="n">
        <f aca="false">Data_Returns!A419</f>
        <v>45418</v>
      </c>
      <c r="L58" s="31" t="n">
        <f aca="false">Data_Returns!Z419</f>
        <v>0.000880656086921054</v>
      </c>
      <c r="M58" s="31" t="n">
        <f aca="false">Data_Returns!B419</f>
        <v>-0.0014749164102803</v>
      </c>
      <c r="N58" s="32" t="n">
        <f aca="false">L58-($L$5+$L$6*M58)</f>
        <v>0.00122854878434172</v>
      </c>
      <c r="P58" s="30" t="n">
        <f aca="false">Data_Returns!A419</f>
        <v>45418</v>
      </c>
      <c r="Q58" s="31" t="n">
        <f aca="false">Data_Returns!AA419</f>
        <v>0.00678087878804201</v>
      </c>
      <c r="R58" s="31" t="n">
        <f aca="false">Data_Returns!B419</f>
        <v>-0.0014749164102803</v>
      </c>
      <c r="S58" s="32" t="n">
        <f aca="false">Q58-($Q$5+$Q$6*R58)</f>
        <v>0.00689429055080812</v>
      </c>
    </row>
    <row r="59" customFormat="false" ht="15" hidden="false" customHeight="false" outlineLevel="0" collapsed="false">
      <c r="A59" s="30" t="n">
        <f aca="false">Data_Returns!A101</f>
        <v>44944</v>
      </c>
      <c r="B59" s="31" t="n">
        <f aca="false">Data_Returns!Z101</f>
        <v>0.000281048967499934</v>
      </c>
      <c r="C59" s="31" t="n">
        <f aca="false">Data_Returns!B101</f>
        <v>0.00620662150410167</v>
      </c>
      <c r="D59" s="32" t="n">
        <f aca="false">B59-($B$5+$B$6*C59)</f>
        <v>0.00147069603828913</v>
      </c>
      <c r="F59" s="30" t="n">
        <f aca="false">Data_Returns!A101</f>
        <v>44944</v>
      </c>
      <c r="G59" s="31" t="n">
        <f aca="false">Data_Returns!AA101</f>
        <v>0.00447289151364635</v>
      </c>
      <c r="H59" s="31" t="n">
        <f aca="false">Data_Returns!B101</f>
        <v>0.00620662150410167</v>
      </c>
      <c r="I59" s="32" t="n">
        <f aca="false">G59-($G$5+$G$6*H59)</f>
        <v>0.00542169217805738</v>
      </c>
      <c r="K59" s="30" t="n">
        <f aca="false">Data_Returns!A420</f>
        <v>45419</v>
      </c>
      <c r="L59" s="31" t="n">
        <f aca="false">Data_Returns!Z420</f>
        <v>0.011573720946731</v>
      </c>
      <c r="M59" s="31" t="n">
        <f aca="false">Data_Returns!B420</f>
        <v>-0.00624702018919299</v>
      </c>
      <c r="N59" s="32" t="n">
        <f aca="false">L59-($L$5+$L$6*M59)</f>
        <v>0.0114729556590209</v>
      </c>
      <c r="P59" s="30" t="n">
        <f aca="false">Data_Returns!A420</f>
        <v>45419</v>
      </c>
      <c r="Q59" s="31" t="n">
        <f aca="false">Data_Returns!AA420</f>
        <v>0.011306638880738</v>
      </c>
      <c r="R59" s="31" t="n">
        <f aca="false">Data_Returns!B420</f>
        <v>-0.00624702018919299</v>
      </c>
      <c r="S59" s="32" t="n">
        <f aca="false">Q59-($Q$5+$Q$6*R59)</f>
        <v>0.0101697657920056</v>
      </c>
    </row>
    <row r="60" customFormat="false" ht="15" hidden="false" customHeight="false" outlineLevel="0" collapsed="false">
      <c r="A60" s="30" t="n">
        <f aca="false">Data_Returns!A102</f>
        <v>44945</v>
      </c>
      <c r="B60" s="31" t="n">
        <f aca="false">Data_Returns!Z102</f>
        <v>0.00696105009518526</v>
      </c>
      <c r="C60" s="31" t="n">
        <f aca="false">Data_Returns!B102</f>
        <v>-0.00316536703118853</v>
      </c>
      <c r="D60" s="32" t="n">
        <f aca="false">B60-($B$5+$B$6*C60)</f>
        <v>0.00667586294497956</v>
      </c>
      <c r="F60" s="30" t="n">
        <f aca="false">Data_Returns!A102</f>
        <v>44945</v>
      </c>
      <c r="G60" s="31" t="n">
        <f aca="false">Data_Returns!AA102</f>
        <v>0.00181781558823768</v>
      </c>
      <c r="H60" s="31" t="n">
        <f aca="false">Data_Returns!B102</f>
        <v>-0.00316536703118853</v>
      </c>
      <c r="I60" s="32" t="n">
        <f aca="false">G60-($G$5+$G$6*H60)</f>
        <v>0.00295209130789369</v>
      </c>
      <c r="K60" s="30" t="n">
        <f aca="false">Data_Returns!A421</f>
        <v>45420</v>
      </c>
      <c r="L60" s="31" t="n">
        <f aca="false">Data_Returns!Z421</f>
        <v>-0.0155568904765618</v>
      </c>
      <c r="M60" s="31" t="n">
        <f aca="false">Data_Returns!B421</f>
        <v>0</v>
      </c>
      <c r="N60" s="32" t="n">
        <f aca="false">L60-($L$5+$L$6*M60)</f>
        <v>-0.015070330839877</v>
      </c>
      <c r="P60" s="30" t="n">
        <f aca="false">Data_Returns!A421</f>
        <v>45420</v>
      </c>
      <c r="Q60" s="31" t="n">
        <f aca="false">Data_Returns!AA421</f>
        <v>-0.0159707589488916</v>
      </c>
      <c r="R60" s="31" t="n">
        <f aca="false">Data_Returns!B421</f>
        <v>0</v>
      </c>
      <c r="S60" s="32" t="n">
        <f aca="false">Q60-($Q$5+$Q$6*R60)</f>
        <v>-0.015470921045699</v>
      </c>
    </row>
    <row r="61" customFormat="false" ht="15" hidden="false" customHeight="false" outlineLevel="0" collapsed="false">
      <c r="A61" s="30" t="n">
        <f aca="false">Data_Returns!A103</f>
        <v>44946</v>
      </c>
      <c r="B61" s="31" t="n">
        <f aca="false">Data_Returns!Z103</f>
        <v>-0.00208957437052242</v>
      </c>
      <c r="C61" s="31" t="n">
        <f aca="false">Data_Returns!B103</f>
        <v>-0.00442901835391818</v>
      </c>
      <c r="D61" s="32" t="n">
        <f aca="false">B61-($B$5+$B$6*C61)</f>
        <v>-0.00257361752734289</v>
      </c>
      <c r="F61" s="30" t="n">
        <f aca="false">Data_Returns!A103</f>
        <v>44946</v>
      </c>
      <c r="G61" s="31" t="n">
        <f aca="false">Data_Returns!AA103</f>
        <v>-0.0189356547648789</v>
      </c>
      <c r="H61" s="31" t="n">
        <f aca="false">Data_Returns!B103</f>
        <v>-0.00442901835391818</v>
      </c>
      <c r="I61" s="32" t="n">
        <f aca="false">G61-($G$5+$G$6*H61)</f>
        <v>-0.0177763709268272</v>
      </c>
      <c r="K61" s="30" t="n">
        <f aca="false">Data_Returns!A422</f>
        <v>45421</v>
      </c>
      <c r="L61" s="31" t="n">
        <f aca="false">Data_Returns!Z422</f>
        <v>0.00524186114339363</v>
      </c>
      <c r="M61" s="31" t="n">
        <f aca="false">Data_Returns!B422</f>
        <v>-0.0154691178119045</v>
      </c>
      <c r="N61" s="32" t="n">
        <f aca="false">L61-($L$5+$L$6*M61)</f>
        <v>0.00427406363472294</v>
      </c>
      <c r="P61" s="30" t="n">
        <f aca="false">Data_Returns!A422</f>
        <v>45421</v>
      </c>
      <c r="Q61" s="31" t="n">
        <f aca="false">Data_Returns!AA422</f>
        <v>0.00681844625800093</v>
      </c>
      <c r="R61" s="31" t="n">
        <f aca="false">Data_Returns!B422</f>
        <v>-0.0154691178119045</v>
      </c>
      <c r="S61" s="32" t="n">
        <f aca="false">Q61-($Q$5+$Q$6*R61)</f>
        <v>0.00326539584142686</v>
      </c>
    </row>
    <row r="62" customFormat="false" ht="15" hidden="false" customHeight="false" outlineLevel="0" collapsed="false">
      <c r="A62" s="30" t="n">
        <f aca="false">Data_Returns!A104</f>
        <v>44949</v>
      </c>
      <c r="B62" s="31" t="n">
        <f aca="false">Data_Returns!Z104</f>
        <v>-0.0148936923464418</v>
      </c>
      <c r="C62" s="31" t="n">
        <f aca="false">Data_Returns!B104</f>
        <v>0.00504225453678098</v>
      </c>
      <c r="D62" s="32" t="n">
        <f aca="false">B62-($B$5+$B$6*C62)</f>
        <v>-0.0138872772805505</v>
      </c>
      <c r="F62" s="30" t="n">
        <f aca="false">Data_Returns!A104</f>
        <v>44949</v>
      </c>
      <c r="G62" s="31" t="n">
        <f aca="false">Data_Returns!AA104</f>
        <v>-0.00943334446115411</v>
      </c>
      <c r="H62" s="31" t="n">
        <f aca="false">Data_Returns!B104</f>
        <v>0.00504225453678098</v>
      </c>
      <c r="I62" s="32" t="n">
        <f aca="false">G62-($G$5+$G$6*H62)</f>
        <v>-0.0084615005517822</v>
      </c>
      <c r="K62" s="30" t="n">
        <f aca="false">Data_Returns!A423</f>
        <v>45422</v>
      </c>
      <c r="L62" s="31" t="n">
        <f aca="false">Data_Returns!Z423</f>
        <v>0.0182489083940095</v>
      </c>
      <c r="M62" s="31" t="n">
        <f aca="false">Data_Returns!B423</f>
        <v>0.00444950472503702</v>
      </c>
      <c r="N62" s="32" t="n">
        <f aca="false">L62-($L$5+$L$6*M62)</f>
        <v>0.0191537962811373</v>
      </c>
      <c r="P62" s="30" t="n">
        <f aca="false">Data_Returns!A423</f>
        <v>45422</v>
      </c>
      <c r="Q62" s="31" t="n">
        <f aca="false">Data_Returns!AA423</f>
        <v>0.0167295322561564</v>
      </c>
      <c r="R62" s="31" t="n">
        <f aca="false">Data_Returns!B423</f>
        <v>0.00444950472503702</v>
      </c>
      <c r="S62" s="32" t="n">
        <f aca="false">Q62-($Q$5+$Q$6*R62)</f>
        <v>0.0183951344872263</v>
      </c>
    </row>
    <row r="63" customFormat="false" ht="15" hidden="false" customHeight="false" outlineLevel="0" collapsed="false">
      <c r="A63" s="30" t="n">
        <f aca="false">Data_Returns!A105</f>
        <v>44950</v>
      </c>
      <c r="B63" s="31" t="n">
        <f aca="false">Data_Returns!Z105</f>
        <v>-0.0102813669346391</v>
      </c>
      <c r="C63" s="31" t="n">
        <f aca="false">Data_Returns!B105</f>
        <v>-1.37980136379889E-005</v>
      </c>
      <c r="D63" s="32" t="n">
        <f aca="false">B63-($B$5+$B$6*C63)</f>
        <v>-0.0100706036449346</v>
      </c>
      <c r="F63" s="30" t="n">
        <f aca="false">Data_Returns!A105</f>
        <v>44950</v>
      </c>
      <c r="G63" s="31" t="n">
        <f aca="false">Data_Returns!AA105</f>
        <v>-0.00794072192211494</v>
      </c>
      <c r="H63" s="31" t="n">
        <f aca="false">Data_Returns!B105</f>
        <v>-1.37980136379889E-005</v>
      </c>
      <c r="I63" s="32" t="n">
        <f aca="false">G63-($G$5+$G$6*H63)</f>
        <v>-0.00686881689736936</v>
      </c>
      <c r="K63" s="30" t="n">
        <f aca="false">Data_Returns!A424</f>
        <v>45425</v>
      </c>
      <c r="L63" s="31" t="n">
        <f aca="false">Data_Returns!Z424</f>
        <v>0.0122665306672678</v>
      </c>
      <c r="M63" s="31" t="n">
        <f aca="false">Data_Returns!B424</f>
        <v>0.00221489716710788</v>
      </c>
      <c r="N63" s="32" t="n">
        <f aca="false">L63-($L$5+$L$6*M63)</f>
        <v>0.0129613278751173</v>
      </c>
      <c r="P63" s="30" t="n">
        <f aca="false">Data_Returns!A424</f>
        <v>45425</v>
      </c>
      <c r="Q63" s="31" t="n">
        <f aca="false">Data_Returns!AA424</f>
        <v>0.0077062024153665</v>
      </c>
      <c r="R63" s="31" t="n">
        <f aca="false">Data_Returns!B424</f>
        <v>0.00221489716710788</v>
      </c>
      <c r="S63" s="32" t="n">
        <f aca="false">Q63-($Q$5+$Q$6*R63)</f>
        <v>0.00878634043439039</v>
      </c>
    </row>
    <row r="64" customFormat="false" ht="15" hidden="false" customHeight="false" outlineLevel="0" collapsed="false">
      <c r="A64" s="30" t="n">
        <f aca="false">Data_Returns!A106</f>
        <v>44951</v>
      </c>
      <c r="B64" s="31" t="n">
        <f aca="false">Data_Returns!Z106</f>
        <v>-0.0192857053623871</v>
      </c>
      <c r="C64" s="31" t="n">
        <f aca="false">Data_Returns!B106</f>
        <v>-0.0124928939249267</v>
      </c>
      <c r="D64" s="32" t="n">
        <f aca="false">B64-($B$5+$B$6*C64)</f>
        <v>-0.0210387299740168</v>
      </c>
      <c r="F64" s="30" t="n">
        <f aca="false">Data_Returns!A106</f>
        <v>44951</v>
      </c>
      <c r="G64" s="31" t="n">
        <f aca="false">Data_Returns!AA106</f>
        <v>-0.0306201570981434</v>
      </c>
      <c r="H64" s="31" t="n">
        <f aca="false">Data_Returns!B106</f>
        <v>-0.0124928939249267</v>
      </c>
      <c r="I64" s="32" t="n">
        <f aca="false">G64-($G$5+$G$6*H64)</f>
        <v>-0.0293012862352688</v>
      </c>
      <c r="K64" s="30" t="n">
        <f aca="false">Data_Returns!A425</f>
        <v>45426</v>
      </c>
      <c r="L64" s="31" t="n">
        <f aca="false">Data_Returns!Z425</f>
        <v>-0.0105516327150431</v>
      </c>
      <c r="M64" s="31" t="n">
        <f aca="false">Data_Returns!B425</f>
        <v>0.00514837778597133</v>
      </c>
      <c r="N64" s="32" t="n">
        <f aca="false">L64-($L$5+$L$6*M64)</f>
        <v>-0.00958103901054253</v>
      </c>
      <c r="P64" s="30" t="n">
        <f aca="false">Data_Returns!A425</f>
        <v>45426</v>
      </c>
      <c r="Q64" s="31" t="n">
        <f aca="false">Data_Returns!AA425</f>
        <v>-0.00745494961702374</v>
      </c>
      <c r="R64" s="31" t="n">
        <f aca="false">Data_Returns!B425</f>
        <v>0.00514837778597133</v>
      </c>
      <c r="S64" s="32" t="n">
        <f aca="false">Q64-($Q$5+$Q$6*R64)</f>
        <v>-0.00560624357227157</v>
      </c>
    </row>
    <row r="65" customFormat="false" ht="15" hidden="false" customHeight="false" outlineLevel="0" collapsed="false">
      <c r="A65" s="30" t="n">
        <f aca="false">Data_Returns!A107</f>
        <v>44953</v>
      </c>
      <c r="B65" s="31" t="n">
        <f aca="false">Data_Returns!Z107</f>
        <v>-0.000919055513370216</v>
      </c>
      <c r="C65" s="31" t="n">
        <f aca="false">Data_Returns!B107</f>
        <v>-0.0160742680367429</v>
      </c>
      <c r="D65" s="32" t="n">
        <f aca="false">B65-($B$5+$B$6*C65)</f>
        <v>-0.0032356673592782</v>
      </c>
      <c r="F65" s="30" t="n">
        <f aca="false">Data_Returns!A107</f>
        <v>44953</v>
      </c>
      <c r="G65" s="31" t="n">
        <f aca="false">Data_Returns!AA107</f>
        <v>-0.00065123764238521</v>
      </c>
      <c r="H65" s="31" t="n">
        <f aca="false">Data_Returns!B107</f>
        <v>-0.0160742680367429</v>
      </c>
      <c r="I65" s="32" t="n">
        <f aca="false">G65-($G$5+$G$6*H65)</f>
        <v>0.000738509914239165</v>
      </c>
      <c r="K65" s="30" t="n">
        <f aca="false">Data_Returns!A426</f>
        <v>45427</v>
      </c>
      <c r="L65" s="31" t="n">
        <f aca="false">Data_Returns!Z426</f>
        <v>-0.013347195231659</v>
      </c>
      <c r="M65" s="31" t="n">
        <f aca="false">Data_Returns!B426</f>
        <v>-0.000778653200017021</v>
      </c>
      <c r="N65" s="32" t="n">
        <f aca="false">L65-($L$5+$L$6*M65)</f>
        <v>-0.0129338420867062</v>
      </c>
      <c r="P65" s="30" t="n">
        <f aca="false">Data_Returns!A426</f>
        <v>45427</v>
      </c>
      <c r="Q65" s="31" t="n">
        <f aca="false">Data_Returns!AA426</f>
        <v>-0.0157791661735086</v>
      </c>
      <c r="R65" s="31" t="n">
        <f aca="false">Data_Returns!B426</f>
        <v>-0.000778653200017021</v>
      </c>
      <c r="S65" s="32" t="n">
        <f aca="false">Q65-($Q$5+$Q$6*R65)</f>
        <v>-0.0154833343744695</v>
      </c>
    </row>
    <row r="66" customFormat="false" ht="15" hidden="false" customHeight="false" outlineLevel="0" collapsed="false">
      <c r="A66" s="30" t="n">
        <f aca="false">Data_Returns!A108</f>
        <v>44956</v>
      </c>
      <c r="B66" s="31" t="n">
        <f aca="false">Data_Returns!Z108</f>
        <v>0.0233446630457861</v>
      </c>
      <c r="C66" s="31" t="n">
        <f aca="false">Data_Returns!B108</f>
        <v>0.00253346474024907</v>
      </c>
      <c r="D66" s="32" t="n">
        <f aca="false">B66-($B$5+$B$6*C66)</f>
        <v>0.0239562793951323</v>
      </c>
      <c r="F66" s="30" t="n">
        <f aca="false">Data_Returns!A108</f>
        <v>44956</v>
      </c>
      <c r="G66" s="31" t="n">
        <f aca="false">Data_Returns!AA108</f>
        <v>0.0396332797747279</v>
      </c>
      <c r="H66" s="31" t="n">
        <f aca="false">Data_Returns!B108</f>
        <v>0.00253346474024907</v>
      </c>
      <c r="I66" s="32" t="n">
        <f aca="false">G66-($G$5+$G$6*H66)</f>
        <v>0.0406547735448906</v>
      </c>
      <c r="K66" s="30" t="n">
        <f aca="false">Data_Returns!A427</f>
        <v>45428</v>
      </c>
      <c r="L66" s="31" t="n">
        <f aca="false">Data_Returns!Z427</f>
        <v>-0.0025796979650642</v>
      </c>
      <c r="M66" s="31" t="n">
        <f aca="false">Data_Returns!B427</f>
        <v>0.00915743078437248</v>
      </c>
      <c r="N66" s="32" t="n">
        <f aca="false">L66-($L$5+$L$6*M66)</f>
        <v>-0.00123218587741925</v>
      </c>
      <c r="P66" s="30" t="n">
        <f aca="false">Data_Returns!A427</f>
        <v>45428</v>
      </c>
      <c r="Q66" s="31" t="n">
        <f aca="false">Data_Returns!AA427</f>
        <v>-0.0033300861604311</v>
      </c>
      <c r="R66" s="31" t="n">
        <f aca="false">Data_Returns!B427</f>
        <v>0.00915743078437248</v>
      </c>
      <c r="S66" s="32" t="n">
        <f aca="false">Q66-($Q$5+$Q$6*R66)</f>
        <v>-0.000431013555147504</v>
      </c>
    </row>
    <row r="67" customFormat="false" ht="15" hidden="false" customHeight="false" outlineLevel="0" collapsed="false">
      <c r="A67" s="30" t="n">
        <f aca="false">Data_Returns!A109</f>
        <v>44957</v>
      </c>
      <c r="B67" s="31" t="n">
        <f aca="false">Data_Returns!Z109</f>
        <v>0.00232547552152574</v>
      </c>
      <c r="C67" s="31" t="n">
        <f aca="false">Data_Returns!B109</f>
        <v>0.000747919847922995</v>
      </c>
      <c r="D67" s="32" t="n">
        <f aca="false">B67-($B$5+$B$6*C67)</f>
        <v>0.00265610745647487</v>
      </c>
      <c r="F67" s="30" t="n">
        <f aca="false">Data_Returns!A109</f>
        <v>44957</v>
      </c>
      <c r="G67" s="31" t="n">
        <f aca="false">Data_Returns!AA109</f>
        <v>-0.0141016197581746</v>
      </c>
      <c r="H67" s="31" t="n">
        <f aca="false">Data_Returns!B109</f>
        <v>0.000747919847922995</v>
      </c>
      <c r="I67" s="32" t="n">
        <f aca="false">G67-($G$5+$G$6*H67)</f>
        <v>-0.013044789406421</v>
      </c>
      <c r="K67" s="30" t="n">
        <f aca="false">Data_Returns!A428</f>
        <v>45429</v>
      </c>
      <c r="L67" s="31" t="n">
        <f aca="false">Data_Returns!Z428</f>
        <v>0.00182415120711069</v>
      </c>
      <c r="M67" s="31" t="n">
        <f aca="false">Data_Returns!B428</f>
        <v>0.0027785402955296</v>
      </c>
      <c r="N67" s="32" t="n">
        <f aca="false">L67-($L$5+$L$6*M67)</f>
        <v>0.00257194034515412</v>
      </c>
      <c r="P67" s="30" t="n">
        <f aca="false">Data_Returns!A428</f>
        <v>45429</v>
      </c>
      <c r="Q67" s="31" t="n">
        <f aca="false">Data_Returns!AA428</f>
        <v>-0.00339802033122727</v>
      </c>
      <c r="R67" s="31" t="n">
        <f aca="false">Data_Returns!B428</f>
        <v>0.0027785402955296</v>
      </c>
      <c r="S67" s="32" t="n">
        <f aca="false">Q67-($Q$5+$Q$6*R67)</f>
        <v>-0.00217020856121939</v>
      </c>
    </row>
    <row r="68" customFormat="false" ht="15" hidden="false" customHeight="false" outlineLevel="0" collapsed="false">
      <c r="A68" s="30" t="n">
        <f aca="false">Data_Returns!A110</f>
        <v>44958</v>
      </c>
      <c r="B68" s="31" t="n">
        <f aca="false">Data_Returns!Z110</f>
        <v>0.016881801791201</v>
      </c>
      <c r="C68" s="31" t="n">
        <f aca="false">Data_Returns!B110</f>
        <v>-0.00259594669958085</v>
      </c>
      <c r="D68" s="32" t="n">
        <f aca="false">B68-($B$5+$B$6*C68)</f>
        <v>0.0166862221547073</v>
      </c>
      <c r="F68" s="30" t="n">
        <f aca="false">Data_Returns!A110</f>
        <v>44958</v>
      </c>
      <c r="G68" s="31" t="n">
        <f aca="false">Data_Returns!AA110</f>
        <v>0.00674100790324946</v>
      </c>
      <c r="H68" s="31" t="n">
        <f aca="false">Data_Returns!B110</f>
        <v>-0.00259594669958085</v>
      </c>
      <c r="I68" s="32" t="n">
        <f aca="false">G68-($G$5+$G$6*H68)</f>
        <v>0.00786401458783731</v>
      </c>
      <c r="K68" s="30" t="n">
        <f aca="false">Data_Returns!A429</f>
        <v>45430</v>
      </c>
      <c r="L68" s="31" t="n">
        <f aca="false">Data_Returns!Z429</f>
        <v>0.000804392249767483</v>
      </c>
      <c r="M68" s="31" t="n">
        <f aca="false">Data_Returns!B429</f>
        <v>0.00159796315337335</v>
      </c>
      <c r="N68" s="32" t="n">
        <f aca="false">L68-($L$5+$L$6*M68)</f>
        <v>0.00144118728826265</v>
      </c>
      <c r="P68" s="30" t="n">
        <f aca="false">Data_Returns!A429</f>
        <v>45430</v>
      </c>
      <c r="Q68" s="31" t="n">
        <f aca="false">Data_Returns!AA429</f>
        <v>-0.00174793309322513</v>
      </c>
      <c r="R68" s="31" t="n">
        <f aca="false">Data_Returns!B429</f>
        <v>0.00159796315337335</v>
      </c>
      <c r="S68" s="32" t="n">
        <f aca="false">Q68-($Q$5+$Q$6*R68)</f>
        <v>-0.00082943096635323</v>
      </c>
    </row>
    <row r="69" customFormat="false" ht="15" hidden="false" customHeight="false" outlineLevel="0" collapsed="false">
      <c r="A69" s="30" t="n">
        <f aca="false">Data_Returns!A111</f>
        <v>44959</v>
      </c>
      <c r="B69" s="31" t="n">
        <f aca="false">Data_Returns!Z111</f>
        <v>-0.0118361165128545</v>
      </c>
      <c r="C69" s="31" t="n">
        <f aca="false">Data_Returns!B111</f>
        <v>-0.000334917093827714</v>
      </c>
      <c r="D69" s="32" t="n">
        <f aca="false">B69-($B$5+$B$6*C69)</f>
        <v>-0.0116758865125042</v>
      </c>
      <c r="F69" s="30" t="n">
        <f aca="false">Data_Returns!A111</f>
        <v>44959</v>
      </c>
      <c r="G69" s="31" t="n">
        <f aca="false">Data_Returns!AA111</f>
        <v>-0.0196157494684548</v>
      </c>
      <c r="H69" s="31" t="n">
        <f aca="false">Data_Returns!B111</f>
        <v>-0.000334917093827714</v>
      </c>
      <c r="I69" s="32" t="n">
        <f aca="false">G69-($G$5+$G$6*H69)</f>
        <v>-0.0185374893805426</v>
      </c>
      <c r="K69" s="30" t="n">
        <f aca="false">Data_Returns!A430</f>
        <v>45433</v>
      </c>
      <c r="L69" s="31" t="n">
        <f aca="false">Data_Returns!Z430</f>
        <v>0.00424461193601973</v>
      </c>
      <c r="M69" s="31" t="n">
        <f aca="false">Data_Returns!B430</f>
        <v>0.00120211536752279</v>
      </c>
      <c r="N69" s="32" t="n">
        <f aca="false">L69-($L$5+$L$6*M69)</f>
        <v>0.00484419062754378</v>
      </c>
      <c r="P69" s="30" t="n">
        <f aca="false">Data_Returns!A430</f>
        <v>45433</v>
      </c>
      <c r="Q69" s="31" t="n">
        <f aca="false">Data_Returns!AA430</f>
        <v>0.0026386567159332</v>
      </c>
      <c r="R69" s="31" t="n">
        <f aca="false">Data_Returns!B430</f>
        <v>0.00120211536752279</v>
      </c>
      <c r="S69" s="32" t="n">
        <f aca="false">Q69-($Q$5+$Q$6*R69)</f>
        <v>0.00345344724869955</v>
      </c>
    </row>
    <row r="70" customFormat="false" ht="15" hidden="false" customHeight="false" outlineLevel="0" collapsed="false">
      <c r="A70" s="30" t="n">
        <f aca="false">Data_Returns!A112</f>
        <v>44960</v>
      </c>
      <c r="B70" s="31" t="n">
        <f aca="false">Data_Returns!Z112</f>
        <v>-0.00165402549415544</v>
      </c>
      <c r="C70" s="31" t="n">
        <f aca="false">Data_Returns!B112</f>
        <v>0.0138355744332892</v>
      </c>
      <c r="D70" s="32" t="n">
        <f aca="false">B70-($B$5+$B$6*C70)</f>
        <v>0.000736160908063555</v>
      </c>
      <c r="F70" s="30" t="n">
        <f aca="false">Data_Returns!A112</f>
        <v>44960</v>
      </c>
      <c r="G70" s="31" t="n">
        <f aca="false">Data_Returns!AA112</f>
        <v>0.0144971898754335</v>
      </c>
      <c r="H70" s="31" t="n">
        <f aca="false">Data_Returns!B112</f>
        <v>0.0138355744332892</v>
      </c>
      <c r="I70" s="32" t="n">
        <f aca="false">G70-($G$5+$G$6*H70)</f>
        <v>0.0152950107919848</v>
      </c>
      <c r="K70" s="30" t="n">
        <f aca="false">Data_Returns!A431</f>
        <v>45434</v>
      </c>
      <c r="L70" s="31" t="n">
        <f aca="false">Data_Returns!Z431</f>
        <v>-0.00242486115676987</v>
      </c>
      <c r="M70" s="31" t="n">
        <f aca="false">Data_Returns!B431</f>
        <v>0.00305161558077227</v>
      </c>
      <c r="N70" s="32" t="n">
        <f aca="false">L70-($L$5+$L$6*M70)</f>
        <v>-0.0016513983508973</v>
      </c>
      <c r="P70" s="30" t="n">
        <f aca="false">Data_Returns!A431</f>
        <v>45434</v>
      </c>
      <c r="Q70" s="31" t="n">
        <f aca="false">Data_Returns!AA431</f>
        <v>-0.0051429623332979</v>
      </c>
      <c r="R70" s="31" t="n">
        <f aca="false">Data_Returns!B431</f>
        <v>0.00305161558077227</v>
      </c>
      <c r="S70" s="32" t="n">
        <f aca="false">Q70-($Q$5+$Q$6*R70)</f>
        <v>-0.00384360520127039</v>
      </c>
    </row>
    <row r="71" customFormat="false" ht="15" hidden="false" customHeight="false" outlineLevel="0" collapsed="false">
      <c r="A71" s="30" t="n">
        <f aca="false">Data_Returns!A113</f>
        <v>44963</v>
      </c>
      <c r="B71" s="31" t="n">
        <f aca="false">Data_Returns!Z113</f>
        <v>0.0116636219202756</v>
      </c>
      <c r="C71" s="31" t="n">
        <f aca="false">Data_Returns!B113</f>
        <v>-0.00501006774373325</v>
      </c>
      <c r="D71" s="32" t="n">
        <f aca="false">B71-($B$5+$B$6*C71)</f>
        <v>0.011088141229045</v>
      </c>
      <c r="F71" s="30" t="n">
        <f aca="false">Data_Returns!A113</f>
        <v>44963</v>
      </c>
      <c r="G71" s="31" t="n">
        <f aca="false">Data_Returns!AA113</f>
        <v>0.00791051217761035</v>
      </c>
      <c r="H71" s="31" t="n">
        <f aca="false">Data_Returns!B113</f>
        <v>-0.00501006774373325</v>
      </c>
      <c r="I71" s="32" t="n">
        <f aca="false">G71-($G$5+$G$6*H71)</f>
        <v>0.00908129519401361</v>
      </c>
      <c r="K71" s="30" t="n">
        <f aca="false">Data_Returns!A432</f>
        <v>45435</v>
      </c>
      <c r="L71" s="31" t="n">
        <f aca="false">Data_Returns!Z432</f>
        <v>-0.0102277568078741</v>
      </c>
      <c r="M71" s="31" t="n">
        <f aca="false">Data_Returns!B432</f>
        <v>0.0163666374602838</v>
      </c>
      <c r="N71" s="32" t="n">
        <f aca="false">L71-($L$5+$L$6*M71)</f>
        <v>-0.00820245808954048</v>
      </c>
      <c r="P71" s="30" t="n">
        <f aca="false">Data_Returns!A432</f>
        <v>45435</v>
      </c>
      <c r="Q71" s="31" t="n">
        <f aca="false">Data_Returns!AA432</f>
        <v>-0.00859453494977841</v>
      </c>
      <c r="R71" s="31" t="n">
        <f aca="false">Data_Returns!B432</f>
        <v>0.0163666374602838</v>
      </c>
      <c r="S71" s="32" t="n">
        <f aca="false">Q71-($Q$5+$Q$6*R71)</f>
        <v>-0.00380665977107982</v>
      </c>
    </row>
    <row r="72" customFormat="false" ht="15" hidden="false" customHeight="false" outlineLevel="0" collapsed="false">
      <c r="A72" s="30" t="n">
        <f aca="false">Data_Returns!A114</f>
        <v>44964</v>
      </c>
      <c r="B72" s="31" t="n">
        <f aca="false">Data_Returns!Z114</f>
        <v>0.00883563386936857</v>
      </c>
      <c r="C72" s="31" t="n">
        <f aca="false">Data_Returns!B114</f>
        <v>-0.00242617340103346</v>
      </c>
      <c r="D72" s="32" t="n">
        <f aca="false">B72-($B$5+$B$6*C72)</f>
        <v>0.0086667708117062</v>
      </c>
      <c r="F72" s="30" t="n">
        <f aca="false">Data_Returns!A114</f>
        <v>44964</v>
      </c>
      <c r="G72" s="31" t="n">
        <f aca="false">Data_Returns!AA114</f>
        <v>0.0142514408914123</v>
      </c>
      <c r="H72" s="31" t="n">
        <f aca="false">Data_Returns!B114</f>
        <v>-0.00242617340103346</v>
      </c>
      <c r="I72" s="32" t="n">
        <f aca="false">G72-($G$5+$G$6*H72)</f>
        <v>0.0153710877007923</v>
      </c>
      <c r="K72" s="30" t="n">
        <f aca="false">Data_Returns!A433</f>
        <v>45436</v>
      </c>
      <c r="L72" s="31" t="n">
        <f aca="false">Data_Returns!Z433</f>
        <v>0.00340784983161988</v>
      </c>
      <c r="M72" s="31" t="n">
        <f aca="false">Data_Returns!B433</f>
        <v>-0.000459341726297802</v>
      </c>
      <c r="N72" s="32" t="n">
        <f aca="false">L72-($L$5+$L$6*M72)</f>
        <v>0.00385122362345404</v>
      </c>
      <c r="P72" s="30" t="n">
        <f aca="false">Data_Returns!A433</f>
        <v>45436</v>
      </c>
      <c r="Q72" s="31" t="n">
        <f aca="false">Data_Returns!AA433</f>
        <v>0.00732499216208613</v>
      </c>
      <c r="R72" s="31" t="n">
        <f aca="false">Data_Returns!B433</f>
        <v>-0.000459341726297802</v>
      </c>
      <c r="S72" s="32" t="n">
        <f aca="false">Q72-($Q$5+$Q$6*R72)</f>
        <v>0.00770448314311224</v>
      </c>
    </row>
    <row r="73" customFormat="false" ht="15" hidden="false" customHeight="false" outlineLevel="0" collapsed="false">
      <c r="A73" s="30" t="n">
        <f aca="false">Data_Returns!A115</f>
        <v>44965</v>
      </c>
      <c r="B73" s="31" t="n">
        <f aca="false">Data_Returns!Z115</f>
        <v>-0.0143617304737126</v>
      </c>
      <c r="C73" s="31" t="n">
        <f aca="false">Data_Returns!B115</f>
        <v>0.00847558050955066</v>
      </c>
      <c r="D73" s="32" t="n">
        <f aca="false">B73-($B$5+$B$6*C73)</f>
        <v>-0.0128150259465821</v>
      </c>
      <c r="F73" s="30" t="n">
        <f aca="false">Data_Returns!A115</f>
        <v>44965</v>
      </c>
      <c r="G73" s="31" t="n">
        <f aca="false">Data_Returns!AA115</f>
        <v>-0.01630881287633</v>
      </c>
      <c r="H73" s="31" t="n">
        <f aca="false">Data_Returns!B115</f>
        <v>0.00847558050955066</v>
      </c>
      <c r="I73" s="32" t="n">
        <f aca="false">G73-($G$5+$G$6*H73)</f>
        <v>-0.0154049157342931</v>
      </c>
      <c r="K73" s="30" t="n">
        <f aca="false">Data_Returns!A434</f>
        <v>45439</v>
      </c>
      <c r="L73" s="31" t="n">
        <f aca="false">Data_Returns!Z434</f>
        <v>-0.00225821393794822</v>
      </c>
      <c r="M73" s="31" t="n">
        <f aca="false">Data_Returns!B434</f>
        <v>-0.00107374189248632</v>
      </c>
      <c r="N73" s="32" t="n">
        <f aca="false">L73-($L$5+$L$6*M73)</f>
        <v>-0.00187260409119929</v>
      </c>
      <c r="P73" s="30" t="n">
        <f aca="false">Data_Returns!A434</f>
        <v>45439</v>
      </c>
      <c r="Q73" s="31" t="n">
        <f aca="false">Data_Returns!AA434</f>
        <v>-0.00815221790321145</v>
      </c>
      <c r="R73" s="31" t="n">
        <f aca="false">Data_Returns!B434</f>
        <v>-0.00107374189248632</v>
      </c>
      <c r="S73" s="32" t="n">
        <f aca="false">Q73-($Q$5+$Q$6*R73)</f>
        <v>-0.00793369894964588</v>
      </c>
    </row>
    <row r="74" customFormat="false" ht="15" hidden="false" customHeight="false" outlineLevel="0" collapsed="false">
      <c r="A74" s="30" t="n">
        <f aca="false">Data_Returns!A116</f>
        <v>44966</v>
      </c>
      <c r="B74" s="31" t="n">
        <f aca="false">Data_Returns!Z116</f>
        <v>0.00330088588715916</v>
      </c>
      <c r="C74" s="31" t="n">
        <f aca="false">Data_Returns!B116</f>
        <v>0.00121700789516388</v>
      </c>
      <c r="D74" s="32" t="n">
        <f aca="false">B74-($B$5+$B$6*C74)</f>
        <v>0.00370533642550558</v>
      </c>
      <c r="F74" s="30" t="n">
        <f aca="false">Data_Returns!A116</f>
        <v>44966</v>
      </c>
      <c r="G74" s="31" t="n">
        <f aca="false">Data_Returns!AA116</f>
        <v>0.0060157850121503</v>
      </c>
      <c r="H74" s="31" t="n">
        <f aca="false">Data_Returns!B116</f>
        <v>0.00121700789516388</v>
      </c>
      <c r="I74" s="32" t="n">
        <f aca="false">G74-($G$5+$G$6*H74)</f>
        <v>0.00706333194116505</v>
      </c>
      <c r="K74" s="30" t="n">
        <f aca="false">Data_Returns!A435</f>
        <v>45440</v>
      </c>
      <c r="L74" s="31" t="n">
        <f aca="false">Data_Returns!Z435</f>
        <v>0.00903002301853358</v>
      </c>
      <c r="M74" s="31" t="n">
        <f aca="false">Data_Returns!B435</f>
        <v>-0.00193176045298249</v>
      </c>
      <c r="N74" s="32" t="n">
        <f aca="false">L74-($L$5+$L$6*M74)</f>
        <v>0.00933496469535334</v>
      </c>
      <c r="P74" s="30" t="n">
        <f aca="false">Data_Returns!A435</f>
        <v>45440</v>
      </c>
      <c r="Q74" s="31" t="n">
        <f aca="false">Data_Returns!AA435</f>
        <v>0.00760741533358683</v>
      </c>
      <c r="R74" s="31" t="n">
        <f aca="false">Data_Returns!B435</f>
        <v>-0.00193176045298249</v>
      </c>
      <c r="S74" s="32" t="n">
        <f aca="false">Q74-($Q$5+$Q$6*R74)</f>
        <v>0.00760113456397091</v>
      </c>
    </row>
    <row r="75" customFormat="false" ht="15" hidden="false" customHeight="false" outlineLevel="0" collapsed="false">
      <c r="A75" s="30" t="n">
        <f aca="false">Data_Returns!A117</f>
        <v>44967</v>
      </c>
      <c r="B75" s="31" t="n">
        <f aca="false">Data_Returns!Z117</f>
        <v>-0.0083859696254036</v>
      </c>
      <c r="C75" s="31" t="n">
        <f aca="false">Data_Returns!B117</f>
        <v>-0.00206500143907407</v>
      </c>
      <c r="D75" s="32" t="n">
        <f aca="false">B75-($B$5+$B$6*C75)</f>
        <v>-0.00849799642391394</v>
      </c>
      <c r="F75" s="30" t="n">
        <f aca="false">Data_Returns!A117</f>
        <v>44967</v>
      </c>
      <c r="G75" s="31" t="n">
        <f aca="false">Data_Returns!AA117</f>
        <v>-0.00405335235082212</v>
      </c>
      <c r="H75" s="31" t="n">
        <f aca="false">Data_Returns!B117</f>
        <v>-0.00206500143907407</v>
      </c>
      <c r="I75" s="32" t="n">
        <f aca="false">G75-($G$5+$G$6*H75)</f>
        <v>-0.00294085326567848</v>
      </c>
      <c r="K75" s="30" t="n">
        <f aca="false">Data_Returns!A436</f>
        <v>45441</v>
      </c>
      <c r="L75" s="31" t="n">
        <f aca="false">Data_Returns!Z436</f>
        <v>0.0121504749759979</v>
      </c>
      <c r="M75" s="31" t="n">
        <f aca="false">Data_Returns!B436</f>
        <v>-0.00801506456397749</v>
      </c>
      <c r="N75" s="32" t="n">
        <f aca="false">L75-($L$5+$L$6*M75)</f>
        <v>0.0118834837922128</v>
      </c>
      <c r="P75" s="30" t="n">
        <f aca="false">Data_Returns!A436</f>
        <v>45441</v>
      </c>
      <c r="Q75" s="31" t="n">
        <f aca="false">Data_Returns!AA436</f>
        <v>0.012510295600182</v>
      </c>
      <c r="R75" s="31" t="n">
        <f aca="false">Data_Returns!B436</f>
        <v>-0.00801506456397749</v>
      </c>
      <c r="S75" s="32" t="n">
        <f aca="false">Q75-($Q$5+$Q$6*R75)</f>
        <v>0.010910197233672</v>
      </c>
    </row>
    <row r="76" customFormat="false" ht="15" hidden="false" customHeight="false" outlineLevel="0" collapsed="false">
      <c r="A76" s="30" t="n">
        <f aca="false">Data_Returns!A118</f>
        <v>44970</v>
      </c>
      <c r="B76" s="31" t="n">
        <f aca="false">Data_Returns!Z118</f>
        <v>0.000390064791044998</v>
      </c>
      <c r="C76" s="31" t="n">
        <f aca="false">Data_Returns!B118</f>
        <v>-0.00479377257581259</v>
      </c>
      <c r="D76" s="32" t="n">
        <f aca="false">B76-($B$5+$B$6*C76)</f>
        <v>-0.000151378351560407</v>
      </c>
      <c r="F76" s="30" t="n">
        <f aca="false">Data_Returns!A118</f>
        <v>44970</v>
      </c>
      <c r="G76" s="31" t="n">
        <f aca="false">Data_Returns!AA118</f>
        <v>0.00603996613243368</v>
      </c>
      <c r="H76" s="31" t="n">
        <f aca="false">Data_Returns!B118</f>
        <v>-0.00479377257581259</v>
      </c>
      <c r="I76" s="32" t="n">
        <f aca="false">G76-($G$5+$G$6*H76)</f>
        <v>0.00720646858894634</v>
      </c>
      <c r="K76" s="30" t="n">
        <f aca="false">Data_Returns!A437</f>
        <v>45442</v>
      </c>
      <c r="L76" s="31" t="n">
        <f aca="false">Data_Returns!Z437</f>
        <v>-0.00959293202234347</v>
      </c>
      <c r="M76" s="31" t="n">
        <f aca="false">Data_Returns!B437</f>
        <v>-0.00951565094451812</v>
      </c>
      <c r="N76" s="32" t="n">
        <f aca="false">L76-($L$5+$L$6*M76)</f>
        <v>-0.0100010035541677</v>
      </c>
      <c r="P76" s="30" t="n">
        <f aca="false">Data_Returns!A437</f>
        <v>45442</v>
      </c>
      <c r="Q76" s="31" t="n">
        <f aca="false">Data_Returns!AA437</f>
        <v>-0.00311129524611877</v>
      </c>
      <c r="R76" s="31" t="n">
        <f aca="false">Data_Returns!B437</f>
        <v>-0.00951565094451812</v>
      </c>
      <c r="S76" s="32" t="n">
        <f aca="false">Q76-($Q$5+$Q$6*R76)</f>
        <v>-0.00510454525116713</v>
      </c>
    </row>
    <row r="77" customFormat="false" ht="15" hidden="false" customHeight="false" outlineLevel="0" collapsed="false">
      <c r="A77" s="30" t="n">
        <f aca="false">Data_Returns!A119</f>
        <v>44971</v>
      </c>
      <c r="B77" s="31" t="n">
        <f aca="false">Data_Returns!Z119</f>
        <v>0.00885550949229917</v>
      </c>
      <c r="C77" s="31" t="n">
        <f aca="false">Data_Returns!B119</f>
        <v>0.00894439786392343</v>
      </c>
      <c r="D77" s="32" t="n">
        <f aca="false">B77-($B$5+$B$6*C77)</f>
        <v>0.010475990024919</v>
      </c>
      <c r="F77" s="30" t="n">
        <f aca="false">Data_Returns!A119</f>
        <v>44971</v>
      </c>
      <c r="G77" s="31" t="n">
        <f aca="false">Data_Returns!AA119</f>
        <v>0.02991418454431</v>
      </c>
      <c r="H77" s="31" t="n">
        <f aca="false">Data_Returns!B119</f>
        <v>0.00894439786392343</v>
      </c>
      <c r="I77" s="32" t="n">
        <f aca="false">G77-($G$5+$G$6*H77)</f>
        <v>0.0308088036207182</v>
      </c>
      <c r="K77" s="30" t="n">
        <f aca="false">Data_Returns!A438</f>
        <v>45443</v>
      </c>
      <c r="L77" s="31" t="n">
        <f aca="false">Data_Returns!Z438</f>
        <v>0.0049571241084633</v>
      </c>
      <c r="M77" s="31" t="n">
        <f aca="false">Data_Returns!B438</f>
        <v>0.00186983211531144</v>
      </c>
      <c r="N77" s="32" t="n">
        <f aca="false">L77-($L$5+$L$6*M77)</f>
        <v>0.00561947940011594</v>
      </c>
      <c r="P77" s="30" t="n">
        <f aca="false">Data_Returns!A438</f>
        <v>45443</v>
      </c>
      <c r="Q77" s="31" t="n">
        <f aca="false">Data_Returns!AA438</f>
        <v>0.00231607820228756</v>
      </c>
      <c r="R77" s="31" t="n">
        <f aca="false">Data_Returns!B438</f>
        <v>0.00186983211531144</v>
      </c>
      <c r="S77" s="32" t="n">
        <f aca="false">Q77-($Q$5+$Q$6*R77)</f>
        <v>0.00330580963607559</v>
      </c>
    </row>
    <row r="78" customFormat="false" ht="15" hidden="false" customHeight="false" outlineLevel="0" collapsed="false">
      <c r="A78" s="30" t="n">
        <f aca="false">Data_Returns!A120</f>
        <v>44972</v>
      </c>
      <c r="B78" s="31" t="n">
        <f aca="false">Data_Returns!Z120</f>
        <v>0.0113158033495483</v>
      </c>
      <c r="C78" s="31" t="n">
        <f aca="false">Data_Returns!B120</f>
        <v>0.00479647068993883</v>
      </c>
      <c r="D78" s="32" t="n">
        <f aca="false">B78-($B$5+$B$6*C78)</f>
        <v>0.0122835403454734</v>
      </c>
      <c r="F78" s="30" t="n">
        <f aca="false">Data_Returns!A120</f>
        <v>44972</v>
      </c>
      <c r="G78" s="31" t="n">
        <f aca="false">Data_Returns!AA120</f>
        <v>0.0145221801295088</v>
      </c>
      <c r="H78" s="31" t="n">
        <f aca="false">Data_Returns!B120</f>
        <v>0.00479647068993883</v>
      </c>
      <c r="I78" s="32" t="n">
        <f aca="false">G78-($G$5+$G$6*H78)</f>
        <v>0.0154988881904319</v>
      </c>
      <c r="K78" s="30" t="n">
        <f aca="false">Data_Returns!A439</f>
        <v>45446</v>
      </c>
      <c r="L78" s="31" t="n">
        <f aca="false">Data_Returns!Z439</f>
        <v>-0.00709136889040925</v>
      </c>
      <c r="M78" s="31" t="n">
        <f aca="false">Data_Returns!B439</f>
        <v>0.0325422645545856</v>
      </c>
      <c r="N78" s="32" t="n">
        <f aca="false">L78-($L$5+$L$6*M78)</f>
        <v>-0.00354528927614769</v>
      </c>
      <c r="P78" s="30" t="n">
        <f aca="false">Data_Returns!A439</f>
        <v>45446</v>
      </c>
      <c r="Q78" s="31" t="n">
        <f aca="false">Data_Returns!AA439</f>
        <v>-0.00780953787972209</v>
      </c>
      <c r="R78" s="31" t="n">
        <f aca="false">Data_Returns!B439</f>
        <v>0.0325422645545856</v>
      </c>
      <c r="S78" s="32" t="n">
        <f aca="false">Q78-($Q$5+$Q$6*R78)</f>
        <v>0.00121633011230593</v>
      </c>
    </row>
    <row r="79" customFormat="false" ht="15" hidden="false" customHeight="false" outlineLevel="0" collapsed="false">
      <c r="A79" s="30" t="n">
        <f aca="false">Data_Returns!A121</f>
        <v>44973</v>
      </c>
      <c r="B79" s="31" t="n">
        <f aca="false">Data_Returns!Z121</f>
        <v>0.00983699034162388</v>
      </c>
      <c r="C79" s="31" t="n">
        <f aca="false">Data_Returns!B121</f>
        <v>0.00111013357682266</v>
      </c>
      <c r="D79" s="32" t="n">
        <f aca="false">B79-($B$5+$B$6*C79)</f>
        <v>0.0102246224746296</v>
      </c>
      <c r="F79" s="30" t="n">
        <f aca="false">Data_Returns!A121</f>
        <v>44973</v>
      </c>
      <c r="G79" s="31" t="n">
        <f aca="false">Data_Returns!AA121</f>
        <v>0.0118381122401218</v>
      </c>
      <c r="H79" s="31" t="n">
        <f aca="false">Data_Returns!B121</f>
        <v>0.00111013357682266</v>
      </c>
      <c r="I79" s="32" t="n">
        <f aca="false">G79-($G$5+$G$6*H79)</f>
        <v>0.012887774250693</v>
      </c>
      <c r="K79" s="30" t="n">
        <f aca="false">Data_Returns!A440</f>
        <v>45447</v>
      </c>
      <c r="L79" s="31" t="n">
        <f aca="false">Data_Returns!Z440</f>
        <v>0.0230532675740022</v>
      </c>
      <c r="M79" s="31" t="n">
        <f aca="false">Data_Returns!B440</f>
        <v>-0.059293583620975</v>
      </c>
      <c r="N79" s="32" t="n">
        <f aca="false">L79-($L$5+$L$6*M79)</f>
        <v>0.0179652334903822</v>
      </c>
      <c r="P79" s="30" t="n">
        <f aca="false">Data_Returns!A440</f>
        <v>45447</v>
      </c>
      <c r="Q79" s="31" t="n">
        <f aca="false">Data_Returns!AA440</f>
        <v>0.0210497259367374</v>
      </c>
      <c r="R79" s="31" t="n">
        <f aca="false">Data_Returns!B440</f>
        <v>-0.059293583620975</v>
      </c>
      <c r="S79" s="32" t="n">
        <f aca="false">Q79-($Q$5+$Q$6*R79)</f>
        <v>0.00601472368830713</v>
      </c>
    </row>
    <row r="80" customFormat="false" ht="15" hidden="false" customHeight="false" outlineLevel="0" collapsed="false">
      <c r="A80" s="30" t="n">
        <f aca="false">Data_Returns!A122</f>
        <v>44974</v>
      </c>
      <c r="B80" s="31" t="n">
        <f aca="false">Data_Returns!Z122</f>
        <v>-0.0133717338722833</v>
      </c>
      <c r="C80" s="31" t="n">
        <f aca="false">Data_Returns!B122</f>
        <v>-0.00508154592104049</v>
      </c>
      <c r="D80" s="32" t="n">
        <f aca="false">B80-($B$5+$B$6*C80)</f>
        <v>-0.0139584628126502</v>
      </c>
      <c r="F80" s="30" t="n">
        <f aca="false">Data_Returns!A122</f>
        <v>44974</v>
      </c>
      <c r="G80" s="31" t="n">
        <f aca="false">Data_Returns!AA122</f>
        <v>-0.0122390946794559</v>
      </c>
      <c r="H80" s="31" t="n">
        <f aca="false">Data_Returns!B122</f>
        <v>-0.00508154592104049</v>
      </c>
      <c r="I80" s="32" t="n">
        <f aca="false">G80-($G$5+$G$6*H80)</f>
        <v>-0.0110668970839764</v>
      </c>
      <c r="K80" s="30" t="n">
        <f aca="false">Data_Returns!A441</f>
        <v>45448</v>
      </c>
      <c r="L80" s="31" t="n">
        <f aca="false">Data_Returns!Z441</f>
        <v>0.0138514731371805</v>
      </c>
      <c r="M80" s="31" t="n">
        <f aca="false">Data_Returns!B441</f>
        <v>0.0336242546094268</v>
      </c>
      <c r="N80" s="32" t="n">
        <f aca="false">L80-($L$5+$L$6*M80)</f>
        <v>0.0174992780073097</v>
      </c>
      <c r="P80" s="30" t="n">
        <f aca="false">Data_Returns!A441</f>
        <v>45448</v>
      </c>
      <c r="Q80" s="31" t="n">
        <f aca="false">Data_Returns!AA441</f>
        <v>-0.00637943897940613</v>
      </c>
      <c r="R80" s="31" t="n">
        <f aca="false">Data_Returns!B441</f>
        <v>0.0336242546094268</v>
      </c>
      <c r="S80" s="32" t="n">
        <f aca="false">Q80-($Q$5+$Q$6*R80)</f>
        <v>0.00292990896983022</v>
      </c>
    </row>
    <row r="81" customFormat="false" ht="15" hidden="false" customHeight="false" outlineLevel="0" collapsed="false">
      <c r="A81" s="30" t="n">
        <f aca="false">Data_Returns!A123</f>
        <v>44977</v>
      </c>
      <c r="B81" s="31" t="n">
        <f aca="false">Data_Returns!Z123</f>
        <v>0.00116939243806333</v>
      </c>
      <c r="C81" s="31" t="n">
        <f aca="false">Data_Returns!B123</f>
        <v>-0.00555054000735622</v>
      </c>
      <c r="D81" s="32" t="n">
        <f aca="false">B81-($B$5+$B$6*C81)</f>
        <v>0.000508859680572863</v>
      </c>
      <c r="F81" s="30" t="n">
        <f aca="false">Data_Returns!A123</f>
        <v>44977</v>
      </c>
      <c r="G81" s="31" t="n">
        <f aca="false">Data_Returns!AA123</f>
        <v>-0.00318167353800686</v>
      </c>
      <c r="H81" s="31" t="n">
        <f aca="false">Data_Returns!B123</f>
        <v>-0.00555054000735622</v>
      </c>
      <c r="I81" s="32" t="n">
        <f aca="false">G81-($G$5+$G$6*H81)</f>
        <v>-0.00200019437930932</v>
      </c>
      <c r="K81" s="30" t="n">
        <f aca="false">Data_Returns!A442</f>
        <v>45449</v>
      </c>
      <c r="L81" s="31" t="n">
        <f aca="false">Data_Returns!Z442</f>
        <v>-0.013863240320025</v>
      </c>
      <c r="M81" s="31" t="n">
        <f aca="false">Data_Returns!B442</f>
        <v>0.00888801455326749</v>
      </c>
      <c r="N81" s="32" t="n">
        <f aca="false">L81-($L$5+$L$6*M81)</f>
        <v>-0.0125410578876032</v>
      </c>
      <c r="P81" s="30" t="n">
        <f aca="false">Data_Returns!A442</f>
        <v>45449</v>
      </c>
      <c r="Q81" s="31" t="n">
        <f aca="false">Data_Returns!AA442</f>
        <v>-0.0293933031003292</v>
      </c>
      <c r="R81" s="31" t="n">
        <f aca="false">Data_Returns!B442</f>
        <v>0.00888801455326749</v>
      </c>
      <c r="S81" s="32" t="n">
        <f aca="false">Q81-($Q$5+$Q$6*R81)</f>
        <v>-0.0265648171897413</v>
      </c>
    </row>
    <row r="82" customFormat="false" ht="15" hidden="false" customHeight="false" outlineLevel="0" collapsed="false">
      <c r="A82" s="30" t="n">
        <f aca="false">Data_Returns!A124</f>
        <v>44978</v>
      </c>
      <c r="B82" s="31" t="n">
        <f aca="false">Data_Returns!Z124</f>
        <v>0.00190596321176181</v>
      </c>
      <c r="C82" s="31" t="n">
        <f aca="false">Data_Returns!B124</f>
        <v>-0.00100310458065733</v>
      </c>
      <c r="D82" s="32" t="n">
        <f aca="false">B82-($B$5+$B$6*C82)</f>
        <v>0.00196104308651112</v>
      </c>
      <c r="F82" s="30" t="n">
        <f aca="false">Data_Returns!A124</f>
        <v>44978</v>
      </c>
      <c r="G82" s="31" t="n">
        <f aca="false">Data_Returns!AA124</f>
        <v>0.00319434518812534</v>
      </c>
      <c r="H82" s="31" t="n">
        <f aca="false">Data_Returns!B124</f>
        <v>-0.00100310458065733</v>
      </c>
      <c r="I82" s="32" t="n">
        <f aca="false">G82-($G$5+$G$6*H82)</f>
        <v>0.00428582894896105</v>
      </c>
      <c r="K82" s="30" t="n">
        <f aca="false">Data_Returns!A443</f>
        <v>45450</v>
      </c>
      <c r="L82" s="31" t="n">
        <f aca="false">Data_Returns!Z443</f>
        <v>0.0130023746754832</v>
      </c>
      <c r="M82" s="31" t="n">
        <f aca="false">Data_Returns!B443</f>
        <v>0.020539931818381</v>
      </c>
      <c r="N82" s="32" t="n">
        <f aca="false">L82-($L$5+$L$6*M82)</f>
        <v>0.0154200332260432</v>
      </c>
      <c r="P82" s="30" t="n">
        <f aca="false">Data_Returns!A443</f>
        <v>45450</v>
      </c>
      <c r="Q82" s="31" t="n">
        <f aca="false">Data_Returns!AA443</f>
        <v>0.0176858807086793</v>
      </c>
      <c r="R82" s="31" t="n">
        <f aca="false">Data_Returns!B443</f>
        <v>0.020539931818381</v>
      </c>
      <c r="S82" s="32" t="n">
        <f aca="false">Q82-($Q$5+$Q$6*R82)</f>
        <v>0.0235671534659951</v>
      </c>
    </row>
    <row r="83" customFormat="false" ht="15" hidden="false" customHeight="false" outlineLevel="0" collapsed="false">
      <c r="A83" s="30" t="n">
        <f aca="false">Data_Returns!A125</f>
        <v>44979</v>
      </c>
      <c r="B83" s="31" t="n">
        <f aca="false">Data_Returns!Z125</f>
        <v>-0.00450025766922903</v>
      </c>
      <c r="C83" s="31" t="n">
        <f aca="false">Data_Returns!B125</f>
        <v>-0.0152804501113499</v>
      </c>
      <c r="D83" s="32" t="n">
        <f aca="false">B83-($B$5+$B$6*C83)</f>
        <v>-0.00669194940483167</v>
      </c>
      <c r="F83" s="30" t="n">
        <f aca="false">Data_Returns!A125</f>
        <v>44979</v>
      </c>
      <c r="G83" s="31" t="n">
        <f aca="false">Data_Returns!AA125</f>
        <v>-0.0129266520052491</v>
      </c>
      <c r="H83" s="31" t="n">
        <f aca="false">Data_Returns!B125</f>
        <v>-0.0152804501113499</v>
      </c>
      <c r="I83" s="32" t="n">
        <f aca="false">G83-($G$5+$G$6*H83)</f>
        <v>-0.0115526143935326</v>
      </c>
      <c r="K83" s="30" t="n">
        <f aca="false">Data_Returns!A444</f>
        <v>45453</v>
      </c>
      <c r="L83" s="31" t="n">
        <f aca="false">Data_Returns!Z444</f>
        <v>-0.0331907125666918</v>
      </c>
      <c r="M83" s="31" t="n">
        <f aca="false">Data_Returns!B444</f>
        <v>-0.0013288879633665</v>
      </c>
      <c r="N83" s="32" t="n">
        <f aca="false">L83-($L$5+$L$6*M83)</f>
        <v>-0.0328290907401911</v>
      </c>
      <c r="P83" s="30" t="n">
        <f aca="false">Data_Returns!A444</f>
        <v>45453</v>
      </c>
      <c r="Q83" s="31" t="n">
        <f aca="false">Data_Returns!AA444</f>
        <v>-0.0621129525476521</v>
      </c>
      <c r="R83" s="31" t="n">
        <f aca="false">Data_Returns!B444</f>
        <v>-0.0013288879633665</v>
      </c>
      <c r="S83" s="32" t="n">
        <f aca="false">Q83-($Q$5+$Q$6*R83)</f>
        <v>-0.0619612815257577</v>
      </c>
    </row>
    <row r="84" customFormat="false" ht="15" hidden="false" customHeight="false" outlineLevel="0" collapsed="false">
      <c r="A84" s="30" t="n">
        <f aca="false">Data_Returns!A126</f>
        <v>44980</v>
      </c>
      <c r="B84" s="31" t="n">
        <f aca="false">Data_Returns!Z126</f>
        <v>-0.00589532216501673</v>
      </c>
      <c r="C84" s="31" t="n">
        <f aca="false">Data_Returns!B126</f>
        <v>-0.00245239058236435</v>
      </c>
      <c r="D84" s="32" t="n">
        <f aca="false">B84-($B$5+$B$6*C84)</f>
        <v>-0.00606831092087636</v>
      </c>
      <c r="F84" s="30" t="n">
        <f aca="false">Data_Returns!A126</f>
        <v>44980</v>
      </c>
      <c r="G84" s="31" t="n">
        <f aca="false">Data_Returns!AA126</f>
        <v>-0.00132340100424174</v>
      </c>
      <c r="H84" s="31" t="n">
        <f aca="false">Data_Returns!B126</f>
        <v>-0.00245239058236435</v>
      </c>
      <c r="I84" s="32" t="n">
        <f aca="false">G84-($G$5+$G$6*H84)</f>
        <v>-0.000203235347326004</v>
      </c>
      <c r="K84" s="30" t="n">
        <f aca="false">Data_Returns!A445</f>
        <v>45454</v>
      </c>
      <c r="L84" s="31" t="n">
        <f aca="false">Data_Returns!Z445</f>
        <v>-0.0333119830290375</v>
      </c>
      <c r="M84" s="31" t="n">
        <f aca="false">Data_Returns!B445</f>
        <v>0.00024291463162962</v>
      </c>
      <c r="N84" s="32" t="n">
        <f aca="false">L84-($L$5+$L$6*M84)</f>
        <v>-0.0328025853330323</v>
      </c>
      <c r="P84" s="30" t="n">
        <f aca="false">Data_Returns!A445</f>
        <v>45454</v>
      </c>
      <c r="Q84" s="31" t="n">
        <f aca="false">Data_Returns!AA445</f>
        <v>-0.0250032452407089</v>
      </c>
      <c r="R84" s="31" t="n">
        <f aca="false">Data_Returns!B445</f>
        <v>0.00024291463162962</v>
      </c>
      <c r="S84" s="32" t="n">
        <f aca="false">Q84-($Q$5+$Q$6*R84)</f>
        <v>-0.0244397640266822</v>
      </c>
    </row>
    <row r="85" customFormat="false" ht="15" hidden="false" customHeight="false" outlineLevel="0" collapsed="false">
      <c r="A85" s="30" t="n">
        <f aca="false">Data_Returns!A127</f>
        <v>44981</v>
      </c>
      <c r="B85" s="31" t="n">
        <f aca="false">Data_Returns!Z127</f>
        <v>0.0115417346197203</v>
      </c>
      <c r="C85" s="31" t="n">
        <f aca="false">Data_Returns!B127</f>
        <v>-0.00259547433792562</v>
      </c>
      <c r="D85" s="32" t="n">
        <f aca="false">B85-($B$5+$B$6*C85)</f>
        <v>0.0113462293169853</v>
      </c>
      <c r="F85" s="30" t="n">
        <f aca="false">Data_Returns!A127</f>
        <v>44981</v>
      </c>
      <c r="G85" s="31" t="n">
        <f aca="false">Data_Returns!AA127</f>
        <v>0.00570711413227831</v>
      </c>
      <c r="H85" s="31" t="n">
        <f aca="false">Data_Returns!B127</f>
        <v>-0.00259547433792562</v>
      </c>
      <c r="I85" s="32" t="n">
        <f aca="false">G85-($G$5+$G$6*H85)</f>
        <v>0.00683011146865753</v>
      </c>
      <c r="K85" s="30" t="n">
        <f aca="false">Data_Returns!A446</f>
        <v>45455</v>
      </c>
      <c r="L85" s="31" t="n">
        <f aca="false">Data_Returns!Z446</f>
        <v>-0.0151277046373508</v>
      </c>
      <c r="M85" s="31" t="n">
        <f aca="false">Data_Returns!B446</f>
        <v>0.00249732966255967</v>
      </c>
      <c r="N85" s="32" t="n">
        <f aca="false">L85-($L$5+$L$6*M85)</f>
        <v>-0.0144063540265965</v>
      </c>
      <c r="P85" s="30" t="n">
        <f aca="false">Data_Returns!A446</f>
        <v>45455</v>
      </c>
      <c r="Q85" s="31" t="n">
        <f aca="false">Data_Returns!AA446</f>
        <v>-0.0199606871437625</v>
      </c>
      <c r="R85" s="31" t="n">
        <f aca="false">Data_Returns!B446</f>
        <v>0.00249732966255967</v>
      </c>
      <c r="S85" s="32" t="n">
        <f aca="false">Q85-($Q$5+$Q$6*R85)</f>
        <v>-0.018806552186073</v>
      </c>
    </row>
    <row r="86" customFormat="false" ht="15" hidden="false" customHeight="false" outlineLevel="0" collapsed="false">
      <c r="A86" s="30" t="n">
        <f aca="false">Data_Returns!A128</f>
        <v>44984</v>
      </c>
      <c r="B86" s="31" t="n">
        <f aca="false">Data_Returns!Z128</f>
        <v>0.00351096631668251</v>
      </c>
      <c r="C86" s="31" t="n">
        <f aca="false">Data_Returns!B128</f>
        <v>-0.00418532217247414</v>
      </c>
      <c r="D86" s="32" t="n">
        <f aca="false">B86-($B$5+$B$6*C86)</f>
        <v>0.00306527270185797</v>
      </c>
      <c r="F86" s="30" t="n">
        <f aca="false">Data_Returns!A128</f>
        <v>44984</v>
      </c>
      <c r="G86" s="31" t="n">
        <f aca="false">Data_Returns!AA128</f>
        <v>0.00727744366357632</v>
      </c>
      <c r="H86" s="31" t="n">
        <f aca="false">Data_Returns!B128</f>
        <v>-0.00418532217247414</v>
      </c>
      <c r="I86" s="32" t="n">
        <f aca="false">G86-($G$5+$G$6*H86)</f>
        <v>0.00843190466573294</v>
      </c>
      <c r="K86" s="30" t="n">
        <f aca="false">Data_Returns!A447</f>
        <v>45456</v>
      </c>
      <c r="L86" s="31" t="n">
        <f aca="false">Data_Returns!Z447</f>
        <v>0.00345762548311968</v>
      </c>
      <c r="M86" s="31" t="n">
        <f aca="false">Data_Returns!B447</f>
        <v>0.00325644911985834</v>
      </c>
      <c r="N86" s="32" t="n">
        <f aca="false">L86-($L$5+$L$6*M86)</f>
        <v>0.00425034608538378</v>
      </c>
      <c r="P86" s="30" t="n">
        <f aca="false">Data_Returns!A447</f>
        <v>45456</v>
      </c>
      <c r="Q86" s="31" t="n">
        <f aca="false">Data_Returns!AA447</f>
        <v>-0.00562403610054875</v>
      </c>
      <c r="R86" s="31" t="n">
        <f aca="false">Data_Returns!B447</f>
        <v>0.00325644911985834</v>
      </c>
      <c r="S86" s="32" t="n">
        <f aca="false">Q86-($Q$5+$Q$6*R86)</f>
        <v>-0.00427101285335213</v>
      </c>
    </row>
    <row r="87" customFormat="false" ht="15" hidden="false" customHeight="false" outlineLevel="0" collapsed="false">
      <c r="A87" s="30" t="n">
        <f aca="false">Data_Returns!A129</f>
        <v>44985</v>
      </c>
      <c r="B87" s="31" t="n">
        <f aca="false">Data_Returns!Z129</f>
        <v>-0.00606469082158343</v>
      </c>
      <c r="C87" s="31" t="n">
        <f aca="false">Data_Returns!B129</f>
        <v>-0.00510271550708052</v>
      </c>
      <c r="D87" s="32" t="n">
        <f aca="false">B87-($B$5+$B$6*C87)</f>
        <v>-0.00665475113925821</v>
      </c>
      <c r="F87" s="30" t="n">
        <f aca="false">Data_Returns!A129</f>
        <v>44985</v>
      </c>
      <c r="G87" s="31" t="n">
        <f aca="false">Data_Returns!AA129</f>
        <v>-0.00938167211391217</v>
      </c>
      <c r="H87" s="31" t="n">
        <f aca="false">Data_Returns!B129</f>
        <v>-0.00510271550708052</v>
      </c>
      <c r="I87" s="32" t="n">
        <f aca="false">G87-($G$5+$G$6*H87)</f>
        <v>-0.00820905556464014</v>
      </c>
      <c r="K87" s="30" t="n">
        <f aca="false">Data_Returns!A448</f>
        <v>45457</v>
      </c>
      <c r="L87" s="31" t="n">
        <f aca="false">Data_Returns!Z448</f>
        <v>-0.0115473101487829</v>
      </c>
      <c r="M87" s="31" t="n">
        <f aca="false">Data_Returns!B448</f>
        <v>0.00285056135117445</v>
      </c>
      <c r="N87" s="32" t="n">
        <f aca="false">L87-($L$5+$L$6*M87)</f>
        <v>-0.0107927498206712</v>
      </c>
      <c r="P87" s="30" t="n">
        <f aca="false">Data_Returns!A448</f>
        <v>45457</v>
      </c>
      <c r="Q87" s="31" t="n">
        <f aca="false">Data_Returns!AA448</f>
        <v>-0.0122159945811429</v>
      </c>
      <c r="R87" s="31" t="n">
        <f aca="false">Data_Returns!B448</f>
        <v>0.00285056135117445</v>
      </c>
      <c r="S87" s="32" t="n">
        <f aca="false">Q87-($Q$5+$Q$6*R87)</f>
        <v>-0.0109693133902185</v>
      </c>
    </row>
    <row r="88" customFormat="false" ht="15" hidden="false" customHeight="false" outlineLevel="0" collapsed="false">
      <c r="A88" s="30" t="n">
        <f aca="false">Data_Returns!A130</f>
        <v>44986</v>
      </c>
      <c r="B88" s="31" t="n">
        <f aca="false">Data_Returns!Z130</f>
        <v>-0.00030803078854412</v>
      </c>
      <c r="C88" s="31" t="n">
        <f aca="false">Data_Returns!B130</f>
        <v>0.00849228066424135</v>
      </c>
      <c r="D88" s="32" t="n">
        <f aca="false">B88-($B$5+$B$6*C88)</f>
        <v>0.00124130177846726</v>
      </c>
      <c r="F88" s="30" t="n">
        <f aca="false">Data_Returns!A130</f>
        <v>44986</v>
      </c>
      <c r="G88" s="31" t="n">
        <f aca="false">Data_Returns!AA130</f>
        <v>-0.00151806257702891</v>
      </c>
      <c r="H88" s="31" t="n">
        <f aca="false">Data_Returns!B130</f>
        <v>0.00849228066424135</v>
      </c>
      <c r="I88" s="32" t="n">
        <f aca="false">G88-($G$5+$G$6*H88)</f>
        <v>-0.000614495937115647</v>
      </c>
      <c r="K88" s="30" t="n">
        <f aca="false">Data_Returns!A449</f>
        <v>45461</v>
      </c>
      <c r="L88" s="31" t="n">
        <f aca="false">Data_Returns!Z449</f>
        <v>-0.013917397226372</v>
      </c>
      <c r="M88" s="31" t="n">
        <f aca="false">Data_Returns!B449</f>
        <v>0.00393341742806497</v>
      </c>
      <c r="N88" s="32" t="n">
        <f aca="false">L88-($L$5+$L$6*M88)</f>
        <v>-0.0130610302217602</v>
      </c>
      <c r="P88" s="30" t="n">
        <f aca="false">Data_Returns!A449</f>
        <v>45461</v>
      </c>
      <c r="Q88" s="31" t="n">
        <f aca="false">Data_Returns!AA449</f>
        <v>-0.0247504563363635</v>
      </c>
      <c r="R88" s="31" t="n">
        <f aca="false">Data_Returns!B449</f>
        <v>0.00393341742806497</v>
      </c>
      <c r="S88" s="32" t="n">
        <f aca="false">Q88-($Q$5+$Q$6*R88)</f>
        <v>-0.0232200682916041</v>
      </c>
    </row>
    <row r="89" customFormat="false" ht="15" hidden="false" customHeight="false" outlineLevel="0" collapsed="false">
      <c r="A89" s="30" t="n">
        <f aca="false">Data_Returns!A131</f>
        <v>44987</v>
      </c>
      <c r="B89" s="31" t="n">
        <f aca="false">Data_Returns!Z131</f>
        <v>-0.00324213828049598</v>
      </c>
      <c r="C89" s="31" t="n">
        <f aca="false">Data_Returns!B131</f>
        <v>-0.00739216888527239</v>
      </c>
      <c r="D89" s="32" t="n">
        <f aca="false">B89-($B$5+$B$6*C89)</f>
        <v>-0.00419248117606928</v>
      </c>
      <c r="F89" s="30" t="n">
        <f aca="false">Data_Returns!A131</f>
        <v>44987</v>
      </c>
      <c r="G89" s="31" t="n">
        <f aca="false">Data_Returns!AA131</f>
        <v>-0.00615054603961396</v>
      </c>
      <c r="H89" s="31" t="n">
        <f aca="false">Data_Returns!B131</f>
        <v>-0.00739216888527239</v>
      </c>
      <c r="I89" s="32" t="n">
        <f aca="false">G89-($G$5+$G$6*H89)</f>
        <v>-0.00493262037689158</v>
      </c>
      <c r="K89" s="30" t="n">
        <f aca="false">Data_Returns!A450</f>
        <v>45462</v>
      </c>
      <c r="L89" s="31" t="n">
        <f aca="false">Data_Returns!Z450</f>
        <v>0.000376770402899755</v>
      </c>
      <c r="M89" s="31" t="n">
        <f aca="false">Data_Returns!B450</f>
        <v>-0.00177859656420998</v>
      </c>
      <c r="N89" s="32" t="n">
        <f aca="false">L89-($L$5+$L$6*M89)</f>
        <v>0.000696112060297282</v>
      </c>
      <c r="P89" s="30" t="n">
        <f aca="false">Data_Returns!A450</f>
        <v>45462</v>
      </c>
      <c r="Q89" s="31" t="n">
        <f aca="false">Data_Returns!AA450</f>
        <v>-0.00382587780361284</v>
      </c>
      <c r="R89" s="31" t="n">
        <f aca="false">Data_Returns!B450</f>
        <v>-0.00177859656420998</v>
      </c>
      <c r="S89" s="32" t="n">
        <f aca="false">Q89-($Q$5+$Q$6*R89)</f>
        <v>-0.00379202983781125</v>
      </c>
    </row>
    <row r="90" customFormat="false" ht="15" hidden="false" customHeight="false" outlineLevel="0" collapsed="false">
      <c r="A90" s="30" t="n">
        <f aca="false">Data_Returns!A132</f>
        <v>44988</v>
      </c>
      <c r="B90" s="31" t="n">
        <f aca="false">Data_Returns!Z132</f>
        <v>6.58011772012856E-005</v>
      </c>
      <c r="C90" s="31" t="n">
        <f aca="false">Data_Returns!B132</f>
        <v>0.0157286440863875</v>
      </c>
      <c r="D90" s="32" t="n">
        <f aca="false">B90-($B$5+$B$6*C90)</f>
        <v>0.00275389275681174</v>
      </c>
      <c r="F90" s="30" t="n">
        <f aca="false">Data_Returns!A132</f>
        <v>44988</v>
      </c>
      <c r="G90" s="31" t="n">
        <f aca="false">Data_Returns!AA132</f>
        <v>0.00407987251726623</v>
      </c>
      <c r="H90" s="31" t="n">
        <f aca="false">Data_Returns!B132</f>
        <v>0.0157286440863875</v>
      </c>
      <c r="I90" s="32" t="n">
        <f aca="false">G90-($G$5+$G$6*H90)</f>
        <v>0.00484022889817829</v>
      </c>
      <c r="K90" s="30" t="n">
        <f aca="false">Data_Returns!A451</f>
        <v>45463</v>
      </c>
      <c r="L90" s="31" t="n">
        <f aca="false">Data_Returns!Z451</f>
        <v>0.016603975105007</v>
      </c>
      <c r="M90" s="31" t="n">
        <f aca="false">Data_Returns!B451</f>
        <v>0.00216873617962232</v>
      </c>
      <c r="N90" s="32" t="n">
        <f aca="false">L90-($L$5+$L$6*M90)</f>
        <v>0.0172944324039617</v>
      </c>
      <c r="P90" s="30" t="n">
        <f aca="false">Data_Returns!A451</f>
        <v>45463</v>
      </c>
      <c r="Q90" s="31" t="n">
        <f aca="false">Data_Returns!AA451</f>
        <v>0.017200931679754</v>
      </c>
      <c r="R90" s="31" t="n">
        <f aca="false">Data_Returns!B451</f>
        <v>0.00216873617962232</v>
      </c>
      <c r="S90" s="32" t="n">
        <f aca="false">Q90-($Q$5+$Q$6*R90)</f>
        <v>0.0182689755813702</v>
      </c>
    </row>
    <row r="91" customFormat="false" ht="15" hidden="false" customHeight="false" outlineLevel="0" collapsed="false">
      <c r="A91" s="30" t="n">
        <f aca="false">Data_Returns!A133</f>
        <v>44991</v>
      </c>
      <c r="B91" s="31" t="n">
        <f aca="false">Data_Returns!Z133</f>
        <v>0.00576913712338386</v>
      </c>
      <c r="C91" s="31" t="n">
        <f aca="false">Data_Returns!B133</f>
        <v>0.00665554567233251</v>
      </c>
      <c r="D91" s="32" t="n">
        <f aca="false">B91-($B$5+$B$6*C91)</f>
        <v>0.00702942968455596</v>
      </c>
      <c r="F91" s="30" t="n">
        <f aca="false">Data_Returns!A133</f>
        <v>44991</v>
      </c>
      <c r="G91" s="31" t="n">
        <f aca="false">Data_Returns!AA133</f>
        <v>0.00793892322605115</v>
      </c>
      <c r="H91" s="31" t="n">
        <f aca="false">Data_Returns!B133</f>
        <v>0.00665554567233251</v>
      </c>
      <c r="I91" s="32" t="n">
        <f aca="false">G91-($G$5+$G$6*H91)</f>
        <v>0.00887883951820864</v>
      </c>
      <c r="K91" s="30" t="n">
        <f aca="false">Data_Returns!A452</f>
        <v>45464</v>
      </c>
      <c r="L91" s="31" t="n">
        <f aca="false">Data_Returns!Z452</f>
        <v>-0.000883267520296767</v>
      </c>
      <c r="M91" s="31" t="n">
        <f aca="false">Data_Returns!B452</f>
        <v>-0.0027962829380066</v>
      </c>
      <c r="N91" s="32" t="n">
        <f aca="false">L91-($L$5+$L$6*M91)</f>
        <v>-0.000659605491657579</v>
      </c>
      <c r="P91" s="30" t="n">
        <f aca="false">Data_Returns!A452</f>
        <v>45464</v>
      </c>
      <c r="Q91" s="31" t="n">
        <f aca="false">Data_Returns!AA452</f>
        <v>-0.00336293667725866</v>
      </c>
      <c r="R91" s="31" t="n">
        <f aca="false">Data_Returns!B452</f>
        <v>-0.0027962829380066</v>
      </c>
      <c r="S91" s="32" t="n">
        <f aca="false">Q91-($Q$5+$Q$6*R91)</f>
        <v>-0.0035957211896435</v>
      </c>
    </row>
    <row r="92" customFormat="false" ht="15" hidden="false" customHeight="false" outlineLevel="0" collapsed="false">
      <c r="A92" s="30" t="n">
        <f aca="false">Data_Returns!A134</f>
        <v>44993</v>
      </c>
      <c r="B92" s="31" t="n">
        <f aca="false">Data_Returns!Z134</f>
        <v>-0.0136601935680054</v>
      </c>
      <c r="C92" s="31" t="n">
        <f aca="false">Data_Returns!B134</f>
        <v>0.00242498496735166</v>
      </c>
      <c r="D92" s="32" t="n">
        <f aca="false">B92-($B$5+$B$6*C92)</f>
        <v>-0.0130656482682824</v>
      </c>
      <c r="F92" s="30" t="n">
        <f aca="false">Data_Returns!A134</f>
        <v>44993</v>
      </c>
      <c r="G92" s="31" t="n">
        <f aca="false">Data_Returns!AA134</f>
        <v>-0.0202471484896577</v>
      </c>
      <c r="H92" s="31" t="n">
        <f aca="false">Data_Returns!B134</f>
        <v>0.00242498496735166</v>
      </c>
      <c r="I92" s="32" t="n">
        <f aca="false">G92-($G$5+$G$6*H92)</f>
        <v>-0.0192235078654101</v>
      </c>
      <c r="K92" s="30" t="n">
        <f aca="false">Data_Returns!A453</f>
        <v>45467</v>
      </c>
      <c r="L92" s="31" t="n">
        <f aca="false">Data_Returns!Z453</f>
        <v>-0.00419585533966638</v>
      </c>
      <c r="M92" s="31" t="n">
        <f aca="false">Data_Returns!B453</f>
        <v>0.00156375659011698</v>
      </c>
      <c r="N92" s="32" t="n">
        <f aca="false">L92-($L$5+$L$6*M92)</f>
        <v>-0.0035622762932074</v>
      </c>
      <c r="P92" s="30" t="n">
        <f aca="false">Data_Returns!A453</f>
        <v>45467</v>
      </c>
      <c r="Q92" s="31" t="n">
        <f aca="false">Data_Returns!AA453</f>
        <v>-0.000381503858343864</v>
      </c>
      <c r="R92" s="31" t="n">
        <f aca="false">Data_Returns!B453</f>
        <v>0.00156375659011698</v>
      </c>
      <c r="S92" s="32" t="n">
        <f aca="false">Q92-($Q$5+$Q$6*R92)</f>
        <v>0.000528036194389948</v>
      </c>
    </row>
    <row r="93" customFormat="false" ht="15" hidden="false" customHeight="false" outlineLevel="0" collapsed="false">
      <c r="A93" s="30" t="n">
        <f aca="false">Data_Returns!A135</f>
        <v>44994</v>
      </c>
      <c r="B93" s="31" t="n">
        <f aca="false">Data_Returns!Z135</f>
        <v>0.0181417864089959</v>
      </c>
      <c r="C93" s="31" t="n">
        <f aca="false">Data_Returns!B135</f>
        <v>-0.00928220610102304</v>
      </c>
      <c r="D93" s="32" t="n">
        <f aca="false">B93-($B$5+$B$6*C93)</f>
        <v>0.0168940155391729</v>
      </c>
      <c r="F93" s="30" t="n">
        <f aca="false">Data_Returns!A135</f>
        <v>44994</v>
      </c>
      <c r="G93" s="31" t="n">
        <f aca="false">Data_Returns!AA135</f>
        <v>0.0233634772349246</v>
      </c>
      <c r="H93" s="31" t="n">
        <f aca="false">Data_Returns!B135</f>
        <v>-0.00928220610102304</v>
      </c>
      <c r="I93" s="32" t="n">
        <f aca="false">G93-($G$5+$G$6*H93)</f>
        <v>0.0246188074202503</v>
      </c>
      <c r="K93" s="30" t="n">
        <f aca="false">Data_Returns!A454</f>
        <v>45468</v>
      </c>
      <c r="L93" s="31" t="n">
        <f aca="false">Data_Returns!Z454</f>
        <v>-0.0164588948310084</v>
      </c>
      <c r="M93" s="31" t="n">
        <f aca="false">Data_Returns!B454</f>
        <v>0.00779382993773869</v>
      </c>
      <c r="N93" s="32" t="n">
        <f aca="false">L93-($L$5+$L$6*M93)</f>
        <v>-0.0152395841481771</v>
      </c>
      <c r="P93" s="30" t="n">
        <f aca="false">Data_Returns!A454</f>
        <v>45468</v>
      </c>
      <c r="Q93" s="31" t="n">
        <f aca="false">Data_Returns!AA454</f>
        <v>-0.00688113202674999</v>
      </c>
      <c r="R93" s="31" t="n">
        <f aca="false">Data_Returns!B454</f>
        <v>0.00779382993773869</v>
      </c>
      <c r="S93" s="32" t="n">
        <f aca="false">Q93-($Q$5+$Q$6*R93)</f>
        <v>-0.0043393210320731</v>
      </c>
    </row>
    <row r="94" customFormat="false" ht="15" hidden="false" customHeight="false" outlineLevel="0" collapsed="false">
      <c r="A94" s="30" t="n">
        <f aca="false">Data_Returns!A136</f>
        <v>44995</v>
      </c>
      <c r="B94" s="31" t="n">
        <f aca="false">Data_Returns!Z136</f>
        <v>0.00101659713150685</v>
      </c>
      <c r="C94" s="31" t="n">
        <f aca="false">Data_Returns!B136</f>
        <v>-0.0100457088279436</v>
      </c>
      <c r="D94" s="32" t="n">
        <f aca="false">B94-($B$5+$B$6*C94)</f>
        <v>-0.000351323261039697</v>
      </c>
      <c r="F94" s="30" t="n">
        <f aca="false">Data_Returns!A136</f>
        <v>44995</v>
      </c>
      <c r="G94" s="31" t="n">
        <f aca="false">Data_Returns!AA136</f>
        <v>0.00251077824792732</v>
      </c>
      <c r="H94" s="31" t="n">
        <f aca="false">Data_Returns!B136</f>
        <v>-0.0100457088279436</v>
      </c>
      <c r="I94" s="32" t="n">
        <f aca="false">G94-($G$5+$G$6*H94)</f>
        <v>0.0037812184293784</v>
      </c>
      <c r="K94" s="30" t="n">
        <f aca="false">Data_Returns!A455</f>
        <v>45469</v>
      </c>
      <c r="L94" s="31" t="n">
        <f aca="false">Data_Returns!Z455</f>
        <v>-0.00580552009093757</v>
      </c>
      <c r="M94" s="31" t="n">
        <f aca="false">Data_Returns!B455</f>
        <v>0.00621804032662632</v>
      </c>
      <c r="N94" s="32" t="n">
        <f aca="false">L94-($L$5+$L$6*M94)</f>
        <v>-0.00473436012415649</v>
      </c>
      <c r="P94" s="30" t="n">
        <f aca="false">Data_Returns!A455</f>
        <v>45469</v>
      </c>
      <c r="Q94" s="31" t="n">
        <f aca="false">Data_Returns!AA455</f>
        <v>-0.0122133851435447</v>
      </c>
      <c r="R94" s="31" t="n">
        <f aca="false">Data_Returns!B455</f>
        <v>0.00621804032662632</v>
      </c>
      <c r="S94" s="32" t="n">
        <f aca="false">Q94-($Q$5+$Q$6*R94)</f>
        <v>-0.0100844289339269</v>
      </c>
    </row>
    <row r="95" customFormat="false" ht="15" hidden="false" customHeight="false" outlineLevel="0" collapsed="false">
      <c r="A95" s="30" t="n">
        <f aca="false">Data_Returns!A137</f>
        <v>44998</v>
      </c>
      <c r="B95" s="31" t="n">
        <f aca="false">Data_Returns!Z137</f>
        <v>0.00715437301406967</v>
      </c>
      <c r="C95" s="31" t="n">
        <f aca="false">Data_Returns!B137</f>
        <v>-0.0148510586978621</v>
      </c>
      <c r="D95" s="32" t="n">
        <f aca="false">B95-($B$5+$B$6*C95)</f>
        <v>0.00503025297346309</v>
      </c>
      <c r="F95" s="30" t="n">
        <f aca="false">Data_Returns!A137</f>
        <v>44998</v>
      </c>
      <c r="G95" s="31" t="n">
        <f aca="false">Data_Returns!AA137</f>
        <v>0.00825010340645151</v>
      </c>
      <c r="H95" s="31" t="n">
        <f aca="false">Data_Returns!B137</f>
        <v>-0.0148510586978621</v>
      </c>
      <c r="I95" s="32" t="n">
        <f aca="false">G95-($G$5+$G$6*H95)</f>
        <v>0.00961564320622142</v>
      </c>
      <c r="K95" s="30" t="n">
        <f aca="false">Data_Returns!A456</f>
        <v>45470</v>
      </c>
      <c r="L95" s="31" t="n">
        <f aca="false">Data_Returns!Z456</f>
        <v>-0.0150022782061353</v>
      </c>
      <c r="M95" s="31" t="n">
        <f aca="false">Data_Returns!B456</f>
        <v>0.00736107387049212</v>
      </c>
      <c r="N95" s="32" t="n">
        <f aca="false">L95-($L$5+$L$6*M95)</f>
        <v>-0.0138236538692385</v>
      </c>
      <c r="P95" s="30" t="n">
        <f aca="false">Data_Returns!A456</f>
        <v>45470</v>
      </c>
      <c r="Q95" s="31" t="n">
        <f aca="false">Data_Returns!AA456</f>
        <v>-0.0124949154719652</v>
      </c>
      <c r="R95" s="31" t="n">
        <f aca="false">Data_Returns!B456</f>
        <v>0.00736107387049212</v>
      </c>
      <c r="S95" s="32" t="n">
        <f aca="false">Q95-($Q$5+$Q$6*R95)</f>
        <v>-0.010066485992096</v>
      </c>
    </row>
    <row r="96" customFormat="false" ht="15" hidden="false" customHeight="false" outlineLevel="0" collapsed="false">
      <c r="A96" s="30" t="n">
        <f aca="false">Data_Returns!A138</f>
        <v>44999</v>
      </c>
      <c r="B96" s="31" t="n">
        <f aca="false">Data_Returns!Z138</f>
        <v>0.021143067785655</v>
      </c>
      <c r="C96" s="31" t="n">
        <f aca="false">Data_Returns!B138</f>
        <v>-0.00647068082055224</v>
      </c>
      <c r="D96" s="32" t="n">
        <f aca="false">B96-($B$5+$B$6*C96)</f>
        <v>0.0203377359650495</v>
      </c>
      <c r="F96" s="30" t="n">
        <f aca="false">Data_Returns!A138</f>
        <v>44999</v>
      </c>
      <c r="G96" s="31" t="n">
        <f aca="false">Data_Returns!AA138</f>
        <v>0.0145868837483345</v>
      </c>
      <c r="H96" s="31" t="n">
        <f aca="false">Data_Returns!B138</f>
        <v>-0.00647068082055224</v>
      </c>
      <c r="I96" s="32" t="n">
        <f aca="false">G96-($G$5+$G$6*H96)</f>
        <v>0.0157865728277461</v>
      </c>
      <c r="K96" s="30" t="n">
        <f aca="false">Data_Returns!A457</f>
        <v>45471</v>
      </c>
      <c r="L96" s="31" t="n">
        <f aca="false">Data_Returns!Z457</f>
        <v>0.000181247172110777</v>
      </c>
      <c r="M96" s="31" t="n">
        <f aca="false">Data_Returns!B457</f>
        <v>-0.00140988583667789</v>
      </c>
      <c r="N96" s="32" t="n">
        <f aca="false">L96-($L$5+$L$6*M96)</f>
        <v>0.000535253836761842</v>
      </c>
      <c r="P96" s="30" t="n">
        <f aca="false">Data_Returns!A457</f>
        <v>45471</v>
      </c>
      <c r="Q96" s="31" t="n">
        <f aca="false">Data_Returns!AA457</f>
        <v>-0.00712306856977289</v>
      </c>
      <c r="R96" s="31" t="n">
        <f aca="false">Data_Returns!B457</f>
        <v>-0.00140988583667789</v>
      </c>
      <c r="S96" s="32" t="n">
        <f aca="false">Q96-($Q$5+$Q$6*R96)</f>
        <v>-0.00699261888310022</v>
      </c>
    </row>
    <row r="97" customFormat="false" ht="15" hidden="false" customHeight="false" outlineLevel="0" collapsed="false">
      <c r="A97" s="30" t="n">
        <f aca="false">Data_Returns!A139</f>
        <v>45000</v>
      </c>
      <c r="B97" s="31" t="n">
        <f aca="false">Data_Returns!Z139</f>
        <v>0.00196776198017013</v>
      </c>
      <c r="C97" s="31" t="n">
        <f aca="false">Data_Returns!B139</f>
        <v>-0.00417466101048492</v>
      </c>
      <c r="D97" s="32" t="n">
        <f aca="false">B97-($B$5+$B$6*C97)</f>
        <v>0.001523746071894</v>
      </c>
      <c r="F97" s="30" t="n">
        <f aca="false">Data_Returns!A139</f>
        <v>45000</v>
      </c>
      <c r="G97" s="31" t="n">
        <f aca="false">Data_Returns!AA139</f>
        <v>0.00120400438319372</v>
      </c>
      <c r="H97" s="31" t="n">
        <f aca="false">Data_Returns!B139</f>
        <v>-0.00417466101048492</v>
      </c>
      <c r="I97" s="32" t="n">
        <f aca="false">G97-($G$5+$G$6*H97)</f>
        <v>0.00235825439708445</v>
      </c>
      <c r="K97" s="30" t="n">
        <f aca="false">Data_Returns!A458</f>
        <v>45474</v>
      </c>
      <c r="L97" s="31" t="n">
        <f aca="false">Data_Returns!Z458</f>
        <v>-0.0139321141562745</v>
      </c>
      <c r="M97" s="31" t="n">
        <f aca="false">Data_Returns!B458</f>
        <v>0.00547050052893305</v>
      </c>
      <c r="N97" s="32" t="n">
        <f aca="false">L97-($L$5+$L$6*M97)</f>
        <v>-0.01293123549832</v>
      </c>
      <c r="P97" s="30" t="n">
        <f aca="false">Data_Returns!A458</f>
        <v>45474</v>
      </c>
      <c r="Q97" s="31" t="n">
        <f aca="false">Data_Returns!AA458</f>
        <v>-0.00934006284839724</v>
      </c>
      <c r="R97" s="31" t="n">
        <f aca="false">Data_Returns!B458</f>
        <v>0.00547050052893305</v>
      </c>
      <c r="S97" s="32" t="n">
        <f aca="false">Q97-($Q$5+$Q$6*R97)</f>
        <v>-0.00740696107285065</v>
      </c>
    </row>
    <row r="98" customFormat="false" ht="15" hidden="false" customHeight="false" outlineLevel="0" collapsed="false">
      <c r="A98" s="30" t="n">
        <f aca="false">Data_Returns!A140</f>
        <v>45001</v>
      </c>
      <c r="B98" s="31" t="n">
        <f aca="false">Data_Returns!Z140</f>
        <v>0.010324726106894</v>
      </c>
      <c r="C98" s="31" t="n">
        <f aca="false">Data_Returns!B140</f>
        <v>0.000792474730661574</v>
      </c>
      <c r="D98" s="32" t="n">
        <f aca="false">B98-($B$5+$B$6*C98)</f>
        <v>0.0106623694744252</v>
      </c>
      <c r="F98" s="30" t="n">
        <f aca="false">Data_Returns!A140</f>
        <v>45001</v>
      </c>
      <c r="G98" s="31" t="n">
        <f aca="false">Data_Returns!AA140</f>
        <v>0.00926347054565596</v>
      </c>
      <c r="H98" s="31" t="n">
        <f aca="false">Data_Returns!B140</f>
        <v>0.000792474730661574</v>
      </c>
      <c r="I98" s="32" t="n">
        <f aca="false">G98-($G$5+$G$6*H98)</f>
        <v>0.0103194191401063</v>
      </c>
      <c r="K98" s="30" t="n">
        <f aca="false">Data_Returns!A459</f>
        <v>45475</v>
      </c>
      <c r="L98" s="31" t="n">
        <f aca="false">Data_Returns!Z459</f>
        <v>0.00613485005452794</v>
      </c>
      <c r="M98" s="31" t="n">
        <f aca="false">Data_Returns!B459</f>
        <v>-0.000749732312427254</v>
      </c>
      <c r="N98" s="32" t="n">
        <f aca="false">L98-($L$5+$L$6*M98)</f>
        <v>0.00655092224914003</v>
      </c>
      <c r="P98" s="30" t="n">
        <f aca="false">Data_Returns!A459</f>
        <v>45475</v>
      </c>
      <c r="Q98" s="31" t="n">
        <f aca="false">Data_Returns!AA459</f>
        <v>0.00469117160941348</v>
      </c>
      <c r="R98" s="31" t="n">
        <f aca="false">Data_Returns!B459</f>
        <v>-0.000749732312427254</v>
      </c>
      <c r="S98" s="32" t="n">
        <f aca="false">Q98-($Q$5+$Q$6*R98)</f>
        <v>0.00499458064258678</v>
      </c>
    </row>
    <row r="99" customFormat="false" ht="15" hidden="false" customHeight="false" outlineLevel="0" collapsed="false">
      <c r="A99" s="30" t="n">
        <f aca="false">Data_Returns!A141</f>
        <v>45002</v>
      </c>
      <c r="B99" s="31" t="n">
        <f aca="false">Data_Returns!Z141</f>
        <v>-0.00117681801656386</v>
      </c>
      <c r="C99" s="31" t="n">
        <f aca="false">Data_Returns!B141</f>
        <v>0.00673806047475511</v>
      </c>
      <c r="D99" s="32" t="n">
        <f aca="false">B99-($B$5+$B$6*C99)</f>
        <v>9.64595854982555E-005</v>
      </c>
      <c r="F99" s="30" t="n">
        <f aca="false">Data_Returns!A141</f>
        <v>45002</v>
      </c>
      <c r="G99" s="31" t="n">
        <f aca="false">Data_Returns!AA141</f>
        <v>0.00437649525126055</v>
      </c>
      <c r="H99" s="31" t="n">
        <f aca="false">Data_Returns!B141</f>
        <v>0.00673806047475511</v>
      </c>
      <c r="I99" s="32" t="n">
        <f aca="false">G99-($G$5+$G$6*H99)</f>
        <v>0.00531477854552434</v>
      </c>
      <c r="K99" s="30" t="n">
        <f aca="false">Data_Returns!A460</f>
        <v>45476</v>
      </c>
      <c r="L99" s="31" t="n">
        <f aca="false">Data_Returns!Z460</f>
        <v>-0.00623476592301753</v>
      </c>
      <c r="M99" s="31" t="n">
        <f aca="false">Data_Returns!B460</f>
        <v>0.00674229030606655</v>
      </c>
      <c r="N99" s="32" t="n">
        <f aca="false">L99-($L$5+$L$6*M99)</f>
        <v>-0.00511431764433513</v>
      </c>
      <c r="P99" s="30" t="n">
        <f aca="false">Data_Returns!A460</f>
        <v>45476</v>
      </c>
      <c r="Q99" s="31" t="n">
        <f aca="false">Data_Returns!AA460</f>
        <v>-0.00544100920804354</v>
      </c>
      <c r="R99" s="31" t="n">
        <f aca="false">Data_Returns!B460</f>
        <v>0.00674229030606655</v>
      </c>
      <c r="S99" s="32" t="n">
        <f aca="false">Q99-($Q$5+$Q$6*R99)</f>
        <v>-0.00317470020015068</v>
      </c>
    </row>
    <row r="100" customFormat="false" ht="15" hidden="false" customHeight="false" outlineLevel="0" collapsed="false">
      <c r="A100" s="30" t="n">
        <f aca="false">Data_Returns!A142</f>
        <v>45005</v>
      </c>
      <c r="B100" s="31" t="n">
        <f aca="false">Data_Returns!Z142</f>
        <v>-0.0124512666554093</v>
      </c>
      <c r="C100" s="31" t="n">
        <f aca="false">Data_Returns!B142</f>
        <v>-0.00652922067479322</v>
      </c>
      <c r="D100" s="32" t="n">
        <f aca="false">B100-($B$5+$B$6*C100)</f>
        <v>-0.0132658106704175</v>
      </c>
      <c r="F100" s="30" t="n">
        <f aca="false">Data_Returns!A142</f>
        <v>45005</v>
      </c>
      <c r="G100" s="31" t="n">
        <f aca="false">Data_Returns!AA142</f>
        <v>-0.0317253665194078</v>
      </c>
      <c r="H100" s="31" t="n">
        <f aca="false">Data_Returns!B142</f>
        <v>-0.00652922067479322</v>
      </c>
      <c r="I100" s="32" t="n">
        <f aca="false">G100-($G$5+$G$6*H100)</f>
        <v>-0.0305245189150301</v>
      </c>
      <c r="K100" s="30" t="n">
        <f aca="false">Data_Returns!A461</f>
        <v>45477</v>
      </c>
      <c r="L100" s="31" t="n">
        <f aca="false">Data_Returns!Z461</f>
        <v>0.0114850165715663</v>
      </c>
      <c r="M100" s="31" t="n">
        <f aca="false">Data_Returns!B461</f>
        <v>0.000644390916764603</v>
      </c>
      <c r="N100" s="32" t="n">
        <f aca="false">L100-($L$5+$L$6*M100)</f>
        <v>0.0120321597881032</v>
      </c>
      <c r="P100" s="30" t="n">
        <f aca="false">Data_Returns!A461</f>
        <v>45477</v>
      </c>
      <c r="Q100" s="31" t="n">
        <f aca="false">Data_Returns!AA461</f>
        <v>0.0127928599185638</v>
      </c>
      <c r="R100" s="31" t="n">
        <f aca="false">Data_Returns!B461</f>
        <v>0.000644390916764603</v>
      </c>
      <c r="S100" s="32" t="n">
        <f aca="false">Q100-($Q$5+$Q$6*R100)</f>
        <v>0.0134615273860325</v>
      </c>
    </row>
    <row r="101" customFormat="false" ht="15" hidden="false" customHeight="false" outlineLevel="0" collapsed="false">
      <c r="A101" s="30" t="n">
        <f aca="false">Data_Returns!A143</f>
        <v>45006</v>
      </c>
      <c r="B101" s="31" t="n">
        <f aca="false">Data_Returns!Z143</f>
        <v>0.0186484099448337</v>
      </c>
      <c r="C101" s="31" t="n">
        <f aca="false">Data_Returns!B143</f>
        <v>0.00701066610157519</v>
      </c>
      <c r="D101" s="32" t="n">
        <f aca="false">B101-($B$5+$B$6*C101)</f>
        <v>0.0199645864584508</v>
      </c>
      <c r="F101" s="30" t="n">
        <f aca="false">Data_Returns!A143</f>
        <v>45006</v>
      </c>
      <c r="G101" s="31" t="n">
        <f aca="false">Data_Returns!AA143</f>
        <v>0.0165223733478673</v>
      </c>
      <c r="H101" s="31" t="n">
        <f aca="false">Data_Returns!B143</f>
        <v>0.00701066610157519</v>
      </c>
      <c r="I101" s="32" t="n">
        <f aca="false">G101-($G$5+$G$6*H101)</f>
        <v>0.0174552616778176</v>
      </c>
      <c r="K101" s="30" t="n">
        <f aca="false">Data_Returns!A462</f>
        <v>45478</v>
      </c>
      <c r="L101" s="31" t="n">
        <f aca="false">Data_Returns!Z462</f>
        <v>0.00937306855287755</v>
      </c>
      <c r="M101" s="31" t="n">
        <f aca="false">Data_Returns!B462</f>
        <v>0.000892925111564136</v>
      </c>
      <c r="N101" s="32" t="n">
        <f aca="false">L101-($L$5+$L$6*M101)</f>
        <v>0.0099435781621504</v>
      </c>
      <c r="P101" s="30" t="n">
        <f aca="false">Data_Returns!A462</f>
        <v>45478</v>
      </c>
      <c r="Q101" s="31" t="n">
        <f aca="false">Data_Returns!AA462</f>
        <v>0.0134313315673441</v>
      </c>
      <c r="R101" s="31" t="n">
        <f aca="false">Data_Returns!B462</f>
        <v>0.000892925111564136</v>
      </c>
      <c r="S101" s="32" t="n">
        <f aca="false">Q101-($Q$5+$Q$6*R101)</f>
        <v>0.0141651146637332</v>
      </c>
    </row>
    <row r="102" customFormat="false" ht="15" hidden="false" customHeight="false" outlineLevel="0" collapsed="false">
      <c r="A102" s="30" t="n">
        <f aca="false">Data_Returns!A144</f>
        <v>45007</v>
      </c>
      <c r="B102" s="31" t="n">
        <f aca="false">Data_Returns!Z144</f>
        <v>-0.00659827682736162</v>
      </c>
      <c r="C102" s="31" t="n">
        <f aca="false">Data_Returns!B144</f>
        <v>0.00259535291538815</v>
      </c>
      <c r="D102" s="32" t="n">
        <f aca="false">B102-($B$5+$B$6*C102)</f>
        <v>-0.00597692137107702</v>
      </c>
      <c r="F102" s="30" t="n">
        <f aca="false">Data_Returns!A144</f>
        <v>45007</v>
      </c>
      <c r="G102" s="31" t="n">
        <f aca="false">Data_Returns!AA144</f>
        <v>0.00100176208297189</v>
      </c>
      <c r="H102" s="31" t="n">
        <f aca="false">Data_Returns!B144</f>
        <v>0.00259535291538815</v>
      </c>
      <c r="I102" s="32" t="n">
        <f aca="false">G102-($G$5+$G$6*H102)</f>
        <v>0.00202203106368249</v>
      </c>
      <c r="K102" s="30" t="n">
        <f aca="false">Data_Returns!A463</f>
        <v>45481</v>
      </c>
      <c r="L102" s="31" t="n">
        <f aca="false">Data_Returns!Z463</f>
        <v>-0.00456804549389261</v>
      </c>
      <c r="M102" s="31" t="n">
        <f aca="false">Data_Returns!B463</f>
        <v>-0.000135669312218201</v>
      </c>
      <c r="N102" s="32" t="n">
        <f aca="false">L102-($L$5+$L$6*M102)</f>
        <v>-0.00409424105346588</v>
      </c>
      <c r="P102" s="30" t="n">
        <f aca="false">Data_Returns!A463</f>
        <v>45481</v>
      </c>
      <c r="Q102" s="31" t="n">
        <f aca="false">Data_Returns!AA463</f>
        <v>0.00362130739402644</v>
      </c>
      <c r="R102" s="31" t="n">
        <f aca="false">Data_Returns!B463</f>
        <v>-0.000135669312218201</v>
      </c>
      <c r="S102" s="32" t="n">
        <f aca="false">Q102-($Q$5+$Q$6*R102)</f>
        <v>0.0040856001176215</v>
      </c>
    </row>
    <row r="103" customFormat="false" ht="15" hidden="false" customHeight="false" outlineLevel="0" collapsed="false">
      <c r="A103" s="30" t="n">
        <f aca="false">Data_Returns!A145</f>
        <v>45008</v>
      </c>
      <c r="B103" s="31" t="n">
        <f aca="false">Data_Returns!Z145</f>
        <v>0.0104198298116601</v>
      </c>
      <c r="C103" s="31" t="n">
        <f aca="false">Data_Returns!B145</f>
        <v>-0.0043726934042293</v>
      </c>
      <c r="D103" s="32" t="n">
        <f aca="false">B103-($B$5+$B$6*C103)</f>
        <v>0.00994465029812985</v>
      </c>
      <c r="F103" s="30" t="n">
        <f aca="false">Data_Returns!A145</f>
        <v>45008</v>
      </c>
      <c r="G103" s="31" t="n">
        <f aca="false">Data_Returns!AA145</f>
        <v>0.00877894358198667</v>
      </c>
      <c r="H103" s="31" t="n">
        <f aca="false">Data_Returns!B145</f>
        <v>-0.0043726934042293</v>
      </c>
      <c r="I103" s="32" t="n">
        <f aca="false">G103-($G$5+$G$6*H103)</f>
        <v>0.00993711272883747</v>
      </c>
      <c r="K103" s="30" t="n">
        <f aca="false">Data_Returns!A464</f>
        <v>45482</v>
      </c>
      <c r="L103" s="31" t="n">
        <f aca="false">Data_Returns!Z464</f>
        <v>-0.00132498923729387</v>
      </c>
      <c r="M103" s="31" t="n">
        <f aca="false">Data_Returns!B464</f>
        <v>0.00463188538088155</v>
      </c>
      <c r="N103" s="32" t="n">
        <f aca="false">L103-($L$5+$L$6*M103)</f>
        <v>-0.000402954502283251</v>
      </c>
      <c r="P103" s="30" t="n">
        <f aca="false">Data_Returns!A464</f>
        <v>45482</v>
      </c>
      <c r="Q103" s="31" t="n">
        <f aca="false">Data_Returns!AA464</f>
        <v>-0.00292636706628398</v>
      </c>
      <c r="R103" s="31" t="n">
        <f aca="false">Data_Returns!B464</f>
        <v>0.00463188538088155</v>
      </c>
      <c r="S103" s="32" t="n">
        <f aca="false">Q103-($Q$5+$Q$6*R103)</f>
        <v>-0.00121298134563107</v>
      </c>
    </row>
    <row r="104" customFormat="false" ht="15" hidden="false" customHeight="false" outlineLevel="0" collapsed="false">
      <c r="A104" s="30" t="n">
        <f aca="false">Data_Returns!A146</f>
        <v>45009</v>
      </c>
      <c r="B104" s="31" t="n">
        <f aca="false">Data_Returns!Z146</f>
        <v>0.00273122135510747</v>
      </c>
      <c r="C104" s="31" t="n">
        <f aca="false">Data_Returns!B146</f>
        <v>-0.00772095637967096</v>
      </c>
      <c r="D104" s="32" t="n">
        <f aca="false">B104-($B$5+$B$6*C104)</f>
        <v>0.00172913842097689</v>
      </c>
      <c r="F104" s="30" t="n">
        <f aca="false">Data_Returns!A146</f>
        <v>45009</v>
      </c>
      <c r="G104" s="31" t="n">
        <f aca="false">Data_Returns!AA146</f>
        <v>0.00783563592622211</v>
      </c>
      <c r="H104" s="31" t="n">
        <f aca="false">Data_Returns!B146</f>
        <v>-0.00772095637967096</v>
      </c>
      <c r="I104" s="32" t="n">
        <f aca="false">G104-($G$5+$G$6*H104)</f>
        <v>0.00906006841281199</v>
      </c>
      <c r="K104" s="30" t="n">
        <f aca="false">Data_Returns!A465</f>
        <v>45483</v>
      </c>
      <c r="L104" s="31" t="n">
        <f aca="false">Data_Returns!Z465</f>
        <v>-0.0100880099872133</v>
      </c>
      <c r="M104" s="31" t="n">
        <f aca="false">Data_Returns!B465</f>
        <v>-0.00445091105544915</v>
      </c>
      <c r="N104" s="32" t="n">
        <f aca="false">L104-($L$5+$L$6*M104)</f>
        <v>-0.0100199108196738</v>
      </c>
      <c r="P104" s="30" t="n">
        <f aca="false">Data_Returns!A465</f>
        <v>45483</v>
      </c>
      <c r="Q104" s="31" t="n">
        <f aca="false">Data_Returns!AA465</f>
        <v>-0.00633529159896597</v>
      </c>
      <c r="R104" s="31" t="n">
        <f aca="false">Data_Returns!B465</f>
        <v>-0.00445091105544915</v>
      </c>
      <c r="S104" s="32" t="n">
        <f aca="false">Q104-($Q$5+$Q$6*R104)</f>
        <v>-0.00700158648035064</v>
      </c>
    </row>
    <row r="105" customFormat="false" ht="15" hidden="false" customHeight="false" outlineLevel="0" collapsed="false">
      <c r="A105" s="30" t="n">
        <f aca="false">Data_Returns!A147</f>
        <v>45012</v>
      </c>
      <c r="B105" s="31" t="n">
        <f aca="false">Data_Returns!Z147</f>
        <v>0.00784084054676587</v>
      </c>
      <c r="C105" s="31" t="n">
        <f aca="false">Data_Returns!B147</f>
        <v>0.0023989306611667</v>
      </c>
      <c r="D105" s="32" t="n">
        <f aca="false">B105-($B$5+$B$6*C105)</f>
        <v>0.00843128577933434</v>
      </c>
      <c r="F105" s="30" t="n">
        <f aca="false">Data_Returns!A147</f>
        <v>45012</v>
      </c>
      <c r="G105" s="31" t="n">
        <f aca="false">Data_Returns!AA147</f>
        <v>0.0103671889256178</v>
      </c>
      <c r="H105" s="31" t="n">
        <f aca="false">Data_Returns!B147</f>
        <v>0.0023989306611667</v>
      </c>
      <c r="I105" s="32" t="n">
        <f aca="false">G105-($G$5+$G$6*H105)</f>
        <v>0.0113913451740428</v>
      </c>
      <c r="K105" s="30" t="n">
        <f aca="false">Data_Returns!A466</f>
        <v>45484</v>
      </c>
      <c r="L105" s="31" t="n">
        <f aca="false">Data_Returns!Z466</f>
        <v>-0.00277271067320095</v>
      </c>
      <c r="M105" s="31" t="n">
        <f aca="false">Data_Returns!B466</f>
        <v>-0.000349442638990838</v>
      </c>
      <c r="N105" s="32" t="n">
        <f aca="false">L105-($L$5+$L$6*M105)</f>
        <v>-0.00231900451950643</v>
      </c>
      <c r="P105" s="30" t="n">
        <f aca="false">Data_Returns!A466</f>
        <v>45484</v>
      </c>
      <c r="Q105" s="31" t="n">
        <f aca="false">Data_Returns!AA466</f>
        <v>-0.0103462906274223</v>
      </c>
      <c r="R105" s="31" t="n">
        <f aca="false">Data_Returns!B466</f>
        <v>-0.000349442638990838</v>
      </c>
      <c r="S105" s="32" t="n">
        <f aca="false">Q105-($Q$5+$Q$6*R105)</f>
        <v>-0.00993800623149595</v>
      </c>
    </row>
    <row r="106" customFormat="false" ht="15" hidden="false" customHeight="false" outlineLevel="0" collapsed="false">
      <c r="A106" s="30" t="n">
        <f aca="false">Data_Returns!A148</f>
        <v>45013</v>
      </c>
      <c r="B106" s="31" t="n">
        <f aca="false">Data_Returns!Z148</f>
        <v>0.00655304257338547</v>
      </c>
      <c r="C106" s="31" t="n">
        <f aca="false">Data_Returns!B148</f>
        <v>-0.00200168376928833</v>
      </c>
      <c r="D106" s="32" t="n">
        <f aca="false">B106-($B$5+$B$6*C106)</f>
        <v>0.00645097983595374</v>
      </c>
      <c r="F106" s="30" t="n">
        <f aca="false">Data_Returns!A148</f>
        <v>45013</v>
      </c>
      <c r="G106" s="31" t="n">
        <f aca="false">Data_Returns!AA148</f>
        <v>-0.00324218371145394</v>
      </c>
      <c r="H106" s="31" t="n">
        <f aca="false">Data_Returns!B148</f>
        <v>-0.00200168376928833</v>
      </c>
      <c r="I106" s="32" t="n">
        <f aca="false">G106-($G$5+$G$6*H106)</f>
        <v>-0.00213093770598035</v>
      </c>
      <c r="K106" s="30" t="n">
        <f aca="false">Data_Returns!A467</f>
        <v>45485</v>
      </c>
      <c r="L106" s="31" t="n">
        <f aca="false">Data_Returns!Z467</f>
        <v>0.00367800372419584</v>
      </c>
      <c r="M106" s="31" t="n">
        <f aca="false">Data_Returns!B467</f>
        <v>0.00765752520464957</v>
      </c>
      <c r="N106" s="32" t="n">
        <f aca="false">L106-($L$5+$L$6*M106)</f>
        <v>0.0048844994705243</v>
      </c>
      <c r="P106" s="30" t="n">
        <f aca="false">Data_Returns!A467</f>
        <v>45485</v>
      </c>
      <c r="Q106" s="31" t="n">
        <f aca="false">Data_Returns!AA467</f>
        <v>0.00347408816221386</v>
      </c>
      <c r="R106" s="31" t="n">
        <f aca="false">Data_Returns!B467</f>
        <v>0.00765752520464957</v>
      </c>
      <c r="S106" s="32" t="n">
        <f aca="false">Q106-($Q$5+$Q$6*R106)</f>
        <v>0.00598018749786901</v>
      </c>
    </row>
    <row r="107" customFormat="false" ht="15" hidden="false" customHeight="false" outlineLevel="0" collapsed="false">
      <c r="A107" s="30" t="n">
        <f aca="false">Data_Returns!A149</f>
        <v>45014</v>
      </c>
      <c r="B107" s="31" t="n">
        <f aca="false">Data_Returns!Z149</f>
        <v>0.00565297614203705</v>
      </c>
      <c r="C107" s="31" t="n">
        <f aca="false">Data_Returns!B149</f>
        <v>0.00760985623860733</v>
      </c>
      <c r="D107" s="32" t="n">
        <f aca="false">B107-($B$5+$B$6*C107)</f>
        <v>0.00706344493051666</v>
      </c>
      <c r="F107" s="30" t="n">
        <f aca="false">Data_Returns!A149</f>
        <v>45014</v>
      </c>
      <c r="G107" s="31" t="n">
        <f aca="false">Data_Returns!AA149</f>
        <v>0.00228137660499148</v>
      </c>
      <c r="H107" s="31" t="n">
        <f aca="false">Data_Returns!B149</f>
        <v>0.00760985623860733</v>
      </c>
      <c r="I107" s="32" t="n">
        <f aca="false">G107-($G$5+$G$6*H107)</f>
        <v>0.0032024067446175</v>
      </c>
      <c r="K107" s="30" t="n">
        <f aca="false">Data_Returns!A468</f>
        <v>45488</v>
      </c>
      <c r="L107" s="31" t="n">
        <f aca="false">Data_Returns!Z468</f>
        <v>-0.00278830636655684</v>
      </c>
      <c r="M107" s="31" t="n">
        <f aca="false">Data_Returns!B468</f>
        <v>0.00345071759008908</v>
      </c>
      <c r="N107" s="32" t="n">
        <f aca="false">L107-($L$5+$L$6*M107)</f>
        <v>-0.00197732126199643</v>
      </c>
      <c r="P107" s="30" t="n">
        <f aca="false">Data_Returns!A468</f>
        <v>45488</v>
      </c>
      <c r="Q107" s="31" t="n">
        <f aca="false">Data_Returns!AA468</f>
        <v>-0.00788727814868059</v>
      </c>
      <c r="R107" s="31" t="n">
        <f aca="false">Data_Returns!B468</f>
        <v>0.00345071759008908</v>
      </c>
      <c r="S107" s="32" t="n">
        <f aca="false">Q107-($Q$5+$Q$6*R107)</f>
        <v>-0.00648335682032181</v>
      </c>
    </row>
    <row r="108" customFormat="false" ht="15" hidden="false" customHeight="false" outlineLevel="0" collapsed="false">
      <c r="A108" s="30" t="n">
        <f aca="false">Data_Returns!A150</f>
        <v>45016</v>
      </c>
      <c r="B108" s="31" t="n">
        <f aca="false">Data_Returns!Z150</f>
        <v>-0.0101370610137097</v>
      </c>
      <c r="C108" s="31" t="n">
        <f aca="false">Data_Returns!B150</f>
        <v>0.0163371524586229</v>
      </c>
      <c r="D108" s="32" t="n">
        <f aca="false">B108-($B$5+$B$6*C108)</f>
        <v>-0.00735321078397336</v>
      </c>
      <c r="F108" s="30" t="n">
        <f aca="false">Data_Returns!A150</f>
        <v>45016</v>
      </c>
      <c r="G108" s="31" t="n">
        <f aca="false">Data_Returns!AA150</f>
        <v>-0.0116452076957232</v>
      </c>
      <c r="H108" s="31" t="n">
        <f aca="false">Data_Returns!B150</f>
        <v>0.0163371524586229</v>
      </c>
      <c r="I108" s="32" t="n">
        <f aca="false">G108-($G$5+$G$6*H108)</f>
        <v>-0.0108968939163927</v>
      </c>
      <c r="K108" s="30" t="n">
        <f aca="false">Data_Returns!A469</f>
        <v>45489</v>
      </c>
      <c r="L108" s="31" t="n">
        <f aca="false">Data_Returns!Z469</f>
        <v>-0.00547242590863648</v>
      </c>
      <c r="M108" s="31" t="n">
        <f aca="false">Data_Returns!B469</f>
        <v>0.00106968401615504</v>
      </c>
      <c r="N108" s="32" t="n">
        <f aca="false">L108-($L$5+$L$6*M108)</f>
        <v>-0.00488529799061307</v>
      </c>
      <c r="P108" s="30" t="n">
        <f aca="false">Data_Returns!A469</f>
        <v>45489</v>
      </c>
      <c r="Q108" s="31" t="n">
        <f aca="false">Data_Returns!AA469</f>
        <v>0.00834442780593714</v>
      </c>
      <c r="R108" s="31" t="n">
        <f aca="false">Data_Returns!B469</f>
        <v>0.00106968401615504</v>
      </c>
      <c r="S108" s="32" t="n">
        <f aca="false">Q108-($Q$5+$Q$6*R108)</f>
        <v>0.0091245215005479</v>
      </c>
    </row>
    <row r="109" customFormat="false" ht="15" hidden="false" customHeight="false" outlineLevel="0" collapsed="false">
      <c r="A109" s="30" t="n">
        <f aca="false">Data_Returns!A151</f>
        <v>45019</v>
      </c>
      <c r="B109" s="31" t="n">
        <f aca="false">Data_Returns!Z151</f>
        <v>-0.00810153835708625</v>
      </c>
      <c r="C109" s="31" t="n">
        <f aca="false">Data_Returns!B151</f>
        <v>0.00220625297023291</v>
      </c>
      <c r="D109" s="32" t="n">
        <f aca="false">B109-($B$5+$B$6*C109)</f>
        <v>-0.00754141408053915</v>
      </c>
      <c r="F109" s="30" t="n">
        <f aca="false">Data_Returns!A151</f>
        <v>45019</v>
      </c>
      <c r="G109" s="31" t="n">
        <f aca="false">Data_Returns!AA151</f>
        <v>-0.00892860586035009</v>
      </c>
      <c r="H109" s="31" t="n">
        <f aca="false">Data_Returns!B151</f>
        <v>0.00220625297023291</v>
      </c>
      <c r="I109" s="32" t="n">
        <f aca="false">G109-($G$5+$G$6*H109)</f>
        <v>-0.00790063645047744</v>
      </c>
      <c r="K109" s="30" t="n">
        <f aca="false">Data_Returns!A470</f>
        <v>45491</v>
      </c>
      <c r="L109" s="31" t="n">
        <f aca="false">Data_Returns!Z470</f>
        <v>0.00637366722954879</v>
      </c>
      <c r="M109" s="31" t="n">
        <f aca="false">Data_Returns!B470</f>
        <v>0.00763214561410641</v>
      </c>
      <c r="N109" s="32" t="n">
        <f aca="false">L109-($L$5+$L$6*M109)</f>
        <v>0.00757777686767757</v>
      </c>
      <c r="P109" s="30" t="n">
        <f aca="false">Data_Returns!A470</f>
        <v>45491</v>
      </c>
      <c r="Q109" s="31" t="n">
        <f aca="false">Data_Returns!AA470</f>
        <v>0.00466342942997344</v>
      </c>
      <c r="R109" s="31" t="n">
        <f aca="false">Data_Returns!B470</f>
        <v>0.00763214561410641</v>
      </c>
      <c r="S109" s="32" t="n">
        <f aca="false">Q109-($Q$5+$Q$6*R109)</f>
        <v>0.00716287934661688</v>
      </c>
    </row>
    <row r="110" customFormat="false" ht="15" hidden="false" customHeight="false" outlineLevel="0" collapsed="false">
      <c r="A110" s="30" t="n">
        <f aca="false">Data_Returns!A152</f>
        <v>45021</v>
      </c>
      <c r="B110" s="31" t="n">
        <f aca="false">Data_Returns!Z152</f>
        <v>0.00234908265904227</v>
      </c>
      <c r="C110" s="31" t="n">
        <f aca="false">Data_Returns!B152</f>
        <v>0.009138955227741</v>
      </c>
      <c r="D110" s="32" t="n">
        <f aca="false">B110-($B$5+$B$6*C110)</f>
        <v>0.00400017994466218</v>
      </c>
      <c r="F110" s="30" t="n">
        <f aca="false">Data_Returns!A152</f>
        <v>45021</v>
      </c>
      <c r="G110" s="31" t="n">
        <f aca="false">Data_Returns!AA152</f>
        <v>-0.00488061756833565</v>
      </c>
      <c r="H110" s="31" t="n">
        <f aca="false">Data_Returns!B152</f>
        <v>0.009138955227741</v>
      </c>
      <c r="I110" s="32" t="n">
        <f aca="false">G110-($G$5+$G$6*H110)</f>
        <v>-0.00398984885278379</v>
      </c>
      <c r="K110" s="30" t="n">
        <f aca="false">Data_Returns!A471</f>
        <v>45492</v>
      </c>
      <c r="L110" s="31" t="n">
        <f aca="false">Data_Returns!Z471</f>
        <v>0.0123833102626084</v>
      </c>
      <c r="M110" s="31" t="n">
        <f aca="false">Data_Returns!B471</f>
        <v>-0.0108847075805868</v>
      </c>
      <c r="N110" s="32" t="n">
        <f aca="false">L110-($L$5+$L$6*M110)</f>
        <v>0.0118465243900394</v>
      </c>
      <c r="P110" s="30" t="n">
        <f aca="false">Data_Returns!A471</f>
        <v>45492</v>
      </c>
      <c r="Q110" s="31" t="n">
        <f aca="false">Data_Returns!AA471</f>
        <v>0.00889993446090977</v>
      </c>
      <c r="R110" s="31" t="n">
        <f aca="false">Data_Returns!B471</f>
        <v>-0.0108847075805868</v>
      </c>
      <c r="S110" s="32" t="n">
        <f aca="false">Q110-($Q$5+$Q$6*R110)</f>
        <v>0.00654799343566944</v>
      </c>
    </row>
    <row r="111" customFormat="false" ht="15" hidden="false" customHeight="false" outlineLevel="0" collapsed="false">
      <c r="A111" s="30" t="n">
        <f aca="false">Data_Returns!A153</f>
        <v>45022</v>
      </c>
      <c r="B111" s="31" t="n">
        <f aca="false">Data_Returns!Z153</f>
        <v>0.0216395134745844</v>
      </c>
      <c r="C111" s="31" t="n">
        <f aca="false">Data_Returns!B153</f>
        <v>0.00239789714103456</v>
      </c>
      <c r="D111" s="32" t="n">
        <f aca="false">B111-($B$5+$B$6*C111)</f>
        <v>0.0222297960660172</v>
      </c>
      <c r="F111" s="30" t="n">
        <f aca="false">Data_Returns!A153</f>
        <v>45022</v>
      </c>
      <c r="G111" s="31" t="n">
        <f aca="false">Data_Returns!AA153</f>
        <v>0.00892704894774338</v>
      </c>
      <c r="H111" s="31" t="n">
        <f aca="false">Data_Returns!B153</f>
        <v>0.00239789714103456</v>
      </c>
      <c r="I111" s="32" t="n">
        <f aca="false">G111-($G$5+$G$6*H111)</f>
        <v>0.00995122564990698</v>
      </c>
      <c r="K111" s="30" t="n">
        <f aca="false">Data_Returns!A472</f>
        <v>45495</v>
      </c>
      <c r="L111" s="31" t="n">
        <f aca="false">Data_Returns!Z472</f>
        <v>-0.0238696861297218</v>
      </c>
      <c r="M111" s="31" t="n">
        <f aca="false">Data_Returns!B472</f>
        <v>-0.000882560362644669</v>
      </c>
      <c r="N111" s="32" t="n">
        <f aca="false">L111-($L$5+$L$6*M111)</f>
        <v>-0.0234661020049716</v>
      </c>
      <c r="P111" s="30" t="n">
        <f aca="false">Data_Returns!A472</f>
        <v>45495</v>
      </c>
      <c r="Q111" s="31" t="n">
        <f aca="false">Data_Returns!AA472</f>
        <v>-0.021094519553124</v>
      </c>
      <c r="R111" s="31" t="n">
        <f aca="false">Data_Returns!B472</f>
        <v>-0.000882560362644669</v>
      </c>
      <c r="S111" s="32" t="n">
        <f aca="false">Q111-($Q$5+$Q$6*R111)</f>
        <v>-0.020825911292678</v>
      </c>
    </row>
    <row r="112" customFormat="false" ht="15" hidden="false" customHeight="false" outlineLevel="0" collapsed="false">
      <c r="A112" s="30" t="n">
        <f aca="false">Data_Returns!A154</f>
        <v>45026</v>
      </c>
      <c r="B112" s="31" t="n">
        <f aca="false">Data_Returns!Z154</f>
        <v>-0.0147704704135646</v>
      </c>
      <c r="C112" s="31" t="n">
        <f aca="false">Data_Returns!B154</f>
        <v>0.00141484105766465</v>
      </c>
      <c r="D112" s="32" t="n">
        <f aca="false">B112-($B$5+$B$6*C112)</f>
        <v>-0.0143348876222278</v>
      </c>
      <c r="F112" s="30" t="n">
        <f aca="false">Data_Returns!A154</f>
        <v>45026</v>
      </c>
      <c r="G112" s="31" t="n">
        <f aca="false">Data_Returns!AA154</f>
        <v>-0.0219483793874249</v>
      </c>
      <c r="H112" s="31" t="n">
        <f aca="false">Data_Returns!B154</f>
        <v>0.00141484105766465</v>
      </c>
      <c r="I112" s="32" t="n">
        <f aca="false">G112-($G$5+$G$6*H112)</f>
        <v>-0.0209047476485116</v>
      </c>
      <c r="K112" s="30" t="n">
        <f aca="false">Data_Returns!A473</f>
        <v>45496</v>
      </c>
      <c r="L112" s="31" t="n">
        <f aca="false">Data_Returns!Z473</f>
        <v>0.00891938859733199</v>
      </c>
      <c r="M112" s="31" t="n">
        <f aca="false">Data_Returns!B473</f>
        <v>-0.00123218784744539</v>
      </c>
      <c r="N112" s="32" t="n">
        <f aca="false">L112-($L$5+$L$6*M112)</f>
        <v>0.00929010186047807</v>
      </c>
      <c r="P112" s="30" t="n">
        <f aca="false">Data_Returns!A473</f>
        <v>45496</v>
      </c>
      <c r="Q112" s="31" t="n">
        <f aca="false">Data_Returns!AA473</f>
        <v>0.00394063448142706</v>
      </c>
      <c r="R112" s="31" t="n">
        <f aca="false">Data_Returns!B473</f>
        <v>-0.00123218784744539</v>
      </c>
      <c r="S112" s="32" t="n">
        <f aca="false">Q112-($Q$5+$Q$6*R112)</f>
        <v>0.00411764080525019</v>
      </c>
    </row>
    <row r="113" customFormat="false" ht="15" hidden="false" customHeight="false" outlineLevel="0" collapsed="false">
      <c r="A113" s="30" t="n">
        <f aca="false">Data_Returns!A155</f>
        <v>45027</v>
      </c>
      <c r="B113" s="31" t="n">
        <f aca="false">Data_Returns!Z155</f>
        <v>-0.002659129495658</v>
      </c>
      <c r="C113" s="31" t="n">
        <f aca="false">Data_Returns!B155</f>
        <v>0.0055747685690859</v>
      </c>
      <c r="D113" s="32" t="n">
        <f aca="false">B113-($B$5+$B$6*C113)</f>
        <v>-0.00156891472012699</v>
      </c>
      <c r="F113" s="30" t="n">
        <f aca="false">Data_Returns!A155</f>
        <v>45027</v>
      </c>
      <c r="G113" s="31" t="n">
        <f aca="false">Data_Returns!AA155</f>
        <v>0.000985098068485531</v>
      </c>
      <c r="H113" s="31" t="n">
        <f aca="false">Data_Returns!B155</f>
        <v>0.0055747685690859</v>
      </c>
      <c r="I113" s="32" t="n">
        <f aca="false">G113-($G$5+$G$6*H113)</f>
        <v>0.00194640333184986</v>
      </c>
      <c r="K113" s="30" t="n">
        <f aca="false">Data_Returns!A474</f>
        <v>45497</v>
      </c>
      <c r="L113" s="31" t="n">
        <f aca="false">Data_Returns!Z474</f>
        <v>-0.00128279818126827</v>
      </c>
      <c r="M113" s="31" t="n">
        <f aca="false">Data_Returns!B474</f>
        <v>-0.00267779999632334</v>
      </c>
      <c r="N113" s="32" t="n">
        <f aca="false">L113-($L$5+$L$6*M113)</f>
        <v>-0.00104799676414326</v>
      </c>
      <c r="P113" s="30" t="n">
        <f aca="false">Data_Returns!A474</f>
        <v>45497</v>
      </c>
      <c r="Q113" s="31" t="n">
        <f aca="false">Data_Returns!AA474</f>
        <v>-0.0129964887048902</v>
      </c>
      <c r="R113" s="31" t="n">
        <f aca="false">Data_Returns!B474</f>
        <v>-0.00267779999632334</v>
      </c>
      <c r="S113" s="32" t="n">
        <f aca="false">Q113-($Q$5+$Q$6*R113)</f>
        <v>-0.0131982308439297</v>
      </c>
    </row>
    <row r="114" customFormat="false" ht="15" hidden="false" customHeight="false" outlineLevel="0" collapsed="false">
      <c r="A114" s="30" t="n">
        <f aca="false">Data_Returns!A156</f>
        <v>45028</v>
      </c>
      <c r="B114" s="31" t="n">
        <f aca="false">Data_Returns!Z156</f>
        <v>-0.000619141906746568</v>
      </c>
      <c r="C114" s="31" t="n">
        <f aca="false">Data_Returns!B156</f>
        <v>0.00508399022700234</v>
      </c>
      <c r="D114" s="32" t="n">
        <f aca="false">B114-($B$5+$B$6*C114)</f>
        <v>0.000393840946113766</v>
      </c>
      <c r="F114" s="30" t="n">
        <f aca="false">Data_Returns!A156</f>
        <v>45028</v>
      </c>
      <c r="G114" s="31" t="n">
        <f aca="false">Data_Returns!AA156</f>
        <v>0.00188581051415872</v>
      </c>
      <c r="H114" s="31" t="n">
        <f aca="false">Data_Returns!B156</f>
        <v>0.00508399022700234</v>
      </c>
      <c r="I114" s="32" t="n">
        <f aca="false">G114-($G$5+$G$6*H114)</f>
        <v>0.00285682845907065</v>
      </c>
      <c r="K114" s="30" t="n">
        <f aca="false">Data_Returns!A475</f>
        <v>45498</v>
      </c>
      <c r="L114" s="31" t="n">
        <f aca="false">Data_Returns!Z475</f>
        <v>-0.012918030767613</v>
      </c>
      <c r="M114" s="31" t="n">
        <f aca="false">Data_Returns!B475</f>
        <v>-0.00030311098367708</v>
      </c>
      <c r="N114" s="32" t="n">
        <f aca="false">L114-($L$5+$L$6*M114)</f>
        <v>-0.0124599686593785</v>
      </c>
      <c r="P114" s="30" t="n">
        <f aca="false">Data_Returns!A475</f>
        <v>45498</v>
      </c>
      <c r="Q114" s="31" t="n">
        <f aca="false">Data_Returns!AA475</f>
        <v>-0.00912989450110872</v>
      </c>
      <c r="R114" s="31" t="n">
        <f aca="false">Data_Returns!B475</f>
        <v>-0.00030311098367708</v>
      </c>
      <c r="S114" s="32" t="n">
        <f aca="false">Q114-($Q$5+$Q$6*R114)</f>
        <v>-0.00870947127303044</v>
      </c>
    </row>
    <row r="115" customFormat="false" ht="15" hidden="false" customHeight="false" outlineLevel="0" collapsed="false">
      <c r="A115" s="30" t="n">
        <f aca="false">Data_Returns!A157</f>
        <v>45029</v>
      </c>
      <c r="B115" s="31" t="n">
        <f aca="false">Data_Returns!Z157</f>
        <v>0.0144427673153531</v>
      </c>
      <c r="C115" s="31" t="n">
        <f aca="false">Data_Returns!B157</f>
        <v>0.000875794390424511</v>
      </c>
      <c r="D115" s="32" t="n">
        <f aca="false">B115-($B$5+$B$6*C115)</f>
        <v>0.0147935223811155</v>
      </c>
      <c r="F115" s="30" t="n">
        <f aca="false">Data_Returns!A157</f>
        <v>45029</v>
      </c>
      <c r="G115" s="31" t="n">
        <f aca="false">Data_Returns!AA157</f>
        <v>0.0177621372914627</v>
      </c>
      <c r="H115" s="31" t="n">
        <f aca="false">Data_Returns!B157</f>
        <v>0.000875794390424511</v>
      </c>
      <c r="I115" s="32" t="n">
        <f aca="false">G115-($G$5+$G$6*H115)</f>
        <v>0.0188164369596004</v>
      </c>
      <c r="K115" s="30" t="n">
        <f aca="false">Data_Returns!A476</f>
        <v>45499</v>
      </c>
      <c r="L115" s="31" t="n">
        <f aca="false">Data_Returns!Z476</f>
        <v>0.00349625159855523</v>
      </c>
      <c r="M115" s="31" t="n">
        <f aca="false">Data_Returns!B476</f>
        <v>0.0175673294791057</v>
      </c>
      <c r="N115" s="32" t="n">
        <f aca="false">L115-($L$5+$L$6*M115)</f>
        <v>0.00563443555302044</v>
      </c>
      <c r="P115" s="30" t="n">
        <f aca="false">Data_Returns!A476</f>
        <v>45499</v>
      </c>
      <c r="Q115" s="31" t="n">
        <f aca="false">Data_Returns!AA476</f>
        <v>-0.00663035857334095</v>
      </c>
      <c r="R115" s="31" t="n">
        <f aca="false">Data_Returns!B476</f>
        <v>0.0175673294791057</v>
      </c>
      <c r="S115" s="32" t="n">
        <f aca="false">Q115-($Q$5+$Q$6*R115)</f>
        <v>-0.0015279036805377</v>
      </c>
    </row>
    <row r="116" customFormat="false" ht="15" hidden="false" customHeight="false" outlineLevel="0" collapsed="false">
      <c r="A116" s="30" t="n">
        <f aca="false">Data_Returns!A158</f>
        <v>45033</v>
      </c>
      <c r="B116" s="31" t="n">
        <f aca="false">Data_Returns!Z158</f>
        <v>0.00585593451908155</v>
      </c>
      <c r="C116" s="31" t="n">
        <f aca="false">Data_Returns!B158</f>
        <v>-0.00679549024007187</v>
      </c>
      <c r="D116" s="32" t="n">
        <f aca="false">B116-($B$5+$B$6*C116)</f>
        <v>0.00499948867444519</v>
      </c>
      <c r="F116" s="30" t="n">
        <f aca="false">Data_Returns!A158</f>
        <v>45033</v>
      </c>
      <c r="G116" s="31" t="n">
        <f aca="false">Data_Returns!AA158</f>
        <v>0.0144174340551821</v>
      </c>
      <c r="H116" s="31" t="n">
        <f aca="false">Data_Returns!B158</f>
        <v>-0.00679549024007187</v>
      </c>
      <c r="I116" s="32" t="n">
        <f aca="false">G116-($G$5+$G$6*H116)</f>
        <v>0.0156235512309153</v>
      </c>
      <c r="K116" s="30" t="n">
        <f aca="false">Data_Returns!A477</f>
        <v>45502</v>
      </c>
      <c r="L116" s="31" t="n">
        <f aca="false">Data_Returns!Z477</f>
        <v>0.00443149991932493</v>
      </c>
      <c r="M116" s="31" t="n">
        <f aca="false">Data_Returns!B477</f>
        <v>5.03324964717944E-005</v>
      </c>
      <c r="N116" s="32" t="n">
        <f aca="false">L116-($L$5+$L$6*M116)</f>
        <v>0.00492279165688177</v>
      </c>
      <c r="P116" s="30" t="n">
        <f aca="false">Data_Returns!A477</f>
        <v>45502</v>
      </c>
      <c r="Q116" s="31" t="n">
        <f aca="false">Data_Returns!AA477</f>
        <v>-0.00039312560020501</v>
      </c>
      <c r="R116" s="31" t="n">
        <f aca="false">Data_Returns!B477</f>
        <v>5.03324964717944E-005</v>
      </c>
      <c r="S116" s="32" t="n">
        <f aca="false">Q116-($Q$5+$Q$6*R116)</f>
        <v>0.000119899350208763</v>
      </c>
    </row>
    <row r="117" customFormat="false" ht="15" hidden="false" customHeight="false" outlineLevel="0" collapsed="false">
      <c r="A117" s="30" t="n">
        <f aca="false">Data_Returns!A159</f>
        <v>45034</v>
      </c>
      <c r="B117" s="31" t="n">
        <f aca="false">Data_Returns!Z159</f>
        <v>0.0166637853775925</v>
      </c>
      <c r="C117" s="31" t="n">
        <f aca="false">Data_Returns!B159</f>
        <v>-0.00263739739140489</v>
      </c>
      <c r="D117" s="32" t="n">
        <f aca="false">B117-($B$5+$B$6*C117)</f>
        <v>0.0164616828032447</v>
      </c>
      <c r="F117" s="30" t="n">
        <f aca="false">Data_Returns!A159</f>
        <v>45034</v>
      </c>
      <c r="G117" s="31" t="n">
        <f aca="false">Data_Returns!AA159</f>
        <v>0.01850305243847</v>
      </c>
      <c r="H117" s="31" t="n">
        <f aca="false">Data_Returns!B159</f>
        <v>-0.00263739739140489</v>
      </c>
      <c r="I117" s="32" t="n">
        <f aca="false">G117-($G$5+$G$6*H117)</f>
        <v>0.0196268794472961</v>
      </c>
      <c r="K117" s="30" t="n">
        <f aca="false">Data_Returns!A478</f>
        <v>45503</v>
      </c>
      <c r="L117" s="31" t="n">
        <f aca="false">Data_Returns!Z478</f>
        <v>0.0117339755873555</v>
      </c>
      <c r="M117" s="31" t="n">
        <f aca="false">Data_Returns!B478</f>
        <v>0.000853596176533467</v>
      </c>
      <c r="N117" s="32" t="n">
        <f aca="false">L117-($L$5+$L$6*M117)</f>
        <v>0.0123007876155267</v>
      </c>
      <c r="P117" s="30" t="n">
        <f aca="false">Data_Returns!A478</f>
        <v>45503</v>
      </c>
      <c r="Q117" s="31" t="n">
        <f aca="false">Data_Returns!AA478</f>
        <v>0.0102603422514043</v>
      </c>
      <c r="R117" s="31" t="n">
        <f aca="false">Data_Returns!B478</f>
        <v>0.000853596176533467</v>
      </c>
      <c r="S117" s="32" t="n">
        <f aca="false">Q117-($Q$5+$Q$6*R117)</f>
        <v>0.0109838212190542</v>
      </c>
    </row>
    <row r="118" customFormat="false" ht="15" hidden="false" customHeight="false" outlineLevel="0" collapsed="false">
      <c r="A118" s="30" t="n">
        <f aca="false">Data_Returns!A160</f>
        <v>45035</v>
      </c>
      <c r="B118" s="31" t="n">
        <f aca="false">Data_Returns!Z160</f>
        <v>0.00147138390501604</v>
      </c>
      <c r="C118" s="31" t="n">
        <f aca="false">Data_Returns!B160</f>
        <v>-0.00234426094908602</v>
      </c>
      <c r="D118" s="32" t="n">
        <f aca="false">B118-($B$5+$B$6*C118)</f>
        <v>0.00131541109863842</v>
      </c>
      <c r="F118" s="30" t="n">
        <f aca="false">Data_Returns!A160</f>
        <v>45035</v>
      </c>
      <c r="G118" s="31" t="n">
        <f aca="false">Data_Returns!AA160</f>
        <v>-0.00347021491683865</v>
      </c>
      <c r="H118" s="31" t="n">
        <f aca="false">Data_Returns!B160</f>
        <v>-0.00234426094908602</v>
      </c>
      <c r="I118" s="32" t="n">
        <f aca="false">G118-($G$5+$G$6*H118)</f>
        <v>-0.0023521891846177</v>
      </c>
      <c r="K118" s="30" t="n">
        <f aca="false">Data_Returns!A479</f>
        <v>45504</v>
      </c>
      <c r="L118" s="31" t="n">
        <f aca="false">Data_Returns!Z479</f>
        <v>-0.00255514907687632</v>
      </c>
      <c r="M118" s="31" t="n">
        <f aca="false">Data_Returns!B479</f>
        <v>0.00377555084421899</v>
      </c>
      <c r="N118" s="32" t="n">
        <f aca="false">L118-($L$5+$L$6*M118)</f>
        <v>-0.00171362418524226</v>
      </c>
      <c r="P118" s="30" t="n">
        <f aca="false">Data_Returns!A479</f>
        <v>45504</v>
      </c>
      <c r="Q118" s="31" t="n">
        <f aca="false">Data_Returns!AA479</f>
        <v>-0.00273945466244359</v>
      </c>
      <c r="R118" s="31" t="n">
        <f aca="false">Data_Returns!B479</f>
        <v>0.00377555084421899</v>
      </c>
      <c r="S118" s="32" t="n">
        <f aca="false">Q118-($Q$5+$Q$6*R118)</f>
        <v>-0.00125042745296458</v>
      </c>
    </row>
    <row r="119" customFormat="false" ht="15" hidden="false" customHeight="false" outlineLevel="0" collapsed="false">
      <c r="A119" s="30" t="n">
        <f aca="false">Data_Returns!A161</f>
        <v>45036</v>
      </c>
      <c r="B119" s="31" t="n">
        <f aca="false">Data_Returns!Z161</f>
        <v>-0.00119176122555154</v>
      </c>
      <c r="C119" s="31" t="n">
        <f aca="false">Data_Returns!B161</f>
        <v>0.000323518978361248</v>
      </c>
      <c r="D119" s="32" t="n">
        <f aca="false">B119-($B$5+$B$6*C119)</f>
        <v>-0.000927915642665551</v>
      </c>
      <c r="F119" s="30" t="n">
        <f aca="false">Data_Returns!A161</f>
        <v>45036</v>
      </c>
      <c r="G119" s="31" t="n">
        <f aca="false">Data_Returns!AA161</f>
        <v>-0.00121612339649091</v>
      </c>
      <c r="H119" s="31" t="n">
        <f aca="false">Data_Returns!B161</f>
        <v>0.000323518978361248</v>
      </c>
      <c r="I119" s="32" t="n">
        <f aca="false">G119-($G$5+$G$6*H119)</f>
        <v>-0.000150893997466648</v>
      </c>
      <c r="K119" s="30" t="n">
        <f aca="false">Data_Returns!A480</f>
        <v>45505</v>
      </c>
      <c r="L119" s="31" t="n">
        <f aca="false">Data_Returns!Z480</f>
        <v>0.00840357050635215</v>
      </c>
      <c r="M119" s="31" t="n">
        <f aca="false">Data_Returns!B480</f>
        <v>0.00239467920316305</v>
      </c>
      <c r="N119" s="32" t="n">
        <f aca="false">L119-($L$5+$L$6*M119)</f>
        <v>0.00911527024813552</v>
      </c>
      <c r="P119" s="30" t="n">
        <f aca="false">Data_Returns!A480</f>
        <v>45505</v>
      </c>
      <c r="Q119" s="31" t="n">
        <f aca="false">Data_Returns!AA480</f>
        <v>-0.00123484900882744</v>
      </c>
      <c r="R119" s="31" t="n">
        <f aca="false">Data_Returns!B480</f>
        <v>0.00239467920316305</v>
      </c>
      <c r="S119" s="32" t="n">
        <f aca="false">Q119-($Q$5+$Q$6*R119)</f>
        <v>-0.000107608335153706</v>
      </c>
    </row>
    <row r="120" customFormat="false" ht="15" hidden="false" customHeight="false" outlineLevel="0" collapsed="false">
      <c r="A120" s="30" t="n">
        <f aca="false">Data_Returns!A162</f>
        <v>45037</v>
      </c>
      <c r="B120" s="31" t="n">
        <f aca="false">Data_Returns!Z162</f>
        <v>0.0109064337341388</v>
      </c>
      <c r="C120" s="31" t="n">
        <f aca="false">Data_Returns!B162</f>
        <v>-2.26957436970654E-005</v>
      </c>
      <c r="D120" s="32" t="n">
        <f aca="false">B120-($B$5+$B$6*C120)</f>
        <v>0.0111157968218765</v>
      </c>
      <c r="F120" s="30" t="n">
        <f aca="false">Data_Returns!A162</f>
        <v>45037</v>
      </c>
      <c r="G120" s="31" t="n">
        <f aca="false">Data_Returns!AA162</f>
        <v>0.0165239055703607</v>
      </c>
      <c r="H120" s="31" t="n">
        <f aca="false">Data_Returns!B162</f>
        <v>-2.26957436970654E-005</v>
      </c>
      <c r="I120" s="32" t="n">
        <f aca="false">G120-($G$5+$G$6*H120)</f>
        <v>0.0175959866844141</v>
      </c>
      <c r="K120" s="30" t="n">
        <f aca="false">Data_Returns!A481</f>
        <v>45506</v>
      </c>
      <c r="L120" s="31" t="n">
        <f aca="false">Data_Returns!Z481</f>
        <v>0.013750170001949</v>
      </c>
      <c r="M120" s="31" t="n">
        <f aca="false">Data_Returns!B481</f>
        <v>-0.0117228888204743</v>
      </c>
      <c r="N120" s="32" t="n">
        <f aca="false">L120-($L$5+$L$6*M120)</f>
        <v>0.0131345810010984</v>
      </c>
      <c r="P120" s="30" t="n">
        <f aca="false">Data_Returns!A481</f>
        <v>45506</v>
      </c>
      <c r="Q120" s="31" t="n">
        <f aca="false">Data_Returns!AA481</f>
        <v>0.00951256676245269</v>
      </c>
      <c r="R120" s="31" t="n">
        <f aca="false">Data_Returns!B481</f>
        <v>-0.0117228888204743</v>
      </c>
      <c r="S120" s="32" t="n">
        <f aca="false">Q120-($Q$5+$Q$6*R120)</f>
        <v>0.00694102336568129</v>
      </c>
    </row>
    <row r="121" customFormat="false" ht="15" hidden="false" customHeight="false" outlineLevel="0" collapsed="false">
      <c r="A121" s="30" t="n">
        <f aca="false">Data_Returns!A163</f>
        <v>45040</v>
      </c>
      <c r="B121" s="31" t="n">
        <f aca="false">Data_Returns!Z163</f>
        <v>-0.00376162057008706</v>
      </c>
      <c r="C121" s="31" t="n">
        <f aca="false">Data_Returns!B163</f>
        <v>0.00677199622107305</v>
      </c>
      <c r="D121" s="32" t="n">
        <f aca="false">B121-($B$5+$B$6*C121)</f>
        <v>-0.00248300262858725</v>
      </c>
      <c r="F121" s="30" t="n">
        <f aca="false">Data_Returns!A163</f>
        <v>45040</v>
      </c>
      <c r="G121" s="31" t="n">
        <f aca="false">Data_Returns!AA163</f>
        <v>0.00417159469031149</v>
      </c>
      <c r="H121" s="31" t="n">
        <f aca="false">Data_Returns!B163</f>
        <v>0.00677199622107305</v>
      </c>
      <c r="I121" s="32" t="n">
        <f aca="false">G121-($G$5+$G$6*H121)</f>
        <v>0.00510920638383662</v>
      </c>
      <c r="K121" s="30" t="n">
        <f aca="false">Data_Returns!A482</f>
        <v>45509</v>
      </c>
      <c r="L121" s="31" t="n">
        <f aca="false">Data_Returns!Z482</f>
        <v>0.0148414246746254</v>
      </c>
      <c r="M121" s="31" t="n">
        <f aca="false">Data_Returns!B482</f>
        <v>-0.0267864728514385</v>
      </c>
      <c r="N121" s="32" t="n">
        <f aca="false">L121-($L$5+$L$6*M121)</f>
        <v>0.0128096055217725</v>
      </c>
      <c r="P121" s="30" t="n">
        <f aca="false">Data_Returns!A482</f>
        <v>45509</v>
      </c>
      <c r="Q121" s="31" t="n">
        <f aca="false">Data_Returns!AA482</f>
        <v>0.0208202403260565</v>
      </c>
      <c r="R121" s="31" t="n">
        <f aca="false">Data_Returns!B482</f>
        <v>-0.0267864728514385</v>
      </c>
      <c r="S121" s="32" t="n">
        <f aca="false">Q121-($Q$5+$Q$6*R121)</f>
        <v>0.014302057921472</v>
      </c>
    </row>
    <row r="122" customFormat="false" ht="15" hidden="false" customHeight="false" outlineLevel="0" collapsed="false">
      <c r="A122" s="30" t="n">
        <f aca="false">Data_Returns!A164</f>
        <v>45041</v>
      </c>
      <c r="B122" s="31" t="n">
        <f aca="false">Data_Returns!Z164</f>
        <v>0.00313758909383764</v>
      </c>
      <c r="C122" s="31" t="n">
        <f aca="false">Data_Returns!B164</f>
        <v>0.00145687974119957</v>
      </c>
      <c r="D122" s="32" t="n">
        <f aca="false">B122-($B$5+$B$6*C122)</f>
        <v>0.00357978735304975</v>
      </c>
      <c r="F122" s="30" t="n">
        <f aca="false">Data_Returns!A164</f>
        <v>45041</v>
      </c>
      <c r="G122" s="31" t="n">
        <f aca="false">Data_Returns!AA164</f>
        <v>0.00488505282833618</v>
      </c>
      <c r="H122" s="31" t="n">
        <f aca="false">Data_Returns!B164</f>
        <v>0.00145687974119957</v>
      </c>
      <c r="I122" s="32" t="n">
        <f aca="false">G122-($G$5+$G$6*H122)</f>
        <v>0.00592785260644185</v>
      </c>
      <c r="K122" s="30" t="n">
        <f aca="false">Data_Returns!A483</f>
        <v>45510</v>
      </c>
      <c r="L122" s="31" t="n">
        <f aca="false">Data_Returns!Z483</f>
        <v>0.000773141027503573</v>
      </c>
      <c r="M122" s="31" t="n">
        <f aca="false">Data_Returns!B483</f>
        <v>-0.00262101132376658</v>
      </c>
      <c r="N122" s="32" t="n">
        <f aca="false">L122-($L$5+$L$6*M122)</f>
        <v>0.0010132815345956</v>
      </c>
      <c r="P122" s="30" t="n">
        <f aca="false">Data_Returns!A483</f>
        <v>45510</v>
      </c>
      <c r="Q122" s="31" t="n">
        <f aca="false">Data_Returns!AA483</f>
        <v>-0.00262864973526039</v>
      </c>
      <c r="R122" s="31" t="n">
        <f aca="false">Data_Returns!B483</f>
        <v>-0.00262101132376658</v>
      </c>
      <c r="S122" s="32" t="n">
        <f aca="false">Q122-($Q$5+$Q$6*R122)</f>
        <v>-0.00281551331751997</v>
      </c>
    </row>
    <row r="123" customFormat="false" ht="15" hidden="false" customHeight="false" outlineLevel="0" collapsed="false">
      <c r="A123" s="30" t="n">
        <f aca="false">Data_Returns!A165</f>
        <v>45042</v>
      </c>
      <c r="B123" s="31" t="n">
        <f aca="false">Data_Returns!Z165</f>
        <v>0.00912587127669142</v>
      </c>
      <c r="C123" s="31" t="n">
        <f aca="false">Data_Returns!B165</f>
        <v>0.00249588474471341</v>
      </c>
      <c r="D123" s="32" t="n">
        <f aca="false">B123-($B$5+$B$6*C123)</f>
        <v>0.00973157380494922</v>
      </c>
      <c r="F123" s="30" t="n">
        <f aca="false">Data_Returns!A165</f>
        <v>45042</v>
      </c>
      <c r="G123" s="31" t="n">
        <f aca="false">Data_Returns!AA165</f>
        <v>0.00183114067804391</v>
      </c>
      <c r="H123" s="31" t="n">
        <f aca="false">Data_Returns!B165</f>
        <v>0.00249588474471341</v>
      </c>
      <c r="I123" s="32" t="n">
        <f aca="false">G123-($G$5+$G$6*H123)</f>
        <v>0.00285337816996017</v>
      </c>
      <c r="K123" s="30" t="n">
        <f aca="false">Data_Returns!A484</f>
        <v>45511</v>
      </c>
      <c r="L123" s="31" t="n">
        <f aca="false">Data_Returns!Z484</f>
        <v>0.0167073674655422</v>
      </c>
      <c r="M123" s="31" t="n">
        <f aca="false">Data_Returns!B484</f>
        <v>0.0127101954565063</v>
      </c>
      <c r="N123" s="32" t="n">
        <f aca="false">L123-($L$5+$L$6*M123)</f>
        <v>0.0183888991624184</v>
      </c>
      <c r="P123" s="30" t="n">
        <f aca="false">Data_Returns!A484</f>
        <v>45511</v>
      </c>
      <c r="Q123" s="31" t="n">
        <f aca="false">Data_Returns!AA484</f>
        <v>0.0189986778158645</v>
      </c>
      <c r="R123" s="31" t="n">
        <f aca="false">Data_Returns!B484</f>
        <v>0.0127101954565063</v>
      </c>
      <c r="S123" s="32" t="n">
        <f aca="false">Q123-($Q$5+$Q$6*R123)</f>
        <v>0.0228285700462653</v>
      </c>
    </row>
    <row r="124" customFormat="false" ht="15" hidden="false" customHeight="false" outlineLevel="0" collapsed="false">
      <c r="A124" s="30" t="n">
        <f aca="false">Data_Returns!A166</f>
        <v>45043</v>
      </c>
      <c r="B124" s="31" t="n">
        <f aca="false">Data_Returns!Z166</f>
        <v>0.0088290655539272</v>
      </c>
      <c r="C124" s="31" t="n">
        <f aca="false">Data_Returns!B166</f>
        <v>0.00569508689989684</v>
      </c>
      <c r="D124" s="32" t="n">
        <f aca="false">B124-($B$5+$B$6*C124)</f>
        <v>0.00993821436795225</v>
      </c>
      <c r="F124" s="30" t="n">
        <f aca="false">Data_Returns!A166</f>
        <v>45043</v>
      </c>
      <c r="G124" s="31" t="n">
        <f aca="false">Data_Returns!AA166</f>
        <v>0.0208612070615948</v>
      </c>
      <c r="H124" s="31" t="n">
        <f aca="false">Data_Returns!B166</f>
        <v>0.00569508689989684</v>
      </c>
      <c r="I124" s="32" t="n">
        <f aca="false">G124-($G$5+$G$6*H124)</f>
        <v>0.0218201311815156</v>
      </c>
      <c r="K124" s="30" t="n">
        <f aca="false">Data_Returns!A485</f>
        <v>45512</v>
      </c>
      <c r="L124" s="31" t="n">
        <f aca="false">Data_Returns!Z485</f>
        <v>-0.00451426609430515</v>
      </c>
      <c r="M124" s="31" t="n">
        <f aca="false">Data_Returns!B485</f>
        <v>-0.00742874781356107</v>
      </c>
      <c r="N124" s="32" t="n">
        <f aca="false">L124-($L$5+$L$6*M124)</f>
        <v>-0.00472613364623365</v>
      </c>
      <c r="P124" s="30" t="n">
        <f aca="false">Data_Returns!A485</f>
        <v>45512</v>
      </c>
      <c r="Q124" s="31" t="n">
        <f aca="false">Data_Returns!AA485</f>
        <v>0.0188284503943925</v>
      </c>
      <c r="R124" s="31" t="n">
        <f aca="false">Data_Returns!B485</f>
        <v>-0.00742874781356107</v>
      </c>
      <c r="S124" s="32" t="n">
        <f aca="false">Q124-($Q$5+$Q$6*R124)</f>
        <v>0.0173819662377127</v>
      </c>
    </row>
    <row r="125" customFormat="false" ht="15" hidden="false" customHeight="false" outlineLevel="0" collapsed="false">
      <c r="A125" s="30" t="n">
        <f aca="false">Data_Returns!A167</f>
        <v>45044</v>
      </c>
      <c r="B125" s="31" t="n">
        <f aca="false">Data_Returns!Z167</f>
        <v>-0.010500469892653</v>
      </c>
      <c r="C125" s="31" t="n">
        <f aca="false">Data_Returns!B167</f>
        <v>0.00837005757728848</v>
      </c>
      <c r="D125" s="32" t="n">
        <f aca="false">B125-($B$5+$B$6*C125)</f>
        <v>-0.0089703711083714</v>
      </c>
      <c r="F125" s="30" t="n">
        <f aca="false">Data_Returns!A167</f>
        <v>45044</v>
      </c>
      <c r="G125" s="31" t="n">
        <f aca="false">Data_Returns!AA167</f>
        <v>-0.00629027971063145</v>
      </c>
      <c r="H125" s="31" t="n">
        <f aca="false">Data_Returns!B167</f>
        <v>0.00837005757728848</v>
      </c>
      <c r="I125" s="32" t="n">
        <f aca="false">G125-($G$5+$G$6*H125)</f>
        <v>-0.00538429423145911</v>
      </c>
      <c r="K125" s="30" t="n">
        <f aca="false">Data_Returns!A486</f>
        <v>45513</v>
      </c>
      <c r="L125" s="31" t="n">
        <f aca="false">Data_Returns!Z486</f>
        <v>-0.0126269254438661</v>
      </c>
      <c r="M125" s="31" t="n">
        <f aca="false">Data_Returns!B486</f>
        <v>0.0103868640378157</v>
      </c>
      <c r="N125" s="32" t="n">
        <f aca="false">L125-($L$5+$L$6*M125)</f>
        <v>-0.0111638259608296</v>
      </c>
      <c r="P125" s="30" t="n">
        <f aca="false">Data_Returns!A486</f>
        <v>45513</v>
      </c>
      <c r="Q125" s="31" t="n">
        <f aca="false">Data_Returns!AA486</f>
        <v>-0.0220928665288714</v>
      </c>
      <c r="R125" s="31" t="n">
        <f aca="false">Data_Returns!B486</f>
        <v>0.0103868640378157</v>
      </c>
      <c r="S125" s="32" t="n">
        <f aca="false">Q125-($Q$5+$Q$6*R125)</f>
        <v>-0.018871684044188</v>
      </c>
    </row>
    <row r="126" customFormat="false" ht="15" hidden="false" customHeight="false" outlineLevel="0" collapsed="false">
      <c r="A126" s="30" t="n">
        <f aca="false">Data_Returns!A168</f>
        <v>45048</v>
      </c>
      <c r="B126" s="31" t="n">
        <f aca="false">Data_Returns!Z168</f>
        <v>-0.0129631081363397</v>
      </c>
      <c r="C126" s="31" t="n">
        <f aca="false">Data_Returns!B168</f>
        <v>0.00457514530860781</v>
      </c>
      <c r="D126" s="32" t="n">
        <f aca="false">B126-($B$5+$B$6*C126)</f>
        <v>-0.0120302002746087</v>
      </c>
      <c r="F126" s="30" t="n">
        <f aca="false">Data_Returns!A168</f>
        <v>45048</v>
      </c>
      <c r="G126" s="31" t="n">
        <f aca="false">Data_Returns!AA168</f>
        <v>-0.012741607905671</v>
      </c>
      <c r="H126" s="31" t="n">
        <f aca="false">Data_Returns!B168</f>
        <v>0.00457514530860781</v>
      </c>
      <c r="I126" s="32" t="n">
        <f aca="false">G126-($G$5+$G$6*H126)</f>
        <v>-0.0117605197351079</v>
      </c>
      <c r="K126" s="30" t="n">
        <f aca="false">Data_Returns!A487</f>
        <v>45516</v>
      </c>
      <c r="L126" s="31" t="n">
        <f aca="false">Data_Returns!Z487</f>
        <v>-0.0185380992916846</v>
      </c>
      <c r="M126" s="31" t="n">
        <f aca="false">Data_Returns!B487</f>
        <v>-0.000841284497794193</v>
      </c>
      <c r="N126" s="32" t="n">
        <f aca="false">L126-($L$5+$L$6*M126)</f>
        <v>-0.0181306345416973</v>
      </c>
      <c r="P126" s="30" t="n">
        <f aca="false">Data_Returns!A487</f>
        <v>45516</v>
      </c>
      <c r="Q126" s="31" t="n">
        <f aca="false">Data_Returns!AA487</f>
        <v>-0.0221871151477032</v>
      </c>
      <c r="R126" s="31" t="n">
        <f aca="false">Data_Returns!B487</f>
        <v>-0.000841284497794193</v>
      </c>
      <c r="S126" s="32" t="n">
        <f aca="false">Q126-($Q$5+$Q$6*R126)</f>
        <v>-0.0219076926654913</v>
      </c>
    </row>
    <row r="127" customFormat="false" ht="15" hidden="false" customHeight="false" outlineLevel="0" collapsed="false">
      <c r="A127" s="30" t="n">
        <f aca="false">Data_Returns!A169</f>
        <v>45049</v>
      </c>
      <c r="B127" s="31" t="n">
        <f aca="false">Data_Returns!Z169</f>
        <v>-0.0149050089487805</v>
      </c>
      <c r="C127" s="31" t="n">
        <f aca="false">Data_Returns!B169</f>
        <v>-0.00318498538378265</v>
      </c>
      <c r="D127" s="32" t="n">
        <f aca="false">B127-($B$5+$B$6*C127)</f>
        <v>-0.0151932833645816</v>
      </c>
      <c r="F127" s="30" t="n">
        <f aca="false">Data_Returns!A169</f>
        <v>45049</v>
      </c>
      <c r="G127" s="31" t="n">
        <f aca="false">Data_Returns!AA169</f>
        <v>-0.0160779225244586</v>
      </c>
      <c r="H127" s="31" t="n">
        <f aca="false">Data_Returns!B169</f>
        <v>-0.00318498538378265</v>
      </c>
      <c r="I127" s="32" t="n">
        <f aca="false">G127-($G$5+$G$6*H127)</f>
        <v>-0.0149432585504831</v>
      </c>
      <c r="K127" s="30" t="n">
        <f aca="false">Data_Returns!A488</f>
        <v>45517</v>
      </c>
      <c r="L127" s="31" t="n">
        <f aca="false">Data_Returns!Z488</f>
        <v>-0.00457717444794325</v>
      </c>
      <c r="M127" s="31" t="n">
        <f aca="false">Data_Returns!B488</f>
        <v>-0.00854314699963032</v>
      </c>
      <c r="N127" s="32" t="n">
        <f aca="false">L127-($L$5+$L$6*M127)</f>
        <v>-0.00489381425894595</v>
      </c>
      <c r="P127" s="30" t="n">
        <f aca="false">Data_Returns!A488</f>
        <v>45517</v>
      </c>
      <c r="Q127" s="31" t="n">
        <f aca="false">Data_Returns!AA488</f>
        <v>-0.000519109415195469</v>
      </c>
      <c r="R127" s="31" t="n">
        <f aca="false">Data_Returns!B488</f>
        <v>-0.00854314699963032</v>
      </c>
      <c r="S127" s="32" t="n">
        <f aca="false">Q127-($Q$5+$Q$6*R127)</f>
        <v>-0.00225756467841767</v>
      </c>
    </row>
    <row r="128" customFormat="false" ht="15" hidden="false" customHeight="false" outlineLevel="0" collapsed="false">
      <c r="A128" s="30" t="n">
        <f aca="false">Data_Returns!A170</f>
        <v>45050</v>
      </c>
      <c r="B128" s="31" t="n">
        <f aca="false">Data_Returns!Z170</f>
        <v>0.0153687037225657</v>
      </c>
      <c r="C128" s="31" t="n">
        <f aca="false">Data_Returns!B170</f>
        <v>0.00917365262840764</v>
      </c>
      <c r="D128" s="32" t="n">
        <f aca="false">B128-($B$5+$B$6*C128)</f>
        <v>0.0170252612062738</v>
      </c>
      <c r="F128" s="30" t="n">
        <f aca="false">Data_Returns!A170</f>
        <v>45050</v>
      </c>
      <c r="G128" s="31" t="n">
        <f aca="false">Data_Returns!AA170</f>
        <v>0.0112242480615296</v>
      </c>
      <c r="H128" s="31" t="n">
        <f aca="false">Data_Returns!B170</f>
        <v>0.00917365262840764</v>
      </c>
      <c r="I128" s="32" t="n">
        <f aca="false">G128-($G$5+$G$6*H128)</f>
        <v>0.0121143301029267</v>
      </c>
      <c r="K128" s="30" t="n">
        <f aca="false">Data_Returns!A489</f>
        <v>45518</v>
      </c>
      <c r="L128" s="31" t="n">
        <f aca="false">Data_Returns!Z489</f>
        <v>-0.00034673365989828</v>
      </c>
      <c r="M128" s="31" t="n">
        <f aca="false">Data_Returns!B489</f>
        <v>0.000196776999875636</v>
      </c>
      <c r="N128" s="32" t="n">
        <f aca="false">L128-($L$5+$L$6*M128)</f>
        <v>0.000158326323043537</v>
      </c>
      <c r="P128" s="30" t="n">
        <f aca="false">Data_Returns!A489</f>
        <v>45518</v>
      </c>
      <c r="Q128" s="31" t="n">
        <f aca="false">Data_Returns!AA489</f>
        <v>-0.00173972676702044</v>
      </c>
      <c r="R128" s="31" t="n">
        <f aca="false">Data_Returns!B489</f>
        <v>0.000196776999875636</v>
      </c>
      <c r="S128" s="32" t="n">
        <f aca="false">Q128-($Q$5+$Q$6*R128)</f>
        <v>-0.00118833355123069</v>
      </c>
    </row>
    <row r="129" customFormat="false" ht="15" hidden="false" customHeight="false" outlineLevel="0" collapsed="false">
      <c r="A129" s="30" t="n">
        <f aca="false">Data_Returns!A171</f>
        <v>45051</v>
      </c>
      <c r="B129" s="31" t="n">
        <f aca="false">Data_Returns!Z171</f>
        <v>0.0116620156451311</v>
      </c>
      <c r="C129" s="31" t="n">
        <f aca="false">Data_Returns!B171</f>
        <v>-0.0102323645088136</v>
      </c>
      <c r="D129" s="32" t="n">
        <f aca="false">B129-($B$5+$B$6*C129)</f>
        <v>0.0102647219574024</v>
      </c>
      <c r="F129" s="30" t="n">
        <f aca="false">Data_Returns!A171</f>
        <v>45051</v>
      </c>
      <c r="G129" s="31" t="n">
        <f aca="false">Data_Returns!AA171</f>
        <v>0.00636028529615849</v>
      </c>
      <c r="H129" s="31" t="n">
        <f aca="false">Data_Returns!B171</f>
        <v>-0.0102323645088136</v>
      </c>
      <c r="I129" s="32" t="n">
        <f aca="false">G129-($G$5+$G$6*H129)</f>
        <v>0.00763441946129199</v>
      </c>
      <c r="K129" s="30" t="n">
        <f aca="false">Data_Returns!A490</f>
        <v>45520</v>
      </c>
      <c r="L129" s="31" t="n">
        <f aca="false">Data_Returns!Z490</f>
        <v>-0.00297898250233626</v>
      </c>
      <c r="M129" s="31" t="n">
        <f aca="false">Data_Returns!B490</f>
        <v>0.0164597463111571</v>
      </c>
      <c r="N129" s="32" t="n">
        <f aca="false">L129-($L$5+$L$6*M129)</f>
        <v>-0.000944929986649148</v>
      </c>
      <c r="P129" s="30" t="n">
        <f aca="false">Data_Returns!A490</f>
        <v>45520</v>
      </c>
      <c r="Q129" s="31" t="n">
        <f aca="false">Data_Returns!AA490</f>
        <v>0.00362688124267241</v>
      </c>
      <c r="R129" s="31" t="n">
        <f aca="false">Data_Returns!B490</f>
        <v>0.0164597463111571</v>
      </c>
      <c r="S129" s="32" t="n">
        <f aca="false">Q129-($Q$5+$Q$6*R129)</f>
        <v>0.0084391508166274</v>
      </c>
    </row>
    <row r="130" customFormat="false" ht="15" hidden="false" customHeight="false" outlineLevel="0" collapsed="false">
      <c r="A130" s="30" t="n">
        <f aca="false">Data_Returns!A172</f>
        <v>45054</v>
      </c>
      <c r="B130" s="31" t="n">
        <f aca="false">Data_Returns!Z172</f>
        <v>-0.00894616909230224</v>
      </c>
      <c r="C130" s="31" t="n">
        <f aca="false">Data_Returns!B172</f>
        <v>0.0108141014998064</v>
      </c>
      <c r="D130" s="32" t="n">
        <f aca="false">B130-($B$5+$B$6*C130)</f>
        <v>-0.00703146040362616</v>
      </c>
      <c r="F130" s="30" t="n">
        <f aca="false">Data_Returns!A172</f>
        <v>45054</v>
      </c>
      <c r="G130" s="31" t="n">
        <f aca="false">Data_Returns!AA172</f>
        <v>-0.00103435002533007</v>
      </c>
      <c r="H130" s="31" t="n">
        <f aca="false">Data_Returns!B172</f>
        <v>0.0108141014998064</v>
      </c>
      <c r="I130" s="32" t="n">
        <f aca="false">G130-($G$5+$G$6*H130)</f>
        <v>-0.000176733062598312</v>
      </c>
      <c r="K130" s="30" t="n">
        <f aca="false">Data_Returns!A491</f>
        <v>45523</v>
      </c>
      <c r="L130" s="31" t="n">
        <f aca="false">Data_Returns!Z491</f>
        <v>0.010618611478641</v>
      </c>
      <c r="M130" s="31" t="n">
        <f aca="false">Data_Returns!B491</f>
        <v>0.00128355843145078</v>
      </c>
      <c r="N130" s="32" t="n">
        <f aca="false">L130-($L$5+$L$6*M130)</f>
        <v>0.0112258471874173</v>
      </c>
      <c r="P130" s="30" t="n">
        <f aca="false">Data_Returns!A491</f>
        <v>45523</v>
      </c>
      <c r="Q130" s="31" t="n">
        <f aca="false">Data_Returns!AA491</f>
        <v>0.00544011580679656</v>
      </c>
      <c r="R130" s="31" t="n">
        <f aca="false">Data_Returns!B491</f>
        <v>0.00128355843145078</v>
      </c>
      <c r="S130" s="32" t="n">
        <f aca="false">Q130-($Q$5+$Q$6*R130)</f>
        <v>0.00627624431413478</v>
      </c>
    </row>
    <row r="131" customFormat="false" ht="15" hidden="false" customHeight="false" outlineLevel="0" collapsed="false">
      <c r="A131" s="30" t="n">
        <f aca="false">Data_Returns!A173</f>
        <v>45055</v>
      </c>
      <c r="B131" s="31" t="n">
        <f aca="false">Data_Returns!Z173</f>
        <v>-0.00631680818242365</v>
      </c>
      <c r="C131" s="31" t="n">
        <f aca="false">Data_Returns!B173</f>
        <v>8.48645452355967E-005</v>
      </c>
      <c r="D131" s="32" t="n">
        <f aca="false">B131-($B$5+$B$6*C131)</f>
        <v>-0.00609051874076004</v>
      </c>
      <c r="F131" s="30" t="n">
        <f aca="false">Data_Returns!A173</f>
        <v>45055</v>
      </c>
      <c r="G131" s="31" t="n">
        <f aca="false">Data_Returns!AA173</f>
        <v>-0.00482381511823234</v>
      </c>
      <c r="H131" s="31" t="n">
        <f aca="false">Data_Returns!B173</f>
        <v>8.48645452355967E-005</v>
      </c>
      <c r="I131" s="32" t="n">
        <f aca="false">G131-($G$5+$G$6*H131)</f>
        <v>-0.00375386266134242</v>
      </c>
      <c r="K131" s="30" t="n">
        <f aca="false">Data_Returns!A492</f>
        <v>45524</v>
      </c>
      <c r="L131" s="31" t="n">
        <f aca="false">Data_Returns!Z492</f>
        <v>0.0144995005846248</v>
      </c>
      <c r="M131" s="31" t="n">
        <f aca="false">Data_Returns!B492</f>
        <v>0.00513579121502961</v>
      </c>
      <c r="N131" s="32" t="n">
        <f aca="false">L131-($L$5+$L$6*M131)</f>
        <v>0.015468910939848</v>
      </c>
      <c r="P131" s="30" t="n">
        <f aca="false">Data_Returns!A492</f>
        <v>45524</v>
      </c>
      <c r="Q131" s="31" t="n">
        <f aca="false">Data_Returns!AA492</f>
        <v>0.0295219219706228</v>
      </c>
      <c r="R131" s="31" t="n">
        <f aca="false">Data_Returns!B492</f>
        <v>0.00513579121502961</v>
      </c>
      <c r="S131" s="32" t="n">
        <f aca="false">Q131-($Q$5+$Q$6*R131)</f>
        <v>0.0313673303505064</v>
      </c>
    </row>
    <row r="132" customFormat="false" ht="15" hidden="false" customHeight="false" outlineLevel="0" collapsed="false">
      <c r="A132" s="30" t="n">
        <f aca="false">Data_Returns!A174</f>
        <v>45056</v>
      </c>
      <c r="B132" s="31" t="n">
        <f aca="false">Data_Returns!Z174</f>
        <v>0.00374102225042198</v>
      </c>
      <c r="C132" s="31" t="n">
        <f aca="false">Data_Returns!B174</f>
        <v>0.00269079900032554</v>
      </c>
      <c r="D132" s="32" t="n">
        <f aca="false">B132-($B$5+$B$6*C132)</f>
        <v>0.00437739769438535</v>
      </c>
      <c r="F132" s="30" t="n">
        <f aca="false">Data_Returns!A174</f>
        <v>45056</v>
      </c>
      <c r="G132" s="31" t="n">
        <f aca="false">Data_Returns!AA174</f>
        <v>0.00345506506278533</v>
      </c>
      <c r="H132" s="31" t="n">
        <f aca="false">Data_Returns!B174</f>
        <v>0.00269079900032554</v>
      </c>
      <c r="I132" s="32" t="n">
        <f aca="false">G132-($G$5+$G$6*H132)</f>
        <v>0.00447344513082708</v>
      </c>
      <c r="K132" s="30" t="n">
        <f aca="false">Data_Returns!A493</f>
        <v>45525</v>
      </c>
      <c r="L132" s="31" t="n">
        <f aca="false">Data_Returns!Z493</f>
        <v>-0.0189098612057902</v>
      </c>
      <c r="M132" s="31" t="n">
        <f aca="false">Data_Returns!B493</f>
        <v>0.0028887984663255</v>
      </c>
      <c r="N132" s="32" t="n">
        <f aca="false">L132-($L$5+$L$6*M132)</f>
        <v>-0.0181517059460015</v>
      </c>
      <c r="P132" s="30" t="n">
        <f aca="false">Data_Returns!A493</f>
        <v>45525</v>
      </c>
      <c r="Q132" s="31" t="n">
        <f aca="false">Data_Returns!AA493</f>
        <v>-0.0234107723656012</v>
      </c>
      <c r="R132" s="31" t="n">
        <f aca="false">Data_Returns!B493</f>
        <v>0.0028887984663255</v>
      </c>
      <c r="S132" s="32" t="n">
        <f aca="false">Q132-($Q$5+$Q$6*R132)</f>
        <v>-0.0221540731012959</v>
      </c>
    </row>
    <row r="133" customFormat="false" ht="15" hidden="false" customHeight="false" outlineLevel="0" collapsed="false">
      <c r="A133" s="30" t="n">
        <f aca="false">Data_Returns!A175</f>
        <v>45057</v>
      </c>
      <c r="B133" s="31" t="n">
        <f aca="false">Data_Returns!Z175</f>
        <v>0.00333442021088578</v>
      </c>
      <c r="C133" s="31" t="n">
        <f aca="false">Data_Returns!B175</f>
        <v>-0.000988255592380027</v>
      </c>
      <c r="D133" s="32" t="n">
        <f aca="false">B133-($B$5+$B$6*C133)</f>
        <v>0.00339183681449216</v>
      </c>
      <c r="F133" s="30" t="n">
        <f aca="false">Data_Returns!A175</f>
        <v>45057</v>
      </c>
      <c r="G133" s="31" t="n">
        <f aca="false">Data_Returns!AA175</f>
        <v>0.0155892339155743</v>
      </c>
      <c r="H133" s="31" t="n">
        <f aca="false">Data_Returns!B175</f>
        <v>-0.000988255592380027</v>
      </c>
      <c r="I133" s="32" t="n">
        <f aca="false">G133-($G$5+$G$6*H133)</f>
        <v>0.0166804238095416</v>
      </c>
      <c r="K133" s="30" t="n">
        <f aca="false">Data_Returns!A494</f>
        <v>45526</v>
      </c>
      <c r="L133" s="31" t="n">
        <f aca="false">Data_Returns!Z494</f>
        <v>0.00902040850160503</v>
      </c>
      <c r="M133" s="31" t="n">
        <f aca="false">Data_Returns!B494</f>
        <v>0.00166732606115416</v>
      </c>
      <c r="N133" s="32" t="n">
        <f aca="false">L133-($L$5+$L$6*M133)</f>
        <v>0.00966372481957976</v>
      </c>
      <c r="P133" s="30" t="n">
        <f aca="false">Data_Returns!A494</f>
        <v>45526</v>
      </c>
      <c r="Q133" s="31" t="n">
        <f aca="false">Data_Returns!AA494</f>
        <v>0.00902782354683115</v>
      </c>
      <c r="R133" s="31" t="n">
        <f aca="false">Data_Returns!B494</f>
        <v>0.00166732606115416</v>
      </c>
      <c r="S133" s="32" t="n">
        <f aca="false">Q133-($Q$5+$Q$6*R133)</f>
        <v>0.0099644986634099</v>
      </c>
    </row>
    <row r="134" customFormat="false" ht="15" hidden="false" customHeight="false" outlineLevel="0" collapsed="false">
      <c r="A134" s="30" t="n">
        <f aca="false">Data_Returns!A176</f>
        <v>45058</v>
      </c>
      <c r="B134" s="31" t="n">
        <f aca="false">Data_Returns!Z176</f>
        <v>0.00028409760125802</v>
      </c>
      <c r="C134" s="31" t="n">
        <f aca="false">Data_Returns!B176</f>
        <v>0.000972837077116484</v>
      </c>
      <c r="D134" s="32" t="n">
        <f aca="false">B134-($B$5+$B$6*C134)</f>
        <v>0.000650123905849924</v>
      </c>
      <c r="F134" s="30" t="n">
        <f aca="false">Data_Returns!A176</f>
        <v>45058</v>
      </c>
      <c r="G134" s="31" t="n">
        <f aca="false">Data_Returns!AA176</f>
        <v>0.00785372592186542</v>
      </c>
      <c r="H134" s="31" t="n">
        <f aca="false">Data_Returns!B176</f>
        <v>0.000972837077116484</v>
      </c>
      <c r="I134" s="32" t="n">
        <f aca="false">G134-($G$5+$G$6*H134)</f>
        <v>0.00890610508000593</v>
      </c>
      <c r="K134" s="30" t="n">
        <f aca="false">Data_Returns!A495</f>
        <v>45527</v>
      </c>
      <c r="L134" s="31" t="n">
        <f aca="false">Data_Returns!Z495</f>
        <v>-0.00926913237374578</v>
      </c>
      <c r="M134" s="31" t="n">
        <f aca="false">Data_Returns!B495</f>
        <v>0.000469540334119278</v>
      </c>
      <c r="N134" s="32" t="n">
        <f aca="false">L134-($L$5+$L$6*M134)</f>
        <v>-0.00873842805161334</v>
      </c>
      <c r="P134" s="30" t="n">
        <f aca="false">Data_Returns!A495</f>
        <v>45527</v>
      </c>
      <c r="Q134" s="31" t="n">
        <f aca="false">Data_Returns!AA495</f>
        <v>-0.00196981247968649</v>
      </c>
      <c r="R134" s="31" t="n">
        <f aca="false">Data_Returns!B495</f>
        <v>0.000469540334119278</v>
      </c>
      <c r="S134" s="32" t="n">
        <f aca="false">Q134-($Q$5+$Q$6*R134)</f>
        <v>-0.00134695563262451</v>
      </c>
    </row>
    <row r="135" customFormat="false" ht="15" hidden="false" customHeight="false" outlineLevel="0" collapsed="false">
      <c r="A135" s="30" t="n">
        <f aca="false">Data_Returns!A177</f>
        <v>45061</v>
      </c>
      <c r="B135" s="31" t="n">
        <f aca="false">Data_Returns!Z177</f>
        <v>0.00537352202812363</v>
      </c>
      <c r="C135" s="31" t="n">
        <f aca="false">Data_Returns!B177</f>
        <v>0.00458918470308167</v>
      </c>
      <c r="D135" s="32" t="n">
        <f aca="false">B135-($B$5+$B$6*C135)</f>
        <v>0.00630863921601141</v>
      </c>
      <c r="F135" s="30" t="n">
        <f aca="false">Data_Returns!A177</f>
        <v>45061</v>
      </c>
      <c r="G135" s="31" t="n">
        <f aca="false">Data_Returns!AA177</f>
        <v>0.010440886004531</v>
      </c>
      <c r="H135" s="31" t="n">
        <f aca="false">Data_Returns!B177</f>
        <v>0.00458918470308167</v>
      </c>
      <c r="I135" s="32" t="n">
        <f aca="false">G135-($G$5+$G$6*H135)</f>
        <v>0.0114216963303809</v>
      </c>
      <c r="K135" s="30" t="n">
        <f aca="false">Data_Returns!A496</f>
        <v>45530</v>
      </c>
      <c r="L135" s="31" t="n">
        <f aca="false">Data_Returns!Z496</f>
        <v>0.00665771713989249</v>
      </c>
      <c r="M135" s="31" t="n">
        <f aca="false">Data_Returns!B496</f>
        <v>0.0075514187361394</v>
      </c>
      <c r="N135" s="32" t="n">
        <f aca="false">L135-($L$5+$L$6*M135)</f>
        <v>0.00785423709429005</v>
      </c>
      <c r="P135" s="30" t="n">
        <f aca="false">Data_Returns!A496</f>
        <v>45530</v>
      </c>
      <c r="Q135" s="31" t="n">
        <f aca="false">Data_Returns!AA496</f>
        <v>0.00116414441741997</v>
      </c>
      <c r="R135" s="31" t="n">
        <f aca="false">Data_Returns!B496</f>
        <v>0.0075514187361394</v>
      </c>
      <c r="S135" s="32" t="n">
        <f aca="false">Q135-($Q$5+$Q$6*R135)</f>
        <v>0.00364244399926203</v>
      </c>
    </row>
    <row r="136" customFormat="false" ht="15" hidden="false" customHeight="false" outlineLevel="0" collapsed="false">
      <c r="A136" s="30" t="n">
        <f aca="false">Data_Returns!A178</f>
        <v>45062</v>
      </c>
      <c r="B136" s="31" t="n">
        <f aca="false">Data_Returns!Z178</f>
        <v>-0.00424321883508377</v>
      </c>
      <c r="C136" s="31" t="n">
        <f aca="false">Data_Returns!B178</f>
        <v>-0.00610635990836372</v>
      </c>
      <c r="D136" s="32" t="n">
        <f aca="false">B136-($B$5+$B$6*C136)</f>
        <v>-0.0049912188582062</v>
      </c>
      <c r="F136" s="30" t="n">
        <f aca="false">Data_Returns!A178</f>
        <v>45062</v>
      </c>
      <c r="G136" s="31" t="n">
        <f aca="false">Data_Returns!AA178</f>
        <v>-0.00984251003898854</v>
      </c>
      <c r="H136" s="31" t="n">
        <f aca="false">Data_Returns!B178</f>
        <v>-0.00610635990836372</v>
      </c>
      <c r="I136" s="32" t="n">
        <f aca="false">G136-($G$5+$G$6*H136)</f>
        <v>-0.00865003100268153</v>
      </c>
      <c r="K136" s="30" t="n">
        <f aca="false">Data_Returns!A497</f>
        <v>45531</v>
      </c>
      <c r="L136" s="31" t="n">
        <f aca="false">Data_Returns!Z497</f>
        <v>0.00687540919031092</v>
      </c>
      <c r="M136" s="31" t="n">
        <f aca="false">Data_Returns!B497</f>
        <v>0.000285878787394278</v>
      </c>
      <c r="N136" s="32" t="n">
        <f aca="false">L136-($L$5+$L$6*M136)</f>
        <v>0.00738884623928309</v>
      </c>
      <c r="P136" s="30" t="n">
        <f aca="false">Data_Returns!A497</f>
        <v>45531</v>
      </c>
      <c r="Q136" s="31" t="n">
        <f aca="false">Data_Returns!AA497</f>
        <v>0.000711681278907176</v>
      </c>
      <c r="R136" s="31" t="n">
        <f aca="false">Data_Returns!B497</f>
        <v>0.000285878787394278</v>
      </c>
      <c r="S136" s="32" t="n">
        <f aca="false">Q136-($Q$5+$Q$6*R136)</f>
        <v>0.00128641904467681</v>
      </c>
    </row>
    <row r="137" customFormat="false" ht="15" hidden="false" customHeight="false" outlineLevel="0" collapsed="false">
      <c r="A137" s="30" t="n">
        <f aca="false">Data_Returns!A179</f>
        <v>45063</v>
      </c>
      <c r="B137" s="31" t="n">
        <f aca="false">Data_Returns!Z179</f>
        <v>0.0202488275666527</v>
      </c>
      <c r="C137" s="31" t="n">
        <f aca="false">Data_Returns!B179</f>
        <v>-0.00572826948842042</v>
      </c>
      <c r="D137" s="32" t="n">
        <f aca="false">B137-($B$5+$B$6*C137)</f>
        <v>0.0195603261961228</v>
      </c>
      <c r="F137" s="30" t="n">
        <f aca="false">Data_Returns!A179</f>
        <v>45063</v>
      </c>
      <c r="G137" s="31" t="n">
        <f aca="false">Data_Returns!AA179</f>
        <v>0.00617497266728458</v>
      </c>
      <c r="H137" s="31" t="n">
        <f aca="false">Data_Returns!B179</f>
        <v>-0.00572826948842042</v>
      </c>
      <c r="I137" s="32" t="n">
        <f aca="false">G137-($G$5+$G$6*H137)</f>
        <v>0.00735996915693007</v>
      </c>
      <c r="K137" s="30" t="n">
        <f aca="false">Data_Returns!A498</f>
        <v>45532</v>
      </c>
      <c r="L137" s="31" t="n">
        <f aca="false">Data_Returns!Z498</f>
        <v>-0.0225561589439075</v>
      </c>
      <c r="M137" s="31" t="n">
        <f aca="false">Data_Returns!B498</f>
        <v>0.00138301805717944</v>
      </c>
      <c r="N137" s="32" t="n">
        <f aca="false">L137-($L$5+$L$6*M137)</f>
        <v>-0.0219395723581702</v>
      </c>
      <c r="P137" s="30" t="n">
        <f aca="false">Data_Returns!A498</f>
        <v>45532</v>
      </c>
      <c r="Q137" s="31" t="n">
        <f aca="false">Data_Returns!AA498</f>
        <v>-0.0187101607934265</v>
      </c>
      <c r="R137" s="31" t="n">
        <f aca="false">Data_Returns!B498</f>
        <v>0.00138301805717944</v>
      </c>
      <c r="S137" s="32" t="n">
        <f aca="false">Q137-($Q$5+$Q$6*R137)</f>
        <v>-0.0178479739962553</v>
      </c>
    </row>
    <row r="138" customFormat="false" ht="15" hidden="false" customHeight="false" outlineLevel="0" collapsed="false">
      <c r="A138" s="30" t="n">
        <f aca="false">Data_Returns!A180</f>
        <v>45064</v>
      </c>
      <c r="B138" s="31" t="n">
        <f aca="false">Data_Returns!Z180</f>
        <v>0.0165208103202993</v>
      </c>
      <c r="C138" s="31" t="n">
        <f aca="false">Data_Returns!B180</f>
        <v>-0.00284901068379007</v>
      </c>
      <c r="D138" s="32" t="n">
        <f aca="false">B138-($B$5+$B$6*C138)</f>
        <v>0.0162854069662875</v>
      </c>
      <c r="F138" s="30" t="n">
        <f aca="false">Data_Returns!A180</f>
        <v>45064</v>
      </c>
      <c r="G138" s="31" t="n">
        <f aca="false">Data_Returns!AA180</f>
        <v>0.0183971789657311</v>
      </c>
      <c r="H138" s="31" t="n">
        <f aca="false">Data_Returns!B180</f>
        <v>-0.00284901068379007</v>
      </c>
      <c r="I138" s="32" t="n">
        <f aca="false">G138-($G$5+$G$6*H138)</f>
        <v>0.0195251938784313</v>
      </c>
      <c r="K138" s="30" t="n">
        <f aca="false">Data_Returns!A499</f>
        <v>45533</v>
      </c>
      <c r="L138" s="31" t="n">
        <f aca="false">Data_Returns!Z499</f>
        <v>-0.0123934789407322</v>
      </c>
      <c r="M138" s="31" t="n">
        <f aca="false">Data_Returns!B499</f>
        <v>0.00397567493668261</v>
      </c>
      <c r="N138" s="32" t="n">
        <f aca="false">L138-($L$5+$L$6*M138)</f>
        <v>-0.0115331390198656</v>
      </c>
      <c r="P138" s="30" t="n">
        <f aca="false">Data_Returns!A499</f>
        <v>45533</v>
      </c>
      <c r="Q138" s="31" t="n">
        <f aca="false">Data_Returns!AA499</f>
        <v>-0.011517665098706</v>
      </c>
      <c r="R138" s="31" t="n">
        <f aca="false">Data_Returns!B499</f>
        <v>0.00397567493668261</v>
      </c>
      <c r="S138" s="32" t="n">
        <f aca="false">Q138-($Q$5+$Q$6*R138)</f>
        <v>-0.00997620564281763</v>
      </c>
    </row>
    <row r="139" customFormat="false" ht="15" hidden="false" customHeight="false" outlineLevel="0" collapsed="false">
      <c r="A139" s="30" t="n">
        <f aca="false">Data_Returns!A181</f>
        <v>45065</v>
      </c>
      <c r="B139" s="31" t="n">
        <f aca="false">Data_Returns!Z181</f>
        <v>-0.000830776740407224</v>
      </c>
      <c r="C139" s="31" t="n">
        <f aca="false">Data_Returns!B181</f>
        <v>0.00405130736709158</v>
      </c>
      <c r="D139" s="32" t="n">
        <f aca="false">B139-($B$5+$B$6*C139)</f>
        <v>1.96967351212569E-005</v>
      </c>
      <c r="F139" s="30" t="n">
        <f aca="false">Data_Returns!A181</f>
        <v>45065</v>
      </c>
      <c r="G139" s="31" t="n">
        <f aca="false">Data_Returns!AA181</f>
        <v>0.00215084411213477</v>
      </c>
      <c r="H139" s="31" t="n">
        <f aca="false">Data_Returns!B181</f>
        <v>0.00405130736709158</v>
      </c>
      <c r="I139" s="32" t="n">
        <f aca="false">G139-($G$5+$G$6*H139)</f>
        <v>0.0031422992257192</v>
      </c>
      <c r="K139" s="30" t="n">
        <f aca="false">Data_Returns!A500</f>
        <v>45534</v>
      </c>
      <c r="L139" s="31" t="n">
        <f aca="false">Data_Returns!Z500</f>
        <v>-0.00217152887002264</v>
      </c>
      <c r="M139" s="31" t="n">
        <f aca="false">Data_Returns!B500</f>
        <v>0.00333771337808808</v>
      </c>
      <c r="N139" s="32" t="n">
        <f aca="false">L139-($L$5+$L$6*M139)</f>
        <v>-0.00137116806124803</v>
      </c>
      <c r="P139" s="30" t="n">
        <f aca="false">Data_Returns!A500</f>
        <v>45534</v>
      </c>
      <c r="Q139" s="31" t="n">
        <f aca="false">Data_Returns!AA500</f>
        <v>-0.006618956424499</v>
      </c>
      <c r="R139" s="31" t="n">
        <f aca="false">Data_Returns!B500</f>
        <v>0.00333771337808808</v>
      </c>
      <c r="S139" s="32" t="n">
        <f aca="false">Q139-($Q$5+$Q$6*R139)</f>
        <v>-0.00524464204958594</v>
      </c>
    </row>
    <row r="140" customFormat="false" ht="15" hidden="false" customHeight="false" outlineLevel="0" collapsed="false">
      <c r="A140" s="30" t="n">
        <f aca="false">Data_Returns!A182</f>
        <v>45068</v>
      </c>
      <c r="B140" s="31" t="n">
        <f aca="false">Data_Returns!Z182</f>
        <v>0.0128179030698751</v>
      </c>
      <c r="C140" s="31" t="n">
        <f aca="false">Data_Returns!B182</f>
        <v>0.00609776195655765</v>
      </c>
      <c r="D140" s="32" t="n">
        <f aca="false">B140-($B$5+$B$6*C140)</f>
        <v>0.0139904193273481</v>
      </c>
      <c r="F140" s="30" t="n">
        <f aca="false">Data_Returns!A182</f>
        <v>45068</v>
      </c>
      <c r="G140" s="31" t="n">
        <f aca="false">Data_Returns!AA182</f>
        <v>0.0110170374651198</v>
      </c>
      <c r="H140" s="31" t="n">
        <f aca="false">Data_Returns!B182</f>
        <v>0.00609776195655765</v>
      </c>
      <c r="I140" s="32" t="n">
        <f aca="false">G140-($G$5+$G$6*H140)</f>
        <v>0.0119679924994939</v>
      </c>
      <c r="K140" s="30" t="n">
        <f aca="false">Data_Returns!A501</f>
        <v>45537</v>
      </c>
      <c r="L140" s="31" t="n">
        <f aca="false">Data_Returns!Z501</f>
        <v>0.0114640812802035</v>
      </c>
      <c r="M140" s="31" t="n">
        <f aca="false">Data_Returns!B501</f>
        <v>0.00169599657630592</v>
      </c>
      <c r="N140" s="32" t="n">
        <f aca="false">L140-($L$5+$L$6*M140)</f>
        <v>0.012110093108619</v>
      </c>
      <c r="P140" s="30" t="n">
        <f aca="false">Data_Returns!A501</f>
        <v>45537</v>
      </c>
      <c r="Q140" s="31" t="n">
        <f aca="false">Data_Returns!AA501</f>
        <v>0.0233473290951296</v>
      </c>
      <c r="R140" s="31" t="n">
        <f aca="false">Data_Returns!B501</f>
        <v>0.00169599657630592</v>
      </c>
      <c r="S140" s="32" t="n">
        <f aca="false">Q140-($Q$5+$Q$6*R140)</f>
        <v>0.0242915158485963</v>
      </c>
    </row>
    <row r="141" customFormat="false" ht="15" hidden="false" customHeight="false" outlineLevel="0" collapsed="false">
      <c r="A141" s="30" t="n">
        <f aca="false">Data_Returns!A183</f>
        <v>45069</v>
      </c>
      <c r="B141" s="31" t="n">
        <f aca="false">Data_Returns!Z183</f>
        <v>-0.0144365904637379</v>
      </c>
      <c r="C141" s="31" t="n">
        <f aca="false">Data_Returns!B183</f>
        <v>0.00183462193683659</v>
      </c>
      <c r="D141" s="32" t="n">
        <f aca="false">B141-($B$5+$B$6*C141)</f>
        <v>-0.013934948350669</v>
      </c>
      <c r="F141" s="30" t="n">
        <f aca="false">Data_Returns!A183</f>
        <v>45069</v>
      </c>
      <c r="G141" s="31" t="n">
        <f aca="false">Data_Returns!AA183</f>
        <v>-0.0187715646905251</v>
      </c>
      <c r="H141" s="31" t="n">
        <f aca="false">Data_Returns!B183</f>
        <v>0.00183462193683659</v>
      </c>
      <c r="I141" s="32" t="n">
        <f aca="false">G141-($G$5+$G$6*H141)</f>
        <v>-0.0177362405675955</v>
      </c>
      <c r="K141" s="30" t="n">
        <f aca="false">Data_Returns!A502</f>
        <v>45538</v>
      </c>
      <c r="L141" s="31" t="n">
        <f aca="false">Data_Returns!Z502</f>
        <v>-0.00360511995797036</v>
      </c>
      <c r="M141" s="31" t="n">
        <f aca="false">Data_Returns!B502</f>
        <v>4.54928457553905E-005</v>
      </c>
      <c r="N141" s="32" t="n">
        <f aca="false">L141-($L$5+$L$6*M141)</f>
        <v>-0.0031142832289464</v>
      </c>
      <c r="P141" s="30" t="n">
        <f aca="false">Data_Returns!A502</f>
        <v>45538</v>
      </c>
      <c r="Q141" s="31" t="n">
        <f aca="false">Data_Returns!AA502</f>
        <v>-0.00877166902077181</v>
      </c>
      <c r="R141" s="31" t="n">
        <f aca="false">Data_Returns!B502</f>
        <v>4.54928457553905E-005</v>
      </c>
      <c r="S141" s="32" t="n">
        <f aca="false">Q141-($Q$5+$Q$6*R141)</f>
        <v>-0.00825991205241744</v>
      </c>
    </row>
    <row r="142" customFormat="false" ht="15" hidden="false" customHeight="false" outlineLevel="0" collapsed="false">
      <c r="A142" s="30" t="n">
        <f aca="false">Data_Returns!A184</f>
        <v>45070</v>
      </c>
      <c r="B142" s="31" t="n">
        <f aca="false">Data_Returns!Z184</f>
        <v>-0.00257436114183024</v>
      </c>
      <c r="C142" s="31" t="n">
        <f aca="false">Data_Returns!B184</f>
        <v>-0.00341181600174401</v>
      </c>
      <c r="D142" s="32" t="n">
        <f aca="false">B142-($B$5+$B$6*C142)</f>
        <v>-0.00289833102999337</v>
      </c>
      <c r="F142" s="30" t="n">
        <f aca="false">Data_Returns!A184</f>
        <v>45070</v>
      </c>
      <c r="G142" s="31" t="n">
        <f aca="false">Data_Returns!AA184</f>
        <v>0.00128284758164345</v>
      </c>
      <c r="H142" s="31" t="n">
        <f aca="false">Data_Returns!B184</f>
        <v>-0.00341181600174401</v>
      </c>
      <c r="I142" s="32" t="n">
        <f aca="false">G142-($G$5+$G$6*H142)</f>
        <v>0.00242200061589035</v>
      </c>
      <c r="K142" s="30" t="n">
        <f aca="false">Data_Returns!A503</f>
        <v>45539</v>
      </c>
      <c r="L142" s="31" t="n">
        <f aca="false">Data_Returns!Z503</f>
        <v>-0.0164293792353636</v>
      </c>
      <c r="M142" s="31" t="n">
        <f aca="false">Data_Returns!B503</f>
        <v>-0.00321006651542621</v>
      </c>
      <c r="N142" s="32" t="n">
        <f aca="false">L142-($L$5+$L$6*M142)</f>
        <v>-0.0162446198196444</v>
      </c>
      <c r="P142" s="30" t="n">
        <f aca="false">Data_Returns!A503</f>
        <v>45539</v>
      </c>
      <c r="Q142" s="31" t="n">
        <f aca="false">Data_Returns!AA503</f>
        <v>-0.0080353011454717</v>
      </c>
      <c r="R142" s="31" t="n">
        <f aca="false">Data_Returns!B503</f>
        <v>-0.00321006651542621</v>
      </c>
      <c r="S142" s="32" t="n">
        <f aca="false">Q142-($Q$5+$Q$6*R142)</f>
        <v>-0.00837649640552987</v>
      </c>
    </row>
    <row r="143" customFormat="false" ht="15" hidden="false" customHeight="false" outlineLevel="0" collapsed="false">
      <c r="A143" s="30" t="n">
        <f aca="false">Data_Returns!A185</f>
        <v>45071</v>
      </c>
      <c r="B143" s="31" t="n">
        <f aca="false">Data_Returns!Z185</f>
        <v>0.00644509758422978</v>
      </c>
      <c r="C143" s="31" t="n">
        <f aca="false">Data_Returns!B185</f>
        <v>0.00195511172848284</v>
      </c>
      <c r="D143" s="32" t="n">
        <f aca="false">B143-($B$5+$B$6*C143)</f>
        <v>0.00696570071793281</v>
      </c>
      <c r="F143" s="30" t="n">
        <f aca="false">Data_Returns!A185</f>
        <v>45071</v>
      </c>
      <c r="G143" s="31" t="n">
        <f aca="false">Data_Returns!AA185</f>
        <v>0.00839728248907793</v>
      </c>
      <c r="H143" s="31" t="n">
        <f aca="false">Data_Returns!B185</f>
        <v>0.00195511172848284</v>
      </c>
      <c r="I143" s="32" t="n">
        <f aca="false">G143-($G$5+$G$6*H143)</f>
        <v>0.00943022207529176</v>
      </c>
      <c r="K143" s="30" t="n">
        <f aca="false">Data_Returns!A504</f>
        <v>45540</v>
      </c>
      <c r="L143" s="31" t="n">
        <f aca="false">Data_Returns!Z504</f>
        <v>-0.0164086668275364</v>
      </c>
      <c r="M143" s="31" t="n">
        <f aca="false">Data_Returns!B504</f>
        <v>-0.00212709385801657</v>
      </c>
      <c r="N143" s="32" t="n">
        <f aca="false">L143-($L$5+$L$6*M143)</f>
        <v>-0.0161220897747884</v>
      </c>
      <c r="P143" s="30" t="n">
        <f aca="false">Data_Returns!A504</f>
        <v>45540</v>
      </c>
      <c r="Q143" s="31" t="n">
        <f aca="false">Data_Returns!AA504</f>
        <v>-0.0211351323644127</v>
      </c>
      <c r="R143" s="31" t="n">
        <f aca="false">Data_Returns!B504</f>
        <v>-0.00212709385801657</v>
      </c>
      <c r="S143" s="32" t="n">
        <f aca="false">Q143-($Q$5+$Q$6*R143)</f>
        <v>-0.0211925902266947</v>
      </c>
    </row>
    <row r="144" customFormat="false" ht="15" hidden="false" customHeight="false" outlineLevel="0" collapsed="false">
      <c r="A144" s="30" t="n">
        <f aca="false">Data_Returns!A186</f>
        <v>45072</v>
      </c>
      <c r="B144" s="31" t="n">
        <f aca="false">Data_Returns!Z186</f>
        <v>0.00608529474167486</v>
      </c>
      <c r="C144" s="31" t="n">
        <f aca="false">Data_Returns!B186</f>
        <v>0.00972646367722541</v>
      </c>
      <c r="D144" s="32" t="n">
        <f aca="false">B144-($B$5+$B$6*C144)</f>
        <v>0.00782884599937983</v>
      </c>
      <c r="F144" s="30" t="n">
        <f aca="false">Data_Returns!A186</f>
        <v>45072</v>
      </c>
      <c r="G144" s="31" t="n">
        <f aca="false">Data_Returns!AA186</f>
        <v>0.010449848171249</v>
      </c>
      <c r="H144" s="31" t="n">
        <f aca="false">Data_Returns!B186</f>
        <v>0.00972646367722541</v>
      </c>
      <c r="I144" s="32" t="n">
        <f aca="false">G144-($G$5+$G$6*H144)</f>
        <v>0.0113289898813138</v>
      </c>
      <c r="K144" s="30" t="n">
        <f aca="false">Data_Returns!A505</f>
        <v>45541</v>
      </c>
      <c r="L144" s="31" t="n">
        <f aca="false">Data_Returns!Z505</f>
        <v>0.0127495617821321</v>
      </c>
      <c r="M144" s="31" t="n">
        <f aca="false">Data_Returns!B505</f>
        <v>-0.0116503811875871</v>
      </c>
      <c r="N144" s="32" t="n">
        <f aca="false">L144-($L$5+$L$6*M144)</f>
        <v>0.0121407897177911</v>
      </c>
      <c r="P144" s="30" t="n">
        <f aca="false">Data_Returns!A505</f>
        <v>45541</v>
      </c>
      <c r="Q144" s="31" t="n">
        <f aca="false">Data_Returns!AA505</f>
        <v>0.0218025809843734</v>
      </c>
      <c r="R144" s="31" t="n">
        <f aca="false">Data_Returns!B505</f>
        <v>-0.0116503811875871</v>
      </c>
      <c r="S144" s="32" t="n">
        <f aca="false">Q144-($Q$5+$Q$6*R144)</f>
        <v>0.0192500344911097</v>
      </c>
    </row>
    <row r="145" customFormat="false" ht="15" hidden="false" customHeight="false" outlineLevel="0" collapsed="false">
      <c r="A145" s="30" t="n">
        <f aca="false">Data_Returns!A187</f>
        <v>45075</v>
      </c>
      <c r="B145" s="31" t="n">
        <f aca="false">Data_Returns!Z187</f>
        <v>-0.0210986099169931</v>
      </c>
      <c r="C145" s="31" t="n">
        <f aca="false">Data_Returns!B187</f>
        <v>0.00536775616440588</v>
      </c>
      <c r="D145" s="32" t="n">
        <f aca="false">B145-($B$5+$B$6*C145)</f>
        <v>-0.0200409718969118</v>
      </c>
      <c r="F145" s="30" t="n">
        <f aca="false">Data_Returns!A187</f>
        <v>45075</v>
      </c>
      <c r="G145" s="31" t="n">
        <f aca="false">Data_Returns!AA187</f>
        <v>-0.0266418060814292</v>
      </c>
      <c r="H145" s="31" t="n">
        <f aca="false">Data_Returns!B187</f>
        <v>0.00536775616440588</v>
      </c>
      <c r="I145" s="32" t="n">
        <f aca="false">G145-($G$5+$G$6*H145)</f>
        <v>-0.0256764039674285</v>
      </c>
      <c r="K145" s="30" t="n">
        <f aca="false">Data_Returns!A506</f>
        <v>45544</v>
      </c>
      <c r="L145" s="31" t="n">
        <f aca="false">Data_Returns!Z506</f>
        <v>0.00277531133374444</v>
      </c>
      <c r="M145" s="31" t="n">
        <f aca="false">Data_Returns!B506</f>
        <v>0.0033900487482974</v>
      </c>
      <c r="N145" s="32" t="n">
        <f aca="false">L145-($L$5+$L$6*M145)</f>
        <v>0.00358059254719527</v>
      </c>
      <c r="P145" s="30" t="n">
        <f aca="false">Data_Returns!A506</f>
        <v>45544</v>
      </c>
      <c r="Q145" s="31" t="n">
        <f aca="false">Data_Returns!AA506</f>
        <v>-0.000538976816259732</v>
      </c>
      <c r="R145" s="31" t="n">
        <f aca="false">Data_Returns!B506</f>
        <v>0.0033900487482974</v>
      </c>
      <c r="S145" s="32" t="n">
        <f aca="false">Q145-($Q$5+$Q$6*R145)</f>
        <v>0.00084904935613339</v>
      </c>
    </row>
    <row r="146" customFormat="false" ht="15" hidden="false" customHeight="false" outlineLevel="0" collapsed="false">
      <c r="A146" s="30" t="n">
        <f aca="false">Data_Returns!A188</f>
        <v>45076</v>
      </c>
      <c r="B146" s="31" t="n">
        <f aca="false">Data_Returns!Z188</f>
        <v>-0.0196082880185805</v>
      </c>
      <c r="C146" s="31" t="n">
        <f aca="false">Data_Returns!B188</f>
        <v>0.00189261048516953</v>
      </c>
      <c r="D146" s="32" t="n">
        <f aca="false">B146-($B$5+$B$6*C146)</f>
        <v>-0.0190975204680246</v>
      </c>
      <c r="F146" s="30" t="n">
        <f aca="false">Data_Returns!A188</f>
        <v>45076</v>
      </c>
      <c r="G146" s="31" t="n">
        <f aca="false">Data_Returns!AA188</f>
        <v>-0.0143980792241827</v>
      </c>
      <c r="H146" s="31" t="n">
        <f aca="false">Data_Returns!B188</f>
        <v>0.00189261048516953</v>
      </c>
      <c r="I146" s="32" t="n">
        <f aca="false">G146-($G$5+$G$6*H146)</f>
        <v>-0.0133639027156751</v>
      </c>
      <c r="K146" s="30" t="n">
        <f aca="false">Data_Returns!A507</f>
        <v>45545</v>
      </c>
      <c r="L146" s="31" t="n">
        <f aca="false">Data_Returns!Z507</f>
        <v>0.00926249710013374</v>
      </c>
      <c r="M146" s="31" t="n">
        <f aca="false">Data_Returns!B507</f>
        <v>0.00419868144559743</v>
      </c>
      <c r="N146" s="32" t="n">
        <f aca="false">L146-($L$5+$L$6*M146)</f>
        <v>0.0101438033820847</v>
      </c>
      <c r="P146" s="30" t="n">
        <f aca="false">Data_Returns!A507</f>
        <v>45545</v>
      </c>
      <c r="Q146" s="31" t="n">
        <f aca="false">Data_Returns!AA507</f>
        <v>0.0133292503793309</v>
      </c>
      <c r="R146" s="31" t="n">
        <f aca="false">Data_Returns!B507</f>
        <v>0.00419868144559743</v>
      </c>
      <c r="S146" s="32" t="n">
        <f aca="false">Q146-($Q$5+$Q$6*R146)</f>
        <v>0.0149291372443452</v>
      </c>
    </row>
    <row r="147" customFormat="false" ht="15" hidden="false" customHeight="false" outlineLevel="0" collapsed="false">
      <c r="A147" s="30" t="n">
        <f aca="false">Data_Returns!A189</f>
        <v>45077</v>
      </c>
      <c r="B147" s="31" t="n">
        <f aca="false">Data_Returns!Z189</f>
        <v>0.0102867922857606</v>
      </c>
      <c r="C147" s="31" t="n">
        <f aca="false">Data_Returns!B189</f>
        <v>-0.005337061315831</v>
      </c>
      <c r="D147" s="32" t="n">
        <f aca="false">B147-($B$5+$B$6*C147)</f>
        <v>0.00965985385870799</v>
      </c>
      <c r="F147" s="30" t="n">
        <f aca="false">Data_Returns!A189</f>
        <v>45077</v>
      </c>
      <c r="G147" s="31" t="n">
        <f aca="false">Data_Returns!AA189</f>
        <v>-0.00951169932662908</v>
      </c>
      <c r="H147" s="31" t="n">
        <f aca="false">Data_Returns!B189</f>
        <v>-0.005337061315831</v>
      </c>
      <c r="I147" s="32" t="n">
        <f aca="false">G147-($G$5+$G$6*H147)</f>
        <v>-0.00833444498873186</v>
      </c>
      <c r="K147" s="30" t="n">
        <f aca="false">Data_Returns!A508</f>
        <v>45546</v>
      </c>
      <c r="L147" s="31" t="n">
        <f aca="false">Data_Returns!Z508</f>
        <v>-0.0114423811544586</v>
      </c>
      <c r="M147" s="31" t="n">
        <f aca="false">Data_Returns!B508</f>
        <v>-0.00489794777385966</v>
      </c>
      <c r="N147" s="32" t="n">
        <f aca="false">L147-($L$5+$L$6*M147)</f>
        <v>-0.0114163109541532</v>
      </c>
      <c r="P147" s="30" t="n">
        <f aca="false">Data_Returns!A508</f>
        <v>45546</v>
      </c>
      <c r="Q147" s="31" t="n">
        <f aca="false">Data_Returns!AA508</f>
        <v>-0.00386041836795529</v>
      </c>
      <c r="R147" s="31" t="n">
        <f aca="false">Data_Returns!B508</f>
        <v>-0.00489794777385966</v>
      </c>
      <c r="S147" s="32" t="n">
        <f aca="false">Q147-($Q$5+$Q$6*R147)</f>
        <v>-0.0046438362757842</v>
      </c>
    </row>
    <row r="148" customFormat="false" ht="15" hidden="false" customHeight="false" outlineLevel="0" collapsed="false">
      <c r="A148" s="30" t="n">
        <f aca="false">Data_Returns!A190</f>
        <v>45078</v>
      </c>
      <c r="B148" s="31" t="n">
        <f aca="false">Data_Returns!Z190</f>
        <v>-0.0164732617821176</v>
      </c>
      <c r="C148" s="31" t="n">
        <f aca="false">Data_Returns!B190</f>
        <v>-0.00251694147099457</v>
      </c>
      <c r="D148" s="32" t="n">
        <f aca="false">B148-($B$5+$B$6*C148)</f>
        <v>-0.016656408666019</v>
      </c>
      <c r="F148" s="30" t="n">
        <f aca="false">Data_Returns!A190</f>
        <v>45078</v>
      </c>
      <c r="G148" s="31" t="n">
        <f aca="false">Data_Returns!AA190</f>
        <v>-0.0241657085339544</v>
      </c>
      <c r="H148" s="31" t="n">
        <f aca="false">Data_Returns!B190</f>
        <v>-0.00251694147099457</v>
      </c>
      <c r="I148" s="32" t="n">
        <f aca="false">G148-($G$5+$G$6*H148)</f>
        <v>-0.02304426539152</v>
      </c>
      <c r="K148" s="30" t="n">
        <f aca="false">Data_Returns!A509</f>
        <v>45547</v>
      </c>
      <c r="L148" s="31" t="n">
        <f aca="false">Data_Returns!Z509</f>
        <v>7.49815750436464E-005</v>
      </c>
      <c r="M148" s="31" t="n">
        <f aca="false">Data_Returns!B509</f>
        <v>0.018879585206945</v>
      </c>
      <c r="N148" s="32" t="n">
        <f aca="false">L148-($L$5+$L$6*M148)</f>
        <v>0.00233653962992769</v>
      </c>
      <c r="P148" s="30" t="n">
        <f aca="false">Data_Returns!A509</f>
        <v>45547</v>
      </c>
      <c r="Q148" s="31" t="n">
        <f aca="false">Data_Returns!AA509</f>
        <v>-0.0112383118178607</v>
      </c>
      <c r="R148" s="31" t="n">
        <f aca="false">Data_Returns!B509</f>
        <v>0.018879585206945</v>
      </c>
      <c r="S148" s="32" t="n">
        <f aca="false">Q148-($Q$5+$Q$6*R148)</f>
        <v>-0.00579204766737539</v>
      </c>
    </row>
    <row r="149" customFormat="false" ht="15" hidden="false" customHeight="false" outlineLevel="0" collapsed="false">
      <c r="A149" s="30" t="n">
        <f aca="false">Data_Returns!A191</f>
        <v>45079</v>
      </c>
      <c r="B149" s="31" t="n">
        <f aca="false">Data_Returns!Z191</f>
        <v>-0.000303359027070176</v>
      </c>
      <c r="C149" s="31" t="n">
        <f aca="false">Data_Returns!B191</f>
        <v>0.00250706548931046</v>
      </c>
      <c r="D149" s="32" t="n">
        <f aca="false">B149-($B$5+$B$6*C149)</f>
        <v>0.000304102972476543</v>
      </c>
      <c r="F149" s="30" t="n">
        <f aca="false">Data_Returns!A191</f>
        <v>45079</v>
      </c>
      <c r="G149" s="31" t="n">
        <f aca="false">Data_Returns!AA191</f>
        <v>-0.0033698468315207</v>
      </c>
      <c r="H149" s="31" t="n">
        <f aca="false">Data_Returns!B191</f>
        <v>0.00250706548931046</v>
      </c>
      <c r="I149" s="32" t="n">
        <f aca="false">G149-($G$5+$G$6*H149)</f>
        <v>-0.00234783061059874</v>
      </c>
      <c r="K149" s="30" t="n">
        <f aca="false">Data_Returns!A510</f>
        <v>45548</v>
      </c>
      <c r="L149" s="31" t="n">
        <f aca="false">Data_Returns!Z510</f>
        <v>-0.0153105518990569</v>
      </c>
      <c r="M149" s="31" t="n">
        <f aca="false">Data_Returns!B510</f>
        <v>-0.00127614823800959</v>
      </c>
      <c r="N149" s="32" t="n">
        <f aca="false">L149-($L$5+$L$6*M149)</f>
        <v>-0.014943971651698</v>
      </c>
      <c r="P149" s="30" t="n">
        <f aca="false">Data_Returns!A510</f>
        <v>45548</v>
      </c>
      <c r="Q149" s="31" t="n">
        <f aca="false">Data_Returns!AA510</f>
        <v>-0.0210426713109098</v>
      </c>
      <c r="R149" s="31" t="n">
        <f aca="false">Data_Returns!B510</f>
        <v>-0.00127614823800959</v>
      </c>
      <c r="S149" s="32" t="n">
        <f aca="false">Q149-($Q$5+$Q$6*R149)</f>
        <v>-0.0208771825510239</v>
      </c>
    </row>
    <row r="150" customFormat="false" ht="15" hidden="false" customHeight="false" outlineLevel="0" collapsed="false">
      <c r="A150" s="30" t="n">
        <f aca="false">Data_Returns!A192</f>
        <v>45082</v>
      </c>
      <c r="B150" s="31" t="n">
        <f aca="false">Data_Returns!Z192</f>
        <v>0.00237964379090242</v>
      </c>
      <c r="C150" s="31" t="n">
        <f aca="false">Data_Returns!B192</f>
        <v>0.00322378750519303</v>
      </c>
      <c r="D150" s="32" t="n">
        <f aca="false">B150-($B$5+$B$6*C150)</f>
        <v>0.00309989361044953</v>
      </c>
      <c r="F150" s="30" t="n">
        <f aca="false">Data_Returns!A192</f>
        <v>45082</v>
      </c>
      <c r="G150" s="31" t="n">
        <f aca="false">Data_Returns!AA192</f>
        <v>-0.00363372534451972</v>
      </c>
      <c r="H150" s="31" t="n">
        <f aca="false">Data_Returns!B192</f>
        <v>0.00322378750519303</v>
      </c>
      <c r="I150" s="32" t="n">
        <f aca="false">G150-($G$5+$G$6*H150)</f>
        <v>-0.0026258933124698</v>
      </c>
      <c r="K150" s="30" t="n">
        <f aca="false">Data_Returns!A511</f>
        <v>45551</v>
      </c>
      <c r="L150" s="31" t="n">
        <f aca="false">Data_Returns!Z511</f>
        <v>0.0319489003249113</v>
      </c>
      <c r="M150" s="31" t="n">
        <f aca="false">Data_Returns!B511</f>
        <v>0.00107467513260895</v>
      </c>
      <c r="N150" s="32" t="n">
        <f aca="false">L150-($L$5+$L$6*M150)</f>
        <v>0.0325364974917934</v>
      </c>
      <c r="P150" s="30" t="n">
        <f aca="false">Data_Returns!A511</f>
        <v>45551</v>
      </c>
      <c r="Q150" s="31" t="n">
        <f aca="false">Data_Returns!AA511</f>
        <v>0.0161907461342655</v>
      </c>
      <c r="R150" s="31" t="n">
        <f aca="false">Data_Returns!B511</f>
        <v>0.00107467513260895</v>
      </c>
      <c r="S150" s="32" t="n">
        <f aca="false">Q150-($Q$5+$Q$6*R150)</f>
        <v>0.0169721474947577</v>
      </c>
    </row>
    <row r="151" customFormat="false" ht="15" hidden="false" customHeight="false" outlineLevel="0" collapsed="false">
      <c r="A151" s="30" t="n">
        <f aca="false">Data_Returns!A193</f>
        <v>45083</v>
      </c>
      <c r="B151" s="31" t="n">
        <f aca="false">Data_Returns!Z193</f>
        <v>-0.000545844735696499</v>
      </c>
      <c r="C151" s="31" t="n">
        <f aca="false">Data_Returns!B193</f>
        <v>0.000276973300311845</v>
      </c>
      <c r="D151" s="32" t="n">
        <f aca="false">B151-($B$5+$B$6*C151)</f>
        <v>-0.000289323869285378</v>
      </c>
      <c r="F151" s="30" t="n">
        <f aca="false">Data_Returns!A193</f>
        <v>45083</v>
      </c>
      <c r="G151" s="31" t="n">
        <f aca="false">Data_Returns!AA193</f>
        <v>0.0067896167663334</v>
      </c>
      <c r="H151" s="31" t="n">
        <f aca="false">Data_Returns!B193</f>
        <v>0.000276973300311845</v>
      </c>
      <c r="I151" s="32" t="n">
        <f aca="false">G151-($G$5+$G$6*H151)</f>
        <v>0.00785576732122284</v>
      </c>
      <c r="K151" s="30" t="n">
        <f aca="false">Data_Returns!A512</f>
        <v>45552</v>
      </c>
      <c r="L151" s="31" t="n">
        <f aca="false">Data_Returns!Z512</f>
        <v>0.00675428024467948</v>
      </c>
      <c r="M151" s="31" t="n">
        <f aca="false">Data_Returns!B512</f>
        <v>0.00137095582803948</v>
      </c>
      <c r="N151" s="32" t="n">
        <f aca="false">L151-($L$5+$L$6*M151)</f>
        <v>0.00736973277808406</v>
      </c>
      <c r="P151" s="30" t="n">
        <f aca="false">Data_Returns!A512</f>
        <v>45552</v>
      </c>
      <c r="Q151" s="31" t="n">
        <f aca="false">Data_Returns!AA512</f>
        <v>0.00698839674981614</v>
      </c>
      <c r="R151" s="31" t="n">
        <f aca="false">Data_Returns!B512</f>
        <v>0.00137095582803948</v>
      </c>
      <c r="S151" s="32" t="n">
        <f aca="false">Q151-($Q$5+$Q$6*R151)</f>
        <v>0.00784742325897446</v>
      </c>
    </row>
    <row r="152" customFormat="false" ht="15" hidden="false" customHeight="false" outlineLevel="0" collapsed="false">
      <c r="A152" s="30" t="n">
        <f aca="false">Data_Returns!A194</f>
        <v>45084</v>
      </c>
      <c r="B152" s="31" t="n">
        <f aca="false">Data_Returns!Z194</f>
        <v>-0.0190026369954702</v>
      </c>
      <c r="C152" s="31" t="n">
        <f aca="false">Data_Returns!B194</f>
        <v>0.00684983063605582</v>
      </c>
      <c r="D152" s="32" t="n">
        <f aca="false">B152-($B$5+$B$6*C152)</f>
        <v>-0.0177117705478657</v>
      </c>
      <c r="F152" s="30" t="n">
        <f aca="false">Data_Returns!A194</f>
        <v>45084</v>
      </c>
      <c r="G152" s="31" t="n">
        <f aca="false">Data_Returns!AA194</f>
        <v>-0.0214794771156965</v>
      </c>
      <c r="H152" s="31" t="n">
        <f aca="false">Data_Returns!B194</f>
        <v>0.00684983063605582</v>
      </c>
      <c r="I152" s="32" t="n">
        <f aca="false">G152-($G$5+$G$6*H152)</f>
        <v>-0.0205434057934986</v>
      </c>
      <c r="K152" s="30" t="n">
        <f aca="false">Data_Returns!A513</f>
        <v>45553</v>
      </c>
      <c r="L152" s="31" t="n">
        <f aca="false">Data_Returns!Z513</f>
        <v>0.00209587262565336</v>
      </c>
      <c r="M152" s="31" t="n">
        <f aca="false">Data_Returns!B513</f>
        <v>-0.00161299523379577</v>
      </c>
      <c r="N152" s="32" t="n">
        <f aca="false">L152-($L$5+$L$6*M152)</f>
        <v>0.00243078359224465</v>
      </c>
      <c r="P152" s="30" t="n">
        <f aca="false">Data_Returns!A513</f>
        <v>45553</v>
      </c>
      <c r="Q152" s="31" t="n">
        <f aca="false">Data_Returns!AA513</f>
        <v>-0.00152319928907317</v>
      </c>
      <c r="R152" s="31" t="n">
        <f aca="false">Data_Returns!B513</f>
        <v>-0.00161299523379577</v>
      </c>
      <c r="S152" s="32" t="n">
        <f aca="false">Q152-($Q$5+$Q$6*R152)</f>
        <v>-0.00144596399466405</v>
      </c>
    </row>
    <row r="153" customFormat="false" ht="15" hidden="false" customHeight="false" outlineLevel="0" collapsed="false">
      <c r="A153" s="30" t="n">
        <f aca="false">Data_Returns!A195</f>
        <v>45085</v>
      </c>
      <c r="B153" s="31" t="n">
        <f aca="false">Data_Returns!Z195</f>
        <v>-0.0078087271215712</v>
      </c>
      <c r="C153" s="31" t="n">
        <f aca="false">Data_Returns!B195</f>
        <v>-0.00490484022556403</v>
      </c>
      <c r="D153" s="32" t="n">
        <f aca="false">B153-($B$5+$B$6*C153)</f>
        <v>-0.00836764855814614</v>
      </c>
      <c r="F153" s="30" t="n">
        <f aca="false">Data_Returns!A195</f>
        <v>45085</v>
      </c>
      <c r="G153" s="31" t="n">
        <f aca="false">Data_Returns!AA195</f>
        <v>-0.000513816609846118</v>
      </c>
      <c r="H153" s="31" t="n">
        <f aca="false">Data_Returns!B195</f>
        <v>-0.00490484022556403</v>
      </c>
      <c r="I153" s="32" t="n">
        <f aca="false">G153-($G$5+$G$6*H153)</f>
        <v>0.000654883915773859</v>
      </c>
      <c r="K153" s="30" t="n">
        <f aca="false">Data_Returns!A514</f>
        <v>45554</v>
      </c>
      <c r="L153" s="31" t="n">
        <f aca="false">Data_Returns!Z514</f>
        <v>0.00988548502182421</v>
      </c>
      <c r="M153" s="31" t="n">
        <f aca="false">Data_Returns!B514</f>
        <v>0.00150723769631034</v>
      </c>
      <c r="N153" s="32" t="n">
        <f aca="false">L153-($L$5+$L$6*M153)</f>
        <v>0.0105137503420543</v>
      </c>
      <c r="P153" s="30" t="n">
        <f aca="false">Data_Returns!A514</f>
        <v>45554</v>
      </c>
      <c r="Q153" s="31" t="n">
        <f aca="false">Data_Returns!AA514</f>
        <v>0.0192669543728344</v>
      </c>
      <c r="R153" s="31" t="n">
        <f aca="false">Data_Returns!B514</f>
        <v>0.00150723769631034</v>
      </c>
      <c r="S153" s="32" t="n">
        <f aca="false">Q153-($Q$5+$Q$6*R153)</f>
        <v>0.0201616865504625</v>
      </c>
    </row>
    <row r="154" customFormat="false" ht="15" hidden="false" customHeight="false" outlineLevel="0" collapsed="false">
      <c r="A154" s="30" t="n">
        <f aca="false">Data_Returns!A196</f>
        <v>45086</v>
      </c>
      <c r="B154" s="31" t="n">
        <f aca="false">Data_Returns!Z196</f>
        <v>0.00556271495077256</v>
      </c>
      <c r="C154" s="31" t="n">
        <f aca="false">Data_Returns!B196</f>
        <v>-0.00381817645180582</v>
      </c>
      <c r="D154" s="32" t="n">
        <f aca="false">B154-($B$5+$B$6*C154)</f>
        <v>0.00517479766280699</v>
      </c>
      <c r="F154" s="30" t="n">
        <f aca="false">Data_Returns!A196</f>
        <v>45086</v>
      </c>
      <c r="G154" s="31" t="n">
        <f aca="false">Data_Returns!AA196</f>
        <v>0.00424152648469933</v>
      </c>
      <c r="H154" s="31" t="n">
        <f aca="false">Data_Returns!B196</f>
        <v>-0.00381817645180582</v>
      </c>
      <c r="I154" s="32" t="n">
        <f aca="false">G154-($G$5+$G$6*H154)</f>
        <v>0.00538872153976612</v>
      </c>
      <c r="K154" s="30" t="n">
        <f aca="false">Data_Returns!A515</f>
        <v>45555</v>
      </c>
      <c r="L154" s="31" t="n">
        <f aca="false">Data_Returns!Z515</f>
        <v>0.00059554025136374</v>
      </c>
      <c r="M154" s="31" t="n">
        <f aca="false">Data_Returns!B515</f>
        <v>0.0147605033089653</v>
      </c>
      <c r="N154" s="32" t="n">
        <f aca="false">L154-($L$5+$L$6*M154)</f>
        <v>0.00246983535670705</v>
      </c>
      <c r="P154" s="30" t="n">
        <f aca="false">Data_Returns!A515</f>
        <v>45555</v>
      </c>
      <c r="Q154" s="31" t="n">
        <f aca="false">Data_Returns!AA515</f>
        <v>-0.00487863897206264</v>
      </c>
      <c r="R154" s="31" t="n">
        <f aca="false">Data_Returns!B515</f>
        <v>0.0147605033089653</v>
      </c>
      <c r="S154" s="32" t="n">
        <f aca="false">Q154-($Q$5+$Q$6*R154)</f>
        <v>-0.000511568807651786</v>
      </c>
    </row>
    <row r="155" customFormat="false" ht="15" hidden="false" customHeight="false" outlineLevel="0" collapsed="false">
      <c r="A155" s="30" t="n">
        <f aca="false">Data_Returns!A197</f>
        <v>45089</v>
      </c>
      <c r="B155" s="31" t="n">
        <f aca="false">Data_Returns!Z197</f>
        <v>-0.000940753716800991</v>
      </c>
      <c r="C155" s="31" t="n">
        <f aca="false">Data_Returns!B197</f>
        <v>0.0020524257409742</v>
      </c>
      <c r="D155" s="32" t="n">
        <f aca="false">B155-($B$5+$B$6*C155)</f>
        <v>-0.000404836646758399</v>
      </c>
      <c r="F155" s="30" t="n">
        <f aca="false">Data_Returns!A197</f>
        <v>45089</v>
      </c>
      <c r="G155" s="31" t="n">
        <f aca="false">Data_Returns!AA197</f>
        <v>-0.0156435049008945</v>
      </c>
      <c r="H155" s="31" t="n">
        <f aca="false">Data_Returns!B197</f>
        <v>0.0020524257409742</v>
      </c>
      <c r="I155" s="32" t="n">
        <f aca="false">G155-($G$5+$G$6*H155)</f>
        <v>-0.0146124911943139</v>
      </c>
      <c r="K155" s="30" t="n">
        <f aca="false">Data_Returns!A516</f>
        <v>45558</v>
      </c>
      <c r="L155" s="31" t="n">
        <f aca="false">Data_Returns!Z516</f>
        <v>-0.0151286266167319</v>
      </c>
      <c r="M155" s="31" t="n">
        <f aca="false">Data_Returns!B516</f>
        <v>0.00574232434245348</v>
      </c>
      <c r="N155" s="32" t="n">
        <f aca="false">L155-($L$5+$L$6*M155)</f>
        <v>-0.0141021919503302</v>
      </c>
      <c r="P155" s="30" t="n">
        <f aca="false">Data_Returns!A516</f>
        <v>45558</v>
      </c>
      <c r="Q155" s="31" t="n">
        <f aca="false">Data_Returns!AA516</f>
        <v>-0.0149955646470353</v>
      </c>
      <c r="R155" s="31" t="n">
        <f aca="false">Data_Returns!B516</f>
        <v>0.00574232434245348</v>
      </c>
      <c r="S155" s="32" t="n">
        <f aca="false">Q155-($Q$5+$Q$6*R155)</f>
        <v>-0.0129912453933981</v>
      </c>
    </row>
    <row r="156" customFormat="false" ht="15" hidden="false" customHeight="false" outlineLevel="0" collapsed="false">
      <c r="A156" s="30" t="n">
        <f aca="false">Data_Returns!A198</f>
        <v>45090</v>
      </c>
      <c r="B156" s="31" t="n">
        <f aca="false">Data_Returns!Z198</f>
        <v>2.81613700702753E-005</v>
      </c>
      <c r="C156" s="31" t="n">
        <f aca="false">Data_Returns!B198</f>
        <v>0.00616348143966894</v>
      </c>
      <c r="D156" s="32" t="n">
        <f aca="false">B156-($B$5+$B$6*C156)</f>
        <v>0.00121101965285768</v>
      </c>
      <c r="F156" s="30" t="n">
        <f aca="false">Data_Returns!A198</f>
        <v>45090</v>
      </c>
      <c r="G156" s="31" t="n">
        <f aca="false">Data_Returns!AA198</f>
        <v>-0.0019352642919502</v>
      </c>
      <c r="H156" s="31" t="n">
        <f aca="false">Data_Returns!B198</f>
        <v>0.00616348143966894</v>
      </c>
      <c r="I156" s="32" t="n">
        <f aca="false">G156-($G$5+$G$6*H156)</f>
        <v>-0.000985609870003739</v>
      </c>
      <c r="K156" s="30" t="n">
        <f aca="false">Data_Returns!A517</f>
        <v>45559</v>
      </c>
      <c r="L156" s="31" t="n">
        <f aca="false">Data_Returns!Z517</f>
        <v>-0.0113575738310547</v>
      </c>
      <c r="M156" s="31" t="n">
        <f aca="false">Data_Returns!B517</f>
        <v>5.20450826071439E-005</v>
      </c>
      <c r="N156" s="32" t="n">
        <f aca="false">L156-($L$5+$L$6*M156)</f>
        <v>-0.0108661210816086</v>
      </c>
      <c r="P156" s="30" t="n">
        <f aca="false">Data_Returns!A517</f>
        <v>45559</v>
      </c>
      <c r="Q156" s="31" t="n">
        <f aca="false">Data_Returns!AA517</f>
        <v>-0.0105426547297821</v>
      </c>
      <c r="R156" s="31" t="n">
        <f aca="false">Data_Returns!B517</f>
        <v>5.20450826071439E-005</v>
      </c>
      <c r="S156" s="32" t="n">
        <f aca="false">Q156-($Q$5+$Q$6*R156)</f>
        <v>-0.0100291810840756</v>
      </c>
    </row>
    <row r="157" customFormat="false" ht="15" hidden="false" customHeight="false" outlineLevel="0" collapsed="false">
      <c r="A157" s="30" t="n">
        <f aca="false">Data_Returns!A199</f>
        <v>45091</v>
      </c>
      <c r="B157" s="31" t="n">
        <f aca="false">Data_Returns!Z199</f>
        <v>-0.00252927122036655</v>
      </c>
      <c r="C157" s="31" t="n">
        <f aca="false">Data_Returns!B199</f>
        <v>0.00212383422872753</v>
      </c>
      <c r="D157" s="32" t="n">
        <f aca="false">B157-($B$5+$B$6*C157)</f>
        <v>-0.00198211686796797</v>
      </c>
      <c r="F157" s="30" t="n">
        <f aca="false">Data_Returns!A199</f>
        <v>45091</v>
      </c>
      <c r="G157" s="31" t="n">
        <f aca="false">Data_Returns!AA199</f>
        <v>-0.00045778374271277</v>
      </c>
      <c r="H157" s="31" t="n">
        <f aca="false">Data_Returns!B199</f>
        <v>0.00212383422872753</v>
      </c>
      <c r="I157" s="32" t="n">
        <f aca="false">G157-($G$5+$G$6*H157)</f>
        <v>0.000571816763973147</v>
      </c>
      <c r="K157" s="30" t="n">
        <f aca="false">Data_Returns!A518</f>
        <v>45560</v>
      </c>
      <c r="L157" s="31" t="n">
        <f aca="false">Data_Returns!Z518</f>
        <v>0.00671031976696761</v>
      </c>
      <c r="M157" s="31" t="n">
        <f aca="false">Data_Returns!B518</f>
        <v>0.00245755655271318</v>
      </c>
      <c r="N157" s="32" t="n">
        <f aca="false">L157-($L$5+$L$6*M157)</f>
        <v>0.00742793103671989</v>
      </c>
      <c r="P157" s="30" t="n">
        <f aca="false">Data_Returns!A518</f>
        <v>45560</v>
      </c>
      <c r="Q157" s="31" t="n">
        <f aca="false">Data_Returns!AA518</f>
        <v>0.0134647849140614</v>
      </c>
      <c r="R157" s="31" t="n">
        <f aca="false">Data_Returns!B518</f>
        <v>0.00245755655271318</v>
      </c>
      <c r="S157" s="32" t="n">
        <f aca="false">Q157-($Q$5+$Q$6*R157)</f>
        <v>0.0146084993698</v>
      </c>
    </row>
    <row r="158" customFormat="false" ht="15" hidden="false" customHeight="false" outlineLevel="0" collapsed="false">
      <c r="A158" s="30" t="n">
        <f aca="false">Data_Returns!A200</f>
        <v>45092</v>
      </c>
      <c r="B158" s="31" t="n">
        <f aca="false">Data_Returns!Z200</f>
        <v>0.00104570309139995</v>
      </c>
      <c r="C158" s="31" t="n">
        <f aca="false">Data_Returns!B200</f>
        <v>-0.00361486252325949</v>
      </c>
      <c r="D158" s="32" t="n">
        <f aca="false">B158-($B$5+$B$6*C158)</f>
        <v>0.000689780543749729</v>
      </c>
      <c r="F158" s="30" t="n">
        <f aca="false">Data_Returns!A200</f>
        <v>45092</v>
      </c>
      <c r="G158" s="31" t="n">
        <f aca="false">Data_Returns!AA200</f>
        <v>-0.00284271010225312</v>
      </c>
      <c r="H158" s="31" t="n">
        <f aca="false">Data_Returns!B200</f>
        <v>-0.00361486252325949</v>
      </c>
      <c r="I158" s="32" t="n">
        <f aca="false">G158-($G$5+$G$6*H158)</f>
        <v>-0.00169953870363739</v>
      </c>
      <c r="K158" s="30" t="n">
        <f aca="false">Data_Returns!A519</f>
        <v>45561</v>
      </c>
      <c r="L158" s="31" t="n">
        <f aca="false">Data_Returns!Z519</f>
        <v>0.00566447046742933</v>
      </c>
      <c r="M158" s="31" t="n">
        <f aca="false">Data_Returns!B519</f>
        <v>0.0081486993422204</v>
      </c>
      <c r="N158" s="32" t="n">
        <f aca="false">L158-($L$5+$L$6*M158)</f>
        <v>0.00691714484044328</v>
      </c>
      <c r="P158" s="30" t="n">
        <f aca="false">Data_Returns!A519</f>
        <v>45561</v>
      </c>
      <c r="Q158" s="31" t="n">
        <f aca="false">Data_Returns!AA519</f>
        <v>0.00588732025376247</v>
      </c>
      <c r="R158" s="31" t="n">
        <f aca="false">Data_Returns!B519</f>
        <v>0.0081486993422204</v>
      </c>
      <c r="S158" s="32" t="n">
        <f aca="false">Q158-($Q$5+$Q$6*R158)</f>
        <v>0.00852210656105606</v>
      </c>
    </row>
    <row r="159" customFormat="false" ht="15" hidden="false" customHeight="false" outlineLevel="0" collapsed="false">
      <c r="A159" s="30" t="n">
        <f aca="false">Data_Returns!A201</f>
        <v>45093</v>
      </c>
      <c r="B159" s="31" t="n">
        <f aca="false">Data_Returns!Z201</f>
        <v>-0.00370517775482278</v>
      </c>
      <c r="C159" s="31" t="n">
        <f aca="false">Data_Returns!B201</f>
        <v>0.00737902729544482</v>
      </c>
      <c r="D159" s="32" t="n">
        <f aca="false">B159-($B$5+$B$6*C159)</f>
        <v>-0.00233103363994796</v>
      </c>
      <c r="F159" s="30" t="n">
        <f aca="false">Data_Returns!A201</f>
        <v>45093</v>
      </c>
      <c r="G159" s="31" t="n">
        <f aca="false">Data_Returns!AA201</f>
        <v>-0.00368550927988417</v>
      </c>
      <c r="H159" s="31" t="n">
        <f aca="false">Data_Returns!B201</f>
        <v>0.00737902729544482</v>
      </c>
      <c r="I159" s="32" t="n">
        <f aca="false">G159-($G$5+$G$6*H159)</f>
        <v>-0.0027599109516796</v>
      </c>
      <c r="K159" s="30" t="n">
        <f aca="false">Data_Returns!A520</f>
        <v>45562</v>
      </c>
      <c r="L159" s="31" t="n">
        <f aca="false">Data_Returns!Z520</f>
        <v>0.0145517736324993</v>
      </c>
      <c r="M159" s="31" t="n">
        <f aca="false">Data_Returns!B520</f>
        <v>-0.00141516361160432</v>
      </c>
      <c r="N159" s="32" t="n">
        <f aca="false">L159-($L$5+$L$6*M159)</f>
        <v>0.0149052840975759</v>
      </c>
      <c r="P159" s="30" t="n">
        <f aca="false">Data_Returns!A520</f>
        <v>45562</v>
      </c>
      <c r="Q159" s="31" t="n">
        <f aca="false">Data_Returns!AA520</f>
        <v>0.0216750077407882</v>
      </c>
      <c r="R159" s="31" t="n">
        <f aca="false">Data_Returns!B520</f>
        <v>-0.00141516361160432</v>
      </c>
      <c r="S159" s="32" t="n">
        <f aca="false">Q159-($Q$5+$Q$6*R159)</f>
        <v>0.0218040746574404</v>
      </c>
    </row>
    <row r="160" customFormat="false" ht="15" hidden="false" customHeight="false" outlineLevel="0" collapsed="false">
      <c r="A160" s="30" t="n">
        <f aca="false">Data_Returns!A202</f>
        <v>45096</v>
      </c>
      <c r="B160" s="31" t="n">
        <f aca="false">Data_Returns!Z202</f>
        <v>0.0223564741704479</v>
      </c>
      <c r="C160" s="31" t="n">
        <f aca="false">Data_Returns!B202</f>
        <v>-0.00374747689365762</v>
      </c>
      <c r="D160" s="32" t="n">
        <f aca="false">B160-($B$5+$B$6*C160)</f>
        <v>0.0219796826032804</v>
      </c>
      <c r="F160" s="30" t="n">
        <f aca="false">Data_Returns!A202</f>
        <v>45096</v>
      </c>
      <c r="G160" s="31" t="n">
        <f aca="false">Data_Returns!AA202</f>
        <v>0.00464102993578464</v>
      </c>
      <c r="H160" s="31" t="n">
        <f aca="false">Data_Returns!B202</f>
        <v>-0.00374747689365762</v>
      </c>
      <c r="I160" s="32" t="n">
        <f aca="false">G160-($G$5+$G$6*H160)</f>
        <v>0.00578682582093098</v>
      </c>
      <c r="K160" s="30" t="n">
        <f aca="false">Data_Returns!A521</f>
        <v>45565</v>
      </c>
      <c r="L160" s="31" t="n">
        <f aca="false">Data_Returns!Z521</f>
        <v>-0.00322030148696905</v>
      </c>
      <c r="M160" s="31" t="n">
        <f aca="false">Data_Returns!B521</f>
        <v>-0.014060915353748</v>
      </c>
      <c r="N160" s="32" t="n">
        <f aca="false">L160-($L$5+$L$6*M160)</f>
        <v>-0.00405570428948843</v>
      </c>
      <c r="P160" s="30" t="n">
        <f aca="false">Data_Returns!A521</f>
        <v>45565</v>
      </c>
      <c r="Q160" s="31" t="n">
        <f aca="false">Data_Returns!AA521</f>
        <v>-0.00697264124675538</v>
      </c>
      <c r="R160" s="31" t="n">
        <f aca="false">Data_Returns!B521</f>
        <v>-0.014060915353748</v>
      </c>
      <c r="S160" s="32" t="n">
        <f aca="false">Q160-($Q$5+$Q$6*R160)</f>
        <v>-0.0101567444897461</v>
      </c>
    </row>
    <row r="161" customFormat="false" ht="15" hidden="false" customHeight="false" outlineLevel="0" collapsed="false">
      <c r="A161" s="30" t="n">
        <f aca="false">Data_Returns!A203</f>
        <v>45097</v>
      </c>
      <c r="B161" s="31" t="n">
        <f aca="false">Data_Returns!Z203</f>
        <v>-0.00854258183936972</v>
      </c>
      <c r="C161" s="31" t="n">
        <f aca="false">Data_Returns!B203</f>
        <v>0.00326571743146653</v>
      </c>
      <c r="D161" s="32" t="n">
        <f aca="false">B161-($B$5+$B$6*C161)</f>
        <v>-0.00781573366666424</v>
      </c>
      <c r="F161" s="30" t="n">
        <f aca="false">Data_Returns!A203</f>
        <v>45097</v>
      </c>
      <c r="G161" s="31" t="n">
        <f aca="false">Data_Returns!AA203</f>
        <v>-0.0219887752401067</v>
      </c>
      <c r="H161" s="31" t="n">
        <f aca="false">Data_Returns!B203</f>
        <v>0.00326571743146653</v>
      </c>
      <c r="I161" s="32" t="n">
        <f aca="false">G161-($G$5+$G$6*H161)</f>
        <v>-0.0209817730165187</v>
      </c>
      <c r="K161" s="30" t="n">
        <f aca="false">Data_Returns!A522</f>
        <v>45566</v>
      </c>
      <c r="L161" s="31" t="n">
        <f aca="false">Data_Returns!Z522</f>
        <v>-0.0107730148573233</v>
      </c>
      <c r="M161" s="31" t="n">
        <f aca="false">Data_Returns!B522</f>
        <v>-0.000540470383578851</v>
      </c>
      <c r="N161" s="32" t="n">
        <f aca="false">L161-($L$5+$L$6*M161)</f>
        <v>-0.0103372685232307</v>
      </c>
      <c r="P161" s="30" t="n">
        <f aca="false">Data_Returns!A522</f>
        <v>45566</v>
      </c>
      <c r="Q161" s="31" t="n">
        <f aca="false">Data_Returns!AA522</f>
        <v>-0.000290780257980665</v>
      </c>
      <c r="R161" s="31" t="n">
        <f aca="false">Data_Returns!B522</f>
        <v>-0.000540470383578851</v>
      </c>
      <c r="S161" s="32" t="n">
        <f aca="false">Q161-($Q$5+$Q$6*R161)</f>
        <v>6.74551225974521E-005</v>
      </c>
    </row>
    <row r="162" customFormat="false" ht="15" hidden="false" customHeight="false" outlineLevel="0" collapsed="false">
      <c r="A162" s="30" t="n">
        <f aca="false">Data_Returns!A204</f>
        <v>45098</v>
      </c>
      <c r="B162" s="31" t="n">
        <f aca="false">Data_Returns!Z204</f>
        <v>0.00889035509497231</v>
      </c>
      <c r="C162" s="31" t="n">
        <f aca="false">Data_Returns!B204</f>
        <v>0.00213374289859525</v>
      </c>
      <c r="D162" s="32" t="n">
        <f aca="false">B162-($B$5+$B$6*C162)</f>
        <v>0.0094390687370937</v>
      </c>
      <c r="F162" s="30" t="n">
        <f aca="false">Data_Returns!A204</f>
        <v>45098</v>
      </c>
      <c r="G162" s="31" t="n">
        <f aca="false">Data_Returns!AA204</f>
        <v>-0.00681182641563418</v>
      </c>
      <c r="H162" s="31" t="n">
        <f aca="false">Data_Returns!B204</f>
        <v>0.00213374289859525</v>
      </c>
      <c r="I162" s="32" t="n">
        <f aca="false">G162-($G$5+$G$6*H162)</f>
        <v>-0.0057824220051219</v>
      </c>
      <c r="K162" s="30" t="n">
        <f aca="false">Data_Returns!A523</f>
        <v>45568</v>
      </c>
      <c r="L162" s="31" t="n">
        <f aca="false">Data_Returns!Z523</f>
        <v>-0.00235074799800443</v>
      </c>
      <c r="M162" s="31" t="n">
        <f aca="false">Data_Returns!B523</f>
        <v>-0.0211963452973033</v>
      </c>
      <c r="N162" s="32" t="n">
        <f aca="false">L162-($L$5+$L$6*M162)</f>
        <v>-0.00385700117801637</v>
      </c>
      <c r="P162" s="30" t="n">
        <f aca="false">Data_Returns!A523</f>
        <v>45568</v>
      </c>
      <c r="Q162" s="31" t="n">
        <f aca="false">Data_Returns!AA523</f>
        <v>-0.00213709240591322</v>
      </c>
      <c r="R162" s="31" t="n">
        <f aca="false">Data_Returns!B523</f>
        <v>-0.0211963452973033</v>
      </c>
      <c r="S162" s="32" t="n">
        <f aca="false">Q162-($Q$5+$Q$6*R162)</f>
        <v>-0.00719066881643611</v>
      </c>
    </row>
    <row r="163" customFormat="false" ht="15" hidden="false" customHeight="false" outlineLevel="0" collapsed="false">
      <c r="A163" s="30" t="n">
        <f aca="false">Data_Returns!A205</f>
        <v>45099</v>
      </c>
      <c r="B163" s="31" t="n">
        <f aca="false">Data_Returns!Z205</f>
        <v>-0.00719320002486188</v>
      </c>
      <c r="C163" s="31" t="n">
        <f aca="false">Data_Returns!B205</f>
        <v>-0.00453946443865216</v>
      </c>
      <c r="D163" s="32" t="n">
        <f aca="false">B163-($B$5+$B$6*C163)</f>
        <v>-0.00769462366232711</v>
      </c>
      <c r="F163" s="30" t="n">
        <f aca="false">Data_Returns!A205</f>
        <v>45099</v>
      </c>
      <c r="G163" s="31" t="n">
        <f aca="false">Data_Returns!AA205</f>
        <v>-0.00711921435039651</v>
      </c>
      <c r="H163" s="31" t="n">
        <f aca="false">Data_Returns!B205</f>
        <v>-0.00453946443865216</v>
      </c>
      <c r="I163" s="32" t="n">
        <f aca="false">G163-($G$5+$G$6*H163)</f>
        <v>-0.00595774474423482</v>
      </c>
      <c r="K163" s="30" t="n">
        <f aca="false">Data_Returns!A524</f>
        <v>45569</v>
      </c>
      <c r="L163" s="31" t="n">
        <f aca="false">Data_Returns!Z524</f>
        <v>-0.0160532269261712</v>
      </c>
      <c r="M163" s="31" t="n">
        <f aca="false">Data_Returns!B524</f>
        <v>-0.00932669573585843</v>
      </c>
      <c r="N163" s="32" t="n">
        <f aca="false">L163-($L$5+$L$6*M163)</f>
        <v>-0.0164435334916148</v>
      </c>
      <c r="P163" s="30" t="n">
        <f aca="false">Data_Returns!A524</f>
        <v>45569</v>
      </c>
      <c r="Q163" s="31" t="n">
        <f aca="false">Data_Returns!AA524</f>
        <v>-0.0116265252701993</v>
      </c>
      <c r="R163" s="31" t="n">
        <f aca="false">Data_Returns!B524</f>
        <v>-0.00932669573585843</v>
      </c>
      <c r="S163" s="32" t="n">
        <f aca="false">Q163-($Q$5+$Q$6*R163)</f>
        <v>-0.0135702692615598</v>
      </c>
    </row>
    <row r="164" customFormat="false" ht="15" hidden="false" customHeight="false" outlineLevel="0" collapsed="false">
      <c r="A164" s="30" t="n">
        <f aca="false">Data_Returns!A206</f>
        <v>45100</v>
      </c>
      <c r="B164" s="31" t="n">
        <f aca="false">Data_Returns!Z206</f>
        <v>0.00624406940065891</v>
      </c>
      <c r="C164" s="31" t="n">
        <f aca="false">Data_Returns!B206</f>
        <v>-0.00563361523606576</v>
      </c>
      <c r="D164" s="32" t="n">
        <f aca="false">B164-($B$5+$B$6*C164)</f>
        <v>0.00557046341012335</v>
      </c>
      <c r="F164" s="30" t="n">
        <f aca="false">Data_Returns!A206</f>
        <v>45100</v>
      </c>
      <c r="G164" s="31" t="n">
        <f aca="false">Data_Returns!AA206</f>
        <v>-0.0037996816534064</v>
      </c>
      <c r="H164" s="31" t="n">
        <f aca="false">Data_Returns!B206</f>
        <v>-0.00563361523606576</v>
      </c>
      <c r="I164" s="32" t="n">
        <f aca="false">G164-($G$5+$G$6*H164)</f>
        <v>-0.00261655840577551</v>
      </c>
      <c r="K164" s="30" t="n">
        <f aca="false">Data_Returns!A525</f>
        <v>45572</v>
      </c>
      <c r="L164" s="31" t="n">
        <f aca="false">Data_Returns!Z525</f>
        <v>0.00416007475689201</v>
      </c>
      <c r="M164" s="31" t="n">
        <f aca="false">Data_Returns!B525</f>
        <v>-0.00874889064786155</v>
      </c>
      <c r="N164" s="32" t="n">
        <f aca="false">L164-($L$5+$L$6*M164)</f>
        <v>0.00382409158393713</v>
      </c>
      <c r="P164" s="30" t="n">
        <f aca="false">Data_Returns!A525</f>
        <v>45572</v>
      </c>
      <c r="Q164" s="31" t="n">
        <f aca="false">Data_Returns!AA525</f>
        <v>0.00936423505809186</v>
      </c>
      <c r="R164" s="31" t="n">
        <f aca="false">Data_Returns!B525</f>
        <v>-0.00874889064786155</v>
      </c>
      <c r="S164" s="32" t="n">
        <f aca="false">Q164-($Q$5+$Q$6*R164)</f>
        <v>0.00757187523231337</v>
      </c>
    </row>
    <row r="165" customFormat="false" ht="15" hidden="false" customHeight="false" outlineLevel="0" collapsed="false">
      <c r="A165" s="30" t="n">
        <f aca="false">Data_Returns!A207</f>
        <v>45103</v>
      </c>
      <c r="B165" s="31" t="n">
        <f aca="false">Data_Returns!Z207</f>
        <v>-0.00950229024328911</v>
      </c>
      <c r="C165" s="31" t="n">
        <f aca="false">Data_Returns!B207</f>
        <v>0.00137687176877122</v>
      </c>
      <c r="D165" s="32" t="n">
        <f aca="false">B165-($B$5+$B$6*C165)</f>
        <v>-0.0090726825346571</v>
      </c>
      <c r="F165" s="30" t="n">
        <f aca="false">Data_Returns!A207</f>
        <v>45103</v>
      </c>
      <c r="G165" s="31" t="n">
        <f aca="false">Data_Returns!AA207</f>
        <v>-0.0209302562678404</v>
      </c>
      <c r="H165" s="31" t="n">
        <f aca="false">Data_Returns!B207</f>
        <v>0.00137687176877122</v>
      </c>
      <c r="I165" s="32" t="n">
        <f aca="false">G165-($G$5+$G$6*H165)</f>
        <v>-0.0198858731029166</v>
      </c>
      <c r="K165" s="30" t="n">
        <f aca="false">Data_Returns!A526</f>
        <v>45573</v>
      </c>
      <c r="L165" s="31" t="n">
        <f aca="false">Data_Returns!Z526</f>
        <v>-0.0112414544016488</v>
      </c>
      <c r="M165" s="31" t="n">
        <f aca="false">Data_Returns!B526</f>
        <v>0.00876763154976157</v>
      </c>
      <c r="N165" s="32" t="n">
        <f aca="false">L165-($L$5+$L$6*M165)</f>
        <v>-0.00993058999546859</v>
      </c>
      <c r="P165" s="30" t="n">
        <f aca="false">Data_Returns!A526</f>
        <v>45573</v>
      </c>
      <c r="Q165" s="31" t="n">
        <f aca="false">Data_Returns!AA526</f>
        <v>-0.0259880580219355</v>
      </c>
      <c r="R165" s="31" t="n">
        <f aca="false">Data_Returns!B526</f>
        <v>0.00876763154976157</v>
      </c>
      <c r="S165" s="32" t="n">
        <f aca="false">Q165-($Q$5+$Q$6*R165)</f>
        <v>-0.0231911122983666</v>
      </c>
    </row>
    <row r="166" customFormat="false" ht="15" hidden="false" customHeight="false" outlineLevel="0" collapsed="false">
      <c r="A166" s="30" t="n">
        <f aca="false">Data_Returns!A208</f>
        <v>45104</v>
      </c>
      <c r="B166" s="31" t="n">
        <f aca="false">Data_Returns!Z208</f>
        <v>0.00137507545870167</v>
      </c>
      <c r="C166" s="31" t="n">
        <f aca="false">Data_Returns!B208</f>
        <v>0.00675184043828114</v>
      </c>
      <c r="D166" s="32" t="n">
        <f aca="false">B166-($B$5+$B$6*C166)</f>
        <v>0.00265052156125817</v>
      </c>
      <c r="F166" s="30" t="n">
        <f aca="false">Data_Returns!A208</f>
        <v>45104</v>
      </c>
      <c r="G166" s="31" t="n">
        <f aca="false">Data_Returns!AA208</f>
        <v>-0.00409780265143587</v>
      </c>
      <c r="H166" s="31" t="n">
        <f aca="false">Data_Returns!B208</f>
        <v>0.00675184043828114</v>
      </c>
      <c r="I166" s="32" t="n">
        <f aca="false">G166-($G$5+$G$6*H166)</f>
        <v>-0.00315979206765253</v>
      </c>
      <c r="K166" s="30" t="n">
        <f aca="false">Data_Returns!A527</f>
        <v>45574</v>
      </c>
      <c r="L166" s="31" t="n">
        <f aca="false">Data_Returns!Z527</f>
        <v>0.00623875354408509</v>
      </c>
      <c r="M166" s="31" t="n">
        <f aca="false">Data_Returns!B527</f>
        <v>-0.00124734389711012</v>
      </c>
      <c r="N166" s="32" t="n">
        <f aca="false">L166-($L$5+$L$6*M166)</f>
        <v>0.00660804188375504</v>
      </c>
      <c r="P166" s="30" t="n">
        <f aca="false">Data_Returns!A527</f>
        <v>45574</v>
      </c>
      <c r="Q166" s="31" t="n">
        <f aca="false">Data_Returns!AA527</f>
        <v>0.0173013173152898</v>
      </c>
      <c r="R166" s="31" t="n">
        <f aca="false">Data_Returns!B527</f>
        <v>-0.00124734389711012</v>
      </c>
      <c r="S166" s="32" t="n">
        <f aca="false">Q166-($Q$5+$Q$6*R166)</f>
        <v>0.0174743527742319</v>
      </c>
    </row>
    <row r="167" customFormat="false" ht="15" hidden="false" customHeight="false" outlineLevel="0" collapsed="false">
      <c r="A167" s="30" t="n">
        <f aca="false">Data_Returns!A209</f>
        <v>45105</v>
      </c>
      <c r="B167" s="31" t="n">
        <f aca="false">Data_Returns!Z209</f>
        <v>-0.000610320244671617</v>
      </c>
      <c r="C167" s="31" t="n">
        <f aca="false">Data_Returns!B209</f>
        <v>0.00822111450040897</v>
      </c>
      <c r="D167" s="32" t="n">
        <f aca="false">B167-($B$5+$B$6*C167)</f>
        <v>0.000896339933604968</v>
      </c>
      <c r="F167" s="30" t="n">
        <f aca="false">Data_Returns!A209</f>
        <v>45105</v>
      </c>
      <c r="G167" s="31" t="n">
        <f aca="false">Data_Returns!AA209</f>
        <v>-0.0046745836848685</v>
      </c>
      <c r="H167" s="31" t="n">
        <f aca="false">Data_Returns!B209</f>
        <v>0.00822111450040897</v>
      </c>
      <c r="I167" s="32" t="n">
        <f aca="false">G167-($G$5+$G$6*H167)</f>
        <v>-0.00376565056813679</v>
      </c>
      <c r="K167" s="30" t="n">
        <f aca="false">Data_Returns!A528</f>
        <v>45575</v>
      </c>
      <c r="L167" s="31" t="n">
        <f aca="false">Data_Returns!Z528</f>
        <v>0.00185572019537566</v>
      </c>
      <c r="M167" s="31" t="n">
        <f aca="false">Data_Returns!B528</f>
        <v>0.000660476864295934</v>
      </c>
      <c r="N167" s="32" t="n">
        <f aca="false">L167-($L$5+$L$6*M167)</f>
        <v>0.00240437576142183</v>
      </c>
      <c r="P167" s="30" t="n">
        <f aca="false">Data_Returns!A528</f>
        <v>45575</v>
      </c>
      <c r="Q167" s="31" t="n">
        <f aca="false">Data_Returns!AA528</f>
        <v>0.00888279298133491</v>
      </c>
      <c r="R167" s="31" t="n">
        <f aca="false">Data_Returns!B528</f>
        <v>0.000660476864295934</v>
      </c>
      <c r="S167" s="32" t="n">
        <f aca="false">Q167-($Q$5+$Q$6*R167)</f>
        <v>0.00955567494569054</v>
      </c>
    </row>
    <row r="168" customFormat="false" ht="15" hidden="false" customHeight="false" outlineLevel="0" collapsed="false">
      <c r="A168" s="30" t="n">
        <f aca="false">Data_Returns!A210</f>
        <v>45107</v>
      </c>
      <c r="B168" s="31" t="n">
        <f aca="false">Data_Returns!Z210</f>
        <v>0.005812673321185</v>
      </c>
      <c r="C168" s="31" t="n">
        <f aca="false">Data_Returns!B210</f>
        <v>0.0114352127597894</v>
      </c>
      <c r="D168" s="32" t="n">
        <f aca="false">B168-($B$5+$B$6*C168)</f>
        <v>0.00782512392853915</v>
      </c>
      <c r="F168" s="30" t="n">
        <f aca="false">Data_Returns!A210</f>
        <v>45107</v>
      </c>
      <c r="G168" s="31" t="n">
        <f aca="false">Data_Returns!AA210</f>
        <v>0.00178615959184131</v>
      </c>
      <c r="H168" s="31" t="n">
        <f aca="false">Data_Returns!B210</f>
        <v>0.0114352127597894</v>
      </c>
      <c r="I168" s="32" t="n">
        <f aca="false">G168-($G$5+$G$6*H168)</f>
        <v>0.00263148453726801</v>
      </c>
      <c r="K168" s="30" t="n">
        <f aca="false">Data_Returns!A529</f>
        <v>45576</v>
      </c>
      <c r="L168" s="31" t="n">
        <f aca="false">Data_Returns!Z529</f>
        <v>-0.00805345599494604</v>
      </c>
      <c r="M168" s="31" t="n">
        <f aca="false">Data_Returns!B529</f>
        <v>-0.00136808482125894</v>
      </c>
      <c r="N168" s="32" t="n">
        <f aca="false">L168-($L$5+$L$6*M168)</f>
        <v>-0.00769551933207549</v>
      </c>
      <c r="P168" s="30" t="n">
        <f aca="false">Data_Returns!A529</f>
        <v>45576</v>
      </c>
      <c r="Q168" s="31" t="n">
        <f aca="false">Data_Returns!AA529</f>
        <v>-0.0111902758126144</v>
      </c>
      <c r="R168" s="31" t="n">
        <f aca="false">Data_Returns!B529</f>
        <v>-0.00136808482125894</v>
      </c>
      <c r="S168" s="32" t="n">
        <f aca="false">Q168-($Q$5+$Q$6*R168)</f>
        <v>-0.0110488743154244</v>
      </c>
    </row>
    <row r="169" customFormat="false" ht="15" hidden="false" customHeight="false" outlineLevel="0" collapsed="false">
      <c r="A169" s="30" t="n">
        <f aca="false">Data_Returns!A211</f>
        <v>45110</v>
      </c>
      <c r="B169" s="31" t="n">
        <f aca="false">Data_Returns!Z211</f>
        <v>0.00767841125504088</v>
      </c>
      <c r="C169" s="31" t="n">
        <f aca="false">Data_Returns!B211</f>
        <v>0.00695709271694023</v>
      </c>
      <c r="D169" s="32" t="n">
        <f aca="false">B169-($B$5+$B$6*C169)</f>
        <v>0.008986157128704</v>
      </c>
      <c r="F169" s="30" t="n">
        <f aca="false">Data_Returns!A211</f>
        <v>45110</v>
      </c>
      <c r="G169" s="31" t="n">
        <f aca="false">Data_Returns!AA211</f>
        <v>0.0070206863966234</v>
      </c>
      <c r="H169" s="31" t="n">
        <f aca="false">Data_Returns!B211</f>
        <v>0.00695709271694023</v>
      </c>
      <c r="I169" s="32" t="n">
        <f aca="false">G169-($G$5+$G$6*H169)</f>
        <v>0.00795463496330332</v>
      </c>
      <c r="K169" s="30" t="n">
        <f aca="false">Data_Returns!A530</f>
        <v>45579</v>
      </c>
      <c r="L169" s="31" t="n">
        <f aca="false">Data_Returns!Z530</f>
        <v>-0.00763799759109334</v>
      </c>
      <c r="M169" s="31" t="n">
        <f aca="false">Data_Returns!B530</f>
        <v>0.00655737704918025</v>
      </c>
      <c r="N169" s="32" t="n">
        <f aca="false">L169-($L$5+$L$6*M169)</f>
        <v>-0.00653493426737047</v>
      </c>
      <c r="P169" s="30" t="n">
        <f aca="false">Data_Returns!A530</f>
        <v>45579</v>
      </c>
      <c r="Q169" s="31" t="n">
        <f aca="false">Data_Returns!AA530</f>
        <v>-0.0103067979092994</v>
      </c>
      <c r="R169" s="31" t="n">
        <f aca="false">Data_Returns!B530</f>
        <v>0.00655737704918025</v>
      </c>
      <c r="S169" s="32" t="n">
        <f aca="false">Q169-($Q$5+$Q$6*R169)</f>
        <v>-0.00808893592909861</v>
      </c>
    </row>
    <row r="170" customFormat="false" ht="15" hidden="false" customHeight="false" outlineLevel="0" collapsed="false">
      <c r="A170" s="30" t="n">
        <f aca="false">Data_Returns!A212</f>
        <v>45111</v>
      </c>
      <c r="B170" s="31" t="n">
        <f aca="false">Data_Returns!Z212</f>
        <v>0.00751258975892517</v>
      </c>
      <c r="C170" s="31" t="n">
        <f aca="false">Data_Returns!B212</f>
        <v>0.0034389870902134</v>
      </c>
      <c r="D170" s="32" t="n">
        <f aca="false">B170-($B$5+$B$6*C170)</f>
        <v>0.00826670471937987</v>
      </c>
      <c r="F170" s="30" t="n">
        <f aca="false">Data_Returns!A212</f>
        <v>45111</v>
      </c>
      <c r="G170" s="31" t="n">
        <f aca="false">Data_Returns!AA212</f>
        <v>0.0337126450612971</v>
      </c>
      <c r="H170" s="31" t="n">
        <f aca="false">Data_Returns!B212</f>
        <v>0.0034389870902134</v>
      </c>
      <c r="I170" s="32" t="n">
        <f aca="false">G170-($G$5+$G$6*H170)</f>
        <v>0.0347162182154397</v>
      </c>
      <c r="K170" s="30" t="n">
        <f aca="false">Data_Returns!A531</f>
        <v>45580</v>
      </c>
      <c r="L170" s="31" t="n">
        <f aca="false">Data_Returns!Z531</f>
        <v>-0.00836208589160962</v>
      </c>
      <c r="M170" s="31" t="n">
        <f aca="false">Data_Returns!B531</f>
        <v>-0.00280962036298238</v>
      </c>
      <c r="N170" s="32" t="n">
        <f aca="false">L170-($L$5+$L$6*M170)</f>
        <v>-0.00813967780515059</v>
      </c>
      <c r="P170" s="30" t="n">
        <f aca="false">Data_Returns!A531</f>
        <v>45580</v>
      </c>
      <c r="Q170" s="31" t="n">
        <f aca="false">Data_Returns!AA531</f>
        <v>-0.0157046454437317</v>
      </c>
      <c r="R170" s="31" t="n">
        <f aca="false">Data_Returns!B531</f>
        <v>-0.00280962036298238</v>
      </c>
      <c r="S170" s="32" t="n">
        <f aca="false">Q170-($Q$5+$Q$6*R170)</f>
        <v>-0.0159409243437447</v>
      </c>
    </row>
    <row r="171" customFormat="false" ht="15" hidden="false" customHeight="false" outlineLevel="0" collapsed="false">
      <c r="A171" s="30" t="n">
        <f aca="false">Data_Returns!A213</f>
        <v>45112</v>
      </c>
      <c r="B171" s="31" t="n">
        <f aca="false">Data_Returns!Z213</f>
        <v>0.00265817999241929</v>
      </c>
      <c r="C171" s="31" t="n">
        <f aca="false">Data_Returns!B213</f>
        <v>0.000489968538862184</v>
      </c>
      <c r="D171" s="32" t="n">
        <f aca="false">B171-($B$5+$B$6*C171)</f>
        <v>0.00294821911011082</v>
      </c>
      <c r="F171" s="30" t="n">
        <f aca="false">Data_Returns!A213</f>
        <v>45112</v>
      </c>
      <c r="G171" s="31" t="n">
        <f aca="false">Data_Returns!AA213</f>
        <v>0.00292497078696286</v>
      </c>
      <c r="H171" s="31" t="n">
        <f aca="false">Data_Returns!B213</f>
        <v>0.000489968538862184</v>
      </c>
      <c r="I171" s="32" t="n">
        <f aca="false">G171-($G$5+$G$6*H171)</f>
        <v>0.00398690608876184</v>
      </c>
      <c r="K171" s="30" t="n">
        <f aca="false">Data_Returns!A532</f>
        <v>45581</v>
      </c>
      <c r="L171" s="31" t="n">
        <f aca="false">Data_Returns!Z532</f>
        <v>0.00364518253893013</v>
      </c>
      <c r="M171" s="31" t="n">
        <f aca="false">Data_Returns!B532</f>
        <v>-0.00343412212384786</v>
      </c>
      <c r="N171" s="32" t="n">
        <f aca="false">L171-($L$5+$L$6*M171)</f>
        <v>0.00380887696057353</v>
      </c>
      <c r="P171" s="30" t="n">
        <f aca="false">Data_Returns!A532</f>
        <v>45581</v>
      </c>
      <c r="Q171" s="31" t="n">
        <f aca="false">Data_Returns!AA532</f>
        <v>0.00733929583781155</v>
      </c>
      <c r="R171" s="31" t="n">
        <f aca="false">Data_Returns!B532</f>
        <v>-0.00343412212384786</v>
      </c>
      <c r="S171" s="32" t="n">
        <f aca="false">Q171-($Q$5+$Q$6*R171)</f>
        <v>0.00693939830595017</v>
      </c>
    </row>
    <row r="172" customFormat="false" ht="15" hidden="false" customHeight="false" outlineLevel="0" collapsed="false">
      <c r="A172" s="30" t="n">
        <f aca="false">Data_Returns!A214</f>
        <v>45113</v>
      </c>
      <c r="B172" s="31" t="n">
        <f aca="false">Data_Returns!Z214</f>
        <v>-0.00448405852398676</v>
      </c>
      <c r="C172" s="31" t="n">
        <f aca="false">Data_Returns!B214</f>
        <v>0.00509317730752379</v>
      </c>
      <c r="D172" s="32" t="n">
        <f aca="false">B172-($B$5+$B$6*C172)</f>
        <v>-0.00346962993517689</v>
      </c>
      <c r="F172" s="30" t="n">
        <f aca="false">Data_Returns!A214</f>
        <v>45113</v>
      </c>
      <c r="G172" s="31" t="n">
        <f aca="false">Data_Returns!AA214</f>
        <v>-0.00968364038945287</v>
      </c>
      <c r="H172" s="31" t="n">
        <f aca="false">Data_Returns!B214</f>
        <v>0.00509317730752379</v>
      </c>
      <c r="I172" s="32" t="n">
        <f aca="false">G172-($G$5+$G$6*H172)</f>
        <v>-0.00871280426019947</v>
      </c>
      <c r="K172" s="30" t="n">
        <f aca="false">Data_Returns!A533</f>
        <v>45582</v>
      </c>
      <c r="L172" s="31" t="n">
        <f aca="false">Data_Returns!Z533</f>
        <v>0.0076188807006869</v>
      </c>
      <c r="M172" s="31" t="n">
        <f aca="false">Data_Returns!B533</f>
        <v>-0.00886818067141082</v>
      </c>
      <c r="N172" s="32" t="n">
        <f aca="false">L172-($L$5+$L$6*M172)</f>
        <v>0.00727168225998191</v>
      </c>
      <c r="P172" s="30" t="n">
        <f aca="false">Data_Returns!A533</f>
        <v>45582</v>
      </c>
      <c r="Q172" s="31" t="n">
        <f aca="false">Data_Returns!AA533</f>
        <v>0.0111480424489929</v>
      </c>
      <c r="R172" s="31" t="n">
        <f aca="false">Data_Returns!B533</f>
        <v>-0.00886818067141082</v>
      </c>
      <c r="S172" s="32" t="n">
        <f aca="false">Q172-($Q$5+$Q$6*R172)</f>
        <v>0.00932442879549217</v>
      </c>
    </row>
    <row r="173" customFormat="false" ht="15" hidden="false" customHeight="false" outlineLevel="0" collapsed="false">
      <c r="A173" s="30" t="n">
        <f aca="false">Data_Returns!A215</f>
        <v>45114</v>
      </c>
      <c r="B173" s="31" t="n">
        <f aca="false">Data_Returns!Z215</f>
        <v>-0.00320325815501618</v>
      </c>
      <c r="C173" s="31" t="n">
        <f aca="false">Data_Returns!B215</f>
        <v>-0.00848835479784382</v>
      </c>
      <c r="D173" s="32" t="n">
        <f aca="false">B173-($B$5+$B$6*C173)</f>
        <v>-0.00432610366199849</v>
      </c>
      <c r="F173" s="30" t="n">
        <f aca="false">Data_Returns!A215</f>
        <v>45114</v>
      </c>
      <c r="G173" s="31" t="n">
        <f aca="false">Data_Returns!AA215</f>
        <v>-0.00453997229090736</v>
      </c>
      <c r="H173" s="31" t="n">
        <f aca="false">Data_Returns!B215</f>
        <v>-0.00848835479784382</v>
      </c>
      <c r="I173" s="32" t="n">
        <f aca="false">G173-($G$5+$G$6*H173)</f>
        <v>-0.00330035271104804</v>
      </c>
      <c r="K173" s="30" t="n">
        <f aca="false">Data_Returns!A534</f>
        <v>45583</v>
      </c>
      <c r="L173" s="31" t="n">
        <f aca="false">Data_Returns!Z534</f>
        <v>0.0035458584491783</v>
      </c>
      <c r="M173" s="31" t="n">
        <f aca="false">Data_Returns!B534</f>
        <v>0.00421012652601949</v>
      </c>
      <c r="N173" s="32" t="n">
        <f aca="false">L173-($L$5+$L$6*M173)</f>
        <v>0.00442824076110675</v>
      </c>
      <c r="P173" s="30" t="n">
        <f aca="false">Data_Returns!A534</f>
        <v>45583</v>
      </c>
      <c r="Q173" s="31" t="n">
        <f aca="false">Data_Returns!AA534</f>
        <v>0.000939807743933319</v>
      </c>
      <c r="R173" s="31" t="n">
        <f aca="false">Data_Returns!B534</f>
        <v>0.00421012652601949</v>
      </c>
      <c r="S173" s="32" t="n">
        <f aca="false">Q173-($Q$5+$Q$6*R173)</f>
        <v>0.0025426932048162</v>
      </c>
    </row>
    <row r="174" customFormat="false" ht="15" hidden="false" customHeight="false" outlineLevel="0" collapsed="false">
      <c r="A174" s="30" t="n">
        <f aca="false">Data_Returns!A216</f>
        <v>45117</v>
      </c>
      <c r="B174" s="31" t="n">
        <f aca="false">Data_Returns!Z216</f>
        <v>-0.00434669550365878</v>
      </c>
      <c r="C174" s="31" t="n">
        <f aca="false">Data_Returns!B216</f>
        <v>0.00124665059642681</v>
      </c>
      <c r="D174" s="32" t="n">
        <f aca="false">B174-($B$5+$B$6*C174)</f>
        <v>-0.00393758020606082</v>
      </c>
      <c r="F174" s="30" t="n">
        <f aca="false">Data_Returns!A216</f>
        <v>45117</v>
      </c>
      <c r="G174" s="31" t="n">
        <f aca="false">Data_Returns!AA216</f>
        <v>-0.00724079235245726</v>
      </c>
      <c r="H174" s="31" t="n">
        <f aca="false">Data_Returns!B216</f>
        <v>0.00124665059642681</v>
      </c>
      <c r="I174" s="32" t="n">
        <f aca="false">G174-($G$5+$G$6*H174)</f>
        <v>-0.00619383206326112</v>
      </c>
      <c r="K174" s="30" t="n">
        <f aca="false">Data_Returns!A535</f>
        <v>45586</v>
      </c>
      <c r="L174" s="31" t="n">
        <f aca="false">Data_Returns!Z535</f>
        <v>-0.00133856989377859</v>
      </c>
      <c r="M174" s="31" t="n">
        <f aca="false">Data_Returns!B535</f>
        <v>-0.00293513531999823</v>
      </c>
      <c r="N174" s="32" t="n">
        <f aca="false">L174-($L$5+$L$6*M174)</f>
        <v>-0.00112796232347081</v>
      </c>
      <c r="P174" s="30" t="n">
        <f aca="false">Data_Returns!A535</f>
        <v>45586</v>
      </c>
      <c r="Q174" s="31" t="n">
        <f aca="false">Data_Returns!AA535</f>
        <v>-0.000659625545444076</v>
      </c>
      <c r="R174" s="31" t="n">
        <f aca="false">Data_Returns!B535</f>
        <v>-0.00293513531999823</v>
      </c>
      <c r="S174" s="32" t="n">
        <f aca="false">Q174-($Q$5+$Q$6*R174)</f>
        <v>-0.000928789197479186</v>
      </c>
    </row>
    <row r="175" customFormat="false" ht="15" hidden="false" customHeight="false" outlineLevel="0" collapsed="false">
      <c r="A175" s="30" t="n">
        <f aca="false">Data_Returns!A217</f>
        <v>45118</v>
      </c>
      <c r="B175" s="31" t="n">
        <f aca="false">Data_Returns!Z217</f>
        <v>-0.00459041650894067</v>
      </c>
      <c r="C175" s="31" t="n">
        <f aca="false">Data_Returns!B217</f>
        <v>0.00431393011949854</v>
      </c>
      <c r="D175" s="32" t="n">
        <f aca="false">B175-($B$5+$B$6*C175)</f>
        <v>-0.00369861508886731</v>
      </c>
      <c r="F175" s="30" t="n">
        <f aca="false">Data_Returns!A217</f>
        <v>45118</v>
      </c>
      <c r="G175" s="31" t="n">
        <f aca="false">Data_Returns!AA217</f>
        <v>-0.00963782671691656</v>
      </c>
      <c r="H175" s="31" t="n">
        <f aca="false">Data_Returns!B217</f>
        <v>0.00431393011949854</v>
      </c>
      <c r="I175" s="32" t="n">
        <f aca="false">G175-($G$5+$G$6*H175)</f>
        <v>-0.00865156900293712</v>
      </c>
      <c r="K175" s="30" t="n">
        <f aca="false">Data_Returns!A536</f>
        <v>45587</v>
      </c>
      <c r="L175" s="31" t="n">
        <f aca="false">Data_Returns!Z536</f>
        <v>0.00376638439773394</v>
      </c>
      <c r="M175" s="31" t="n">
        <f aca="false">Data_Returns!B536</f>
        <v>-0.0124691801413174</v>
      </c>
      <c r="N175" s="32" t="n">
        <f aca="false">L175-($L$5+$L$6*M175)</f>
        <v>0.00308063146587047</v>
      </c>
      <c r="P175" s="30" t="n">
        <f aca="false">Data_Returns!A536</f>
        <v>45587</v>
      </c>
      <c r="Q175" s="31" t="n">
        <f aca="false">Data_Returns!AA536</f>
        <v>0.000695982469820722</v>
      </c>
      <c r="R175" s="31" t="n">
        <f aca="false">Data_Returns!B536</f>
        <v>-0.0124691801413174</v>
      </c>
      <c r="S175" s="32" t="n">
        <f aca="false">Q175-($Q$5+$Q$6*R175)</f>
        <v>-0.00207108826174545</v>
      </c>
    </row>
    <row r="176" customFormat="false" ht="15" hidden="false" customHeight="false" outlineLevel="0" collapsed="false">
      <c r="A176" s="30" t="n">
        <f aca="false">Data_Returns!A218</f>
        <v>45119</v>
      </c>
      <c r="B176" s="31" t="n">
        <f aca="false">Data_Returns!Z218</f>
        <v>0.0046598275005847</v>
      </c>
      <c r="C176" s="31" t="n">
        <f aca="false">Data_Returns!B218</f>
        <v>-0.00283444962293089</v>
      </c>
      <c r="D176" s="32" t="n">
        <f aca="false">B176-($B$5+$B$6*C176)</f>
        <v>0.00442671556538631</v>
      </c>
      <c r="F176" s="30" t="n">
        <f aca="false">Data_Returns!A218</f>
        <v>45119</v>
      </c>
      <c r="G176" s="31" t="n">
        <f aca="false">Data_Returns!AA218</f>
        <v>0.00239888797953408</v>
      </c>
      <c r="H176" s="31" t="n">
        <f aca="false">Data_Returns!B218</f>
        <v>-0.00283444962293089</v>
      </c>
      <c r="I176" s="32" t="n">
        <f aca="false">G176-($G$5+$G$6*H176)</f>
        <v>0.00352661472355413</v>
      </c>
      <c r="K176" s="30" t="n">
        <f aca="false">Data_Returns!A537</f>
        <v>45588</v>
      </c>
      <c r="L176" s="31" t="n">
        <f aca="false">Data_Returns!Z537</f>
        <v>-0.0294241367028191</v>
      </c>
      <c r="M176" s="31" t="n">
        <f aca="false">Data_Returns!B537</f>
        <v>-0.00149558068167421</v>
      </c>
      <c r="N176" s="32" t="n">
        <f aca="false">L176-($L$5+$L$6*M176)</f>
        <v>-0.0290781867943228</v>
      </c>
      <c r="P176" s="30" t="n">
        <f aca="false">Data_Returns!A537</f>
        <v>45588</v>
      </c>
      <c r="Q176" s="31" t="n">
        <f aca="false">Data_Returns!AA537</f>
        <v>-0.0140389359359853</v>
      </c>
      <c r="R176" s="31" t="n">
        <f aca="false">Data_Returns!B537</f>
        <v>-0.00149558068167421</v>
      </c>
      <c r="S176" s="32" t="n">
        <f aca="false">Q176-($Q$5+$Q$6*R176)</f>
        <v>-0.013930938184877</v>
      </c>
    </row>
    <row r="177" customFormat="false" ht="15" hidden="false" customHeight="false" outlineLevel="0" collapsed="false">
      <c r="A177" s="30" t="n">
        <f aca="false">Data_Returns!A219</f>
        <v>45120</v>
      </c>
      <c r="B177" s="31" t="n">
        <f aca="false">Data_Returns!Z219</f>
        <v>-0.00348975788035509</v>
      </c>
      <c r="C177" s="31" t="n">
        <f aca="false">Data_Returns!B219</f>
        <v>0.00151927075003999</v>
      </c>
      <c r="D177" s="32" t="n">
        <f aca="false">B177-($B$5+$B$6*C177)</f>
        <v>-0.00303774138517589</v>
      </c>
      <c r="F177" s="30" t="n">
        <f aca="false">Data_Returns!A219</f>
        <v>45120</v>
      </c>
      <c r="G177" s="31" t="n">
        <f aca="false">Data_Returns!AA219</f>
        <v>0.00636830166155389</v>
      </c>
      <c r="H177" s="31" t="n">
        <f aca="false">Data_Returns!B219</f>
        <v>0.00151927075003999</v>
      </c>
      <c r="I177" s="32" t="n">
        <f aca="false">G177-($G$5+$G$6*H177)</f>
        <v>0.00740986669894601</v>
      </c>
      <c r="K177" s="30" t="n">
        <f aca="false">Data_Returns!A538</f>
        <v>45589</v>
      </c>
      <c r="L177" s="31" t="n">
        <f aca="false">Data_Returns!Z538</f>
        <v>0.00511201065006138</v>
      </c>
      <c r="M177" s="31" t="n">
        <f aca="false">Data_Returns!B538</f>
        <v>-0.00147735876081923</v>
      </c>
      <c r="N177" s="32" t="n">
        <f aca="false">L177-($L$5+$L$6*M177)</f>
        <v>0.00545967372546992</v>
      </c>
      <c r="P177" s="30" t="n">
        <f aca="false">Data_Returns!A538</f>
        <v>45589</v>
      </c>
      <c r="Q177" s="31" t="n">
        <f aca="false">Data_Returns!AA538</f>
        <v>0.0126253642631164</v>
      </c>
      <c r="R177" s="31" t="n">
        <f aca="false">Data_Returns!B538</f>
        <v>-0.00147735876081923</v>
      </c>
      <c r="S177" s="32" t="n">
        <f aca="false">Q177-($Q$5+$Q$6*R177)</f>
        <v>0.0127381361332854</v>
      </c>
    </row>
    <row r="178" customFormat="false" ht="15" hidden="false" customHeight="false" outlineLevel="0" collapsed="false">
      <c r="A178" s="30" t="n">
        <f aca="false">Data_Returns!A220</f>
        <v>45121</v>
      </c>
      <c r="B178" s="31" t="n">
        <f aca="false">Data_Returns!Z220</f>
        <v>-0.00845727469598968</v>
      </c>
      <c r="C178" s="31" t="n">
        <f aca="false">Data_Returns!B220</f>
        <v>0.00776511493142751</v>
      </c>
      <c r="D178" s="32" t="n">
        <f aca="false">B178-($B$5+$B$6*C178)</f>
        <v>-0.00702237343702466</v>
      </c>
      <c r="F178" s="30" t="n">
        <f aca="false">Data_Returns!A220</f>
        <v>45121</v>
      </c>
      <c r="G178" s="31" t="n">
        <f aca="false">Data_Returns!AA220</f>
        <v>-0.0120179024542544</v>
      </c>
      <c r="H178" s="31" t="n">
        <f aca="false">Data_Returns!B220</f>
        <v>0.00776511493142751</v>
      </c>
      <c r="I178" s="32" t="n">
        <f aca="false">G178-($G$5+$G$6*H178)</f>
        <v>-0.0110999449405198</v>
      </c>
      <c r="K178" s="30" t="n">
        <f aca="false">Data_Returns!A539</f>
        <v>45590</v>
      </c>
      <c r="L178" s="31" t="n">
        <f aca="false">Data_Returns!Z539</f>
        <v>-0.0312667604836343</v>
      </c>
      <c r="M178" s="31" t="n">
        <f aca="false">Data_Returns!B539</f>
        <v>-0.00895923670254195</v>
      </c>
      <c r="N178" s="32" t="n">
        <f aca="false">L178-($L$5+$L$6*M178)</f>
        <v>-0.0316225197221245</v>
      </c>
      <c r="P178" s="30" t="n">
        <f aca="false">Data_Returns!A539</f>
        <v>45590</v>
      </c>
      <c r="Q178" s="31" t="n">
        <f aca="false">Data_Returns!AA539</f>
        <v>-0.072938991644776</v>
      </c>
      <c r="R178" s="31" t="n">
        <f aca="false">Data_Returns!B539</f>
        <v>-0.00895923670254195</v>
      </c>
      <c r="S178" s="32" t="n">
        <f aca="false">Q178-($Q$5+$Q$6*R178)</f>
        <v>-0.0747864618574873</v>
      </c>
    </row>
    <row r="179" customFormat="false" ht="15" hidden="false" customHeight="false" outlineLevel="0" collapsed="false">
      <c r="A179" s="30" t="n">
        <f aca="false">Data_Returns!A221</f>
        <v>45124</v>
      </c>
      <c r="B179" s="31" t="n">
        <f aca="false">Data_Returns!Z221</f>
        <v>0.00344118589816222</v>
      </c>
      <c r="C179" s="31" t="n">
        <f aca="false">Data_Returns!B221</f>
        <v>0.00751105318306111</v>
      </c>
      <c r="D179" s="32" t="n">
        <f aca="false">B179-($B$5+$B$6*C179)</f>
        <v>0.00483610642525528</v>
      </c>
      <c r="F179" s="30" t="n">
        <f aca="false">Data_Returns!A221</f>
        <v>45124</v>
      </c>
      <c r="G179" s="31" t="n">
        <f aca="false">Data_Returns!AA221</f>
        <v>0.00114768916249205</v>
      </c>
      <c r="H179" s="31" t="n">
        <f aca="false">Data_Returns!B221</f>
        <v>0.00751105318306111</v>
      </c>
      <c r="I179" s="32" t="n">
        <f aca="false">G179-($G$5+$G$6*H179)</f>
        <v>0.00207067465045389</v>
      </c>
      <c r="K179" s="30" t="n">
        <f aca="false">Data_Returns!A540</f>
        <v>45593</v>
      </c>
      <c r="L179" s="31" t="n">
        <f aca="false">Data_Returns!Z540</f>
        <v>0.0148623018178224</v>
      </c>
      <c r="M179" s="31" t="n">
        <f aca="false">Data_Returns!B540</f>
        <v>0.00654858400052949</v>
      </c>
      <c r="N179" s="32" t="n">
        <f aca="false">L179-($L$5+$L$6*M179)</f>
        <v>0.015964538447141</v>
      </c>
      <c r="P179" s="30" t="n">
        <f aca="false">Data_Returns!A540</f>
        <v>45593</v>
      </c>
      <c r="Q179" s="31" t="n">
        <f aca="false">Data_Returns!AA540</f>
        <v>0.0249134855215104</v>
      </c>
      <c r="R179" s="31" t="n">
        <f aca="false">Data_Returns!B540</f>
        <v>0.00654858400052949</v>
      </c>
      <c r="S179" s="32" t="n">
        <f aca="false">Q179-($Q$5+$Q$6*R179)</f>
        <v>0.0271290437346442</v>
      </c>
    </row>
    <row r="180" customFormat="false" ht="15" hidden="false" customHeight="false" outlineLevel="0" collapsed="false">
      <c r="A180" s="30" t="n">
        <f aca="false">Data_Returns!A222</f>
        <v>45125</v>
      </c>
      <c r="B180" s="31" t="n">
        <f aca="false">Data_Returns!Z222</f>
        <v>0.00196170522724248</v>
      </c>
      <c r="C180" s="31" t="n">
        <f aca="false">Data_Returns!B222</f>
        <v>0.00191766714270125</v>
      </c>
      <c r="D180" s="32" t="n">
        <f aca="false">B180-($B$5+$B$6*C180)</f>
        <v>0.00247641584877547</v>
      </c>
      <c r="F180" s="30" t="n">
        <f aca="false">Data_Returns!A222</f>
        <v>45125</v>
      </c>
      <c r="G180" s="31" t="n">
        <f aca="false">Data_Returns!AA222</f>
        <v>0.0049004867299059</v>
      </c>
      <c r="H180" s="31" t="n">
        <f aca="false">Data_Returns!B222</f>
        <v>0.00191766714270125</v>
      </c>
      <c r="I180" s="32" t="n">
        <f aca="false">G180-($G$5+$G$6*H180)</f>
        <v>0.00593416735806512</v>
      </c>
      <c r="K180" s="30" t="n">
        <f aca="false">Data_Returns!A541</f>
        <v>45594</v>
      </c>
      <c r="L180" s="31" t="n">
        <f aca="false">Data_Returns!Z541</f>
        <v>-0.00432957857317188</v>
      </c>
      <c r="M180" s="31" t="n">
        <f aca="false">Data_Returns!B541</f>
        <v>0.00524669103070563</v>
      </c>
      <c r="N180" s="32" t="n">
        <f aca="false">L180-($L$5+$L$6*M180)</f>
        <v>-0.00334974177079719</v>
      </c>
      <c r="P180" s="30" t="n">
        <f aca="false">Data_Returns!A541</f>
        <v>45594</v>
      </c>
      <c r="Q180" s="31" t="n">
        <f aca="false">Data_Returns!AA541</f>
        <v>0.0124696061982113</v>
      </c>
      <c r="R180" s="31" t="n">
        <f aca="false">Data_Returns!B541</f>
        <v>0.00524669103070563</v>
      </c>
      <c r="S180" s="32" t="n">
        <f aca="false">Q180-($Q$5+$Q$6*R180)</f>
        <v>0.0143440701824987</v>
      </c>
    </row>
    <row r="181" customFormat="false" ht="15" hidden="false" customHeight="false" outlineLevel="0" collapsed="false">
      <c r="A181" s="30" t="n">
        <f aca="false">Data_Returns!A223</f>
        <v>45126</v>
      </c>
      <c r="B181" s="31" t="n">
        <f aca="false">Data_Returns!Z223</f>
        <v>0.00356549616750227</v>
      </c>
      <c r="C181" s="31" t="n">
        <f aca="false">Data_Returns!B223</f>
        <v>0.00424826259225042</v>
      </c>
      <c r="D181" s="32" t="n">
        <f aca="false">B181-($B$5+$B$6*C181)</f>
        <v>0.00444696373835793</v>
      </c>
      <c r="F181" s="30" t="n">
        <f aca="false">Data_Returns!A223</f>
        <v>45126</v>
      </c>
      <c r="G181" s="31" t="n">
        <f aca="false">Data_Returns!AA223</f>
        <v>0.0113805387030394</v>
      </c>
      <c r="H181" s="31" t="n">
        <f aca="false">Data_Returns!B223</f>
        <v>0.00424826259225042</v>
      </c>
      <c r="I181" s="32" t="n">
        <f aca="false">G181-($G$5+$G$6*H181)</f>
        <v>0.0123680960012211</v>
      </c>
      <c r="K181" s="30" t="n">
        <f aca="false">Data_Returns!A542</f>
        <v>45595</v>
      </c>
      <c r="L181" s="31" t="n">
        <f aca="false">Data_Returns!Z542</f>
        <v>-0.00215566752643954</v>
      </c>
      <c r="M181" s="31" t="n">
        <f aca="false">Data_Returns!B542</f>
        <v>-0.00514982517160978</v>
      </c>
      <c r="N181" s="32" t="n">
        <f aca="false">L181-($L$5+$L$6*M181)</f>
        <v>-0.00215327803615432</v>
      </c>
      <c r="P181" s="30" t="n">
        <f aca="false">Data_Returns!A542</f>
        <v>45595</v>
      </c>
      <c r="Q181" s="31" t="n">
        <f aca="false">Data_Returns!AA542</f>
        <v>0.0215747469508378</v>
      </c>
      <c r="R181" s="31" t="n">
        <f aca="false">Data_Returns!B542</f>
        <v>-0.00514982517160978</v>
      </c>
      <c r="S181" s="32" t="n">
        <f aca="false">Q181-($Q$5+$Q$6*R181)</f>
        <v>0.0207253374993561</v>
      </c>
    </row>
    <row r="182" customFormat="false" ht="15" hidden="false" customHeight="false" outlineLevel="0" collapsed="false">
      <c r="A182" s="30" t="n">
        <f aca="false">Data_Returns!A224</f>
        <v>45127</v>
      </c>
      <c r="B182" s="31" t="n">
        <f aca="false">Data_Returns!Z224</f>
        <v>-0.0130911394148041</v>
      </c>
      <c r="C182" s="31" t="n">
        <f aca="false">Data_Returns!B224</f>
        <v>0.00736141258448608</v>
      </c>
      <c r="D182" s="32" t="n">
        <f aca="false">B182-($B$5+$B$6*C182)</f>
        <v>-0.0117197672600546</v>
      </c>
      <c r="F182" s="30" t="n">
        <f aca="false">Data_Returns!A224</f>
        <v>45127</v>
      </c>
      <c r="G182" s="31" t="n">
        <f aca="false">Data_Returns!AA224</f>
        <v>-0.0149731508639114</v>
      </c>
      <c r="H182" s="31" t="n">
        <f aca="false">Data_Returns!B224</f>
        <v>0.00736141258448608</v>
      </c>
      <c r="I182" s="32" t="n">
        <f aca="false">G182-($G$5+$G$6*H182)</f>
        <v>-0.0140472039341826</v>
      </c>
      <c r="K182" s="30" t="n">
        <f aca="false">Data_Returns!A543</f>
        <v>45596</v>
      </c>
      <c r="L182" s="31" t="n">
        <f aca="false">Data_Returns!Z543</f>
        <v>0.00229767414828606</v>
      </c>
      <c r="M182" s="31" t="n">
        <f aca="false">Data_Returns!B543</f>
        <v>-0.00556677355145774</v>
      </c>
      <c r="N182" s="32" t="n">
        <f aca="false">L182-($L$5+$L$6*M182)</f>
        <v>0.00226086348101545</v>
      </c>
      <c r="P182" s="30" t="n">
        <f aca="false">Data_Returns!A543</f>
        <v>45596</v>
      </c>
      <c r="Q182" s="31" t="n">
        <f aca="false">Data_Returns!AA543</f>
        <v>5.08605691325603E-005</v>
      </c>
      <c r="R182" s="31" t="n">
        <f aca="false">Data_Returns!B543</f>
        <v>-0.00556677355145774</v>
      </c>
      <c r="S182" s="32" t="n">
        <f aca="false">Q182-($Q$5+$Q$6*R182)</f>
        <v>-0.000907788804055033</v>
      </c>
    </row>
    <row r="183" customFormat="false" ht="15" hidden="false" customHeight="false" outlineLevel="0" collapsed="false">
      <c r="A183" s="30" t="n">
        <f aca="false">Data_Returns!A225</f>
        <v>45128</v>
      </c>
      <c r="B183" s="31" t="n">
        <f aca="false">Data_Returns!Z225</f>
        <v>-0.000948730891934472</v>
      </c>
      <c r="C183" s="31" t="n">
        <f aca="false">Data_Returns!B225</f>
        <v>-0.0117197178058126</v>
      </c>
      <c r="D183" s="32" t="n">
        <f aca="false">B183-($B$5+$B$6*C183)</f>
        <v>-0.00258008371587135</v>
      </c>
      <c r="F183" s="30" t="n">
        <f aca="false">Data_Returns!A225</f>
        <v>45128</v>
      </c>
      <c r="G183" s="31" t="n">
        <f aca="false">Data_Returns!AA225</f>
        <v>0.000590522924805788</v>
      </c>
      <c r="H183" s="31" t="n">
        <f aca="false">Data_Returns!B225</f>
        <v>-0.0117197178058126</v>
      </c>
      <c r="I183" s="32" t="n">
        <f aca="false">G183-($G$5+$G$6*H183)</f>
        <v>0.00189409235161197</v>
      </c>
      <c r="K183" s="30" t="n">
        <f aca="false">Data_Returns!A544</f>
        <v>45597</v>
      </c>
      <c r="L183" s="31" t="n">
        <f aca="false">Data_Returns!Z544</f>
        <v>0.00363852005471963</v>
      </c>
      <c r="M183" s="31" t="n">
        <f aca="false">Data_Returns!B544</f>
        <v>0.00409000489561184</v>
      </c>
      <c r="N183" s="32" t="n">
        <f aca="false">L183-($L$5+$L$6*M183)</f>
        <v>0.00450960891387208</v>
      </c>
      <c r="P183" s="30" t="n">
        <f aca="false">Data_Returns!A544</f>
        <v>45597</v>
      </c>
      <c r="Q183" s="31" t="n">
        <f aca="false">Data_Returns!AA544</f>
        <v>4.18894138515622E-005</v>
      </c>
      <c r="R183" s="31" t="n">
        <f aca="false">Data_Returns!B544</f>
        <v>0.00409000489561184</v>
      </c>
      <c r="S183" s="32" t="n">
        <f aca="false">Q183-($Q$5+$Q$6*R183)</f>
        <v>0.00161330316711995</v>
      </c>
    </row>
    <row r="184" customFormat="false" ht="15" hidden="false" customHeight="false" outlineLevel="0" collapsed="false">
      <c r="A184" s="30" t="n">
        <f aca="false">Data_Returns!A226</f>
        <v>45131</v>
      </c>
      <c r="B184" s="31" t="n">
        <f aca="false">Data_Returns!Z226</f>
        <v>-0.0172330582919603</v>
      </c>
      <c r="C184" s="31" t="n">
        <f aca="false">Data_Returns!B226</f>
        <v>-0.00367941250949611</v>
      </c>
      <c r="D184" s="32" t="n">
        <f aca="false">B184-($B$5+$B$6*C184)</f>
        <v>-0.017599138825646</v>
      </c>
      <c r="F184" s="30" t="n">
        <f aca="false">Data_Returns!A226</f>
        <v>45131</v>
      </c>
      <c r="G184" s="31" t="n">
        <f aca="false">Data_Returns!AA226</f>
        <v>-0.0276785387144006</v>
      </c>
      <c r="H184" s="31" t="n">
        <f aca="false">Data_Returns!B226</f>
        <v>-0.00367941250949611</v>
      </c>
      <c r="I184" s="32" t="n">
        <f aca="false">G184-($G$5+$G$6*H184)</f>
        <v>-0.0265340898481249</v>
      </c>
      <c r="K184" s="30" t="n">
        <f aca="false">Data_Returns!A545</f>
        <v>45600</v>
      </c>
      <c r="L184" s="31" t="n">
        <f aca="false">Data_Returns!Z545</f>
        <v>0.00159434391672305</v>
      </c>
      <c r="M184" s="31" t="n">
        <f aca="false">Data_Returns!B545</f>
        <v>-0.0127137734603064</v>
      </c>
      <c r="N184" s="32" t="n">
        <f aca="false">L184-($L$5+$L$6*M184)</f>
        <v>0.000885595100704874</v>
      </c>
      <c r="P184" s="30" t="n">
        <f aca="false">Data_Returns!A545</f>
        <v>45600</v>
      </c>
      <c r="Q184" s="31" t="n">
        <f aca="false">Data_Returns!AA545</f>
        <v>0.00660738088880682</v>
      </c>
      <c r="R184" s="31" t="n">
        <f aca="false">Data_Returns!B545</f>
        <v>-0.0127137734603064</v>
      </c>
      <c r="S184" s="32" t="n">
        <f aca="false">Q184-($Q$5+$Q$6*R184)</f>
        <v>0.00377622703254811</v>
      </c>
    </row>
    <row r="185" customFormat="false" ht="15" hidden="false" customHeight="false" outlineLevel="0" collapsed="false">
      <c r="A185" s="30" t="n">
        <f aca="false">Data_Returns!A227</f>
        <v>45132</v>
      </c>
      <c r="B185" s="31" t="n">
        <f aca="false">Data_Returns!Z227</f>
        <v>0.00647991173081148</v>
      </c>
      <c r="C185" s="31" t="n">
        <f aca="false">Data_Returns!B227</f>
        <v>0.000419370334505009</v>
      </c>
      <c r="D185" s="32" t="n">
        <f aca="false">B185-($B$5+$B$6*C185)</f>
        <v>0.0067588410773659</v>
      </c>
      <c r="F185" s="30" t="n">
        <f aca="false">Data_Returns!A227</f>
        <v>45132</v>
      </c>
      <c r="G185" s="31" t="n">
        <f aca="false">Data_Returns!AA227</f>
        <v>0.0163382265384131</v>
      </c>
      <c r="H185" s="31" t="n">
        <f aca="false">Data_Returns!B227</f>
        <v>0.000419370334505009</v>
      </c>
      <c r="I185" s="32" t="n">
        <f aca="false">G185-($G$5+$G$6*H185)</f>
        <v>0.0174015590043042</v>
      </c>
      <c r="K185" s="30" t="n">
        <f aca="false">Data_Returns!A546</f>
        <v>45601</v>
      </c>
      <c r="L185" s="31" t="n">
        <f aca="false">Data_Returns!Z546</f>
        <v>-0.00807459493859892</v>
      </c>
      <c r="M185" s="31" t="n">
        <f aca="false">Data_Returns!B546</f>
        <v>0.00908300983315513</v>
      </c>
      <c r="N185" s="32" t="n">
        <f aca="false">L185-($L$5+$L$6*M185)</f>
        <v>-0.00673407967155378</v>
      </c>
      <c r="P185" s="30" t="n">
        <f aca="false">Data_Returns!A546</f>
        <v>45601</v>
      </c>
      <c r="Q185" s="31" t="n">
        <f aca="false">Data_Returns!AA546</f>
        <v>-0.00705302935891009</v>
      </c>
      <c r="R185" s="31" t="n">
        <f aca="false">Data_Returns!B546</f>
        <v>0.00908300983315513</v>
      </c>
      <c r="S185" s="32" t="n">
        <f aca="false">Q185-($Q$5+$Q$6*R185)</f>
        <v>-0.00417345494399535</v>
      </c>
    </row>
    <row r="186" customFormat="false" ht="15" hidden="false" customHeight="false" outlineLevel="0" collapsed="false">
      <c r="A186" s="30" t="n">
        <f aca="false">Data_Returns!A228</f>
        <v>45133</v>
      </c>
      <c r="B186" s="31" t="n">
        <f aca="false">Data_Returns!Z228</f>
        <v>0.0247795378812226</v>
      </c>
      <c r="C186" s="31" t="n">
        <f aca="false">Data_Returns!B228</f>
        <v>0.00496427954432277</v>
      </c>
      <c r="D186" s="32" t="n">
        <f aca="false">B186-($B$5+$B$6*C186)</f>
        <v>0.0257736823188662</v>
      </c>
      <c r="F186" s="30" t="n">
        <f aca="false">Data_Returns!A228</f>
        <v>45133</v>
      </c>
      <c r="G186" s="31" t="n">
        <f aca="false">Data_Returns!AA228</f>
        <v>0.00710412747693308</v>
      </c>
      <c r="H186" s="31" t="n">
        <f aca="false">Data_Returns!B228</f>
        <v>0.00496427954432277</v>
      </c>
      <c r="I186" s="32" t="n">
        <f aca="false">G186-($G$5+$G$6*H186)</f>
        <v>0.00807751453971149</v>
      </c>
      <c r="K186" s="30" t="n">
        <f aca="false">Data_Returns!A547</f>
        <v>45602</v>
      </c>
      <c r="L186" s="31" t="n">
        <f aca="false">Data_Returns!Z547</f>
        <v>-0.00158496614823231</v>
      </c>
      <c r="M186" s="31" t="n">
        <f aca="false">Data_Returns!B547</f>
        <v>0.0111818711204172</v>
      </c>
      <c r="N186" s="32" t="n">
        <f aca="false">L186-($L$5+$L$6*M186)</f>
        <v>-4.71226335549281E-005</v>
      </c>
      <c r="P186" s="30" t="n">
        <f aca="false">Data_Returns!A547</f>
        <v>45602</v>
      </c>
      <c r="Q186" s="31" t="n">
        <f aca="false">Data_Returns!AA547</f>
        <v>0.00349594539405888</v>
      </c>
      <c r="R186" s="31" t="n">
        <f aca="false">Data_Returns!B547</f>
        <v>0.0111818711204172</v>
      </c>
      <c r="S186" s="32" t="n">
        <f aca="false">Q186-($Q$5+$Q$6*R186)</f>
        <v>0.0069254186784107</v>
      </c>
    </row>
    <row r="187" customFormat="false" ht="15" hidden="false" customHeight="false" outlineLevel="0" collapsed="false">
      <c r="A187" s="30" t="n">
        <f aca="false">Data_Returns!A229</f>
        <v>45134</v>
      </c>
      <c r="B187" s="31" t="n">
        <f aca="false">Data_Returns!Z229</f>
        <v>-0.00642965334267817</v>
      </c>
      <c r="C187" s="31" t="n">
        <f aca="false">Data_Returns!B229</f>
        <v>-0.00598635878715548</v>
      </c>
      <c r="D187" s="32" t="n">
        <f aca="false">B187-($B$5+$B$6*C187)</f>
        <v>-0.00715876924537628</v>
      </c>
      <c r="F187" s="30" t="n">
        <f aca="false">Data_Returns!A229</f>
        <v>45134</v>
      </c>
      <c r="G187" s="31" t="n">
        <f aca="false">Data_Returns!AA229</f>
        <v>-0.0114274197782488</v>
      </c>
      <c r="H187" s="31" t="n">
        <f aca="false">Data_Returns!B229</f>
        <v>-0.00598635878715548</v>
      </c>
      <c r="I187" s="32" t="n">
        <f aca="false">G187-($G$5+$G$6*H187)</f>
        <v>-0.0102373156076922</v>
      </c>
      <c r="K187" s="30" t="n">
        <f aca="false">Data_Returns!A548</f>
        <v>45603</v>
      </c>
      <c r="L187" s="31" t="n">
        <f aca="false">Data_Returns!Z548</f>
        <v>-0.00761606239936498</v>
      </c>
      <c r="M187" s="31" t="n">
        <f aca="false">Data_Returns!B548</f>
        <v>-0.0116279782143885</v>
      </c>
      <c r="N187" s="32" t="n">
        <f aca="false">L187-($L$5+$L$6*M187)</f>
        <v>-0.00822272820758044</v>
      </c>
      <c r="P187" s="30" t="n">
        <f aca="false">Data_Returns!A548</f>
        <v>45603</v>
      </c>
      <c r="Q187" s="31" t="n">
        <f aca="false">Data_Returns!AA548</f>
        <v>-0.000717269873960776</v>
      </c>
      <c r="R187" s="31" t="n">
        <f aca="false">Data_Returns!B548</f>
        <v>-0.0116279782143885</v>
      </c>
      <c r="S187" s="32" t="n">
        <f aca="false">Q187-($Q$5+$Q$6*R187)</f>
        <v>-0.00326394681800331</v>
      </c>
    </row>
    <row r="188" customFormat="false" ht="15" hidden="false" customHeight="false" outlineLevel="0" collapsed="false">
      <c r="A188" s="30" t="n">
        <f aca="false">Data_Returns!A230</f>
        <v>45135</v>
      </c>
      <c r="B188" s="31" t="n">
        <f aca="false">Data_Returns!Z230</f>
        <v>0.00232301500712657</v>
      </c>
      <c r="C188" s="31" t="n">
        <f aca="false">Data_Returns!B230</f>
        <v>-0.0007044796769059</v>
      </c>
      <c r="D188" s="32" t="n">
        <f aca="false">B188-($B$5+$B$6*C188)</f>
        <v>0.00242508834816487</v>
      </c>
      <c r="F188" s="30" t="n">
        <f aca="false">Data_Returns!A230</f>
        <v>45135</v>
      </c>
      <c r="G188" s="31" t="n">
        <f aca="false">Data_Returns!AA230</f>
        <v>0.0124668622159851</v>
      </c>
      <c r="H188" s="31" t="n">
        <f aca="false">Data_Returns!B230</f>
        <v>-0.0007044796769059</v>
      </c>
      <c r="I188" s="32" t="n">
        <f aca="false">G188-($G$5+$G$6*H188)</f>
        <v>0.0135524360815716</v>
      </c>
      <c r="K188" s="30" t="n">
        <f aca="false">Data_Returns!A549</f>
        <v>45604</v>
      </c>
      <c r="L188" s="31" t="n">
        <f aca="false">Data_Returns!Z549</f>
        <v>0.00922392272753283</v>
      </c>
      <c r="M188" s="31" t="n">
        <f aca="false">Data_Returns!B549</f>
        <v>-0.00211369313638576</v>
      </c>
      <c r="N188" s="32" t="n">
        <f aca="false">L188-($L$5+$L$6*M188)</f>
        <v>0.00951175967341067</v>
      </c>
      <c r="P188" s="30" t="n">
        <f aca="false">Data_Returns!A549</f>
        <v>45604</v>
      </c>
      <c r="Q188" s="31" t="n">
        <f aca="false">Data_Returns!AA549</f>
        <v>0.0116216930155724</v>
      </c>
      <c r="R188" s="31" t="n">
        <f aca="false">Data_Returns!B549</f>
        <v>-0.00211369313638576</v>
      </c>
      <c r="S188" s="32" t="n">
        <f aca="false">Q188-($Q$5+$Q$6*R188)</f>
        <v>0.011567746124558</v>
      </c>
    </row>
    <row r="189" customFormat="false" ht="15" hidden="false" customHeight="false" outlineLevel="0" collapsed="false">
      <c r="A189" s="30" t="n">
        <f aca="false">Data_Returns!A231</f>
        <v>45138</v>
      </c>
      <c r="B189" s="31" t="n">
        <f aca="false">Data_Returns!Z231</f>
        <v>0.00310465551112096</v>
      </c>
      <c r="C189" s="31" t="n">
        <f aca="false">Data_Returns!B231</f>
        <v>0.00548456305465983</v>
      </c>
      <c r="D189" s="32" t="n">
        <f aca="false">B189-($B$5+$B$6*C189)</f>
        <v>0.00418067498763969</v>
      </c>
      <c r="F189" s="30" t="n">
        <f aca="false">Data_Returns!A231</f>
        <v>45138</v>
      </c>
      <c r="G189" s="31" t="n">
        <f aca="false">Data_Returns!AA231</f>
        <v>-0.00580663265839065</v>
      </c>
      <c r="H189" s="31" t="n">
        <f aca="false">Data_Returns!B231</f>
        <v>0.00548456305465983</v>
      </c>
      <c r="I189" s="32" t="n">
        <f aca="false">G189-($G$5+$G$6*H189)</f>
        <v>-0.00484354219515027</v>
      </c>
      <c r="K189" s="30" t="n">
        <f aca="false">Data_Returns!A550</f>
        <v>45607</v>
      </c>
      <c r="L189" s="31" t="n">
        <f aca="false">Data_Returns!Z550</f>
        <v>-0.000834431146247687</v>
      </c>
      <c r="M189" s="31" t="n">
        <f aca="false">Data_Returns!B550</f>
        <v>-0.000285735582776447</v>
      </c>
      <c r="N189" s="32" t="n">
        <f aca="false">L189-($L$5+$L$6*M189)</f>
        <v>-0.00037473545820858</v>
      </c>
      <c r="P189" s="30" t="n">
        <f aca="false">Data_Returns!A550</f>
        <v>45607</v>
      </c>
      <c r="Q189" s="31" t="n">
        <f aca="false">Data_Returns!AA550</f>
        <v>-0.0057490268523087</v>
      </c>
      <c r="R189" s="31" t="n">
        <f aca="false">Data_Returns!B550</f>
        <v>-0.000285735582776447</v>
      </c>
      <c r="S189" s="32" t="n">
        <f aca="false">Q189-($Q$5+$Q$6*R189)</f>
        <v>-0.00532405129227344</v>
      </c>
    </row>
    <row r="190" customFormat="false" ht="15" hidden="false" customHeight="false" outlineLevel="0" collapsed="false">
      <c r="A190" s="30" t="n">
        <f aca="false">Data_Returns!A232</f>
        <v>45139</v>
      </c>
      <c r="B190" s="31" t="n">
        <f aca="false">Data_Returns!Z232</f>
        <v>0.0133514674180702</v>
      </c>
      <c r="C190" s="31" t="n">
        <f aca="false">Data_Returns!B232</f>
        <v>-0.00102511921756832</v>
      </c>
      <c r="D190" s="32" t="n">
        <f aca="false">B190-($B$5+$B$6*C190)</f>
        <v>0.0134030829330674</v>
      </c>
      <c r="F190" s="30" t="n">
        <f aca="false">Data_Returns!A232</f>
        <v>45139</v>
      </c>
      <c r="G190" s="31" t="n">
        <f aca="false">Data_Returns!AA232</f>
        <v>0.0170100322927952</v>
      </c>
      <c r="H190" s="31" t="n">
        <f aca="false">Data_Returns!B232</f>
        <v>-0.00102511921756832</v>
      </c>
      <c r="I190" s="32" t="n">
        <f aca="false">G190-($G$5+$G$6*H190)</f>
        <v>0.0181019517312869</v>
      </c>
      <c r="K190" s="30" t="n">
        <f aca="false">Data_Returns!A551</f>
        <v>45608</v>
      </c>
      <c r="L190" s="31" t="n">
        <f aca="false">Data_Returns!Z551</f>
        <v>-0.00697579543763519</v>
      </c>
      <c r="M190" s="31" t="n">
        <f aca="false">Data_Returns!B551</f>
        <v>-0.0106808663990754</v>
      </c>
      <c r="N190" s="32" t="n">
        <f aca="false">L190-($L$5+$L$6*M190)</f>
        <v>-0.00749341681210853</v>
      </c>
      <c r="P190" s="30" t="n">
        <f aca="false">Data_Returns!A551</f>
        <v>45608</v>
      </c>
      <c r="Q190" s="31" t="n">
        <f aca="false">Data_Returns!AA551</f>
        <v>-0.00398999657230228</v>
      </c>
      <c r="R190" s="31" t="n">
        <f aca="false">Data_Returns!B551</f>
        <v>-0.0106808663990754</v>
      </c>
      <c r="S190" s="32" t="n">
        <f aca="false">Q190-($Q$5+$Q$6*R190)</f>
        <v>-0.00628853147873995</v>
      </c>
    </row>
    <row r="191" customFormat="false" ht="15" hidden="false" customHeight="false" outlineLevel="0" collapsed="false">
      <c r="A191" s="30" t="n">
        <f aca="false">Data_Returns!A233</f>
        <v>45140</v>
      </c>
      <c r="B191" s="31" t="n">
        <f aca="false">Data_Returns!Z233</f>
        <v>-0.000639031783315321</v>
      </c>
      <c r="C191" s="31" t="n">
        <f aca="false">Data_Returns!B233</f>
        <v>-0.0104897496902483</v>
      </c>
      <c r="D191" s="32" t="n">
        <f aca="false">B191-($B$5+$B$6*C191)</f>
        <v>-0.00207682919894838</v>
      </c>
      <c r="F191" s="30" t="n">
        <f aca="false">Data_Returns!A233</f>
        <v>45140</v>
      </c>
      <c r="G191" s="31" t="n">
        <f aca="false">Data_Returns!AA233</f>
        <v>0.00665462733246787</v>
      </c>
      <c r="H191" s="31" t="n">
        <f aca="false">Data_Returns!B233</f>
        <v>-0.0104897496902483</v>
      </c>
      <c r="I191" s="32" t="n">
        <f aca="false">G191-($G$5+$G$6*H191)</f>
        <v>0.00793385524377553</v>
      </c>
      <c r="K191" s="30" t="n">
        <f aca="false">Data_Returns!A552</f>
        <v>45609</v>
      </c>
      <c r="L191" s="31" t="n">
        <f aca="false">Data_Returns!Z552</f>
        <v>-0.00606081296301103</v>
      </c>
      <c r="M191" s="31" t="n">
        <f aca="false">Data_Returns!B552</f>
        <v>-0.0135826273004948</v>
      </c>
      <c r="N191" s="32" t="n">
        <f aca="false">L191-($L$5+$L$6*M191)</f>
        <v>-0.00685124864741513</v>
      </c>
      <c r="P191" s="30" t="n">
        <f aca="false">Data_Returns!A552</f>
        <v>45609</v>
      </c>
      <c r="Q191" s="31" t="n">
        <f aca="false">Data_Returns!AA552</f>
        <v>0.00150743175885271</v>
      </c>
      <c r="R191" s="31" t="n">
        <f aca="false">Data_Returns!B552</f>
        <v>-0.0135826273004948</v>
      </c>
      <c r="S191" s="32" t="n">
        <f aca="false">Q191-($Q$5+$Q$6*R191)</f>
        <v>-0.0015513606494748</v>
      </c>
    </row>
    <row r="192" customFormat="false" ht="15" hidden="false" customHeight="false" outlineLevel="0" collapsed="false">
      <c r="A192" s="30" t="n">
        <f aca="false">Data_Returns!A234</f>
        <v>45141</v>
      </c>
      <c r="B192" s="31" t="n">
        <f aca="false">Data_Returns!Z234</f>
        <v>-0.00687971465772993</v>
      </c>
      <c r="C192" s="31" t="n">
        <f aca="false">Data_Returns!B234</f>
        <v>-0.00742066570899613</v>
      </c>
      <c r="D192" s="32" t="n">
        <f aca="false">B192-($B$5+$B$6*C192)</f>
        <v>-0.00783454199016091</v>
      </c>
      <c r="F192" s="30" t="n">
        <f aca="false">Data_Returns!A234</f>
        <v>45141</v>
      </c>
      <c r="G192" s="31" t="n">
        <f aca="false">Data_Returns!AA234</f>
        <v>0.0144486768105179</v>
      </c>
      <c r="H192" s="31" t="n">
        <f aca="false">Data_Returns!B234</f>
        <v>-0.00742066570899613</v>
      </c>
      <c r="I192" s="32" t="n">
        <f aca="false">G192-($G$5+$G$6*H192)</f>
        <v>0.0156671664357265</v>
      </c>
      <c r="K192" s="30" t="n">
        <f aca="false">Data_Returns!A553</f>
        <v>45610</v>
      </c>
      <c r="L192" s="31" t="n">
        <f aca="false">Data_Returns!Z553</f>
        <v>-0.000680126353662665</v>
      </c>
      <c r="M192" s="31" t="n">
        <f aca="false">Data_Returns!B553</f>
        <v>-0.00111846615207312</v>
      </c>
      <c r="N192" s="32" t="n">
        <f aca="false">L192-($L$5+$L$6*M192)</f>
        <v>-0.000298721339231367</v>
      </c>
      <c r="P192" s="30" t="n">
        <f aca="false">Data_Returns!A553</f>
        <v>45610</v>
      </c>
      <c r="Q192" s="31" t="n">
        <f aca="false">Data_Returns!AA553</f>
        <v>0.00939509057765579</v>
      </c>
      <c r="R192" s="31" t="n">
        <f aca="false">Data_Returns!B553</f>
        <v>-0.00111846615207312</v>
      </c>
      <c r="S192" s="32" t="n">
        <f aca="false">Q192-($Q$5+$Q$6*R192)</f>
        <v>0.00960189183461489</v>
      </c>
    </row>
    <row r="193" customFormat="false" ht="15" hidden="false" customHeight="false" outlineLevel="0" collapsed="false">
      <c r="A193" s="30" t="n">
        <f aca="false">Data_Returns!A235</f>
        <v>45142</v>
      </c>
      <c r="B193" s="31" t="n">
        <f aca="false">Data_Returns!Z235</f>
        <v>-0.00159786092117573</v>
      </c>
      <c r="C193" s="31" t="n">
        <f aca="false">Data_Returns!B235</f>
        <v>0.00698340956523302</v>
      </c>
      <c r="D193" s="32" t="n">
        <f aca="false">B193-($B$5+$B$6*C193)</f>
        <v>-0.000285973665104304</v>
      </c>
      <c r="F193" s="30" t="n">
        <f aca="false">Data_Returns!A235</f>
        <v>45142</v>
      </c>
      <c r="G193" s="31" t="n">
        <f aca="false">Data_Returns!AA235</f>
        <v>-0.00417953955311562</v>
      </c>
      <c r="H193" s="31" t="n">
        <f aca="false">Data_Returns!B235</f>
        <v>0.00698340956523302</v>
      </c>
      <c r="I193" s="32" t="n">
        <f aca="false">G193-($G$5+$G$6*H193)</f>
        <v>-0.00324611180641671</v>
      </c>
      <c r="K193" s="30" t="n">
        <f aca="false">Data_Returns!A554</f>
        <v>45614</v>
      </c>
      <c r="L193" s="31" t="n">
        <f aca="false">Data_Returns!Z554</f>
        <v>0.0166106828481743</v>
      </c>
      <c r="M193" s="31" t="n">
        <f aca="false">Data_Returns!B554</f>
        <v>-0.00335278144879259</v>
      </c>
      <c r="N193" s="32" t="n">
        <f aca="false">L193-($L$5+$L$6*M193)</f>
        <v>0.0167820246607946</v>
      </c>
      <c r="P193" s="30" t="n">
        <f aca="false">Data_Returns!A554</f>
        <v>45614</v>
      </c>
      <c r="Q193" s="31" t="n">
        <f aca="false">Data_Returns!AA554</f>
        <v>0.00607766145016322</v>
      </c>
      <c r="R193" s="31" t="n">
        <f aca="false">Data_Returns!B554</f>
        <v>-0.00335278144879259</v>
      </c>
      <c r="S193" s="32" t="n">
        <f aca="false">Q193-($Q$5+$Q$6*R193)</f>
        <v>0.00569907506712506</v>
      </c>
    </row>
    <row r="194" customFormat="false" ht="15" hidden="false" customHeight="false" outlineLevel="0" collapsed="false">
      <c r="A194" s="30" t="n">
        <f aca="false">Data_Returns!A236</f>
        <v>45145</v>
      </c>
      <c r="B194" s="31" t="n">
        <f aca="false">Data_Returns!Z236</f>
        <v>-0.0188548839651962</v>
      </c>
      <c r="C194" s="31" t="n">
        <f aca="false">Data_Returns!B236</f>
        <v>0.0041143618383972</v>
      </c>
      <c r="D194" s="32" t="n">
        <f aca="false">B194-($B$5+$B$6*C194)</f>
        <v>-0.0179944878471338</v>
      </c>
      <c r="F194" s="30" t="n">
        <f aca="false">Data_Returns!A236</f>
        <v>45145</v>
      </c>
      <c r="G194" s="31" t="n">
        <f aca="false">Data_Returns!AA236</f>
        <v>-0.0115940541599413</v>
      </c>
      <c r="H194" s="31" t="n">
        <f aca="false">Data_Returns!B236</f>
        <v>0.0041143618383972</v>
      </c>
      <c r="I194" s="32" t="n">
        <f aca="false">G194-($G$5+$G$6*H194)</f>
        <v>-0.0106038469172335</v>
      </c>
      <c r="K194" s="30" t="n">
        <f aca="false">Data_Returns!A555</f>
        <v>45615</v>
      </c>
      <c r="L194" s="31" t="n">
        <f aca="false">Data_Returns!Z555</f>
        <v>0.00112570760987307</v>
      </c>
      <c r="M194" s="31" t="n">
        <f aca="false">Data_Returns!B555</f>
        <v>0.00275861480868778</v>
      </c>
      <c r="N194" s="32" t="n">
        <f aca="false">L194-($L$5+$L$6*M194)</f>
        <v>0.00187162341716064</v>
      </c>
      <c r="P194" s="30" t="n">
        <f aca="false">Data_Returns!A555</f>
        <v>45615</v>
      </c>
      <c r="Q194" s="31" t="n">
        <f aca="false">Data_Returns!AA555</f>
        <v>0.00627021066045737</v>
      </c>
      <c r="R194" s="31" t="n">
        <f aca="false">Data_Returns!B555</f>
        <v>0.00275861480868778</v>
      </c>
      <c r="S194" s="32" t="n">
        <f aca="false">Q194-($Q$5+$Q$6*R194)</f>
        <v>0.00749280197937884</v>
      </c>
    </row>
    <row r="195" customFormat="false" ht="15" hidden="false" customHeight="false" outlineLevel="0" collapsed="false">
      <c r="A195" s="30" t="n">
        <f aca="false">Data_Returns!A237</f>
        <v>45146</v>
      </c>
      <c r="B195" s="31" t="n">
        <f aca="false">Data_Returns!Z237</f>
        <v>0.00643366891676914</v>
      </c>
      <c r="C195" s="31" t="n">
        <f aca="false">Data_Returns!B237</f>
        <v>-0.00134967572063505</v>
      </c>
      <c r="D195" s="32" t="n">
        <f aca="false">B195-($B$5+$B$6*C195)</f>
        <v>0.00643421020823662</v>
      </c>
      <c r="F195" s="30" t="n">
        <f aca="false">Data_Returns!A237</f>
        <v>45146</v>
      </c>
      <c r="G195" s="31" t="n">
        <f aca="false">Data_Returns!AA237</f>
        <v>0.0137123929118014</v>
      </c>
      <c r="H195" s="31" t="n">
        <f aca="false">Data_Returns!B237</f>
        <v>-0.00134967572063505</v>
      </c>
      <c r="I195" s="32" t="n">
        <f aca="false">G195-($G$5+$G$6*H195)</f>
        <v>0.0148107354413063</v>
      </c>
      <c r="K195" s="30" t="n">
        <f aca="false">Data_Returns!A556</f>
        <v>45617</v>
      </c>
      <c r="L195" s="31" t="n">
        <f aca="false">Data_Returns!Z556</f>
        <v>-0.00990772491168066</v>
      </c>
      <c r="M195" s="31" t="n">
        <f aca="false">Data_Returns!B556</f>
        <v>-0.00716882454238144</v>
      </c>
      <c r="N195" s="32" t="n">
        <f aca="false">L195-($L$5+$L$6*M195)</f>
        <v>-0.0100951553062172</v>
      </c>
      <c r="P195" s="30" t="n">
        <f aca="false">Data_Returns!A556</f>
        <v>45617</v>
      </c>
      <c r="Q195" s="31" t="n">
        <f aca="false">Data_Returns!AA556</f>
        <v>-0.00605083315888635</v>
      </c>
      <c r="R195" s="31" t="n">
        <f aca="false">Data_Returns!B556</f>
        <v>-0.00716882454238144</v>
      </c>
      <c r="S195" s="32" t="n">
        <f aca="false">Q195-($Q$5+$Q$6*R195)</f>
        <v>-0.00742921776376172</v>
      </c>
    </row>
    <row r="196" customFormat="false" ht="15" hidden="false" customHeight="false" outlineLevel="0" collapsed="false">
      <c r="A196" s="30" t="n">
        <f aca="false">Data_Returns!A238</f>
        <v>45147</v>
      </c>
      <c r="B196" s="31" t="n">
        <f aca="false">Data_Returns!Z238</f>
        <v>-0.0238718361897623</v>
      </c>
      <c r="C196" s="31" t="n">
        <f aca="false">Data_Returns!B238</f>
        <v>0.00315264794324222</v>
      </c>
      <c r="D196" s="32" t="n">
        <f aca="false">B196-($B$5+$B$6*C196)</f>
        <v>-0.0231627813327395</v>
      </c>
      <c r="F196" s="30" t="n">
        <f aca="false">Data_Returns!A238</f>
        <v>45147</v>
      </c>
      <c r="G196" s="31" t="n">
        <f aca="false">Data_Returns!AA238</f>
        <v>-0.0293672211469594</v>
      </c>
      <c r="H196" s="31" t="n">
        <f aca="false">Data_Returns!B238</f>
        <v>0.00315264794324222</v>
      </c>
      <c r="I196" s="32" t="n">
        <f aca="false">G196-($G$5+$G$6*H196)</f>
        <v>-0.028357981237154</v>
      </c>
      <c r="K196" s="30" t="n">
        <f aca="false">Data_Returns!A557</f>
        <v>45618</v>
      </c>
      <c r="L196" s="31" t="n">
        <f aca="false">Data_Returns!Z557</f>
        <v>0.00309368357548574</v>
      </c>
      <c r="M196" s="31" t="n">
        <f aca="false">Data_Returns!B557</f>
        <v>0.0238694812397482</v>
      </c>
      <c r="N196" s="32" t="n">
        <f aca="false">L196-($L$5+$L$6*M196)</f>
        <v>0.00582437574894916</v>
      </c>
      <c r="P196" s="30" t="n">
        <f aca="false">Data_Returns!A557</f>
        <v>45618</v>
      </c>
      <c r="Q196" s="31" t="n">
        <f aca="false">Data_Returns!AA557</f>
        <v>0.000762670410819604</v>
      </c>
      <c r="R196" s="31" t="n">
        <f aca="false">Data_Returns!B557</f>
        <v>0.0238694812397482</v>
      </c>
      <c r="S196" s="32" t="n">
        <f aca="false">Q196-($Q$5+$Q$6*R196)</f>
        <v>0.00751628069403879</v>
      </c>
    </row>
    <row r="197" customFormat="false" ht="15" hidden="false" customHeight="false" outlineLevel="0" collapsed="false">
      <c r="A197" s="30" t="n">
        <f aca="false">Data_Returns!A239</f>
        <v>45148</v>
      </c>
      <c r="B197" s="31" t="n">
        <f aca="false">Data_Returns!Z239</f>
        <v>-0.00715530909766042</v>
      </c>
      <c r="C197" s="31" t="n">
        <f aca="false">Data_Returns!B239</f>
        <v>-0.00455620894891395</v>
      </c>
      <c r="D197" s="32" t="n">
        <f aca="false">B197-($B$5+$B$6*C197)</f>
        <v>-0.00765936775507418</v>
      </c>
      <c r="F197" s="30" t="n">
        <f aca="false">Data_Returns!A239</f>
        <v>45148</v>
      </c>
      <c r="G197" s="31" t="n">
        <f aca="false">Data_Returns!AA239</f>
        <v>-0.00231231177955551</v>
      </c>
      <c r="H197" s="31" t="n">
        <f aca="false">Data_Returns!B239</f>
        <v>-0.00455620894891395</v>
      </c>
      <c r="I197" s="32" t="n">
        <f aca="false">G197-($G$5+$G$6*H197)</f>
        <v>-0.0011505107934573</v>
      </c>
      <c r="K197" s="30" t="n">
        <f aca="false">Data_Returns!A558</f>
        <v>45621</v>
      </c>
      <c r="L197" s="31" t="n">
        <f aca="false">Data_Returns!Z558</f>
        <v>-0.00600868492978473</v>
      </c>
      <c r="M197" s="31" t="n">
        <f aca="false">Data_Returns!B558</f>
        <v>0.0131612795281766</v>
      </c>
      <c r="N197" s="32" t="n">
        <f aca="false">L197-($L$5+$L$6*M197)</f>
        <v>-0.00428474374642284</v>
      </c>
      <c r="P197" s="30" t="n">
        <f aca="false">Data_Returns!A558</f>
        <v>45621</v>
      </c>
      <c r="Q197" s="31" t="n">
        <f aca="false">Data_Returns!AA558</f>
        <v>-0.0145249110997156</v>
      </c>
      <c r="R197" s="31" t="n">
        <f aca="false">Data_Returns!B558</f>
        <v>0.0131612795281766</v>
      </c>
      <c r="S197" s="32" t="n">
        <f aca="false">Q197-($Q$5+$Q$6*R197)</f>
        <v>-0.0105768354416924</v>
      </c>
    </row>
    <row r="198" customFormat="false" ht="15" hidden="false" customHeight="false" outlineLevel="0" collapsed="false">
      <c r="A198" s="30" t="n">
        <f aca="false">Data_Returns!A240</f>
        <v>45149</v>
      </c>
      <c r="B198" s="31" t="n">
        <f aca="false">Data_Returns!Z240</f>
        <v>-0.00290885139576955</v>
      </c>
      <c r="C198" s="31" t="n">
        <f aca="false">Data_Returns!B240</f>
        <v>-0.00587419600779815</v>
      </c>
      <c r="D198" s="32" t="n">
        <f aca="false">B198-($B$5+$B$6*C198)</f>
        <v>-0.00362031666811369</v>
      </c>
      <c r="F198" s="30" t="n">
        <f aca="false">Data_Returns!A240</f>
        <v>45149</v>
      </c>
      <c r="G198" s="31" t="n">
        <f aca="false">Data_Returns!AA240</f>
        <v>-0.000379996986458334</v>
      </c>
      <c r="H198" s="31" t="n">
        <f aca="false">Data_Returns!B240</f>
        <v>-0.00587419600779815</v>
      </c>
      <c r="I198" s="32" t="n">
        <f aca="false">G198-($G$5+$G$6*H198)</f>
        <v>0.000807887441978521</v>
      </c>
      <c r="K198" s="30" t="n">
        <f aca="false">Data_Returns!A559</f>
        <v>45622</v>
      </c>
      <c r="L198" s="31" t="n">
        <f aca="false">Data_Returns!Z559</f>
        <v>0.0308588019842576</v>
      </c>
      <c r="M198" s="31" t="n">
        <f aca="false">Data_Returns!B559</f>
        <v>-0.00113120770872643</v>
      </c>
      <c r="N198" s="32" t="n">
        <f aca="false">L198-($L$5+$L$6*M198)</f>
        <v>0.031239009078149</v>
      </c>
      <c r="P198" s="30" t="n">
        <f aca="false">Data_Returns!A559</f>
        <v>45622</v>
      </c>
      <c r="Q198" s="31" t="n">
        <f aca="false">Data_Returns!AA559</f>
        <v>0.0182052092829019</v>
      </c>
      <c r="R198" s="31" t="n">
        <f aca="false">Data_Returns!B559</f>
        <v>-0.00113120770872643</v>
      </c>
      <c r="S198" s="32" t="n">
        <f aca="false">Q198-($Q$5+$Q$6*R198)</f>
        <v>0.0184086722689419</v>
      </c>
    </row>
    <row r="199" customFormat="false" ht="15" hidden="false" customHeight="false" outlineLevel="0" collapsed="false">
      <c r="A199" s="30" t="n">
        <f aca="false">Data_Returns!A241</f>
        <v>45152</v>
      </c>
      <c r="B199" s="31" t="n">
        <f aca="false">Data_Returns!Z241</f>
        <v>-0.011117631834378</v>
      </c>
      <c r="C199" s="31" t="n">
        <f aca="false">Data_Returns!B241</f>
        <v>0.000321695670748357</v>
      </c>
      <c r="D199" s="32" t="n">
        <f aca="false">B199-($B$5+$B$6*C199)</f>
        <v>-0.0108540731784822</v>
      </c>
      <c r="F199" s="30" t="n">
        <f aca="false">Data_Returns!A241</f>
        <v>45152</v>
      </c>
      <c r="G199" s="31" t="n">
        <f aca="false">Data_Returns!AA241</f>
        <v>-0.00959456304392692</v>
      </c>
      <c r="H199" s="31" t="n">
        <f aca="false">Data_Returns!B241</f>
        <v>0.000321695670748357</v>
      </c>
      <c r="I199" s="32" t="n">
        <f aca="false">G199-($G$5+$G$6*H199)</f>
        <v>-0.00852929756098312</v>
      </c>
      <c r="K199" s="30" t="n">
        <f aca="false">Data_Returns!A560</f>
        <v>45623</v>
      </c>
      <c r="L199" s="31" t="n">
        <f aca="false">Data_Returns!Z560</f>
        <v>0.000102872582347984</v>
      </c>
      <c r="M199" s="31" t="n">
        <f aca="false">Data_Returns!B560</f>
        <v>0.00332306929260784</v>
      </c>
      <c r="N199" s="32" t="n">
        <f aca="false">L199-($L$5+$L$6*M199)</f>
        <v>0.000901856600887088</v>
      </c>
      <c r="P199" s="30" t="n">
        <f aca="false">Data_Returns!A560</f>
        <v>45623</v>
      </c>
      <c r="Q199" s="31" t="n">
        <f aca="false">Data_Returns!AA560</f>
        <v>0.00140293786347954</v>
      </c>
      <c r="R199" s="31" t="n">
        <f aca="false">Data_Returns!B560</f>
        <v>0.00332306929260784</v>
      </c>
      <c r="S199" s="32" t="n">
        <f aca="false">Q199-($Q$5+$Q$6*R199)</f>
        <v>0.00277341550744788</v>
      </c>
    </row>
    <row r="200" customFormat="false" ht="15" hidden="false" customHeight="false" outlineLevel="0" collapsed="false">
      <c r="A200" s="30" t="n">
        <f aca="false">Data_Returns!A242</f>
        <v>45154</v>
      </c>
      <c r="B200" s="31" t="n">
        <f aca="false">Data_Returns!Z242</f>
        <v>-0.000224816549489863</v>
      </c>
      <c r="C200" s="31" t="n">
        <f aca="false">Data_Returns!B242</f>
        <v>0.00156679727598541</v>
      </c>
      <c r="D200" s="32" t="n">
        <f aca="false">B200-($B$5+$B$6*C200)</f>
        <v>0.000234679014470241</v>
      </c>
      <c r="F200" s="30" t="n">
        <f aca="false">Data_Returns!A242</f>
        <v>45154</v>
      </c>
      <c r="G200" s="31" t="n">
        <f aca="false">Data_Returns!AA242</f>
        <v>-0.0077624011949982</v>
      </c>
      <c r="H200" s="31" t="n">
        <f aca="false">Data_Returns!B242</f>
        <v>0.00156679727598541</v>
      </c>
      <c r="I200" s="32" t="n">
        <f aca="false">G200-($G$5+$G$6*H200)</f>
        <v>-0.00672177672480717</v>
      </c>
      <c r="K200" s="30" t="n">
        <f aca="false">Data_Returns!A561</f>
        <v>45624</v>
      </c>
      <c r="L200" s="31" t="n">
        <f aca="false">Data_Returns!Z561</f>
        <v>-0.0145582386489082</v>
      </c>
      <c r="M200" s="31" t="n">
        <f aca="false">Data_Returns!B561</f>
        <v>-0.0148610292936325</v>
      </c>
      <c r="N200" s="32" t="n">
        <f aca="false">L200-($L$5+$L$6*M200)</f>
        <v>-0.015468865613511</v>
      </c>
      <c r="P200" s="30" t="n">
        <f aca="false">Data_Returns!A561</f>
        <v>45624</v>
      </c>
      <c r="Q200" s="31" t="n">
        <f aca="false">Data_Returns!AA561</f>
        <v>-0.0139525107447826</v>
      </c>
      <c r="R200" s="31" t="n">
        <f aca="false">Data_Returns!B561</f>
        <v>-0.0148610292936325</v>
      </c>
      <c r="S200" s="32" t="n">
        <f aca="false">Q200-($Q$5+$Q$6*R200)</f>
        <v>-0.0173462427772668</v>
      </c>
    </row>
    <row r="201" customFormat="false" ht="15" hidden="false" customHeight="false" outlineLevel="0" collapsed="false">
      <c r="A201" s="30" t="n">
        <f aca="false">Data_Returns!A243</f>
        <v>45155</v>
      </c>
      <c r="B201" s="31" t="n">
        <f aca="false">Data_Returns!Z243</f>
        <v>-0.00105574020873714</v>
      </c>
      <c r="C201" s="31" t="n">
        <f aca="false">Data_Returns!B243</f>
        <v>-0.0051245825841254</v>
      </c>
      <c r="D201" s="32" t="n">
        <f aca="false">B201-($B$5+$B$6*C201)</f>
        <v>-0.00164924166522868</v>
      </c>
      <c r="F201" s="30" t="n">
        <f aca="false">Data_Returns!A243</f>
        <v>45155</v>
      </c>
      <c r="G201" s="31" t="n">
        <f aca="false">Data_Returns!AA243</f>
        <v>-0.00588270602321798</v>
      </c>
      <c r="H201" s="31" t="n">
        <f aca="false">Data_Returns!B243</f>
        <v>-0.0051245825841254</v>
      </c>
      <c r="I201" s="32" t="n">
        <f aca="false">G201-($G$5+$G$6*H201)</f>
        <v>-0.00470965671655326</v>
      </c>
      <c r="K201" s="30" t="n">
        <f aca="false">Data_Returns!A562</f>
        <v>45625</v>
      </c>
      <c r="L201" s="31" t="n">
        <f aca="false">Data_Returns!Z562</f>
        <v>-0.0114903973648083</v>
      </c>
      <c r="M201" s="31" t="n">
        <f aca="false">Data_Returns!B562</f>
        <v>0.00907203475766427</v>
      </c>
      <c r="N201" s="32" t="n">
        <f aca="false">L201-($L$5+$L$6*M201)</f>
        <v>-0.0101509139393752</v>
      </c>
      <c r="P201" s="30" t="n">
        <f aca="false">Data_Returns!A562</f>
        <v>45625</v>
      </c>
      <c r="Q201" s="31" t="n">
        <f aca="false">Data_Returns!AA562</f>
        <v>-0.0113028058446936</v>
      </c>
      <c r="R201" s="31" t="n">
        <f aca="false">Data_Returns!B562</f>
        <v>0.00907203475766427</v>
      </c>
      <c r="S201" s="32" t="n">
        <f aca="false">Q201-($Q$5+$Q$6*R201)</f>
        <v>-0.00842610688497971</v>
      </c>
    </row>
    <row r="202" customFormat="false" ht="15" hidden="false" customHeight="false" outlineLevel="0" collapsed="false">
      <c r="A202" s="30" t="n">
        <f aca="false">Data_Returns!A244</f>
        <v>45156</v>
      </c>
      <c r="B202" s="31" t="n">
        <f aca="false">Data_Returns!Z244</f>
        <v>0.00127578664285925</v>
      </c>
      <c r="C202" s="31" t="n">
        <f aca="false">Data_Returns!B244</f>
        <v>-0.0028453027975367</v>
      </c>
      <c r="D202" s="32" t="n">
        <f aca="false">B202-($B$5+$B$6*C202)</f>
        <v>0.00104096678481665</v>
      </c>
      <c r="F202" s="30" t="n">
        <f aca="false">Data_Returns!A244</f>
        <v>45156</v>
      </c>
      <c r="G202" s="31" t="n">
        <f aca="false">Data_Returns!AA244</f>
        <v>0.000496668825683482</v>
      </c>
      <c r="H202" s="31" t="n">
        <f aca="false">Data_Returns!B244</f>
        <v>-0.0028453027975367</v>
      </c>
      <c r="I202" s="32" t="n">
        <f aca="false">G202-($G$5+$G$6*H202)</f>
        <v>0.00162461035796879</v>
      </c>
      <c r="K202" s="30" t="n">
        <f aca="false">Data_Returns!A563</f>
        <v>45628</v>
      </c>
      <c r="L202" s="31" t="n">
        <f aca="false">Data_Returns!Z563</f>
        <v>0.0115975203433768</v>
      </c>
      <c r="M202" s="31" t="n">
        <f aca="false">Data_Returns!B563</f>
        <v>0.00600677134486216</v>
      </c>
      <c r="N202" s="32" t="n">
        <f aca="false">L202-($L$5+$L$6*M202)</f>
        <v>0.0126488174739602</v>
      </c>
      <c r="P202" s="30" t="n">
        <f aca="false">Data_Returns!A563</f>
        <v>45628</v>
      </c>
      <c r="Q202" s="31" t="n">
        <f aca="false">Data_Returns!AA563</f>
        <v>0.00288588836257686</v>
      </c>
      <c r="R202" s="31" t="n">
        <f aca="false">Data_Returns!B563</f>
        <v>0.00600677134486216</v>
      </c>
      <c r="S202" s="32" t="n">
        <f aca="false">Q202-($Q$5+$Q$6*R202)</f>
        <v>0.00495949237959183</v>
      </c>
    </row>
    <row r="203" customFormat="false" ht="15" hidden="false" customHeight="false" outlineLevel="0" collapsed="false">
      <c r="A203" s="30" t="n">
        <f aca="false">Data_Returns!A245</f>
        <v>45159</v>
      </c>
      <c r="B203" s="31" t="n">
        <f aca="false">Data_Returns!Z245</f>
        <v>-0.0155542237747783</v>
      </c>
      <c r="C203" s="31" t="n">
        <f aca="false">Data_Returns!B245</f>
        <v>0.00432156145861096</v>
      </c>
      <c r="D203" s="32" t="n">
        <f aca="false">B203-($B$5+$B$6*C203)</f>
        <v>-0.0146612214398689</v>
      </c>
      <c r="F203" s="30" t="n">
        <f aca="false">Data_Returns!A245</f>
        <v>45159</v>
      </c>
      <c r="G203" s="31" t="n">
        <f aca="false">Data_Returns!AA245</f>
        <v>-0.0214150758101233</v>
      </c>
      <c r="H203" s="31" t="n">
        <f aca="false">Data_Returns!B245</f>
        <v>0.00432156145861096</v>
      </c>
      <c r="I203" s="32" t="n">
        <f aca="false">G203-($G$5+$G$6*H203)</f>
        <v>-0.0204289691231151</v>
      </c>
      <c r="K203" s="30" t="n">
        <f aca="false">Data_Returns!A564</f>
        <v>45629</v>
      </c>
      <c r="L203" s="31" t="n">
        <f aca="false">Data_Returns!Z564</f>
        <v>0.00317163095225956</v>
      </c>
      <c r="M203" s="31" t="n">
        <f aca="false">Data_Returns!B564</f>
        <v>0.00746002747563956</v>
      </c>
      <c r="N203" s="32" t="n">
        <f aca="false">L203-($L$5+$L$6*M203)</f>
        <v>0.00435955859167527</v>
      </c>
      <c r="P203" s="30" t="n">
        <f aca="false">Data_Returns!A564</f>
        <v>45629</v>
      </c>
      <c r="Q203" s="31" t="n">
        <f aca="false">Data_Returns!AA564</f>
        <v>-0.000780562237940078</v>
      </c>
      <c r="R203" s="31" t="n">
        <f aca="false">Data_Returns!B564</f>
        <v>0.00746002747563956</v>
      </c>
      <c r="S203" s="32" t="n">
        <f aca="false">Q203-($Q$5+$Q$6*R203)</f>
        <v>0.00167379295504204</v>
      </c>
    </row>
    <row r="204" customFormat="false" ht="15" hidden="false" customHeight="false" outlineLevel="0" collapsed="false">
      <c r="A204" s="30" t="n">
        <f aca="false">Data_Returns!A246</f>
        <v>45160</v>
      </c>
      <c r="B204" s="31" t="n">
        <f aca="false">Data_Returns!Z246</f>
        <v>0.0136015917161467</v>
      </c>
      <c r="C204" s="31" t="n">
        <f aca="false">Data_Returns!B246</f>
        <v>0.000146955696724849</v>
      </c>
      <c r="D204" s="32" t="n">
        <f aca="false">B204-($B$5+$B$6*C204)</f>
        <v>0.0138376522063656</v>
      </c>
      <c r="F204" s="30" t="n">
        <f aca="false">Data_Returns!A246</f>
        <v>45160</v>
      </c>
      <c r="G204" s="31" t="n">
        <f aca="false">Data_Returns!AA246</f>
        <v>0.0133541303159364</v>
      </c>
      <c r="H204" s="31" t="n">
        <f aca="false">Data_Returns!B246</f>
        <v>0.000146955696724849</v>
      </c>
      <c r="I204" s="32" t="n">
        <f aca="false">G204-($G$5+$G$6*H204)</f>
        <v>0.0144228539663986</v>
      </c>
      <c r="K204" s="30" t="n">
        <f aca="false">Data_Returns!A565</f>
        <v>45630</v>
      </c>
      <c r="L204" s="31" t="n">
        <f aca="false">Data_Returns!Z565</f>
        <v>0.00308741203823571</v>
      </c>
      <c r="M204" s="31" t="n">
        <f aca="false">Data_Returns!B565</f>
        <v>0.000421144736815204</v>
      </c>
      <c r="N204" s="32" t="n">
        <f aca="false">L204-($L$5+$L$6*M204)</f>
        <v>0.00361356636058156</v>
      </c>
      <c r="P204" s="30" t="n">
        <f aca="false">Data_Returns!A565</f>
        <v>45630</v>
      </c>
      <c r="Q204" s="31" t="n">
        <f aca="false">Data_Returns!AA565</f>
        <v>0.0110255146851681</v>
      </c>
      <c r="R204" s="31" t="n">
        <f aca="false">Data_Returns!B565</f>
        <v>0.000421144736815204</v>
      </c>
      <c r="S204" s="32" t="n">
        <f aca="false">Q204-($Q$5+$Q$6*R204)</f>
        <v>0.0116356919500182</v>
      </c>
    </row>
    <row r="205" customFormat="false" ht="15" hidden="false" customHeight="false" outlineLevel="0" collapsed="false">
      <c r="A205" s="30" t="n">
        <f aca="false">Data_Returns!A247</f>
        <v>45161</v>
      </c>
      <c r="B205" s="31" t="n">
        <f aca="false">Data_Returns!Z247</f>
        <v>0.00585987436802687</v>
      </c>
      <c r="C205" s="31" t="n">
        <f aca="false">Data_Returns!B247</f>
        <v>0.00245147952331481</v>
      </c>
      <c r="D205" s="32" t="n">
        <f aca="false">B205-($B$5+$B$6*C205)</f>
        <v>0.00645858901533892</v>
      </c>
      <c r="F205" s="30" t="n">
        <f aca="false">Data_Returns!A247</f>
        <v>45161</v>
      </c>
      <c r="G205" s="31" t="n">
        <f aca="false">Data_Returns!AA247</f>
        <v>0.00769514018952973</v>
      </c>
      <c r="H205" s="31" t="n">
        <f aca="false">Data_Returns!B247</f>
        <v>0.00245147952331481</v>
      </c>
      <c r="I205" s="32" t="n">
        <f aca="false">G205-($G$5+$G$6*H205)</f>
        <v>0.00871825647689704</v>
      </c>
      <c r="K205" s="30" t="n">
        <f aca="false">Data_Returns!A566</f>
        <v>45631</v>
      </c>
      <c r="L205" s="31" t="n">
        <f aca="false">Data_Returns!Z566</f>
        <v>0.00800934446567092</v>
      </c>
      <c r="M205" s="31" t="n">
        <f aca="false">Data_Returns!B566</f>
        <v>0.00984777735317732</v>
      </c>
      <c r="N205" s="32" t="n">
        <f aca="false">L205-($L$5+$L$6*M205)</f>
        <v>0.00942176073707871</v>
      </c>
      <c r="P205" s="30" t="n">
        <f aca="false">Data_Returns!A566</f>
        <v>45631</v>
      </c>
      <c r="Q205" s="31" t="n">
        <f aca="false">Data_Returns!AA566</f>
        <v>0.0102813371938819</v>
      </c>
      <c r="R205" s="31" t="n">
        <f aca="false">Data_Returns!B566</f>
        <v>0.00984777735317732</v>
      </c>
      <c r="S205" s="32" t="n">
        <f aca="false">Q205-($Q$5+$Q$6*R205)</f>
        <v>0.0133612796832352</v>
      </c>
    </row>
    <row r="206" customFormat="false" ht="15" hidden="false" customHeight="false" outlineLevel="0" collapsed="false">
      <c r="A206" s="30" t="n">
        <f aca="false">Data_Returns!A248</f>
        <v>45162</v>
      </c>
      <c r="B206" s="31" t="n">
        <f aca="false">Data_Returns!Z248</f>
        <v>0.0059483426255717</v>
      </c>
      <c r="C206" s="31" t="n">
        <f aca="false">Data_Returns!B248</f>
        <v>-0.00294692450113143</v>
      </c>
      <c r="D206" s="32" t="n">
        <f aca="false">B206-($B$5+$B$6*C206)</f>
        <v>0.0056975309462104</v>
      </c>
      <c r="F206" s="30" t="n">
        <f aca="false">Data_Returns!A248</f>
        <v>45162</v>
      </c>
      <c r="G206" s="31" t="n">
        <f aca="false">Data_Returns!AA248</f>
        <v>0.00408342161665385</v>
      </c>
      <c r="H206" s="31" t="n">
        <f aca="false">Data_Returns!B248</f>
        <v>-0.00294692450113143</v>
      </c>
      <c r="I206" s="32" t="n">
        <f aca="false">G206-($G$5+$G$6*H206)</f>
        <v>0.00521337427934306</v>
      </c>
      <c r="K206" s="30" t="n">
        <f aca="false">Data_Returns!A567</f>
        <v>45632</v>
      </c>
      <c r="L206" s="31" t="n">
        <f aca="false">Data_Returns!Z567</f>
        <v>0.000330396361487765</v>
      </c>
      <c r="M206" s="31" t="n">
        <f aca="false">Data_Returns!B567</f>
        <v>-0.00123844522510574</v>
      </c>
      <c r="N206" s="32" t="n">
        <f aca="false">L206-($L$5+$L$6*M206)</f>
        <v>0.00070052132593303</v>
      </c>
      <c r="P206" s="30" t="n">
        <f aca="false">Data_Returns!A567</f>
        <v>45632</v>
      </c>
      <c r="Q206" s="31" t="n">
        <f aca="false">Data_Returns!AA567</f>
        <v>-0.00295453019889066</v>
      </c>
      <c r="R206" s="31" t="n">
        <f aca="false">Data_Returns!B567</f>
        <v>-0.00123844522510574</v>
      </c>
      <c r="S206" s="32" t="n">
        <f aca="false">Q206-($Q$5+$Q$6*R206)</f>
        <v>-0.00277916329970314</v>
      </c>
    </row>
    <row r="207" customFormat="false" ht="15" hidden="false" customHeight="false" outlineLevel="0" collapsed="false">
      <c r="A207" s="30" t="n">
        <f aca="false">Data_Returns!A249</f>
        <v>45163</v>
      </c>
      <c r="B207" s="31" t="n">
        <f aca="false">Data_Returns!Z249</f>
        <v>0.00385059987528887</v>
      </c>
      <c r="C207" s="31" t="n">
        <f aca="false">Data_Returns!B249</f>
        <v>-0.00623623411926744</v>
      </c>
      <c r="D207" s="32" t="n">
        <f aca="false">B207-($B$5+$B$6*C207)</f>
        <v>0.00308216204113581</v>
      </c>
      <c r="F207" s="30" t="n">
        <f aca="false">Data_Returns!A249</f>
        <v>45163</v>
      </c>
      <c r="G207" s="31" t="n">
        <f aca="false">Data_Returns!AA249</f>
        <v>0.00222150170893996</v>
      </c>
      <c r="H207" s="31" t="n">
        <f aca="false">Data_Returns!B249</f>
        <v>-0.00623623411926744</v>
      </c>
      <c r="I207" s="32" t="n">
        <f aca="false">G207-($G$5+$G$6*H207)</f>
        <v>0.00341655100302648</v>
      </c>
      <c r="K207" s="30" t="n">
        <f aca="false">Data_Returns!A568</f>
        <v>45635</v>
      </c>
      <c r="L207" s="31" t="n">
        <f aca="false">Data_Returns!Z568</f>
        <v>0.00907370154969713</v>
      </c>
      <c r="M207" s="31" t="n">
        <f aca="false">Data_Returns!B568</f>
        <v>-0.00238270834515231</v>
      </c>
      <c r="N207" s="32" t="n">
        <f aca="false">L207-($L$5+$L$6*M207)</f>
        <v>0.0093362465431937</v>
      </c>
      <c r="P207" s="30" t="n">
        <f aca="false">Data_Returns!A568</f>
        <v>45635</v>
      </c>
      <c r="Q207" s="31" t="n">
        <f aca="false">Data_Returns!AA568</f>
        <v>0.0120920944637358</v>
      </c>
      <c r="R207" s="31" t="n">
        <f aca="false">Data_Returns!B568</f>
        <v>-0.00238270834515231</v>
      </c>
      <c r="S207" s="32" t="n">
        <f aca="false">Q207-($Q$5+$Q$6*R207)</f>
        <v>0.0119676659453458</v>
      </c>
    </row>
    <row r="208" customFormat="false" ht="15" hidden="false" customHeight="false" outlineLevel="0" collapsed="false">
      <c r="A208" s="30" t="n">
        <f aca="false">Data_Returns!A250</f>
        <v>45166</v>
      </c>
      <c r="B208" s="31" t="n">
        <f aca="false">Data_Returns!Z250</f>
        <v>-0.0054490777226372</v>
      </c>
      <c r="C208" s="31" t="n">
        <f aca="false">Data_Returns!B250</f>
        <v>0.00208919432362009</v>
      </c>
      <c r="D208" s="32" t="n">
        <f aca="false">B208-($B$5+$B$6*C208)</f>
        <v>-0.00490737452046914</v>
      </c>
      <c r="F208" s="30" t="n">
        <f aca="false">Data_Returns!A250</f>
        <v>45166</v>
      </c>
      <c r="G208" s="31" t="n">
        <f aca="false">Data_Returns!AA250</f>
        <v>-0.0162667797261083</v>
      </c>
      <c r="H208" s="31" t="n">
        <f aca="false">Data_Returns!B250</f>
        <v>0.00208919432362009</v>
      </c>
      <c r="I208" s="32" t="n">
        <f aca="false">G208-($G$5+$G$6*H208)</f>
        <v>-0.0152364936831257</v>
      </c>
      <c r="K208" s="30" t="n">
        <f aca="false">Data_Returns!A569</f>
        <v>45636</v>
      </c>
      <c r="L208" s="31" t="n">
        <f aca="false">Data_Returns!Z569</f>
        <v>0.0122862133085347</v>
      </c>
      <c r="M208" s="31" t="n">
        <f aca="false">Data_Returns!B569</f>
        <v>-0.000363540355010406</v>
      </c>
      <c r="N208" s="32" t="n">
        <f aca="false">L208-($L$5+$L$6*M208)</f>
        <v>0.0127385940399088</v>
      </c>
      <c r="P208" s="30" t="n">
        <f aca="false">Data_Returns!A569</f>
        <v>45636</v>
      </c>
      <c r="Q208" s="31" t="n">
        <f aca="false">Data_Returns!AA569</f>
        <v>0.00417585029747014</v>
      </c>
      <c r="R208" s="31" t="n">
        <f aca="false">Data_Returns!B569</f>
        <v>-0.000363540355010406</v>
      </c>
      <c r="S208" s="32" t="n">
        <f aca="false">Q208-($Q$5+$Q$6*R208)</f>
        <v>0.00458044111052478</v>
      </c>
    </row>
    <row r="209" customFormat="false" ht="15" hidden="false" customHeight="false" outlineLevel="0" collapsed="false">
      <c r="A209" s="30" t="n">
        <f aca="false">Data_Returns!A251</f>
        <v>45167</v>
      </c>
      <c r="B209" s="31" t="n">
        <f aca="false">Data_Returns!Z251</f>
        <v>0.00778390761459097</v>
      </c>
      <c r="C209" s="31" t="n">
        <f aca="false">Data_Returns!B251</f>
        <v>0.00189577878437075</v>
      </c>
      <c r="D209" s="32" t="n">
        <f aca="false">B209-($B$5+$B$6*C209)</f>
        <v>0.00829517374835216</v>
      </c>
      <c r="F209" s="30" t="n">
        <f aca="false">Data_Returns!A251</f>
        <v>45167</v>
      </c>
      <c r="G209" s="31" t="n">
        <f aca="false">Data_Returns!AA251</f>
        <v>0.00328405035064779</v>
      </c>
      <c r="H209" s="31" t="n">
        <f aca="false">Data_Returns!B251</f>
        <v>0.00189577878437075</v>
      </c>
      <c r="I209" s="32" t="n">
        <f aca="false">G209-($G$5+$G$6*H209)</f>
        <v>0.00431816415736408</v>
      </c>
      <c r="K209" s="30" t="n">
        <f aca="false">Data_Returns!A570</f>
        <v>45637</v>
      </c>
      <c r="L209" s="31" t="n">
        <f aca="false">Data_Returns!Z570</f>
        <v>0.00633868044474174</v>
      </c>
      <c r="M209" s="31" t="n">
        <f aca="false">Data_Returns!B570</f>
        <v>0.00129012334391843</v>
      </c>
      <c r="N209" s="32" t="n">
        <f aca="false">L209-($L$5+$L$6*M209)</f>
        <v>0.00694653336566113</v>
      </c>
      <c r="P209" s="30" t="n">
        <f aca="false">Data_Returns!A570</f>
        <v>45637</v>
      </c>
      <c r="Q209" s="31" t="n">
        <f aca="false">Data_Returns!AA570</f>
        <v>0.0164656868057447</v>
      </c>
      <c r="R209" s="31" t="n">
        <f aca="false">Data_Returns!B570</f>
        <v>0.00129012334391843</v>
      </c>
      <c r="S209" s="32" t="n">
        <f aca="false">Q209-($Q$5+$Q$6*R209)</f>
        <v>0.0173035353114295</v>
      </c>
    </row>
    <row r="210" customFormat="false" ht="15" hidden="false" customHeight="false" outlineLevel="0" collapsed="false">
      <c r="A210" s="30" t="n">
        <f aca="false">Data_Returns!A252</f>
        <v>45168</v>
      </c>
      <c r="B210" s="31" t="n">
        <f aca="false">Data_Returns!Z252</f>
        <v>0.00144687653950771</v>
      </c>
      <c r="C210" s="31" t="n">
        <f aca="false">Data_Returns!B252</f>
        <v>0.000248156276414946</v>
      </c>
      <c r="D210" s="32" t="n">
        <f aca="false">B210-($B$5+$B$6*C210)</f>
        <v>0.0016988625803767</v>
      </c>
      <c r="F210" s="30" t="n">
        <f aca="false">Data_Returns!A252</f>
        <v>45168</v>
      </c>
      <c r="G210" s="31" t="n">
        <f aca="false">Data_Returns!AA252</f>
        <v>-0.00466529025074745</v>
      </c>
      <c r="H210" s="31" t="n">
        <f aca="false">Data_Returns!B252</f>
        <v>0.000248156276414946</v>
      </c>
      <c r="I210" s="32" t="n">
        <f aca="false">G210-($G$5+$G$6*H210)</f>
        <v>-0.00359856939649421</v>
      </c>
      <c r="K210" s="30" t="n">
        <f aca="false">Data_Returns!A571</f>
        <v>45638</v>
      </c>
      <c r="L210" s="31" t="n">
        <f aca="false">Data_Returns!Z571</f>
        <v>0.00158778233284576</v>
      </c>
      <c r="M210" s="31" t="n">
        <f aca="false">Data_Returns!B571</f>
        <v>-0.00377813309092678</v>
      </c>
      <c r="N210" s="32" t="n">
        <f aca="false">L210-($L$5+$L$6*M210)</f>
        <v>0.00171913393997733</v>
      </c>
      <c r="P210" s="30" t="n">
        <f aca="false">Data_Returns!A571</f>
        <v>45638</v>
      </c>
      <c r="Q210" s="31" t="n">
        <f aca="false">Data_Returns!AA571</f>
        <v>0.000446819323469331</v>
      </c>
      <c r="R210" s="31" t="n">
        <f aca="false">Data_Returns!B571</f>
        <v>-0.00377813309092678</v>
      </c>
      <c r="S210" s="32" t="n">
        <f aca="false">Q210-($Q$5+$Q$6*R210)</f>
        <v>-4.32086248320086E-005</v>
      </c>
    </row>
    <row r="211" customFormat="false" ht="15" hidden="false" customHeight="false" outlineLevel="0" collapsed="false">
      <c r="A211" s="30" t="n">
        <f aca="false">Data_Returns!A253</f>
        <v>45169</v>
      </c>
      <c r="B211" s="31" t="n">
        <f aca="false">Data_Returns!Z253</f>
        <v>-0.00330304851303965</v>
      </c>
      <c r="C211" s="31" t="n">
        <f aca="false">Data_Returns!B253</f>
        <v>-0.00484043116793176</v>
      </c>
      <c r="D211" s="32" t="n">
        <f aca="false">B211-($B$5+$B$6*C211)</f>
        <v>-0.00385183414097798</v>
      </c>
      <c r="F211" s="30" t="n">
        <f aca="false">Data_Returns!A253</f>
        <v>45169</v>
      </c>
      <c r="G211" s="31" t="n">
        <f aca="false">Data_Returns!AA253</f>
        <v>-0.00838372032835037</v>
      </c>
      <c r="H211" s="31" t="n">
        <f aca="false">Data_Returns!B253</f>
        <v>-0.00484043116793176</v>
      </c>
      <c r="I211" s="32" t="n">
        <f aca="false">G211-($G$5+$G$6*H211)</f>
        <v>-0.00721629448136211</v>
      </c>
      <c r="K211" s="30" t="n">
        <f aca="false">Data_Returns!A572</f>
        <v>45639</v>
      </c>
      <c r="L211" s="31" t="n">
        <f aca="false">Data_Returns!Z572</f>
        <v>-0.00862422585196862</v>
      </c>
      <c r="M211" s="31" t="n">
        <f aca="false">Data_Returns!B572</f>
        <v>0.0089454838749099</v>
      </c>
      <c r="N211" s="32" t="n">
        <f aca="false">L211-($L$5+$L$6*M211)</f>
        <v>-0.00729664033712252</v>
      </c>
      <c r="P211" s="30" t="n">
        <f aca="false">Data_Returns!A572</f>
        <v>45639</v>
      </c>
      <c r="Q211" s="31" t="n">
        <f aca="false">Data_Returns!AA572</f>
        <v>-0.00417690664685803</v>
      </c>
      <c r="R211" s="31" t="n">
        <f aca="false">Data_Returns!B572</f>
        <v>0.0089454838749099</v>
      </c>
      <c r="S211" s="32" t="n">
        <f aca="false">Q211-($Q$5+$Q$6*R211)</f>
        <v>-0.00133336385033382</v>
      </c>
    </row>
    <row r="212" customFormat="false" ht="15" hidden="false" customHeight="false" outlineLevel="0" collapsed="false">
      <c r="A212" s="30" t="n">
        <f aca="false">Data_Returns!A254</f>
        <v>45170</v>
      </c>
      <c r="B212" s="31" t="n">
        <f aca="false">Data_Returns!Z254</f>
        <v>-0.0110965730899734</v>
      </c>
      <c r="C212" s="31" t="n">
        <f aca="false">Data_Returns!B254</f>
        <v>0.00942671057141964</v>
      </c>
      <c r="D212" s="32" t="n">
        <f aca="false">B212-($B$5+$B$6*C212)</f>
        <v>-0.00940019283942738</v>
      </c>
      <c r="F212" s="30" t="n">
        <f aca="false">Data_Returns!A254</f>
        <v>45170</v>
      </c>
      <c r="G212" s="31" t="n">
        <f aca="false">Data_Returns!AA254</f>
        <v>0.000418575513791672</v>
      </c>
      <c r="H212" s="31" t="n">
        <f aca="false">Data_Returns!B254</f>
        <v>0.00942671057141964</v>
      </c>
      <c r="I212" s="32" t="n">
        <f aca="false">G212-($G$5+$G$6*H212)</f>
        <v>0.00130364944663388</v>
      </c>
      <c r="K212" s="30" t="n">
        <f aca="false">Data_Returns!A573</f>
        <v>45642</v>
      </c>
      <c r="L212" s="31" t="n">
        <f aca="false">Data_Returns!Z573</f>
        <v>-0.00127294567500829</v>
      </c>
      <c r="M212" s="31" t="n">
        <f aca="false">Data_Returns!B573</f>
        <v>-0.00403943750681313</v>
      </c>
      <c r="N212" s="32" t="n">
        <f aca="false">L212-($L$5+$L$6*M212)</f>
        <v>-0.00116616107609129</v>
      </c>
      <c r="P212" s="30" t="n">
        <f aca="false">Data_Returns!A573</f>
        <v>45642</v>
      </c>
      <c r="Q212" s="31" t="n">
        <f aca="false">Data_Returns!AA573</f>
        <v>-0.000307401018095288</v>
      </c>
      <c r="R212" s="31" t="n">
        <f aca="false">Data_Returns!B573</f>
        <v>-0.00403943750681313</v>
      </c>
      <c r="S212" s="32" t="n">
        <f aca="false">Q212-($Q$5+$Q$6*R212)</f>
        <v>-0.000865890376279628</v>
      </c>
    </row>
    <row r="213" customFormat="false" ht="15" hidden="false" customHeight="false" outlineLevel="0" collapsed="false">
      <c r="A213" s="30" t="n">
        <f aca="false">Data_Returns!A255</f>
        <v>45173</v>
      </c>
      <c r="B213" s="31" t="n">
        <f aca="false">Data_Returns!Z255</f>
        <v>-0.0100168965505116</v>
      </c>
      <c r="C213" s="31" t="n">
        <f aca="false">Data_Returns!B255</f>
        <v>0.00481083389502612</v>
      </c>
      <c r="D213" s="32" t="n">
        <f aca="false">B213-($B$5+$B$6*C213)</f>
        <v>-0.00904689927158392</v>
      </c>
      <c r="F213" s="30" t="n">
        <f aca="false">Data_Returns!A255</f>
        <v>45173</v>
      </c>
      <c r="G213" s="31" t="n">
        <f aca="false">Data_Returns!AA255</f>
        <v>-0.0149907629808948</v>
      </c>
      <c r="H213" s="31" t="n">
        <f aca="false">Data_Returns!B255</f>
        <v>0.00481083389502612</v>
      </c>
      <c r="I213" s="32" t="n">
        <f aca="false">G213-($G$5+$G$6*H213)</f>
        <v>-0.0140143391730144</v>
      </c>
      <c r="K213" s="30" t="n">
        <f aca="false">Data_Returns!A574</f>
        <v>45643</v>
      </c>
      <c r="L213" s="31" t="n">
        <f aca="false">Data_Returns!Z574</f>
        <v>0.00201498621313705</v>
      </c>
      <c r="M213" s="31" t="n">
        <f aca="false">Data_Returns!B574</f>
        <v>-0.0134687300477334</v>
      </c>
      <c r="N213" s="32" t="n">
        <f aca="false">L213-($L$5+$L$6*M213)</f>
        <v>0.00123525878536426</v>
      </c>
      <c r="P213" s="30" t="n">
        <f aca="false">Data_Returns!A574</f>
        <v>45643</v>
      </c>
      <c r="Q213" s="31" t="n">
        <f aca="false">Data_Returns!AA574</f>
        <v>0.00985012604360414</v>
      </c>
      <c r="R213" s="31" t="n">
        <f aca="false">Data_Returns!B574</f>
        <v>-0.0134687300477334</v>
      </c>
      <c r="S213" s="32" t="n">
        <f aca="false">Q213-($Q$5+$Q$6*R213)</f>
        <v>0.00682117456421536</v>
      </c>
    </row>
    <row r="214" customFormat="false" ht="15" hidden="false" customHeight="false" outlineLevel="0" collapsed="false">
      <c r="A214" s="30" t="n">
        <f aca="false">Data_Returns!A256</f>
        <v>45174</v>
      </c>
      <c r="B214" s="31" t="n">
        <f aca="false">Data_Returns!Z256</f>
        <v>-0.00437749480240976</v>
      </c>
      <c r="C214" s="31" t="n">
        <f aca="false">Data_Returns!B256</f>
        <v>0.00236061611568572</v>
      </c>
      <c r="D214" s="32" t="n">
        <f aca="false">B214-($B$5+$B$6*C214)</f>
        <v>-0.00379307898426326</v>
      </c>
      <c r="F214" s="30" t="n">
        <f aca="false">Data_Returns!A256</f>
        <v>45174</v>
      </c>
      <c r="G214" s="31" t="n">
        <f aca="false">Data_Returns!AA256</f>
        <v>-0.00258787041652547</v>
      </c>
      <c r="H214" s="31" t="n">
        <f aca="false">Data_Returns!B256</f>
        <v>0.00236061611568572</v>
      </c>
      <c r="I214" s="32" t="n">
        <f aca="false">G214-($G$5+$G$6*H214)</f>
        <v>-0.0015629559093368</v>
      </c>
      <c r="K214" s="30" t="n">
        <f aca="false">Data_Returns!A575</f>
        <v>45644</v>
      </c>
      <c r="L214" s="31" t="n">
        <f aca="false">Data_Returns!Z575</f>
        <v>0.00583100059170912</v>
      </c>
      <c r="M214" s="31" t="n">
        <f aca="false">Data_Returns!B575</f>
        <v>-0.0056356837606838</v>
      </c>
      <c r="N214" s="32" t="n">
        <f aca="false">L214-($L$5+$L$6*M214)</f>
        <v>0.005787711206234</v>
      </c>
      <c r="P214" s="30" t="n">
        <f aca="false">Data_Returns!A575</f>
        <v>45644</v>
      </c>
      <c r="Q214" s="31" t="n">
        <f aca="false">Data_Returns!AA575</f>
        <v>-0.00365612934794202</v>
      </c>
      <c r="R214" s="31" t="n">
        <f aca="false">Data_Returns!B575</f>
        <v>-0.0056356837606838</v>
      </c>
      <c r="S214" s="32" t="n">
        <f aca="false">Q214-($Q$5+$Q$6*R214)</f>
        <v>-0.00463283310441642</v>
      </c>
    </row>
    <row r="215" customFormat="false" ht="15" hidden="false" customHeight="false" outlineLevel="0" collapsed="false">
      <c r="A215" s="30" t="n">
        <f aca="false">Data_Returns!A257</f>
        <v>45175</v>
      </c>
      <c r="B215" s="31" t="n">
        <f aca="false">Data_Returns!Z257</f>
        <v>-0.0100365600459766</v>
      </c>
      <c r="C215" s="31" t="n">
        <f aca="false">Data_Returns!B257</f>
        <v>0.00184675272926027</v>
      </c>
      <c r="D215" s="32" t="n">
        <f aca="false">B215-($B$5+$B$6*C215)</f>
        <v>-0.00953300895620257</v>
      </c>
      <c r="F215" s="30" t="n">
        <f aca="false">Data_Returns!A257</f>
        <v>45175</v>
      </c>
      <c r="G215" s="31" t="n">
        <f aca="false">Data_Returns!AA257</f>
        <v>-0.01181018431001</v>
      </c>
      <c r="H215" s="31" t="n">
        <f aca="false">Data_Returns!B257</f>
        <v>0.00184675272926027</v>
      </c>
      <c r="I215" s="32" t="n">
        <f aca="false">G215-($G$5+$G$6*H215)</f>
        <v>-0.0107751002598661</v>
      </c>
      <c r="K215" s="30" t="n">
        <f aca="false">Data_Returns!A576</f>
        <v>45645</v>
      </c>
      <c r="L215" s="31" t="n">
        <f aca="false">Data_Returns!Z576</f>
        <v>-0.0122056456680655</v>
      </c>
      <c r="M215" s="31" t="n">
        <f aca="false">Data_Returns!B576</f>
        <v>-0.0102132952598987</v>
      </c>
      <c r="N215" s="32" t="n">
        <f aca="false">L215-($L$5+$L$6*M215)</f>
        <v>-0.0126793074945225</v>
      </c>
      <c r="P215" s="30" t="n">
        <f aca="false">Data_Returns!A576</f>
        <v>45645</v>
      </c>
      <c r="Q215" s="31" t="n">
        <f aca="false">Data_Returns!AA576</f>
        <v>-0.0172909838371649</v>
      </c>
      <c r="R215" s="31" t="n">
        <f aca="false">Data_Returns!B576</f>
        <v>-0.0102132952598987</v>
      </c>
      <c r="S215" s="32" t="n">
        <f aca="false">Q215-($Q$5+$Q$6*R215)</f>
        <v>-0.0194670157261925</v>
      </c>
    </row>
    <row r="216" customFormat="false" ht="15" hidden="false" customHeight="false" outlineLevel="0" collapsed="false">
      <c r="A216" s="30" t="n">
        <f aca="false">Data_Returns!A258</f>
        <v>45176</v>
      </c>
      <c r="B216" s="31" t="n">
        <f aca="false">Data_Returns!Z258</f>
        <v>-0.00231992061771866</v>
      </c>
      <c r="C216" s="31" t="n">
        <f aca="false">Data_Returns!B258</f>
        <v>0.00591503259641879</v>
      </c>
      <c r="D216" s="32" t="n">
        <f aca="false">B216-($B$5+$B$6*C216)</f>
        <v>-0.00117615978525487</v>
      </c>
      <c r="F216" s="30" t="n">
        <f aca="false">Data_Returns!A258</f>
        <v>45176</v>
      </c>
      <c r="G216" s="31" t="n">
        <f aca="false">Data_Returns!AA258</f>
        <v>-0.0111290073035573</v>
      </c>
      <c r="H216" s="31" t="n">
        <f aca="false">Data_Returns!B258</f>
        <v>0.00591503259641879</v>
      </c>
      <c r="I216" s="32" t="n">
        <f aca="false">G216-($G$5+$G$6*H216)</f>
        <v>-0.0101744359888133</v>
      </c>
      <c r="K216" s="30" t="n">
        <f aca="false">Data_Returns!A577</f>
        <v>45646</v>
      </c>
      <c r="L216" s="31" t="n">
        <f aca="false">Data_Returns!Z577</f>
        <v>0.00055477134756491</v>
      </c>
      <c r="M216" s="31" t="n">
        <f aca="false">Data_Returns!B577</f>
        <v>-0.0152056012725611</v>
      </c>
      <c r="N216" s="32" t="n">
        <f aca="false">L216-($L$5+$L$6*M216)</f>
        <v>-0.000388251176095412</v>
      </c>
      <c r="P216" s="30" t="n">
        <f aca="false">Data_Returns!A577</f>
        <v>45646</v>
      </c>
      <c r="Q216" s="31" t="n">
        <f aca="false">Data_Returns!AA577</f>
        <v>0.00525127486202446</v>
      </c>
      <c r="R216" s="31" t="n">
        <f aca="false">Data_Returns!B577</f>
        <v>-0.0152056012725611</v>
      </c>
      <c r="S216" s="32" t="n">
        <f aca="false">Q216-($Q$5+$Q$6*R216)</f>
        <v>0.00176726542874088</v>
      </c>
    </row>
    <row r="217" customFormat="false" ht="15" hidden="false" customHeight="false" outlineLevel="0" collapsed="false">
      <c r="A217" s="30" t="n">
        <f aca="false">Data_Returns!A259</f>
        <v>45177</v>
      </c>
      <c r="B217" s="31" t="n">
        <f aca="false">Data_Returns!Z259</f>
        <v>0.0123223075585677</v>
      </c>
      <c r="C217" s="31" t="n">
        <f aca="false">Data_Returns!B259</f>
        <v>0.00470926975903652</v>
      </c>
      <c r="D217" s="32" t="n">
        <f aca="false">B217-($B$5+$B$6*C217)</f>
        <v>0.0132763220753719</v>
      </c>
      <c r="F217" s="30" t="n">
        <f aca="false">Data_Returns!A259</f>
        <v>45177</v>
      </c>
      <c r="G217" s="31" t="n">
        <f aca="false">Data_Returns!AA259</f>
        <v>0.00417284990049521</v>
      </c>
      <c r="H217" s="31" t="n">
        <f aca="false">Data_Returns!B259</f>
        <v>0.00470926975903652</v>
      </c>
      <c r="I217" s="32" t="n">
        <f aca="false">G217-($G$5+$G$6*H217)</f>
        <v>0.0051512836994957</v>
      </c>
      <c r="K217" s="30" t="n">
        <f aca="false">Data_Returns!A578</f>
        <v>45649</v>
      </c>
      <c r="L217" s="31" t="n">
        <f aca="false">Data_Returns!Z578</f>
        <v>0.00610451112922115</v>
      </c>
      <c r="M217" s="31" t="n">
        <f aca="false">Data_Returns!B578</f>
        <v>0.00703550609432968</v>
      </c>
      <c r="N217" s="32" t="n">
        <f aca="false">L217-($L$5+$L$6*M217)</f>
        <v>0.00725252662162425</v>
      </c>
      <c r="P217" s="30" t="n">
        <f aca="false">Data_Returns!A578</f>
        <v>45649</v>
      </c>
      <c r="Q217" s="31" t="n">
        <f aca="false">Data_Returns!AA578</f>
        <v>0.0121904508330184</v>
      </c>
      <c r="R217" s="31" t="n">
        <f aca="false">Data_Returns!B578</f>
        <v>0.00703550609432968</v>
      </c>
      <c r="S217" s="32" t="n">
        <f aca="false">Q217-($Q$5+$Q$6*R217)</f>
        <v>0.0145335819879705</v>
      </c>
    </row>
    <row r="218" customFormat="false" ht="15" hidden="false" customHeight="false" outlineLevel="0" collapsed="false">
      <c r="A218" s="30" t="n">
        <f aca="false">Data_Returns!A260</f>
        <v>45180</v>
      </c>
      <c r="B218" s="31" t="n">
        <f aca="false">Data_Returns!Z260</f>
        <v>-0.000501335081280941</v>
      </c>
      <c r="C218" s="31" t="n">
        <f aca="false">Data_Returns!B260</f>
        <v>0.00890012336055324</v>
      </c>
      <c r="D218" s="32" t="n">
        <f aca="false">B218-($B$5+$B$6*C218)</f>
        <v>0.00111217814099251</v>
      </c>
      <c r="F218" s="30" t="n">
        <f aca="false">Data_Returns!A260</f>
        <v>45180</v>
      </c>
      <c r="G218" s="31" t="n">
        <f aca="false">Data_Returns!AA260</f>
        <v>0.000964009009785771</v>
      </c>
      <c r="H218" s="31" t="n">
        <f aca="false">Data_Returns!B260</f>
        <v>0.00890012336055324</v>
      </c>
      <c r="I218" s="32" t="n">
        <f aca="false">G218-($G$5+$G$6*H218)</f>
        <v>0.00185950429468779</v>
      </c>
      <c r="K218" s="30" t="n">
        <f aca="false">Data_Returns!A579</f>
        <v>45650</v>
      </c>
      <c r="L218" s="31" t="n">
        <f aca="false">Data_Returns!Z579</f>
        <v>0.000775246224916604</v>
      </c>
      <c r="M218" s="31" t="n">
        <f aca="false">Data_Returns!B579</f>
        <v>-0.00108615801073109</v>
      </c>
      <c r="N218" s="32" t="n">
        <f aca="false">L218-($L$5+$L$6*M218)</f>
        <v>0.00115968874780736</v>
      </c>
      <c r="P218" s="30" t="n">
        <f aca="false">Data_Returns!A579</f>
        <v>45650</v>
      </c>
      <c r="Q218" s="31" t="n">
        <f aca="false">Data_Returns!AA579</f>
        <v>0.00266802746031356</v>
      </c>
      <c r="R218" s="31" t="n">
        <f aca="false">Data_Returns!B579</f>
        <v>-0.00108615801073109</v>
      </c>
      <c r="S218" s="32" t="n">
        <f aca="false">Q218-($Q$5+$Q$6*R218)</f>
        <v>0.00288329340739079</v>
      </c>
    </row>
    <row r="219" customFormat="false" ht="15" hidden="false" customHeight="false" outlineLevel="0" collapsed="false">
      <c r="A219" s="30" t="n">
        <f aca="false">Data_Returns!A261</f>
        <v>45181</v>
      </c>
      <c r="B219" s="31" t="n">
        <f aca="false">Data_Returns!Z261</f>
        <v>-0.000623595905772573</v>
      </c>
      <c r="C219" s="31" t="n">
        <f aca="false">Data_Returns!B261</f>
        <v>-0.000157528748996549</v>
      </c>
      <c r="D219" s="32" t="n">
        <f aca="false">B219-($B$5+$B$6*C219)</f>
        <v>-0.0004354509756955</v>
      </c>
      <c r="F219" s="30" t="n">
        <f aca="false">Data_Returns!A261</f>
        <v>45181</v>
      </c>
      <c r="G219" s="31" t="n">
        <f aca="false">Data_Returns!AA261</f>
        <v>0.0111873026027021</v>
      </c>
      <c r="H219" s="31" t="n">
        <f aca="false">Data_Returns!B261</f>
        <v>-0.000157528748996549</v>
      </c>
      <c r="I219" s="32" t="n">
        <f aca="false">G219-($G$5+$G$6*H219)</f>
        <v>0.0122620521108762</v>
      </c>
      <c r="K219" s="30" t="n">
        <f aca="false">Data_Returns!A580</f>
        <v>45652</v>
      </c>
      <c r="L219" s="31" t="n">
        <f aca="false">Data_Returns!Z580</f>
        <v>-0.00101990504219536</v>
      </c>
      <c r="M219" s="31" t="n">
        <f aca="false">Data_Returns!B580</f>
        <v>0.000950368030546711</v>
      </c>
      <c r="N219" s="32" t="n">
        <f aca="false">L219-($L$5+$L$6*M219)</f>
        <v>-0.000443994832792094</v>
      </c>
      <c r="P219" s="30" t="n">
        <f aca="false">Data_Returns!A580</f>
        <v>45652</v>
      </c>
      <c r="Q219" s="31" t="n">
        <f aca="false">Data_Returns!AA580</f>
        <v>-0.00989886939761597</v>
      </c>
      <c r="R219" s="31" t="n">
        <f aca="false">Data_Returns!B580</f>
        <v>0.000950368030546711</v>
      </c>
      <c r="S219" s="32" t="n">
        <f aca="false">Q219-($Q$5+$Q$6*R219)</f>
        <v>-0.00915003633275239</v>
      </c>
    </row>
    <row r="220" customFormat="false" ht="15" hidden="false" customHeight="false" outlineLevel="0" collapsed="false">
      <c r="A220" s="30" t="n">
        <f aca="false">Data_Returns!A262</f>
        <v>45182</v>
      </c>
      <c r="B220" s="31" t="n">
        <f aca="false">Data_Returns!Z262</f>
        <v>-0.00604232931154711</v>
      </c>
      <c r="C220" s="31" t="n">
        <f aca="false">Data_Returns!B262</f>
        <v>0.00384130604405497</v>
      </c>
      <c r="D220" s="32" t="n">
        <f aca="false">B220-($B$5+$B$6*C220)</f>
        <v>-0.00522490294619193</v>
      </c>
      <c r="F220" s="30" t="n">
        <f aca="false">Data_Returns!A262</f>
        <v>45182</v>
      </c>
      <c r="G220" s="31" t="n">
        <f aca="false">Data_Returns!AA262</f>
        <v>-0.0123394533025467</v>
      </c>
      <c r="H220" s="31" t="n">
        <f aca="false">Data_Returns!B262</f>
        <v>0.00384130604405497</v>
      </c>
      <c r="I220" s="32" t="n">
        <f aca="false">G220-($G$5+$G$6*H220)</f>
        <v>-0.0113438421865467</v>
      </c>
      <c r="K220" s="30" t="n">
        <f aca="false">Data_Returns!A581</f>
        <v>45653</v>
      </c>
      <c r="L220" s="31" t="n">
        <f aca="false">Data_Returns!Z581</f>
        <v>-0.000385162498080934</v>
      </c>
      <c r="M220" s="31" t="n">
        <f aca="false">Data_Returns!B581</f>
        <v>0.00266103022290332</v>
      </c>
      <c r="N220" s="32" t="n">
        <f aca="false">L220-($L$5+$L$6*M220)</f>
        <v>0.000351578717524166</v>
      </c>
      <c r="P220" s="30" t="n">
        <f aca="false">Data_Returns!A581</f>
        <v>45653</v>
      </c>
      <c r="Q220" s="31" t="n">
        <f aca="false">Data_Returns!AA581</f>
        <v>-0.00867434690985103</v>
      </c>
      <c r="R220" s="31" t="n">
        <f aca="false">Data_Returns!B581</f>
        <v>0.00266103022290332</v>
      </c>
      <c r="S220" s="32" t="n">
        <f aca="false">Q220-($Q$5+$Q$6*R220)</f>
        <v>-0.00747732262278775</v>
      </c>
    </row>
    <row r="221" customFormat="false" ht="15" hidden="false" customHeight="false" outlineLevel="0" collapsed="false">
      <c r="A221" s="30" t="n">
        <f aca="false">Data_Returns!A263</f>
        <v>45183</v>
      </c>
      <c r="B221" s="31" t="n">
        <f aca="false">Data_Returns!Z263</f>
        <v>-0.0112638290834804</v>
      </c>
      <c r="C221" s="31" t="n">
        <f aca="false">Data_Returns!B263</f>
        <v>0.00164922770303932</v>
      </c>
      <c r="D221" s="32" t="n">
        <f aca="false">B221-($B$5+$B$6*C221)</f>
        <v>-0.0107913617564614</v>
      </c>
      <c r="F221" s="30" t="n">
        <f aca="false">Data_Returns!A263</f>
        <v>45183</v>
      </c>
      <c r="G221" s="31" t="n">
        <f aca="false">Data_Returns!AA263</f>
        <v>-0.0187684141788675</v>
      </c>
      <c r="H221" s="31" t="n">
        <f aca="false">Data_Returns!B263</f>
        <v>0.00164922770303932</v>
      </c>
      <c r="I221" s="32" t="n">
        <f aca="false">G221-($G$5+$G$6*H221)</f>
        <v>-0.017729421036751</v>
      </c>
      <c r="K221" s="30" t="n">
        <f aca="false">Data_Returns!A582</f>
        <v>45656</v>
      </c>
      <c r="L221" s="31" t="n">
        <f aca="false">Data_Returns!Z582</f>
        <v>-0.0035358716986712</v>
      </c>
      <c r="M221" s="31" t="n">
        <f aca="false">Data_Returns!B582</f>
        <v>-0.00707584805193717</v>
      </c>
      <c r="N221" s="32" t="n">
        <f aca="false">L221-($L$5+$L$6*M221)</f>
        <v>-0.00371456073995981</v>
      </c>
      <c r="P221" s="30" t="n">
        <f aca="false">Data_Returns!A582</f>
        <v>45656</v>
      </c>
      <c r="Q221" s="31" t="n">
        <f aca="false">Data_Returns!AA582</f>
        <v>-0.0150751727465741</v>
      </c>
      <c r="R221" s="31" t="n">
        <f aca="false">Data_Returns!B582</f>
        <v>-0.00707584805193717</v>
      </c>
      <c r="S221" s="32" t="n">
        <f aca="false">Q221-($Q$5+$Q$6*R221)</f>
        <v>-0.0164291976344497</v>
      </c>
    </row>
    <row r="222" customFormat="false" ht="15" hidden="false" customHeight="false" outlineLevel="0" collapsed="false">
      <c r="A222" s="30" t="n">
        <f aca="false">Data_Returns!A264</f>
        <v>45184</v>
      </c>
      <c r="B222" s="31" t="n">
        <f aca="false">Data_Returns!Z264</f>
        <v>0.00183935179365146</v>
      </c>
      <c r="C222" s="31" t="n">
        <f aca="false">Data_Returns!B264</f>
        <v>0.00443961379090796</v>
      </c>
      <c r="D222" s="32" t="n">
        <f aca="false">B222-($B$5+$B$6*C222)</f>
        <v>0.00275093157547984</v>
      </c>
      <c r="F222" s="30" t="n">
        <f aca="false">Data_Returns!A264</f>
        <v>45184</v>
      </c>
      <c r="G222" s="31" t="n">
        <f aca="false">Data_Returns!AA264</f>
        <v>0.00860666886886809</v>
      </c>
      <c r="H222" s="31" t="n">
        <f aca="false">Data_Returns!B264</f>
        <v>0.00443961379090796</v>
      </c>
      <c r="I222" s="32" t="n">
        <f aca="false">G222-($G$5+$G$6*H222)</f>
        <v>0.00959043925736583</v>
      </c>
      <c r="K222" s="30" t="n">
        <f aca="false">Data_Returns!A583</f>
        <v>45657</v>
      </c>
      <c r="L222" s="31" t="n">
        <f aca="false">Data_Returns!Z583</f>
        <v>-0.00927355728506669</v>
      </c>
      <c r="M222" s="31" t="n">
        <f aca="false">Data_Returns!B583</f>
        <v>-4.22924182386097E-006</v>
      </c>
      <c r="N222" s="32" t="n">
        <f aca="false">L222-($L$5+$L$6*M222)</f>
        <v>-0.0087873952682165</v>
      </c>
      <c r="P222" s="30" t="n">
        <f aca="false">Data_Returns!A583</f>
        <v>45657</v>
      </c>
      <c r="Q222" s="31" t="n">
        <f aca="false">Data_Returns!AA583</f>
        <v>-0.0130905230818854</v>
      </c>
      <c r="R222" s="31" t="n">
        <f aca="false">Data_Returns!B583</f>
        <v>-4.22924182386097E-006</v>
      </c>
      <c r="S222" s="32" t="n">
        <f aca="false">Q222-($Q$5+$Q$6*R222)</f>
        <v>-0.0125917932344332</v>
      </c>
    </row>
    <row r="223" customFormat="false" ht="15" hidden="false" customHeight="false" outlineLevel="0" collapsed="false">
      <c r="A223" s="30" t="n">
        <f aca="false">Data_Returns!A265</f>
        <v>45187</v>
      </c>
      <c r="B223" s="31" t="n">
        <f aca="false">Data_Returns!Z265</f>
        <v>0.00220014527086655</v>
      </c>
      <c r="C223" s="31" t="n">
        <f aca="false">Data_Returns!B265</f>
        <v>-0.00292437482511942</v>
      </c>
      <c r="D223" s="32" t="n">
        <f aca="false">B223-($B$5+$B$6*C223)</f>
        <v>0.00195288214832748</v>
      </c>
      <c r="F223" s="30" t="n">
        <f aca="false">Data_Returns!A265</f>
        <v>45187</v>
      </c>
      <c r="G223" s="31" t="n">
        <f aca="false">Data_Returns!AA265</f>
        <v>0.000190805865317761</v>
      </c>
      <c r="H223" s="31" t="n">
        <f aca="false">Data_Returns!B265</f>
        <v>-0.00292437482511942</v>
      </c>
      <c r="I223" s="32" t="n">
        <f aca="false">G223-($G$5+$G$6*H223)</f>
        <v>0.00132031226173292</v>
      </c>
      <c r="K223" s="30" t="n">
        <f aca="false">Data_Returns!A584</f>
        <v>45658</v>
      </c>
      <c r="L223" s="31" t="n">
        <f aca="false">Data_Returns!Z584</f>
        <v>0.00629119904654279</v>
      </c>
      <c r="M223" s="31" t="n">
        <f aca="false">Data_Returns!B584</f>
        <v>0.00414890377588306</v>
      </c>
      <c r="N223" s="32" t="n">
        <f aca="false">L223-($L$5+$L$6*M223)</f>
        <v>0.00716782539066481</v>
      </c>
      <c r="P223" s="30" t="n">
        <f aca="false">Data_Returns!A584</f>
        <v>45658</v>
      </c>
      <c r="Q223" s="31" t="n">
        <f aca="false">Data_Returns!AA584</f>
        <v>0.00388083823065268</v>
      </c>
      <c r="R223" s="31" t="n">
        <f aca="false">Data_Returns!B584</f>
        <v>0.00414890377588306</v>
      </c>
      <c r="S223" s="32" t="n">
        <f aca="false">Q223-($Q$5+$Q$6*R223)</f>
        <v>0.00546768341231932</v>
      </c>
    </row>
    <row r="224" customFormat="false" ht="15" hidden="false" customHeight="false" outlineLevel="0" collapsed="false">
      <c r="A224" s="30" t="n">
        <f aca="false">Data_Returns!A266</f>
        <v>45189</v>
      </c>
      <c r="B224" s="31" t="n">
        <f aca="false">Data_Returns!Z266</f>
        <v>0.00921301946842244</v>
      </c>
      <c r="C224" s="31" t="n">
        <f aca="false">Data_Returns!B266</f>
        <v>-0.0115182309904486</v>
      </c>
      <c r="D224" s="32" t="n">
        <f aca="false">B224-($B$5+$B$6*C224)</f>
        <v>0.00761337385894268</v>
      </c>
      <c r="F224" s="30" t="n">
        <f aca="false">Data_Returns!A266</f>
        <v>45189</v>
      </c>
      <c r="G224" s="31" t="n">
        <f aca="false">Data_Returns!AA266</f>
        <v>-0.00104758951491374</v>
      </c>
      <c r="H224" s="31" t="n">
        <f aca="false">Data_Returns!B266</f>
        <v>-0.0115182309904486</v>
      </c>
      <c r="I224" s="32" t="n">
        <f aca="false">G224-($G$5+$G$6*H224)</f>
        <v>0.000251992414674535</v>
      </c>
      <c r="K224" s="30" t="n">
        <f aca="false">Data_Returns!A585</f>
        <v>45659</v>
      </c>
      <c r="L224" s="31" t="n">
        <f aca="false">Data_Returns!Z585</f>
        <v>0.0265403206673678</v>
      </c>
      <c r="M224" s="31" t="n">
        <f aca="false">Data_Returns!B585</f>
        <v>0.0187740335005413</v>
      </c>
      <c r="N224" s="32" t="n">
        <f aca="false">L224-($L$5+$L$6*M224)</f>
        <v>0.0287919550872857</v>
      </c>
      <c r="P224" s="30" t="n">
        <f aca="false">Data_Returns!A585</f>
        <v>45659</v>
      </c>
      <c r="Q224" s="31" t="n">
        <f aca="false">Data_Returns!AA585</f>
        <v>0.0280112824138787</v>
      </c>
      <c r="R224" s="31" t="n">
        <f aca="false">Data_Returns!B585</f>
        <v>0.0187740335005413</v>
      </c>
      <c r="S224" s="32" t="n">
        <f aca="false">Q224-($Q$5+$Q$6*R224)</f>
        <v>0.0334298921574859</v>
      </c>
    </row>
    <row r="225" customFormat="false" ht="15" hidden="false" customHeight="false" outlineLevel="0" collapsed="false">
      <c r="A225" s="30" t="n">
        <f aca="false">Data_Returns!A267</f>
        <v>45190</v>
      </c>
      <c r="B225" s="31" t="n">
        <f aca="false">Data_Returns!Z267</f>
        <v>0.000626519098914032</v>
      </c>
      <c r="C225" s="31" t="n">
        <f aca="false">Data_Returns!B267</f>
        <v>-0.00799190006733208</v>
      </c>
      <c r="D225" s="32" t="n">
        <f aca="false">B225-($B$5+$B$6*C225)</f>
        <v>-0.000418201213721698</v>
      </c>
      <c r="F225" s="30" t="n">
        <f aca="false">Data_Returns!A267</f>
        <v>45190</v>
      </c>
      <c r="G225" s="31" t="n">
        <f aca="false">Data_Returns!AA267</f>
        <v>0.00729859704289473</v>
      </c>
      <c r="H225" s="31" t="n">
        <f aca="false">Data_Returns!B267</f>
        <v>-0.00799190006733208</v>
      </c>
      <c r="I225" s="32" t="n">
        <f aca="false">G225-($G$5+$G$6*H225)</f>
        <v>0.00852839160341887</v>
      </c>
      <c r="K225" s="30" t="n">
        <f aca="false">Data_Returns!A586</f>
        <v>45660</v>
      </c>
      <c r="L225" s="31" t="n">
        <f aca="false">Data_Returns!Z586</f>
        <v>0.000803892058172365</v>
      </c>
      <c r="M225" s="31" t="n">
        <f aca="false">Data_Returns!B586</f>
        <v>-0.00760273930128397</v>
      </c>
      <c r="N225" s="32" t="n">
        <f aca="false">L225-($L$5+$L$6*M225)</f>
        <v>0.000575666381205466</v>
      </c>
      <c r="P225" s="30" t="n">
        <f aca="false">Data_Returns!A586</f>
        <v>45660</v>
      </c>
      <c r="Q225" s="31" t="n">
        <f aca="false">Data_Returns!AA586</f>
        <v>0.0114916334563935</v>
      </c>
      <c r="R225" s="31" t="n">
        <f aca="false">Data_Returns!B586</f>
        <v>-0.00760273930128397</v>
      </c>
      <c r="S225" s="32" t="n">
        <f aca="false">Q225-($Q$5+$Q$6*R225)</f>
        <v>0.00999956376103563</v>
      </c>
    </row>
    <row r="226" customFormat="false" ht="15" hidden="false" customHeight="false" outlineLevel="0" collapsed="false">
      <c r="A226" s="30" t="n">
        <f aca="false">Data_Returns!A268</f>
        <v>45191</v>
      </c>
      <c r="B226" s="31" t="n">
        <f aca="false">Data_Returns!Z268</f>
        <v>-0.0170266576072596</v>
      </c>
      <c r="C226" s="31" t="n">
        <f aca="false">Data_Returns!B268</f>
        <v>-0.0034494373770092</v>
      </c>
      <c r="D226" s="32" t="n">
        <f aca="false">B226-($B$5+$B$6*C226)</f>
        <v>-0.017356547828282</v>
      </c>
      <c r="F226" s="30" t="n">
        <f aca="false">Data_Returns!A268</f>
        <v>45191</v>
      </c>
      <c r="G226" s="31" t="n">
        <f aca="false">Data_Returns!AA268</f>
        <v>-0.0133844703408221</v>
      </c>
      <c r="H226" s="31" t="n">
        <f aca="false">Data_Returns!B268</f>
        <v>-0.0034494373770092</v>
      </c>
      <c r="I226" s="32" t="n">
        <f aca="false">G226-($G$5+$G$6*H226)</f>
        <v>-0.0122445727659017</v>
      </c>
      <c r="K226" s="30" t="n">
        <f aca="false">Data_Returns!A587</f>
        <v>45663</v>
      </c>
      <c r="L226" s="31" t="n">
        <f aca="false">Data_Returns!Z587</f>
        <v>0.00884114211216621</v>
      </c>
      <c r="M226" s="31" t="n">
        <f aca="false">Data_Returns!B587</f>
        <v>-0.0161926285422677</v>
      </c>
      <c r="N226" s="32" t="n">
        <f aca="false">L226-($L$5+$L$6*M226)</f>
        <v>0.00780532243098125</v>
      </c>
      <c r="P226" s="30" t="n">
        <f aca="false">Data_Returns!A587</f>
        <v>45663</v>
      </c>
      <c r="Q226" s="31" t="n">
        <f aca="false">Data_Returns!AA587</f>
        <v>0.0230770510161483</v>
      </c>
      <c r="R226" s="31" t="n">
        <f aca="false">Data_Returns!B587</f>
        <v>-0.0161926285422677</v>
      </c>
      <c r="S226" s="32" t="n">
        <f aca="false">Q226-($Q$5+$Q$6*R226)</f>
        <v>0.0193344417492268</v>
      </c>
    </row>
    <row r="227" customFormat="false" ht="15" hidden="false" customHeight="false" outlineLevel="0" collapsed="false">
      <c r="A227" s="30" t="n">
        <f aca="false">Data_Returns!A269</f>
        <v>45194</v>
      </c>
      <c r="B227" s="31" t="n">
        <f aca="false">Data_Returns!Z269</f>
        <v>0.000148082816746213</v>
      </c>
      <c r="C227" s="31" t="n">
        <f aca="false">Data_Returns!B269</f>
        <v>1.52483576247864E-005</v>
      </c>
      <c r="D227" s="32" t="n">
        <f aca="false">B227-($B$5+$B$6*C227)</f>
        <v>0.000363417023516285</v>
      </c>
      <c r="F227" s="30" t="n">
        <f aca="false">Data_Returns!A269</f>
        <v>45194</v>
      </c>
      <c r="G227" s="31" t="n">
        <f aca="false">Data_Returns!AA269</f>
        <v>0.00605872573067828</v>
      </c>
      <c r="H227" s="31" t="n">
        <f aca="false">Data_Returns!B269</f>
        <v>1.52483576247864E-005</v>
      </c>
      <c r="I227" s="32" t="n">
        <f aca="false">G227-($G$5+$G$6*H227)</f>
        <v>0.00713005591719244</v>
      </c>
      <c r="K227" s="30" t="n">
        <f aca="false">Data_Returns!A588</f>
        <v>45664</v>
      </c>
      <c r="L227" s="31" t="n">
        <f aca="false">Data_Returns!Z588</f>
        <v>0.00405756191184211</v>
      </c>
      <c r="M227" s="31" t="n">
        <f aca="false">Data_Returns!B588</f>
        <v>0.00388930409615496</v>
      </c>
      <c r="N227" s="32" t="n">
        <f aca="false">L227-($L$5+$L$6*M227)</f>
        <v>0.00490978152160892</v>
      </c>
      <c r="P227" s="30" t="n">
        <f aca="false">Data_Returns!A588</f>
        <v>45664</v>
      </c>
      <c r="Q227" s="31" t="n">
        <f aca="false">Data_Returns!AA588</f>
        <v>-0.000526219887487467</v>
      </c>
      <c r="R227" s="31" t="n">
        <f aca="false">Data_Returns!B588</f>
        <v>0.00388930409615496</v>
      </c>
      <c r="S227" s="32" t="n">
        <f aca="false">Q227-($Q$5+$Q$6*R227)</f>
        <v>0.000992610522905302</v>
      </c>
    </row>
    <row r="228" customFormat="false" ht="15" hidden="false" customHeight="false" outlineLevel="0" collapsed="false">
      <c r="A228" s="30" t="n">
        <f aca="false">Data_Returns!A270</f>
        <v>45195</v>
      </c>
      <c r="B228" s="31" t="n">
        <f aca="false">Data_Returns!Z270</f>
        <v>0.0022577245047691</v>
      </c>
      <c r="C228" s="31" t="n">
        <f aca="false">Data_Returns!B270</f>
        <v>-0.000500646774640234</v>
      </c>
      <c r="D228" s="32" t="n">
        <f aca="false">B228-($B$5+$B$6*C228)</f>
        <v>0.00239187425504479</v>
      </c>
      <c r="F228" s="30" t="n">
        <f aca="false">Data_Returns!A270</f>
        <v>45195</v>
      </c>
      <c r="G228" s="31" t="n">
        <f aca="false">Data_Returns!AA270</f>
        <v>0.00954939143499219</v>
      </c>
      <c r="H228" s="31" t="n">
        <f aca="false">Data_Returns!B270</f>
        <v>-0.000500646774640234</v>
      </c>
      <c r="I228" s="32" t="n">
        <f aca="false">G228-($G$5+$G$6*H228)</f>
        <v>0.0106309313734493</v>
      </c>
      <c r="K228" s="30" t="n">
        <f aca="false">Data_Returns!A589</f>
        <v>45665</v>
      </c>
      <c r="L228" s="31" t="n">
        <f aca="false">Data_Returns!Z589</f>
        <v>0.0310791387660917</v>
      </c>
      <c r="M228" s="31" t="n">
        <f aca="false">Data_Returns!B589</f>
        <v>-0.000799311621864418</v>
      </c>
      <c r="N228" s="32" t="n">
        <f aca="false">L228-($L$5+$L$6*M228)</f>
        <v>0.0314905496720758</v>
      </c>
      <c r="P228" s="30" t="n">
        <f aca="false">Data_Returns!A589</f>
        <v>45665</v>
      </c>
      <c r="Q228" s="31" t="n">
        <f aca="false">Data_Returns!AA589</f>
        <v>0.0179501517851822</v>
      </c>
      <c r="R228" s="31" t="n">
        <f aca="false">Data_Returns!B589</f>
        <v>-0.000799311621864418</v>
      </c>
      <c r="S228" s="32" t="n">
        <f aca="false">Q228-($Q$5+$Q$6*R228)</f>
        <v>0.018240571105137</v>
      </c>
    </row>
    <row r="229" customFormat="false" ht="15" hidden="false" customHeight="false" outlineLevel="0" collapsed="false">
      <c r="A229" s="30" t="n">
        <f aca="false">Data_Returns!A271</f>
        <v>45196</v>
      </c>
      <c r="B229" s="31" t="n">
        <f aca="false">Data_Returns!Z271</f>
        <v>0.00190322083595161</v>
      </c>
      <c r="C229" s="31" t="n">
        <f aca="false">Data_Returns!B271</f>
        <v>0.00263161909411269</v>
      </c>
      <c r="D229" s="32" t="n">
        <f aca="false">B229-($B$5+$B$6*C229)</f>
        <v>0.00253028336296579</v>
      </c>
      <c r="F229" s="30" t="n">
        <f aca="false">Data_Returns!A271</f>
        <v>45196</v>
      </c>
      <c r="G229" s="31" t="n">
        <f aca="false">Data_Returns!AA271</f>
        <v>-0.00143649822815704</v>
      </c>
      <c r="H229" s="31" t="n">
        <f aca="false">Data_Returns!B271</f>
        <v>0.00263161909411269</v>
      </c>
      <c r="I229" s="32" t="n">
        <f aca="false">G229-($G$5+$G$6*H229)</f>
        <v>-0.000416946968288404</v>
      </c>
      <c r="K229" s="30" t="n">
        <f aca="false">Data_Returns!A590</f>
        <v>45666</v>
      </c>
      <c r="L229" s="31" t="n">
        <f aca="false">Data_Returns!Z590</f>
        <v>-0.00705530685936116</v>
      </c>
      <c r="M229" s="31" t="n">
        <f aca="false">Data_Returns!B590</f>
        <v>-0.00685762771249887</v>
      </c>
      <c r="N229" s="32" t="n">
        <f aca="false">L229-($L$5+$L$6*M229)</f>
        <v>-0.00721347951996259</v>
      </c>
      <c r="P229" s="30" t="n">
        <f aca="false">Data_Returns!A590</f>
        <v>45666</v>
      </c>
      <c r="Q229" s="31" t="n">
        <f aca="false">Data_Returns!AA590</f>
        <v>-0.00962438800701515</v>
      </c>
      <c r="R229" s="31" t="n">
        <f aca="false">Data_Returns!B590</f>
        <v>-0.00685762771249887</v>
      </c>
      <c r="S229" s="32" t="n">
        <f aca="false">Q229-($Q$5+$Q$6*R229)</f>
        <v>-0.0109212394558104</v>
      </c>
    </row>
    <row r="230" customFormat="false" ht="15" hidden="false" customHeight="false" outlineLevel="0" collapsed="false">
      <c r="A230" s="30" t="n">
        <f aca="false">Data_Returns!A272</f>
        <v>45197</v>
      </c>
      <c r="B230" s="31" t="n">
        <f aca="false">Data_Returns!Z272</f>
        <v>-0.00547547936594584</v>
      </c>
      <c r="C230" s="31" t="n">
        <f aca="false">Data_Returns!B272</f>
        <v>-0.00978370852765087</v>
      </c>
      <c r="D230" s="32" t="n">
        <f aca="false">B230-($B$5+$B$6*C230)</f>
        <v>-0.00680216976687132</v>
      </c>
      <c r="F230" s="30" t="n">
        <f aca="false">Data_Returns!A272</f>
        <v>45197</v>
      </c>
      <c r="G230" s="31" t="n">
        <f aca="false">Data_Returns!AA272</f>
        <v>-0.00719874368069469</v>
      </c>
      <c r="H230" s="31" t="n">
        <f aca="false">Data_Returns!B272</f>
        <v>-0.00978370852765087</v>
      </c>
      <c r="I230" s="32" t="n">
        <f aca="false">G230-($G$5+$G$6*H230)</f>
        <v>-0.0059334885802953</v>
      </c>
      <c r="K230" s="30" t="n">
        <f aca="false">Data_Returns!A591</f>
        <v>45667</v>
      </c>
      <c r="L230" s="31" t="n">
        <f aca="false">Data_Returns!Z591</f>
        <v>0.00217737598885999</v>
      </c>
      <c r="M230" s="31" t="n">
        <f aca="false">Data_Returns!B591</f>
        <v>-0.00403799970246321</v>
      </c>
      <c r="N230" s="32" t="n">
        <f aca="false">L230-($L$5+$L$6*M230)</f>
        <v>0.00228429576555865</v>
      </c>
      <c r="P230" s="30" t="n">
        <f aca="false">Data_Returns!A591</f>
        <v>45667</v>
      </c>
      <c r="Q230" s="31" t="n">
        <f aca="false">Data_Returns!AA591</f>
        <v>0.0110125524895135</v>
      </c>
      <c r="R230" s="31" t="n">
        <f aca="false">Data_Returns!B591</f>
        <v>-0.00403799970246321</v>
      </c>
      <c r="S230" s="32" t="n">
        <f aca="false">Q230-($Q$5+$Q$6*R230)</f>
        <v>0.0104544398341591</v>
      </c>
    </row>
    <row r="231" customFormat="false" ht="15" hidden="false" customHeight="false" outlineLevel="0" collapsed="false">
      <c r="A231" s="30" t="n">
        <f aca="false">Data_Returns!A273</f>
        <v>45198</v>
      </c>
      <c r="B231" s="31" t="n">
        <f aca="false">Data_Returns!Z273</f>
        <v>0.000715526913672078</v>
      </c>
      <c r="C231" s="31" t="n">
        <f aca="false">Data_Returns!B273</f>
        <v>0.00587751715236218</v>
      </c>
      <c r="D231" s="32" t="n">
        <f aca="false">B231-($B$5+$B$6*C231)</f>
        <v>0.00185338408326836</v>
      </c>
      <c r="F231" s="30" t="n">
        <f aca="false">Data_Returns!A273</f>
        <v>45198</v>
      </c>
      <c r="G231" s="31" t="n">
        <f aca="false">Data_Returns!AA273</f>
        <v>-0.000612217536154572</v>
      </c>
      <c r="H231" s="31" t="n">
        <f aca="false">Data_Returns!B273</f>
        <v>0.00587751715236218</v>
      </c>
      <c r="I231" s="32" t="n">
        <f aca="false">G231-($G$5+$G$6*H231)</f>
        <v>0.000343096222845765</v>
      </c>
      <c r="K231" s="30" t="n">
        <f aca="false">Data_Returns!A592</f>
        <v>45670</v>
      </c>
      <c r="L231" s="31" t="n">
        <f aca="false">Data_Returns!Z592</f>
        <v>-0.00357244758257709</v>
      </c>
      <c r="M231" s="31" t="n">
        <f aca="false">Data_Returns!B592</f>
        <v>-0.0147472419606085</v>
      </c>
      <c r="N231" s="32" t="n">
        <f aca="false">L231-($L$5+$L$6*M231)</f>
        <v>-0.00447237662485185</v>
      </c>
      <c r="P231" s="30" t="n">
        <f aca="false">Data_Returns!A592</f>
        <v>45670</v>
      </c>
      <c r="Q231" s="31" t="n">
        <f aca="false">Data_Returns!AA592</f>
        <v>0.0125443036824584</v>
      </c>
      <c r="R231" s="31" t="n">
        <f aca="false">Data_Returns!B592</f>
        <v>-0.0147472419606085</v>
      </c>
      <c r="S231" s="32" t="n">
        <f aca="false">Q231-($Q$5+$Q$6*R231)</f>
        <v>0.00918038378008778</v>
      </c>
    </row>
    <row r="232" customFormat="false" ht="15" hidden="false" customHeight="false" outlineLevel="0" collapsed="false">
      <c r="A232" s="30" t="n">
        <f aca="false">Data_Returns!A274</f>
        <v>45202</v>
      </c>
      <c r="B232" s="31" t="n">
        <f aca="false">Data_Returns!Z274</f>
        <v>-0.022999503800008</v>
      </c>
      <c r="C232" s="31" t="n">
        <f aca="false">Data_Returns!B274</f>
        <v>-0.00557838509443276</v>
      </c>
      <c r="D232" s="32" t="n">
        <f aca="false">B232-($B$5+$B$6*C232)</f>
        <v>-0.0236644184330366</v>
      </c>
      <c r="F232" s="30" t="n">
        <f aca="false">Data_Returns!A274</f>
        <v>45202</v>
      </c>
      <c r="G232" s="31" t="n">
        <f aca="false">Data_Returns!AA274</f>
        <v>-0.0213712779647668</v>
      </c>
      <c r="H232" s="31" t="n">
        <f aca="false">Data_Returns!B274</f>
        <v>-0.00557838509443276</v>
      </c>
      <c r="I232" s="32" t="n">
        <f aca="false">G232-($G$5+$G$6*H232)</f>
        <v>-0.0201892477416879</v>
      </c>
      <c r="K232" s="30" t="n">
        <f aca="false">Data_Returns!A593</f>
        <v>45671</v>
      </c>
      <c r="L232" s="31" t="n">
        <f aca="false">Data_Returns!Z593</f>
        <v>0.00212257678624597</v>
      </c>
      <c r="M232" s="31" t="n">
        <f aca="false">Data_Returns!B593</f>
        <v>0.0039028066854514</v>
      </c>
      <c r="N232" s="32" t="n">
        <f aca="false">L232-($L$5+$L$6*M232)</f>
        <v>0.00297606586641586</v>
      </c>
      <c r="P232" s="30" t="n">
        <f aca="false">Data_Returns!A593</f>
        <v>45671</v>
      </c>
      <c r="Q232" s="31" t="n">
        <f aca="false">Data_Returns!AA593</f>
        <v>-0.00240389982208507</v>
      </c>
      <c r="R232" s="31" t="n">
        <f aca="false">Data_Returns!B593</f>
        <v>0.0039028066854514</v>
      </c>
      <c r="S232" s="32" t="n">
        <f aca="false">Q232-($Q$5+$Q$6*R232)</f>
        <v>-0.000881531751231533</v>
      </c>
    </row>
    <row r="233" customFormat="false" ht="15" hidden="false" customHeight="false" outlineLevel="0" collapsed="false">
      <c r="A233" s="30" t="n">
        <f aca="false">Data_Returns!A275</f>
        <v>45203</v>
      </c>
      <c r="B233" s="31" t="n">
        <f aca="false">Data_Returns!Z275</f>
        <v>0.00150874174979589</v>
      </c>
      <c r="C233" s="31" t="n">
        <f aca="false">Data_Returns!B275</f>
        <v>-0.00474428726877052</v>
      </c>
      <c r="D233" s="32" t="n">
        <f aca="false">B233-($B$5+$B$6*C233)</f>
        <v>0.000975085921908949</v>
      </c>
      <c r="F233" s="30" t="n">
        <f aca="false">Data_Returns!A275</f>
        <v>45203</v>
      </c>
      <c r="G233" s="31" t="n">
        <f aca="false">Data_Returns!AA275</f>
        <v>0.00379435426447387</v>
      </c>
      <c r="H233" s="31" t="n">
        <f aca="false">Data_Returns!B275</f>
        <v>-0.00474428726877052</v>
      </c>
      <c r="I233" s="32" t="n">
        <f aca="false">G233-($G$5+$G$6*H233)</f>
        <v>0.00495987738879647</v>
      </c>
      <c r="K233" s="30" t="n">
        <f aca="false">Data_Returns!A594</f>
        <v>45672</v>
      </c>
      <c r="L233" s="31" t="n">
        <f aca="false">Data_Returns!Z594</f>
        <v>-0.0107010219617177</v>
      </c>
      <c r="M233" s="31" t="n">
        <f aca="false">Data_Returns!B594</f>
        <v>0.00160294787075466</v>
      </c>
      <c r="N233" s="32" t="n">
        <f aca="false">L233-($L$5+$L$6*M233)</f>
        <v>-0.0100637582759843</v>
      </c>
      <c r="P233" s="30" t="n">
        <f aca="false">Data_Returns!A594</f>
        <v>45672</v>
      </c>
      <c r="Q233" s="31" t="n">
        <f aca="false">Data_Returns!AA594</f>
        <v>-0.00645065164249925</v>
      </c>
      <c r="R233" s="31" t="n">
        <f aca="false">Data_Returns!B594</f>
        <v>0.00160294787075466</v>
      </c>
      <c r="S233" s="32" t="n">
        <f aca="false">Q233-($Q$5+$Q$6*R233)</f>
        <v>-0.00553084352629443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5" min="3" style="0" width="12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1" t="s">
        <v>335</v>
      </c>
    </row>
    <row r="2" customFormat="false" ht="15" hidden="false" customHeight="false" outlineLevel="0" collapsed="false">
      <c r="A2" s="2" t="s">
        <v>336</v>
      </c>
    </row>
    <row r="4" customFormat="false" ht="15" hidden="false" customHeight="false" outlineLevel="0" collapsed="false">
      <c r="A4" s="9" t="s">
        <v>337</v>
      </c>
      <c r="B4" s="10"/>
      <c r="C4" s="10"/>
      <c r="D4" s="10"/>
      <c r="E4" s="10"/>
      <c r="F4" s="10"/>
      <c r="G4" s="10"/>
      <c r="H4" s="10"/>
    </row>
    <row r="5" customFormat="false" ht="30" hidden="false" customHeight="true" outlineLevel="0" collapsed="false">
      <c r="A5" s="3" t="s">
        <v>211</v>
      </c>
      <c r="B5" s="3" t="s">
        <v>213</v>
      </c>
      <c r="C5" s="3" t="s">
        <v>338</v>
      </c>
      <c r="D5" s="3" t="s">
        <v>339</v>
      </c>
      <c r="E5" s="3" t="s">
        <v>340</v>
      </c>
      <c r="F5" s="3" t="s">
        <v>341</v>
      </c>
    </row>
    <row r="6" customFormat="false" ht="15" hidden="false" customHeight="false" outlineLevel="0" collapsed="false">
      <c r="A6" s="5" t="s">
        <v>342</v>
      </c>
      <c r="B6" s="5" t="s">
        <v>228</v>
      </c>
      <c r="C6" s="5" t="s">
        <v>343</v>
      </c>
      <c r="D6" s="20" t="n">
        <f aca="false">AVERAGEIFS(Data_Firm_COF!$E$5:$E$370,Data_Firm_COF!$A$5:$A$370,$A6,Data_Firm_COF!$F$5:$F$370,"Pre")</f>
        <v>7.09636363636364</v>
      </c>
      <c r="E6" s="20" t="n">
        <f aca="false">AVERAGEIFS(Data_Firm_COF!$E$5:$E$370,Data_Firm_COF!$A$5:$A$370,$A6,Data_Firm_COF!$F$5:$F$370,"Post")</f>
        <v>7.91333333333333</v>
      </c>
      <c r="F6" s="20" t="n">
        <f aca="false">E6-D6</f>
        <v>0.816969696969697</v>
      </c>
    </row>
    <row r="7" customFormat="false" ht="15" hidden="false" customHeight="false" outlineLevel="0" collapsed="false">
      <c r="A7" s="5" t="s">
        <v>344</v>
      </c>
      <c r="B7" s="5" t="s">
        <v>228</v>
      </c>
      <c r="C7" s="5" t="s">
        <v>343</v>
      </c>
      <c r="D7" s="20" t="n">
        <f aca="false">AVERAGEIFS(Data_Firm_COF!$E$5:$E$370,Data_Firm_COF!$A$5:$A$370,$A7,Data_Firm_COF!$F$5:$F$370,"Pre")</f>
        <v>6.31428571428572</v>
      </c>
      <c r="E7" s="20" t="n">
        <f aca="false">AVERAGEIFS(Data_Firm_COF!$E$5:$E$370,Data_Firm_COF!$A$5:$A$370,$A7,Data_Firm_COF!$F$5:$F$370,"Post")</f>
        <v>7.03333333333333</v>
      </c>
      <c r="F7" s="20" t="n">
        <f aca="false">E7-D7</f>
        <v>0.719047619047619</v>
      </c>
    </row>
    <row r="8" customFormat="false" ht="15" hidden="false" customHeight="false" outlineLevel="0" collapsed="false">
      <c r="A8" s="5" t="s">
        <v>345</v>
      </c>
      <c r="B8" s="5" t="s">
        <v>228</v>
      </c>
      <c r="C8" s="5" t="s">
        <v>343</v>
      </c>
      <c r="D8" s="20" t="n">
        <f aca="false">AVERAGEIFS(Data_Firm_COF!$E$5:$E$370,Data_Firm_COF!$A$5:$A$370,$A8,Data_Firm_COF!$F$5:$F$370,"Pre")</f>
        <v>8.87285714285714</v>
      </c>
      <c r="E8" s="20" t="n">
        <f aca="false">AVERAGEIFS(Data_Firm_COF!$E$5:$E$370,Data_Firm_COF!$A$5:$A$370,$A8,Data_Firm_COF!$F$5:$F$370,"Post")</f>
        <v>9.17833333333333</v>
      </c>
      <c r="F8" s="20" t="n">
        <f aca="false">E8-D8</f>
        <v>0.30547619047619</v>
      </c>
    </row>
    <row r="9" customFormat="false" ht="15" hidden="false" customHeight="false" outlineLevel="0" collapsed="false">
      <c r="A9" s="5" t="s">
        <v>346</v>
      </c>
      <c r="B9" s="5" t="s">
        <v>228</v>
      </c>
      <c r="C9" s="5" t="s">
        <v>343</v>
      </c>
      <c r="D9" s="20" t="n">
        <f aca="false">AVERAGEIFS(Data_Firm_COF!$E$5:$E$370,Data_Firm_COF!$A$5:$A$370,$A9,Data_Firm_COF!$F$5:$F$370,"Pre")</f>
        <v>7.26642857142857</v>
      </c>
      <c r="E9" s="20" t="n">
        <f aca="false">AVERAGEIFS(Data_Firm_COF!$E$5:$E$370,Data_Firm_COF!$A$5:$A$370,$A9,Data_Firm_COF!$F$5:$F$370,"Post")</f>
        <v>7.74333333333333</v>
      </c>
      <c r="F9" s="20" t="n">
        <f aca="false">E9-D9</f>
        <v>0.476904761904762</v>
      </c>
    </row>
    <row r="10" customFormat="false" ht="15" hidden="false" customHeight="false" outlineLevel="0" collapsed="false">
      <c r="A10" s="5" t="s">
        <v>347</v>
      </c>
      <c r="B10" s="5" t="s">
        <v>228</v>
      </c>
      <c r="C10" s="5" t="s">
        <v>343</v>
      </c>
      <c r="D10" s="20" t="n">
        <f aca="false">AVERAGEIFS(Data_Firm_COF!$E$5:$E$370,Data_Firm_COF!$A$5:$A$370,$A10,Data_Firm_COF!$F$5:$F$370,"Pre")</f>
        <v>8.57071428571429</v>
      </c>
      <c r="E10" s="20" t="n">
        <f aca="false">AVERAGEIFS(Data_Firm_COF!$E$5:$E$370,Data_Firm_COF!$A$5:$A$370,$A10,Data_Firm_COF!$F$5:$F$370,"Post")</f>
        <v>8.88833333333333</v>
      </c>
      <c r="F10" s="20" t="n">
        <f aca="false">E10-D10</f>
        <v>0.317619047619047</v>
      </c>
    </row>
    <row r="11" customFormat="false" ht="15" hidden="false" customHeight="false" outlineLevel="0" collapsed="false">
      <c r="A11" s="5" t="s">
        <v>348</v>
      </c>
      <c r="B11" s="5" t="s">
        <v>228</v>
      </c>
      <c r="C11" s="5" t="s">
        <v>343</v>
      </c>
      <c r="D11" s="20" t="n">
        <f aca="false">AVERAGEIFS(Data_Firm_COF!$E$5:$E$370,Data_Firm_COF!$A$5:$A$370,$A11,Data_Firm_COF!$F$5:$F$370,"Pre")</f>
        <v>7.80777777777778</v>
      </c>
      <c r="E11" s="20" t="n">
        <f aca="false">AVERAGEIFS(Data_Firm_COF!$E$5:$E$370,Data_Firm_COF!$A$5:$A$370,$A11,Data_Firm_COF!$F$5:$F$370,"Post")</f>
        <v>8.09166666666667</v>
      </c>
      <c r="F11" s="20" t="n">
        <f aca="false">E11-D11</f>
        <v>0.28388888888889</v>
      </c>
    </row>
    <row r="12" customFormat="false" ht="15" hidden="false" customHeight="false" outlineLevel="0" collapsed="false">
      <c r="A12" s="5" t="s">
        <v>349</v>
      </c>
      <c r="B12" s="5" t="s">
        <v>228</v>
      </c>
      <c r="C12" s="5" t="s">
        <v>343</v>
      </c>
      <c r="D12" s="20" t="n">
        <f aca="false">AVERAGEIFS(Data_Firm_COF!$E$5:$E$370,Data_Firm_COF!$A$5:$A$370,$A12,Data_Firm_COF!$F$5:$F$370,"Pre")</f>
        <v>5.96428571428571</v>
      </c>
      <c r="E12" s="20" t="n">
        <f aca="false">AVERAGEIFS(Data_Firm_COF!$E$5:$E$370,Data_Firm_COF!$A$5:$A$370,$A12,Data_Firm_COF!$F$5:$F$370,"Post")</f>
        <v>7.41666666666667</v>
      </c>
      <c r="F12" s="20" t="n">
        <f aca="false">E12-D12</f>
        <v>1.45238095238095</v>
      </c>
    </row>
    <row r="13" customFormat="false" ht="15" hidden="false" customHeight="false" outlineLevel="0" collapsed="false">
      <c r="A13" s="5" t="s">
        <v>350</v>
      </c>
      <c r="B13" s="5" t="s">
        <v>228</v>
      </c>
      <c r="C13" s="5" t="s">
        <v>343</v>
      </c>
      <c r="D13" s="20" t="n">
        <f aca="false">AVERAGEIFS(Data_Firm_COF!$E$5:$E$370,Data_Firm_COF!$A$5:$A$370,$A13,Data_Firm_COF!$F$5:$F$370,"Pre")</f>
        <v>8.42166666666667</v>
      </c>
      <c r="E13" s="20" t="n">
        <f aca="false">AVERAGEIFS(Data_Firm_COF!$E$5:$E$370,Data_Firm_COF!$A$5:$A$370,$A13,Data_Firm_COF!$F$5:$F$370,"Post")</f>
        <v>8.895</v>
      </c>
      <c r="F13" s="20" t="n">
        <f aca="false">E13-D13</f>
        <v>0.473333333333335</v>
      </c>
    </row>
    <row r="14" customFormat="false" ht="15" hidden="false" customHeight="false" outlineLevel="0" collapsed="false">
      <c r="A14" s="5" t="s">
        <v>351</v>
      </c>
      <c r="B14" s="5" t="s">
        <v>228</v>
      </c>
      <c r="C14" s="5" t="s">
        <v>352</v>
      </c>
      <c r="D14" s="20" t="n">
        <f aca="false">AVERAGEIFS(Data_Firm_COF!$E$5:$E$370,Data_Firm_COF!$A$5:$A$370,$A14,Data_Firm_COF!$F$5:$F$370,"Pre")</f>
        <v>11.4135714285714</v>
      </c>
      <c r="E14" s="20" t="n">
        <f aca="false">AVERAGEIFS(Data_Firm_COF!$E$5:$E$370,Data_Firm_COF!$A$5:$A$370,$A14,Data_Firm_COF!$F$5:$F$370,"Post")</f>
        <v>11.9433333333333</v>
      </c>
      <c r="F14" s="20" t="n">
        <f aca="false">E14-D14</f>
        <v>0.529761904761905</v>
      </c>
    </row>
    <row r="15" customFormat="false" ht="15" hidden="false" customHeight="false" outlineLevel="0" collapsed="false">
      <c r="A15" s="5" t="s">
        <v>353</v>
      </c>
      <c r="B15" s="5" t="s">
        <v>228</v>
      </c>
      <c r="C15" s="5" t="s">
        <v>352</v>
      </c>
      <c r="D15" s="20" t="n">
        <f aca="false">AVERAGEIFS(Data_Firm_COF!$E$5:$E$370,Data_Firm_COF!$A$5:$A$370,$A15,Data_Firm_COF!$F$5:$F$370,"Pre")</f>
        <v>9.38571428571429</v>
      </c>
      <c r="E15" s="20" t="n">
        <f aca="false">AVERAGEIFS(Data_Firm_COF!$E$5:$E$370,Data_Firm_COF!$A$5:$A$370,$A15,Data_Firm_COF!$F$5:$F$370,"Post")</f>
        <v>9.8</v>
      </c>
      <c r="F15" s="20" t="n">
        <f aca="false">E15-D15</f>
        <v>0.414285714285715</v>
      </c>
    </row>
    <row r="16" customFormat="false" ht="15" hidden="false" customHeight="false" outlineLevel="0" collapsed="false">
      <c r="A16" s="5" t="s">
        <v>354</v>
      </c>
      <c r="B16" s="5" t="s">
        <v>249</v>
      </c>
      <c r="C16" s="5" t="s">
        <v>343</v>
      </c>
      <c r="D16" s="20" t="n">
        <f aca="false">AVERAGEIFS(Data_Firm_COF!$E$5:$E$370,Data_Firm_COF!$A$5:$A$370,$A16,Data_Firm_COF!$F$5:$F$370,"Pre")</f>
        <v>7.40571428571429</v>
      </c>
      <c r="E16" s="20" t="n">
        <f aca="false">AVERAGEIFS(Data_Firm_COF!$E$5:$E$370,Data_Firm_COF!$A$5:$A$370,$A16,Data_Firm_COF!$F$5:$F$370,"Post")</f>
        <v>8.12166666666667</v>
      </c>
      <c r="F16" s="20" t="n">
        <f aca="false">E16-D16</f>
        <v>0.715952380952381</v>
      </c>
    </row>
    <row r="17" customFormat="false" ht="15" hidden="false" customHeight="false" outlineLevel="0" collapsed="false">
      <c r="A17" s="5" t="s">
        <v>355</v>
      </c>
      <c r="B17" s="5" t="s">
        <v>249</v>
      </c>
      <c r="C17" s="5" t="s">
        <v>343</v>
      </c>
      <c r="D17" s="20" t="n">
        <f aca="false">AVERAGEIFS(Data_Firm_COF!$E$5:$E$370,Data_Firm_COF!$A$5:$A$370,$A17,Data_Firm_COF!$F$5:$F$370,"Pre")</f>
        <v>6.43714285714286</v>
      </c>
      <c r="E17" s="20" t="n">
        <f aca="false">AVERAGEIFS(Data_Firm_COF!$E$5:$E$370,Data_Firm_COF!$A$5:$A$370,$A17,Data_Firm_COF!$F$5:$F$370,"Post")</f>
        <v>7.51333333333333</v>
      </c>
      <c r="F17" s="20" t="n">
        <f aca="false">E17-D17</f>
        <v>1.07619047619048</v>
      </c>
    </row>
    <row r="18" customFormat="false" ht="15" hidden="false" customHeight="false" outlineLevel="0" collapsed="false">
      <c r="A18" s="5" t="s">
        <v>356</v>
      </c>
      <c r="B18" s="5" t="s">
        <v>249</v>
      </c>
      <c r="C18" s="5" t="s">
        <v>343</v>
      </c>
      <c r="D18" s="20" t="n">
        <f aca="false">AVERAGEIFS(Data_Firm_COF!$E$5:$E$370,Data_Firm_COF!$A$5:$A$370,$A18,Data_Firm_COF!$F$5:$F$370,"Pre")</f>
        <v>7.59285714285714</v>
      </c>
      <c r="E18" s="20" t="n">
        <f aca="false">AVERAGEIFS(Data_Firm_COF!$E$5:$E$370,Data_Firm_COF!$A$5:$A$370,$A18,Data_Firm_COF!$F$5:$F$370,"Post")</f>
        <v>8.33333333333333</v>
      </c>
      <c r="F18" s="20" t="n">
        <f aca="false">E18-D18</f>
        <v>0.740476190476191</v>
      </c>
    </row>
    <row r="19" customFormat="false" ht="15" hidden="false" customHeight="false" outlineLevel="0" collapsed="false">
      <c r="A19" s="5" t="s">
        <v>357</v>
      </c>
      <c r="B19" s="5" t="s">
        <v>249</v>
      </c>
      <c r="C19" s="5" t="s">
        <v>343</v>
      </c>
      <c r="D19" s="20" t="n">
        <f aca="false">AVERAGEIFS(Data_Firm_COF!$E$5:$E$370,Data_Firm_COF!$A$5:$A$370,$A19,Data_Firm_COF!$F$5:$F$370,"Pre")</f>
        <v>7.18714285714286</v>
      </c>
      <c r="E19" s="20" t="n">
        <f aca="false">AVERAGEIFS(Data_Firm_COF!$E$5:$E$370,Data_Firm_COF!$A$5:$A$370,$A19,Data_Firm_COF!$F$5:$F$370,"Post")</f>
        <v>7.74333333333333</v>
      </c>
      <c r="F19" s="20" t="n">
        <f aca="false">E19-D19</f>
        <v>0.556190476190476</v>
      </c>
    </row>
    <row r="20" customFormat="false" ht="15" hidden="false" customHeight="false" outlineLevel="0" collapsed="false">
      <c r="A20" s="5" t="s">
        <v>358</v>
      </c>
      <c r="B20" s="5" t="s">
        <v>249</v>
      </c>
      <c r="C20" s="5" t="s">
        <v>343</v>
      </c>
      <c r="D20" s="20" t="n">
        <f aca="false">AVERAGEIFS(Data_Firm_COF!$E$5:$E$370,Data_Firm_COF!$A$5:$A$370,$A20,Data_Firm_COF!$F$5:$F$370,"Pre")</f>
        <v>7.59857142857143</v>
      </c>
      <c r="E20" s="20" t="n">
        <f aca="false">AVERAGEIFS(Data_Firm_COF!$E$5:$E$370,Data_Firm_COF!$A$5:$A$370,$A20,Data_Firm_COF!$F$5:$F$370,"Post")</f>
        <v>7.91333333333333</v>
      </c>
      <c r="F20" s="20" t="n">
        <f aca="false">E20-D20</f>
        <v>0.314761904761906</v>
      </c>
    </row>
    <row r="21" customFormat="false" ht="15" hidden="false" customHeight="false" outlineLevel="0" collapsed="false">
      <c r="A21" s="5" t="s">
        <v>359</v>
      </c>
      <c r="B21" s="5" t="s">
        <v>249</v>
      </c>
      <c r="C21" s="5" t="s">
        <v>343</v>
      </c>
      <c r="D21" s="20" t="n">
        <f aca="false">AVERAGEIFS(Data_Firm_COF!$E$5:$E$370,Data_Firm_COF!$A$5:$A$370,$A21,Data_Firm_COF!$F$5:$F$370,"Pre")</f>
        <v>7.57857142857143</v>
      </c>
      <c r="E21" s="20" t="n">
        <f aca="false">AVERAGEIFS(Data_Firm_COF!$E$5:$E$370,Data_Firm_COF!$A$5:$A$370,$A21,Data_Firm_COF!$F$5:$F$370,"Post")</f>
        <v>8.65</v>
      </c>
      <c r="F21" s="20" t="n">
        <f aca="false">E21-D21</f>
        <v>1.07142857142857</v>
      </c>
    </row>
    <row r="23" customFormat="false" ht="30" hidden="false" customHeight="true" outlineLevel="0" collapsed="false">
      <c r="A23" s="3" t="s">
        <v>360</v>
      </c>
      <c r="B23" s="3" t="s">
        <v>361</v>
      </c>
      <c r="C23" s="3" t="s">
        <v>362</v>
      </c>
      <c r="D23" s="3" t="s">
        <v>294</v>
      </c>
      <c r="E23" s="3" t="s">
        <v>87</v>
      </c>
      <c r="F23" s="3" t="s">
        <v>363</v>
      </c>
      <c r="G23" s="3" t="s">
        <v>88</v>
      </c>
      <c r="H23" s="3" t="s">
        <v>302</v>
      </c>
    </row>
    <row r="24" customFormat="false" ht="15" hidden="false" customHeight="false" outlineLevel="0" collapsed="false">
      <c r="A24" s="5" t="s">
        <v>364</v>
      </c>
      <c r="B24" s="7" t="n">
        <f aca="false">AVERAGE(F6:F15)</f>
        <v>0.578966810966811</v>
      </c>
      <c r="C24" s="7" t="n">
        <f aca="false">AVERAGE(F16:F21)</f>
        <v>0.745833333333334</v>
      </c>
      <c r="D24" s="7" t="n">
        <f aca="false">B24-C24</f>
        <v>-0.166866522366522</v>
      </c>
      <c r="E24" s="20" t="n">
        <f aca="false">D24/SQRT((_xlfn.VAR.S(F6:F15)/COUNT(F6:F15))+(_xlfn.VAR.S(F16:F21)/COUNT(F16:F21)))</f>
        <v>-1.01468730567183</v>
      </c>
      <c r="F24" s="17" t="n">
        <f aca="false">((_xlfn.VAR.S(F6:F15)/COUNT(F6:F15))+(_xlfn.VAR.S(F16:F21)/COUNT(F16:F21)))^2/((_xlfn.VAR.S(F6:F15)/COUNT(F6:F15))^2/(COUNT(F6:F15)-1)+(_xlfn.VAR.S(F16:F21)/COUNT(F16:F21))^2/(COUNT(F16:F21)-1))</f>
        <v>12.2257173351226</v>
      </c>
      <c r="G24" s="7" t="n">
        <f aca="false">_xlfn.T.TEST(F6:F15,F16:F21,2,3)</f>
        <v>0.329915755700638</v>
      </c>
      <c r="H24" s="16" t="n">
        <v>0.329915755700637</v>
      </c>
    </row>
    <row r="25" customFormat="false" ht="15" hidden="false" customHeight="false" outlineLevel="0" collapsed="false">
      <c r="A25" s="5" t="s">
        <v>365</v>
      </c>
      <c r="B25" s="7" t="n">
        <f aca="false">AVERAGE(F6:F13)</f>
        <v>0.605702561327562</v>
      </c>
      <c r="C25" s="7" t="n">
        <f aca="false">AVERAGE(F16:F21)</f>
        <v>0.745833333333334</v>
      </c>
      <c r="D25" s="7" t="n">
        <f aca="false">B25-C25</f>
        <v>-0.140130772005772</v>
      </c>
      <c r="E25" s="20" t="n">
        <f aca="false">D25/SQRT((_xlfn.VAR.S(F6:F13)/COUNT(F6:F13))+(_xlfn.VAR.S(F16:F21)/COUNT(F16:F21)))</f>
        <v>-0.760269313315693</v>
      </c>
      <c r="F25" s="17" t="n">
        <f aca="false">((_xlfn.VAR.S(F6:F13)/COUNT(F6:F13))+(_xlfn.VAR.S(F16:F21)/COUNT(F16:F21)))^2/((_xlfn.VAR.S(F6:F13)/COUNT(F6:F13))^2/(COUNT(F6:F13)-1)+(_xlfn.VAR.S(F16:F21)/COUNT(F16:F21))^2/(COUNT(F16:F21)-1))</f>
        <v>11.9917291814846</v>
      </c>
      <c r="G25" s="7" t="n">
        <f aca="false">_xlfn.T.TEST(F6:F13,F16:F21,2,3)</f>
        <v>0.461780459152339</v>
      </c>
      <c r="H25" s="16" t="n">
        <v>0.46178045915234</v>
      </c>
    </row>
    <row r="27" customFormat="false" ht="30" hidden="false" customHeight="true" outlineLevel="0" collapsed="false">
      <c r="A27" s="3" t="s">
        <v>366</v>
      </c>
      <c r="B27" s="3" t="s">
        <v>311</v>
      </c>
      <c r="C27" s="3" t="s">
        <v>367</v>
      </c>
      <c r="D27" s="3" t="s">
        <v>368</v>
      </c>
      <c r="E27" s="3" t="s">
        <v>369</v>
      </c>
      <c r="F27" s="3" t="s">
        <v>87</v>
      </c>
      <c r="G27" s="3" t="s">
        <v>88</v>
      </c>
      <c r="H27" s="3" t="s">
        <v>302</v>
      </c>
    </row>
    <row r="28" customFormat="false" ht="15" hidden="false" customHeight="false" outlineLevel="0" collapsed="false">
      <c r="A28" s="5" t="s">
        <v>361</v>
      </c>
      <c r="B28" s="13" t="n">
        <f aca="false">COUNT(F6:F15)</f>
        <v>10</v>
      </c>
      <c r="C28" s="7" t="n">
        <f aca="false">AVERAGE(D6:D15)</f>
        <v>8.11136652236652</v>
      </c>
      <c r="D28" s="7" t="n">
        <f aca="false">AVERAGE(E6:E15)</f>
        <v>8.69033333333333</v>
      </c>
      <c r="E28" s="7" t="n">
        <f aca="false">AVERAGE(F6:F15)</f>
        <v>0.578966810966811</v>
      </c>
      <c r="F28" s="20" t="n">
        <f aca="false">E28/(_xlfn.STDEV.S(F6:F15)/SQRT(B28))</f>
        <v>5.18903974225232</v>
      </c>
      <c r="G28" s="7" t="n">
        <f aca="false">_xlfn.T.TEST(E6:E15,D6:D15,2,1)</f>
        <v>0.000572382645787738</v>
      </c>
      <c r="H28" s="16" t="n">
        <v>0.000572382645787746</v>
      </c>
    </row>
    <row r="29" customFormat="false" ht="15" hidden="false" customHeight="false" outlineLevel="0" collapsed="false">
      <c r="A29" s="5" t="s">
        <v>362</v>
      </c>
      <c r="B29" s="13" t="n">
        <f aca="false">COUNT(F16:F21)</f>
        <v>6</v>
      </c>
      <c r="C29" s="7" t="n">
        <f aca="false">AVERAGE(D16:D21)</f>
        <v>7.3</v>
      </c>
      <c r="D29" s="7" t="n">
        <f aca="false">AVERAGE(E16:E21)</f>
        <v>8.04583333333333</v>
      </c>
      <c r="E29" s="7" t="n">
        <f aca="false">AVERAGE(F16:F21)</f>
        <v>0.745833333333334</v>
      </c>
      <c r="F29" s="20" t="n">
        <f aca="false">E29/(_xlfn.STDEV.S(F16:F21)/SQRT(B29))</f>
        <v>6.17357084369789</v>
      </c>
      <c r="G29" s="7" t="n">
        <f aca="false">_xlfn.T.TEST(E16:E21,D16:D21,2,1)</f>
        <v>0.00162434138550032</v>
      </c>
      <c r="H29" s="16" t="n">
        <v>0.00162434138550027</v>
      </c>
    </row>
    <row r="32" customFormat="false" ht="15" hidden="false" customHeight="false" outlineLevel="0" collapsed="false">
      <c r="A32" s="9" t="s">
        <v>308</v>
      </c>
      <c r="B32" s="10"/>
      <c r="C32" s="10"/>
      <c r="D32" s="10"/>
      <c r="E32" s="10"/>
      <c r="F32" s="10"/>
      <c r="G32" s="10"/>
      <c r="H32" s="10"/>
    </row>
    <row r="33" customFormat="false" ht="30" hidden="false" customHeight="true" outlineLevel="0" collapsed="false">
      <c r="A33" s="3" t="s">
        <v>211</v>
      </c>
      <c r="B33" s="3" t="s">
        <v>213</v>
      </c>
      <c r="C33" s="3" t="s">
        <v>338</v>
      </c>
      <c r="D33" s="3" t="s">
        <v>339</v>
      </c>
      <c r="E33" s="3" t="s">
        <v>340</v>
      </c>
      <c r="F33" s="3" t="s">
        <v>341</v>
      </c>
    </row>
    <row r="34" customFormat="false" ht="15" hidden="false" customHeight="false" outlineLevel="0" collapsed="false">
      <c r="A34" s="5" t="s">
        <v>342</v>
      </c>
      <c r="B34" s="5" t="s">
        <v>228</v>
      </c>
      <c r="C34" s="5" t="s">
        <v>343</v>
      </c>
      <c r="D34" s="20" t="n">
        <f aca="false">AVERAGEIFS(Data_Firm_BankShare!$E$5:$E$290,Data_Firm_BankShare!$A$5:$A$290,$A34,Data_Firm_BankShare!$F$5:$F$290,"Pre")</f>
        <v>32.0714285714286</v>
      </c>
      <c r="E34" s="20" t="n">
        <f aca="false">AVERAGEIFS(Data_Firm_BankShare!$E$5:$E$290,Data_Firm_BankShare!$A$5:$A$290,$A34,Data_Firm_BankShare!$F$5:$F$290,"Post")</f>
        <v>29.8333333333333</v>
      </c>
      <c r="F34" s="20" t="n">
        <f aca="false">E34-D34</f>
        <v>-2.23809523809524</v>
      </c>
    </row>
    <row r="35" customFormat="false" ht="15" hidden="false" customHeight="false" outlineLevel="0" collapsed="false">
      <c r="A35" s="5" t="s">
        <v>344</v>
      </c>
      <c r="B35" s="5" t="s">
        <v>228</v>
      </c>
      <c r="C35" s="5" t="s">
        <v>343</v>
      </c>
      <c r="D35" s="20" t="n">
        <f aca="false">AVERAGEIFS(Data_Firm_BankShare!$E$5:$E$290,Data_Firm_BankShare!$A$5:$A$290,$A35,Data_Firm_BankShare!$F$5:$F$290,"Pre")</f>
        <v>65.1428571428571</v>
      </c>
      <c r="E35" s="20" t="n">
        <f aca="false">AVERAGEIFS(Data_Firm_BankShare!$E$5:$E$290,Data_Firm_BankShare!$A$5:$A$290,$A35,Data_Firm_BankShare!$F$5:$F$290,"Post")</f>
        <v>58.6666666666667</v>
      </c>
      <c r="F35" s="20" t="n">
        <f aca="false">E35-D35</f>
        <v>-6.47619047619047</v>
      </c>
    </row>
    <row r="36" customFormat="false" ht="15" hidden="false" customHeight="false" outlineLevel="0" collapsed="false">
      <c r="A36" s="5" t="s">
        <v>345</v>
      </c>
      <c r="B36" s="5" t="s">
        <v>228</v>
      </c>
      <c r="C36" s="5" t="s">
        <v>343</v>
      </c>
      <c r="D36" s="20" t="n">
        <f aca="false">AVERAGEIFS(Data_Firm_BankShare!$E$5:$E$290,Data_Firm_BankShare!$A$5:$A$290,$A36,Data_Firm_BankShare!$F$5:$F$290,"Pre")</f>
        <v>36</v>
      </c>
      <c r="E36" s="20" t="n">
        <f aca="false">AVERAGEIFS(Data_Firm_BankShare!$E$5:$E$290,Data_Firm_BankShare!$A$5:$A$290,$A36,Data_Firm_BankShare!$F$5:$F$290,"Post")</f>
        <v>43</v>
      </c>
      <c r="F36" s="20" t="n">
        <f aca="false">E36-D36</f>
        <v>7</v>
      </c>
    </row>
    <row r="37" customFormat="false" ht="15" hidden="false" customHeight="false" outlineLevel="0" collapsed="false">
      <c r="A37" s="5" t="s">
        <v>346</v>
      </c>
      <c r="B37" s="5" t="s">
        <v>228</v>
      </c>
      <c r="C37" s="5" t="s">
        <v>343</v>
      </c>
      <c r="D37" s="20" t="n">
        <f aca="false">AVERAGEIFS(Data_Firm_BankShare!$E$5:$E$290,Data_Firm_BankShare!$A$5:$A$290,$A37,Data_Firm_BankShare!$F$5:$F$290,"Pre")</f>
        <v>51.7909090909091</v>
      </c>
      <c r="E37" s="20" t="n">
        <f aca="false">AVERAGEIFS(Data_Firm_BankShare!$E$5:$E$290,Data_Firm_BankShare!$A$5:$A$290,$A37,Data_Firm_BankShare!$F$5:$F$290,"Post")</f>
        <v>60.0833333333333</v>
      </c>
      <c r="F37" s="20" t="n">
        <f aca="false">E37-D37</f>
        <v>8.29242424242424</v>
      </c>
    </row>
    <row r="38" customFormat="false" ht="15" hidden="false" customHeight="false" outlineLevel="0" collapsed="false">
      <c r="A38" s="5" t="s">
        <v>347</v>
      </c>
      <c r="B38" s="5" t="s">
        <v>228</v>
      </c>
      <c r="C38" s="5" t="s">
        <v>343</v>
      </c>
      <c r="D38" s="20" t="n">
        <f aca="false">AVERAGEIFS(Data_Firm_BankShare!$E$5:$E$290,Data_Firm_BankShare!$A$5:$A$290,$A38,Data_Firm_BankShare!$F$5:$F$290,"Pre")</f>
        <v>51.4142857142857</v>
      </c>
      <c r="E38" s="20" t="n">
        <f aca="false">AVERAGEIFS(Data_Firm_BankShare!$E$5:$E$290,Data_Firm_BankShare!$A$5:$A$290,$A38,Data_Firm_BankShare!$F$5:$F$290,"Post")</f>
        <v>57.5833333333333</v>
      </c>
      <c r="F38" s="20" t="n">
        <f aca="false">E38-D38</f>
        <v>6.16904761904763</v>
      </c>
    </row>
    <row r="39" customFormat="false" ht="15" hidden="false" customHeight="false" outlineLevel="0" collapsed="false">
      <c r="A39" s="5" t="s">
        <v>349</v>
      </c>
      <c r="B39" s="5" t="s">
        <v>228</v>
      </c>
      <c r="C39" s="5" t="s">
        <v>343</v>
      </c>
      <c r="D39" s="20" t="n">
        <f aca="false">AVERAGEIFS(Data_Firm_BankShare!$E$5:$E$290,Data_Firm_BankShare!$A$5:$A$290,$A39,Data_Firm_BankShare!$F$5:$F$290,"Pre")</f>
        <v>65.4166666666667</v>
      </c>
      <c r="E39" s="20" t="n">
        <f aca="false">AVERAGEIFS(Data_Firm_BankShare!$E$5:$E$290,Data_Firm_BankShare!$A$5:$A$290,$A39,Data_Firm_BankShare!$F$5:$F$290,"Post")</f>
        <v>82.6666666666667</v>
      </c>
      <c r="F39" s="20" t="n">
        <f aca="false">E39-D39</f>
        <v>17.25</v>
      </c>
    </row>
    <row r="40" customFormat="false" ht="15" hidden="false" customHeight="false" outlineLevel="0" collapsed="false">
      <c r="A40" s="5" t="s">
        <v>350</v>
      </c>
      <c r="B40" s="5" t="s">
        <v>228</v>
      </c>
      <c r="C40" s="5" t="s">
        <v>343</v>
      </c>
      <c r="D40" s="20" t="n">
        <f aca="false">AVERAGEIFS(Data_Firm_BankShare!$E$5:$E$290,Data_Firm_BankShare!$A$5:$A$290,$A40,Data_Firm_BankShare!$F$5:$F$290,"Pre")</f>
        <v>25.8316666666667</v>
      </c>
      <c r="E40" s="20" t="n">
        <f aca="false">AVERAGEIFS(Data_Firm_BankShare!$E$5:$E$290,Data_Firm_BankShare!$A$5:$A$290,$A40,Data_Firm_BankShare!$F$5:$F$290,"Post")</f>
        <v>23.3716666666667</v>
      </c>
      <c r="F40" s="20" t="n">
        <f aca="false">E40-D40</f>
        <v>-2.46</v>
      </c>
    </row>
    <row r="41" customFormat="false" ht="15" hidden="false" customHeight="false" outlineLevel="0" collapsed="false">
      <c r="A41" s="5" t="s">
        <v>351</v>
      </c>
      <c r="B41" s="5" t="s">
        <v>228</v>
      </c>
      <c r="C41" s="5" t="s">
        <v>352</v>
      </c>
      <c r="D41" s="20" t="n">
        <f aca="false">AVERAGEIFS(Data_Firm_BankShare!$E$5:$E$290,Data_Firm_BankShare!$A$5:$A$290,$A41,Data_Firm_BankShare!$F$5:$F$290,"Pre")</f>
        <v>29.5454545454545</v>
      </c>
      <c r="E41" s="20" t="n">
        <f aca="false">AVERAGEIFS(Data_Firm_BankShare!$E$5:$E$290,Data_Firm_BankShare!$A$5:$A$290,$A41,Data_Firm_BankShare!$F$5:$F$290,"Post")</f>
        <v>36.5</v>
      </c>
      <c r="F41" s="20" t="n">
        <f aca="false">E41-D41</f>
        <v>6.95454545454545</v>
      </c>
    </row>
    <row r="42" customFormat="false" ht="15" hidden="false" customHeight="false" outlineLevel="0" collapsed="false">
      <c r="A42" s="5" t="s">
        <v>353</v>
      </c>
      <c r="B42" s="5" t="s">
        <v>228</v>
      </c>
      <c r="C42" s="5" t="s">
        <v>352</v>
      </c>
      <c r="D42" s="20" t="n">
        <f aca="false">AVERAGEIFS(Data_Firm_BankShare!$E$5:$E$290,Data_Firm_BankShare!$A$5:$A$290,$A42,Data_Firm_BankShare!$F$5:$F$290,"Pre")</f>
        <v>55.3</v>
      </c>
      <c r="E42" s="20" t="n">
        <f aca="false">AVERAGEIFS(Data_Firm_BankShare!$E$5:$E$290,Data_Firm_BankShare!$A$5:$A$290,$A42,Data_Firm_BankShare!$F$5:$F$290,"Post")</f>
        <v>56.9166666666667</v>
      </c>
      <c r="F42" s="20" t="n">
        <f aca="false">E42-D42</f>
        <v>1.61666666666666</v>
      </c>
    </row>
    <row r="43" customFormat="false" ht="15" hidden="false" customHeight="false" outlineLevel="0" collapsed="false">
      <c r="A43" s="5" t="s">
        <v>354</v>
      </c>
      <c r="B43" s="5" t="s">
        <v>249</v>
      </c>
      <c r="C43" s="5" t="s">
        <v>343</v>
      </c>
      <c r="D43" s="20" t="n">
        <f aca="false">AVERAGEIFS(Data_Firm_BankShare!$E$5:$E$290,Data_Firm_BankShare!$A$5:$A$290,$A43,Data_Firm_BankShare!$F$5:$F$290,"Pre")</f>
        <v>40.2142857142857</v>
      </c>
      <c r="E43" s="20" t="n">
        <f aca="false">AVERAGEIFS(Data_Firm_BankShare!$E$5:$E$290,Data_Firm_BankShare!$A$5:$A$290,$A43,Data_Firm_BankShare!$F$5:$F$290,"Post")</f>
        <v>49.7333333333333</v>
      </c>
      <c r="F43" s="20" t="n">
        <f aca="false">E43-D43</f>
        <v>9.51904761904761</v>
      </c>
    </row>
    <row r="44" customFormat="false" ht="15" hidden="false" customHeight="false" outlineLevel="0" collapsed="false">
      <c r="A44" s="5" t="s">
        <v>355</v>
      </c>
      <c r="B44" s="5" t="s">
        <v>249</v>
      </c>
      <c r="C44" s="5" t="s">
        <v>343</v>
      </c>
      <c r="D44" s="20" t="n">
        <f aca="false">AVERAGEIFS(Data_Firm_BankShare!$E$5:$E$290,Data_Firm_BankShare!$A$5:$A$290,$A44,Data_Firm_BankShare!$F$5:$F$290,"Pre")</f>
        <v>53.4285714285714</v>
      </c>
      <c r="E44" s="20" t="n">
        <f aca="false">AVERAGEIFS(Data_Firm_BankShare!$E$5:$E$290,Data_Firm_BankShare!$A$5:$A$290,$A44,Data_Firm_BankShare!$F$5:$F$290,"Post")</f>
        <v>57</v>
      </c>
      <c r="F44" s="20" t="n">
        <f aca="false">E44-D44</f>
        <v>3.57142857142857</v>
      </c>
    </row>
    <row r="45" customFormat="false" ht="15" hidden="false" customHeight="false" outlineLevel="0" collapsed="false">
      <c r="A45" s="5" t="s">
        <v>356</v>
      </c>
      <c r="B45" s="5" t="s">
        <v>249</v>
      </c>
      <c r="C45" s="5" t="s">
        <v>343</v>
      </c>
      <c r="D45" s="20" t="n">
        <f aca="false">AVERAGEIFS(Data_Firm_BankShare!$E$5:$E$290,Data_Firm_BankShare!$A$5:$A$290,$A45,Data_Firm_BankShare!$F$5:$F$290,"Pre")</f>
        <v>49.5454545454546</v>
      </c>
      <c r="E45" s="20" t="n">
        <f aca="false">AVERAGEIFS(Data_Firm_BankShare!$E$5:$E$290,Data_Firm_BankShare!$A$5:$A$290,$A45,Data_Firm_BankShare!$F$5:$F$290,"Post")</f>
        <v>59</v>
      </c>
      <c r="F45" s="20" t="n">
        <f aca="false">E45-D45</f>
        <v>9.45454545454545</v>
      </c>
    </row>
    <row r="46" customFormat="false" ht="15" hidden="false" customHeight="false" outlineLevel="0" collapsed="false">
      <c r="A46" s="5" t="s">
        <v>357</v>
      </c>
      <c r="B46" s="5" t="s">
        <v>249</v>
      </c>
      <c r="C46" s="5" t="s">
        <v>343</v>
      </c>
      <c r="D46" s="20" t="n">
        <f aca="false">AVERAGEIFS(Data_Firm_BankShare!$E$5:$E$290,Data_Firm_BankShare!$A$5:$A$290,$A46,Data_Firm_BankShare!$F$5:$F$290,"Pre")</f>
        <v>28.6921428571429</v>
      </c>
      <c r="E46" s="20" t="n">
        <f aca="false">AVERAGEIFS(Data_Firm_BankShare!$E$5:$E$290,Data_Firm_BankShare!$A$5:$A$290,$A46,Data_Firm_BankShare!$F$5:$F$290,"Post")</f>
        <v>33.6666666666667</v>
      </c>
      <c r="F46" s="20" t="n">
        <f aca="false">E46-D46</f>
        <v>4.97452380952381</v>
      </c>
    </row>
    <row r="47" customFormat="false" ht="15" hidden="false" customHeight="false" outlineLevel="0" collapsed="false">
      <c r="A47" s="5" t="s">
        <v>358</v>
      </c>
      <c r="B47" s="5" t="s">
        <v>249</v>
      </c>
      <c r="C47" s="5" t="s">
        <v>343</v>
      </c>
      <c r="D47" s="20" t="n">
        <f aca="false">AVERAGEIFS(Data_Firm_BankShare!$E$5:$E$290,Data_Firm_BankShare!$A$5:$A$290,$A47,Data_Firm_BankShare!$F$5:$F$290,"Pre")</f>
        <v>33.5666666666667</v>
      </c>
      <c r="E47" s="20" t="n">
        <f aca="false">AVERAGEIFS(Data_Firm_BankShare!$E$5:$E$290,Data_Firm_BankShare!$A$5:$A$290,$A47,Data_Firm_BankShare!$F$5:$F$290,"Post")</f>
        <v>38.7333333333333</v>
      </c>
      <c r="F47" s="20" t="n">
        <f aca="false">E47-D47</f>
        <v>5.16666666666666</v>
      </c>
    </row>
    <row r="48" customFormat="false" ht="15" hidden="false" customHeight="false" outlineLevel="0" collapsed="false">
      <c r="A48" s="5" t="s">
        <v>359</v>
      </c>
      <c r="B48" s="5" t="s">
        <v>249</v>
      </c>
      <c r="C48" s="5" t="s">
        <v>343</v>
      </c>
      <c r="D48" s="20" t="n">
        <f aca="false">AVERAGEIFS(Data_Firm_BankShare!$E$5:$E$290,Data_Firm_BankShare!$A$5:$A$290,$A48,Data_Firm_BankShare!$F$5:$F$290,"Pre")</f>
        <v>71.4428571428572</v>
      </c>
      <c r="E48" s="20" t="n">
        <f aca="false">AVERAGEIFS(Data_Firm_BankShare!$E$5:$E$290,Data_Firm_BankShare!$A$5:$A$290,$A48,Data_Firm_BankShare!$F$5:$F$290,"Post")</f>
        <v>80.5333333333334</v>
      </c>
      <c r="F48" s="20" t="n">
        <f aca="false">E48-D48</f>
        <v>9.0904761904762</v>
      </c>
    </row>
    <row r="50" customFormat="false" ht="30" hidden="false" customHeight="true" outlineLevel="0" collapsed="false">
      <c r="A50" s="3" t="s">
        <v>360</v>
      </c>
      <c r="B50" s="3" t="s">
        <v>361</v>
      </c>
      <c r="C50" s="3" t="s">
        <v>362</v>
      </c>
      <c r="D50" s="3" t="s">
        <v>294</v>
      </c>
      <c r="E50" s="3" t="s">
        <v>87</v>
      </c>
      <c r="F50" s="3" t="s">
        <v>363</v>
      </c>
      <c r="G50" s="3" t="s">
        <v>88</v>
      </c>
      <c r="H50" s="3" t="s">
        <v>302</v>
      </c>
    </row>
    <row r="51" customFormat="false" ht="15" hidden="false" customHeight="false" outlineLevel="0" collapsed="false">
      <c r="A51" s="5" t="s">
        <v>364</v>
      </c>
      <c r="B51" s="7" t="n">
        <f aca="false">AVERAGE(F34:F42)</f>
        <v>4.01204425204425</v>
      </c>
      <c r="C51" s="7" t="n">
        <f aca="false">AVERAGE(F43:F48)</f>
        <v>6.96278138528138</v>
      </c>
      <c r="D51" s="7" t="n">
        <f aca="false">B51-C51</f>
        <v>-2.95073713323713</v>
      </c>
      <c r="E51" s="20" t="n">
        <f aca="false">D51/SQRT((_xlfn.VAR.S(F34:F42)/COUNT(F34:F42))+(_xlfn.VAR.S(F43:F48)/COUNT(F43:F48)))</f>
        <v>-1.12109599971719</v>
      </c>
      <c r="F51" s="17" t="n">
        <f aca="false">((_xlfn.VAR.S(F34:F42)/COUNT(F34:F42))+(_xlfn.VAR.S(F43:F48)/COUNT(F43:F48)))^2/((_xlfn.VAR.S(F34:F42)/COUNT(F34:F42))^2/(COUNT(F34:F42)-1)+(_xlfn.VAR.S(F43:F48)/COUNT(F43:F48))^2/(COUNT(F43:F48)-1))</f>
        <v>10.9315055200309</v>
      </c>
      <c r="G51" s="7" t="n">
        <f aca="false">_xlfn.T.TEST(F34:F42,F43:F48,2,3)</f>
        <v>0.286271104052218</v>
      </c>
      <c r="H51" s="16" t="n">
        <v>0.286271104052219</v>
      </c>
    </row>
    <row r="52" customFormat="false" ht="15" hidden="false" customHeight="false" outlineLevel="0" collapsed="false">
      <c r="A52" s="5" t="s">
        <v>365</v>
      </c>
      <c r="B52" s="7" t="n">
        <f aca="false">AVERAGE(F34:F40)</f>
        <v>3.93388373531231</v>
      </c>
      <c r="C52" s="7" t="n">
        <f aca="false">AVERAGE(F43:F48)</f>
        <v>6.96278138528138</v>
      </c>
      <c r="D52" s="7" t="n">
        <f aca="false">B52-C52</f>
        <v>-3.02889764996908</v>
      </c>
      <c r="E52" s="20" t="n">
        <f aca="false">D52/SQRT((_xlfn.VAR.S(F34:F40)/COUNT(F34:F40))+(_xlfn.VAR.S(F43:F48)/COUNT(F43:F48)))</f>
        <v>-0.92700445628486</v>
      </c>
      <c r="F52" s="17" t="n">
        <f aca="false">((_xlfn.VAR.S(F34:F40)/COUNT(F34:F40))+(_xlfn.VAR.S(F43:F48)/COUNT(F43:F48)))^2/((_xlfn.VAR.S(F34:F40)/COUNT(F34:F40))^2/(COUNT(F34:F40)-1)+(_xlfn.VAR.S(F43:F48)/COUNT(F43:F48))^2/(COUNT(F43:F48)-1))</f>
        <v>7.46992174134604</v>
      </c>
      <c r="G52" s="7" t="n">
        <f aca="false">_xlfn.T.TEST(F34:F40,F43:F48,2,3)</f>
        <v>0.382898537972701</v>
      </c>
      <c r="H52" s="16" t="n">
        <v>0.382898537972701</v>
      </c>
    </row>
    <row r="54" customFormat="false" ht="30" hidden="false" customHeight="true" outlineLevel="0" collapsed="false">
      <c r="A54" s="3" t="s">
        <v>366</v>
      </c>
      <c r="B54" s="3" t="s">
        <v>311</v>
      </c>
      <c r="C54" s="3" t="s">
        <v>367</v>
      </c>
      <c r="D54" s="3" t="s">
        <v>368</v>
      </c>
      <c r="E54" s="3" t="s">
        <v>369</v>
      </c>
      <c r="F54" s="3" t="s">
        <v>87</v>
      </c>
      <c r="G54" s="3" t="s">
        <v>88</v>
      </c>
      <c r="H54" s="3" t="s">
        <v>302</v>
      </c>
    </row>
    <row r="55" customFormat="false" ht="15" hidden="false" customHeight="false" outlineLevel="0" collapsed="false">
      <c r="A55" s="5" t="s">
        <v>361</v>
      </c>
      <c r="B55" s="13" t="n">
        <f aca="false">COUNT(F34:F42)</f>
        <v>9</v>
      </c>
      <c r="C55" s="7" t="n">
        <f aca="false">AVERAGE(D34:D42)</f>
        <v>45.8348075998076</v>
      </c>
      <c r="D55" s="7" t="n">
        <f aca="false">AVERAGE(E34:E42)</f>
        <v>49.8468518518519</v>
      </c>
      <c r="E55" s="7" t="n">
        <f aca="false">AVERAGE(F34:F42)</f>
        <v>4.01204425204425</v>
      </c>
      <c r="F55" s="20" t="n">
        <f aca="false">E55/(_xlfn.STDEV.S(F34:F42)/SQRT(B55))</f>
        <v>1.67618456601289</v>
      </c>
      <c r="G55" s="7" t="n">
        <f aca="false">_xlfn.T.TEST(E34:E42,D34:D42,2,1)</f>
        <v>0.132228184025037</v>
      </c>
      <c r="H55" s="16" t="n">
        <v>0.132228184025037</v>
      </c>
    </row>
    <row r="56" customFormat="false" ht="15" hidden="false" customHeight="false" outlineLevel="0" collapsed="false">
      <c r="A56" s="5" t="s">
        <v>362</v>
      </c>
      <c r="B56" s="13" t="n">
        <f aca="false">COUNT(F43:F48)</f>
        <v>6</v>
      </c>
      <c r="C56" s="7" t="n">
        <f aca="false">AVERAGE(D43:D48)</f>
        <v>46.1483297258297</v>
      </c>
      <c r="D56" s="7" t="n">
        <f aca="false">AVERAGE(E43:E48)</f>
        <v>53.1111111111111</v>
      </c>
      <c r="E56" s="7" t="n">
        <f aca="false">AVERAGE(F43:F48)</f>
        <v>6.96278138528138</v>
      </c>
      <c r="F56" s="20" t="n">
        <f aca="false">E56/(_xlfn.STDEV.S(F43:F48)/SQRT(B56))</f>
        <v>6.36045608172632</v>
      </c>
      <c r="G56" s="7" t="n">
        <f aca="false">_xlfn.T.TEST(E43:E48,D43:D48,2,1)</f>
        <v>0.0014197526016392</v>
      </c>
      <c r="H56" s="16" t="n">
        <v>0.00141975260163918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9" min="2" style="0" width="11"/>
    <col collapsed="false" customWidth="true" hidden="false" outlineLevel="0" max="10" min="10" style="0" width="20"/>
    <col collapsed="false" customWidth="true" hidden="false" outlineLevel="0" max="11" min="11" style="0" width="18"/>
    <col collapsed="false" customWidth="true" hidden="false" outlineLevel="0" max="12" min="12" style="0" width="20"/>
    <col collapsed="false" customWidth="true" hidden="false" outlineLevel="0" max="13" min="13" style="0" width="9"/>
  </cols>
  <sheetData>
    <row r="1" customFormat="false" ht="15" hidden="false" customHeight="false" outlineLevel="0" collapsed="false">
      <c r="A1" s="1" t="s">
        <v>370</v>
      </c>
    </row>
    <row r="2" customFormat="false" ht="15" hidden="false" customHeight="false" outlineLevel="0" collapsed="false">
      <c r="A2" s="2" t="s">
        <v>371</v>
      </c>
    </row>
    <row r="4" customFormat="false" ht="66" hidden="false" customHeight="true" outlineLevel="0" collapsed="false">
      <c r="A4" s="3" t="s">
        <v>372</v>
      </c>
      <c r="B4" s="3" t="s">
        <v>373</v>
      </c>
      <c r="C4" s="3" t="s">
        <v>374</v>
      </c>
      <c r="D4" s="3" t="s">
        <v>375</v>
      </c>
      <c r="E4" s="3" t="s">
        <v>376</v>
      </c>
      <c r="F4" s="3" t="s">
        <v>377</v>
      </c>
      <c r="G4" s="3" t="s">
        <v>378</v>
      </c>
      <c r="H4" s="3" t="s">
        <v>379</v>
      </c>
      <c r="I4" s="3" t="s">
        <v>380</v>
      </c>
      <c r="J4" s="3" t="s">
        <v>381</v>
      </c>
      <c r="K4" s="3" t="s">
        <v>382</v>
      </c>
      <c r="L4" s="3" t="s">
        <v>383</v>
      </c>
      <c r="M4" s="3" t="s">
        <v>384</v>
      </c>
    </row>
    <row r="5" customFormat="false" ht="15" hidden="false" customHeight="false" outlineLevel="0" collapsed="false">
      <c r="A5" s="8" t="n">
        <v>44309</v>
      </c>
      <c r="B5" s="27" t="n">
        <v>1.18729640859971</v>
      </c>
      <c r="C5" s="27" t="n">
        <v>0.505181319918613</v>
      </c>
      <c r="D5" s="27" t="n">
        <v>3.48806463745426</v>
      </c>
      <c r="E5" s="27" t="n">
        <v>1.69890750044193</v>
      </c>
      <c r="F5" s="27" t="n">
        <v>0.95181225810137</v>
      </c>
      <c r="G5" s="27" t="n">
        <v>-4.37932592661969</v>
      </c>
      <c r="H5" s="27" t="n">
        <v>-0.793941705571655</v>
      </c>
      <c r="I5" s="27" t="n">
        <v>-0.694203670123983</v>
      </c>
      <c r="J5" s="7" t="n">
        <f aca="false">IF(COUNT(B5:C5)=0,"",AVERAGE(B5:C5)-AVERAGE(D5:F5))</f>
        <v>-1.20002260107335</v>
      </c>
      <c r="K5" s="7" t="n">
        <f aca="false">IF(COUNT(G5,H5)&lt;2,"",G5-H5)</f>
        <v>-3.58538422104804</v>
      </c>
      <c r="L5" s="7" t="n">
        <f aca="false">IF(COUNT(G5,I5)&lt;2,"",G5-I5)</f>
        <v>-3.68512225649571</v>
      </c>
      <c r="M5" s="13" t="n">
        <f aca="false">MONTH(A5)</f>
        <v>4</v>
      </c>
    </row>
    <row r="6" customFormat="false" ht="15" hidden="false" customHeight="false" outlineLevel="0" collapsed="false">
      <c r="A6" s="8" t="n">
        <v>44337</v>
      </c>
      <c r="B6" s="27" t="n">
        <v>-7.57537806728781</v>
      </c>
      <c r="C6" s="27" t="n">
        <v>0.0618921037188969</v>
      </c>
      <c r="D6" s="27" t="n">
        <v>-0.182487002216014</v>
      </c>
      <c r="E6" s="27" t="n">
        <v>-1.60957058430746</v>
      </c>
      <c r="F6" s="27" t="n">
        <v>-0.305731523515185</v>
      </c>
      <c r="G6" s="27" t="n">
        <v>-1.60630291095245</v>
      </c>
      <c r="H6" s="27" t="n">
        <v>-0.571813739912841</v>
      </c>
      <c r="I6" s="27" t="n">
        <v>-0.387112414779978</v>
      </c>
      <c r="J6" s="7" t="n">
        <f aca="false">IF(COUNT(B6:C6)=0,"",AVERAGE(B6:C6)-AVERAGE(D6:F6))</f>
        <v>-3.0574799451049</v>
      </c>
      <c r="K6" s="7" t="n">
        <f aca="false">IF(COUNT(G6,H6)&lt;2,"",G6-H6)</f>
        <v>-1.03448917103961</v>
      </c>
      <c r="L6" s="7" t="n">
        <f aca="false">IF(COUNT(G6,I6)&lt;2,"",G6-I6)</f>
        <v>-1.21919049617247</v>
      </c>
      <c r="M6" s="13" t="n">
        <f aca="false">MONTH(A6)</f>
        <v>5</v>
      </c>
    </row>
    <row r="7" customFormat="false" ht="15" hidden="false" customHeight="false" outlineLevel="0" collapsed="false">
      <c r="A7" s="8" t="n">
        <v>44365</v>
      </c>
      <c r="B7" s="27" t="n">
        <v>-1.09269598115134</v>
      </c>
      <c r="C7" s="27" t="n">
        <v>-0.795249489936012</v>
      </c>
      <c r="D7" s="27" t="n">
        <v>0.641524928571968</v>
      </c>
      <c r="E7" s="27" t="n">
        <v>-0.893228779936095</v>
      </c>
      <c r="F7" s="27" t="n">
        <v>0.164789511614316</v>
      </c>
      <c r="G7" s="27" t="n">
        <v>0.601715739151487</v>
      </c>
      <c r="H7" s="27" t="n">
        <v>0.971181023874124</v>
      </c>
      <c r="I7" s="27" t="n">
        <v>1.23683204920368</v>
      </c>
      <c r="J7" s="7" t="n">
        <f aca="false">IF(COUNT(B7:C7)=0,"",AVERAGE(B7:C7)-AVERAGE(D7:F7))</f>
        <v>-0.915001288960404</v>
      </c>
      <c r="K7" s="7" t="n">
        <f aca="false">IF(COUNT(G7,H7)&lt;2,"",G7-H7)</f>
        <v>-0.369465284722637</v>
      </c>
      <c r="L7" s="7" t="n">
        <f aca="false">IF(COUNT(G7,I7)&lt;2,"",G7-I7)</f>
        <v>-0.635116310052197</v>
      </c>
      <c r="M7" s="13" t="n">
        <f aca="false">MONTH(A7)</f>
        <v>6</v>
      </c>
    </row>
    <row r="8" customFormat="false" ht="15" hidden="false" customHeight="false" outlineLevel="0" collapsed="false">
      <c r="A8" s="8" t="n">
        <v>44407</v>
      </c>
      <c r="B8" s="27" t="n">
        <v>7.98257499078652</v>
      </c>
      <c r="C8" s="27" t="n">
        <v>3.30275780980269</v>
      </c>
      <c r="D8" s="27" t="n">
        <v>0.755116234700104</v>
      </c>
      <c r="E8" s="27" t="n">
        <v>1.30074069222399</v>
      </c>
      <c r="F8" s="27" t="n">
        <v>0.231311845816329</v>
      </c>
      <c r="G8" s="27" t="n">
        <v>-0.102759267364583</v>
      </c>
      <c r="H8" s="27" t="n">
        <v>-0.113364770666991</v>
      </c>
      <c r="I8" s="27" t="n">
        <v>-0.543582909672224</v>
      </c>
      <c r="J8" s="7" t="n">
        <f aca="false">IF(COUNT(B8:C8)=0,"",AVERAGE(B8:C8)-AVERAGE(D8:F8))</f>
        <v>4.88027680938113</v>
      </c>
      <c r="K8" s="7" t="n">
        <f aca="false">IF(COUNT(G8,H8)&lt;2,"",G8-H8)</f>
        <v>0.0106055033024078</v>
      </c>
      <c r="L8" s="7" t="n">
        <f aca="false">IF(COUNT(G8,I8)&lt;2,"",G8-I8)</f>
        <v>0.440823642307642</v>
      </c>
      <c r="M8" s="13" t="n">
        <f aca="false">MONTH(A8)</f>
        <v>7</v>
      </c>
    </row>
    <row r="9" customFormat="false" ht="15" hidden="false" customHeight="false" outlineLevel="0" collapsed="false">
      <c r="A9" s="8" t="n">
        <v>44435</v>
      </c>
      <c r="B9" s="27" t="n">
        <v>3.64129971635983</v>
      </c>
      <c r="C9" s="27" t="n">
        <v>1.21889199424601</v>
      </c>
      <c r="D9" s="27" t="n">
        <v>0.811147285621772</v>
      </c>
      <c r="E9" s="27" t="n">
        <v>1.06264424357399</v>
      </c>
      <c r="F9" s="27" t="n">
        <v>1.4142554314839</v>
      </c>
      <c r="G9" s="27" t="n">
        <v>-2.33596092819717</v>
      </c>
      <c r="H9" s="27" t="n">
        <v>-0.0395965234691431</v>
      </c>
      <c r="I9" s="27" t="n">
        <v>-0.0197685568892325</v>
      </c>
      <c r="J9" s="7" t="n">
        <f aca="false">IF(COUNT(B9:C9)=0,"",AVERAGE(B9:C9)-AVERAGE(D9:F9))</f>
        <v>1.33408020174303</v>
      </c>
      <c r="K9" s="7" t="n">
        <f aca="false">IF(COUNT(G9,H9)&lt;2,"",G9-H9)</f>
        <v>-2.29636440472802</v>
      </c>
      <c r="L9" s="7" t="n">
        <f aca="false">IF(COUNT(G9,I9)&lt;2,"",G9-I9)</f>
        <v>-2.31619237130793</v>
      </c>
      <c r="M9" s="13" t="n">
        <f aca="false">MONTH(A9)</f>
        <v>8</v>
      </c>
    </row>
    <row r="10" customFormat="false" ht="15" hidden="false" customHeight="false" outlineLevel="0" collapsed="false">
      <c r="A10" s="8" t="n">
        <v>44463</v>
      </c>
      <c r="B10" s="27" t="n">
        <v>0.000895886359941756</v>
      </c>
      <c r="C10" s="27" t="n">
        <v>0.81183710168915</v>
      </c>
      <c r="D10" s="27" t="n">
        <v>1.49949440317663</v>
      </c>
      <c r="E10" s="27" t="n">
        <v>0.739507580084364</v>
      </c>
      <c r="F10" s="27" t="n">
        <v>1.6256022342283</v>
      </c>
      <c r="G10" s="27" t="n">
        <v>0.27267354826197</v>
      </c>
      <c r="H10" s="27" t="n">
        <v>0.604649096707632</v>
      </c>
      <c r="I10" s="27" t="n">
        <v>0.718625965260955</v>
      </c>
      <c r="J10" s="7" t="n">
        <f aca="false">IF(COUNT(B10:C10)=0,"",AVERAGE(B10:C10)-AVERAGE(D10:F10))</f>
        <v>-0.881834911805216</v>
      </c>
      <c r="K10" s="7" t="n">
        <f aca="false">IF(COUNT(G10,H10)&lt;2,"",G10-H10)</f>
        <v>-0.331975548445662</v>
      </c>
      <c r="L10" s="7" t="n">
        <f aca="false">IF(COUNT(G10,I10)&lt;2,"",G10-I10)</f>
        <v>-0.445952416998985</v>
      </c>
      <c r="M10" s="13" t="n">
        <f aca="false">MONTH(A10)</f>
        <v>9</v>
      </c>
    </row>
    <row r="11" customFormat="false" ht="15" hidden="false" customHeight="false" outlineLevel="0" collapsed="false">
      <c r="A11" s="8" t="n">
        <v>44491</v>
      </c>
      <c r="B11" s="27" t="n">
        <v>5.73088513235778</v>
      </c>
      <c r="C11" s="27" t="n">
        <v>2.06127025938301</v>
      </c>
      <c r="D11" s="27" t="n">
        <v>1.0048846085704</v>
      </c>
      <c r="E11" s="27" t="n">
        <v>0.813349965104848</v>
      </c>
      <c r="F11" s="27" t="n">
        <v>0.727437026551669</v>
      </c>
      <c r="G11" s="27" t="n">
        <v>3.24243984590442</v>
      </c>
      <c r="H11" s="27" t="n">
        <v>0.790358933213398</v>
      </c>
      <c r="I11" s="27" t="n">
        <v>0.46880856162943</v>
      </c>
      <c r="J11" s="7" t="n">
        <f aca="false">IF(COUNT(B11:C11)=0,"",AVERAGE(B11:C11)-AVERAGE(D11:F11))</f>
        <v>3.04752049579475</v>
      </c>
      <c r="K11" s="7" t="n">
        <f aca="false">IF(COUNT(G11,H11)&lt;2,"",G11-H11)</f>
        <v>2.45208091269102</v>
      </c>
      <c r="L11" s="7" t="n">
        <f aca="false">IF(COUNT(G11,I11)&lt;2,"",G11-I11)</f>
        <v>2.77363128427499</v>
      </c>
      <c r="M11" s="13" t="n">
        <f aca="false">MONTH(A11)</f>
        <v>10</v>
      </c>
    </row>
    <row r="12" customFormat="false" ht="15" hidden="false" customHeight="false" outlineLevel="0" collapsed="false">
      <c r="A12" s="8" t="n">
        <v>44519</v>
      </c>
      <c r="B12" s="27" t="n">
        <v>-0.295275748274904</v>
      </c>
      <c r="C12" s="27" t="n">
        <v>1.91060846016704</v>
      </c>
      <c r="D12" s="27" t="n">
        <v>1.17503634491438</v>
      </c>
      <c r="E12" s="27" t="n">
        <v>1.1415475288219</v>
      </c>
      <c r="F12" s="27" t="n">
        <v>-0.563111896983415</v>
      </c>
      <c r="G12" s="27" t="n">
        <v>3.55364924724491</v>
      </c>
      <c r="H12" s="27" t="n">
        <v>0.896228584232262</v>
      </c>
      <c r="I12" s="27" t="n">
        <v>0.602544267888661</v>
      </c>
      <c r="J12" s="7" t="n">
        <f aca="false">IF(COUNT(B12:C12)=0,"",AVERAGE(B12:C12)-AVERAGE(D12:F12))</f>
        <v>0.223175697028447</v>
      </c>
      <c r="K12" s="7" t="n">
        <f aca="false">IF(COUNT(G12,H12)&lt;2,"",G12-H12)</f>
        <v>2.65742066301264</v>
      </c>
      <c r="L12" s="7" t="n">
        <f aca="false">IF(COUNT(G12,I12)&lt;2,"",G12-I12)</f>
        <v>2.95110497935624</v>
      </c>
      <c r="M12" s="13" t="n">
        <f aca="false">MONTH(A12)</f>
        <v>11</v>
      </c>
    </row>
    <row r="13" customFormat="false" ht="15" hidden="false" customHeight="false" outlineLevel="0" collapsed="false">
      <c r="A13" s="8" t="n">
        <v>44561</v>
      </c>
      <c r="B13" s="27" t="n">
        <v>2.17327204657902</v>
      </c>
      <c r="C13" s="27" t="n">
        <v>3.08307088673843</v>
      </c>
      <c r="D13" s="27" t="n">
        <v>2.95683524531594</v>
      </c>
      <c r="E13" s="27" t="n">
        <v>1.64695604416689</v>
      </c>
      <c r="F13" s="27" t="n">
        <v>1.62738682906891</v>
      </c>
      <c r="G13" s="27" t="n">
        <v>7.98353934943865</v>
      </c>
      <c r="H13" s="27" t="n">
        <v>3.66519341011866</v>
      </c>
      <c r="I13" s="27" t="n">
        <v>3.50475793250951</v>
      </c>
      <c r="J13" s="7" t="n">
        <f aca="false">IF(COUNT(B13:C13)=0,"",AVERAGE(B13:C13)-AVERAGE(D13:F13))</f>
        <v>0.551112093808145</v>
      </c>
      <c r="K13" s="7" t="n">
        <f aca="false">IF(COUNT(G13,H13)&lt;2,"",G13-H13)</f>
        <v>4.31834593931999</v>
      </c>
      <c r="L13" s="7" t="n">
        <f aca="false">IF(COUNT(G13,I13)&lt;2,"",G13-I13)</f>
        <v>4.47878141692915</v>
      </c>
      <c r="M13" s="13" t="n">
        <f aca="false">MONTH(A13)</f>
        <v>12</v>
      </c>
    </row>
    <row r="14" customFormat="false" ht="15" hidden="false" customHeight="false" outlineLevel="0" collapsed="false">
      <c r="A14" s="8" t="n">
        <v>44589</v>
      </c>
      <c r="B14" s="27" t="n">
        <v>1.26529202737995</v>
      </c>
      <c r="C14" s="27" t="n">
        <v>0.0647885239171586</v>
      </c>
      <c r="D14" s="27" t="n">
        <v>0.117003545553551</v>
      </c>
      <c r="E14" s="27" t="n">
        <v>1.82419577753361</v>
      </c>
      <c r="F14" s="27" t="n">
        <v>1.37528969336032</v>
      </c>
      <c r="G14" s="27" t="n">
        <v>0.579573502415975</v>
      </c>
      <c r="H14" s="27" t="n">
        <v>-0.933751135669425</v>
      </c>
      <c r="I14" s="27" t="n">
        <v>-1.24902890226224</v>
      </c>
      <c r="J14" s="7" t="n">
        <f aca="false">IF(COUNT(B14:C14)=0,"",AVERAGE(B14:C14)-AVERAGE(D14:F14))</f>
        <v>-0.440456063167271</v>
      </c>
      <c r="K14" s="7" t="n">
        <f aca="false">IF(COUNT(G14,H14)&lt;2,"",G14-H14)</f>
        <v>1.5133246380854</v>
      </c>
      <c r="L14" s="7" t="n">
        <f aca="false">IF(COUNT(G14,I14)&lt;2,"",G14-I14)</f>
        <v>1.82860240467821</v>
      </c>
      <c r="M14" s="13" t="n">
        <f aca="false">MONTH(A14)</f>
        <v>1</v>
      </c>
    </row>
    <row r="15" customFormat="false" ht="15" hidden="false" customHeight="false" outlineLevel="0" collapsed="false">
      <c r="A15" s="8" t="n">
        <v>44617</v>
      </c>
      <c r="B15" s="27" t="n">
        <v>0.462566256000585</v>
      </c>
      <c r="C15" s="27" t="n">
        <v>2.37669101266995</v>
      </c>
      <c r="D15" s="27" t="n">
        <v>1.64680744295183</v>
      </c>
      <c r="E15" s="27" t="n">
        <v>1.48902321239781</v>
      </c>
      <c r="F15" s="27" t="n">
        <v>-0.216990773876802</v>
      </c>
      <c r="G15" s="27" t="n">
        <v>0.704765590172052</v>
      </c>
      <c r="H15" s="27" t="n">
        <v>1.64540793261843</v>
      </c>
      <c r="I15" s="27" t="n">
        <v>1.70074577819221</v>
      </c>
      <c r="J15" s="7" t="n">
        <f aca="false">IF(COUNT(B15:C15)=0,"",AVERAGE(B15:C15)-AVERAGE(D15:F15))</f>
        <v>0.446682007177657</v>
      </c>
      <c r="K15" s="7" t="n">
        <f aca="false">IF(COUNT(G15,H15)&lt;2,"",G15-H15)</f>
        <v>-0.940642342446374</v>
      </c>
      <c r="L15" s="7" t="n">
        <f aca="false">IF(COUNT(G15,I15)&lt;2,"",G15-I15)</f>
        <v>-0.995980188020162</v>
      </c>
      <c r="M15" s="13" t="n">
        <f aca="false">MONTH(A15)</f>
        <v>2</v>
      </c>
    </row>
    <row r="16" customFormat="false" ht="15" hidden="false" customHeight="false" outlineLevel="0" collapsed="false">
      <c r="A16" s="8" t="n">
        <v>44645</v>
      </c>
      <c r="B16" s="27" t="n">
        <v>2.5065452889649</v>
      </c>
      <c r="C16" s="27" t="n">
        <v>2.1124658991063</v>
      </c>
      <c r="D16" s="27" t="n">
        <v>1.35526553381027</v>
      </c>
      <c r="E16" s="27" t="n">
        <v>0.194032203072858</v>
      </c>
      <c r="F16" s="27" t="n">
        <v>-0.154872850295007</v>
      </c>
      <c r="G16" s="27" t="n">
        <v>3.26844575938949</v>
      </c>
      <c r="H16" s="27" t="n">
        <v>2.22812342383634</v>
      </c>
      <c r="I16" s="27" t="n">
        <v>2.13127632569332</v>
      </c>
      <c r="J16" s="7" t="n">
        <f aca="false">IF(COUNT(B16:C16)=0,"",AVERAGE(B16:C16)-AVERAGE(D16:F16))</f>
        <v>1.84469729850623</v>
      </c>
      <c r="K16" s="7" t="n">
        <f aca="false">IF(COUNT(G16,H16)&lt;2,"",G16-H16)</f>
        <v>1.04032233555316</v>
      </c>
      <c r="L16" s="7" t="n">
        <f aca="false">IF(COUNT(G16,I16)&lt;2,"",G16-I16)</f>
        <v>1.13716943369617</v>
      </c>
      <c r="M16" s="13" t="n">
        <f aca="false">MONTH(A16)</f>
        <v>3</v>
      </c>
    </row>
    <row r="17" customFormat="false" ht="15" hidden="false" customHeight="false" outlineLevel="0" collapsed="false">
      <c r="A17" s="8" t="n">
        <v>44673</v>
      </c>
      <c r="B17" s="27" t="n">
        <v>3.97957260479718</v>
      </c>
      <c r="C17" s="27" t="n">
        <v>2.90489222503094</v>
      </c>
      <c r="D17" s="27" t="n">
        <v>1.28208493101685</v>
      </c>
      <c r="E17" s="27" t="n">
        <v>2.59429089244279</v>
      </c>
      <c r="F17" s="27" t="n">
        <v>-0.169430874832521</v>
      </c>
      <c r="G17" s="27" t="n">
        <v>0.994292570216615</v>
      </c>
      <c r="H17" s="27" t="n">
        <v>0.652465955991843</v>
      </c>
      <c r="I17" s="27" t="n">
        <v>0.288993532913651</v>
      </c>
      <c r="J17" s="7" t="n">
        <f aca="false">IF(COUNT(B17:C17)=0,"",AVERAGE(B17:C17)-AVERAGE(D17:F17))</f>
        <v>2.20658409870502</v>
      </c>
      <c r="K17" s="7" t="n">
        <f aca="false">IF(COUNT(G17,H17)&lt;2,"",G17-H17)</f>
        <v>0.341826614224772</v>
      </c>
      <c r="L17" s="7" t="n">
        <f aca="false">IF(COUNT(G17,I17)&lt;2,"",G17-I17)</f>
        <v>0.705299037302964</v>
      </c>
      <c r="M17" s="13" t="n">
        <f aca="false">MONTH(A17)</f>
        <v>4</v>
      </c>
    </row>
    <row r="18" customFormat="false" ht="15" hidden="false" customHeight="false" outlineLevel="0" collapsed="false">
      <c r="A18" s="8" t="n">
        <v>44701</v>
      </c>
      <c r="B18" s="27" t="n">
        <v>0.435080566894719</v>
      </c>
      <c r="C18" s="27" t="n">
        <v>1.34762249490272</v>
      </c>
      <c r="D18" s="27" t="n">
        <v>0.282959627360135</v>
      </c>
      <c r="E18" s="27" t="n">
        <v>1.17444626245931</v>
      </c>
      <c r="F18" s="27" t="n">
        <v>0.131272742297028</v>
      </c>
      <c r="G18" s="27" t="n">
        <v>1.16661477746423</v>
      </c>
      <c r="H18" s="27" t="n">
        <v>1.50541449029014</v>
      </c>
      <c r="I18" s="27" t="n">
        <v>1.58027570861847</v>
      </c>
      <c r="J18" s="7" t="n">
        <f aca="false">IF(COUNT(B18:C18)=0,"",AVERAGE(B18:C18)-AVERAGE(D18:F18))</f>
        <v>0.361791986859898</v>
      </c>
      <c r="K18" s="7" t="n">
        <f aca="false">IF(COUNT(G18,H18)&lt;2,"",G18-H18)</f>
        <v>-0.338799712825911</v>
      </c>
      <c r="L18" s="7" t="n">
        <f aca="false">IF(COUNT(G18,I18)&lt;2,"",G18-I18)</f>
        <v>-0.413660931154248</v>
      </c>
      <c r="M18" s="13" t="n">
        <f aca="false">MONTH(A18)</f>
        <v>5</v>
      </c>
    </row>
    <row r="19" customFormat="false" ht="15" hidden="false" customHeight="false" outlineLevel="0" collapsed="false">
      <c r="A19" s="8" t="n">
        <v>44729</v>
      </c>
      <c r="B19" s="27" t="n">
        <v>-0.374213812134983</v>
      </c>
      <c r="C19" s="27" t="n">
        <v>0.976303841399329</v>
      </c>
      <c r="D19" s="27" t="n">
        <v>1.24962161318365</v>
      </c>
      <c r="E19" s="27" t="n">
        <v>1.67043327408436</v>
      </c>
      <c r="F19" s="27" t="n">
        <v>1.84621767590141</v>
      </c>
      <c r="G19" s="27" t="n">
        <v>0.893499384306118</v>
      </c>
      <c r="H19" s="27" t="n">
        <v>2.05313029194407</v>
      </c>
      <c r="I19" s="27" t="n">
        <v>2.38187421646252</v>
      </c>
      <c r="J19" s="7" t="n">
        <f aca="false">IF(COUNT(B19:C19)=0,"",AVERAGE(B19:C19)-AVERAGE(D19:F19))</f>
        <v>-1.2877125064243</v>
      </c>
      <c r="K19" s="7" t="n">
        <f aca="false">IF(COUNT(G19,H19)&lt;2,"",G19-H19)</f>
        <v>-1.15963090763795</v>
      </c>
      <c r="L19" s="7" t="n">
        <f aca="false">IF(COUNT(G19,I19)&lt;2,"",G19-I19)</f>
        <v>-1.4883748321564</v>
      </c>
      <c r="M19" s="13" t="n">
        <f aca="false">MONTH(A19)</f>
        <v>6</v>
      </c>
    </row>
    <row r="20" customFormat="false" ht="15" hidden="false" customHeight="false" outlineLevel="0" collapsed="false">
      <c r="A20" s="8" t="n">
        <v>44771</v>
      </c>
      <c r="B20" s="27" t="n">
        <v>5.91070631612656</v>
      </c>
      <c r="C20" s="27" t="n">
        <v>2.3738244208328</v>
      </c>
      <c r="D20" s="27" t="n">
        <v>1.68086300682155</v>
      </c>
      <c r="E20" s="27" t="n">
        <v>2.76735962660268</v>
      </c>
      <c r="F20" s="27" t="n">
        <v>1.77245926237983</v>
      </c>
      <c r="G20" s="27" t="n">
        <v>5.56990308452452</v>
      </c>
      <c r="H20" s="27" t="n">
        <v>-0.067817989696195</v>
      </c>
      <c r="I20" s="27" t="n">
        <v>-1.05914666454687</v>
      </c>
      <c r="J20" s="7" t="n">
        <f aca="false">IF(COUNT(B20:C20)=0,"",AVERAGE(B20:C20)-AVERAGE(D20:F20))</f>
        <v>2.06870473654499</v>
      </c>
      <c r="K20" s="7" t="n">
        <f aca="false">IF(COUNT(G20,H20)&lt;2,"",G20-H20)</f>
        <v>5.63772107422071</v>
      </c>
      <c r="L20" s="7" t="n">
        <f aca="false">IF(COUNT(G20,I20)&lt;2,"",G20-I20)</f>
        <v>6.62904974907139</v>
      </c>
      <c r="M20" s="13" t="n">
        <f aca="false">MONTH(A20)</f>
        <v>7</v>
      </c>
    </row>
    <row r="21" customFormat="false" ht="15" hidden="false" customHeight="false" outlineLevel="0" collapsed="false">
      <c r="A21" s="8" t="n">
        <v>44799</v>
      </c>
      <c r="B21" s="27" t="n">
        <v>2.81427645707844</v>
      </c>
      <c r="C21" s="27" t="n">
        <v>1.98933311408656</v>
      </c>
      <c r="D21" s="27" t="n">
        <v>0.926409727909849</v>
      </c>
      <c r="E21" s="27" t="n">
        <v>1.26023476266948</v>
      </c>
      <c r="F21" s="27" t="n">
        <v>2.68984439918842</v>
      </c>
      <c r="G21" s="27" t="n">
        <v>0.203150266860241</v>
      </c>
      <c r="H21" s="27" t="n">
        <v>0.758173674400808</v>
      </c>
      <c r="I21" s="27" t="n">
        <v>0.777552552671779</v>
      </c>
      <c r="J21" s="7" t="n">
        <f aca="false">IF(COUNT(B21:C21)=0,"",AVERAGE(B21:C21)-AVERAGE(D21:F21))</f>
        <v>0.776308488993245</v>
      </c>
      <c r="K21" s="7" t="n">
        <f aca="false">IF(COUNT(G21,H21)&lt;2,"",G21-H21)</f>
        <v>-0.555023407540567</v>
      </c>
      <c r="L21" s="7" t="n">
        <f aca="false">IF(COUNT(G21,I21)&lt;2,"",G21-I21)</f>
        <v>-0.574402285811537</v>
      </c>
      <c r="M21" s="13" t="n">
        <f aca="false">MONTH(A21)</f>
        <v>8</v>
      </c>
    </row>
    <row r="22" customFormat="false" ht="15" hidden="false" customHeight="false" outlineLevel="0" collapsed="false">
      <c r="A22" s="8" t="n">
        <v>44827</v>
      </c>
      <c r="B22" s="27" t="n">
        <v>-0.193217077848829</v>
      </c>
      <c r="C22" s="27" t="n">
        <v>2.16217338727436</v>
      </c>
      <c r="D22" s="27" t="n">
        <v>1.11191881916124</v>
      </c>
      <c r="E22" s="27" t="n">
        <v>0.983192936186583</v>
      </c>
      <c r="F22" s="27" t="n">
        <v>2.33601827194239</v>
      </c>
      <c r="G22" s="27" t="n">
        <v>2.10047851317743</v>
      </c>
      <c r="H22" s="27" t="n">
        <v>1.41533565147185</v>
      </c>
      <c r="I22" s="27" t="n">
        <v>1.28925365964037</v>
      </c>
      <c r="J22" s="7" t="n">
        <f aca="false">IF(COUNT(B22:C22)=0,"",AVERAGE(B22:C22)-AVERAGE(D22:F22))</f>
        <v>-0.492565187717305</v>
      </c>
      <c r="K22" s="7" t="n">
        <f aca="false">IF(COUNT(G22,H22)&lt;2,"",G22-H22)</f>
        <v>0.685142861705578</v>
      </c>
      <c r="L22" s="7" t="n">
        <f aca="false">IF(COUNT(G22,I22)&lt;2,"",G22-I22)</f>
        <v>0.811224853537062</v>
      </c>
      <c r="M22" s="13" t="n">
        <f aca="false">MONTH(A22)</f>
        <v>9</v>
      </c>
    </row>
    <row r="23" customFormat="false" ht="15" hidden="false" customHeight="false" outlineLevel="0" collapsed="false">
      <c r="A23" s="8" t="n">
        <v>44855</v>
      </c>
      <c r="B23" s="27" t="n">
        <v>7.04634364066585</v>
      </c>
      <c r="C23" s="27" t="n">
        <v>1.5547746289073</v>
      </c>
      <c r="D23" s="27" t="n">
        <v>1.08313937417108</v>
      </c>
      <c r="E23" s="27" t="n">
        <v>2.54995664926074</v>
      </c>
      <c r="F23" s="27" t="n">
        <v>0.70799039639784</v>
      </c>
      <c r="G23" s="27" t="n">
        <v>8.21344070179038</v>
      </c>
      <c r="H23" s="27" t="n">
        <v>1.96082722050655</v>
      </c>
      <c r="I23" s="27" t="n">
        <v>1.4134472450106</v>
      </c>
      <c r="J23" s="7" t="n">
        <f aca="false">IF(COUNT(B23:C23)=0,"",AVERAGE(B23:C23)-AVERAGE(D23:F23))</f>
        <v>2.85353032817669</v>
      </c>
      <c r="K23" s="7" t="n">
        <f aca="false">IF(COUNT(G23,H23)&lt;2,"",G23-H23)</f>
        <v>6.25261348128383</v>
      </c>
      <c r="L23" s="7" t="n">
        <f aca="false">IF(COUNT(G23,I23)&lt;2,"",G23-I23)</f>
        <v>6.79999345677977</v>
      </c>
      <c r="M23" s="13" t="n">
        <f aca="false">MONTH(A23)</f>
        <v>10</v>
      </c>
    </row>
    <row r="24" customFormat="false" ht="15" hidden="false" customHeight="false" outlineLevel="0" collapsed="false">
      <c r="A24" s="8" t="n">
        <v>44883</v>
      </c>
      <c r="B24" s="27" t="n">
        <v>-3.08562983501162</v>
      </c>
      <c r="C24" s="27" t="n">
        <v>1.23845269234106</v>
      </c>
      <c r="D24" s="27" t="n">
        <v>1.06341772935732</v>
      </c>
      <c r="E24" s="27" t="n">
        <v>1.45572823150353</v>
      </c>
      <c r="F24" s="27" t="n">
        <v>-0.861414902614577</v>
      </c>
      <c r="G24" s="27" t="n">
        <v>1.38220049864195</v>
      </c>
      <c r="H24" s="27" t="n">
        <v>0.29374218823186</v>
      </c>
      <c r="I24" s="27" t="n">
        <v>0.21113027103965</v>
      </c>
      <c r="J24" s="7" t="n">
        <f aca="false">IF(COUNT(B24:C24)=0,"",AVERAGE(B24:C24)-AVERAGE(D24:F24))</f>
        <v>-1.4761655907507</v>
      </c>
      <c r="K24" s="7" t="n">
        <f aca="false">IF(COUNT(G24,H24)&lt;2,"",G24-H24)</f>
        <v>1.08845831041009</v>
      </c>
      <c r="L24" s="7" t="n">
        <f aca="false">IF(COUNT(G24,I24)&lt;2,"",G24-I24)</f>
        <v>1.1710702276023</v>
      </c>
      <c r="M24" s="13" t="n">
        <f aca="false">MONTH(A24)</f>
        <v>11</v>
      </c>
    </row>
    <row r="25" customFormat="false" ht="15" hidden="false" customHeight="false" outlineLevel="0" collapsed="false">
      <c r="A25" s="8" t="n">
        <v>44925</v>
      </c>
      <c r="B25" s="27" t="n">
        <v>4.08011081941524</v>
      </c>
      <c r="C25" s="27" t="n">
        <v>4.03772338659465</v>
      </c>
      <c r="D25" s="27" t="n">
        <v>2.815485311028</v>
      </c>
      <c r="E25" s="27" t="n">
        <v>3.41325314669358</v>
      </c>
      <c r="F25" s="27" t="n">
        <v>3.25975059683898</v>
      </c>
      <c r="G25" s="27" t="n">
        <v>9.28031774244094</v>
      </c>
      <c r="H25" s="27" t="n">
        <v>2.73308242612984</v>
      </c>
      <c r="I25" s="27" t="n">
        <v>2.03148709765912</v>
      </c>
      <c r="J25" s="7" t="n">
        <f aca="false">IF(COUNT(B25:C25)=0,"",AVERAGE(B25:C25)-AVERAGE(D25:F25))</f>
        <v>0.896087418151422</v>
      </c>
      <c r="K25" s="7" t="n">
        <f aca="false">IF(COUNT(G25,H25)&lt;2,"",G25-H25)</f>
        <v>6.5472353163111</v>
      </c>
      <c r="L25" s="7" t="n">
        <f aca="false">IF(COUNT(G25,I25)&lt;2,"",G25-I25)</f>
        <v>7.24883064478181</v>
      </c>
      <c r="M25" s="13" t="n">
        <f aca="false">MONTH(A25)</f>
        <v>12</v>
      </c>
    </row>
    <row r="26" customFormat="false" ht="15" hidden="false" customHeight="false" outlineLevel="0" collapsed="false">
      <c r="A26" s="8" t="n">
        <v>44953</v>
      </c>
      <c r="B26" s="27" t="n">
        <v>3.58226455436377</v>
      </c>
      <c r="C26" s="27" t="n">
        <v>1.26262777636228</v>
      </c>
      <c r="D26" s="27" t="n">
        <v>-0.429767576327045</v>
      </c>
      <c r="E26" s="27" t="n">
        <v>2.43470865574427</v>
      </c>
      <c r="F26" s="27" t="n">
        <v>0.838053688353035</v>
      </c>
      <c r="G26" s="27" t="n">
        <v>-2.03453634991089</v>
      </c>
      <c r="H26" s="27" t="n">
        <v>0.259908708077106</v>
      </c>
      <c r="I26" s="27" t="n">
        <v>0.329804113695076</v>
      </c>
      <c r="J26" s="7" t="n">
        <f aca="false">IF(COUNT(B26:C26)=0,"",AVERAGE(B26:C26)-AVERAGE(D26:F26))</f>
        <v>1.47478124277294</v>
      </c>
      <c r="K26" s="7" t="n">
        <f aca="false">IF(COUNT(G26,H26)&lt;2,"",G26-H26)</f>
        <v>-2.29444505798799</v>
      </c>
      <c r="L26" s="7" t="n">
        <f aca="false">IF(COUNT(G26,I26)&lt;2,"",G26-I26)</f>
        <v>-2.36434046360596</v>
      </c>
      <c r="M26" s="13" t="n">
        <f aca="false">MONTH(A26)</f>
        <v>1</v>
      </c>
    </row>
    <row r="27" customFormat="false" ht="15" hidden="false" customHeight="false" outlineLevel="0" collapsed="false">
      <c r="A27" s="8" t="n">
        <v>44981</v>
      </c>
      <c r="B27" s="27" t="n">
        <v>0.116930907102031</v>
      </c>
      <c r="C27" s="27" t="n">
        <v>2.3133313704184</v>
      </c>
      <c r="D27" s="27" t="n">
        <v>1.17063582885617</v>
      </c>
      <c r="E27" s="27" t="n">
        <v>-0.14634277929293</v>
      </c>
      <c r="F27" s="27" t="n">
        <v>0.962164010305067</v>
      </c>
      <c r="G27" s="27" t="n">
        <v>2.23379640255619</v>
      </c>
      <c r="H27" s="27" t="n">
        <v>0.955888612591949</v>
      </c>
      <c r="I27" s="27" t="n">
        <v>0.759409672090783</v>
      </c>
      <c r="J27" s="7" t="n">
        <f aca="false">IF(COUNT(B27:C27)=0,"",AVERAGE(B27:C27)-AVERAGE(D27:F27))</f>
        <v>0.552978785470781</v>
      </c>
      <c r="K27" s="7" t="n">
        <f aca="false">IF(COUNT(G27,H27)&lt;2,"",G27-H27)</f>
        <v>1.27790778996424</v>
      </c>
      <c r="L27" s="7" t="n">
        <f aca="false">IF(COUNT(G27,I27)&lt;2,"",G27-I27)</f>
        <v>1.4743867304654</v>
      </c>
      <c r="M27" s="13" t="n">
        <f aca="false">MONTH(A27)</f>
        <v>2</v>
      </c>
    </row>
    <row r="28" customFormat="false" ht="15" hidden="false" customHeight="false" outlineLevel="0" collapsed="false">
      <c r="A28" s="8" t="n">
        <v>45009</v>
      </c>
      <c r="B28" s="27" t="n">
        <v>3.80327521833603</v>
      </c>
      <c r="C28" s="27" t="n">
        <v>3.24184532313225</v>
      </c>
      <c r="D28" s="27" t="n">
        <v>1.33443485344831</v>
      </c>
      <c r="E28" s="27" t="n">
        <v>-1.53677341518321</v>
      </c>
      <c r="F28" s="27" t="n">
        <v>0.706670825999822</v>
      </c>
      <c r="G28" s="27" t="n">
        <v>1.51592945626753</v>
      </c>
      <c r="H28" s="27" t="n">
        <v>1.77569905802493</v>
      </c>
      <c r="I28" s="27" t="n">
        <v>1.59803037620385</v>
      </c>
      <c r="J28" s="7" t="n">
        <f aca="false">IF(COUNT(B28:C28)=0,"",AVERAGE(B28:C28)-AVERAGE(D28:F28))</f>
        <v>3.35444951597917</v>
      </c>
      <c r="K28" s="7" t="n">
        <f aca="false">IF(COUNT(G28,H28)&lt;2,"",G28-H28)</f>
        <v>-0.259769601757398</v>
      </c>
      <c r="L28" s="7" t="n">
        <f aca="false">IF(COUNT(G28,I28)&lt;2,"",G28-I28)</f>
        <v>-0.082100919936323</v>
      </c>
      <c r="M28" s="13" t="n">
        <f aca="false">MONTH(A28)</f>
        <v>3</v>
      </c>
    </row>
    <row r="29" customFormat="false" ht="15" hidden="false" customHeight="false" outlineLevel="0" collapsed="false">
      <c r="A29" s="8" t="n">
        <v>45037</v>
      </c>
      <c r="B29" s="27" t="n">
        <v>3.09868900811559</v>
      </c>
      <c r="C29" s="27" t="n">
        <v>0.339357830770659</v>
      </c>
      <c r="D29" s="27" t="n">
        <v>0.690166869195785</v>
      </c>
      <c r="E29" s="27" t="n">
        <v>4.13719115385849</v>
      </c>
      <c r="F29" s="27" t="n">
        <v>0.538525009060287</v>
      </c>
      <c r="G29" s="27" t="n">
        <v>1.47155206422749</v>
      </c>
      <c r="H29" s="27" t="n">
        <v>1.32997116132927</v>
      </c>
      <c r="I29" s="27" t="n">
        <v>1.43583473610605</v>
      </c>
      <c r="J29" s="7" t="n">
        <f aca="false">IF(COUNT(B29:C29)=0,"",AVERAGE(B29:C29)-AVERAGE(D29:F29))</f>
        <v>-0.069604257928398</v>
      </c>
      <c r="K29" s="7" t="n">
        <f aca="false">IF(COUNT(G29,H29)&lt;2,"",G29-H29)</f>
        <v>0.141580902898219</v>
      </c>
      <c r="L29" s="7" t="n">
        <f aca="false">IF(COUNT(G29,I29)&lt;2,"",G29-I29)</f>
        <v>0.0357173281214429</v>
      </c>
      <c r="M29" s="13" t="n">
        <f aca="false">MONTH(A29)</f>
        <v>4</v>
      </c>
    </row>
    <row r="30" customFormat="false" ht="15" hidden="false" customHeight="false" outlineLevel="0" collapsed="false">
      <c r="A30" s="8" t="n">
        <v>45065</v>
      </c>
      <c r="B30" s="27" t="n">
        <v>0.594325047979716</v>
      </c>
      <c r="C30" s="27" t="n">
        <v>0.946318171853022</v>
      </c>
      <c r="D30" s="27" t="n">
        <v>0.238940559861334</v>
      </c>
      <c r="E30" s="27" t="n">
        <v>0.511788667249924</v>
      </c>
      <c r="F30" s="27" t="n">
        <v>0.503621362616613</v>
      </c>
      <c r="G30" s="27" t="n">
        <v>-0.678674271008362</v>
      </c>
      <c r="H30" s="27" t="n">
        <v>0.969311102368309</v>
      </c>
      <c r="I30" s="27" t="n">
        <v>1.144862670807</v>
      </c>
      <c r="J30" s="7" t="n">
        <f aca="false">IF(COUNT(B30:C30)=0,"",AVERAGE(B30:C30)-AVERAGE(D30:F30))</f>
        <v>0.352204746673745</v>
      </c>
      <c r="K30" s="7" t="n">
        <f aca="false">IF(COUNT(G30,H30)&lt;2,"",G30-H30)</f>
        <v>-1.64798537337667</v>
      </c>
      <c r="L30" s="7" t="n">
        <f aca="false">IF(COUNT(G30,I30)&lt;2,"",G30-I30)</f>
        <v>-1.82353694181536</v>
      </c>
      <c r="M30" s="13" t="n">
        <f aca="false">MONTH(A30)</f>
        <v>5</v>
      </c>
    </row>
    <row r="31" customFormat="false" ht="15" hidden="false" customHeight="false" outlineLevel="0" collapsed="false">
      <c r="A31" s="8" t="n">
        <v>45107</v>
      </c>
      <c r="B31" s="27" t="n">
        <v>4.13192356626304</v>
      </c>
      <c r="C31" s="27" t="n">
        <v>3.5386209650877</v>
      </c>
      <c r="D31" s="27" t="n">
        <v>2.12134101166601</v>
      </c>
      <c r="E31" s="27" t="n">
        <v>2.84057960719615</v>
      </c>
      <c r="F31" s="27" t="n">
        <v>4.21830223639645</v>
      </c>
      <c r="G31" s="27" t="n">
        <v>6.4387213280634</v>
      </c>
      <c r="H31" s="27" t="n">
        <v>2.70321534180198</v>
      </c>
      <c r="I31" s="27" t="n">
        <v>2.18802722373361</v>
      </c>
      <c r="J31" s="7" t="n">
        <f aca="false">IF(COUNT(B31:C31)=0,"",AVERAGE(B31:C31)-AVERAGE(D31:F31))</f>
        <v>0.775197980589167</v>
      </c>
      <c r="K31" s="7" t="n">
        <f aca="false">IF(COUNT(G31,H31)&lt;2,"",G31-H31)</f>
        <v>3.73550598626142</v>
      </c>
      <c r="L31" s="7" t="n">
        <f aca="false">IF(COUNT(G31,I31)&lt;2,"",G31-I31)</f>
        <v>4.25069410432979</v>
      </c>
      <c r="M31" s="13" t="n">
        <f aca="false">MONTH(A31)</f>
        <v>6</v>
      </c>
    </row>
    <row r="32" customFormat="false" ht="15" hidden="false" customHeight="false" outlineLevel="0" collapsed="false">
      <c r="A32" s="8" t="n">
        <v>45135</v>
      </c>
      <c r="B32" s="27" t="n">
        <v>2.04790547277192</v>
      </c>
      <c r="C32" s="27"/>
      <c r="D32" s="27"/>
      <c r="E32" s="27" t="n">
        <v>1.14063590532503</v>
      </c>
      <c r="F32" s="27" t="n">
        <v>1.66567105697606</v>
      </c>
      <c r="G32" s="27"/>
      <c r="H32" s="27"/>
      <c r="I32" s="27"/>
      <c r="J32" s="7" t="n">
        <f aca="false">IF(COUNT(B32:C32)=0,"",AVERAGE(B32:C32)-AVERAGE(D32:F32))</f>
        <v>0.644751991621373</v>
      </c>
      <c r="K32" s="7" t="str">
        <f aca="false">IF(COUNT(G32,H32)&lt;2,"",G32-H32)</f>
        <v/>
      </c>
      <c r="L32" s="7" t="str">
        <f aca="false">IF(COUNT(G32,I32)&lt;2,"",G32-I32)</f>
        <v/>
      </c>
      <c r="M32" s="13" t="n">
        <f aca="false">MONTH(A32)</f>
        <v>7</v>
      </c>
    </row>
    <row r="33" customFormat="false" ht="15" hidden="false" customHeight="false" outlineLevel="0" collapsed="false">
      <c r="A33" s="8" t="n">
        <v>45163</v>
      </c>
      <c r="B33" s="27" t="n">
        <v>2.06172143229395</v>
      </c>
      <c r="C33" s="27" t="n">
        <v>0.911916514766098</v>
      </c>
      <c r="D33" s="27" t="n">
        <v>1.40338001776019</v>
      </c>
      <c r="E33" s="27" t="n">
        <v>0.874169482887943</v>
      </c>
      <c r="F33" s="27" t="n">
        <v>3.02617018157747</v>
      </c>
      <c r="G33" s="27" t="n">
        <v>1.22030554803345</v>
      </c>
      <c r="H33" s="27" t="n">
        <v>0.982358307632936</v>
      </c>
      <c r="I33" s="27" t="n">
        <v>1.05036333157358</v>
      </c>
      <c r="J33" s="7" t="n">
        <f aca="false">IF(COUNT(B33:C33)=0,"",AVERAGE(B33:C33)-AVERAGE(D33:F33))</f>
        <v>-0.281087587211844</v>
      </c>
      <c r="K33" s="7" t="n">
        <f aca="false">IF(COUNT(G33,H33)&lt;2,"",G33-H33)</f>
        <v>0.237947240400515</v>
      </c>
      <c r="L33" s="7" t="n">
        <f aca="false">IF(COUNT(G33,I33)&lt;2,"",G33-I33)</f>
        <v>0.169942216459873</v>
      </c>
      <c r="M33" s="13" t="n">
        <f aca="false">MONTH(A33)</f>
        <v>8</v>
      </c>
    </row>
    <row r="34" customFormat="false" ht="15" hidden="false" customHeight="false" outlineLevel="0" collapsed="false">
      <c r="A34" s="8" t="n">
        <v>45191</v>
      </c>
      <c r="B34" s="27" t="n">
        <v>-0.172565893507937</v>
      </c>
      <c r="C34" s="27" t="n">
        <v>2.08098652912874</v>
      </c>
      <c r="D34" s="27" t="n">
        <v>1.18718746357658</v>
      </c>
      <c r="E34" s="27" t="n">
        <v>1.55164805044823</v>
      </c>
      <c r="F34" s="27" t="n">
        <v>2.95326946153995</v>
      </c>
      <c r="G34" s="27" t="n">
        <v>3.67655103267808</v>
      </c>
      <c r="H34" s="27" t="n">
        <v>1.69414510379085</v>
      </c>
      <c r="I34" s="27" t="n">
        <v>1.57534605727676</v>
      </c>
      <c r="J34" s="7" t="n">
        <f aca="false">IF(COUNT(B34:C34)=0,"",AVERAGE(B34:C34)-AVERAGE(D34:F34))</f>
        <v>-0.943158007377853</v>
      </c>
      <c r="K34" s="7" t="n">
        <f aca="false">IF(COUNT(G34,H34)&lt;2,"",G34-H34)</f>
        <v>1.98240592888723</v>
      </c>
      <c r="L34" s="7" t="n">
        <f aca="false">IF(COUNT(G34,I34)&lt;2,"",G34-I34)</f>
        <v>2.10120497540132</v>
      </c>
      <c r="M34" s="13" t="n">
        <f aca="false">MONTH(A34)</f>
        <v>9</v>
      </c>
    </row>
    <row r="35" customFormat="false" ht="15" hidden="false" customHeight="false" outlineLevel="0" collapsed="false">
      <c r="A35" s="8" t="n">
        <v>45219</v>
      </c>
      <c r="B35" s="27" t="n">
        <v>4.4076560034787</v>
      </c>
      <c r="C35" s="27" t="n">
        <v>4.10078685863446</v>
      </c>
      <c r="D35" s="27" t="n">
        <v>1.79209768069857</v>
      </c>
      <c r="E35" s="27" t="n">
        <v>-1.3506284654472</v>
      </c>
      <c r="F35" s="27" t="n">
        <v>0.984027191471526</v>
      </c>
      <c r="G35" s="27" t="n">
        <v>3.25410175778682</v>
      </c>
      <c r="H35" s="27" t="n">
        <v>2.96535032981886</v>
      </c>
      <c r="I35" s="27" t="n">
        <v>2.72274623685824</v>
      </c>
      <c r="J35" s="7" t="n">
        <f aca="false">IF(COUNT(B35:C35)=0,"",AVERAGE(B35:C35)-AVERAGE(D35:F35))</f>
        <v>3.77905596214895</v>
      </c>
      <c r="K35" s="7" t="n">
        <f aca="false">IF(COUNT(G35,H35)&lt;2,"",G35-H35)</f>
        <v>0.288751427967959</v>
      </c>
      <c r="L35" s="7" t="n">
        <f aca="false">IF(COUNT(G35,I35)&lt;2,"",G35-I35)</f>
        <v>0.531355520928578</v>
      </c>
      <c r="M35" s="13" t="n">
        <f aca="false">MONTH(A35)</f>
        <v>10</v>
      </c>
    </row>
    <row r="36" customFormat="false" ht="15" hidden="false" customHeight="false" outlineLevel="0" collapsed="false">
      <c r="A36" s="8" t="n">
        <v>45247</v>
      </c>
      <c r="B36" s="27" t="n">
        <v>1.66198245644704</v>
      </c>
      <c r="C36" s="27" t="n">
        <v>0.839417445511437</v>
      </c>
      <c r="D36" s="27" t="n">
        <v>1.5207165678035</v>
      </c>
      <c r="E36" s="27" t="n">
        <v>2.1180935459487</v>
      </c>
      <c r="F36" s="27" t="n">
        <v>1.065322222642</v>
      </c>
      <c r="G36" s="27" t="n">
        <v>3.29763213978591</v>
      </c>
      <c r="H36" s="27" t="n">
        <v>1.51042380429125</v>
      </c>
      <c r="I36" s="27" t="n">
        <v>1.63641592763852</v>
      </c>
      <c r="J36" s="7" t="n">
        <f aca="false">IF(COUNT(B36:C36)=0,"",AVERAGE(B36:C36)-AVERAGE(D36:F36))</f>
        <v>-0.317344161152159</v>
      </c>
      <c r="K36" s="7" t="n">
        <f aca="false">IF(COUNT(G36,H36)&lt;2,"",G36-H36)</f>
        <v>1.78720833549466</v>
      </c>
      <c r="L36" s="7" t="n">
        <f aca="false">IF(COUNT(G36,I36)&lt;2,"",G36-I36)</f>
        <v>1.66121621214739</v>
      </c>
      <c r="M36" s="13" t="n">
        <f aca="false">MONTH(A36)</f>
        <v>11</v>
      </c>
    </row>
    <row r="37" customFormat="false" ht="15" hidden="false" customHeight="false" outlineLevel="0" collapsed="false">
      <c r="A37" s="8" t="n">
        <v>45289</v>
      </c>
      <c r="B37" s="27" t="n">
        <v>2.89020037432319</v>
      </c>
      <c r="C37" s="27" t="n">
        <v>2.70344195652594</v>
      </c>
      <c r="D37" s="27" t="n">
        <v>2.33565978660923</v>
      </c>
      <c r="E37" s="27" t="n">
        <v>2.63863020567285</v>
      </c>
      <c r="F37" s="27" t="n">
        <v>2.56434391576335</v>
      </c>
      <c r="G37" s="27" t="n">
        <v>2.83652114029955</v>
      </c>
      <c r="H37" s="27" t="n">
        <v>0.917561338199135</v>
      </c>
      <c r="I37" s="27" t="n">
        <v>0.329789822813709</v>
      </c>
      <c r="J37" s="7" t="n">
        <f aca="false">IF(COUNT(B37:C37)=0,"",AVERAGE(B37:C37)-AVERAGE(D37:F37))</f>
        <v>0.28394319607609</v>
      </c>
      <c r="K37" s="7" t="n">
        <f aca="false">IF(COUNT(G37,H37)&lt;2,"",G37-H37)</f>
        <v>1.91895980210042</v>
      </c>
      <c r="L37" s="7" t="n">
        <f aca="false">IF(COUNT(G37,I37)&lt;2,"",G37-I37)</f>
        <v>2.50673131748584</v>
      </c>
      <c r="M37" s="13" t="n">
        <f aca="false">MONTH(A37)</f>
        <v>12</v>
      </c>
    </row>
    <row r="38" customFormat="false" ht="15" hidden="false" customHeight="false" outlineLevel="0" collapsed="false">
      <c r="A38" s="8" t="n">
        <v>45317</v>
      </c>
      <c r="B38" s="27" t="n">
        <v>2.61034032238463</v>
      </c>
      <c r="C38" s="27" t="n">
        <v>1.2531485043624</v>
      </c>
      <c r="D38" s="27" t="n">
        <v>1.58353664381501</v>
      </c>
      <c r="E38" s="27" t="n">
        <v>-0.445767347173387</v>
      </c>
      <c r="F38" s="27" t="n">
        <v>1.92173478528659</v>
      </c>
      <c r="G38" s="27" t="n">
        <v>-2.87615550477867</v>
      </c>
      <c r="H38" s="27" t="n">
        <v>0.643085807794463</v>
      </c>
      <c r="I38" s="27" t="n">
        <v>0.826313223427988</v>
      </c>
      <c r="J38" s="7" t="n">
        <f aca="false">IF(COUNT(B38:C38)=0,"",AVERAGE(B38:C38)-AVERAGE(D38:F38))</f>
        <v>0.911909719397445</v>
      </c>
      <c r="K38" s="7" t="n">
        <f aca="false">IF(COUNT(G38,H38)&lt;2,"",G38-H38)</f>
        <v>-3.51924131257313</v>
      </c>
      <c r="L38" s="7" t="n">
        <f aca="false">IF(COUNT(G38,I38)&lt;2,"",G38-I38)</f>
        <v>-3.70246872820665</v>
      </c>
      <c r="M38" s="13" t="n">
        <f aca="false">MONTH(A38)</f>
        <v>1</v>
      </c>
    </row>
    <row r="39" customFormat="false" ht="15" hidden="false" customHeight="false" outlineLevel="0" collapsed="false">
      <c r="A39" s="8" t="n">
        <v>45345</v>
      </c>
      <c r="B39" s="27" t="n">
        <v>-0.153271306828273</v>
      </c>
      <c r="C39" s="27" t="n">
        <v>1.21443040002944</v>
      </c>
      <c r="D39" s="27" t="n">
        <v>1.14351081892004</v>
      </c>
      <c r="E39" s="27" t="n">
        <v>0.847049886001194</v>
      </c>
      <c r="F39" s="27" t="n">
        <v>1.28978159848057</v>
      </c>
      <c r="G39" s="27" t="n">
        <v>0.328369866599232</v>
      </c>
      <c r="H39" s="27" t="n">
        <v>1.23861840636756</v>
      </c>
      <c r="I39" s="27" t="n">
        <v>1.45725138478419</v>
      </c>
      <c r="J39" s="7" t="n">
        <f aca="false">IF(COUNT(B39:C39)=0,"",AVERAGE(B39:C39)-AVERAGE(D39:F39))</f>
        <v>-0.56286788786668</v>
      </c>
      <c r="K39" s="7" t="n">
        <f aca="false">IF(COUNT(G39,H39)&lt;2,"",G39-H39)</f>
        <v>-0.910248539768332</v>
      </c>
      <c r="L39" s="7" t="n">
        <f aca="false">IF(COUNT(G39,I39)&lt;2,"",G39-I39)</f>
        <v>-1.12888151818495</v>
      </c>
      <c r="M39" s="13" t="n">
        <f aca="false">MONTH(A39)</f>
        <v>2</v>
      </c>
    </row>
    <row r="40" customFormat="false" ht="15" hidden="false" customHeight="false" outlineLevel="0" collapsed="false">
      <c r="A40" s="8" t="n">
        <v>45373</v>
      </c>
      <c r="B40" s="27" t="n">
        <v>-0.423716578849032</v>
      </c>
      <c r="C40" s="27" t="n">
        <v>1.17463465160981</v>
      </c>
      <c r="D40" s="27" t="n">
        <v>1.81650794544268</v>
      </c>
      <c r="E40" s="27" t="n">
        <v>1.34446062879974</v>
      </c>
      <c r="F40" s="27" t="n">
        <v>0.56480422680476</v>
      </c>
      <c r="G40" s="27" t="n">
        <v>3.1011756022755</v>
      </c>
      <c r="H40" s="27" t="n">
        <v>1.53049955150308</v>
      </c>
      <c r="I40" s="27" t="n">
        <v>1.53613620542892</v>
      </c>
      <c r="J40" s="7" t="n">
        <f aca="false">IF(COUNT(B40:C40)=0,"",AVERAGE(B40:C40)-AVERAGE(D40:F40))</f>
        <v>-0.866465230635338</v>
      </c>
      <c r="K40" s="7" t="n">
        <f aca="false">IF(COUNT(G40,H40)&lt;2,"",G40-H40)</f>
        <v>1.57067605077241</v>
      </c>
      <c r="L40" s="7" t="n">
        <f aca="false">IF(COUNT(G40,I40)&lt;2,"",G40-I40)</f>
        <v>1.56503939684658</v>
      </c>
      <c r="M40" s="13" t="n">
        <f aca="false">MONTH(A40)</f>
        <v>3</v>
      </c>
    </row>
    <row r="41" customFormat="false" ht="15" hidden="false" customHeight="false" outlineLevel="0" collapsed="false">
      <c r="A41" s="8" t="n">
        <v>45401</v>
      </c>
      <c r="B41" s="27" t="n">
        <v>1.01626050015806</v>
      </c>
      <c r="C41" s="27" t="n">
        <v>-0.760936415678692</v>
      </c>
      <c r="D41" s="27" t="n">
        <v>1.12425501552593</v>
      </c>
      <c r="E41" s="27" t="n">
        <v>0.886563620916547</v>
      </c>
      <c r="F41" s="27" t="n">
        <v>-0.213762860467703</v>
      </c>
      <c r="G41" s="27" t="n">
        <v>1.21249678542892</v>
      </c>
      <c r="H41" s="27" t="n">
        <v>0.468039645778262</v>
      </c>
      <c r="I41" s="27" t="n">
        <v>0.514575837099329</v>
      </c>
      <c r="J41" s="7" t="n">
        <f aca="false">IF(COUNT(B41:C41)=0,"",AVERAGE(B41:C41)-AVERAGE(D41:F41))</f>
        <v>-0.471356549751907</v>
      </c>
      <c r="K41" s="7" t="n">
        <f aca="false">IF(COUNT(G41,H41)&lt;2,"",G41-H41)</f>
        <v>0.744457139650656</v>
      </c>
      <c r="L41" s="7" t="n">
        <f aca="false">IF(COUNT(G41,I41)&lt;2,"",G41-I41)</f>
        <v>0.697920948329589</v>
      </c>
      <c r="M41" s="13" t="n">
        <f aca="false">MONTH(A41)</f>
        <v>4</v>
      </c>
    </row>
    <row r="42" customFormat="false" ht="15" hidden="false" customHeight="false" outlineLevel="0" collapsed="false">
      <c r="A42" s="8" t="n">
        <v>45443</v>
      </c>
      <c r="B42" s="27" t="n">
        <v>3.16071416263508</v>
      </c>
      <c r="C42" s="27" t="n">
        <v>2.05401181559282</v>
      </c>
      <c r="D42" s="27" t="n">
        <v>2.13370703679967</v>
      </c>
      <c r="E42" s="27" t="n">
        <v>1.4287682173558</v>
      </c>
      <c r="F42" s="27" t="n">
        <v>1.64659010168133</v>
      </c>
      <c r="G42" s="27" t="n">
        <v>0.47384468376972</v>
      </c>
      <c r="H42" s="27" t="n">
        <v>1.73902273543583</v>
      </c>
      <c r="I42" s="27" t="n">
        <v>1.82786035428286</v>
      </c>
      <c r="J42" s="7" t="n">
        <f aca="false">IF(COUNT(B42:C42)=0,"",AVERAGE(B42:C42)-AVERAGE(D42:F42))</f>
        <v>0.87100787050168</v>
      </c>
      <c r="K42" s="7" t="n">
        <f aca="false">IF(COUNT(G42,H42)&lt;2,"",G42-H42)</f>
        <v>-1.26517805166611</v>
      </c>
      <c r="L42" s="7" t="n">
        <f aca="false">IF(COUNT(G42,I42)&lt;2,"",G42-I42)</f>
        <v>-1.35401567051314</v>
      </c>
      <c r="M42" s="13" t="n">
        <f aca="false">MONTH(A42)</f>
        <v>5</v>
      </c>
    </row>
    <row r="43" customFormat="false" ht="15" hidden="false" customHeight="false" outlineLevel="0" collapsed="false">
      <c r="A43" s="8" t="n">
        <v>45471</v>
      </c>
      <c r="B43" s="27" t="n">
        <v>1.87254752460859</v>
      </c>
      <c r="C43" s="27" t="n">
        <v>0.0215990810573885</v>
      </c>
      <c r="D43" s="27" t="n">
        <v>0.756239651251889</v>
      </c>
      <c r="E43" s="27" t="n">
        <v>0.297130370153909</v>
      </c>
      <c r="F43" s="27" t="n">
        <v>0.729503885080263</v>
      </c>
      <c r="G43" s="27" t="n">
        <v>0.156662323122703</v>
      </c>
      <c r="H43" s="27" t="n">
        <v>0.731363778772121</v>
      </c>
      <c r="I43" s="27" t="n">
        <v>0.868796028231245</v>
      </c>
      <c r="J43" s="7" t="n">
        <f aca="false">IF(COUNT(B43:C43)=0,"",AVERAGE(B43:C43)-AVERAGE(D43:F43))</f>
        <v>0.35278200067097</v>
      </c>
      <c r="K43" s="7" t="n">
        <f aca="false">IF(COUNT(G43,H43)&lt;2,"",G43-H43)</f>
        <v>-0.574701455649418</v>
      </c>
      <c r="L43" s="7" t="n">
        <f aca="false">IF(COUNT(G43,I43)&lt;2,"",G43-I43)</f>
        <v>-0.712133705108542</v>
      </c>
      <c r="M43" s="13" t="n">
        <f aca="false">MONTH(A43)</f>
        <v>6</v>
      </c>
    </row>
    <row r="44" customFormat="false" ht="15" hidden="false" customHeight="false" outlineLevel="0" collapsed="false">
      <c r="A44" s="8" t="n">
        <v>45499</v>
      </c>
      <c r="B44" s="27" t="n">
        <v>0.932207585534961</v>
      </c>
      <c r="C44" s="27" t="n">
        <v>0.0881940005674764</v>
      </c>
      <c r="D44" s="27" t="n">
        <v>0.660316866714794</v>
      </c>
      <c r="E44" s="27" t="n">
        <v>0.407960072209868</v>
      </c>
      <c r="F44" s="27" t="n">
        <v>0.878018333562203</v>
      </c>
      <c r="G44" s="27" t="n">
        <v>-1.52137298461845</v>
      </c>
      <c r="H44" s="27" t="n">
        <v>-0.366291216506909</v>
      </c>
      <c r="I44" s="27" t="n">
        <v>-0.290584045156805</v>
      </c>
      <c r="J44" s="7" t="n">
        <f aca="false">IF(COUNT(B44:C44)=0,"",AVERAGE(B44:C44)-AVERAGE(D44:F44))</f>
        <v>-0.138564297777736</v>
      </c>
      <c r="K44" s="7" t="n">
        <f aca="false">IF(COUNT(G44,H44)&lt;2,"",G44-H44)</f>
        <v>-1.15508176811154</v>
      </c>
      <c r="L44" s="7" t="n">
        <f aca="false">IF(COUNT(G44,I44)&lt;2,"",G44-I44)</f>
        <v>-1.23078893946165</v>
      </c>
      <c r="M44" s="13" t="n">
        <f aca="false">MONTH(A44)</f>
        <v>7</v>
      </c>
    </row>
    <row r="45" customFormat="false" ht="15" hidden="false" customHeight="false" outlineLevel="0" collapsed="false">
      <c r="A45" s="8" t="n">
        <v>45527</v>
      </c>
      <c r="B45" s="27" t="n">
        <v>0.353114856855363</v>
      </c>
      <c r="C45" s="27" t="n">
        <v>0.440244214804686</v>
      </c>
      <c r="D45" s="27" t="n">
        <v>1.13770306392294</v>
      </c>
      <c r="E45" s="27" t="n">
        <v>0.805299491008249</v>
      </c>
      <c r="F45" s="27" t="n">
        <v>2.47379986969438</v>
      </c>
      <c r="G45" s="27" t="n">
        <v>-0.847500420391079</v>
      </c>
      <c r="H45" s="27" t="n">
        <v>0.876985753982496</v>
      </c>
      <c r="I45" s="27" t="n">
        <v>1.07156327268108</v>
      </c>
      <c r="J45" s="7" t="n">
        <f aca="false">IF(COUNT(B45:C45)=0,"",AVERAGE(B45:C45)-AVERAGE(D45:F45))</f>
        <v>-1.07558793904516</v>
      </c>
      <c r="K45" s="7" t="n">
        <f aca="false">IF(COUNT(G45,H45)&lt;2,"",G45-H45)</f>
        <v>-1.72448617437357</v>
      </c>
      <c r="L45" s="7" t="n">
        <f aca="false">IF(COUNT(G45,I45)&lt;2,"",G45-I45)</f>
        <v>-1.91906369307215</v>
      </c>
      <c r="M45" s="13" t="n">
        <f aca="false">MONTH(A45)</f>
        <v>8</v>
      </c>
    </row>
    <row r="46" customFormat="false" ht="15" hidden="false" customHeight="false" outlineLevel="0" collapsed="false">
      <c r="A46" s="8" t="n">
        <v>45555</v>
      </c>
      <c r="B46" s="27" t="n">
        <v>-1.73735381795801</v>
      </c>
      <c r="C46" s="27" t="n">
        <v>0.986875181220803</v>
      </c>
      <c r="D46" s="27" t="n">
        <v>0.769291791145044</v>
      </c>
      <c r="E46" s="27" t="n">
        <v>1.103207339359</v>
      </c>
      <c r="F46" s="27" t="n">
        <v>2.32545662951189</v>
      </c>
      <c r="G46" s="27" t="n">
        <v>0.726395932211688</v>
      </c>
      <c r="H46" s="27" t="n">
        <v>1.16804909506882</v>
      </c>
      <c r="I46" s="27" t="n">
        <v>1.29875870623977</v>
      </c>
      <c r="J46" s="7" t="n">
        <f aca="false">IF(COUNT(B46:C46)=0,"",AVERAGE(B46:C46)-AVERAGE(D46:F46))</f>
        <v>-1.77455790504058</v>
      </c>
      <c r="K46" s="7" t="n">
        <f aca="false">IF(COUNT(G46,H46)&lt;2,"",G46-H46)</f>
        <v>-0.441653162857137</v>
      </c>
      <c r="L46" s="7" t="n">
        <f aca="false">IF(COUNT(G46,I46)&lt;2,"",G46-I46)</f>
        <v>-0.572362774028079</v>
      </c>
      <c r="M46" s="13" t="n">
        <f aca="false">MONTH(A46)</f>
        <v>9</v>
      </c>
    </row>
    <row r="47" customFormat="false" ht="15" hidden="false" customHeight="false" outlineLevel="0" collapsed="false">
      <c r="A47" s="8" t="n">
        <v>45583</v>
      </c>
      <c r="B47" s="27" t="n">
        <v>3.4635198953092</v>
      </c>
      <c r="C47" s="27" t="n">
        <v>0.397454594358493</v>
      </c>
      <c r="D47" s="27" t="n">
        <v>1.37822137423722</v>
      </c>
      <c r="E47" s="27" t="n">
        <v>-0.0649642021555152</v>
      </c>
      <c r="F47" s="27" t="n">
        <v>0.920027421903491</v>
      </c>
      <c r="G47" s="27" t="n">
        <v>0.887818276317098</v>
      </c>
      <c r="H47" s="27" t="n">
        <v>1.8160563825198</v>
      </c>
      <c r="I47" s="27" t="n">
        <v>2.08446521054846</v>
      </c>
      <c r="J47" s="7" t="n">
        <f aca="false">IF(COUNT(B47:C47)=0,"",AVERAGE(B47:C47)-AVERAGE(D47:F47))</f>
        <v>1.18605904683878</v>
      </c>
      <c r="K47" s="7" t="n">
        <f aca="false">IF(COUNT(G47,H47)&lt;2,"",G47-H47)</f>
        <v>-0.928238106202706</v>
      </c>
      <c r="L47" s="7" t="n">
        <f aca="false">IF(COUNT(G47,I47)&lt;2,"",G47-I47)</f>
        <v>-1.19664693423136</v>
      </c>
      <c r="M47" s="13" t="n">
        <f aca="false">MONTH(A47)</f>
        <v>10</v>
      </c>
    </row>
    <row r="48" customFormat="false" ht="15" hidden="false" customHeight="false" outlineLevel="0" collapsed="false">
      <c r="A48" s="8" t="n">
        <v>45625</v>
      </c>
      <c r="B48" s="27" t="n">
        <v>2.66667970809884</v>
      </c>
      <c r="C48" s="27" t="n">
        <v>1.58188487147015</v>
      </c>
      <c r="D48" s="27" t="n">
        <v>1.70005310384056</v>
      </c>
      <c r="E48" s="27" t="n">
        <v>0.598139000168274</v>
      </c>
      <c r="F48" s="27" t="n">
        <v>1.00783169066006</v>
      </c>
      <c r="G48" s="27" t="n">
        <v>3.04184817421653</v>
      </c>
      <c r="H48" s="27" t="n">
        <v>0.372557962815634</v>
      </c>
      <c r="I48" s="27" t="n">
        <v>-0.0450440231364979</v>
      </c>
      <c r="J48" s="7" t="n">
        <f aca="false">IF(COUNT(B48:C48)=0,"",AVERAGE(B48:C48)-AVERAGE(D48:F48))</f>
        <v>1.0222743582282</v>
      </c>
      <c r="K48" s="7" t="n">
        <f aca="false">IF(COUNT(G48,H48)&lt;2,"",G48-H48)</f>
        <v>2.6692902114009</v>
      </c>
      <c r="L48" s="7" t="n">
        <f aca="false">IF(COUNT(G48,I48)&lt;2,"",G48-I48)</f>
        <v>3.08689219735303</v>
      </c>
      <c r="M48" s="13" t="n">
        <f aca="false">MONTH(A48)</f>
        <v>11</v>
      </c>
    </row>
    <row r="49" customFormat="false" ht="15" hidden="false" customHeight="false" outlineLevel="0" collapsed="false">
      <c r="A49" s="8" t="n">
        <v>45653</v>
      </c>
      <c r="B49" s="27" t="n">
        <v>0.720616455448919</v>
      </c>
      <c r="C49" s="27" t="n">
        <v>0.44513553933232</v>
      </c>
      <c r="D49" s="27" t="n">
        <v>1.268042824403</v>
      </c>
      <c r="E49" s="27" t="n">
        <v>1.26594073981892</v>
      </c>
      <c r="F49" s="27" t="n">
        <v>1.1410772336296</v>
      </c>
      <c r="G49" s="27" t="n">
        <v>3.81377085484669</v>
      </c>
      <c r="H49" s="27" t="n">
        <v>1.46900015443414</v>
      </c>
      <c r="I49" s="27" t="n">
        <v>1.42827036986191</v>
      </c>
      <c r="J49" s="7" t="n">
        <f aca="false">IF(COUNT(B49:C49)=0,"",AVERAGE(B49:C49)-AVERAGE(D49:F49))</f>
        <v>-0.642144268559886</v>
      </c>
      <c r="K49" s="7" t="n">
        <f aca="false">IF(COUNT(G49,H49)&lt;2,"",G49-H49)</f>
        <v>2.34477070041255</v>
      </c>
      <c r="L49" s="7" t="n">
        <f aca="false">IF(COUNT(G49,I49)&lt;2,"",G49-I49)</f>
        <v>2.38550048498478</v>
      </c>
      <c r="M49" s="13" t="n">
        <f aca="false">MONTH(A49)</f>
        <v>12</v>
      </c>
    </row>
    <row r="50" customFormat="false" ht="15" hidden="false" customHeight="false" outlineLevel="0" collapsed="false">
      <c r="A50" s="8" t="n">
        <v>45681</v>
      </c>
      <c r="B50" s="27" t="n">
        <v>0.341800922893754</v>
      </c>
      <c r="C50" s="27" t="n">
        <v>0.729756382430935</v>
      </c>
      <c r="D50" s="27" t="n">
        <v>0.506054409072299</v>
      </c>
      <c r="E50" s="27" t="n">
        <v>0.31563076885508</v>
      </c>
      <c r="F50" s="27" t="n">
        <v>2.02655718737681</v>
      </c>
      <c r="G50" s="27" t="n">
        <v>-0.680999505418711</v>
      </c>
      <c r="H50" s="27" t="n">
        <v>0.743948038562792</v>
      </c>
      <c r="I50" s="27" t="n">
        <v>0.86274950923908</v>
      </c>
      <c r="J50" s="7" t="n">
        <f aca="false">IF(COUNT(B50:C50)=0,"",AVERAGE(B50:C50)-AVERAGE(D50:F50))</f>
        <v>-0.413635469105718</v>
      </c>
      <c r="K50" s="7" t="n">
        <f aca="false">IF(COUNT(G50,H50)&lt;2,"",G50-H50)</f>
        <v>-1.4249475439815</v>
      </c>
      <c r="L50" s="7" t="n">
        <f aca="false">IF(COUNT(G50,I50)&lt;2,"",G50-I50)</f>
        <v>-1.54374901465779</v>
      </c>
      <c r="M50" s="13" t="n">
        <f aca="false">MONTH(A50)</f>
        <v>1</v>
      </c>
    </row>
    <row r="51" customFormat="false" ht="15" hidden="false" customHeight="false" outlineLevel="0" collapsed="false">
      <c r="A51" s="8" t="n">
        <v>45709</v>
      </c>
      <c r="B51" s="27" t="n">
        <v>-1.73934773412245</v>
      </c>
      <c r="C51" s="27" t="n">
        <v>0.586867387528756</v>
      </c>
      <c r="D51" s="27" t="n">
        <v>1.26339639843618</v>
      </c>
      <c r="E51" s="27" t="n">
        <v>0.738707223634272</v>
      </c>
      <c r="F51" s="27" t="n">
        <v>0.701141870680466</v>
      </c>
      <c r="G51" s="27" t="n">
        <v>-0.471851224088304</v>
      </c>
      <c r="H51" s="27" t="n">
        <v>0.758750785273676</v>
      </c>
      <c r="I51" s="27" t="n">
        <v>0.966681717995499</v>
      </c>
      <c r="J51" s="7" t="n">
        <f aca="false">IF(COUNT(B51:C51)=0,"",AVERAGE(B51:C51)-AVERAGE(D51:F51))</f>
        <v>-1.47732200421382</v>
      </c>
      <c r="K51" s="7" t="n">
        <f aca="false">IF(COUNT(G51,H51)&lt;2,"",G51-H51)</f>
        <v>-1.23060200936198</v>
      </c>
      <c r="L51" s="7" t="n">
        <f aca="false">IF(COUNT(G51,I51)&lt;2,"",G51-I51)</f>
        <v>-1.4385329420838</v>
      </c>
      <c r="M51" s="13" t="n">
        <f aca="false">MONTH(A51)</f>
        <v>2</v>
      </c>
    </row>
    <row r="52" customFormat="false" ht="15" hidden="false" customHeight="false" outlineLevel="0" collapsed="false">
      <c r="A52" s="8" t="n">
        <v>45737</v>
      </c>
      <c r="B52" s="27" t="n">
        <v>-0.93831196080707</v>
      </c>
      <c r="C52" s="27" t="n">
        <v>1.0937024238169</v>
      </c>
      <c r="D52" s="27" t="n">
        <v>1.5524812664383</v>
      </c>
      <c r="E52" s="27" t="n">
        <v>0.482354737724577</v>
      </c>
      <c r="F52" s="27" t="n">
        <v>0.463350240216798</v>
      </c>
      <c r="G52" s="27" t="n">
        <v>1.98519450145049</v>
      </c>
      <c r="H52" s="27" t="n">
        <v>1.56814937832444</v>
      </c>
      <c r="I52" s="27" t="n">
        <v>1.67635693359109</v>
      </c>
      <c r="J52" s="7" t="n">
        <f aca="false">IF(COUNT(B52:C52)=0,"",AVERAGE(B52:C52)-AVERAGE(D52:F52))</f>
        <v>-0.755033516621643</v>
      </c>
      <c r="K52" s="7" t="n">
        <f aca="false">IF(COUNT(G52,H52)&lt;2,"",G52-H52)</f>
        <v>0.417045123126058</v>
      </c>
      <c r="L52" s="7" t="n">
        <f aca="false">IF(COUNT(G52,I52)&lt;2,"",G52-I52)</f>
        <v>0.308837567859399</v>
      </c>
      <c r="M52" s="13" t="n">
        <f aca="false">MONTH(A52)</f>
        <v>3</v>
      </c>
    </row>
    <row r="53" customFormat="false" ht="15" hidden="false" customHeight="false" outlineLevel="0" collapsed="false">
      <c r="A53" s="8" t="n">
        <v>45765</v>
      </c>
      <c r="B53" s="27" t="n">
        <v>0.981927454770037</v>
      </c>
      <c r="C53" s="27" t="n">
        <v>0.212740610171913</v>
      </c>
      <c r="D53" s="27" t="n">
        <v>0.558816423948194</v>
      </c>
      <c r="E53" s="27" t="n">
        <v>1.10141799340653</v>
      </c>
      <c r="F53" s="27" t="n">
        <v>-0.00128267269445814</v>
      </c>
      <c r="G53" s="27" t="n">
        <v>-1.29367410800878</v>
      </c>
      <c r="H53" s="27" t="n">
        <v>-0.247299215741137</v>
      </c>
      <c r="I53" s="27" t="n">
        <v>-0.173175724640018</v>
      </c>
      <c r="J53" s="7" t="n">
        <f aca="false">IF(COUNT(B53:C53)=0,"",AVERAGE(B53:C53)-AVERAGE(D53:F53))</f>
        <v>0.0443501175842206</v>
      </c>
      <c r="K53" s="7" t="n">
        <f aca="false">IF(COUNT(G53,H53)&lt;2,"",G53-H53)</f>
        <v>-1.04637489226764</v>
      </c>
      <c r="L53" s="7" t="n">
        <f aca="false">IF(COUNT(G53,I53)&lt;2,"",G53-I53)</f>
        <v>-1.12049838336876</v>
      </c>
      <c r="M53" s="13" t="n">
        <f aca="false">MONTH(A53)</f>
        <v>4</v>
      </c>
    </row>
    <row r="54" customFormat="false" ht="15" hidden="false" customHeight="false" outlineLevel="0" collapsed="false">
      <c r="A54" s="8" t="n">
        <v>45807</v>
      </c>
      <c r="B54" s="27" t="n">
        <v>1.21330397341382</v>
      </c>
      <c r="C54" s="27" t="n">
        <v>0.818847481312268</v>
      </c>
      <c r="D54" s="27" t="n">
        <v>1.41796750254795</v>
      </c>
      <c r="E54" s="27" t="n">
        <v>1.29272306000257</v>
      </c>
      <c r="F54" s="27" t="n">
        <v>0.491047507050624</v>
      </c>
      <c r="G54" s="27" t="n">
        <v>-3.27661296921455</v>
      </c>
      <c r="H54" s="27" t="n">
        <v>0.426878382105755</v>
      </c>
      <c r="I54" s="27" t="n">
        <v>0.749611292287966</v>
      </c>
      <c r="J54" s="7" t="n">
        <f aca="false">IF(COUNT(B54:C54)=0,"",AVERAGE(B54:C54)-AVERAGE(D54:F54))</f>
        <v>-0.0511702958373361</v>
      </c>
      <c r="K54" s="7" t="n">
        <f aca="false">IF(COUNT(G54,H54)&lt;2,"",G54-H54)</f>
        <v>-3.70349135132031</v>
      </c>
      <c r="L54" s="7" t="n">
        <f aca="false">IF(COUNT(G54,I54)&lt;2,"",G54-I54)</f>
        <v>-4.02622426150252</v>
      </c>
      <c r="M54" s="13" t="n">
        <f aca="false">MONTH(A54)</f>
        <v>5</v>
      </c>
    </row>
    <row r="55" customFormat="false" ht="15" hidden="false" customHeight="false" outlineLevel="0" collapsed="false">
      <c r="A55" s="8" t="n">
        <v>45835</v>
      </c>
      <c r="B55" s="27" t="n">
        <v>0.659700492138704</v>
      </c>
      <c r="C55" s="27" t="n">
        <v>-0.124477596658323</v>
      </c>
      <c r="D55" s="27" t="n">
        <v>1.21698167492124</v>
      </c>
      <c r="E55" s="27" t="n">
        <v>0.778014146880857</v>
      </c>
      <c r="F55" s="27" t="n">
        <v>1.04837289331066</v>
      </c>
      <c r="G55" s="27" t="n">
        <v>0.8948979550091</v>
      </c>
      <c r="H55" s="27" t="n">
        <v>1.15049820281783</v>
      </c>
      <c r="I55" s="27" t="n">
        <v>1.18653967504407</v>
      </c>
      <c r="J55" s="7" t="n">
        <f aca="false">IF(COUNT(B55:C55)=0,"",AVERAGE(B55:C55)-AVERAGE(D55:F55))</f>
        <v>-0.746844790630726</v>
      </c>
      <c r="K55" s="7" t="n">
        <f aca="false">IF(COUNT(G55,H55)&lt;2,"",G55-H55)</f>
        <v>-0.255600247808729</v>
      </c>
      <c r="L55" s="7" t="n">
        <f aca="false">IF(COUNT(G55,I55)&lt;2,"",G55-I55)</f>
        <v>-0.291641720034974</v>
      </c>
      <c r="M55" s="13" t="n">
        <f aca="false">MONTH(A55)</f>
        <v>6</v>
      </c>
    </row>
    <row r="56" customFormat="false" ht="15" hidden="false" customHeight="false" outlineLevel="0" collapsed="false">
      <c r="A56" s="8" t="n">
        <v>45863</v>
      </c>
      <c r="B56" s="27" t="n">
        <v>-0.518674917405271</v>
      </c>
      <c r="C56" s="27" t="n">
        <v>0.517846683226253</v>
      </c>
      <c r="D56" s="27" t="n">
        <v>0.456457280219347</v>
      </c>
      <c r="E56" s="27" t="n">
        <v>0.122484023810721</v>
      </c>
      <c r="F56" s="27" t="n">
        <v>1.38755106058</v>
      </c>
      <c r="G56" s="27" t="n">
        <v>-0.952463672266468</v>
      </c>
      <c r="H56" s="27" t="n">
        <v>0.124188595331631</v>
      </c>
      <c r="I56" s="27" t="n">
        <v>0.292766673269895</v>
      </c>
      <c r="J56" s="7" t="n">
        <f aca="false">IF(COUNT(B56:C56)=0,"",AVERAGE(B56:C56)-AVERAGE(D56:F56))</f>
        <v>-0.65591157195953</v>
      </c>
      <c r="K56" s="7" t="n">
        <f aca="false">IF(COUNT(G56,H56)&lt;2,"",G56-H56)</f>
        <v>-1.0766522675981</v>
      </c>
      <c r="L56" s="7" t="n">
        <f aca="false">IF(COUNT(G56,I56)&lt;2,"",G56-I56)</f>
        <v>-1.24523034553636</v>
      </c>
      <c r="M56" s="13" t="n">
        <f aca="false">MONTH(A56)</f>
        <v>7</v>
      </c>
    </row>
    <row r="57" customFormat="false" ht="15" hidden="false" customHeight="false" outlineLevel="0" collapsed="false">
      <c r="A57" s="8" t="n">
        <v>45891</v>
      </c>
      <c r="B57" s="27" t="n">
        <v>-0.826871500078852</v>
      </c>
      <c r="C57" s="27" t="n">
        <v>0.429566270670811</v>
      </c>
      <c r="D57" s="27" t="n">
        <v>0.893002993138836</v>
      </c>
      <c r="E57" s="27" t="n">
        <v>0.646391437624061</v>
      </c>
      <c r="F57" s="27" t="n">
        <v>2.0988200329608</v>
      </c>
      <c r="G57" s="27" t="n">
        <v>0.212772146202411</v>
      </c>
      <c r="H57" s="27" t="n">
        <v>0.809083553485479</v>
      </c>
      <c r="I57" s="27" t="n">
        <v>0.92768836230519</v>
      </c>
      <c r="J57" s="7" t="n">
        <f aca="false">IF(COUNT(B57:C57)=0,"",AVERAGE(B57:C57)-AVERAGE(D57:F57))</f>
        <v>-1.41139076927859</v>
      </c>
      <c r="K57" s="7" t="n">
        <f aca="false">IF(COUNT(G57,H57)&lt;2,"",G57-H57)</f>
        <v>-0.596311407283068</v>
      </c>
      <c r="L57" s="7" t="n">
        <f aca="false">IF(COUNT(G57,I57)&lt;2,"",G57-I57)</f>
        <v>-0.714916216102779</v>
      </c>
      <c r="M57" s="13" t="n">
        <f aca="false">MONTH(A57)</f>
        <v>8</v>
      </c>
    </row>
    <row r="58" customFormat="false" ht="15" hidden="false" customHeight="false" outlineLevel="0" collapsed="false">
      <c r="A58" s="8" t="n">
        <v>45919</v>
      </c>
      <c r="B58" s="27" t="n">
        <v>-2.4077697650748</v>
      </c>
      <c r="C58" s="27" t="n">
        <v>0.759845488889255</v>
      </c>
      <c r="D58" s="27" t="n">
        <v>0.771529598013387</v>
      </c>
      <c r="E58" s="27" t="n">
        <v>-0.245118238441044</v>
      </c>
      <c r="F58" s="27" t="n">
        <v>1.80797821926504</v>
      </c>
      <c r="G58" s="27" t="n">
        <v>0.671545779044003</v>
      </c>
      <c r="H58" s="27" t="n">
        <v>1.4050573944008</v>
      </c>
      <c r="I58" s="27" t="n">
        <v>1.59051463924875</v>
      </c>
      <c r="J58" s="7" t="n">
        <f aca="false">IF(COUNT(B58:C58)=0,"",AVERAGE(B58:C58)-AVERAGE(D58:F58))</f>
        <v>-1.60209199770523</v>
      </c>
      <c r="K58" s="7" t="n">
        <f aca="false">IF(COUNT(G58,H58)&lt;2,"",G58-H58)</f>
        <v>-0.733511615356796</v>
      </c>
      <c r="L58" s="7" t="n">
        <f aca="false">IF(COUNT(G58,I58)&lt;2,"",G58-I58)</f>
        <v>-0.918968860204749</v>
      </c>
      <c r="M58" s="13" t="n">
        <f aca="false">MONTH(A58)</f>
        <v>9</v>
      </c>
    </row>
    <row r="59" customFormat="false" ht="15" hidden="false" customHeight="false" outlineLevel="0" collapsed="false">
      <c r="A59" s="8" t="n">
        <v>45961</v>
      </c>
      <c r="B59" s="27" t="n">
        <v>7.26944862813177</v>
      </c>
      <c r="C59" s="27" t="n">
        <v>2.697760950009</v>
      </c>
      <c r="D59" s="27" t="n">
        <v>1.72801883757785</v>
      </c>
      <c r="E59" s="27" t="n">
        <v>4.7012603048266</v>
      </c>
      <c r="F59" s="27" t="n">
        <v>1.52792081651381</v>
      </c>
      <c r="G59" s="27" t="n">
        <v>8.18061541019723</v>
      </c>
      <c r="H59" s="27" t="n">
        <v>2.42288362517975</v>
      </c>
      <c r="I59" s="27" t="n">
        <v>1.82147541732434</v>
      </c>
      <c r="J59" s="7" t="n">
        <f aca="false">IF(COUNT(B59:C59)=0,"",AVERAGE(B59:C59)-AVERAGE(D59:F59))</f>
        <v>2.3312048027643</v>
      </c>
      <c r="K59" s="7" t="n">
        <f aca="false">IF(COUNT(G59,H59)&lt;2,"",G59-H59)</f>
        <v>5.75773178501748</v>
      </c>
      <c r="L59" s="7" t="n">
        <f aca="false">IF(COUNT(G59,I59)&lt;2,"",G59-I59)</f>
        <v>6.3591399928729</v>
      </c>
      <c r="M59" s="13" t="n">
        <f aca="false">MONTH(A59)</f>
        <v>10</v>
      </c>
    </row>
    <row r="60" customFormat="false" ht="15" hidden="false" customHeight="false" outlineLevel="0" collapsed="false">
      <c r="A60" s="8" t="n">
        <v>45989</v>
      </c>
      <c r="B60" s="27" t="n">
        <v>-2.33777877322048</v>
      </c>
      <c r="C60" s="27" t="n">
        <v>0.55999374278386</v>
      </c>
      <c r="D60" s="27" t="n">
        <v>0.246474408227826</v>
      </c>
      <c r="E60" s="27" t="n">
        <v>0.46940732859504</v>
      </c>
      <c r="F60" s="27" t="n">
        <v>0.239271339449765</v>
      </c>
      <c r="G60" s="27" t="n">
        <v>0.417010625720238</v>
      </c>
      <c r="H60" s="27" t="n">
        <v>0.657167147629423</v>
      </c>
      <c r="I60" s="27" t="n">
        <v>0.669118268989877</v>
      </c>
      <c r="J60" s="7" t="n">
        <f aca="false">IF(COUNT(B60:C60)=0,"",AVERAGE(B60:C60)-AVERAGE(D60:F60))</f>
        <v>-1.20727687397585</v>
      </c>
      <c r="K60" s="7" t="n">
        <f aca="false">IF(COUNT(G60,H60)&lt;2,"",G60-H60)</f>
        <v>-0.240156521909185</v>
      </c>
      <c r="L60" s="7" t="n">
        <f aca="false">IF(COUNT(G60,I60)&lt;2,"",G60-I60)</f>
        <v>-0.252107643269639</v>
      </c>
      <c r="M60" s="13" t="n">
        <f aca="false">MONTH(A60)</f>
        <v>11</v>
      </c>
    </row>
    <row r="61" customFormat="false" ht="15" hidden="false" customHeight="false" outlineLevel="0" collapsed="false">
      <c r="A61" s="8" t="n">
        <v>46022</v>
      </c>
      <c r="B61" s="27" t="n">
        <v>-0.736314448603359</v>
      </c>
      <c r="C61" s="27" t="n">
        <v>2.80040600747551</v>
      </c>
      <c r="D61" s="27" t="n">
        <v>1.89275580557062</v>
      </c>
      <c r="E61" s="27" t="n">
        <v>5.03063056581645</v>
      </c>
      <c r="F61" s="27" t="n">
        <v>1.97568135291348</v>
      </c>
      <c r="G61" s="27" t="n">
        <v>9.35419548394201</v>
      </c>
      <c r="H61" s="27" t="n">
        <v>3.96720482292956</v>
      </c>
      <c r="I61" s="27" t="n">
        <v>3.73479333423248</v>
      </c>
      <c r="J61" s="7" t="n">
        <f aca="false">IF(COUNT(B61:C61)=0,"",AVERAGE(B61:C61)-AVERAGE(D61:F61))</f>
        <v>-1.93431012866411</v>
      </c>
      <c r="K61" s="7" t="n">
        <f aca="false">IF(COUNT(G61,H61)&lt;2,"",G61-H61)</f>
        <v>5.38699066101245</v>
      </c>
      <c r="L61" s="7" t="n">
        <f aca="false">IF(COUNT(G61,I61)&lt;2,"",G61-I61)</f>
        <v>5.61940214970953</v>
      </c>
      <c r="M61" s="13" t="n">
        <f aca="false">MONTH(A61)</f>
        <v>12</v>
      </c>
    </row>
    <row r="62" customFormat="false" ht="15" hidden="false" customHeight="false" outlineLevel="0" collapsed="false">
      <c r="A62" s="8" t="n">
        <v>46053</v>
      </c>
      <c r="B62" s="27" t="n">
        <v>0.853447833698517</v>
      </c>
      <c r="C62" s="27" t="n">
        <v>0.76751833400035</v>
      </c>
      <c r="D62" s="27" t="n">
        <v>0.674022956622089</v>
      </c>
      <c r="E62" s="27" t="n">
        <v>0.685137346652454</v>
      </c>
      <c r="F62" s="27" t="n">
        <v>1.37154070118104</v>
      </c>
      <c r="G62" s="27" t="n">
        <v>2.58413897566161</v>
      </c>
      <c r="H62" s="27" t="n">
        <v>0.746144235780832</v>
      </c>
      <c r="I62" s="27" t="n">
        <v>0.584291893355271</v>
      </c>
      <c r="J62" s="7" t="n">
        <f aca="false">IF(COUNT(B62:C62)=0,"",AVERAGE(B62:C62)-AVERAGE(D62:F62))</f>
        <v>-0.0997505843024271</v>
      </c>
      <c r="K62" s="7" t="n">
        <f aca="false">IF(COUNT(G62,H62)&lt;2,"",G62-H62)</f>
        <v>1.83799473988078</v>
      </c>
      <c r="L62" s="7" t="n">
        <f aca="false">IF(COUNT(G62,I62)&lt;2,"",G62-I62)</f>
        <v>1.99984708230634</v>
      </c>
      <c r="M62" s="13" t="n">
        <f aca="false">MONTH(A62)</f>
        <v>1</v>
      </c>
    </row>
    <row r="63" customFormat="false" ht="15" hidden="false" customHeight="false" outlineLevel="0" collapsed="false">
      <c r="A63" s="8" t="n">
        <v>46081</v>
      </c>
      <c r="B63" s="27" t="n">
        <v>-1.47840186999968</v>
      </c>
      <c r="C63" s="27" t="n">
        <v>1.03054898067434</v>
      </c>
      <c r="D63" s="27" t="n">
        <v>0.828392958515423</v>
      </c>
      <c r="E63" s="27" t="n">
        <v>0.756257561882379</v>
      </c>
      <c r="F63" s="27" t="n">
        <v>0.445105070280683</v>
      </c>
      <c r="G63" s="27" t="n">
        <v>2.32845863325846</v>
      </c>
      <c r="H63" s="27" t="n">
        <v>1.39001370127403</v>
      </c>
      <c r="I63" s="27" t="n">
        <v>1.38356501000203</v>
      </c>
      <c r="J63" s="7" t="n">
        <f aca="false">IF(COUNT(B63:C63)=0,"",AVERAGE(B63:C63)-AVERAGE(D63:F63))</f>
        <v>-0.900511641555498</v>
      </c>
      <c r="K63" s="7" t="n">
        <f aca="false">IF(COUNT(G63,H63)&lt;2,"",G63-H63)</f>
        <v>0.938444931984428</v>
      </c>
      <c r="L63" s="7" t="n">
        <f aca="false">IF(COUNT(G63,I63)&lt;2,"",G63-I63)</f>
        <v>0.944893623256427</v>
      </c>
      <c r="M63" s="13" t="n">
        <f aca="false">MONTH(A63)</f>
        <v>2</v>
      </c>
    </row>
    <row r="64" customFormat="false" ht="15" hidden="false" customHeight="false" outlineLevel="0" collapsed="false">
      <c r="A64" s="8" t="n">
        <v>46112</v>
      </c>
      <c r="B64" s="27" t="n">
        <v>0.816258964941596</v>
      </c>
      <c r="C64" s="27" t="n">
        <v>1.6970851853662</v>
      </c>
      <c r="D64" s="27" t="n">
        <v>1.50930921774712</v>
      </c>
      <c r="E64" s="27" t="n">
        <v>1.72606961306645</v>
      </c>
      <c r="F64" s="27" t="n">
        <v>0.150147200801243</v>
      </c>
      <c r="G64" s="27" t="n">
        <v>6.58033832631428</v>
      </c>
      <c r="H64" s="27" t="n">
        <v>2.95393485149624</v>
      </c>
      <c r="I64" s="27" t="n">
        <v>2.74773356138844</v>
      </c>
      <c r="J64" s="7" t="n">
        <f aca="false">IF(COUNT(B64:C64)=0,"",AVERAGE(B64:C64)-AVERAGE(D64:F64))</f>
        <v>0.128163397948958</v>
      </c>
      <c r="K64" s="7" t="n">
        <f aca="false">IF(COUNT(G64,H64)&lt;2,"",G64-H64)</f>
        <v>3.62640347481804</v>
      </c>
      <c r="L64" s="7" t="n">
        <f aca="false">IF(COUNT(G64,I64)&lt;2,"",G64-I64)</f>
        <v>3.83260476492584</v>
      </c>
      <c r="M64" s="13" t="n">
        <f aca="false">MONTH(A64)</f>
        <v>3</v>
      </c>
    </row>
    <row r="65" customFormat="false" ht="15" hidden="false" customHeight="false" outlineLevel="0" collapsed="false">
      <c r="A65" s="8" t="n">
        <v>46142</v>
      </c>
      <c r="B65" s="27" t="n">
        <v>1.20013586868524</v>
      </c>
      <c r="C65" s="27" t="n">
        <v>0.0612009747495534</v>
      </c>
      <c r="D65" s="27" t="n">
        <v>-0.125542658079247</v>
      </c>
      <c r="E65" s="27" t="n">
        <v>0.565938921257825</v>
      </c>
      <c r="F65" s="27" t="n">
        <v>-0.0807580792587359</v>
      </c>
      <c r="G65" s="27" t="n">
        <v>-0.438350957869105</v>
      </c>
      <c r="H65" s="27" t="n">
        <v>-0.864412701995931</v>
      </c>
      <c r="I65" s="27" t="n">
        <v>-1.02027560027018</v>
      </c>
      <c r="J65" s="7" t="n">
        <f aca="false">IF(COUNT(B65:C65)=0,"",AVERAGE(B65:C65)-AVERAGE(D65:F65))</f>
        <v>0.510789027077448</v>
      </c>
      <c r="K65" s="7" t="n">
        <f aca="false">IF(COUNT(G65,H65)&lt;2,"",G65-H65)</f>
        <v>0.426061744126827</v>
      </c>
      <c r="L65" s="7" t="n">
        <f aca="false">IF(COUNT(G65,I65)&lt;2,"",G65-I65)</f>
        <v>0.581924642401077</v>
      </c>
      <c r="M65" s="13" t="n">
        <f aca="false">MONTH(A65)</f>
        <v>4</v>
      </c>
    </row>
    <row r="66" customFormat="false" ht="15" hidden="false" customHeight="false" outlineLevel="0" collapsed="false">
      <c r="A66" s="8" t="n">
        <v>46173</v>
      </c>
      <c r="B66" s="27" t="n">
        <v>-1.17493348083251</v>
      </c>
      <c r="C66" s="27" t="n">
        <v>0.605010832003572</v>
      </c>
      <c r="D66" s="27" t="n">
        <v>0.51428621863554</v>
      </c>
      <c r="E66" s="27" t="n">
        <v>0.748333830450854</v>
      </c>
      <c r="F66" s="27" t="n">
        <v>1.16151554066022</v>
      </c>
      <c r="G66" s="27" t="n">
        <v>1.74754668882233</v>
      </c>
      <c r="H66" s="27" t="n">
        <v>1.27592468154738</v>
      </c>
      <c r="I66" s="27" t="n">
        <v>1.35401478186239</v>
      </c>
      <c r="J66" s="7" t="n">
        <f aca="false">IF(COUNT(B66:C66)=0,"",AVERAGE(B66:C66)-AVERAGE(D66:F66))</f>
        <v>-1.09300652099667</v>
      </c>
      <c r="K66" s="7" t="n">
        <f aca="false">IF(COUNT(G66,H66)&lt;2,"",G66-H66)</f>
        <v>0.471622007274952</v>
      </c>
      <c r="L66" s="7" t="n">
        <f aca="false">IF(COUNT(G66,I66)&lt;2,"",G66-I66)</f>
        <v>0.393531906959943</v>
      </c>
      <c r="M66" s="13" t="n">
        <f aca="false">MONTH(A66)</f>
        <v>5</v>
      </c>
    </row>
    <row r="67" customFormat="false" ht="15" hidden="false" customHeight="false" outlineLevel="0" collapsed="false">
      <c r="A67" s="8" t="n">
        <v>46203</v>
      </c>
      <c r="B67" s="27" t="n">
        <v>1.26361448476704</v>
      </c>
      <c r="C67" s="27" t="n">
        <v>1.3698228415036</v>
      </c>
      <c r="D67" s="27" t="n">
        <v>1.02680201988914</v>
      </c>
      <c r="E67" s="27" t="n">
        <v>0.78785522580791</v>
      </c>
      <c r="F67" s="27" t="n">
        <v>0.379548867229751</v>
      </c>
      <c r="G67" s="27" t="n">
        <v>1.14287567162545</v>
      </c>
      <c r="H67" s="27" t="n">
        <v>1.93336968847468</v>
      </c>
      <c r="I67" s="27" t="n">
        <v>2.10822691340589</v>
      </c>
      <c r="J67" s="7" t="n">
        <f aca="false">IF(COUNT(B67:C67)=0,"",AVERAGE(B67:C67)-AVERAGE(D67:F67))</f>
        <v>0.585316625493052</v>
      </c>
      <c r="K67" s="7" t="n">
        <f aca="false">IF(COUNT(G67,H67)&lt;2,"",G67-H67)</f>
        <v>-0.79049401684923</v>
      </c>
      <c r="L67" s="7" t="n">
        <f aca="false">IF(COUNT(G67,I67)&lt;2,"",G67-I67)</f>
        <v>-0.965351241780432</v>
      </c>
      <c r="M67" s="13" t="n">
        <f aca="false">MONTH(A67)</f>
        <v>6</v>
      </c>
    </row>
    <row r="68" customFormat="false" ht="15" hidden="false" customHeight="false" outlineLevel="0" collapsed="false">
      <c r="A68" s="8" t="n">
        <v>46234</v>
      </c>
      <c r="B68" s="27" t="n">
        <v>-0.175935954391981</v>
      </c>
      <c r="C68" s="27" t="n">
        <v>0.945640522614433</v>
      </c>
      <c r="D68" s="27" t="n">
        <v>0.721493235373671</v>
      </c>
      <c r="E68" s="27" t="n">
        <v>1.34103186557528</v>
      </c>
      <c r="F68" s="27" t="n">
        <v>1.7744917824345</v>
      </c>
      <c r="G68" s="27" t="n">
        <v>0.394716938391504</v>
      </c>
      <c r="H68" s="27" t="n">
        <v>0.749370944870265</v>
      </c>
      <c r="I68" s="27" t="n">
        <v>0.738027627156868</v>
      </c>
      <c r="J68" s="7" t="n">
        <f aca="false">IF(COUNT(B68:C68)=0,"",AVERAGE(B68:C68)-AVERAGE(D68:F68))</f>
        <v>-0.894153343683257</v>
      </c>
      <c r="K68" s="7" t="n">
        <f aca="false">IF(COUNT(G68,H68)&lt;2,"",G68-H68)</f>
        <v>-0.354654006478761</v>
      </c>
      <c r="L68" s="7" t="n">
        <f aca="false">IF(COUNT(G68,I68)&lt;2,"",G68-I68)</f>
        <v>-0.343310688765364</v>
      </c>
      <c r="M68" s="13" t="n">
        <f aca="false">MONTH(A68)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9" min="1" style="0" width="12"/>
  </cols>
  <sheetData>
    <row r="1" customFormat="false" ht="15" hidden="false" customHeight="false" outlineLevel="0" collapsed="false">
      <c r="A1" s="1" t="s">
        <v>385</v>
      </c>
    </row>
    <row r="2" customFormat="false" ht="15" hidden="false" customHeight="false" outlineLevel="0" collapsed="false">
      <c r="A2" s="2" t="s">
        <v>386</v>
      </c>
    </row>
    <row r="4" customFormat="false" ht="42" hidden="false" customHeight="true" outlineLevel="0" collapsed="false">
      <c r="A4" s="3" t="s">
        <v>66</v>
      </c>
      <c r="B4" s="3" t="s">
        <v>387</v>
      </c>
      <c r="C4" s="3" t="s">
        <v>388</v>
      </c>
      <c r="D4" s="3" t="s">
        <v>389</v>
      </c>
      <c r="E4" s="3" t="s">
        <v>390</v>
      </c>
      <c r="F4" s="3" t="s">
        <v>391</v>
      </c>
      <c r="G4" s="3" t="s">
        <v>392</v>
      </c>
      <c r="H4" s="3" t="s">
        <v>393</v>
      </c>
      <c r="I4" s="3" t="s">
        <v>394</v>
      </c>
      <c r="J4" s="3" t="s">
        <v>395</v>
      </c>
      <c r="K4" s="3" t="s">
        <v>396</v>
      </c>
      <c r="L4" s="3" t="s">
        <v>397</v>
      </c>
      <c r="M4" s="3" t="s">
        <v>398</v>
      </c>
      <c r="N4" s="3" t="s">
        <v>399</v>
      </c>
      <c r="O4" s="3" t="s">
        <v>400</v>
      </c>
      <c r="P4" s="3" t="s">
        <v>401</v>
      </c>
      <c r="Q4" s="3" t="s">
        <v>402</v>
      </c>
      <c r="R4" s="3" t="s">
        <v>403</v>
      </c>
      <c r="S4" s="3" t="s">
        <v>404</v>
      </c>
    </row>
    <row r="5" customFormat="false" ht="15" hidden="false" customHeight="false" outlineLevel="0" collapsed="false">
      <c r="A5" s="8" t="n">
        <v>44805</v>
      </c>
      <c r="B5" s="39" t="n">
        <v>17542.8</v>
      </c>
      <c r="C5" s="39" t="n">
        <v>15211.2</v>
      </c>
      <c r="D5" s="39" t="n">
        <v>2307.1</v>
      </c>
      <c r="E5" s="39" t="n">
        <v>643.45</v>
      </c>
      <c r="F5" s="39" t="n">
        <v>936.1</v>
      </c>
      <c r="G5" s="39" t="n">
        <v>417.05</v>
      </c>
      <c r="H5" s="39" t="n">
        <v>298.29</v>
      </c>
      <c r="I5" s="39" t="n">
        <v>243.8</v>
      </c>
      <c r="J5" s="39" t="n">
        <v>1401.5</v>
      </c>
      <c r="K5" s="39" t="n">
        <v>717.15</v>
      </c>
      <c r="L5" s="39" t="n">
        <v>789.3</v>
      </c>
      <c r="M5" s="39" t="n">
        <v>982.6</v>
      </c>
      <c r="N5" s="39" t="n">
        <v>334.39</v>
      </c>
      <c r="O5" s="39" t="n">
        <v>206.85</v>
      </c>
      <c r="P5" s="39" t="n">
        <v>1044.75</v>
      </c>
      <c r="Q5" s="39" t="n">
        <v>305.8</v>
      </c>
      <c r="R5" s="39" t="n">
        <v>928.05</v>
      </c>
      <c r="S5" s="39" t="n">
        <v>265.85</v>
      </c>
    </row>
    <row r="6" customFormat="false" ht="15" hidden="false" customHeight="false" outlineLevel="0" collapsed="false">
      <c r="A6" s="8" t="n">
        <v>44806</v>
      </c>
      <c r="B6" s="39" t="n">
        <v>17539.45</v>
      </c>
      <c r="C6" s="39" t="n">
        <v>15201.6</v>
      </c>
      <c r="D6" s="39" t="n">
        <v>2276.9</v>
      </c>
      <c r="E6" s="39" t="n">
        <v>635.9</v>
      </c>
      <c r="F6" s="39" t="n">
        <v>929.45</v>
      </c>
      <c r="G6" s="39" t="n">
        <v>418.05</v>
      </c>
      <c r="H6" s="39" t="n">
        <v>314.61</v>
      </c>
      <c r="I6" s="39" t="n">
        <v>242.45</v>
      </c>
      <c r="J6" s="39" t="n">
        <v>1423.85</v>
      </c>
      <c r="K6" s="39" t="n">
        <v>718.06</v>
      </c>
      <c r="L6" s="39" t="n">
        <v>790.5</v>
      </c>
      <c r="M6" s="39" t="n">
        <v>995.5</v>
      </c>
      <c r="N6" s="39" t="n">
        <v>333.76</v>
      </c>
      <c r="O6" s="39" t="n">
        <v>209.1</v>
      </c>
      <c r="P6" s="39" t="n">
        <v>1030</v>
      </c>
      <c r="Q6" s="39" t="n">
        <v>305.35</v>
      </c>
      <c r="R6" s="39" t="n">
        <v>932.5</v>
      </c>
      <c r="S6" s="39" t="n">
        <v>261.72</v>
      </c>
    </row>
    <row r="7" customFormat="false" ht="15" hidden="false" customHeight="false" outlineLevel="0" collapsed="false">
      <c r="A7" s="8" t="n">
        <v>44809</v>
      </c>
      <c r="B7" s="39" t="n">
        <v>17665.8</v>
      </c>
      <c r="C7" s="39" t="n">
        <v>15294.4</v>
      </c>
      <c r="D7" s="39" t="n">
        <v>2287.95</v>
      </c>
      <c r="E7" s="39" t="n">
        <v>638.6</v>
      </c>
      <c r="F7" s="39" t="n">
        <v>913.4</v>
      </c>
      <c r="G7" s="39" t="n">
        <v>425.55</v>
      </c>
      <c r="H7" s="39" t="n">
        <v>311.17</v>
      </c>
      <c r="I7" s="39" t="n">
        <v>237.1</v>
      </c>
      <c r="J7" s="39" t="n">
        <v>1419.4</v>
      </c>
      <c r="K7" s="39" t="n">
        <v>718.64</v>
      </c>
      <c r="L7" s="39" t="n">
        <v>799.75</v>
      </c>
      <c r="M7" s="39" t="n">
        <v>1017.15</v>
      </c>
      <c r="N7" s="39" t="n">
        <v>328.85</v>
      </c>
      <c r="O7" s="39" t="n">
        <v>214.9</v>
      </c>
      <c r="P7" s="39" t="n">
        <v>1030.6</v>
      </c>
      <c r="Q7" s="39" t="n">
        <v>303.6</v>
      </c>
      <c r="R7" s="39" t="n">
        <v>936.35</v>
      </c>
      <c r="S7" s="39" t="n">
        <v>264.16</v>
      </c>
    </row>
    <row r="8" customFormat="false" ht="15" hidden="false" customHeight="false" outlineLevel="0" collapsed="false">
      <c r="A8" s="8" t="n">
        <v>44810</v>
      </c>
      <c r="B8" s="39" t="n">
        <v>17655.6</v>
      </c>
      <c r="C8" s="39" t="n">
        <v>15313.05</v>
      </c>
      <c r="D8" s="39" t="n">
        <v>2283.35</v>
      </c>
      <c r="E8" s="39" t="n">
        <v>644.75</v>
      </c>
      <c r="F8" s="39" t="n">
        <v>886.2</v>
      </c>
      <c r="G8" s="39" t="n">
        <v>422.35</v>
      </c>
      <c r="H8" s="39" t="n">
        <v>304.67</v>
      </c>
      <c r="I8" s="39" t="n">
        <v>232.95</v>
      </c>
      <c r="J8" s="39" t="n">
        <v>1414.6</v>
      </c>
      <c r="K8" s="39" t="n">
        <v>710.97</v>
      </c>
      <c r="L8" s="39" t="n">
        <v>801.8</v>
      </c>
      <c r="M8" s="39" t="n">
        <v>1052.75</v>
      </c>
      <c r="N8" s="39" t="n">
        <v>323.17</v>
      </c>
      <c r="O8" s="39" t="n">
        <v>219.8</v>
      </c>
      <c r="P8" s="39" t="n">
        <v>1030.6</v>
      </c>
      <c r="Q8" s="39" t="n">
        <v>299.5</v>
      </c>
      <c r="R8" s="39" t="n">
        <v>950.25</v>
      </c>
      <c r="S8" s="39" t="n">
        <v>276.95</v>
      </c>
    </row>
    <row r="9" customFormat="false" ht="15" hidden="false" customHeight="false" outlineLevel="0" collapsed="false">
      <c r="A9" s="8" t="n">
        <v>44811</v>
      </c>
      <c r="B9" s="39" t="n">
        <v>17624.4</v>
      </c>
      <c r="C9" s="39" t="n">
        <v>15319.4</v>
      </c>
      <c r="D9" s="39" t="n">
        <v>2286.3</v>
      </c>
      <c r="E9" s="39" t="n">
        <v>641.6</v>
      </c>
      <c r="F9" s="39" t="n">
        <v>859.15</v>
      </c>
      <c r="G9" s="39" t="n">
        <v>423.6</v>
      </c>
      <c r="H9" s="39" t="n">
        <v>307.61</v>
      </c>
      <c r="I9" s="39" t="n">
        <v>238</v>
      </c>
      <c r="J9" s="39" t="n">
        <v>1404.55</v>
      </c>
      <c r="K9" s="39" t="n">
        <v>715.68</v>
      </c>
      <c r="L9" s="39" t="n">
        <v>802.2</v>
      </c>
      <c r="M9" s="39" t="n">
        <v>1038.9</v>
      </c>
      <c r="N9" s="39" t="n">
        <v>323.51</v>
      </c>
      <c r="O9" s="39" t="n">
        <v>222.3</v>
      </c>
      <c r="P9" s="39" t="n">
        <v>1035.9</v>
      </c>
      <c r="Q9" s="39" t="n">
        <v>299.65</v>
      </c>
      <c r="R9" s="39" t="n">
        <v>958.15</v>
      </c>
      <c r="S9" s="39" t="n">
        <v>273.32</v>
      </c>
    </row>
    <row r="10" customFormat="false" ht="15" hidden="false" customHeight="false" outlineLevel="0" collapsed="false">
      <c r="A10" s="8" t="n">
        <v>44812</v>
      </c>
      <c r="B10" s="39" t="n">
        <v>17798.75</v>
      </c>
      <c r="C10" s="39" t="n">
        <v>15440.7</v>
      </c>
      <c r="D10" s="39" t="n">
        <v>2290.7</v>
      </c>
      <c r="E10" s="39" t="n">
        <v>646.75</v>
      </c>
      <c r="F10" s="39" t="n">
        <v>887.15</v>
      </c>
      <c r="G10" s="39" t="n">
        <v>432.8</v>
      </c>
      <c r="H10" s="39" t="n">
        <v>306.86</v>
      </c>
      <c r="I10" s="39" t="n">
        <v>235.3</v>
      </c>
      <c r="J10" s="39" t="n">
        <v>1406.45</v>
      </c>
      <c r="K10" s="39" t="n">
        <v>724.78</v>
      </c>
      <c r="L10" s="39" t="n">
        <v>801.4</v>
      </c>
      <c r="M10" s="39" t="n">
        <v>1039.25</v>
      </c>
      <c r="N10" s="39" t="n">
        <v>325.65</v>
      </c>
      <c r="O10" s="39" t="n">
        <v>220.9</v>
      </c>
      <c r="P10" s="39" t="n">
        <v>1040.35</v>
      </c>
      <c r="Q10" s="39" t="n">
        <v>303.1</v>
      </c>
      <c r="R10" s="39" t="n">
        <v>963.2</v>
      </c>
      <c r="S10" s="39" t="n">
        <v>272.29</v>
      </c>
    </row>
    <row r="11" customFormat="false" ht="15" hidden="false" customHeight="false" outlineLevel="0" collapsed="false">
      <c r="A11" s="8" t="n">
        <v>44813</v>
      </c>
      <c r="B11" s="39" t="n">
        <v>17833.35</v>
      </c>
      <c r="C11" s="39" t="n">
        <v>15467.4</v>
      </c>
      <c r="D11" s="39" t="n">
        <v>2313.25</v>
      </c>
      <c r="E11" s="39" t="n">
        <v>647.05</v>
      </c>
      <c r="F11" s="39" t="n">
        <v>873.85</v>
      </c>
      <c r="G11" s="39" t="n">
        <v>436.7</v>
      </c>
      <c r="H11" s="39" t="n">
        <v>308.68</v>
      </c>
      <c r="I11" s="39" t="n">
        <v>231.5</v>
      </c>
      <c r="J11" s="39" t="n">
        <v>1402.35</v>
      </c>
      <c r="K11" s="39" t="n">
        <v>717.11</v>
      </c>
      <c r="L11" s="39" t="n">
        <v>790.75</v>
      </c>
      <c r="M11" s="39" t="n">
        <v>1029.7</v>
      </c>
      <c r="N11" s="39" t="n">
        <v>326.23</v>
      </c>
      <c r="O11" s="39" t="n">
        <v>224.65</v>
      </c>
      <c r="P11" s="39" t="n">
        <v>1045.35</v>
      </c>
      <c r="Q11" s="39" t="n">
        <v>305.25</v>
      </c>
      <c r="R11" s="39" t="n">
        <v>943.25</v>
      </c>
      <c r="S11" s="39" t="n">
        <v>264.82</v>
      </c>
    </row>
    <row r="12" customFormat="false" ht="15" hidden="false" customHeight="false" outlineLevel="0" collapsed="false">
      <c r="A12" s="8" t="n">
        <v>44816</v>
      </c>
      <c r="B12" s="39" t="n">
        <v>17936.35</v>
      </c>
      <c r="C12" s="39" t="n">
        <v>15577.4</v>
      </c>
      <c r="D12" s="39" t="n">
        <v>2308.15</v>
      </c>
      <c r="E12" s="39" t="n">
        <v>656.4</v>
      </c>
      <c r="F12" s="39" t="n">
        <v>879.55</v>
      </c>
      <c r="G12" s="39" t="n">
        <v>437.55</v>
      </c>
      <c r="H12" s="39" t="n">
        <v>308.23</v>
      </c>
      <c r="I12" s="39" t="n">
        <v>254.65</v>
      </c>
      <c r="J12" s="39" t="n">
        <v>1420.35</v>
      </c>
      <c r="K12" s="39" t="n">
        <v>727.7</v>
      </c>
      <c r="L12" s="39" t="n">
        <v>798.2</v>
      </c>
      <c r="M12" s="39" t="n">
        <v>1044.05</v>
      </c>
      <c r="N12" s="39" t="n">
        <v>327.15</v>
      </c>
      <c r="O12" s="39" t="n">
        <v>225.45</v>
      </c>
      <c r="P12" s="39" t="n">
        <v>1046.15</v>
      </c>
      <c r="Q12" s="39" t="n">
        <v>303.25</v>
      </c>
      <c r="R12" s="39" t="n">
        <v>949.75</v>
      </c>
      <c r="S12" s="39" t="n">
        <v>265.7</v>
      </c>
    </row>
    <row r="13" customFormat="false" ht="15" hidden="false" customHeight="false" outlineLevel="0" collapsed="false">
      <c r="A13" s="8" t="n">
        <v>44817</v>
      </c>
      <c r="B13" s="39" t="n">
        <v>18070.05</v>
      </c>
      <c r="C13" s="39" t="n">
        <v>15669.85</v>
      </c>
      <c r="D13" s="39" t="n">
        <v>2280.85</v>
      </c>
      <c r="E13" s="39" t="n">
        <v>651.65</v>
      </c>
      <c r="F13" s="39" t="n">
        <v>861.4</v>
      </c>
      <c r="G13" s="39" t="n">
        <v>437.25</v>
      </c>
      <c r="H13" s="39" t="n">
        <v>333.37</v>
      </c>
      <c r="I13" s="39" t="n">
        <v>250</v>
      </c>
      <c r="J13" s="39" t="n">
        <v>1418.2</v>
      </c>
      <c r="K13" s="39" t="n">
        <v>739.34</v>
      </c>
      <c r="L13" s="39" t="n">
        <v>797.9</v>
      </c>
      <c r="M13" s="39" t="n">
        <v>1030.4</v>
      </c>
      <c r="N13" s="39" t="n">
        <v>337.21</v>
      </c>
      <c r="O13" s="39" t="n">
        <v>225.85</v>
      </c>
      <c r="P13" s="39" t="n">
        <v>1050.2</v>
      </c>
      <c r="Q13" s="39" t="n">
        <v>301.5</v>
      </c>
      <c r="R13" s="39" t="n">
        <v>952.75</v>
      </c>
      <c r="S13" s="39" t="n">
        <v>266.52</v>
      </c>
    </row>
    <row r="14" customFormat="false" ht="15" hidden="false" customHeight="false" outlineLevel="0" collapsed="false">
      <c r="A14" s="8" t="n">
        <v>44818</v>
      </c>
      <c r="B14" s="39" t="n">
        <v>18003.75</v>
      </c>
      <c r="C14" s="39" t="n">
        <v>15630.7</v>
      </c>
      <c r="D14" s="39" t="n">
        <v>2264.4</v>
      </c>
      <c r="E14" s="39" t="n">
        <v>653.5</v>
      </c>
      <c r="F14" s="39" t="n">
        <v>864.9</v>
      </c>
      <c r="G14" s="39" t="n">
        <v>438.95</v>
      </c>
      <c r="H14" s="39" t="n">
        <v>336.22</v>
      </c>
      <c r="I14" s="39" t="n">
        <v>258.6</v>
      </c>
      <c r="J14" s="39" t="n">
        <v>1408</v>
      </c>
      <c r="K14" s="39" t="n">
        <v>747.33</v>
      </c>
      <c r="L14" s="39" t="n">
        <v>794.85</v>
      </c>
      <c r="M14" s="39" t="n">
        <v>1025.35</v>
      </c>
      <c r="N14" s="39" t="n">
        <v>339.49</v>
      </c>
      <c r="O14" s="39" t="n">
        <v>229.55</v>
      </c>
      <c r="P14" s="39" t="n">
        <v>1041.6</v>
      </c>
      <c r="Q14" s="39" t="n">
        <v>296.55</v>
      </c>
      <c r="R14" s="39" t="n">
        <v>957.85</v>
      </c>
      <c r="S14" s="39" t="n">
        <v>266.93</v>
      </c>
    </row>
    <row r="15" customFormat="false" ht="15" hidden="false" customHeight="false" outlineLevel="0" collapsed="false">
      <c r="A15" s="8" t="n">
        <v>44819</v>
      </c>
      <c r="B15" s="39" t="n">
        <v>17877.4</v>
      </c>
      <c r="C15" s="39" t="n">
        <v>15580.35</v>
      </c>
      <c r="D15" s="39" t="n">
        <v>2211.65</v>
      </c>
      <c r="E15" s="39" t="n">
        <v>664.35</v>
      </c>
      <c r="F15" s="39" t="n">
        <v>890.6</v>
      </c>
      <c r="G15" s="39" t="n">
        <v>440.35</v>
      </c>
      <c r="H15" s="39" t="n">
        <v>342.68</v>
      </c>
      <c r="I15" s="39" t="n">
        <v>255.9</v>
      </c>
      <c r="J15" s="39" t="n">
        <v>1504.35</v>
      </c>
      <c r="K15" s="39" t="n">
        <v>737.63</v>
      </c>
      <c r="L15" s="39" t="n">
        <v>792.8</v>
      </c>
      <c r="M15" s="39" t="n">
        <v>1000.6</v>
      </c>
      <c r="N15" s="39" t="n">
        <v>352.46</v>
      </c>
      <c r="O15" s="39" t="n">
        <v>229.9</v>
      </c>
      <c r="P15" s="39" t="n">
        <v>1059.55</v>
      </c>
      <c r="Q15" s="39" t="n">
        <v>314.8</v>
      </c>
      <c r="R15" s="39" t="n">
        <v>958.65</v>
      </c>
      <c r="S15" s="39" t="n">
        <v>265.19</v>
      </c>
    </row>
    <row r="16" customFormat="false" ht="15" hidden="false" customHeight="false" outlineLevel="0" collapsed="false">
      <c r="A16" s="8" t="n">
        <v>44820</v>
      </c>
      <c r="B16" s="39" t="n">
        <v>17530.85</v>
      </c>
      <c r="C16" s="39" t="n">
        <v>15243.95</v>
      </c>
      <c r="D16" s="39" t="n">
        <v>2164.4</v>
      </c>
      <c r="E16" s="39" t="n">
        <v>635</v>
      </c>
      <c r="F16" s="39" t="n">
        <v>868.05</v>
      </c>
      <c r="G16" s="39" t="n">
        <v>430.6</v>
      </c>
      <c r="H16" s="39" t="n">
        <v>340.41</v>
      </c>
      <c r="I16" s="39" t="n">
        <v>231.95</v>
      </c>
      <c r="J16" s="39" t="n">
        <v>1466.95</v>
      </c>
      <c r="K16" s="39" t="n">
        <v>726.42</v>
      </c>
      <c r="L16" s="39" t="n">
        <v>768.6</v>
      </c>
      <c r="M16" s="39" t="n">
        <v>1012.65</v>
      </c>
      <c r="N16" s="39" t="n">
        <v>351.54</v>
      </c>
      <c r="O16" s="39" t="n">
        <v>226.1</v>
      </c>
      <c r="P16" s="39" t="n">
        <v>1033.4</v>
      </c>
      <c r="Q16" s="39" t="n">
        <v>313.6</v>
      </c>
      <c r="R16" s="39" t="n">
        <v>934.05</v>
      </c>
      <c r="S16" s="39" t="n">
        <v>256.81</v>
      </c>
    </row>
    <row r="17" customFormat="false" ht="15" hidden="false" customHeight="false" outlineLevel="0" collapsed="false">
      <c r="A17" s="8" t="n">
        <v>44823</v>
      </c>
      <c r="B17" s="39" t="n">
        <v>17622.25</v>
      </c>
      <c r="C17" s="39" t="n">
        <v>15293.55</v>
      </c>
      <c r="D17" s="39" t="n">
        <v>2235.1</v>
      </c>
      <c r="E17" s="39" t="n">
        <v>589.9</v>
      </c>
      <c r="F17" s="39" t="n">
        <v>888.3</v>
      </c>
      <c r="G17" s="39" t="n">
        <v>413.5</v>
      </c>
      <c r="H17" s="39" t="n">
        <v>368.4</v>
      </c>
      <c r="I17" s="39" t="n">
        <v>234.15</v>
      </c>
      <c r="J17" s="39" t="n">
        <v>1435.5</v>
      </c>
      <c r="K17" s="39" t="n">
        <v>748.59</v>
      </c>
      <c r="L17" s="39" t="n">
        <v>785.65</v>
      </c>
      <c r="M17" s="39" t="n">
        <v>988.85</v>
      </c>
      <c r="N17" s="39" t="n">
        <v>353.87</v>
      </c>
      <c r="O17" s="39" t="n">
        <v>223.4</v>
      </c>
      <c r="P17" s="39" t="n">
        <v>1028.1</v>
      </c>
      <c r="Q17" s="39" t="n">
        <v>325.9</v>
      </c>
      <c r="R17" s="39" t="n">
        <v>942.85</v>
      </c>
      <c r="S17" s="39" t="n">
        <v>257.38</v>
      </c>
    </row>
    <row r="18" customFormat="false" ht="15" hidden="false" customHeight="false" outlineLevel="0" collapsed="false">
      <c r="A18" s="8" t="n">
        <v>44824</v>
      </c>
      <c r="B18" s="39" t="n">
        <v>17816.25</v>
      </c>
      <c r="C18" s="39" t="n">
        <v>15470.35</v>
      </c>
      <c r="D18" s="39" t="n">
        <v>2222.4</v>
      </c>
      <c r="E18" s="39" t="n">
        <v>565.35</v>
      </c>
      <c r="F18" s="39" t="n">
        <v>907</v>
      </c>
      <c r="G18" s="39" t="n">
        <v>424.85</v>
      </c>
      <c r="H18" s="39" t="n">
        <v>358.5</v>
      </c>
      <c r="I18" s="39" t="n">
        <v>240.65</v>
      </c>
      <c r="J18" s="39" t="n">
        <v>1439.45</v>
      </c>
      <c r="K18" s="39" t="n">
        <v>762.5</v>
      </c>
      <c r="L18" s="39" t="n">
        <v>786.5</v>
      </c>
      <c r="M18" s="39" t="n">
        <v>998.8</v>
      </c>
      <c r="N18" s="39" t="n">
        <v>348.82</v>
      </c>
      <c r="O18" s="39" t="n">
        <v>227.35</v>
      </c>
      <c r="P18" s="39" t="n">
        <v>1033.95</v>
      </c>
      <c r="Q18" s="39" t="n">
        <v>323.05</v>
      </c>
      <c r="R18" s="39" t="n">
        <v>957.2</v>
      </c>
      <c r="S18" s="39" t="n">
        <v>259.22</v>
      </c>
    </row>
    <row r="19" customFormat="false" ht="15" hidden="false" customHeight="false" outlineLevel="0" collapsed="false">
      <c r="A19" s="8" t="n">
        <v>44825</v>
      </c>
      <c r="B19" s="39" t="n">
        <v>17718.35</v>
      </c>
      <c r="C19" s="39" t="n">
        <v>15361.25</v>
      </c>
      <c r="D19" s="39" t="n">
        <v>2170.75</v>
      </c>
      <c r="E19" s="39" t="n">
        <v>552.4</v>
      </c>
      <c r="F19" s="39" t="n">
        <v>900.55</v>
      </c>
      <c r="G19" s="39" t="n">
        <v>420.7</v>
      </c>
      <c r="H19" s="39" t="n">
        <v>347.07</v>
      </c>
      <c r="I19" s="39" t="n">
        <v>234.3</v>
      </c>
      <c r="J19" s="39" t="n">
        <v>1432.4</v>
      </c>
      <c r="K19" s="39" t="n">
        <v>768.02</v>
      </c>
      <c r="L19" s="39" t="n">
        <v>772.7</v>
      </c>
      <c r="M19" s="39" t="n">
        <v>998.35</v>
      </c>
      <c r="N19" s="39" t="n">
        <v>359.4</v>
      </c>
      <c r="O19" s="39" t="n">
        <v>223.75</v>
      </c>
      <c r="P19" s="39" t="n">
        <v>1036.4</v>
      </c>
      <c r="Q19" s="39" t="n">
        <v>319.45</v>
      </c>
      <c r="R19" s="39" t="n">
        <v>948.4</v>
      </c>
      <c r="S19" s="39" t="n">
        <v>254.56</v>
      </c>
    </row>
    <row r="20" customFormat="false" ht="15" hidden="false" customHeight="false" outlineLevel="0" collapsed="false">
      <c r="A20" s="8" t="n">
        <v>44826</v>
      </c>
      <c r="B20" s="39" t="n">
        <v>17629.8</v>
      </c>
      <c r="C20" s="39" t="n">
        <v>15335.3</v>
      </c>
      <c r="D20" s="39" t="n">
        <v>2199.55</v>
      </c>
      <c r="E20" s="39" t="n">
        <v>542.65</v>
      </c>
      <c r="F20" s="39" t="n">
        <v>908.35</v>
      </c>
      <c r="G20" s="39" t="n">
        <v>422.45</v>
      </c>
      <c r="H20" s="39" t="n">
        <v>345.33</v>
      </c>
      <c r="I20" s="39" t="n">
        <v>235.55</v>
      </c>
      <c r="J20" s="39" t="n">
        <v>1412.6</v>
      </c>
      <c r="K20" s="39" t="n">
        <v>770.91</v>
      </c>
      <c r="L20" s="39" t="n">
        <v>784.1</v>
      </c>
      <c r="M20" s="39" t="n">
        <v>999.7</v>
      </c>
      <c r="N20" s="39" t="n">
        <v>373.29</v>
      </c>
      <c r="O20" s="39" t="n">
        <v>223.7</v>
      </c>
      <c r="P20" s="39" t="n">
        <v>1014.3</v>
      </c>
      <c r="Q20" s="39" t="n">
        <v>317.65</v>
      </c>
      <c r="R20" s="39" t="n">
        <v>944.45</v>
      </c>
      <c r="S20" s="39" t="n">
        <v>251.44</v>
      </c>
    </row>
    <row r="21" customFormat="false" ht="15" hidden="false" customHeight="false" outlineLevel="0" collapsed="false">
      <c r="A21" s="8" t="n">
        <v>44827</v>
      </c>
      <c r="B21" s="39" t="n">
        <v>17327.35</v>
      </c>
      <c r="C21" s="39" t="n">
        <v>15057.65</v>
      </c>
      <c r="D21" s="39" t="n">
        <v>2175.65</v>
      </c>
      <c r="E21" s="39" t="n">
        <v>517.45</v>
      </c>
      <c r="F21" s="39" t="n">
        <v>870.65</v>
      </c>
      <c r="G21" s="39" t="n">
        <v>401.95</v>
      </c>
      <c r="H21" s="39" t="n">
        <v>335.02</v>
      </c>
      <c r="I21" s="39" t="n">
        <v>236</v>
      </c>
      <c r="J21" s="39" t="n">
        <v>1403.4</v>
      </c>
      <c r="K21" s="39" t="n">
        <v>749.69</v>
      </c>
      <c r="L21" s="39" t="n">
        <v>738.5</v>
      </c>
      <c r="M21" s="39" t="n">
        <v>993.5</v>
      </c>
      <c r="N21" s="39" t="n">
        <v>364.07</v>
      </c>
      <c r="O21" s="39" t="n">
        <v>194.4</v>
      </c>
      <c r="P21" s="39" t="n">
        <v>1002.5</v>
      </c>
      <c r="Q21" s="39" t="n">
        <v>306.35</v>
      </c>
      <c r="R21" s="39" t="n">
        <v>915.55</v>
      </c>
      <c r="S21" s="39" t="n">
        <v>240.63</v>
      </c>
    </row>
    <row r="22" customFormat="false" ht="15" hidden="false" customHeight="false" outlineLevel="0" collapsed="false">
      <c r="A22" s="8" t="n">
        <v>44830</v>
      </c>
      <c r="B22" s="39" t="n">
        <v>17016.3</v>
      </c>
      <c r="C22" s="39" t="n">
        <v>14725.7</v>
      </c>
      <c r="D22" s="39" t="n">
        <v>2189.3</v>
      </c>
      <c r="E22" s="39" t="n">
        <v>478.05</v>
      </c>
      <c r="F22" s="39" t="n">
        <v>846.05</v>
      </c>
      <c r="G22" s="39" t="n">
        <v>394.3</v>
      </c>
      <c r="H22" s="39" t="n">
        <v>315.31</v>
      </c>
      <c r="I22" s="39" t="n">
        <v>230.8</v>
      </c>
      <c r="J22" s="39" t="n">
        <v>1346.9</v>
      </c>
      <c r="K22" s="39" t="n">
        <v>724.96</v>
      </c>
      <c r="L22" s="39" t="n">
        <v>713.95</v>
      </c>
      <c r="M22" s="39" t="n">
        <v>979.35</v>
      </c>
      <c r="N22" s="39" t="n">
        <v>342.36</v>
      </c>
      <c r="O22" s="39" t="n">
        <v>183.25</v>
      </c>
      <c r="P22" s="39" t="n">
        <v>956.2</v>
      </c>
      <c r="Q22" s="39" t="n">
        <v>285.2</v>
      </c>
      <c r="R22" s="39" t="n">
        <v>875.7</v>
      </c>
      <c r="S22" s="39" t="n">
        <v>234.99</v>
      </c>
    </row>
    <row r="23" customFormat="false" ht="15" hidden="false" customHeight="false" outlineLevel="0" collapsed="false">
      <c r="A23" s="8" t="n">
        <v>44831</v>
      </c>
      <c r="B23" s="39" t="n">
        <v>17007.4</v>
      </c>
      <c r="C23" s="39" t="n">
        <v>14727.3</v>
      </c>
      <c r="D23" s="39" t="n">
        <v>2183.1</v>
      </c>
      <c r="E23" s="39" t="n">
        <v>461.9</v>
      </c>
      <c r="F23" s="39" t="n">
        <v>864.55</v>
      </c>
      <c r="G23" s="39" t="n">
        <v>396.95</v>
      </c>
      <c r="H23" s="39" t="n">
        <v>324.88</v>
      </c>
      <c r="I23" s="39" t="n">
        <v>228.95</v>
      </c>
      <c r="J23" s="39" t="n">
        <v>1338.4</v>
      </c>
      <c r="K23" s="39" t="n">
        <v>723.3</v>
      </c>
      <c r="L23" s="39" t="n">
        <v>720.65</v>
      </c>
      <c r="M23" s="39" t="n">
        <v>991.8</v>
      </c>
      <c r="N23" s="39" t="n">
        <v>347.36</v>
      </c>
      <c r="O23" s="39" t="n">
        <v>183</v>
      </c>
      <c r="P23" s="39" t="n">
        <v>1012.05</v>
      </c>
      <c r="Q23" s="39" t="n">
        <v>290.55</v>
      </c>
      <c r="R23" s="39" t="n">
        <v>904.45</v>
      </c>
      <c r="S23" s="39" t="n">
        <v>233.01</v>
      </c>
    </row>
    <row r="24" customFormat="false" ht="15" hidden="false" customHeight="false" outlineLevel="0" collapsed="false">
      <c r="A24" s="8" t="n">
        <v>44832</v>
      </c>
      <c r="B24" s="39" t="n">
        <v>16858.6</v>
      </c>
      <c r="C24" s="39" t="n">
        <v>14620.6</v>
      </c>
      <c r="D24" s="39" t="n">
        <v>2193</v>
      </c>
      <c r="E24" s="39" t="n">
        <v>463.85</v>
      </c>
      <c r="F24" s="39" t="n">
        <v>873.8</v>
      </c>
      <c r="G24" s="39" t="n">
        <v>396.05</v>
      </c>
      <c r="H24" s="39" t="n">
        <v>312.99</v>
      </c>
      <c r="I24" s="39" t="n">
        <v>227.8</v>
      </c>
      <c r="J24" s="39" t="n">
        <v>1295.45</v>
      </c>
      <c r="K24" s="39" t="n">
        <v>719.27</v>
      </c>
      <c r="L24" s="39" t="n">
        <v>719.85</v>
      </c>
      <c r="M24" s="39" t="n">
        <v>987.7</v>
      </c>
      <c r="N24" s="39" t="n">
        <v>341.19</v>
      </c>
      <c r="O24" s="39" t="n">
        <v>177.7</v>
      </c>
      <c r="P24" s="39" t="n">
        <v>1048.65</v>
      </c>
      <c r="Q24" s="39" t="n">
        <v>289.6</v>
      </c>
      <c r="R24" s="39" t="n">
        <v>897.5</v>
      </c>
      <c r="S24" s="39" t="n">
        <v>234.98</v>
      </c>
    </row>
    <row r="25" customFormat="false" ht="15" hidden="false" customHeight="false" outlineLevel="0" collapsed="false">
      <c r="A25" s="8" t="n">
        <v>44833</v>
      </c>
      <c r="B25" s="39" t="n">
        <v>16818.1</v>
      </c>
      <c r="C25" s="39" t="n">
        <v>14602.5</v>
      </c>
      <c r="D25" s="39" t="n">
        <v>2161.5</v>
      </c>
      <c r="E25" s="39" t="n">
        <v>470.55</v>
      </c>
      <c r="F25" s="39" t="n">
        <v>886.35</v>
      </c>
      <c r="G25" s="39" t="n">
        <v>394.95</v>
      </c>
      <c r="H25" s="39" t="n">
        <v>310.76</v>
      </c>
      <c r="I25" s="39" t="n">
        <v>229.3</v>
      </c>
      <c r="J25" s="39" t="n">
        <v>1319.2</v>
      </c>
      <c r="K25" s="39" t="n">
        <v>709.51</v>
      </c>
      <c r="L25" s="39" t="n">
        <v>727.65</v>
      </c>
      <c r="M25" s="39" t="n">
        <v>1000.5</v>
      </c>
      <c r="N25" s="39" t="n">
        <v>344.59</v>
      </c>
      <c r="O25" s="39" t="n">
        <v>181.8</v>
      </c>
      <c r="P25" s="39" t="n">
        <v>1033.35</v>
      </c>
      <c r="Q25" s="39" t="n">
        <v>292.85</v>
      </c>
      <c r="R25" s="39" t="n">
        <v>903.4</v>
      </c>
      <c r="S25" s="39" t="n">
        <v>241.85</v>
      </c>
    </row>
    <row r="26" customFormat="false" ht="15" hidden="false" customHeight="false" outlineLevel="0" collapsed="false">
      <c r="A26" s="8" t="n">
        <v>44834</v>
      </c>
      <c r="B26" s="39" t="n">
        <v>17094.35</v>
      </c>
      <c r="C26" s="39" t="n">
        <v>14829.35</v>
      </c>
      <c r="D26" s="39" t="n">
        <v>2241.7</v>
      </c>
      <c r="E26" s="39" t="n">
        <v>479.8</v>
      </c>
      <c r="F26" s="39" t="n">
        <v>873.55</v>
      </c>
      <c r="G26" s="39" t="n">
        <v>413.85</v>
      </c>
      <c r="H26" s="39" t="n">
        <v>324.96</v>
      </c>
      <c r="I26" s="39" t="n">
        <v>229.95</v>
      </c>
      <c r="J26" s="39" t="n">
        <v>1362.95</v>
      </c>
      <c r="K26" s="39" t="n">
        <v>732.58</v>
      </c>
      <c r="L26" s="39" t="n">
        <v>732.2</v>
      </c>
      <c r="M26" s="39" t="n">
        <v>994.1</v>
      </c>
      <c r="N26" s="39" t="n">
        <v>341.63</v>
      </c>
      <c r="O26" s="39" t="n">
        <v>185.25</v>
      </c>
      <c r="P26" s="39" t="n">
        <v>1040.05</v>
      </c>
      <c r="Q26" s="39" t="n">
        <v>305.8</v>
      </c>
      <c r="R26" s="39" t="n">
        <v>913.5</v>
      </c>
      <c r="S26" s="39" t="n">
        <v>239.51</v>
      </c>
    </row>
    <row r="27" customFormat="false" ht="15" hidden="false" customHeight="false" outlineLevel="0" collapsed="false">
      <c r="A27" s="8" t="n">
        <v>44837</v>
      </c>
      <c r="B27" s="39" t="n">
        <v>16887.35</v>
      </c>
      <c r="C27" s="39" t="n">
        <v>14638.5</v>
      </c>
      <c r="D27" s="39" t="n">
        <v>2230.4</v>
      </c>
      <c r="E27" s="39" t="n">
        <v>480.9</v>
      </c>
      <c r="F27" s="39" t="n">
        <v>873.4</v>
      </c>
      <c r="G27" s="39" t="n">
        <v>402.3</v>
      </c>
      <c r="H27" s="39" t="n">
        <v>323.97</v>
      </c>
      <c r="I27" s="39" t="n">
        <v>232.25</v>
      </c>
      <c r="J27" s="39" t="n">
        <v>1339.05</v>
      </c>
      <c r="K27" s="39" t="n">
        <v>716.21</v>
      </c>
      <c r="L27" s="39" t="n">
        <v>699.55</v>
      </c>
      <c r="M27" s="39" t="n">
        <v>994.5</v>
      </c>
      <c r="N27" s="39" t="n">
        <v>347.5</v>
      </c>
      <c r="O27" s="39" t="n">
        <v>179.75</v>
      </c>
      <c r="P27" s="39" t="n">
        <v>1029.6</v>
      </c>
      <c r="Q27" s="39" t="n">
        <v>306.55</v>
      </c>
      <c r="R27" s="39" t="n">
        <v>879.25</v>
      </c>
      <c r="S27" s="39" t="n">
        <v>233.93</v>
      </c>
    </row>
    <row r="28" customFormat="false" ht="15" hidden="false" customHeight="false" outlineLevel="0" collapsed="false">
      <c r="A28" s="8" t="n">
        <v>44838</v>
      </c>
      <c r="B28" s="39" t="n">
        <v>17274.3</v>
      </c>
      <c r="C28" s="39" t="n">
        <v>14965.8</v>
      </c>
      <c r="D28" s="39" t="n">
        <v>2196.05</v>
      </c>
      <c r="E28" s="39" t="n">
        <v>495.3</v>
      </c>
      <c r="F28" s="39" t="n">
        <v>880.9</v>
      </c>
      <c r="G28" s="39" t="n">
        <v>417.65</v>
      </c>
      <c r="H28" s="39" t="n">
        <v>328.11</v>
      </c>
      <c r="I28" s="39" t="n">
        <v>234.2</v>
      </c>
      <c r="J28" s="39" t="n">
        <v>1367.15</v>
      </c>
      <c r="K28" s="39" t="n">
        <v>747.85</v>
      </c>
      <c r="L28" s="39" t="n">
        <v>737.75</v>
      </c>
      <c r="M28" s="39" t="n">
        <v>996.5</v>
      </c>
      <c r="N28" s="39" t="n">
        <v>345.17</v>
      </c>
      <c r="O28" s="39" t="n">
        <v>200.4</v>
      </c>
      <c r="P28" s="39" t="n">
        <v>1040.05</v>
      </c>
      <c r="Q28" s="39" t="n">
        <v>315.85</v>
      </c>
      <c r="R28" s="39" t="n">
        <v>894.55</v>
      </c>
      <c r="S28" s="39" t="n">
        <v>239.97</v>
      </c>
    </row>
    <row r="29" customFormat="false" ht="15" hidden="false" customHeight="false" outlineLevel="0" collapsed="false">
      <c r="A29" s="8" t="n">
        <v>44840</v>
      </c>
      <c r="B29" s="39" t="n">
        <v>17331.8</v>
      </c>
      <c r="C29" s="39" t="n">
        <v>15053.05</v>
      </c>
      <c r="D29" s="39" t="n">
        <v>2179.75</v>
      </c>
      <c r="E29" s="39" t="n">
        <v>501.25</v>
      </c>
      <c r="F29" s="39" t="n">
        <v>886</v>
      </c>
      <c r="G29" s="39" t="n">
        <v>426.5</v>
      </c>
      <c r="H29" s="39" t="n">
        <v>332.83</v>
      </c>
      <c r="I29" s="39" t="n">
        <v>233.45</v>
      </c>
      <c r="J29" s="39" t="n">
        <v>1404.6</v>
      </c>
      <c r="K29" s="39" t="n">
        <v>739.41</v>
      </c>
      <c r="L29" s="39" t="n">
        <v>728.7</v>
      </c>
      <c r="M29" s="39" t="n">
        <v>1001.05</v>
      </c>
      <c r="N29" s="39" t="n">
        <v>362.03</v>
      </c>
      <c r="O29" s="39" t="n">
        <v>200.25</v>
      </c>
      <c r="P29" s="39" t="n">
        <v>1043.95</v>
      </c>
      <c r="Q29" s="39" t="n">
        <v>322.05</v>
      </c>
      <c r="R29" s="39" t="n">
        <v>886.35</v>
      </c>
      <c r="S29" s="39" t="n">
        <v>239.55</v>
      </c>
    </row>
    <row r="30" customFormat="false" ht="15" hidden="false" customHeight="false" outlineLevel="0" collapsed="false">
      <c r="A30" s="8" t="n">
        <v>44841</v>
      </c>
      <c r="B30" s="39" t="n">
        <v>17314.65</v>
      </c>
      <c r="C30" s="39" t="n">
        <v>15036.7</v>
      </c>
      <c r="D30" s="39" t="n">
        <v>2092.7</v>
      </c>
      <c r="E30" s="39" t="n">
        <v>500.7</v>
      </c>
      <c r="F30" s="39" t="n">
        <v>878.1</v>
      </c>
      <c r="G30" s="39" t="n">
        <v>425.55</v>
      </c>
      <c r="H30" s="39" t="n">
        <v>341.19</v>
      </c>
      <c r="I30" s="39" t="n">
        <v>232.45</v>
      </c>
      <c r="J30" s="39" t="n">
        <v>1358.65</v>
      </c>
      <c r="K30" s="39" t="n">
        <v>733.52</v>
      </c>
      <c r="L30" s="39" t="n">
        <v>737.15</v>
      </c>
      <c r="M30" s="39" t="n">
        <v>999.6</v>
      </c>
      <c r="N30" s="39" t="n">
        <v>357.85</v>
      </c>
      <c r="O30" s="39" t="n">
        <v>200.85</v>
      </c>
      <c r="P30" s="39" t="n">
        <v>1058.4</v>
      </c>
      <c r="Q30" s="39" t="n">
        <v>330.1</v>
      </c>
      <c r="R30" s="39" t="n">
        <v>885.55</v>
      </c>
      <c r="S30" s="39" t="n">
        <v>239.82</v>
      </c>
    </row>
    <row r="31" customFormat="false" ht="15" hidden="false" customHeight="false" outlineLevel="0" collapsed="false">
      <c r="A31" s="8" t="n">
        <v>44844</v>
      </c>
      <c r="B31" s="39" t="n">
        <v>17241</v>
      </c>
      <c r="C31" s="39" t="n">
        <v>14951.65</v>
      </c>
      <c r="D31" s="39" t="n">
        <v>2091.55</v>
      </c>
      <c r="E31" s="39" t="n">
        <v>497.2</v>
      </c>
      <c r="F31" s="39" t="n">
        <v>862.1</v>
      </c>
      <c r="G31" s="39" t="n">
        <v>416.2</v>
      </c>
      <c r="H31" s="39" t="n">
        <v>335.98</v>
      </c>
      <c r="I31" s="39" t="n">
        <v>229.95</v>
      </c>
      <c r="J31" s="39" t="n">
        <v>1343.1</v>
      </c>
      <c r="K31" s="39" t="n">
        <v>728.35</v>
      </c>
      <c r="L31" s="39" t="n">
        <v>729.85</v>
      </c>
      <c r="M31" s="39" t="n">
        <v>995.65</v>
      </c>
      <c r="N31" s="39" t="n">
        <v>350.76</v>
      </c>
      <c r="O31" s="39" t="n">
        <v>204.35</v>
      </c>
      <c r="P31" s="39" t="n">
        <v>1052.5</v>
      </c>
      <c r="Q31" s="39" t="n">
        <v>325.7</v>
      </c>
      <c r="R31" s="39" t="n">
        <v>882.95</v>
      </c>
      <c r="S31" s="39" t="n">
        <v>235.55</v>
      </c>
    </row>
    <row r="32" customFormat="false" ht="15" hidden="false" customHeight="false" outlineLevel="0" collapsed="false">
      <c r="A32" s="8" t="n">
        <v>44845</v>
      </c>
      <c r="B32" s="39" t="n">
        <v>16983.55</v>
      </c>
      <c r="C32" s="39" t="n">
        <v>14721.9</v>
      </c>
      <c r="D32" s="39" t="n">
        <v>2048.3</v>
      </c>
      <c r="E32" s="39" t="n">
        <v>480.65</v>
      </c>
      <c r="F32" s="39" t="n">
        <v>848.8</v>
      </c>
      <c r="G32" s="39" t="n">
        <v>404.6</v>
      </c>
      <c r="H32" s="39" t="n">
        <v>319.87</v>
      </c>
      <c r="I32" s="39" t="n">
        <v>217.75</v>
      </c>
      <c r="J32" s="39" t="n">
        <v>1366.1</v>
      </c>
      <c r="K32" s="39" t="n">
        <v>719.3</v>
      </c>
      <c r="L32" s="39" t="n">
        <v>719.2</v>
      </c>
      <c r="M32" s="39" t="n">
        <v>983.3</v>
      </c>
      <c r="N32" s="39" t="n">
        <v>347.07</v>
      </c>
      <c r="O32" s="39" t="n">
        <v>199.65</v>
      </c>
      <c r="P32" s="39" t="n">
        <v>1027.3</v>
      </c>
      <c r="Q32" s="39" t="n">
        <v>326.45</v>
      </c>
      <c r="R32" s="39" t="n">
        <v>872.5</v>
      </c>
      <c r="S32" s="39" t="n">
        <v>234.77</v>
      </c>
    </row>
    <row r="33" customFormat="false" ht="15" hidden="false" customHeight="false" outlineLevel="0" collapsed="false">
      <c r="A33" s="8" t="n">
        <v>44846</v>
      </c>
      <c r="B33" s="39" t="n">
        <v>17123.6</v>
      </c>
      <c r="C33" s="39" t="n">
        <v>14829.95</v>
      </c>
      <c r="D33" s="39" t="n">
        <v>2111.75</v>
      </c>
      <c r="E33" s="39" t="n">
        <v>492.1</v>
      </c>
      <c r="F33" s="39" t="n">
        <v>837.9</v>
      </c>
      <c r="G33" s="39" t="n">
        <v>410.25</v>
      </c>
      <c r="H33" s="39" t="n">
        <v>322.52</v>
      </c>
      <c r="I33" s="39" t="n">
        <v>219.05</v>
      </c>
      <c r="J33" s="39" t="n">
        <v>1372.5</v>
      </c>
      <c r="K33" s="39" t="n">
        <v>721.64</v>
      </c>
      <c r="L33" s="39" t="n">
        <v>744.6</v>
      </c>
      <c r="M33" s="39" t="n">
        <v>986.95</v>
      </c>
      <c r="N33" s="39" t="n">
        <v>342.79</v>
      </c>
      <c r="O33" s="39" t="n">
        <v>207.05</v>
      </c>
      <c r="P33" s="39" t="n">
        <v>1028.75</v>
      </c>
      <c r="Q33" s="39" t="n">
        <v>329.3</v>
      </c>
      <c r="R33" s="39" t="n">
        <v>874.05</v>
      </c>
      <c r="S33" s="39" t="n">
        <v>242.4</v>
      </c>
    </row>
    <row r="34" customFormat="false" ht="15" hidden="false" customHeight="false" outlineLevel="0" collapsed="false">
      <c r="A34" s="8" t="n">
        <v>44847</v>
      </c>
      <c r="B34" s="39" t="n">
        <v>17014.35</v>
      </c>
      <c r="C34" s="39" t="n">
        <v>14730.3</v>
      </c>
      <c r="D34" s="39" t="n">
        <v>2072.3</v>
      </c>
      <c r="E34" s="39" t="n">
        <v>502.25</v>
      </c>
      <c r="F34" s="39" t="n">
        <v>821.75</v>
      </c>
      <c r="G34" s="39" t="n">
        <v>404.25</v>
      </c>
      <c r="H34" s="39" t="n">
        <v>322.68</v>
      </c>
      <c r="I34" s="39" t="n">
        <v>215.9</v>
      </c>
      <c r="J34" s="39" t="n">
        <v>1375.65</v>
      </c>
      <c r="K34" s="39" t="n">
        <v>714.19</v>
      </c>
      <c r="L34" s="39" t="n">
        <v>724.65</v>
      </c>
      <c r="M34" s="39" t="n">
        <v>991.8</v>
      </c>
      <c r="N34" s="39" t="n">
        <v>340.36</v>
      </c>
      <c r="O34" s="39" t="n">
        <v>206.1</v>
      </c>
      <c r="P34" s="39" t="n">
        <v>1020.2</v>
      </c>
      <c r="Q34" s="39" t="n">
        <v>321.6</v>
      </c>
      <c r="R34" s="39" t="n">
        <v>861.3</v>
      </c>
      <c r="S34" s="39" t="n">
        <v>237.8</v>
      </c>
    </row>
    <row r="35" customFormat="false" ht="15" hidden="false" customHeight="false" outlineLevel="0" collapsed="false">
      <c r="A35" s="8" t="n">
        <v>44848</v>
      </c>
      <c r="B35" s="39" t="n">
        <v>17185.7</v>
      </c>
      <c r="C35" s="39" t="n">
        <v>14815.1</v>
      </c>
      <c r="D35" s="39" t="n">
        <v>2076.5</v>
      </c>
      <c r="E35" s="39" t="n">
        <v>503.55</v>
      </c>
      <c r="F35" s="39" t="n">
        <v>825.95</v>
      </c>
      <c r="G35" s="39" t="n">
        <v>405.95</v>
      </c>
      <c r="H35" s="39" t="n">
        <v>323.43</v>
      </c>
      <c r="I35" s="39" t="n">
        <v>210.85</v>
      </c>
      <c r="J35" s="39" t="n">
        <v>1371.15</v>
      </c>
      <c r="K35" s="39" t="n">
        <v>726.26</v>
      </c>
      <c r="L35" s="39" t="n">
        <v>726.6</v>
      </c>
      <c r="M35" s="39" t="n">
        <v>977.15</v>
      </c>
      <c r="N35" s="39" t="n">
        <v>337.45</v>
      </c>
      <c r="O35" s="39" t="n">
        <v>207.85</v>
      </c>
      <c r="P35" s="39" t="n">
        <v>1015.1</v>
      </c>
      <c r="Q35" s="39" t="n">
        <v>323</v>
      </c>
      <c r="R35" s="39" t="n">
        <v>846.85</v>
      </c>
      <c r="S35" s="39" t="n">
        <v>236.78</v>
      </c>
    </row>
    <row r="36" customFormat="false" ht="15" hidden="false" customHeight="false" outlineLevel="0" collapsed="false">
      <c r="A36" s="8" t="n">
        <v>44851</v>
      </c>
      <c r="B36" s="39" t="n">
        <v>17311.8</v>
      </c>
      <c r="C36" s="39" t="n">
        <v>14906.15</v>
      </c>
      <c r="D36" s="39" t="n">
        <v>2052.9</v>
      </c>
      <c r="E36" s="39" t="n">
        <v>502.2</v>
      </c>
      <c r="F36" s="39" t="n">
        <v>835.3</v>
      </c>
      <c r="G36" s="39" t="n">
        <v>408.3</v>
      </c>
      <c r="H36" s="39" t="n">
        <v>321.61</v>
      </c>
      <c r="I36" s="39" t="n">
        <v>211.1</v>
      </c>
      <c r="J36" s="39" t="n">
        <v>1372.05</v>
      </c>
      <c r="K36" s="39" t="n">
        <v>734.52</v>
      </c>
      <c r="L36" s="39" t="n">
        <v>732.35</v>
      </c>
      <c r="M36" s="39" t="n">
        <v>935.4</v>
      </c>
      <c r="N36" s="39" t="n">
        <v>339.98</v>
      </c>
      <c r="O36" s="39" t="n">
        <v>211.45</v>
      </c>
      <c r="P36" s="39" t="n">
        <v>1022.05</v>
      </c>
      <c r="Q36" s="39" t="n">
        <v>324.7</v>
      </c>
      <c r="R36" s="39" t="n">
        <v>858.5</v>
      </c>
      <c r="S36" s="39" t="n">
        <v>238.48</v>
      </c>
    </row>
    <row r="37" customFormat="false" ht="15" hidden="false" customHeight="false" outlineLevel="0" collapsed="false">
      <c r="A37" s="8" t="n">
        <v>44852</v>
      </c>
      <c r="B37" s="39" t="n">
        <v>17486.95</v>
      </c>
      <c r="C37" s="39" t="n">
        <v>15056.55</v>
      </c>
      <c r="D37" s="39" t="n">
        <v>2046</v>
      </c>
      <c r="E37" s="39" t="n">
        <v>524.3</v>
      </c>
      <c r="F37" s="39" t="n">
        <v>834.3</v>
      </c>
      <c r="G37" s="39" t="n">
        <v>415.15</v>
      </c>
      <c r="H37" s="39" t="n">
        <v>325.99</v>
      </c>
      <c r="I37" s="39" t="n">
        <v>212.25</v>
      </c>
      <c r="J37" s="39" t="n">
        <v>1396.25</v>
      </c>
      <c r="K37" s="39" t="n">
        <v>738.04</v>
      </c>
      <c r="L37" s="39" t="n">
        <v>746.8</v>
      </c>
      <c r="M37" s="39" t="n">
        <v>941.6</v>
      </c>
      <c r="N37" s="39" t="n">
        <v>342.55</v>
      </c>
      <c r="O37" s="39" t="n">
        <v>212.9</v>
      </c>
      <c r="P37" s="39" t="n">
        <v>1040.85</v>
      </c>
      <c r="Q37" s="39" t="n">
        <v>327.7</v>
      </c>
      <c r="R37" s="39" t="n">
        <v>883.7</v>
      </c>
      <c r="S37" s="39" t="n">
        <v>244.83</v>
      </c>
    </row>
    <row r="38" customFormat="false" ht="15" hidden="false" customHeight="false" outlineLevel="0" collapsed="false">
      <c r="A38" s="8" t="n">
        <v>44853</v>
      </c>
      <c r="B38" s="39" t="n">
        <v>17512.25</v>
      </c>
      <c r="C38" s="39" t="n">
        <v>15068.6</v>
      </c>
      <c r="D38" s="39" t="n">
        <v>2033.7</v>
      </c>
      <c r="E38" s="39" t="n">
        <v>519.5</v>
      </c>
      <c r="F38" s="39" t="n">
        <v>848.05</v>
      </c>
      <c r="G38" s="39" t="n">
        <v>410.7</v>
      </c>
      <c r="H38" s="39" t="n">
        <v>352.17</v>
      </c>
      <c r="I38" s="39" t="n">
        <v>221.1</v>
      </c>
      <c r="J38" s="39" t="n">
        <v>1435.8</v>
      </c>
      <c r="K38" s="39" t="n">
        <v>737.04</v>
      </c>
      <c r="L38" s="39" t="n">
        <v>746.45</v>
      </c>
      <c r="M38" s="39" t="n">
        <v>974.6</v>
      </c>
      <c r="N38" s="39" t="n">
        <v>344.98</v>
      </c>
      <c r="O38" s="39" t="n">
        <v>215.45</v>
      </c>
      <c r="P38" s="39" t="n">
        <v>1049.85</v>
      </c>
      <c r="Q38" s="39" t="n">
        <v>334.25</v>
      </c>
      <c r="R38" s="39" t="n">
        <v>886.45</v>
      </c>
      <c r="S38" s="39" t="n">
        <v>242.91</v>
      </c>
    </row>
    <row r="39" customFormat="false" ht="15" hidden="false" customHeight="false" outlineLevel="0" collapsed="false">
      <c r="A39" s="8" t="n">
        <v>44854</v>
      </c>
      <c r="B39" s="39" t="n">
        <v>17563.95</v>
      </c>
      <c r="C39" s="39" t="n">
        <v>15112.1</v>
      </c>
      <c r="D39" s="39" t="n">
        <v>2059.8</v>
      </c>
      <c r="E39" s="39" t="n">
        <v>521.25</v>
      </c>
      <c r="F39" s="39" t="n">
        <v>802.8</v>
      </c>
      <c r="G39" s="39" t="n">
        <v>419.3</v>
      </c>
      <c r="H39" s="39" t="n">
        <v>367.78</v>
      </c>
      <c r="I39" s="39" t="n">
        <v>217.25</v>
      </c>
      <c r="J39" s="39" t="n">
        <v>1475.1</v>
      </c>
      <c r="K39" s="39" t="n">
        <v>742.23</v>
      </c>
      <c r="L39" s="39" t="n">
        <v>729.55</v>
      </c>
      <c r="M39" s="39" t="n">
        <v>972.55</v>
      </c>
      <c r="N39" s="39" t="n">
        <v>348.09</v>
      </c>
      <c r="O39" s="39" t="n">
        <v>212.25</v>
      </c>
      <c r="P39" s="39" t="n">
        <v>1048</v>
      </c>
      <c r="Q39" s="39" t="n">
        <v>331</v>
      </c>
      <c r="R39" s="39" t="n">
        <v>886.95</v>
      </c>
      <c r="S39" s="39" t="n">
        <v>243.16</v>
      </c>
    </row>
    <row r="40" customFormat="false" ht="15" hidden="false" customHeight="false" outlineLevel="0" collapsed="false">
      <c r="A40" s="8" t="n">
        <v>44855</v>
      </c>
      <c r="B40" s="39" t="n">
        <v>17576.3</v>
      </c>
      <c r="C40" s="39" t="n">
        <v>15081.1</v>
      </c>
      <c r="D40" s="39" t="n">
        <v>1990.05</v>
      </c>
      <c r="E40" s="39" t="n">
        <v>521.15</v>
      </c>
      <c r="F40" s="39" t="n">
        <v>754.15</v>
      </c>
      <c r="G40" s="39" t="n">
        <v>413.7</v>
      </c>
      <c r="H40" s="39" t="n">
        <v>354.2</v>
      </c>
      <c r="I40" s="39" t="n">
        <v>219</v>
      </c>
      <c r="J40" s="39" t="n">
        <v>1433.15</v>
      </c>
      <c r="K40" s="39" t="n">
        <v>718.3</v>
      </c>
      <c r="L40" s="39" t="n">
        <v>712.45</v>
      </c>
      <c r="M40" s="39" t="n">
        <v>957.55</v>
      </c>
      <c r="N40" s="39" t="n">
        <v>344.4</v>
      </c>
      <c r="O40" s="39" t="n">
        <v>206.15</v>
      </c>
      <c r="P40" s="39" t="n">
        <v>1033</v>
      </c>
      <c r="Q40" s="39" t="n">
        <v>315.8</v>
      </c>
      <c r="R40" s="39" t="n">
        <v>865.45</v>
      </c>
      <c r="S40" s="39" t="n">
        <v>239.54</v>
      </c>
    </row>
    <row r="41" customFormat="false" ht="15" hidden="false" customHeight="false" outlineLevel="0" collapsed="false">
      <c r="A41" s="8" t="n">
        <v>44858</v>
      </c>
      <c r="B41" s="39" t="n">
        <v>17730.75</v>
      </c>
      <c r="C41" s="39" t="n">
        <v>15198.75</v>
      </c>
      <c r="D41" s="39" t="n">
        <v>2010.95</v>
      </c>
      <c r="E41" s="39" t="n">
        <v>524.75</v>
      </c>
      <c r="F41" s="39" t="n">
        <v>764.35</v>
      </c>
      <c r="G41" s="39" t="n">
        <v>416.05</v>
      </c>
      <c r="H41" s="39" t="n">
        <v>359.58</v>
      </c>
      <c r="I41" s="39" t="n">
        <v>219.3</v>
      </c>
      <c r="J41" s="39" t="n">
        <v>1448.75</v>
      </c>
      <c r="K41" s="39" t="n">
        <v>719.67</v>
      </c>
      <c r="L41" s="39" t="n">
        <v>713.25</v>
      </c>
      <c r="M41" s="39" t="n">
        <v>987.1</v>
      </c>
      <c r="N41" s="39" t="n">
        <v>350.9</v>
      </c>
      <c r="O41" s="39" t="n">
        <v>204.35</v>
      </c>
      <c r="P41" s="39" t="n">
        <v>1035.35</v>
      </c>
      <c r="Q41" s="39" t="n">
        <v>319</v>
      </c>
      <c r="R41" s="39" t="n">
        <v>855.5</v>
      </c>
      <c r="S41" s="39" t="n">
        <v>239.8</v>
      </c>
    </row>
    <row r="42" customFormat="false" ht="15" hidden="false" customHeight="false" outlineLevel="0" collapsed="false">
      <c r="A42" s="8" t="n">
        <v>44859</v>
      </c>
      <c r="B42" s="39" t="n">
        <v>17656.35</v>
      </c>
      <c r="C42" s="39" t="n">
        <v>15158.1</v>
      </c>
      <c r="D42" s="39" t="n">
        <v>1971.9</v>
      </c>
      <c r="E42" s="39" t="n">
        <v>525.85</v>
      </c>
      <c r="F42" s="39" t="n">
        <v>730.4</v>
      </c>
      <c r="G42" s="39" t="n">
        <v>419.9</v>
      </c>
      <c r="H42" s="39" t="n">
        <v>357.14</v>
      </c>
      <c r="I42" s="39" t="n">
        <v>215.9</v>
      </c>
      <c r="J42" s="39" t="n">
        <v>1451.05</v>
      </c>
      <c r="K42" s="39" t="n">
        <v>709.32</v>
      </c>
      <c r="L42" s="39" t="n">
        <v>715.75</v>
      </c>
      <c r="M42" s="39" t="n">
        <v>976.4</v>
      </c>
      <c r="N42" s="39" t="n">
        <v>353.72</v>
      </c>
      <c r="O42" s="39" t="n">
        <v>204.25</v>
      </c>
      <c r="P42" s="39" t="n">
        <v>1052.05</v>
      </c>
      <c r="Q42" s="39" t="n">
        <v>313.3</v>
      </c>
      <c r="R42" s="39" t="n">
        <v>844.85</v>
      </c>
      <c r="S42" s="39" t="n">
        <v>243.42</v>
      </c>
    </row>
    <row r="43" customFormat="false" ht="15" hidden="false" customHeight="false" outlineLevel="0" collapsed="false">
      <c r="A43" s="8" t="n">
        <v>44861</v>
      </c>
      <c r="B43" s="39" t="n">
        <v>17736.95</v>
      </c>
      <c r="C43" s="39" t="n">
        <v>15244.25</v>
      </c>
      <c r="D43" s="39" t="n">
        <v>1988.65</v>
      </c>
      <c r="E43" s="39" t="n">
        <v>519</v>
      </c>
      <c r="F43" s="39" t="n">
        <v>707.9</v>
      </c>
      <c r="G43" s="39" t="n">
        <v>422</v>
      </c>
      <c r="H43" s="39" t="n">
        <v>375.11</v>
      </c>
      <c r="I43" s="39" t="n">
        <v>220.6</v>
      </c>
      <c r="J43" s="39" t="n">
        <v>1406.8</v>
      </c>
      <c r="K43" s="39" t="n">
        <v>696.16</v>
      </c>
      <c r="L43" s="39" t="n">
        <v>717.75</v>
      </c>
      <c r="M43" s="39" t="n">
        <v>975.2</v>
      </c>
      <c r="N43" s="39" t="n">
        <v>389.42</v>
      </c>
      <c r="O43" s="39" t="n">
        <v>207.45</v>
      </c>
      <c r="P43" s="39" t="n">
        <v>1041.8</v>
      </c>
      <c r="Q43" s="39" t="n">
        <v>309.9</v>
      </c>
      <c r="R43" s="39" t="n">
        <v>858.15</v>
      </c>
      <c r="S43" s="39" t="n">
        <v>249.38</v>
      </c>
    </row>
    <row r="44" customFormat="false" ht="15" hidden="false" customHeight="false" outlineLevel="0" collapsed="false">
      <c r="A44" s="8" t="n">
        <v>44862</v>
      </c>
      <c r="B44" s="39" t="n">
        <v>17786.8</v>
      </c>
      <c r="C44" s="39" t="n">
        <v>15241.6</v>
      </c>
      <c r="D44" s="39" t="n">
        <v>1964.5</v>
      </c>
      <c r="E44" s="39" t="n">
        <v>516.35</v>
      </c>
      <c r="F44" s="39" t="n">
        <v>730.6</v>
      </c>
      <c r="G44" s="39" t="n">
        <v>421.2</v>
      </c>
      <c r="H44" s="39" t="n">
        <v>371.34</v>
      </c>
      <c r="I44" s="39" t="n">
        <v>215.5</v>
      </c>
      <c r="J44" s="39" t="n">
        <v>1449.65</v>
      </c>
      <c r="K44" s="39" t="n">
        <v>699.73</v>
      </c>
      <c r="L44" s="39" t="n">
        <v>716.55</v>
      </c>
      <c r="M44" s="39" t="n">
        <v>953.1</v>
      </c>
      <c r="N44" s="39" t="n">
        <v>398.89</v>
      </c>
      <c r="O44" s="39" t="n">
        <v>205.8</v>
      </c>
      <c r="P44" s="39" t="n">
        <v>1047.6</v>
      </c>
      <c r="Q44" s="39" t="n">
        <v>309.9</v>
      </c>
      <c r="R44" s="39" t="n">
        <v>810.3</v>
      </c>
      <c r="S44" s="39" t="n">
        <v>254.94</v>
      </c>
    </row>
    <row r="45" customFormat="false" ht="15" hidden="false" customHeight="false" outlineLevel="0" collapsed="false">
      <c r="A45" s="8" t="n">
        <v>44865</v>
      </c>
      <c r="B45" s="39" t="n">
        <v>18012.2</v>
      </c>
      <c r="C45" s="39" t="n">
        <v>15424</v>
      </c>
      <c r="D45" s="39" t="n">
        <v>2018.8</v>
      </c>
      <c r="E45" s="39" t="n">
        <v>524.35</v>
      </c>
      <c r="F45" s="39" t="n">
        <v>726.25</v>
      </c>
      <c r="G45" s="39" t="n">
        <v>405.3</v>
      </c>
      <c r="H45" s="39" t="n">
        <v>364.43</v>
      </c>
      <c r="I45" s="39" t="n">
        <v>211.15</v>
      </c>
      <c r="J45" s="39" t="n">
        <v>1471.45</v>
      </c>
      <c r="K45" s="39" t="n">
        <v>713.44</v>
      </c>
      <c r="L45" s="39" t="n">
        <v>709.35</v>
      </c>
      <c r="M45" s="39" t="n">
        <v>975.2</v>
      </c>
      <c r="N45" s="39" t="n">
        <v>407.87</v>
      </c>
      <c r="O45" s="39" t="n">
        <v>202</v>
      </c>
      <c r="P45" s="39" t="n">
        <v>1043.45</v>
      </c>
      <c r="Q45" s="39" t="n">
        <v>314.4</v>
      </c>
      <c r="R45" s="39" t="n">
        <v>826.65</v>
      </c>
      <c r="S45" s="39" t="n">
        <v>245.83</v>
      </c>
    </row>
    <row r="46" customFormat="false" ht="15" hidden="false" customHeight="false" outlineLevel="0" collapsed="false">
      <c r="A46" s="8" t="n">
        <v>44866</v>
      </c>
      <c r="B46" s="39" t="n">
        <v>18145.4</v>
      </c>
      <c r="C46" s="39" t="n">
        <v>15537.4</v>
      </c>
      <c r="D46" s="39" t="n">
        <v>1981.9</v>
      </c>
      <c r="E46" s="39" t="n">
        <v>521</v>
      </c>
      <c r="F46" s="39" t="n">
        <v>740.2</v>
      </c>
      <c r="G46" s="39" t="n">
        <v>400.5</v>
      </c>
      <c r="H46" s="39" t="n">
        <v>361.9</v>
      </c>
      <c r="I46" s="39" t="n">
        <v>212.75</v>
      </c>
      <c r="J46" s="39" t="n">
        <v>1436.65</v>
      </c>
      <c r="K46" s="39" t="n">
        <v>719.97</v>
      </c>
      <c r="L46" s="39" t="n">
        <v>709.5</v>
      </c>
      <c r="M46" s="39" t="n">
        <v>982.4</v>
      </c>
      <c r="N46" s="39" t="n">
        <v>404.86</v>
      </c>
      <c r="O46" s="39" t="n">
        <v>198.15</v>
      </c>
      <c r="P46" s="39" t="n">
        <v>1067.8</v>
      </c>
      <c r="Q46" s="39" t="n">
        <v>316.5</v>
      </c>
      <c r="R46" s="39" t="n">
        <v>825.6</v>
      </c>
      <c r="S46" s="39" t="n">
        <v>241.54</v>
      </c>
    </row>
    <row r="47" customFormat="false" ht="15" hidden="false" customHeight="false" outlineLevel="0" collapsed="false">
      <c r="A47" s="8" t="n">
        <v>44867</v>
      </c>
      <c r="B47" s="39" t="n">
        <v>18082.85</v>
      </c>
      <c r="C47" s="39" t="n">
        <v>15497.55</v>
      </c>
      <c r="D47" s="39" t="n">
        <v>1960.7</v>
      </c>
      <c r="E47" s="39" t="n">
        <v>507.3</v>
      </c>
      <c r="F47" s="39" t="n">
        <v>734.9</v>
      </c>
      <c r="G47" s="39" t="n">
        <v>366.65</v>
      </c>
      <c r="H47" s="39" t="n">
        <v>350.51</v>
      </c>
      <c r="I47" s="39" t="n">
        <v>209.8</v>
      </c>
      <c r="J47" s="39" t="n">
        <v>1466.75</v>
      </c>
      <c r="K47" s="39" t="n">
        <v>714.65</v>
      </c>
      <c r="L47" s="39" t="n">
        <v>744.7</v>
      </c>
      <c r="M47" s="39" t="n">
        <v>994.45</v>
      </c>
      <c r="N47" s="39" t="n">
        <v>397.33</v>
      </c>
      <c r="O47" s="39" t="n">
        <v>193.6</v>
      </c>
      <c r="P47" s="39" t="n">
        <v>1060.55</v>
      </c>
      <c r="Q47" s="39" t="n">
        <v>312.85</v>
      </c>
      <c r="R47" s="39" t="n">
        <v>835.9</v>
      </c>
      <c r="S47" s="39" t="n">
        <v>241.56</v>
      </c>
    </row>
    <row r="48" customFormat="false" ht="15" hidden="false" customHeight="false" outlineLevel="0" collapsed="false">
      <c r="A48" s="8" t="n">
        <v>44868</v>
      </c>
      <c r="B48" s="39" t="n">
        <v>18052.7</v>
      </c>
      <c r="C48" s="39" t="n">
        <v>15484.7</v>
      </c>
      <c r="D48" s="39" t="n">
        <v>1867.85</v>
      </c>
      <c r="E48" s="39" t="n">
        <v>521.15</v>
      </c>
      <c r="F48" s="39" t="n">
        <v>732.2</v>
      </c>
      <c r="G48" s="39" t="n">
        <v>369.9</v>
      </c>
      <c r="H48" s="39" t="n">
        <v>349.85</v>
      </c>
      <c r="I48" s="39" t="n">
        <v>217.9</v>
      </c>
      <c r="J48" s="39" t="n">
        <v>1565.65</v>
      </c>
      <c r="K48" s="39" t="n">
        <v>711.19</v>
      </c>
      <c r="L48" s="39" t="n">
        <v>758.6</v>
      </c>
      <c r="M48" s="39" t="n">
        <v>973.9</v>
      </c>
      <c r="N48" s="39" t="n">
        <v>398.94</v>
      </c>
      <c r="O48" s="39" t="n">
        <v>219.9</v>
      </c>
      <c r="P48" s="39" t="n">
        <v>1058.25</v>
      </c>
      <c r="Q48" s="39" t="n">
        <v>306.7</v>
      </c>
      <c r="R48" s="39" t="n">
        <v>829.15</v>
      </c>
      <c r="S48" s="39" t="n">
        <v>248.05</v>
      </c>
    </row>
    <row r="49" customFormat="false" ht="15" hidden="false" customHeight="false" outlineLevel="0" collapsed="false">
      <c r="A49" s="8" t="n">
        <v>44869</v>
      </c>
      <c r="B49" s="39" t="n">
        <v>18117.15</v>
      </c>
      <c r="C49" s="39" t="n">
        <v>15530.85</v>
      </c>
      <c r="D49" s="39" t="n">
        <v>1895</v>
      </c>
      <c r="E49" s="39" t="n">
        <v>516.25</v>
      </c>
      <c r="F49" s="39" t="n">
        <v>730</v>
      </c>
      <c r="G49" s="39" t="n">
        <v>372.35</v>
      </c>
      <c r="H49" s="39" t="n">
        <v>356.81</v>
      </c>
      <c r="I49" s="39" t="n">
        <v>239.65</v>
      </c>
      <c r="J49" s="39" t="n">
        <v>1556.45</v>
      </c>
      <c r="K49" s="39" t="n">
        <v>720.22</v>
      </c>
      <c r="L49" s="39" t="n">
        <v>763.6</v>
      </c>
      <c r="M49" s="39" t="n">
        <v>980.9</v>
      </c>
      <c r="N49" s="39" t="n">
        <v>399.18</v>
      </c>
      <c r="O49" s="39" t="n">
        <v>218.1</v>
      </c>
      <c r="P49" s="39" t="n">
        <v>1076.05</v>
      </c>
      <c r="Q49" s="39" t="n">
        <v>314.1</v>
      </c>
      <c r="R49" s="39" t="n">
        <v>811.3</v>
      </c>
      <c r="S49" s="39" t="n">
        <v>251.91</v>
      </c>
    </row>
    <row r="50" customFormat="false" ht="15" hidden="false" customHeight="false" outlineLevel="0" collapsed="false">
      <c r="A50" s="8" t="n">
        <v>44872</v>
      </c>
      <c r="B50" s="39" t="n">
        <v>18202.8</v>
      </c>
      <c r="C50" s="39" t="n">
        <v>15615.15</v>
      </c>
      <c r="D50" s="39" t="n">
        <v>1914.2</v>
      </c>
      <c r="E50" s="39" t="n">
        <v>521.8</v>
      </c>
      <c r="F50" s="39" t="n">
        <v>709.45</v>
      </c>
      <c r="G50" s="39" t="n">
        <v>382.8</v>
      </c>
      <c r="H50" s="39" t="n">
        <v>358.01</v>
      </c>
      <c r="I50" s="39" t="n">
        <v>238.75</v>
      </c>
      <c r="J50" s="39" t="n">
        <v>1556.25</v>
      </c>
      <c r="K50" s="39" t="n">
        <v>718.03</v>
      </c>
      <c r="L50" s="39" t="n">
        <v>748.35</v>
      </c>
      <c r="M50" s="39" t="n">
        <v>999.9</v>
      </c>
      <c r="N50" s="39" t="n">
        <v>393.84</v>
      </c>
      <c r="O50" s="39" t="n">
        <v>219</v>
      </c>
      <c r="P50" s="39" t="n">
        <v>1113.25</v>
      </c>
      <c r="Q50" s="39" t="n">
        <v>310.95</v>
      </c>
      <c r="R50" s="39" t="n">
        <v>806.5</v>
      </c>
      <c r="S50" s="39" t="n">
        <v>257.83</v>
      </c>
    </row>
    <row r="51" customFormat="false" ht="15" hidden="false" customHeight="false" outlineLevel="0" collapsed="false">
      <c r="A51" s="8" t="n">
        <v>44874</v>
      </c>
      <c r="B51" s="39" t="n">
        <v>18157</v>
      </c>
      <c r="C51" s="39" t="n">
        <v>15567.25</v>
      </c>
      <c r="D51" s="39" t="n">
        <v>2001.45</v>
      </c>
      <c r="E51" s="39" t="n">
        <v>534.8</v>
      </c>
      <c r="F51" s="39" t="n">
        <v>699.95</v>
      </c>
      <c r="G51" s="39" t="n">
        <v>379.3</v>
      </c>
      <c r="H51" s="39" t="n">
        <v>353.87</v>
      </c>
      <c r="I51" s="39" t="n">
        <v>237.15</v>
      </c>
      <c r="J51" s="39" t="n">
        <v>1565.3</v>
      </c>
      <c r="K51" s="39" t="n">
        <v>713.43</v>
      </c>
      <c r="L51" s="39" t="n">
        <v>744.65</v>
      </c>
      <c r="M51" s="39" t="n">
        <v>996.8</v>
      </c>
      <c r="N51" s="39" t="n">
        <v>392.43</v>
      </c>
      <c r="O51" s="39" t="n">
        <v>221</v>
      </c>
      <c r="P51" s="39" t="n">
        <v>1118</v>
      </c>
      <c r="Q51" s="39" t="n">
        <v>319.35</v>
      </c>
      <c r="R51" s="39" t="n">
        <v>814.25</v>
      </c>
      <c r="S51" s="39" t="n">
        <v>255.06</v>
      </c>
    </row>
    <row r="52" customFormat="false" ht="15" hidden="false" customHeight="false" outlineLevel="0" collapsed="false">
      <c r="A52" s="8" t="n">
        <v>44875</v>
      </c>
      <c r="B52" s="39" t="n">
        <v>18028.2</v>
      </c>
      <c r="C52" s="39" t="n">
        <v>15440</v>
      </c>
      <c r="D52" s="39" t="n">
        <v>2010.3</v>
      </c>
      <c r="E52" s="39" t="n">
        <v>531.05</v>
      </c>
      <c r="F52" s="39" t="n">
        <v>700.8</v>
      </c>
      <c r="G52" s="39" t="n">
        <v>383.9</v>
      </c>
      <c r="H52" s="39" t="n">
        <v>348.27</v>
      </c>
      <c r="I52" s="39" t="n">
        <v>235.3</v>
      </c>
      <c r="J52" s="39" t="n">
        <v>1547</v>
      </c>
      <c r="K52" s="39" t="n">
        <v>696.56</v>
      </c>
      <c r="L52" s="39" t="n">
        <v>722.1</v>
      </c>
      <c r="M52" s="39" t="n">
        <v>993.85</v>
      </c>
      <c r="N52" s="39" t="n">
        <v>387.14</v>
      </c>
      <c r="O52" s="39" t="n">
        <v>220.3</v>
      </c>
      <c r="P52" s="39" t="n">
        <v>1105.45</v>
      </c>
      <c r="Q52" s="39" t="n">
        <v>315</v>
      </c>
      <c r="R52" s="39" t="n">
        <v>806.6</v>
      </c>
      <c r="S52" s="39" t="n">
        <v>249.03</v>
      </c>
    </row>
    <row r="53" customFormat="false" ht="15" hidden="false" customHeight="false" outlineLevel="0" collapsed="false">
      <c r="A53" s="8" t="n">
        <v>44876</v>
      </c>
      <c r="B53" s="39" t="n">
        <v>18349.7</v>
      </c>
      <c r="C53" s="39" t="n">
        <v>15649.1</v>
      </c>
      <c r="D53" s="39" t="n">
        <v>2008.65</v>
      </c>
      <c r="E53" s="39" t="n">
        <v>535.55</v>
      </c>
      <c r="F53" s="39" t="n">
        <v>682.2</v>
      </c>
      <c r="G53" s="39" t="n">
        <v>376.4</v>
      </c>
      <c r="H53" s="39" t="n">
        <v>348.4</v>
      </c>
      <c r="I53" s="39" t="n">
        <v>237.2</v>
      </c>
      <c r="J53" s="39" t="n">
        <v>1567.25</v>
      </c>
      <c r="K53" s="39" t="n">
        <v>704.19</v>
      </c>
      <c r="L53" s="39" t="n">
        <v>728.5</v>
      </c>
      <c r="M53" s="39" t="n">
        <v>995.65</v>
      </c>
      <c r="N53" s="39" t="n">
        <v>388.84</v>
      </c>
      <c r="O53" s="39" t="n">
        <v>221.85</v>
      </c>
      <c r="P53" s="39" t="n">
        <v>1073.95</v>
      </c>
      <c r="Q53" s="39" t="n">
        <v>314.25</v>
      </c>
      <c r="R53" s="39" t="n">
        <v>812.35</v>
      </c>
      <c r="S53" s="39" t="n">
        <v>255.35</v>
      </c>
    </row>
    <row r="54" customFormat="false" ht="15" hidden="false" customHeight="false" outlineLevel="0" collapsed="false">
      <c r="A54" s="8" t="n">
        <v>44879</v>
      </c>
      <c r="B54" s="39" t="n">
        <v>18329.15</v>
      </c>
      <c r="C54" s="39" t="n">
        <v>15650.2</v>
      </c>
      <c r="D54" s="39" t="n">
        <v>2024.2</v>
      </c>
      <c r="E54" s="39" t="n">
        <v>536.7</v>
      </c>
      <c r="F54" s="39" t="n">
        <v>661.3</v>
      </c>
      <c r="G54" s="39" t="n">
        <v>373.5</v>
      </c>
      <c r="H54" s="39" t="n">
        <v>353.74</v>
      </c>
      <c r="I54" s="39" t="n">
        <v>260.9</v>
      </c>
      <c r="J54" s="39" t="n">
        <v>1573.65</v>
      </c>
      <c r="K54" s="39" t="n">
        <v>701.63</v>
      </c>
      <c r="L54" s="39" t="n">
        <v>720.5</v>
      </c>
      <c r="M54" s="39" t="n">
        <v>990.05</v>
      </c>
      <c r="N54" s="39" t="n">
        <v>408.46</v>
      </c>
      <c r="O54" s="39" t="n">
        <v>215.7</v>
      </c>
      <c r="P54" s="39" t="n">
        <v>1087.3</v>
      </c>
      <c r="Q54" s="39" t="n">
        <v>311.35</v>
      </c>
      <c r="R54" s="39" t="n">
        <v>809.15</v>
      </c>
      <c r="S54" s="39" t="n">
        <v>253.15</v>
      </c>
    </row>
    <row r="55" customFormat="false" ht="15" hidden="false" customHeight="false" outlineLevel="0" collapsed="false">
      <c r="A55" s="8" t="n">
        <v>44880</v>
      </c>
      <c r="B55" s="39" t="n">
        <v>18403.4</v>
      </c>
      <c r="C55" s="39" t="n">
        <v>15693.9</v>
      </c>
      <c r="D55" s="39" t="n">
        <v>2034.7</v>
      </c>
      <c r="E55" s="39" t="n">
        <v>535.95</v>
      </c>
      <c r="F55" s="39" t="n">
        <v>671.3</v>
      </c>
      <c r="G55" s="39" t="n">
        <v>375.2</v>
      </c>
      <c r="H55" s="39" t="n">
        <v>348.44</v>
      </c>
      <c r="I55" s="39" t="n">
        <v>249</v>
      </c>
      <c r="J55" s="39" t="n">
        <v>1577.55</v>
      </c>
      <c r="K55" s="39" t="n">
        <v>701.62</v>
      </c>
      <c r="L55" s="39" t="n">
        <v>721.5</v>
      </c>
      <c r="M55" s="39" t="n">
        <v>974.75</v>
      </c>
      <c r="N55" s="39" t="n">
        <v>409.53</v>
      </c>
      <c r="O55" s="39" t="n">
        <v>213.05</v>
      </c>
      <c r="P55" s="39" t="n">
        <v>1120.05</v>
      </c>
      <c r="Q55" s="39" t="n">
        <v>311.95</v>
      </c>
      <c r="R55" s="39" t="n">
        <v>811</v>
      </c>
      <c r="S55" s="39" t="n">
        <v>250.54</v>
      </c>
    </row>
    <row r="56" customFormat="false" ht="15" hidden="false" customHeight="false" outlineLevel="0" collapsed="false">
      <c r="A56" s="8" t="n">
        <v>44881</v>
      </c>
      <c r="B56" s="39" t="n">
        <v>18409.65</v>
      </c>
      <c r="C56" s="39" t="n">
        <v>15663.3</v>
      </c>
      <c r="D56" s="39" t="n">
        <v>2022.95</v>
      </c>
      <c r="E56" s="39" t="n">
        <v>520.9</v>
      </c>
      <c r="F56" s="39" t="n">
        <v>717.4</v>
      </c>
      <c r="G56" s="39" t="n">
        <v>380.7</v>
      </c>
      <c r="H56" s="39" t="n">
        <v>347.94</v>
      </c>
      <c r="I56" s="39" t="n">
        <v>243.8</v>
      </c>
      <c r="J56" s="39" t="n">
        <v>1562.75</v>
      </c>
      <c r="K56" s="39" t="n">
        <v>688.57</v>
      </c>
      <c r="L56" s="39" t="n">
        <v>707.15</v>
      </c>
      <c r="M56" s="39" t="n">
        <v>971.15</v>
      </c>
      <c r="N56" s="39" t="n">
        <v>405.01</v>
      </c>
      <c r="O56" s="39" t="n">
        <v>208.2</v>
      </c>
      <c r="P56" s="39" t="n">
        <v>1080.5</v>
      </c>
      <c r="Q56" s="39" t="n">
        <v>306.8</v>
      </c>
      <c r="R56" s="39" t="n">
        <v>811.05</v>
      </c>
      <c r="S56" s="39" t="n">
        <v>246.73</v>
      </c>
    </row>
    <row r="57" customFormat="false" ht="15" hidden="false" customHeight="false" outlineLevel="0" collapsed="false">
      <c r="A57" s="8" t="n">
        <v>44882</v>
      </c>
      <c r="B57" s="39" t="n">
        <v>18343.9</v>
      </c>
      <c r="C57" s="39" t="n">
        <v>15597.25</v>
      </c>
      <c r="D57" s="39" t="n">
        <v>1962.5</v>
      </c>
      <c r="E57" s="39" t="n">
        <v>518.85</v>
      </c>
      <c r="F57" s="39" t="n">
        <v>733</v>
      </c>
      <c r="G57" s="39" t="n">
        <v>376.2</v>
      </c>
      <c r="H57" s="39" t="n">
        <v>347.03</v>
      </c>
      <c r="I57" s="39" t="n">
        <v>248.9</v>
      </c>
      <c r="J57" s="39" t="n">
        <v>1549.6</v>
      </c>
      <c r="K57" s="39" t="n">
        <v>688.57</v>
      </c>
      <c r="L57" s="39" t="n">
        <v>697.5</v>
      </c>
      <c r="M57" s="39" t="n">
        <v>975.15</v>
      </c>
      <c r="N57" s="39" t="n">
        <v>407.68</v>
      </c>
      <c r="O57" s="39" t="n">
        <v>203.95</v>
      </c>
      <c r="P57" s="39" t="n">
        <v>1083.25</v>
      </c>
      <c r="Q57" s="39" t="n">
        <v>312.7</v>
      </c>
      <c r="R57" s="39" t="n">
        <v>797.35</v>
      </c>
      <c r="S57" s="39" t="n">
        <v>255.13</v>
      </c>
    </row>
    <row r="58" customFormat="false" ht="15" hidden="false" customHeight="false" outlineLevel="0" collapsed="false">
      <c r="A58" s="8" t="n">
        <v>44883</v>
      </c>
      <c r="B58" s="39" t="n">
        <v>18307.65</v>
      </c>
      <c r="C58" s="39" t="n">
        <v>15550.85</v>
      </c>
      <c r="D58" s="39" t="n">
        <v>1895.8</v>
      </c>
      <c r="E58" s="39" t="n">
        <v>512.1</v>
      </c>
      <c r="F58" s="39" t="n">
        <v>720.55</v>
      </c>
      <c r="G58" s="39" t="n">
        <v>373.6</v>
      </c>
      <c r="H58" s="39" t="n">
        <v>346.49</v>
      </c>
      <c r="I58" s="39" t="n">
        <v>239.95</v>
      </c>
      <c r="J58" s="39" t="n">
        <v>1511.2</v>
      </c>
      <c r="K58" s="39" t="n">
        <v>678.23</v>
      </c>
      <c r="L58" s="39" t="n">
        <v>713.8</v>
      </c>
      <c r="M58" s="39" t="n">
        <v>972.75</v>
      </c>
      <c r="N58" s="39" t="n">
        <v>432.94</v>
      </c>
      <c r="O58" s="39" t="n">
        <v>202.4</v>
      </c>
      <c r="P58" s="39" t="n">
        <v>1061.45</v>
      </c>
      <c r="Q58" s="39" t="n">
        <v>308.35</v>
      </c>
      <c r="R58" s="39" t="n">
        <v>793.2</v>
      </c>
      <c r="S58" s="39" t="n">
        <v>250.25</v>
      </c>
    </row>
    <row r="59" customFormat="false" ht="15" hidden="false" customHeight="false" outlineLevel="0" collapsed="false">
      <c r="A59" s="8" t="n">
        <v>44886</v>
      </c>
      <c r="B59" s="39" t="n">
        <v>18159.95</v>
      </c>
      <c r="C59" s="39" t="n">
        <v>15453.8</v>
      </c>
      <c r="D59" s="39" t="n">
        <v>1921.9</v>
      </c>
      <c r="E59" s="39" t="n">
        <v>510.6</v>
      </c>
      <c r="F59" s="39" t="n">
        <v>697.3</v>
      </c>
      <c r="G59" s="39" t="n">
        <v>372.1</v>
      </c>
      <c r="H59" s="39" t="n">
        <v>345.58</v>
      </c>
      <c r="I59" s="39" t="n">
        <v>231.3</v>
      </c>
      <c r="J59" s="39" t="n">
        <v>1538.7</v>
      </c>
      <c r="K59" s="39" t="n">
        <v>667</v>
      </c>
      <c r="L59" s="39" t="n">
        <v>714</v>
      </c>
      <c r="M59" s="39" t="n">
        <v>968.9</v>
      </c>
      <c r="N59" s="39" t="n">
        <v>436.63</v>
      </c>
      <c r="O59" s="39" t="n">
        <v>203.15</v>
      </c>
      <c r="P59" s="39" t="n">
        <v>1059.3</v>
      </c>
      <c r="Q59" s="39" t="n">
        <v>305.85</v>
      </c>
      <c r="R59" s="39" t="n">
        <v>793.95</v>
      </c>
      <c r="S59" s="39" t="n">
        <v>260.03</v>
      </c>
    </row>
    <row r="60" customFormat="false" ht="15" hidden="false" customHeight="false" outlineLevel="0" collapsed="false">
      <c r="A60" s="8" t="n">
        <v>44887</v>
      </c>
      <c r="B60" s="39" t="n">
        <v>18244.2</v>
      </c>
      <c r="C60" s="39" t="n">
        <v>15509.2</v>
      </c>
      <c r="D60" s="39" t="n">
        <v>1932.75</v>
      </c>
      <c r="E60" s="39" t="n">
        <v>514.3</v>
      </c>
      <c r="F60" s="39" t="n">
        <v>708.7</v>
      </c>
      <c r="G60" s="39" t="n">
        <v>372.3</v>
      </c>
      <c r="H60" s="39" t="n">
        <v>347.11</v>
      </c>
      <c r="I60" s="39" t="n">
        <v>228.9</v>
      </c>
      <c r="J60" s="39" t="n">
        <v>1491.5</v>
      </c>
      <c r="K60" s="39" t="n">
        <v>667.6</v>
      </c>
      <c r="L60" s="39" t="n">
        <v>711.05</v>
      </c>
      <c r="M60" s="39" t="n">
        <v>964.7</v>
      </c>
      <c r="N60" s="39" t="n">
        <v>448.67</v>
      </c>
      <c r="O60" s="39" t="n">
        <v>204.15</v>
      </c>
      <c r="P60" s="39" t="n">
        <v>1054.15</v>
      </c>
      <c r="Q60" s="39" t="n">
        <v>312.2</v>
      </c>
      <c r="R60" s="39" t="n">
        <v>799.05</v>
      </c>
      <c r="S60" s="39" t="n">
        <v>269.3</v>
      </c>
    </row>
    <row r="61" customFormat="false" ht="15" hidden="false" customHeight="false" outlineLevel="0" collapsed="false">
      <c r="A61" s="8" t="n">
        <v>44888</v>
      </c>
      <c r="B61" s="39" t="n">
        <v>18267.25</v>
      </c>
      <c r="C61" s="39" t="n">
        <v>15538.15</v>
      </c>
      <c r="D61" s="39" t="n">
        <v>1912.2</v>
      </c>
      <c r="E61" s="39" t="n">
        <v>525.65</v>
      </c>
      <c r="F61" s="39" t="n">
        <v>706.75</v>
      </c>
      <c r="G61" s="39" t="n">
        <v>370.75</v>
      </c>
      <c r="H61" s="39" t="n">
        <v>348.07</v>
      </c>
      <c r="I61" s="39" t="n">
        <v>223.2</v>
      </c>
      <c r="J61" s="39" t="n">
        <v>1471.9</v>
      </c>
      <c r="K61" s="39" t="n">
        <v>677.08</v>
      </c>
      <c r="L61" s="39" t="n">
        <v>718.65</v>
      </c>
      <c r="M61" s="39" t="n">
        <v>953.5</v>
      </c>
      <c r="N61" s="39" t="n">
        <v>456.59</v>
      </c>
      <c r="O61" s="39" t="n">
        <v>206.9</v>
      </c>
      <c r="P61" s="39" t="n">
        <v>1053.45</v>
      </c>
      <c r="Q61" s="39" t="n">
        <v>311.4</v>
      </c>
      <c r="R61" s="39" t="n">
        <v>798.75</v>
      </c>
      <c r="S61" s="39" t="n">
        <v>266.85</v>
      </c>
    </row>
    <row r="62" customFormat="false" ht="15" hidden="false" customHeight="false" outlineLevel="0" collapsed="false">
      <c r="A62" s="8" t="n">
        <v>44889</v>
      </c>
      <c r="B62" s="39" t="n">
        <v>18484.1</v>
      </c>
      <c r="C62" s="39" t="n">
        <v>15680.8</v>
      </c>
      <c r="D62" s="39" t="n">
        <v>1906.9</v>
      </c>
      <c r="E62" s="39" t="n">
        <v>524.6</v>
      </c>
      <c r="F62" s="39" t="n">
        <v>708.4</v>
      </c>
      <c r="G62" s="39" t="n">
        <v>371.3</v>
      </c>
      <c r="H62" s="39" t="n">
        <v>363.39</v>
      </c>
      <c r="I62" s="39" t="n">
        <v>229.7</v>
      </c>
      <c r="J62" s="39" t="n">
        <v>1474</v>
      </c>
      <c r="K62" s="39" t="n">
        <v>676.21</v>
      </c>
      <c r="L62" s="39" t="n">
        <v>722.05</v>
      </c>
      <c r="M62" s="39" t="n">
        <v>967.05</v>
      </c>
      <c r="N62" s="39" t="n">
        <v>463.68</v>
      </c>
      <c r="O62" s="39" t="n">
        <v>208.6</v>
      </c>
      <c r="P62" s="39" t="n">
        <v>1074.05</v>
      </c>
      <c r="Q62" s="39" t="n">
        <v>309.35</v>
      </c>
      <c r="R62" s="39" t="n">
        <v>799.45</v>
      </c>
      <c r="S62" s="39" t="n">
        <v>262.34</v>
      </c>
    </row>
    <row r="63" customFormat="false" ht="15" hidden="false" customHeight="false" outlineLevel="0" collapsed="false">
      <c r="A63" s="8" t="n">
        <v>44890</v>
      </c>
      <c r="B63" s="39" t="n">
        <v>18512.75</v>
      </c>
      <c r="C63" s="39" t="n">
        <v>15727.25</v>
      </c>
      <c r="D63" s="39" t="n">
        <v>1905.9</v>
      </c>
      <c r="E63" s="39" t="n">
        <v>544.7</v>
      </c>
      <c r="F63" s="39" t="n">
        <v>720.15</v>
      </c>
      <c r="G63" s="39" t="n">
        <v>383.25</v>
      </c>
      <c r="H63" s="39" t="n">
        <v>367.61</v>
      </c>
      <c r="I63" s="39" t="n">
        <v>226.1</v>
      </c>
      <c r="J63" s="39" t="n">
        <v>1527.55</v>
      </c>
      <c r="K63" s="39" t="n">
        <v>673.83</v>
      </c>
      <c r="L63" s="39" t="n">
        <v>720.75</v>
      </c>
      <c r="M63" s="39" t="n">
        <v>980</v>
      </c>
      <c r="N63" s="39" t="n">
        <v>461.25</v>
      </c>
      <c r="O63" s="39" t="n">
        <v>212.65</v>
      </c>
      <c r="P63" s="39" t="n">
        <v>1078</v>
      </c>
      <c r="Q63" s="39" t="n">
        <v>311.9</v>
      </c>
      <c r="R63" s="39" t="n">
        <v>806.85</v>
      </c>
      <c r="S63" s="39" t="n">
        <v>256.03</v>
      </c>
    </row>
    <row r="64" customFormat="false" ht="15" hidden="false" customHeight="false" outlineLevel="0" collapsed="false">
      <c r="A64" s="8" t="n">
        <v>44893</v>
      </c>
      <c r="B64" s="39" t="n">
        <v>18562.75</v>
      </c>
      <c r="C64" s="39" t="n">
        <v>15784.45</v>
      </c>
      <c r="D64" s="39" t="n">
        <v>1923.85</v>
      </c>
      <c r="E64" s="39" t="n">
        <v>545.95</v>
      </c>
      <c r="F64" s="39" t="n">
        <v>718</v>
      </c>
      <c r="G64" s="39" t="n">
        <v>390.5</v>
      </c>
      <c r="H64" s="39" t="n">
        <v>366.33</v>
      </c>
      <c r="I64" s="39" t="n">
        <v>229.05</v>
      </c>
      <c r="J64" s="39" t="n">
        <v>1512</v>
      </c>
      <c r="K64" s="39" t="n">
        <v>676.82</v>
      </c>
      <c r="L64" s="39" t="n">
        <v>720.3</v>
      </c>
      <c r="M64" s="39" t="n">
        <v>982.2</v>
      </c>
      <c r="N64" s="39" t="n">
        <v>467.42</v>
      </c>
      <c r="O64" s="39" t="n">
        <v>214.6</v>
      </c>
      <c r="P64" s="39" t="n">
        <v>1090.05</v>
      </c>
      <c r="Q64" s="39" t="n">
        <v>314.95</v>
      </c>
      <c r="R64" s="39" t="n">
        <v>812.7</v>
      </c>
      <c r="S64" s="39" t="n">
        <v>252.95</v>
      </c>
    </row>
    <row r="65" customFormat="false" ht="15" hidden="false" customHeight="false" outlineLevel="0" collapsed="false">
      <c r="A65" s="8" t="n">
        <v>44894</v>
      </c>
      <c r="B65" s="39" t="n">
        <v>18618.05</v>
      </c>
      <c r="C65" s="39" t="n">
        <v>15812.45</v>
      </c>
      <c r="D65" s="39" t="n">
        <v>1936.5</v>
      </c>
      <c r="E65" s="39" t="n">
        <v>549.2</v>
      </c>
      <c r="F65" s="39" t="n">
        <v>724.95</v>
      </c>
      <c r="G65" s="39" t="n">
        <v>386</v>
      </c>
      <c r="H65" s="39" t="n">
        <v>362.02</v>
      </c>
      <c r="I65" s="39" t="n">
        <v>228.3</v>
      </c>
      <c r="J65" s="39" t="n">
        <v>1447.85</v>
      </c>
      <c r="K65" s="39" t="n">
        <v>672.5</v>
      </c>
      <c r="L65" s="39" t="n">
        <v>714.75</v>
      </c>
      <c r="M65" s="39" t="n">
        <v>967.3</v>
      </c>
      <c r="N65" s="39" t="n">
        <v>447.26</v>
      </c>
      <c r="O65" s="39" t="n">
        <v>214.25</v>
      </c>
      <c r="P65" s="39" t="n">
        <v>1087.05</v>
      </c>
      <c r="Q65" s="39" t="n">
        <v>313.3</v>
      </c>
      <c r="R65" s="39" t="n">
        <v>817.3</v>
      </c>
      <c r="S65" s="39" t="n">
        <v>254.06</v>
      </c>
    </row>
    <row r="66" customFormat="false" ht="15" hidden="false" customHeight="false" outlineLevel="0" collapsed="false">
      <c r="A66" s="8" t="n">
        <v>44895</v>
      </c>
      <c r="B66" s="39" t="n">
        <v>18758.35</v>
      </c>
      <c r="C66" s="39" t="n">
        <v>15946.15</v>
      </c>
      <c r="D66" s="39" t="n">
        <v>1913.75</v>
      </c>
      <c r="E66" s="39" t="n">
        <v>553.05</v>
      </c>
      <c r="F66" s="39" t="n">
        <v>733.7</v>
      </c>
      <c r="G66" s="39" t="n">
        <v>386.6</v>
      </c>
      <c r="H66" s="39" t="n">
        <v>371.01</v>
      </c>
      <c r="I66" s="39" t="n">
        <v>246.1</v>
      </c>
      <c r="J66" s="39" t="n">
        <v>1424.5</v>
      </c>
      <c r="K66" s="39" t="n">
        <v>671.18</v>
      </c>
      <c r="L66" s="39" t="n">
        <v>714.85</v>
      </c>
      <c r="M66" s="39" t="n">
        <v>960.25</v>
      </c>
      <c r="N66" s="39" t="n">
        <v>453.24</v>
      </c>
      <c r="O66" s="39" t="n">
        <v>215</v>
      </c>
      <c r="P66" s="39" t="n">
        <v>1080.75</v>
      </c>
      <c r="Q66" s="39" t="n">
        <v>311.05</v>
      </c>
      <c r="R66" s="39" t="n">
        <v>824.25</v>
      </c>
      <c r="S66" s="39" t="n">
        <v>270</v>
      </c>
    </row>
    <row r="67" customFormat="false" ht="15" hidden="false" customHeight="false" outlineLevel="0" collapsed="false">
      <c r="A67" s="8" t="n">
        <v>44896</v>
      </c>
      <c r="B67" s="39" t="n">
        <v>18812.5</v>
      </c>
      <c r="C67" s="39" t="n">
        <v>16003.95</v>
      </c>
      <c r="D67" s="39" t="n">
        <v>1900.05</v>
      </c>
      <c r="E67" s="39" t="n">
        <v>548.85</v>
      </c>
      <c r="F67" s="39" t="n">
        <v>749.65</v>
      </c>
      <c r="G67" s="39" t="n">
        <v>394</v>
      </c>
      <c r="H67" s="39" t="n">
        <v>366.99</v>
      </c>
      <c r="I67" s="39" t="n">
        <v>247.85</v>
      </c>
      <c r="J67" s="39" t="n">
        <v>1451.35</v>
      </c>
      <c r="K67" s="39" t="n">
        <v>673.86</v>
      </c>
      <c r="L67" s="39" t="n">
        <v>728.9</v>
      </c>
      <c r="M67" s="39" t="n">
        <v>948.25</v>
      </c>
      <c r="N67" s="39" t="n">
        <v>446.39</v>
      </c>
      <c r="O67" s="39" t="n">
        <v>220.3</v>
      </c>
      <c r="P67" s="39" t="n">
        <v>1111.35</v>
      </c>
      <c r="Q67" s="39" t="n">
        <v>307.45</v>
      </c>
      <c r="R67" s="39" t="n">
        <v>834.45</v>
      </c>
      <c r="S67" s="39" t="n">
        <v>257.37</v>
      </c>
    </row>
    <row r="68" customFormat="false" ht="15" hidden="false" customHeight="false" outlineLevel="0" collapsed="false">
      <c r="A68" s="8" t="n">
        <v>44897</v>
      </c>
      <c r="B68" s="39" t="n">
        <v>18696.1</v>
      </c>
      <c r="C68" s="39" t="n">
        <v>15963.5</v>
      </c>
      <c r="D68" s="39" t="n">
        <v>1914.35</v>
      </c>
      <c r="E68" s="39" t="n">
        <v>551.8</v>
      </c>
      <c r="F68" s="39" t="n">
        <v>757.65</v>
      </c>
      <c r="G68" s="39" t="n">
        <v>393.6</v>
      </c>
      <c r="H68" s="39" t="n">
        <v>369.6</v>
      </c>
      <c r="I68" s="39" t="n">
        <v>244.75</v>
      </c>
      <c r="J68" s="39" t="n">
        <v>1428.6</v>
      </c>
      <c r="K68" s="39" t="n">
        <v>666.67</v>
      </c>
      <c r="L68" s="39" t="n">
        <v>731.65</v>
      </c>
      <c r="M68" s="39" t="n">
        <v>947.8</v>
      </c>
      <c r="N68" s="39" t="n">
        <v>449.59</v>
      </c>
      <c r="O68" s="39" t="n">
        <v>229</v>
      </c>
      <c r="P68" s="39" t="n">
        <v>1135.75</v>
      </c>
      <c r="Q68" s="39" t="n">
        <v>307.85</v>
      </c>
      <c r="R68" s="39" t="n">
        <v>838.35</v>
      </c>
      <c r="S68" s="39" t="n">
        <v>258.07</v>
      </c>
    </row>
    <row r="69" customFormat="false" ht="15" hidden="false" customHeight="false" outlineLevel="0" collapsed="false">
      <c r="A69" s="8" t="n">
        <v>44900</v>
      </c>
      <c r="B69" s="39" t="n">
        <v>18701.05</v>
      </c>
      <c r="C69" s="39" t="n">
        <v>15967.2</v>
      </c>
      <c r="D69" s="39" t="n">
        <v>1890.1</v>
      </c>
      <c r="E69" s="39" t="n">
        <v>563.5</v>
      </c>
      <c r="F69" s="39" t="n">
        <v>747.4</v>
      </c>
      <c r="G69" s="39" t="n">
        <v>403.05</v>
      </c>
      <c r="H69" s="39" t="n">
        <v>369.19</v>
      </c>
      <c r="I69" s="39" t="n">
        <v>246.2</v>
      </c>
      <c r="J69" s="39" t="n">
        <v>1436.3</v>
      </c>
      <c r="K69" s="39" t="n">
        <v>665.14</v>
      </c>
      <c r="L69" s="39" t="n">
        <v>737.7</v>
      </c>
      <c r="M69" s="39" t="n">
        <v>931.25</v>
      </c>
      <c r="N69" s="39" t="n">
        <v>459.74</v>
      </c>
      <c r="O69" s="39" t="n">
        <v>241.15</v>
      </c>
      <c r="P69" s="39" t="n">
        <v>1142.1</v>
      </c>
      <c r="Q69" s="39" t="n">
        <v>305.7</v>
      </c>
      <c r="R69" s="39" t="n">
        <v>831.15</v>
      </c>
      <c r="S69" s="39" t="n">
        <v>258.97</v>
      </c>
    </row>
    <row r="70" customFormat="false" ht="15" hidden="false" customHeight="false" outlineLevel="0" collapsed="false">
      <c r="A70" s="8" t="n">
        <v>44901</v>
      </c>
      <c r="B70" s="39" t="n">
        <v>18642.75</v>
      </c>
      <c r="C70" s="39" t="n">
        <v>15922.85</v>
      </c>
      <c r="D70" s="39" t="n">
        <v>1878.5</v>
      </c>
      <c r="E70" s="39" t="n">
        <v>558.6</v>
      </c>
      <c r="F70" s="39" t="n">
        <v>746.55</v>
      </c>
      <c r="G70" s="39" t="n">
        <v>409.05</v>
      </c>
      <c r="H70" s="39" t="n">
        <v>362.23</v>
      </c>
      <c r="I70" s="39" t="n">
        <v>243.9</v>
      </c>
      <c r="J70" s="39" t="n">
        <v>1433</v>
      </c>
      <c r="K70" s="39" t="n">
        <v>668.94</v>
      </c>
      <c r="L70" s="39" t="n">
        <v>734.8</v>
      </c>
      <c r="M70" s="39" t="n">
        <v>900.6</v>
      </c>
      <c r="N70" s="39" t="n">
        <v>455.42</v>
      </c>
      <c r="O70" s="39" t="n">
        <v>239.7</v>
      </c>
      <c r="P70" s="39" t="n">
        <v>1115.85</v>
      </c>
      <c r="Q70" s="39" t="n">
        <v>298.65</v>
      </c>
      <c r="R70" s="39" t="n">
        <v>817.6</v>
      </c>
      <c r="S70" s="39" t="n">
        <v>265.31</v>
      </c>
    </row>
    <row r="71" customFormat="false" ht="15" hidden="false" customHeight="false" outlineLevel="0" collapsed="false">
      <c r="A71" s="8" t="n">
        <v>44902</v>
      </c>
      <c r="B71" s="39" t="n">
        <v>18560.5</v>
      </c>
      <c r="C71" s="39" t="n">
        <v>15862</v>
      </c>
      <c r="D71" s="39" t="n">
        <v>1923.5</v>
      </c>
      <c r="E71" s="39" t="n">
        <v>550.95</v>
      </c>
      <c r="F71" s="39" t="n">
        <v>762.8</v>
      </c>
      <c r="G71" s="39" t="n">
        <v>402</v>
      </c>
      <c r="H71" s="39" t="n">
        <v>358.88</v>
      </c>
      <c r="I71" s="39" t="n">
        <v>242.25</v>
      </c>
      <c r="J71" s="39" t="n">
        <v>1464.95</v>
      </c>
      <c r="K71" s="39" t="n">
        <v>661.62</v>
      </c>
      <c r="L71" s="39" t="n">
        <v>735.8</v>
      </c>
      <c r="M71" s="39" t="n">
        <v>909.55</v>
      </c>
      <c r="N71" s="39" t="n">
        <v>461.11</v>
      </c>
      <c r="O71" s="39" t="n">
        <v>239.85</v>
      </c>
      <c r="P71" s="39" t="n">
        <v>1108.15</v>
      </c>
      <c r="Q71" s="39" t="n">
        <v>293.7</v>
      </c>
      <c r="R71" s="39" t="n">
        <v>811.45</v>
      </c>
      <c r="S71" s="39" t="n">
        <v>267.04</v>
      </c>
    </row>
    <row r="72" customFormat="false" ht="15" hidden="false" customHeight="false" outlineLevel="0" collapsed="false">
      <c r="A72" s="8" t="n">
        <v>44903</v>
      </c>
      <c r="B72" s="39" t="n">
        <v>18609.35</v>
      </c>
      <c r="C72" s="39" t="n">
        <v>15911.1</v>
      </c>
      <c r="D72" s="39" t="n">
        <v>1936.6</v>
      </c>
      <c r="E72" s="39" t="n">
        <v>556.35</v>
      </c>
      <c r="F72" s="39" t="n">
        <v>758.9</v>
      </c>
      <c r="G72" s="39" t="n">
        <v>402.25</v>
      </c>
      <c r="H72" s="39" t="n">
        <v>360.41</v>
      </c>
      <c r="I72" s="39" t="n">
        <v>242.55</v>
      </c>
      <c r="J72" s="39" t="n">
        <v>1470.9</v>
      </c>
      <c r="K72" s="39" t="n">
        <v>657.3</v>
      </c>
      <c r="L72" s="39" t="n">
        <v>742.85</v>
      </c>
      <c r="M72" s="39" t="n">
        <v>899.95</v>
      </c>
      <c r="N72" s="39" t="n">
        <v>467.66</v>
      </c>
      <c r="O72" s="39" t="n">
        <v>240</v>
      </c>
      <c r="P72" s="39" t="n">
        <v>1121.2</v>
      </c>
      <c r="Q72" s="39" t="n">
        <v>294</v>
      </c>
      <c r="R72" s="39" t="n">
        <v>814.55</v>
      </c>
      <c r="S72" s="39" t="n">
        <v>267.64</v>
      </c>
    </row>
    <row r="73" customFormat="false" ht="15" hidden="false" customHeight="false" outlineLevel="0" collapsed="false">
      <c r="A73" s="8" t="n">
        <v>44904</v>
      </c>
      <c r="B73" s="39" t="n">
        <v>18496.6</v>
      </c>
      <c r="C73" s="39" t="n">
        <v>15812.75</v>
      </c>
      <c r="D73" s="39" t="n">
        <v>1936.4</v>
      </c>
      <c r="E73" s="39" t="n">
        <v>557.15</v>
      </c>
      <c r="F73" s="39" t="n">
        <v>755.3</v>
      </c>
      <c r="G73" s="39" t="n">
        <v>402.2</v>
      </c>
      <c r="H73" s="39" t="n">
        <v>352.25</v>
      </c>
      <c r="I73" s="39" t="n">
        <v>240.45</v>
      </c>
      <c r="J73" s="39" t="n">
        <v>1497.8</v>
      </c>
      <c r="K73" s="39" t="n">
        <v>650.86</v>
      </c>
      <c r="L73" s="39" t="n">
        <v>744.1</v>
      </c>
      <c r="M73" s="39" t="n">
        <v>863.8</v>
      </c>
      <c r="N73" s="39" t="n">
        <v>475.43</v>
      </c>
      <c r="O73" s="39" t="n">
        <v>230.1</v>
      </c>
      <c r="P73" s="39" t="n">
        <v>1103.3</v>
      </c>
      <c r="Q73" s="39" t="n">
        <v>299.55</v>
      </c>
      <c r="R73" s="39" t="n">
        <v>801.4</v>
      </c>
      <c r="S73" s="39" t="n">
        <v>268.81</v>
      </c>
    </row>
    <row r="74" customFormat="false" ht="15" hidden="false" customHeight="false" outlineLevel="0" collapsed="false">
      <c r="A74" s="8" t="n">
        <v>44907</v>
      </c>
      <c r="B74" s="39" t="n">
        <v>18497.15</v>
      </c>
      <c r="C74" s="39" t="n">
        <v>15828</v>
      </c>
      <c r="D74" s="39" t="n">
        <v>1925.55</v>
      </c>
      <c r="E74" s="39" t="n">
        <v>551.8</v>
      </c>
      <c r="F74" s="39" t="n">
        <v>751.65</v>
      </c>
      <c r="G74" s="39" t="n">
        <v>400.85</v>
      </c>
      <c r="H74" s="39" t="n">
        <v>353.91</v>
      </c>
      <c r="I74" s="39" t="n">
        <v>246.55</v>
      </c>
      <c r="J74" s="39" t="n">
        <v>1502.1</v>
      </c>
      <c r="K74" s="39" t="n">
        <v>649.77</v>
      </c>
      <c r="L74" s="39" t="n">
        <v>746.6</v>
      </c>
      <c r="M74" s="39" t="n">
        <v>887.9</v>
      </c>
      <c r="N74" s="39" t="n">
        <v>482.33</v>
      </c>
      <c r="O74" s="39" t="n">
        <v>230</v>
      </c>
      <c r="P74" s="39" t="n">
        <v>1095.3</v>
      </c>
      <c r="Q74" s="39" t="n">
        <v>307.3</v>
      </c>
      <c r="R74" s="39" t="n">
        <v>803.75</v>
      </c>
      <c r="S74" s="39" t="n">
        <v>272.71</v>
      </c>
    </row>
    <row r="75" customFormat="false" ht="15" hidden="false" customHeight="false" outlineLevel="0" collapsed="false">
      <c r="A75" s="8" t="n">
        <v>44908</v>
      </c>
      <c r="B75" s="39" t="n">
        <v>18608</v>
      </c>
      <c r="C75" s="39" t="n">
        <v>15904.5</v>
      </c>
      <c r="D75" s="39" t="n">
        <v>1919</v>
      </c>
      <c r="E75" s="39" t="n">
        <v>539.8</v>
      </c>
      <c r="F75" s="39" t="n">
        <v>750.55</v>
      </c>
      <c r="G75" s="39" t="n">
        <v>411</v>
      </c>
      <c r="H75" s="39" t="n">
        <v>366.95</v>
      </c>
      <c r="I75" s="39" t="n">
        <v>245.5</v>
      </c>
      <c r="J75" s="39" t="n">
        <v>1483.55</v>
      </c>
      <c r="K75" s="39" t="n">
        <v>661.11</v>
      </c>
      <c r="L75" s="39" t="n">
        <v>751.6</v>
      </c>
      <c r="M75" s="39" t="n">
        <v>900.55</v>
      </c>
      <c r="N75" s="39" t="n">
        <v>483.49</v>
      </c>
      <c r="O75" s="39" t="n">
        <v>233.75</v>
      </c>
      <c r="P75" s="39" t="n">
        <v>1105.35</v>
      </c>
      <c r="Q75" s="39" t="n">
        <v>303.4</v>
      </c>
      <c r="R75" s="39" t="n">
        <v>798.05</v>
      </c>
      <c r="S75" s="39" t="n">
        <v>273.17</v>
      </c>
    </row>
    <row r="76" customFormat="false" ht="15" hidden="false" customHeight="false" outlineLevel="0" collapsed="false">
      <c r="A76" s="8" t="n">
        <v>44909</v>
      </c>
      <c r="B76" s="39" t="n">
        <v>18660.3</v>
      </c>
      <c r="C76" s="39" t="n">
        <v>15963.8</v>
      </c>
      <c r="D76" s="39" t="n">
        <v>1988.05</v>
      </c>
      <c r="E76" s="39" t="n">
        <v>546.7</v>
      </c>
      <c r="F76" s="39" t="n">
        <v>749.7</v>
      </c>
      <c r="G76" s="39" t="n">
        <v>416.9</v>
      </c>
      <c r="H76" s="39" t="n">
        <v>398.42</v>
      </c>
      <c r="I76" s="39" t="n">
        <v>243.3</v>
      </c>
      <c r="J76" s="39" t="n">
        <v>1457.05</v>
      </c>
      <c r="K76" s="39" t="n">
        <v>664.62</v>
      </c>
      <c r="L76" s="39" t="n">
        <v>752.1</v>
      </c>
      <c r="M76" s="39" t="n">
        <v>907.1</v>
      </c>
      <c r="N76" s="39" t="n">
        <v>473.54</v>
      </c>
      <c r="O76" s="39" t="n">
        <v>237.15</v>
      </c>
      <c r="P76" s="39" t="n">
        <v>1108.6</v>
      </c>
      <c r="Q76" s="39" t="n">
        <v>302.05</v>
      </c>
      <c r="R76" s="39" t="n">
        <v>799.55</v>
      </c>
      <c r="S76" s="39" t="n">
        <v>275.71</v>
      </c>
    </row>
    <row r="77" customFormat="false" ht="15" hidden="false" customHeight="false" outlineLevel="0" collapsed="false">
      <c r="A77" s="8" t="n">
        <v>44910</v>
      </c>
      <c r="B77" s="39" t="n">
        <v>18414.9</v>
      </c>
      <c r="C77" s="39" t="n">
        <v>15783.8</v>
      </c>
      <c r="D77" s="39" t="n">
        <v>1971.2</v>
      </c>
      <c r="E77" s="39" t="n">
        <v>538.6</v>
      </c>
      <c r="F77" s="39" t="n">
        <v>760.7</v>
      </c>
      <c r="G77" s="39" t="n">
        <v>413.05</v>
      </c>
      <c r="H77" s="39" t="n">
        <v>411.26</v>
      </c>
      <c r="I77" s="39" t="n">
        <v>239.8</v>
      </c>
      <c r="J77" s="39" t="n">
        <v>1415.15</v>
      </c>
      <c r="K77" s="39" t="n">
        <v>661.64</v>
      </c>
      <c r="L77" s="39" t="n">
        <v>747.6</v>
      </c>
      <c r="M77" s="39" t="n">
        <v>909.95</v>
      </c>
      <c r="N77" s="39" t="n">
        <v>483.2</v>
      </c>
      <c r="O77" s="39" t="n">
        <v>238.7</v>
      </c>
      <c r="P77" s="39" t="n">
        <v>1102.25</v>
      </c>
      <c r="Q77" s="39" t="n">
        <v>288.7</v>
      </c>
      <c r="R77" s="39" t="n">
        <v>798.65</v>
      </c>
      <c r="S77" s="39" t="n">
        <v>278.64</v>
      </c>
    </row>
    <row r="78" customFormat="false" ht="15" hidden="false" customHeight="false" outlineLevel="0" collapsed="false">
      <c r="A78" s="8" t="n">
        <v>44911</v>
      </c>
      <c r="B78" s="39" t="n">
        <v>18269</v>
      </c>
      <c r="C78" s="39" t="n">
        <v>15636.35</v>
      </c>
      <c r="D78" s="39" t="n">
        <v>1985.55</v>
      </c>
      <c r="E78" s="39" t="n">
        <v>524.3</v>
      </c>
      <c r="F78" s="39" t="n">
        <v>736.9</v>
      </c>
      <c r="G78" s="39" t="n">
        <v>403.8</v>
      </c>
      <c r="H78" s="39" t="n">
        <v>387.16</v>
      </c>
      <c r="I78" s="39" t="n">
        <v>233.4</v>
      </c>
      <c r="J78" s="39" t="n">
        <v>1450.6</v>
      </c>
      <c r="K78" s="39" t="n">
        <v>658.79</v>
      </c>
      <c r="L78" s="39" t="n">
        <v>729.85</v>
      </c>
      <c r="M78" s="39" t="n">
        <v>879.05</v>
      </c>
      <c r="N78" s="39" t="n">
        <v>483.25</v>
      </c>
      <c r="O78" s="39" t="n">
        <v>233.9</v>
      </c>
      <c r="P78" s="39" t="n">
        <v>1078.6</v>
      </c>
      <c r="Q78" s="39" t="n">
        <v>288.85</v>
      </c>
      <c r="R78" s="39" t="n">
        <v>790.85</v>
      </c>
      <c r="S78" s="39" t="n">
        <v>274.09</v>
      </c>
    </row>
    <row r="79" customFormat="false" ht="15" hidden="false" customHeight="false" outlineLevel="0" collapsed="false">
      <c r="A79" s="8" t="n">
        <v>44914</v>
      </c>
      <c r="B79" s="39" t="n">
        <v>18420.45</v>
      </c>
      <c r="C79" s="39" t="n">
        <v>15755.2</v>
      </c>
      <c r="D79" s="39" t="n">
        <v>1973.05</v>
      </c>
      <c r="E79" s="39" t="n">
        <v>541.6</v>
      </c>
      <c r="F79" s="39" t="n">
        <v>720.85</v>
      </c>
      <c r="G79" s="39" t="n">
        <v>409.45</v>
      </c>
      <c r="H79" s="39" t="n">
        <v>419.67</v>
      </c>
      <c r="I79" s="39" t="n">
        <v>242.75</v>
      </c>
      <c r="J79" s="39" t="n">
        <v>1444.7</v>
      </c>
      <c r="K79" s="39" t="n">
        <v>667.79</v>
      </c>
      <c r="L79" s="39" t="n">
        <v>745.15</v>
      </c>
      <c r="M79" s="39" t="n">
        <v>904.7</v>
      </c>
      <c r="N79" s="39" t="n">
        <v>485.73</v>
      </c>
      <c r="O79" s="39" t="n">
        <v>236.05</v>
      </c>
      <c r="P79" s="39" t="n">
        <v>1089.65</v>
      </c>
      <c r="Q79" s="39" t="n">
        <v>287.2</v>
      </c>
      <c r="R79" s="39" t="n">
        <v>796.45</v>
      </c>
      <c r="S79" s="39" t="n">
        <v>274.45</v>
      </c>
    </row>
    <row r="80" customFormat="false" ht="15" hidden="false" customHeight="false" outlineLevel="0" collapsed="false">
      <c r="A80" s="8" t="n">
        <v>44915</v>
      </c>
      <c r="B80" s="39" t="n">
        <v>18385.3</v>
      </c>
      <c r="C80" s="39" t="n">
        <v>15726.2</v>
      </c>
      <c r="D80" s="39" t="n">
        <v>1978.75</v>
      </c>
      <c r="E80" s="39" t="n">
        <v>546.25</v>
      </c>
      <c r="F80" s="39" t="n">
        <v>722.1</v>
      </c>
      <c r="G80" s="39" t="n">
        <v>414.25</v>
      </c>
      <c r="H80" s="39" t="n">
        <v>439.51</v>
      </c>
      <c r="I80" s="39" t="n">
        <v>239.35</v>
      </c>
      <c r="J80" s="39" t="n">
        <v>1428.4</v>
      </c>
      <c r="K80" s="39" t="n">
        <v>663.38</v>
      </c>
      <c r="L80" s="39" t="n">
        <v>747.05</v>
      </c>
      <c r="M80" s="39" t="n">
        <v>905.35</v>
      </c>
      <c r="N80" s="39" t="n">
        <v>497.09</v>
      </c>
      <c r="O80" s="39" t="n">
        <v>234.05</v>
      </c>
      <c r="P80" s="39" t="n">
        <v>1091.7</v>
      </c>
      <c r="Q80" s="39" t="n">
        <v>289.6</v>
      </c>
      <c r="R80" s="39" t="n">
        <v>796.1</v>
      </c>
      <c r="S80" s="39" t="n">
        <v>277.85</v>
      </c>
    </row>
    <row r="81" customFormat="false" ht="15" hidden="false" customHeight="false" outlineLevel="0" collapsed="false">
      <c r="A81" s="8" t="n">
        <v>44916</v>
      </c>
      <c r="B81" s="39" t="n">
        <v>18199.1</v>
      </c>
      <c r="C81" s="39" t="n">
        <v>15527.55</v>
      </c>
      <c r="D81" s="39" t="n">
        <v>1975.45</v>
      </c>
      <c r="E81" s="39" t="n">
        <v>534.6</v>
      </c>
      <c r="F81" s="39" t="n">
        <v>715.5</v>
      </c>
      <c r="G81" s="39" t="n">
        <v>411.25</v>
      </c>
      <c r="H81" s="39" t="n">
        <v>404.68</v>
      </c>
      <c r="I81" s="39" t="n">
        <v>233.1</v>
      </c>
      <c r="J81" s="39" t="n">
        <v>1404.75</v>
      </c>
      <c r="K81" s="39" t="n">
        <v>651.78</v>
      </c>
      <c r="L81" s="39" t="n">
        <v>722.55</v>
      </c>
      <c r="M81" s="39" t="n">
        <v>908.05</v>
      </c>
      <c r="N81" s="39" t="n">
        <v>477.08</v>
      </c>
      <c r="O81" s="39" t="n">
        <v>226.75</v>
      </c>
      <c r="P81" s="39" t="n">
        <v>1089.35</v>
      </c>
      <c r="Q81" s="39" t="n">
        <v>274.2</v>
      </c>
      <c r="R81" s="39" t="n">
        <v>791.65</v>
      </c>
      <c r="S81" s="39" t="n">
        <v>273.88</v>
      </c>
    </row>
    <row r="82" customFormat="false" ht="15" hidden="false" customHeight="false" outlineLevel="0" collapsed="false">
      <c r="A82" s="8" t="n">
        <v>44917</v>
      </c>
      <c r="B82" s="39" t="n">
        <v>18127.35</v>
      </c>
      <c r="C82" s="39" t="n">
        <v>15431.5</v>
      </c>
      <c r="D82" s="39" t="n">
        <v>1920.9</v>
      </c>
      <c r="E82" s="39" t="n">
        <v>521.7</v>
      </c>
      <c r="F82" s="39" t="n">
        <v>708.9</v>
      </c>
      <c r="G82" s="39" t="n">
        <v>411</v>
      </c>
      <c r="H82" s="39" t="n">
        <v>421.86</v>
      </c>
      <c r="I82" s="39" t="n">
        <v>220.65</v>
      </c>
      <c r="J82" s="39" t="n">
        <v>1422.1</v>
      </c>
      <c r="K82" s="39" t="n">
        <v>648.18</v>
      </c>
      <c r="L82" s="39" t="n">
        <v>716.85</v>
      </c>
      <c r="M82" s="39" t="n">
        <v>886.1</v>
      </c>
      <c r="N82" s="39" t="n">
        <v>463.87</v>
      </c>
      <c r="O82" s="39" t="n">
        <v>227.85</v>
      </c>
      <c r="P82" s="39" t="n">
        <v>1085.65</v>
      </c>
      <c r="Q82" s="39" t="n">
        <v>265.15</v>
      </c>
      <c r="R82" s="39" t="n">
        <v>786.85</v>
      </c>
      <c r="S82" s="39" t="n">
        <v>267.88</v>
      </c>
    </row>
    <row r="83" customFormat="false" ht="15" hidden="false" customHeight="false" outlineLevel="0" collapsed="false">
      <c r="A83" s="8" t="n">
        <v>44918</v>
      </c>
      <c r="B83" s="39" t="n">
        <v>17806.8</v>
      </c>
      <c r="C83" s="39" t="n">
        <v>15046</v>
      </c>
      <c r="D83" s="39" t="n">
        <v>1871.95</v>
      </c>
      <c r="E83" s="39" t="n">
        <v>489.6</v>
      </c>
      <c r="F83" s="39" t="n">
        <v>695</v>
      </c>
      <c r="G83" s="39" t="n">
        <v>395.05</v>
      </c>
      <c r="H83" s="39" t="n">
        <v>388.45</v>
      </c>
      <c r="I83" s="39" t="n">
        <v>208.25</v>
      </c>
      <c r="J83" s="39" t="n">
        <v>1348.95</v>
      </c>
      <c r="K83" s="39" t="n">
        <v>636.59</v>
      </c>
      <c r="L83" s="39" t="n">
        <v>699.25</v>
      </c>
      <c r="M83" s="39" t="n">
        <v>858.05</v>
      </c>
      <c r="N83" s="39" t="n">
        <v>430.12</v>
      </c>
      <c r="O83" s="39" t="n">
        <v>220.75</v>
      </c>
      <c r="P83" s="39" t="n">
        <v>1043.45</v>
      </c>
      <c r="Q83" s="39" t="n">
        <v>246.1</v>
      </c>
      <c r="R83" s="39" t="n">
        <v>771.25</v>
      </c>
      <c r="S83" s="39" t="n">
        <v>260.3</v>
      </c>
    </row>
    <row r="84" customFormat="false" ht="15" hidden="false" customHeight="false" outlineLevel="0" collapsed="false">
      <c r="A84" s="8" t="n">
        <v>44921</v>
      </c>
      <c r="B84" s="39" t="n">
        <v>18014.6</v>
      </c>
      <c r="C84" s="39" t="n">
        <v>15298.55</v>
      </c>
      <c r="D84" s="39" t="n">
        <v>1847.1</v>
      </c>
      <c r="E84" s="39" t="n">
        <v>519.7</v>
      </c>
      <c r="F84" s="39" t="n">
        <v>705.75</v>
      </c>
      <c r="G84" s="39" t="n">
        <v>407.85</v>
      </c>
      <c r="H84" s="39" t="n">
        <v>403.97</v>
      </c>
      <c r="I84" s="39" t="n">
        <v>216.05</v>
      </c>
      <c r="J84" s="39" t="n">
        <v>1385.5</v>
      </c>
      <c r="K84" s="39" t="n">
        <v>642.5</v>
      </c>
      <c r="L84" s="39" t="n">
        <v>710.7</v>
      </c>
      <c r="M84" s="39" t="n">
        <v>889.45</v>
      </c>
      <c r="N84" s="39" t="n">
        <v>462.51</v>
      </c>
      <c r="O84" s="39" t="n">
        <v>227.85</v>
      </c>
      <c r="P84" s="39" t="n">
        <v>1064.5</v>
      </c>
      <c r="Q84" s="39" t="n">
        <v>280.45</v>
      </c>
      <c r="R84" s="39" t="n">
        <v>792.7</v>
      </c>
      <c r="S84" s="39" t="n">
        <v>270.23</v>
      </c>
    </row>
    <row r="85" customFormat="false" ht="15" hidden="false" customHeight="false" outlineLevel="0" collapsed="false">
      <c r="A85" s="8" t="n">
        <v>44922</v>
      </c>
      <c r="B85" s="39" t="n">
        <v>18132.3</v>
      </c>
      <c r="C85" s="39" t="n">
        <v>15418.35</v>
      </c>
      <c r="D85" s="39" t="n">
        <v>1838.35</v>
      </c>
      <c r="E85" s="39" t="n">
        <v>529.35</v>
      </c>
      <c r="F85" s="39" t="n">
        <v>728.7</v>
      </c>
      <c r="G85" s="39" t="n">
        <v>413.85</v>
      </c>
      <c r="H85" s="39" t="n">
        <v>422.03</v>
      </c>
      <c r="I85" s="39" t="n">
        <v>225.35</v>
      </c>
      <c r="J85" s="39" t="n">
        <v>1401.55</v>
      </c>
      <c r="K85" s="39" t="n">
        <v>649.59</v>
      </c>
      <c r="L85" s="39" t="n">
        <v>707.1</v>
      </c>
      <c r="M85" s="39" t="n">
        <v>892.45</v>
      </c>
      <c r="N85" s="39" t="n">
        <v>458.58</v>
      </c>
      <c r="O85" s="39" t="n">
        <v>229.1</v>
      </c>
      <c r="P85" s="39" t="n">
        <v>1065.9</v>
      </c>
      <c r="Q85" s="39" t="n">
        <v>292.2</v>
      </c>
      <c r="R85" s="39" t="n">
        <v>799.25</v>
      </c>
      <c r="S85" s="39" t="n">
        <v>275.78</v>
      </c>
    </row>
    <row r="86" customFormat="false" ht="15" hidden="false" customHeight="false" outlineLevel="0" collapsed="false">
      <c r="A86" s="8" t="n">
        <v>44923</v>
      </c>
      <c r="B86" s="39" t="n">
        <v>18122.5</v>
      </c>
      <c r="C86" s="39" t="n">
        <v>15432.8</v>
      </c>
      <c r="D86" s="39" t="n">
        <v>1846.8</v>
      </c>
      <c r="E86" s="39" t="n">
        <v>525.55</v>
      </c>
      <c r="F86" s="39" t="n">
        <v>723.75</v>
      </c>
      <c r="G86" s="39" t="n">
        <v>416.5</v>
      </c>
      <c r="H86" s="39" t="n">
        <v>416.98</v>
      </c>
      <c r="I86" s="39" t="n">
        <v>222.55</v>
      </c>
      <c r="J86" s="39" t="n">
        <v>1392.35</v>
      </c>
      <c r="K86" s="39" t="n">
        <v>646.73</v>
      </c>
      <c r="L86" s="39" t="n">
        <v>725.8</v>
      </c>
      <c r="M86" s="39" t="n">
        <v>912.05</v>
      </c>
      <c r="N86" s="39" t="n">
        <v>458.05</v>
      </c>
      <c r="O86" s="39" t="n">
        <v>231.75</v>
      </c>
      <c r="P86" s="39" t="n">
        <v>1078.15</v>
      </c>
      <c r="Q86" s="39" t="n">
        <v>302.4</v>
      </c>
      <c r="R86" s="39" t="n">
        <v>794.95</v>
      </c>
      <c r="S86" s="39" t="n">
        <v>277.72</v>
      </c>
    </row>
    <row r="87" customFormat="false" ht="15" hidden="false" customHeight="false" outlineLevel="0" collapsed="false">
      <c r="A87" s="8" t="n">
        <v>44924</v>
      </c>
      <c r="B87" s="39" t="n">
        <v>18191</v>
      </c>
      <c r="C87" s="39" t="n">
        <v>15485.2</v>
      </c>
      <c r="D87" s="39" t="n">
        <v>1854.9</v>
      </c>
      <c r="E87" s="39" t="n">
        <v>530.55</v>
      </c>
      <c r="F87" s="39" t="n">
        <v>731.9</v>
      </c>
      <c r="G87" s="39" t="n">
        <v>415.95</v>
      </c>
      <c r="H87" s="39" t="n">
        <v>416.61</v>
      </c>
      <c r="I87" s="39" t="n">
        <v>224.5</v>
      </c>
      <c r="J87" s="39" t="n">
        <v>1436.9</v>
      </c>
      <c r="K87" s="39" t="n">
        <v>650.21</v>
      </c>
      <c r="L87" s="39" t="n">
        <v>715</v>
      </c>
      <c r="M87" s="39" t="n">
        <v>899.7</v>
      </c>
      <c r="N87" s="39" t="n">
        <v>466.84</v>
      </c>
      <c r="O87" s="39" t="n">
        <v>229.15</v>
      </c>
      <c r="P87" s="39" t="n">
        <v>1056.6</v>
      </c>
      <c r="Q87" s="39" t="n">
        <v>306.7</v>
      </c>
      <c r="R87" s="39" t="n">
        <v>785.15</v>
      </c>
      <c r="S87" s="39" t="n">
        <v>262.45</v>
      </c>
    </row>
    <row r="88" customFormat="false" ht="15" hidden="false" customHeight="false" outlineLevel="0" collapsed="false">
      <c r="A88" s="8" t="n">
        <v>44925</v>
      </c>
      <c r="B88" s="39" t="n">
        <v>18105.3</v>
      </c>
      <c r="C88" s="39" t="n">
        <v>15448.85</v>
      </c>
      <c r="D88" s="39" t="n">
        <v>1845.85</v>
      </c>
      <c r="E88" s="39" t="n">
        <v>535.05</v>
      </c>
      <c r="F88" s="39" t="n">
        <v>731.65</v>
      </c>
      <c r="G88" s="39" t="n">
        <v>414.15</v>
      </c>
      <c r="H88" s="39" t="n">
        <v>441.91</v>
      </c>
      <c r="I88" s="39" t="n">
        <v>230.5</v>
      </c>
      <c r="J88" s="39" t="n">
        <v>1438.05</v>
      </c>
      <c r="K88" s="39" t="n">
        <v>656.63</v>
      </c>
      <c r="L88" s="39" t="n">
        <v>722.9</v>
      </c>
      <c r="M88" s="39" t="n">
        <v>915.3</v>
      </c>
      <c r="N88" s="39" t="n">
        <v>467.42</v>
      </c>
      <c r="O88" s="39" t="n">
        <v>234.6</v>
      </c>
      <c r="P88" s="39" t="n">
        <v>1063.05</v>
      </c>
      <c r="Q88" s="39" t="n">
        <v>308.3</v>
      </c>
      <c r="R88" s="39" t="n">
        <v>795.5</v>
      </c>
      <c r="S88" s="39" t="n">
        <v>275.38</v>
      </c>
    </row>
    <row r="89" customFormat="false" ht="15" hidden="false" customHeight="false" outlineLevel="0" collapsed="false">
      <c r="A89" s="8" t="n">
        <v>44928</v>
      </c>
      <c r="B89" s="39" t="n">
        <v>18197.45</v>
      </c>
      <c r="C89" s="39" t="n">
        <v>15523.65</v>
      </c>
      <c r="D89" s="39" t="n">
        <v>1808.2</v>
      </c>
      <c r="E89" s="39" t="n">
        <v>546.35</v>
      </c>
      <c r="F89" s="39" t="n">
        <v>750.9</v>
      </c>
      <c r="G89" s="39" t="n">
        <v>424.45</v>
      </c>
      <c r="H89" s="39" t="n">
        <v>474.71</v>
      </c>
      <c r="I89" s="39" t="n">
        <v>231.95</v>
      </c>
      <c r="J89" s="39" t="n">
        <v>1440.5</v>
      </c>
      <c r="K89" s="39" t="n">
        <v>654.48</v>
      </c>
      <c r="L89" s="39" t="n">
        <v>731.85</v>
      </c>
      <c r="M89" s="39" t="n">
        <v>901.2</v>
      </c>
      <c r="N89" s="39" t="n">
        <v>462.66</v>
      </c>
      <c r="O89" s="39" t="n">
        <v>241.05</v>
      </c>
      <c r="P89" s="39" t="n">
        <v>1091.7</v>
      </c>
      <c r="Q89" s="39" t="n">
        <v>303.45</v>
      </c>
      <c r="R89" s="39" t="n">
        <v>794.85</v>
      </c>
      <c r="S89" s="39" t="n">
        <v>277.16</v>
      </c>
    </row>
    <row r="90" customFormat="false" ht="15" hidden="false" customHeight="false" outlineLevel="0" collapsed="false">
      <c r="A90" s="8" t="n">
        <v>44929</v>
      </c>
      <c r="B90" s="39" t="n">
        <v>18232.55</v>
      </c>
      <c r="C90" s="39" t="n">
        <v>15557.8</v>
      </c>
      <c r="D90" s="39" t="n">
        <v>1798.05</v>
      </c>
      <c r="E90" s="39" t="n">
        <v>548.65</v>
      </c>
      <c r="F90" s="39" t="n">
        <v>739.9</v>
      </c>
      <c r="G90" s="39" t="n">
        <v>421.6</v>
      </c>
      <c r="H90" s="39" t="n">
        <v>474.66</v>
      </c>
      <c r="I90" s="39" t="n">
        <v>230.8</v>
      </c>
      <c r="J90" s="39" t="n">
        <v>1445.55</v>
      </c>
      <c r="K90" s="39" t="n">
        <v>659.73</v>
      </c>
      <c r="L90" s="39" t="n">
        <v>728.5</v>
      </c>
      <c r="M90" s="39" t="n">
        <v>891.25</v>
      </c>
      <c r="N90" s="39" t="n">
        <v>453.04</v>
      </c>
      <c r="O90" s="39" t="n">
        <v>234.25</v>
      </c>
      <c r="P90" s="39" t="n">
        <v>1087.25</v>
      </c>
      <c r="Q90" s="39" t="n">
        <v>303.85</v>
      </c>
      <c r="R90" s="39" t="n">
        <v>792.4</v>
      </c>
      <c r="S90" s="39" t="n">
        <v>269.93</v>
      </c>
    </row>
    <row r="91" customFormat="false" ht="15" hidden="false" customHeight="false" outlineLevel="0" collapsed="false">
      <c r="A91" s="8" t="n">
        <v>44930</v>
      </c>
      <c r="B91" s="39" t="n">
        <v>18042.95</v>
      </c>
      <c r="C91" s="39" t="n">
        <v>15393</v>
      </c>
      <c r="D91" s="39" t="n">
        <v>1761.65</v>
      </c>
      <c r="E91" s="39" t="n">
        <v>543.05</v>
      </c>
      <c r="F91" s="39" t="n">
        <v>755.7</v>
      </c>
      <c r="G91" s="39" t="n">
        <v>421.3</v>
      </c>
      <c r="H91" s="39" t="n">
        <v>460.46</v>
      </c>
      <c r="I91" s="39" t="n">
        <v>228.65</v>
      </c>
      <c r="J91" s="39" t="n">
        <v>1433.5</v>
      </c>
      <c r="K91" s="39" t="n">
        <v>656.21</v>
      </c>
      <c r="L91" s="39" t="n">
        <v>718.5</v>
      </c>
      <c r="M91" s="39" t="n">
        <v>885.2</v>
      </c>
      <c r="N91" s="39" t="n">
        <v>448.87</v>
      </c>
      <c r="O91" s="39" t="n">
        <v>234.1</v>
      </c>
      <c r="P91" s="39" t="n">
        <v>1090.05</v>
      </c>
      <c r="Q91" s="39" t="n">
        <v>298.35</v>
      </c>
      <c r="R91" s="39" t="n">
        <v>784</v>
      </c>
      <c r="S91" s="39" t="n">
        <v>265.67</v>
      </c>
    </row>
    <row r="92" customFormat="false" ht="15" hidden="false" customHeight="false" outlineLevel="0" collapsed="false">
      <c r="A92" s="8" t="n">
        <v>44931</v>
      </c>
      <c r="B92" s="39" t="n">
        <v>17992.15</v>
      </c>
      <c r="C92" s="39" t="n">
        <v>15386.2</v>
      </c>
      <c r="D92" s="39" t="n">
        <v>1731.65</v>
      </c>
      <c r="E92" s="39" t="n">
        <v>545.45</v>
      </c>
      <c r="F92" s="39" t="n">
        <v>750.1</v>
      </c>
      <c r="G92" s="39" t="n">
        <v>420.45</v>
      </c>
      <c r="H92" s="39" t="n">
        <v>465.97</v>
      </c>
      <c r="I92" s="39" t="n">
        <v>230.85</v>
      </c>
      <c r="J92" s="39" t="n">
        <v>1450.75</v>
      </c>
      <c r="K92" s="39" t="n">
        <v>609.18</v>
      </c>
      <c r="L92" s="39" t="n">
        <v>683.25</v>
      </c>
      <c r="M92" s="39" t="n">
        <v>870.7</v>
      </c>
      <c r="N92" s="39" t="n">
        <v>453.29</v>
      </c>
      <c r="O92" s="39" t="n">
        <v>235.75</v>
      </c>
      <c r="P92" s="39" t="n">
        <v>1081.75</v>
      </c>
      <c r="Q92" s="39" t="n">
        <v>292.75</v>
      </c>
      <c r="R92" s="39" t="n">
        <v>779.55</v>
      </c>
      <c r="S92" s="39" t="n">
        <v>263.98</v>
      </c>
    </row>
    <row r="93" customFormat="false" ht="15" hidden="false" customHeight="false" outlineLevel="0" collapsed="false">
      <c r="A93" s="8" t="n">
        <v>44932</v>
      </c>
      <c r="B93" s="39" t="n">
        <v>17859.45</v>
      </c>
      <c r="C93" s="39" t="n">
        <v>15272</v>
      </c>
      <c r="D93" s="39" t="n">
        <v>1746.8</v>
      </c>
      <c r="E93" s="39" t="n">
        <v>543.4</v>
      </c>
      <c r="F93" s="39" t="n">
        <v>738.55</v>
      </c>
      <c r="G93" s="39" t="n">
        <v>404.95</v>
      </c>
      <c r="H93" s="39" t="n">
        <v>454.79</v>
      </c>
      <c r="I93" s="39" t="n">
        <v>230.95</v>
      </c>
      <c r="J93" s="39" t="n">
        <v>1427.1</v>
      </c>
      <c r="K93" s="39" t="n">
        <v>597.23</v>
      </c>
      <c r="L93" s="39" t="n">
        <v>667.9</v>
      </c>
      <c r="M93" s="39" t="n">
        <v>871.5</v>
      </c>
      <c r="N93" s="39" t="n">
        <v>444.59</v>
      </c>
      <c r="O93" s="39" t="n">
        <v>233.8</v>
      </c>
      <c r="P93" s="39" t="n">
        <v>1072.25</v>
      </c>
      <c r="Q93" s="39" t="n">
        <v>289.25</v>
      </c>
      <c r="R93" s="39" t="n">
        <v>774.2</v>
      </c>
      <c r="S93" s="39" t="n">
        <v>258.93</v>
      </c>
    </row>
    <row r="94" customFormat="false" ht="15" hidden="false" customHeight="false" outlineLevel="0" collapsed="false">
      <c r="A94" s="8" t="n">
        <v>44935</v>
      </c>
      <c r="B94" s="39" t="n">
        <v>18101.2</v>
      </c>
      <c r="C94" s="39" t="n">
        <v>15450.1</v>
      </c>
      <c r="D94" s="39" t="n">
        <v>1781.35</v>
      </c>
      <c r="E94" s="39" t="n">
        <v>554.1</v>
      </c>
      <c r="F94" s="39" t="n">
        <v>724.75</v>
      </c>
      <c r="G94" s="39" t="n">
        <v>402.4</v>
      </c>
      <c r="H94" s="39" t="n">
        <v>470.81</v>
      </c>
      <c r="I94" s="39" t="n">
        <v>239.05</v>
      </c>
      <c r="J94" s="39" t="n">
        <v>1445.75</v>
      </c>
      <c r="K94" s="39" t="n">
        <v>598.52</v>
      </c>
      <c r="L94" s="39" t="n">
        <v>679.2</v>
      </c>
      <c r="M94" s="39" t="n">
        <v>884.45</v>
      </c>
      <c r="N94" s="39" t="n">
        <v>459.94</v>
      </c>
      <c r="O94" s="39" t="n">
        <v>236.95</v>
      </c>
      <c r="P94" s="39" t="n">
        <v>1076.85</v>
      </c>
      <c r="Q94" s="39" t="n">
        <v>292.4</v>
      </c>
      <c r="R94" s="39" t="n">
        <v>782.1</v>
      </c>
      <c r="S94" s="39" t="n">
        <v>263.72</v>
      </c>
    </row>
    <row r="95" customFormat="false" ht="15" hidden="false" customHeight="false" outlineLevel="0" collapsed="false">
      <c r="A95" s="8" t="n">
        <v>44936</v>
      </c>
      <c r="B95" s="39" t="n">
        <v>17914.15</v>
      </c>
      <c r="C95" s="39" t="n">
        <v>15325.25</v>
      </c>
      <c r="D95" s="39" t="n">
        <v>1826.15</v>
      </c>
      <c r="E95" s="39" t="n">
        <v>546.45</v>
      </c>
      <c r="F95" s="39" t="n">
        <v>722.05</v>
      </c>
      <c r="G95" s="39" t="n">
        <v>395.6</v>
      </c>
      <c r="H95" s="39" t="n">
        <v>461.04</v>
      </c>
      <c r="I95" s="39" t="n">
        <v>235.45</v>
      </c>
      <c r="J95" s="39" t="n">
        <v>1442.65</v>
      </c>
      <c r="K95" s="39" t="n">
        <v>589.61</v>
      </c>
      <c r="L95" s="39" t="n">
        <v>669</v>
      </c>
      <c r="M95" s="39" t="n">
        <v>877.75</v>
      </c>
      <c r="N95" s="39" t="n">
        <v>454.6</v>
      </c>
      <c r="O95" s="39" t="n">
        <v>234.7</v>
      </c>
      <c r="P95" s="39" t="n">
        <v>1074.35</v>
      </c>
      <c r="Q95" s="39" t="n">
        <v>290.5</v>
      </c>
      <c r="R95" s="39" t="n">
        <v>782</v>
      </c>
      <c r="S95" s="39" t="n">
        <v>266.78</v>
      </c>
    </row>
    <row r="96" customFormat="false" ht="15" hidden="false" customHeight="false" outlineLevel="0" collapsed="false">
      <c r="A96" s="8" t="n">
        <v>44937</v>
      </c>
      <c r="B96" s="39" t="n">
        <v>17895.7</v>
      </c>
      <c r="C96" s="39" t="n">
        <v>15301.35</v>
      </c>
      <c r="D96" s="39" t="n">
        <v>1855.35</v>
      </c>
      <c r="E96" s="39" t="n">
        <v>550.2</v>
      </c>
      <c r="F96" s="39" t="n">
        <v>721.35</v>
      </c>
      <c r="G96" s="39" t="n">
        <v>402.65</v>
      </c>
      <c r="H96" s="39" t="n">
        <v>470.15</v>
      </c>
      <c r="I96" s="39" t="n">
        <v>237.55</v>
      </c>
      <c r="J96" s="39" t="n">
        <v>1458.55</v>
      </c>
      <c r="K96" s="39" t="n">
        <v>588.77</v>
      </c>
      <c r="L96" s="39" t="n">
        <v>665.95</v>
      </c>
      <c r="M96" s="39" t="n">
        <v>869.55</v>
      </c>
      <c r="N96" s="39" t="n">
        <v>452.31</v>
      </c>
      <c r="O96" s="39" t="n">
        <v>236.4</v>
      </c>
      <c r="P96" s="39" t="n">
        <v>1067.85</v>
      </c>
      <c r="Q96" s="39" t="n">
        <v>295.15</v>
      </c>
      <c r="R96" s="39" t="n">
        <v>778.1</v>
      </c>
      <c r="S96" s="39" t="n">
        <v>266.9</v>
      </c>
    </row>
    <row r="97" customFormat="false" ht="15" hidden="false" customHeight="false" outlineLevel="0" collapsed="false">
      <c r="A97" s="8" t="n">
        <v>44938</v>
      </c>
      <c r="B97" s="39" t="n">
        <v>17858.2</v>
      </c>
      <c r="C97" s="39" t="n">
        <v>15279.6</v>
      </c>
      <c r="D97" s="39" t="n">
        <v>1828.55</v>
      </c>
      <c r="E97" s="39" t="n">
        <v>547.55</v>
      </c>
      <c r="F97" s="39" t="n">
        <v>734.05</v>
      </c>
      <c r="G97" s="39" t="n">
        <v>400.15</v>
      </c>
      <c r="H97" s="39" t="n">
        <v>486.88</v>
      </c>
      <c r="I97" s="39" t="n">
        <v>238.4</v>
      </c>
      <c r="J97" s="39" t="n">
        <v>1503.05</v>
      </c>
      <c r="K97" s="39" t="n">
        <v>589.04</v>
      </c>
      <c r="L97" s="39" t="n">
        <v>685.6</v>
      </c>
      <c r="M97" s="39" t="n">
        <v>885.75</v>
      </c>
      <c r="N97" s="39" t="n">
        <v>463.58</v>
      </c>
      <c r="O97" s="39" t="n">
        <v>232.85</v>
      </c>
      <c r="P97" s="39" t="n">
        <v>1063.3</v>
      </c>
      <c r="Q97" s="39" t="n">
        <v>289.15</v>
      </c>
      <c r="R97" s="39" t="n">
        <v>780.25</v>
      </c>
      <c r="S97" s="39" t="n">
        <v>262.53</v>
      </c>
    </row>
    <row r="98" customFormat="false" ht="15" hidden="false" customHeight="false" outlineLevel="0" collapsed="false">
      <c r="A98" s="8" t="n">
        <v>44939</v>
      </c>
      <c r="B98" s="39" t="n">
        <v>17956.6</v>
      </c>
      <c r="C98" s="39" t="n">
        <v>15346.1</v>
      </c>
      <c r="D98" s="39" t="n">
        <v>1817.75</v>
      </c>
      <c r="E98" s="39" t="n">
        <v>549.55</v>
      </c>
      <c r="F98" s="39" t="n">
        <v>736.2</v>
      </c>
      <c r="G98" s="39" t="n">
        <v>402.9</v>
      </c>
      <c r="H98" s="39" t="n">
        <v>480.59</v>
      </c>
      <c r="I98" s="39" t="n">
        <v>236.75</v>
      </c>
      <c r="J98" s="39" t="n">
        <v>1509.25</v>
      </c>
      <c r="K98" s="39" t="n">
        <v>596.97</v>
      </c>
      <c r="L98" s="39" t="n">
        <v>711.7</v>
      </c>
      <c r="M98" s="39" t="n">
        <v>883.65</v>
      </c>
      <c r="N98" s="39" t="n">
        <v>463.05</v>
      </c>
      <c r="O98" s="39" t="n">
        <v>235.05</v>
      </c>
      <c r="P98" s="39" t="n">
        <v>1062.65</v>
      </c>
      <c r="Q98" s="39" t="n">
        <v>288.05</v>
      </c>
      <c r="R98" s="39" t="n">
        <v>787.35</v>
      </c>
      <c r="S98" s="39" t="n">
        <v>256.64</v>
      </c>
    </row>
    <row r="99" customFormat="false" ht="15" hidden="false" customHeight="false" outlineLevel="0" collapsed="false">
      <c r="A99" s="8" t="n">
        <v>44942</v>
      </c>
      <c r="B99" s="39" t="n">
        <v>17894.85</v>
      </c>
      <c r="C99" s="39" t="n">
        <v>15305.45</v>
      </c>
      <c r="D99" s="39" t="n">
        <v>1869.6</v>
      </c>
      <c r="E99" s="39" t="n">
        <v>542.9</v>
      </c>
      <c r="F99" s="39" t="n">
        <v>737.35</v>
      </c>
      <c r="G99" s="39" t="n">
        <v>395.55</v>
      </c>
      <c r="H99" s="39" t="n">
        <v>470.73</v>
      </c>
      <c r="I99" s="39" t="n">
        <v>231.2</v>
      </c>
      <c r="J99" s="39" t="n">
        <v>1480</v>
      </c>
      <c r="K99" s="39" t="n">
        <v>600.27</v>
      </c>
      <c r="L99" s="39" t="n">
        <v>691.3</v>
      </c>
      <c r="M99" s="39" t="n">
        <v>872.45</v>
      </c>
      <c r="N99" s="39" t="n">
        <v>458.87</v>
      </c>
      <c r="O99" s="39" t="n">
        <v>232.05</v>
      </c>
      <c r="P99" s="39" t="n">
        <v>1062</v>
      </c>
      <c r="Q99" s="39" t="n">
        <v>287.7</v>
      </c>
      <c r="R99" s="39" t="n">
        <v>774.8</v>
      </c>
      <c r="S99" s="39" t="n">
        <v>254.54</v>
      </c>
    </row>
    <row r="100" customFormat="false" ht="15" hidden="false" customHeight="false" outlineLevel="0" collapsed="false">
      <c r="A100" s="8" t="n">
        <v>44943</v>
      </c>
      <c r="B100" s="39" t="n">
        <v>18053.3</v>
      </c>
      <c r="C100" s="39" t="n">
        <v>15396.15</v>
      </c>
      <c r="D100" s="39" t="n">
        <v>1870.85</v>
      </c>
      <c r="E100" s="39" t="n">
        <v>526.05</v>
      </c>
      <c r="F100" s="39" t="n">
        <v>729.65</v>
      </c>
      <c r="G100" s="39" t="n">
        <v>393.65</v>
      </c>
      <c r="H100" s="39" t="n">
        <v>451.97</v>
      </c>
      <c r="I100" s="39" t="n">
        <v>227.5</v>
      </c>
      <c r="J100" s="39" t="n">
        <v>1465.1</v>
      </c>
      <c r="K100" s="39" t="n">
        <v>597.68</v>
      </c>
      <c r="L100" s="39" t="n">
        <v>681.4</v>
      </c>
      <c r="M100" s="39" t="n">
        <v>881.7</v>
      </c>
      <c r="N100" s="39" t="n">
        <v>500.01</v>
      </c>
      <c r="O100" s="39" t="n">
        <v>230</v>
      </c>
      <c r="P100" s="39" t="n">
        <v>1054.5</v>
      </c>
      <c r="Q100" s="39" t="n">
        <v>293.6</v>
      </c>
      <c r="R100" s="39" t="n">
        <v>766.3</v>
      </c>
      <c r="S100" s="39" t="n">
        <v>254.33</v>
      </c>
    </row>
    <row r="101" customFormat="false" ht="15" hidden="false" customHeight="false" outlineLevel="0" collapsed="false">
      <c r="A101" s="8" t="n">
        <v>44944</v>
      </c>
      <c r="B101" s="39" t="n">
        <v>18165.35</v>
      </c>
      <c r="C101" s="39" t="n">
        <v>15466.35</v>
      </c>
      <c r="D101" s="39" t="n">
        <v>1818.65</v>
      </c>
      <c r="E101" s="39" t="n">
        <v>533.5</v>
      </c>
      <c r="F101" s="39" t="n">
        <v>729.65</v>
      </c>
      <c r="G101" s="39" t="n">
        <v>396.4</v>
      </c>
      <c r="H101" s="39" t="n">
        <v>456.98</v>
      </c>
      <c r="I101" s="39" t="n">
        <v>232.75</v>
      </c>
      <c r="J101" s="39" t="n">
        <v>1441.8</v>
      </c>
      <c r="K101" s="39" t="n">
        <v>599.05</v>
      </c>
      <c r="L101" s="39" t="n">
        <v>692.1</v>
      </c>
      <c r="M101" s="39" t="n">
        <v>894.75</v>
      </c>
      <c r="N101" s="39" t="n">
        <v>493.84</v>
      </c>
      <c r="O101" s="39" t="n">
        <v>232.15</v>
      </c>
      <c r="P101" s="39" t="n">
        <v>1054.55</v>
      </c>
      <c r="Q101" s="39" t="n">
        <v>301.35</v>
      </c>
      <c r="R101" s="39" t="n">
        <v>765.1</v>
      </c>
      <c r="S101" s="39" t="n">
        <v>256.8</v>
      </c>
    </row>
    <row r="102" customFormat="false" ht="15" hidden="false" customHeight="false" outlineLevel="0" collapsed="false">
      <c r="A102" s="8" t="n">
        <v>44945</v>
      </c>
      <c r="B102" s="39" t="n">
        <v>18107.85</v>
      </c>
      <c r="C102" s="39" t="n">
        <v>15419.7</v>
      </c>
      <c r="D102" s="39" t="n">
        <v>1838.85</v>
      </c>
      <c r="E102" s="39" t="n">
        <v>530.35</v>
      </c>
      <c r="F102" s="39" t="n">
        <v>731.8</v>
      </c>
      <c r="G102" s="39" t="n">
        <v>391.65</v>
      </c>
      <c r="H102" s="39" t="n">
        <v>449.53</v>
      </c>
      <c r="I102" s="39" t="n">
        <v>234.65</v>
      </c>
      <c r="J102" s="39" t="n">
        <v>1463.1</v>
      </c>
      <c r="K102" s="39" t="n">
        <v>600.43</v>
      </c>
      <c r="L102" s="39" t="n">
        <v>701.25</v>
      </c>
      <c r="M102" s="39" t="n">
        <v>911.2</v>
      </c>
      <c r="N102" s="39" t="n">
        <v>488.11</v>
      </c>
      <c r="O102" s="39" t="n">
        <v>234.7</v>
      </c>
      <c r="P102" s="39" t="n">
        <v>1050.35</v>
      </c>
      <c r="Q102" s="39" t="n">
        <v>298.9</v>
      </c>
      <c r="R102" s="39" t="n">
        <v>769.15</v>
      </c>
      <c r="S102" s="39" t="n">
        <v>258.96</v>
      </c>
    </row>
    <row r="103" customFormat="false" ht="15" hidden="false" customHeight="false" outlineLevel="0" collapsed="false">
      <c r="A103" s="8" t="n">
        <v>44946</v>
      </c>
      <c r="B103" s="39" t="n">
        <v>18027.65</v>
      </c>
      <c r="C103" s="39" t="n">
        <v>15347.9</v>
      </c>
      <c r="D103" s="39" t="n">
        <v>1821.45</v>
      </c>
      <c r="E103" s="39" t="n">
        <v>521.1</v>
      </c>
      <c r="F103" s="39" t="n">
        <v>737.5</v>
      </c>
      <c r="G103" s="39" t="n">
        <v>389.5</v>
      </c>
      <c r="H103" s="39" t="n">
        <v>445.51</v>
      </c>
      <c r="I103" s="39" t="n">
        <v>236.05</v>
      </c>
      <c r="J103" s="39" t="n">
        <v>1503.3</v>
      </c>
      <c r="K103" s="39" t="n">
        <v>585.24</v>
      </c>
      <c r="L103" s="39" t="n">
        <v>706.25</v>
      </c>
      <c r="M103" s="39" t="n">
        <v>914.65</v>
      </c>
      <c r="N103" s="39" t="n">
        <v>477.23</v>
      </c>
      <c r="O103" s="39" t="n">
        <v>234.5</v>
      </c>
      <c r="P103" s="39" t="n">
        <v>1052.45</v>
      </c>
      <c r="Q103" s="39" t="n">
        <v>291.85</v>
      </c>
      <c r="R103" s="39" t="n">
        <v>752.45</v>
      </c>
      <c r="S103" s="39" t="n">
        <v>255.46</v>
      </c>
    </row>
    <row r="104" customFormat="false" ht="15" hidden="false" customHeight="false" outlineLevel="0" collapsed="false">
      <c r="A104" s="8" t="n">
        <v>44949</v>
      </c>
      <c r="B104" s="39" t="n">
        <v>18118.55</v>
      </c>
      <c r="C104" s="39" t="n">
        <v>15403.2</v>
      </c>
      <c r="D104" s="39" t="n">
        <v>1859.15</v>
      </c>
      <c r="E104" s="39" t="n">
        <v>551.85</v>
      </c>
      <c r="F104" s="39" t="n">
        <v>753.5</v>
      </c>
      <c r="G104" s="39" t="n">
        <v>393.5</v>
      </c>
      <c r="H104" s="39" t="n">
        <v>439.63</v>
      </c>
      <c r="I104" s="39" t="n">
        <v>233.9</v>
      </c>
      <c r="J104" s="39" t="n">
        <v>1503.25</v>
      </c>
      <c r="K104" s="39" t="n">
        <v>585.5</v>
      </c>
      <c r="L104" s="39" t="n">
        <v>712.8</v>
      </c>
      <c r="M104" s="39" t="n">
        <v>898.6</v>
      </c>
      <c r="N104" s="39" t="n">
        <v>463.78</v>
      </c>
      <c r="O104" s="39" t="n">
        <v>236.35</v>
      </c>
      <c r="P104" s="39" t="n">
        <v>1059.3</v>
      </c>
      <c r="Q104" s="39" t="n">
        <v>290.8</v>
      </c>
      <c r="R104" s="39" t="n">
        <v>767.15</v>
      </c>
      <c r="S104" s="39" t="n">
        <v>256.92</v>
      </c>
    </row>
    <row r="105" customFormat="false" ht="15" hidden="false" customHeight="false" outlineLevel="0" collapsed="false">
      <c r="A105" s="8" t="n">
        <v>44950</v>
      </c>
      <c r="B105" s="39" t="n">
        <v>18118.3</v>
      </c>
      <c r="C105" s="39" t="n">
        <v>15388.55</v>
      </c>
      <c r="D105" s="39" t="n">
        <v>1819.6</v>
      </c>
      <c r="E105" s="39" t="n">
        <v>563.6</v>
      </c>
      <c r="F105" s="39" t="n">
        <v>755.3</v>
      </c>
      <c r="G105" s="39" t="n">
        <v>394.55</v>
      </c>
      <c r="H105" s="39" t="n">
        <v>460.83</v>
      </c>
      <c r="I105" s="39" t="n">
        <v>237.1</v>
      </c>
      <c r="J105" s="39" t="n">
        <v>1525.3</v>
      </c>
      <c r="K105" s="39" t="n">
        <v>584.71</v>
      </c>
      <c r="L105" s="39" t="n">
        <v>725.5</v>
      </c>
      <c r="M105" s="39" t="n">
        <v>906</v>
      </c>
      <c r="N105" s="39" t="n">
        <v>456.3</v>
      </c>
      <c r="O105" s="39" t="n">
        <v>234.1</v>
      </c>
      <c r="P105" s="39" t="n">
        <v>1058.35</v>
      </c>
      <c r="Q105" s="39" t="n">
        <v>302.4</v>
      </c>
      <c r="R105" s="39" t="n">
        <v>745</v>
      </c>
      <c r="S105" s="39" t="n">
        <v>253.06</v>
      </c>
    </row>
    <row r="106" customFormat="false" ht="15" hidden="false" customHeight="false" outlineLevel="0" collapsed="false">
      <c r="A106" s="8" t="n">
        <v>44951</v>
      </c>
      <c r="B106" s="39" t="n">
        <v>17891.95</v>
      </c>
      <c r="C106" s="39" t="n">
        <v>15171.95</v>
      </c>
      <c r="D106" s="39" t="n">
        <v>1901.75</v>
      </c>
      <c r="E106" s="39" t="n">
        <v>556.75</v>
      </c>
      <c r="F106" s="39" t="n">
        <v>792.65</v>
      </c>
      <c r="G106" s="39" t="n">
        <v>390</v>
      </c>
      <c r="H106" s="39" t="n">
        <v>455.37</v>
      </c>
      <c r="I106" s="39" t="n">
        <v>237.5</v>
      </c>
      <c r="J106" s="39" t="n">
        <v>1539.5</v>
      </c>
      <c r="K106" s="39" t="n">
        <v>578.8</v>
      </c>
      <c r="L106" s="39" t="n">
        <v>718.4</v>
      </c>
      <c r="M106" s="39" t="n">
        <v>906</v>
      </c>
      <c r="N106" s="39" t="n">
        <v>463.34</v>
      </c>
      <c r="O106" s="39" t="n">
        <v>229.65</v>
      </c>
      <c r="P106" s="39" t="n">
        <v>1040.05</v>
      </c>
      <c r="Q106" s="39" t="n">
        <v>299</v>
      </c>
      <c r="R106" s="39" t="n">
        <v>715.1</v>
      </c>
      <c r="S106" s="39" t="n">
        <v>250.84</v>
      </c>
    </row>
    <row r="107" customFormat="false" ht="15" hidden="false" customHeight="false" outlineLevel="0" collapsed="false">
      <c r="A107" s="8" t="n">
        <v>44953</v>
      </c>
      <c r="B107" s="39" t="n">
        <v>17604.35</v>
      </c>
      <c r="C107" s="39" t="n">
        <v>14874.75</v>
      </c>
      <c r="D107" s="39" t="n">
        <v>1890.1</v>
      </c>
      <c r="E107" s="39" t="n">
        <v>539.7</v>
      </c>
      <c r="F107" s="39" t="n">
        <v>759</v>
      </c>
      <c r="G107" s="39" t="n">
        <v>386.3</v>
      </c>
      <c r="H107" s="39" t="n">
        <v>441.87</v>
      </c>
      <c r="I107" s="39" t="n">
        <v>232.3</v>
      </c>
      <c r="J107" s="39" t="n">
        <v>1498.3</v>
      </c>
      <c r="K107" s="39" t="n">
        <v>575.29</v>
      </c>
      <c r="L107" s="39" t="n">
        <v>709.9</v>
      </c>
      <c r="M107" s="39" t="n">
        <v>869.35</v>
      </c>
      <c r="N107" s="39" t="n">
        <v>447.36</v>
      </c>
      <c r="O107" s="39" t="n">
        <v>225.5</v>
      </c>
      <c r="P107" s="39" t="n">
        <v>1010.15</v>
      </c>
      <c r="Q107" s="39" t="n">
        <v>285.85</v>
      </c>
      <c r="R107" s="39" t="n">
        <v>699.35</v>
      </c>
      <c r="S107" s="39" t="n">
        <v>248.21</v>
      </c>
    </row>
    <row r="108" customFormat="false" ht="15" hidden="false" customHeight="false" outlineLevel="0" collapsed="false">
      <c r="A108" s="8" t="n">
        <v>44956</v>
      </c>
      <c r="B108" s="39" t="n">
        <v>17648.95</v>
      </c>
      <c r="C108" s="39" t="n">
        <v>14854.2</v>
      </c>
      <c r="D108" s="39" t="n">
        <v>1860.15</v>
      </c>
      <c r="E108" s="39" t="n">
        <v>540.7</v>
      </c>
      <c r="F108" s="39" t="n">
        <v>746.25</v>
      </c>
      <c r="G108" s="39" t="n">
        <v>389.15</v>
      </c>
      <c r="H108" s="39" t="n">
        <v>437.35</v>
      </c>
      <c r="I108" s="39" t="n">
        <v>222.7</v>
      </c>
      <c r="J108" s="39" t="n">
        <v>1508.95</v>
      </c>
      <c r="K108" s="39" t="n">
        <v>601.36</v>
      </c>
      <c r="L108" s="39" t="n">
        <v>710.75</v>
      </c>
      <c r="M108" s="39" t="n">
        <v>854.45</v>
      </c>
      <c r="N108" s="39" t="n">
        <v>456.54</v>
      </c>
      <c r="O108" s="39" t="n">
        <v>225.55</v>
      </c>
      <c r="P108" s="39" t="n">
        <v>1023.2</v>
      </c>
      <c r="Q108" s="39" t="n">
        <v>289.2</v>
      </c>
      <c r="R108" s="39" t="n">
        <v>716.4</v>
      </c>
      <c r="S108" s="39" t="n">
        <v>248.77</v>
      </c>
    </row>
    <row r="109" customFormat="false" ht="15" hidden="false" customHeight="false" outlineLevel="0" collapsed="false">
      <c r="A109" s="8" t="n">
        <v>44957</v>
      </c>
      <c r="B109" s="39" t="n">
        <v>17662.15</v>
      </c>
      <c r="C109" s="39" t="n">
        <v>14935.5</v>
      </c>
      <c r="D109" s="39" t="n">
        <v>1809.25</v>
      </c>
      <c r="E109" s="39" t="n">
        <v>567.55</v>
      </c>
      <c r="F109" s="39" t="n">
        <v>738.4</v>
      </c>
      <c r="G109" s="39" t="n">
        <v>401.2</v>
      </c>
      <c r="H109" s="39" t="n">
        <v>459.05</v>
      </c>
      <c r="I109" s="39" t="n">
        <v>227.6</v>
      </c>
      <c r="J109" s="39" t="n">
        <v>1536.55</v>
      </c>
      <c r="K109" s="39" t="n">
        <v>587.84</v>
      </c>
      <c r="L109" s="39" t="n">
        <v>706.95</v>
      </c>
      <c r="M109" s="39" t="n">
        <v>860.5</v>
      </c>
      <c r="N109" s="39" t="n">
        <v>498.65</v>
      </c>
      <c r="O109" s="39" t="n">
        <v>232.75</v>
      </c>
      <c r="P109" s="39" t="n">
        <v>1044.1</v>
      </c>
      <c r="Q109" s="39" t="n">
        <v>297.4</v>
      </c>
      <c r="R109" s="39" t="n">
        <v>722.85</v>
      </c>
      <c r="S109" s="39" t="n">
        <v>257.32</v>
      </c>
    </row>
    <row r="110" customFormat="false" ht="15" hidden="false" customHeight="false" outlineLevel="0" collapsed="false">
      <c r="A110" s="8" t="n">
        <v>44958</v>
      </c>
      <c r="B110" s="39" t="n">
        <v>17616.3</v>
      </c>
      <c r="C110" s="39" t="n">
        <v>14847.65</v>
      </c>
      <c r="D110" s="39" t="n">
        <v>1841.85</v>
      </c>
      <c r="E110" s="39" t="n">
        <v>541.8</v>
      </c>
      <c r="F110" s="39" t="n">
        <v>759.6</v>
      </c>
      <c r="G110" s="39" t="n">
        <v>386.9</v>
      </c>
      <c r="H110" s="39" t="n">
        <v>446.46</v>
      </c>
      <c r="I110" s="39" t="n">
        <v>226.45</v>
      </c>
      <c r="J110" s="39" t="n">
        <v>1482.25</v>
      </c>
      <c r="K110" s="39" t="n">
        <v>580.93</v>
      </c>
      <c r="L110" s="39" t="n">
        <v>749.8</v>
      </c>
      <c r="M110" s="39" t="n">
        <v>900.85</v>
      </c>
      <c r="N110" s="39" t="n">
        <v>505.01</v>
      </c>
      <c r="O110" s="39" t="n">
        <v>233.85</v>
      </c>
      <c r="P110" s="39" t="n">
        <v>1015.6</v>
      </c>
      <c r="Q110" s="39" t="n">
        <v>290.05</v>
      </c>
      <c r="R110" s="39" t="n">
        <v>739.7</v>
      </c>
      <c r="S110" s="39" t="n">
        <v>259.47</v>
      </c>
    </row>
    <row r="111" customFormat="false" ht="15" hidden="false" customHeight="false" outlineLevel="0" collapsed="false">
      <c r="A111" s="8" t="n">
        <v>44959</v>
      </c>
      <c r="B111" s="39" t="n">
        <v>17610.4</v>
      </c>
      <c r="C111" s="39" t="n">
        <v>14839.4</v>
      </c>
      <c r="D111" s="39" t="n">
        <v>1861.4</v>
      </c>
      <c r="E111" s="39" t="n">
        <v>571.65</v>
      </c>
      <c r="F111" s="39" t="n">
        <v>740.15</v>
      </c>
      <c r="G111" s="39" t="n">
        <v>394.85</v>
      </c>
      <c r="H111" s="39" t="n">
        <v>450.89</v>
      </c>
      <c r="I111" s="39" t="n">
        <v>229.65</v>
      </c>
      <c r="J111" s="39" t="n">
        <v>1495.2</v>
      </c>
      <c r="K111" s="39" t="n">
        <v>570.99</v>
      </c>
      <c r="L111" s="39" t="n">
        <v>775</v>
      </c>
      <c r="M111" s="39" t="n">
        <v>896.75</v>
      </c>
      <c r="N111" s="39" t="n">
        <v>504.86</v>
      </c>
      <c r="O111" s="39" t="n">
        <v>237.8</v>
      </c>
      <c r="P111" s="39" t="n">
        <v>1026</v>
      </c>
      <c r="Q111" s="39" t="n">
        <v>291.15</v>
      </c>
      <c r="R111" s="39" t="n">
        <v>737.35</v>
      </c>
      <c r="S111" s="39" t="n">
        <v>252.9</v>
      </c>
    </row>
    <row r="112" customFormat="false" ht="15" hidden="false" customHeight="false" outlineLevel="0" collapsed="false">
      <c r="A112" s="8" t="n">
        <v>44960</v>
      </c>
      <c r="B112" s="39" t="n">
        <v>17854.05</v>
      </c>
      <c r="C112" s="39" t="n">
        <v>14962.35</v>
      </c>
      <c r="D112" s="39" t="n">
        <v>1998.65</v>
      </c>
      <c r="E112" s="39" t="n">
        <v>578.1</v>
      </c>
      <c r="F112" s="39" t="n">
        <v>736.1</v>
      </c>
      <c r="G112" s="39" t="n">
        <v>399.7</v>
      </c>
      <c r="H112" s="39" t="n">
        <v>446.13</v>
      </c>
      <c r="I112" s="39" t="n">
        <v>224.45</v>
      </c>
      <c r="J112" s="39" t="n">
        <v>1471.8</v>
      </c>
      <c r="K112" s="39" t="n">
        <v>600.61</v>
      </c>
      <c r="L112" s="39" t="n">
        <v>781.15</v>
      </c>
      <c r="M112" s="39" t="n">
        <v>899.75</v>
      </c>
      <c r="N112" s="39" t="n">
        <v>492.43</v>
      </c>
      <c r="O112" s="39" t="n">
        <v>243.6</v>
      </c>
      <c r="P112" s="39" t="n">
        <v>1027.5</v>
      </c>
      <c r="Q112" s="39" t="n">
        <v>290.65</v>
      </c>
      <c r="R112" s="39" t="n">
        <v>754.05</v>
      </c>
      <c r="S112" s="39" t="n">
        <v>255.81</v>
      </c>
    </row>
    <row r="113" customFormat="false" ht="15" hidden="false" customHeight="false" outlineLevel="0" collapsed="false">
      <c r="A113" s="8" t="n">
        <v>44963</v>
      </c>
      <c r="B113" s="39" t="n">
        <v>17764.6</v>
      </c>
      <c r="C113" s="39" t="n">
        <v>14934.15</v>
      </c>
      <c r="D113" s="39" t="n">
        <v>1989.25</v>
      </c>
      <c r="E113" s="39" t="n">
        <v>581.9</v>
      </c>
      <c r="F113" s="39" t="n">
        <v>748.2</v>
      </c>
      <c r="G113" s="39" t="n">
        <v>388.2</v>
      </c>
      <c r="H113" s="39" t="n">
        <v>447.08</v>
      </c>
      <c r="I113" s="39" t="n">
        <v>226</v>
      </c>
      <c r="J113" s="39" t="n">
        <v>1531.65</v>
      </c>
      <c r="K113" s="39" t="n">
        <v>609.59</v>
      </c>
      <c r="L113" s="39" t="n">
        <v>781.1</v>
      </c>
      <c r="M113" s="39" t="n">
        <v>884.3</v>
      </c>
      <c r="N113" s="39" t="n">
        <v>478.54</v>
      </c>
      <c r="O113" s="39" t="n">
        <v>261.85</v>
      </c>
      <c r="P113" s="39" t="n">
        <v>1037.45</v>
      </c>
      <c r="Q113" s="39" t="n">
        <v>292.05</v>
      </c>
      <c r="R113" s="39" t="n">
        <v>756.5</v>
      </c>
      <c r="S113" s="39" t="n">
        <v>258.73</v>
      </c>
    </row>
    <row r="114" customFormat="false" ht="15" hidden="false" customHeight="false" outlineLevel="0" collapsed="false">
      <c r="A114" s="8" t="n">
        <v>44964</v>
      </c>
      <c r="B114" s="39" t="n">
        <v>17721.5</v>
      </c>
      <c r="C114" s="39" t="n">
        <v>14902.2</v>
      </c>
      <c r="D114" s="39" t="n">
        <v>1957.7</v>
      </c>
      <c r="E114" s="39" t="n">
        <v>579.8</v>
      </c>
      <c r="F114" s="39" t="n">
        <v>747.45</v>
      </c>
      <c r="G114" s="39" t="n">
        <v>376.1</v>
      </c>
      <c r="H114" s="39" t="n">
        <v>461.2</v>
      </c>
      <c r="I114" s="39" t="n">
        <v>225.15</v>
      </c>
      <c r="J114" s="39" t="n">
        <v>1585.5</v>
      </c>
      <c r="K114" s="39" t="n">
        <v>615.22</v>
      </c>
      <c r="L114" s="39" t="n">
        <v>781.4</v>
      </c>
      <c r="M114" s="39" t="n">
        <v>901.35</v>
      </c>
      <c r="N114" s="39" t="n">
        <v>463.78</v>
      </c>
      <c r="O114" s="39" t="n">
        <v>267.45</v>
      </c>
      <c r="P114" s="39" t="n">
        <v>1010.75</v>
      </c>
      <c r="Q114" s="39" t="n">
        <v>300.6</v>
      </c>
      <c r="R114" s="39" t="n">
        <v>750.7</v>
      </c>
      <c r="S114" s="39" t="n">
        <v>258.26</v>
      </c>
    </row>
    <row r="115" customFormat="false" ht="15" hidden="false" customHeight="false" outlineLevel="0" collapsed="false">
      <c r="A115" s="8" t="n">
        <v>44965</v>
      </c>
      <c r="B115" s="39" t="n">
        <v>17871.7</v>
      </c>
      <c r="C115" s="39" t="n">
        <v>15028.3</v>
      </c>
      <c r="D115" s="39" t="n">
        <v>1990.65</v>
      </c>
      <c r="E115" s="39" t="n">
        <v>591.65</v>
      </c>
      <c r="F115" s="39" t="n">
        <v>752</v>
      </c>
      <c r="G115" s="39" t="n">
        <v>386.25</v>
      </c>
      <c r="H115" s="39" t="n">
        <v>482.57</v>
      </c>
      <c r="I115" s="39" t="n">
        <v>236.45</v>
      </c>
      <c r="J115" s="39" t="n">
        <v>1563.25</v>
      </c>
      <c r="K115" s="39" t="n">
        <v>634.3</v>
      </c>
      <c r="L115" s="39" t="n">
        <v>796.05</v>
      </c>
      <c r="M115" s="39" t="n">
        <v>956.6</v>
      </c>
      <c r="N115" s="39" t="n">
        <v>472.91</v>
      </c>
      <c r="O115" s="39" t="n">
        <v>269.05</v>
      </c>
      <c r="P115" s="39" t="n">
        <v>1006.35</v>
      </c>
      <c r="Q115" s="39" t="n">
        <v>301.25</v>
      </c>
      <c r="R115" s="39" t="n">
        <v>751.7</v>
      </c>
      <c r="S115" s="39" t="n">
        <v>261.53</v>
      </c>
    </row>
    <row r="116" customFormat="false" ht="15" hidden="false" customHeight="false" outlineLevel="0" collapsed="false">
      <c r="A116" s="8" t="n">
        <v>44966</v>
      </c>
      <c r="B116" s="39" t="n">
        <v>17893.45</v>
      </c>
      <c r="C116" s="39" t="n">
        <v>15030.1</v>
      </c>
      <c r="D116" s="39" t="n">
        <v>1995.45</v>
      </c>
      <c r="E116" s="39" t="n">
        <v>600.35</v>
      </c>
      <c r="F116" s="39" t="n">
        <v>770.45</v>
      </c>
      <c r="G116" s="39" t="n">
        <v>380</v>
      </c>
      <c r="H116" s="39" t="n">
        <v>484.36</v>
      </c>
      <c r="I116" s="39" t="n">
        <v>233.85</v>
      </c>
      <c r="J116" s="39" t="n">
        <v>1604</v>
      </c>
      <c r="K116" s="39" t="n">
        <v>644.62</v>
      </c>
      <c r="L116" s="39" t="n">
        <v>796.1</v>
      </c>
      <c r="M116" s="39" t="n">
        <v>959.75</v>
      </c>
      <c r="N116" s="39" t="n">
        <v>465.72</v>
      </c>
      <c r="O116" s="39" t="n">
        <v>270.4</v>
      </c>
      <c r="P116" s="39" t="n">
        <v>1017.7</v>
      </c>
      <c r="Q116" s="39" t="n">
        <v>302.3</v>
      </c>
      <c r="R116" s="39" t="n">
        <v>757.25</v>
      </c>
      <c r="S116" s="39" t="n">
        <v>263.01</v>
      </c>
    </row>
    <row r="117" customFormat="false" ht="15" hidden="false" customHeight="false" outlineLevel="0" collapsed="false">
      <c r="A117" s="8" t="n">
        <v>44967</v>
      </c>
      <c r="B117" s="39" t="n">
        <v>17856.5</v>
      </c>
      <c r="C117" s="39" t="n">
        <v>15015.85</v>
      </c>
      <c r="D117" s="39" t="n">
        <v>2023.3</v>
      </c>
      <c r="E117" s="39" t="n">
        <v>597.35</v>
      </c>
      <c r="F117" s="39" t="n">
        <v>776.55</v>
      </c>
      <c r="G117" s="39" t="n">
        <v>377.9</v>
      </c>
      <c r="H117" s="39" t="n">
        <v>470.15</v>
      </c>
      <c r="I117" s="39" t="n">
        <v>237.9</v>
      </c>
      <c r="J117" s="39" t="n">
        <v>1650.2</v>
      </c>
      <c r="K117" s="39" t="n">
        <v>642.68</v>
      </c>
      <c r="L117" s="39" t="n">
        <v>777.55</v>
      </c>
      <c r="M117" s="39" t="n">
        <v>949.45</v>
      </c>
      <c r="N117" s="39" t="n">
        <v>458.24</v>
      </c>
      <c r="O117" s="39" t="n">
        <v>265.05</v>
      </c>
      <c r="P117" s="39" t="n">
        <v>1013.95</v>
      </c>
      <c r="Q117" s="39" t="n">
        <v>300.85</v>
      </c>
      <c r="R117" s="39" t="n">
        <v>753.7</v>
      </c>
      <c r="S117" s="39" t="n">
        <v>255.72</v>
      </c>
    </row>
    <row r="118" customFormat="false" ht="15" hidden="false" customHeight="false" outlineLevel="0" collapsed="false">
      <c r="A118" s="8" t="n">
        <v>44970</v>
      </c>
      <c r="B118" s="39" t="n">
        <v>17770.9</v>
      </c>
      <c r="C118" s="39" t="n">
        <v>14900.5</v>
      </c>
      <c r="D118" s="39" t="n">
        <v>2015.15</v>
      </c>
      <c r="E118" s="39" t="n">
        <v>591.05</v>
      </c>
      <c r="F118" s="39" t="n">
        <v>762.05</v>
      </c>
      <c r="G118" s="39" t="n">
        <v>369.9</v>
      </c>
      <c r="H118" s="39" t="n">
        <v>470.85</v>
      </c>
      <c r="I118" s="39" t="n">
        <v>230.2</v>
      </c>
      <c r="J118" s="39" t="n">
        <v>1625.8</v>
      </c>
      <c r="K118" s="39" t="n">
        <v>633.69</v>
      </c>
      <c r="L118" s="39" t="n">
        <v>771.2</v>
      </c>
      <c r="M118" s="39" t="n">
        <v>916.3</v>
      </c>
      <c r="N118" s="39" t="n">
        <v>453.97</v>
      </c>
      <c r="O118" s="39" t="n">
        <v>260.75</v>
      </c>
      <c r="P118" s="39" t="n">
        <v>1001.05</v>
      </c>
      <c r="Q118" s="39" t="n">
        <v>302.15</v>
      </c>
      <c r="R118" s="39" t="n">
        <v>742.5</v>
      </c>
      <c r="S118" s="39" t="n">
        <v>251.22</v>
      </c>
    </row>
    <row r="119" customFormat="false" ht="15" hidden="false" customHeight="false" outlineLevel="0" collapsed="false">
      <c r="A119" s="8" t="n">
        <v>44971</v>
      </c>
      <c r="B119" s="39" t="n">
        <v>17929.85</v>
      </c>
      <c r="C119" s="39" t="n">
        <v>14968.9</v>
      </c>
      <c r="D119" s="39" t="n">
        <v>1982.25</v>
      </c>
      <c r="E119" s="39" t="n">
        <v>590.4</v>
      </c>
      <c r="F119" s="39" t="n">
        <v>745.6</v>
      </c>
      <c r="G119" s="39" t="n">
        <v>371.4</v>
      </c>
      <c r="H119" s="39" t="n">
        <v>473.96</v>
      </c>
      <c r="I119" s="39" t="n">
        <v>222.95</v>
      </c>
      <c r="J119" s="39" t="n">
        <v>1511</v>
      </c>
      <c r="K119" s="39" t="n">
        <v>644.99</v>
      </c>
      <c r="L119" s="39" t="n">
        <v>776.15</v>
      </c>
      <c r="M119" s="39" t="n">
        <v>902.2</v>
      </c>
      <c r="N119" s="39" t="n">
        <v>450.71</v>
      </c>
      <c r="O119" s="39" t="n">
        <v>262.1</v>
      </c>
      <c r="P119" s="39" t="n">
        <v>1000.4</v>
      </c>
      <c r="Q119" s="39" t="n">
        <v>312.7</v>
      </c>
      <c r="R119" s="39" t="n">
        <v>747.75</v>
      </c>
      <c r="S119" s="39" t="n">
        <v>254.04</v>
      </c>
    </row>
    <row r="120" customFormat="false" ht="15" hidden="false" customHeight="false" outlineLevel="0" collapsed="false">
      <c r="A120" s="8" t="n">
        <v>44972</v>
      </c>
      <c r="B120" s="39" t="n">
        <v>18015.85</v>
      </c>
      <c r="C120" s="39" t="n">
        <v>15039.65</v>
      </c>
      <c r="D120" s="39" t="n">
        <v>1945.7</v>
      </c>
      <c r="E120" s="39" t="n">
        <v>594.8</v>
      </c>
      <c r="F120" s="39" t="n">
        <v>748</v>
      </c>
      <c r="G120" s="39" t="n">
        <v>372.7</v>
      </c>
      <c r="H120" s="39" t="n">
        <v>467.29</v>
      </c>
      <c r="I120" s="39" t="n">
        <v>218.35</v>
      </c>
      <c r="J120" s="39" t="n">
        <v>1514.6</v>
      </c>
      <c r="K120" s="39" t="n">
        <v>648.11</v>
      </c>
      <c r="L120" s="39" t="n">
        <v>782.65</v>
      </c>
      <c r="M120" s="39" t="n">
        <v>931.1</v>
      </c>
      <c r="N120" s="39" t="n">
        <v>440.71</v>
      </c>
      <c r="O120" s="39" t="n">
        <v>262.9</v>
      </c>
      <c r="P120" s="39" t="n">
        <v>998.9</v>
      </c>
      <c r="Q120" s="39" t="n">
        <v>315.1</v>
      </c>
      <c r="R120" s="39" t="n">
        <v>756.4</v>
      </c>
      <c r="S120" s="39" t="n">
        <v>254.54</v>
      </c>
    </row>
    <row r="121" customFormat="false" ht="15" hidden="false" customHeight="false" outlineLevel="0" collapsed="false">
      <c r="A121" s="8" t="n">
        <v>44973</v>
      </c>
      <c r="B121" s="39" t="n">
        <v>18035.85</v>
      </c>
      <c r="C121" s="39" t="n">
        <v>15083.75</v>
      </c>
      <c r="D121" s="39" t="n">
        <v>1896.05</v>
      </c>
      <c r="E121" s="39" t="n">
        <v>586.55</v>
      </c>
      <c r="F121" s="39" t="n">
        <v>735.15</v>
      </c>
      <c r="G121" s="39" t="n">
        <v>372.1</v>
      </c>
      <c r="H121" s="39" t="n">
        <v>485.56</v>
      </c>
      <c r="I121" s="39" t="n">
        <v>214.1</v>
      </c>
      <c r="J121" s="39" t="n">
        <v>1501.65</v>
      </c>
      <c r="K121" s="39" t="n">
        <v>642.86</v>
      </c>
      <c r="L121" s="39" t="n">
        <v>782.25</v>
      </c>
      <c r="M121" s="39" t="n">
        <v>952.15</v>
      </c>
      <c r="N121" s="39" t="n">
        <v>444.15</v>
      </c>
      <c r="O121" s="39" t="n">
        <v>267</v>
      </c>
      <c r="P121" s="39" t="n">
        <v>990.85</v>
      </c>
      <c r="Q121" s="39" t="n">
        <v>321.25</v>
      </c>
      <c r="R121" s="39" t="n">
        <v>760.05</v>
      </c>
      <c r="S121" s="39" t="n">
        <v>251.74</v>
      </c>
    </row>
    <row r="122" customFormat="false" ht="15" hidden="false" customHeight="false" outlineLevel="0" collapsed="false">
      <c r="A122" s="8" t="n">
        <v>44974</v>
      </c>
      <c r="B122" s="39" t="n">
        <v>17944.2</v>
      </c>
      <c r="C122" s="39" t="n">
        <v>15003.95</v>
      </c>
      <c r="D122" s="39" t="n">
        <v>1888.5</v>
      </c>
      <c r="E122" s="39" t="n">
        <v>578.85</v>
      </c>
      <c r="F122" s="39" t="n">
        <v>762.75</v>
      </c>
      <c r="G122" s="39" t="n">
        <v>366.3</v>
      </c>
      <c r="H122" s="39" t="n">
        <v>491.77</v>
      </c>
      <c r="I122" s="39" t="n">
        <v>214.65</v>
      </c>
      <c r="J122" s="39" t="n">
        <v>1471.05</v>
      </c>
      <c r="K122" s="39" t="n">
        <v>640.8</v>
      </c>
      <c r="L122" s="39" t="n">
        <v>779.35</v>
      </c>
      <c r="M122" s="39" t="n">
        <v>954.4</v>
      </c>
      <c r="N122" s="39" t="n">
        <v>442.07</v>
      </c>
      <c r="O122" s="39" t="n">
        <v>262.25</v>
      </c>
      <c r="P122" s="39" t="n">
        <v>981.25</v>
      </c>
      <c r="Q122" s="39" t="n">
        <v>314.3</v>
      </c>
      <c r="R122" s="39" t="n">
        <v>758.7</v>
      </c>
      <c r="S122" s="39" t="n">
        <v>246.82</v>
      </c>
    </row>
    <row r="123" customFormat="false" ht="15" hidden="false" customHeight="false" outlineLevel="0" collapsed="false">
      <c r="A123" s="8" t="n">
        <v>44977</v>
      </c>
      <c r="B123" s="39" t="n">
        <v>17844.6</v>
      </c>
      <c r="C123" s="39" t="n">
        <v>14938.65</v>
      </c>
      <c r="D123" s="39" t="n">
        <v>1911.35</v>
      </c>
      <c r="E123" s="39" t="n">
        <v>590</v>
      </c>
      <c r="F123" s="39" t="n">
        <v>756.2</v>
      </c>
      <c r="G123" s="39" t="n">
        <v>360.2</v>
      </c>
      <c r="H123" s="39" t="n">
        <v>481.08</v>
      </c>
      <c r="I123" s="39" t="n">
        <v>214.75</v>
      </c>
      <c r="J123" s="39" t="n">
        <v>1426.85</v>
      </c>
      <c r="K123" s="39" t="n">
        <v>635.87</v>
      </c>
      <c r="L123" s="39" t="n">
        <v>770.1</v>
      </c>
      <c r="M123" s="39" t="n">
        <v>1000.6</v>
      </c>
      <c r="N123" s="39" t="n">
        <v>439.01</v>
      </c>
      <c r="O123" s="39" t="n">
        <v>260.3</v>
      </c>
      <c r="P123" s="39" t="n">
        <v>990</v>
      </c>
      <c r="Q123" s="39" t="n">
        <v>312</v>
      </c>
      <c r="R123" s="39" t="n">
        <v>757.1</v>
      </c>
      <c r="S123" s="39" t="n">
        <v>247.44</v>
      </c>
    </row>
    <row r="124" customFormat="false" ht="15" hidden="false" customHeight="false" outlineLevel="0" collapsed="false">
      <c r="A124" s="8" t="n">
        <v>44978</v>
      </c>
      <c r="B124" s="39" t="n">
        <v>17826.7</v>
      </c>
      <c r="C124" s="39" t="n">
        <v>14913.95</v>
      </c>
      <c r="D124" s="39" t="n">
        <v>1900.8</v>
      </c>
      <c r="E124" s="39" t="n">
        <v>578.3</v>
      </c>
      <c r="F124" s="39" t="n">
        <v>734.9</v>
      </c>
      <c r="G124" s="39" t="n">
        <v>358.25</v>
      </c>
      <c r="H124" s="39" t="n">
        <v>472.64</v>
      </c>
      <c r="I124" s="39" t="n">
        <v>216.45</v>
      </c>
      <c r="J124" s="39" t="n">
        <v>1431.5</v>
      </c>
      <c r="K124" s="39" t="n">
        <v>637.06</v>
      </c>
      <c r="L124" s="39" t="n">
        <v>773.4</v>
      </c>
      <c r="M124" s="39" t="n">
        <v>988.35</v>
      </c>
      <c r="N124" s="39" t="n">
        <v>426.96</v>
      </c>
      <c r="O124" s="39" t="n">
        <v>256.1</v>
      </c>
      <c r="P124" s="39" t="n">
        <v>985.8</v>
      </c>
      <c r="Q124" s="39" t="n">
        <v>308.45</v>
      </c>
      <c r="R124" s="39" t="n">
        <v>745.6</v>
      </c>
      <c r="S124" s="39" t="n">
        <v>242.99</v>
      </c>
    </row>
    <row r="125" customFormat="false" ht="15" hidden="false" customHeight="false" outlineLevel="0" collapsed="false">
      <c r="A125" s="8" t="n">
        <v>44979</v>
      </c>
      <c r="B125" s="39" t="n">
        <v>17554.3</v>
      </c>
      <c r="C125" s="39" t="n">
        <v>14701.9</v>
      </c>
      <c r="D125" s="39" t="n">
        <v>1905.85</v>
      </c>
      <c r="E125" s="39" t="n">
        <v>564.05</v>
      </c>
      <c r="F125" s="39" t="n">
        <v>736.6</v>
      </c>
      <c r="G125" s="39" t="n">
        <v>353.25</v>
      </c>
      <c r="H125" s="39" t="n">
        <v>483.86</v>
      </c>
      <c r="I125" s="39" t="n">
        <v>206</v>
      </c>
      <c r="J125" s="39" t="n">
        <v>1406.5</v>
      </c>
      <c r="K125" s="39" t="n">
        <v>619.02</v>
      </c>
      <c r="L125" s="39" t="n">
        <v>765.4</v>
      </c>
      <c r="M125" s="39" t="n">
        <v>974.5</v>
      </c>
      <c r="N125" s="39" t="n">
        <v>423.22</v>
      </c>
      <c r="O125" s="39" t="n">
        <v>255.25</v>
      </c>
      <c r="P125" s="39" t="n">
        <v>971.5</v>
      </c>
      <c r="Q125" s="39" t="n">
        <v>297.1</v>
      </c>
      <c r="R125" s="39" t="n">
        <v>743.55</v>
      </c>
      <c r="S125" s="39" t="n">
        <v>241.61</v>
      </c>
    </row>
    <row r="126" customFormat="false" ht="15" hidden="false" customHeight="false" outlineLevel="0" collapsed="false">
      <c r="A126" s="8" t="n">
        <v>44980</v>
      </c>
      <c r="B126" s="39" t="n">
        <v>17511.25</v>
      </c>
      <c r="C126" s="39" t="n">
        <v>14666.75</v>
      </c>
      <c r="D126" s="39" t="n">
        <v>1909.85</v>
      </c>
      <c r="E126" s="39" t="n">
        <v>563.35</v>
      </c>
      <c r="F126" s="39" t="n">
        <v>754.8</v>
      </c>
      <c r="G126" s="39" t="n">
        <v>352.35</v>
      </c>
      <c r="H126" s="39" t="n">
        <v>488.99</v>
      </c>
      <c r="I126" s="39" t="n">
        <v>201.25</v>
      </c>
      <c r="J126" s="39" t="n">
        <v>1376.2</v>
      </c>
      <c r="K126" s="39" t="n">
        <v>619.39</v>
      </c>
      <c r="L126" s="39" t="n">
        <v>751.5</v>
      </c>
      <c r="M126" s="39" t="n">
        <v>992.9</v>
      </c>
      <c r="N126" s="39" t="n">
        <v>422.49</v>
      </c>
      <c r="O126" s="39" t="n">
        <v>255.55</v>
      </c>
      <c r="P126" s="39" t="n">
        <v>957.05</v>
      </c>
      <c r="Q126" s="39" t="n">
        <v>299.05</v>
      </c>
      <c r="R126" s="39" t="n">
        <v>739.2</v>
      </c>
      <c r="S126" s="39" t="n">
        <v>240.06</v>
      </c>
    </row>
    <row r="127" customFormat="false" ht="15" hidden="false" customHeight="false" outlineLevel="0" collapsed="false">
      <c r="A127" s="8" t="n">
        <v>44981</v>
      </c>
      <c r="B127" s="39" t="n">
        <v>17465.8</v>
      </c>
      <c r="C127" s="39" t="n">
        <v>14630.45</v>
      </c>
      <c r="D127" s="39" t="n">
        <v>1905.05</v>
      </c>
      <c r="E127" s="39" t="n">
        <v>566.45</v>
      </c>
      <c r="F127" s="39" t="n">
        <v>751.9</v>
      </c>
      <c r="G127" s="39" t="n">
        <v>350.55</v>
      </c>
      <c r="H127" s="39" t="n">
        <v>481.7</v>
      </c>
      <c r="I127" s="39" t="n">
        <v>198.8</v>
      </c>
      <c r="J127" s="39" t="n">
        <v>1390</v>
      </c>
      <c r="K127" s="39" t="n">
        <v>622.78</v>
      </c>
      <c r="L127" s="39" t="n">
        <v>762.85</v>
      </c>
      <c r="M127" s="39" t="n">
        <v>1001.15</v>
      </c>
      <c r="N127" s="39" t="n">
        <v>421.38</v>
      </c>
      <c r="O127" s="39" t="n">
        <v>256.85</v>
      </c>
      <c r="P127" s="39" t="n">
        <v>965.4</v>
      </c>
      <c r="Q127" s="39" t="n">
        <v>294.7</v>
      </c>
      <c r="R127" s="39" t="n">
        <v>746.35</v>
      </c>
      <c r="S127" s="39" t="n">
        <v>243.69</v>
      </c>
    </row>
    <row r="128" customFormat="false" ht="15" hidden="false" customHeight="false" outlineLevel="0" collapsed="false">
      <c r="A128" s="8" t="n">
        <v>44984</v>
      </c>
      <c r="B128" s="39" t="n">
        <v>17392.7</v>
      </c>
      <c r="C128" s="39" t="n">
        <v>14548.7</v>
      </c>
      <c r="D128" s="39" t="n">
        <v>1866.05</v>
      </c>
      <c r="E128" s="39" t="n">
        <v>570.2</v>
      </c>
      <c r="F128" s="39" t="n">
        <v>739.95</v>
      </c>
      <c r="G128" s="39" t="n">
        <v>350.5</v>
      </c>
      <c r="H128" s="39" t="n">
        <v>478.02</v>
      </c>
      <c r="I128" s="39" t="n">
        <v>190.95</v>
      </c>
      <c r="J128" s="39" t="n">
        <v>1395.6</v>
      </c>
      <c r="K128" s="39" t="n">
        <v>618.61</v>
      </c>
      <c r="L128" s="39" t="n">
        <v>762.15</v>
      </c>
      <c r="M128" s="39" t="n">
        <v>977.8</v>
      </c>
      <c r="N128" s="39" t="n">
        <v>413.95</v>
      </c>
      <c r="O128" s="39" t="n">
        <v>251.95</v>
      </c>
      <c r="P128" s="39" t="n">
        <v>958.75</v>
      </c>
      <c r="Q128" s="39" t="n">
        <v>291.7</v>
      </c>
      <c r="R128" s="39" t="n">
        <v>746.5</v>
      </c>
      <c r="S128" s="39" t="n">
        <v>240.58</v>
      </c>
    </row>
    <row r="129" customFormat="false" ht="15" hidden="false" customHeight="false" outlineLevel="0" collapsed="false">
      <c r="A129" s="8" t="n">
        <v>44985</v>
      </c>
      <c r="B129" s="39" t="n">
        <v>17303.95</v>
      </c>
      <c r="C129" s="39" t="n">
        <v>14518.75</v>
      </c>
      <c r="D129" s="39" t="n">
        <v>1827.9</v>
      </c>
      <c r="E129" s="39" t="n">
        <v>575.2</v>
      </c>
      <c r="F129" s="39" t="n">
        <v>724.65</v>
      </c>
      <c r="G129" s="39" t="n">
        <v>350.55</v>
      </c>
      <c r="H129" s="39" t="n">
        <v>494.63</v>
      </c>
      <c r="I129" s="39" t="n">
        <v>194.75</v>
      </c>
      <c r="J129" s="39" t="n">
        <v>1387.45</v>
      </c>
      <c r="K129" s="39" t="n">
        <v>610.38</v>
      </c>
      <c r="L129" s="39" t="n">
        <v>756.5</v>
      </c>
      <c r="M129" s="39" t="n">
        <v>964.95</v>
      </c>
      <c r="N129" s="39" t="n">
        <v>416.37</v>
      </c>
      <c r="O129" s="39" t="n">
        <v>251.8</v>
      </c>
      <c r="P129" s="39" t="n">
        <v>972.6</v>
      </c>
      <c r="Q129" s="39" t="n">
        <v>289.1</v>
      </c>
      <c r="R129" s="39" t="n">
        <v>750.45</v>
      </c>
      <c r="S129" s="39" t="n">
        <v>240.67</v>
      </c>
    </row>
    <row r="130" customFormat="false" ht="15" hidden="false" customHeight="false" outlineLevel="0" collapsed="false">
      <c r="A130" s="8" t="n">
        <v>44986</v>
      </c>
      <c r="B130" s="39" t="n">
        <v>17450.9</v>
      </c>
      <c r="C130" s="39" t="n">
        <v>14664.85</v>
      </c>
      <c r="D130" s="39" t="n">
        <v>1851.95</v>
      </c>
      <c r="E130" s="39" t="n">
        <v>576.9</v>
      </c>
      <c r="F130" s="39" t="n">
        <v>733.15</v>
      </c>
      <c r="G130" s="39" t="n">
        <v>356.85</v>
      </c>
      <c r="H130" s="39" t="n">
        <v>496.07</v>
      </c>
      <c r="I130" s="39" t="n">
        <v>194.45</v>
      </c>
      <c r="J130" s="39" t="n">
        <v>1397.25</v>
      </c>
      <c r="K130" s="39" t="n">
        <v>614.65</v>
      </c>
      <c r="L130" s="39" t="n">
        <v>766.75</v>
      </c>
      <c r="M130" s="39" t="n">
        <v>967.05</v>
      </c>
      <c r="N130" s="39" t="n">
        <v>423.85</v>
      </c>
      <c r="O130" s="39" t="n">
        <v>255.1</v>
      </c>
      <c r="P130" s="39" t="n">
        <v>960.4</v>
      </c>
      <c r="Q130" s="39" t="n">
        <v>292.1</v>
      </c>
      <c r="R130" s="39" t="n">
        <v>751.7</v>
      </c>
      <c r="S130" s="39" t="n">
        <v>244.33</v>
      </c>
    </row>
    <row r="131" customFormat="false" ht="15" hidden="false" customHeight="false" outlineLevel="0" collapsed="false">
      <c r="A131" s="8" t="n">
        <v>44987</v>
      </c>
      <c r="B131" s="39" t="n">
        <v>17321.9</v>
      </c>
      <c r="C131" s="39" t="n">
        <v>14587.25</v>
      </c>
      <c r="D131" s="39" t="n">
        <v>1836.3</v>
      </c>
      <c r="E131" s="39" t="n">
        <v>566.9</v>
      </c>
      <c r="F131" s="39" t="n">
        <v>754.4</v>
      </c>
      <c r="G131" s="39" t="n">
        <v>354.9</v>
      </c>
      <c r="H131" s="39" t="n">
        <v>488</v>
      </c>
      <c r="I131" s="39" t="n">
        <v>193.95</v>
      </c>
      <c r="J131" s="39" t="n">
        <v>1353</v>
      </c>
      <c r="K131" s="39" t="n">
        <v>607.47</v>
      </c>
      <c r="L131" s="39" t="n">
        <v>750</v>
      </c>
      <c r="M131" s="39" t="n">
        <v>990.15</v>
      </c>
      <c r="N131" s="39" t="n">
        <v>430.94</v>
      </c>
      <c r="O131" s="39" t="n">
        <v>252.55</v>
      </c>
      <c r="P131" s="39" t="n">
        <v>954.8</v>
      </c>
      <c r="Q131" s="39" t="n">
        <v>288.75</v>
      </c>
      <c r="R131" s="39" t="n">
        <v>747.3</v>
      </c>
      <c r="S131" s="39" t="n">
        <v>241.92</v>
      </c>
    </row>
    <row r="132" customFormat="false" ht="15" hidden="false" customHeight="false" outlineLevel="0" collapsed="false">
      <c r="A132" s="8" t="n">
        <v>44988</v>
      </c>
      <c r="B132" s="39" t="n">
        <v>17594.35</v>
      </c>
      <c r="C132" s="39" t="n">
        <v>14774.75</v>
      </c>
      <c r="D132" s="39" t="n">
        <v>1828</v>
      </c>
      <c r="E132" s="39" t="n">
        <v>563.75</v>
      </c>
      <c r="F132" s="39" t="n">
        <v>743.85</v>
      </c>
      <c r="G132" s="39" t="n">
        <v>358.85</v>
      </c>
      <c r="H132" s="39" t="n">
        <v>484.89</v>
      </c>
      <c r="I132" s="39" t="n">
        <v>199.45</v>
      </c>
      <c r="J132" s="39" t="n">
        <v>1366.35</v>
      </c>
      <c r="K132" s="39" t="n">
        <v>609.18</v>
      </c>
      <c r="L132" s="39" t="n">
        <v>750.2</v>
      </c>
      <c r="M132" s="39" t="n">
        <v>966.6</v>
      </c>
      <c r="N132" s="39" t="n">
        <v>433.47</v>
      </c>
      <c r="O132" s="39" t="n">
        <v>253.95</v>
      </c>
      <c r="P132" s="39" t="n">
        <v>950.2</v>
      </c>
      <c r="Q132" s="39" t="n">
        <v>291.6</v>
      </c>
      <c r="R132" s="39" t="n">
        <v>750.35</v>
      </c>
      <c r="S132" s="39" t="n">
        <v>243.38</v>
      </c>
    </row>
    <row r="133" customFormat="false" ht="15" hidden="false" customHeight="false" outlineLevel="0" collapsed="false">
      <c r="A133" s="8" t="n">
        <v>44991</v>
      </c>
      <c r="B133" s="39" t="n">
        <v>17711.45</v>
      </c>
      <c r="C133" s="39" t="n">
        <v>14881</v>
      </c>
      <c r="D133" s="39" t="n">
        <v>1827.25</v>
      </c>
      <c r="E133" s="39" t="n">
        <v>569.45</v>
      </c>
      <c r="F133" s="39" t="n">
        <v>746.8</v>
      </c>
      <c r="G133" s="39" t="n">
        <v>360</v>
      </c>
      <c r="H133" s="39" t="n">
        <v>486.76</v>
      </c>
      <c r="I133" s="39" t="n">
        <v>199.5</v>
      </c>
      <c r="J133" s="39" t="n">
        <v>1348.5</v>
      </c>
      <c r="K133" s="39" t="n">
        <v>612.65</v>
      </c>
      <c r="L133" s="39" t="n">
        <v>769.3</v>
      </c>
      <c r="M133" s="39" t="n">
        <v>959.35</v>
      </c>
      <c r="N133" s="39" t="n">
        <v>440.9</v>
      </c>
      <c r="O133" s="39" t="n">
        <v>256.2</v>
      </c>
      <c r="P133" s="39" t="n">
        <v>952.9</v>
      </c>
      <c r="Q133" s="39" t="n">
        <v>297.3</v>
      </c>
      <c r="R133" s="39" t="n">
        <v>757.15</v>
      </c>
      <c r="S133" s="39" t="n">
        <v>249.37</v>
      </c>
    </row>
    <row r="134" customFormat="false" ht="15" hidden="false" customHeight="false" outlineLevel="0" collapsed="false">
      <c r="A134" s="8" t="n">
        <v>44993</v>
      </c>
      <c r="B134" s="39" t="n">
        <v>17754.4</v>
      </c>
      <c r="C134" s="39" t="n">
        <v>14921.95</v>
      </c>
      <c r="D134" s="39" t="n">
        <v>1825.9</v>
      </c>
      <c r="E134" s="39" t="n">
        <v>564.35</v>
      </c>
      <c r="F134" s="39" t="n">
        <v>737.7</v>
      </c>
      <c r="G134" s="39" t="n">
        <v>359.15</v>
      </c>
      <c r="H134" s="39" t="n">
        <v>516.41</v>
      </c>
      <c r="I134" s="39" t="n">
        <v>200.2</v>
      </c>
      <c r="J134" s="39" t="n">
        <v>1336.45</v>
      </c>
      <c r="K134" s="39" t="n">
        <v>598.87</v>
      </c>
      <c r="L134" s="39" t="n">
        <v>766.6</v>
      </c>
      <c r="M134" s="39" t="n">
        <v>948.5</v>
      </c>
      <c r="N134" s="39" t="n">
        <v>436.29</v>
      </c>
      <c r="O134" s="39" t="n">
        <v>253.9</v>
      </c>
      <c r="P134" s="39" t="n">
        <v>948.4</v>
      </c>
      <c r="Q134" s="39" t="n">
        <v>294.65</v>
      </c>
      <c r="R134" s="39" t="n">
        <v>750.15</v>
      </c>
      <c r="S134" s="39" t="n">
        <v>254.09</v>
      </c>
    </row>
    <row r="135" customFormat="false" ht="15" hidden="false" customHeight="false" outlineLevel="0" collapsed="false">
      <c r="A135" s="8" t="n">
        <v>44994</v>
      </c>
      <c r="B135" s="39" t="n">
        <v>17589.6</v>
      </c>
      <c r="C135" s="39" t="n">
        <v>14803.95</v>
      </c>
      <c r="D135" s="39" t="n">
        <v>1818.6</v>
      </c>
      <c r="E135" s="39" t="n">
        <v>568.5</v>
      </c>
      <c r="F135" s="39" t="n">
        <v>680.25</v>
      </c>
      <c r="G135" s="39" t="n">
        <v>355</v>
      </c>
      <c r="H135" s="39" t="n">
        <v>523.45</v>
      </c>
      <c r="I135" s="39" t="n">
        <v>194.2</v>
      </c>
      <c r="J135" s="39" t="n">
        <v>1340.65</v>
      </c>
      <c r="K135" s="39" t="n">
        <v>589.33</v>
      </c>
      <c r="L135" s="39" t="n">
        <v>766.65</v>
      </c>
      <c r="M135" s="39" t="n">
        <v>940.25</v>
      </c>
      <c r="N135" s="39" t="n">
        <v>435.61</v>
      </c>
      <c r="O135" s="39" t="n">
        <v>250.85</v>
      </c>
      <c r="P135" s="39" t="n">
        <v>943.85</v>
      </c>
      <c r="Q135" s="39" t="n">
        <v>298.25</v>
      </c>
      <c r="R135" s="39" t="n">
        <v>767.1</v>
      </c>
      <c r="S135" s="39" t="n">
        <v>258.08</v>
      </c>
    </row>
    <row r="136" customFormat="false" ht="15" hidden="false" customHeight="false" outlineLevel="0" collapsed="false">
      <c r="A136" s="8" t="n">
        <v>44995</v>
      </c>
      <c r="B136" s="39" t="n">
        <v>17412.9</v>
      </c>
      <c r="C136" s="39" t="n">
        <v>14679.85</v>
      </c>
      <c r="D136" s="39" t="n">
        <v>1788.05</v>
      </c>
      <c r="E136" s="39" t="n">
        <v>557.1</v>
      </c>
      <c r="F136" s="39" t="n">
        <v>678.1</v>
      </c>
      <c r="G136" s="39" t="n">
        <v>351.25</v>
      </c>
      <c r="H136" s="39" t="n">
        <v>503.03</v>
      </c>
      <c r="I136" s="39" t="n">
        <v>196.35</v>
      </c>
      <c r="J136" s="39" t="n">
        <v>1331.9</v>
      </c>
      <c r="K136" s="39" t="n">
        <v>586.62</v>
      </c>
      <c r="L136" s="39" t="n">
        <v>752.75</v>
      </c>
      <c r="M136" s="39" t="n">
        <v>944.05</v>
      </c>
      <c r="N136" s="39" t="n">
        <v>423.42</v>
      </c>
      <c r="O136" s="39" t="n">
        <v>245.05</v>
      </c>
      <c r="P136" s="39" t="n">
        <v>942.75</v>
      </c>
      <c r="Q136" s="39" t="n">
        <v>295.35</v>
      </c>
      <c r="R136" s="39" t="n">
        <v>753.75</v>
      </c>
      <c r="S136" s="39" t="n">
        <v>253.93</v>
      </c>
    </row>
    <row r="137" customFormat="false" ht="15" hidden="false" customHeight="false" outlineLevel="0" collapsed="false">
      <c r="A137" s="8" t="n">
        <v>44998</v>
      </c>
      <c r="B137" s="39" t="n">
        <v>17154.3</v>
      </c>
      <c r="C137" s="39" t="n">
        <v>14454.45</v>
      </c>
      <c r="D137" s="39" t="n">
        <v>1764.1</v>
      </c>
      <c r="E137" s="39" t="n">
        <v>540</v>
      </c>
      <c r="F137" s="39" t="n">
        <v>675.55</v>
      </c>
      <c r="G137" s="39" t="n">
        <v>345.35</v>
      </c>
      <c r="H137" s="39" t="n">
        <v>484.6</v>
      </c>
      <c r="I137" s="39" t="n">
        <v>181.4</v>
      </c>
      <c r="J137" s="39" t="n">
        <v>1289.05</v>
      </c>
      <c r="K137" s="39" t="n">
        <v>582.56</v>
      </c>
      <c r="L137" s="39" t="n">
        <v>739.8</v>
      </c>
      <c r="M137" s="39" t="n">
        <v>914.8</v>
      </c>
      <c r="N137" s="39" t="n">
        <v>410.93</v>
      </c>
      <c r="O137" s="39" t="n">
        <v>238.5</v>
      </c>
      <c r="P137" s="39" t="n">
        <v>929.1</v>
      </c>
      <c r="Q137" s="39" t="n">
        <v>285.85</v>
      </c>
      <c r="R137" s="39" t="n">
        <v>735</v>
      </c>
      <c r="S137" s="39" t="n">
        <v>251.61</v>
      </c>
    </row>
    <row r="138" customFormat="false" ht="15" hidden="false" customHeight="false" outlineLevel="0" collapsed="false">
      <c r="A138" s="8" t="n">
        <v>44999</v>
      </c>
      <c r="B138" s="39" t="n">
        <v>17043.3</v>
      </c>
      <c r="C138" s="39" t="n">
        <v>14358.55</v>
      </c>
      <c r="D138" s="39" t="n">
        <v>1758.95</v>
      </c>
      <c r="E138" s="39" t="n">
        <v>528.4</v>
      </c>
      <c r="F138" s="39" t="n">
        <v>664.75</v>
      </c>
      <c r="G138" s="39" t="n">
        <v>345.5</v>
      </c>
      <c r="H138" s="39" t="n">
        <v>432.63</v>
      </c>
      <c r="I138" s="39" t="n">
        <v>177.05</v>
      </c>
      <c r="J138" s="39" t="n">
        <v>1290.25</v>
      </c>
      <c r="K138" s="39" t="n">
        <v>572.38</v>
      </c>
      <c r="L138" s="39" t="n">
        <v>744.2</v>
      </c>
      <c r="M138" s="39" t="n">
        <v>886.65</v>
      </c>
      <c r="N138" s="39" t="n">
        <v>408.07</v>
      </c>
      <c r="O138" s="39" t="n">
        <v>243.1</v>
      </c>
      <c r="P138" s="39" t="n">
        <v>924.15</v>
      </c>
      <c r="Q138" s="39" t="n">
        <v>282.7</v>
      </c>
      <c r="R138" s="39" t="n">
        <v>725.2</v>
      </c>
      <c r="S138" s="39" t="n">
        <v>247.8</v>
      </c>
    </row>
    <row r="139" customFormat="false" ht="15" hidden="false" customHeight="false" outlineLevel="0" collapsed="false">
      <c r="A139" s="8" t="n">
        <v>45000</v>
      </c>
      <c r="B139" s="39" t="n">
        <v>16972.15</v>
      </c>
      <c r="C139" s="39" t="n">
        <v>14320.3</v>
      </c>
      <c r="D139" s="39" t="n">
        <v>1753.4</v>
      </c>
      <c r="E139" s="39" t="n">
        <v>519.75</v>
      </c>
      <c r="F139" s="39" t="n">
        <v>671</v>
      </c>
      <c r="G139" s="39" t="n">
        <v>343.25</v>
      </c>
      <c r="H139" s="39" t="n">
        <v>432.59</v>
      </c>
      <c r="I139" s="39" t="n">
        <v>178.1</v>
      </c>
      <c r="J139" s="39" t="n">
        <v>1281.95</v>
      </c>
      <c r="K139" s="39" t="n">
        <v>571.1</v>
      </c>
      <c r="L139" s="39" t="n">
        <v>746</v>
      </c>
      <c r="M139" s="39" t="n">
        <v>896</v>
      </c>
      <c r="N139" s="39" t="n">
        <v>415.55</v>
      </c>
      <c r="O139" s="39" t="n">
        <v>241.95</v>
      </c>
      <c r="P139" s="39" t="n">
        <v>915.8</v>
      </c>
      <c r="Q139" s="39" t="n">
        <v>279.65</v>
      </c>
      <c r="R139" s="39" t="n">
        <v>733.35</v>
      </c>
      <c r="S139" s="39" t="n">
        <v>245.91</v>
      </c>
    </row>
    <row r="140" customFormat="false" ht="15" hidden="false" customHeight="false" outlineLevel="0" collapsed="false">
      <c r="A140" s="8" t="n">
        <v>45001</v>
      </c>
      <c r="B140" s="39" t="n">
        <v>16985.6</v>
      </c>
      <c r="C140" s="39" t="n">
        <v>14330.35</v>
      </c>
      <c r="D140" s="39" t="n">
        <v>1735.3</v>
      </c>
      <c r="E140" s="39" t="n">
        <v>521.15</v>
      </c>
      <c r="F140" s="39" t="n">
        <v>671.35</v>
      </c>
      <c r="G140" s="39" t="n">
        <v>347.1</v>
      </c>
      <c r="H140" s="39" t="n">
        <v>412.42</v>
      </c>
      <c r="I140" s="39" t="n">
        <v>174.9</v>
      </c>
      <c r="J140" s="39" t="n">
        <v>1244.05</v>
      </c>
      <c r="K140" s="39" t="n">
        <v>570.73</v>
      </c>
      <c r="L140" s="39" t="n">
        <v>746.65</v>
      </c>
      <c r="M140" s="39" t="n">
        <v>894.65</v>
      </c>
      <c r="N140" s="39" t="n">
        <v>416.23</v>
      </c>
      <c r="O140" s="39" t="n">
        <v>242.15</v>
      </c>
      <c r="P140" s="39" t="n">
        <v>930.3</v>
      </c>
      <c r="Q140" s="39" t="n">
        <v>281.3</v>
      </c>
      <c r="R140" s="39" t="n">
        <v>727.7</v>
      </c>
      <c r="S140" s="39" t="n">
        <v>250.04</v>
      </c>
    </row>
    <row r="141" customFormat="false" ht="15" hidden="false" customHeight="false" outlineLevel="0" collapsed="false">
      <c r="A141" s="8" t="n">
        <v>45002</v>
      </c>
      <c r="B141" s="39" t="n">
        <v>17100.05</v>
      </c>
      <c r="C141" s="39" t="n">
        <v>14420.85</v>
      </c>
      <c r="D141" s="39" t="n">
        <v>1662.2</v>
      </c>
      <c r="E141" s="39" t="n">
        <v>530.15</v>
      </c>
      <c r="F141" s="39" t="n">
        <v>669.1</v>
      </c>
      <c r="G141" s="39" t="n">
        <v>347.95</v>
      </c>
      <c r="H141" s="39" t="n">
        <v>421.04</v>
      </c>
      <c r="I141" s="39" t="n">
        <v>178</v>
      </c>
      <c r="J141" s="39" t="n">
        <v>1222.4</v>
      </c>
      <c r="K141" s="39" t="n">
        <v>572.46</v>
      </c>
      <c r="L141" s="39" t="n">
        <v>763.7</v>
      </c>
      <c r="M141" s="39" t="n">
        <v>903.2</v>
      </c>
      <c r="N141" s="39" t="n">
        <v>418.95</v>
      </c>
      <c r="O141" s="39" t="n">
        <v>235.8</v>
      </c>
      <c r="P141" s="39" t="n">
        <v>928.6</v>
      </c>
      <c r="Q141" s="39" t="n">
        <v>287.4</v>
      </c>
      <c r="R141" s="39" t="n">
        <v>723.95</v>
      </c>
      <c r="S141" s="39" t="n">
        <v>249.2</v>
      </c>
    </row>
    <row r="142" customFormat="false" ht="15" hidden="false" customHeight="false" outlineLevel="0" collapsed="false">
      <c r="A142" s="8" t="n">
        <v>45005</v>
      </c>
      <c r="B142" s="39" t="n">
        <v>16988.4</v>
      </c>
      <c r="C142" s="39" t="n">
        <v>14317.1</v>
      </c>
      <c r="D142" s="39" t="n">
        <v>1676.85</v>
      </c>
      <c r="E142" s="39" t="n">
        <v>530.2</v>
      </c>
      <c r="F142" s="39" t="n">
        <v>671.1</v>
      </c>
      <c r="G142" s="39" t="n">
        <v>344.8</v>
      </c>
      <c r="H142" s="39" t="n">
        <v>420.79</v>
      </c>
      <c r="I142" s="39" t="n">
        <v>179.15</v>
      </c>
      <c r="J142" s="39" t="n">
        <v>1293.2</v>
      </c>
      <c r="K142" s="39" t="n">
        <v>554.33</v>
      </c>
      <c r="L142" s="39" t="n">
        <v>745.95</v>
      </c>
      <c r="M142" s="39" t="n">
        <v>908.95</v>
      </c>
      <c r="N142" s="39" t="n">
        <v>412.97</v>
      </c>
      <c r="O142" s="39" t="n">
        <v>225.5</v>
      </c>
      <c r="P142" s="39" t="n">
        <v>946.1</v>
      </c>
      <c r="Q142" s="39" t="n">
        <v>275.7</v>
      </c>
      <c r="R142" s="39" t="n">
        <v>710.6</v>
      </c>
      <c r="S142" s="39" t="n">
        <v>243.94</v>
      </c>
    </row>
    <row r="143" customFormat="false" ht="15" hidden="false" customHeight="false" outlineLevel="0" collapsed="false">
      <c r="A143" s="8" t="n">
        <v>45006</v>
      </c>
      <c r="B143" s="39" t="n">
        <v>17107.5</v>
      </c>
      <c r="C143" s="39" t="n">
        <v>14411.3</v>
      </c>
      <c r="D143" s="39" t="n">
        <v>1690.4</v>
      </c>
      <c r="E143" s="39" t="n">
        <v>531.7</v>
      </c>
      <c r="F143" s="39" t="n">
        <v>693.75</v>
      </c>
      <c r="G143" s="39" t="n">
        <v>343.5</v>
      </c>
      <c r="H143" s="39" t="n">
        <v>414.95</v>
      </c>
      <c r="I143" s="39" t="n">
        <v>177.3</v>
      </c>
      <c r="J143" s="39" t="n">
        <v>1336.25</v>
      </c>
      <c r="K143" s="39" t="n">
        <v>570.23</v>
      </c>
      <c r="L143" s="39" t="n">
        <v>754.6</v>
      </c>
      <c r="M143" s="39" t="n">
        <v>950.25</v>
      </c>
      <c r="N143" s="39" t="n">
        <v>408.26</v>
      </c>
      <c r="O143" s="39" t="n">
        <v>229.55</v>
      </c>
      <c r="P143" s="39" t="n">
        <v>970.75</v>
      </c>
      <c r="Q143" s="39" t="n">
        <v>281.1</v>
      </c>
      <c r="R143" s="39" t="n">
        <v>717.45</v>
      </c>
      <c r="S143" s="39" t="n">
        <v>252.1</v>
      </c>
    </row>
    <row r="144" customFormat="false" ht="15" hidden="false" customHeight="false" outlineLevel="0" collapsed="false">
      <c r="A144" s="8" t="n">
        <v>45007</v>
      </c>
      <c r="B144" s="39" t="n">
        <v>17151.9</v>
      </c>
      <c r="C144" s="39" t="n">
        <v>14460</v>
      </c>
      <c r="D144" s="39" t="n">
        <v>1713.75</v>
      </c>
      <c r="E144" s="39" t="n">
        <v>547.8</v>
      </c>
      <c r="F144" s="39" t="n">
        <v>716.1</v>
      </c>
      <c r="G144" s="39" t="n">
        <v>340.95</v>
      </c>
      <c r="H144" s="39" t="n">
        <v>420.21</v>
      </c>
      <c r="I144" s="39" t="n">
        <v>179.5</v>
      </c>
      <c r="J144" s="39" t="n">
        <v>1374.95</v>
      </c>
      <c r="K144" s="39" t="n">
        <v>582.63</v>
      </c>
      <c r="L144" s="39" t="n">
        <v>747.1</v>
      </c>
      <c r="M144" s="39" t="n">
        <v>955.85</v>
      </c>
      <c r="N144" s="39" t="n">
        <v>417.35</v>
      </c>
      <c r="O144" s="39" t="n">
        <v>230.45</v>
      </c>
      <c r="P144" s="39" t="n">
        <v>971.65</v>
      </c>
      <c r="Q144" s="39" t="n">
        <v>285.2</v>
      </c>
      <c r="R144" s="39" t="n">
        <v>727.25</v>
      </c>
      <c r="S144" s="39" t="n">
        <v>249.23</v>
      </c>
    </row>
    <row r="145" customFormat="false" ht="15" hidden="false" customHeight="false" outlineLevel="0" collapsed="false">
      <c r="A145" s="8" t="n">
        <v>45008</v>
      </c>
      <c r="B145" s="39" t="n">
        <v>17076.9</v>
      </c>
      <c r="C145" s="39" t="n">
        <v>14403.6</v>
      </c>
      <c r="D145" s="39" t="n">
        <v>1700.85</v>
      </c>
      <c r="E145" s="39" t="n">
        <v>540.25</v>
      </c>
      <c r="F145" s="39" t="n">
        <v>692.15</v>
      </c>
      <c r="G145" s="39" t="n">
        <v>335.25</v>
      </c>
      <c r="H145" s="39" t="n">
        <v>422.94</v>
      </c>
      <c r="I145" s="39" t="n">
        <v>179.35</v>
      </c>
      <c r="J145" s="39" t="n">
        <v>1393.25</v>
      </c>
      <c r="K145" s="39" t="n">
        <v>582.51</v>
      </c>
      <c r="L145" s="39" t="n">
        <v>746.7</v>
      </c>
      <c r="M145" s="39" t="n">
        <v>935</v>
      </c>
      <c r="N145" s="39" t="n">
        <v>417.35</v>
      </c>
      <c r="O145" s="39" t="n">
        <v>227.7</v>
      </c>
      <c r="P145" s="39" t="n">
        <v>981.85</v>
      </c>
      <c r="Q145" s="39" t="n">
        <v>286.15</v>
      </c>
      <c r="R145" s="39" t="n">
        <v>720.2</v>
      </c>
      <c r="S145" s="39" t="n">
        <v>252.11</v>
      </c>
    </row>
    <row r="146" customFormat="false" ht="15" hidden="false" customHeight="false" outlineLevel="0" collapsed="false">
      <c r="A146" s="8" t="n">
        <v>45009</v>
      </c>
      <c r="B146" s="39" t="n">
        <v>16945.05</v>
      </c>
      <c r="C146" s="39" t="n">
        <v>14279</v>
      </c>
      <c r="D146" s="39" t="n">
        <v>1682.9</v>
      </c>
      <c r="E146" s="39" t="n">
        <v>524.9</v>
      </c>
      <c r="F146" s="39" t="n">
        <v>688.15</v>
      </c>
      <c r="G146" s="39" t="n">
        <v>320.65</v>
      </c>
      <c r="H146" s="39" t="n">
        <v>411.35</v>
      </c>
      <c r="I146" s="39" t="n">
        <v>173.2</v>
      </c>
      <c r="J146" s="39" t="n">
        <v>1338.65</v>
      </c>
      <c r="K146" s="39" t="n">
        <v>564.16</v>
      </c>
      <c r="L146" s="39" t="n">
        <v>727.65</v>
      </c>
      <c r="M146" s="39" t="n">
        <v>914.75</v>
      </c>
      <c r="N146" s="39" t="n">
        <v>412.49</v>
      </c>
      <c r="O146" s="39" t="n">
        <v>220.5</v>
      </c>
      <c r="P146" s="39" t="n">
        <v>962.35</v>
      </c>
      <c r="Q146" s="39" t="n">
        <v>279.1</v>
      </c>
      <c r="R146" s="39" t="n">
        <v>723.55</v>
      </c>
      <c r="S146" s="39" t="n">
        <v>246.64</v>
      </c>
    </row>
    <row r="147" customFormat="false" ht="15" hidden="false" customHeight="false" outlineLevel="0" collapsed="false">
      <c r="A147" s="8" t="n">
        <v>45012</v>
      </c>
      <c r="B147" s="39" t="n">
        <v>16985.7</v>
      </c>
      <c r="C147" s="39" t="n">
        <v>14262.7</v>
      </c>
      <c r="D147" s="39" t="n">
        <v>1622.4</v>
      </c>
      <c r="E147" s="39" t="n">
        <v>519.9</v>
      </c>
      <c r="F147" s="39" t="n">
        <v>678.5</v>
      </c>
      <c r="G147" s="39" t="n">
        <v>320.8</v>
      </c>
      <c r="H147" s="39" t="n">
        <v>387.91</v>
      </c>
      <c r="I147" s="39" t="n">
        <v>172.25</v>
      </c>
      <c r="J147" s="39" t="n">
        <v>1297.9</v>
      </c>
      <c r="K147" s="39" t="n">
        <v>558.54</v>
      </c>
      <c r="L147" s="39" t="n">
        <v>715.85</v>
      </c>
      <c r="M147" s="39" t="n">
        <v>898.1</v>
      </c>
      <c r="N147" s="39" t="n">
        <v>411.08</v>
      </c>
      <c r="O147" s="39" t="n">
        <v>218.15</v>
      </c>
      <c r="P147" s="39" t="n">
        <v>966</v>
      </c>
      <c r="Q147" s="39" t="n">
        <v>275.65</v>
      </c>
      <c r="R147" s="39" t="n">
        <v>718.25</v>
      </c>
      <c r="S147" s="39" t="n">
        <v>241.88</v>
      </c>
    </row>
    <row r="148" customFormat="false" ht="15" hidden="false" customHeight="false" outlineLevel="0" collapsed="false">
      <c r="A148" s="8" t="n">
        <v>45013</v>
      </c>
      <c r="B148" s="39" t="n">
        <v>16951.7</v>
      </c>
      <c r="C148" s="39" t="n">
        <v>14211.8</v>
      </c>
      <c r="D148" s="39" t="n">
        <v>1618.5</v>
      </c>
      <c r="E148" s="39" t="n">
        <v>518.85</v>
      </c>
      <c r="F148" s="39" t="n">
        <v>670</v>
      </c>
      <c r="G148" s="39" t="n">
        <v>318.65</v>
      </c>
      <c r="H148" s="39" t="n">
        <v>401.7</v>
      </c>
      <c r="I148" s="39" t="n">
        <v>174.95</v>
      </c>
      <c r="J148" s="39" t="n">
        <v>1331.5</v>
      </c>
      <c r="K148" s="39" t="n">
        <v>552.69</v>
      </c>
      <c r="L148" s="39" t="n">
        <v>732.15</v>
      </c>
      <c r="M148" s="39" t="n">
        <v>897.7</v>
      </c>
      <c r="N148" s="39" t="n">
        <v>423.56</v>
      </c>
      <c r="O148" s="39" t="n">
        <v>221.4</v>
      </c>
      <c r="P148" s="39" t="n">
        <v>966.3</v>
      </c>
      <c r="Q148" s="39" t="n">
        <v>282.4</v>
      </c>
      <c r="R148" s="39" t="n">
        <v>711.1</v>
      </c>
      <c r="S148" s="39" t="n">
        <v>245.18</v>
      </c>
    </row>
    <row r="149" customFormat="false" ht="15" hidden="false" customHeight="false" outlineLevel="0" collapsed="false">
      <c r="A149" s="8" t="n">
        <v>45014</v>
      </c>
      <c r="B149" s="39" t="n">
        <v>17080.7</v>
      </c>
      <c r="C149" s="39" t="n">
        <v>14345.6</v>
      </c>
      <c r="D149" s="39" t="n">
        <v>1606.4</v>
      </c>
      <c r="E149" s="39" t="n">
        <v>515.4</v>
      </c>
      <c r="F149" s="39" t="n">
        <v>705.45</v>
      </c>
      <c r="G149" s="39" t="n">
        <v>322.55</v>
      </c>
      <c r="H149" s="39" t="n">
        <v>402.03</v>
      </c>
      <c r="I149" s="39" t="n">
        <v>181.3</v>
      </c>
      <c r="J149" s="39" t="n">
        <v>1346.85</v>
      </c>
      <c r="K149" s="39" t="n">
        <v>561.76</v>
      </c>
      <c r="L149" s="39" t="n">
        <v>747.85</v>
      </c>
      <c r="M149" s="39" t="n">
        <v>891.5</v>
      </c>
      <c r="N149" s="39" t="n">
        <v>454.35</v>
      </c>
      <c r="O149" s="39" t="n">
        <v>226.7</v>
      </c>
      <c r="P149" s="39" t="n">
        <v>974.7</v>
      </c>
      <c r="Q149" s="39" t="n">
        <v>288.55</v>
      </c>
      <c r="R149" s="39" t="n">
        <v>720.15</v>
      </c>
      <c r="S149" s="39" t="n">
        <v>250.36</v>
      </c>
    </row>
    <row r="150" customFormat="false" ht="15" hidden="false" customHeight="false" outlineLevel="0" collapsed="false">
      <c r="A150" s="8" t="n">
        <v>45016</v>
      </c>
      <c r="B150" s="39" t="n">
        <v>17359.75</v>
      </c>
      <c r="C150" s="39" t="n">
        <v>14557.85</v>
      </c>
      <c r="D150" s="39" t="n">
        <v>1610.75</v>
      </c>
      <c r="E150" s="39" t="n">
        <v>529.2</v>
      </c>
      <c r="F150" s="39" t="n">
        <v>742.55</v>
      </c>
      <c r="G150" s="39" t="n">
        <v>328.75</v>
      </c>
      <c r="H150" s="39" t="n">
        <v>425.01</v>
      </c>
      <c r="I150" s="39" t="n">
        <v>179.75</v>
      </c>
      <c r="J150" s="39" t="n">
        <v>1329.45</v>
      </c>
      <c r="K150" s="39" t="n">
        <v>560.91</v>
      </c>
      <c r="L150" s="39" t="n">
        <v>761.3</v>
      </c>
      <c r="M150" s="39" t="n">
        <v>915.2</v>
      </c>
      <c r="N150" s="39" t="n">
        <v>474.12</v>
      </c>
      <c r="O150" s="39" t="n">
        <v>231.65</v>
      </c>
      <c r="P150" s="39" t="n">
        <v>979.95</v>
      </c>
      <c r="Q150" s="39" t="n">
        <v>292.5</v>
      </c>
      <c r="R150" s="39" t="n">
        <v>740.2</v>
      </c>
      <c r="S150" s="39" t="n">
        <v>251.88</v>
      </c>
    </row>
    <row r="151" customFormat="false" ht="15" hidden="false" customHeight="false" outlineLevel="0" collapsed="false">
      <c r="A151" s="8" t="n">
        <v>45019</v>
      </c>
      <c r="B151" s="39" t="n">
        <v>17398.05</v>
      </c>
      <c r="C151" s="39" t="n">
        <v>14601.95</v>
      </c>
      <c r="D151" s="39" t="n">
        <v>1631.5</v>
      </c>
      <c r="E151" s="39" t="n">
        <v>545.4</v>
      </c>
      <c r="F151" s="39" t="n">
        <v>718.7</v>
      </c>
      <c r="G151" s="39" t="n">
        <v>333.55</v>
      </c>
      <c r="H151" s="39" t="n">
        <v>447.99</v>
      </c>
      <c r="I151" s="39" t="n">
        <v>183.05</v>
      </c>
      <c r="J151" s="39" t="n">
        <v>1344.7</v>
      </c>
      <c r="K151" s="39" t="n">
        <v>570.73</v>
      </c>
      <c r="L151" s="39" t="n">
        <v>778.6</v>
      </c>
      <c r="M151" s="39" t="n">
        <v>926.15</v>
      </c>
      <c r="N151" s="39" t="n">
        <v>457.17</v>
      </c>
      <c r="O151" s="39" t="n">
        <v>238</v>
      </c>
      <c r="P151" s="39" t="n">
        <v>981.2</v>
      </c>
      <c r="Q151" s="39" t="n">
        <v>291.15</v>
      </c>
      <c r="R151" s="39" t="n">
        <v>747.25</v>
      </c>
      <c r="S151" s="39" t="n">
        <v>257.29</v>
      </c>
    </row>
    <row r="152" customFormat="false" ht="15" hidden="false" customHeight="false" outlineLevel="0" collapsed="false">
      <c r="A152" s="8" t="n">
        <v>45021</v>
      </c>
      <c r="B152" s="39" t="n">
        <v>17557.05</v>
      </c>
      <c r="C152" s="39" t="n">
        <v>14709.4</v>
      </c>
      <c r="D152" s="39" t="n">
        <v>1671.65</v>
      </c>
      <c r="E152" s="39" t="n">
        <v>544.2</v>
      </c>
      <c r="F152" s="39" t="n">
        <v>711.25</v>
      </c>
      <c r="G152" s="39" t="n">
        <v>328.35</v>
      </c>
      <c r="H152" s="39" t="n">
        <v>463.15</v>
      </c>
      <c r="I152" s="39" t="n">
        <v>182.2</v>
      </c>
      <c r="J152" s="39" t="n">
        <v>1391.05</v>
      </c>
      <c r="K152" s="39" t="n">
        <v>575.35</v>
      </c>
      <c r="L152" s="39" t="n">
        <v>782.65</v>
      </c>
      <c r="M152" s="39" t="n">
        <v>956.15</v>
      </c>
      <c r="N152" s="39" t="n">
        <v>447.55</v>
      </c>
      <c r="O152" s="39" t="n">
        <v>239.5</v>
      </c>
      <c r="P152" s="39" t="n">
        <v>989.75</v>
      </c>
      <c r="Q152" s="39" t="n">
        <v>291.05</v>
      </c>
      <c r="R152" s="39" t="n">
        <v>740.1</v>
      </c>
      <c r="S152" s="39" t="n">
        <v>257.81</v>
      </c>
    </row>
    <row r="153" customFormat="false" ht="15" hidden="false" customHeight="false" outlineLevel="0" collapsed="false">
      <c r="A153" s="8" t="n">
        <v>45022</v>
      </c>
      <c r="B153" s="39" t="n">
        <v>17599.15</v>
      </c>
      <c r="C153" s="39" t="n">
        <v>14759.2</v>
      </c>
      <c r="D153" s="39" t="n">
        <v>1635.7</v>
      </c>
      <c r="E153" s="39" t="n">
        <v>567.15</v>
      </c>
      <c r="F153" s="39" t="n">
        <v>705</v>
      </c>
      <c r="G153" s="39" t="n">
        <v>336.7</v>
      </c>
      <c r="H153" s="39" t="n">
        <v>458.9</v>
      </c>
      <c r="I153" s="39" t="n">
        <v>182</v>
      </c>
      <c r="J153" s="39" t="n">
        <v>1420.2</v>
      </c>
      <c r="K153" s="39" t="n">
        <v>592.41</v>
      </c>
      <c r="L153" s="39" t="n">
        <v>841.4</v>
      </c>
      <c r="M153" s="39" t="n">
        <v>953.8</v>
      </c>
      <c r="N153" s="39" t="n">
        <v>462.13</v>
      </c>
      <c r="O153" s="39" t="n">
        <v>252.15</v>
      </c>
      <c r="P153" s="39" t="n">
        <v>1020.15</v>
      </c>
      <c r="Q153" s="39" t="n">
        <v>290</v>
      </c>
      <c r="R153" s="39" t="n">
        <v>750.65</v>
      </c>
      <c r="S153" s="39" t="n">
        <v>260.77</v>
      </c>
    </row>
    <row r="154" customFormat="false" ht="15" hidden="false" customHeight="false" outlineLevel="0" collapsed="false">
      <c r="A154" s="8" t="n">
        <v>45026</v>
      </c>
      <c r="B154" s="39" t="n">
        <v>17624.05</v>
      </c>
      <c r="C154" s="39" t="n">
        <v>14790.55</v>
      </c>
      <c r="D154" s="39" t="n">
        <v>1673.15</v>
      </c>
      <c r="E154" s="39" t="n">
        <v>582.15</v>
      </c>
      <c r="F154" s="39" t="n">
        <v>692.1</v>
      </c>
      <c r="G154" s="39" t="n">
        <v>333.45</v>
      </c>
      <c r="H154" s="39" t="n">
        <v>450.25</v>
      </c>
      <c r="I154" s="39" t="n">
        <v>189.05</v>
      </c>
      <c r="J154" s="39" t="n">
        <v>1395.85</v>
      </c>
      <c r="K154" s="39" t="n">
        <v>582.09</v>
      </c>
      <c r="L154" s="39" t="n">
        <v>829.2</v>
      </c>
      <c r="M154" s="39" t="n">
        <v>959.35</v>
      </c>
      <c r="N154" s="39" t="n">
        <v>456.93</v>
      </c>
      <c r="O154" s="39" t="n">
        <v>250.9</v>
      </c>
      <c r="P154" s="39" t="n">
        <v>1027.95</v>
      </c>
      <c r="Q154" s="39" t="n">
        <v>286.25</v>
      </c>
      <c r="R154" s="39" t="n">
        <v>739.5</v>
      </c>
      <c r="S154" s="39" t="n">
        <v>260.95</v>
      </c>
    </row>
    <row r="155" customFormat="false" ht="15" hidden="false" customHeight="false" outlineLevel="0" collapsed="false">
      <c r="A155" s="8" t="n">
        <v>45027</v>
      </c>
      <c r="B155" s="39" t="n">
        <v>17722.3</v>
      </c>
      <c r="C155" s="39" t="n">
        <v>14867.25</v>
      </c>
      <c r="D155" s="39" t="n">
        <v>1692.3</v>
      </c>
      <c r="E155" s="39" t="n">
        <v>574.95</v>
      </c>
      <c r="F155" s="39" t="n">
        <v>708.85</v>
      </c>
      <c r="G155" s="39" t="n">
        <v>333.05</v>
      </c>
      <c r="H155" s="39" t="n">
        <v>444.05</v>
      </c>
      <c r="I155" s="39" t="n">
        <v>189.85</v>
      </c>
      <c r="J155" s="39" t="n">
        <v>1410.1</v>
      </c>
      <c r="K155" s="39" t="n">
        <v>582.98</v>
      </c>
      <c r="L155" s="39" t="n">
        <v>840.85</v>
      </c>
      <c r="M155" s="39" t="n">
        <v>950.15</v>
      </c>
      <c r="N155" s="39" t="n">
        <v>445.9</v>
      </c>
      <c r="O155" s="39" t="n">
        <v>251.4</v>
      </c>
      <c r="P155" s="39" t="n">
        <v>1027.75</v>
      </c>
      <c r="Q155" s="39" t="n">
        <v>289.15</v>
      </c>
      <c r="R155" s="39" t="n">
        <v>737.7</v>
      </c>
      <c r="S155" s="39" t="n">
        <v>259.06</v>
      </c>
    </row>
    <row r="156" customFormat="false" ht="15" hidden="false" customHeight="false" outlineLevel="0" collapsed="false">
      <c r="A156" s="8" t="n">
        <v>45028</v>
      </c>
      <c r="B156" s="39" t="n">
        <v>17812.4</v>
      </c>
      <c r="C156" s="39" t="n">
        <v>14941.55</v>
      </c>
      <c r="D156" s="39" t="n">
        <v>1741.85</v>
      </c>
      <c r="E156" s="39" t="n">
        <v>569.6</v>
      </c>
      <c r="F156" s="39" t="n">
        <v>714.85</v>
      </c>
      <c r="G156" s="39" t="n">
        <v>330.25</v>
      </c>
      <c r="H156" s="39" t="n">
        <v>438.85</v>
      </c>
      <c r="I156" s="39" t="n">
        <v>189.6</v>
      </c>
      <c r="J156" s="39" t="n">
        <v>1422.2</v>
      </c>
      <c r="K156" s="39" t="n">
        <v>584.9</v>
      </c>
      <c r="L156" s="39" t="n">
        <v>820.25</v>
      </c>
      <c r="M156" s="39" t="n">
        <v>941.55</v>
      </c>
      <c r="N156" s="39" t="n">
        <v>445.22</v>
      </c>
      <c r="O156" s="39" t="n">
        <v>255.15</v>
      </c>
      <c r="P156" s="39" t="n">
        <v>1025</v>
      </c>
      <c r="Q156" s="39" t="n">
        <v>289.2</v>
      </c>
      <c r="R156" s="39" t="n">
        <v>741.9</v>
      </c>
      <c r="S156" s="39" t="n">
        <v>261.8</v>
      </c>
    </row>
    <row r="157" customFormat="false" ht="15" hidden="false" customHeight="false" outlineLevel="0" collapsed="false">
      <c r="A157" s="8" t="n">
        <v>45029</v>
      </c>
      <c r="B157" s="39" t="n">
        <v>17828</v>
      </c>
      <c r="C157" s="39" t="n">
        <v>14954.25</v>
      </c>
      <c r="D157" s="39" t="n">
        <v>1792.45</v>
      </c>
      <c r="E157" s="39" t="n">
        <v>566.75</v>
      </c>
      <c r="F157" s="39" t="n">
        <v>716.4</v>
      </c>
      <c r="G157" s="39" t="n">
        <v>327.4</v>
      </c>
      <c r="H157" s="39" t="n">
        <v>423.45</v>
      </c>
      <c r="I157" s="39" t="n">
        <v>189.25</v>
      </c>
      <c r="J157" s="39" t="n">
        <v>1468.85</v>
      </c>
      <c r="K157" s="39" t="n">
        <v>589.64</v>
      </c>
      <c r="L157" s="39" t="n">
        <v>820.95</v>
      </c>
      <c r="M157" s="39" t="n">
        <v>954.95</v>
      </c>
      <c r="N157" s="39" t="n">
        <v>447.6</v>
      </c>
      <c r="O157" s="39" t="n">
        <v>259.4</v>
      </c>
      <c r="P157" s="39" t="n">
        <v>1033.35</v>
      </c>
      <c r="Q157" s="39" t="n">
        <v>292.9</v>
      </c>
      <c r="R157" s="39" t="n">
        <v>758.75</v>
      </c>
      <c r="S157" s="39" t="n">
        <v>259.32</v>
      </c>
    </row>
    <row r="158" customFormat="false" ht="15" hidden="false" customHeight="false" outlineLevel="0" collapsed="false">
      <c r="A158" s="8" t="n">
        <v>45033</v>
      </c>
      <c r="B158" s="39" t="n">
        <v>17706.85</v>
      </c>
      <c r="C158" s="39" t="n">
        <v>14904.3</v>
      </c>
      <c r="D158" s="39" t="n">
        <v>1794.65</v>
      </c>
      <c r="E158" s="39" t="n">
        <v>570.4</v>
      </c>
      <c r="F158" s="39" t="n">
        <v>720.2</v>
      </c>
      <c r="G158" s="39" t="n">
        <v>332</v>
      </c>
      <c r="H158" s="39" t="n">
        <v>411.55</v>
      </c>
      <c r="I158" s="39" t="n">
        <v>190.45</v>
      </c>
      <c r="J158" s="39" t="n">
        <v>1440.05</v>
      </c>
      <c r="K158" s="39" t="n">
        <v>595.33</v>
      </c>
      <c r="L158" s="39" t="n">
        <v>836.45</v>
      </c>
      <c r="M158" s="39" t="n">
        <v>943</v>
      </c>
      <c r="N158" s="39" t="n">
        <v>445.71</v>
      </c>
      <c r="O158" s="39" t="n">
        <v>260.65</v>
      </c>
      <c r="P158" s="39" t="n">
        <v>1048.85</v>
      </c>
      <c r="Q158" s="39" t="n">
        <v>302.2</v>
      </c>
      <c r="R158" s="39" t="n">
        <v>762.15</v>
      </c>
      <c r="S158" s="39" t="n">
        <v>264.27</v>
      </c>
    </row>
    <row r="159" customFormat="false" ht="15" hidden="false" customHeight="false" outlineLevel="0" collapsed="false">
      <c r="A159" s="8" t="n">
        <v>45034</v>
      </c>
      <c r="B159" s="39" t="n">
        <v>17660.15</v>
      </c>
      <c r="C159" s="39" t="n">
        <v>14897</v>
      </c>
      <c r="D159" s="39" t="n">
        <v>1746.9</v>
      </c>
      <c r="E159" s="39" t="n">
        <v>562.45</v>
      </c>
      <c r="F159" s="39" t="n">
        <v>729.35</v>
      </c>
      <c r="G159" s="39" t="n">
        <v>332.4</v>
      </c>
      <c r="H159" s="39" t="n">
        <v>412.8</v>
      </c>
      <c r="I159" s="39" t="n">
        <v>183.9</v>
      </c>
      <c r="J159" s="39" t="n">
        <v>1418.25</v>
      </c>
      <c r="K159" s="39" t="n">
        <v>590.76</v>
      </c>
      <c r="L159" s="39" t="n">
        <v>839.6</v>
      </c>
      <c r="M159" s="39" t="n">
        <v>980.1</v>
      </c>
      <c r="N159" s="39" t="n">
        <v>447.65</v>
      </c>
      <c r="O159" s="39" t="n">
        <v>259.7</v>
      </c>
      <c r="P159" s="39" t="n">
        <v>1050.2</v>
      </c>
      <c r="Q159" s="39" t="n">
        <v>309.4</v>
      </c>
      <c r="R159" s="39" t="n">
        <v>770.05</v>
      </c>
      <c r="S159" s="39" t="n">
        <v>267.84</v>
      </c>
    </row>
    <row r="160" customFormat="false" ht="15" hidden="false" customHeight="false" outlineLevel="0" collapsed="false">
      <c r="A160" s="8" t="n">
        <v>45035</v>
      </c>
      <c r="B160" s="39" t="n">
        <v>17618.75</v>
      </c>
      <c r="C160" s="39" t="n">
        <v>14856.9</v>
      </c>
      <c r="D160" s="39" t="n">
        <v>1759.7</v>
      </c>
      <c r="E160" s="39" t="n">
        <v>564.55</v>
      </c>
      <c r="F160" s="39" t="n">
        <v>711.15</v>
      </c>
      <c r="G160" s="39" t="n">
        <v>330.9</v>
      </c>
      <c r="H160" s="39" t="n">
        <v>417.35</v>
      </c>
      <c r="I160" s="39" t="n">
        <v>187.9</v>
      </c>
      <c r="J160" s="39" t="n">
        <v>1451.6</v>
      </c>
      <c r="K160" s="39" t="n">
        <v>593.97</v>
      </c>
      <c r="L160" s="39" t="n">
        <v>846.9</v>
      </c>
      <c r="M160" s="39" t="n">
        <v>982.95</v>
      </c>
      <c r="N160" s="39" t="n">
        <v>442.75</v>
      </c>
      <c r="O160" s="39" t="n">
        <v>261</v>
      </c>
      <c r="P160" s="39" t="n">
        <v>1042.1</v>
      </c>
      <c r="Q160" s="39" t="n">
        <v>311.1</v>
      </c>
      <c r="R160" s="39" t="n">
        <v>759.15</v>
      </c>
      <c r="S160" s="39" t="n">
        <v>273.31</v>
      </c>
    </row>
    <row r="161" customFormat="false" ht="15" hidden="false" customHeight="false" outlineLevel="0" collapsed="false">
      <c r="A161" s="8" t="n">
        <v>45036</v>
      </c>
      <c r="B161" s="39" t="n">
        <v>17624.45</v>
      </c>
      <c r="C161" s="39" t="n">
        <v>14861.75</v>
      </c>
      <c r="D161" s="39" t="n">
        <v>1668.1</v>
      </c>
      <c r="E161" s="39" t="n">
        <v>563.35</v>
      </c>
      <c r="F161" s="39" t="n">
        <v>725.85</v>
      </c>
      <c r="G161" s="39" t="n">
        <v>332.25</v>
      </c>
      <c r="H161" s="39" t="n">
        <v>426.55</v>
      </c>
      <c r="I161" s="39" t="n">
        <v>187.1</v>
      </c>
      <c r="J161" s="39" t="n">
        <v>1431.55</v>
      </c>
      <c r="K161" s="39" t="n">
        <v>590.47</v>
      </c>
      <c r="L161" s="39" t="n">
        <v>843.3</v>
      </c>
      <c r="M161" s="39" t="n">
        <v>992.45</v>
      </c>
      <c r="N161" s="39" t="n">
        <v>446.88</v>
      </c>
      <c r="O161" s="39" t="n">
        <v>260.95</v>
      </c>
      <c r="P161" s="39" t="n">
        <v>1039.3</v>
      </c>
      <c r="Q161" s="39" t="n">
        <v>312.2</v>
      </c>
      <c r="R161" s="39" t="n">
        <v>753.75</v>
      </c>
      <c r="S161" s="39" t="n">
        <v>267.87</v>
      </c>
    </row>
    <row r="162" customFormat="false" ht="15" hidden="false" customHeight="false" outlineLevel="0" collapsed="false">
      <c r="A162" s="8" t="n">
        <v>45037</v>
      </c>
      <c r="B162" s="39" t="n">
        <v>17624.05</v>
      </c>
      <c r="C162" s="39" t="n">
        <v>14847.1</v>
      </c>
      <c r="D162" s="39" t="n">
        <v>1579</v>
      </c>
      <c r="E162" s="39" t="n">
        <v>562</v>
      </c>
      <c r="F162" s="39" t="n">
        <v>710.7</v>
      </c>
      <c r="G162" s="39" t="n">
        <v>331.2</v>
      </c>
      <c r="H162" s="39" t="n">
        <v>428.15</v>
      </c>
      <c r="I162" s="39" t="n">
        <v>186.25</v>
      </c>
      <c r="J162" s="39" t="n">
        <v>1421.35</v>
      </c>
      <c r="K162" s="39" t="n">
        <v>592.98</v>
      </c>
      <c r="L162" s="39" t="n">
        <v>837.35</v>
      </c>
      <c r="M162" s="39" t="n">
        <v>991.05</v>
      </c>
      <c r="N162" s="39" t="n">
        <v>439.88</v>
      </c>
      <c r="O162" s="39" t="n">
        <v>257.35</v>
      </c>
      <c r="P162" s="39" t="n">
        <v>1035.05</v>
      </c>
      <c r="Q162" s="39" t="n">
        <v>310.2</v>
      </c>
      <c r="R162" s="39" t="n">
        <v>762.35</v>
      </c>
      <c r="S162" s="39" t="n">
        <v>271.77</v>
      </c>
    </row>
    <row r="163" customFormat="false" ht="15" hidden="false" customHeight="false" outlineLevel="0" collapsed="false">
      <c r="A163" s="8" t="n">
        <v>45040</v>
      </c>
      <c r="B163" s="39" t="n">
        <v>17743.4</v>
      </c>
      <c r="C163" s="39" t="n">
        <v>14930.15</v>
      </c>
      <c r="D163" s="39" t="n">
        <v>1558.05</v>
      </c>
      <c r="E163" s="39" t="n">
        <v>577.1</v>
      </c>
      <c r="F163" s="39" t="n">
        <v>709.45</v>
      </c>
      <c r="G163" s="39" t="n">
        <v>338.2</v>
      </c>
      <c r="H163" s="39" t="n">
        <v>428.85</v>
      </c>
      <c r="I163" s="39" t="n">
        <v>185.85</v>
      </c>
      <c r="J163" s="39" t="n">
        <v>1408.1</v>
      </c>
      <c r="K163" s="39" t="n">
        <v>592.57</v>
      </c>
      <c r="L163" s="39" t="n">
        <v>840.35</v>
      </c>
      <c r="M163" s="39" t="n">
        <v>979.35</v>
      </c>
      <c r="N163" s="39" t="n">
        <v>441.82</v>
      </c>
      <c r="O163" s="39" t="n">
        <v>255.15</v>
      </c>
      <c r="P163" s="39" t="n">
        <v>1019.1</v>
      </c>
      <c r="Q163" s="39" t="n">
        <v>315.1</v>
      </c>
      <c r="R163" s="39" t="n">
        <v>772.75</v>
      </c>
      <c r="S163" s="39" t="n">
        <v>278.52</v>
      </c>
    </row>
    <row r="164" customFormat="false" ht="15" hidden="false" customHeight="false" outlineLevel="0" collapsed="false">
      <c r="A164" s="8" t="n">
        <v>45041</v>
      </c>
      <c r="B164" s="39" t="n">
        <v>17769.25</v>
      </c>
      <c r="C164" s="39" t="n">
        <v>14955.7</v>
      </c>
      <c r="D164" s="39" t="n">
        <v>1516.45</v>
      </c>
      <c r="E164" s="39" t="n">
        <v>584.15</v>
      </c>
      <c r="F164" s="39" t="n">
        <v>706.2</v>
      </c>
      <c r="G164" s="39" t="n">
        <v>338.9</v>
      </c>
      <c r="H164" s="39" t="n">
        <v>444.7</v>
      </c>
      <c r="I164" s="39" t="n">
        <v>187.1</v>
      </c>
      <c r="J164" s="39" t="n">
        <v>1451.6</v>
      </c>
      <c r="K164" s="39" t="n">
        <v>606.7</v>
      </c>
      <c r="L164" s="39" t="n">
        <v>838.55</v>
      </c>
      <c r="M164" s="39" t="n">
        <v>975.3</v>
      </c>
      <c r="N164" s="39" t="n">
        <v>447.6</v>
      </c>
      <c r="O164" s="39" t="n">
        <v>251.05</v>
      </c>
      <c r="P164" s="39" t="n">
        <v>1016.45</v>
      </c>
      <c r="Q164" s="39" t="n">
        <v>316.45</v>
      </c>
      <c r="R164" s="39" t="n">
        <v>772.65</v>
      </c>
      <c r="S164" s="39" t="n">
        <v>286.55</v>
      </c>
    </row>
    <row r="165" customFormat="false" ht="15" hidden="false" customHeight="false" outlineLevel="0" collapsed="false">
      <c r="A165" s="8" t="n">
        <v>45042</v>
      </c>
      <c r="B165" s="39" t="n">
        <v>17813.6</v>
      </c>
      <c r="C165" s="39" t="n">
        <v>14994.4</v>
      </c>
      <c r="D165" s="39" t="n">
        <v>1434.95</v>
      </c>
      <c r="E165" s="39" t="n">
        <v>585.15</v>
      </c>
      <c r="F165" s="39" t="n">
        <v>708.65</v>
      </c>
      <c r="G165" s="39" t="n">
        <v>340</v>
      </c>
      <c r="H165" s="39" t="n">
        <v>437.55</v>
      </c>
      <c r="I165" s="39" t="n">
        <v>186.95</v>
      </c>
      <c r="J165" s="39" t="n">
        <v>1464.7</v>
      </c>
      <c r="K165" s="39" t="n">
        <v>604.77</v>
      </c>
      <c r="L165" s="39" t="n">
        <v>838.3</v>
      </c>
      <c r="M165" s="39" t="n">
        <v>968.8</v>
      </c>
      <c r="N165" s="39" t="n">
        <v>460.52</v>
      </c>
      <c r="O165" s="39" t="n">
        <v>251.15</v>
      </c>
      <c r="P165" s="39" t="n">
        <v>1016.9</v>
      </c>
      <c r="Q165" s="39" t="n">
        <v>307.9</v>
      </c>
      <c r="R165" s="39" t="n">
        <v>776.2</v>
      </c>
      <c r="S165" s="39" t="n">
        <v>281.23</v>
      </c>
    </row>
    <row r="166" customFormat="false" ht="15" hidden="false" customHeight="false" outlineLevel="0" collapsed="false">
      <c r="A166" s="8" t="n">
        <v>45043</v>
      </c>
      <c r="B166" s="39" t="n">
        <v>17915.05</v>
      </c>
      <c r="C166" s="39" t="n">
        <v>15075.05</v>
      </c>
      <c r="D166" s="39" t="n">
        <v>1400.9</v>
      </c>
      <c r="E166" s="39" t="n">
        <v>593.2</v>
      </c>
      <c r="F166" s="39" t="n">
        <v>705.9</v>
      </c>
      <c r="G166" s="39" t="n">
        <v>339.75</v>
      </c>
      <c r="H166" s="39" t="n">
        <v>446</v>
      </c>
      <c r="I166" s="39" t="n">
        <v>189.2</v>
      </c>
      <c r="J166" s="39" t="n">
        <v>1442.45</v>
      </c>
      <c r="K166" s="39" t="n">
        <v>619.16</v>
      </c>
      <c r="L166" s="39" t="n">
        <v>854.4</v>
      </c>
      <c r="M166" s="39" t="n">
        <v>972.95</v>
      </c>
      <c r="N166" s="39" t="n">
        <v>469.46</v>
      </c>
      <c r="O166" s="39" t="n">
        <v>256.85</v>
      </c>
      <c r="P166" s="39" t="n">
        <v>1012.1</v>
      </c>
      <c r="Q166" s="39" t="n">
        <v>319.25</v>
      </c>
      <c r="R166" s="39" t="n">
        <v>784.2</v>
      </c>
      <c r="S166" s="39" t="n">
        <v>281.11</v>
      </c>
    </row>
    <row r="167" customFormat="false" ht="15" hidden="false" customHeight="false" outlineLevel="0" collapsed="false">
      <c r="A167" s="8" t="n">
        <v>45044</v>
      </c>
      <c r="B167" s="39" t="n">
        <v>18065</v>
      </c>
      <c r="C167" s="39" t="n">
        <v>15219.55</v>
      </c>
      <c r="D167" s="39" t="n">
        <v>1387.2</v>
      </c>
      <c r="E167" s="39" t="n">
        <v>616.7</v>
      </c>
      <c r="F167" s="39" t="n">
        <v>712.45</v>
      </c>
      <c r="G167" s="39" t="n">
        <v>344.2</v>
      </c>
      <c r="H167" s="39" t="n">
        <v>445.9</v>
      </c>
      <c r="I167" s="39" t="n">
        <v>190.25</v>
      </c>
      <c r="J167" s="39" t="n">
        <v>1460.8</v>
      </c>
      <c r="K167" s="39" t="n">
        <v>627.16</v>
      </c>
      <c r="L167" s="39" t="n">
        <v>871.1</v>
      </c>
      <c r="M167" s="39" t="n">
        <v>964.3</v>
      </c>
      <c r="N167" s="39" t="n">
        <v>466.01</v>
      </c>
      <c r="O167" s="39" t="n">
        <v>259</v>
      </c>
      <c r="P167" s="39" t="n">
        <v>1020.7</v>
      </c>
      <c r="Q167" s="39" t="n">
        <v>323.15</v>
      </c>
      <c r="R167" s="39" t="n">
        <v>772.25</v>
      </c>
      <c r="S167" s="39" t="n">
        <v>266.52</v>
      </c>
    </row>
    <row r="168" customFormat="false" ht="15" hidden="false" customHeight="false" outlineLevel="0" collapsed="false">
      <c r="A168" s="8" t="n">
        <v>45048</v>
      </c>
      <c r="B168" s="39" t="n">
        <v>18147.65</v>
      </c>
      <c r="C168" s="39" t="n">
        <v>15300.75</v>
      </c>
      <c r="D168" s="39" t="n">
        <v>1399.15</v>
      </c>
      <c r="E168" s="39" t="n">
        <v>627.3</v>
      </c>
      <c r="F168" s="39" t="n">
        <v>713.15</v>
      </c>
      <c r="G168" s="39" t="n">
        <v>355.15</v>
      </c>
      <c r="H168" s="39" t="n">
        <v>458.15</v>
      </c>
      <c r="I168" s="39" t="n">
        <v>190.5</v>
      </c>
      <c r="J168" s="39" t="n">
        <v>1449.25</v>
      </c>
      <c r="K168" s="39" t="n">
        <v>624.07</v>
      </c>
      <c r="L168" s="39" t="n">
        <v>874.7</v>
      </c>
      <c r="M168" s="39" t="n">
        <v>975.6</v>
      </c>
      <c r="N168" s="39" t="n">
        <v>453.58</v>
      </c>
      <c r="O168" s="39" t="n">
        <v>266.3</v>
      </c>
      <c r="P168" s="39" t="n">
        <v>1027.4</v>
      </c>
      <c r="Q168" s="39" t="n">
        <v>322.45</v>
      </c>
      <c r="R168" s="39" t="n">
        <v>781.95</v>
      </c>
      <c r="S168" s="39" t="n">
        <v>265.06</v>
      </c>
    </row>
    <row r="169" customFormat="false" ht="15" hidden="false" customHeight="false" outlineLevel="0" collapsed="false">
      <c r="A169" s="8" t="n">
        <v>45049</v>
      </c>
      <c r="B169" s="39" t="n">
        <v>18089.85</v>
      </c>
      <c r="C169" s="39" t="n">
        <v>15276.4</v>
      </c>
      <c r="D169" s="39" t="n">
        <v>1440.8</v>
      </c>
      <c r="E169" s="39" t="n">
        <v>633.55</v>
      </c>
      <c r="F169" s="39" t="n">
        <v>708.25</v>
      </c>
      <c r="G169" s="39" t="n">
        <v>355.8</v>
      </c>
      <c r="H169" s="39" t="n">
        <v>485.25</v>
      </c>
      <c r="I169" s="39" t="n">
        <v>192.6</v>
      </c>
      <c r="J169" s="39" t="n">
        <v>1451.55</v>
      </c>
      <c r="K169" s="39" t="n">
        <v>617.19</v>
      </c>
      <c r="L169" s="39" t="n">
        <v>886.6</v>
      </c>
      <c r="M169" s="39" t="n">
        <v>979.6</v>
      </c>
      <c r="N169" s="39" t="n">
        <v>451.54</v>
      </c>
      <c r="O169" s="39" t="n">
        <v>271.5</v>
      </c>
      <c r="P169" s="39" t="n">
        <v>1019.1</v>
      </c>
      <c r="Q169" s="39" t="n">
        <v>325.4</v>
      </c>
      <c r="R169" s="39" t="n">
        <v>786.7</v>
      </c>
      <c r="S169" s="39" t="n">
        <v>263.81</v>
      </c>
    </row>
    <row r="170" customFormat="false" ht="15" hidden="false" customHeight="false" outlineLevel="0" collapsed="false">
      <c r="A170" s="8" t="n">
        <v>45050</v>
      </c>
      <c r="B170" s="39" t="n">
        <v>18255.8</v>
      </c>
      <c r="C170" s="39" t="n">
        <v>15405.5</v>
      </c>
      <c r="D170" s="39" t="n">
        <v>1399.4</v>
      </c>
      <c r="E170" s="39" t="n">
        <v>637.4</v>
      </c>
      <c r="F170" s="39" t="n">
        <v>706.55</v>
      </c>
      <c r="G170" s="39" t="n">
        <v>370.05</v>
      </c>
      <c r="H170" s="39" t="n">
        <v>493.7</v>
      </c>
      <c r="I170" s="39" t="n">
        <v>197.75</v>
      </c>
      <c r="J170" s="39" t="n">
        <v>1459.1</v>
      </c>
      <c r="K170" s="39" t="n">
        <v>638.16</v>
      </c>
      <c r="L170" s="39" t="n">
        <v>950.2</v>
      </c>
      <c r="M170" s="39" t="n">
        <v>984.85</v>
      </c>
      <c r="N170" s="39" t="n">
        <v>456.25</v>
      </c>
      <c r="O170" s="39" t="n">
        <v>288.35</v>
      </c>
      <c r="P170" s="39" t="n">
        <v>1047.3</v>
      </c>
      <c r="Q170" s="39" t="n">
        <v>330.85</v>
      </c>
      <c r="R170" s="39" t="n">
        <v>796.55</v>
      </c>
      <c r="S170" s="39" t="n">
        <v>265.54</v>
      </c>
    </row>
    <row r="171" customFormat="false" ht="15" hidden="false" customHeight="false" outlineLevel="0" collapsed="false">
      <c r="A171" s="8" t="n">
        <v>45051</v>
      </c>
      <c r="B171" s="39" t="n">
        <v>18069</v>
      </c>
      <c r="C171" s="39" t="n">
        <v>15278.6</v>
      </c>
      <c r="D171" s="39" t="n">
        <v>1438.2</v>
      </c>
      <c r="E171" s="39" t="n">
        <v>643.75</v>
      </c>
      <c r="F171" s="39" t="n">
        <v>693.45</v>
      </c>
      <c r="G171" s="39" t="n">
        <v>364.6</v>
      </c>
      <c r="H171" s="39" t="n">
        <v>476.95</v>
      </c>
      <c r="I171" s="39" t="n">
        <v>191.45</v>
      </c>
      <c r="J171" s="39" t="n">
        <v>1445.7</v>
      </c>
      <c r="K171" s="39" t="n">
        <v>638.12</v>
      </c>
      <c r="L171" s="39" t="n">
        <v>991.85</v>
      </c>
      <c r="M171" s="39" t="n">
        <v>991.15</v>
      </c>
      <c r="N171" s="39" t="n">
        <v>451</v>
      </c>
      <c r="O171" s="39" t="n">
        <v>286.4</v>
      </c>
      <c r="P171" s="39" t="n">
        <v>1057.6</v>
      </c>
      <c r="Q171" s="39" t="n">
        <v>325.35</v>
      </c>
      <c r="R171" s="39" t="n">
        <v>800.6</v>
      </c>
      <c r="S171" s="39" t="n">
        <v>263.77</v>
      </c>
    </row>
    <row r="172" customFormat="false" ht="15" hidden="false" customHeight="false" outlineLevel="0" collapsed="false">
      <c r="A172" s="8" t="n">
        <v>45054</v>
      </c>
      <c r="B172" s="39" t="n">
        <v>18264.4</v>
      </c>
      <c r="C172" s="39" t="n">
        <v>15427.1</v>
      </c>
      <c r="D172" s="39" t="n">
        <v>1477</v>
      </c>
      <c r="E172" s="39" t="n">
        <v>657</v>
      </c>
      <c r="F172" s="39" t="n">
        <v>694.75</v>
      </c>
      <c r="G172" s="39" t="n">
        <v>370.85</v>
      </c>
      <c r="H172" s="39" t="n">
        <v>486.55</v>
      </c>
      <c r="I172" s="39" t="n">
        <v>200</v>
      </c>
      <c r="J172" s="39" t="n">
        <v>1463.65</v>
      </c>
      <c r="K172" s="39" t="n">
        <v>664.89</v>
      </c>
      <c r="L172" s="39" t="n">
        <v>1001.9</v>
      </c>
      <c r="M172" s="39" t="n">
        <v>988.35</v>
      </c>
      <c r="N172" s="39" t="n">
        <v>445.81</v>
      </c>
      <c r="O172" s="39" t="n">
        <v>294.15</v>
      </c>
      <c r="P172" s="39" t="n">
        <v>1067.75</v>
      </c>
      <c r="Q172" s="39" t="n">
        <v>326.25</v>
      </c>
      <c r="R172" s="39" t="n">
        <v>814.9</v>
      </c>
      <c r="S172" s="39" t="n">
        <v>269.58</v>
      </c>
    </row>
    <row r="173" customFormat="false" ht="15" hidden="false" customHeight="false" outlineLevel="0" collapsed="false">
      <c r="A173" s="8" t="n">
        <v>45055</v>
      </c>
      <c r="B173" s="39" t="n">
        <v>18265.95</v>
      </c>
      <c r="C173" s="39" t="n">
        <v>15420.6</v>
      </c>
      <c r="D173" s="39" t="n">
        <v>1489.9</v>
      </c>
      <c r="E173" s="39" t="n">
        <v>645.85</v>
      </c>
      <c r="F173" s="39" t="n">
        <v>711.95</v>
      </c>
      <c r="G173" s="39" t="n">
        <v>368.7</v>
      </c>
      <c r="H173" s="39" t="n">
        <v>469.6</v>
      </c>
      <c r="I173" s="39" t="n">
        <v>203.55</v>
      </c>
      <c r="J173" s="39" t="n">
        <v>1449.15</v>
      </c>
      <c r="K173" s="39" t="n">
        <v>654.33</v>
      </c>
      <c r="L173" s="39" t="n">
        <v>983.55</v>
      </c>
      <c r="M173" s="39" t="n">
        <v>1000.9</v>
      </c>
      <c r="N173" s="39" t="n">
        <v>437.4</v>
      </c>
      <c r="O173" s="39" t="n">
        <v>288.7</v>
      </c>
      <c r="P173" s="39" t="n">
        <v>1064.05</v>
      </c>
      <c r="Q173" s="39" t="n">
        <v>323.35</v>
      </c>
      <c r="R173" s="39" t="n">
        <v>820.7</v>
      </c>
      <c r="S173" s="39" t="n">
        <v>269.65</v>
      </c>
    </row>
    <row r="174" customFormat="false" ht="15" hidden="false" customHeight="false" outlineLevel="0" collapsed="false">
      <c r="A174" s="8" t="n">
        <v>45056</v>
      </c>
      <c r="B174" s="39" t="n">
        <v>18315.1</v>
      </c>
      <c r="C174" s="39" t="n">
        <v>15466.05</v>
      </c>
      <c r="D174" s="39" t="n">
        <v>1496.65</v>
      </c>
      <c r="E174" s="39" t="n">
        <v>646.45</v>
      </c>
      <c r="F174" s="39" t="n">
        <v>710.45</v>
      </c>
      <c r="G174" s="39" t="n">
        <v>372.45</v>
      </c>
      <c r="H174" s="39" t="n">
        <v>463.75</v>
      </c>
      <c r="I174" s="39" t="n">
        <v>205.55</v>
      </c>
      <c r="J174" s="39" t="n">
        <v>1468.1</v>
      </c>
      <c r="K174" s="39" t="n">
        <v>662.25</v>
      </c>
      <c r="L174" s="39" t="n">
        <v>989.6</v>
      </c>
      <c r="M174" s="39" t="n">
        <v>1030.95</v>
      </c>
      <c r="N174" s="39" t="n">
        <v>434.3</v>
      </c>
      <c r="O174" s="39" t="n">
        <v>285.85</v>
      </c>
      <c r="P174" s="39" t="n">
        <v>1068.2</v>
      </c>
      <c r="Q174" s="39" t="n">
        <v>323.15</v>
      </c>
      <c r="R174" s="39" t="n">
        <v>824.25</v>
      </c>
      <c r="S174" s="39" t="n">
        <v>270.61</v>
      </c>
    </row>
    <row r="175" customFormat="false" ht="15" hidden="false" customHeight="false" outlineLevel="0" collapsed="false">
      <c r="A175" s="8" t="n">
        <v>45057</v>
      </c>
      <c r="B175" s="39" t="n">
        <v>18297</v>
      </c>
      <c r="C175" s="39" t="n">
        <v>15484.05</v>
      </c>
      <c r="D175" s="39" t="n">
        <v>1460.1</v>
      </c>
      <c r="E175" s="39" t="n">
        <v>643.95</v>
      </c>
      <c r="F175" s="39" t="n">
        <v>716.95</v>
      </c>
      <c r="G175" s="39" t="n">
        <v>377.8</v>
      </c>
      <c r="H175" s="39" t="n">
        <v>472.9</v>
      </c>
      <c r="I175" s="39" t="n">
        <v>208.55</v>
      </c>
      <c r="J175" s="39" t="n">
        <v>1461.7</v>
      </c>
      <c r="K175" s="39" t="n">
        <v>665.44</v>
      </c>
      <c r="L175" s="39" t="n">
        <v>998.85</v>
      </c>
      <c r="M175" s="39" t="n">
        <v>1051.15</v>
      </c>
      <c r="N175" s="39" t="n">
        <v>429.49</v>
      </c>
      <c r="O175" s="39" t="n">
        <v>285.55</v>
      </c>
      <c r="P175" s="39" t="n">
        <v>1068.5</v>
      </c>
      <c r="Q175" s="39" t="n">
        <v>325.25</v>
      </c>
      <c r="R175" s="39" t="n">
        <v>865.65</v>
      </c>
      <c r="S175" s="39" t="n">
        <v>272.86</v>
      </c>
    </row>
    <row r="176" customFormat="false" ht="15" hidden="false" customHeight="false" outlineLevel="0" collapsed="false">
      <c r="A176" s="8" t="n">
        <v>45058</v>
      </c>
      <c r="B176" s="39" t="n">
        <v>18314.8</v>
      </c>
      <c r="C176" s="39" t="n">
        <v>15477.35</v>
      </c>
      <c r="D176" s="39" t="n">
        <v>1461.3</v>
      </c>
      <c r="E176" s="39" t="n">
        <v>643.65</v>
      </c>
      <c r="F176" s="39" t="n">
        <v>725.35</v>
      </c>
      <c r="G176" s="39" t="n">
        <v>374.95</v>
      </c>
      <c r="H176" s="39" t="n">
        <v>469.25</v>
      </c>
      <c r="I176" s="39" t="n">
        <v>202.9</v>
      </c>
      <c r="J176" s="39" t="n">
        <v>1447.2</v>
      </c>
      <c r="K176" s="39" t="n">
        <v>670.53</v>
      </c>
      <c r="L176" s="39" t="n">
        <v>1005.05</v>
      </c>
      <c r="M176" s="39" t="n">
        <v>1032.55</v>
      </c>
      <c r="N176" s="39" t="n">
        <v>428.37</v>
      </c>
      <c r="O176" s="39" t="n">
        <v>281.8</v>
      </c>
      <c r="P176" s="39" t="n">
        <v>1059.7</v>
      </c>
      <c r="Q176" s="39" t="n">
        <v>325.05</v>
      </c>
      <c r="R176" s="39" t="n">
        <v>866.85</v>
      </c>
      <c r="S176" s="39" t="n">
        <v>269.95</v>
      </c>
    </row>
    <row r="177" customFormat="false" ht="15" hidden="false" customHeight="false" outlineLevel="0" collapsed="false">
      <c r="A177" s="8" t="n">
        <v>45061</v>
      </c>
      <c r="B177" s="39" t="n">
        <v>18398.85</v>
      </c>
      <c r="C177" s="39" t="n">
        <v>15549.7</v>
      </c>
      <c r="D177" s="39" t="n">
        <v>1426.35</v>
      </c>
      <c r="E177" s="39" t="n">
        <v>658.95</v>
      </c>
      <c r="F177" s="39" t="n">
        <v>694.2</v>
      </c>
      <c r="G177" s="39" t="n">
        <v>381.8</v>
      </c>
      <c r="H177" s="39" t="n">
        <v>478.35</v>
      </c>
      <c r="I177" s="39" t="n">
        <v>209</v>
      </c>
      <c r="J177" s="39" t="n">
        <v>1436.3</v>
      </c>
      <c r="K177" s="39" t="n">
        <v>670.32</v>
      </c>
      <c r="L177" s="39" t="n">
        <v>1003.5</v>
      </c>
      <c r="M177" s="39" t="n">
        <v>1068.15</v>
      </c>
      <c r="N177" s="39" t="n">
        <v>435.95</v>
      </c>
      <c r="O177" s="39" t="n">
        <v>283.6</v>
      </c>
      <c r="P177" s="39" t="n">
        <v>1068.65</v>
      </c>
      <c r="Q177" s="39" t="n">
        <v>330.3</v>
      </c>
      <c r="R177" s="39" t="n">
        <v>890.95</v>
      </c>
      <c r="S177" s="39" t="n">
        <v>268.12</v>
      </c>
    </row>
    <row r="178" customFormat="false" ht="15" hidden="false" customHeight="false" outlineLevel="0" collapsed="false">
      <c r="A178" s="8" t="n">
        <v>45062</v>
      </c>
      <c r="B178" s="39" t="n">
        <v>18286.5</v>
      </c>
      <c r="C178" s="39" t="n">
        <v>15492.4</v>
      </c>
      <c r="D178" s="39" t="n">
        <v>1419.2</v>
      </c>
      <c r="E178" s="39" t="n">
        <v>658.5</v>
      </c>
      <c r="F178" s="39" t="n">
        <v>694.65</v>
      </c>
      <c r="G178" s="39" t="n">
        <v>394.7</v>
      </c>
      <c r="H178" s="39" t="n">
        <v>472.4</v>
      </c>
      <c r="I178" s="39" t="n">
        <v>209.8</v>
      </c>
      <c r="J178" s="39" t="n">
        <v>1451.1</v>
      </c>
      <c r="K178" s="39" t="n">
        <v>677.54</v>
      </c>
      <c r="L178" s="39" t="n">
        <v>1020.4</v>
      </c>
      <c r="M178" s="39" t="n">
        <v>1085.9</v>
      </c>
      <c r="N178" s="39" t="n">
        <v>427.25</v>
      </c>
      <c r="O178" s="39" t="n">
        <v>283.9</v>
      </c>
      <c r="P178" s="39" t="n">
        <v>1062.95</v>
      </c>
      <c r="Q178" s="39" t="n">
        <v>325.3</v>
      </c>
      <c r="R178" s="39" t="n">
        <v>877.5</v>
      </c>
      <c r="S178" s="39" t="n">
        <v>265.72</v>
      </c>
    </row>
    <row r="179" customFormat="false" ht="15" hidden="false" customHeight="false" outlineLevel="0" collapsed="false">
      <c r="A179" s="8" t="n">
        <v>45063</v>
      </c>
      <c r="B179" s="39" t="n">
        <v>18181.75</v>
      </c>
      <c r="C179" s="39" t="n">
        <v>15426.35</v>
      </c>
      <c r="D179" s="39" t="n">
        <v>1414.1</v>
      </c>
      <c r="E179" s="39" t="n">
        <v>670.55</v>
      </c>
      <c r="F179" s="39" t="n">
        <v>703.1</v>
      </c>
      <c r="G179" s="39" t="n">
        <v>370.45</v>
      </c>
      <c r="H179" s="39" t="n">
        <v>468.7</v>
      </c>
      <c r="I179" s="39" t="n">
        <v>211.1</v>
      </c>
      <c r="J179" s="39" t="n">
        <v>1459.05</v>
      </c>
      <c r="K179" s="39" t="n">
        <v>669.59</v>
      </c>
      <c r="L179" s="39" t="n">
        <v>1011.6</v>
      </c>
      <c r="M179" s="39" t="n">
        <v>1171.5</v>
      </c>
      <c r="N179" s="39" t="n">
        <v>451.05</v>
      </c>
      <c r="O179" s="39" t="n">
        <v>285.05</v>
      </c>
      <c r="P179" s="39" t="n">
        <v>1057.15</v>
      </c>
      <c r="Q179" s="39" t="n">
        <v>328.55</v>
      </c>
      <c r="R179" s="39" t="n">
        <v>879.4</v>
      </c>
      <c r="S179" s="39" t="n">
        <v>268.84</v>
      </c>
    </row>
    <row r="180" customFormat="false" ht="15" hidden="false" customHeight="false" outlineLevel="0" collapsed="false">
      <c r="A180" s="8" t="n">
        <v>45064</v>
      </c>
      <c r="B180" s="39" t="n">
        <v>18129.95</v>
      </c>
      <c r="C180" s="39" t="n">
        <v>15361.6</v>
      </c>
      <c r="D180" s="39" t="n">
        <v>1396.6</v>
      </c>
      <c r="E180" s="39" t="n">
        <v>675.45</v>
      </c>
      <c r="F180" s="39" t="n">
        <v>698.25</v>
      </c>
      <c r="G180" s="39" t="n">
        <v>365.8</v>
      </c>
      <c r="H180" s="39" t="n">
        <v>480.4</v>
      </c>
      <c r="I180" s="39" t="n">
        <v>206.05</v>
      </c>
      <c r="J180" s="39" t="n">
        <v>1538.7</v>
      </c>
      <c r="K180" s="39" t="n">
        <v>678.02</v>
      </c>
      <c r="L180" s="39" t="n">
        <v>1042.3</v>
      </c>
      <c r="M180" s="39" t="n">
        <v>1183.5</v>
      </c>
      <c r="N180" s="39" t="n">
        <v>447.55</v>
      </c>
      <c r="O180" s="39" t="n">
        <v>285.1</v>
      </c>
      <c r="P180" s="39" t="n">
        <v>1050.4</v>
      </c>
      <c r="Q180" s="39" t="n">
        <v>336</v>
      </c>
      <c r="R180" s="39" t="n">
        <v>886.6</v>
      </c>
      <c r="S180" s="39" t="n">
        <v>269.22</v>
      </c>
    </row>
    <row r="181" customFormat="false" ht="15" hidden="false" customHeight="false" outlineLevel="0" collapsed="false">
      <c r="A181" s="8" t="n">
        <v>45065</v>
      </c>
      <c r="B181" s="39" t="n">
        <v>18203.4</v>
      </c>
      <c r="C181" s="39" t="n">
        <v>15407.55</v>
      </c>
      <c r="D181" s="39" t="n">
        <v>1392.5</v>
      </c>
      <c r="E181" s="39" t="n">
        <v>666.35</v>
      </c>
      <c r="F181" s="39" t="n">
        <v>700.25</v>
      </c>
      <c r="G181" s="39" t="n">
        <v>372.8</v>
      </c>
      <c r="H181" s="39" t="n">
        <v>465.7</v>
      </c>
      <c r="I181" s="39" t="n">
        <v>208.75</v>
      </c>
      <c r="J181" s="39" t="n">
        <v>1515.05</v>
      </c>
      <c r="K181" s="39" t="n">
        <v>677.5</v>
      </c>
      <c r="L181" s="39" t="n">
        <v>1043.4</v>
      </c>
      <c r="M181" s="39" t="n">
        <v>1220.1</v>
      </c>
      <c r="N181" s="39" t="n">
        <v>441.34</v>
      </c>
      <c r="O181" s="39" t="n">
        <v>281.8</v>
      </c>
      <c r="P181" s="39" t="n">
        <v>1034.9</v>
      </c>
      <c r="Q181" s="39" t="n">
        <v>334.55</v>
      </c>
      <c r="R181" s="39" t="n">
        <v>891.55</v>
      </c>
      <c r="S181" s="39" t="n">
        <v>267.86</v>
      </c>
    </row>
    <row r="182" customFormat="false" ht="15" hidden="false" customHeight="false" outlineLevel="0" collapsed="false">
      <c r="A182" s="8" t="n">
        <v>45068</v>
      </c>
      <c r="B182" s="39" t="n">
        <v>18314.4</v>
      </c>
      <c r="C182" s="39" t="n">
        <v>15504</v>
      </c>
      <c r="D182" s="39" t="n">
        <v>1387.45</v>
      </c>
      <c r="E182" s="39" t="n">
        <v>670.1</v>
      </c>
      <c r="F182" s="39" t="n">
        <v>694.4</v>
      </c>
      <c r="G182" s="39" t="n">
        <v>372.25</v>
      </c>
      <c r="H182" s="39" t="n">
        <v>474.4</v>
      </c>
      <c r="I182" s="39" t="n">
        <v>206.65</v>
      </c>
      <c r="J182" s="39" t="n">
        <v>1519.7</v>
      </c>
      <c r="K182" s="39" t="n">
        <v>678.38</v>
      </c>
      <c r="L182" s="39" t="n">
        <v>1053.7</v>
      </c>
      <c r="M182" s="39" t="n">
        <v>1257.6</v>
      </c>
      <c r="N182" s="39" t="n">
        <v>430.85</v>
      </c>
      <c r="O182" s="39" t="n">
        <v>283.15</v>
      </c>
      <c r="P182" s="39" t="n">
        <v>1124.2</v>
      </c>
      <c r="Q182" s="39" t="n">
        <v>346.6</v>
      </c>
      <c r="R182" s="39" t="n">
        <v>888.1</v>
      </c>
      <c r="S182" s="39" t="n">
        <v>263.86</v>
      </c>
    </row>
    <row r="183" customFormat="false" ht="15" hidden="false" customHeight="false" outlineLevel="0" collapsed="false">
      <c r="A183" s="8" t="n">
        <v>45069</v>
      </c>
      <c r="B183" s="39" t="n">
        <v>18348</v>
      </c>
      <c r="C183" s="39" t="n">
        <v>15544.75</v>
      </c>
      <c r="D183" s="39" t="n">
        <v>1385.85</v>
      </c>
      <c r="E183" s="39" t="n">
        <v>676.95</v>
      </c>
      <c r="F183" s="39" t="n">
        <v>692.2</v>
      </c>
      <c r="G183" s="39" t="n">
        <v>373.05</v>
      </c>
      <c r="H183" s="39" t="n">
        <v>472</v>
      </c>
      <c r="I183" s="39" t="n">
        <v>228.25</v>
      </c>
      <c r="J183" s="39" t="n">
        <v>1526.85</v>
      </c>
      <c r="K183" s="39" t="n">
        <v>677.13</v>
      </c>
      <c r="L183" s="39" t="n">
        <v>1060.65</v>
      </c>
      <c r="M183" s="39" t="n">
        <v>1235.45</v>
      </c>
      <c r="N183" s="39" t="n">
        <v>429.97</v>
      </c>
      <c r="O183" s="39" t="n">
        <v>285.65</v>
      </c>
      <c r="P183" s="39" t="n">
        <v>1128.2</v>
      </c>
      <c r="Q183" s="39" t="n">
        <v>346.45</v>
      </c>
      <c r="R183" s="39" t="n">
        <v>887.85</v>
      </c>
      <c r="S183" s="39" t="n">
        <v>272.66</v>
      </c>
    </row>
    <row r="184" customFormat="false" ht="15" hidden="false" customHeight="false" outlineLevel="0" collapsed="false">
      <c r="A184" s="8" t="n">
        <v>45070</v>
      </c>
      <c r="B184" s="39" t="n">
        <v>18285.4</v>
      </c>
      <c r="C184" s="39" t="n">
        <v>15515.95</v>
      </c>
      <c r="D184" s="39" t="n">
        <v>1385.3</v>
      </c>
      <c r="E184" s="39" t="n">
        <v>679.3</v>
      </c>
      <c r="F184" s="39" t="n">
        <v>692.8</v>
      </c>
      <c r="G184" s="39" t="n">
        <v>376.2</v>
      </c>
      <c r="H184" s="39" t="n">
        <v>467.95</v>
      </c>
      <c r="I184" s="39" t="n">
        <v>229</v>
      </c>
      <c r="J184" s="39" t="n">
        <v>1544.7</v>
      </c>
      <c r="K184" s="39" t="n">
        <v>677.67</v>
      </c>
      <c r="L184" s="39" t="n">
        <v>1052.2</v>
      </c>
      <c r="M184" s="39" t="n">
        <v>1231</v>
      </c>
      <c r="N184" s="39" t="n">
        <v>431.19</v>
      </c>
      <c r="O184" s="39" t="n">
        <v>283.6</v>
      </c>
      <c r="P184" s="39" t="n">
        <v>1103.65</v>
      </c>
      <c r="Q184" s="39" t="n">
        <v>348.15</v>
      </c>
      <c r="R184" s="39" t="n">
        <v>889.35</v>
      </c>
      <c r="S184" s="39" t="n">
        <v>273.93</v>
      </c>
    </row>
    <row r="185" customFormat="false" ht="15" hidden="false" customHeight="false" outlineLevel="0" collapsed="false">
      <c r="A185" s="8" t="n">
        <v>45071</v>
      </c>
      <c r="B185" s="39" t="n">
        <v>18321.15</v>
      </c>
      <c r="C185" s="39" t="n">
        <v>15555.25</v>
      </c>
      <c r="D185" s="39" t="n">
        <v>1403.75</v>
      </c>
      <c r="E185" s="39" t="n">
        <v>677.25</v>
      </c>
      <c r="F185" s="39" t="n">
        <v>692.4</v>
      </c>
      <c r="G185" s="39" t="n">
        <v>375.05</v>
      </c>
      <c r="H185" s="39" t="n">
        <v>460.5</v>
      </c>
      <c r="I185" s="39" t="n">
        <v>224.5</v>
      </c>
      <c r="J185" s="39" t="n">
        <v>1547.65</v>
      </c>
      <c r="K185" s="39" t="n">
        <v>683.19</v>
      </c>
      <c r="L185" s="39" t="n">
        <v>1059.45</v>
      </c>
      <c r="M185" s="39" t="n">
        <v>1225.75</v>
      </c>
      <c r="N185" s="39" t="n">
        <v>427.64</v>
      </c>
      <c r="O185" s="39" t="n">
        <v>283.15</v>
      </c>
      <c r="P185" s="39" t="n">
        <v>1111</v>
      </c>
      <c r="Q185" s="39" t="n">
        <v>346.9</v>
      </c>
      <c r="R185" s="39" t="n">
        <v>894.85</v>
      </c>
      <c r="S185" s="39" t="n">
        <v>275.07</v>
      </c>
    </row>
    <row r="186" customFormat="false" ht="15" hidden="false" customHeight="false" outlineLevel="0" collapsed="false">
      <c r="A186" s="8" t="n">
        <v>45072</v>
      </c>
      <c r="B186" s="39" t="n">
        <v>18499.35</v>
      </c>
      <c r="C186" s="39" t="n">
        <v>15696.75</v>
      </c>
      <c r="D186" s="39" t="n">
        <v>1368.4</v>
      </c>
      <c r="E186" s="39" t="n">
        <v>676.8</v>
      </c>
      <c r="F186" s="39" t="n">
        <v>692.65</v>
      </c>
      <c r="G186" s="39" t="n">
        <v>377.5</v>
      </c>
      <c r="H186" s="39" t="n">
        <v>473.8</v>
      </c>
      <c r="I186" s="39" t="n">
        <v>214.65</v>
      </c>
      <c r="J186" s="39" t="n">
        <v>1582.65</v>
      </c>
      <c r="K186" s="39" t="n">
        <v>689.51</v>
      </c>
      <c r="L186" s="39" t="n">
        <v>1049.7</v>
      </c>
      <c r="M186" s="39" t="n">
        <v>1213.55</v>
      </c>
      <c r="N186" s="39" t="n">
        <v>424.92</v>
      </c>
      <c r="O186" s="39" t="n">
        <v>280.05</v>
      </c>
      <c r="P186" s="39" t="n">
        <v>1108.5</v>
      </c>
      <c r="Q186" s="39" t="n">
        <v>346.1</v>
      </c>
      <c r="R186" s="39" t="n">
        <v>901.5</v>
      </c>
      <c r="S186" s="39" t="n">
        <v>276.72</v>
      </c>
    </row>
    <row r="187" customFormat="false" ht="15" hidden="false" customHeight="false" outlineLevel="0" collapsed="false">
      <c r="A187" s="8" t="n">
        <v>45075</v>
      </c>
      <c r="B187" s="39" t="n">
        <v>18598.65</v>
      </c>
      <c r="C187" s="39" t="n">
        <v>15772.35</v>
      </c>
      <c r="D187" s="39" t="n">
        <v>1389.7</v>
      </c>
      <c r="E187" s="39" t="n">
        <v>690.15</v>
      </c>
      <c r="F187" s="39" t="n">
        <v>697.1</v>
      </c>
      <c r="G187" s="39" t="n">
        <v>380.05</v>
      </c>
      <c r="H187" s="39" t="n">
        <v>480.55</v>
      </c>
      <c r="I187" s="39" t="n">
        <v>232.7</v>
      </c>
      <c r="J187" s="39" t="n">
        <v>1567.4</v>
      </c>
      <c r="K187" s="39" t="n">
        <v>692.26</v>
      </c>
      <c r="L187" s="39" t="n">
        <v>1055.4</v>
      </c>
      <c r="M187" s="39" t="n">
        <v>1213.6</v>
      </c>
      <c r="N187" s="39" t="n">
        <v>423.32</v>
      </c>
      <c r="O187" s="39" t="n">
        <v>286.55</v>
      </c>
      <c r="P187" s="39" t="n">
        <v>1115.95</v>
      </c>
      <c r="Q187" s="39" t="n">
        <v>340.85</v>
      </c>
      <c r="R187" s="39" t="n">
        <v>905.7</v>
      </c>
      <c r="S187" s="39" t="n">
        <v>281.76</v>
      </c>
    </row>
    <row r="188" customFormat="false" ht="15" hidden="false" customHeight="false" outlineLevel="0" collapsed="false">
      <c r="A188" s="8" t="n">
        <v>45076</v>
      </c>
      <c r="B188" s="39" t="n">
        <v>18633.85</v>
      </c>
      <c r="C188" s="39" t="n">
        <v>15799.45</v>
      </c>
      <c r="D188" s="39" t="n">
        <v>1391.2</v>
      </c>
      <c r="E188" s="39" t="n">
        <v>690.3</v>
      </c>
      <c r="F188" s="39" t="n">
        <v>710</v>
      </c>
      <c r="G188" s="39" t="n">
        <v>379.55</v>
      </c>
      <c r="H188" s="39" t="n">
        <v>483.15</v>
      </c>
      <c r="I188" s="39" t="n">
        <v>256.8</v>
      </c>
      <c r="J188" s="39" t="n">
        <v>1583.5</v>
      </c>
      <c r="K188" s="39" t="n">
        <v>699.63</v>
      </c>
      <c r="L188" s="39" t="n">
        <v>1046.3</v>
      </c>
      <c r="M188" s="39" t="n">
        <v>1202.5</v>
      </c>
      <c r="N188" s="39" t="n">
        <v>422.74</v>
      </c>
      <c r="O188" s="39" t="n">
        <v>286.15</v>
      </c>
      <c r="P188" s="39" t="n">
        <v>1116.4</v>
      </c>
      <c r="Q188" s="39" t="n">
        <v>339.95</v>
      </c>
      <c r="R188" s="39" t="n">
        <v>917.05</v>
      </c>
      <c r="S188" s="39" t="n">
        <v>283.36</v>
      </c>
    </row>
    <row r="189" customFormat="false" ht="15" hidden="false" customHeight="false" outlineLevel="0" collapsed="false">
      <c r="A189" s="8" t="n">
        <v>45077</v>
      </c>
      <c r="B189" s="39" t="n">
        <v>18534.4</v>
      </c>
      <c r="C189" s="39" t="n">
        <v>15766.4</v>
      </c>
      <c r="D189" s="39" t="n">
        <v>1397.85</v>
      </c>
      <c r="E189" s="39" t="n">
        <v>707.2</v>
      </c>
      <c r="F189" s="39" t="n">
        <v>720.9</v>
      </c>
      <c r="G189" s="39" t="n">
        <v>372</v>
      </c>
      <c r="H189" s="39" t="n">
        <v>505.25</v>
      </c>
      <c r="I189" s="39" t="n">
        <v>260.9</v>
      </c>
      <c r="J189" s="39" t="n">
        <v>1894.7</v>
      </c>
      <c r="K189" s="39" t="n">
        <v>698.04</v>
      </c>
      <c r="L189" s="39" t="n">
        <v>1050.9</v>
      </c>
      <c r="M189" s="39" t="n">
        <v>1234.1</v>
      </c>
      <c r="N189" s="39" t="n">
        <v>433.03</v>
      </c>
      <c r="O189" s="39" t="n">
        <v>284.3</v>
      </c>
      <c r="P189" s="39" t="n">
        <v>1115.5</v>
      </c>
      <c r="Q189" s="39" t="n">
        <v>345.75</v>
      </c>
      <c r="R189" s="39" t="n">
        <v>916.95</v>
      </c>
      <c r="S189" s="39" t="n">
        <v>279.95</v>
      </c>
    </row>
    <row r="190" customFormat="false" ht="15" hidden="false" customHeight="false" outlineLevel="0" collapsed="false">
      <c r="A190" s="8" t="n">
        <v>45078</v>
      </c>
      <c r="B190" s="39" t="n">
        <v>18487.75</v>
      </c>
      <c r="C190" s="39" t="n">
        <v>15760.35</v>
      </c>
      <c r="D190" s="39" t="n">
        <v>1390.85</v>
      </c>
      <c r="E190" s="39" t="n">
        <v>728.1</v>
      </c>
      <c r="F190" s="39" t="n">
        <v>729.45</v>
      </c>
      <c r="G190" s="39" t="n">
        <v>377.1</v>
      </c>
      <c r="H190" s="39" t="n">
        <v>536.7</v>
      </c>
      <c r="I190" s="39" t="n">
        <v>266.5</v>
      </c>
      <c r="J190" s="39" t="n">
        <v>1918.75</v>
      </c>
      <c r="K190" s="39" t="n">
        <v>703.09</v>
      </c>
      <c r="L190" s="39" t="n">
        <v>1043.9</v>
      </c>
      <c r="M190" s="39" t="n">
        <v>1250.15</v>
      </c>
      <c r="N190" s="39" t="n">
        <v>430.26</v>
      </c>
      <c r="O190" s="39" t="n">
        <v>294.05</v>
      </c>
      <c r="P190" s="39" t="n">
        <v>1126.05</v>
      </c>
      <c r="Q190" s="39" t="n">
        <v>343.75</v>
      </c>
      <c r="R190" s="39" t="n">
        <v>910.5</v>
      </c>
      <c r="S190" s="39" t="n">
        <v>282.05</v>
      </c>
    </row>
    <row r="191" customFormat="false" ht="15" hidden="false" customHeight="false" outlineLevel="0" collapsed="false">
      <c r="A191" s="8" t="n">
        <v>45079</v>
      </c>
      <c r="B191" s="39" t="n">
        <v>18534.1</v>
      </c>
      <c r="C191" s="39" t="n">
        <v>15811.2</v>
      </c>
      <c r="D191" s="39" t="n">
        <v>1394.05</v>
      </c>
      <c r="E191" s="39" t="n">
        <v>725.9</v>
      </c>
      <c r="F191" s="39" t="n">
        <v>761.95</v>
      </c>
      <c r="G191" s="39" t="n">
        <v>379.2</v>
      </c>
      <c r="H191" s="39" t="n">
        <v>530.4</v>
      </c>
      <c r="I191" s="39" t="n">
        <v>268</v>
      </c>
      <c r="J191" s="39" t="n">
        <v>1929</v>
      </c>
      <c r="K191" s="39" t="n">
        <v>701.44</v>
      </c>
      <c r="L191" s="39" t="n">
        <v>1039.3</v>
      </c>
      <c r="M191" s="39" t="n">
        <v>1224.4</v>
      </c>
      <c r="N191" s="39" t="n">
        <v>457.56</v>
      </c>
      <c r="O191" s="39" t="n">
        <v>298.1</v>
      </c>
      <c r="P191" s="39" t="n">
        <v>1123.6</v>
      </c>
      <c r="Q191" s="39" t="n">
        <v>347.05</v>
      </c>
      <c r="R191" s="39" t="n">
        <v>914.4</v>
      </c>
      <c r="S191" s="39" t="n">
        <v>282.67</v>
      </c>
    </row>
    <row r="192" customFormat="false" ht="15" hidden="false" customHeight="false" outlineLevel="0" collapsed="false">
      <c r="A192" s="8" t="n">
        <v>45082</v>
      </c>
      <c r="B192" s="39" t="n">
        <v>18593.85</v>
      </c>
      <c r="C192" s="39" t="n">
        <v>15859.5</v>
      </c>
      <c r="D192" s="39" t="n">
        <v>1388.35</v>
      </c>
      <c r="E192" s="39" t="n">
        <v>713.85</v>
      </c>
      <c r="F192" s="39" t="n">
        <v>768.25</v>
      </c>
      <c r="G192" s="39" t="n">
        <v>375.8</v>
      </c>
      <c r="H192" s="39" t="n">
        <v>535.45</v>
      </c>
      <c r="I192" s="39" t="n">
        <v>276.25</v>
      </c>
      <c r="J192" s="39" t="n">
        <v>2005</v>
      </c>
      <c r="K192" s="39" t="n">
        <v>703.36</v>
      </c>
      <c r="L192" s="39" t="n">
        <v>1048.55</v>
      </c>
      <c r="M192" s="39" t="n">
        <v>1231.45</v>
      </c>
      <c r="N192" s="39" t="n">
        <v>457.02</v>
      </c>
      <c r="O192" s="39" t="n">
        <v>301</v>
      </c>
      <c r="P192" s="39" t="n">
        <v>1126.9</v>
      </c>
      <c r="Q192" s="39" t="n">
        <v>343.55</v>
      </c>
      <c r="R192" s="39" t="n">
        <v>919.8</v>
      </c>
      <c r="S192" s="39" t="n">
        <v>280.19</v>
      </c>
    </row>
    <row r="193" customFormat="false" ht="15" hidden="false" customHeight="false" outlineLevel="0" collapsed="false">
      <c r="A193" s="8" t="n">
        <v>45083</v>
      </c>
      <c r="B193" s="39" t="n">
        <v>18599</v>
      </c>
      <c r="C193" s="39" t="n">
        <v>15878.4</v>
      </c>
      <c r="D193" s="39" t="n">
        <v>1395.3</v>
      </c>
      <c r="E193" s="39" t="n">
        <v>717.95</v>
      </c>
      <c r="F193" s="39" t="n">
        <v>779.8</v>
      </c>
      <c r="G193" s="39" t="n">
        <v>373.05</v>
      </c>
      <c r="H193" s="39" t="n">
        <v>535.65</v>
      </c>
      <c r="I193" s="39" t="n">
        <v>275.05</v>
      </c>
      <c r="J193" s="39" t="n">
        <v>1966.65</v>
      </c>
      <c r="K193" s="39" t="n">
        <v>710.43</v>
      </c>
      <c r="L193" s="39" t="n">
        <v>1057.25</v>
      </c>
      <c r="M193" s="39" t="n">
        <v>1239.85</v>
      </c>
      <c r="N193" s="39" t="n">
        <v>462.61</v>
      </c>
      <c r="O193" s="39" t="n">
        <v>294.2</v>
      </c>
      <c r="P193" s="39" t="n">
        <v>1126.65</v>
      </c>
      <c r="Q193" s="39" t="n">
        <v>347.25</v>
      </c>
      <c r="R193" s="39" t="n">
        <v>926.05</v>
      </c>
      <c r="S193" s="39" t="n">
        <v>281.78</v>
      </c>
    </row>
    <row r="194" customFormat="false" ht="15" hidden="false" customHeight="false" outlineLevel="0" collapsed="false">
      <c r="A194" s="8" t="n">
        <v>45084</v>
      </c>
      <c r="B194" s="39" t="n">
        <v>18726.4</v>
      </c>
      <c r="C194" s="39" t="n">
        <v>16006.7</v>
      </c>
      <c r="D194" s="39" t="n">
        <v>1389.95</v>
      </c>
      <c r="E194" s="39" t="n">
        <v>749.45</v>
      </c>
      <c r="F194" s="39" t="n">
        <v>796</v>
      </c>
      <c r="G194" s="39" t="n">
        <v>376.75</v>
      </c>
      <c r="H194" s="39" t="n">
        <v>546.75</v>
      </c>
      <c r="I194" s="39" t="n">
        <v>286.7</v>
      </c>
      <c r="J194" s="39" t="n">
        <v>1959.3</v>
      </c>
      <c r="K194" s="39" t="n">
        <v>707.03</v>
      </c>
      <c r="L194" s="39" t="n">
        <v>1073.2</v>
      </c>
      <c r="M194" s="39" t="n">
        <v>1271.8</v>
      </c>
      <c r="N194" s="39" t="n">
        <v>463.34</v>
      </c>
      <c r="O194" s="39" t="n">
        <v>291.65</v>
      </c>
      <c r="P194" s="39" t="n">
        <v>1127.65</v>
      </c>
      <c r="Q194" s="39" t="n">
        <v>349.15</v>
      </c>
      <c r="R194" s="39" t="n">
        <v>927.7</v>
      </c>
      <c r="S194" s="39" t="n">
        <v>281.67</v>
      </c>
    </row>
    <row r="195" customFormat="false" ht="15" hidden="false" customHeight="false" outlineLevel="0" collapsed="false">
      <c r="A195" s="8" t="n">
        <v>45085</v>
      </c>
      <c r="B195" s="39" t="n">
        <v>18634.55</v>
      </c>
      <c r="C195" s="39" t="n">
        <v>15921.05</v>
      </c>
      <c r="D195" s="39" t="n">
        <v>1379.2</v>
      </c>
      <c r="E195" s="39" t="n">
        <v>741.25</v>
      </c>
      <c r="F195" s="39" t="n">
        <v>804.7</v>
      </c>
      <c r="G195" s="39" t="n">
        <v>372</v>
      </c>
      <c r="H195" s="39" t="n">
        <v>545</v>
      </c>
      <c r="I195" s="39" t="n">
        <v>287.25</v>
      </c>
      <c r="J195" s="39" t="n">
        <v>1860.3</v>
      </c>
      <c r="K195" s="39" t="n">
        <v>700.06</v>
      </c>
      <c r="L195" s="39" t="n">
        <v>1061.6</v>
      </c>
      <c r="M195" s="39" t="n">
        <v>1233.85</v>
      </c>
      <c r="N195" s="39" t="n">
        <v>469.26</v>
      </c>
      <c r="O195" s="39" t="n">
        <v>284.95</v>
      </c>
      <c r="P195" s="39" t="n">
        <v>1125.1</v>
      </c>
      <c r="Q195" s="39" t="n">
        <v>353</v>
      </c>
      <c r="R195" s="39" t="n">
        <v>915.15</v>
      </c>
      <c r="S195" s="39" t="n">
        <v>282.19</v>
      </c>
    </row>
    <row r="196" customFormat="false" ht="15" hidden="false" customHeight="false" outlineLevel="0" collapsed="false">
      <c r="A196" s="8" t="n">
        <v>45086</v>
      </c>
      <c r="B196" s="39" t="n">
        <v>18563.4</v>
      </c>
      <c r="C196" s="39" t="n">
        <v>15877.4</v>
      </c>
      <c r="D196" s="39" t="n">
        <v>1354</v>
      </c>
      <c r="E196" s="39" t="n">
        <v>741.8</v>
      </c>
      <c r="F196" s="39" t="n">
        <v>815.9</v>
      </c>
      <c r="G196" s="39" t="n">
        <v>364</v>
      </c>
      <c r="H196" s="39" t="n">
        <v>535.05</v>
      </c>
      <c r="I196" s="39" t="n">
        <v>288.85</v>
      </c>
      <c r="J196" s="39" t="n">
        <v>1834.85</v>
      </c>
      <c r="K196" s="39" t="n">
        <v>702.76</v>
      </c>
      <c r="L196" s="39" t="n">
        <v>1065.7</v>
      </c>
      <c r="M196" s="39" t="n">
        <v>1234.9</v>
      </c>
      <c r="N196" s="39" t="n">
        <v>476.84</v>
      </c>
      <c r="O196" s="39" t="n">
        <v>283.4</v>
      </c>
      <c r="P196" s="39" t="n">
        <v>1116.8</v>
      </c>
      <c r="Q196" s="39" t="n">
        <v>345.35</v>
      </c>
      <c r="R196" s="39" t="n">
        <v>925.8</v>
      </c>
      <c r="S196" s="39" t="n">
        <v>283.44</v>
      </c>
    </row>
    <row r="197" customFormat="false" ht="15" hidden="false" customHeight="false" outlineLevel="0" collapsed="false">
      <c r="A197" s="8" t="n">
        <v>45089</v>
      </c>
      <c r="B197" s="39" t="n">
        <v>18601.5</v>
      </c>
      <c r="C197" s="39" t="n">
        <v>15929.1</v>
      </c>
      <c r="D197" s="39" t="n">
        <v>1336.95</v>
      </c>
      <c r="E197" s="39" t="n">
        <v>744.3</v>
      </c>
      <c r="F197" s="39" t="n">
        <v>801.95</v>
      </c>
      <c r="G197" s="39" t="n">
        <v>370.3</v>
      </c>
      <c r="H197" s="39" t="n">
        <v>559.15</v>
      </c>
      <c r="I197" s="39" t="n">
        <v>305.2</v>
      </c>
      <c r="J197" s="39" t="n">
        <v>1970.05</v>
      </c>
      <c r="K197" s="39" t="n">
        <v>708.81</v>
      </c>
      <c r="L197" s="39" t="n">
        <v>1073.1</v>
      </c>
      <c r="M197" s="39" t="n">
        <v>1249.35</v>
      </c>
      <c r="N197" s="39" t="n">
        <v>472.18</v>
      </c>
      <c r="O197" s="39" t="n">
        <v>290.1</v>
      </c>
      <c r="P197" s="39" t="n">
        <v>1133.1</v>
      </c>
      <c r="Q197" s="39" t="n">
        <v>342.65</v>
      </c>
      <c r="R197" s="39" t="n">
        <v>924.5</v>
      </c>
      <c r="S197" s="39" t="n">
        <v>290.47</v>
      </c>
    </row>
    <row r="198" customFormat="false" ht="15" hidden="false" customHeight="false" outlineLevel="0" collapsed="false">
      <c r="A198" s="8" t="n">
        <v>45090</v>
      </c>
      <c r="B198" s="39" t="n">
        <v>18716.15</v>
      </c>
      <c r="C198" s="39" t="n">
        <v>16048.2</v>
      </c>
      <c r="D198" s="39" t="n">
        <v>1349.9</v>
      </c>
      <c r="E198" s="39" t="n">
        <v>746.3</v>
      </c>
      <c r="F198" s="39" t="n">
        <v>811.35</v>
      </c>
      <c r="G198" s="39" t="n">
        <v>373.45</v>
      </c>
      <c r="H198" s="39" t="n">
        <v>575.6</v>
      </c>
      <c r="I198" s="39" t="n">
        <v>305.9</v>
      </c>
      <c r="J198" s="39" t="n">
        <v>1955.8</v>
      </c>
      <c r="K198" s="39" t="n">
        <v>715.7</v>
      </c>
      <c r="L198" s="39" t="n">
        <v>1101.8</v>
      </c>
      <c r="M198" s="39" t="n">
        <v>1237.8</v>
      </c>
      <c r="N198" s="39" t="n">
        <v>487.28</v>
      </c>
      <c r="O198" s="39" t="n">
        <v>297.2</v>
      </c>
      <c r="P198" s="39" t="n">
        <v>1156.4</v>
      </c>
      <c r="Q198" s="39" t="n">
        <v>347.7</v>
      </c>
      <c r="R198" s="39" t="n">
        <v>926.25</v>
      </c>
      <c r="S198" s="39" t="n">
        <v>288.68</v>
      </c>
    </row>
    <row r="199" customFormat="false" ht="15" hidden="false" customHeight="false" outlineLevel="0" collapsed="false">
      <c r="A199" s="8" t="n">
        <v>45091</v>
      </c>
      <c r="B199" s="39" t="n">
        <v>18755.9</v>
      </c>
      <c r="C199" s="39" t="n">
        <v>16084.05</v>
      </c>
      <c r="D199" s="39" t="n">
        <v>1350.4</v>
      </c>
      <c r="E199" s="39" t="n">
        <v>748.85</v>
      </c>
      <c r="F199" s="39" t="n">
        <v>807.15</v>
      </c>
      <c r="G199" s="39" t="n">
        <v>372.85</v>
      </c>
      <c r="H199" s="39" t="n">
        <v>569.35</v>
      </c>
      <c r="I199" s="39" t="n">
        <v>298.3</v>
      </c>
      <c r="J199" s="39" t="n">
        <v>1945.7</v>
      </c>
      <c r="K199" s="39" t="n">
        <v>708.72</v>
      </c>
      <c r="L199" s="39" t="n">
        <v>1099.3</v>
      </c>
      <c r="M199" s="39" t="n">
        <v>1217.85</v>
      </c>
      <c r="N199" s="39" t="n">
        <v>481.8</v>
      </c>
      <c r="O199" s="39" t="n">
        <v>295</v>
      </c>
      <c r="P199" s="39" t="n">
        <v>1153.85</v>
      </c>
      <c r="Q199" s="39" t="n">
        <v>345.65</v>
      </c>
      <c r="R199" s="39" t="n">
        <v>921.55</v>
      </c>
      <c r="S199" s="39" t="n">
        <v>281.56</v>
      </c>
    </row>
    <row r="200" customFormat="false" ht="15" hidden="false" customHeight="false" outlineLevel="0" collapsed="false">
      <c r="A200" s="8" t="n">
        <v>45092</v>
      </c>
      <c r="B200" s="39" t="n">
        <v>18688.1</v>
      </c>
      <c r="C200" s="39" t="n">
        <v>16058.25</v>
      </c>
      <c r="D200" s="39" t="n">
        <v>1340.5</v>
      </c>
      <c r="E200" s="39" t="n">
        <v>733.1</v>
      </c>
      <c r="F200" s="39" t="n">
        <v>824.55</v>
      </c>
      <c r="G200" s="39" t="n">
        <v>376.45</v>
      </c>
      <c r="H200" s="39" t="n">
        <v>561.2</v>
      </c>
      <c r="I200" s="39" t="n">
        <v>293.05</v>
      </c>
      <c r="J200" s="39" t="n">
        <v>1920.9</v>
      </c>
      <c r="K200" s="39" t="n">
        <v>711.69</v>
      </c>
      <c r="L200" s="39" t="n">
        <v>1112.9</v>
      </c>
      <c r="M200" s="39" t="n">
        <v>1189.45</v>
      </c>
      <c r="N200" s="39" t="n">
        <v>484.47</v>
      </c>
      <c r="O200" s="39" t="n">
        <v>294.1</v>
      </c>
      <c r="P200" s="39" t="n">
        <v>1155.85</v>
      </c>
      <c r="Q200" s="39" t="n">
        <v>339.55</v>
      </c>
      <c r="R200" s="39" t="n">
        <v>912.7</v>
      </c>
      <c r="S200" s="39" t="n">
        <v>282.84</v>
      </c>
    </row>
    <row r="201" customFormat="false" ht="15" hidden="false" customHeight="false" outlineLevel="0" collapsed="false">
      <c r="A201" s="8" t="n">
        <v>45093</v>
      </c>
      <c r="B201" s="39" t="n">
        <v>18826</v>
      </c>
      <c r="C201" s="39" t="n">
        <v>16181.45</v>
      </c>
      <c r="D201" s="39" t="n">
        <v>1353.75</v>
      </c>
      <c r="E201" s="39" t="n">
        <v>749.65</v>
      </c>
      <c r="F201" s="39" t="n">
        <v>828.25</v>
      </c>
      <c r="G201" s="39" t="n">
        <v>386.4</v>
      </c>
      <c r="H201" s="39" t="n">
        <v>569.9</v>
      </c>
      <c r="I201" s="39" t="n">
        <v>292.25</v>
      </c>
      <c r="J201" s="39" t="n">
        <v>1910.1</v>
      </c>
      <c r="K201" s="39" t="n">
        <v>719.34</v>
      </c>
      <c r="L201" s="39" t="n">
        <v>1126.65</v>
      </c>
      <c r="M201" s="39" t="n">
        <v>1177.3</v>
      </c>
      <c r="N201" s="39" t="n">
        <v>497.97</v>
      </c>
      <c r="O201" s="39" t="n">
        <v>305</v>
      </c>
      <c r="P201" s="39" t="n">
        <v>1167.85</v>
      </c>
      <c r="Q201" s="39" t="n">
        <v>345</v>
      </c>
      <c r="R201" s="39" t="n">
        <v>912.9</v>
      </c>
      <c r="S201" s="39" t="n">
        <v>280.3</v>
      </c>
    </row>
    <row r="202" customFormat="false" ht="15" hidden="false" customHeight="false" outlineLevel="0" collapsed="false">
      <c r="A202" s="8" t="n">
        <v>45096</v>
      </c>
      <c r="B202" s="39" t="n">
        <v>18755.45</v>
      </c>
      <c r="C202" s="39" t="n">
        <v>16142.15</v>
      </c>
      <c r="D202" s="39" t="n">
        <v>1371.7</v>
      </c>
      <c r="E202" s="39" t="n">
        <v>745.2</v>
      </c>
      <c r="F202" s="39" t="n">
        <v>828.55</v>
      </c>
      <c r="G202" s="39" t="n">
        <v>384.55</v>
      </c>
      <c r="H202" s="39" t="n">
        <v>570.4</v>
      </c>
      <c r="I202" s="39" t="n">
        <v>286.4</v>
      </c>
      <c r="J202" s="39" t="n">
        <v>1915.8</v>
      </c>
      <c r="K202" s="39" t="n">
        <v>737.62</v>
      </c>
      <c r="L202" s="39" t="n">
        <v>1132.25</v>
      </c>
      <c r="M202" s="39" t="n">
        <v>1272.65</v>
      </c>
      <c r="N202" s="39" t="n">
        <v>500.59</v>
      </c>
      <c r="O202" s="39" t="n">
        <v>316.25</v>
      </c>
      <c r="P202" s="39" t="n">
        <v>1180.5</v>
      </c>
      <c r="Q202" s="39" t="n">
        <v>341.05</v>
      </c>
      <c r="R202" s="39" t="n">
        <v>905.45</v>
      </c>
      <c r="S202" s="39" t="n">
        <v>293.97</v>
      </c>
    </row>
    <row r="203" customFormat="false" ht="15" hidden="false" customHeight="false" outlineLevel="0" collapsed="false">
      <c r="A203" s="8" t="n">
        <v>45097</v>
      </c>
      <c r="B203" s="39" t="n">
        <v>18816.7</v>
      </c>
      <c r="C203" s="39" t="n">
        <v>16199.95</v>
      </c>
      <c r="D203" s="39" t="n">
        <v>1364.2</v>
      </c>
      <c r="E203" s="39" t="n">
        <v>751.2</v>
      </c>
      <c r="F203" s="39" t="n">
        <v>810.9</v>
      </c>
      <c r="G203" s="39" t="n">
        <v>390.55</v>
      </c>
      <c r="H203" s="39" t="n">
        <v>588.85</v>
      </c>
      <c r="I203" s="39" t="n">
        <v>297.95</v>
      </c>
      <c r="J203" s="39" t="n">
        <v>1948.5</v>
      </c>
      <c r="K203" s="39" t="n">
        <v>723.89</v>
      </c>
      <c r="L203" s="39" t="n">
        <v>1121.9</v>
      </c>
      <c r="M203" s="39" t="n">
        <v>1290.5</v>
      </c>
      <c r="N203" s="39" t="n">
        <v>478.93</v>
      </c>
      <c r="O203" s="39" t="n">
        <v>320.3</v>
      </c>
      <c r="P203" s="39" t="n">
        <v>1191.25</v>
      </c>
      <c r="Q203" s="39" t="n">
        <v>341.15</v>
      </c>
      <c r="R203" s="39" t="n">
        <v>893.8</v>
      </c>
      <c r="S203" s="39" t="n">
        <v>311.93</v>
      </c>
    </row>
    <row r="204" customFormat="false" ht="15" hidden="false" customHeight="false" outlineLevel="0" collapsed="false">
      <c r="A204" s="8" t="n">
        <v>45098</v>
      </c>
      <c r="B204" s="39" t="n">
        <v>18856.85</v>
      </c>
      <c r="C204" s="39" t="n">
        <v>16240.95</v>
      </c>
      <c r="D204" s="39" t="n">
        <v>1383.3</v>
      </c>
      <c r="E204" s="39" t="n">
        <v>744.2</v>
      </c>
      <c r="F204" s="39" t="n">
        <v>766.05</v>
      </c>
      <c r="G204" s="39" t="n">
        <v>405.7</v>
      </c>
      <c r="H204" s="39" t="n">
        <v>602.3</v>
      </c>
      <c r="I204" s="39" t="n">
        <v>313.3</v>
      </c>
      <c r="J204" s="39" t="n">
        <v>1953.95</v>
      </c>
      <c r="K204" s="39" t="n">
        <v>719.64</v>
      </c>
      <c r="L204" s="39" t="n">
        <v>1134.35</v>
      </c>
      <c r="M204" s="39" t="n">
        <v>1314.35</v>
      </c>
      <c r="N204" s="39" t="n">
        <v>472.76</v>
      </c>
      <c r="O204" s="39" t="n">
        <v>325.85</v>
      </c>
      <c r="P204" s="39" t="n">
        <v>1231.1</v>
      </c>
      <c r="Q204" s="39" t="n">
        <v>349.9</v>
      </c>
      <c r="R204" s="39" t="n">
        <v>885.8</v>
      </c>
      <c r="S204" s="39" t="n">
        <v>346.87</v>
      </c>
    </row>
    <row r="205" customFormat="false" ht="15" hidden="false" customHeight="false" outlineLevel="0" collapsed="false">
      <c r="A205" s="8" t="n">
        <v>45099</v>
      </c>
      <c r="B205" s="39" t="n">
        <v>18771.25</v>
      </c>
      <c r="C205" s="39" t="n">
        <v>16140.8</v>
      </c>
      <c r="D205" s="39" t="n">
        <v>1376.6</v>
      </c>
      <c r="E205" s="39" t="n">
        <v>733.25</v>
      </c>
      <c r="F205" s="39" t="n">
        <v>752.55</v>
      </c>
      <c r="G205" s="39" t="n">
        <v>402.55</v>
      </c>
      <c r="H205" s="39" t="n">
        <v>611.1</v>
      </c>
      <c r="I205" s="39" t="n">
        <v>313.3</v>
      </c>
      <c r="J205" s="39" t="n">
        <v>1977.2</v>
      </c>
      <c r="K205" s="39" t="n">
        <v>702.04</v>
      </c>
      <c r="L205" s="39" t="n">
        <v>1100.2</v>
      </c>
      <c r="M205" s="39" t="n">
        <v>1335.4</v>
      </c>
      <c r="N205" s="39" t="n">
        <v>464.41</v>
      </c>
      <c r="O205" s="39" t="n">
        <v>312.85</v>
      </c>
      <c r="P205" s="39" t="n">
        <v>1209.9</v>
      </c>
      <c r="Q205" s="39" t="n">
        <v>347.85</v>
      </c>
      <c r="R205" s="39" t="n">
        <v>880.3</v>
      </c>
      <c r="S205" s="39" t="n">
        <v>343.75</v>
      </c>
    </row>
    <row r="206" customFormat="false" ht="15" hidden="false" customHeight="false" outlineLevel="0" collapsed="false">
      <c r="A206" s="8" t="n">
        <v>45100</v>
      </c>
      <c r="B206" s="39" t="n">
        <v>18665.5</v>
      </c>
      <c r="C206" s="39" t="n">
        <v>16011.8</v>
      </c>
      <c r="D206" s="39" t="n">
        <v>1394.05</v>
      </c>
      <c r="E206" s="39" t="n">
        <v>736.6</v>
      </c>
      <c r="F206" s="39" t="n">
        <v>755.35</v>
      </c>
      <c r="G206" s="39" t="n">
        <v>389.65</v>
      </c>
      <c r="H206" s="39" t="n">
        <v>588.85</v>
      </c>
      <c r="I206" s="39" t="n">
        <v>302.7</v>
      </c>
      <c r="J206" s="39" t="n">
        <v>1973.4</v>
      </c>
      <c r="K206" s="39" t="n">
        <v>698.02</v>
      </c>
      <c r="L206" s="39" t="n">
        <v>1090.15</v>
      </c>
      <c r="M206" s="39" t="n">
        <v>1383.7</v>
      </c>
      <c r="N206" s="39" t="n">
        <v>460.38</v>
      </c>
      <c r="O206" s="39" t="n">
        <v>305.7</v>
      </c>
      <c r="P206" s="39" t="n">
        <v>1221.85</v>
      </c>
      <c r="Q206" s="39" t="n">
        <v>340.9</v>
      </c>
      <c r="R206" s="39" t="n">
        <v>857.1</v>
      </c>
      <c r="S206" s="39" t="n">
        <v>335.33</v>
      </c>
    </row>
    <row r="207" customFormat="false" ht="15" hidden="false" customHeight="false" outlineLevel="0" collapsed="false">
      <c r="A207" s="8" t="n">
        <v>45103</v>
      </c>
      <c r="B207" s="39" t="n">
        <v>18691.2</v>
      </c>
      <c r="C207" s="39" t="n">
        <v>16066.15</v>
      </c>
      <c r="D207" s="39" t="n">
        <v>1463.2</v>
      </c>
      <c r="E207" s="39" t="n">
        <v>742.4</v>
      </c>
      <c r="F207" s="39" t="n">
        <v>754.75</v>
      </c>
      <c r="G207" s="39" t="n">
        <v>391.75</v>
      </c>
      <c r="H207" s="39" t="n">
        <v>601.75</v>
      </c>
      <c r="I207" s="39" t="n">
        <v>300.85</v>
      </c>
      <c r="J207" s="39" t="n">
        <v>2073.45</v>
      </c>
      <c r="K207" s="39" t="n">
        <v>698.92</v>
      </c>
      <c r="L207" s="39" t="n">
        <v>1077.6</v>
      </c>
      <c r="M207" s="39" t="n">
        <v>1327.1</v>
      </c>
      <c r="N207" s="39" t="n">
        <v>470.24</v>
      </c>
      <c r="O207" s="39" t="n">
        <v>308.75</v>
      </c>
      <c r="P207" s="39" t="n">
        <v>1237.75</v>
      </c>
      <c r="Q207" s="39" t="n">
        <v>337.2</v>
      </c>
      <c r="R207" s="39" t="n">
        <v>844.85</v>
      </c>
      <c r="S207" s="39" t="n">
        <v>340.67</v>
      </c>
    </row>
    <row r="208" customFormat="false" ht="15" hidden="false" customHeight="false" outlineLevel="0" collapsed="false">
      <c r="A208" s="8" t="n">
        <v>45104</v>
      </c>
      <c r="B208" s="39" t="n">
        <v>18817.4</v>
      </c>
      <c r="C208" s="39" t="n">
        <v>16163.5</v>
      </c>
      <c r="D208" s="39" t="n">
        <v>1508.75</v>
      </c>
      <c r="E208" s="39" t="n">
        <v>780.1</v>
      </c>
      <c r="F208" s="39" t="n">
        <v>768.35</v>
      </c>
      <c r="G208" s="39" t="n">
        <v>394.9</v>
      </c>
      <c r="H208" s="39" t="n">
        <v>594.2</v>
      </c>
      <c r="I208" s="39" t="n">
        <v>300.05</v>
      </c>
      <c r="J208" s="39" t="n">
        <v>2176.05</v>
      </c>
      <c r="K208" s="39" t="n">
        <v>700.97</v>
      </c>
      <c r="L208" s="39" t="n">
        <v>1093.85</v>
      </c>
      <c r="M208" s="39" t="n">
        <v>1353.9</v>
      </c>
      <c r="N208" s="39" t="n">
        <v>482.28</v>
      </c>
      <c r="O208" s="39" t="n">
        <v>317.35</v>
      </c>
      <c r="P208" s="39" t="n">
        <v>1238.1</v>
      </c>
      <c r="Q208" s="39" t="n">
        <v>341.3</v>
      </c>
      <c r="R208" s="39" t="n">
        <v>860.9</v>
      </c>
      <c r="S208" s="39" t="n">
        <v>339.23</v>
      </c>
    </row>
    <row r="209" customFormat="false" ht="15" hidden="false" customHeight="false" outlineLevel="0" collapsed="false">
      <c r="A209" s="8" t="n">
        <v>45105</v>
      </c>
      <c r="B209" s="39" t="n">
        <v>18972.1</v>
      </c>
      <c r="C209" s="39" t="n">
        <v>16277.2</v>
      </c>
      <c r="D209" s="39" t="n">
        <v>1532.9</v>
      </c>
      <c r="E209" s="39" t="n">
        <v>782.1</v>
      </c>
      <c r="F209" s="39" t="n">
        <v>784.75</v>
      </c>
      <c r="G209" s="39" t="n">
        <v>392.95</v>
      </c>
      <c r="H209" s="39" t="n">
        <v>590.75</v>
      </c>
      <c r="I209" s="39" t="n">
        <v>309.15</v>
      </c>
      <c r="J209" s="39" t="n">
        <v>2215.65</v>
      </c>
      <c r="K209" s="39" t="n">
        <v>708.06</v>
      </c>
      <c r="L209" s="39" t="n">
        <v>1127.5</v>
      </c>
      <c r="M209" s="39" t="n">
        <v>1325.7</v>
      </c>
      <c r="N209" s="39" t="n">
        <v>487.14</v>
      </c>
      <c r="O209" s="39" t="n">
        <v>326.45</v>
      </c>
      <c r="P209" s="39" t="n">
        <v>1247.5</v>
      </c>
      <c r="Q209" s="39" t="n">
        <v>344.9</v>
      </c>
      <c r="R209" s="39" t="n">
        <v>856.65</v>
      </c>
      <c r="S209" s="39" t="n">
        <v>340.2</v>
      </c>
    </row>
    <row r="210" customFormat="false" ht="15" hidden="false" customHeight="false" outlineLevel="0" collapsed="false">
      <c r="A210" s="8" t="n">
        <v>45107</v>
      </c>
      <c r="B210" s="39" t="n">
        <v>19189.05</v>
      </c>
      <c r="C210" s="39" t="n">
        <v>16430</v>
      </c>
      <c r="D210" s="39" t="n">
        <v>1536.95</v>
      </c>
      <c r="E210" s="39" t="n">
        <v>777.35</v>
      </c>
      <c r="F210" s="39" t="n">
        <v>784</v>
      </c>
      <c r="G210" s="39" t="n">
        <v>392.2</v>
      </c>
      <c r="H210" s="39" t="n">
        <v>567.4</v>
      </c>
      <c r="I210" s="39" t="n">
        <v>312.15</v>
      </c>
      <c r="J210" s="39" t="n">
        <v>2224.35</v>
      </c>
      <c r="K210" s="39" t="n">
        <v>715.09</v>
      </c>
      <c r="L210" s="39" t="n">
        <v>1142</v>
      </c>
      <c r="M210" s="39" t="n">
        <v>1247.65</v>
      </c>
      <c r="N210" s="39" t="n">
        <v>491.17</v>
      </c>
      <c r="O210" s="39" t="n">
        <v>336.45</v>
      </c>
      <c r="P210" s="39" t="n">
        <v>1239.65</v>
      </c>
      <c r="Q210" s="39" t="n">
        <v>340.9</v>
      </c>
      <c r="R210" s="39" t="n">
        <v>847.2</v>
      </c>
      <c r="S210" s="39" t="n">
        <v>347.04</v>
      </c>
    </row>
    <row r="211" customFormat="false" ht="15" hidden="false" customHeight="false" outlineLevel="0" collapsed="false">
      <c r="A211" s="8" t="n">
        <v>45110</v>
      </c>
      <c r="B211" s="39" t="n">
        <v>19322.55</v>
      </c>
      <c r="C211" s="39" t="n">
        <v>16527.95</v>
      </c>
      <c r="D211" s="39" t="n">
        <v>1536</v>
      </c>
      <c r="E211" s="39" t="n">
        <v>778.45</v>
      </c>
      <c r="F211" s="39" t="n">
        <v>790.8</v>
      </c>
      <c r="G211" s="39" t="n">
        <v>396.5</v>
      </c>
      <c r="H211" s="39" t="n">
        <v>565.25</v>
      </c>
      <c r="I211" s="39" t="n">
        <v>308.7</v>
      </c>
      <c r="J211" s="39" t="n">
        <v>2217.55</v>
      </c>
      <c r="K211" s="39" t="n">
        <v>732.3</v>
      </c>
      <c r="L211" s="39" t="n">
        <v>1169.15</v>
      </c>
      <c r="M211" s="39" t="n">
        <v>1262.85</v>
      </c>
      <c r="N211" s="39" t="n">
        <v>485.1</v>
      </c>
      <c r="O211" s="39" t="n">
        <v>343.75</v>
      </c>
      <c r="P211" s="39" t="n">
        <v>1248.2</v>
      </c>
      <c r="Q211" s="39" t="n">
        <v>342.7</v>
      </c>
      <c r="R211" s="39" t="n">
        <v>842.55</v>
      </c>
      <c r="S211" s="39" t="n">
        <v>351.59</v>
      </c>
    </row>
    <row r="212" customFormat="false" ht="15" hidden="false" customHeight="false" outlineLevel="0" collapsed="false">
      <c r="A212" s="8" t="n">
        <v>45111</v>
      </c>
      <c r="B212" s="39" t="n">
        <v>19389</v>
      </c>
      <c r="C212" s="39" t="n">
        <v>16556.05</v>
      </c>
      <c r="D212" s="39" t="n">
        <v>1531.75</v>
      </c>
      <c r="E212" s="39" t="n">
        <v>797.9</v>
      </c>
      <c r="F212" s="39" t="n">
        <v>809.95</v>
      </c>
      <c r="G212" s="39" t="n">
        <v>390.2</v>
      </c>
      <c r="H212" s="39" t="n">
        <v>567.05</v>
      </c>
      <c r="I212" s="39" t="n">
        <v>306.5</v>
      </c>
      <c r="J212" s="39" t="n">
        <v>2181.6</v>
      </c>
      <c r="K212" s="39" t="n">
        <v>784.98</v>
      </c>
      <c r="L212" s="39" t="n">
        <v>1187.25</v>
      </c>
      <c r="M212" s="39" t="n">
        <v>1251.4</v>
      </c>
      <c r="N212" s="39" t="n">
        <v>490.25</v>
      </c>
      <c r="O212" s="39" t="n">
        <v>343</v>
      </c>
      <c r="P212" s="39" t="n">
        <v>1242.15</v>
      </c>
      <c r="Q212" s="39" t="n">
        <v>358.75</v>
      </c>
      <c r="R212" s="39" t="n">
        <v>838.9</v>
      </c>
      <c r="S212" s="39" t="n">
        <v>355.54</v>
      </c>
    </row>
    <row r="213" customFormat="false" ht="15" hidden="false" customHeight="false" outlineLevel="0" collapsed="false">
      <c r="A213" s="8" t="n">
        <v>45112</v>
      </c>
      <c r="B213" s="39" t="n">
        <v>19398.5</v>
      </c>
      <c r="C213" s="39" t="n">
        <v>16597.2</v>
      </c>
      <c r="D213" s="39" t="n">
        <v>1540.3</v>
      </c>
      <c r="E213" s="39" t="n">
        <v>768.9</v>
      </c>
      <c r="F213" s="39" t="n">
        <v>794.5</v>
      </c>
      <c r="G213" s="39" t="n">
        <v>393.75</v>
      </c>
      <c r="H213" s="39" t="n">
        <v>561.8</v>
      </c>
      <c r="I213" s="39" t="n">
        <v>329.45</v>
      </c>
      <c r="J213" s="39" t="n">
        <v>2210.6</v>
      </c>
      <c r="K213" s="39" t="n">
        <v>782.81</v>
      </c>
      <c r="L213" s="39" t="n">
        <v>1186.45</v>
      </c>
      <c r="M213" s="39" t="n">
        <v>1249.95</v>
      </c>
      <c r="N213" s="39" t="n">
        <v>493.45</v>
      </c>
      <c r="O213" s="39" t="n">
        <v>343.2</v>
      </c>
      <c r="P213" s="39" t="n">
        <v>1260.1</v>
      </c>
      <c r="Q213" s="39" t="n">
        <v>368.4</v>
      </c>
      <c r="R213" s="39" t="n">
        <v>836.45</v>
      </c>
      <c r="S213" s="39" t="n">
        <v>360.45</v>
      </c>
    </row>
    <row r="214" customFormat="false" ht="15" hidden="false" customHeight="false" outlineLevel="0" collapsed="false">
      <c r="A214" s="8" t="n">
        <v>45113</v>
      </c>
      <c r="B214" s="39" t="n">
        <v>19497.3</v>
      </c>
      <c r="C214" s="39" t="n">
        <v>16695.05</v>
      </c>
      <c r="D214" s="39" t="n">
        <v>1537.65</v>
      </c>
      <c r="E214" s="39" t="n">
        <v>768.6</v>
      </c>
      <c r="F214" s="39" t="n">
        <v>787.2</v>
      </c>
      <c r="G214" s="39" t="n">
        <v>398.25</v>
      </c>
      <c r="H214" s="39" t="n">
        <v>579.85</v>
      </c>
      <c r="I214" s="39" t="n">
        <v>323.85</v>
      </c>
      <c r="J214" s="39" t="n">
        <v>2234.75</v>
      </c>
      <c r="K214" s="39" t="n">
        <v>775.57</v>
      </c>
      <c r="L214" s="39" t="n">
        <v>1165.5</v>
      </c>
      <c r="M214" s="39" t="n">
        <v>1279.75</v>
      </c>
      <c r="N214" s="39" t="n">
        <v>497.58</v>
      </c>
      <c r="O214" s="39" t="n">
        <v>340.95</v>
      </c>
      <c r="P214" s="39" t="n">
        <v>1260.4</v>
      </c>
      <c r="Q214" s="39" t="n">
        <v>362</v>
      </c>
      <c r="R214" s="39" t="n">
        <v>840.8</v>
      </c>
      <c r="S214" s="39" t="n">
        <v>354.27</v>
      </c>
    </row>
    <row r="215" customFormat="false" ht="15" hidden="false" customHeight="false" outlineLevel="0" collapsed="false">
      <c r="A215" s="8" t="n">
        <v>45114</v>
      </c>
      <c r="B215" s="39" t="n">
        <v>19331.8</v>
      </c>
      <c r="C215" s="39" t="n">
        <v>16564.9</v>
      </c>
      <c r="D215" s="39" t="n">
        <v>1563.9</v>
      </c>
      <c r="E215" s="39" t="n">
        <v>774.05</v>
      </c>
      <c r="F215" s="39" t="n">
        <v>783.5</v>
      </c>
      <c r="G215" s="39" t="n">
        <v>389.85</v>
      </c>
      <c r="H215" s="39" t="n">
        <v>583.15</v>
      </c>
      <c r="I215" s="39" t="n">
        <v>315.75</v>
      </c>
      <c r="J215" s="39" t="n">
        <v>2256.25</v>
      </c>
      <c r="K215" s="39" t="n">
        <v>761.2</v>
      </c>
      <c r="L215" s="39" t="n">
        <v>1176.75</v>
      </c>
      <c r="M215" s="39" t="n">
        <v>1281.85</v>
      </c>
      <c r="N215" s="39" t="n">
        <v>495.3</v>
      </c>
      <c r="O215" s="39" t="n">
        <v>328.8</v>
      </c>
      <c r="P215" s="39" t="n">
        <v>1268.25</v>
      </c>
      <c r="Q215" s="39" t="n">
        <v>361.75</v>
      </c>
      <c r="R215" s="39" t="n">
        <v>836.7</v>
      </c>
      <c r="S215" s="39" t="n">
        <v>343.72</v>
      </c>
    </row>
    <row r="216" customFormat="false" ht="15" hidden="false" customHeight="false" outlineLevel="0" collapsed="false">
      <c r="A216" s="8" t="n">
        <v>45117</v>
      </c>
      <c r="B216" s="39" t="n">
        <v>19355.9</v>
      </c>
      <c r="C216" s="39" t="n">
        <v>16553.75</v>
      </c>
      <c r="D216" s="39" t="n">
        <v>1545.5</v>
      </c>
      <c r="E216" s="39" t="n">
        <v>778.4</v>
      </c>
      <c r="F216" s="39" t="n">
        <v>788.55</v>
      </c>
      <c r="G216" s="39" t="n">
        <v>389.9</v>
      </c>
      <c r="H216" s="39" t="n">
        <v>601</v>
      </c>
      <c r="I216" s="39" t="n">
        <v>313.65</v>
      </c>
      <c r="J216" s="39" t="n">
        <v>2227.85</v>
      </c>
      <c r="K216" s="39" t="n">
        <v>752.3</v>
      </c>
      <c r="L216" s="39" t="n">
        <v>1151.35</v>
      </c>
      <c r="M216" s="39" t="n">
        <v>1269.25</v>
      </c>
      <c r="N216" s="39" t="n">
        <v>524.58</v>
      </c>
      <c r="O216" s="39" t="n">
        <v>328.5</v>
      </c>
      <c r="P216" s="39" t="n">
        <v>1255.35</v>
      </c>
      <c r="Q216" s="39" t="n">
        <v>362.9</v>
      </c>
      <c r="R216" s="39" t="n">
        <v>835.85</v>
      </c>
      <c r="S216" s="39" t="n">
        <v>344.64</v>
      </c>
    </row>
    <row r="217" customFormat="false" ht="15" hidden="false" customHeight="false" outlineLevel="0" collapsed="false">
      <c r="A217" s="8" t="n">
        <v>45118</v>
      </c>
      <c r="B217" s="39" t="n">
        <v>19439.4</v>
      </c>
      <c r="C217" s="39" t="n">
        <v>16648</v>
      </c>
      <c r="D217" s="39" t="n">
        <v>1552.8</v>
      </c>
      <c r="E217" s="39" t="n">
        <v>782.9</v>
      </c>
      <c r="F217" s="39" t="n">
        <v>794.2</v>
      </c>
      <c r="G217" s="39" t="n">
        <v>392.85</v>
      </c>
      <c r="H217" s="39" t="n">
        <v>606.2</v>
      </c>
      <c r="I217" s="39" t="n">
        <v>315.85</v>
      </c>
      <c r="J217" s="39" t="n">
        <v>2242.5</v>
      </c>
      <c r="K217" s="39" t="n">
        <v>743.39</v>
      </c>
      <c r="L217" s="39" t="n">
        <v>1132</v>
      </c>
      <c r="M217" s="39" t="n">
        <v>1292.2</v>
      </c>
      <c r="N217" s="39" t="n">
        <v>522.84</v>
      </c>
      <c r="O217" s="39" t="n">
        <v>325.9</v>
      </c>
      <c r="P217" s="39" t="n">
        <v>1270.85</v>
      </c>
      <c r="Q217" s="39" t="n">
        <v>364.8</v>
      </c>
      <c r="R217" s="39" t="n">
        <v>834.3</v>
      </c>
      <c r="S217" s="39" t="n">
        <v>352.14</v>
      </c>
    </row>
    <row r="218" customFormat="false" ht="15" hidden="false" customHeight="false" outlineLevel="0" collapsed="false">
      <c r="A218" s="8" t="n">
        <v>45119</v>
      </c>
      <c r="B218" s="39" t="n">
        <v>19384.3</v>
      </c>
      <c r="C218" s="39" t="n">
        <v>16641.05</v>
      </c>
      <c r="D218" s="39" t="n">
        <v>1548.95</v>
      </c>
      <c r="E218" s="39" t="n">
        <v>795.4</v>
      </c>
      <c r="F218" s="39" t="n">
        <v>798.55</v>
      </c>
      <c r="G218" s="39" t="n">
        <v>392.75</v>
      </c>
      <c r="H218" s="39" t="n">
        <v>611.75</v>
      </c>
      <c r="I218" s="39" t="n">
        <v>310.05</v>
      </c>
      <c r="J218" s="39" t="n">
        <v>2226.8</v>
      </c>
      <c r="K218" s="39" t="n">
        <v>742.18</v>
      </c>
      <c r="L218" s="39" t="n">
        <v>1148.55</v>
      </c>
      <c r="M218" s="39" t="n">
        <v>1296.05</v>
      </c>
      <c r="N218" s="39" t="n">
        <v>526.87</v>
      </c>
      <c r="O218" s="39" t="n">
        <v>324.3</v>
      </c>
      <c r="P218" s="39" t="n">
        <v>1285.65</v>
      </c>
      <c r="Q218" s="39" t="n">
        <v>368.2</v>
      </c>
      <c r="R218" s="39" t="n">
        <v>837.85</v>
      </c>
      <c r="S218" s="39" t="n">
        <v>361.1</v>
      </c>
    </row>
    <row r="219" customFormat="false" ht="15" hidden="false" customHeight="false" outlineLevel="0" collapsed="false">
      <c r="A219" s="8" t="n">
        <v>45120</v>
      </c>
      <c r="B219" s="39" t="n">
        <v>19413.75</v>
      </c>
      <c r="C219" s="39" t="n">
        <v>16623.9</v>
      </c>
      <c r="D219" s="39" t="n">
        <v>1525.3</v>
      </c>
      <c r="E219" s="39" t="n">
        <v>792.2</v>
      </c>
      <c r="F219" s="39" t="n">
        <v>796.45</v>
      </c>
      <c r="G219" s="39" t="n">
        <v>386.95</v>
      </c>
      <c r="H219" s="39" t="n">
        <v>618</v>
      </c>
      <c r="I219" s="39" t="n">
        <v>310.1</v>
      </c>
      <c r="J219" s="39" t="n">
        <v>2170.75</v>
      </c>
      <c r="K219" s="39" t="n">
        <v>746.44</v>
      </c>
      <c r="L219" s="39" t="n">
        <v>1150.8</v>
      </c>
      <c r="M219" s="39" t="n">
        <v>1265.65</v>
      </c>
      <c r="N219" s="39" t="n">
        <v>521.18</v>
      </c>
      <c r="O219" s="39" t="n">
        <v>320.4</v>
      </c>
      <c r="P219" s="39" t="n">
        <v>1277.85</v>
      </c>
      <c r="Q219" s="39" t="n">
        <v>369.2</v>
      </c>
      <c r="R219" s="39" t="n">
        <v>835.75</v>
      </c>
      <c r="S219" s="39" t="n">
        <v>357.8</v>
      </c>
    </row>
    <row r="220" customFormat="false" ht="15" hidden="false" customHeight="false" outlineLevel="0" collapsed="false">
      <c r="A220" s="8" t="n">
        <v>45121</v>
      </c>
      <c r="B220" s="39" t="n">
        <v>19564.5</v>
      </c>
      <c r="C220" s="39" t="n">
        <v>16765.45</v>
      </c>
      <c r="D220" s="39" t="n">
        <v>1558.65</v>
      </c>
      <c r="E220" s="39" t="n">
        <v>802.4</v>
      </c>
      <c r="F220" s="39" t="n">
        <v>803.65</v>
      </c>
      <c r="G220" s="39" t="n">
        <v>392.5</v>
      </c>
      <c r="H220" s="39" t="n">
        <v>620.3</v>
      </c>
      <c r="I220" s="39" t="n">
        <v>316.6</v>
      </c>
      <c r="J220" s="39" t="n">
        <v>2171.65</v>
      </c>
      <c r="K220" s="39" t="n">
        <v>747.22</v>
      </c>
      <c r="L220" s="39" t="n">
        <v>1164.35</v>
      </c>
      <c r="M220" s="39" t="n">
        <v>1275.7</v>
      </c>
      <c r="N220" s="39" t="n">
        <v>531.63</v>
      </c>
      <c r="O220" s="39" t="n">
        <v>316.35</v>
      </c>
      <c r="P220" s="39" t="n">
        <v>1307.75</v>
      </c>
      <c r="Q220" s="39" t="n">
        <v>369</v>
      </c>
      <c r="R220" s="39" t="n">
        <v>839.8</v>
      </c>
      <c r="S220" s="39" t="n">
        <v>356.78</v>
      </c>
    </row>
    <row r="221" customFormat="false" ht="15" hidden="false" customHeight="false" outlineLevel="0" collapsed="false">
      <c r="A221" s="8" t="n">
        <v>45124</v>
      </c>
      <c r="B221" s="39" t="n">
        <v>19711.45</v>
      </c>
      <c r="C221" s="39" t="n">
        <v>16872.05</v>
      </c>
      <c r="D221" s="39" t="n">
        <v>1531.05</v>
      </c>
      <c r="E221" s="39" t="n">
        <v>811.8</v>
      </c>
      <c r="F221" s="39" t="n">
        <v>795.8</v>
      </c>
      <c r="G221" s="39" t="n">
        <v>389.85</v>
      </c>
      <c r="H221" s="39" t="n">
        <v>643.4</v>
      </c>
      <c r="I221" s="39" t="n">
        <v>314.1</v>
      </c>
      <c r="J221" s="39" t="n">
        <v>2203</v>
      </c>
      <c r="K221" s="39" t="n">
        <v>750.07</v>
      </c>
      <c r="L221" s="39" t="n">
        <v>1164.65</v>
      </c>
      <c r="M221" s="39" t="n">
        <v>1292.3</v>
      </c>
      <c r="N221" s="39" t="n">
        <v>534.98</v>
      </c>
      <c r="O221" s="39" t="n">
        <v>319.75</v>
      </c>
      <c r="P221" s="39" t="n">
        <v>1310.7</v>
      </c>
      <c r="Q221" s="39" t="n">
        <v>366.85</v>
      </c>
      <c r="R221" s="39" t="n">
        <v>847.25</v>
      </c>
      <c r="S221" s="39" t="n">
        <v>353.9</v>
      </c>
    </row>
    <row r="222" customFormat="false" ht="15" hidden="false" customHeight="false" outlineLevel="0" collapsed="false">
      <c r="A222" s="8" t="n">
        <v>45125</v>
      </c>
      <c r="B222" s="39" t="n">
        <v>19749.25</v>
      </c>
      <c r="C222" s="39" t="n">
        <v>16872</v>
      </c>
      <c r="D222" s="39" t="n">
        <v>1552.6</v>
      </c>
      <c r="E222" s="39" t="n">
        <v>797.65</v>
      </c>
      <c r="F222" s="39" t="n">
        <v>799</v>
      </c>
      <c r="G222" s="39" t="n">
        <v>384.9</v>
      </c>
      <c r="H222" s="39" t="n">
        <v>632</v>
      </c>
      <c r="I222" s="39" t="n">
        <v>310.3</v>
      </c>
      <c r="J222" s="39" t="n">
        <v>2136.3</v>
      </c>
      <c r="K222" s="39" t="n">
        <v>740.99</v>
      </c>
      <c r="L222" s="39" t="n">
        <v>1145.95</v>
      </c>
      <c r="M222" s="39" t="n">
        <v>1307.05</v>
      </c>
      <c r="N222" s="39" t="n">
        <v>539.25</v>
      </c>
      <c r="O222" s="39" t="n">
        <v>316.8</v>
      </c>
      <c r="P222" s="39" t="n">
        <v>1289.7</v>
      </c>
      <c r="Q222" s="39" t="n">
        <v>371</v>
      </c>
      <c r="R222" s="39" t="n">
        <v>842.65</v>
      </c>
      <c r="S222" s="39" t="n">
        <v>356.83</v>
      </c>
    </row>
    <row r="223" customFormat="false" ht="15" hidden="false" customHeight="false" outlineLevel="0" collapsed="false">
      <c r="A223" s="8" t="n">
        <v>45126</v>
      </c>
      <c r="B223" s="39" t="n">
        <v>19833.15</v>
      </c>
      <c r="C223" s="39" t="n">
        <v>16953.5</v>
      </c>
      <c r="D223" s="39" t="n">
        <v>1542.35</v>
      </c>
      <c r="E223" s="39" t="n">
        <v>818.3</v>
      </c>
      <c r="F223" s="39" t="n">
        <v>801.45</v>
      </c>
      <c r="G223" s="39" t="n">
        <v>383.8</v>
      </c>
      <c r="H223" s="39" t="n">
        <v>640.5</v>
      </c>
      <c r="I223" s="39" t="n">
        <v>306.25</v>
      </c>
      <c r="J223" s="39" t="n">
        <v>2115</v>
      </c>
      <c r="K223" s="39" t="n">
        <v>757.44</v>
      </c>
      <c r="L223" s="39" t="n">
        <v>1170.3</v>
      </c>
      <c r="M223" s="39" t="n">
        <v>1306.95</v>
      </c>
      <c r="N223" s="39" t="n">
        <v>539.59</v>
      </c>
      <c r="O223" s="39" t="n">
        <v>319.85</v>
      </c>
      <c r="P223" s="39" t="n">
        <v>1292.75</v>
      </c>
      <c r="Q223" s="39" t="n">
        <v>368.95</v>
      </c>
      <c r="R223" s="39" t="n">
        <v>865.75</v>
      </c>
      <c r="S223" s="39" t="n">
        <v>357.15</v>
      </c>
    </row>
    <row r="224" customFormat="false" ht="15" hidden="false" customHeight="false" outlineLevel="0" collapsed="false">
      <c r="A224" s="8" t="n">
        <v>45127</v>
      </c>
      <c r="B224" s="39" t="n">
        <v>19979.15</v>
      </c>
      <c r="C224" s="39" t="n">
        <v>17042.55</v>
      </c>
      <c r="D224" s="39" t="n">
        <v>1567.75</v>
      </c>
      <c r="E224" s="39" t="n">
        <v>831.1</v>
      </c>
      <c r="F224" s="39" t="n">
        <v>810.35</v>
      </c>
      <c r="G224" s="39" t="n">
        <v>388</v>
      </c>
      <c r="H224" s="39" t="n">
        <v>652.45</v>
      </c>
      <c r="I224" s="39" t="n">
        <v>309.7</v>
      </c>
      <c r="J224" s="39" t="n">
        <v>2112.6</v>
      </c>
      <c r="K224" s="39" t="n">
        <v>758.63</v>
      </c>
      <c r="L224" s="39" t="n">
        <v>1158.55</v>
      </c>
      <c r="M224" s="39" t="n">
        <v>1315.95</v>
      </c>
      <c r="N224" s="39" t="n">
        <v>546.05</v>
      </c>
      <c r="O224" s="39" t="n">
        <v>321.35</v>
      </c>
      <c r="P224" s="39" t="n">
        <v>1294.5</v>
      </c>
      <c r="Q224" s="39" t="n">
        <v>372.55</v>
      </c>
      <c r="R224" s="39" t="n">
        <v>853.45</v>
      </c>
      <c r="S224" s="39" t="n">
        <v>356.57</v>
      </c>
    </row>
    <row r="225" customFormat="false" ht="15" hidden="false" customHeight="false" outlineLevel="0" collapsed="false">
      <c r="A225" s="8" t="n">
        <v>45128</v>
      </c>
      <c r="B225" s="39" t="n">
        <v>19745</v>
      </c>
      <c r="C225" s="39" t="n">
        <v>16904.3</v>
      </c>
      <c r="D225" s="39" t="n">
        <v>1574.6</v>
      </c>
      <c r="E225" s="39" t="n">
        <v>837.65</v>
      </c>
      <c r="F225" s="39" t="n">
        <v>812.25</v>
      </c>
      <c r="G225" s="39" t="n">
        <v>385.85</v>
      </c>
      <c r="H225" s="39" t="n">
        <v>650.2</v>
      </c>
      <c r="I225" s="39" t="n">
        <v>304.95</v>
      </c>
      <c r="J225" s="39" t="n">
        <v>2102.65</v>
      </c>
      <c r="K225" s="39" t="n">
        <v>757.14</v>
      </c>
      <c r="L225" s="39" t="n">
        <v>1134.75</v>
      </c>
      <c r="M225" s="39" t="n">
        <v>1313.5</v>
      </c>
      <c r="N225" s="39" t="n">
        <v>551.83</v>
      </c>
      <c r="O225" s="39" t="n">
        <v>312.55</v>
      </c>
      <c r="P225" s="39" t="n">
        <v>1286.75</v>
      </c>
      <c r="Q225" s="39" t="n">
        <v>375.25</v>
      </c>
      <c r="R225" s="39" t="n">
        <v>846.3</v>
      </c>
      <c r="S225" s="39" t="n">
        <v>366.3</v>
      </c>
    </row>
    <row r="226" customFormat="false" ht="15" hidden="false" customHeight="false" outlineLevel="0" collapsed="false">
      <c r="A226" s="8" t="n">
        <v>45131</v>
      </c>
      <c r="B226" s="39" t="n">
        <v>19672.35</v>
      </c>
      <c r="C226" s="39" t="n">
        <v>16865.15</v>
      </c>
      <c r="D226" s="39" t="n">
        <v>1603.5</v>
      </c>
      <c r="E226" s="39" t="n">
        <v>889.95</v>
      </c>
      <c r="F226" s="39" t="n">
        <v>834.2</v>
      </c>
      <c r="G226" s="39" t="n">
        <v>390.4</v>
      </c>
      <c r="H226" s="39" t="n">
        <v>689.3</v>
      </c>
      <c r="I226" s="39" t="n">
        <v>299.45</v>
      </c>
      <c r="J226" s="39" t="n">
        <v>2172.4</v>
      </c>
      <c r="K226" s="39" t="n">
        <v>757.13</v>
      </c>
      <c r="L226" s="39" t="n">
        <v>1145.35</v>
      </c>
      <c r="M226" s="39" t="n">
        <v>1373</v>
      </c>
      <c r="N226" s="39" t="n">
        <v>549.16</v>
      </c>
      <c r="O226" s="39" t="n">
        <v>321.25</v>
      </c>
      <c r="P226" s="39" t="n">
        <v>1296.75</v>
      </c>
      <c r="Q226" s="39" t="n">
        <v>368.45</v>
      </c>
      <c r="R226" s="39" t="n">
        <v>859.8</v>
      </c>
      <c r="S226" s="39" t="n">
        <v>359.26</v>
      </c>
    </row>
    <row r="227" customFormat="false" ht="15" hidden="false" customHeight="false" outlineLevel="0" collapsed="false">
      <c r="A227" s="8" t="n">
        <v>45132</v>
      </c>
      <c r="B227" s="39" t="n">
        <v>19680.6</v>
      </c>
      <c r="C227" s="39" t="n">
        <v>16896.9</v>
      </c>
      <c r="D227" s="39" t="n">
        <v>1619.25</v>
      </c>
      <c r="E227" s="39" t="n">
        <v>851.2</v>
      </c>
      <c r="F227" s="39" t="n">
        <v>823.05</v>
      </c>
      <c r="G227" s="39" t="n">
        <v>392.5</v>
      </c>
      <c r="H227" s="39" t="n">
        <v>684.65</v>
      </c>
      <c r="I227" s="39" t="n">
        <v>316.45</v>
      </c>
      <c r="J227" s="39" t="n">
        <v>2208.3</v>
      </c>
      <c r="K227" s="39" t="n">
        <v>759.61</v>
      </c>
      <c r="L227" s="39" t="n">
        <v>1127.4</v>
      </c>
      <c r="M227" s="39" t="n">
        <v>1369.65</v>
      </c>
      <c r="N227" s="39" t="n">
        <v>558.53</v>
      </c>
      <c r="O227" s="39" t="n">
        <v>315.75</v>
      </c>
      <c r="P227" s="39" t="n">
        <v>1312.3</v>
      </c>
      <c r="Q227" s="39" t="n">
        <v>379.7</v>
      </c>
      <c r="R227" s="39" t="n">
        <v>876.45</v>
      </c>
      <c r="S227" s="39" t="n">
        <v>364.7</v>
      </c>
    </row>
    <row r="228" customFormat="false" ht="15" hidden="false" customHeight="false" outlineLevel="0" collapsed="false">
      <c r="A228" s="8" t="n">
        <v>45133</v>
      </c>
      <c r="B228" s="39" t="n">
        <v>19778.3</v>
      </c>
      <c r="C228" s="39" t="n">
        <v>16975</v>
      </c>
      <c r="D228" s="39" t="n">
        <v>1616.2</v>
      </c>
      <c r="E228" s="39" t="n">
        <v>771.2</v>
      </c>
      <c r="F228" s="39" t="n">
        <v>840.5</v>
      </c>
      <c r="G228" s="39" t="n">
        <v>395.75</v>
      </c>
      <c r="H228" s="39" t="n">
        <v>654</v>
      </c>
      <c r="I228" s="39" t="n">
        <v>317.6</v>
      </c>
      <c r="J228" s="39" t="n">
        <v>2288.5</v>
      </c>
      <c r="K228" s="39" t="n">
        <v>742.3</v>
      </c>
      <c r="L228" s="39" t="n">
        <v>1141.55</v>
      </c>
      <c r="M228" s="39" t="n">
        <v>1417.95</v>
      </c>
      <c r="N228" s="39" t="n">
        <v>562.85</v>
      </c>
      <c r="O228" s="39" t="n">
        <v>320.05</v>
      </c>
      <c r="P228" s="39" t="n">
        <v>1309.6</v>
      </c>
      <c r="Q228" s="39" t="n">
        <v>378.35</v>
      </c>
      <c r="R228" s="39" t="n">
        <v>871.1</v>
      </c>
      <c r="S228" s="39" t="n">
        <v>363.83</v>
      </c>
    </row>
    <row r="229" customFormat="false" ht="15" hidden="false" customHeight="false" outlineLevel="0" collapsed="false">
      <c r="A229" s="8" t="n">
        <v>45134</v>
      </c>
      <c r="B229" s="39" t="n">
        <v>19659.9</v>
      </c>
      <c r="C229" s="39" t="n">
        <v>16919.2</v>
      </c>
      <c r="D229" s="39" t="n">
        <v>1587.9</v>
      </c>
      <c r="E229" s="39" t="n">
        <v>745.4</v>
      </c>
      <c r="F229" s="39" t="n">
        <v>868.75</v>
      </c>
      <c r="G229" s="39" t="n">
        <v>397.2</v>
      </c>
      <c r="H229" s="39" t="n">
        <v>637.45</v>
      </c>
      <c r="I229" s="39" t="n">
        <v>322.95</v>
      </c>
      <c r="J229" s="39" t="n">
        <v>2263.2</v>
      </c>
      <c r="K229" s="39" t="n">
        <v>727.42</v>
      </c>
      <c r="L229" s="39" t="n">
        <v>1135.95</v>
      </c>
      <c r="M229" s="39" t="n">
        <v>1370.15</v>
      </c>
      <c r="N229" s="39" t="n">
        <v>566.35</v>
      </c>
      <c r="O229" s="39" t="n">
        <v>311.95</v>
      </c>
      <c r="P229" s="39" t="n">
        <v>1331.9</v>
      </c>
      <c r="Q229" s="39" t="n">
        <v>374.55</v>
      </c>
      <c r="R229" s="39" t="n">
        <v>857.8</v>
      </c>
      <c r="S229" s="39" t="n">
        <v>362.33</v>
      </c>
    </row>
    <row r="230" customFormat="false" ht="15" hidden="false" customHeight="false" outlineLevel="0" collapsed="false">
      <c r="A230" s="8" t="n">
        <v>45135</v>
      </c>
      <c r="B230" s="39" t="n">
        <v>19646.05</v>
      </c>
      <c r="C230" s="39" t="n">
        <v>16948.35</v>
      </c>
      <c r="D230" s="39" t="n">
        <v>1605.25</v>
      </c>
      <c r="E230" s="39" t="n">
        <v>732.7</v>
      </c>
      <c r="F230" s="39" t="n">
        <v>854.55</v>
      </c>
      <c r="G230" s="39" t="n">
        <v>413.45</v>
      </c>
      <c r="H230" s="39" t="n">
        <v>617.05</v>
      </c>
      <c r="I230" s="39" t="n">
        <v>323.35</v>
      </c>
      <c r="J230" s="39" t="n">
        <v>2288.35</v>
      </c>
      <c r="K230" s="39" t="n">
        <v>737.16</v>
      </c>
      <c r="L230" s="39" t="n">
        <v>1137.6</v>
      </c>
      <c r="M230" s="39" t="n">
        <v>1397.5</v>
      </c>
      <c r="N230" s="39" t="n">
        <v>553.04</v>
      </c>
      <c r="O230" s="39" t="n">
        <v>299.6</v>
      </c>
      <c r="P230" s="39" t="n">
        <v>1330.05</v>
      </c>
      <c r="Q230" s="39" t="n">
        <v>381.5</v>
      </c>
      <c r="R230" s="39" t="n">
        <v>857.2</v>
      </c>
      <c r="S230" s="39" t="n">
        <v>363.57</v>
      </c>
    </row>
    <row r="231" customFormat="false" ht="15" hidden="false" customHeight="false" outlineLevel="0" collapsed="false">
      <c r="A231" s="8" t="n">
        <v>45138</v>
      </c>
      <c r="B231" s="39" t="n">
        <v>19753.8</v>
      </c>
      <c r="C231" s="39" t="n">
        <v>17059</v>
      </c>
      <c r="D231" s="39" t="n">
        <v>1548.8</v>
      </c>
      <c r="E231" s="39" t="n">
        <v>751.4</v>
      </c>
      <c r="F231" s="39" t="n">
        <v>870.1</v>
      </c>
      <c r="G231" s="39" t="n">
        <v>417.4</v>
      </c>
      <c r="H231" s="39" t="n">
        <v>634.8</v>
      </c>
      <c r="I231" s="39" t="n">
        <v>328.4</v>
      </c>
      <c r="J231" s="39" t="n">
        <v>2283.95</v>
      </c>
      <c r="K231" s="39" t="n">
        <v>729.04</v>
      </c>
      <c r="L231" s="39" t="n">
        <v>1132.1</v>
      </c>
      <c r="M231" s="39" t="n">
        <v>1456.25</v>
      </c>
      <c r="N231" s="39" t="n">
        <v>573.25</v>
      </c>
      <c r="O231" s="39" t="n">
        <v>297.45</v>
      </c>
      <c r="P231" s="39" t="n">
        <v>1350.4</v>
      </c>
      <c r="Q231" s="39" t="n">
        <v>391.8</v>
      </c>
      <c r="R231" s="39" t="n">
        <v>855.35</v>
      </c>
      <c r="S231" s="39" t="n">
        <v>378.63</v>
      </c>
    </row>
    <row r="232" customFormat="false" ht="15" hidden="false" customHeight="false" outlineLevel="0" collapsed="false">
      <c r="A232" s="8" t="n">
        <v>45139</v>
      </c>
      <c r="B232" s="39" t="n">
        <v>19733.55</v>
      </c>
      <c r="C232" s="39" t="n">
        <v>17051.15</v>
      </c>
      <c r="D232" s="39" t="n">
        <v>1555.7</v>
      </c>
      <c r="E232" s="39" t="n">
        <v>738.1</v>
      </c>
      <c r="F232" s="39" t="n">
        <v>838.05</v>
      </c>
      <c r="G232" s="39" t="n">
        <v>418</v>
      </c>
      <c r="H232" s="39" t="n">
        <v>629.65</v>
      </c>
      <c r="I232" s="39" t="n">
        <v>337.1</v>
      </c>
      <c r="J232" s="39" t="n">
        <v>2305.45</v>
      </c>
      <c r="K232" s="39" t="n">
        <v>725.98</v>
      </c>
      <c r="L232" s="39" t="n">
        <v>1130.45</v>
      </c>
      <c r="M232" s="39" t="n">
        <v>1482.45</v>
      </c>
      <c r="N232" s="39" t="n">
        <v>601.85</v>
      </c>
      <c r="O232" s="39" t="n">
        <v>295.85</v>
      </c>
      <c r="P232" s="39" t="n">
        <v>1347.1</v>
      </c>
      <c r="Q232" s="39" t="n">
        <v>395.6</v>
      </c>
      <c r="R232" s="39" t="n">
        <v>881.35</v>
      </c>
      <c r="S232" s="39" t="n">
        <v>370.74</v>
      </c>
    </row>
    <row r="233" customFormat="false" ht="15" hidden="false" customHeight="false" outlineLevel="0" collapsed="false">
      <c r="A233" s="8" t="n">
        <v>45140</v>
      </c>
      <c r="B233" s="39" t="n">
        <v>19526.55</v>
      </c>
      <c r="C233" s="39" t="n">
        <v>16858.95</v>
      </c>
      <c r="D233" s="39" t="n">
        <v>1559.65</v>
      </c>
      <c r="E233" s="39" t="n">
        <v>721.7</v>
      </c>
      <c r="F233" s="39" t="n">
        <v>834.25</v>
      </c>
      <c r="G233" s="39" t="n">
        <v>414.35</v>
      </c>
      <c r="H233" s="39" t="n">
        <v>608.1</v>
      </c>
      <c r="I233" s="39" t="n">
        <v>320.8</v>
      </c>
      <c r="J233" s="39" t="n">
        <v>2191.5</v>
      </c>
      <c r="K233" s="39" t="n">
        <v>719.37</v>
      </c>
      <c r="L233" s="39" t="n">
        <v>1099.4</v>
      </c>
      <c r="M233" s="39" t="n">
        <v>1458.2</v>
      </c>
      <c r="N233" s="39" t="n">
        <v>571.4</v>
      </c>
      <c r="O233" s="39" t="n">
        <v>293.4</v>
      </c>
      <c r="P233" s="39" t="n">
        <v>1349.9</v>
      </c>
      <c r="Q233" s="39" t="n">
        <v>390.6</v>
      </c>
      <c r="R233" s="39" t="n">
        <v>867.2</v>
      </c>
      <c r="S233" s="39" t="n">
        <v>366.63</v>
      </c>
    </row>
    <row r="234" customFormat="false" ht="15" hidden="false" customHeight="false" outlineLevel="0" collapsed="false">
      <c r="A234" s="8" t="n">
        <v>45141</v>
      </c>
      <c r="B234" s="39" t="n">
        <v>19381.65</v>
      </c>
      <c r="C234" s="39" t="n">
        <v>16772.3</v>
      </c>
      <c r="D234" s="39" t="n">
        <v>1569.4</v>
      </c>
      <c r="E234" s="39" t="n">
        <v>727.25</v>
      </c>
      <c r="F234" s="39" t="n">
        <v>839.5</v>
      </c>
      <c r="G234" s="39" t="n">
        <v>394.35</v>
      </c>
      <c r="H234" s="39" t="n">
        <v>609.85</v>
      </c>
      <c r="I234" s="39" t="n">
        <v>333.75</v>
      </c>
      <c r="J234" s="39" t="n">
        <v>2186.25</v>
      </c>
      <c r="K234" s="39" t="n">
        <v>709.87</v>
      </c>
      <c r="L234" s="39" t="n">
        <v>1070.45</v>
      </c>
      <c r="M234" s="39" t="n">
        <v>1459.9</v>
      </c>
      <c r="N234" s="39" t="n">
        <v>559.02</v>
      </c>
      <c r="O234" s="39" t="n">
        <v>285.75</v>
      </c>
      <c r="P234" s="39" t="n">
        <v>1334.95</v>
      </c>
      <c r="Q234" s="39" t="n">
        <v>418.25</v>
      </c>
      <c r="R234" s="39" t="n">
        <v>861.45</v>
      </c>
      <c r="S234" s="39" t="n">
        <v>363.69</v>
      </c>
    </row>
    <row r="235" customFormat="false" ht="15" hidden="false" customHeight="false" outlineLevel="0" collapsed="false">
      <c r="A235" s="8" t="n">
        <v>45142</v>
      </c>
      <c r="B235" s="39" t="n">
        <v>19517</v>
      </c>
      <c r="C235" s="39" t="n">
        <v>16890.6</v>
      </c>
      <c r="D235" s="39" t="n">
        <v>1559.75</v>
      </c>
      <c r="E235" s="39" t="n">
        <v>733.1</v>
      </c>
      <c r="F235" s="39" t="n">
        <v>833.3</v>
      </c>
      <c r="G235" s="39" t="n">
        <v>426.65</v>
      </c>
      <c r="H235" s="39" t="n">
        <v>617.05</v>
      </c>
      <c r="I235" s="39" t="n">
        <v>334</v>
      </c>
      <c r="J235" s="39" t="n">
        <v>2233.7</v>
      </c>
      <c r="K235" s="39" t="n">
        <v>713.9</v>
      </c>
      <c r="L235" s="39" t="n">
        <v>1085.3</v>
      </c>
      <c r="M235" s="39" t="n">
        <v>1452.3</v>
      </c>
      <c r="N235" s="39" t="n">
        <v>577.91</v>
      </c>
      <c r="O235" s="39" t="n">
        <v>290.15</v>
      </c>
      <c r="P235" s="39" t="n">
        <v>1349.1</v>
      </c>
      <c r="Q235" s="39" t="n">
        <v>419.6</v>
      </c>
      <c r="R235" s="39" t="n">
        <v>881.3</v>
      </c>
      <c r="S235" s="39" t="n">
        <v>367.4</v>
      </c>
    </row>
    <row r="236" customFormat="false" ht="15" hidden="false" customHeight="false" outlineLevel="0" collapsed="false">
      <c r="A236" s="8" t="n">
        <v>45145</v>
      </c>
      <c r="B236" s="39" t="n">
        <v>19597.3</v>
      </c>
      <c r="C236" s="39" t="n">
        <v>16956.35</v>
      </c>
      <c r="D236" s="39" t="n">
        <v>1571.45</v>
      </c>
      <c r="E236" s="39" t="n">
        <v>743.3</v>
      </c>
      <c r="F236" s="39" t="n">
        <v>849.4</v>
      </c>
      <c r="G236" s="39" t="n">
        <v>440.9</v>
      </c>
      <c r="H236" s="39" t="n">
        <v>629.65</v>
      </c>
      <c r="I236" s="39" t="n">
        <v>347.55</v>
      </c>
      <c r="J236" s="39" t="n">
        <v>2204.2</v>
      </c>
      <c r="K236" s="39" t="n">
        <v>711.25</v>
      </c>
      <c r="L236" s="39" t="n">
        <v>1067.95</v>
      </c>
      <c r="M236" s="39" t="n">
        <v>1462.25</v>
      </c>
      <c r="N236" s="39" t="n">
        <v>571.16</v>
      </c>
      <c r="O236" s="39" t="n">
        <v>295.55</v>
      </c>
      <c r="P236" s="39" t="n">
        <v>1362.05</v>
      </c>
      <c r="Q236" s="39" t="n">
        <v>435.15</v>
      </c>
      <c r="R236" s="39" t="n">
        <v>880.8</v>
      </c>
      <c r="S236" s="39" t="n">
        <v>370.96</v>
      </c>
    </row>
    <row r="237" customFormat="false" ht="15" hidden="false" customHeight="false" outlineLevel="0" collapsed="false">
      <c r="A237" s="8" t="n">
        <v>45146</v>
      </c>
      <c r="B237" s="39" t="n">
        <v>19570.85</v>
      </c>
      <c r="C237" s="39" t="n">
        <v>16949.25</v>
      </c>
      <c r="D237" s="39" t="n">
        <v>1587.95</v>
      </c>
      <c r="E237" s="39" t="n">
        <v>738.3</v>
      </c>
      <c r="F237" s="39" t="n">
        <v>840.45</v>
      </c>
      <c r="G237" s="39" t="n">
        <v>432.45</v>
      </c>
      <c r="H237" s="39" t="n">
        <v>638.9</v>
      </c>
      <c r="I237" s="39" t="n">
        <v>346.45</v>
      </c>
      <c r="J237" s="39" t="n">
        <v>2262.95</v>
      </c>
      <c r="K237" s="39" t="n">
        <v>716.39</v>
      </c>
      <c r="L237" s="39" t="n">
        <v>1057.8</v>
      </c>
      <c r="M237" s="39" t="n">
        <v>1449.5</v>
      </c>
      <c r="N237" s="39" t="n">
        <v>574.61</v>
      </c>
      <c r="O237" s="39" t="n">
        <v>291.45</v>
      </c>
      <c r="P237" s="39" t="n">
        <v>1365.1</v>
      </c>
      <c r="Q237" s="39" t="n">
        <v>446.55</v>
      </c>
      <c r="R237" s="39" t="n">
        <v>881.25</v>
      </c>
      <c r="S237" s="39" t="n">
        <v>372.28</v>
      </c>
    </row>
    <row r="238" customFormat="false" ht="15" hidden="false" customHeight="false" outlineLevel="0" collapsed="false">
      <c r="A238" s="8" t="n">
        <v>45147</v>
      </c>
      <c r="B238" s="39" t="n">
        <v>19632.55</v>
      </c>
      <c r="C238" s="39" t="n">
        <v>17003.85</v>
      </c>
      <c r="D238" s="39" t="n">
        <v>1590.2</v>
      </c>
      <c r="E238" s="39" t="n">
        <v>732.7</v>
      </c>
      <c r="F238" s="39" t="n">
        <v>849.6</v>
      </c>
      <c r="G238" s="39" t="n">
        <v>430.8</v>
      </c>
      <c r="H238" s="39" t="n">
        <v>634.55</v>
      </c>
      <c r="I238" s="39" t="n">
        <v>383.75</v>
      </c>
      <c r="J238" s="39" t="n">
        <v>2270.1</v>
      </c>
      <c r="K238" s="39" t="n">
        <v>711.57</v>
      </c>
      <c r="L238" s="39" t="n">
        <v>1055.65</v>
      </c>
      <c r="M238" s="39" t="n">
        <v>1447.05</v>
      </c>
      <c r="N238" s="39" t="n">
        <v>566.74</v>
      </c>
      <c r="O238" s="39" t="n">
        <v>288.8</v>
      </c>
      <c r="P238" s="39" t="n">
        <v>1362.6</v>
      </c>
      <c r="Q238" s="39" t="n">
        <v>438</v>
      </c>
      <c r="R238" s="39" t="n">
        <v>871.25</v>
      </c>
      <c r="S238" s="39" t="n">
        <v>369.78</v>
      </c>
    </row>
    <row r="239" customFormat="false" ht="15" hidden="false" customHeight="false" outlineLevel="0" collapsed="false">
      <c r="A239" s="8" t="n">
        <v>45148</v>
      </c>
      <c r="B239" s="39" t="n">
        <v>19543.1</v>
      </c>
      <c r="C239" s="39" t="n">
        <v>16939.85</v>
      </c>
      <c r="D239" s="39" t="n">
        <v>1600.95</v>
      </c>
      <c r="E239" s="39" t="n">
        <v>751.25</v>
      </c>
      <c r="F239" s="39" t="n">
        <v>838.15</v>
      </c>
      <c r="G239" s="39" t="n">
        <v>426.95</v>
      </c>
      <c r="H239" s="39" t="n">
        <v>625.9</v>
      </c>
      <c r="I239" s="39" t="n">
        <v>384.7</v>
      </c>
      <c r="J239" s="39" t="n">
        <v>2241.1</v>
      </c>
      <c r="K239" s="39" t="n">
        <v>713.41</v>
      </c>
      <c r="L239" s="39" t="n">
        <v>1060.25</v>
      </c>
      <c r="M239" s="39" t="n">
        <v>1398.9</v>
      </c>
      <c r="N239" s="39" t="n">
        <v>558.24</v>
      </c>
      <c r="O239" s="39" t="n">
        <v>285.25</v>
      </c>
      <c r="P239" s="39" t="n">
        <v>1364.85</v>
      </c>
      <c r="Q239" s="39" t="n">
        <v>433.1</v>
      </c>
      <c r="R239" s="39" t="n">
        <v>872.05</v>
      </c>
      <c r="S239" s="39" t="n">
        <v>370.14</v>
      </c>
    </row>
    <row r="240" customFormat="false" ht="15" hidden="false" customHeight="false" outlineLevel="0" collapsed="false">
      <c r="A240" s="8" t="n">
        <v>45149</v>
      </c>
      <c r="B240" s="39" t="n">
        <v>19428.3</v>
      </c>
      <c r="C240" s="39" t="n">
        <v>16860.15</v>
      </c>
      <c r="D240" s="39" t="n">
        <v>1613.25</v>
      </c>
      <c r="E240" s="39" t="n">
        <v>723.7</v>
      </c>
      <c r="F240" s="39" t="n">
        <v>843.25</v>
      </c>
      <c r="G240" s="39" t="n">
        <v>424.95</v>
      </c>
      <c r="H240" s="39" t="n">
        <v>659.7</v>
      </c>
      <c r="I240" s="39" t="n">
        <v>368.75</v>
      </c>
      <c r="J240" s="39" t="n">
        <v>2286.55</v>
      </c>
      <c r="K240" s="39" t="n">
        <v>705.1</v>
      </c>
      <c r="L240" s="39" t="n">
        <v>1043.25</v>
      </c>
      <c r="M240" s="39" t="n">
        <v>1397.55</v>
      </c>
      <c r="N240" s="39" t="n">
        <v>554.26</v>
      </c>
      <c r="O240" s="39" t="n">
        <v>283.05</v>
      </c>
      <c r="P240" s="39" t="n">
        <v>1350.05</v>
      </c>
      <c r="Q240" s="39" t="n">
        <v>437</v>
      </c>
      <c r="R240" s="39" t="n">
        <v>866.8</v>
      </c>
      <c r="S240" s="39" t="n">
        <v>361.59</v>
      </c>
    </row>
    <row r="241" customFormat="false" ht="15" hidden="false" customHeight="false" outlineLevel="0" collapsed="false">
      <c r="A241" s="8" t="n">
        <v>45152</v>
      </c>
      <c r="B241" s="39" t="n">
        <v>19434.55</v>
      </c>
      <c r="C241" s="39" t="n">
        <v>16825.55</v>
      </c>
      <c r="D241" s="39" t="n">
        <v>1600.75</v>
      </c>
      <c r="E241" s="39" t="n">
        <v>734.8</v>
      </c>
      <c r="F241" s="39" t="n">
        <v>852.9</v>
      </c>
      <c r="G241" s="39" t="n">
        <v>422.05</v>
      </c>
      <c r="H241" s="39" t="n">
        <v>648.85</v>
      </c>
      <c r="I241" s="39" t="n">
        <v>372.75</v>
      </c>
      <c r="J241" s="39" t="n">
        <v>2308</v>
      </c>
      <c r="K241" s="39" t="n">
        <v>700.85</v>
      </c>
      <c r="L241" s="39" t="n">
        <v>1037.8</v>
      </c>
      <c r="M241" s="39" t="n">
        <v>1388.15</v>
      </c>
      <c r="N241" s="39" t="n">
        <v>544.64</v>
      </c>
      <c r="O241" s="39" t="n">
        <v>280.9</v>
      </c>
      <c r="P241" s="39" t="n">
        <v>1282.2</v>
      </c>
      <c r="Q241" s="39" t="n">
        <v>434.6</v>
      </c>
      <c r="R241" s="39" t="n">
        <v>854.7</v>
      </c>
      <c r="S241" s="39" t="n">
        <v>362.71</v>
      </c>
    </row>
    <row r="242" customFormat="false" ht="15" hidden="false" customHeight="false" outlineLevel="0" collapsed="false">
      <c r="A242" s="8" t="n">
        <v>45154</v>
      </c>
      <c r="B242" s="39" t="n">
        <v>19465</v>
      </c>
      <c r="C242" s="39" t="n">
        <v>16853.05</v>
      </c>
      <c r="D242" s="39" t="n">
        <v>1584.85</v>
      </c>
      <c r="E242" s="39" t="n">
        <v>736.4</v>
      </c>
      <c r="F242" s="39" t="n">
        <v>846.45</v>
      </c>
      <c r="G242" s="39" t="n">
        <v>422.15</v>
      </c>
      <c r="H242" s="39" t="n">
        <v>651</v>
      </c>
      <c r="I242" s="39" t="n">
        <v>376.65</v>
      </c>
      <c r="J242" s="39" t="n">
        <v>2448.5</v>
      </c>
      <c r="K242" s="39" t="n">
        <v>697.2</v>
      </c>
      <c r="L242" s="39" t="n">
        <v>1017.15</v>
      </c>
      <c r="M242" s="39" t="n">
        <v>1398.1</v>
      </c>
      <c r="N242" s="39" t="n">
        <v>552.17</v>
      </c>
      <c r="O242" s="39" t="n">
        <v>277.4</v>
      </c>
      <c r="P242" s="39" t="n">
        <v>1256.15</v>
      </c>
      <c r="Q242" s="39" t="n">
        <v>428.9</v>
      </c>
      <c r="R242" s="39" t="n">
        <v>849.9</v>
      </c>
      <c r="S242" s="39" t="n">
        <v>359.2</v>
      </c>
    </row>
    <row r="243" customFormat="false" ht="15" hidden="false" customHeight="false" outlineLevel="0" collapsed="false">
      <c r="A243" s="8" t="n">
        <v>45155</v>
      </c>
      <c r="B243" s="39" t="n">
        <v>19365.25</v>
      </c>
      <c r="C243" s="39" t="n">
        <v>16802.25</v>
      </c>
      <c r="D243" s="39" t="n">
        <v>1571.4</v>
      </c>
      <c r="E243" s="39" t="n">
        <v>735.35</v>
      </c>
      <c r="F243" s="39" t="n">
        <v>867.55</v>
      </c>
      <c r="G243" s="39" t="n">
        <v>424.35</v>
      </c>
      <c r="H243" s="39" t="n">
        <v>651.8</v>
      </c>
      <c r="I243" s="39" t="n">
        <v>375.4</v>
      </c>
      <c r="J243" s="39" t="n">
        <v>2413.65</v>
      </c>
      <c r="K243" s="39" t="n">
        <v>691.38</v>
      </c>
      <c r="L243" s="39" t="n">
        <v>1020.8</v>
      </c>
      <c r="M243" s="39" t="n">
        <v>1404.9</v>
      </c>
      <c r="N243" s="39" t="n">
        <v>552.56</v>
      </c>
      <c r="O243" s="39" t="n">
        <v>279.5</v>
      </c>
      <c r="P243" s="39" t="n">
        <v>1254.65</v>
      </c>
      <c r="Q243" s="39" t="n">
        <v>428.75</v>
      </c>
      <c r="R243" s="39" t="n">
        <v>850</v>
      </c>
      <c r="S243" s="39" t="n">
        <v>368.88</v>
      </c>
    </row>
    <row r="244" customFormat="false" ht="15" hidden="false" customHeight="false" outlineLevel="0" collapsed="false">
      <c r="A244" s="8" t="n">
        <v>45156</v>
      </c>
      <c r="B244" s="39" t="n">
        <v>19310.15</v>
      </c>
      <c r="C244" s="39" t="n">
        <v>16757.7</v>
      </c>
      <c r="D244" s="39" t="n">
        <v>1569.45</v>
      </c>
      <c r="E244" s="39" t="n">
        <v>726.55</v>
      </c>
      <c r="F244" s="39" t="n">
        <v>862.7</v>
      </c>
      <c r="G244" s="39" t="n">
        <v>413.75</v>
      </c>
      <c r="H244" s="39" t="n">
        <v>635.35</v>
      </c>
      <c r="I244" s="39" t="n">
        <v>372.8</v>
      </c>
      <c r="J244" s="39" t="n">
        <v>2366.65</v>
      </c>
      <c r="K244" s="39" t="n">
        <v>685.28</v>
      </c>
      <c r="L244" s="39" t="n">
        <v>1016.95</v>
      </c>
      <c r="M244" s="39" t="n">
        <v>1368.45</v>
      </c>
      <c r="N244" s="39" t="n">
        <v>558.73</v>
      </c>
      <c r="O244" s="39" t="n">
        <v>275.05</v>
      </c>
      <c r="P244" s="39" t="n">
        <v>1241.6</v>
      </c>
      <c r="Q244" s="39" t="n">
        <v>420.7</v>
      </c>
      <c r="R244" s="39" t="n">
        <v>842.45</v>
      </c>
      <c r="S244" s="39" t="n">
        <v>364.09</v>
      </c>
    </row>
    <row r="245" customFormat="false" ht="15" hidden="false" customHeight="false" outlineLevel="0" collapsed="false">
      <c r="A245" s="8" t="n">
        <v>45159</v>
      </c>
      <c r="B245" s="39" t="n">
        <v>19393.6</v>
      </c>
      <c r="C245" s="39" t="n">
        <v>16852.05</v>
      </c>
      <c r="D245" s="39" t="n">
        <v>1573.95</v>
      </c>
      <c r="E245" s="39" t="n">
        <v>741.85</v>
      </c>
      <c r="F245" s="39" t="n">
        <v>870.8</v>
      </c>
      <c r="G245" s="39" t="n">
        <v>420.55</v>
      </c>
      <c r="H245" s="39" t="n">
        <v>657.9</v>
      </c>
      <c r="I245" s="39" t="n">
        <v>402.5</v>
      </c>
      <c r="J245" s="39" t="n">
        <v>2388.9</v>
      </c>
      <c r="K245" s="39" t="n">
        <v>703.86</v>
      </c>
      <c r="L245" s="39" t="n">
        <v>1044.85</v>
      </c>
      <c r="M245" s="39" t="n">
        <v>1399.05</v>
      </c>
      <c r="N245" s="39" t="n">
        <v>561.2</v>
      </c>
      <c r="O245" s="39" t="n">
        <v>277.45</v>
      </c>
      <c r="P245" s="39" t="n">
        <v>1261.75</v>
      </c>
      <c r="Q245" s="39" t="n">
        <v>420.4</v>
      </c>
      <c r="R245" s="39" t="n">
        <v>835.55</v>
      </c>
      <c r="S245" s="39" t="n">
        <v>368.65</v>
      </c>
    </row>
    <row r="246" customFormat="false" ht="15" hidden="false" customHeight="false" outlineLevel="0" collapsed="false">
      <c r="A246" s="8" t="n">
        <v>45160</v>
      </c>
      <c r="B246" s="39" t="n">
        <v>19396.45</v>
      </c>
      <c r="C246" s="39" t="n">
        <v>16905.25</v>
      </c>
      <c r="D246" s="39" t="n">
        <v>1578.65</v>
      </c>
      <c r="E246" s="39" t="n">
        <v>746.55</v>
      </c>
      <c r="F246" s="39" t="n">
        <v>857.45</v>
      </c>
      <c r="G246" s="39" t="n">
        <v>422.9</v>
      </c>
      <c r="H246" s="39" t="n">
        <v>657.6</v>
      </c>
      <c r="I246" s="39" t="n">
        <v>403.45</v>
      </c>
      <c r="J246" s="39" t="n">
        <v>2373.8</v>
      </c>
      <c r="K246" s="39" t="n">
        <v>706.03</v>
      </c>
      <c r="L246" s="39" t="n">
        <v>1062.35</v>
      </c>
      <c r="M246" s="39" t="n">
        <v>1396</v>
      </c>
      <c r="N246" s="39" t="n">
        <v>590.88</v>
      </c>
      <c r="O246" s="39" t="n">
        <v>288.65</v>
      </c>
      <c r="P246" s="39" t="n">
        <v>1255.7</v>
      </c>
      <c r="Q246" s="39" t="n">
        <v>439</v>
      </c>
      <c r="R246" s="39" t="n">
        <v>830.1</v>
      </c>
      <c r="S246" s="39" t="n">
        <v>369.01</v>
      </c>
    </row>
    <row r="247" customFormat="false" ht="15" hidden="false" customHeight="false" outlineLevel="0" collapsed="false">
      <c r="A247" s="8" t="n">
        <v>45161</v>
      </c>
      <c r="B247" s="39" t="n">
        <v>19444</v>
      </c>
      <c r="C247" s="39" t="n">
        <v>16950.25</v>
      </c>
      <c r="D247" s="39" t="n">
        <v>1586.2</v>
      </c>
      <c r="E247" s="39" t="n">
        <v>747.85</v>
      </c>
      <c r="F247" s="39" t="n">
        <v>863.95</v>
      </c>
      <c r="G247" s="39" t="n">
        <v>423</v>
      </c>
      <c r="H247" s="39" t="n">
        <v>645.75</v>
      </c>
      <c r="I247" s="39" t="n">
        <v>394</v>
      </c>
      <c r="J247" s="39" t="n">
        <v>2361.4</v>
      </c>
      <c r="K247" s="39" t="n">
        <v>710.68</v>
      </c>
      <c r="L247" s="39" t="n">
        <v>1086.45</v>
      </c>
      <c r="M247" s="39" t="n">
        <v>1372.75</v>
      </c>
      <c r="N247" s="39" t="n">
        <v>566.89</v>
      </c>
      <c r="O247" s="39" t="n">
        <v>298.05</v>
      </c>
      <c r="P247" s="39" t="n">
        <v>1264.8</v>
      </c>
      <c r="Q247" s="39" t="n">
        <v>434.9</v>
      </c>
      <c r="R247" s="39" t="n">
        <v>840.3</v>
      </c>
      <c r="S247" s="39" t="n">
        <v>370.44</v>
      </c>
    </row>
    <row r="248" customFormat="false" ht="15" hidden="false" customHeight="false" outlineLevel="0" collapsed="false">
      <c r="A248" s="8" t="n">
        <v>45162</v>
      </c>
      <c r="B248" s="39" t="n">
        <v>19386.7</v>
      </c>
      <c r="C248" s="39" t="n">
        <v>16930.15</v>
      </c>
      <c r="D248" s="39" t="n">
        <v>1583</v>
      </c>
      <c r="E248" s="39" t="n">
        <v>748.05</v>
      </c>
      <c r="F248" s="39" t="n">
        <v>864.45</v>
      </c>
      <c r="G248" s="39" t="n">
        <v>421.55</v>
      </c>
      <c r="H248" s="39" t="n">
        <v>649.15</v>
      </c>
      <c r="I248" s="39" t="n">
        <v>389.45</v>
      </c>
      <c r="J248" s="39" t="n">
        <v>2322.95</v>
      </c>
      <c r="K248" s="39" t="n">
        <v>712.78</v>
      </c>
      <c r="L248" s="39" t="n">
        <v>1085.05</v>
      </c>
      <c r="M248" s="39" t="n">
        <v>1397.85</v>
      </c>
      <c r="N248" s="39" t="n">
        <v>567.23</v>
      </c>
      <c r="O248" s="39" t="n">
        <v>304.05</v>
      </c>
      <c r="P248" s="39" t="n">
        <v>1265.45</v>
      </c>
      <c r="Q248" s="39" t="n">
        <v>441.7</v>
      </c>
      <c r="R248" s="39" t="n">
        <v>830.4</v>
      </c>
      <c r="S248" s="39" t="n">
        <v>375.1</v>
      </c>
    </row>
    <row r="249" customFormat="false" ht="15" hidden="false" customHeight="false" outlineLevel="0" collapsed="false">
      <c r="A249" s="8" t="n">
        <v>45163</v>
      </c>
      <c r="B249" s="39" t="n">
        <v>19265.8</v>
      </c>
      <c r="C249" s="39" t="n">
        <v>16820.85</v>
      </c>
      <c r="D249" s="39" t="n">
        <v>1591.25</v>
      </c>
      <c r="E249" s="39" t="n">
        <v>738.9</v>
      </c>
      <c r="F249" s="39" t="n">
        <v>849.2</v>
      </c>
      <c r="G249" s="39" t="n">
        <v>417.25</v>
      </c>
      <c r="H249" s="39" t="n">
        <v>639.4</v>
      </c>
      <c r="I249" s="39" t="n">
        <v>383.4</v>
      </c>
      <c r="J249" s="39" t="n">
        <v>2295.65</v>
      </c>
      <c r="K249" s="39" t="n">
        <v>720.17</v>
      </c>
      <c r="L249" s="39" t="n">
        <v>1082.2</v>
      </c>
      <c r="M249" s="39" t="n">
        <v>1410.3</v>
      </c>
      <c r="N249" s="39" t="n">
        <v>569.51</v>
      </c>
      <c r="O249" s="39" t="n">
        <v>294.25</v>
      </c>
      <c r="P249" s="39" t="n">
        <v>1259.45</v>
      </c>
      <c r="Q249" s="39" t="n">
        <v>430.75</v>
      </c>
      <c r="R249" s="39" t="n">
        <v>820.75</v>
      </c>
      <c r="S249" s="39" t="n">
        <v>372.83</v>
      </c>
    </row>
    <row r="250" customFormat="false" ht="15" hidden="false" customHeight="false" outlineLevel="0" collapsed="false">
      <c r="A250" s="8" t="n">
        <v>45166</v>
      </c>
      <c r="B250" s="39" t="n">
        <v>19306.05</v>
      </c>
      <c r="C250" s="39" t="n">
        <v>16875.3</v>
      </c>
      <c r="D250" s="39" t="n">
        <v>1599.05</v>
      </c>
      <c r="E250" s="39" t="n">
        <v>743.55</v>
      </c>
      <c r="F250" s="39" t="n">
        <v>836.2</v>
      </c>
      <c r="G250" s="39" t="n">
        <v>420</v>
      </c>
      <c r="H250" s="39" t="n">
        <v>652.05</v>
      </c>
      <c r="I250" s="39" t="n">
        <v>391.35</v>
      </c>
      <c r="J250" s="39" t="n">
        <v>2312.45</v>
      </c>
      <c r="K250" s="39" t="n">
        <v>722.58</v>
      </c>
      <c r="L250" s="39" t="n">
        <v>1092.95</v>
      </c>
      <c r="M250" s="39" t="n">
        <v>1409.05</v>
      </c>
      <c r="N250" s="39" t="n">
        <v>576.31</v>
      </c>
      <c r="O250" s="39" t="n">
        <v>292.7</v>
      </c>
      <c r="P250" s="39" t="n">
        <v>1288</v>
      </c>
      <c r="Q250" s="39" t="n">
        <v>416</v>
      </c>
      <c r="R250" s="39" t="n">
        <v>823.7</v>
      </c>
      <c r="S250" s="39" t="n">
        <v>372.37</v>
      </c>
    </row>
    <row r="251" customFormat="false" ht="15" hidden="false" customHeight="false" outlineLevel="0" collapsed="false">
      <c r="A251" s="8" t="n">
        <v>45167</v>
      </c>
      <c r="B251" s="39" t="n">
        <v>19342.65</v>
      </c>
      <c r="C251" s="39" t="n">
        <v>16927.3</v>
      </c>
      <c r="D251" s="39" t="n">
        <v>1601.1</v>
      </c>
      <c r="E251" s="39" t="n">
        <v>749.2</v>
      </c>
      <c r="F251" s="39" t="n">
        <v>816.6</v>
      </c>
      <c r="G251" s="39" t="n">
        <v>423.3</v>
      </c>
      <c r="H251" s="39" t="n">
        <v>642.55</v>
      </c>
      <c r="I251" s="39" t="n">
        <v>388.85</v>
      </c>
      <c r="J251" s="39" t="n">
        <v>2393.25</v>
      </c>
      <c r="K251" s="39" t="n">
        <v>728.34</v>
      </c>
      <c r="L251" s="39" t="n">
        <v>1099.05</v>
      </c>
      <c r="M251" s="39" t="n">
        <v>1393.1</v>
      </c>
      <c r="N251" s="39" t="n">
        <v>571.06</v>
      </c>
      <c r="O251" s="39" t="n">
        <v>293.15</v>
      </c>
      <c r="P251" s="39" t="n">
        <v>1298.95</v>
      </c>
      <c r="Q251" s="39" t="n">
        <v>410.6</v>
      </c>
      <c r="R251" s="39" t="n">
        <v>824.55</v>
      </c>
      <c r="S251" s="39" t="n">
        <v>374.45</v>
      </c>
    </row>
    <row r="252" customFormat="false" ht="15" hidden="false" customHeight="false" outlineLevel="0" collapsed="false">
      <c r="A252" s="8" t="n">
        <v>45168</v>
      </c>
      <c r="B252" s="39" t="n">
        <v>19347.45</v>
      </c>
      <c r="C252" s="39" t="n">
        <v>16968.95</v>
      </c>
      <c r="D252" s="39" t="n">
        <v>1586.9</v>
      </c>
      <c r="E252" s="39" t="n">
        <v>749.65</v>
      </c>
      <c r="F252" s="39" t="n">
        <v>818.45</v>
      </c>
      <c r="G252" s="39" t="n">
        <v>421.05</v>
      </c>
      <c r="H252" s="39" t="n">
        <v>646.15</v>
      </c>
      <c r="I252" s="39" t="n">
        <v>387.9</v>
      </c>
      <c r="J252" s="39" t="n">
        <v>2411.15</v>
      </c>
      <c r="K252" s="39" t="n">
        <v>725.82</v>
      </c>
      <c r="L252" s="39" t="n">
        <v>1116.1</v>
      </c>
      <c r="M252" s="39" t="n">
        <v>1394.25</v>
      </c>
      <c r="N252" s="39" t="n">
        <v>561.06</v>
      </c>
      <c r="O252" s="39" t="n">
        <v>297.55</v>
      </c>
      <c r="P252" s="39" t="n">
        <v>1287.65</v>
      </c>
      <c r="Q252" s="39" t="n">
        <v>404.35</v>
      </c>
      <c r="R252" s="39" t="n">
        <v>825.05</v>
      </c>
      <c r="S252" s="39" t="n">
        <v>376.82</v>
      </c>
    </row>
    <row r="253" customFormat="false" ht="15" hidden="false" customHeight="false" outlineLevel="0" collapsed="false">
      <c r="A253" s="8" t="n">
        <v>45169</v>
      </c>
      <c r="B253" s="39" t="n">
        <v>19253.8</v>
      </c>
      <c r="C253" s="39" t="n">
        <v>16924.3</v>
      </c>
      <c r="D253" s="39" t="n">
        <v>1632.4</v>
      </c>
      <c r="E253" s="39" t="n">
        <v>751.35</v>
      </c>
      <c r="F253" s="39" t="n">
        <v>834.25</v>
      </c>
      <c r="G253" s="39" t="n">
        <v>423.35</v>
      </c>
      <c r="H253" s="39" t="n">
        <v>650.45</v>
      </c>
      <c r="I253" s="39" t="n">
        <v>388</v>
      </c>
      <c r="J253" s="39" t="n">
        <v>2391.3</v>
      </c>
      <c r="K253" s="39" t="n">
        <v>715.33</v>
      </c>
      <c r="L253" s="39" t="n">
        <v>1121.85</v>
      </c>
      <c r="M253" s="39" t="n">
        <v>1415.55</v>
      </c>
      <c r="N253" s="39" t="n">
        <v>589.33</v>
      </c>
      <c r="O253" s="39" t="n">
        <v>297.65</v>
      </c>
      <c r="P253" s="39" t="n">
        <v>1260.35</v>
      </c>
      <c r="Q253" s="39" t="n">
        <v>416.85</v>
      </c>
      <c r="R253" s="39" t="n">
        <v>816.55</v>
      </c>
      <c r="S253" s="39" t="n">
        <v>385.66</v>
      </c>
    </row>
    <row r="254" customFormat="false" ht="15" hidden="false" customHeight="false" outlineLevel="0" collapsed="false">
      <c r="A254" s="8" t="n">
        <v>45170</v>
      </c>
      <c r="B254" s="39" t="n">
        <v>19435.3</v>
      </c>
      <c r="C254" s="39" t="n">
        <v>17074.55</v>
      </c>
      <c r="D254" s="39" t="n">
        <v>1627.25</v>
      </c>
      <c r="E254" s="39" t="n">
        <v>760</v>
      </c>
      <c r="F254" s="39" t="n">
        <v>863.3</v>
      </c>
      <c r="G254" s="39" t="n">
        <v>433.2</v>
      </c>
      <c r="H254" s="39" t="n">
        <v>651.65</v>
      </c>
      <c r="I254" s="39" t="n">
        <v>387.05</v>
      </c>
      <c r="J254" s="39" t="n">
        <v>2354.2</v>
      </c>
      <c r="K254" s="39" t="n">
        <v>731.07</v>
      </c>
      <c r="L254" s="39" t="n">
        <v>1128.85</v>
      </c>
      <c r="M254" s="39" t="n">
        <v>1409.2</v>
      </c>
      <c r="N254" s="39" t="n">
        <v>578.15</v>
      </c>
      <c r="O254" s="39" t="n">
        <v>299.15</v>
      </c>
      <c r="P254" s="39" t="n">
        <v>1261.25</v>
      </c>
      <c r="Q254" s="39" t="n">
        <v>409.8</v>
      </c>
      <c r="R254" s="39" t="n">
        <v>840.3</v>
      </c>
      <c r="S254" s="39" t="n">
        <v>382.41</v>
      </c>
    </row>
    <row r="255" customFormat="false" ht="15" hidden="false" customHeight="false" outlineLevel="0" collapsed="false">
      <c r="A255" s="8" t="n">
        <v>45173</v>
      </c>
      <c r="B255" s="39" t="n">
        <v>19528.8</v>
      </c>
      <c r="C255" s="39" t="n">
        <v>17180.95</v>
      </c>
      <c r="D255" s="39" t="n">
        <v>1645.5</v>
      </c>
      <c r="E255" s="39" t="n">
        <v>766.1</v>
      </c>
      <c r="F255" s="39" t="n">
        <v>845.85</v>
      </c>
      <c r="G255" s="39" t="n">
        <v>447.8</v>
      </c>
      <c r="H255" s="39" t="n">
        <v>662.45</v>
      </c>
      <c r="I255" s="39" t="n">
        <v>385</v>
      </c>
      <c r="J255" s="39" t="n">
        <v>2323.45</v>
      </c>
      <c r="K255" s="39" t="n">
        <v>726.04</v>
      </c>
      <c r="L255" s="39" t="n">
        <v>1103.95</v>
      </c>
      <c r="M255" s="39" t="n">
        <v>1458.3</v>
      </c>
      <c r="N255" s="39" t="n">
        <v>580.44</v>
      </c>
      <c r="O255" s="39" t="n">
        <v>295.75</v>
      </c>
      <c r="P255" s="39" t="n">
        <v>1278.05</v>
      </c>
      <c r="Q255" s="39" t="n">
        <v>402.5</v>
      </c>
      <c r="R255" s="39" t="n">
        <v>841.75</v>
      </c>
      <c r="S255" s="39" t="n">
        <v>378.78</v>
      </c>
    </row>
    <row r="256" customFormat="false" ht="15" hidden="false" customHeight="false" outlineLevel="0" collapsed="false">
      <c r="A256" s="8" t="n">
        <v>45174</v>
      </c>
      <c r="B256" s="39" t="n">
        <v>19574.9</v>
      </c>
      <c r="C256" s="39" t="n">
        <v>17252.1</v>
      </c>
      <c r="D256" s="39" t="n">
        <v>1636.7</v>
      </c>
      <c r="E256" s="39" t="n">
        <v>782.9</v>
      </c>
      <c r="F256" s="39" t="n">
        <v>859.85</v>
      </c>
      <c r="G256" s="39" t="n">
        <v>451.05</v>
      </c>
      <c r="H256" s="39" t="n">
        <v>675.35</v>
      </c>
      <c r="I256" s="39" t="n">
        <v>382.45</v>
      </c>
      <c r="J256" s="39" t="n">
        <v>2385.85</v>
      </c>
      <c r="K256" s="39" t="n">
        <v>733.51</v>
      </c>
      <c r="L256" s="39" t="n">
        <v>1096.75</v>
      </c>
      <c r="M256" s="39" t="n">
        <v>1449.8</v>
      </c>
      <c r="N256" s="39" t="n">
        <v>585</v>
      </c>
      <c r="O256" s="39" t="n">
        <v>292.65</v>
      </c>
      <c r="P256" s="39" t="n">
        <v>1283</v>
      </c>
      <c r="Q256" s="39" t="n">
        <v>409.75</v>
      </c>
      <c r="R256" s="39" t="n">
        <v>833.8</v>
      </c>
      <c r="S256" s="39" t="n">
        <v>382.7</v>
      </c>
    </row>
    <row r="257" customFormat="false" ht="15" hidden="false" customHeight="false" outlineLevel="0" collapsed="false">
      <c r="A257" s="8" t="n">
        <v>45175</v>
      </c>
      <c r="B257" s="39" t="n">
        <v>19611.05</v>
      </c>
      <c r="C257" s="39" t="n">
        <v>17284.6</v>
      </c>
      <c r="D257" s="39" t="n">
        <v>1632</v>
      </c>
      <c r="E257" s="39" t="n">
        <v>782.1</v>
      </c>
      <c r="F257" s="39" t="n">
        <v>871.15</v>
      </c>
      <c r="G257" s="39" t="n">
        <v>449.25</v>
      </c>
      <c r="H257" s="39" t="n">
        <v>671.7</v>
      </c>
      <c r="I257" s="39" t="n">
        <v>391.95</v>
      </c>
      <c r="J257" s="39" t="n">
        <v>2317.4</v>
      </c>
      <c r="K257" s="39" t="n">
        <v>737.78</v>
      </c>
      <c r="L257" s="39" t="n">
        <v>1104.85</v>
      </c>
      <c r="M257" s="39" t="n">
        <v>1460.7</v>
      </c>
      <c r="N257" s="39" t="n">
        <v>577.43</v>
      </c>
      <c r="O257" s="39" t="n">
        <v>294.35</v>
      </c>
      <c r="P257" s="39" t="n">
        <v>1277.5</v>
      </c>
      <c r="Q257" s="39" t="n">
        <v>398.25</v>
      </c>
      <c r="R257" s="39" t="n">
        <v>833.1</v>
      </c>
      <c r="S257" s="39" t="n">
        <v>378.52</v>
      </c>
    </row>
    <row r="258" customFormat="false" ht="15" hidden="false" customHeight="false" outlineLevel="0" collapsed="false">
      <c r="A258" s="8" t="n">
        <v>45176</v>
      </c>
      <c r="B258" s="39" t="n">
        <v>19727.05</v>
      </c>
      <c r="C258" s="39" t="n">
        <v>17385.5</v>
      </c>
      <c r="D258" s="39" t="n">
        <v>1670.1</v>
      </c>
      <c r="E258" s="39" t="n">
        <v>773.4</v>
      </c>
      <c r="F258" s="39" t="n">
        <v>860.1</v>
      </c>
      <c r="G258" s="39" t="n">
        <v>451</v>
      </c>
      <c r="H258" s="39" t="n">
        <v>672</v>
      </c>
      <c r="I258" s="39" t="n">
        <v>396.55</v>
      </c>
      <c r="J258" s="39" t="n">
        <v>2339.85</v>
      </c>
      <c r="K258" s="39" t="n">
        <v>735.32</v>
      </c>
      <c r="L258" s="39" t="n">
        <v>1129.25</v>
      </c>
      <c r="M258" s="39" t="n">
        <v>1442.15</v>
      </c>
      <c r="N258" s="39" t="n">
        <v>571.89</v>
      </c>
      <c r="O258" s="39" t="n">
        <v>299.9</v>
      </c>
      <c r="P258" s="39" t="n">
        <v>1276.85</v>
      </c>
      <c r="Q258" s="39" t="n">
        <v>388.65</v>
      </c>
      <c r="R258" s="39" t="n">
        <v>834.65</v>
      </c>
      <c r="S258" s="39" t="n">
        <v>378.74</v>
      </c>
    </row>
    <row r="259" customFormat="false" ht="15" hidden="false" customHeight="false" outlineLevel="0" collapsed="false">
      <c r="A259" s="8" t="n">
        <v>45177</v>
      </c>
      <c r="B259" s="39" t="n">
        <v>19819.95</v>
      </c>
      <c r="C259" s="39" t="n">
        <v>17487.45</v>
      </c>
      <c r="D259" s="39" t="n">
        <v>1665.05</v>
      </c>
      <c r="E259" s="39" t="n">
        <v>773.65</v>
      </c>
      <c r="F259" s="39" t="n">
        <v>859.8</v>
      </c>
      <c r="G259" s="39" t="n">
        <v>452.95</v>
      </c>
      <c r="H259" s="39" t="n">
        <v>678.05</v>
      </c>
      <c r="I259" s="39" t="n">
        <v>395.3</v>
      </c>
      <c r="J259" s="39" t="n">
        <v>2333.25</v>
      </c>
      <c r="K259" s="39" t="n">
        <v>740.06</v>
      </c>
      <c r="L259" s="39" t="n">
        <v>1175.95</v>
      </c>
      <c r="M259" s="39" t="n">
        <v>1432.5</v>
      </c>
      <c r="N259" s="39" t="n">
        <v>596.95</v>
      </c>
      <c r="O259" s="39" t="n">
        <v>301.65</v>
      </c>
      <c r="P259" s="39" t="n">
        <v>1284.2</v>
      </c>
      <c r="Q259" s="39" t="n">
        <v>389.95</v>
      </c>
      <c r="R259" s="39" t="n">
        <v>839.9</v>
      </c>
      <c r="S259" s="39" t="n">
        <v>390.77</v>
      </c>
    </row>
    <row r="260" customFormat="false" ht="15" hidden="false" customHeight="false" outlineLevel="0" collapsed="false">
      <c r="A260" s="8" t="n">
        <v>45180</v>
      </c>
      <c r="B260" s="39" t="n">
        <v>19996.35</v>
      </c>
      <c r="C260" s="39" t="n">
        <v>17653.35</v>
      </c>
      <c r="D260" s="39" t="n">
        <v>1718.6</v>
      </c>
      <c r="E260" s="39" t="n">
        <v>788.55</v>
      </c>
      <c r="F260" s="39" t="n">
        <v>851.2</v>
      </c>
      <c r="G260" s="39" t="n">
        <v>454.85</v>
      </c>
      <c r="H260" s="39" t="n">
        <v>673.7</v>
      </c>
      <c r="I260" s="39" t="n">
        <v>394.25</v>
      </c>
      <c r="J260" s="39" t="n">
        <v>2302.55</v>
      </c>
      <c r="K260" s="39" t="n">
        <v>738.16</v>
      </c>
      <c r="L260" s="39" t="n">
        <v>1184.4</v>
      </c>
      <c r="M260" s="39" t="n">
        <v>1460.95</v>
      </c>
      <c r="N260" s="39" t="n">
        <v>600.25</v>
      </c>
      <c r="O260" s="39" t="n">
        <v>302.85</v>
      </c>
      <c r="P260" s="39" t="n">
        <v>1296.55</v>
      </c>
      <c r="Q260" s="39" t="n">
        <v>394.05</v>
      </c>
      <c r="R260" s="39" t="n">
        <v>851</v>
      </c>
      <c r="S260" s="39" t="n">
        <v>391.44</v>
      </c>
    </row>
    <row r="261" customFormat="false" ht="15" hidden="false" customHeight="false" outlineLevel="0" collapsed="false">
      <c r="A261" s="8" t="n">
        <v>45181</v>
      </c>
      <c r="B261" s="39" t="n">
        <v>19993.2</v>
      </c>
      <c r="C261" s="39" t="n">
        <v>17460.55</v>
      </c>
      <c r="D261" s="39" t="n">
        <v>1647.85</v>
      </c>
      <c r="E261" s="39" t="n">
        <v>751.8</v>
      </c>
      <c r="F261" s="39" t="n">
        <v>851.95</v>
      </c>
      <c r="G261" s="39" t="n">
        <v>439.45</v>
      </c>
      <c r="H261" s="39" t="n">
        <v>667.95</v>
      </c>
      <c r="I261" s="39" t="n">
        <v>374.6</v>
      </c>
      <c r="J261" s="39" t="n">
        <v>2200.3</v>
      </c>
      <c r="K261" s="39" t="n">
        <v>742.12</v>
      </c>
      <c r="L261" s="39" t="n">
        <v>1166.05</v>
      </c>
      <c r="M261" s="39" t="n">
        <v>1387.9</v>
      </c>
      <c r="N261" s="39" t="n">
        <v>561.79</v>
      </c>
      <c r="O261" s="39" t="n">
        <v>293.15</v>
      </c>
      <c r="P261" s="39" t="n">
        <v>1271.6</v>
      </c>
      <c r="Q261" s="39" t="n">
        <v>377</v>
      </c>
      <c r="R261" s="39" t="n">
        <v>835.6</v>
      </c>
      <c r="S261" s="39" t="n">
        <v>382.23</v>
      </c>
    </row>
    <row r="262" customFormat="false" ht="15" hidden="false" customHeight="false" outlineLevel="0" collapsed="false">
      <c r="A262" s="8" t="n">
        <v>45182</v>
      </c>
      <c r="B262" s="39" t="n">
        <v>20070</v>
      </c>
      <c r="C262" s="39" t="n">
        <v>17526.75</v>
      </c>
      <c r="D262" s="39" t="n">
        <v>1646.45</v>
      </c>
      <c r="E262" s="39" t="n">
        <v>775.05</v>
      </c>
      <c r="F262" s="39" t="n">
        <v>836.5</v>
      </c>
      <c r="G262" s="39" t="n">
        <v>450.8</v>
      </c>
      <c r="H262" s="39" t="n">
        <v>684.1</v>
      </c>
      <c r="I262" s="39" t="n">
        <v>376.3</v>
      </c>
      <c r="J262" s="39" t="n">
        <v>2224.8</v>
      </c>
      <c r="K262" s="39" t="n">
        <v>746.57</v>
      </c>
      <c r="L262" s="39" t="n">
        <v>1160.2</v>
      </c>
      <c r="M262" s="39" t="n">
        <v>1407.85</v>
      </c>
      <c r="N262" s="39" t="n">
        <v>567.81</v>
      </c>
      <c r="O262" s="39" t="n">
        <v>297.8</v>
      </c>
      <c r="P262" s="39" t="n">
        <v>1281.15</v>
      </c>
      <c r="Q262" s="39" t="n">
        <v>374.85</v>
      </c>
      <c r="R262" s="39" t="n">
        <v>832.2</v>
      </c>
      <c r="S262" s="39" t="n">
        <v>382.07</v>
      </c>
    </row>
    <row r="263" customFormat="false" ht="15" hidden="false" customHeight="false" outlineLevel="0" collapsed="false">
      <c r="A263" s="8" t="n">
        <v>45183</v>
      </c>
      <c r="B263" s="39" t="n">
        <v>20103.1</v>
      </c>
      <c r="C263" s="39" t="n">
        <v>17603.5</v>
      </c>
      <c r="D263" s="39" t="n">
        <v>1659.85</v>
      </c>
      <c r="E263" s="39" t="n">
        <v>781.85</v>
      </c>
      <c r="F263" s="39" t="n">
        <v>850.2</v>
      </c>
      <c r="G263" s="39" t="n">
        <v>461.75</v>
      </c>
      <c r="H263" s="39" t="n">
        <v>726.75</v>
      </c>
      <c r="I263" s="39" t="n">
        <v>383.95</v>
      </c>
      <c r="J263" s="39" t="n">
        <v>2306.9</v>
      </c>
      <c r="K263" s="39" t="n">
        <v>748.41</v>
      </c>
      <c r="L263" s="39" t="n">
        <v>1208.55</v>
      </c>
      <c r="M263" s="39" t="n">
        <v>1408.6</v>
      </c>
      <c r="N263" s="39" t="n">
        <v>573.69</v>
      </c>
      <c r="O263" s="39" t="n">
        <v>300.15</v>
      </c>
      <c r="P263" s="39" t="n">
        <v>1290.5</v>
      </c>
      <c r="Q263" s="39" t="n">
        <v>381.9</v>
      </c>
      <c r="R263" s="39" t="n">
        <v>826</v>
      </c>
      <c r="S263" s="39" t="n">
        <v>383.08</v>
      </c>
    </row>
    <row r="264" customFormat="false" ht="15" hidden="false" customHeight="false" outlineLevel="0" collapsed="false">
      <c r="A264" s="8" t="n">
        <v>45184</v>
      </c>
      <c r="B264" s="39" t="n">
        <v>20192.35</v>
      </c>
      <c r="C264" s="39" t="n">
        <v>17665.8</v>
      </c>
      <c r="D264" s="39" t="n">
        <v>1674.55</v>
      </c>
      <c r="E264" s="39" t="n">
        <v>781.25</v>
      </c>
      <c r="F264" s="39" t="n">
        <v>849.45</v>
      </c>
      <c r="G264" s="39" t="n">
        <v>458.75</v>
      </c>
      <c r="H264" s="39" t="n">
        <v>719.55</v>
      </c>
      <c r="I264" s="39" t="n">
        <v>393.7</v>
      </c>
      <c r="J264" s="39" t="n">
        <v>2285.95</v>
      </c>
      <c r="K264" s="39" t="n">
        <v>748.2</v>
      </c>
      <c r="L264" s="39" t="n">
        <v>1227.1</v>
      </c>
      <c r="M264" s="39" t="n">
        <v>1381.4</v>
      </c>
      <c r="N264" s="39" t="n">
        <v>568.59</v>
      </c>
      <c r="O264" s="39" t="n">
        <v>300.95</v>
      </c>
      <c r="P264" s="39" t="n">
        <v>1325.55</v>
      </c>
      <c r="Q264" s="39" t="n">
        <v>388.95</v>
      </c>
      <c r="R264" s="39" t="n">
        <v>839</v>
      </c>
      <c r="S264" s="39" t="n">
        <v>384.45</v>
      </c>
    </row>
    <row r="265" customFormat="false" ht="15" hidden="false" customHeight="false" outlineLevel="0" collapsed="false">
      <c r="A265" s="8" t="n">
        <v>45187</v>
      </c>
      <c r="B265" s="39" t="n">
        <v>20133.3</v>
      </c>
      <c r="C265" s="39" t="n">
        <v>17613.6</v>
      </c>
      <c r="D265" s="39" t="n">
        <v>1664.05</v>
      </c>
      <c r="E265" s="39" t="n">
        <v>769.6</v>
      </c>
      <c r="F265" s="39" t="n">
        <v>843.95</v>
      </c>
      <c r="G265" s="39" t="n">
        <v>455.9</v>
      </c>
      <c r="H265" s="39" t="n">
        <v>689.9</v>
      </c>
      <c r="I265" s="39" t="n">
        <v>389</v>
      </c>
      <c r="J265" s="39" t="n">
        <v>2241.4</v>
      </c>
      <c r="K265" s="39" t="n">
        <v>753.84</v>
      </c>
      <c r="L265" s="39" t="n">
        <v>1193.55</v>
      </c>
      <c r="M265" s="39" t="n">
        <v>1331.55</v>
      </c>
      <c r="N265" s="39" t="n">
        <v>569.8</v>
      </c>
      <c r="O265" s="39" t="n">
        <v>301.45</v>
      </c>
      <c r="P265" s="39" t="n">
        <v>1331</v>
      </c>
      <c r="Q265" s="39" t="n">
        <v>378.15</v>
      </c>
      <c r="R265" s="39" t="n">
        <v>819.95</v>
      </c>
      <c r="S265" s="39" t="n">
        <v>382.5</v>
      </c>
    </row>
    <row r="266" customFormat="false" ht="15" hidden="false" customHeight="false" outlineLevel="0" collapsed="false">
      <c r="A266" s="8" t="n">
        <v>45189</v>
      </c>
      <c r="B266" s="39" t="n">
        <v>19901.4</v>
      </c>
      <c r="C266" s="39" t="n">
        <v>17449.35</v>
      </c>
      <c r="D266" s="39" t="n">
        <v>1669.2</v>
      </c>
      <c r="E266" s="39" t="n">
        <v>771.5</v>
      </c>
      <c r="F266" s="39" t="n">
        <v>848.35</v>
      </c>
      <c r="G266" s="39" t="n">
        <v>456.75</v>
      </c>
      <c r="H266" s="39" t="n">
        <v>674.5</v>
      </c>
      <c r="I266" s="39" t="n">
        <v>381.7</v>
      </c>
      <c r="J266" s="39" t="n">
        <v>2314.55</v>
      </c>
      <c r="K266" s="39" t="n">
        <v>752.88</v>
      </c>
      <c r="L266" s="39" t="n">
        <v>1199</v>
      </c>
      <c r="M266" s="39" t="n">
        <v>1348.5</v>
      </c>
      <c r="N266" s="39" t="n">
        <v>573.15</v>
      </c>
      <c r="O266" s="39" t="n">
        <v>309.5</v>
      </c>
      <c r="P266" s="39" t="n">
        <v>1300.05</v>
      </c>
      <c r="Q266" s="39" t="n">
        <v>376.1</v>
      </c>
      <c r="R266" s="39" t="n">
        <v>811.2</v>
      </c>
      <c r="S266" s="39" t="n">
        <v>383.58</v>
      </c>
    </row>
    <row r="267" customFormat="false" ht="15" hidden="false" customHeight="false" outlineLevel="0" collapsed="false">
      <c r="A267" s="8" t="n">
        <v>45190</v>
      </c>
      <c r="B267" s="39" t="n">
        <v>19742.35</v>
      </c>
      <c r="C267" s="39" t="n">
        <v>17303.5</v>
      </c>
      <c r="D267" s="39" t="n">
        <v>1669.1</v>
      </c>
      <c r="E267" s="39" t="n">
        <v>758.8</v>
      </c>
      <c r="F267" s="39" t="n">
        <v>839.1</v>
      </c>
      <c r="G267" s="39" t="n">
        <v>455.6</v>
      </c>
      <c r="H267" s="39" t="n">
        <v>663.4</v>
      </c>
      <c r="I267" s="39" t="n">
        <v>373.5</v>
      </c>
      <c r="J267" s="39" t="n">
        <v>2309.35</v>
      </c>
      <c r="K267" s="39" t="n">
        <v>747.4</v>
      </c>
      <c r="L267" s="39" t="n">
        <v>1188.2</v>
      </c>
      <c r="M267" s="39" t="n">
        <v>1319</v>
      </c>
      <c r="N267" s="39" t="n">
        <v>568.29</v>
      </c>
      <c r="O267" s="39" t="n">
        <v>301</v>
      </c>
      <c r="P267" s="39" t="n">
        <v>1278.5</v>
      </c>
      <c r="Q267" s="39" t="n">
        <v>379.5</v>
      </c>
      <c r="R267" s="39" t="n">
        <v>800</v>
      </c>
      <c r="S267" s="39" t="n">
        <v>380.06</v>
      </c>
    </row>
    <row r="268" customFormat="false" ht="15" hidden="false" customHeight="false" outlineLevel="0" collapsed="false">
      <c r="A268" s="8" t="n">
        <v>45191</v>
      </c>
      <c r="B268" s="39" t="n">
        <v>19674.25</v>
      </c>
      <c r="C268" s="39" t="n">
        <v>17260.8</v>
      </c>
      <c r="D268" s="39" t="n">
        <v>1653.45</v>
      </c>
      <c r="E268" s="39" t="n">
        <v>761.5</v>
      </c>
      <c r="F268" s="39" t="n">
        <v>834</v>
      </c>
      <c r="G268" s="39" t="n">
        <v>460.45</v>
      </c>
      <c r="H268" s="39" t="n">
        <v>688.15</v>
      </c>
      <c r="I268" s="39" t="n">
        <v>375.05</v>
      </c>
      <c r="J268" s="39" t="n">
        <v>2215.75</v>
      </c>
      <c r="K268" s="39" t="n">
        <v>746.12</v>
      </c>
      <c r="L268" s="39" t="n">
        <v>1188.2</v>
      </c>
      <c r="M268" s="39" t="n">
        <v>1291.7</v>
      </c>
      <c r="N268" s="39" t="n">
        <v>559.36</v>
      </c>
      <c r="O268" s="39" t="n">
        <v>302.55</v>
      </c>
      <c r="P268" s="39" t="n">
        <v>1270.2</v>
      </c>
      <c r="Q268" s="39" t="n">
        <v>373.3</v>
      </c>
      <c r="R268" s="39" t="n">
        <v>798.4</v>
      </c>
      <c r="S268" s="39" t="n">
        <v>378.19</v>
      </c>
    </row>
    <row r="269" customFormat="false" ht="15" hidden="false" customHeight="false" outlineLevel="0" collapsed="false">
      <c r="A269" s="8" t="n">
        <v>45194</v>
      </c>
      <c r="B269" s="39" t="n">
        <v>19674.55</v>
      </c>
      <c r="C269" s="39" t="n">
        <v>17272.55</v>
      </c>
      <c r="D269" s="39" t="n">
        <v>1695.5</v>
      </c>
      <c r="E269" s="39" t="n">
        <v>771.75</v>
      </c>
      <c r="F269" s="39" t="n">
        <v>839.45</v>
      </c>
      <c r="G269" s="39" t="n">
        <v>462.85</v>
      </c>
      <c r="H269" s="39" t="n">
        <v>659.9</v>
      </c>
      <c r="I269" s="39" t="n">
        <v>377.85</v>
      </c>
      <c r="J269" s="39" t="n">
        <v>2207.35</v>
      </c>
      <c r="K269" s="39" t="n">
        <v>780.92</v>
      </c>
      <c r="L269" s="39" t="n">
        <v>1183.1</v>
      </c>
      <c r="M269" s="39" t="n">
        <v>1289</v>
      </c>
      <c r="N269" s="39" t="n">
        <v>559.16</v>
      </c>
      <c r="O269" s="39" t="n">
        <v>300.1</v>
      </c>
      <c r="P269" s="39" t="n">
        <v>1261.25</v>
      </c>
      <c r="Q269" s="39" t="n">
        <v>371</v>
      </c>
      <c r="R269" s="39" t="n">
        <v>787.4</v>
      </c>
      <c r="S269" s="39" t="n">
        <v>389.11</v>
      </c>
    </row>
    <row r="270" customFormat="false" ht="15" hidden="false" customHeight="false" outlineLevel="0" collapsed="false">
      <c r="A270" s="8" t="n">
        <v>45195</v>
      </c>
      <c r="B270" s="39" t="n">
        <v>19664.7</v>
      </c>
      <c r="C270" s="39" t="n">
        <v>17276.75</v>
      </c>
      <c r="D270" s="39" t="n">
        <v>1718.75</v>
      </c>
      <c r="E270" s="39" t="n">
        <v>758.85</v>
      </c>
      <c r="F270" s="39" t="n">
        <v>821.6</v>
      </c>
      <c r="G270" s="39" t="n">
        <v>464.15</v>
      </c>
      <c r="H270" s="39" t="n">
        <v>655.5</v>
      </c>
      <c r="I270" s="39" t="n">
        <v>385.3</v>
      </c>
      <c r="J270" s="39" t="n">
        <v>2198.5</v>
      </c>
      <c r="K270" s="39" t="n">
        <v>786</v>
      </c>
      <c r="L270" s="39" t="n">
        <v>1195.05</v>
      </c>
      <c r="M270" s="39" t="n">
        <v>1329.95</v>
      </c>
      <c r="N270" s="39" t="n">
        <v>563.15</v>
      </c>
      <c r="O270" s="39" t="n">
        <v>297.05</v>
      </c>
      <c r="P270" s="39" t="n">
        <v>1236.8</v>
      </c>
      <c r="Q270" s="39" t="n">
        <v>378.15</v>
      </c>
      <c r="R270" s="39" t="n">
        <v>786.35</v>
      </c>
      <c r="S270" s="39" t="n">
        <v>376.92</v>
      </c>
    </row>
    <row r="271" customFormat="false" ht="15" hidden="false" customHeight="false" outlineLevel="0" collapsed="false">
      <c r="A271" s="8" t="n">
        <v>45196</v>
      </c>
      <c r="B271" s="39" t="n">
        <v>19716.45</v>
      </c>
      <c r="C271" s="39" t="n">
        <v>17341.6</v>
      </c>
      <c r="D271" s="39" t="n">
        <v>1704</v>
      </c>
      <c r="E271" s="39" t="n">
        <v>769.95</v>
      </c>
      <c r="F271" s="39" t="n">
        <v>818.4</v>
      </c>
      <c r="G271" s="39" t="n">
        <v>467.05</v>
      </c>
      <c r="H271" s="39" t="n">
        <v>662</v>
      </c>
      <c r="I271" s="39" t="n">
        <v>384.5</v>
      </c>
      <c r="J271" s="39" t="n">
        <v>2216.7</v>
      </c>
      <c r="K271" s="39" t="n">
        <v>782.69</v>
      </c>
      <c r="L271" s="39" t="n">
        <v>1198.3</v>
      </c>
      <c r="M271" s="39" t="n">
        <v>1324.85</v>
      </c>
      <c r="N271" s="39" t="n">
        <v>568.39</v>
      </c>
      <c r="O271" s="39" t="n">
        <v>298.05</v>
      </c>
      <c r="P271" s="39" t="n">
        <v>1259.45</v>
      </c>
      <c r="Q271" s="39" t="n">
        <v>379.5</v>
      </c>
      <c r="R271" s="39" t="n">
        <v>789.85</v>
      </c>
      <c r="S271" s="39" t="n">
        <v>378.48</v>
      </c>
    </row>
    <row r="272" customFormat="false" ht="15" hidden="false" customHeight="false" outlineLevel="0" collapsed="false">
      <c r="A272" s="8" t="n">
        <v>45197</v>
      </c>
      <c r="B272" s="39" t="n">
        <v>19523.55</v>
      </c>
      <c r="C272" s="39" t="n">
        <v>17170.45</v>
      </c>
      <c r="D272" s="39" t="n">
        <v>1714.55</v>
      </c>
      <c r="E272" s="39" t="n">
        <v>748.2</v>
      </c>
      <c r="F272" s="39" t="n">
        <v>820.55</v>
      </c>
      <c r="G272" s="39" t="n">
        <v>458.35</v>
      </c>
      <c r="H272" s="39" t="n">
        <v>680.1</v>
      </c>
      <c r="I272" s="39" t="n">
        <v>379.8</v>
      </c>
      <c r="J272" s="39" t="n">
        <v>2201.9</v>
      </c>
      <c r="K272" s="39" t="n">
        <v>772.85</v>
      </c>
      <c r="L272" s="39" t="n">
        <v>1219.8</v>
      </c>
      <c r="M272" s="39" t="n">
        <v>1299.75</v>
      </c>
      <c r="N272" s="39" t="n">
        <v>576.89</v>
      </c>
      <c r="O272" s="39" t="n">
        <v>291.9</v>
      </c>
      <c r="P272" s="39" t="n">
        <v>1214.75</v>
      </c>
      <c r="Q272" s="39" t="n">
        <v>375.35</v>
      </c>
      <c r="R272" s="39" t="n">
        <v>782.3</v>
      </c>
      <c r="S272" s="39" t="n">
        <v>374.29</v>
      </c>
    </row>
    <row r="273" customFormat="false" ht="15" hidden="false" customHeight="false" outlineLevel="0" collapsed="false">
      <c r="A273" s="8" t="n">
        <v>45198</v>
      </c>
      <c r="B273" s="39" t="n">
        <v>19638.3</v>
      </c>
      <c r="C273" s="39" t="n">
        <v>17292.6</v>
      </c>
      <c r="D273" s="39" t="n">
        <v>1739.3</v>
      </c>
      <c r="E273" s="39" t="n">
        <v>764.8</v>
      </c>
      <c r="F273" s="39" t="n">
        <v>811.25</v>
      </c>
      <c r="G273" s="39" t="n">
        <v>464.35</v>
      </c>
      <c r="H273" s="39" t="n">
        <v>694.1</v>
      </c>
      <c r="I273" s="39" t="n">
        <v>384.4</v>
      </c>
      <c r="J273" s="39" t="n">
        <v>2172.95</v>
      </c>
      <c r="K273" s="39" t="n">
        <v>780.01</v>
      </c>
      <c r="L273" s="39" t="n">
        <v>1217.55</v>
      </c>
      <c r="M273" s="39" t="n">
        <v>1315.5</v>
      </c>
      <c r="N273" s="39" t="n">
        <v>580.44</v>
      </c>
      <c r="O273" s="39" t="n">
        <v>301.35</v>
      </c>
      <c r="P273" s="39" t="n">
        <v>1252</v>
      </c>
      <c r="Q273" s="39" t="n">
        <v>380.3</v>
      </c>
      <c r="R273" s="39" t="n">
        <v>791.1</v>
      </c>
      <c r="S273" s="39" t="n">
        <v>383.87</v>
      </c>
    </row>
    <row r="274" customFormat="false" ht="15" hidden="false" customHeight="false" outlineLevel="0" collapsed="false">
      <c r="A274" s="8" t="n">
        <v>45202</v>
      </c>
      <c r="B274" s="39" t="n">
        <v>19528.75</v>
      </c>
      <c r="C274" s="39" t="n">
        <v>17254.4</v>
      </c>
      <c r="D274" s="39" t="n">
        <v>1799.05</v>
      </c>
      <c r="E274" s="39" t="n">
        <v>765.35</v>
      </c>
      <c r="F274" s="39" t="n">
        <v>832.3</v>
      </c>
      <c r="G274" s="39" t="n">
        <v>477.3</v>
      </c>
      <c r="H274" s="39" t="n">
        <v>742.3</v>
      </c>
      <c r="I274" s="39" t="n">
        <v>396.95</v>
      </c>
      <c r="J274" s="39" t="n">
        <v>2180.05</v>
      </c>
      <c r="K274" s="39" t="n">
        <v>795.68</v>
      </c>
      <c r="L274" s="39" t="n">
        <v>1253.8</v>
      </c>
      <c r="M274" s="39" t="n">
        <v>1331.95</v>
      </c>
      <c r="N274" s="39" t="n">
        <v>594.76</v>
      </c>
      <c r="O274" s="39" t="n">
        <v>301</v>
      </c>
      <c r="P274" s="39" t="n">
        <v>1235.15</v>
      </c>
      <c r="Q274" s="39" t="n">
        <v>382</v>
      </c>
      <c r="R274" s="39" t="n">
        <v>796.5</v>
      </c>
      <c r="S274" s="39" t="n">
        <v>384.39</v>
      </c>
    </row>
    <row r="275" customFormat="false" ht="15" hidden="false" customHeight="false" outlineLevel="0" collapsed="false">
      <c r="A275" s="8" t="n">
        <v>45203</v>
      </c>
      <c r="B275" s="39" t="n">
        <v>19436.1</v>
      </c>
      <c r="C275" s="39" t="n">
        <v>17123.1</v>
      </c>
      <c r="D275" s="39" t="n">
        <v>1790.05</v>
      </c>
      <c r="E275" s="39" t="n">
        <v>754.25</v>
      </c>
      <c r="F275" s="39" t="n">
        <v>821.55</v>
      </c>
      <c r="G275" s="39" t="n">
        <v>467.35</v>
      </c>
      <c r="H275" s="39" t="n">
        <v>721.55</v>
      </c>
      <c r="I275" s="39" t="n">
        <v>393.95</v>
      </c>
      <c r="J275" s="39" t="n">
        <v>2268.9</v>
      </c>
      <c r="K275" s="39" t="n">
        <v>784.34</v>
      </c>
      <c r="L275" s="39" t="n">
        <v>1209.65</v>
      </c>
      <c r="M275" s="39" t="n">
        <v>1318.55</v>
      </c>
      <c r="N275" s="39" t="n">
        <v>594.91</v>
      </c>
      <c r="O275" s="39" t="n">
        <v>288.1</v>
      </c>
      <c r="P275" s="39" t="n">
        <v>1215.85</v>
      </c>
      <c r="Q275" s="39" t="n">
        <v>376.85</v>
      </c>
      <c r="R275" s="39" t="n">
        <v>792.3</v>
      </c>
      <c r="S275" s="39" t="n">
        <v>370.12</v>
      </c>
    </row>
    <row r="276" customFormat="false" ht="15" hidden="false" customHeight="false" outlineLevel="0" collapsed="false">
      <c r="A276" s="8" t="n">
        <v>45204</v>
      </c>
      <c r="B276" s="39" t="n">
        <v>19545.75</v>
      </c>
      <c r="C276" s="39" t="n">
        <v>17195.8</v>
      </c>
      <c r="D276" s="39" t="n">
        <v>1746.9</v>
      </c>
      <c r="E276" s="39" t="n">
        <v>757.85</v>
      </c>
      <c r="F276" s="39" t="n">
        <v>846.15</v>
      </c>
      <c r="G276" s="39" t="n">
        <v>471.1</v>
      </c>
      <c r="H276" s="39" t="n">
        <v>707.85</v>
      </c>
      <c r="I276" s="39" t="n">
        <v>390</v>
      </c>
      <c r="J276" s="39" t="n">
        <v>2300.35</v>
      </c>
      <c r="K276" s="39" t="n">
        <v>784.02</v>
      </c>
      <c r="L276" s="39" t="n">
        <v>1199.25</v>
      </c>
      <c r="M276" s="39" t="n">
        <v>1319.8</v>
      </c>
      <c r="N276" s="39" t="n">
        <v>594.57</v>
      </c>
      <c r="O276" s="39" t="n">
        <v>286.1</v>
      </c>
      <c r="P276" s="39" t="n">
        <v>1198.85</v>
      </c>
      <c r="Q276" s="39" t="n">
        <v>378.2</v>
      </c>
      <c r="R276" s="39" t="n">
        <v>789.95</v>
      </c>
      <c r="S276" s="39" t="n">
        <v>367.5</v>
      </c>
    </row>
    <row r="277" customFormat="false" ht="15" hidden="false" customHeight="false" outlineLevel="0" collapsed="false">
      <c r="A277" s="8" t="n">
        <v>45205</v>
      </c>
      <c r="B277" s="39" t="n">
        <v>19653.5</v>
      </c>
      <c r="C277" s="39" t="n">
        <v>17293.6</v>
      </c>
      <c r="D277" s="39" t="n">
        <v>1725.6</v>
      </c>
      <c r="E277" s="39" t="n">
        <v>773.7</v>
      </c>
      <c r="F277" s="39" t="n">
        <v>843.5</v>
      </c>
      <c r="G277" s="39" t="n">
        <v>468.35</v>
      </c>
      <c r="H277" s="39" t="n">
        <v>720.4</v>
      </c>
      <c r="I277" s="39" t="n">
        <v>394.85</v>
      </c>
      <c r="J277" s="39" t="n">
        <v>2317.95</v>
      </c>
      <c r="K277" s="39" t="n">
        <v>815.74</v>
      </c>
      <c r="L277" s="39" t="n">
        <v>1219.55</v>
      </c>
      <c r="M277" s="39" t="n">
        <v>1316.1</v>
      </c>
      <c r="N277" s="39" t="n">
        <v>617.79</v>
      </c>
      <c r="O277" s="39" t="n">
        <v>288.9</v>
      </c>
      <c r="P277" s="39" t="n">
        <v>1203.1</v>
      </c>
      <c r="Q277" s="39" t="n">
        <v>388.95</v>
      </c>
      <c r="R277" s="39" t="n">
        <v>798.15</v>
      </c>
      <c r="S277" s="39" t="n">
        <v>369.77</v>
      </c>
    </row>
    <row r="278" customFormat="false" ht="15" hidden="false" customHeight="false" outlineLevel="0" collapsed="false">
      <c r="A278" s="8" t="n">
        <v>45208</v>
      </c>
      <c r="B278" s="39" t="n">
        <v>19512.35</v>
      </c>
      <c r="C278" s="39" t="n">
        <v>17127.7</v>
      </c>
      <c r="D278" s="39" t="n">
        <v>1764.7</v>
      </c>
      <c r="E278" s="39" t="n">
        <v>750.4</v>
      </c>
      <c r="F278" s="39" t="n">
        <v>843.15</v>
      </c>
      <c r="G278" s="39" t="n">
        <v>466.1</v>
      </c>
      <c r="H278" s="39" t="n">
        <v>711</v>
      </c>
      <c r="I278" s="39" t="n">
        <v>383.9</v>
      </c>
      <c r="J278" s="39" t="n">
        <v>2295.7</v>
      </c>
      <c r="K278" s="39" t="n">
        <v>801.68</v>
      </c>
      <c r="L278" s="39" t="n">
        <v>1219.55</v>
      </c>
      <c r="M278" s="39" t="n">
        <v>1312.65</v>
      </c>
      <c r="N278" s="39" t="n">
        <v>609.43</v>
      </c>
      <c r="O278" s="39" t="n">
        <v>285.65</v>
      </c>
      <c r="P278" s="39" t="n">
        <v>1190.1</v>
      </c>
      <c r="Q278" s="39" t="n">
        <v>374.45</v>
      </c>
      <c r="R278" s="39" t="n">
        <v>783.15</v>
      </c>
      <c r="S278" s="39" t="n">
        <v>364.18</v>
      </c>
    </row>
    <row r="279" customFormat="false" ht="15" hidden="false" customHeight="false" outlineLevel="0" collapsed="false">
      <c r="A279" s="8" t="n">
        <v>45209</v>
      </c>
      <c r="B279" s="39" t="n">
        <v>19689.85</v>
      </c>
      <c r="C279" s="39" t="n">
        <v>17303.35</v>
      </c>
      <c r="D279" s="39" t="n">
        <v>1726.85</v>
      </c>
      <c r="E279" s="39" t="n">
        <v>758.9</v>
      </c>
      <c r="F279" s="39" t="n">
        <v>855.7</v>
      </c>
      <c r="G279" s="39" t="n">
        <v>469.35</v>
      </c>
      <c r="H279" s="39" t="n">
        <v>726.95</v>
      </c>
      <c r="I279" s="39" t="n">
        <v>383.85</v>
      </c>
      <c r="J279" s="39" t="n">
        <v>2329.6</v>
      </c>
      <c r="K279" s="39" t="n">
        <v>807.26</v>
      </c>
      <c r="L279" s="39" t="n">
        <v>1259.15</v>
      </c>
      <c r="M279" s="39" t="n">
        <v>1351.45</v>
      </c>
      <c r="N279" s="39" t="n">
        <v>616.13</v>
      </c>
      <c r="O279" s="39" t="n">
        <v>290.15</v>
      </c>
      <c r="P279" s="39" t="n">
        <v>1218.05</v>
      </c>
      <c r="Q279" s="39" t="n">
        <v>375.45</v>
      </c>
      <c r="R279" s="39" t="n">
        <v>791.4</v>
      </c>
      <c r="S279" s="39" t="n">
        <v>378.57</v>
      </c>
    </row>
    <row r="280" customFormat="false" ht="15" hidden="false" customHeight="false" outlineLevel="0" collapsed="false">
      <c r="A280" s="8" t="n">
        <v>45210</v>
      </c>
      <c r="B280" s="39" t="n">
        <v>19811.35</v>
      </c>
      <c r="C280" s="39" t="n">
        <v>17407.35</v>
      </c>
      <c r="D280" s="39" t="n">
        <v>1711.2</v>
      </c>
      <c r="E280" s="39" t="n">
        <v>755.05</v>
      </c>
      <c r="F280" s="39" t="n">
        <v>854.2</v>
      </c>
      <c r="G280" s="39" t="n">
        <v>473.95</v>
      </c>
      <c r="H280" s="39" t="n">
        <v>725.35</v>
      </c>
      <c r="I280" s="39" t="n">
        <v>388</v>
      </c>
      <c r="J280" s="39" t="n">
        <v>2338.75</v>
      </c>
      <c r="K280" s="39" t="n">
        <v>809.09</v>
      </c>
      <c r="L280" s="39" t="n">
        <v>1259.7</v>
      </c>
      <c r="M280" s="39" t="n">
        <v>1372.95</v>
      </c>
      <c r="N280" s="39" t="n">
        <v>607.68</v>
      </c>
      <c r="O280" s="39" t="n">
        <v>290.55</v>
      </c>
      <c r="P280" s="39" t="n">
        <v>1236.15</v>
      </c>
      <c r="Q280" s="39" t="n">
        <v>377.6</v>
      </c>
      <c r="R280" s="39" t="n">
        <v>800.7</v>
      </c>
      <c r="S280" s="39" t="n">
        <v>379.72</v>
      </c>
    </row>
    <row r="281" customFormat="false" ht="15" hidden="false" customHeight="false" outlineLevel="0" collapsed="false">
      <c r="A281" s="8" t="n">
        <v>45211</v>
      </c>
      <c r="B281" s="39" t="n">
        <v>19794</v>
      </c>
      <c r="C281" s="39" t="n">
        <v>17419.7</v>
      </c>
      <c r="D281" s="39" t="n">
        <v>1701.2</v>
      </c>
      <c r="E281" s="39" t="n">
        <v>752.25</v>
      </c>
      <c r="F281" s="39" t="n">
        <v>859</v>
      </c>
      <c r="G281" s="39" t="n">
        <v>471.85</v>
      </c>
      <c r="H281" s="39" t="n">
        <v>741.4</v>
      </c>
      <c r="I281" s="39" t="n">
        <v>398.85</v>
      </c>
      <c r="J281" s="39" t="n">
        <v>2328.7</v>
      </c>
      <c r="K281" s="39" t="n">
        <v>800.34</v>
      </c>
      <c r="L281" s="39" t="n">
        <v>1244.6</v>
      </c>
      <c r="M281" s="39" t="n">
        <v>1385.25</v>
      </c>
      <c r="N281" s="39" t="n">
        <v>620.16</v>
      </c>
      <c r="O281" s="39" t="n">
        <v>286.85</v>
      </c>
      <c r="P281" s="39" t="n">
        <v>1236.45</v>
      </c>
      <c r="Q281" s="39" t="n">
        <v>374.95</v>
      </c>
      <c r="R281" s="39" t="n">
        <v>801.05</v>
      </c>
      <c r="S281" s="39" t="n">
        <v>375.62</v>
      </c>
    </row>
    <row r="282" customFormat="false" ht="15" hidden="false" customHeight="false" outlineLevel="0" collapsed="false">
      <c r="A282" s="8" t="n">
        <v>45212</v>
      </c>
      <c r="B282" s="39" t="n">
        <v>19751.05</v>
      </c>
      <c r="C282" s="39" t="n">
        <v>17390.35</v>
      </c>
      <c r="D282" s="39" t="n">
        <v>1656.2</v>
      </c>
      <c r="E282" s="39" t="n">
        <v>746.85</v>
      </c>
      <c r="F282" s="39" t="n">
        <v>868.45</v>
      </c>
      <c r="G282" s="39" t="n">
        <v>470</v>
      </c>
      <c r="H282" s="39" t="n">
        <v>726.2</v>
      </c>
      <c r="I282" s="39" t="n">
        <v>394.75</v>
      </c>
      <c r="J282" s="39" t="n">
        <v>2336.75</v>
      </c>
      <c r="K282" s="39" t="n">
        <v>804.07</v>
      </c>
      <c r="L282" s="39" t="n">
        <v>1257.8</v>
      </c>
      <c r="M282" s="39" t="n">
        <v>1394.15</v>
      </c>
      <c r="N282" s="39" t="n">
        <v>613.22</v>
      </c>
      <c r="O282" s="39" t="n">
        <v>287.15</v>
      </c>
      <c r="P282" s="39" t="n">
        <v>1233.6</v>
      </c>
      <c r="Q282" s="39" t="n">
        <v>376.1</v>
      </c>
      <c r="R282" s="39" t="n">
        <v>789.9</v>
      </c>
      <c r="S282" s="39" t="n">
        <v>376.19</v>
      </c>
    </row>
    <row r="283" customFormat="false" ht="15" hidden="false" customHeight="false" outlineLevel="0" collapsed="false">
      <c r="A283" s="8" t="n">
        <v>45215</v>
      </c>
      <c r="B283" s="39" t="n">
        <v>19731.75</v>
      </c>
      <c r="C283" s="39" t="n">
        <v>17393</v>
      </c>
      <c r="D283" s="39" t="n">
        <v>1632.7</v>
      </c>
      <c r="E283" s="39" t="n">
        <v>738.95</v>
      </c>
      <c r="F283" s="39" t="n">
        <v>909.35</v>
      </c>
      <c r="G283" s="39" t="n">
        <v>471.7</v>
      </c>
      <c r="H283" s="39" t="n">
        <v>720.7</v>
      </c>
      <c r="I283" s="39" t="n">
        <v>390.45</v>
      </c>
      <c r="J283" s="39" t="n">
        <v>2315.2</v>
      </c>
      <c r="K283" s="39" t="n">
        <v>802.51</v>
      </c>
      <c r="L283" s="39" t="n">
        <v>1245.7</v>
      </c>
      <c r="M283" s="39" t="n">
        <v>1381.7</v>
      </c>
      <c r="N283" s="39" t="n">
        <v>653.05</v>
      </c>
      <c r="O283" s="39" t="n">
        <v>285.3</v>
      </c>
      <c r="P283" s="39" t="n">
        <v>1245.05</v>
      </c>
      <c r="Q283" s="39" t="n">
        <v>377.5</v>
      </c>
      <c r="R283" s="39" t="n">
        <v>799.95</v>
      </c>
      <c r="S283" s="39" t="n">
        <v>373.51</v>
      </c>
    </row>
    <row r="284" customFormat="false" ht="15" hidden="false" customHeight="false" outlineLevel="0" collapsed="false">
      <c r="A284" s="8" t="n">
        <v>45216</v>
      </c>
      <c r="B284" s="39" t="n">
        <v>19811.5</v>
      </c>
      <c r="C284" s="39" t="n">
        <v>17467.7</v>
      </c>
      <c r="D284" s="39" t="n">
        <v>1641.05</v>
      </c>
      <c r="E284" s="39" t="n">
        <v>768.25</v>
      </c>
      <c r="F284" s="39" t="n">
        <v>956.45</v>
      </c>
      <c r="G284" s="39" t="n">
        <v>475.8</v>
      </c>
      <c r="H284" s="39" t="n">
        <v>746.6</v>
      </c>
      <c r="I284" s="39" t="n">
        <v>400.3</v>
      </c>
      <c r="J284" s="39" t="n">
        <v>2326.95</v>
      </c>
      <c r="K284" s="39" t="n">
        <v>808.2</v>
      </c>
      <c r="L284" s="39" t="n">
        <v>1244.65</v>
      </c>
      <c r="M284" s="39" t="n">
        <v>1390.6</v>
      </c>
      <c r="N284" s="39" t="n">
        <v>646.25</v>
      </c>
      <c r="O284" s="39" t="n">
        <v>284.85</v>
      </c>
      <c r="P284" s="39" t="n">
        <v>1251.7</v>
      </c>
      <c r="Q284" s="39" t="n">
        <v>378.1</v>
      </c>
      <c r="R284" s="39" t="n">
        <v>805.05</v>
      </c>
      <c r="S284" s="39" t="n">
        <v>377.69</v>
      </c>
    </row>
    <row r="285" customFormat="false" ht="15" hidden="false" customHeight="false" outlineLevel="0" collapsed="false">
      <c r="A285" s="8" t="n">
        <v>45217</v>
      </c>
      <c r="B285" s="39" t="n">
        <v>19671.1</v>
      </c>
      <c r="C285" s="39" t="n">
        <v>17344</v>
      </c>
      <c r="D285" s="39" t="n">
        <v>1635.15</v>
      </c>
      <c r="E285" s="39" t="n">
        <v>762.7</v>
      </c>
      <c r="F285" s="39" t="n">
        <v>954.05</v>
      </c>
      <c r="G285" s="39" t="n">
        <v>470.8</v>
      </c>
      <c r="H285" s="39" t="n">
        <v>761.45</v>
      </c>
      <c r="I285" s="39" t="n">
        <v>427.95</v>
      </c>
      <c r="J285" s="39" t="n">
        <v>2311.7</v>
      </c>
      <c r="K285" s="39" t="n">
        <v>785.59</v>
      </c>
      <c r="L285" s="39" t="n">
        <v>1218.45</v>
      </c>
      <c r="M285" s="39" t="n">
        <v>1378.2</v>
      </c>
      <c r="N285" s="39" t="n">
        <v>629.39</v>
      </c>
      <c r="O285" s="39" t="n">
        <v>281.35</v>
      </c>
      <c r="P285" s="39" t="n">
        <v>1250.75</v>
      </c>
      <c r="Q285" s="39" t="n">
        <v>375.15</v>
      </c>
      <c r="R285" s="39" t="n">
        <v>799.1</v>
      </c>
      <c r="S285" s="39" t="n">
        <v>373.24</v>
      </c>
    </row>
    <row r="286" customFormat="false" ht="15" hidden="false" customHeight="false" outlineLevel="0" collapsed="false">
      <c r="A286" s="8" t="n">
        <v>45218</v>
      </c>
      <c r="B286" s="39" t="n">
        <v>19624.7</v>
      </c>
      <c r="C286" s="39" t="n">
        <v>17310.5</v>
      </c>
      <c r="D286" s="39" t="n">
        <v>1617.35</v>
      </c>
      <c r="E286" s="39" t="n">
        <v>765.1</v>
      </c>
      <c r="F286" s="39" t="n">
        <v>955.85</v>
      </c>
      <c r="G286" s="39" t="n">
        <v>467.45</v>
      </c>
      <c r="H286" s="39" t="n">
        <v>772.9</v>
      </c>
      <c r="I286" s="39" t="n">
        <v>421.35</v>
      </c>
      <c r="J286" s="39" t="n">
        <v>2320.15</v>
      </c>
      <c r="K286" s="39" t="n">
        <v>783.09</v>
      </c>
      <c r="L286" s="39" t="n">
        <v>1197.3</v>
      </c>
      <c r="M286" s="39" t="n">
        <v>1384.25</v>
      </c>
      <c r="N286" s="39" t="n">
        <v>637.55</v>
      </c>
      <c r="O286" s="39" t="n">
        <v>282.4</v>
      </c>
      <c r="P286" s="39" t="n">
        <v>1251.45</v>
      </c>
      <c r="Q286" s="39" t="n">
        <v>377.65</v>
      </c>
      <c r="R286" s="39" t="n">
        <v>790.65</v>
      </c>
      <c r="S286" s="39" t="n">
        <v>375.77</v>
      </c>
    </row>
    <row r="287" customFormat="false" ht="15" hidden="false" customHeight="false" outlineLevel="0" collapsed="false">
      <c r="A287" s="8" t="n">
        <v>45219</v>
      </c>
      <c r="B287" s="39" t="n">
        <v>19542.65</v>
      </c>
      <c r="C287" s="39" t="n">
        <v>17208.75</v>
      </c>
      <c r="D287" s="39" t="n">
        <v>1591.05</v>
      </c>
      <c r="E287" s="39" t="n">
        <v>761.75</v>
      </c>
      <c r="F287" s="39" t="n">
        <v>945.55</v>
      </c>
      <c r="G287" s="39" t="n">
        <v>459.6</v>
      </c>
      <c r="H287" s="39" t="n">
        <v>747.2</v>
      </c>
      <c r="I287" s="39" t="n">
        <v>416.7</v>
      </c>
      <c r="J287" s="39" t="n">
        <v>2349</v>
      </c>
      <c r="K287" s="39" t="n">
        <v>775.86</v>
      </c>
      <c r="L287" s="39" t="n">
        <v>1187.15</v>
      </c>
      <c r="M287" s="39" t="n">
        <v>1389.85</v>
      </c>
      <c r="N287" s="39" t="n">
        <v>624.24</v>
      </c>
      <c r="O287" s="39" t="n">
        <v>277.85</v>
      </c>
      <c r="P287" s="39" t="n">
        <v>1271.6</v>
      </c>
      <c r="Q287" s="39" t="n">
        <v>376.7</v>
      </c>
      <c r="R287" s="39" t="n">
        <v>785.9</v>
      </c>
      <c r="S287" s="39" t="n">
        <v>375.34</v>
      </c>
    </row>
    <row r="288" customFormat="false" ht="15" hidden="false" customHeight="false" outlineLevel="0" collapsed="false">
      <c r="A288" s="8" t="n">
        <v>45222</v>
      </c>
      <c r="B288" s="39" t="n">
        <v>19281.75</v>
      </c>
      <c r="C288" s="39" t="n">
        <v>16888.7</v>
      </c>
      <c r="D288" s="39" t="n">
        <v>1572.2</v>
      </c>
      <c r="E288" s="39" t="n">
        <v>736.15</v>
      </c>
      <c r="F288" s="39" t="n">
        <v>913.9</v>
      </c>
      <c r="G288" s="39" t="n">
        <v>451.85</v>
      </c>
      <c r="H288" s="39" t="n">
        <v>715.05</v>
      </c>
      <c r="I288" s="39" t="n">
        <v>394.25</v>
      </c>
      <c r="J288" s="39" t="n">
        <v>2265.6</v>
      </c>
      <c r="K288" s="39" t="n">
        <v>778.83</v>
      </c>
      <c r="L288" s="39" t="n">
        <v>1167.25</v>
      </c>
      <c r="M288" s="39" t="n">
        <v>1507.4</v>
      </c>
      <c r="N288" s="39" t="n">
        <v>595.15</v>
      </c>
      <c r="O288" s="39" t="n">
        <v>272.8</v>
      </c>
      <c r="P288" s="39" t="n">
        <v>1280.3</v>
      </c>
      <c r="Q288" s="39" t="n">
        <v>350.45</v>
      </c>
      <c r="R288" s="39" t="n">
        <v>774.9</v>
      </c>
      <c r="S288" s="39" t="n">
        <v>376</v>
      </c>
    </row>
    <row r="289" customFormat="false" ht="15" hidden="false" customHeight="false" outlineLevel="0" collapsed="false">
      <c r="A289" s="8" t="n">
        <v>45224</v>
      </c>
      <c r="B289" s="39" t="n">
        <v>19122.15</v>
      </c>
      <c r="C289" s="39" t="n">
        <v>16760.8</v>
      </c>
      <c r="D289" s="39" t="n">
        <v>1548.4</v>
      </c>
      <c r="E289" s="39" t="n">
        <v>720.9</v>
      </c>
      <c r="F289" s="39" t="n">
        <v>891.25</v>
      </c>
      <c r="G289" s="39" t="n">
        <v>447</v>
      </c>
      <c r="H289" s="39" t="n">
        <v>711.55</v>
      </c>
      <c r="I289" s="39" t="n">
        <v>371.45</v>
      </c>
      <c r="J289" s="39" t="n">
        <v>2232.55</v>
      </c>
      <c r="K289" s="39" t="n">
        <v>768.4</v>
      </c>
      <c r="L289" s="39" t="n">
        <v>1147.05</v>
      </c>
      <c r="M289" s="39" t="n">
        <v>1493.4</v>
      </c>
      <c r="N289" s="39" t="n">
        <v>601.85</v>
      </c>
      <c r="O289" s="39" t="n">
        <v>273.6</v>
      </c>
      <c r="P289" s="39" t="n">
        <v>1280.65</v>
      </c>
      <c r="Q289" s="39" t="n">
        <v>355.45</v>
      </c>
      <c r="R289" s="39" t="n">
        <v>777.6</v>
      </c>
      <c r="S289" s="39" t="n">
        <v>363.23</v>
      </c>
    </row>
    <row r="290" customFormat="false" ht="15" hidden="false" customHeight="false" outlineLevel="0" collapsed="false">
      <c r="A290" s="8" t="n">
        <v>45225</v>
      </c>
      <c r="B290" s="39" t="n">
        <v>18857.25</v>
      </c>
      <c r="C290" s="39" t="n">
        <v>16555.45</v>
      </c>
      <c r="D290" s="39" t="n">
        <v>1558.1</v>
      </c>
      <c r="E290" s="39" t="n">
        <v>719.8</v>
      </c>
      <c r="F290" s="39" t="n">
        <v>907.45</v>
      </c>
      <c r="G290" s="39" t="n">
        <v>437.85</v>
      </c>
      <c r="H290" s="39" t="n">
        <v>713.4</v>
      </c>
      <c r="I290" s="39" t="n">
        <v>382.25</v>
      </c>
      <c r="J290" s="39" t="n">
        <v>2275.2</v>
      </c>
      <c r="K290" s="39" t="n">
        <v>741.17</v>
      </c>
      <c r="L290" s="39" t="n">
        <v>1134.5</v>
      </c>
      <c r="M290" s="39" t="n">
        <v>1542.5</v>
      </c>
      <c r="N290" s="39" t="n">
        <v>580.53</v>
      </c>
      <c r="O290" s="39" t="n">
        <v>269.8</v>
      </c>
      <c r="P290" s="39" t="n">
        <v>1262.9</v>
      </c>
      <c r="Q290" s="39" t="n">
        <v>352.05</v>
      </c>
      <c r="R290" s="39" t="n">
        <v>772.5</v>
      </c>
      <c r="S290" s="39" t="n">
        <v>359.52</v>
      </c>
    </row>
    <row r="291" customFormat="false" ht="15" hidden="false" customHeight="false" outlineLevel="0" collapsed="false">
      <c r="A291" s="8" t="n">
        <v>45226</v>
      </c>
      <c r="B291" s="39" t="n">
        <v>19047.25</v>
      </c>
      <c r="C291" s="39" t="n">
        <v>16765.45</v>
      </c>
      <c r="D291" s="39" t="n">
        <v>1547.35</v>
      </c>
      <c r="E291" s="39" t="n">
        <v>740.7</v>
      </c>
      <c r="F291" s="39" t="n">
        <v>952.55</v>
      </c>
      <c r="G291" s="39" t="n">
        <v>440.05</v>
      </c>
      <c r="H291" s="39" t="n">
        <v>736.85</v>
      </c>
      <c r="I291" s="39" t="n">
        <v>385.1</v>
      </c>
      <c r="J291" s="39" t="n">
        <v>2361.65</v>
      </c>
      <c r="K291" s="39" t="n">
        <v>749.7</v>
      </c>
      <c r="L291" s="39" t="n">
        <v>1168.05</v>
      </c>
      <c r="M291" s="39" t="n">
        <v>1570.7</v>
      </c>
      <c r="N291" s="39" t="n">
        <v>589.13</v>
      </c>
      <c r="O291" s="39" t="n">
        <v>277.3</v>
      </c>
      <c r="P291" s="39" t="n">
        <v>1290.65</v>
      </c>
      <c r="Q291" s="39" t="n">
        <v>359.9</v>
      </c>
      <c r="R291" s="39" t="n">
        <v>790.4</v>
      </c>
      <c r="S291" s="39" t="n">
        <v>387.04</v>
      </c>
    </row>
    <row r="292" customFormat="false" ht="15" hidden="false" customHeight="false" outlineLevel="0" collapsed="false">
      <c r="A292" s="8" t="n">
        <v>45229</v>
      </c>
      <c r="B292" s="39" t="n">
        <v>19140.9</v>
      </c>
      <c r="C292" s="39" t="n">
        <v>16826.1</v>
      </c>
      <c r="D292" s="39" t="n">
        <v>1459.1</v>
      </c>
      <c r="E292" s="39" t="n">
        <v>751.7</v>
      </c>
      <c r="F292" s="39" t="n">
        <v>935.3</v>
      </c>
      <c r="G292" s="39" t="n">
        <v>450.8</v>
      </c>
      <c r="H292" s="39" t="n">
        <v>716.7</v>
      </c>
      <c r="I292" s="39" t="n">
        <v>374.75</v>
      </c>
      <c r="J292" s="39" t="n">
        <v>2400.65</v>
      </c>
      <c r="K292" s="39" t="n">
        <v>749.29</v>
      </c>
      <c r="L292" s="39" t="n">
        <v>1155.65</v>
      </c>
      <c r="M292" s="39" t="n">
        <v>1607</v>
      </c>
      <c r="N292" s="39" t="n">
        <v>582.14</v>
      </c>
      <c r="O292" s="39" t="n">
        <v>245.5</v>
      </c>
      <c r="P292" s="39" t="n">
        <v>1326.95</v>
      </c>
      <c r="Q292" s="39" t="n">
        <v>353.1</v>
      </c>
      <c r="R292" s="39" t="n">
        <v>750.35</v>
      </c>
      <c r="S292" s="39" t="n">
        <v>378.44</v>
      </c>
    </row>
    <row r="293" customFormat="false" ht="15" hidden="false" customHeight="false" outlineLevel="0" collapsed="false">
      <c r="A293" s="8" t="n">
        <v>45230</v>
      </c>
      <c r="B293" s="39" t="n">
        <v>19079.6</v>
      </c>
      <c r="C293" s="39" t="n">
        <v>16801.1</v>
      </c>
      <c r="D293" s="39" t="n">
        <v>1407.8</v>
      </c>
      <c r="E293" s="39" t="n">
        <v>763.45</v>
      </c>
      <c r="F293" s="39" t="n">
        <v>902.25</v>
      </c>
      <c r="G293" s="39" t="n">
        <v>459.2</v>
      </c>
      <c r="H293" s="39" t="n">
        <v>736.4</v>
      </c>
      <c r="I293" s="39" t="n">
        <v>411.65</v>
      </c>
      <c r="J293" s="39" t="n">
        <v>2386.75</v>
      </c>
      <c r="K293" s="39" t="n">
        <v>748.25</v>
      </c>
      <c r="L293" s="39" t="n">
        <v>1137.3</v>
      </c>
      <c r="M293" s="39" t="n">
        <v>1597.2</v>
      </c>
      <c r="N293" s="39" t="n">
        <v>601.95</v>
      </c>
      <c r="O293" s="39" t="n">
        <v>245.35</v>
      </c>
      <c r="P293" s="39" t="n">
        <v>1298.7</v>
      </c>
      <c r="Q293" s="39" t="n">
        <v>352.8</v>
      </c>
      <c r="R293" s="39" t="n">
        <v>746.15</v>
      </c>
      <c r="S293" s="39" t="n">
        <v>375.97</v>
      </c>
    </row>
    <row r="294" customFormat="false" ht="15" hidden="false" customHeight="false" outlineLevel="0" collapsed="false">
      <c r="A294" s="8" t="n">
        <v>45231</v>
      </c>
      <c r="B294" s="39" t="n">
        <v>18989.15</v>
      </c>
      <c r="C294" s="39" t="n">
        <v>16732.95</v>
      </c>
      <c r="D294" s="39" t="n">
        <v>1425.45</v>
      </c>
      <c r="E294" s="39" t="n">
        <v>758.7</v>
      </c>
      <c r="F294" s="39" t="n">
        <v>912.85</v>
      </c>
      <c r="G294" s="39" t="n">
        <v>457.35</v>
      </c>
      <c r="H294" s="39" t="n">
        <v>713.5</v>
      </c>
      <c r="I294" s="39" t="n">
        <v>396.25</v>
      </c>
      <c r="J294" s="39" t="n">
        <v>2368.6</v>
      </c>
      <c r="K294" s="39" t="n">
        <v>746.17</v>
      </c>
      <c r="L294" s="39" t="n">
        <v>1149</v>
      </c>
      <c r="M294" s="39" t="n">
        <v>1620.6</v>
      </c>
      <c r="N294" s="39" t="n">
        <v>591.07</v>
      </c>
      <c r="O294" s="39" t="n">
        <v>246.9</v>
      </c>
      <c r="P294" s="39" t="n">
        <v>1300.6</v>
      </c>
      <c r="Q294" s="39" t="n">
        <v>352.95</v>
      </c>
      <c r="R294" s="39" t="n">
        <v>744.8</v>
      </c>
      <c r="S294" s="39" t="n">
        <v>380.45</v>
      </c>
    </row>
    <row r="295" customFormat="false" ht="15" hidden="false" customHeight="false" outlineLevel="0" collapsed="false">
      <c r="A295" s="8" t="n">
        <v>45232</v>
      </c>
      <c r="B295" s="39" t="n">
        <v>19133.25</v>
      </c>
      <c r="C295" s="39" t="n">
        <v>16890.8</v>
      </c>
      <c r="D295" s="39" t="n">
        <v>1460.05</v>
      </c>
      <c r="E295" s="39" t="n">
        <v>768.9</v>
      </c>
      <c r="F295" s="39" t="n">
        <v>913.6</v>
      </c>
      <c r="G295" s="39" t="n">
        <v>448.7</v>
      </c>
      <c r="H295" s="39" t="n">
        <v>731.1</v>
      </c>
      <c r="I295" s="39" t="n">
        <v>400.55</v>
      </c>
      <c r="J295" s="39" t="n">
        <v>2272.45</v>
      </c>
      <c r="K295" s="39" t="n">
        <v>743.9</v>
      </c>
      <c r="L295" s="39" t="n">
        <v>1177.45</v>
      </c>
      <c r="M295" s="39" t="n">
        <v>1629.65</v>
      </c>
      <c r="N295" s="39" t="n">
        <v>591.03</v>
      </c>
      <c r="O295" s="39" t="n">
        <v>250.95</v>
      </c>
      <c r="P295" s="39" t="n">
        <v>1312.85</v>
      </c>
      <c r="Q295" s="39" t="n">
        <v>349.65</v>
      </c>
      <c r="R295" s="39" t="n">
        <v>744.05</v>
      </c>
      <c r="S295" s="39" t="n">
        <v>390.97</v>
      </c>
    </row>
    <row r="296" customFormat="false" ht="15" hidden="false" customHeight="false" outlineLevel="0" collapsed="false">
      <c r="A296" s="8" t="n">
        <v>45233</v>
      </c>
      <c r="B296" s="39" t="n">
        <v>19230.6</v>
      </c>
      <c r="C296" s="39" t="n">
        <v>17000.95</v>
      </c>
      <c r="D296" s="39" t="n">
        <v>1457.95</v>
      </c>
      <c r="E296" s="39" t="n">
        <v>772.05</v>
      </c>
      <c r="F296" s="39" t="n">
        <v>915.35</v>
      </c>
      <c r="G296" s="39" t="n">
        <v>462.4</v>
      </c>
      <c r="H296" s="39" t="n">
        <v>730.25</v>
      </c>
      <c r="I296" s="39" t="n">
        <v>409.6</v>
      </c>
      <c r="J296" s="39" t="n">
        <v>2198.9</v>
      </c>
      <c r="K296" s="39" t="n">
        <v>740.14</v>
      </c>
      <c r="L296" s="39" t="n">
        <v>1134.3</v>
      </c>
      <c r="M296" s="39" t="n">
        <v>1669.05</v>
      </c>
      <c r="N296" s="39" t="n">
        <v>600.06</v>
      </c>
      <c r="O296" s="39" t="n">
        <v>258.25</v>
      </c>
      <c r="P296" s="39" t="n">
        <v>1326.2</v>
      </c>
      <c r="Q296" s="39" t="n">
        <v>347.7</v>
      </c>
      <c r="R296" s="39" t="n">
        <v>747.2</v>
      </c>
      <c r="S296" s="39" t="n">
        <v>402.71</v>
      </c>
    </row>
    <row r="297" customFormat="false" ht="15" hidden="false" customHeight="false" outlineLevel="0" collapsed="false">
      <c r="A297" s="8" t="n">
        <v>45236</v>
      </c>
      <c r="B297" s="39" t="n">
        <v>19411.75</v>
      </c>
      <c r="C297" s="39" t="n">
        <v>17159.4</v>
      </c>
      <c r="D297" s="39" t="n">
        <v>1469.5</v>
      </c>
      <c r="E297" s="39" t="n">
        <v>776.6</v>
      </c>
      <c r="F297" s="39" t="n">
        <v>904</v>
      </c>
      <c r="G297" s="39" t="n">
        <v>464.85</v>
      </c>
      <c r="H297" s="39" t="n">
        <v>746.8</v>
      </c>
      <c r="I297" s="39" t="n">
        <v>415.95</v>
      </c>
      <c r="J297" s="39" t="n">
        <v>2174.35</v>
      </c>
      <c r="K297" s="39" t="n">
        <v>755.18</v>
      </c>
      <c r="L297" s="39" t="n">
        <v>1152.35</v>
      </c>
      <c r="M297" s="39" t="n">
        <v>1694.5</v>
      </c>
      <c r="N297" s="39" t="n">
        <v>595.59</v>
      </c>
      <c r="O297" s="39" t="n">
        <v>262.7</v>
      </c>
      <c r="P297" s="39" t="n">
        <v>1331.9</v>
      </c>
      <c r="Q297" s="39" t="n">
        <v>349.55</v>
      </c>
      <c r="R297" s="39" t="n">
        <v>753.9</v>
      </c>
      <c r="S297" s="39" t="n">
        <v>398.3</v>
      </c>
    </row>
    <row r="298" customFormat="false" ht="15" hidden="false" customHeight="false" outlineLevel="0" collapsed="false">
      <c r="A298" s="8" t="n">
        <v>45237</v>
      </c>
      <c r="B298" s="39" t="n">
        <v>19406.7</v>
      </c>
      <c r="C298" s="39" t="n">
        <v>17187.8</v>
      </c>
      <c r="D298" s="39" t="n">
        <v>1460.7</v>
      </c>
      <c r="E298" s="39" t="n">
        <v>756.5</v>
      </c>
      <c r="F298" s="39" t="n">
        <v>906.45</v>
      </c>
      <c r="G298" s="39" t="n">
        <v>461</v>
      </c>
      <c r="H298" s="39" t="n">
        <v>734.8</v>
      </c>
      <c r="I298" s="39" t="n">
        <v>453.35</v>
      </c>
      <c r="J298" s="39" t="n">
        <v>2163</v>
      </c>
      <c r="K298" s="39" t="n">
        <v>748.54</v>
      </c>
      <c r="L298" s="39" t="n">
        <v>1142.4</v>
      </c>
      <c r="M298" s="39" t="n">
        <v>1688.3</v>
      </c>
      <c r="N298" s="39" t="n">
        <v>597.68</v>
      </c>
      <c r="O298" s="39" t="n">
        <v>263.95</v>
      </c>
      <c r="P298" s="39" t="n">
        <v>1336.35</v>
      </c>
      <c r="Q298" s="39" t="n">
        <v>362.85</v>
      </c>
      <c r="R298" s="39" t="n">
        <v>753.25</v>
      </c>
      <c r="S298" s="39" t="n">
        <v>397.44</v>
      </c>
    </row>
    <row r="299" customFormat="false" ht="15" hidden="false" customHeight="false" outlineLevel="0" collapsed="false">
      <c r="A299" s="8" t="n">
        <v>45238</v>
      </c>
      <c r="B299" s="39" t="n">
        <v>19443.5</v>
      </c>
      <c r="C299" s="39" t="n">
        <v>17259.7</v>
      </c>
      <c r="D299" s="39" t="n">
        <v>1442.95</v>
      </c>
      <c r="E299" s="39" t="n">
        <v>761.4</v>
      </c>
      <c r="F299" s="39" t="n">
        <v>915.5</v>
      </c>
      <c r="G299" s="39" t="n">
        <v>453.85</v>
      </c>
      <c r="H299" s="39" t="n">
        <v>735.8</v>
      </c>
      <c r="I299" s="39" t="n">
        <v>437.05</v>
      </c>
      <c r="J299" s="39" t="n">
        <v>2156.25</v>
      </c>
      <c r="K299" s="39" t="n">
        <v>744.98</v>
      </c>
      <c r="L299" s="39" t="n">
        <v>1143.15</v>
      </c>
      <c r="M299" s="39" t="n">
        <v>1663.8</v>
      </c>
      <c r="N299" s="39" t="n">
        <v>593.21</v>
      </c>
      <c r="O299" s="39" t="n">
        <v>267.05</v>
      </c>
      <c r="P299" s="39" t="n">
        <v>1323.05</v>
      </c>
      <c r="Q299" s="39" t="n">
        <v>388.95</v>
      </c>
      <c r="R299" s="39" t="n">
        <v>748.45</v>
      </c>
      <c r="S299" s="39" t="n">
        <v>395.93</v>
      </c>
    </row>
    <row r="300" customFormat="false" ht="15" hidden="false" customHeight="false" outlineLevel="0" collapsed="false">
      <c r="A300" s="8" t="n">
        <v>45239</v>
      </c>
      <c r="B300" s="39" t="n">
        <v>19395.3</v>
      </c>
      <c r="C300" s="39" t="n">
        <v>17218.9</v>
      </c>
      <c r="D300" s="39" t="n">
        <v>1460.05</v>
      </c>
      <c r="E300" s="39" t="n">
        <v>754.45</v>
      </c>
      <c r="F300" s="39" t="n">
        <v>922.15</v>
      </c>
      <c r="G300" s="39" t="n">
        <v>449.55</v>
      </c>
      <c r="H300" s="39" t="n">
        <v>745.25</v>
      </c>
      <c r="I300" s="39" t="n">
        <v>442.05</v>
      </c>
      <c r="J300" s="39" t="n">
        <v>2138.6</v>
      </c>
      <c r="K300" s="39" t="n">
        <v>737.67</v>
      </c>
      <c r="L300" s="39" t="n">
        <v>1152.05</v>
      </c>
      <c r="M300" s="39" t="n">
        <v>1686.75</v>
      </c>
      <c r="N300" s="39" t="n">
        <v>600.25</v>
      </c>
      <c r="O300" s="39" t="n">
        <v>271.9</v>
      </c>
      <c r="P300" s="39" t="n">
        <v>1313.25</v>
      </c>
      <c r="Q300" s="39" t="n">
        <v>385.5</v>
      </c>
      <c r="R300" s="39" t="n">
        <v>750.25</v>
      </c>
      <c r="S300" s="39" t="n">
        <v>388.68</v>
      </c>
    </row>
    <row r="301" customFormat="false" ht="15" hidden="false" customHeight="false" outlineLevel="0" collapsed="false">
      <c r="A301" s="8" t="n">
        <v>45240</v>
      </c>
      <c r="B301" s="39" t="n">
        <v>19425.35</v>
      </c>
      <c r="C301" s="39" t="n">
        <v>17256.6</v>
      </c>
      <c r="D301" s="39" t="n">
        <v>1468.95</v>
      </c>
      <c r="E301" s="39" t="n">
        <v>748.35</v>
      </c>
      <c r="F301" s="39" t="n">
        <v>930.85</v>
      </c>
      <c r="G301" s="39" t="n">
        <v>451.95</v>
      </c>
      <c r="H301" s="39" t="n">
        <v>743.6</v>
      </c>
      <c r="I301" s="39" t="n">
        <v>433.8</v>
      </c>
      <c r="J301" s="39" t="n">
        <v>2136.65</v>
      </c>
      <c r="K301" s="39" t="n">
        <v>743.47</v>
      </c>
      <c r="L301" s="39" t="n">
        <v>1148.25</v>
      </c>
      <c r="M301" s="39" t="n">
        <v>1699.7</v>
      </c>
      <c r="N301" s="39" t="n">
        <v>599.86</v>
      </c>
      <c r="O301" s="39" t="n">
        <v>271.55</v>
      </c>
      <c r="P301" s="39" t="n">
        <v>1273.25</v>
      </c>
      <c r="Q301" s="39" t="n">
        <v>390.1</v>
      </c>
      <c r="R301" s="39" t="n">
        <v>753.45</v>
      </c>
      <c r="S301" s="39" t="n">
        <v>390.44</v>
      </c>
    </row>
    <row r="302" customFormat="false" ht="15" hidden="false" customHeight="false" outlineLevel="0" collapsed="false">
      <c r="A302" s="8" t="n">
        <v>45242</v>
      </c>
      <c r="B302" s="39" t="n">
        <v>19525.55</v>
      </c>
      <c r="C302" s="39" t="n">
        <v>17361.1</v>
      </c>
      <c r="D302" s="39" t="n">
        <v>1509</v>
      </c>
      <c r="E302" s="39" t="n">
        <v>756.5</v>
      </c>
      <c r="F302" s="39" t="n">
        <v>951.45</v>
      </c>
      <c r="G302" s="39" t="n">
        <v>453</v>
      </c>
      <c r="H302" s="39" t="n">
        <v>747.85</v>
      </c>
      <c r="I302" s="39" t="n">
        <v>440</v>
      </c>
      <c r="J302" s="39" t="n">
        <v>2152.2</v>
      </c>
      <c r="K302" s="39" t="n">
        <v>744.68</v>
      </c>
      <c r="L302" s="39" t="n">
        <v>1150.5</v>
      </c>
      <c r="M302" s="39" t="n">
        <v>1707.7</v>
      </c>
      <c r="N302" s="39" t="n">
        <v>606.95</v>
      </c>
      <c r="O302" s="39" t="n">
        <v>271.25</v>
      </c>
      <c r="P302" s="39" t="n">
        <v>1284.65</v>
      </c>
      <c r="Q302" s="39" t="n">
        <v>395.2</v>
      </c>
      <c r="R302" s="39" t="n">
        <v>759.95</v>
      </c>
      <c r="S302" s="39" t="n">
        <v>392.65</v>
      </c>
    </row>
    <row r="303" customFormat="false" ht="15" hidden="false" customHeight="false" outlineLevel="0" collapsed="false">
      <c r="A303" s="8" t="n">
        <v>45243</v>
      </c>
      <c r="B303" s="39" t="n">
        <v>19443.55</v>
      </c>
      <c r="C303" s="39" t="n">
        <v>17318.6</v>
      </c>
      <c r="D303" s="39" t="n">
        <v>1520.2</v>
      </c>
      <c r="E303" s="39" t="n">
        <v>748.7</v>
      </c>
      <c r="F303" s="39" t="n">
        <v>949.45</v>
      </c>
      <c r="G303" s="39" t="n">
        <v>450.75</v>
      </c>
      <c r="H303" s="39" t="n">
        <v>775.35</v>
      </c>
      <c r="I303" s="39" t="n">
        <v>440.05</v>
      </c>
      <c r="J303" s="39" t="n">
        <v>2136.2</v>
      </c>
      <c r="K303" s="39" t="n">
        <v>735.08</v>
      </c>
      <c r="L303" s="39" t="n">
        <v>1148.9</v>
      </c>
      <c r="M303" s="39" t="n">
        <v>1723.95</v>
      </c>
      <c r="N303" s="39" t="n">
        <v>605.59</v>
      </c>
      <c r="O303" s="39" t="n">
        <v>272.1</v>
      </c>
      <c r="P303" s="39" t="n">
        <v>1290.4</v>
      </c>
      <c r="Q303" s="39" t="n">
        <v>393.7</v>
      </c>
      <c r="R303" s="39" t="n">
        <v>752.95</v>
      </c>
      <c r="S303" s="39" t="n">
        <v>393.56</v>
      </c>
    </row>
    <row r="304" customFormat="false" ht="15" hidden="false" customHeight="false" outlineLevel="0" collapsed="false">
      <c r="A304" s="8" t="n">
        <v>45245</v>
      </c>
      <c r="B304" s="39" t="n">
        <v>19675.45</v>
      </c>
      <c r="C304" s="39" t="n">
        <v>17508.05</v>
      </c>
      <c r="D304" s="39" t="n">
        <v>1489.85</v>
      </c>
      <c r="E304" s="39" t="n">
        <v>752.3</v>
      </c>
      <c r="F304" s="39" t="n">
        <v>965.8</v>
      </c>
      <c r="G304" s="39" t="n">
        <v>466.15</v>
      </c>
      <c r="H304" s="39" t="n">
        <v>790.7</v>
      </c>
      <c r="I304" s="39" t="n">
        <v>442.15</v>
      </c>
      <c r="J304" s="39" t="n">
        <v>2143.75</v>
      </c>
      <c r="K304" s="39" t="n">
        <v>721.45</v>
      </c>
      <c r="L304" s="39" t="n">
        <v>1166.75</v>
      </c>
      <c r="M304" s="39" t="n">
        <v>1674.6</v>
      </c>
      <c r="N304" s="39" t="n">
        <v>614.34</v>
      </c>
      <c r="O304" s="39" t="n">
        <v>276.4</v>
      </c>
      <c r="P304" s="39" t="n">
        <v>1305.1</v>
      </c>
      <c r="Q304" s="39" t="n">
        <v>392.7</v>
      </c>
      <c r="R304" s="39" t="n">
        <v>766.6</v>
      </c>
      <c r="S304" s="39" t="n">
        <v>407.15</v>
      </c>
    </row>
    <row r="305" customFormat="false" ht="15" hidden="false" customHeight="false" outlineLevel="0" collapsed="false">
      <c r="A305" s="8" t="n">
        <v>45246</v>
      </c>
      <c r="B305" s="39" t="n">
        <v>19765.2</v>
      </c>
      <c r="C305" s="39" t="n">
        <v>17593.1</v>
      </c>
      <c r="D305" s="39" t="n">
        <v>1488.95</v>
      </c>
      <c r="E305" s="39" t="n">
        <v>749.5</v>
      </c>
      <c r="F305" s="39" t="n">
        <v>952.4</v>
      </c>
      <c r="G305" s="39" t="n">
        <v>462.25</v>
      </c>
      <c r="H305" s="39" t="n">
        <v>776.1</v>
      </c>
      <c r="I305" s="39" t="n">
        <v>438.9</v>
      </c>
      <c r="J305" s="39" t="n">
        <v>2112.9</v>
      </c>
      <c r="K305" s="39" t="n">
        <v>735.24</v>
      </c>
      <c r="L305" s="39" t="n">
        <v>1165.3</v>
      </c>
      <c r="M305" s="39" t="n">
        <v>1673.1</v>
      </c>
      <c r="N305" s="39" t="n">
        <v>623.91</v>
      </c>
      <c r="O305" s="39" t="n">
        <v>275.45</v>
      </c>
      <c r="P305" s="39" t="n">
        <v>1325.85</v>
      </c>
      <c r="Q305" s="39" t="n">
        <v>383.55</v>
      </c>
      <c r="R305" s="39" t="n">
        <v>772.55</v>
      </c>
      <c r="S305" s="39" t="n">
        <v>407.15</v>
      </c>
    </row>
    <row r="306" customFormat="false" ht="15" hidden="false" customHeight="false" outlineLevel="0" collapsed="false">
      <c r="A306" s="8" t="n">
        <v>45247</v>
      </c>
      <c r="B306" s="39" t="n">
        <v>19731.8</v>
      </c>
      <c r="C306" s="39" t="n">
        <v>17600.5</v>
      </c>
      <c r="D306" s="39" t="n">
        <v>1444.4</v>
      </c>
      <c r="E306" s="39" t="n">
        <v>766.5</v>
      </c>
      <c r="F306" s="39" t="n">
        <v>935.85</v>
      </c>
      <c r="G306" s="39" t="n">
        <v>465.85</v>
      </c>
      <c r="H306" s="39" t="n">
        <v>808.55</v>
      </c>
      <c r="I306" s="39" t="n">
        <v>426.7</v>
      </c>
      <c r="J306" s="39" t="n">
        <v>2027.3</v>
      </c>
      <c r="K306" s="39" t="n">
        <v>721.12</v>
      </c>
      <c r="L306" s="39" t="n">
        <v>1126.4</v>
      </c>
      <c r="M306" s="39" t="n">
        <v>1604.9</v>
      </c>
      <c r="N306" s="39" t="n">
        <v>603.02</v>
      </c>
      <c r="O306" s="39" t="n">
        <v>273.8</v>
      </c>
      <c r="P306" s="39" t="n">
        <v>1339.35</v>
      </c>
      <c r="Q306" s="39" t="n">
        <v>371.15</v>
      </c>
      <c r="R306" s="39" t="n">
        <v>732.85</v>
      </c>
      <c r="S306" s="39" t="n">
        <v>398.96</v>
      </c>
    </row>
    <row r="307" customFormat="false" ht="15" hidden="false" customHeight="false" outlineLevel="0" collapsed="false">
      <c r="A307" s="8" t="n">
        <v>45250</v>
      </c>
      <c r="B307" s="39" t="n">
        <v>19694</v>
      </c>
      <c r="C307" s="39" t="n">
        <v>17573.65</v>
      </c>
      <c r="D307" s="39" t="n">
        <v>1503.35</v>
      </c>
      <c r="E307" s="39" t="n">
        <v>773.35</v>
      </c>
      <c r="F307" s="39" t="n">
        <v>943</v>
      </c>
      <c r="G307" s="39" t="n">
        <v>464.6</v>
      </c>
      <c r="H307" s="39" t="n">
        <v>819.95</v>
      </c>
      <c r="I307" s="39" t="n">
        <v>419.75</v>
      </c>
      <c r="J307" s="39" t="n">
        <v>2186.8</v>
      </c>
      <c r="K307" s="39" t="n">
        <v>705.9</v>
      </c>
      <c r="L307" s="39" t="n">
        <v>1126.65</v>
      </c>
      <c r="M307" s="39" t="n">
        <v>1630.35</v>
      </c>
      <c r="N307" s="39" t="n">
        <v>590.54</v>
      </c>
      <c r="O307" s="39" t="n">
        <v>275.45</v>
      </c>
      <c r="P307" s="39" t="n">
        <v>1326.85</v>
      </c>
      <c r="Q307" s="39" t="n">
        <v>362.95</v>
      </c>
      <c r="R307" s="39" t="n">
        <v>742.9</v>
      </c>
      <c r="S307" s="39" t="n">
        <v>397.79</v>
      </c>
    </row>
    <row r="308" customFormat="false" ht="15" hidden="false" customHeight="false" outlineLevel="0" collapsed="false">
      <c r="A308" s="8" t="n">
        <v>45251</v>
      </c>
      <c r="B308" s="39" t="n">
        <v>19783.4</v>
      </c>
      <c r="C308" s="39" t="n">
        <v>17627.6</v>
      </c>
      <c r="D308" s="39" t="n">
        <v>1525.95</v>
      </c>
      <c r="E308" s="39" t="n">
        <v>779.7</v>
      </c>
      <c r="F308" s="39" t="n">
        <v>939.9</v>
      </c>
      <c r="G308" s="39" t="n">
        <v>462.05</v>
      </c>
      <c r="H308" s="39" t="n">
        <v>809.35</v>
      </c>
      <c r="I308" s="39" t="n">
        <v>407.75</v>
      </c>
      <c r="J308" s="39" t="n">
        <v>2161.7</v>
      </c>
      <c r="K308" s="39" t="n">
        <v>709.35</v>
      </c>
      <c r="L308" s="39" t="n">
        <v>1103.85</v>
      </c>
      <c r="M308" s="39" t="n">
        <v>1732.85</v>
      </c>
      <c r="N308" s="39" t="n">
        <v>580.73</v>
      </c>
      <c r="O308" s="39" t="n">
        <v>275.15</v>
      </c>
      <c r="P308" s="39" t="n">
        <v>1329.35</v>
      </c>
      <c r="Q308" s="39" t="n">
        <v>360.4</v>
      </c>
      <c r="R308" s="39" t="n">
        <v>734.75</v>
      </c>
      <c r="S308" s="39" t="n">
        <v>399.97</v>
      </c>
    </row>
    <row r="309" customFormat="false" ht="15" hidden="false" customHeight="false" outlineLevel="0" collapsed="false">
      <c r="A309" s="8" t="n">
        <v>45252</v>
      </c>
      <c r="B309" s="39" t="n">
        <v>19811.85</v>
      </c>
      <c r="C309" s="39" t="n">
        <v>17627.7</v>
      </c>
      <c r="D309" s="39" t="n">
        <v>1483.65</v>
      </c>
      <c r="E309" s="39" t="n">
        <v>766.4</v>
      </c>
      <c r="F309" s="39" t="n">
        <v>914.5</v>
      </c>
      <c r="G309" s="39" t="n">
        <v>456.5</v>
      </c>
      <c r="H309" s="39" t="n">
        <v>809</v>
      </c>
      <c r="I309" s="39" t="n">
        <v>394.9</v>
      </c>
      <c r="J309" s="39" t="n">
        <v>2201.25</v>
      </c>
      <c r="K309" s="39" t="n">
        <v>711.87</v>
      </c>
      <c r="L309" s="39" t="n">
        <v>1120.95</v>
      </c>
      <c r="M309" s="39" t="n">
        <v>1689.25</v>
      </c>
      <c r="N309" s="39" t="n">
        <v>563.68</v>
      </c>
      <c r="O309" s="39" t="n">
        <v>274.55</v>
      </c>
      <c r="P309" s="39" t="n">
        <v>1335.75</v>
      </c>
      <c r="Q309" s="39" t="n">
        <v>361.9</v>
      </c>
      <c r="R309" s="39" t="n">
        <v>731.7</v>
      </c>
      <c r="S309" s="39" t="n">
        <v>395.42</v>
      </c>
    </row>
    <row r="310" customFormat="false" ht="15" hidden="false" customHeight="false" outlineLevel="0" collapsed="false">
      <c r="A310" s="8" t="n">
        <v>45253</v>
      </c>
      <c r="B310" s="39" t="n">
        <v>19802</v>
      </c>
      <c r="C310" s="39" t="n">
        <v>17639.4</v>
      </c>
      <c r="D310" s="39" t="n">
        <v>1488.15</v>
      </c>
      <c r="E310" s="39" t="n">
        <v>764.4</v>
      </c>
      <c r="F310" s="39" t="n">
        <v>877.2</v>
      </c>
      <c r="G310" s="39" t="n">
        <v>454.95</v>
      </c>
      <c r="H310" s="39" t="n">
        <v>798.75</v>
      </c>
      <c r="I310" s="39" t="n">
        <v>386.05</v>
      </c>
      <c r="J310" s="39" t="n">
        <v>2200.65</v>
      </c>
      <c r="K310" s="39" t="n">
        <v>706.4</v>
      </c>
      <c r="L310" s="39" t="n">
        <v>1115</v>
      </c>
      <c r="M310" s="39" t="n">
        <v>1650.6</v>
      </c>
      <c r="N310" s="39" t="n">
        <v>586.02</v>
      </c>
      <c r="O310" s="39" t="n">
        <v>272.15</v>
      </c>
      <c r="P310" s="39" t="n">
        <v>1331.8</v>
      </c>
      <c r="Q310" s="39" t="n">
        <v>365.05</v>
      </c>
      <c r="R310" s="39" t="n">
        <v>738.95</v>
      </c>
      <c r="S310" s="39" t="n">
        <v>394.97</v>
      </c>
    </row>
    <row r="311" customFormat="false" ht="15" hidden="false" customHeight="false" outlineLevel="0" collapsed="false">
      <c r="A311" s="8" t="n">
        <v>45254</v>
      </c>
      <c r="B311" s="39" t="n">
        <v>19794.7</v>
      </c>
      <c r="C311" s="39" t="n">
        <v>17643.5</v>
      </c>
      <c r="D311" s="39" t="n">
        <v>1485.55</v>
      </c>
      <c r="E311" s="39" t="n">
        <v>753.65</v>
      </c>
      <c r="F311" s="39" t="n">
        <v>886.25</v>
      </c>
      <c r="G311" s="39" t="n">
        <v>454.65</v>
      </c>
      <c r="H311" s="39" t="n">
        <v>783.2</v>
      </c>
      <c r="I311" s="39" t="n">
        <v>388.5</v>
      </c>
      <c r="J311" s="39" t="n">
        <v>2181</v>
      </c>
      <c r="K311" s="39" t="n">
        <v>701.13</v>
      </c>
      <c r="L311" s="39" t="n">
        <v>1094.5</v>
      </c>
      <c r="M311" s="39" t="n">
        <v>1682.4</v>
      </c>
      <c r="N311" s="39" t="n">
        <v>586.46</v>
      </c>
      <c r="O311" s="39" t="n">
        <v>263.9</v>
      </c>
      <c r="P311" s="39" t="n">
        <v>1324.95</v>
      </c>
      <c r="Q311" s="39" t="n">
        <v>357.95</v>
      </c>
      <c r="R311" s="39" t="n">
        <v>739.15</v>
      </c>
      <c r="S311" s="39" t="n">
        <v>389.5</v>
      </c>
    </row>
    <row r="312" customFormat="false" ht="15" hidden="false" customHeight="false" outlineLevel="0" collapsed="false">
      <c r="A312" s="8" t="n">
        <v>45258</v>
      </c>
      <c r="B312" s="39" t="n">
        <v>19889.7</v>
      </c>
      <c r="C312" s="39" t="n">
        <v>17741.8</v>
      </c>
      <c r="D312" s="39" t="n">
        <v>1446.3</v>
      </c>
      <c r="E312" s="39" t="n">
        <v>755.9</v>
      </c>
      <c r="F312" s="39" t="n">
        <v>860.25</v>
      </c>
      <c r="G312" s="39" t="n">
        <v>457.7</v>
      </c>
      <c r="H312" s="39" t="n">
        <v>781.3</v>
      </c>
      <c r="I312" s="39" t="n">
        <v>391.9</v>
      </c>
      <c r="J312" s="39" t="n">
        <v>2152.75</v>
      </c>
      <c r="K312" s="39" t="n">
        <v>711.79</v>
      </c>
      <c r="L312" s="39" t="n">
        <v>1106.25</v>
      </c>
      <c r="M312" s="39" t="n">
        <v>1685.6</v>
      </c>
      <c r="N312" s="39" t="n">
        <v>579.17</v>
      </c>
      <c r="O312" s="39" t="n">
        <v>270.45</v>
      </c>
      <c r="P312" s="39" t="n">
        <v>1342.75</v>
      </c>
      <c r="Q312" s="39" t="n">
        <v>363.9</v>
      </c>
      <c r="R312" s="39" t="n">
        <v>733.75</v>
      </c>
      <c r="S312" s="39" t="n">
        <v>393.14</v>
      </c>
    </row>
    <row r="313" customFormat="false" ht="15" hidden="false" customHeight="false" outlineLevel="0" collapsed="false">
      <c r="A313" s="8" t="n">
        <v>45259</v>
      </c>
      <c r="B313" s="39" t="n">
        <v>20096.6</v>
      </c>
      <c r="C313" s="39" t="n">
        <v>17904.1</v>
      </c>
      <c r="D313" s="39" t="n">
        <v>1439.95</v>
      </c>
      <c r="E313" s="39" t="n">
        <v>769.35</v>
      </c>
      <c r="F313" s="39" t="n">
        <v>863.8</v>
      </c>
      <c r="G313" s="39" t="n">
        <v>478.7</v>
      </c>
      <c r="H313" s="39" t="n">
        <v>799</v>
      </c>
      <c r="I313" s="39" t="n">
        <v>396.25</v>
      </c>
      <c r="J313" s="39" t="n">
        <v>2142.1</v>
      </c>
      <c r="K313" s="39" t="n">
        <v>712.04</v>
      </c>
      <c r="L313" s="39" t="n">
        <v>1110.45</v>
      </c>
      <c r="M313" s="39" t="n">
        <v>1691.8</v>
      </c>
      <c r="N313" s="39" t="n">
        <v>582.57</v>
      </c>
      <c r="O313" s="39" t="n">
        <v>274.6</v>
      </c>
      <c r="P313" s="39" t="n">
        <v>1415.85</v>
      </c>
      <c r="Q313" s="39" t="n">
        <v>384.65</v>
      </c>
      <c r="R313" s="39" t="n">
        <v>737.2</v>
      </c>
      <c r="S313" s="39" t="n">
        <v>394.87</v>
      </c>
    </row>
    <row r="314" customFormat="false" ht="15" hidden="false" customHeight="false" outlineLevel="0" collapsed="false">
      <c r="A314" s="8" t="n">
        <v>45260</v>
      </c>
      <c r="B314" s="39" t="n">
        <v>20133.15</v>
      </c>
      <c r="C314" s="39" t="n">
        <v>17987.95</v>
      </c>
      <c r="D314" s="39" t="n">
        <v>1439.6</v>
      </c>
      <c r="E314" s="39" t="n">
        <v>781.1</v>
      </c>
      <c r="F314" s="39" t="n">
        <v>898.45</v>
      </c>
      <c r="G314" s="39" t="n">
        <v>491.15</v>
      </c>
      <c r="H314" s="39" t="n">
        <v>773.6</v>
      </c>
      <c r="I314" s="39" t="n">
        <v>395.1</v>
      </c>
      <c r="J314" s="39" t="n">
        <v>2134.25</v>
      </c>
      <c r="K314" s="39" t="n">
        <v>711.22</v>
      </c>
      <c r="L314" s="39" t="n">
        <v>1117.45</v>
      </c>
      <c r="M314" s="39" t="n">
        <v>1697.45</v>
      </c>
      <c r="N314" s="39" t="n">
        <v>591.07</v>
      </c>
      <c r="O314" s="39" t="n">
        <v>274.3</v>
      </c>
      <c r="P314" s="39" t="n">
        <v>1481.9</v>
      </c>
      <c r="Q314" s="39" t="n">
        <v>409.3</v>
      </c>
      <c r="R314" s="39" t="n">
        <v>739.15</v>
      </c>
      <c r="S314" s="39" t="n">
        <v>401.44</v>
      </c>
    </row>
    <row r="315" customFormat="false" ht="15" hidden="false" customHeight="false" outlineLevel="0" collapsed="false">
      <c r="A315" s="8" t="n">
        <v>45261</v>
      </c>
      <c r="B315" s="39" t="n">
        <v>20267.9</v>
      </c>
      <c r="C315" s="39" t="n">
        <v>18115.35</v>
      </c>
      <c r="D315" s="39" t="n">
        <v>1425.75</v>
      </c>
      <c r="E315" s="39" t="n">
        <v>813.55</v>
      </c>
      <c r="F315" s="39" t="n">
        <v>919.65</v>
      </c>
      <c r="G315" s="39" t="n">
        <v>492.7</v>
      </c>
      <c r="H315" s="39" t="n">
        <v>779.15</v>
      </c>
      <c r="I315" s="39" t="n">
        <v>402.95</v>
      </c>
      <c r="J315" s="39" t="n">
        <v>2143.45</v>
      </c>
      <c r="K315" s="39" t="n">
        <v>724.95</v>
      </c>
      <c r="L315" s="39" t="n">
        <v>1128.2</v>
      </c>
      <c r="M315" s="39" t="n">
        <v>1698.1</v>
      </c>
      <c r="N315" s="39" t="n">
        <v>594.86</v>
      </c>
      <c r="O315" s="39" t="n">
        <v>273.65</v>
      </c>
      <c r="P315" s="39" t="n">
        <v>1450.75</v>
      </c>
      <c r="Q315" s="39" t="n">
        <v>409.85</v>
      </c>
      <c r="R315" s="39" t="n">
        <v>739.95</v>
      </c>
      <c r="S315" s="39" t="n">
        <v>400.65</v>
      </c>
    </row>
    <row r="316" customFormat="false" ht="15" hidden="false" customHeight="false" outlineLevel="0" collapsed="false">
      <c r="A316" s="8" t="n">
        <v>45264</v>
      </c>
      <c r="B316" s="39" t="n">
        <v>20686.8</v>
      </c>
      <c r="C316" s="39" t="n">
        <v>18448.5</v>
      </c>
      <c r="D316" s="39" t="n">
        <v>1440</v>
      </c>
      <c r="E316" s="39" t="n">
        <v>825.15</v>
      </c>
      <c r="F316" s="39" t="n">
        <v>945.95</v>
      </c>
      <c r="G316" s="39" t="n">
        <v>507.55</v>
      </c>
      <c r="H316" s="39" t="n">
        <v>797.1</v>
      </c>
      <c r="I316" s="39" t="n">
        <v>407.75</v>
      </c>
      <c r="J316" s="39" t="n">
        <v>2151.9</v>
      </c>
      <c r="K316" s="39" t="n">
        <v>739.76</v>
      </c>
      <c r="L316" s="39" t="n">
        <v>1148.75</v>
      </c>
      <c r="M316" s="39" t="n">
        <v>1707.6</v>
      </c>
      <c r="N316" s="39" t="n">
        <v>614.34</v>
      </c>
      <c r="O316" s="39" t="n">
        <v>277.7</v>
      </c>
      <c r="P316" s="39" t="n">
        <v>1464.85</v>
      </c>
      <c r="Q316" s="39" t="n">
        <v>419.35</v>
      </c>
      <c r="R316" s="39" t="n">
        <v>751.7</v>
      </c>
      <c r="S316" s="39" t="n">
        <v>418.89</v>
      </c>
    </row>
    <row r="317" customFormat="false" ht="15" hidden="false" customHeight="false" outlineLevel="0" collapsed="false">
      <c r="A317" s="8" t="n">
        <v>45265</v>
      </c>
      <c r="B317" s="39" t="n">
        <v>20855.1</v>
      </c>
      <c r="C317" s="39" t="n">
        <v>18588.55</v>
      </c>
      <c r="D317" s="39" t="n">
        <v>1490.95</v>
      </c>
      <c r="E317" s="39" t="n">
        <v>836.85</v>
      </c>
      <c r="F317" s="39" t="n">
        <v>960.6</v>
      </c>
      <c r="G317" s="39" t="n">
        <v>498.5</v>
      </c>
      <c r="H317" s="39" t="n">
        <v>795.9</v>
      </c>
      <c r="I317" s="39" t="n">
        <v>400.15</v>
      </c>
      <c r="J317" s="39" t="n">
        <v>2165.95</v>
      </c>
      <c r="K317" s="39" t="n">
        <v>733.98</v>
      </c>
      <c r="L317" s="39" t="n">
        <v>1139.6</v>
      </c>
      <c r="M317" s="39" t="n">
        <v>1747.85</v>
      </c>
      <c r="N317" s="39" t="n">
        <v>607.78</v>
      </c>
      <c r="O317" s="39" t="n">
        <v>270.1</v>
      </c>
      <c r="P317" s="39" t="n">
        <v>1434.1</v>
      </c>
      <c r="Q317" s="39" t="n">
        <v>411.7</v>
      </c>
      <c r="R317" s="39" t="n">
        <v>748.1</v>
      </c>
      <c r="S317" s="39" t="n">
        <v>413.99</v>
      </c>
    </row>
    <row r="318" customFormat="false" ht="15" hidden="false" customHeight="false" outlineLevel="0" collapsed="false">
      <c r="A318" s="8" t="n">
        <v>45266</v>
      </c>
      <c r="B318" s="39" t="n">
        <v>20937.7</v>
      </c>
      <c r="C318" s="39" t="n">
        <v>18680</v>
      </c>
      <c r="D318" s="39" t="n">
        <v>1503.1</v>
      </c>
      <c r="E318" s="39" t="n">
        <v>788.75</v>
      </c>
      <c r="F318" s="39" t="n">
        <v>951.2</v>
      </c>
      <c r="G318" s="39" t="n">
        <v>505.15</v>
      </c>
      <c r="H318" s="39" t="n">
        <v>784.5</v>
      </c>
      <c r="I318" s="39" t="n">
        <v>400.2</v>
      </c>
      <c r="J318" s="39" t="n">
        <v>2256.4</v>
      </c>
      <c r="K318" s="39" t="n">
        <v>741.7</v>
      </c>
      <c r="L318" s="39" t="n">
        <v>1154.2</v>
      </c>
      <c r="M318" s="39" t="n">
        <v>1730.6</v>
      </c>
      <c r="N318" s="39" t="n">
        <v>618.08</v>
      </c>
      <c r="O318" s="39" t="n">
        <v>272.6</v>
      </c>
      <c r="P318" s="39" t="n">
        <v>1432.2</v>
      </c>
      <c r="Q318" s="39" t="n">
        <v>410.8</v>
      </c>
      <c r="R318" s="39" t="n">
        <v>748.1</v>
      </c>
      <c r="S318" s="39" t="n">
        <v>411.14</v>
      </c>
    </row>
    <row r="319" customFormat="false" ht="15" hidden="false" customHeight="false" outlineLevel="0" collapsed="false">
      <c r="A319" s="8" t="n">
        <v>45267</v>
      </c>
      <c r="B319" s="39" t="n">
        <v>20901.15</v>
      </c>
      <c r="C319" s="39" t="n">
        <v>18703.85</v>
      </c>
      <c r="D319" s="39" t="n">
        <v>1503.2</v>
      </c>
      <c r="E319" s="39" t="n">
        <v>797</v>
      </c>
      <c r="F319" s="39" t="n">
        <v>1025.55</v>
      </c>
      <c r="G319" s="39" t="n">
        <v>518.7</v>
      </c>
      <c r="H319" s="39" t="n">
        <v>792.15</v>
      </c>
      <c r="I319" s="39" t="n">
        <v>398.45</v>
      </c>
      <c r="J319" s="39" t="n">
        <v>2298.3</v>
      </c>
      <c r="K319" s="39" t="n">
        <v>738.12</v>
      </c>
      <c r="L319" s="39" t="n">
        <v>1137.25</v>
      </c>
      <c r="M319" s="39" t="n">
        <v>1714.75</v>
      </c>
      <c r="N319" s="39" t="n">
        <v>614.29</v>
      </c>
      <c r="O319" s="39" t="n">
        <v>274.15</v>
      </c>
      <c r="P319" s="39" t="n">
        <v>1450.55</v>
      </c>
      <c r="Q319" s="39" t="n">
        <v>421.35</v>
      </c>
      <c r="R319" s="39" t="n">
        <v>767.5</v>
      </c>
      <c r="S319" s="39" t="n">
        <v>406.96</v>
      </c>
    </row>
    <row r="320" customFormat="false" ht="15" hidden="false" customHeight="false" outlineLevel="0" collapsed="false">
      <c r="A320" s="8" t="n">
        <v>45268</v>
      </c>
      <c r="B320" s="39" t="n">
        <v>20969.4</v>
      </c>
      <c r="C320" s="39" t="n">
        <v>18703.5</v>
      </c>
      <c r="D320" s="39" t="n">
        <v>1490.95</v>
      </c>
      <c r="E320" s="39" t="n">
        <v>790.45</v>
      </c>
      <c r="F320" s="39" t="n">
        <v>1036.3</v>
      </c>
      <c r="G320" s="39" t="n">
        <v>532.3</v>
      </c>
      <c r="H320" s="39" t="n">
        <v>781.05</v>
      </c>
      <c r="I320" s="39" t="n">
        <v>402.6</v>
      </c>
      <c r="J320" s="39" t="n">
        <v>2266.35</v>
      </c>
      <c r="K320" s="39" t="n">
        <v>729.77</v>
      </c>
      <c r="L320" s="39" t="n">
        <v>1166.65</v>
      </c>
      <c r="M320" s="39" t="n">
        <v>1704.8</v>
      </c>
      <c r="N320" s="39" t="n">
        <v>613.51</v>
      </c>
      <c r="O320" s="39" t="n">
        <v>273.25</v>
      </c>
      <c r="P320" s="39" t="n">
        <v>1440.65</v>
      </c>
      <c r="Q320" s="39" t="n">
        <v>418.45</v>
      </c>
      <c r="R320" s="39" t="n">
        <v>759.95</v>
      </c>
      <c r="S320" s="39" t="n">
        <v>406.32</v>
      </c>
    </row>
    <row r="321" customFormat="false" ht="15" hidden="false" customHeight="false" outlineLevel="0" collapsed="false">
      <c r="A321" s="8" t="n">
        <v>45271</v>
      </c>
      <c r="B321" s="39" t="n">
        <v>20997.1</v>
      </c>
      <c r="C321" s="39" t="n">
        <v>18770.2</v>
      </c>
      <c r="D321" s="39" t="n">
        <v>1519.35</v>
      </c>
      <c r="E321" s="39" t="n">
        <v>755.65</v>
      </c>
      <c r="F321" s="39" t="n">
        <v>1019.95</v>
      </c>
      <c r="G321" s="39" t="n">
        <v>529.8</v>
      </c>
      <c r="H321" s="39" t="n">
        <v>786.55</v>
      </c>
      <c r="I321" s="39" t="n">
        <v>402.25</v>
      </c>
      <c r="J321" s="39" t="n">
        <v>2296.75</v>
      </c>
      <c r="K321" s="39" t="n">
        <v>728.28</v>
      </c>
      <c r="L321" s="39" t="n">
        <v>1175.2</v>
      </c>
      <c r="M321" s="39" t="n">
        <v>1739.4</v>
      </c>
      <c r="N321" s="39" t="n">
        <v>610.65</v>
      </c>
      <c r="O321" s="39" t="n">
        <v>270.75</v>
      </c>
      <c r="P321" s="39" t="n">
        <v>1445</v>
      </c>
      <c r="Q321" s="39" t="n">
        <v>425.1</v>
      </c>
      <c r="R321" s="39" t="n">
        <v>755.8</v>
      </c>
      <c r="S321" s="39" t="n">
        <v>409.42</v>
      </c>
    </row>
    <row r="322" customFormat="false" ht="15" hidden="false" customHeight="false" outlineLevel="0" collapsed="false">
      <c r="A322" s="8" t="n">
        <v>45272</v>
      </c>
      <c r="B322" s="39" t="n">
        <v>20906.4</v>
      </c>
      <c r="C322" s="39" t="n">
        <v>18686.8</v>
      </c>
      <c r="D322" s="39" t="n">
        <v>1547.25</v>
      </c>
      <c r="E322" s="39" t="n">
        <v>770.6</v>
      </c>
      <c r="F322" s="39" t="n">
        <v>1018.2</v>
      </c>
      <c r="G322" s="39" t="n">
        <v>528.25</v>
      </c>
      <c r="H322" s="39" t="n">
        <v>777.75</v>
      </c>
      <c r="I322" s="39" t="n">
        <v>390.85</v>
      </c>
      <c r="J322" s="39" t="n">
        <v>2376.35</v>
      </c>
      <c r="K322" s="39" t="n">
        <v>730.46</v>
      </c>
      <c r="L322" s="39" t="n">
        <v>1177.25</v>
      </c>
      <c r="M322" s="39" t="n">
        <v>1763.5</v>
      </c>
      <c r="N322" s="39" t="n">
        <v>638.96</v>
      </c>
      <c r="O322" s="39" t="n">
        <v>270.8</v>
      </c>
      <c r="P322" s="39" t="n">
        <v>1453.5</v>
      </c>
      <c r="Q322" s="39" t="n">
        <v>416.05</v>
      </c>
      <c r="R322" s="39" t="n">
        <v>755.95</v>
      </c>
      <c r="S322" s="39" t="n">
        <v>399.05</v>
      </c>
    </row>
    <row r="323" customFormat="false" ht="15" hidden="false" customHeight="false" outlineLevel="0" collapsed="false">
      <c r="A323" s="8" t="n">
        <v>45273</v>
      </c>
      <c r="B323" s="39" t="n">
        <v>20926.35</v>
      </c>
      <c r="C323" s="39" t="n">
        <v>18751.45</v>
      </c>
      <c r="D323" s="39" t="n">
        <v>1568.5</v>
      </c>
      <c r="E323" s="39" t="n">
        <v>775.5</v>
      </c>
      <c r="F323" s="39" t="n">
        <v>985.75</v>
      </c>
      <c r="G323" s="39" t="n">
        <v>531.45</v>
      </c>
      <c r="H323" s="39" t="n">
        <v>788.65</v>
      </c>
      <c r="I323" s="39" t="n">
        <v>394.85</v>
      </c>
      <c r="J323" s="39" t="n">
        <v>2419</v>
      </c>
      <c r="K323" s="39" t="n">
        <v>724.81</v>
      </c>
      <c r="L323" s="39" t="n">
        <v>1180.6</v>
      </c>
      <c r="M323" s="39" t="n">
        <v>1762.55</v>
      </c>
      <c r="N323" s="39" t="n">
        <v>645.13</v>
      </c>
      <c r="O323" s="39" t="n">
        <v>271.7</v>
      </c>
      <c r="P323" s="39" t="n">
        <v>1467.1</v>
      </c>
      <c r="Q323" s="39" t="n">
        <v>421.75</v>
      </c>
      <c r="R323" s="39" t="n">
        <v>749.95</v>
      </c>
      <c r="S323" s="39" t="n">
        <v>399.06</v>
      </c>
    </row>
    <row r="324" customFormat="false" ht="15" hidden="false" customHeight="false" outlineLevel="0" collapsed="false">
      <c r="A324" s="8" t="n">
        <v>45274</v>
      </c>
      <c r="B324" s="39" t="n">
        <v>21182.7</v>
      </c>
      <c r="C324" s="39" t="n">
        <v>18973.85</v>
      </c>
      <c r="D324" s="39" t="n">
        <v>1552</v>
      </c>
      <c r="E324" s="39" t="n">
        <v>791</v>
      </c>
      <c r="F324" s="39" t="n">
        <v>1008.35</v>
      </c>
      <c r="G324" s="39" t="n">
        <v>533.65</v>
      </c>
      <c r="H324" s="39" t="n">
        <v>784.3</v>
      </c>
      <c r="I324" s="39" t="n">
        <v>395.2</v>
      </c>
      <c r="J324" s="39" t="n">
        <v>2360.45</v>
      </c>
      <c r="K324" s="39" t="n">
        <v>746.4</v>
      </c>
      <c r="L324" s="39" t="n">
        <v>1228.9</v>
      </c>
      <c r="M324" s="39" t="n">
        <v>1754.45</v>
      </c>
      <c r="N324" s="39" t="n">
        <v>645.57</v>
      </c>
      <c r="O324" s="39" t="n">
        <v>289.35</v>
      </c>
      <c r="P324" s="39" t="n">
        <v>1481</v>
      </c>
      <c r="Q324" s="39" t="n">
        <v>434.85</v>
      </c>
      <c r="R324" s="39" t="n">
        <v>767.8</v>
      </c>
      <c r="S324" s="39" t="n">
        <v>423.66</v>
      </c>
    </row>
    <row r="325" customFormat="false" ht="15" hidden="false" customHeight="false" outlineLevel="0" collapsed="false">
      <c r="A325" s="8" t="n">
        <v>45275</v>
      </c>
      <c r="B325" s="39" t="n">
        <v>21456.65</v>
      </c>
      <c r="C325" s="39" t="n">
        <v>19145.05</v>
      </c>
      <c r="D325" s="39" t="n">
        <v>1546.15</v>
      </c>
      <c r="E325" s="39" t="n">
        <v>781.8</v>
      </c>
      <c r="F325" s="39" t="n">
        <v>1036.65</v>
      </c>
      <c r="G325" s="39" t="n">
        <v>540.45</v>
      </c>
      <c r="H325" s="39" t="n">
        <v>803.4</v>
      </c>
      <c r="I325" s="39" t="n">
        <v>404.95</v>
      </c>
      <c r="J325" s="39" t="n">
        <v>2364.15</v>
      </c>
      <c r="K325" s="39" t="n">
        <v>750.48</v>
      </c>
      <c r="L325" s="39" t="n">
        <v>1243.8</v>
      </c>
      <c r="M325" s="39" t="n">
        <v>1698.65</v>
      </c>
      <c r="N325" s="39" t="n">
        <v>630.07</v>
      </c>
      <c r="O325" s="39" t="n">
        <v>286.7</v>
      </c>
      <c r="P325" s="39" t="n">
        <v>1488</v>
      </c>
      <c r="Q325" s="39" t="n">
        <v>439.65</v>
      </c>
      <c r="R325" s="39" t="n">
        <v>776.35</v>
      </c>
      <c r="S325" s="39" t="n">
        <v>415.54</v>
      </c>
    </row>
    <row r="326" customFormat="false" ht="15" hidden="false" customHeight="false" outlineLevel="0" collapsed="false">
      <c r="A326" s="8" t="n">
        <v>45278</v>
      </c>
      <c r="B326" s="39" t="n">
        <v>21418.65</v>
      </c>
      <c r="C326" s="39" t="n">
        <v>19155.55</v>
      </c>
      <c r="D326" s="39" t="n">
        <v>1555.9</v>
      </c>
      <c r="E326" s="39" t="n">
        <v>783.55</v>
      </c>
      <c r="F326" s="39" t="n">
        <v>1023.45</v>
      </c>
      <c r="G326" s="39" t="n">
        <v>531.25</v>
      </c>
      <c r="H326" s="39" t="n">
        <v>812.95</v>
      </c>
      <c r="I326" s="39" t="n">
        <v>402.95</v>
      </c>
      <c r="J326" s="39" t="n">
        <v>2354.8</v>
      </c>
      <c r="K326" s="39" t="n">
        <v>757.73</v>
      </c>
      <c r="L326" s="39" t="n">
        <v>1248.3</v>
      </c>
      <c r="M326" s="39" t="n">
        <v>1689.25</v>
      </c>
      <c r="N326" s="39" t="n">
        <v>624.68</v>
      </c>
      <c r="O326" s="39" t="n">
        <v>282.1</v>
      </c>
      <c r="P326" s="39" t="n">
        <v>1478.6</v>
      </c>
      <c r="Q326" s="39" t="n">
        <v>440.55</v>
      </c>
      <c r="R326" s="39" t="n">
        <v>781.2</v>
      </c>
      <c r="S326" s="39" t="n">
        <v>409.6</v>
      </c>
    </row>
    <row r="327" customFormat="false" ht="15" hidden="false" customHeight="false" outlineLevel="0" collapsed="false">
      <c r="A327" s="8" t="n">
        <v>45279</v>
      </c>
      <c r="B327" s="39" t="n">
        <v>21453.1</v>
      </c>
      <c r="C327" s="39" t="n">
        <v>19169.25</v>
      </c>
      <c r="D327" s="39" t="n">
        <v>1529.05</v>
      </c>
      <c r="E327" s="39" t="n">
        <v>783.15</v>
      </c>
      <c r="F327" s="39" t="n">
        <v>1000.45</v>
      </c>
      <c r="G327" s="39" t="n">
        <v>529.65</v>
      </c>
      <c r="H327" s="39" t="n">
        <v>807.55</v>
      </c>
      <c r="I327" s="39" t="n">
        <v>399.45</v>
      </c>
      <c r="J327" s="39" t="n">
        <v>2426.95</v>
      </c>
      <c r="K327" s="39" t="n">
        <v>762.23</v>
      </c>
      <c r="L327" s="39" t="n">
        <v>1249.65</v>
      </c>
      <c r="M327" s="39" t="n">
        <v>1682.15</v>
      </c>
      <c r="N327" s="39" t="n">
        <v>644.79</v>
      </c>
      <c r="O327" s="39" t="n">
        <v>279.9</v>
      </c>
      <c r="P327" s="39" t="n">
        <v>1485.7</v>
      </c>
      <c r="Q327" s="39" t="n">
        <v>444.5</v>
      </c>
      <c r="R327" s="39" t="n">
        <v>776.8</v>
      </c>
      <c r="S327" s="39" t="n">
        <v>411.91</v>
      </c>
    </row>
    <row r="328" customFormat="false" ht="15" hidden="false" customHeight="false" outlineLevel="0" collapsed="false">
      <c r="A328" s="8" t="n">
        <v>45280</v>
      </c>
      <c r="B328" s="39" t="n">
        <v>21150.15</v>
      </c>
      <c r="C328" s="39" t="n">
        <v>18779.45</v>
      </c>
      <c r="D328" s="39" t="n">
        <v>1496.45</v>
      </c>
      <c r="E328" s="39" t="n">
        <v>753.8</v>
      </c>
      <c r="F328" s="39" t="n">
        <v>991.55</v>
      </c>
      <c r="G328" s="39" t="n">
        <v>513.55</v>
      </c>
      <c r="H328" s="39" t="n">
        <v>782</v>
      </c>
      <c r="I328" s="39" t="n">
        <v>381.9</v>
      </c>
      <c r="J328" s="39" t="n">
        <v>2312.8</v>
      </c>
      <c r="K328" s="39" t="n">
        <v>748.38</v>
      </c>
      <c r="L328" s="39" t="n">
        <v>1239.15</v>
      </c>
      <c r="M328" s="39" t="n">
        <v>1655.7</v>
      </c>
      <c r="N328" s="39" t="n">
        <v>601.52</v>
      </c>
      <c r="O328" s="39" t="n">
        <v>268.8</v>
      </c>
      <c r="P328" s="39" t="n">
        <v>1443.3</v>
      </c>
      <c r="Q328" s="39" t="n">
        <v>439.85</v>
      </c>
      <c r="R328" s="39" t="n">
        <v>759.8</v>
      </c>
      <c r="S328" s="39" t="n">
        <v>399.75</v>
      </c>
    </row>
    <row r="329" customFormat="false" ht="15" hidden="false" customHeight="false" outlineLevel="0" collapsed="false">
      <c r="A329" s="8" t="n">
        <v>45281</v>
      </c>
      <c r="B329" s="39" t="n">
        <v>21255.05</v>
      </c>
      <c r="C329" s="39" t="n">
        <v>18941.8</v>
      </c>
      <c r="D329" s="39" t="n">
        <v>1487.9</v>
      </c>
      <c r="E329" s="39" t="n">
        <v>759.8</v>
      </c>
      <c r="F329" s="39" t="n">
        <v>989.4</v>
      </c>
      <c r="G329" s="39" t="n">
        <v>518.6</v>
      </c>
      <c r="H329" s="39" t="n">
        <v>771.1</v>
      </c>
      <c r="I329" s="39" t="n">
        <v>397.4</v>
      </c>
      <c r="J329" s="39" t="n">
        <v>2641.45</v>
      </c>
      <c r="K329" s="39" t="n">
        <v>735.71</v>
      </c>
      <c r="L329" s="39" t="n">
        <v>1228.05</v>
      </c>
      <c r="M329" s="39" t="n">
        <v>1629.8</v>
      </c>
      <c r="N329" s="39" t="n">
        <v>578.1</v>
      </c>
      <c r="O329" s="39" t="n">
        <v>269.9</v>
      </c>
      <c r="P329" s="39" t="n">
        <v>1453.7</v>
      </c>
      <c r="Q329" s="39" t="n">
        <v>440.35</v>
      </c>
      <c r="R329" s="39" t="n">
        <v>765.2</v>
      </c>
      <c r="S329" s="39" t="n">
        <v>403.37</v>
      </c>
    </row>
    <row r="330" customFormat="false" ht="15" hidden="false" customHeight="false" outlineLevel="0" collapsed="false">
      <c r="A330" s="8" t="n">
        <v>45282</v>
      </c>
      <c r="B330" s="39" t="n">
        <v>21349.4</v>
      </c>
      <c r="C330" s="39" t="n">
        <v>19054.7</v>
      </c>
      <c r="D330" s="39" t="n">
        <v>1479.95</v>
      </c>
      <c r="E330" s="39" t="n">
        <v>764.55</v>
      </c>
      <c r="F330" s="39" t="n">
        <v>994.6</v>
      </c>
      <c r="G330" s="39" t="n">
        <v>517.3</v>
      </c>
      <c r="H330" s="39" t="n">
        <v>775.35</v>
      </c>
      <c r="I330" s="39" t="n">
        <v>396.75</v>
      </c>
      <c r="J330" s="39" t="n">
        <v>2609.7</v>
      </c>
      <c r="K330" s="39" t="n">
        <v>728.54</v>
      </c>
      <c r="L330" s="39" t="n">
        <v>1250.8</v>
      </c>
      <c r="M330" s="39" t="n">
        <v>1627.5</v>
      </c>
      <c r="N330" s="39" t="n">
        <v>556.2</v>
      </c>
      <c r="O330" s="39" t="n">
        <v>267.4</v>
      </c>
      <c r="P330" s="39" t="n">
        <v>1475.1</v>
      </c>
      <c r="Q330" s="39" t="n">
        <v>442.35</v>
      </c>
      <c r="R330" s="39" t="n">
        <v>773.15</v>
      </c>
      <c r="S330" s="39" t="n">
        <v>411.09</v>
      </c>
    </row>
    <row r="331" customFormat="false" ht="15" hidden="false" customHeight="false" outlineLevel="0" collapsed="false">
      <c r="A331" s="8" t="n">
        <v>45286</v>
      </c>
      <c r="B331" s="39" t="n">
        <v>21441.35</v>
      </c>
      <c r="C331" s="39" t="n">
        <v>19148.85</v>
      </c>
      <c r="D331" s="39" t="n">
        <v>1462.25</v>
      </c>
      <c r="E331" s="39" t="n">
        <v>775</v>
      </c>
      <c r="F331" s="39" t="n">
        <v>959.05</v>
      </c>
      <c r="G331" s="39" t="n">
        <v>513.8</v>
      </c>
      <c r="H331" s="39" t="n">
        <v>786.1</v>
      </c>
      <c r="I331" s="39" t="n">
        <v>396.75</v>
      </c>
      <c r="J331" s="39" t="n">
        <v>2508.85</v>
      </c>
      <c r="K331" s="39" t="n">
        <v>715.26</v>
      </c>
      <c r="L331" s="39" t="n">
        <v>1245.3</v>
      </c>
      <c r="M331" s="39" t="n">
        <v>1613.25</v>
      </c>
      <c r="N331" s="39" t="n">
        <v>575.43</v>
      </c>
      <c r="O331" s="39" t="n">
        <v>270.6</v>
      </c>
      <c r="P331" s="39" t="n">
        <v>1450.8</v>
      </c>
      <c r="Q331" s="39" t="n">
        <v>440.25</v>
      </c>
      <c r="R331" s="39" t="n">
        <v>768.1</v>
      </c>
      <c r="S331" s="39" t="n">
        <v>407.15</v>
      </c>
    </row>
    <row r="332" customFormat="false" ht="15" hidden="false" customHeight="false" outlineLevel="0" collapsed="false">
      <c r="A332" s="8" t="n">
        <v>45287</v>
      </c>
      <c r="B332" s="39" t="n">
        <v>21654.75</v>
      </c>
      <c r="C332" s="39" t="n">
        <v>19296.95</v>
      </c>
      <c r="D332" s="39" t="n">
        <v>1488.65</v>
      </c>
      <c r="E332" s="39" t="n">
        <v>778</v>
      </c>
      <c r="F332" s="39" t="n">
        <v>960.7</v>
      </c>
      <c r="G332" s="39" t="n">
        <v>523.95</v>
      </c>
      <c r="H332" s="39" t="n">
        <v>785.85</v>
      </c>
      <c r="I332" s="39" t="n">
        <v>396.5</v>
      </c>
      <c r="J332" s="39" t="n">
        <v>2591.6</v>
      </c>
      <c r="K332" s="39" t="n">
        <v>722.3</v>
      </c>
      <c r="L332" s="39" t="n">
        <v>1253.2</v>
      </c>
      <c r="M332" s="39" t="n">
        <v>1602.55</v>
      </c>
      <c r="N332" s="39" t="n">
        <v>568.68</v>
      </c>
      <c r="O332" s="39" t="n">
        <v>276.8</v>
      </c>
      <c r="P332" s="39" t="n">
        <v>1477.2</v>
      </c>
      <c r="Q332" s="39" t="n">
        <v>434.1</v>
      </c>
      <c r="R332" s="39" t="n">
        <v>764.75</v>
      </c>
      <c r="S332" s="39" t="n">
        <v>409.98</v>
      </c>
    </row>
    <row r="333" customFormat="false" ht="15" hidden="false" customHeight="false" outlineLevel="0" collapsed="false">
      <c r="A333" s="8" t="n">
        <v>45288</v>
      </c>
      <c r="B333" s="39" t="n">
        <v>21778.7</v>
      </c>
      <c r="C333" s="39" t="n">
        <v>19399.25</v>
      </c>
      <c r="D333" s="39" t="n">
        <v>1501.7</v>
      </c>
      <c r="E333" s="39" t="n">
        <v>776.95</v>
      </c>
      <c r="F333" s="39" t="n">
        <v>941.4</v>
      </c>
      <c r="G333" s="39" t="n">
        <v>527.2</v>
      </c>
      <c r="H333" s="39" t="n">
        <v>777.8</v>
      </c>
      <c r="I333" s="39" t="n">
        <v>392.85</v>
      </c>
      <c r="J333" s="39" t="n">
        <v>2455.2</v>
      </c>
      <c r="K333" s="39" t="n">
        <v>724.88</v>
      </c>
      <c r="L333" s="39" t="n">
        <v>1235.7</v>
      </c>
      <c r="M333" s="39" t="n">
        <v>1586.8</v>
      </c>
      <c r="N333" s="39" t="n">
        <v>580.29</v>
      </c>
      <c r="O333" s="39" t="n">
        <v>273.25</v>
      </c>
      <c r="P333" s="39" t="n">
        <v>1492</v>
      </c>
      <c r="Q333" s="39" t="n">
        <v>430.2</v>
      </c>
      <c r="R333" s="39" t="n">
        <v>760.25</v>
      </c>
      <c r="S333" s="39" t="n">
        <v>409.13</v>
      </c>
    </row>
    <row r="334" customFormat="false" ht="15" hidden="false" customHeight="false" outlineLevel="0" collapsed="false">
      <c r="A334" s="8" t="n">
        <v>45289</v>
      </c>
      <c r="B334" s="39" t="n">
        <v>21731.4</v>
      </c>
      <c r="C334" s="39" t="n">
        <v>19429.15</v>
      </c>
      <c r="D334" s="39" t="n">
        <v>1532.25</v>
      </c>
      <c r="E334" s="39" t="n">
        <v>777.65</v>
      </c>
      <c r="F334" s="39" t="n">
        <v>930.1</v>
      </c>
      <c r="G334" s="39" t="n">
        <v>536.1</v>
      </c>
      <c r="H334" s="39" t="n">
        <v>780.75</v>
      </c>
      <c r="I334" s="39" t="n">
        <v>392.4</v>
      </c>
      <c r="J334" s="39" t="n">
        <v>2437.7</v>
      </c>
      <c r="K334" s="39" t="n">
        <v>731.78</v>
      </c>
      <c r="L334" s="39" t="n">
        <v>1259.8</v>
      </c>
      <c r="M334" s="39" t="n">
        <v>1596.55</v>
      </c>
      <c r="N334" s="39" t="n">
        <v>581.02</v>
      </c>
      <c r="O334" s="39" t="n">
        <v>276.7</v>
      </c>
      <c r="P334" s="39" t="n">
        <v>1476.3</v>
      </c>
      <c r="Q334" s="39" t="n">
        <v>435.55</v>
      </c>
      <c r="R334" s="39" t="n">
        <v>759.65</v>
      </c>
      <c r="S334" s="39" t="n">
        <v>410.66</v>
      </c>
    </row>
    <row r="335" customFormat="false" ht="15" hidden="false" customHeight="false" outlineLevel="0" collapsed="false">
      <c r="A335" s="8" t="n">
        <v>45292</v>
      </c>
      <c r="B335" s="39" t="n">
        <v>21741.9</v>
      </c>
      <c r="C335" s="39" t="n">
        <v>19469.5</v>
      </c>
      <c r="D335" s="39" t="n">
        <v>1561.2</v>
      </c>
      <c r="E335" s="39" t="n">
        <v>776.9</v>
      </c>
      <c r="F335" s="39" t="n">
        <v>932.35</v>
      </c>
      <c r="G335" s="39" t="n">
        <v>563.05</v>
      </c>
      <c r="H335" s="39" t="n">
        <v>785.3</v>
      </c>
      <c r="I335" s="39" t="n">
        <v>408.05</v>
      </c>
      <c r="J335" s="39" t="n">
        <v>2536.4</v>
      </c>
      <c r="K335" s="39" t="n">
        <v>728.91</v>
      </c>
      <c r="L335" s="39" t="n">
        <v>1225.35</v>
      </c>
      <c r="M335" s="39" t="n">
        <v>1594.15</v>
      </c>
      <c r="N335" s="39" t="n">
        <v>585.49</v>
      </c>
      <c r="O335" s="39" t="n">
        <v>275.2</v>
      </c>
      <c r="P335" s="39" t="n">
        <v>1466</v>
      </c>
      <c r="Q335" s="39" t="n">
        <v>438</v>
      </c>
      <c r="R335" s="39" t="n">
        <v>766.35</v>
      </c>
      <c r="S335" s="39" t="n">
        <v>409.77</v>
      </c>
    </row>
    <row r="336" customFormat="false" ht="15" hidden="false" customHeight="false" outlineLevel="0" collapsed="false">
      <c r="A336" s="8" t="n">
        <v>45293</v>
      </c>
      <c r="B336" s="39" t="n">
        <v>21665.8</v>
      </c>
      <c r="C336" s="39" t="n">
        <v>19418.4</v>
      </c>
      <c r="D336" s="39" t="n">
        <v>1575.45</v>
      </c>
      <c r="E336" s="39" t="n">
        <v>766.1</v>
      </c>
      <c r="F336" s="39" t="n">
        <v>957.8</v>
      </c>
      <c r="G336" s="39" t="n">
        <v>559.6</v>
      </c>
      <c r="H336" s="39" t="n">
        <v>778.5</v>
      </c>
      <c r="I336" s="39" t="n">
        <v>410.95</v>
      </c>
      <c r="J336" s="39" t="n">
        <v>2563</v>
      </c>
      <c r="K336" s="39" t="n">
        <v>742</v>
      </c>
      <c r="L336" s="39" t="n">
        <v>1220.1</v>
      </c>
      <c r="M336" s="39" t="n">
        <v>1573.75</v>
      </c>
      <c r="N336" s="39" t="n">
        <v>597.68</v>
      </c>
      <c r="O336" s="39" t="n">
        <v>274.7</v>
      </c>
      <c r="P336" s="39" t="n">
        <v>1454.7</v>
      </c>
      <c r="Q336" s="39" t="n">
        <v>431</v>
      </c>
      <c r="R336" s="39" t="n">
        <v>773.15</v>
      </c>
      <c r="S336" s="39" t="n">
        <v>406.01</v>
      </c>
    </row>
    <row r="337" customFormat="false" ht="15" hidden="false" customHeight="false" outlineLevel="0" collapsed="false">
      <c r="A337" s="8" t="n">
        <v>45294</v>
      </c>
      <c r="B337" s="39" t="n">
        <v>21517.35</v>
      </c>
      <c r="C337" s="39" t="n">
        <v>19367.15</v>
      </c>
      <c r="D337" s="39" t="n">
        <v>1567.7</v>
      </c>
      <c r="E337" s="39" t="n">
        <v>765.95</v>
      </c>
      <c r="F337" s="39" t="n">
        <v>955.35</v>
      </c>
      <c r="G337" s="39" t="n">
        <v>557.6</v>
      </c>
      <c r="H337" s="39" t="n">
        <v>788.15</v>
      </c>
      <c r="I337" s="39" t="n">
        <v>412.35</v>
      </c>
      <c r="J337" s="39" t="n">
        <v>2591.25</v>
      </c>
      <c r="K337" s="39" t="n">
        <v>737.48</v>
      </c>
      <c r="L337" s="39" t="n">
        <v>1240.5</v>
      </c>
      <c r="M337" s="39" t="n">
        <v>1585.3</v>
      </c>
      <c r="N337" s="39" t="n">
        <v>589.62</v>
      </c>
      <c r="O337" s="39" t="n">
        <v>275.65</v>
      </c>
      <c r="P337" s="39" t="n">
        <v>1475.85</v>
      </c>
      <c r="Q337" s="39" t="n">
        <v>431.1</v>
      </c>
      <c r="R337" s="39" t="n">
        <v>769.85</v>
      </c>
      <c r="S337" s="39" t="n">
        <v>418.01</v>
      </c>
    </row>
    <row r="338" customFormat="false" ht="15" hidden="false" customHeight="false" outlineLevel="0" collapsed="false">
      <c r="A338" s="8" t="n">
        <v>45295</v>
      </c>
      <c r="B338" s="39" t="n">
        <v>21658.6</v>
      </c>
      <c r="C338" s="39" t="n">
        <v>19541.25</v>
      </c>
      <c r="D338" s="39" t="n">
        <v>1571.2</v>
      </c>
      <c r="E338" s="39" t="n">
        <v>785.75</v>
      </c>
      <c r="F338" s="39" t="n">
        <v>941.75</v>
      </c>
      <c r="G338" s="39" t="n">
        <v>572</v>
      </c>
      <c r="H338" s="39" t="n">
        <v>796.45</v>
      </c>
      <c r="I338" s="39" t="n">
        <v>419.6</v>
      </c>
      <c r="J338" s="39" t="n">
        <v>2589.45</v>
      </c>
      <c r="K338" s="39" t="n">
        <v>769.51</v>
      </c>
      <c r="L338" s="39" t="n">
        <v>1297.25</v>
      </c>
      <c r="M338" s="39" t="n">
        <v>1595.7</v>
      </c>
      <c r="N338" s="39" t="n">
        <v>616.47</v>
      </c>
      <c r="O338" s="39" t="n">
        <v>278</v>
      </c>
      <c r="P338" s="39" t="n">
        <v>1517.8</v>
      </c>
      <c r="Q338" s="39" t="n">
        <v>450.4</v>
      </c>
      <c r="R338" s="39" t="n">
        <v>770.1</v>
      </c>
      <c r="S338" s="39" t="n">
        <v>429.63</v>
      </c>
    </row>
    <row r="339" customFormat="false" ht="15" hidden="false" customHeight="false" outlineLevel="0" collapsed="false">
      <c r="A339" s="8" t="n">
        <v>45296</v>
      </c>
      <c r="B339" s="39" t="n">
        <v>21710.8</v>
      </c>
      <c r="C339" s="39" t="n">
        <v>19590.6</v>
      </c>
      <c r="D339" s="39" t="n">
        <v>1566.05</v>
      </c>
      <c r="E339" s="39" t="n">
        <v>781.4</v>
      </c>
      <c r="F339" s="39" t="n">
        <v>949.6</v>
      </c>
      <c r="G339" s="39" t="n">
        <v>574.8</v>
      </c>
      <c r="H339" s="39" t="n">
        <v>800.65</v>
      </c>
      <c r="I339" s="39" t="n">
        <v>414.65</v>
      </c>
      <c r="J339" s="39" t="n">
        <v>2581.65</v>
      </c>
      <c r="K339" s="39" t="n">
        <v>770.07</v>
      </c>
      <c r="L339" s="39" t="n">
        <v>1257.85</v>
      </c>
      <c r="M339" s="39" t="n">
        <v>1729.1</v>
      </c>
      <c r="N339" s="39" t="n">
        <v>623.27</v>
      </c>
      <c r="O339" s="39" t="n">
        <v>277.05</v>
      </c>
      <c r="P339" s="39" t="n">
        <v>1499.5</v>
      </c>
      <c r="Q339" s="39" t="n">
        <v>458.9</v>
      </c>
      <c r="R339" s="39" t="n">
        <v>771.6</v>
      </c>
      <c r="S339" s="39" t="n">
        <v>434.48</v>
      </c>
    </row>
    <row r="340" customFormat="false" ht="15" hidden="false" customHeight="false" outlineLevel="0" collapsed="false">
      <c r="A340" s="8" t="n">
        <v>45299</v>
      </c>
      <c r="B340" s="39" t="n">
        <v>21513</v>
      </c>
      <c r="C340" s="39" t="n">
        <v>19417.7</v>
      </c>
      <c r="D340" s="39" t="n">
        <v>1552.45</v>
      </c>
      <c r="E340" s="39" t="n">
        <v>771.05</v>
      </c>
      <c r="F340" s="39" t="n">
        <v>936.2</v>
      </c>
      <c r="G340" s="39" t="n">
        <v>561.8</v>
      </c>
      <c r="H340" s="39" t="n">
        <v>788.65</v>
      </c>
      <c r="I340" s="39" t="n">
        <v>411.15</v>
      </c>
      <c r="J340" s="39" t="n">
        <v>2498.6</v>
      </c>
      <c r="K340" s="39" t="n">
        <v>772.55</v>
      </c>
      <c r="L340" s="39" t="n">
        <v>1231.15</v>
      </c>
      <c r="M340" s="39" t="n">
        <v>1731.15</v>
      </c>
      <c r="N340" s="39" t="n">
        <v>603.46</v>
      </c>
      <c r="O340" s="39" t="n">
        <v>275.6</v>
      </c>
      <c r="P340" s="39" t="n">
        <v>1489.1</v>
      </c>
      <c r="Q340" s="39" t="n">
        <v>459.3</v>
      </c>
      <c r="R340" s="39" t="n">
        <v>767.65</v>
      </c>
      <c r="S340" s="39" t="n">
        <v>439.27</v>
      </c>
    </row>
    <row r="341" customFormat="false" ht="15" hidden="false" customHeight="false" outlineLevel="0" collapsed="false">
      <c r="A341" s="8" t="n">
        <v>45300</v>
      </c>
      <c r="B341" s="39" t="n">
        <v>21544.85</v>
      </c>
      <c r="C341" s="39" t="n">
        <v>19459.55</v>
      </c>
      <c r="D341" s="39" t="n">
        <v>1552.75</v>
      </c>
      <c r="E341" s="39" t="n">
        <v>775.05</v>
      </c>
      <c r="F341" s="39" t="n">
        <v>937.05</v>
      </c>
      <c r="G341" s="39" t="n">
        <v>562.4</v>
      </c>
      <c r="H341" s="39" t="n">
        <v>788</v>
      </c>
      <c r="I341" s="39" t="n">
        <v>412.75</v>
      </c>
      <c r="J341" s="39" t="n">
        <v>2420.35</v>
      </c>
      <c r="K341" s="39" t="n">
        <v>771.5</v>
      </c>
      <c r="L341" s="39" t="n">
        <v>1231.45</v>
      </c>
      <c r="M341" s="39" t="n">
        <v>1757.5</v>
      </c>
      <c r="N341" s="39" t="n">
        <v>609.14</v>
      </c>
      <c r="O341" s="39" t="n">
        <v>274</v>
      </c>
      <c r="P341" s="39" t="n">
        <v>1480.45</v>
      </c>
      <c r="Q341" s="39" t="n">
        <v>474.8</v>
      </c>
      <c r="R341" s="39" t="n">
        <v>762.05</v>
      </c>
      <c r="S341" s="39" t="n">
        <v>433.57</v>
      </c>
    </row>
    <row r="342" customFormat="false" ht="15" hidden="false" customHeight="false" outlineLevel="0" collapsed="false">
      <c r="A342" s="8" t="n">
        <v>45301</v>
      </c>
      <c r="B342" s="39" t="n">
        <v>21618.7</v>
      </c>
      <c r="C342" s="39" t="n">
        <v>19517.85</v>
      </c>
      <c r="D342" s="39" t="n">
        <v>1568.7</v>
      </c>
      <c r="E342" s="39" t="n">
        <v>759.7</v>
      </c>
      <c r="F342" s="39" t="n">
        <v>942.55</v>
      </c>
      <c r="G342" s="39" t="n">
        <v>567.75</v>
      </c>
      <c r="H342" s="39" t="n">
        <v>782.95</v>
      </c>
      <c r="I342" s="39" t="n">
        <v>411.2</v>
      </c>
      <c r="J342" s="39" t="n">
        <v>2473.95</v>
      </c>
      <c r="K342" s="39" t="n">
        <v>767.01</v>
      </c>
      <c r="L342" s="39" t="n">
        <v>1216.25</v>
      </c>
      <c r="M342" s="39" t="n">
        <v>1753</v>
      </c>
      <c r="N342" s="39" t="n">
        <v>608.95</v>
      </c>
      <c r="O342" s="39" t="n">
        <v>269.2</v>
      </c>
      <c r="P342" s="39" t="n">
        <v>1475.35</v>
      </c>
      <c r="Q342" s="39" t="n">
        <v>481.35</v>
      </c>
      <c r="R342" s="39" t="n">
        <v>765.45</v>
      </c>
      <c r="S342" s="39" t="n">
        <v>430</v>
      </c>
    </row>
    <row r="343" customFormat="false" ht="15" hidden="false" customHeight="false" outlineLevel="0" collapsed="false">
      <c r="A343" s="8" t="n">
        <v>45302</v>
      </c>
      <c r="B343" s="39" t="n">
        <v>21647.2</v>
      </c>
      <c r="C343" s="39" t="n">
        <v>19584.35</v>
      </c>
      <c r="D343" s="39" t="n">
        <v>1578.75</v>
      </c>
      <c r="E343" s="39" t="n">
        <v>769.75</v>
      </c>
      <c r="F343" s="39" t="n">
        <v>971.65</v>
      </c>
      <c r="G343" s="39" t="n">
        <v>578.2</v>
      </c>
      <c r="H343" s="39" t="n">
        <v>779.45</v>
      </c>
      <c r="I343" s="39" t="n">
        <v>416.1</v>
      </c>
      <c r="J343" s="39" t="n">
        <v>2454.1</v>
      </c>
      <c r="K343" s="39" t="n">
        <v>765.93</v>
      </c>
      <c r="L343" s="39" t="n">
        <v>1231.35</v>
      </c>
      <c r="M343" s="39" t="n">
        <v>1728.1</v>
      </c>
      <c r="N343" s="39" t="n">
        <v>634.93</v>
      </c>
      <c r="O343" s="39" t="n">
        <v>277.65</v>
      </c>
      <c r="P343" s="39" t="n">
        <v>1489.35</v>
      </c>
      <c r="Q343" s="39" t="n">
        <v>491.4</v>
      </c>
      <c r="R343" s="39" t="n">
        <v>762.35</v>
      </c>
      <c r="S343" s="39" t="n">
        <v>455.95</v>
      </c>
    </row>
    <row r="344" customFormat="false" ht="15" hidden="false" customHeight="false" outlineLevel="0" collapsed="false">
      <c r="A344" s="8" t="n">
        <v>45303</v>
      </c>
      <c r="B344" s="39" t="n">
        <v>21894.55</v>
      </c>
      <c r="C344" s="39" t="n">
        <v>19745.6</v>
      </c>
      <c r="D344" s="39" t="n">
        <v>1591.55</v>
      </c>
      <c r="E344" s="39" t="n">
        <v>767.3</v>
      </c>
      <c r="F344" s="39" t="n">
        <v>974.9</v>
      </c>
      <c r="G344" s="39" t="n">
        <v>573.8</v>
      </c>
      <c r="H344" s="39" t="n">
        <v>799.45</v>
      </c>
      <c r="I344" s="39" t="n">
        <v>431.45</v>
      </c>
      <c r="J344" s="39" t="n">
        <v>2499.15</v>
      </c>
      <c r="K344" s="39" t="n">
        <v>765.06</v>
      </c>
      <c r="L344" s="39" t="n">
        <v>1246.5</v>
      </c>
      <c r="M344" s="39" t="n">
        <v>1703.55</v>
      </c>
      <c r="N344" s="39" t="n">
        <v>630.71</v>
      </c>
      <c r="O344" s="39" t="n">
        <v>280.05</v>
      </c>
      <c r="P344" s="39" t="n">
        <v>1474.2</v>
      </c>
      <c r="Q344" s="39" t="n">
        <v>496.25</v>
      </c>
      <c r="R344" s="39" t="n">
        <v>766.7</v>
      </c>
      <c r="S344" s="39" t="n">
        <v>458.56</v>
      </c>
    </row>
    <row r="345" customFormat="false" ht="15" hidden="false" customHeight="false" outlineLevel="0" collapsed="false">
      <c r="A345" s="8" t="n">
        <v>45306</v>
      </c>
      <c r="B345" s="39" t="n">
        <v>22097.45</v>
      </c>
      <c r="C345" s="39" t="n">
        <v>19885.55</v>
      </c>
      <c r="D345" s="39" t="n">
        <v>1613</v>
      </c>
      <c r="E345" s="39" t="n">
        <v>763.9</v>
      </c>
      <c r="F345" s="39" t="n">
        <v>965.75</v>
      </c>
      <c r="G345" s="39" t="n">
        <v>578.1</v>
      </c>
      <c r="H345" s="39" t="n">
        <v>797.2</v>
      </c>
      <c r="I345" s="39" t="n">
        <v>421.5</v>
      </c>
      <c r="J345" s="39" t="n">
        <v>2492.85</v>
      </c>
      <c r="K345" s="39" t="n">
        <v>746.78</v>
      </c>
      <c r="L345" s="39" t="n">
        <v>1278.25</v>
      </c>
      <c r="M345" s="39" t="n">
        <v>1671.8</v>
      </c>
      <c r="N345" s="39" t="n">
        <v>642.26</v>
      </c>
      <c r="O345" s="39" t="n">
        <v>282.05</v>
      </c>
      <c r="P345" s="39" t="n">
        <v>1452.8</v>
      </c>
      <c r="Q345" s="39" t="n">
        <v>501.55</v>
      </c>
      <c r="R345" s="39" t="n">
        <v>768.05</v>
      </c>
      <c r="S345" s="39" t="n">
        <v>463.91</v>
      </c>
    </row>
    <row r="346" customFormat="false" ht="15" hidden="false" customHeight="false" outlineLevel="0" collapsed="false">
      <c r="A346" s="8" t="n">
        <v>45307</v>
      </c>
      <c r="B346" s="39" t="n">
        <v>22032.3</v>
      </c>
      <c r="C346" s="39" t="n">
        <v>19827.55</v>
      </c>
      <c r="D346" s="39" t="n">
        <v>1568.85</v>
      </c>
      <c r="E346" s="39" t="n">
        <v>756.6</v>
      </c>
      <c r="F346" s="39" t="n">
        <v>956.05</v>
      </c>
      <c r="G346" s="39" t="n">
        <v>583.95</v>
      </c>
      <c r="H346" s="39" t="n">
        <v>848</v>
      </c>
      <c r="I346" s="39" t="n">
        <v>413.1</v>
      </c>
      <c r="J346" s="39" t="n">
        <v>2453.5</v>
      </c>
      <c r="K346" s="39" t="n">
        <v>744.65</v>
      </c>
      <c r="L346" s="39" t="n">
        <v>1299.45</v>
      </c>
      <c r="M346" s="39" t="n">
        <v>1704.35</v>
      </c>
      <c r="N346" s="39" t="n">
        <v>625.41</v>
      </c>
      <c r="O346" s="39" t="n">
        <v>282.15</v>
      </c>
      <c r="P346" s="39" t="n">
        <v>1437</v>
      </c>
      <c r="Q346" s="39" t="n">
        <v>492.65</v>
      </c>
      <c r="R346" s="39" t="n">
        <v>767.3</v>
      </c>
      <c r="S346" s="39" t="n">
        <v>461.94</v>
      </c>
    </row>
    <row r="347" customFormat="false" ht="15" hidden="false" customHeight="false" outlineLevel="0" collapsed="false">
      <c r="A347" s="8" t="n">
        <v>45308</v>
      </c>
      <c r="B347" s="39" t="n">
        <v>21571.95</v>
      </c>
      <c r="C347" s="39" t="n">
        <v>19487.6</v>
      </c>
      <c r="D347" s="39" t="n">
        <v>1529.65</v>
      </c>
      <c r="E347" s="39" t="n">
        <v>764.1</v>
      </c>
      <c r="F347" s="39" t="n">
        <v>965</v>
      </c>
      <c r="G347" s="39" t="n">
        <v>575.25</v>
      </c>
      <c r="H347" s="39" t="n">
        <v>827.55</v>
      </c>
      <c r="I347" s="39" t="n">
        <v>404.2</v>
      </c>
      <c r="J347" s="39" t="n">
        <v>2417.5</v>
      </c>
      <c r="K347" s="39" t="n">
        <v>734.88</v>
      </c>
      <c r="L347" s="39" t="n">
        <v>1288.1</v>
      </c>
      <c r="M347" s="39" t="n">
        <v>1656.3</v>
      </c>
      <c r="N347" s="39" t="n">
        <v>631.82</v>
      </c>
      <c r="O347" s="39" t="n">
        <v>279.35</v>
      </c>
      <c r="P347" s="39" t="n">
        <v>1417</v>
      </c>
      <c r="Q347" s="39" t="n">
        <v>483.55</v>
      </c>
      <c r="R347" s="39" t="n">
        <v>752.2</v>
      </c>
      <c r="S347" s="39" t="n">
        <v>457.6</v>
      </c>
    </row>
    <row r="348" customFormat="false" ht="15" hidden="false" customHeight="false" outlineLevel="0" collapsed="false">
      <c r="A348" s="8" t="n">
        <v>45309</v>
      </c>
      <c r="B348" s="39" t="n">
        <v>21462.25</v>
      </c>
      <c r="C348" s="39" t="n">
        <v>19414.8</v>
      </c>
      <c r="D348" s="39" t="n">
        <v>1501.15</v>
      </c>
      <c r="E348" s="39" t="n">
        <v>777.9</v>
      </c>
      <c r="F348" s="39" t="n">
        <v>983.95</v>
      </c>
      <c r="G348" s="39" t="n">
        <v>576.15</v>
      </c>
      <c r="H348" s="39" t="n">
        <v>856.2</v>
      </c>
      <c r="I348" s="39" t="n">
        <v>404</v>
      </c>
      <c r="J348" s="39" t="n">
        <v>2498.9</v>
      </c>
      <c r="K348" s="39" t="n">
        <v>725.57</v>
      </c>
      <c r="L348" s="39" t="n">
        <v>1291.65</v>
      </c>
      <c r="M348" s="39" t="n">
        <v>1648.7</v>
      </c>
      <c r="N348" s="39" t="n">
        <v>620.51</v>
      </c>
      <c r="O348" s="39" t="n">
        <v>277.8</v>
      </c>
      <c r="P348" s="39" t="n">
        <v>1380.3</v>
      </c>
      <c r="Q348" s="39" t="n">
        <v>490.4</v>
      </c>
      <c r="R348" s="39" t="n">
        <v>750.25</v>
      </c>
      <c r="S348" s="39" t="n">
        <v>451.08</v>
      </c>
    </row>
    <row r="349" customFormat="false" ht="15" hidden="false" customHeight="false" outlineLevel="0" collapsed="false">
      <c r="A349" s="8" t="n">
        <v>45310</v>
      </c>
      <c r="B349" s="39" t="n">
        <v>21622.4</v>
      </c>
      <c r="C349" s="39" t="n">
        <v>19606.4</v>
      </c>
      <c r="D349" s="39" t="n">
        <v>1488.8</v>
      </c>
      <c r="E349" s="39" t="n">
        <v>794.15</v>
      </c>
      <c r="F349" s="39" t="n">
        <v>1009.15</v>
      </c>
      <c r="G349" s="39" t="n">
        <v>584.35</v>
      </c>
      <c r="H349" s="39" t="n">
        <v>876.9</v>
      </c>
      <c r="I349" s="39" t="n">
        <v>411.8</v>
      </c>
      <c r="J349" s="39" t="n">
        <v>2509.45</v>
      </c>
      <c r="K349" s="39" t="n">
        <v>730.92</v>
      </c>
      <c r="L349" s="39" t="n">
        <v>1265.55</v>
      </c>
      <c r="M349" s="39" t="n">
        <v>1675.45</v>
      </c>
      <c r="N349" s="39" t="n">
        <v>636.87</v>
      </c>
      <c r="O349" s="39" t="n">
        <v>282.35</v>
      </c>
      <c r="P349" s="39" t="n">
        <v>1431.1</v>
      </c>
      <c r="Q349" s="39" t="n">
        <v>503.65</v>
      </c>
      <c r="R349" s="39" t="n">
        <v>749.2</v>
      </c>
      <c r="S349" s="39" t="n">
        <v>460.37</v>
      </c>
    </row>
    <row r="350" customFormat="false" ht="15" hidden="false" customHeight="false" outlineLevel="0" collapsed="false">
      <c r="A350" s="8" t="n">
        <v>45311</v>
      </c>
      <c r="B350" s="39" t="n">
        <v>21571.8</v>
      </c>
      <c r="C350" s="39" t="n">
        <v>19601.9</v>
      </c>
      <c r="D350" s="39" t="n">
        <v>1520</v>
      </c>
      <c r="E350" s="39" t="n">
        <v>768.35</v>
      </c>
      <c r="F350" s="39" t="n">
        <v>989</v>
      </c>
      <c r="G350" s="39" t="n">
        <v>577.75</v>
      </c>
      <c r="H350" s="39" t="n">
        <v>868.9</v>
      </c>
      <c r="I350" s="39" t="n">
        <v>405.2</v>
      </c>
      <c r="J350" s="39" t="n">
        <v>2490</v>
      </c>
      <c r="K350" s="39" t="n">
        <v>729.14</v>
      </c>
      <c r="L350" s="39" t="n">
        <v>1261.05</v>
      </c>
      <c r="M350" s="39" t="n">
        <v>1667.85</v>
      </c>
      <c r="N350" s="39" t="n">
        <v>641.55</v>
      </c>
      <c r="O350" s="39" t="n">
        <v>281.6</v>
      </c>
      <c r="P350" s="39" t="n">
        <v>1408.3</v>
      </c>
      <c r="Q350" s="39" t="n">
        <v>488.95</v>
      </c>
      <c r="R350" s="39" t="n">
        <v>745</v>
      </c>
      <c r="S350" s="39" t="n">
        <v>459.8</v>
      </c>
    </row>
    <row r="351" customFormat="false" ht="15" hidden="false" customHeight="false" outlineLevel="0" collapsed="false">
      <c r="A351" s="8" t="n">
        <v>45314</v>
      </c>
      <c r="B351" s="39" t="n">
        <v>21238.8</v>
      </c>
      <c r="C351" s="39" t="n">
        <v>19206.45</v>
      </c>
      <c r="D351" s="39" t="n">
        <v>1502.15</v>
      </c>
      <c r="E351" s="39" t="n">
        <v>725.4</v>
      </c>
      <c r="F351" s="39" t="n">
        <v>990.35</v>
      </c>
      <c r="G351" s="39" t="n">
        <v>560.75</v>
      </c>
      <c r="H351" s="39" t="n">
        <v>863.6</v>
      </c>
      <c r="I351" s="39" t="n">
        <v>400.6</v>
      </c>
      <c r="J351" s="39" t="n">
        <v>2394.8</v>
      </c>
      <c r="K351" s="39" t="n">
        <v>706.11</v>
      </c>
      <c r="L351" s="39" t="n">
        <v>1220.25</v>
      </c>
      <c r="M351" s="39" t="n">
        <v>1624.5</v>
      </c>
      <c r="N351" s="39" t="n">
        <v>606.96</v>
      </c>
      <c r="O351" s="39" t="n">
        <v>270.55</v>
      </c>
      <c r="P351" s="39" t="n">
        <v>1363.95</v>
      </c>
      <c r="Q351" s="39" t="n">
        <v>482.75</v>
      </c>
      <c r="R351" s="39" t="n">
        <v>729.9</v>
      </c>
      <c r="S351" s="39" t="n">
        <v>455.9</v>
      </c>
    </row>
    <row r="352" customFormat="false" ht="15" hidden="false" customHeight="false" outlineLevel="0" collapsed="false">
      <c r="A352" s="8" t="n">
        <v>45315</v>
      </c>
      <c r="B352" s="39" t="n">
        <v>21453.95</v>
      </c>
      <c r="C352" s="39" t="n">
        <v>19451</v>
      </c>
      <c r="D352" s="39" t="n">
        <v>1493.7</v>
      </c>
      <c r="E352" s="39" t="n">
        <v>745.65</v>
      </c>
      <c r="F352" s="39" t="n">
        <v>997.1</v>
      </c>
      <c r="G352" s="39" t="n">
        <v>577.4</v>
      </c>
      <c r="H352" s="39" t="n">
        <v>859.8</v>
      </c>
      <c r="I352" s="39" t="n">
        <v>403.9</v>
      </c>
      <c r="J352" s="39" t="n">
        <v>2349.9</v>
      </c>
      <c r="K352" s="39" t="n">
        <v>704.57</v>
      </c>
      <c r="L352" s="39" t="n">
        <v>1245.8</v>
      </c>
      <c r="M352" s="39" t="n">
        <v>1553.8</v>
      </c>
      <c r="N352" s="39" t="n">
        <v>595.01</v>
      </c>
      <c r="O352" s="39" t="n">
        <v>272.55</v>
      </c>
      <c r="P352" s="39" t="n">
        <v>1403.75</v>
      </c>
      <c r="Q352" s="39" t="n">
        <v>477.85</v>
      </c>
      <c r="R352" s="39" t="n">
        <v>746.95</v>
      </c>
      <c r="S352" s="39" t="n">
        <v>460.49</v>
      </c>
    </row>
    <row r="353" customFormat="false" ht="15" hidden="false" customHeight="false" outlineLevel="0" collapsed="false">
      <c r="A353" s="8" t="n">
        <v>45316</v>
      </c>
      <c r="B353" s="39" t="n">
        <v>21352.6</v>
      </c>
      <c r="C353" s="39" t="n">
        <v>19393</v>
      </c>
      <c r="D353" s="39" t="n">
        <v>1508.25</v>
      </c>
      <c r="E353" s="39" t="n">
        <v>770.5</v>
      </c>
      <c r="F353" s="39" t="n">
        <v>964.5</v>
      </c>
      <c r="G353" s="39" t="n">
        <v>579.2</v>
      </c>
      <c r="H353" s="39" t="n">
        <v>820.9</v>
      </c>
      <c r="I353" s="39" t="n">
        <v>394.7</v>
      </c>
      <c r="J353" s="39" t="n">
        <v>2338.95</v>
      </c>
      <c r="K353" s="39" t="n">
        <v>707.59</v>
      </c>
      <c r="L353" s="39" t="n">
        <v>1244.7</v>
      </c>
      <c r="M353" s="39" t="n">
        <v>1591.4</v>
      </c>
      <c r="N353" s="39" t="n">
        <v>584.52</v>
      </c>
      <c r="O353" s="39" t="n">
        <v>270.15</v>
      </c>
      <c r="P353" s="39" t="n">
        <v>1388.15</v>
      </c>
      <c r="Q353" s="39" t="n">
        <v>477.7</v>
      </c>
      <c r="R353" s="39" t="n">
        <v>759.85</v>
      </c>
      <c r="S353" s="39" t="n">
        <v>461.43</v>
      </c>
    </row>
    <row r="354" customFormat="false" ht="15" hidden="false" customHeight="false" outlineLevel="0" collapsed="false">
      <c r="A354" s="8" t="n">
        <v>45320</v>
      </c>
      <c r="B354" s="39" t="n">
        <v>21737.6</v>
      </c>
      <c r="C354" s="39" t="n">
        <v>19711.65</v>
      </c>
      <c r="D354" s="39" t="n">
        <v>1516.25</v>
      </c>
      <c r="E354" s="39" t="n">
        <v>766</v>
      </c>
      <c r="F354" s="39" t="n">
        <v>986.35</v>
      </c>
      <c r="G354" s="39" t="n">
        <v>600</v>
      </c>
      <c r="H354" s="39" t="n">
        <v>791.25</v>
      </c>
      <c r="I354" s="39" t="n">
        <v>403.3</v>
      </c>
      <c r="J354" s="39" t="n">
        <v>2321.8</v>
      </c>
      <c r="K354" s="39" t="n">
        <v>718.19</v>
      </c>
      <c r="L354" s="39" t="n">
        <v>1230.8</v>
      </c>
      <c r="M354" s="39" t="n">
        <v>1558.45</v>
      </c>
      <c r="N354" s="39" t="n">
        <v>599.77</v>
      </c>
      <c r="O354" s="39" t="n">
        <v>278.6</v>
      </c>
      <c r="P354" s="39" t="n">
        <v>1393.95</v>
      </c>
      <c r="Q354" s="39" t="n">
        <v>482.9</v>
      </c>
      <c r="R354" s="39" t="n">
        <v>715.55</v>
      </c>
      <c r="S354" s="39" t="n">
        <v>481.8</v>
      </c>
    </row>
    <row r="355" customFormat="false" ht="15" hidden="false" customHeight="false" outlineLevel="0" collapsed="false">
      <c r="A355" s="8" t="n">
        <v>45321</v>
      </c>
      <c r="B355" s="39" t="n">
        <v>21522.1</v>
      </c>
      <c r="C355" s="39" t="n">
        <v>19574.2</v>
      </c>
      <c r="D355" s="39" t="n">
        <v>1494.3</v>
      </c>
      <c r="E355" s="39" t="n">
        <v>764.35</v>
      </c>
      <c r="F355" s="39" t="n">
        <v>973.2</v>
      </c>
      <c r="G355" s="39" t="n">
        <v>617.35</v>
      </c>
      <c r="H355" s="39" t="n">
        <v>763.15</v>
      </c>
      <c r="I355" s="39" t="n">
        <v>411.05</v>
      </c>
      <c r="J355" s="39" t="n">
        <v>2292.75</v>
      </c>
      <c r="K355" s="39" t="n">
        <v>680.79</v>
      </c>
      <c r="L355" s="39" t="n">
        <v>1214.05</v>
      </c>
      <c r="M355" s="39" t="n">
        <v>1559.55</v>
      </c>
      <c r="N355" s="39" t="n">
        <v>595.01</v>
      </c>
      <c r="O355" s="39" t="n">
        <v>279.55</v>
      </c>
      <c r="P355" s="39" t="n">
        <v>1389.85</v>
      </c>
      <c r="Q355" s="39" t="n">
        <v>474.05</v>
      </c>
      <c r="R355" s="39" t="n">
        <v>712.55</v>
      </c>
      <c r="S355" s="39" t="n">
        <v>490.59</v>
      </c>
    </row>
    <row r="356" customFormat="false" ht="15" hidden="false" customHeight="false" outlineLevel="0" collapsed="false">
      <c r="A356" s="8" t="n">
        <v>45322</v>
      </c>
      <c r="B356" s="39" t="n">
        <v>21725.7</v>
      </c>
      <c r="C356" s="39" t="n">
        <v>19802.1</v>
      </c>
      <c r="D356" s="39" t="n">
        <v>1476.55</v>
      </c>
      <c r="E356" s="39" t="n">
        <v>776.4</v>
      </c>
      <c r="F356" s="39" t="n">
        <v>984.7</v>
      </c>
      <c r="G356" s="39" t="n">
        <v>625.6</v>
      </c>
      <c r="H356" s="39" t="n">
        <v>784.6</v>
      </c>
      <c r="I356" s="39" t="n">
        <v>407.1</v>
      </c>
      <c r="J356" s="39" t="n">
        <v>2332.8</v>
      </c>
      <c r="K356" s="39" t="n">
        <v>685.36</v>
      </c>
      <c r="L356" s="39" t="n">
        <v>1184.15</v>
      </c>
      <c r="M356" s="39" t="n">
        <v>1589.8</v>
      </c>
      <c r="N356" s="39" t="n">
        <v>605.59</v>
      </c>
      <c r="O356" s="39" t="n">
        <v>289.2</v>
      </c>
      <c r="P356" s="39" t="n">
        <v>1394.95</v>
      </c>
      <c r="Q356" s="39" t="n">
        <v>478.3</v>
      </c>
      <c r="R356" s="39" t="n">
        <v>715.35</v>
      </c>
      <c r="S356" s="39" t="n">
        <v>493.36</v>
      </c>
    </row>
    <row r="357" customFormat="false" ht="15" hidden="false" customHeight="false" outlineLevel="0" collapsed="false">
      <c r="A357" s="8" t="n">
        <v>45323</v>
      </c>
      <c r="B357" s="39" t="n">
        <v>21697.45</v>
      </c>
      <c r="C357" s="39" t="n">
        <v>19777.35</v>
      </c>
      <c r="D357" s="39" t="n">
        <v>1504.85</v>
      </c>
      <c r="E357" s="39" t="n">
        <v>794.95</v>
      </c>
      <c r="F357" s="39" t="n">
        <v>990</v>
      </c>
      <c r="G357" s="39" t="n">
        <v>629.65</v>
      </c>
      <c r="H357" s="39" t="n">
        <v>820.1</v>
      </c>
      <c r="I357" s="39" t="n">
        <v>452.95</v>
      </c>
      <c r="J357" s="39" t="n">
        <v>2330.3</v>
      </c>
      <c r="K357" s="39" t="n">
        <v>673.41</v>
      </c>
      <c r="L357" s="39" t="n">
        <v>1145.05</v>
      </c>
      <c r="M357" s="39" t="n">
        <v>1593.85</v>
      </c>
      <c r="N357" s="39" t="n">
        <v>588.6</v>
      </c>
      <c r="O357" s="39" t="n">
        <v>284.55</v>
      </c>
      <c r="P357" s="39" t="n">
        <v>1360.85</v>
      </c>
      <c r="Q357" s="39" t="n">
        <v>476.1</v>
      </c>
      <c r="R357" s="39" t="n">
        <v>711.95</v>
      </c>
      <c r="S357" s="39" t="n">
        <v>479.44</v>
      </c>
    </row>
    <row r="358" customFormat="false" ht="15" hidden="false" customHeight="false" outlineLevel="0" collapsed="false">
      <c r="A358" s="8" t="n">
        <v>45324</v>
      </c>
      <c r="B358" s="39" t="n">
        <v>21853.8</v>
      </c>
      <c r="C358" s="39" t="n">
        <v>19910.8</v>
      </c>
      <c r="D358" s="39" t="n">
        <v>1484.05</v>
      </c>
      <c r="E358" s="39" t="n">
        <v>828.85</v>
      </c>
      <c r="F358" s="39" t="n">
        <v>981.75</v>
      </c>
      <c r="G358" s="39" t="n">
        <v>634.25</v>
      </c>
      <c r="H358" s="39" t="n">
        <v>800.9</v>
      </c>
      <c r="I358" s="39" t="n">
        <v>455.3</v>
      </c>
      <c r="J358" s="39" t="n">
        <v>2435.95</v>
      </c>
      <c r="K358" s="39" t="n">
        <v>683.9</v>
      </c>
      <c r="L358" s="39" t="n">
        <v>1160.85</v>
      </c>
      <c r="M358" s="39" t="n">
        <v>1608.05</v>
      </c>
      <c r="N358" s="39" t="n">
        <v>581.12</v>
      </c>
      <c r="O358" s="39" t="n">
        <v>287.45</v>
      </c>
      <c r="P358" s="39" t="n">
        <v>1377.45</v>
      </c>
      <c r="Q358" s="39" t="n">
        <v>467.7</v>
      </c>
      <c r="R358" s="39" t="n">
        <v>711.25</v>
      </c>
      <c r="S358" s="39" t="n">
        <v>481.1</v>
      </c>
    </row>
    <row r="359" customFormat="false" ht="15" hidden="false" customHeight="false" outlineLevel="0" collapsed="false">
      <c r="A359" s="8" t="n">
        <v>45327</v>
      </c>
      <c r="B359" s="39" t="n">
        <v>21771.7</v>
      </c>
      <c r="C359" s="39" t="n">
        <v>19853.5</v>
      </c>
      <c r="D359" s="39" t="n">
        <v>1438.5</v>
      </c>
      <c r="E359" s="39" t="n">
        <v>801.75</v>
      </c>
      <c r="F359" s="39" t="n">
        <v>971.6</v>
      </c>
      <c r="G359" s="39" t="n">
        <v>640.4</v>
      </c>
      <c r="H359" s="39" t="n">
        <v>791.7</v>
      </c>
      <c r="I359" s="39" t="n">
        <v>447.9</v>
      </c>
      <c r="J359" s="39" t="n">
        <v>2260.85</v>
      </c>
      <c r="K359" s="39" t="n">
        <v>659.92</v>
      </c>
      <c r="L359" s="39" t="n">
        <v>1136.35</v>
      </c>
      <c r="M359" s="39" t="n">
        <v>1578.95</v>
      </c>
      <c r="N359" s="39" t="n">
        <v>576.99</v>
      </c>
      <c r="O359" s="39" t="n">
        <v>286.7</v>
      </c>
      <c r="P359" s="39" t="n">
        <v>1364.4</v>
      </c>
      <c r="Q359" s="39" t="n">
        <v>480.1</v>
      </c>
      <c r="R359" s="39" t="n">
        <v>703.15</v>
      </c>
      <c r="S359" s="39" t="n">
        <v>471.42</v>
      </c>
    </row>
    <row r="360" customFormat="false" ht="15" hidden="false" customHeight="false" outlineLevel="0" collapsed="false">
      <c r="A360" s="8" t="n">
        <v>45328</v>
      </c>
      <c r="B360" s="39" t="n">
        <v>21929.4</v>
      </c>
      <c r="C360" s="39" t="n">
        <v>20033.75</v>
      </c>
      <c r="D360" s="39" t="n">
        <v>1447</v>
      </c>
      <c r="E360" s="39" t="n">
        <v>818.1</v>
      </c>
      <c r="F360" s="39" t="n">
        <v>969.3</v>
      </c>
      <c r="G360" s="39" t="n">
        <v>648.5</v>
      </c>
      <c r="H360" s="39" t="n">
        <v>806.55</v>
      </c>
      <c r="I360" s="39" t="n">
        <v>452.35</v>
      </c>
      <c r="J360" s="39" t="n">
        <v>2343.65</v>
      </c>
      <c r="K360" s="39" t="n">
        <v>658.92</v>
      </c>
      <c r="L360" s="39" t="n">
        <v>1157.05</v>
      </c>
      <c r="M360" s="39" t="n">
        <v>1619.1</v>
      </c>
      <c r="N360" s="39" t="n">
        <v>577.62</v>
      </c>
      <c r="O360" s="39" t="n">
        <v>291.75</v>
      </c>
      <c r="P360" s="39" t="n">
        <v>1390.5</v>
      </c>
      <c r="Q360" s="39" t="n">
        <v>488.55</v>
      </c>
      <c r="R360" s="39" t="n">
        <v>708.6</v>
      </c>
      <c r="S360" s="39" t="n">
        <v>479.29</v>
      </c>
    </row>
    <row r="361" customFormat="false" ht="15" hidden="false" customHeight="false" outlineLevel="0" collapsed="false">
      <c r="A361" s="8" t="n">
        <v>45329</v>
      </c>
      <c r="B361" s="39" t="n">
        <v>21930.5</v>
      </c>
      <c r="C361" s="39" t="n">
        <v>20109.55</v>
      </c>
      <c r="D361" s="39" t="n">
        <v>1438.45</v>
      </c>
      <c r="E361" s="39" t="n">
        <v>850.95</v>
      </c>
      <c r="F361" s="39" t="n">
        <v>995.3</v>
      </c>
      <c r="G361" s="39" t="n">
        <v>646</v>
      </c>
      <c r="H361" s="39" t="n">
        <v>821.3</v>
      </c>
      <c r="I361" s="39" t="n">
        <v>474.85</v>
      </c>
      <c r="J361" s="39" t="n">
        <v>2303.85</v>
      </c>
      <c r="K361" s="39" t="n">
        <v>670.01</v>
      </c>
      <c r="L361" s="39" t="n">
        <v>1159.8</v>
      </c>
      <c r="M361" s="39" t="n">
        <v>1616.7</v>
      </c>
      <c r="N361" s="39" t="n">
        <v>588.65</v>
      </c>
      <c r="O361" s="39" t="n">
        <v>296.8</v>
      </c>
      <c r="P361" s="39" t="n">
        <v>1425.15</v>
      </c>
      <c r="Q361" s="39" t="n">
        <v>494</v>
      </c>
      <c r="R361" s="39" t="n">
        <v>725.15</v>
      </c>
      <c r="S361" s="39" t="n">
        <v>482.73</v>
      </c>
    </row>
    <row r="362" customFormat="false" ht="15" hidden="false" customHeight="false" outlineLevel="0" collapsed="false">
      <c r="A362" s="8" t="n">
        <v>45330</v>
      </c>
      <c r="B362" s="39" t="n">
        <v>21717.95</v>
      </c>
      <c r="C362" s="39" t="n">
        <v>19987.55</v>
      </c>
      <c r="D362" s="39" t="n">
        <v>1418.05</v>
      </c>
      <c r="E362" s="39" t="n">
        <v>813.3</v>
      </c>
      <c r="F362" s="39" t="n">
        <v>998.9</v>
      </c>
      <c r="G362" s="39" t="n">
        <v>647.6</v>
      </c>
      <c r="H362" s="39" t="n">
        <v>808.55</v>
      </c>
      <c r="I362" s="39" t="n">
        <v>468.15</v>
      </c>
      <c r="J362" s="39" t="n">
        <v>2274.35</v>
      </c>
      <c r="K362" s="39" t="n">
        <v>656.67</v>
      </c>
      <c r="L362" s="39" t="n">
        <v>1133.45</v>
      </c>
      <c r="M362" s="39" t="n">
        <v>1550.4</v>
      </c>
      <c r="N362" s="39" t="n">
        <v>574.41</v>
      </c>
      <c r="O362" s="39" t="n">
        <v>291.85</v>
      </c>
      <c r="P362" s="39" t="n">
        <v>1359.75</v>
      </c>
      <c r="Q362" s="39" t="n">
        <v>488.6</v>
      </c>
      <c r="R362" s="39" t="n">
        <v>721.45</v>
      </c>
      <c r="S362" s="39" t="n">
        <v>469.59</v>
      </c>
    </row>
    <row r="363" customFormat="false" ht="15" hidden="false" customHeight="false" outlineLevel="0" collapsed="false">
      <c r="A363" s="8" t="n">
        <v>45331</v>
      </c>
      <c r="B363" s="39" t="n">
        <v>21782.5</v>
      </c>
      <c r="C363" s="39" t="n">
        <v>19961.5</v>
      </c>
      <c r="D363" s="39" t="n">
        <v>1408.5</v>
      </c>
      <c r="E363" s="39" t="n">
        <v>809.15</v>
      </c>
      <c r="F363" s="39" t="n">
        <v>983.55</v>
      </c>
      <c r="G363" s="39" t="n">
        <v>650.2</v>
      </c>
      <c r="H363" s="39" t="n">
        <v>825.85</v>
      </c>
      <c r="I363" s="39" t="n">
        <v>458.15</v>
      </c>
      <c r="J363" s="39" t="n">
        <v>2294.15</v>
      </c>
      <c r="K363" s="39" t="n">
        <v>664.55</v>
      </c>
      <c r="L363" s="39" t="n">
        <v>1122.3</v>
      </c>
      <c r="M363" s="39" t="n">
        <v>1596.05</v>
      </c>
      <c r="N363" s="39" t="n">
        <v>565.91</v>
      </c>
      <c r="O363" s="39" t="n">
        <v>288.85</v>
      </c>
      <c r="P363" s="39" t="n">
        <v>1377.7</v>
      </c>
      <c r="Q363" s="39" t="n">
        <v>480.85</v>
      </c>
      <c r="R363" s="39" t="n">
        <v>718.4</v>
      </c>
      <c r="S363" s="39" t="n">
        <v>466.82</v>
      </c>
    </row>
    <row r="364" customFormat="false" ht="15" hidden="false" customHeight="false" outlineLevel="0" collapsed="false">
      <c r="A364" s="8" t="n">
        <v>45334</v>
      </c>
      <c r="B364" s="39" t="n">
        <v>21616.05</v>
      </c>
      <c r="C364" s="39" t="n">
        <v>19675.2</v>
      </c>
      <c r="D364" s="39" t="n">
        <v>1385.45</v>
      </c>
      <c r="E364" s="39" t="n">
        <v>784.15</v>
      </c>
      <c r="F364" s="39" t="n">
        <v>953.1</v>
      </c>
      <c r="G364" s="39" t="n">
        <v>620.45</v>
      </c>
      <c r="H364" s="39" t="n">
        <v>787.35</v>
      </c>
      <c r="I364" s="39" t="n">
        <v>424.5</v>
      </c>
      <c r="J364" s="39" t="n">
        <v>2204</v>
      </c>
      <c r="K364" s="39" t="n">
        <v>656.02</v>
      </c>
      <c r="L364" s="39" t="n">
        <v>1101.55</v>
      </c>
      <c r="M364" s="39" t="n">
        <v>1624.8</v>
      </c>
      <c r="N364" s="39" t="n">
        <v>556.15</v>
      </c>
      <c r="O364" s="39" t="n">
        <v>280.55</v>
      </c>
      <c r="P364" s="39" t="n">
        <v>1351.2</v>
      </c>
      <c r="Q364" s="39" t="n">
        <v>470.55</v>
      </c>
      <c r="R364" s="39" t="n">
        <v>712.85</v>
      </c>
      <c r="S364" s="39" t="n">
        <v>452.45</v>
      </c>
    </row>
    <row r="365" customFormat="false" ht="15" hidden="false" customHeight="false" outlineLevel="0" collapsed="false">
      <c r="A365" s="8" t="n">
        <v>45335</v>
      </c>
      <c r="B365" s="39" t="n">
        <v>21743.25</v>
      </c>
      <c r="C365" s="39" t="n">
        <v>19782.9</v>
      </c>
      <c r="D365" s="39" t="n">
        <v>1412.25</v>
      </c>
      <c r="E365" s="39" t="n">
        <v>797.55</v>
      </c>
      <c r="F365" s="39" t="n">
        <v>954.3</v>
      </c>
      <c r="G365" s="39" t="n">
        <v>631</v>
      </c>
      <c r="H365" s="39" t="n">
        <v>777.7</v>
      </c>
      <c r="I365" s="39" t="n">
        <v>456.2</v>
      </c>
      <c r="J365" s="39" t="n">
        <v>2239.55</v>
      </c>
      <c r="K365" s="39" t="n">
        <v>659.47</v>
      </c>
      <c r="L365" s="39" t="n">
        <v>1141.7</v>
      </c>
      <c r="M365" s="39" t="n">
        <v>1631.4</v>
      </c>
      <c r="N365" s="39" t="n">
        <v>558.58</v>
      </c>
      <c r="O365" s="39" t="n">
        <v>286.55</v>
      </c>
      <c r="P365" s="39" t="n">
        <v>1367.4</v>
      </c>
      <c r="Q365" s="39" t="n">
        <v>483.6</v>
      </c>
      <c r="R365" s="39" t="n">
        <v>721</v>
      </c>
      <c r="S365" s="39" t="n">
        <v>466.13</v>
      </c>
    </row>
    <row r="366" customFormat="false" ht="15" hidden="false" customHeight="false" outlineLevel="0" collapsed="false">
      <c r="A366" s="8" t="n">
        <v>45336</v>
      </c>
      <c r="B366" s="39" t="n">
        <v>21840.05</v>
      </c>
      <c r="C366" s="39" t="n">
        <v>19922.3</v>
      </c>
      <c r="D366" s="39" t="n">
        <v>1436.85</v>
      </c>
      <c r="E366" s="39" t="n">
        <v>804.1</v>
      </c>
      <c r="F366" s="39" t="n">
        <v>935.3</v>
      </c>
      <c r="G366" s="39" t="n">
        <v>636.6</v>
      </c>
      <c r="H366" s="39" t="n">
        <v>783.95</v>
      </c>
      <c r="I366" s="39" t="n">
        <v>476.7</v>
      </c>
      <c r="J366" s="39" t="n">
        <v>2299.7</v>
      </c>
      <c r="K366" s="39" t="n">
        <v>663.75</v>
      </c>
      <c r="L366" s="39" t="n">
        <v>1125.2</v>
      </c>
      <c r="M366" s="39" t="n">
        <v>1594.65</v>
      </c>
      <c r="N366" s="39" t="n">
        <v>557.95</v>
      </c>
      <c r="O366" s="39" t="n">
        <v>289</v>
      </c>
      <c r="P366" s="39" t="n">
        <v>1379.25</v>
      </c>
      <c r="Q366" s="39" t="n">
        <v>486</v>
      </c>
      <c r="R366" s="39" t="n">
        <v>719.15</v>
      </c>
      <c r="S366" s="39" t="n">
        <v>478.66</v>
      </c>
    </row>
    <row r="367" customFormat="false" ht="15" hidden="false" customHeight="false" outlineLevel="0" collapsed="false">
      <c r="A367" s="8" t="n">
        <v>45337</v>
      </c>
      <c r="B367" s="39" t="n">
        <v>21910.75</v>
      </c>
      <c r="C367" s="39" t="n">
        <v>20037</v>
      </c>
      <c r="D367" s="39" t="n">
        <v>1420.2</v>
      </c>
      <c r="E367" s="39" t="n">
        <v>816.85</v>
      </c>
      <c r="F367" s="39" t="n">
        <v>929.15</v>
      </c>
      <c r="G367" s="39" t="n">
        <v>637.95</v>
      </c>
      <c r="H367" s="39" t="n">
        <v>781.85</v>
      </c>
      <c r="I367" s="39" t="n">
        <v>470</v>
      </c>
      <c r="J367" s="39" t="n">
        <v>2325</v>
      </c>
      <c r="K367" s="39" t="n">
        <v>661.04</v>
      </c>
      <c r="L367" s="39" t="n">
        <v>1124.5</v>
      </c>
      <c r="M367" s="39" t="n">
        <v>1557.1</v>
      </c>
      <c r="N367" s="39" t="n">
        <v>562.61</v>
      </c>
      <c r="O367" s="39" t="n">
        <v>286.45</v>
      </c>
      <c r="P367" s="39" t="n">
        <v>1343.35</v>
      </c>
      <c r="Q367" s="39" t="n">
        <v>492.1</v>
      </c>
      <c r="R367" s="39" t="n">
        <v>713.55</v>
      </c>
      <c r="S367" s="39" t="n">
        <v>487.52</v>
      </c>
    </row>
    <row r="368" customFormat="false" ht="15" hidden="false" customHeight="false" outlineLevel="0" collapsed="false">
      <c r="A368" s="8" t="n">
        <v>45338</v>
      </c>
      <c r="B368" s="39" t="n">
        <v>22040.7</v>
      </c>
      <c r="C368" s="39" t="n">
        <v>20164.9</v>
      </c>
      <c r="D368" s="39" t="n">
        <v>1422.75</v>
      </c>
      <c r="E368" s="39" t="n">
        <v>807.25</v>
      </c>
      <c r="F368" s="39" t="n">
        <v>939</v>
      </c>
      <c r="G368" s="39" t="n">
        <v>641.75</v>
      </c>
      <c r="H368" s="39" t="n">
        <v>768.8</v>
      </c>
      <c r="I368" s="39" t="n">
        <v>455.95</v>
      </c>
      <c r="J368" s="39" t="n">
        <v>2324.35</v>
      </c>
      <c r="K368" s="39" t="n">
        <v>661.02</v>
      </c>
      <c r="L368" s="39" t="n">
        <v>1144</v>
      </c>
      <c r="M368" s="39" t="n">
        <v>1558.4</v>
      </c>
      <c r="N368" s="39" t="n">
        <v>589.03</v>
      </c>
      <c r="O368" s="39" t="n">
        <v>289.5</v>
      </c>
      <c r="P368" s="39" t="n">
        <v>1357</v>
      </c>
      <c r="Q368" s="39" t="n">
        <v>468.1</v>
      </c>
      <c r="R368" s="39" t="n">
        <v>718.05</v>
      </c>
      <c r="S368" s="39" t="n">
        <v>489.88</v>
      </c>
    </row>
    <row r="369" customFormat="false" ht="15" hidden="false" customHeight="false" outlineLevel="0" collapsed="false">
      <c r="A369" s="8" t="n">
        <v>45341</v>
      </c>
      <c r="B369" s="39" t="n">
        <v>22122.25</v>
      </c>
      <c r="C369" s="39" t="n">
        <v>20241.1</v>
      </c>
      <c r="D369" s="39" t="n">
        <v>1442.25</v>
      </c>
      <c r="E369" s="39" t="n">
        <v>801.45</v>
      </c>
      <c r="F369" s="39" t="n">
        <v>882.9</v>
      </c>
      <c r="G369" s="39" t="n">
        <v>634.85</v>
      </c>
      <c r="H369" s="39" t="n">
        <v>747.2</v>
      </c>
      <c r="I369" s="39" t="n">
        <v>483.1</v>
      </c>
      <c r="J369" s="39" t="n">
        <v>2380</v>
      </c>
      <c r="K369" s="39" t="n">
        <v>670.37</v>
      </c>
      <c r="L369" s="39" t="n">
        <v>1133.35</v>
      </c>
      <c r="M369" s="39" t="n">
        <v>1530.9</v>
      </c>
      <c r="N369" s="39" t="n">
        <v>596.17</v>
      </c>
      <c r="O369" s="39" t="n">
        <v>288.65</v>
      </c>
      <c r="P369" s="39" t="n">
        <v>1354.95</v>
      </c>
      <c r="Q369" s="39" t="n">
        <v>473.2</v>
      </c>
      <c r="R369" s="39" t="n">
        <v>728.4</v>
      </c>
      <c r="S369" s="39" t="n">
        <v>487.98</v>
      </c>
    </row>
    <row r="370" customFormat="false" ht="15" hidden="false" customHeight="false" outlineLevel="0" collapsed="false">
      <c r="A370" s="8" t="n">
        <v>45342</v>
      </c>
      <c r="B370" s="39" t="n">
        <v>22196.95</v>
      </c>
      <c r="C370" s="39" t="n">
        <v>20271.9</v>
      </c>
      <c r="D370" s="39" t="n">
        <v>1437.55</v>
      </c>
      <c r="E370" s="39" t="n">
        <v>797.95</v>
      </c>
      <c r="F370" s="39" t="n">
        <v>928.9</v>
      </c>
      <c r="G370" s="39" t="n">
        <v>638.95</v>
      </c>
      <c r="H370" s="39" t="n">
        <v>742.7</v>
      </c>
      <c r="I370" s="39" t="n">
        <v>481.7</v>
      </c>
      <c r="J370" s="39" t="n">
        <v>2318.5</v>
      </c>
      <c r="K370" s="39" t="n">
        <v>675.44</v>
      </c>
      <c r="L370" s="39" t="n">
        <v>1099.9</v>
      </c>
      <c r="M370" s="39" t="n">
        <v>1499.25</v>
      </c>
      <c r="N370" s="39" t="n">
        <v>582.57</v>
      </c>
      <c r="O370" s="39" t="n">
        <v>290.15</v>
      </c>
      <c r="P370" s="39" t="n">
        <v>1338.5</v>
      </c>
      <c r="Q370" s="39" t="n">
        <v>468.85</v>
      </c>
      <c r="R370" s="39" t="n">
        <v>739.75</v>
      </c>
      <c r="S370" s="39" t="n">
        <v>483.33</v>
      </c>
    </row>
    <row r="371" customFormat="false" ht="15" hidden="false" customHeight="false" outlineLevel="0" collapsed="false">
      <c r="A371" s="8" t="n">
        <v>45343</v>
      </c>
      <c r="B371" s="39" t="n">
        <v>22055.05</v>
      </c>
      <c r="C371" s="39" t="n">
        <v>20128.3</v>
      </c>
      <c r="D371" s="39" t="n">
        <v>1443.15</v>
      </c>
      <c r="E371" s="39" t="n">
        <v>786.1</v>
      </c>
      <c r="F371" s="39" t="n">
        <v>915.4</v>
      </c>
      <c r="G371" s="39" t="n">
        <v>640.9</v>
      </c>
      <c r="H371" s="39" t="n">
        <v>726.75</v>
      </c>
      <c r="I371" s="39" t="n">
        <v>463.3</v>
      </c>
      <c r="J371" s="39" t="n">
        <v>2259.6</v>
      </c>
      <c r="K371" s="39" t="n">
        <v>667.97</v>
      </c>
      <c r="L371" s="39" t="n">
        <v>1085.55</v>
      </c>
      <c r="M371" s="39" t="n">
        <v>1467.8</v>
      </c>
      <c r="N371" s="39" t="n">
        <v>585.2</v>
      </c>
      <c r="O371" s="39" t="n">
        <v>289</v>
      </c>
      <c r="P371" s="39" t="n">
        <v>1324.2</v>
      </c>
      <c r="Q371" s="39" t="n">
        <v>459.15</v>
      </c>
      <c r="R371" s="39" t="n">
        <v>739.25</v>
      </c>
      <c r="S371" s="39" t="n">
        <v>471.19</v>
      </c>
    </row>
    <row r="372" customFormat="false" ht="15" hidden="false" customHeight="false" outlineLevel="0" collapsed="false">
      <c r="A372" s="8" t="n">
        <v>45344</v>
      </c>
      <c r="B372" s="39" t="n">
        <v>22217.45</v>
      </c>
      <c r="C372" s="39" t="n">
        <v>20283.95</v>
      </c>
      <c r="D372" s="39" t="n">
        <v>1460.1</v>
      </c>
      <c r="E372" s="39" t="n">
        <v>794.85</v>
      </c>
      <c r="F372" s="39" t="n">
        <v>946.9</v>
      </c>
      <c r="G372" s="39" t="n">
        <v>642.25</v>
      </c>
      <c r="H372" s="39" t="n">
        <v>716.75</v>
      </c>
      <c r="I372" s="39" t="n">
        <v>460.85</v>
      </c>
      <c r="J372" s="39" t="n">
        <v>2254.35</v>
      </c>
      <c r="K372" s="39" t="n">
        <v>666.59</v>
      </c>
      <c r="L372" s="39" t="n">
        <v>1082.45</v>
      </c>
      <c r="M372" s="39" t="n">
        <v>1466.25</v>
      </c>
      <c r="N372" s="39" t="n">
        <v>581.94</v>
      </c>
      <c r="O372" s="39" t="n">
        <v>290.65</v>
      </c>
      <c r="P372" s="39" t="n">
        <v>1336.4</v>
      </c>
      <c r="Q372" s="39" t="n">
        <v>466.05</v>
      </c>
      <c r="R372" s="39" t="n">
        <v>740.75</v>
      </c>
      <c r="S372" s="39" t="n">
        <v>479.04</v>
      </c>
    </row>
    <row r="373" customFormat="false" ht="15" hidden="false" customHeight="false" outlineLevel="0" collapsed="false">
      <c r="A373" s="8" t="n">
        <v>45345</v>
      </c>
      <c r="B373" s="39" t="n">
        <v>22212.7</v>
      </c>
      <c r="C373" s="39" t="n">
        <v>20313.5</v>
      </c>
      <c r="D373" s="39" t="n">
        <v>1467.7</v>
      </c>
      <c r="E373" s="39" t="n">
        <v>799.65</v>
      </c>
      <c r="F373" s="39" t="n">
        <v>959.1</v>
      </c>
      <c r="G373" s="39" t="n">
        <v>642.3</v>
      </c>
      <c r="H373" s="39" t="n">
        <v>702.75</v>
      </c>
      <c r="I373" s="39" t="n">
        <v>451.35</v>
      </c>
      <c r="J373" s="39" t="n">
        <v>2283.75</v>
      </c>
      <c r="K373" s="39" t="n">
        <v>668.87</v>
      </c>
      <c r="L373" s="39" t="n">
        <v>1105.4</v>
      </c>
      <c r="M373" s="39" t="n">
        <v>1470.25</v>
      </c>
      <c r="N373" s="39" t="n">
        <v>583.79</v>
      </c>
      <c r="O373" s="39" t="n">
        <v>292.95</v>
      </c>
      <c r="P373" s="39" t="n">
        <v>1320.15</v>
      </c>
      <c r="Q373" s="39" t="n">
        <v>459.8</v>
      </c>
      <c r="R373" s="39" t="n">
        <v>739.05</v>
      </c>
      <c r="S373" s="39" t="n">
        <v>489.09</v>
      </c>
    </row>
    <row r="374" customFormat="false" ht="15" hidden="false" customHeight="false" outlineLevel="0" collapsed="false">
      <c r="A374" s="8" t="n">
        <v>45348</v>
      </c>
      <c r="B374" s="39" t="n">
        <v>22122.05</v>
      </c>
      <c r="C374" s="39" t="n">
        <v>20255.8</v>
      </c>
      <c r="D374" s="39" t="n">
        <v>1466.55</v>
      </c>
      <c r="E374" s="39" t="n">
        <v>799.3</v>
      </c>
      <c r="F374" s="39" t="n">
        <v>928.25</v>
      </c>
      <c r="G374" s="39" t="n">
        <v>659.15</v>
      </c>
      <c r="H374" s="39" t="n">
        <v>723.95</v>
      </c>
      <c r="I374" s="39" t="n">
        <v>456.3</v>
      </c>
      <c r="J374" s="39" t="n">
        <v>2286.15</v>
      </c>
      <c r="K374" s="39" t="n">
        <v>663.42</v>
      </c>
      <c r="L374" s="39" t="n">
        <v>1110.85</v>
      </c>
      <c r="M374" s="39" t="n">
        <v>1468.45</v>
      </c>
      <c r="N374" s="39" t="n">
        <v>591.8</v>
      </c>
      <c r="O374" s="39" t="n">
        <v>290.75</v>
      </c>
      <c r="P374" s="39" t="n">
        <v>1306.7</v>
      </c>
      <c r="Q374" s="39" t="n">
        <v>472.85</v>
      </c>
      <c r="R374" s="39" t="n">
        <v>729.9</v>
      </c>
      <c r="S374" s="39" t="n">
        <v>497.03</v>
      </c>
    </row>
    <row r="375" customFormat="false" ht="15" hidden="false" customHeight="false" outlineLevel="0" collapsed="false">
      <c r="A375" s="8" t="n">
        <v>45349</v>
      </c>
      <c r="B375" s="39" t="n">
        <v>22198.35</v>
      </c>
      <c r="C375" s="39" t="n">
        <v>20292.85</v>
      </c>
      <c r="D375" s="39" t="n">
        <v>1459.65</v>
      </c>
      <c r="E375" s="39" t="n">
        <v>791.55</v>
      </c>
      <c r="F375" s="39" t="n">
        <v>901.6</v>
      </c>
      <c r="G375" s="39" t="n">
        <v>649.55</v>
      </c>
      <c r="H375" s="39" t="n">
        <v>715.1</v>
      </c>
      <c r="I375" s="39" t="n">
        <v>442.35</v>
      </c>
      <c r="J375" s="39" t="n">
        <v>2280.4</v>
      </c>
      <c r="K375" s="39" t="n">
        <v>654.73</v>
      </c>
      <c r="L375" s="39" t="n">
        <v>1098.65</v>
      </c>
      <c r="M375" s="39" t="n">
        <v>1487.05</v>
      </c>
      <c r="N375" s="39" t="n">
        <v>590.49</v>
      </c>
      <c r="O375" s="39" t="n">
        <v>289</v>
      </c>
      <c r="P375" s="39" t="n">
        <v>1294.3</v>
      </c>
      <c r="Q375" s="39" t="n">
        <v>473.25</v>
      </c>
      <c r="R375" s="39" t="n">
        <v>731.8</v>
      </c>
      <c r="S375" s="39" t="n">
        <v>474.48</v>
      </c>
    </row>
    <row r="376" customFormat="false" ht="15" hidden="false" customHeight="false" outlineLevel="0" collapsed="false">
      <c r="A376" s="8" t="n">
        <v>45350</v>
      </c>
      <c r="B376" s="39" t="n">
        <v>21951.15</v>
      </c>
      <c r="C376" s="39" t="n">
        <v>20020.4</v>
      </c>
      <c r="D376" s="39" t="n">
        <v>1474.5</v>
      </c>
      <c r="E376" s="39" t="n">
        <v>767.7</v>
      </c>
      <c r="F376" s="39" t="n">
        <v>888.25</v>
      </c>
      <c r="G376" s="39" t="n">
        <v>638.15</v>
      </c>
      <c r="H376" s="39" t="n">
        <v>701.75</v>
      </c>
      <c r="I376" s="39" t="n">
        <v>436.6</v>
      </c>
      <c r="J376" s="39" t="n">
        <v>2200.4</v>
      </c>
      <c r="K376" s="39" t="n">
        <v>648.99</v>
      </c>
      <c r="L376" s="39" t="n">
        <v>1069.7</v>
      </c>
      <c r="M376" s="39" t="n">
        <v>1470.6</v>
      </c>
      <c r="N376" s="39" t="n">
        <v>564.6</v>
      </c>
      <c r="O376" s="39" t="n">
        <v>281.45</v>
      </c>
      <c r="P376" s="39" t="n">
        <v>1274.7</v>
      </c>
      <c r="Q376" s="39" t="n">
        <v>456</v>
      </c>
      <c r="R376" s="39" t="n">
        <v>729.45</v>
      </c>
      <c r="S376" s="39" t="n">
        <v>469.76</v>
      </c>
    </row>
    <row r="377" customFormat="false" ht="15" hidden="false" customHeight="false" outlineLevel="0" collapsed="false">
      <c r="A377" s="8" t="n">
        <v>45351</v>
      </c>
      <c r="B377" s="39" t="n">
        <v>21982.8</v>
      </c>
      <c r="C377" s="39" t="n">
        <v>20090.05</v>
      </c>
      <c r="D377" s="39" t="n">
        <v>1454.9</v>
      </c>
      <c r="E377" s="39" t="n">
        <v>774.45</v>
      </c>
      <c r="F377" s="39" t="n">
        <v>868.2</v>
      </c>
      <c r="G377" s="39" t="n">
        <v>647.95</v>
      </c>
      <c r="H377" s="39" t="n">
        <v>694.25</v>
      </c>
      <c r="I377" s="39" t="n">
        <v>436.8</v>
      </c>
      <c r="J377" s="39" t="n">
        <v>2073.7</v>
      </c>
      <c r="K377" s="39" t="n">
        <v>648.65</v>
      </c>
      <c r="L377" s="39" t="n">
        <v>1089.2</v>
      </c>
      <c r="M377" s="39" t="n">
        <v>1470.1</v>
      </c>
      <c r="N377" s="39" t="n">
        <v>573.44</v>
      </c>
      <c r="O377" s="39" t="n">
        <v>283.4</v>
      </c>
      <c r="P377" s="39" t="n">
        <v>1303.75</v>
      </c>
      <c r="Q377" s="39" t="n">
        <v>467</v>
      </c>
      <c r="R377" s="39" t="n">
        <v>719.65</v>
      </c>
      <c r="S377" s="39" t="n">
        <v>487.72</v>
      </c>
    </row>
    <row r="378" customFormat="false" ht="15" hidden="false" customHeight="false" outlineLevel="0" collapsed="false">
      <c r="A378" s="8" t="n">
        <v>45352</v>
      </c>
      <c r="B378" s="39" t="n">
        <v>22338.75</v>
      </c>
      <c r="C378" s="39" t="n">
        <v>20349.8</v>
      </c>
      <c r="D378" s="39" t="n">
        <v>1436.9</v>
      </c>
      <c r="E378" s="39" t="n">
        <v>792.55</v>
      </c>
      <c r="F378" s="39" t="n">
        <v>906.7</v>
      </c>
      <c r="G378" s="39" t="n">
        <v>648.75</v>
      </c>
      <c r="H378" s="39" t="n">
        <v>725.45</v>
      </c>
      <c r="I378" s="39" t="n">
        <v>434.65</v>
      </c>
      <c r="J378" s="39" t="n">
        <v>2054.5</v>
      </c>
      <c r="K378" s="39" t="n">
        <v>656.25</v>
      </c>
      <c r="L378" s="39" t="n">
        <v>1095.85</v>
      </c>
      <c r="M378" s="39" t="n">
        <v>1484.05</v>
      </c>
      <c r="N378" s="39" t="n">
        <v>604.48</v>
      </c>
      <c r="O378" s="39" t="n">
        <v>287.75</v>
      </c>
      <c r="P378" s="39" t="n">
        <v>1321.35</v>
      </c>
      <c r="Q378" s="39" t="n">
        <v>462.75</v>
      </c>
      <c r="R378" s="39" t="n">
        <v>717.9</v>
      </c>
      <c r="S378" s="39" t="n">
        <v>490.09</v>
      </c>
    </row>
    <row r="379" customFormat="false" ht="15" hidden="false" customHeight="false" outlineLevel="0" collapsed="false">
      <c r="A379" s="8" t="n">
        <v>45353</v>
      </c>
      <c r="B379" s="39" t="n">
        <v>22378.4</v>
      </c>
      <c r="C379" s="39" t="n">
        <v>20421.35</v>
      </c>
      <c r="D379" s="39" t="n">
        <v>1454.35</v>
      </c>
      <c r="E379" s="39" t="n">
        <v>790.45</v>
      </c>
      <c r="F379" s="39" t="n">
        <v>911</v>
      </c>
      <c r="G379" s="39" t="n">
        <v>648.4</v>
      </c>
      <c r="H379" s="39" t="n">
        <v>732.55</v>
      </c>
      <c r="I379" s="39" t="n">
        <v>443</v>
      </c>
      <c r="J379" s="39" t="n">
        <v>2077</v>
      </c>
      <c r="K379" s="39" t="n">
        <v>657.54</v>
      </c>
      <c r="L379" s="39" t="n">
        <v>1098.4</v>
      </c>
      <c r="M379" s="39" t="n">
        <v>1494</v>
      </c>
      <c r="N379" s="39" t="n">
        <v>622.55</v>
      </c>
      <c r="O379" s="39" t="n">
        <v>287.65</v>
      </c>
      <c r="P379" s="39" t="n">
        <v>1324</v>
      </c>
      <c r="Q379" s="39" t="n">
        <v>465.4</v>
      </c>
      <c r="R379" s="39" t="n">
        <v>721.3</v>
      </c>
      <c r="S379" s="39" t="n">
        <v>491.43</v>
      </c>
    </row>
    <row r="380" customFormat="false" ht="15" hidden="false" customHeight="false" outlineLevel="0" collapsed="false">
      <c r="A380" s="8" t="n">
        <v>45355</v>
      </c>
      <c r="B380" s="39" t="n">
        <v>22405.6</v>
      </c>
      <c r="C380" s="39" t="n">
        <v>20432.05</v>
      </c>
      <c r="D380" s="39" t="n">
        <v>1431.7</v>
      </c>
      <c r="E380" s="39" t="n">
        <v>790.8</v>
      </c>
      <c r="F380" s="39" t="n">
        <v>893.95</v>
      </c>
      <c r="G380" s="39" t="n">
        <v>657.75</v>
      </c>
      <c r="H380" s="39" t="n">
        <v>719.85</v>
      </c>
      <c r="I380" s="39" t="n">
        <v>441</v>
      </c>
      <c r="J380" s="39" t="n">
        <v>2039.25</v>
      </c>
      <c r="K380" s="39" t="n">
        <v>659.35</v>
      </c>
      <c r="L380" s="39" t="n">
        <v>1075.55</v>
      </c>
      <c r="M380" s="39" t="n">
        <v>1444.85</v>
      </c>
      <c r="N380" s="39" t="n">
        <v>580.05</v>
      </c>
      <c r="O380" s="39" t="n">
        <v>287.5</v>
      </c>
      <c r="P380" s="39" t="n">
        <v>1337.9</v>
      </c>
      <c r="Q380" s="39" t="n">
        <v>460.8</v>
      </c>
      <c r="R380" s="39" t="n">
        <v>716.9</v>
      </c>
      <c r="S380" s="39" t="n">
        <v>489.3</v>
      </c>
    </row>
    <row r="381" customFormat="false" ht="15" hidden="false" customHeight="false" outlineLevel="0" collapsed="false">
      <c r="A381" s="8" t="n">
        <v>45356</v>
      </c>
      <c r="B381" s="39" t="n">
        <v>22356.3</v>
      </c>
      <c r="C381" s="39" t="n">
        <v>20382</v>
      </c>
      <c r="D381" s="39" t="n">
        <v>1358.1</v>
      </c>
      <c r="E381" s="39" t="n">
        <v>791.95</v>
      </c>
      <c r="F381" s="39" t="n">
        <v>866.4</v>
      </c>
      <c r="G381" s="39" t="n">
        <v>656</v>
      </c>
      <c r="H381" s="39" t="n">
        <v>693.15</v>
      </c>
      <c r="I381" s="39" t="n">
        <v>431.45</v>
      </c>
      <c r="J381" s="39" t="n">
        <v>1978.95</v>
      </c>
      <c r="K381" s="39" t="n">
        <v>631.57</v>
      </c>
      <c r="L381" s="39" t="n">
        <v>1046.9</v>
      </c>
      <c r="M381" s="39" t="n">
        <v>1434.85</v>
      </c>
      <c r="N381" s="39" t="n">
        <v>464.07</v>
      </c>
      <c r="O381" s="39" t="n">
        <v>290.8</v>
      </c>
      <c r="P381" s="39" t="n">
        <v>1362.4</v>
      </c>
      <c r="Q381" s="39" t="n">
        <v>457.8</v>
      </c>
      <c r="R381" s="39" t="n">
        <v>716.05</v>
      </c>
      <c r="S381" s="39" t="n">
        <v>486.3</v>
      </c>
    </row>
    <row r="382" customFormat="false" ht="15" hidden="false" customHeight="false" outlineLevel="0" collapsed="false">
      <c r="A382" s="8" t="n">
        <v>45357</v>
      </c>
      <c r="B382" s="39" t="n">
        <v>22474.05</v>
      </c>
      <c r="C382" s="39" t="n">
        <v>20379.55</v>
      </c>
      <c r="D382" s="39" t="n">
        <v>1387.3</v>
      </c>
      <c r="E382" s="39" t="n">
        <v>784.8</v>
      </c>
      <c r="F382" s="39" t="n">
        <v>830.1</v>
      </c>
      <c r="G382" s="39" t="n">
        <v>640.15</v>
      </c>
      <c r="H382" s="39" t="n">
        <v>676.15</v>
      </c>
      <c r="I382" s="39" t="n">
        <v>407.3</v>
      </c>
      <c r="J382" s="39" t="n">
        <v>1903.8</v>
      </c>
      <c r="K382" s="39" t="n">
        <v>630.27</v>
      </c>
      <c r="L382" s="39" t="n">
        <v>1019.6</v>
      </c>
      <c r="M382" s="39" t="n">
        <v>1381.45</v>
      </c>
      <c r="N382" s="39" t="n">
        <v>371.25</v>
      </c>
      <c r="O382" s="39" t="n">
        <v>284.2</v>
      </c>
      <c r="P382" s="39" t="n">
        <v>1392.7</v>
      </c>
      <c r="Q382" s="39" t="n">
        <v>442.4</v>
      </c>
      <c r="R382" s="39" t="n">
        <v>702.2</v>
      </c>
      <c r="S382" s="39" t="n">
        <v>474.92</v>
      </c>
    </row>
    <row r="383" customFormat="false" ht="15" hidden="false" customHeight="false" outlineLevel="0" collapsed="false">
      <c r="A383" s="8" t="n">
        <v>45358</v>
      </c>
      <c r="B383" s="39" t="n">
        <v>22493.55</v>
      </c>
      <c r="C383" s="39" t="n">
        <v>20434.8</v>
      </c>
      <c r="D383" s="39" t="n">
        <v>1414.8</v>
      </c>
      <c r="E383" s="39" t="n">
        <v>786.6</v>
      </c>
      <c r="F383" s="39" t="n">
        <v>868.8</v>
      </c>
      <c r="G383" s="39" t="n">
        <v>637.6</v>
      </c>
      <c r="H383" s="39" t="n">
        <v>702.8</v>
      </c>
      <c r="I383" s="39" t="n">
        <v>415.7</v>
      </c>
      <c r="J383" s="39" t="n">
        <v>1888.95</v>
      </c>
      <c r="K383" s="39" t="n">
        <v>641.23</v>
      </c>
      <c r="L383" s="39" t="n">
        <v>1083.25</v>
      </c>
      <c r="M383" s="39" t="n">
        <v>1396.55</v>
      </c>
      <c r="N383" s="39" t="n">
        <v>408.21</v>
      </c>
      <c r="O383" s="39" t="n">
        <v>286.95</v>
      </c>
      <c r="P383" s="39" t="n">
        <v>1377.15</v>
      </c>
      <c r="Q383" s="39" t="n">
        <v>432.7</v>
      </c>
      <c r="R383" s="39" t="n">
        <v>707.5</v>
      </c>
      <c r="S383" s="39" t="n">
        <v>489.91</v>
      </c>
    </row>
    <row r="384" customFormat="false" ht="15" hidden="false" customHeight="false" outlineLevel="0" collapsed="false">
      <c r="A384" s="8" t="n">
        <v>45362</v>
      </c>
      <c r="B384" s="39" t="n">
        <v>22332.65</v>
      </c>
      <c r="C384" s="39" t="n">
        <v>20288.75</v>
      </c>
      <c r="D384" s="39" t="n">
        <v>1390.1</v>
      </c>
      <c r="E384" s="39" t="n">
        <v>771</v>
      </c>
      <c r="F384" s="39" t="n">
        <v>853.2</v>
      </c>
      <c r="G384" s="39" t="n">
        <v>634.6</v>
      </c>
      <c r="H384" s="39" t="n">
        <v>678.05</v>
      </c>
      <c r="I384" s="39" t="n">
        <v>421.95</v>
      </c>
      <c r="J384" s="39" t="n">
        <v>1862.6</v>
      </c>
      <c r="K384" s="39" t="n">
        <v>642.5</v>
      </c>
      <c r="L384" s="39" t="n">
        <v>1095.45</v>
      </c>
      <c r="M384" s="39" t="n">
        <v>1322.2</v>
      </c>
      <c r="N384" s="39" t="n">
        <v>379.02</v>
      </c>
      <c r="O384" s="39" t="n">
        <v>286.05</v>
      </c>
      <c r="P384" s="39" t="n">
        <v>1401.65</v>
      </c>
      <c r="Q384" s="39" t="n">
        <v>453.5</v>
      </c>
      <c r="R384" s="39" t="n">
        <v>704.8</v>
      </c>
      <c r="S384" s="39" t="n">
        <v>496.19</v>
      </c>
    </row>
    <row r="385" customFormat="false" ht="15" hidden="false" customHeight="false" outlineLevel="0" collapsed="false">
      <c r="A385" s="8" t="n">
        <v>45363</v>
      </c>
      <c r="B385" s="39" t="n">
        <v>22335.7</v>
      </c>
      <c r="C385" s="39" t="n">
        <v>20171.4</v>
      </c>
      <c r="D385" s="39" t="n">
        <v>1379.05</v>
      </c>
      <c r="E385" s="39" t="n">
        <v>760.3</v>
      </c>
      <c r="F385" s="39" t="n">
        <v>844.55</v>
      </c>
      <c r="G385" s="39" t="n">
        <v>624.1</v>
      </c>
      <c r="H385" s="39" t="n">
        <v>661.1</v>
      </c>
      <c r="I385" s="39" t="n">
        <v>404.45</v>
      </c>
      <c r="J385" s="39" t="n">
        <v>1844.3</v>
      </c>
      <c r="K385" s="39" t="n">
        <v>642.73</v>
      </c>
      <c r="L385" s="39" t="n">
        <v>1066.45</v>
      </c>
      <c r="M385" s="39" t="n">
        <v>1326.75</v>
      </c>
      <c r="N385" s="39" t="n">
        <v>385.87</v>
      </c>
      <c r="O385" s="39" t="n">
        <v>281.45</v>
      </c>
      <c r="P385" s="39" t="n">
        <v>1400.15</v>
      </c>
      <c r="Q385" s="39" t="n">
        <v>471.95</v>
      </c>
      <c r="R385" s="39" t="n">
        <v>700.55</v>
      </c>
      <c r="S385" s="39" t="n">
        <v>484.35</v>
      </c>
    </row>
    <row r="386" customFormat="false" ht="15" hidden="false" customHeight="false" outlineLevel="0" collapsed="false">
      <c r="A386" s="8" t="n">
        <v>45364</v>
      </c>
      <c r="B386" s="39" t="n">
        <v>21997.7</v>
      </c>
      <c r="C386" s="39" t="n">
        <v>19646.3</v>
      </c>
      <c r="D386" s="39" t="n">
        <v>1339.65</v>
      </c>
      <c r="E386" s="39" t="n">
        <v>721.45</v>
      </c>
      <c r="F386" s="39" t="n">
        <v>818</v>
      </c>
      <c r="G386" s="39" t="n">
        <v>590.45</v>
      </c>
      <c r="H386" s="39" t="n">
        <v>611.85</v>
      </c>
      <c r="I386" s="39" t="n">
        <v>375.4</v>
      </c>
      <c r="J386" s="39" t="n">
        <v>1788.2</v>
      </c>
      <c r="K386" s="39" t="n">
        <v>644.74</v>
      </c>
      <c r="L386" s="39" t="n">
        <v>1048.3</v>
      </c>
      <c r="M386" s="39" t="n">
        <v>1311.15</v>
      </c>
      <c r="N386" s="39" t="n">
        <v>373.15</v>
      </c>
      <c r="O386" s="39" t="n">
        <v>264.4</v>
      </c>
      <c r="P386" s="39" t="n">
        <v>1350.5</v>
      </c>
      <c r="Q386" s="39" t="n">
        <v>465.35</v>
      </c>
      <c r="R386" s="39" t="n">
        <v>685.3</v>
      </c>
      <c r="S386" s="39" t="n">
        <v>464.28</v>
      </c>
    </row>
    <row r="387" customFormat="false" ht="15" hidden="false" customHeight="false" outlineLevel="0" collapsed="false">
      <c r="A387" s="8" t="n">
        <v>45365</v>
      </c>
      <c r="B387" s="39" t="n">
        <v>22146.65</v>
      </c>
      <c r="C387" s="39" t="n">
        <v>19916.35</v>
      </c>
      <c r="D387" s="39" t="n">
        <v>1378.9</v>
      </c>
      <c r="E387" s="39" t="n">
        <v>729.45</v>
      </c>
      <c r="F387" s="39" t="n">
        <v>815.4</v>
      </c>
      <c r="G387" s="39" t="n">
        <v>591.8</v>
      </c>
      <c r="H387" s="39" t="n">
        <v>646.7</v>
      </c>
      <c r="I387" s="39" t="n">
        <v>405.85</v>
      </c>
      <c r="J387" s="39" t="n">
        <v>1884.6</v>
      </c>
      <c r="K387" s="39" t="n">
        <v>638.88</v>
      </c>
      <c r="L387" s="39" t="n">
        <v>1070.85</v>
      </c>
      <c r="M387" s="39" t="n">
        <v>1382.75</v>
      </c>
      <c r="N387" s="39" t="n">
        <v>359.94</v>
      </c>
      <c r="O387" s="39" t="n">
        <v>266.9</v>
      </c>
      <c r="P387" s="39" t="n">
        <v>1366.8</v>
      </c>
      <c r="Q387" s="39" t="n">
        <v>459.6</v>
      </c>
      <c r="R387" s="39" t="n">
        <v>702.35</v>
      </c>
      <c r="S387" s="39" t="n">
        <v>458.3</v>
      </c>
    </row>
    <row r="388" customFormat="false" ht="15" hidden="false" customHeight="false" outlineLevel="0" collapsed="false">
      <c r="A388" s="8" t="n">
        <v>45366</v>
      </c>
      <c r="B388" s="39" t="n">
        <v>22023.35</v>
      </c>
      <c r="C388" s="39" t="n">
        <v>19825.2</v>
      </c>
      <c r="D388" s="39" t="n">
        <v>1364.45</v>
      </c>
      <c r="E388" s="39" t="n">
        <v>724.45</v>
      </c>
      <c r="F388" s="39" t="n">
        <v>823.25</v>
      </c>
      <c r="G388" s="39" t="n">
        <v>584.6</v>
      </c>
      <c r="H388" s="39" t="n">
        <v>627.2</v>
      </c>
      <c r="I388" s="39" t="n">
        <v>400</v>
      </c>
      <c r="J388" s="39" t="n">
        <v>1857.9</v>
      </c>
      <c r="K388" s="39" t="n">
        <v>650.55</v>
      </c>
      <c r="L388" s="39" t="n">
        <v>1067.85</v>
      </c>
      <c r="M388" s="39" t="n">
        <v>1421.25</v>
      </c>
      <c r="N388" s="39" t="n">
        <v>357.17</v>
      </c>
      <c r="O388" s="39" t="n">
        <v>261.65</v>
      </c>
      <c r="P388" s="39" t="n">
        <v>1341.3</v>
      </c>
      <c r="Q388" s="39" t="n">
        <v>462.9</v>
      </c>
      <c r="R388" s="39" t="n">
        <v>699.3</v>
      </c>
      <c r="S388" s="39" t="n">
        <v>453.36</v>
      </c>
    </row>
    <row r="389" customFormat="false" ht="15" hidden="false" customHeight="false" outlineLevel="0" collapsed="false">
      <c r="A389" s="8" t="n">
        <v>45369</v>
      </c>
      <c r="B389" s="39" t="n">
        <v>22055.7</v>
      </c>
      <c r="C389" s="39" t="n">
        <v>19843.1</v>
      </c>
      <c r="D389" s="39" t="n">
        <v>1378.3</v>
      </c>
      <c r="E389" s="39" t="n">
        <v>719.55</v>
      </c>
      <c r="F389" s="39" t="n">
        <v>844.2</v>
      </c>
      <c r="G389" s="39" t="n">
        <v>575.1</v>
      </c>
      <c r="H389" s="39" t="n">
        <v>624.7</v>
      </c>
      <c r="I389" s="39" t="n">
        <v>391.3</v>
      </c>
      <c r="J389" s="39" t="n">
        <v>1864</v>
      </c>
      <c r="K389" s="39" t="n">
        <v>649.58</v>
      </c>
      <c r="L389" s="39" t="n">
        <v>1056.4</v>
      </c>
      <c r="M389" s="39" t="n">
        <v>1400.2</v>
      </c>
      <c r="N389" s="39" t="n">
        <v>357.32</v>
      </c>
      <c r="O389" s="39" t="n">
        <v>260.75</v>
      </c>
      <c r="P389" s="39" t="n">
        <v>1339.4</v>
      </c>
      <c r="Q389" s="39" t="n">
        <v>471.55</v>
      </c>
      <c r="R389" s="39" t="n">
        <v>701.5</v>
      </c>
      <c r="S389" s="39" t="n">
        <v>461.79</v>
      </c>
    </row>
    <row r="390" customFormat="false" ht="15" hidden="false" customHeight="false" outlineLevel="0" collapsed="false">
      <c r="A390" s="8" t="n">
        <v>45370</v>
      </c>
      <c r="B390" s="39" t="n">
        <v>21817.45</v>
      </c>
      <c r="C390" s="39" t="n">
        <v>19610.55</v>
      </c>
      <c r="D390" s="39" t="n">
        <v>1371</v>
      </c>
      <c r="E390" s="39" t="n">
        <v>709</v>
      </c>
      <c r="F390" s="39" t="n">
        <v>847.15</v>
      </c>
      <c r="G390" s="39" t="n">
        <v>570.75</v>
      </c>
      <c r="H390" s="39" t="n">
        <v>626.8</v>
      </c>
      <c r="I390" s="39" t="n">
        <v>395.65</v>
      </c>
      <c r="J390" s="39" t="n">
        <v>1913.35</v>
      </c>
      <c r="K390" s="39" t="n">
        <v>658.73</v>
      </c>
      <c r="L390" s="39" t="n">
        <v>1046.75</v>
      </c>
      <c r="M390" s="39" t="n">
        <v>1412</v>
      </c>
      <c r="N390" s="39" t="n">
        <v>349.16</v>
      </c>
      <c r="O390" s="39" t="n">
        <v>258.6</v>
      </c>
      <c r="P390" s="39" t="n">
        <v>1325.05</v>
      </c>
      <c r="Q390" s="39" t="n">
        <v>464.6</v>
      </c>
      <c r="R390" s="39" t="n">
        <v>698.5</v>
      </c>
      <c r="S390" s="39" t="n">
        <v>457.4</v>
      </c>
    </row>
    <row r="391" customFormat="false" ht="15" hidden="false" customHeight="false" outlineLevel="0" collapsed="false">
      <c r="A391" s="8" t="n">
        <v>45371</v>
      </c>
      <c r="B391" s="39" t="n">
        <v>21839.1</v>
      </c>
      <c r="C391" s="39" t="n">
        <v>19632.05</v>
      </c>
      <c r="D391" s="39" t="n">
        <v>1351.25</v>
      </c>
      <c r="E391" s="39" t="n">
        <v>718.05</v>
      </c>
      <c r="F391" s="39" t="n">
        <v>873.2</v>
      </c>
      <c r="G391" s="39" t="n">
        <v>570.05</v>
      </c>
      <c r="H391" s="39" t="n">
        <v>613.25</v>
      </c>
      <c r="I391" s="39" t="n">
        <v>387.1</v>
      </c>
      <c r="J391" s="39" t="n">
        <v>1872.55</v>
      </c>
      <c r="K391" s="39" t="n">
        <v>664.05</v>
      </c>
      <c r="L391" s="39" t="n">
        <v>1044.8</v>
      </c>
      <c r="M391" s="39" t="n">
        <v>1383.15</v>
      </c>
      <c r="N391" s="39" t="n">
        <v>326.91</v>
      </c>
      <c r="O391" s="39" t="n">
        <v>261.25</v>
      </c>
      <c r="P391" s="39" t="n">
        <v>1338.85</v>
      </c>
      <c r="Q391" s="39" t="n">
        <v>465.5</v>
      </c>
      <c r="R391" s="39" t="n">
        <v>692.3</v>
      </c>
      <c r="S391" s="39" t="n">
        <v>462.84</v>
      </c>
    </row>
    <row r="392" customFormat="false" ht="15" hidden="false" customHeight="false" outlineLevel="0" collapsed="false">
      <c r="A392" s="8" t="n">
        <v>45372</v>
      </c>
      <c r="B392" s="39" t="n">
        <v>22011.95</v>
      </c>
      <c r="C392" s="39" t="n">
        <v>19897.4</v>
      </c>
      <c r="D392" s="39" t="n">
        <v>1349.2</v>
      </c>
      <c r="E392" s="39" t="n">
        <v>738.2</v>
      </c>
      <c r="F392" s="39" t="n">
        <v>866.55</v>
      </c>
      <c r="G392" s="39" t="n">
        <v>591.35</v>
      </c>
      <c r="H392" s="39" t="n">
        <v>642.5</v>
      </c>
      <c r="I392" s="39" t="n">
        <v>400.7</v>
      </c>
      <c r="J392" s="39" t="n">
        <v>1929.35</v>
      </c>
      <c r="K392" s="39" t="n">
        <v>670.66</v>
      </c>
      <c r="L392" s="39" t="n">
        <v>1074.2</v>
      </c>
      <c r="M392" s="39" t="n">
        <v>1399.45</v>
      </c>
      <c r="N392" s="39" t="n">
        <v>326.67</v>
      </c>
      <c r="O392" s="39" t="n">
        <v>268.2</v>
      </c>
      <c r="P392" s="39" t="n">
        <v>1434.45</v>
      </c>
      <c r="Q392" s="39" t="n">
        <v>469.05</v>
      </c>
      <c r="R392" s="39" t="n">
        <v>702.65</v>
      </c>
      <c r="S392" s="39" t="n">
        <v>462.16</v>
      </c>
    </row>
    <row r="393" customFormat="false" ht="15" hidden="false" customHeight="false" outlineLevel="0" collapsed="false">
      <c r="A393" s="8" t="n">
        <v>45373</v>
      </c>
      <c r="B393" s="39" t="n">
        <v>22096.75</v>
      </c>
      <c r="C393" s="39" t="n">
        <v>19994.6</v>
      </c>
      <c r="D393" s="39" t="n">
        <v>1356.1</v>
      </c>
      <c r="E393" s="39" t="n">
        <v>747.1</v>
      </c>
      <c r="F393" s="39" t="n">
        <v>880.55</v>
      </c>
      <c r="G393" s="39" t="n">
        <v>595.5</v>
      </c>
      <c r="H393" s="39" t="n">
        <v>640.15</v>
      </c>
      <c r="I393" s="39" t="n">
        <v>405.1</v>
      </c>
      <c r="J393" s="39" t="n">
        <v>1905</v>
      </c>
      <c r="K393" s="39" t="n">
        <v>675.17</v>
      </c>
      <c r="L393" s="39" t="n">
        <v>1089.4</v>
      </c>
      <c r="M393" s="39" t="n">
        <v>1381.3</v>
      </c>
      <c r="N393" s="39" t="n">
        <v>324.68</v>
      </c>
      <c r="O393" s="39" t="n">
        <v>273.6</v>
      </c>
      <c r="P393" s="39" t="n">
        <v>1424.35</v>
      </c>
      <c r="Q393" s="39" t="n">
        <v>463</v>
      </c>
      <c r="R393" s="39" t="n">
        <v>704.1</v>
      </c>
      <c r="S393" s="39" t="n">
        <v>466.14</v>
      </c>
    </row>
    <row r="394" customFormat="false" ht="15" hidden="false" customHeight="false" outlineLevel="0" collapsed="false">
      <c r="A394" s="8" t="n">
        <v>45377</v>
      </c>
      <c r="B394" s="39" t="n">
        <v>22004.7</v>
      </c>
      <c r="C394" s="39" t="n">
        <v>20005.25</v>
      </c>
      <c r="D394" s="39" t="n">
        <v>1325.15</v>
      </c>
      <c r="E394" s="39" t="n">
        <v>754.45</v>
      </c>
      <c r="F394" s="39" t="n">
        <v>896.25</v>
      </c>
      <c r="G394" s="39" t="n">
        <v>592.75</v>
      </c>
      <c r="H394" s="39" t="n">
        <v>628.6</v>
      </c>
      <c r="I394" s="39" t="n">
        <v>408.1</v>
      </c>
      <c r="J394" s="39" t="n">
        <v>1838.95</v>
      </c>
      <c r="K394" s="39" t="n">
        <v>690.07</v>
      </c>
      <c r="L394" s="39" t="n">
        <v>1115.2</v>
      </c>
      <c r="M394" s="39" t="n">
        <v>1400.9</v>
      </c>
      <c r="N394" s="39" t="n">
        <v>312.2</v>
      </c>
      <c r="O394" s="39" t="n">
        <v>273.85</v>
      </c>
      <c r="P394" s="39" t="n">
        <v>1483.15</v>
      </c>
      <c r="Q394" s="39" t="n">
        <v>478.3</v>
      </c>
      <c r="R394" s="39" t="n">
        <v>696.85</v>
      </c>
      <c r="S394" s="39" t="n">
        <v>474.51</v>
      </c>
    </row>
    <row r="395" customFormat="false" ht="15" hidden="false" customHeight="false" outlineLevel="0" collapsed="false">
      <c r="A395" s="8" t="n">
        <v>45378</v>
      </c>
      <c r="B395" s="39" t="n">
        <v>22123.65</v>
      </c>
      <c r="C395" s="39" t="n">
        <v>20087.8</v>
      </c>
      <c r="D395" s="39" t="n">
        <v>1323.4</v>
      </c>
      <c r="E395" s="39" t="n">
        <v>757.15</v>
      </c>
      <c r="F395" s="39" t="n">
        <v>915.55</v>
      </c>
      <c r="G395" s="39" t="n">
        <v>591.4</v>
      </c>
      <c r="H395" s="39" t="n">
        <v>630.35</v>
      </c>
      <c r="I395" s="39" t="n">
        <v>401.8</v>
      </c>
      <c r="J395" s="39" t="n">
        <v>1858.7</v>
      </c>
      <c r="K395" s="39" t="n">
        <v>701.32</v>
      </c>
      <c r="L395" s="39" t="n">
        <v>1130.2</v>
      </c>
      <c r="M395" s="39" t="n">
        <v>1422.55</v>
      </c>
      <c r="N395" s="39" t="n">
        <v>341.87</v>
      </c>
      <c r="O395" s="39" t="n">
        <v>274.45</v>
      </c>
      <c r="P395" s="39" t="n">
        <v>1478.2</v>
      </c>
      <c r="Q395" s="39" t="n">
        <v>475.25</v>
      </c>
      <c r="R395" s="39" t="n">
        <v>692.55</v>
      </c>
      <c r="S395" s="39" t="n">
        <v>477.27</v>
      </c>
    </row>
    <row r="396" customFormat="false" ht="15" hidden="false" customHeight="false" outlineLevel="0" collapsed="false">
      <c r="A396" s="8" t="n">
        <v>45379</v>
      </c>
      <c r="B396" s="39" t="n">
        <v>22326.9</v>
      </c>
      <c r="C396" s="39" t="n">
        <v>20255.15</v>
      </c>
      <c r="D396" s="39" t="n">
        <v>1315.65</v>
      </c>
      <c r="E396" s="39" t="n">
        <v>752.95</v>
      </c>
      <c r="F396" s="39" t="n">
        <v>897.8</v>
      </c>
      <c r="G396" s="39" t="n">
        <v>610.95</v>
      </c>
      <c r="H396" s="39" t="n">
        <v>629.85</v>
      </c>
      <c r="I396" s="39" t="n">
        <v>400.7</v>
      </c>
      <c r="J396" s="39" t="n">
        <v>1834.7</v>
      </c>
      <c r="K396" s="39" t="n">
        <v>723.54</v>
      </c>
      <c r="L396" s="39" t="n">
        <v>1156.6</v>
      </c>
      <c r="M396" s="39" t="n">
        <v>1441.4</v>
      </c>
      <c r="N396" s="39" t="n">
        <v>330.36</v>
      </c>
      <c r="O396" s="39" t="n">
        <v>278.8</v>
      </c>
      <c r="P396" s="39" t="n">
        <v>1480.45</v>
      </c>
      <c r="Q396" s="39" t="n">
        <v>465.6</v>
      </c>
      <c r="R396" s="39" t="n">
        <v>682.55</v>
      </c>
      <c r="S396" s="39" t="n">
        <v>471.96</v>
      </c>
    </row>
    <row r="397" customFormat="false" ht="15" hidden="false" customHeight="false" outlineLevel="0" collapsed="false">
      <c r="A397" s="8" t="n">
        <v>45383</v>
      </c>
      <c r="B397" s="39" t="n">
        <v>22462</v>
      </c>
      <c r="C397" s="39" t="n">
        <v>20492.55</v>
      </c>
      <c r="D397" s="39" t="n">
        <v>1418.55</v>
      </c>
      <c r="E397" s="39" t="n">
        <v>792.25</v>
      </c>
      <c r="F397" s="39" t="n">
        <v>919.75</v>
      </c>
      <c r="G397" s="39" t="n">
        <v>636.2</v>
      </c>
      <c r="H397" s="39" t="n">
        <v>749.3</v>
      </c>
      <c r="I397" s="39" t="n">
        <v>443.6</v>
      </c>
      <c r="J397" s="39" t="n">
        <v>1950.6</v>
      </c>
      <c r="K397" s="39" t="n">
        <v>724.11</v>
      </c>
      <c r="L397" s="39" t="n">
        <v>1185.4</v>
      </c>
      <c r="M397" s="39" t="n">
        <v>1408.7</v>
      </c>
      <c r="N397" s="39" t="n">
        <v>335.56</v>
      </c>
      <c r="O397" s="39" t="n">
        <v>286.95</v>
      </c>
      <c r="P397" s="39" t="n">
        <v>1563.7</v>
      </c>
      <c r="Q397" s="39" t="n">
        <v>475</v>
      </c>
      <c r="R397" s="39" t="n">
        <v>688.05</v>
      </c>
      <c r="S397" s="39" t="n">
        <v>486.35</v>
      </c>
    </row>
    <row r="398" customFormat="false" ht="15" hidden="false" customHeight="false" outlineLevel="0" collapsed="false">
      <c r="A398" s="8" t="n">
        <v>45384</v>
      </c>
      <c r="B398" s="39" t="n">
        <v>22453.3</v>
      </c>
      <c r="C398" s="39" t="n">
        <v>20569.75</v>
      </c>
      <c r="D398" s="39" t="n">
        <v>1415.45</v>
      </c>
      <c r="E398" s="39" t="n">
        <v>793.05</v>
      </c>
      <c r="F398" s="39" t="n">
        <v>945.45</v>
      </c>
      <c r="G398" s="39" t="n">
        <v>639.1</v>
      </c>
      <c r="H398" s="39" t="n">
        <v>724.05</v>
      </c>
      <c r="I398" s="39" t="n">
        <v>446.25</v>
      </c>
      <c r="J398" s="39" t="n">
        <v>1968.95</v>
      </c>
      <c r="K398" s="39" t="n">
        <v>719.76</v>
      </c>
      <c r="L398" s="39" t="n">
        <v>1197.25</v>
      </c>
      <c r="M398" s="39" t="n">
        <v>1402.05</v>
      </c>
      <c r="N398" s="39" t="n">
        <v>339.64</v>
      </c>
      <c r="O398" s="39" t="n">
        <v>296.05</v>
      </c>
      <c r="P398" s="39" t="n">
        <v>1562.75</v>
      </c>
      <c r="Q398" s="39" t="n">
        <v>474.55</v>
      </c>
      <c r="R398" s="39" t="n">
        <v>692.35</v>
      </c>
      <c r="S398" s="39" t="n">
        <v>493.19</v>
      </c>
    </row>
    <row r="399" customFormat="false" ht="15" hidden="false" customHeight="false" outlineLevel="0" collapsed="false">
      <c r="A399" s="8" t="n">
        <v>45385</v>
      </c>
      <c r="B399" s="39" t="n">
        <v>22434.65</v>
      </c>
      <c r="C399" s="39" t="n">
        <v>20605.7</v>
      </c>
      <c r="D399" s="39" t="n">
        <v>1395.55</v>
      </c>
      <c r="E399" s="39" t="n">
        <v>805.2</v>
      </c>
      <c r="F399" s="39" t="n">
        <v>930</v>
      </c>
      <c r="G399" s="39" t="n">
        <v>641.4</v>
      </c>
      <c r="H399" s="39" t="n">
        <v>735</v>
      </c>
      <c r="I399" s="39" t="n">
        <v>453</v>
      </c>
      <c r="J399" s="39" t="n">
        <v>2027.95</v>
      </c>
      <c r="K399" s="39" t="n">
        <v>729.93</v>
      </c>
      <c r="L399" s="39" t="n">
        <v>1194.75</v>
      </c>
      <c r="M399" s="39" t="n">
        <v>1421.6</v>
      </c>
      <c r="N399" s="39" t="n">
        <v>341.63</v>
      </c>
      <c r="O399" s="39" t="n">
        <v>295.4</v>
      </c>
      <c r="P399" s="39" t="n">
        <v>1630.2</v>
      </c>
      <c r="Q399" s="39" t="n">
        <v>494.6</v>
      </c>
      <c r="R399" s="39" t="n">
        <v>695.2</v>
      </c>
      <c r="S399" s="39" t="n">
        <v>511.29</v>
      </c>
    </row>
    <row r="400" customFormat="false" ht="15" hidden="false" customHeight="false" outlineLevel="0" collapsed="false">
      <c r="A400" s="8" t="n">
        <v>45386</v>
      </c>
      <c r="B400" s="39" t="n">
        <v>22514.65</v>
      </c>
      <c r="C400" s="39" t="n">
        <v>20664.65</v>
      </c>
      <c r="D400" s="39" t="n">
        <v>1452.15</v>
      </c>
      <c r="E400" s="39" t="n">
        <v>808.7</v>
      </c>
      <c r="F400" s="39" t="n">
        <v>953.25</v>
      </c>
      <c r="G400" s="39" t="n">
        <v>643.85</v>
      </c>
      <c r="H400" s="39" t="n">
        <v>769.65</v>
      </c>
      <c r="I400" s="39" t="n">
        <v>444.55</v>
      </c>
      <c r="J400" s="39" t="n">
        <v>2083.05</v>
      </c>
      <c r="K400" s="39" t="n">
        <v>727.35</v>
      </c>
      <c r="L400" s="39" t="n">
        <v>1196.35</v>
      </c>
      <c r="M400" s="39" t="n">
        <v>1478.15</v>
      </c>
      <c r="N400" s="39" t="n">
        <v>344.93</v>
      </c>
      <c r="O400" s="39" t="n">
        <v>294.1</v>
      </c>
      <c r="P400" s="39" t="n">
        <v>1666.55</v>
      </c>
      <c r="Q400" s="39" t="n">
        <v>493.7</v>
      </c>
      <c r="R400" s="39" t="n">
        <v>694.15</v>
      </c>
      <c r="S400" s="39" t="n">
        <v>499.86</v>
      </c>
    </row>
    <row r="401" customFormat="false" ht="15" hidden="false" customHeight="false" outlineLevel="0" collapsed="false">
      <c r="A401" s="8" t="n">
        <v>45387</v>
      </c>
      <c r="B401" s="39" t="n">
        <v>22513.7</v>
      </c>
      <c r="C401" s="39" t="n">
        <v>20715.1</v>
      </c>
      <c r="D401" s="39" t="n">
        <v>1598.55</v>
      </c>
      <c r="E401" s="39" t="n">
        <v>798.85</v>
      </c>
      <c r="F401" s="39" t="n">
        <v>960.05</v>
      </c>
      <c r="G401" s="39" t="n">
        <v>644.3</v>
      </c>
      <c r="H401" s="39" t="n">
        <v>772.3</v>
      </c>
      <c r="I401" s="39" t="n">
        <v>441.3</v>
      </c>
      <c r="J401" s="39" t="n">
        <v>2118.55</v>
      </c>
      <c r="K401" s="39" t="n">
        <v>716.59</v>
      </c>
      <c r="L401" s="39" t="n">
        <v>1217.65</v>
      </c>
      <c r="M401" s="39" t="n">
        <v>1481.4</v>
      </c>
      <c r="N401" s="39" t="n">
        <v>389.76</v>
      </c>
      <c r="O401" s="39" t="n">
        <v>298.5</v>
      </c>
      <c r="P401" s="39" t="n">
        <v>1654.75</v>
      </c>
      <c r="Q401" s="39" t="n">
        <v>497.4</v>
      </c>
      <c r="R401" s="39" t="n">
        <v>730.35</v>
      </c>
      <c r="S401" s="39" t="n">
        <v>503.77</v>
      </c>
    </row>
    <row r="402" customFormat="false" ht="15" hidden="false" customHeight="false" outlineLevel="0" collapsed="false">
      <c r="A402" s="8" t="n">
        <v>45390</v>
      </c>
      <c r="B402" s="39" t="n">
        <v>22666.3</v>
      </c>
      <c r="C402" s="39" t="n">
        <v>20819.1</v>
      </c>
      <c r="D402" s="39" t="n">
        <v>1626</v>
      </c>
      <c r="E402" s="39" t="n">
        <v>798.95</v>
      </c>
      <c r="F402" s="39" t="n">
        <v>951.05</v>
      </c>
      <c r="G402" s="39" t="n">
        <v>646.8</v>
      </c>
      <c r="H402" s="39" t="n">
        <v>763.9</v>
      </c>
      <c r="I402" s="39" t="n">
        <v>448.5</v>
      </c>
      <c r="J402" s="39" t="n">
        <v>2053.15</v>
      </c>
      <c r="K402" s="39" t="n">
        <v>716.88</v>
      </c>
      <c r="L402" s="39" t="n">
        <v>1203.05</v>
      </c>
      <c r="M402" s="39" t="n">
        <v>1471.95</v>
      </c>
      <c r="N402" s="39" t="n">
        <v>412.68</v>
      </c>
      <c r="O402" s="39" t="n">
        <v>298.9</v>
      </c>
      <c r="P402" s="39" t="n">
        <v>1674.2</v>
      </c>
      <c r="Q402" s="39" t="n">
        <v>488.7</v>
      </c>
      <c r="R402" s="39" t="n">
        <v>723.3</v>
      </c>
      <c r="S402" s="39" t="n">
        <v>513.84</v>
      </c>
    </row>
    <row r="403" customFormat="false" ht="15" hidden="false" customHeight="false" outlineLevel="0" collapsed="false">
      <c r="A403" s="8" t="n">
        <v>45391</v>
      </c>
      <c r="B403" s="39" t="n">
        <v>22642.75</v>
      </c>
      <c r="C403" s="39" t="n">
        <v>20790.7</v>
      </c>
      <c r="D403" s="39" t="n">
        <v>1584</v>
      </c>
      <c r="E403" s="39" t="n">
        <v>810.55</v>
      </c>
      <c r="F403" s="39" t="n">
        <v>936.45</v>
      </c>
      <c r="G403" s="39" t="n">
        <v>651.35</v>
      </c>
      <c r="H403" s="39" t="n">
        <v>764.5</v>
      </c>
      <c r="I403" s="39" t="n">
        <v>438.7</v>
      </c>
      <c r="J403" s="39" t="n">
        <v>2040.8</v>
      </c>
      <c r="K403" s="39" t="n">
        <v>718.38</v>
      </c>
      <c r="L403" s="39" t="n">
        <v>1210.1</v>
      </c>
      <c r="M403" s="39" t="n">
        <v>1452.25</v>
      </c>
      <c r="N403" s="39" t="n">
        <v>431.09</v>
      </c>
      <c r="O403" s="39" t="n">
        <v>299.55</v>
      </c>
      <c r="P403" s="39" t="n">
        <v>1675.75</v>
      </c>
      <c r="Q403" s="39" t="n">
        <v>491.3</v>
      </c>
      <c r="R403" s="39" t="n">
        <v>752.1</v>
      </c>
      <c r="S403" s="39" t="n">
        <v>510.08</v>
      </c>
    </row>
    <row r="404" customFormat="false" ht="15" hidden="false" customHeight="false" outlineLevel="0" collapsed="false">
      <c r="A404" s="8" t="n">
        <v>45392</v>
      </c>
      <c r="B404" s="39" t="n">
        <v>22753.8</v>
      </c>
      <c r="C404" s="39" t="n">
        <v>20915.2</v>
      </c>
      <c r="D404" s="39" t="n">
        <v>1579.5</v>
      </c>
      <c r="E404" s="39" t="n">
        <v>808.05</v>
      </c>
      <c r="F404" s="39" t="n">
        <v>899.8</v>
      </c>
      <c r="G404" s="39" t="n">
        <v>649.05</v>
      </c>
      <c r="H404" s="39" t="n">
        <v>769</v>
      </c>
      <c r="I404" s="39" t="n">
        <v>437.9</v>
      </c>
      <c r="J404" s="39" t="n">
        <v>2080.75</v>
      </c>
      <c r="K404" s="39" t="n">
        <v>722.04</v>
      </c>
      <c r="L404" s="39" t="n">
        <v>1191.8</v>
      </c>
      <c r="M404" s="39" t="n">
        <v>1428.35</v>
      </c>
      <c r="N404" s="39" t="n">
        <v>423.66</v>
      </c>
      <c r="O404" s="39" t="n">
        <v>302.1</v>
      </c>
      <c r="P404" s="39" t="n">
        <v>1649.45</v>
      </c>
      <c r="Q404" s="39" t="n">
        <v>494.7</v>
      </c>
      <c r="R404" s="39" t="n">
        <v>748</v>
      </c>
      <c r="S404" s="39" t="n">
        <v>505.61</v>
      </c>
    </row>
    <row r="405" customFormat="false" ht="15" hidden="false" customHeight="false" outlineLevel="0" collapsed="false">
      <c r="A405" s="8" t="n">
        <v>45394</v>
      </c>
      <c r="B405" s="39" t="n">
        <v>22519.4</v>
      </c>
      <c r="C405" s="39" t="n">
        <v>20745.5</v>
      </c>
      <c r="D405" s="39" t="n">
        <v>1568.95</v>
      </c>
      <c r="E405" s="39" t="n">
        <v>785.75</v>
      </c>
      <c r="F405" s="39" t="n">
        <v>898.75</v>
      </c>
      <c r="G405" s="39" t="n">
        <v>648.5</v>
      </c>
      <c r="H405" s="39" t="n">
        <v>762.85</v>
      </c>
      <c r="I405" s="39" t="n">
        <v>461.3</v>
      </c>
      <c r="J405" s="39" t="n">
        <v>1993.9</v>
      </c>
      <c r="K405" s="39" t="n">
        <v>721.97</v>
      </c>
      <c r="L405" s="39" t="n">
        <v>1177.6</v>
      </c>
      <c r="M405" s="39" t="n">
        <v>1471.4</v>
      </c>
      <c r="N405" s="39" t="n">
        <v>408.41</v>
      </c>
      <c r="O405" s="39" t="n">
        <v>303.45</v>
      </c>
      <c r="P405" s="39" t="n">
        <v>1667.35</v>
      </c>
      <c r="Q405" s="39" t="n">
        <v>493.25</v>
      </c>
      <c r="R405" s="39" t="n">
        <v>737.65</v>
      </c>
      <c r="S405" s="39" t="n">
        <v>497.12</v>
      </c>
    </row>
    <row r="406" customFormat="false" ht="15" hidden="false" customHeight="false" outlineLevel="0" collapsed="false">
      <c r="A406" s="8" t="n">
        <v>45397</v>
      </c>
      <c r="B406" s="39" t="n">
        <v>22272.5</v>
      </c>
      <c r="C406" s="39" t="n">
        <v>20478.75</v>
      </c>
      <c r="D406" s="39" t="n">
        <v>1549.95</v>
      </c>
      <c r="E406" s="39" t="n">
        <v>775.8</v>
      </c>
      <c r="F406" s="39" t="n">
        <v>897.1</v>
      </c>
      <c r="G406" s="39" t="n">
        <v>638.45</v>
      </c>
      <c r="H406" s="39" t="n">
        <v>738.15</v>
      </c>
      <c r="I406" s="39" t="n">
        <v>444.55</v>
      </c>
      <c r="J406" s="39" t="n">
        <v>1951.95</v>
      </c>
      <c r="K406" s="39" t="n">
        <v>706.66</v>
      </c>
      <c r="L406" s="39" t="n">
        <v>1161.7</v>
      </c>
      <c r="M406" s="39" t="n">
        <v>1470.4</v>
      </c>
      <c r="N406" s="39" t="n">
        <v>418.85</v>
      </c>
      <c r="O406" s="39" t="n">
        <v>290.8</v>
      </c>
      <c r="P406" s="39" t="n">
        <v>1647.7</v>
      </c>
      <c r="Q406" s="39" t="n">
        <v>481.1</v>
      </c>
      <c r="R406" s="39" t="n">
        <v>721.4</v>
      </c>
      <c r="S406" s="39" t="n">
        <v>482.93</v>
      </c>
    </row>
    <row r="407" customFormat="false" ht="15" hidden="false" customHeight="false" outlineLevel="0" collapsed="false">
      <c r="A407" s="8" t="n">
        <v>45398</v>
      </c>
      <c r="B407" s="39" t="n">
        <v>22147.9</v>
      </c>
      <c r="C407" s="39" t="n">
        <v>20423</v>
      </c>
      <c r="D407" s="39" t="n">
        <v>1541.95</v>
      </c>
      <c r="E407" s="39" t="n">
        <v>765.2</v>
      </c>
      <c r="F407" s="39" t="n">
        <v>886.3</v>
      </c>
      <c r="G407" s="39" t="n">
        <v>654.05</v>
      </c>
      <c r="H407" s="39" t="n">
        <v>748.45</v>
      </c>
      <c r="I407" s="39" t="n">
        <v>463.5</v>
      </c>
      <c r="J407" s="39" t="n">
        <v>2001.45</v>
      </c>
      <c r="K407" s="39" t="n">
        <v>694.48</v>
      </c>
      <c r="L407" s="39" t="n">
        <v>1130</v>
      </c>
      <c r="M407" s="39" t="n">
        <v>1448.05</v>
      </c>
      <c r="N407" s="39" t="n">
        <v>409.96</v>
      </c>
      <c r="O407" s="39" t="n">
        <v>288</v>
      </c>
      <c r="P407" s="39" t="n">
        <v>1633.25</v>
      </c>
      <c r="Q407" s="39" t="n">
        <v>489.25</v>
      </c>
      <c r="R407" s="39" t="n">
        <v>725.8</v>
      </c>
      <c r="S407" s="39" t="n">
        <v>480.15</v>
      </c>
    </row>
    <row r="408" customFormat="false" ht="15" hidden="false" customHeight="false" outlineLevel="0" collapsed="false">
      <c r="A408" s="8" t="n">
        <v>45400</v>
      </c>
      <c r="B408" s="39" t="n">
        <v>21995.85</v>
      </c>
      <c r="C408" s="39" t="n">
        <v>20324.7</v>
      </c>
      <c r="D408" s="39" t="n">
        <v>1529</v>
      </c>
      <c r="E408" s="39" t="n">
        <v>762.1</v>
      </c>
      <c r="F408" s="39" t="n">
        <v>881.3</v>
      </c>
      <c r="G408" s="39" t="n">
        <v>642.4</v>
      </c>
      <c r="H408" s="39" t="n">
        <v>752.1</v>
      </c>
      <c r="I408" s="39" t="n">
        <v>469.1</v>
      </c>
      <c r="J408" s="39" t="n">
        <v>1995.2</v>
      </c>
      <c r="K408" s="39" t="n">
        <v>688.38</v>
      </c>
      <c r="L408" s="39" t="n">
        <v>1118.8</v>
      </c>
      <c r="M408" s="39" t="n">
        <v>1425.65</v>
      </c>
      <c r="N408" s="39" t="n">
        <v>407.63</v>
      </c>
      <c r="O408" s="39" t="n">
        <v>291.1</v>
      </c>
      <c r="P408" s="39" t="n">
        <v>1655.7</v>
      </c>
      <c r="Q408" s="39" t="n">
        <v>500.5</v>
      </c>
      <c r="R408" s="39" t="n">
        <v>726</v>
      </c>
      <c r="S408" s="39" t="n">
        <v>474.29</v>
      </c>
    </row>
    <row r="409" customFormat="false" ht="15" hidden="false" customHeight="false" outlineLevel="0" collapsed="false">
      <c r="A409" s="8" t="n">
        <v>45401</v>
      </c>
      <c r="B409" s="39" t="n">
        <v>22147</v>
      </c>
      <c r="C409" s="39" t="n">
        <v>20385.2</v>
      </c>
      <c r="D409" s="39" t="n">
        <v>1548.35</v>
      </c>
      <c r="E409" s="39" t="n">
        <v>754.8</v>
      </c>
      <c r="F409" s="39" t="n">
        <v>880.25</v>
      </c>
      <c r="G409" s="39" t="n">
        <v>642.95</v>
      </c>
      <c r="H409" s="39" t="n">
        <v>771.85</v>
      </c>
      <c r="I409" s="39" t="n">
        <v>500.75</v>
      </c>
      <c r="J409" s="39" t="n">
        <v>1962.45</v>
      </c>
      <c r="K409" s="39" t="n">
        <v>710.98</v>
      </c>
      <c r="L409" s="39" t="n">
        <v>1128.15</v>
      </c>
      <c r="M409" s="39" t="n">
        <v>1437.25</v>
      </c>
      <c r="N409" s="39" t="n">
        <v>394.47</v>
      </c>
      <c r="O409" s="39" t="n">
        <v>283.15</v>
      </c>
      <c r="P409" s="39" t="n">
        <v>1651.75</v>
      </c>
      <c r="Q409" s="39" t="n">
        <v>498.8</v>
      </c>
      <c r="R409" s="39" t="n">
        <v>732.1</v>
      </c>
      <c r="S409" s="39" t="n">
        <v>473.31</v>
      </c>
    </row>
    <row r="410" customFormat="false" ht="15" hidden="false" customHeight="false" outlineLevel="0" collapsed="false">
      <c r="A410" s="8" t="n">
        <v>45404</v>
      </c>
      <c r="B410" s="39" t="n">
        <v>22336.4</v>
      </c>
      <c r="C410" s="39" t="n">
        <v>20574.85</v>
      </c>
      <c r="D410" s="39" t="n">
        <v>1549.05</v>
      </c>
      <c r="E410" s="39" t="n">
        <v>752.85</v>
      </c>
      <c r="F410" s="39" t="n">
        <v>865.85</v>
      </c>
      <c r="G410" s="39" t="n">
        <v>663.2</v>
      </c>
      <c r="H410" s="39" t="n">
        <v>769.9</v>
      </c>
      <c r="I410" s="39" t="n">
        <v>513.95</v>
      </c>
      <c r="J410" s="39" t="n">
        <v>2004.95</v>
      </c>
      <c r="K410" s="39" t="n">
        <v>728.23</v>
      </c>
      <c r="L410" s="39" t="n">
        <v>1140</v>
      </c>
      <c r="M410" s="39" t="n">
        <v>1482.15</v>
      </c>
      <c r="N410" s="39" t="n">
        <v>408.36</v>
      </c>
      <c r="O410" s="39" t="n">
        <v>278.85</v>
      </c>
      <c r="P410" s="39" t="n">
        <v>1641.15</v>
      </c>
      <c r="Q410" s="39" t="n">
        <v>493.65</v>
      </c>
      <c r="R410" s="39" t="n">
        <v>739.7</v>
      </c>
      <c r="S410" s="39" t="n">
        <v>484.93</v>
      </c>
    </row>
    <row r="411" customFormat="false" ht="15" hidden="false" customHeight="false" outlineLevel="0" collapsed="false">
      <c r="A411" s="8" t="n">
        <v>45405</v>
      </c>
      <c r="B411" s="39" t="n">
        <v>22368</v>
      </c>
      <c r="C411" s="39" t="n">
        <v>20652.65</v>
      </c>
      <c r="D411" s="39" t="n">
        <v>1607.25</v>
      </c>
      <c r="E411" s="39" t="n">
        <v>744.2</v>
      </c>
      <c r="F411" s="39" t="n">
        <v>857.45</v>
      </c>
      <c r="G411" s="39" t="n">
        <v>671.2</v>
      </c>
      <c r="H411" s="39" t="n">
        <v>772.1</v>
      </c>
      <c r="I411" s="39" t="n">
        <v>511.3</v>
      </c>
      <c r="J411" s="39" t="n">
        <v>2039.05</v>
      </c>
      <c r="K411" s="39" t="n">
        <v>725</v>
      </c>
      <c r="L411" s="39" t="n">
        <v>1143.25</v>
      </c>
      <c r="M411" s="39" t="n">
        <v>1504.6</v>
      </c>
      <c r="N411" s="39" t="n">
        <v>410.2</v>
      </c>
      <c r="O411" s="39" t="n">
        <v>263.45</v>
      </c>
      <c r="P411" s="39" t="n">
        <v>1617.5</v>
      </c>
      <c r="Q411" s="39" t="n">
        <v>494.15</v>
      </c>
      <c r="R411" s="39" t="n">
        <v>747.6</v>
      </c>
      <c r="S411" s="39" t="n">
        <v>485.39</v>
      </c>
    </row>
    <row r="412" customFormat="false" ht="15" hidden="false" customHeight="false" outlineLevel="0" collapsed="false">
      <c r="A412" s="8" t="n">
        <v>45406</v>
      </c>
      <c r="B412" s="39" t="n">
        <v>22402.4</v>
      </c>
      <c r="C412" s="39" t="n">
        <v>20730.65</v>
      </c>
      <c r="D412" s="39" t="n">
        <v>1638.2</v>
      </c>
      <c r="E412" s="39" t="n">
        <v>743.85</v>
      </c>
      <c r="F412" s="39" t="n">
        <v>876.2</v>
      </c>
      <c r="G412" s="39" t="n">
        <v>673.45</v>
      </c>
      <c r="H412" s="39" t="n">
        <v>776.65</v>
      </c>
      <c r="I412" s="39" t="n">
        <v>514.65</v>
      </c>
      <c r="J412" s="39" t="n">
        <v>2031.1</v>
      </c>
      <c r="K412" s="39" t="n">
        <v>731.92</v>
      </c>
      <c r="L412" s="39" t="n">
        <v>1168.8</v>
      </c>
      <c r="M412" s="39" t="n">
        <v>1502</v>
      </c>
      <c r="N412" s="39" t="n">
        <v>410.55</v>
      </c>
      <c r="O412" s="39" t="n">
        <v>257.95</v>
      </c>
      <c r="P412" s="39" t="n">
        <v>1642.9</v>
      </c>
      <c r="Q412" s="39" t="n">
        <v>493.75</v>
      </c>
      <c r="R412" s="39" t="n">
        <v>749.45</v>
      </c>
      <c r="S412" s="39" t="n">
        <v>492.21</v>
      </c>
    </row>
    <row r="413" customFormat="false" ht="15" hidden="false" customHeight="false" outlineLevel="0" collapsed="false">
      <c r="A413" s="8" t="n">
        <v>45407</v>
      </c>
      <c r="B413" s="39" t="n">
        <v>22570.35</v>
      </c>
      <c r="C413" s="39" t="n">
        <v>20867.9</v>
      </c>
      <c r="D413" s="39" t="n">
        <v>1605.4</v>
      </c>
      <c r="E413" s="39" t="n">
        <v>745.4</v>
      </c>
      <c r="F413" s="39" t="n">
        <v>866.4</v>
      </c>
      <c r="G413" s="39" t="n">
        <v>661.25</v>
      </c>
      <c r="H413" s="39" t="n">
        <v>783.25</v>
      </c>
      <c r="I413" s="39" t="n">
        <v>520.85</v>
      </c>
      <c r="J413" s="39" t="n">
        <v>1992.9</v>
      </c>
      <c r="K413" s="39" t="n">
        <v>728.5</v>
      </c>
      <c r="L413" s="39" t="n">
        <v>1155.35</v>
      </c>
      <c r="M413" s="39" t="n">
        <v>1477.95</v>
      </c>
      <c r="N413" s="39" t="n">
        <v>418.15</v>
      </c>
      <c r="O413" s="39" t="n">
        <v>257.75</v>
      </c>
      <c r="P413" s="39" t="n">
        <v>1655.05</v>
      </c>
      <c r="Q413" s="39" t="n">
        <v>493</v>
      </c>
      <c r="R413" s="39" t="n">
        <v>758.4</v>
      </c>
      <c r="S413" s="39" t="n">
        <v>498.37</v>
      </c>
    </row>
    <row r="414" customFormat="false" ht="15" hidden="false" customHeight="false" outlineLevel="0" collapsed="false">
      <c r="A414" s="8" t="n">
        <v>45408</v>
      </c>
      <c r="B414" s="39" t="n">
        <v>22419.95</v>
      </c>
      <c r="C414" s="39" t="n">
        <v>20839.35</v>
      </c>
      <c r="D414" s="39" t="n">
        <v>1610.05</v>
      </c>
      <c r="E414" s="39" t="n">
        <v>746.95</v>
      </c>
      <c r="F414" s="39" t="n">
        <v>872.8</v>
      </c>
      <c r="G414" s="39" t="n">
        <v>661.35</v>
      </c>
      <c r="H414" s="39" t="n">
        <v>784.75</v>
      </c>
      <c r="I414" s="39" t="n">
        <v>530.1</v>
      </c>
      <c r="J414" s="39" t="n">
        <v>1984.75</v>
      </c>
      <c r="K414" s="39" t="n">
        <v>672.21</v>
      </c>
      <c r="L414" s="39" t="n">
        <v>1171.7</v>
      </c>
      <c r="M414" s="39" t="n">
        <v>1467.9</v>
      </c>
      <c r="N414" s="39" t="n">
        <v>414.95</v>
      </c>
      <c r="O414" s="39" t="n">
        <v>258.65</v>
      </c>
      <c r="P414" s="39" t="n">
        <v>1687.95</v>
      </c>
      <c r="Q414" s="39" t="n">
        <v>484.95</v>
      </c>
      <c r="R414" s="39" t="n">
        <v>750.45</v>
      </c>
      <c r="S414" s="39" t="n">
        <v>499.72</v>
      </c>
    </row>
    <row r="415" customFormat="false" ht="15" hidden="false" customHeight="false" outlineLevel="0" collapsed="false">
      <c r="A415" s="8" t="n">
        <v>45411</v>
      </c>
      <c r="B415" s="39" t="n">
        <v>22643.4</v>
      </c>
      <c r="C415" s="39" t="n">
        <v>20992.2</v>
      </c>
      <c r="D415" s="39" t="n">
        <v>1619.7</v>
      </c>
      <c r="E415" s="39" t="n">
        <v>746.3</v>
      </c>
      <c r="F415" s="39" t="n">
        <v>885.2</v>
      </c>
      <c r="G415" s="39" t="n">
        <v>666.85</v>
      </c>
      <c r="H415" s="39" t="n">
        <v>802.6</v>
      </c>
      <c r="I415" s="39" t="n">
        <v>517</v>
      </c>
      <c r="J415" s="39" t="n">
        <v>2013.55</v>
      </c>
      <c r="K415" s="39" t="n">
        <v>681.73</v>
      </c>
      <c r="L415" s="39" t="n">
        <v>1170.9</v>
      </c>
      <c r="M415" s="39" t="n">
        <v>1483.1</v>
      </c>
      <c r="N415" s="39" t="n">
        <v>412.55</v>
      </c>
      <c r="O415" s="39" t="n">
        <v>261.5</v>
      </c>
      <c r="P415" s="39" t="n">
        <v>1697.8</v>
      </c>
      <c r="Q415" s="39" t="n">
        <v>488.95</v>
      </c>
      <c r="R415" s="39" t="n">
        <v>724.1</v>
      </c>
      <c r="S415" s="39" t="n">
        <v>498.44</v>
      </c>
    </row>
    <row r="416" customFormat="false" ht="15" hidden="false" customHeight="false" outlineLevel="0" collapsed="false">
      <c r="A416" s="8" t="n">
        <v>45412</v>
      </c>
      <c r="B416" s="39" t="n">
        <v>22604.85</v>
      </c>
      <c r="C416" s="39" t="n">
        <v>20997.2</v>
      </c>
      <c r="D416" s="39" t="n">
        <v>1624.1</v>
      </c>
      <c r="E416" s="39" t="n">
        <v>762.65</v>
      </c>
      <c r="F416" s="39" t="n">
        <v>912.55</v>
      </c>
      <c r="G416" s="39" t="n">
        <v>673.85</v>
      </c>
      <c r="H416" s="39" t="n">
        <v>795.8</v>
      </c>
      <c r="I416" s="39" t="n">
        <v>520.2</v>
      </c>
      <c r="J416" s="39" t="n">
        <v>2017.45</v>
      </c>
      <c r="K416" s="39" t="n">
        <v>691.41</v>
      </c>
      <c r="L416" s="39" t="n">
        <v>1193.3</v>
      </c>
      <c r="M416" s="39" t="n">
        <v>1508.45</v>
      </c>
      <c r="N416" s="39" t="n">
        <v>406</v>
      </c>
      <c r="O416" s="39" t="n">
        <v>261.15</v>
      </c>
      <c r="P416" s="39" t="n">
        <v>1720.65</v>
      </c>
      <c r="Q416" s="39" t="n">
        <v>490.65</v>
      </c>
      <c r="R416" s="39" t="n">
        <v>728.3</v>
      </c>
      <c r="S416" s="39" t="n">
        <v>510.34</v>
      </c>
    </row>
    <row r="417" customFormat="false" ht="15" hidden="false" customHeight="false" outlineLevel="0" collapsed="false">
      <c r="A417" s="8" t="n">
        <v>45414</v>
      </c>
      <c r="B417" s="39" t="n">
        <v>22648.2</v>
      </c>
      <c r="C417" s="39" t="n">
        <v>21083.6</v>
      </c>
      <c r="D417" s="39" t="n">
        <v>1597.35</v>
      </c>
      <c r="E417" s="39" t="n">
        <v>775.95</v>
      </c>
      <c r="F417" s="39" t="n">
        <v>890.3</v>
      </c>
      <c r="G417" s="39" t="n">
        <v>669.1</v>
      </c>
      <c r="H417" s="39" t="n">
        <v>797</v>
      </c>
      <c r="I417" s="39" t="n">
        <v>522.25</v>
      </c>
      <c r="J417" s="39" t="n">
        <v>2047</v>
      </c>
      <c r="K417" s="39" t="n">
        <v>687.33</v>
      </c>
      <c r="L417" s="39" t="n">
        <v>1301.6</v>
      </c>
      <c r="M417" s="39" t="n">
        <v>1466.95</v>
      </c>
      <c r="N417" s="39" t="n">
        <v>397.8</v>
      </c>
      <c r="O417" s="39" t="n">
        <v>264.7</v>
      </c>
      <c r="P417" s="39" t="n">
        <v>1716.85</v>
      </c>
      <c r="Q417" s="39" t="n">
        <v>492.25</v>
      </c>
      <c r="R417" s="39" t="n">
        <v>729.4</v>
      </c>
      <c r="S417" s="39" t="n">
        <v>516.42</v>
      </c>
    </row>
    <row r="418" customFormat="false" ht="15" hidden="false" customHeight="false" outlineLevel="0" collapsed="false">
      <c r="A418" s="8" t="n">
        <v>45415</v>
      </c>
      <c r="B418" s="39" t="n">
        <v>22475.85</v>
      </c>
      <c r="C418" s="39" t="n">
        <v>20959.55</v>
      </c>
      <c r="D418" s="39" t="n">
        <v>1586.05</v>
      </c>
      <c r="E418" s="39" t="n">
        <v>768.85</v>
      </c>
      <c r="F418" s="39" t="n">
        <v>901.6</v>
      </c>
      <c r="G418" s="39" t="n">
        <v>654.05</v>
      </c>
      <c r="H418" s="39" t="n">
        <v>796.3</v>
      </c>
      <c r="I418" s="39" t="n">
        <v>517.6</v>
      </c>
      <c r="J418" s="39" t="n">
        <v>2025.55</v>
      </c>
      <c r="K418" s="39" t="n">
        <v>692.21</v>
      </c>
      <c r="L418" s="39" t="n">
        <v>1309.7</v>
      </c>
      <c r="M418" s="39" t="n">
        <v>1467</v>
      </c>
      <c r="N418" s="39" t="n">
        <v>401.35</v>
      </c>
      <c r="O418" s="39" t="n">
        <v>267.1</v>
      </c>
      <c r="P418" s="39" t="n">
        <v>1700.95</v>
      </c>
      <c r="Q418" s="39" t="n">
        <v>483.7</v>
      </c>
      <c r="R418" s="39" t="n">
        <v>722.25</v>
      </c>
      <c r="S418" s="39" t="n">
        <v>517.71</v>
      </c>
    </row>
    <row r="419" customFormat="false" ht="15" hidden="false" customHeight="false" outlineLevel="0" collapsed="false">
      <c r="A419" s="8" t="n">
        <v>45418</v>
      </c>
      <c r="B419" s="39" t="n">
        <v>22442.7</v>
      </c>
      <c r="C419" s="39" t="n">
        <v>20864.95</v>
      </c>
      <c r="D419" s="39" t="n">
        <v>1564.4</v>
      </c>
      <c r="E419" s="39" t="n">
        <v>759.55</v>
      </c>
      <c r="F419" s="39" t="n">
        <v>898.3</v>
      </c>
      <c r="G419" s="39" t="n">
        <v>634.05</v>
      </c>
      <c r="H419" s="39" t="n">
        <v>773.55</v>
      </c>
      <c r="I419" s="39" t="n">
        <v>513.7</v>
      </c>
      <c r="J419" s="39" t="n">
        <v>2015.65</v>
      </c>
      <c r="K419" s="39" t="n">
        <v>685.05</v>
      </c>
      <c r="L419" s="39" t="n">
        <v>1326</v>
      </c>
      <c r="M419" s="39" t="n">
        <v>1434.55</v>
      </c>
      <c r="N419" s="39" t="n">
        <v>381</v>
      </c>
      <c r="O419" s="39" t="n">
        <v>259.9</v>
      </c>
      <c r="P419" s="39" t="n">
        <v>1674.45</v>
      </c>
      <c r="Q419" s="39" t="n">
        <v>478.15</v>
      </c>
      <c r="R419" s="39" t="n">
        <v>718</v>
      </c>
      <c r="S419" s="39" t="n">
        <v>509.51</v>
      </c>
    </row>
    <row r="420" customFormat="false" ht="15" hidden="false" customHeight="false" outlineLevel="0" collapsed="false">
      <c r="A420" s="8" t="n">
        <v>45419</v>
      </c>
      <c r="B420" s="39" t="n">
        <v>22302.5</v>
      </c>
      <c r="C420" s="39" t="n">
        <v>20636.05</v>
      </c>
      <c r="D420" s="39" t="n">
        <v>1593.6</v>
      </c>
      <c r="E420" s="39" t="n">
        <v>739.4</v>
      </c>
      <c r="F420" s="39" t="n">
        <v>878.05</v>
      </c>
      <c r="G420" s="39" t="n">
        <v>623.15</v>
      </c>
      <c r="H420" s="39" t="n">
        <v>759.8</v>
      </c>
      <c r="I420" s="39" t="n">
        <v>496.65</v>
      </c>
      <c r="J420" s="39" t="n">
        <v>2026.1</v>
      </c>
      <c r="K420" s="39" t="n">
        <v>686.32</v>
      </c>
      <c r="L420" s="39" t="n">
        <v>1306.35</v>
      </c>
      <c r="M420" s="39" t="n">
        <v>1420.75</v>
      </c>
      <c r="N420" s="39" t="n">
        <v>389</v>
      </c>
      <c r="O420" s="39" t="n">
        <v>256.9</v>
      </c>
      <c r="P420" s="39" t="n">
        <v>1675.9</v>
      </c>
      <c r="Q420" s="39" t="n">
        <v>471.55</v>
      </c>
      <c r="R420" s="39" t="n">
        <v>715.55</v>
      </c>
      <c r="S420" s="39" t="n">
        <v>497.16</v>
      </c>
    </row>
    <row r="421" customFormat="false" ht="15" hidden="false" customHeight="false" outlineLevel="0" collapsed="false">
      <c r="A421" s="8" t="n">
        <v>45420</v>
      </c>
      <c r="B421" s="39" t="n">
        <v>22302.5</v>
      </c>
      <c r="C421" s="39" t="n">
        <v>20704.9</v>
      </c>
      <c r="D421" s="39" t="n">
        <v>1592.7</v>
      </c>
      <c r="E421" s="39" t="n">
        <v>742.25</v>
      </c>
      <c r="F421" s="39" t="n">
        <v>891.85</v>
      </c>
      <c r="G421" s="39" t="n">
        <v>635.6</v>
      </c>
      <c r="H421" s="39" t="n">
        <v>756.9</v>
      </c>
      <c r="I421" s="39" t="n">
        <v>505.35</v>
      </c>
      <c r="J421" s="39" t="n">
        <v>2050.15</v>
      </c>
      <c r="K421" s="39" t="n">
        <v>679.02</v>
      </c>
      <c r="L421" s="39" t="n">
        <v>1263.95</v>
      </c>
      <c r="M421" s="39" t="n">
        <v>1428.65</v>
      </c>
      <c r="N421" s="39" t="n">
        <v>389.75</v>
      </c>
      <c r="O421" s="39" t="n">
        <v>254.85</v>
      </c>
      <c r="P421" s="39" t="n">
        <v>1659.3</v>
      </c>
      <c r="Q421" s="39" t="n">
        <v>468.8</v>
      </c>
      <c r="R421" s="39" t="n">
        <v>711.9</v>
      </c>
      <c r="S421" s="39" t="n">
        <v>489.6</v>
      </c>
    </row>
    <row r="422" customFormat="false" ht="15" hidden="false" customHeight="false" outlineLevel="0" collapsed="false">
      <c r="A422" s="8" t="n">
        <v>45421</v>
      </c>
      <c r="B422" s="39" t="n">
        <v>21957.5</v>
      </c>
      <c r="C422" s="39" t="n">
        <v>20344.8</v>
      </c>
      <c r="D422" s="39" t="n">
        <v>1550.8</v>
      </c>
      <c r="E422" s="39" t="n">
        <v>719.6</v>
      </c>
      <c r="F422" s="39" t="n">
        <v>849.15</v>
      </c>
      <c r="G422" s="39" t="n">
        <v>620.1</v>
      </c>
      <c r="H422" s="39" t="n">
        <v>755.95</v>
      </c>
      <c r="I422" s="39" t="n">
        <v>483.75</v>
      </c>
      <c r="J422" s="39" t="n">
        <v>2014.6</v>
      </c>
      <c r="K422" s="39" t="n">
        <v>659.62</v>
      </c>
      <c r="L422" s="39" t="n">
        <v>1222.5</v>
      </c>
      <c r="M422" s="39" t="n">
        <v>1420.3</v>
      </c>
      <c r="N422" s="39" t="n">
        <v>376.4</v>
      </c>
      <c r="O422" s="39" t="n">
        <v>252.95</v>
      </c>
      <c r="P422" s="39" t="n">
        <v>1598.4</v>
      </c>
      <c r="Q422" s="39" t="n">
        <v>452.2</v>
      </c>
      <c r="R422" s="39" t="n">
        <v>710.4</v>
      </c>
      <c r="S422" s="39" t="n">
        <v>472.18</v>
      </c>
    </row>
    <row r="423" customFormat="false" ht="15" hidden="false" customHeight="false" outlineLevel="0" collapsed="false">
      <c r="A423" s="8" t="n">
        <v>45422</v>
      </c>
      <c r="B423" s="39" t="n">
        <v>22055.2</v>
      </c>
      <c r="C423" s="39" t="n">
        <v>20469.1</v>
      </c>
      <c r="D423" s="39" t="n">
        <v>1599.65</v>
      </c>
      <c r="E423" s="39" t="n">
        <v>734.95</v>
      </c>
      <c r="F423" s="39" t="n">
        <v>817.7</v>
      </c>
      <c r="G423" s="39" t="n">
        <v>626.5</v>
      </c>
      <c r="H423" s="39" t="n">
        <v>739.6</v>
      </c>
      <c r="I423" s="39" t="n">
        <v>481</v>
      </c>
      <c r="J423" s="39" t="n">
        <v>2031.15</v>
      </c>
      <c r="K423" s="39" t="n">
        <v>667.51</v>
      </c>
      <c r="L423" s="39" t="n">
        <v>1272.65</v>
      </c>
      <c r="M423" s="39" t="n">
        <v>1413.8</v>
      </c>
      <c r="N423" s="39" t="n">
        <v>399.8</v>
      </c>
      <c r="O423" s="39" t="n">
        <v>250.55</v>
      </c>
      <c r="P423" s="39" t="n">
        <v>1663.25</v>
      </c>
      <c r="Q423" s="39" t="n">
        <v>462.85</v>
      </c>
      <c r="R423" s="39" t="n">
        <v>720.4</v>
      </c>
      <c r="S423" s="39" t="n">
        <v>468.87</v>
      </c>
    </row>
    <row r="424" customFormat="false" ht="15" hidden="false" customHeight="false" outlineLevel="0" collapsed="false">
      <c r="A424" s="8" t="n">
        <v>45425</v>
      </c>
      <c r="B424" s="39" t="n">
        <v>22104.05</v>
      </c>
      <c r="C424" s="39" t="n">
        <v>20511</v>
      </c>
      <c r="D424" s="39" t="n">
        <v>1580.85</v>
      </c>
      <c r="E424" s="39" t="n">
        <v>738.75</v>
      </c>
      <c r="F424" s="39" t="n">
        <v>791.1</v>
      </c>
      <c r="G424" s="39" t="n">
        <v>625.05</v>
      </c>
      <c r="H424" s="39" t="n">
        <v>727.75</v>
      </c>
      <c r="I424" s="39" t="n">
        <v>479.05</v>
      </c>
      <c r="J424" s="39" t="n">
        <v>2001.9</v>
      </c>
      <c r="K424" s="39" t="n">
        <v>670.96</v>
      </c>
      <c r="L424" s="39" t="n">
        <v>1282.6</v>
      </c>
      <c r="M424" s="39" t="n">
        <v>1402.3</v>
      </c>
      <c r="N424" s="39" t="n">
        <v>396.15</v>
      </c>
      <c r="O424" s="39" t="n">
        <v>263.75</v>
      </c>
      <c r="P424" s="39" t="n">
        <v>1691.7</v>
      </c>
      <c r="Q424" s="39" t="n">
        <v>456.7</v>
      </c>
      <c r="R424" s="39" t="n">
        <v>720.75</v>
      </c>
      <c r="S424" s="39" t="n">
        <v>460.36</v>
      </c>
    </row>
    <row r="425" customFormat="false" ht="15" hidden="false" customHeight="false" outlineLevel="0" collapsed="false">
      <c r="A425" s="8" t="n">
        <v>45426</v>
      </c>
      <c r="B425" s="39" t="n">
        <v>22217.85</v>
      </c>
      <c r="C425" s="39" t="n">
        <v>20683.8</v>
      </c>
      <c r="D425" s="39" t="n">
        <v>1560.2</v>
      </c>
      <c r="E425" s="39" t="n">
        <v>750</v>
      </c>
      <c r="F425" s="39" t="n">
        <v>827.65</v>
      </c>
      <c r="G425" s="39" t="n">
        <v>633.75</v>
      </c>
      <c r="H425" s="39" t="n">
        <v>732.3</v>
      </c>
      <c r="I425" s="39" t="n">
        <v>483.45</v>
      </c>
      <c r="J425" s="39" t="n">
        <v>2064.8</v>
      </c>
      <c r="K425" s="39" t="n">
        <v>666.66</v>
      </c>
      <c r="L425" s="39" t="n">
        <v>1252.05</v>
      </c>
      <c r="M425" s="39" t="n">
        <v>1380.1</v>
      </c>
      <c r="N425" s="39" t="n">
        <v>400.85</v>
      </c>
      <c r="O425" s="39" t="n">
        <v>263.75</v>
      </c>
      <c r="P425" s="39" t="n">
        <v>1677.3</v>
      </c>
      <c r="Q425" s="39" t="n">
        <v>468.65</v>
      </c>
      <c r="R425" s="39" t="n">
        <v>718.4</v>
      </c>
      <c r="S425" s="39" t="n">
        <v>466.07</v>
      </c>
    </row>
    <row r="426" customFormat="false" ht="15" hidden="false" customHeight="false" outlineLevel="0" collapsed="false">
      <c r="A426" s="8" t="n">
        <v>45427</v>
      </c>
      <c r="B426" s="39" t="n">
        <v>22200.55</v>
      </c>
      <c r="C426" s="39" t="n">
        <v>20741.85</v>
      </c>
      <c r="D426" s="39" t="n">
        <v>1577.3</v>
      </c>
      <c r="E426" s="39" t="n">
        <v>753</v>
      </c>
      <c r="F426" s="39" t="n">
        <v>829.6</v>
      </c>
      <c r="G426" s="39" t="n">
        <v>631</v>
      </c>
      <c r="H426" s="39" t="n">
        <v>736.75</v>
      </c>
      <c r="I426" s="39" t="n">
        <v>508.4</v>
      </c>
      <c r="J426" s="39" t="n">
        <v>2058.7</v>
      </c>
      <c r="K426" s="39" t="n">
        <v>667.09</v>
      </c>
      <c r="L426" s="39" t="n">
        <v>1231.35</v>
      </c>
      <c r="M426" s="39" t="n">
        <v>1413.7</v>
      </c>
      <c r="N426" s="39" t="n">
        <v>395.8</v>
      </c>
      <c r="O426" s="39" t="n">
        <v>266.9</v>
      </c>
      <c r="P426" s="39" t="n">
        <v>1671.5</v>
      </c>
      <c r="Q426" s="39" t="n">
        <v>465.95</v>
      </c>
      <c r="R426" s="39" t="n">
        <v>713.45</v>
      </c>
      <c r="S426" s="39" t="n">
        <v>464</v>
      </c>
    </row>
    <row r="427" customFormat="false" ht="15" hidden="false" customHeight="false" outlineLevel="0" collapsed="false">
      <c r="A427" s="8" t="n">
        <v>45428</v>
      </c>
      <c r="B427" s="39" t="n">
        <v>22403.85</v>
      </c>
      <c r="C427" s="39" t="n">
        <v>20929.05</v>
      </c>
      <c r="D427" s="39" t="n">
        <v>1589.8</v>
      </c>
      <c r="E427" s="39" t="n">
        <v>760.25</v>
      </c>
      <c r="F427" s="39" t="n">
        <v>828.15</v>
      </c>
      <c r="G427" s="39" t="n">
        <v>653.15</v>
      </c>
      <c r="H427" s="39" t="n">
        <v>743.7</v>
      </c>
      <c r="I427" s="39" t="n">
        <v>502.9</v>
      </c>
      <c r="J427" s="39" t="n">
        <v>2050.5</v>
      </c>
      <c r="K427" s="39" t="n">
        <v>673.8</v>
      </c>
      <c r="L427" s="39" t="n">
        <v>1262</v>
      </c>
      <c r="M427" s="39" t="n">
        <v>1419.55</v>
      </c>
      <c r="N427" s="39" t="n">
        <v>393.7</v>
      </c>
      <c r="O427" s="39" t="n">
        <v>266.65</v>
      </c>
      <c r="P427" s="39" t="n">
        <v>1696.75</v>
      </c>
      <c r="Q427" s="39" t="n">
        <v>467.95</v>
      </c>
      <c r="R427" s="39" t="n">
        <v>713.75</v>
      </c>
      <c r="S427" s="39" t="n">
        <v>467.74</v>
      </c>
    </row>
    <row r="428" customFormat="false" ht="15" hidden="false" customHeight="false" outlineLevel="0" collapsed="false">
      <c r="A428" s="8" t="n">
        <v>45429</v>
      </c>
      <c r="B428" s="39" t="n">
        <v>22466.1</v>
      </c>
      <c r="C428" s="39" t="n">
        <v>21064.55</v>
      </c>
      <c r="D428" s="39" t="n">
        <v>1597.05</v>
      </c>
      <c r="E428" s="39" t="n">
        <v>757.75</v>
      </c>
      <c r="F428" s="39" t="n">
        <v>841.15</v>
      </c>
      <c r="G428" s="39" t="n">
        <v>652</v>
      </c>
      <c r="H428" s="39" t="n">
        <v>735.3</v>
      </c>
      <c r="I428" s="39" t="n">
        <v>500.3</v>
      </c>
      <c r="J428" s="39" t="n">
        <v>2063.1</v>
      </c>
      <c r="K428" s="39" t="n">
        <v>671.83</v>
      </c>
      <c r="L428" s="39" t="n">
        <v>1285</v>
      </c>
      <c r="M428" s="39" t="n">
        <v>1411.2</v>
      </c>
      <c r="N428" s="39" t="n">
        <v>399.7</v>
      </c>
      <c r="O428" s="39" t="n">
        <v>263.8</v>
      </c>
      <c r="P428" s="39" t="n">
        <v>1679.55</v>
      </c>
      <c r="Q428" s="39" t="n">
        <v>463.5</v>
      </c>
      <c r="R428" s="39" t="n">
        <v>714.9</v>
      </c>
      <c r="S428" s="39" t="n">
        <v>474.32</v>
      </c>
    </row>
    <row r="429" customFormat="false" ht="15" hidden="false" customHeight="false" outlineLevel="0" collapsed="false">
      <c r="A429" s="8" t="n">
        <v>45430</v>
      </c>
      <c r="B429" s="39" t="n">
        <v>22502</v>
      </c>
      <c r="C429" s="39" t="n">
        <v>21144.45</v>
      </c>
      <c r="D429" s="39" t="n">
        <v>1581.2</v>
      </c>
      <c r="E429" s="39" t="n">
        <v>758.35</v>
      </c>
      <c r="F429" s="39" t="n">
        <v>844.7</v>
      </c>
      <c r="G429" s="39" t="n">
        <v>644.85</v>
      </c>
      <c r="H429" s="39" t="n">
        <v>747.3</v>
      </c>
      <c r="I429" s="39" t="n">
        <v>510.35</v>
      </c>
      <c r="J429" s="39" t="n">
        <v>2075.9</v>
      </c>
      <c r="K429" s="39" t="n">
        <v>672.88</v>
      </c>
      <c r="L429" s="39" t="n">
        <v>1281.85</v>
      </c>
      <c r="M429" s="39" t="n">
        <v>1429</v>
      </c>
      <c r="N429" s="39" t="n">
        <v>401.5</v>
      </c>
      <c r="O429" s="39" t="n">
        <v>264.5</v>
      </c>
      <c r="P429" s="39" t="n">
        <v>1703.4</v>
      </c>
      <c r="Q429" s="39" t="n">
        <v>465.2</v>
      </c>
      <c r="R429" s="39" t="n">
        <v>714.75</v>
      </c>
      <c r="S429" s="39" t="n">
        <v>474.09</v>
      </c>
    </row>
    <row r="430" customFormat="false" ht="15" hidden="false" customHeight="false" outlineLevel="0" collapsed="false">
      <c r="A430" s="8" t="n">
        <v>45433</v>
      </c>
      <c r="B430" s="39" t="n">
        <v>22529.05</v>
      </c>
      <c r="C430" s="39" t="n">
        <v>21187.65</v>
      </c>
      <c r="D430" s="39" t="n">
        <v>1611.5</v>
      </c>
      <c r="E430" s="39" t="n">
        <v>744.9</v>
      </c>
      <c r="F430" s="39" t="n">
        <v>819.45</v>
      </c>
      <c r="G430" s="39" t="n">
        <v>651.65</v>
      </c>
      <c r="H430" s="39" t="n">
        <v>740.55</v>
      </c>
      <c r="I430" s="39" t="n">
        <v>495.4</v>
      </c>
      <c r="J430" s="39" t="n">
        <v>2037.75</v>
      </c>
      <c r="K430" s="39" t="n">
        <v>673.37</v>
      </c>
      <c r="L430" s="39" t="n">
        <v>1292.45</v>
      </c>
      <c r="M430" s="39" t="n">
        <v>1415.55</v>
      </c>
      <c r="N430" s="39" t="n">
        <v>398.05</v>
      </c>
      <c r="O430" s="39" t="n">
        <v>263.4</v>
      </c>
      <c r="P430" s="39" t="n">
        <v>1703.4</v>
      </c>
      <c r="Q430" s="39" t="n">
        <v>458.65</v>
      </c>
      <c r="R430" s="39" t="n">
        <v>709.85</v>
      </c>
      <c r="S430" s="39" t="n">
        <v>474.65</v>
      </c>
    </row>
    <row r="431" customFormat="false" ht="15" hidden="false" customHeight="false" outlineLevel="0" collapsed="false">
      <c r="A431" s="8" t="n">
        <v>45434</v>
      </c>
      <c r="B431" s="39" t="n">
        <v>22597.8</v>
      </c>
      <c r="C431" s="39" t="n">
        <v>21237.75</v>
      </c>
      <c r="D431" s="39" t="n">
        <v>1602.05</v>
      </c>
      <c r="E431" s="39" t="n">
        <v>739.5</v>
      </c>
      <c r="F431" s="39" t="n">
        <v>820.4</v>
      </c>
      <c r="G431" s="39" t="n">
        <v>655.55</v>
      </c>
      <c r="H431" s="39" t="n">
        <v>745.35</v>
      </c>
      <c r="I431" s="39" t="n">
        <v>501.15</v>
      </c>
      <c r="J431" s="39" t="n">
        <v>2090.95</v>
      </c>
      <c r="K431" s="39" t="n">
        <v>673.54</v>
      </c>
      <c r="L431" s="39" t="n">
        <v>1269.75</v>
      </c>
      <c r="M431" s="39" t="n">
        <v>1408.7</v>
      </c>
      <c r="N431" s="39" t="n">
        <v>399.7</v>
      </c>
      <c r="O431" s="39" t="n">
        <v>266.05</v>
      </c>
      <c r="P431" s="39" t="n">
        <v>1708.15</v>
      </c>
      <c r="Q431" s="39" t="n">
        <v>455.4</v>
      </c>
      <c r="R431" s="39" t="n">
        <v>708.05</v>
      </c>
      <c r="S431" s="39" t="n">
        <v>467.35</v>
      </c>
    </row>
    <row r="432" customFormat="false" ht="15" hidden="false" customHeight="false" outlineLevel="0" collapsed="false">
      <c r="A432" s="8" t="n">
        <v>45435</v>
      </c>
      <c r="B432" s="39" t="n">
        <v>22967.65</v>
      </c>
      <c r="C432" s="39" t="n">
        <v>21489.55</v>
      </c>
      <c r="D432" s="39" t="n">
        <v>1609.6</v>
      </c>
      <c r="E432" s="39" t="n">
        <v>744.6</v>
      </c>
      <c r="F432" s="39" t="n">
        <v>817.95</v>
      </c>
      <c r="G432" s="39" t="n">
        <v>654.1</v>
      </c>
      <c r="H432" s="39" t="n">
        <v>798.65</v>
      </c>
      <c r="I432" s="39" t="n">
        <v>515.75</v>
      </c>
      <c r="J432" s="39" t="n">
        <v>2099.1</v>
      </c>
      <c r="K432" s="39" t="n">
        <v>681.74</v>
      </c>
      <c r="L432" s="39" t="n">
        <v>1279.25</v>
      </c>
      <c r="M432" s="39" t="n">
        <v>1406.45</v>
      </c>
      <c r="N432" s="39" t="n">
        <v>397.3</v>
      </c>
      <c r="O432" s="39" t="n">
        <v>269.05</v>
      </c>
      <c r="P432" s="39" t="n">
        <v>1718.55</v>
      </c>
      <c r="Q432" s="39" t="n">
        <v>460.85</v>
      </c>
      <c r="R432" s="39" t="n">
        <v>710.6</v>
      </c>
      <c r="S432" s="39" t="n">
        <v>480.09</v>
      </c>
    </row>
    <row r="433" customFormat="false" ht="15" hidden="false" customHeight="false" outlineLevel="0" collapsed="false">
      <c r="A433" s="8" t="n">
        <v>45436</v>
      </c>
      <c r="B433" s="39" t="n">
        <v>22957.1</v>
      </c>
      <c r="C433" s="39" t="n">
        <v>21483.75</v>
      </c>
      <c r="D433" s="39" t="n">
        <v>1619.25</v>
      </c>
      <c r="E433" s="39" t="n">
        <v>738.55</v>
      </c>
      <c r="F433" s="39" t="n">
        <v>803.35</v>
      </c>
      <c r="G433" s="39" t="n">
        <v>649.1</v>
      </c>
      <c r="H433" s="39" t="n">
        <v>796.45</v>
      </c>
      <c r="I433" s="39" t="n">
        <v>502.95</v>
      </c>
      <c r="J433" s="39" t="n">
        <v>2070.5</v>
      </c>
      <c r="K433" s="39" t="n">
        <v>682.76</v>
      </c>
      <c r="L433" s="39" t="n">
        <v>1260.95</v>
      </c>
      <c r="M433" s="39" t="n">
        <v>1394.75</v>
      </c>
      <c r="N433" s="39" t="n">
        <v>393.4</v>
      </c>
      <c r="O433" s="39" t="n">
        <v>271.4</v>
      </c>
      <c r="P433" s="39" t="n">
        <v>1694.95</v>
      </c>
      <c r="Q433" s="39" t="n">
        <v>458.25</v>
      </c>
      <c r="R433" s="39" t="n">
        <v>709.55</v>
      </c>
      <c r="S433" s="39" t="n">
        <v>479.5</v>
      </c>
    </row>
    <row r="434" customFormat="false" ht="15" hidden="false" customHeight="false" outlineLevel="0" collapsed="false">
      <c r="A434" s="8" t="n">
        <v>45439</v>
      </c>
      <c r="B434" s="39" t="n">
        <v>22932.45</v>
      </c>
      <c r="C434" s="39" t="n">
        <v>21493</v>
      </c>
      <c r="D434" s="39" t="n">
        <v>1628.15</v>
      </c>
      <c r="E434" s="39" t="n">
        <v>742</v>
      </c>
      <c r="F434" s="39" t="n">
        <v>818.5</v>
      </c>
      <c r="G434" s="39" t="n">
        <v>640.7</v>
      </c>
      <c r="H434" s="39" t="n">
        <v>798.85</v>
      </c>
      <c r="I434" s="39" t="n">
        <v>496.8</v>
      </c>
      <c r="J434" s="39" t="n">
        <v>2089.7</v>
      </c>
      <c r="K434" s="39" t="n">
        <v>688.61</v>
      </c>
      <c r="L434" s="39" t="n">
        <v>1270</v>
      </c>
      <c r="M434" s="39" t="n">
        <v>1377.45</v>
      </c>
      <c r="N434" s="39" t="n">
        <v>398.6</v>
      </c>
      <c r="O434" s="39" t="n">
        <v>269.25</v>
      </c>
      <c r="P434" s="39" t="n">
        <v>1708.25</v>
      </c>
      <c r="Q434" s="39" t="n">
        <v>449.05</v>
      </c>
      <c r="R434" s="39" t="n">
        <v>702.8</v>
      </c>
      <c r="S434" s="39" t="n">
        <v>476</v>
      </c>
    </row>
    <row r="435" customFormat="false" ht="15" hidden="false" customHeight="false" outlineLevel="0" collapsed="false">
      <c r="A435" s="8" t="n">
        <v>45440</v>
      </c>
      <c r="B435" s="39" t="n">
        <v>22888.15</v>
      </c>
      <c r="C435" s="39" t="n">
        <v>21387.35</v>
      </c>
      <c r="D435" s="39" t="n">
        <v>1588.65</v>
      </c>
      <c r="E435" s="39" t="n">
        <v>744.95</v>
      </c>
      <c r="F435" s="39" t="n">
        <v>808.55</v>
      </c>
      <c r="G435" s="39" t="n">
        <v>645.4</v>
      </c>
      <c r="H435" s="39" t="n">
        <v>787.8</v>
      </c>
      <c r="I435" s="39" t="n">
        <v>484.8</v>
      </c>
      <c r="J435" s="39" t="n">
        <v>2074.05</v>
      </c>
      <c r="K435" s="39" t="n">
        <v>686.37</v>
      </c>
      <c r="L435" s="39" t="n">
        <v>1259.7</v>
      </c>
      <c r="M435" s="39" t="n">
        <v>1348.15</v>
      </c>
      <c r="N435" s="39" t="n">
        <v>399.15</v>
      </c>
      <c r="O435" s="39" t="n">
        <v>269.75</v>
      </c>
      <c r="P435" s="39" t="n">
        <v>1745.4</v>
      </c>
      <c r="Q435" s="39" t="n">
        <v>444.9</v>
      </c>
      <c r="R435" s="39" t="n">
        <v>705.45</v>
      </c>
      <c r="S435" s="39" t="n">
        <v>478.74</v>
      </c>
    </row>
    <row r="436" customFormat="false" ht="15" hidden="false" customHeight="false" outlineLevel="0" collapsed="false">
      <c r="A436" s="8" t="n">
        <v>45441</v>
      </c>
      <c r="B436" s="39" t="n">
        <v>22704.7</v>
      </c>
      <c r="C436" s="39" t="n">
        <v>21256.3</v>
      </c>
      <c r="D436" s="39" t="n">
        <v>1574.05</v>
      </c>
      <c r="E436" s="39" t="n">
        <v>722.2</v>
      </c>
      <c r="F436" s="39" t="n">
        <v>814.9</v>
      </c>
      <c r="G436" s="39" t="n">
        <v>646.8</v>
      </c>
      <c r="H436" s="39" t="n">
        <v>735.75</v>
      </c>
      <c r="I436" s="39" t="n">
        <v>484.3</v>
      </c>
      <c r="J436" s="39" t="n">
        <v>2056</v>
      </c>
      <c r="K436" s="39" t="n">
        <v>679.74</v>
      </c>
      <c r="L436" s="39" t="n">
        <v>1240.4</v>
      </c>
      <c r="M436" s="39" t="n">
        <v>1323.2</v>
      </c>
      <c r="N436" s="39" t="n">
        <v>411.15</v>
      </c>
      <c r="O436" s="39" t="n">
        <v>268.45</v>
      </c>
      <c r="P436" s="39" t="n">
        <v>1738.9</v>
      </c>
      <c r="Q436" s="39" t="n">
        <v>449.5</v>
      </c>
      <c r="R436" s="39" t="n">
        <v>697.3</v>
      </c>
      <c r="S436" s="39" t="n">
        <v>474.93</v>
      </c>
    </row>
    <row r="437" customFormat="false" ht="15" hidden="false" customHeight="false" outlineLevel="0" collapsed="false">
      <c r="A437" s="8" t="n">
        <v>45442</v>
      </c>
      <c r="B437" s="39" t="n">
        <v>22488.65</v>
      </c>
      <c r="C437" s="39" t="n">
        <v>21038.55</v>
      </c>
      <c r="D437" s="39" t="n">
        <v>1564.8</v>
      </c>
      <c r="E437" s="39" t="n">
        <v>720.65</v>
      </c>
      <c r="F437" s="39" t="n">
        <v>813.4</v>
      </c>
      <c r="G437" s="39" t="n">
        <v>631.3</v>
      </c>
      <c r="H437" s="39" t="n">
        <v>745.4</v>
      </c>
      <c r="I437" s="39" t="n">
        <v>469.75</v>
      </c>
      <c r="J437" s="39" t="n">
        <v>2016</v>
      </c>
      <c r="K437" s="39" t="n">
        <v>660.75</v>
      </c>
      <c r="L437" s="39" t="n">
        <v>1212.85</v>
      </c>
      <c r="M437" s="39" t="n">
        <v>1317.25</v>
      </c>
      <c r="N437" s="39" t="n">
        <v>406.1</v>
      </c>
      <c r="O437" s="39" t="n">
        <v>263.15</v>
      </c>
      <c r="P437" s="39" t="n">
        <v>1674</v>
      </c>
      <c r="Q437" s="39" t="n">
        <v>448.55</v>
      </c>
      <c r="R437" s="39" t="n">
        <v>694.05</v>
      </c>
      <c r="S437" s="39" t="n">
        <v>460.54</v>
      </c>
    </row>
    <row r="438" customFormat="false" ht="15" hidden="false" customHeight="false" outlineLevel="0" collapsed="false">
      <c r="A438" s="8" t="n">
        <v>45443</v>
      </c>
      <c r="B438" s="39" t="n">
        <v>22530.7</v>
      </c>
      <c r="C438" s="39" t="n">
        <v>21103.3</v>
      </c>
      <c r="D438" s="39" t="n">
        <v>1596.8</v>
      </c>
      <c r="E438" s="39" t="n">
        <v>727.2</v>
      </c>
      <c r="F438" s="39" t="n">
        <v>817.95</v>
      </c>
      <c r="G438" s="39" t="n">
        <v>632.7</v>
      </c>
      <c r="H438" s="39" t="n">
        <v>722.9</v>
      </c>
      <c r="I438" s="39" t="n">
        <v>469.9</v>
      </c>
      <c r="J438" s="39" t="n">
        <v>2006.05</v>
      </c>
      <c r="K438" s="39" t="n">
        <v>668.86</v>
      </c>
      <c r="L438" s="39" t="n">
        <v>1241.1</v>
      </c>
      <c r="M438" s="39" t="n">
        <v>1323.85</v>
      </c>
      <c r="N438" s="39" t="n">
        <v>399.25</v>
      </c>
      <c r="O438" s="39" t="n">
        <v>267.6</v>
      </c>
      <c r="P438" s="39" t="n">
        <v>1683.45</v>
      </c>
      <c r="Q438" s="39" t="n">
        <v>449.1</v>
      </c>
      <c r="R438" s="39" t="n">
        <v>692.1</v>
      </c>
      <c r="S438" s="39" t="n">
        <v>470.81</v>
      </c>
    </row>
    <row r="439" customFormat="false" ht="15" hidden="false" customHeight="false" outlineLevel="0" collapsed="false">
      <c r="A439" s="8" t="n">
        <v>45446</v>
      </c>
      <c r="B439" s="39" t="n">
        <v>23263.9</v>
      </c>
      <c r="C439" s="39" t="n">
        <v>21797.4</v>
      </c>
      <c r="D439" s="39" t="n">
        <v>1625.2</v>
      </c>
      <c r="E439" s="39" t="n">
        <v>752.15</v>
      </c>
      <c r="F439" s="39" t="n">
        <v>816.95</v>
      </c>
      <c r="G439" s="39" t="n">
        <v>680.95</v>
      </c>
      <c r="H439" s="39" t="n">
        <v>729.15</v>
      </c>
      <c r="I439" s="39" t="n">
        <v>480.35</v>
      </c>
      <c r="J439" s="39" t="n">
        <v>2001.45</v>
      </c>
      <c r="K439" s="39" t="n">
        <v>690.62</v>
      </c>
      <c r="L439" s="39" t="n">
        <v>1288.65</v>
      </c>
      <c r="M439" s="39" t="n">
        <v>1319.3</v>
      </c>
      <c r="N439" s="39" t="n">
        <v>400.8</v>
      </c>
      <c r="O439" s="39" t="n">
        <v>273.3</v>
      </c>
      <c r="P439" s="39" t="n">
        <v>1705.7</v>
      </c>
      <c r="Q439" s="39" t="n">
        <v>450.95</v>
      </c>
      <c r="R439" s="39" t="n">
        <v>705.2</v>
      </c>
      <c r="S439" s="39" t="n">
        <v>501.83</v>
      </c>
    </row>
    <row r="440" customFormat="false" ht="15" hidden="false" customHeight="false" outlineLevel="0" collapsed="false">
      <c r="A440" s="8" t="n">
        <v>45447</v>
      </c>
      <c r="B440" s="39" t="n">
        <v>21884.5</v>
      </c>
      <c r="C440" s="39" t="n">
        <v>20323.85</v>
      </c>
      <c r="D440" s="39" t="n">
        <v>1525.2</v>
      </c>
      <c r="E440" s="39" t="n">
        <v>698.95</v>
      </c>
      <c r="F440" s="39" t="n">
        <v>815.6</v>
      </c>
      <c r="G440" s="39" t="n">
        <v>577</v>
      </c>
      <c r="H440" s="39" t="n">
        <v>671.95</v>
      </c>
      <c r="I440" s="39" t="n">
        <v>441.3</v>
      </c>
      <c r="J440" s="39" t="n">
        <v>1924.05</v>
      </c>
      <c r="K440" s="39" t="n">
        <v>650.07</v>
      </c>
      <c r="L440" s="39" t="n">
        <v>1231.4</v>
      </c>
      <c r="M440" s="39" t="n">
        <v>1265.6</v>
      </c>
      <c r="N440" s="39" t="n">
        <v>382.6</v>
      </c>
      <c r="O440" s="39" t="n">
        <v>259.5</v>
      </c>
      <c r="P440" s="39" t="n">
        <v>1646.7</v>
      </c>
      <c r="Q440" s="39" t="n">
        <v>423.05</v>
      </c>
      <c r="R440" s="39" t="n">
        <v>677.4</v>
      </c>
      <c r="S440" s="39" t="n">
        <v>452.14</v>
      </c>
    </row>
    <row r="441" customFormat="false" ht="15" hidden="false" customHeight="false" outlineLevel="0" collapsed="false">
      <c r="A441" s="8" t="n">
        <v>45448</v>
      </c>
      <c r="B441" s="39" t="n">
        <v>22620.35</v>
      </c>
      <c r="C441" s="39" t="n">
        <v>21054.4</v>
      </c>
      <c r="D441" s="39" t="n">
        <v>1550.35</v>
      </c>
      <c r="E441" s="39" t="n">
        <v>745.25</v>
      </c>
      <c r="F441" s="39" t="n">
        <v>811.25</v>
      </c>
      <c r="G441" s="39" t="n">
        <v>622.3</v>
      </c>
      <c r="H441" s="39" t="n">
        <v>713.1</v>
      </c>
      <c r="I441" s="39" t="n">
        <v>460.85</v>
      </c>
      <c r="J441" s="39" t="n">
        <v>2079.4</v>
      </c>
      <c r="K441" s="39" t="n">
        <v>682.74</v>
      </c>
      <c r="L441" s="39" t="n">
        <v>1288.5</v>
      </c>
      <c r="M441" s="39" t="n">
        <v>1404.3</v>
      </c>
      <c r="N441" s="39" t="n">
        <v>402.4</v>
      </c>
      <c r="O441" s="39" t="n">
        <v>274.3</v>
      </c>
      <c r="P441" s="39" t="n">
        <v>1747.35</v>
      </c>
      <c r="Q441" s="39" t="n">
        <v>435.1</v>
      </c>
      <c r="R441" s="39" t="n">
        <v>699.65</v>
      </c>
      <c r="S441" s="39" t="n">
        <v>477.49</v>
      </c>
    </row>
    <row r="442" customFormat="false" ht="15" hidden="false" customHeight="false" outlineLevel="0" collapsed="false">
      <c r="A442" s="8" t="n">
        <v>45449</v>
      </c>
      <c r="B442" s="39" t="n">
        <v>22821.4</v>
      </c>
      <c r="C442" s="39" t="n">
        <v>21365</v>
      </c>
      <c r="D442" s="39" t="n">
        <v>1632.3</v>
      </c>
      <c r="E442" s="39" t="n">
        <v>763.95</v>
      </c>
      <c r="F442" s="39" t="n">
        <v>866.85</v>
      </c>
      <c r="G442" s="39" t="n">
        <v>651.05</v>
      </c>
      <c r="H442" s="39" t="n">
        <v>739.4</v>
      </c>
      <c r="I442" s="39" t="n">
        <v>488.95</v>
      </c>
      <c r="J442" s="39" t="n">
        <v>2287.75</v>
      </c>
      <c r="K442" s="39" t="n">
        <v>691.64</v>
      </c>
      <c r="L442" s="39" t="n">
        <v>1335.7</v>
      </c>
      <c r="M442" s="39" t="n">
        <v>1500.3</v>
      </c>
      <c r="N442" s="39" t="n">
        <v>414.2</v>
      </c>
      <c r="O442" s="39" t="n">
        <v>278.15</v>
      </c>
      <c r="P442" s="39" t="n">
        <v>1753.25</v>
      </c>
      <c r="Q442" s="39" t="n">
        <v>451.75</v>
      </c>
      <c r="R442" s="39" t="n">
        <v>703.7</v>
      </c>
      <c r="S442" s="39" t="n">
        <v>494.96</v>
      </c>
    </row>
    <row r="443" customFormat="false" ht="15" hidden="false" customHeight="false" outlineLevel="0" collapsed="false">
      <c r="A443" s="8" t="n">
        <v>45450</v>
      </c>
      <c r="B443" s="39" t="n">
        <v>23290.15</v>
      </c>
      <c r="C443" s="39" t="n">
        <v>21764.15</v>
      </c>
      <c r="D443" s="39" t="n">
        <v>1674.95</v>
      </c>
      <c r="E443" s="39" t="n">
        <v>774.3</v>
      </c>
      <c r="F443" s="39" t="n">
        <v>854.35</v>
      </c>
      <c r="G443" s="39" t="n">
        <v>662.1</v>
      </c>
      <c r="H443" s="39" t="n">
        <v>746.5</v>
      </c>
      <c r="I443" s="39" t="n">
        <v>495.45</v>
      </c>
      <c r="J443" s="39" t="n">
        <v>2240.35</v>
      </c>
      <c r="K443" s="39" t="n">
        <v>718.16</v>
      </c>
      <c r="L443" s="39" t="n">
        <v>1337.85</v>
      </c>
      <c r="M443" s="39" t="n">
        <v>1500.25</v>
      </c>
      <c r="N443" s="39" t="n">
        <v>470.5</v>
      </c>
      <c r="O443" s="39" t="n">
        <v>282.45</v>
      </c>
      <c r="P443" s="39" t="n">
        <v>1773.15</v>
      </c>
      <c r="Q443" s="39" t="n">
        <v>465.5</v>
      </c>
      <c r="R443" s="39" t="n">
        <v>715.55</v>
      </c>
      <c r="S443" s="39" t="n">
        <v>499.59</v>
      </c>
    </row>
    <row r="444" customFormat="false" ht="15" hidden="false" customHeight="false" outlineLevel="0" collapsed="false">
      <c r="A444" s="8" t="n">
        <v>45453</v>
      </c>
      <c r="B444" s="39" t="n">
        <v>23259.2</v>
      </c>
      <c r="C444" s="39" t="n">
        <v>21808.25</v>
      </c>
      <c r="D444" s="39" t="n">
        <v>1735.3</v>
      </c>
      <c r="E444" s="39" t="n">
        <v>773.35</v>
      </c>
      <c r="F444" s="39" t="n">
        <v>864.6</v>
      </c>
      <c r="G444" s="39" t="n">
        <v>674.4</v>
      </c>
      <c r="H444" s="39" t="n">
        <v>764.1</v>
      </c>
      <c r="I444" s="39" t="n">
        <v>540.7</v>
      </c>
      <c r="J444" s="39" t="n">
        <v>2233.55</v>
      </c>
      <c r="K444" s="39" t="n">
        <v>707.92</v>
      </c>
      <c r="L444" s="39" t="n">
        <v>1359.95</v>
      </c>
      <c r="M444" s="39" t="n">
        <v>1505.6</v>
      </c>
      <c r="N444" s="39" t="n">
        <v>489.95</v>
      </c>
      <c r="O444" s="39" t="n">
        <v>284.05</v>
      </c>
      <c r="P444" s="39" t="n">
        <v>1759.4</v>
      </c>
      <c r="Q444" s="39" t="n">
        <v>426.35</v>
      </c>
      <c r="R444" s="39" t="n">
        <v>717.1</v>
      </c>
      <c r="S444" s="39" t="n">
        <v>503.82</v>
      </c>
    </row>
    <row r="445" customFormat="false" ht="15" hidden="false" customHeight="false" outlineLevel="0" collapsed="false">
      <c r="A445" s="8" t="n">
        <v>45454</v>
      </c>
      <c r="B445" s="39" t="n">
        <v>23264.85</v>
      </c>
      <c r="C445" s="39" t="n">
        <v>21852</v>
      </c>
      <c r="D445" s="39" t="n">
        <v>1847.7</v>
      </c>
      <c r="E445" s="39" t="n">
        <v>790.7</v>
      </c>
      <c r="F445" s="39" t="n">
        <v>924.5</v>
      </c>
      <c r="G445" s="39" t="n">
        <v>680.1</v>
      </c>
      <c r="H445" s="39" t="n">
        <v>808.15</v>
      </c>
      <c r="I445" s="39" t="n">
        <v>536.1</v>
      </c>
      <c r="J445" s="39" t="n">
        <v>2293.95</v>
      </c>
      <c r="K445" s="39" t="n">
        <v>712.84</v>
      </c>
      <c r="L445" s="39" t="n">
        <v>1332.3</v>
      </c>
      <c r="M445" s="39" t="n">
        <v>1496.45</v>
      </c>
      <c r="N445" s="39" t="n">
        <v>472.1</v>
      </c>
      <c r="O445" s="39" t="n">
        <v>290.7</v>
      </c>
      <c r="P445" s="39" t="n">
        <v>1756.8</v>
      </c>
      <c r="Q445" s="39" t="n">
        <v>439.6</v>
      </c>
      <c r="R445" s="39" t="n">
        <v>712.8</v>
      </c>
      <c r="S445" s="39" t="n">
        <v>506.6</v>
      </c>
    </row>
    <row r="446" customFormat="false" ht="15" hidden="false" customHeight="false" outlineLevel="0" collapsed="false">
      <c r="A446" s="8" t="n">
        <v>45455</v>
      </c>
      <c r="B446" s="39" t="n">
        <v>23322.95</v>
      </c>
      <c r="C446" s="39" t="n">
        <v>21960.95</v>
      </c>
      <c r="D446" s="39" t="n">
        <v>1907.45</v>
      </c>
      <c r="E446" s="39" t="n">
        <v>804.5</v>
      </c>
      <c r="F446" s="39" t="n">
        <v>966.45</v>
      </c>
      <c r="G446" s="39" t="n">
        <v>715.4</v>
      </c>
      <c r="H446" s="39" t="n">
        <v>816.75</v>
      </c>
      <c r="I446" s="39" t="n">
        <v>541.05</v>
      </c>
      <c r="J446" s="39" t="n">
        <v>2453.8</v>
      </c>
      <c r="K446" s="39" t="n">
        <v>720.79</v>
      </c>
      <c r="L446" s="39" t="n">
        <v>1359.05</v>
      </c>
      <c r="M446" s="39" t="n">
        <v>1477.4</v>
      </c>
      <c r="N446" s="39" t="n">
        <v>473.15</v>
      </c>
      <c r="O446" s="39" t="n">
        <v>290.15</v>
      </c>
      <c r="P446" s="39" t="n">
        <v>1778.95</v>
      </c>
      <c r="Q446" s="39" t="n">
        <v>442.2</v>
      </c>
      <c r="R446" s="39" t="n">
        <v>717.45</v>
      </c>
      <c r="S446" s="39" t="n">
        <v>513.39</v>
      </c>
    </row>
    <row r="447" customFormat="false" ht="15" hidden="false" customHeight="false" outlineLevel="0" collapsed="false">
      <c r="A447" s="8" t="n">
        <v>45456</v>
      </c>
      <c r="B447" s="39" t="n">
        <v>23398.9</v>
      </c>
      <c r="C447" s="39" t="n">
        <v>22074.3</v>
      </c>
      <c r="D447" s="39" t="n">
        <v>1837.6</v>
      </c>
      <c r="E447" s="39" t="n">
        <v>817.35</v>
      </c>
      <c r="F447" s="39" t="n">
        <v>1022.1</v>
      </c>
      <c r="G447" s="39" t="n">
        <v>719.3</v>
      </c>
      <c r="H447" s="39" t="n">
        <v>832.3</v>
      </c>
      <c r="I447" s="39" t="n">
        <v>537.2</v>
      </c>
      <c r="J447" s="39" t="n">
        <v>2434.05</v>
      </c>
      <c r="K447" s="39" t="n">
        <v>728.5</v>
      </c>
      <c r="L447" s="39" t="n">
        <v>1436.1</v>
      </c>
      <c r="M447" s="39" t="n">
        <v>1482.65</v>
      </c>
      <c r="N447" s="39" t="n">
        <v>472.35</v>
      </c>
      <c r="O447" s="39" t="n">
        <v>293.3</v>
      </c>
      <c r="P447" s="39" t="n">
        <v>1792.7</v>
      </c>
      <c r="Q447" s="39" t="n">
        <v>436.1</v>
      </c>
      <c r="R447" s="39" t="n">
        <v>727.05</v>
      </c>
      <c r="S447" s="39" t="n">
        <v>536.86</v>
      </c>
    </row>
    <row r="448" customFormat="false" ht="15" hidden="false" customHeight="false" outlineLevel="0" collapsed="false">
      <c r="A448" s="8" t="n">
        <v>45457</v>
      </c>
      <c r="B448" s="39" t="n">
        <v>23465.6</v>
      </c>
      <c r="C448" s="39" t="n">
        <v>22214.3</v>
      </c>
      <c r="D448" s="39" t="n">
        <v>1853.8</v>
      </c>
      <c r="E448" s="39" t="n">
        <v>834.9</v>
      </c>
      <c r="F448" s="39" t="n">
        <v>1072.3</v>
      </c>
      <c r="G448" s="39" t="n">
        <v>731.65</v>
      </c>
      <c r="H448" s="39" t="n">
        <v>832.95</v>
      </c>
      <c r="I448" s="39" t="n">
        <v>536.15</v>
      </c>
      <c r="J448" s="39" t="n">
        <v>2456.15</v>
      </c>
      <c r="K448" s="39" t="n">
        <v>733.16</v>
      </c>
      <c r="L448" s="39" t="n">
        <v>1447</v>
      </c>
      <c r="M448" s="39" t="n">
        <v>1475.2</v>
      </c>
      <c r="N448" s="39" t="n">
        <v>470.65</v>
      </c>
      <c r="O448" s="39" t="n">
        <v>298.95</v>
      </c>
      <c r="P448" s="39" t="n">
        <v>1770</v>
      </c>
      <c r="Q448" s="39" t="n">
        <v>437.35</v>
      </c>
      <c r="R448" s="39" t="n">
        <v>728.35</v>
      </c>
      <c r="S448" s="39" t="n">
        <v>546.43</v>
      </c>
    </row>
    <row r="449" customFormat="false" ht="15" hidden="false" customHeight="false" outlineLevel="0" collapsed="false">
      <c r="A449" s="8" t="n">
        <v>45461</v>
      </c>
      <c r="B449" s="39" t="n">
        <v>23557.9</v>
      </c>
      <c r="C449" s="39" t="n">
        <v>22329.6</v>
      </c>
      <c r="D449" s="39" t="n">
        <v>1900.45</v>
      </c>
      <c r="E449" s="39" t="n">
        <v>889.25</v>
      </c>
      <c r="F449" s="39" t="n">
        <v>1069.2</v>
      </c>
      <c r="G449" s="39" t="n">
        <v>748.85</v>
      </c>
      <c r="H449" s="39" t="n">
        <v>864.8</v>
      </c>
      <c r="I449" s="39" t="n">
        <v>522.55</v>
      </c>
      <c r="J449" s="39" t="n">
        <v>2416.45</v>
      </c>
      <c r="K449" s="39" t="n">
        <v>732.47</v>
      </c>
      <c r="L449" s="39" t="n">
        <v>1454.15</v>
      </c>
      <c r="M449" s="39" t="n">
        <v>1496.05</v>
      </c>
      <c r="N449" s="39" t="n">
        <v>481.75</v>
      </c>
      <c r="O449" s="39" t="n">
        <v>307.7</v>
      </c>
      <c r="P449" s="39" t="n">
        <v>1748.7</v>
      </c>
      <c r="Q449" s="39" t="n">
        <v>433.55</v>
      </c>
      <c r="R449" s="39" t="n">
        <v>726.35</v>
      </c>
      <c r="S449" s="39" t="n">
        <v>565.95</v>
      </c>
    </row>
    <row r="450" customFormat="false" ht="15" hidden="false" customHeight="false" outlineLevel="0" collapsed="false">
      <c r="A450" s="8" t="n">
        <v>45462</v>
      </c>
      <c r="B450" s="39" t="n">
        <v>23516</v>
      </c>
      <c r="C450" s="39" t="n">
        <v>22224.9</v>
      </c>
      <c r="D450" s="39" t="n">
        <v>1935.75</v>
      </c>
      <c r="E450" s="39" t="n">
        <v>866.25</v>
      </c>
      <c r="F450" s="39" t="n">
        <v>1074.65</v>
      </c>
      <c r="G450" s="39" t="n">
        <v>736.4</v>
      </c>
      <c r="H450" s="39" t="n">
        <v>840</v>
      </c>
      <c r="I450" s="39" t="n">
        <v>527</v>
      </c>
      <c r="J450" s="39" t="n">
        <v>2480.6</v>
      </c>
      <c r="K450" s="39" t="n">
        <v>722.41</v>
      </c>
      <c r="L450" s="39" t="n">
        <v>1450.65</v>
      </c>
      <c r="M450" s="39" t="n">
        <v>1474.75</v>
      </c>
      <c r="N450" s="39" t="n">
        <v>473.2</v>
      </c>
      <c r="O450" s="39" t="n">
        <v>306.45</v>
      </c>
      <c r="P450" s="39" t="n">
        <v>1740.45</v>
      </c>
      <c r="Q450" s="39" t="n">
        <v>423.9</v>
      </c>
      <c r="R450" s="39" t="n">
        <v>730</v>
      </c>
      <c r="S450" s="39" t="n">
        <v>558.25</v>
      </c>
    </row>
    <row r="451" customFormat="false" ht="15" hidden="false" customHeight="false" outlineLevel="0" collapsed="false">
      <c r="A451" s="8" t="n">
        <v>45463</v>
      </c>
      <c r="B451" s="39" t="n">
        <v>23567</v>
      </c>
      <c r="C451" s="39" t="n">
        <v>22305.1</v>
      </c>
      <c r="D451" s="39" t="n">
        <v>1891.05</v>
      </c>
      <c r="E451" s="39" t="n">
        <v>862.5</v>
      </c>
      <c r="F451" s="39" t="n">
        <v>1042.45</v>
      </c>
      <c r="G451" s="39" t="n">
        <v>739.7</v>
      </c>
      <c r="H451" s="39" t="n">
        <v>791.8</v>
      </c>
      <c r="I451" s="39" t="n">
        <v>526.7</v>
      </c>
      <c r="J451" s="39" t="n">
        <v>2418.2</v>
      </c>
      <c r="K451" s="39" t="n">
        <v>719.73</v>
      </c>
      <c r="L451" s="39" t="n">
        <v>1438.7</v>
      </c>
      <c r="M451" s="39" t="n">
        <v>1481.2</v>
      </c>
      <c r="N451" s="39" t="n">
        <v>475.95</v>
      </c>
      <c r="O451" s="39" t="n">
        <v>307.15</v>
      </c>
      <c r="P451" s="39" t="n">
        <v>1742.25</v>
      </c>
      <c r="Q451" s="39" t="n">
        <v>422.4</v>
      </c>
      <c r="R451" s="39" t="n">
        <v>732.5</v>
      </c>
      <c r="S451" s="39" t="n">
        <v>561.04</v>
      </c>
    </row>
    <row r="452" customFormat="false" ht="15" hidden="false" customHeight="false" outlineLevel="0" collapsed="false">
      <c r="A452" s="8" t="n">
        <v>45464</v>
      </c>
      <c r="B452" s="39" t="n">
        <v>23501.1</v>
      </c>
      <c r="C452" s="39" t="n">
        <v>22236.2</v>
      </c>
      <c r="D452" s="39" t="n">
        <v>1914.7</v>
      </c>
      <c r="E452" s="39" t="n">
        <v>860.85</v>
      </c>
      <c r="F452" s="39" t="n">
        <v>1050.05</v>
      </c>
      <c r="G452" s="39" t="n">
        <v>731.75</v>
      </c>
      <c r="H452" s="39" t="n">
        <v>783.5</v>
      </c>
      <c r="I452" s="39" t="n">
        <v>515.05</v>
      </c>
      <c r="J452" s="39" t="n">
        <v>2456.95</v>
      </c>
      <c r="K452" s="39" t="n">
        <v>712.46</v>
      </c>
      <c r="L452" s="39" t="n">
        <v>1401.55</v>
      </c>
      <c r="M452" s="39" t="n">
        <v>1472.6</v>
      </c>
      <c r="N452" s="39" t="n">
        <v>475.55</v>
      </c>
      <c r="O452" s="39" t="n">
        <v>306.05</v>
      </c>
      <c r="P452" s="39" t="n">
        <v>1717.35</v>
      </c>
      <c r="Q452" s="39" t="n">
        <v>421.15</v>
      </c>
      <c r="R452" s="39" t="n">
        <v>725.35</v>
      </c>
      <c r="S452" s="39" t="n">
        <v>564.33</v>
      </c>
    </row>
    <row r="453" customFormat="false" ht="15" hidden="false" customHeight="false" outlineLevel="0" collapsed="false">
      <c r="A453" s="8" t="n">
        <v>45467</v>
      </c>
      <c r="B453" s="39" t="n">
        <v>23537.85</v>
      </c>
      <c r="C453" s="39" t="n">
        <v>22289.1</v>
      </c>
      <c r="D453" s="39" t="n">
        <v>1879.4</v>
      </c>
      <c r="E453" s="39" t="n">
        <v>882.65</v>
      </c>
      <c r="F453" s="39" t="n">
        <v>1011.95</v>
      </c>
      <c r="G453" s="39" t="n">
        <v>733.9</v>
      </c>
      <c r="H453" s="39" t="n">
        <v>768.4</v>
      </c>
      <c r="I453" s="39" t="n">
        <v>529.2</v>
      </c>
      <c r="J453" s="39" t="n">
        <v>2312.2</v>
      </c>
      <c r="K453" s="39" t="n">
        <v>707.22</v>
      </c>
      <c r="L453" s="39" t="n">
        <v>1434.75</v>
      </c>
      <c r="M453" s="39" t="n">
        <v>1407.7</v>
      </c>
      <c r="N453" s="39" t="n">
        <v>470.65</v>
      </c>
      <c r="O453" s="39" t="n">
        <v>305.35</v>
      </c>
      <c r="P453" s="39" t="n">
        <v>1731.6</v>
      </c>
      <c r="Q453" s="39" t="n">
        <v>417.25</v>
      </c>
      <c r="R453" s="39" t="n">
        <v>729.95</v>
      </c>
      <c r="S453" s="39" t="n">
        <v>576.45</v>
      </c>
    </row>
    <row r="454" customFormat="false" ht="15" hidden="false" customHeight="false" outlineLevel="0" collapsed="false">
      <c r="A454" s="8" t="n">
        <v>45468</v>
      </c>
      <c r="B454" s="39" t="n">
        <v>23721.3</v>
      </c>
      <c r="C454" s="39" t="n">
        <v>22370.65</v>
      </c>
      <c r="D454" s="39" t="n">
        <v>1855.15</v>
      </c>
      <c r="E454" s="39" t="n">
        <v>899.6</v>
      </c>
      <c r="F454" s="39" t="n">
        <v>1012.55</v>
      </c>
      <c r="G454" s="39" t="n">
        <v>769.85</v>
      </c>
      <c r="H454" s="39" t="n">
        <v>781.6</v>
      </c>
      <c r="I454" s="39" t="n">
        <v>533.15</v>
      </c>
      <c r="J454" s="39" t="n">
        <v>2176.4</v>
      </c>
      <c r="K454" s="39" t="n">
        <v>706.48</v>
      </c>
      <c r="L454" s="39" t="n">
        <v>1431.35</v>
      </c>
      <c r="M454" s="39" t="n">
        <v>1359.1</v>
      </c>
      <c r="N454" s="39" t="n">
        <v>460.1</v>
      </c>
      <c r="O454" s="39" t="n">
        <v>306.05</v>
      </c>
      <c r="P454" s="39" t="n">
        <v>1780.8</v>
      </c>
      <c r="Q454" s="39" t="n">
        <v>424.7</v>
      </c>
      <c r="R454" s="39" t="n">
        <v>732</v>
      </c>
      <c r="S454" s="39" t="n">
        <v>597.97</v>
      </c>
    </row>
    <row r="455" customFormat="false" ht="15" hidden="false" customHeight="false" outlineLevel="0" collapsed="false">
      <c r="A455" s="8" t="n">
        <v>45469</v>
      </c>
      <c r="B455" s="39" t="n">
        <v>23868.8</v>
      </c>
      <c r="C455" s="39" t="n">
        <v>22436.8</v>
      </c>
      <c r="D455" s="39" t="n">
        <v>1869.5</v>
      </c>
      <c r="E455" s="39" t="n">
        <v>901.25</v>
      </c>
      <c r="F455" s="39" t="n">
        <v>1047.35</v>
      </c>
      <c r="G455" s="39" t="n">
        <v>778.8</v>
      </c>
      <c r="H455" s="39" t="n">
        <v>791.85</v>
      </c>
      <c r="I455" s="39" t="n">
        <v>527.9</v>
      </c>
      <c r="J455" s="39" t="n">
        <v>2115.3</v>
      </c>
      <c r="K455" s="39" t="n">
        <v>714.85</v>
      </c>
      <c r="L455" s="39" t="n">
        <v>1430.25</v>
      </c>
      <c r="M455" s="39" t="n">
        <v>1359.05</v>
      </c>
      <c r="N455" s="39" t="n">
        <v>493.55</v>
      </c>
      <c r="O455" s="39" t="n">
        <v>308.1</v>
      </c>
      <c r="P455" s="39" t="n">
        <v>1775.4</v>
      </c>
      <c r="Q455" s="39" t="n">
        <v>416.6</v>
      </c>
      <c r="R455" s="39" t="n">
        <v>732</v>
      </c>
      <c r="S455" s="39" t="n">
        <v>597.81</v>
      </c>
    </row>
    <row r="456" customFormat="false" ht="15" hidden="false" customHeight="false" outlineLevel="0" collapsed="false">
      <c r="A456" s="8" t="n">
        <v>45470</v>
      </c>
      <c r="B456" s="39" t="n">
        <v>24044.5</v>
      </c>
      <c r="C456" s="39" t="n">
        <v>22537.4</v>
      </c>
      <c r="D456" s="39" t="n">
        <v>1872.5</v>
      </c>
      <c r="E456" s="39" t="n">
        <v>910.85</v>
      </c>
      <c r="F456" s="39" t="n">
        <v>1020.05</v>
      </c>
      <c r="G456" s="39" t="n">
        <v>787.6</v>
      </c>
      <c r="H456" s="39" t="n">
        <v>785.4</v>
      </c>
      <c r="I456" s="39" t="n">
        <v>546</v>
      </c>
      <c r="J456" s="39" t="n">
        <v>2042.1</v>
      </c>
      <c r="K456" s="39" t="n">
        <v>715.7</v>
      </c>
      <c r="L456" s="39" t="n">
        <v>1438.1</v>
      </c>
      <c r="M456" s="39" t="n">
        <v>1329.75</v>
      </c>
      <c r="N456" s="39" t="n">
        <v>479.85</v>
      </c>
      <c r="O456" s="39" t="n">
        <v>300.65</v>
      </c>
      <c r="P456" s="39" t="n">
        <v>1829.3</v>
      </c>
      <c r="Q456" s="39" t="n">
        <v>406.35</v>
      </c>
      <c r="R456" s="39" t="n">
        <v>730.35</v>
      </c>
      <c r="S456" s="39" t="n">
        <v>590.21</v>
      </c>
    </row>
    <row r="457" customFormat="false" ht="15" hidden="false" customHeight="false" outlineLevel="0" collapsed="false">
      <c r="A457" s="8" t="n">
        <v>45471</v>
      </c>
      <c r="B457" s="39" t="n">
        <v>24010.6</v>
      </c>
      <c r="C457" s="39" t="n">
        <v>22559.7</v>
      </c>
      <c r="D457" s="39" t="n">
        <v>1853.1</v>
      </c>
      <c r="E457" s="39" t="n">
        <v>915.2</v>
      </c>
      <c r="F457" s="39" t="n">
        <v>1035.5</v>
      </c>
      <c r="G457" s="39" t="n">
        <v>796.8</v>
      </c>
      <c r="H457" s="39" t="n">
        <v>784.8</v>
      </c>
      <c r="I457" s="39" t="n">
        <v>549.15</v>
      </c>
      <c r="J457" s="39" t="n">
        <v>2088.85</v>
      </c>
      <c r="K457" s="39" t="n">
        <v>710.59</v>
      </c>
      <c r="L457" s="39" t="n">
        <v>1423.5</v>
      </c>
      <c r="M457" s="39" t="n">
        <v>1322.1</v>
      </c>
      <c r="N457" s="39" t="n">
        <v>517.6</v>
      </c>
      <c r="O457" s="39" t="n">
        <v>300.6</v>
      </c>
      <c r="P457" s="39" t="n">
        <v>1795.85</v>
      </c>
      <c r="Q457" s="39" t="n">
        <v>409.1</v>
      </c>
      <c r="R457" s="39" t="n">
        <v>724.6</v>
      </c>
      <c r="S457" s="39" t="n">
        <v>582.3</v>
      </c>
    </row>
    <row r="458" customFormat="false" ht="15" hidden="false" customHeight="false" outlineLevel="0" collapsed="false">
      <c r="A458" s="8" t="n">
        <v>45474</v>
      </c>
      <c r="B458" s="39" t="n">
        <v>24141.95</v>
      </c>
      <c r="C458" s="39" t="n">
        <v>22727.6</v>
      </c>
      <c r="D458" s="39" t="n">
        <v>1855.05</v>
      </c>
      <c r="E458" s="39" t="n">
        <v>923.45</v>
      </c>
      <c r="F458" s="39" t="n">
        <v>1126.3</v>
      </c>
      <c r="G458" s="39" t="n">
        <v>816.35</v>
      </c>
      <c r="H458" s="39" t="n">
        <v>800.25</v>
      </c>
      <c r="I458" s="39" t="n">
        <v>559.05</v>
      </c>
      <c r="J458" s="39" t="n">
        <v>2132.2</v>
      </c>
      <c r="K458" s="39" t="n">
        <v>726.69</v>
      </c>
      <c r="L458" s="39" t="n">
        <v>1434.6</v>
      </c>
      <c r="M458" s="39" t="n">
        <v>1374.4</v>
      </c>
      <c r="N458" s="39" t="n">
        <v>510.85</v>
      </c>
      <c r="O458" s="39" t="n">
        <v>306.6</v>
      </c>
      <c r="P458" s="39" t="n">
        <v>1788.6</v>
      </c>
      <c r="Q458" s="39" t="n">
        <v>422</v>
      </c>
      <c r="R458" s="39" t="n">
        <v>723</v>
      </c>
      <c r="S458" s="39" t="n">
        <v>584.85</v>
      </c>
    </row>
    <row r="459" customFormat="false" ht="15" hidden="false" customHeight="false" outlineLevel="0" collapsed="false">
      <c r="A459" s="8" t="n">
        <v>45475</v>
      </c>
      <c r="B459" s="39" t="n">
        <v>24123.85</v>
      </c>
      <c r="C459" s="39" t="n">
        <v>22677.8</v>
      </c>
      <c r="D459" s="39" t="n">
        <v>1859.55</v>
      </c>
      <c r="E459" s="39" t="n">
        <v>889.8</v>
      </c>
      <c r="F459" s="39" t="n">
        <v>1098.5</v>
      </c>
      <c r="G459" s="39" t="n">
        <v>795.45</v>
      </c>
      <c r="H459" s="39" t="n">
        <v>796.4</v>
      </c>
      <c r="I459" s="39" t="n">
        <v>551.5</v>
      </c>
      <c r="J459" s="39" t="n">
        <v>2133.95</v>
      </c>
      <c r="K459" s="39" t="n">
        <v>715.59</v>
      </c>
      <c r="L459" s="39" t="n">
        <v>1400.25</v>
      </c>
      <c r="M459" s="39" t="n">
        <v>1341.65</v>
      </c>
      <c r="N459" s="39" t="n">
        <v>519.7</v>
      </c>
      <c r="O459" s="39" t="n">
        <v>302.45</v>
      </c>
      <c r="P459" s="39" t="n">
        <v>1797</v>
      </c>
      <c r="Q459" s="39" t="n">
        <v>419.65</v>
      </c>
      <c r="R459" s="39" t="n">
        <v>711.15</v>
      </c>
      <c r="S459" s="39" t="n">
        <v>564.98</v>
      </c>
    </row>
    <row r="460" customFormat="false" ht="15" hidden="false" customHeight="false" outlineLevel="0" collapsed="false">
      <c r="A460" s="8" t="n">
        <v>45476</v>
      </c>
      <c r="B460" s="39" t="n">
        <v>24286.5</v>
      </c>
      <c r="C460" s="39" t="n">
        <v>22851.2</v>
      </c>
      <c r="D460" s="39" t="n">
        <v>1859</v>
      </c>
      <c r="E460" s="39" t="n">
        <v>902.85</v>
      </c>
      <c r="F460" s="39" t="n">
        <v>1121.5</v>
      </c>
      <c r="G460" s="39" t="n">
        <v>799.55</v>
      </c>
      <c r="H460" s="39" t="n">
        <v>800.55</v>
      </c>
      <c r="I460" s="39" t="n">
        <v>557.65</v>
      </c>
      <c r="J460" s="39" t="n">
        <v>2113.35</v>
      </c>
      <c r="K460" s="39" t="n">
        <v>724.89</v>
      </c>
      <c r="L460" s="39" t="n">
        <v>1435.3</v>
      </c>
      <c r="M460" s="39" t="n">
        <v>1325.15</v>
      </c>
      <c r="N460" s="39" t="n">
        <v>523.95</v>
      </c>
      <c r="O460" s="39" t="n">
        <v>303.4</v>
      </c>
      <c r="P460" s="39" t="n">
        <v>1791.3</v>
      </c>
      <c r="Q460" s="39" t="n">
        <v>416.85</v>
      </c>
      <c r="R460" s="39" t="n">
        <v>715.25</v>
      </c>
      <c r="S460" s="39" t="n">
        <v>570.09</v>
      </c>
    </row>
    <row r="461" customFormat="false" ht="15" hidden="false" customHeight="false" outlineLevel="0" collapsed="false">
      <c r="A461" s="8" t="n">
        <v>45477</v>
      </c>
      <c r="B461" s="39" t="n">
        <v>24302.15</v>
      </c>
      <c r="C461" s="39" t="n">
        <v>22914.2</v>
      </c>
      <c r="D461" s="39" t="n">
        <v>1794.85</v>
      </c>
      <c r="E461" s="39" t="n">
        <v>890.6</v>
      </c>
      <c r="F461" s="39" t="n">
        <v>1068.7</v>
      </c>
      <c r="G461" s="39" t="n">
        <v>793</v>
      </c>
      <c r="H461" s="39" t="n">
        <v>808.85</v>
      </c>
      <c r="I461" s="39" t="n">
        <v>555.5</v>
      </c>
      <c r="J461" s="39" t="n">
        <v>2097.05</v>
      </c>
      <c r="K461" s="39" t="n">
        <v>709.74</v>
      </c>
      <c r="L461" s="39" t="n">
        <v>1421.7</v>
      </c>
      <c r="M461" s="39" t="n">
        <v>1329.25</v>
      </c>
      <c r="N461" s="39" t="n">
        <v>520.5</v>
      </c>
      <c r="O461" s="39" t="n">
        <v>298.2</v>
      </c>
      <c r="P461" s="39" t="n">
        <v>1804.15</v>
      </c>
      <c r="Q461" s="39" t="n">
        <v>419.25</v>
      </c>
      <c r="R461" s="39" t="n">
        <v>718.9</v>
      </c>
      <c r="S461" s="39" t="n">
        <v>566.75</v>
      </c>
    </row>
    <row r="462" customFormat="false" ht="15" hidden="false" customHeight="false" outlineLevel="0" collapsed="false">
      <c r="A462" s="8" t="n">
        <v>45478</v>
      </c>
      <c r="B462" s="39" t="n">
        <v>24323.85</v>
      </c>
      <c r="C462" s="39" t="n">
        <v>22987.65</v>
      </c>
      <c r="D462" s="39" t="n">
        <v>1779.05</v>
      </c>
      <c r="E462" s="39" t="n">
        <v>886.9</v>
      </c>
      <c r="F462" s="39" t="n">
        <v>1055.7</v>
      </c>
      <c r="G462" s="39" t="n">
        <v>795.7</v>
      </c>
      <c r="H462" s="39" t="n">
        <v>792.6</v>
      </c>
      <c r="I462" s="39" t="n">
        <v>568.55</v>
      </c>
      <c r="J462" s="39" t="n">
        <v>2090.85</v>
      </c>
      <c r="K462" s="39" t="n">
        <v>712.83</v>
      </c>
      <c r="L462" s="39" t="n">
        <v>1431.6</v>
      </c>
      <c r="M462" s="39" t="n">
        <v>1329.85</v>
      </c>
      <c r="N462" s="39" t="n">
        <v>523.1</v>
      </c>
      <c r="O462" s="39" t="n">
        <v>300.5</v>
      </c>
      <c r="P462" s="39" t="n">
        <v>1810.6</v>
      </c>
      <c r="Q462" s="39" t="n">
        <v>428.7</v>
      </c>
      <c r="R462" s="39" t="n">
        <v>721.95</v>
      </c>
      <c r="S462" s="39" t="n">
        <v>573.17</v>
      </c>
    </row>
    <row r="463" customFormat="false" ht="15" hidden="false" customHeight="false" outlineLevel="0" collapsed="false">
      <c r="A463" s="8" t="n">
        <v>45481</v>
      </c>
      <c r="B463" s="39" t="n">
        <v>24320.55</v>
      </c>
      <c r="C463" s="39" t="n">
        <v>22971.15</v>
      </c>
      <c r="D463" s="39" t="n">
        <v>1797.15</v>
      </c>
      <c r="E463" s="39" t="n">
        <v>886.85</v>
      </c>
      <c r="F463" s="39" t="n">
        <v>1049.25</v>
      </c>
      <c r="G463" s="39" t="n">
        <v>782.15</v>
      </c>
      <c r="H463" s="39" t="n">
        <v>793.1</v>
      </c>
      <c r="I463" s="39" t="n">
        <v>563.5</v>
      </c>
      <c r="J463" s="39" t="n">
        <v>2082.15</v>
      </c>
      <c r="K463" s="39" t="n">
        <v>708.86</v>
      </c>
      <c r="L463" s="39" t="n">
        <v>1412.15</v>
      </c>
      <c r="M463" s="39" t="n">
        <v>1310.35</v>
      </c>
      <c r="N463" s="39" t="n">
        <v>511.6</v>
      </c>
      <c r="O463" s="39" t="n">
        <v>302.8</v>
      </c>
      <c r="P463" s="39" t="n">
        <v>1784.4</v>
      </c>
      <c r="Q463" s="39" t="n">
        <v>423.05</v>
      </c>
      <c r="R463" s="39" t="n">
        <v>735.65</v>
      </c>
      <c r="S463" s="39" t="n">
        <v>561.62</v>
      </c>
    </row>
    <row r="464" customFormat="false" ht="15" hidden="false" customHeight="false" outlineLevel="0" collapsed="false">
      <c r="A464" s="8" t="n">
        <v>45482</v>
      </c>
      <c r="B464" s="39" t="n">
        <v>24433.2</v>
      </c>
      <c r="C464" s="39" t="n">
        <v>23067.35</v>
      </c>
      <c r="D464" s="39" t="n">
        <v>1800.4</v>
      </c>
      <c r="E464" s="39" t="n">
        <v>879.3</v>
      </c>
      <c r="F464" s="39" t="n">
        <v>1039.65</v>
      </c>
      <c r="G464" s="39" t="n">
        <v>771.45</v>
      </c>
      <c r="H464" s="39" t="n">
        <v>793.3</v>
      </c>
      <c r="I464" s="39" t="n">
        <v>560.7</v>
      </c>
      <c r="J464" s="39" t="n">
        <v>2077.2</v>
      </c>
      <c r="K464" s="39" t="n">
        <v>705.84</v>
      </c>
      <c r="L464" s="39" t="n">
        <v>1403.5</v>
      </c>
      <c r="M464" s="39" t="n">
        <v>1282.95</v>
      </c>
      <c r="N464" s="39" t="n">
        <v>501.3</v>
      </c>
      <c r="O464" s="39" t="n">
        <v>302.25</v>
      </c>
      <c r="P464" s="39" t="n">
        <v>1807</v>
      </c>
      <c r="Q464" s="39" t="n">
        <v>417.2</v>
      </c>
      <c r="R464" s="39" t="n">
        <v>729.9</v>
      </c>
      <c r="S464" s="39" t="n">
        <v>558.4</v>
      </c>
    </row>
    <row r="465" customFormat="false" ht="15" hidden="false" customHeight="false" outlineLevel="0" collapsed="false">
      <c r="A465" s="8" t="n">
        <v>45483</v>
      </c>
      <c r="B465" s="39" t="n">
        <v>24324.45</v>
      </c>
      <c r="C465" s="39" t="n">
        <v>22977.65</v>
      </c>
      <c r="D465" s="39" t="n">
        <v>1801.5</v>
      </c>
      <c r="E465" s="39" t="n">
        <v>883.25</v>
      </c>
      <c r="F465" s="39" t="n">
        <v>1054.85</v>
      </c>
      <c r="G465" s="39" t="n">
        <v>779.85</v>
      </c>
      <c r="H465" s="39" t="n">
        <v>807.15</v>
      </c>
      <c r="I465" s="39" t="n">
        <v>546.55</v>
      </c>
      <c r="J465" s="39" t="n">
        <v>2082.9</v>
      </c>
      <c r="K465" s="39" t="n">
        <v>704.54</v>
      </c>
      <c r="L465" s="39" t="n">
        <v>1421.05</v>
      </c>
      <c r="M465" s="39" t="n">
        <v>1254.1</v>
      </c>
      <c r="N465" s="39" t="n">
        <v>483.2</v>
      </c>
      <c r="O465" s="39" t="n">
        <v>299.1</v>
      </c>
      <c r="P465" s="39" t="n">
        <v>1823.7</v>
      </c>
      <c r="Q465" s="39" t="n">
        <v>406</v>
      </c>
      <c r="R465" s="39" t="n">
        <v>745.3</v>
      </c>
      <c r="S465" s="39" t="n">
        <v>552.42</v>
      </c>
    </row>
    <row r="466" customFormat="false" ht="15" hidden="false" customHeight="false" outlineLevel="0" collapsed="false">
      <c r="A466" s="8" t="n">
        <v>45484</v>
      </c>
      <c r="B466" s="39" t="n">
        <v>24315.95</v>
      </c>
      <c r="C466" s="39" t="n">
        <v>23005.25</v>
      </c>
      <c r="D466" s="39" t="n">
        <v>1789.9</v>
      </c>
      <c r="E466" s="39" t="n">
        <v>878.25</v>
      </c>
      <c r="F466" s="39" t="n">
        <v>1054.55</v>
      </c>
      <c r="G466" s="39" t="n">
        <v>790.75</v>
      </c>
      <c r="H466" s="39" t="n">
        <v>799.75</v>
      </c>
      <c r="I466" s="39" t="n">
        <v>559.7</v>
      </c>
      <c r="J466" s="39" t="n">
        <v>2047.85</v>
      </c>
      <c r="K466" s="39" t="n">
        <v>694.09</v>
      </c>
      <c r="L466" s="39" t="n">
        <v>1404.8</v>
      </c>
      <c r="M466" s="39" t="n">
        <v>1274.75</v>
      </c>
      <c r="N466" s="39" t="n">
        <v>498.35</v>
      </c>
      <c r="O466" s="39" t="n">
        <v>301.15</v>
      </c>
      <c r="P466" s="39" t="n">
        <v>1831.9</v>
      </c>
      <c r="Q466" s="39" t="n">
        <v>405</v>
      </c>
      <c r="R466" s="39" t="n">
        <v>741.2</v>
      </c>
      <c r="S466" s="39" t="n">
        <v>547.8</v>
      </c>
    </row>
    <row r="467" customFormat="false" ht="15" hidden="false" customHeight="false" outlineLevel="0" collapsed="false">
      <c r="A467" s="8" t="n">
        <v>45485</v>
      </c>
      <c r="B467" s="39" t="n">
        <v>24502.15</v>
      </c>
      <c r="C467" s="39" t="n">
        <v>23095.45</v>
      </c>
      <c r="D467" s="39" t="n">
        <v>1778</v>
      </c>
      <c r="E467" s="39" t="n">
        <v>868.25</v>
      </c>
      <c r="F467" s="39" t="n">
        <v>1060.25</v>
      </c>
      <c r="G467" s="39" t="n">
        <v>779.7</v>
      </c>
      <c r="H467" s="39" t="n">
        <v>809.85</v>
      </c>
      <c r="I467" s="39" t="n">
        <v>558.9</v>
      </c>
      <c r="J467" s="39" t="n">
        <v>2064.75</v>
      </c>
      <c r="K467" s="39" t="n">
        <v>699.48</v>
      </c>
      <c r="L467" s="39" t="n">
        <v>1380.7</v>
      </c>
      <c r="M467" s="39" t="n">
        <v>1292.6</v>
      </c>
      <c r="N467" s="39" t="n">
        <v>490.75</v>
      </c>
      <c r="O467" s="39" t="n">
        <v>298.2</v>
      </c>
      <c r="P467" s="39" t="n">
        <v>1846.75</v>
      </c>
      <c r="Q467" s="39" t="n">
        <v>404.35</v>
      </c>
      <c r="R467" s="39" t="n">
        <v>738.65</v>
      </c>
      <c r="S467" s="39" t="n">
        <v>558.88</v>
      </c>
    </row>
    <row r="468" customFormat="false" ht="15" hidden="false" customHeight="false" outlineLevel="0" collapsed="false">
      <c r="A468" s="8" t="n">
        <v>45488</v>
      </c>
      <c r="B468" s="39" t="n">
        <v>24586.7</v>
      </c>
      <c r="C468" s="39" t="n">
        <v>23209.85</v>
      </c>
      <c r="D468" s="39" t="n">
        <v>1782.8</v>
      </c>
      <c r="E468" s="39" t="n">
        <v>878.45</v>
      </c>
      <c r="F468" s="39" t="n">
        <v>1098.6</v>
      </c>
      <c r="G468" s="39" t="n">
        <v>803.3</v>
      </c>
      <c r="H468" s="39" t="n">
        <v>800.6</v>
      </c>
      <c r="I468" s="39" t="n">
        <v>545.5</v>
      </c>
      <c r="J468" s="39" t="n">
        <v>2059.05</v>
      </c>
      <c r="K468" s="39" t="n">
        <v>705.42</v>
      </c>
      <c r="L468" s="39" t="n">
        <v>1413.5</v>
      </c>
      <c r="M468" s="39" t="n">
        <v>1282.9</v>
      </c>
      <c r="N468" s="39" t="n">
        <v>487.5</v>
      </c>
      <c r="O468" s="39" t="n">
        <v>303.05</v>
      </c>
      <c r="P468" s="39" t="n">
        <v>1836.15</v>
      </c>
      <c r="Q468" s="39" t="n">
        <v>400.6</v>
      </c>
      <c r="R468" s="39" t="n">
        <v>738.55</v>
      </c>
      <c r="S468" s="39" t="n">
        <v>576.46</v>
      </c>
    </row>
    <row r="469" customFormat="false" ht="15" hidden="false" customHeight="false" outlineLevel="0" collapsed="false">
      <c r="A469" s="8" t="n">
        <v>45489</v>
      </c>
      <c r="B469" s="39" t="n">
        <v>24613</v>
      </c>
      <c r="C469" s="39" t="n">
        <v>23204.25</v>
      </c>
      <c r="D469" s="39" t="n">
        <v>1788.3</v>
      </c>
      <c r="E469" s="39" t="n">
        <v>887.7</v>
      </c>
      <c r="F469" s="39" t="n">
        <v>1074.45</v>
      </c>
      <c r="G469" s="39" t="n">
        <v>807</v>
      </c>
      <c r="H469" s="39" t="n">
        <v>799.3</v>
      </c>
      <c r="I469" s="39" t="n">
        <v>549.95</v>
      </c>
      <c r="J469" s="39" t="n">
        <v>2019.75</v>
      </c>
      <c r="K469" s="39" t="n">
        <v>704.95</v>
      </c>
      <c r="L469" s="39" t="n">
        <v>1408.2</v>
      </c>
      <c r="M469" s="39" t="n">
        <v>1277.8</v>
      </c>
      <c r="N469" s="39" t="n">
        <v>484.55</v>
      </c>
      <c r="O469" s="39" t="n">
        <v>297.3</v>
      </c>
      <c r="P469" s="39" t="n">
        <v>1834.65</v>
      </c>
      <c r="Q469" s="39" t="n">
        <v>415.6</v>
      </c>
      <c r="R469" s="39" t="n">
        <v>730.9</v>
      </c>
      <c r="S469" s="39" t="n">
        <v>562.7</v>
      </c>
    </row>
    <row r="470" customFormat="false" ht="15" hidden="false" customHeight="false" outlineLevel="0" collapsed="false">
      <c r="A470" s="8" t="n">
        <v>45491</v>
      </c>
      <c r="B470" s="39" t="n">
        <v>24800.85</v>
      </c>
      <c r="C470" s="39" t="n">
        <v>23210.05</v>
      </c>
      <c r="D470" s="39" t="n">
        <v>1775.3</v>
      </c>
      <c r="E470" s="39" t="n">
        <v>877.1</v>
      </c>
      <c r="F470" s="39" t="n">
        <v>1099.45</v>
      </c>
      <c r="G470" s="39" t="n">
        <v>795.7</v>
      </c>
      <c r="H470" s="39" t="n">
        <v>789.2</v>
      </c>
      <c r="I470" s="39" t="n">
        <v>552.6</v>
      </c>
      <c r="J470" s="39" t="n">
        <v>2001.35</v>
      </c>
      <c r="K470" s="39" t="n">
        <v>710.03</v>
      </c>
      <c r="L470" s="39" t="n">
        <v>1449.85</v>
      </c>
      <c r="M470" s="39" t="n">
        <v>1297.15</v>
      </c>
      <c r="N470" s="39" t="n">
        <v>471.95</v>
      </c>
      <c r="O470" s="39" t="n">
        <v>295.2</v>
      </c>
      <c r="P470" s="39" t="n">
        <v>1848.15</v>
      </c>
      <c r="Q470" s="39" t="n">
        <v>413.25</v>
      </c>
      <c r="R470" s="39" t="n">
        <v>733.5</v>
      </c>
      <c r="S470" s="39" t="n">
        <v>573.46</v>
      </c>
    </row>
    <row r="471" customFormat="false" ht="15" hidden="false" customHeight="false" outlineLevel="0" collapsed="false">
      <c r="A471" s="8" t="n">
        <v>45492</v>
      </c>
      <c r="B471" s="39" t="n">
        <v>24530.9</v>
      </c>
      <c r="C471" s="39" t="n">
        <v>22853.6</v>
      </c>
      <c r="D471" s="39" t="n">
        <v>1738.4</v>
      </c>
      <c r="E471" s="39" t="n">
        <v>849.3</v>
      </c>
      <c r="F471" s="39" t="n">
        <v>1078.1</v>
      </c>
      <c r="G471" s="39" t="n">
        <v>771.6</v>
      </c>
      <c r="H471" s="39" t="n">
        <v>780.8</v>
      </c>
      <c r="I471" s="39" t="n">
        <v>531.5</v>
      </c>
      <c r="J471" s="39" t="n">
        <v>2003.25</v>
      </c>
      <c r="K471" s="39" t="n">
        <v>692.29</v>
      </c>
      <c r="L471" s="39" t="n">
        <v>1426.7</v>
      </c>
      <c r="M471" s="39" t="n">
        <v>1284.5</v>
      </c>
      <c r="N471" s="39" t="n">
        <v>465.3</v>
      </c>
      <c r="O471" s="39" t="n">
        <v>290.25</v>
      </c>
      <c r="P471" s="39" t="n">
        <v>1841.25</v>
      </c>
      <c r="Q471" s="39" t="n">
        <v>411.8</v>
      </c>
      <c r="R471" s="39" t="n">
        <v>718.6</v>
      </c>
      <c r="S471" s="39" t="n">
        <v>562.17</v>
      </c>
    </row>
    <row r="472" customFormat="false" ht="15" hidden="false" customHeight="false" outlineLevel="0" collapsed="false">
      <c r="A472" s="8" t="n">
        <v>45495</v>
      </c>
      <c r="B472" s="39" t="n">
        <v>24509.25</v>
      </c>
      <c r="C472" s="39" t="n">
        <v>22942.65</v>
      </c>
      <c r="D472" s="39" t="n">
        <v>1791</v>
      </c>
      <c r="E472" s="39" t="n">
        <v>845.25</v>
      </c>
      <c r="F472" s="39" t="n">
        <v>1099.5</v>
      </c>
      <c r="G472" s="39" t="n">
        <v>793.85</v>
      </c>
      <c r="H472" s="39" t="n">
        <v>791.9</v>
      </c>
      <c r="I472" s="39" t="n">
        <v>537.95</v>
      </c>
      <c r="J472" s="39" t="n">
        <v>1950.7</v>
      </c>
      <c r="K472" s="39" t="n">
        <v>687.49</v>
      </c>
      <c r="L472" s="39" t="n">
        <v>1403.35</v>
      </c>
      <c r="M472" s="39" t="n">
        <v>1267.15</v>
      </c>
      <c r="N472" s="39" t="n">
        <v>465.55</v>
      </c>
      <c r="O472" s="39" t="n">
        <v>292.4</v>
      </c>
      <c r="P472" s="39" t="n">
        <v>1812.05</v>
      </c>
      <c r="Q472" s="39" t="n">
        <v>404.05</v>
      </c>
      <c r="R472" s="39" t="n">
        <v>727.75</v>
      </c>
      <c r="S472" s="39" t="n">
        <v>565.48</v>
      </c>
    </row>
    <row r="473" customFormat="false" ht="15" hidden="false" customHeight="false" outlineLevel="0" collapsed="false">
      <c r="A473" s="8" t="n">
        <v>45496</v>
      </c>
      <c r="B473" s="39" t="n">
        <v>24479.05</v>
      </c>
      <c r="C473" s="39" t="n">
        <v>22865.2</v>
      </c>
      <c r="D473" s="39" t="n">
        <v>1777.2</v>
      </c>
      <c r="E473" s="39" t="n">
        <v>842.8</v>
      </c>
      <c r="F473" s="39" t="n">
        <v>1062.9</v>
      </c>
      <c r="G473" s="39" t="n">
        <v>770.2</v>
      </c>
      <c r="H473" s="39" t="n">
        <v>757.4</v>
      </c>
      <c r="I473" s="39" t="n">
        <v>534.25</v>
      </c>
      <c r="J473" s="39" t="n">
        <v>1960.1</v>
      </c>
      <c r="K473" s="39" t="n">
        <v>671.8</v>
      </c>
      <c r="L473" s="39" t="n">
        <v>1395.65</v>
      </c>
      <c r="M473" s="39" t="n">
        <v>1303.1</v>
      </c>
      <c r="N473" s="39" t="n">
        <v>450.35</v>
      </c>
      <c r="O473" s="39" t="n">
        <v>295.85</v>
      </c>
      <c r="P473" s="39" t="n">
        <v>1733.95</v>
      </c>
      <c r="Q473" s="39" t="n">
        <v>391.25</v>
      </c>
      <c r="R473" s="39" t="n">
        <v>730.85</v>
      </c>
      <c r="S473" s="39" t="n">
        <v>547.84</v>
      </c>
    </row>
    <row r="474" customFormat="false" ht="15" hidden="false" customHeight="false" outlineLevel="0" collapsed="false">
      <c r="A474" s="8" t="n">
        <v>45497</v>
      </c>
      <c r="B474" s="39" t="n">
        <v>24413.5</v>
      </c>
      <c r="C474" s="39" t="n">
        <v>22921.45</v>
      </c>
      <c r="D474" s="39" t="n">
        <v>1759.25</v>
      </c>
      <c r="E474" s="39" t="n">
        <v>850.25</v>
      </c>
      <c r="F474" s="39" t="n">
        <v>1041.6</v>
      </c>
      <c r="G474" s="39" t="n">
        <v>782.05</v>
      </c>
      <c r="H474" s="39" t="n">
        <v>775.95</v>
      </c>
      <c r="I474" s="39" t="n">
        <v>536.35</v>
      </c>
      <c r="J474" s="39" t="n">
        <v>1998.65</v>
      </c>
      <c r="K474" s="39" t="n">
        <v>659.82</v>
      </c>
      <c r="L474" s="39" t="n">
        <v>1388.9</v>
      </c>
      <c r="M474" s="39" t="n">
        <v>1299.45</v>
      </c>
      <c r="N474" s="39" t="n">
        <v>464.4</v>
      </c>
      <c r="O474" s="39" t="n">
        <v>298.7</v>
      </c>
      <c r="P474" s="39" t="n">
        <v>1742.65</v>
      </c>
      <c r="Q474" s="39" t="n">
        <v>380.55</v>
      </c>
      <c r="R474" s="39" t="n">
        <v>743.6</v>
      </c>
      <c r="S474" s="39" t="n">
        <v>544.85</v>
      </c>
    </row>
    <row r="475" customFormat="false" ht="15" hidden="false" customHeight="false" outlineLevel="0" collapsed="false">
      <c r="A475" s="8" t="n">
        <v>45498</v>
      </c>
      <c r="B475" s="39" t="n">
        <v>24406.1</v>
      </c>
      <c r="C475" s="39" t="n">
        <v>22917.25</v>
      </c>
      <c r="D475" s="39" t="n">
        <v>1778.2</v>
      </c>
      <c r="E475" s="39" t="n">
        <v>827.8</v>
      </c>
      <c r="F475" s="39" t="n">
        <v>1030.1</v>
      </c>
      <c r="G475" s="39" t="n">
        <v>766.9</v>
      </c>
      <c r="H475" s="39" t="n">
        <v>781.25</v>
      </c>
      <c r="I475" s="39" t="n">
        <v>532.45</v>
      </c>
      <c r="J475" s="39" t="n">
        <v>1908.4</v>
      </c>
      <c r="K475" s="39" t="n">
        <v>663.87</v>
      </c>
      <c r="L475" s="39" t="n">
        <v>1363.65</v>
      </c>
      <c r="M475" s="39" t="n">
        <v>1271.1</v>
      </c>
      <c r="N475" s="39" t="n">
        <v>453</v>
      </c>
      <c r="O475" s="39" t="n">
        <v>289.85</v>
      </c>
      <c r="P475" s="39" t="n">
        <v>1742.5</v>
      </c>
      <c r="Q475" s="39" t="n">
        <v>365.65</v>
      </c>
      <c r="R475" s="39" t="n">
        <v>730.5</v>
      </c>
      <c r="S475" s="39" t="n">
        <v>535.8</v>
      </c>
    </row>
    <row r="476" customFormat="false" ht="15" hidden="false" customHeight="false" outlineLevel="0" collapsed="false">
      <c r="A476" s="8" t="n">
        <v>45499</v>
      </c>
      <c r="B476" s="39" t="n">
        <v>24834.85</v>
      </c>
      <c r="C476" s="39" t="n">
        <v>23292.05</v>
      </c>
      <c r="D476" s="39" t="n">
        <v>1746.95</v>
      </c>
      <c r="E476" s="39" t="n">
        <v>856.9</v>
      </c>
      <c r="F476" s="39" t="n">
        <v>1061.5</v>
      </c>
      <c r="G476" s="39" t="n">
        <v>791.3</v>
      </c>
      <c r="H476" s="39" t="n">
        <v>793.85</v>
      </c>
      <c r="I476" s="39" t="n">
        <v>541.7</v>
      </c>
      <c r="J476" s="39" t="n">
        <v>1900.95</v>
      </c>
      <c r="K476" s="39" t="n">
        <v>678.05</v>
      </c>
      <c r="L476" s="39" t="n">
        <v>1410.95</v>
      </c>
      <c r="M476" s="39" t="n">
        <v>1311.95</v>
      </c>
      <c r="N476" s="39" t="n">
        <v>451.15</v>
      </c>
      <c r="O476" s="39" t="n">
        <v>293.65</v>
      </c>
      <c r="P476" s="39" t="n">
        <v>1783.2</v>
      </c>
      <c r="Q476" s="39" t="n">
        <v>375.7</v>
      </c>
      <c r="R476" s="39" t="n">
        <v>721.7</v>
      </c>
      <c r="S476" s="39" t="n">
        <v>585</v>
      </c>
    </row>
    <row r="477" customFormat="false" ht="15" hidden="false" customHeight="false" outlineLevel="0" collapsed="false">
      <c r="A477" s="8" t="n">
        <v>45502</v>
      </c>
      <c r="B477" s="39" t="n">
        <v>24836.1</v>
      </c>
      <c r="C477" s="39" t="n">
        <v>23394.2</v>
      </c>
      <c r="D477" s="39" t="n">
        <v>1730.4</v>
      </c>
      <c r="E477" s="39" t="n">
        <v>855.75</v>
      </c>
      <c r="F477" s="39" t="n">
        <v>1077.25</v>
      </c>
      <c r="G477" s="39" t="n">
        <v>791.55</v>
      </c>
      <c r="H477" s="39" t="n">
        <v>794.9</v>
      </c>
      <c r="I477" s="39" t="n">
        <v>538.25</v>
      </c>
      <c r="J477" s="39" t="n">
        <v>1904.15</v>
      </c>
      <c r="K477" s="39" t="n">
        <v>680.32</v>
      </c>
      <c r="L477" s="39" t="n">
        <v>1433.4</v>
      </c>
      <c r="M477" s="39" t="n">
        <v>1315.4</v>
      </c>
      <c r="N477" s="39" t="n">
        <v>445.35</v>
      </c>
      <c r="O477" s="39" t="n">
        <v>303.15</v>
      </c>
      <c r="P477" s="39" t="n">
        <v>1781.05</v>
      </c>
      <c r="Q477" s="39" t="n">
        <v>381.05</v>
      </c>
      <c r="R477" s="39" t="n">
        <v>707.9</v>
      </c>
      <c r="S477" s="39" t="n">
        <v>588.6</v>
      </c>
    </row>
    <row r="478" customFormat="false" ht="15" hidden="false" customHeight="false" outlineLevel="0" collapsed="false">
      <c r="A478" s="8" t="n">
        <v>45503</v>
      </c>
      <c r="B478" s="39" t="n">
        <v>24857.3</v>
      </c>
      <c r="C478" s="39" t="n">
        <v>23440.9</v>
      </c>
      <c r="D478" s="39" t="n">
        <v>1717.3</v>
      </c>
      <c r="E478" s="39" t="n">
        <v>851.55</v>
      </c>
      <c r="F478" s="39" t="n">
        <v>1054.35</v>
      </c>
      <c r="G478" s="39" t="n">
        <v>774</v>
      </c>
      <c r="H478" s="39" t="n">
        <v>779.95</v>
      </c>
      <c r="I478" s="39" t="n">
        <v>535.15</v>
      </c>
      <c r="J478" s="39" t="n">
        <v>1910.6</v>
      </c>
      <c r="K478" s="39" t="n">
        <v>681.43</v>
      </c>
      <c r="L478" s="39" t="n">
        <v>1417.85</v>
      </c>
      <c r="M478" s="39" t="n">
        <v>1325.9</v>
      </c>
      <c r="N478" s="39" t="n">
        <v>438.45</v>
      </c>
      <c r="O478" s="39" t="n">
        <v>304</v>
      </c>
      <c r="P478" s="39" t="n">
        <v>1808.4</v>
      </c>
      <c r="Q478" s="39" t="n">
        <v>370.85</v>
      </c>
      <c r="R478" s="39" t="n">
        <v>719</v>
      </c>
      <c r="S478" s="39" t="n">
        <v>582.41</v>
      </c>
    </row>
    <row r="479" customFormat="false" ht="15" hidden="false" customHeight="false" outlineLevel="0" collapsed="false">
      <c r="A479" s="8" t="n">
        <v>45504</v>
      </c>
      <c r="B479" s="39" t="n">
        <v>24951.15</v>
      </c>
      <c r="C479" s="39" t="n">
        <v>23530.8</v>
      </c>
      <c r="D479" s="39" t="n">
        <v>1675.65</v>
      </c>
      <c r="E479" s="39" t="n">
        <v>848.65</v>
      </c>
      <c r="F479" s="39" t="n">
        <v>1040.1</v>
      </c>
      <c r="G479" s="39" t="n">
        <v>767.25</v>
      </c>
      <c r="H479" s="39" t="n">
        <v>805.5</v>
      </c>
      <c r="I479" s="39" t="n">
        <v>557</v>
      </c>
      <c r="J479" s="39" t="n">
        <v>1874.05</v>
      </c>
      <c r="K479" s="39" t="n">
        <v>679.77</v>
      </c>
      <c r="L479" s="39" t="n">
        <v>1416.6</v>
      </c>
      <c r="M479" s="39" t="n">
        <v>1327.65</v>
      </c>
      <c r="N479" s="39" t="n">
        <v>442.05</v>
      </c>
      <c r="O479" s="39" t="n">
        <v>303.25</v>
      </c>
      <c r="P479" s="39" t="n">
        <v>1838.1</v>
      </c>
      <c r="Q479" s="39" t="n">
        <v>369.05</v>
      </c>
      <c r="R479" s="39" t="n">
        <v>726.85</v>
      </c>
      <c r="S479" s="39" t="n">
        <v>586.39</v>
      </c>
    </row>
    <row r="480" customFormat="false" ht="15" hidden="false" customHeight="false" outlineLevel="0" collapsed="false">
      <c r="A480" s="8" t="n">
        <v>45505</v>
      </c>
      <c r="B480" s="39" t="n">
        <v>25010.9</v>
      </c>
      <c r="C480" s="39" t="n">
        <v>23506.6</v>
      </c>
      <c r="D480" s="39" t="n">
        <v>1664.1</v>
      </c>
      <c r="E480" s="39" t="n">
        <v>835</v>
      </c>
      <c r="F480" s="39" t="n">
        <v>1025.35</v>
      </c>
      <c r="G480" s="39" t="n">
        <v>757.55</v>
      </c>
      <c r="H480" s="39" t="n">
        <v>809.55</v>
      </c>
      <c r="I480" s="39" t="n">
        <v>542.55</v>
      </c>
      <c r="J480" s="39" t="n">
        <v>1779.7</v>
      </c>
      <c r="K480" s="39" t="n">
        <v>676.24</v>
      </c>
      <c r="L480" s="39" t="n">
        <v>1390.65</v>
      </c>
      <c r="M480" s="39" t="n">
        <v>1322.55</v>
      </c>
      <c r="N480" s="39" t="n">
        <v>456.8</v>
      </c>
      <c r="O480" s="39" t="n">
        <v>306.45</v>
      </c>
      <c r="P480" s="39" t="n">
        <v>1864.35</v>
      </c>
      <c r="Q480" s="39" t="n">
        <v>359.8</v>
      </c>
      <c r="R480" s="39" t="n">
        <v>720.45</v>
      </c>
      <c r="S480" s="39" t="n">
        <v>597.85</v>
      </c>
    </row>
    <row r="481" customFormat="false" ht="15" hidden="false" customHeight="false" outlineLevel="0" collapsed="false">
      <c r="A481" s="8" t="n">
        <v>45506</v>
      </c>
      <c r="B481" s="39" t="n">
        <v>24717.7</v>
      </c>
      <c r="C481" s="39" t="n">
        <v>23259.45</v>
      </c>
      <c r="D481" s="39" t="n">
        <v>1673.4</v>
      </c>
      <c r="E481" s="39" t="n">
        <v>836.6</v>
      </c>
      <c r="F481" s="39" t="n">
        <v>1026.1</v>
      </c>
      <c r="G481" s="39" t="n">
        <v>748.6</v>
      </c>
      <c r="H481" s="39" t="n">
        <v>810.55</v>
      </c>
      <c r="I481" s="39" t="n">
        <v>504.65</v>
      </c>
      <c r="J481" s="39" t="n">
        <v>1861.05</v>
      </c>
      <c r="K481" s="39" t="n">
        <v>671.59</v>
      </c>
      <c r="L481" s="39" t="n">
        <v>1385.1</v>
      </c>
      <c r="M481" s="39" t="n">
        <v>1311.8</v>
      </c>
      <c r="N481" s="39" t="n">
        <v>450.55</v>
      </c>
      <c r="O481" s="39" t="n">
        <v>305.45</v>
      </c>
      <c r="P481" s="39" t="n">
        <v>1877.65</v>
      </c>
      <c r="Q481" s="39" t="n">
        <v>362.5</v>
      </c>
      <c r="R481" s="39" t="n">
        <v>714.55</v>
      </c>
      <c r="S481" s="39" t="n">
        <v>598.42</v>
      </c>
    </row>
    <row r="482" customFormat="false" ht="15" hidden="false" customHeight="false" outlineLevel="0" collapsed="false">
      <c r="A482" s="8" t="n">
        <v>45509</v>
      </c>
      <c r="B482" s="39" t="n">
        <v>24055.6</v>
      </c>
      <c r="C482" s="39" t="n">
        <v>22542.45</v>
      </c>
      <c r="D482" s="39" t="n">
        <v>1629.25</v>
      </c>
      <c r="E482" s="39" t="n">
        <v>782</v>
      </c>
      <c r="F482" s="39" t="n">
        <v>981.2</v>
      </c>
      <c r="G482" s="39" t="n">
        <v>686.15</v>
      </c>
      <c r="H482" s="39" t="n">
        <v>774.9</v>
      </c>
      <c r="I482" s="39" t="n">
        <v>491.1</v>
      </c>
      <c r="J482" s="39" t="n">
        <v>1790.25</v>
      </c>
      <c r="K482" s="39" t="n">
        <v>658.77</v>
      </c>
      <c r="L482" s="39" t="n">
        <v>1346.85</v>
      </c>
      <c r="M482" s="39" t="n">
        <v>1278.75</v>
      </c>
      <c r="N482" s="39" t="n">
        <v>424.9</v>
      </c>
      <c r="O482" s="39" t="n">
        <v>292.6</v>
      </c>
      <c r="P482" s="39" t="n">
        <v>1824.15</v>
      </c>
      <c r="Q482" s="39" t="n">
        <v>345.75</v>
      </c>
      <c r="R482" s="39" t="n">
        <v>702.35</v>
      </c>
      <c r="S482" s="39" t="n">
        <v>578.29</v>
      </c>
    </row>
    <row r="483" customFormat="false" ht="15" hidden="false" customHeight="false" outlineLevel="0" collapsed="false">
      <c r="A483" s="8" t="n">
        <v>45510</v>
      </c>
      <c r="B483" s="39" t="n">
        <v>23992.55</v>
      </c>
      <c r="C483" s="39" t="n">
        <v>22443.3</v>
      </c>
      <c r="D483" s="39" t="n">
        <v>1630</v>
      </c>
      <c r="E483" s="39" t="n">
        <v>772.4</v>
      </c>
      <c r="F483" s="39" t="n">
        <v>1040.75</v>
      </c>
      <c r="G483" s="39" t="n">
        <v>651.85</v>
      </c>
      <c r="H483" s="39" t="n">
        <v>790.85</v>
      </c>
      <c r="I483" s="39" t="n">
        <v>466.2</v>
      </c>
      <c r="J483" s="39" t="n">
        <v>1767.4</v>
      </c>
      <c r="K483" s="39" t="n">
        <v>652.95</v>
      </c>
      <c r="L483" s="39" t="n">
        <v>1335.35</v>
      </c>
      <c r="M483" s="39" t="n">
        <v>1308.6</v>
      </c>
      <c r="N483" s="39" t="n">
        <v>430.85</v>
      </c>
      <c r="O483" s="39" t="n">
        <v>293.15</v>
      </c>
      <c r="P483" s="39" t="n">
        <v>1787.95</v>
      </c>
      <c r="Q483" s="39" t="n">
        <v>342.5</v>
      </c>
      <c r="R483" s="39" t="n">
        <v>698.65</v>
      </c>
      <c r="S483" s="39" t="n">
        <v>567.36</v>
      </c>
    </row>
    <row r="484" customFormat="false" ht="15" hidden="false" customHeight="false" outlineLevel="0" collapsed="false">
      <c r="A484" s="8" t="n">
        <v>45511</v>
      </c>
      <c r="B484" s="39" t="n">
        <v>24297.5</v>
      </c>
      <c r="C484" s="39" t="n">
        <v>22848.9</v>
      </c>
      <c r="D484" s="39" t="n">
        <v>1632.75</v>
      </c>
      <c r="E484" s="39" t="n">
        <v>787.55</v>
      </c>
      <c r="F484" s="39" t="n">
        <v>1011.55</v>
      </c>
      <c r="G484" s="39" t="n">
        <v>637.15</v>
      </c>
      <c r="H484" s="39" t="n">
        <v>809.35</v>
      </c>
      <c r="I484" s="39" t="n">
        <v>475.7</v>
      </c>
      <c r="J484" s="39" t="n">
        <v>1741.4</v>
      </c>
      <c r="K484" s="39" t="n">
        <v>662.81</v>
      </c>
      <c r="L484" s="39" t="n">
        <v>1377.7</v>
      </c>
      <c r="M484" s="39" t="n">
        <v>1285.4</v>
      </c>
      <c r="N484" s="39" t="n">
        <v>440.55</v>
      </c>
      <c r="O484" s="39" t="n">
        <v>303.8</v>
      </c>
      <c r="P484" s="39" t="n">
        <v>1855.4</v>
      </c>
      <c r="Q484" s="39" t="n">
        <v>351.85</v>
      </c>
      <c r="R484" s="39" t="n">
        <v>713.9</v>
      </c>
      <c r="S484" s="39" t="n">
        <v>585.01</v>
      </c>
    </row>
    <row r="485" customFormat="false" ht="15" hidden="false" customHeight="false" outlineLevel="0" collapsed="false">
      <c r="A485" s="8" t="n">
        <v>45512</v>
      </c>
      <c r="B485" s="39" t="n">
        <v>24117</v>
      </c>
      <c r="C485" s="39" t="n">
        <v>22705.7</v>
      </c>
      <c r="D485" s="39" t="n">
        <v>1648.15</v>
      </c>
      <c r="E485" s="39" t="n">
        <v>786.1</v>
      </c>
      <c r="F485" s="39" t="n">
        <v>1027.35</v>
      </c>
      <c r="G485" s="39" t="n">
        <v>640</v>
      </c>
      <c r="H485" s="39" t="n">
        <v>804.2</v>
      </c>
      <c r="I485" s="39" t="n">
        <v>452.05</v>
      </c>
      <c r="J485" s="39" t="n">
        <v>1713.05</v>
      </c>
      <c r="K485" s="39" t="n">
        <v>657.33</v>
      </c>
      <c r="L485" s="39" t="n">
        <v>1350.25</v>
      </c>
      <c r="M485" s="39" t="n">
        <v>1252.85</v>
      </c>
      <c r="N485" s="39" t="n">
        <v>429.45</v>
      </c>
      <c r="O485" s="39" t="n">
        <v>295.9</v>
      </c>
      <c r="P485" s="39" t="n">
        <v>1848.05</v>
      </c>
      <c r="Q485" s="39" t="n">
        <v>368.8</v>
      </c>
      <c r="R485" s="39" t="n">
        <v>715.6</v>
      </c>
      <c r="S485" s="39" t="n">
        <v>574.44</v>
      </c>
    </row>
    <row r="486" customFormat="false" ht="15" hidden="false" customHeight="false" outlineLevel="0" collapsed="false">
      <c r="A486" s="8" t="n">
        <v>45513</v>
      </c>
      <c r="B486" s="39" t="n">
        <v>24367.5</v>
      </c>
      <c r="C486" s="39" t="n">
        <v>22923.5</v>
      </c>
      <c r="D486" s="39" t="n">
        <v>1644.95</v>
      </c>
      <c r="E486" s="39" t="n">
        <v>803.15</v>
      </c>
      <c r="F486" s="39" t="n">
        <v>1044.2</v>
      </c>
      <c r="G486" s="39" t="n">
        <v>638.15</v>
      </c>
      <c r="H486" s="39" t="n">
        <v>821</v>
      </c>
      <c r="I486" s="39" t="n">
        <v>477.75</v>
      </c>
      <c r="J486" s="39" t="n">
        <v>1756.35</v>
      </c>
      <c r="K486" s="39" t="n">
        <v>660.92</v>
      </c>
      <c r="L486" s="39" t="n">
        <v>1348.65</v>
      </c>
      <c r="M486" s="39" t="n">
        <v>1252.2</v>
      </c>
      <c r="N486" s="39" t="n">
        <v>423</v>
      </c>
      <c r="O486" s="39" t="n">
        <v>300.1</v>
      </c>
      <c r="P486" s="39" t="n">
        <v>1879.2</v>
      </c>
      <c r="Q486" s="39" t="n">
        <v>365.8</v>
      </c>
      <c r="R486" s="39" t="n">
        <v>709.8</v>
      </c>
      <c r="S486" s="39" t="n">
        <v>591.62</v>
      </c>
    </row>
    <row r="487" customFormat="false" ht="15" hidden="false" customHeight="false" outlineLevel="0" collapsed="false">
      <c r="A487" s="8" t="n">
        <v>45516</v>
      </c>
      <c r="B487" s="39" t="n">
        <v>24347</v>
      </c>
      <c r="C487" s="39" t="n">
        <v>22915.85</v>
      </c>
      <c r="D487" s="39" t="n">
        <v>1716.25</v>
      </c>
      <c r="E487" s="39" t="n">
        <v>818.2</v>
      </c>
      <c r="F487" s="39" t="n">
        <v>1015.55</v>
      </c>
      <c r="G487" s="39" t="n">
        <v>646.65</v>
      </c>
      <c r="H487" s="39" t="n">
        <v>836.1</v>
      </c>
      <c r="I487" s="39" t="n">
        <v>488.15</v>
      </c>
      <c r="J487" s="39" t="n">
        <v>1741.15</v>
      </c>
      <c r="K487" s="39" t="n">
        <v>659.92</v>
      </c>
      <c r="L487" s="39" t="n">
        <v>1348.75</v>
      </c>
      <c r="M487" s="39" t="n">
        <v>1245.05</v>
      </c>
      <c r="N487" s="39" t="n">
        <v>419.15</v>
      </c>
      <c r="O487" s="39" t="n">
        <v>298.75</v>
      </c>
      <c r="P487" s="39" t="n">
        <v>1890.1</v>
      </c>
      <c r="Q487" s="39" t="n">
        <v>363.2</v>
      </c>
      <c r="R487" s="39" t="n">
        <v>699.95</v>
      </c>
      <c r="S487" s="39" t="n">
        <v>595.22</v>
      </c>
    </row>
    <row r="488" customFormat="false" ht="15" hidden="false" customHeight="false" outlineLevel="0" collapsed="false">
      <c r="A488" s="8" t="n">
        <v>45517</v>
      </c>
      <c r="B488" s="39" t="n">
        <v>24139</v>
      </c>
      <c r="C488" s="39" t="n">
        <v>22705.8</v>
      </c>
      <c r="D488" s="39" t="n">
        <v>1703.25</v>
      </c>
      <c r="E488" s="39" t="n">
        <v>802.85</v>
      </c>
      <c r="F488" s="39" t="n">
        <v>1012.05</v>
      </c>
      <c r="G488" s="39" t="n">
        <v>641.7</v>
      </c>
      <c r="H488" s="39" t="n">
        <v>803.6</v>
      </c>
      <c r="I488" s="39" t="n">
        <v>475.6</v>
      </c>
      <c r="J488" s="39" t="n">
        <v>1750.25</v>
      </c>
      <c r="K488" s="39" t="n">
        <v>645.63</v>
      </c>
      <c r="L488" s="39" t="n">
        <v>1314.9</v>
      </c>
      <c r="M488" s="39" t="n">
        <v>1202.95</v>
      </c>
      <c r="N488" s="39" t="n">
        <v>405.65</v>
      </c>
      <c r="O488" s="39" t="n">
        <v>290</v>
      </c>
      <c r="P488" s="39" t="n">
        <v>1853.1</v>
      </c>
      <c r="Q488" s="39" t="n">
        <v>356.15</v>
      </c>
      <c r="R488" s="39" t="n">
        <v>691.9</v>
      </c>
      <c r="S488" s="39" t="n">
        <v>578.27</v>
      </c>
    </row>
    <row r="489" customFormat="false" ht="15" hidden="false" customHeight="false" outlineLevel="0" collapsed="false">
      <c r="A489" s="8" t="n">
        <v>45518</v>
      </c>
      <c r="B489" s="39" t="n">
        <v>24143.75</v>
      </c>
      <c r="C489" s="39" t="n">
        <v>22672.65</v>
      </c>
      <c r="D489" s="39" t="n">
        <v>1675.55</v>
      </c>
      <c r="E489" s="39" t="n">
        <v>805.4</v>
      </c>
      <c r="F489" s="39" t="n">
        <v>992.65</v>
      </c>
      <c r="G489" s="39" t="n">
        <v>643.55</v>
      </c>
      <c r="H489" s="39" t="n">
        <v>830.4</v>
      </c>
      <c r="I489" s="39" t="n">
        <v>469.8</v>
      </c>
      <c r="J489" s="39" t="n">
        <v>1798.4</v>
      </c>
      <c r="K489" s="39" t="n">
        <v>644.97</v>
      </c>
      <c r="L489" s="39" t="n">
        <v>1344</v>
      </c>
      <c r="M489" s="39" t="n">
        <v>1177.65</v>
      </c>
      <c r="N489" s="39" t="n">
        <v>401.3</v>
      </c>
      <c r="O489" s="39" t="n">
        <v>287.9</v>
      </c>
      <c r="P489" s="39" t="n">
        <v>1816.45</v>
      </c>
      <c r="Q489" s="39" t="n">
        <v>354.35</v>
      </c>
      <c r="R489" s="39" t="n">
        <v>689.65</v>
      </c>
      <c r="S489" s="39" t="n">
        <v>579.02</v>
      </c>
    </row>
    <row r="490" customFormat="false" ht="15" hidden="false" customHeight="false" outlineLevel="0" collapsed="false">
      <c r="A490" s="8" t="n">
        <v>45520</v>
      </c>
      <c r="B490" s="39" t="n">
        <v>24541.15</v>
      </c>
      <c r="C490" s="39" t="n">
        <v>23056.5</v>
      </c>
      <c r="D490" s="39" t="n">
        <v>1680.1</v>
      </c>
      <c r="E490" s="39" t="n">
        <v>834.55</v>
      </c>
      <c r="F490" s="39" t="n">
        <v>1006.45</v>
      </c>
      <c r="G490" s="39" t="n">
        <v>658.25</v>
      </c>
      <c r="H490" s="39" t="n">
        <v>824.6</v>
      </c>
      <c r="I490" s="39" t="n">
        <v>480.05</v>
      </c>
      <c r="J490" s="39" t="n">
        <v>1692.75</v>
      </c>
      <c r="K490" s="39" t="n">
        <v>658.19</v>
      </c>
      <c r="L490" s="39" t="n">
        <v>1369.15</v>
      </c>
      <c r="M490" s="39" t="n">
        <v>1211.5</v>
      </c>
      <c r="N490" s="39" t="n">
        <v>404.95</v>
      </c>
      <c r="O490" s="39" t="n">
        <v>295.85</v>
      </c>
      <c r="P490" s="39" t="n">
        <v>1833.95</v>
      </c>
      <c r="Q490" s="39" t="n">
        <v>362.35</v>
      </c>
      <c r="R490" s="39" t="n">
        <v>698.65</v>
      </c>
      <c r="S490" s="39" t="n">
        <v>596.3</v>
      </c>
    </row>
    <row r="491" customFormat="false" ht="15" hidden="false" customHeight="false" outlineLevel="0" collapsed="false">
      <c r="A491" s="8" t="n">
        <v>45523</v>
      </c>
      <c r="B491" s="39" t="n">
        <v>24572.65</v>
      </c>
      <c r="C491" s="39" t="n">
        <v>23139.75</v>
      </c>
      <c r="D491" s="39" t="n">
        <v>1661.85</v>
      </c>
      <c r="E491" s="39" t="n">
        <v>843.75</v>
      </c>
      <c r="F491" s="39" t="n">
        <v>1019.15</v>
      </c>
      <c r="G491" s="39" t="n">
        <v>668.1</v>
      </c>
      <c r="H491" s="39" t="n">
        <v>822.4</v>
      </c>
      <c r="I491" s="39" t="n">
        <v>480.7</v>
      </c>
      <c r="J491" s="39" t="n">
        <v>1632.5</v>
      </c>
      <c r="K491" s="39" t="n">
        <v>660.74</v>
      </c>
      <c r="L491" s="39" t="n">
        <v>1349.7</v>
      </c>
      <c r="M491" s="39" t="n">
        <v>1226.45</v>
      </c>
      <c r="N491" s="39" t="n">
        <v>454.05</v>
      </c>
      <c r="O491" s="39" t="n">
        <v>296.4</v>
      </c>
      <c r="P491" s="39" t="n">
        <v>1840.35</v>
      </c>
      <c r="Q491" s="39" t="n">
        <v>371</v>
      </c>
      <c r="R491" s="39" t="n">
        <v>699.9</v>
      </c>
      <c r="S491" s="39" t="n">
        <v>615.12</v>
      </c>
    </row>
    <row r="492" customFormat="false" ht="15" hidden="false" customHeight="false" outlineLevel="0" collapsed="false">
      <c r="A492" s="8" t="n">
        <v>45524</v>
      </c>
      <c r="B492" s="39" t="n">
        <v>24698.85</v>
      </c>
      <c r="C492" s="39" t="n">
        <v>23280.35</v>
      </c>
      <c r="D492" s="39" t="n">
        <v>1673.3</v>
      </c>
      <c r="E492" s="39" t="n">
        <v>847.65</v>
      </c>
      <c r="F492" s="39" t="n">
        <v>1032.95</v>
      </c>
      <c r="G492" s="39" t="n">
        <v>674.7</v>
      </c>
      <c r="H492" s="39" t="n">
        <v>810.9</v>
      </c>
      <c r="I492" s="39" t="n">
        <v>490.2</v>
      </c>
      <c r="J492" s="39" t="n">
        <v>1616.4</v>
      </c>
      <c r="K492" s="39" t="n">
        <v>671.31</v>
      </c>
      <c r="L492" s="39" t="n">
        <v>1387.85</v>
      </c>
      <c r="M492" s="39" t="n">
        <v>1228.65</v>
      </c>
      <c r="N492" s="39" t="n">
        <v>459.9</v>
      </c>
      <c r="O492" s="39" t="n">
        <v>303.65</v>
      </c>
      <c r="P492" s="39" t="n">
        <v>1875.3</v>
      </c>
      <c r="Q492" s="39" t="n">
        <v>399.75</v>
      </c>
      <c r="R492" s="39" t="n">
        <v>710.7</v>
      </c>
      <c r="S492" s="39" t="n">
        <v>631.97</v>
      </c>
    </row>
    <row r="493" customFormat="false" ht="15" hidden="false" customHeight="false" outlineLevel="0" collapsed="false">
      <c r="A493" s="8" t="n">
        <v>45525</v>
      </c>
      <c r="B493" s="39" t="n">
        <v>24770.2</v>
      </c>
      <c r="C493" s="39" t="n">
        <v>23368.65</v>
      </c>
      <c r="D493" s="39" t="n">
        <v>1700.05</v>
      </c>
      <c r="E493" s="39" t="n">
        <v>847</v>
      </c>
      <c r="F493" s="39" t="n">
        <v>1044.9</v>
      </c>
      <c r="G493" s="39" t="n">
        <v>678.9</v>
      </c>
      <c r="H493" s="39" t="n">
        <v>892.85</v>
      </c>
      <c r="I493" s="39" t="n">
        <v>494.15</v>
      </c>
      <c r="J493" s="39" t="n">
        <v>1613.45</v>
      </c>
      <c r="K493" s="39" t="n">
        <v>672.62</v>
      </c>
      <c r="L493" s="39" t="n">
        <v>1400.4</v>
      </c>
      <c r="M493" s="39" t="n">
        <v>1222.4</v>
      </c>
      <c r="N493" s="39" t="n">
        <v>464.55</v>
      </c>
      <c r="O493" s="39" t="n">
        <v>307.75</v>
      </c>
      <c r="P493" s="39" t="n">
        <v>1915.55</v>
      </c>
      <c r="Q493" s="39" t="n">
        <v>399.95</v>
      </c>
      <c r="R493" s="39" t="n">
        <v>709.55</v>
      </c>
      <c r="S493" s="39" t="n">
        <v>631.81</v>
      </c>
    </row>
    <row r="494" customFormat="false" ht="15" hidden="false" customHeight="false" outlineLevel="0" collapsed="false">
      <c r="A494" s="8" t="n">
        <v>45526</v>
      </c>
      <c r="B494" s="39" t="n">
        <v>24811.5</v>
      </c>
      <c r="C494" s="39" t="n">
        <v>23440.7</v>
      </c>
      <c r="D494" s="39" t="n">
        <v>1694.15</v>
      </c>
      <c r="E494" s="39" t="n">
        <v>849.6</v>
      </c>
      <c r="F494" s="39" t="n">
        <v>1048.2</v>
      </c>
      <c r="G494" s="39" t="n">
        <v>682.35</v>
      </c>
      <c r="H494" s="39" t="n">
        <v>867.15</v>
      </c>
      <c r="I494" s="39" t="n">
        <v>493.3</v>
      </c>
      <c r="J494" s="39" t="n">
        <v>1670.1</v>
      </c>
      <c r="K494" s="39" t="n">
        <v>673.44</v>
      </c>
      <c r="L494" s="39" t="n">
        <v>1365.65</v>
      </c>
      <c r="M494" s="39" t="n">
        <v>1220.5</v>
      </c>
      <c r="N494" s="39" t="n">
        <v>467.75</v>
      </c>
      <c r="O494" s="39" t="n">
        <v>313.7</v>
      </c>
      <c r="P494" s="39" t="n">
        <v>1928.2</v>
      </c>
      <c r="Q494" s="39" t="n">
        <v>403</v>
      </c>
      <c r="R494" s="39" t="n">
        <v>714.45</v>
      </c>
      <c r="S494" s="39" t="n">
        <v>628.72</v>
      </c>
    </row>
    <row r="495" customFormat="false" ht="15" hidden="false" customHeight="false" outlineLevel="0" collapsed="false">
      <c r="A495" s="8" t="n">
        <v>45527</v>
      </c>
      <c r="B495" s="39" t="n">
        <v>24823.15</v>
      </c>
      <c r="C495" s="39" t="n">
        <v>23418.65</v>
      </c>
      <c r="D495" s="39" t="n">
        <v>1682.45</v>
      </c>
      <c r="E495" s="39" t="n">
        <v>850.1</v>
      </c>
      <c r="F495" s="39" t="n">
        <v>1054.05</v>
      </c>
      <c r="G495" s="39" t="n">
        <v>672.6</v>
      </c>
      <c r="H495" s="39" t="n">
        <v>866.6</v>
      </c>
      <c r="I495" s="39" t="n">
        <v>502.4</v>
      </c>
      <c r="J495" s="39" t="n">
        <v>1685.75</v>
      </c>
      <c r="K495" s="39" t="n">
        <v>672.67</v>
      </c>
      <c r="L495" s="39" t="n">
        <v>1348.8</v>
      </c>
      <c r="M495" s="39" t="n">
        <v>1203.6</v>
      </c>
      <c r="N495" s="39" t="n">
        <v>458.7</v>
      </c>
      <c r="O495" s="39" t="n">
        <v>305</v>
      </c>
      <c r="P495" s="39" t="n">
        <v>1900.8</v>
      </c>
      <c r="Q495" s="39" t="n">
        <v>400.4</v>
      </c>
      <c r="R495" s="39" t="n">
        <v>716.65</v>
      </c>
      <c r="S495" s="39" t="n">
        <v>625.31</v>
      </c>
    </row>
    <row r="496" customFormat="false" ht="15" hidden="false" customHeight="false" outlineLevel="0" collapsed="false">
      <c r="A496" s="8" t="n">
        <v>45530</v>
      </c>
      <c r="B496" s="39" t="n">
        <v>25010.6</v>
      </c>
      <c r="C496" s="39" t="n">
        <v>23561.75</v>
      </c>
      <c r="D496" s="39" t="n">
        <v>1686.95</v>
      </c>
      <c r="E496" s="39" t="n">
        <v>852.35</v>
      </c>
      <c r="F496" s="39" t="n">
        <v>1092.75</v>
      </c>
      <c r="G496" s="39" t="n">
        <v>665.85</v>
      </c>
      <c r="H496" s="39" t="n">
        <v>878.1</v>
      </c>
      <c r="I496" s="39" t="n">
        <v>502.85</v>
      </c>
      <c r="J496" s="39" t="n">
        <v>1700.9</v>
      </c>
      <c r="K496" s="39" t="n">
        <v>676.91</v>
      </c>
      <c r="L496" s="39" t="n">
        <v>1395.05</v>
      </c>
      <c r="M496" s="39" t="n">
        <v>1211.6</v>
      </c>
      <c r="N496" s="39" t="n">
        <v>460.1</v>
      </c>
      <c r="O496" s="39" t="n">
        <v>315.35</v>
      </c>
      <c r="P496" s="39" t="n">
        <v>1936.25</v>
      </c>
      <c r="Q496" s="39" t="n">
        <v>406.45</v>
      </c>
      <c r="R496" s="39" t="n">
        <v>720.35</v>
      </c>
      <c r="S496" s="39" t="n">
        <v>632.43</v>
      </c>
    </row>
    <row r="497" customFormat="false" ht="15" hidden="false" customHeight="false" outlineLevel="0" collapsed="false">
      <c r="A497" s="8" t="n">
        <v>45531</v>
      </c>
      <c r="B497" s="39" t="n">
        <v>25017.75</v>
      </c>
      <c r="C497" s="39" t="n">
        <v>23604.85</v>
      </c>
      <c r="D497" s="39" t="n">
        <v>1690.35</v>
      </c>
      <c r="E497" s="39" t="n">
        <v>861.3</v>
      </c>
      <c r="F497" s="39" t="n">
        <v>1099.3</v>
      </c>
      <c r="G497" s="39" t="n">
        <v>684.1</v>
      </c>
      <c r="H497" s="39" t="n">
        <v>880.75</v>
      </c>
      <c r="I497" s="39" t="n">
        <v>502</v>
      </c>
      <c r="J497" s="39" t="n">
        <v>1730.85</v>
      </c>
      <c r="K497" s="39" t="n">
        <v>685.43</v>
      </c>
      <c r="L497" s="39" t="n">
        <v>1443.8</v>
      </c>
      <c r="M497" s="39" t="n">
        <v>1211.9</v>
      </c>
      <c r="N497" s="39" t="n">
        <v>462.85</v>
      </c>
      <c r="O497" s="39" t="n">
        <v>320.35</v>
      </c>
      <c r="P497" s="39" t="n">
        <v>1986.25</v>
      </c>
      <c r="Q497" s="39" t="n">
        <v>402.55</v>
      </c>
      <c r="R497" s="39" t="n">
        <v>736.75</v>
      </c>
      <c r="S497" s="39" t="n">
        <v>645.89</v>
      </c>
    </row>
    <row r="498" customFormat="false" ht="15" hidden="false" customHeight="false" outlineLevel="0" collapsed="false">
      <c r="A498" s="8" t="n">
        <v>45532</v>
      </c>
      <c r="B498" s="39" t="n">
        <v>25052.35</v>
      </c>
      <c r="C498" s="39" t="n">
        <v>23615.95</v>
      </c>
      <c r="D498" s="39" t="n">
        <v>1720.1</v>
      </c>
      <c r="E498" s="39" t="n">
        <v>873.7</v>
      </c>
      <c r="F498" s="39" t="n">
        <v>1095.75</v>
      </c>
      <c r="G498" s="39" t="n">
        <v>674.9</v>
      </c>
      <c r="H498" s="39" t="n">
        <v>902.5</v>
      </c>
      <c r="I498" s="39" t="n">
        <v>529.05</v>
      </c>
      <c r="J498" s="39" t="n">
        <v>1726.55</v>
      </c>
      <c r="K498" s="39" t="n">
        <v>689.06</v>
      </c>
      <c r="L498" s="39" t="n">
        <v>1450.7</v>
      </c>
      <c r="M498" s="39" t="n">
        <v>1201.75</v>
      </c>
      <c r="N498" s="39" t="n">
        <v>455.75</v>
      </c>
      <c r="O498" s="39" t="n">
        <v>315.25</v>
      </c>
      <c r="P498" s="39" t="n">
        <v>1958.45</v>
      </c>
      <c r="Q498" s="39" t="n">
        <v>399.7</v>
      </c>
      <c r="R498" s="39" t="n">
        <v>731.3</v>
      </c>
      <c r="S498" s="39" t="n">
        <v>640.37</v>
      </c>
    </row>
    <row r="499" customFormat="false" ht="15" hidden="false" customHeight="false" outlineLevel="0" collapsed="false">
      <c r="A499" s="8" t="n">
        <v>45533</v>
      </c>
      <c r="B499" s="39" t="n">
        <v>25151.95</v>
      </c>
      <c r="C499" s="39" t="n">
        <v>23631.4</v>
      </c>
      <c r="D499" s="39" t="n">
        <v>1710.65</v>
      </c>
      <c r="E499" s="39" t="n">
        <v>882.9</v>
      </c>
      <c r="F499" s="39" t="n">
        <v>1109.1</v>
      </c>
      <c r="G499" s="39" t="n">
        <v>675.95</v>
      </c>
      <c r="H499" s="39" t="n">
        <v>946.9</v>
      </c>
      <c r="I499" s="39" t="n">
        <v>521.2</v>
      </c>
      <c r="J499" s="39" t="n">
        <v>1702.1</v>
      </c>
      <c r="K499" s="39" t="n">
        <v>705.4</v>
      </c>
      <c r="L499" s="39" t="n">
        <v>1455.6</v>
      </c>
      <c r="M499" s="39" t="n">
        <v>1192.75</v>
      </c>
      <c r="N499" s="39" t="n">
        <v>450.9</v>
      </c>
      <c r="O499" s="39" t="n">
        <v>313.4</v>
      </c>
      <c r="P499" s="39" t="n">
        <v>1973.75</v>
      </c>
      <c r="Q499" s="39" t="n">
        <v>392.55</v>
      </c>
      <c r="R499" s="39" t="n">
        <v>721.2</v>
      </c>
      <c r="S499" s="39" t="n">
        <v>640.1</v>
      </c>
    </row>
    <row r="500" customFormat="false" ht="15" hidden="false" customHeight="false" outlineLevel="0" collapsed="false">
      <c r="A500" s="8" t="n">
        <v>45534</v>
      </c>
      <c r="B500" s="39" t="n">
        <v>25235.9</v>
      </c>
      <c r="C500" s="39" t="n">
        <v>23734.55</v>
      </c>
      <c r="D500" s="39" t="n">
        <v>1720.75</v>
      </c>
      <c r="E500" s="39" t="n">
        <v>863.55</v>
      </c>
      <c r="F500" s="39" t="n">
        <v>1153</v>
      </c>
      <c r="G500" s="39" t="n">
        <v>674.4</v>
      </c>
      <c r="H500" s="39" t="n">
        <v>977.45</v>
      </c>
      <c r="I500" s="39" t="n">
        <v>523.1</v>
      </c>
      <c r="J500" s="39" t="n">
        <v>1751.25</v>
      </c>
      <c r="K500" s="39" t="n">
        <v>719.04</v>
      </c>
      <c r="L500" s="39" t="n">
        <v>1455.6</v>
      </c>
      <c r="M500" s="39" t="n">
        <v>1221.05</v>
      </c>
      <c r="N500" s="39" t="n">
        <v>456.3</v>
      </c>
      <c r="O500" s="39" t="n">
        <v>314.35</v>
      </c>
      <c r="P500" s="39" t="n">
        <v>1965.85</v>
      </c>
      <c r="Q500" s="39" t="n">
        <v>387.3</v>
      </c>
      <c r="R500" s="39" t="n">
        <v>723.2</v>
      </c>
      <c r="S500" s="39" t="n">
        <v>640.9</v>
      </c>
    </row>
    <row r="501" customFormat="false" ht="15" hidden="false" customHeight="false" outlineLevel="0" collapsed="false">
      <c r="A501" s="8" t="n">
        <v>45537</v>
      </c>
      <c r="B501" s="39" t="n">
        <v>25278.7</v>
      </c>
      <c r="C501" s="39" t="n">
        <v>23760.7</v>
      </c>
      <c r="D501" s="39" t="n">
        <v>1709.6</v>
      </c>
      <c r="E501" s="39" t="n">
        <v>879.9</v>
      </c>
      <c r="F501" s="39" t="n">
        <v>1142.25</v>
      </c>
      <c r="G501" s="39" t="n">
        <v>675.6</v>
      </c>
      <c r="H501" s="39" t="n">
        <v>974.7</v>
      </c>
      <c r="I501" s="39" t="n">
        <v>516.6</v>
      </c>
      <c r="J501" s="39" t="n">
        <v>1730.7</v>
      </c>
      <c r="K501" s="39" t="n">
        <v>742.99</v>
      </c>
      <c r="L501" s="39" t="n">
        <v>1486.3</v>
      </c>
      <c r="M501" s="39" t="n">
        <v>1207.75</v>
      </c>
      <c r="N501" s="39" t="n">
        <v>457.7</v>
      </c>
      <c r="O501" s="39" t="n">
        <v>322.2</v>
      </c>
      <c r="P501" s="39" t="n">
        <v>1965</v>
      </c>
      <c r="Q501" s="39" t="n">
        <v>388.2</v>
      </c>
      <c r="R501" s="39" t="n">
        <v>744.35</v>
      </c>
      <c r="S501" s="39" t="n">
        <v>645.05</v>
      </c>
    </row>
    <row r="502" customFormat="false" ht="15" hidden="false" customHeight="false" outlineLevel="0" collapsed="false">
      <c r="A502" s="8" t="n">
        <v>45538</v>
      </c>
      <c r="B502" s="39" t="n">
        <v>25279.85</v>
      </c>
      <c r="C502" s="39" t="n">
        <v>23788.45</v>
      </c>
      <c r="D502" s="39" t="n">
        <v>1725.75</v>
      </c>
      <c r="E502" s="39" t="n">
        <v>882.9</v>
      </c>
      <c r="F502" s="39" t="n">
        <v>1129.05</v>
      </c>
      <c r="G502" s="39" t="n">
        <v>694.05</v>
      </c>
      <c r="H502" s="39" t="n">
        <v>1002.8</v>
      </c>
      <c r="I502" s="39" t="n">
        <v>522.15</v>
      </c>
      <c r="J502" s="39" t="n">
        <v>1733.5</v>
      </c>
      <c r="K502" s="39" t="n">
        <v>734.38</v>
      </c>
      <c r="L502" s="39" t="n">
        <v>1500</v>
      </c>
      <c r="M502" s="39" t="n">
        <v>1209.7</v>
      </c>
      <c r="N502" s="39" t="n">
        <v>470.1</v>
      </c>
      <c r="O502" s="39" t="n">
        <v>325.1</v>
      </c>
      <c r="P502" s="39" t="n">
        <v>1978.55</v>
      </c>
      <c r="Q502" s="39" t="n">
        <v>384.4</v>
      </c>
      <c r="R502" s="39" t="n">
        <v>766.05</v>
      </c>
      <c r="S502" s="39" t="n">
        <v>654.32</v>
      </c>
    </row>
    <row r="503" customFormat="false" ht="15" hidden="false" customHeight="false" outlineLevel="0" collapsed="false">
      <c r="A503" s="8" t="n">
        <v>45539</v>
      </c>
      <c r="B503" s="39" t="n">
        <v>25198.7</v>
      </c>
      <c r="C503" s="39" t="n">
        <v>23748.9</v>
      </c>
      <c r="D503" s="39" t="n">
        <v>1741.45</v>
      </c>
      <c r="E503" s="39" t="n">
        <v>881.9</v>
      </c>
      <c r="F503" s="39" t="n">
        <v>1121.5</v>
      </c>
      <c r="G503" s="39" t="n">
        <v>691.2</v>
      </c>
      <c r="H503" s="39" t="n">
        <v>1052.85</v>
      </c>
      <c r="I503" s="39" t="n">
        <v>520.75</v>
      </c>
      <c r="J503" s="39" t="n">
        <v>1699.55</v>
      </c>
      <c r="K503" s="39" t="n">
        <v>728.96</v>
      </c>
      <c r="L503" s="39" t="n">
        <v>1487.3</v>
      </c>
      <c r="M503" s="39" t="n">
        <v>1185.85</v>
      </c>
      <c r="N503" s="39" t="n">
        <v>460.8</v>
      </c>
      <c r="O503" s="39" t="n">
        <v>324.45</v>
      </c>
      <c r="P503" s="39" t="n">
        <v>1958</v>
      </c>
      <c r="Q503" s="39" t="n">
        <v>385.25</v>
      </c>
      <c r="R503" s="39" t="n">
        <v>768.55</v>
      </c>
      <c r="S503" s="39" t="n">
        <v>648.79</v>
      </c>
    </row>
    <row r="504" customFormat="false" ht="15" hidden="false" customHeight="false" outlineLevel="0" collapsed="false">
      <c r="A504" s="8" t="n">
        <v>45540</v>
      </c>
      <c r="B504" s="39" t="n">
        <v>25145.1</v>
      </c>
      <c r="C504" s="39" t="n">
        <v>23762.8</v>
      </c>
      <c r="D504" s="39" t="n">
        <v>1815.75</v>
      </c>
      <c r="E504" s="39" t="n">
        <v>885.6</v>
      </c>
      <c r="F504" s="39" t="n">
        <v>1178.35</v>
      </c>
      <c r="G504" s="39" t="n">
        <v>707.4</v>
      </c>
      <c r="H504" s="39" t="n">
        <v>1038.1</v>
      </c>
      <c r="I504" s="39" t="n">
        <v>535.25</v>
      </c>
      <c r="J504" s="39" t="n">
        <v>1670.15</v>
      </c>
      <c r="K504" s="39" t="n">
        <v>723.51</v>
      </c>
      <c r="L504" s="39" t="n">
        <v>1533.6</v>
      </c>
      <c r="M504" s="39" t="n">
        <v>1179.25</v>
      </c>
      <c r="N504" s="39" t="n">
        <v>468.9</v>
      </c>
      <c r="O504" s="39" t="n">
        <v>329.1</v>
      </c>
      <c r="P504" s="39" t="n">
        <v>1989.25</v>
      </c>
      <c r="Q504" s="39" t="n">
        <v>390.1</v>
      </c>
      <c r="R504" s="39" t="n">
        <v>767.7</v>
      </c>
      <c r="S504" s="39" t="n">
        <v>649.1</v>
      </c>
    </row>
    <row r="505" customFormat="false" ht="15" hidden="false" customHeight="false" outlineLevel="0" collapsed="false">
      <c r="A505" s="8" t="n">
        <v>45541</v>
      </c>
      <c r="B505" s="39" t="n">
        <v>24852.15</v>
      </c>
      <c r="C505" s="39" t="n">
        <v>23477.7</v>
      </c>
      <c r="D505" s="39" t="n">
        <v>1875.85</v>
      </c>
      <c r="E505" s="39" t="n">
        <v>870.75</v>
      </c>
      <c r="F505" s="39" t="n">
        <v>1145.65</v>
      </c>
      <c r="G505" s="39" t="n">
        <v>694.6</v>
      </c>
      <c r="H505" s="39" t="n">
        <v>1023.4</v>
      </c>
      <c r="I505" s="39" t="n">
        <v>532.05</v>
      </c>
      <c r="J505" s="39" t="n">
        <v>1693.15</v>
      </c>
      <c r="K505" s="39" t="n">
        <v>730.72</v>
      </c>
      <c r="L505" s="39" t="n">
        <v>1511.35</v>
      </c>
      <c r="M505" s="39" t="n">
        <v>1208.85</v>
      </c>
      <c r="N505" s="39" t="n">
        <v>466.55</v>
      </c>
      <c r="O505" s="39" t="n">
        <v>327.2</v>
      </c>
      <c r="P505" s="39" t="n">
        <v>1976.55</v>
      </c>
      <c r="Q505" s="39" t="n">
        <v>385.3</v>
      </c>
      <c r="R505" s="39" t="n">
        <v>800.65</v>
      </c>
      <c r="S505" s="39" t="n">
        <v>647.13</v>
      </c>
    </row>
    <row r="506" customFormat="false" ht="15" hidden="false" customHeight="false" outlineLevel="0" collapsed="false">
      <c r="A506" s="8" t="n">
        <v>45544</v>
      </c>
      <c r="B506" s="39" t="n">
        <v>24936.4</v>
      </c>
      <c r="C506" s="39" t="n">
        <v>23502.15</v>
      </c>
      <c r="D506" s="39" t="n">
        <v>1839.55</v>
      </c>
      <c r="E506" s="39" t="n">
        <v>869.25</v>
      </c>
      <c r="F506" s="39" t="n">
        <v>1084.3</v>
      </c>
      <c r="G506" s="39" t="n">
        <v>699.9</v>
      </c>
      <c r="H506" s="39" t="n">
        <v>1078.2</v>
      </c>
      <c r="I506" s="39" t="n">
        <v>533.65</v>
      </c>
      <c r="J506" s="39" t="n">
        <v>1655.85</v>
      </c>
      <c r="K506" s="39" t="n">
        <v>733.75</v>
      </c>
      <c r="L506" s="39" t="n">
        <v>1538.25</v>
      </c>
      <c r="M506" s="39" t="n">
        <v>1205.85</v>
      </c>
      <c r="N506" s="39" t="n">
        <v>467</v>
      </c>
      <c r="O506" s="39" t="n">
        <v>324.5</v>
      </c>
      <c r="P506" s="39" t="n">
        <v>1989.3</v>
      </c>
      <c r="Q506" s="39" t="n">
        <v>380.25</v>
      </c>
      <c r="R506" s="39" t="n">
        <v>802.35</v>
      </c>
      <c r="S506" s="39" t="n">
        <v>663.14</v>
      </c>
    </row>
    <row r="507" customFormat="false" ht="15" hidden="false" customHeight="false" outlineLevel="0" collapsed="false">
      <c r="A507" s="8" t="n">
        <v>45545</v>
      </c>
      <c r="B507" s="39" t="n">
        <v>25041.1</v>
      </c>
      <c r="C507" s="39" t="n">
        <v>23643.65</v>
      </c>
      <c r="D507" s="39" t="n">
        <v>1832.95</v>
      </c>
      <c r="E507" s="39" t="n">
        <v>848.7</v>
      </c>
      <c r="F507" s="39" t="n">
        <v>1065.55</v>
      </c>
      <c r="G507" s="39" t="n">
        <v>686.65</v>
      </c>
      <c r="H507" s="39" t="n">
        <v>1050.9</v>
      </c>
      <c r="I507" s="39" t="n">
        <v>545.3</v>
      </c>
      <c r="J507" s="39" t="n">
        <v>1670.9</v>
      </c>
      <c r="K507" s="39" t="n">
        <v>723.2</v>
      </c>
      <c r="L507" s="39" t="n">
        <v>1507.6</v>
      </c>
      <c r="M507" s="39" t="n">
        <v>1213.7</v>
      </c>
      <c r="N507" s="39" t="n">
        <v>470.25</v>
      </c>
      <c r="O507" s="39" t="n">
        <v>325.65</v>
      </c>
      <c r="P507" s="39" t="n">
        <v>1959.75</v>
      </c>
      <c r="Q507" s="39" t="n">
        <v>392.2</v>
      </c>
      <c r="R507" s="39" t="n">
        <v>793.9</v>
      </c>
      <c r="S507" s="39" t="n">
        <v>652.01</v>
      </c>
    </row>
    <row r="508" customFormat="false" ht="15" hidden="false" customHeight="false" outlineLevel="0" collapsed="false">
      <c r="A508" s="8" t="n">
        <v>45546</v>
      </c>
      <c r="B508" s="39" t="n">
        <v>24918.45</v>
      </c>
      <c r="C508" s="39" t="n">
        <v>23531.25</v>
      </c>
      <c r="D508" s="39" t="n">
        <v>1777.05</v>
      </c>
      <c r="E508" s="39" t="n">
        <v>865.5</v>
      </c>
      <c r="F508" s="39" t="n">
        <v>1108.65</v>
      </c>
      <c r="G508" s="39" t="n">
        <v>676.3</v>
      </c>
      <c r="H508" s="39" t="n">
        <v>1108.35</v>
      </c>
      <c r="I508" s="39" t="n">
        <v>544.8</v>
      </c>
      <c r="J508" s="39" t="n">
        <v>1644.55</v>
      </c>
      <c r="K508" s="39" t="n">
        <v>733.56</v>
      </c>
      <c r="L508" s="39" t="n">
        <v>1521.45</v>
      </c>
      <c r="M508" s="39" t="n">
        <v>1211.45</v>
      </c>
      <c r="N508" s="39" t="n">
        <v>467.9</v>
      </c>
      <c r="O508" s="39" t="n">
        <v>322.4</v>
      </c>
      <c r="P508" s="39" t="n">
        <v>1948.6</v>
      </c>
      <c r="Q508" s="39" t="n">
        <v>394</v>
      </c>
      <c r="R508" s="39" t="n">
        <v>796.85</v>
      </c>
      <c r="S508" s="39" t="n">
        <v>655.98</v>
      </c>
    </row>
    <row r="509" customFormat="false" ht="15" hidden="false" customHeight="false" outlineLevel="0" collapsed="false">
      <c r="A509" s="8" t="n">
        <v>45547</v>
      </c>
      <c r="B509" s="39" t="n">
        <v>25388.9</v>
      </c>
      <c r="C509" s="39" t="n">
        <v>23907.35</v>
      </c>
      <c r="D509" s="39" t="n">
        <v>1799</v>
      </c>
      <c r="E509" s="39" t="n">
        <v>908.35</v>
      </c>
      <c r="F509" s="39" t="n">
        <v>1129</v>
      </c>
      <c r="G509" s="39" t="n">
        <v>703.7</v>
      </c>
      <c r="H509" s="39" t="n">
        <v>1109</v>
      </c>
      <c r="I509" s="39" t="n">
        <v>542.7</v>
      </c>
      <c r="J509" s="39" t="n">
        <v>1606.8</v>
      </c>
      <c r="K509" s="39" t="n">
        <v>741.82</v>
      </c>
      <c r="L509" s="39" t="n">
        <v>1575.55</v>
      </c>
      <c r="M509" s="39" t="n">
        <v>1253.65</v>
      </c>
      <c r="N509" s="39" t="n">
        <v>486.5</v>
      </c>
      <c r="O509" s="39" t="n">
        <v>331.45</v>
      </c>
      <c r="P509" s="39" t="n">
        <v>1986.4</v>
      </c>
      <c r="Q509" s="39" t="n">
        <v>396.75</v>
      </c>
      <c r="R509" s="39" t="n">
        <v>802.25</v>
      </c>
      <c r="S509" s="39" t="n">
        <v>680.15</v>
      </c>
    </row>
    <row r="510" customFormat="false" ht="15" hidden="false" customHeight="false" outlineLevel="0" collapsed="false">
      <c r="A510" s="8" t="n">
        <v>45548</v>
      </c>
      <c r="B510" s="39" t="n">
        <v>25356.5</v>
      </c>
      <c r="C510" s="39" t="n">
        <v>23928.2</v>
      </c>
      <c r="D510" s="39" t="n">
        <v>1846.5</v>
      </c>
      <c r="E510" s="39" t="n">
        <v>931.2</v>
      </c>
      <c r="F510" s="39" t="n">
        <v>1203.15</v>
      </c>
      <c r="G510" s="39" t="n">
        <v>723.3</v>
      </c>
      <c r="H510" s="39" t="n">
        <v>1137.05</v>
      </c>
      <c r="I510" s="39" t="n">
        <v>558.15</v>
      </c>
      <c r="J510" s="39" t="n">
        <v>1697.8</v>
      </c>
      <c r="K510" s="39" t="n">
        <v>758.82</v>
      </c>
      <c r="L510" s="39" t="n">
        <v>1574.5</v>
      </c>
      <c r="M510" s="39" t="n">
        <v>1260.95</v>
      </c>
      <c r="N510" s="39" t="n">
        <v>521.45</v>
      </c>
      <c r="O510" s="39" t="n">
        <v>332.95</v>
      </c>
      <c r="P510" s="39" t="n">
        <v>2013.05</v>
      </c>
      <c r="Q510" s="39" t="n">
        <v>400.6</v>
      </c>
      <c r="R510" s="39" t="n">
        <v>805.2</v>
      </c>
      <c r="S510" s="39" t="n">
        <v>673.65</v>
      </c>
    </row>
    <row r="511" customFormat="false" ht="15" hidden="false" customHeight="false" outlineLevel="0" collapsed="false">
      <c r="A511" s="8" t="n">
        <v>45551</v>
      </c>
      <c r="B511" s="39" t="n">
        <v>25383.75</v>
      </c>
      <c r="C511" s="39" t="n">
        <v>23968.2</v>
      </c>
      <c r="D511" s="39" t="n">
        <v>1802.9</v>
      </c>
      <c r="E511" s="39" t="n">
        <v>903.5</v>
      </c>
      <c r="F511" s="39" t="n">
        <v>1187.4</v>
      </c>
      <c r="G511" s="39" t="n">
        <v>680.75</v>
      </c>
      <c r="H511" s="39" t="n">
        <v>1061.5</v>
      </c>
      <c r="I511" s="39" t="n">
        <v>548.9</v>
      </c>
      <c r="J511" s="39" t="n">
        <v>1783.7</v>
      </c>
      <c r="K511" s="39" t="n">
        <v>733.58</v>
      </c>
      <c r="L511" s="39" t="n">
        <v>1564.75</v>
      </c>
      <c r="M511" s="39" t="n">
        <v>1264</v>
      </c>
      <c r="N511" s="39" t="n">
        <v>506.65</v>
      </c>
      <c r="O511" s="39" t="n">
        <v>331</v>
      </c>
      <c r="P511" s="39" t="n">
        <v>2013.6</v>
      </c>
      <c r="Q511" s="39" t="n">
        <v>394</v>
      </c>
      <c r="R511" s="39" t="n">
        <v>800.5</v>
      </c>
      <c r="S511" s="39" t="n">
        <v>683.79</v>
      </c>
    </row>
    <row r="512" customFormat="false" ht="15" hidden="false" customHeight="false" outlineLevel="0" collapsed="false">
      <c r="A512" s="8" t="n">
        <v>45552</v>
      </c>
      <c r="B512" s="39" t="n">
        <v>25418.55</v>
      </c>
      <c r="C512" s="39" t="n">
        <v>23969.9</v>
      </c>
      <c r="D512" s="39" t="n">
        <v>1827.85</v>
      </c>
      <c r="E512" s="39" t="n">
        <v>881.35</v>
      </c>
      <c r="F512" s="39" t="n">
        <v>1175</v>
      </c>
      <c r="G512" s="39" t="n">
        <v>674.9</v>
      </c>
      <c r="H512" s="39" t="n">
        <v>1049.95</v>
      </c>
      <c r="I512" s="39" t="n">
        <v>557.35</v>
      </c>
      <c r="J512" s="39" t="n">
        <v>1793.95</v>
      </c>
      <c r="K512" s="39" t="n">
        <v>735.55</v>
      </c>
      <c r="L512" s="39" t="n">
        <v>1573.95</v>
      </c>
      <c r="M512" s="39" t="n">
        <v>1252.9</v>
      </c>
      <c r="N512" s="39" t="n">
        <v>515.7</v>
      </c>
      <c r="O512" s="39" t="n">
        <v>327.6</v>
      </c>
      <c r="P512" s="39" t="n">
        <v>2023.85</v>
      </c>
      <c r="Q512" s="39" t="n">
        <v>400.2</v>
      </c>
      <c r="R512" s="39" t="n">
        <v>792.45</v>
      </c>
      <c r="S512" s="39" t="n">
        <v>684.92</v>
      </c>
    </row>
    <row r="513" customFormat="false" ht="15" hidden="false" customHeight="false" outlineLevel="0" collapsed="false">
      <c r="A513" s="8" t="n">
        <v>45553</v>
      </c>
      <c r="B513" s="39" t="n">
        <v>25377.55</v>
      </c>
      <c r="C513" s="39" t="n">
        <v>23898.65</v>
      </c>
      <c r="D513" s="39" t="n">
        <v>1819.55</v>
      </c>
      <c r="E513" s="39" t="n">
        <v>877.4</v>
      </c>
      <c r="F513" s="39" t="n">
        <v>1230.05</v>
      </c>
      <c r="G513" s="39" t="n">
        <v>674.6</v>
      </c>
      <c r="H513" s="39" t="n">
        <v>1075.1</v>
      </c>
      <c r="I513" s="39" t="n">
        <v>540</v>
      </c>
      <c r="J513" s="39" t="n">
        <v>1784.65</v>
      </c>
      <c r="K513" s="39" t="n">
        <v>762.07</v>
      </c>
      <c r="L513" s="39" t="n">
        <v>1590.15</v>
      </c>
      <c r="M513" s="39" t="n">
        <v>1240.4</v>
      </c>
      <c r="N513" s="39" t="n">
        <v>528.85</v>
      </c>
      <c r="O513" s="39" t="n">
        <v>327.5</v>
      </c>
      <c r="P513" s="39" t="n">
        <v>2017</v>
      </c>
      <c r="Q513" s="39" t="n">
        <v>396.35</v>
      </c>
      <c r="R513" s="39" t="n">
        <v>779.85</v>
      </c>
      <c r="S513" s="39" t="n">
        <v>714.94</v>
      </c>
    </row>
    <row r="514" customFormat="false" ht="15" hidden="false" customHeight="false" outlineLevel="0" collapsed="false">
      <c r="A514" s="8" t="n">
        <v>45554</v>
      </c>
      <c r="B514" s="39" t="n">
        <v>25415.8</v>
      </c>
      <c r="C514" s="39" t="n">
        <v>23853.95</v>
      </c>
      <c r="D514" s="39" t="n">
        <v>1869.3</v>
      </c>
      <c r="E514" s="39" t="n">
        <v>851.85</v>
      </c>
      <c r="F514" s="39" t="n">
        <v>1213.35</v>
      </c>
      <c r="G514" s="39" t="n">
        <v>663.65</v>
      </c>
      <c r="H514" s="39" t="n">
        <v>1015.3</v>
      </c>
      <c r="I514" s="39" t="n">
        <v>542.95</v>
      </c>
      <c r="J514" s="39" t="n">
        <v>1778.9</v>
      </c>
      <c r="K514" s="39" t="n">
        <v>758</v>
      </c>
      <c r="L514" s="39" t="n">
        <v>1596.3</v>
      </c>
      <c r="M514" s="39" t="n">
        <v>1269.75</v>
      </c>
      <c r="N514" s="39" t="n">
        <v>495.95</v>
      </c>
      <c r="O514" s="39" t="n">
        <v>323.65</v>
      </c>
      <c r="P514" s="39" t="n">
        <v>2035.45</v>
      </c>
      <c r="Q514" s="39" t="n">
        <v>397.4</v>
      </c>
      <c r="R514" s="39" t="n">
        <v>795.15</v>
      </c>
      <c r="S514" s="39" t="n">
        <v>705.07</v>
      </c>
    </row>
    <row r="515" customFormat="false" ht="15" hidden="false" customHeight="false" outlineLevel="0" collapsed="false">
      <c r="A515" s="8" t="n">
        <v>45555</v>
      </c>
      <c r="B515" s="39" t="n">
        <v>25790.95</v>
      </c>
      <c r="C515" s="39" t="n">
        <v>24193.8</v>
      </c>
      <c r="D515" s="39" t="n">
        <v>1862.8</v>
      </c>
      <c r="E515" s="39" t="n">
        <v>862.65</v>
      </c>
      <c r="F515" s="39" t="n">
        <v>1268.5</v>
      </c>
      <c r="G515" s="39" t="n">
        <v>667.8</v>
      </c>
      <c r="H515" s="39" t="n">
        <v>1008.7</v>
      </c>
      <c r="I515" s="39" t="n">
        <v>538.15</v>
      </c>
      <c r="J515" s="39" t="n">
        <v>1824.05</v>
      </c>
      <c r="K515" s="39" t="n">
        <v>757.21</v>
      </c>
      <c r="L515" s="39" t="n">
        <v>1604.3</v>
      </c>
      <c r="M515" s="39" t="n">
        <v>1274.25</v>
      </c>
      <c r="N515" s="39" t="n">
        <v>530.35</v>
      </c>
      <c r="O515" s="39" t="n">
        <v>320.75</v>
      </c>
      <c r="P515" s="39" t="n">
        <v>1989.65</v>
      </c>
      <c r="Q515" s="39" t="n">
        <v>405.15</v>
      </c>
      <c r="R515" s="39" t="n">
        <v>786.95</v>
      </c>
      <c r="S515" s="39" t="n">
        <v>706.42</v>
      </c>
    </row>
    <row r="516" customFormat="false" ht="15" hidden="false" customHeight="false" outlineLevel="0" collapsed="false">
      <c r="A516" s="8" t="n">
        <v>45558</v>
      </c>
      <c r="B516" s="39" t="n">
        <v>25939.05</v>
      </c>
      <c r="C516" s="39" t="n">
        <v>24379.2</v>
      </c>
      <c r="D516" s="39" t="n">
        <v>1898.85</v>
      </c>
      <c r="E516" s="39" t="n">
        <v>880</v>
      </c>
      <c r="F516" s="39" t="n">
        <v>1296.45</v>
      </c>
      <c r="G516" s="39" t="n">
        <v>680.75</v>
      </c>
      <c r="H516" s="39" t="n">
        <v>1013.35</v>
      </c>
      <c r="I516" s="39" t="n">
        <v>542.15</v>
      </c>
      <c r="J516" s="39" t="n">
        <v>1789.6</v>
      </c>
      <c r="K516" s="39" t="n">
        <v>758.48</v>
      </c>
      <c r="L516" s="39" t="n">
        <v>1633.85</v>
      </c>
      <c r="M516" s="39" t="n">
        <v>1243.45</v>
      </c>
      <c r="N516" s="39" t="n">
        <v>511.2</v>
      </c>
      <c r="O516" s="39" t="n">
        <v>332</v>
      </c>
      <c r="P516" s="39" t="n">
        <v>2024.9</v>
      </c>
      <c r="Q516" s="39" t="n">
        <v>400.9</v>
      </c>
      <c r="R516" s="39" t="n">
        <v>795.05</v>
      </c>
      <c r="S516" s="39" t="n">
        <v>713.54</v>
      </c>
    </row>
    <row r="517" customFormat="false" ht="15" hidden="false" customHeight="false" outlineLevel="0" collapsed="false">
      <c r="A517" s="8" t="n">
        <v>45559</v>
      </c>
      <c r="B517" s="39" t="n">
        <v>25940.4</v>
      </c>
      <c r="C517" s="39" t="n">
        <v>24389.7</v>
      </c>
      <c r="D517" s="39" t="n">
        <v>1895.2</v>
      </c>
      <c r="E517" s="39" t="n">
        <v>861.4</v>
      </c>
      <c r="F517" s="39" t="n">
        <v>1340.75</v>
      </c>
      <c r="G517" s="39" t="n">
        <v>685.95</v>
      </c>
      <c r="H517" s="39" t="n">
        <v>995.7</v>
      </c>
      <c r="I517" s="39" t="n">
        <v>539.95</v>
      </c>
      <c r="J517" s="39" t="n">
        <v>1764.05</v>
      </c>
      <c r="K517" s="39" t="n">
        <v>754.39</v>
      </c>
      <c r="L517" s="39" t="n">
        <v>1614.3</v>
      </c>
      <c r="M517" s="39" t="n">
        <v>1215.25</v>
      </c>
      <c r="N517" s="39" t="n">
        <v>513.85</v>
      </c>
      <c r="O517" s="39" t="n">
        <v>328.6</v>
      </c>
      <c r="P517" s="39" t="n">
        <v>1991</v>
      </c>
      <c r="Q517" s="39" t="n">
        <v>397.45</v>
      </c>
      <c r="R517" s="39" t="n">
        <v>779.95</v>
      </c>
      <c r="S517" s="39" t="n">
        <v>703.26</v>
      </c>
    </row>
    <row r="518" customFormat="false" ht="15" hidden="false" customHeight="false" outlineLevel="0" collapsed="false">
      <c r="A518" s="8" t="n">
        <v>45560</v>
      </c>
      <c r="B518" s="39" t="n">
        <v>26004.15</v>
      </c>
      <c r="C518" s="39" t="n">
        <v>24371.25</v>
      </c>
      <c r="D518" s="39" t="n">
        <v>1888.25</v>
      </c>
      <c r="E518" s="39" t="n">
        <v>868.05</v>
      </c>
      <c r="F518" s="39" t="n">
        <v>1302.9</v>
      </c>
      <c r="G518" s="39" t="n">
        <v>665.1</v>
      </c>
      <c r="H518" s="39" t="n">
        <v>997.75</v>
      </c>
      <c r="I518" s="39" t="n">
        <v>541.5</v>
      </c>
      <c r="J518" s="39" t="n">
        <v>1681.2</v>
      </c>
      <c r="K518" s="39" t="n">
        <v>761.35</v>
      </c>
      <c r="L518" s="39" t="n">
        <v>1618.3</v>
      </c>
      <c r="M518" s="39" t="n">
        <v>1218.85</v>
      </c>
      <c r="N518" s="39" t="n">
        <v>499.15</v>
      </c>
      <c r="O518" s="39" t="n">
        <v>332.15</v>
      </c>
      <c r="P518" s="39" t="n">
        <v>2042.6</v>
      </c>
      <c r="Q518" s="39" t="n">
        <v>404.1</v>
      </c>
      <c r="R518" s="39" t="n">
        <v>771.85</v>
      </c>
      <c r="S518" s="39" t="n">
        <v>704.81</v>
      </c>
    </row>
    <row r="519" customFormat="false" ht="15" hidden="false" customHeight="false" outlineLevel="0" collapsed="false">
      <c r="A519" s="8" t="n">
        <v>45561</v>
      </c>
      <c r="B519" s="39" t="n">
        <v>26216.05</v>
      </c>
      <c r="C519" s="39" t="n">
        <v>24496.9</v>
      </c>
      <c r="D519" s="39" t="n">
        <v>1885.05</v>
      </c>
      <c r="E519" s="39" t="n">
        <v>885.25</v>
      </c>
      <c r="F519" s="39" t="n">
        <v>1297.1</v>
      </c>
      <c r="G519" s="39" t="n">
        <v>666.45</v>
      </c>
      <c r="H519" s="39" t="n">
        <v>997.8</v>
      </c>
      <c r="I519" s="39" t="n">
        <v>535.5</v>
      </c>
      <c r="J519" s="39" t="n">
        <v>1670.65</v>
      </c>
      <c r="K519" s="39" t="n">
        <v>775.78</v>
      </c>
      <c r="L519" s="39" t="n">
        <v>1641.75</v>
      </c>
      <c r="M519" s="39" t="n">
        <v>1218.1</v>
      </c>
      <c r="N519" s="39" t="n">
        <v>489</v>
      </c>
      <c r="O519" s="39" t="n">
        <v>340.5</v>
      </c>
      <c r="P519" s="39" t="n">
        <v>2047.5</v>
      </c>
      <c r="Q519" s="39" t="n">
        <v>399.6</v>
      </c>
      <c r="R519" s="39" t="n">
        <v>781.25</v>
      </c>
      <c r="S519" s="39" t="n">
        <v>725.69</v>
      </c>
    </row>
    <row r="520" customFormat="false" ht="15" hidden="false" customHeight="false" outlineLevel="0" collapsed="false">
      <c r="A520" s="8" t="n">
        <v>45562</v>
      </c>
      <c r="B520" s="39" t="n">
        <v>26178.95</v>
      </c>
      <c r="C520" s="39" t="n">
        <v>24489.55</v>
      </c>
      <c r="D520" s="39" t="n">
        <v>1819.85</v>
      </c>
      <c r="E520" s="39" t="n">
        <v>884.3</v>
      </c>
      <c r="F520" s="39" t="n">
        <v>1205.75</v>
      </c>
      <c r="G520" s="39" t="n">
        <v>664</v>
      </c>
      <c r="H520" s="39" t="n">
        <v>971.95</v>
      </c>
      <c r="I520" s="39" t="n">
        <v>533.55</v>
      </c>
      <c r="J520" s="39" t="n">
        <v>1653.5</v>
      </c>
      <c r="K520" s="39" t="n">
        <v>774.55</v>
      </c>
      <c r="L520" s="39" t="n">
        <v>1609</v>
      </c>
      <c r="M520" s="39" t="n">
        <v>1204.3</v>
      </c>
      <c r="N520" s="39" t="n">
        <v>477.8</v>
      </c>
      <c r="O520" s="39" t="n">
        <v>333.5</v>
      </c>
      <c r="P520" s="39" t="n">
        <v>2057.75</v>
      </c>
      <c r="Q520" s="39" t="n">
        <v>395.8</v>
      </c>
      <c r="R520" s="39" t="n">
        <v>786.3</v>
      </c>
      <c r="S520" s="39" t="n">
        <v>724.21</v>
      </c>
    </row>
    <row r="521" customFormat="false" ht="15" hidden="false" customHeight="false" outlineLevel="0" collapsed="false">
      <c r="A521" s="8" t="n">
        <v>45565</v>
      </c>
      <c r="B521" s="39" t="n">
        <v>25810.85</v>
      </c>
      <c r="C521" s="39" t="n">
        <v>24245.2</v>
      </c>
      <c r="D521" s="39" t="n">
        <v>1816.45</v>
      </c>
      <c r="E521" s="39" t="n">
        <v>892.25</v>
      </c>
      <c r="F521" s="39" t="n">
        <v>1186.4</v>
      </c>
      <c r="G521" s="39" t="n">
        <v>662.45</v>
      </c>
      <c r="H521" s="39" t="n">
        <v>982.95</v>
      </c>
      <c r="I521" s="39" t="n">
        <v>527.8</v>
      </c>
      <c r="J521" s="39" t="n">
        <v>1693.2</v>
      </c>
      <c r="K521" s="39" t="n">
        <v>769.25</v>
      </c>
      <c r="L521" s="39" t="n">
        <v>1608</v>
      </c>
      <c r="M521" s="39" t="n">
        <v>1197.6</v>
      </c>
      <c r="N521" s="39" t="n">
        <v>462.8</v>
      </c>
      <c r="O521" s="39" t="n">
        <v>338.35</v>
      </c>
      <c r="P521" s="39" t="n">
        <v>2031.85</v>
      </c>
      <c r="Q521" s="39" t="n">
        <v>394.45</v>
      </c>
      <c r="R521" s="39" t="n">
        <v>773.7</v>
      </c>
      <c r="S521" s="39" t="n">
        <v>715.39</v>
      </c>
    </row>
    <row r="522" customFormat="false" ht="15" hidden="false" customHeight="false" outlineLevel="0" collapsed="false">
      <c r="A522" s="8" t="n">
        <v>45566</v>
      </c>
      <c r="B522" s="39" t="n">
        <v>25796.9</v>
      </c>
      <c r="C522" s="39" t="n">
        <v>24271.3</v>
      </c>
      <c r="D522" s="39" t="n">
        <v>1850.6</v>
      </c>
      <c r="E522" s="39" t="n">
        <v>901.95</v>
      </c>
      <c r="F522" s="39" t="n">
        <v>1184.45</v>
      </c>
      <c r="G522" s="39" t="n">
        <v>659.25</v>
      </c>
      <c r="H522" s="39" t="n">
        <v>971.8</v>
      </c>
      <c r="I522" s="39" t="n">
        <v>534.95</v>
      </c>
      <c r="J522" s="39" t="n">
        <v>1682.65</v>
      </c>
      <c r="K522" s="39" t="n">
        <v>769.25</v>
      </c>
      <c r="L522" s="39" t="n">
        <v>1581.85</v>
      </c>
      <c r="M522" s="39" t="n">
        <v>1196.7</v>
      </c>
      <c r="N522" s="39" t="n">
        <v>467.25</v>
      </c>
      <c r="O522" s="39" t="n">
        <v>330.1</v>
      </c>
      <c r="P522" s="39" t="n">
        <v>1955.9</v>
      </c>
      <c r="Q522" s="39" t="n">
        <v>400.9</v>
      </c>
      <c r="R522" s="39" t="n">
        <v>770.2</v>
      </c>
      <c r="S522" s="39" t="n">
        <v>714.08</v>
      </c>
    </row>
    <row r="523" customFormat="false" ht="15" hidden="false" customHeight="false" outlineLevel="0" collapsed="false">
      <c r="A523" s="8" t="n">
        <v>45568</v>
      </c>
      <c r="B523" s="39" t="n">
        <v>25250.1</v>
      </c>
      <c r="C523" s="39" t="n">
        <v>23755.45</v>
      </c>
      <c r="D523" s="39" t="n">
        <v>1778.4</v>
      </c>
      <c r="E523" s="39" t="n">
        <v>883.9</v>
      </c>
      <c r="F523" s="39" t="n">
        <v>1182.05</v>
      </c>
      <c r="G523" s="39" t="n">
        <v>636.6</v>
      </c>
      <c r="H523" s="39" t="n">
        <v>938.75</v>
      </c>
      <c r="I523" s="39" t="n">
        <v>525.1</v>
      </c>
      <c r="J523" s="39" t="n">
        <v>1620.9</v>
      </c>
      <c r="K523" s="39" t="n">
        <v>742.37</v>
      </c>
      <c r="L523" s="39" t="n">
        <v>1516.25</v>
      </c>
      <c r="M523" s="39" t="n">
        <v>1170.5</v>
      </c>
      <c r="N523" s="39" t="n">
        <v>455.65</v>
      </c>
      <c r="O523" s="39" t="n">
        <v>322.25</v>
      </c>
      <c r="P523" s="39" t="n">
        <v>1964.05</v>
      </c>
      <c r="Q523" s="39" t="n">
        <v>393.35</v>
      </c>
      <c r="R523" s="39" t="n">
        <v>749.75</v>
      </c>
      <c r="S523" s="39" t="n">
        <v>681.9</v>
      </c>
    </row>
    <row r="524" customFormat="false" ht="15" hidden="false" customHeight="false" outlineLevel="0" collapsed="false">
      <c r="A524" s="8" t="n">
        <v>45569</v>
      </c>
      <c r="B524" s="39" t="n">
        <v>25014.6</v>
      </c>
      <c r="C524" s="39" t="n">
        <v>23534.95</v>
      </c>
      <c r="D524" s="39" t="n">
        <v>1776.9</v>
      </c>
      <c r="E524" s="39" t="n">
        <v>847.15</v>
      </c>
      <c r="F524" s="39" t="n">
        <v>1247.85</v>
      </c>
      <c r="G524" s="39" t="n">
        <v>634.85</v>
      </c>
      <c r="H524" s="39" t="n">
        <v>944.85</v>
      </c>
      <c r="I524" s="39" t="n">
        <v>516.4</v>
      </c>
      <c r="J524" s="39" t="n">
        <v>1619.6</v>
      </c>
      <c r="K524" s="39" t="n">
        <v>720.15</v>
      </c>
      <c r="L524" s="39" t="n">
        <v>1497.4</v>
      </c>
      <c r="M524" s="39" t="n">
        <v>1150.15</v>
      </c>
      <c r="N524" s="39" t="n">
        <v>461</v>
      </c>
      <c r="O524" s="39" t="n">
        <v>300.45</v>
      </c>
      <c r="P524" s="39" t="n">
        <v>1930.35</v>
      </c>
      <c r="Q524" s="39" t="n">
        <v>394.95</v>
      </c>
      <c r="R524" s="39" t="n">
        <v>743.15</v>
      </c>
      <c r="S524" s="39" t="n">
        <v>667.26</v>
      </c>
    </row>
    <row r="525" customFormat="false" ht="15" hidden="false" customHeight="false" outlineLevel="0" collapsed="false">
      <c r="A525" s="8" t="n">
        <v>45572</v>
      </c>
      <c r="B525" s="39" t="n">
        <v>24795.75</v>
      </c>
      <c r="C525" s="39" t="n">
        <v>23181.95</v>
      </c>
      <c r="D525" s="39" t="n">
        <v>1727.3</v>
      </c>
      <c r="E525" s="39" t="n">
        <v>824.1</v>
      </c>
      <c r="F525" s="39" t="n">
        <v>1240</v>
      </c>
      <c r="G525" s="39" t="n">
        <v>607.5</v>
      </c>
      <c r="H525" s="39" t="n">
        <v>934.85</v>
      </c>
      <c r="I525" s="39" t="n">
        <v>498.95</v>
      </c>
      <c r="J525" s="39" t="n">
        <v>1578.4</v>
      </c>
      <c r="K525" s="39" t="n">
        <v>725.95</v>
      </c>
      <c r="L525" s="39" t="n">
        <v>1478.45</v>
      </c>
      <c r="M525" s="39" t="n">
        <v>1144.95</v>
      </c>
      <c r="N525" s="39" t="n">
        <v>436.5</v>
      </c>
      <c r="O525" s="39" t="n">
        <v>291.95</v>
      </c>
      <c r="P525" s="39" t="n">
        <v>1882</v>
      </c>
      <c r="Q525" s="39" t="n">
        <v>379.95</v>
      </c>
      <c r="R525" s="39" t="n">
        <v>730.95</v>
      </c>
      <c r="S525" s="39" t="n">
        <v>659.87</v>
      </c>
    </row>
    <row r="526" customFormat="false" ht="15" hidden="false" customHeight="false" outlineLevel="0" collapsed="false">
      <c r="A526" s="8" t="n">
        <v>45573</v>
      </c>
      <c r="B526" s="39" t="n">
        <v>25013.15</v>
      </c>
      <c r="C526" s="39" t="n">
        <v>23512.55</v>
      </c>
      <c r="D526" s="39" t="n">
        <v>1741.8</v>
      </c>
      <c r="E526" s="39" t="n">
        <v>854.45</v>
      </c>
      <c r="F526" s="39" t="n">
        <v>1283.85</v>
      </c>
      <c r="G526" s="39" t="n">
        <v>615.25</v>
      </c>
      <c r="H526" s="39" t="n">
        <v>939.1</v>
      </c>
      <c r="I526" s="39" t="n">
        <v>503.4</v>
      </c>
      <c r="J526" s="39" t="n">
        <v>1588.95</v>
      </c>
      <c r="K526" s="39" t="n">
        <v>717.72</v>
      </c>
      <c r="L526" s="39" t="n">
        <v>1530.95</v>
      </c>
      <c r="M526" s="39" t="n">
        <v>1142.35</v>
      </c>
      <c r="N526" s="39" t="n">
        <v>458.55</v>
      </c>
      <c r="O526" s="39" t="n">
        <v>288.9</v>
      </c>
      <c r="P526" s="39" t="n">
        <v>1884.05</v>
      </c>
      <c r="Q526" s="39" t="n">
        <v>374.25</v>
      </c>
      <c r="R526" s="39" t="n">
        <v>732.25</v>
      </c>
      <c r="S526" s="39" t="n">
        <v>665.86</v>
      </c>
    </row>
    <row r="527" customFormat="false" ht="15" hidden="false" customHeight="false" outlineLevel="0" collapsed="false">
      <c r="A527" s="8" t="n">
        <v>45574</v>
      </c>
      <c r="B527" s="39" t="n">
        <v>24981.95</v>
      </c>
      <c r="C527" s="39" t="n">
        <v>23599.6</v>
      </c>
      <c r="D527" s="39" t="n">
        <v>1722.55</v>
      </c>
      <c r="E527" s="39" t="n">
        <v>870.2</v>
      </c>
      <c r="F527" s="39" t="n">
        <v>1309.35</v>
      </c>
      <c r="G527" s="39" t="n">
        <v>617.2</v>
      </c>
      <c r="H527" s="39" t="n">
        <v>946.05</v>
      </c>
      <c r="I527" s="39" t="n">
        <v>500.6</v>
      </c>
      <c r="J527" s="39" t="n">
        <v>1585.45</v>
      </c>
      <c r="K527" s="39" t="n">
        <v>729.05</v>
      </c>
      <c r="L527" s="39" t="n">
        <v>1561.55</v>
      </c>
      <c r="M527" s="39" t="n">
        <v>1151.8</v>
      </c>
      <c r="N527" s="39" t="n">
        <v>453.5</v>
      </c>
      <c r="O527" s="39" t="n">
        <v>285.75</v>
      </c>
      <c r="P527" s="39" t="n">
        <v>1933.7</v>
      </c>
      <c r="Q527" s="39" t="n">
        <v>390.25</v>
      </c>
      <c r="R527" s="39" t="n">
        <v>739.2</v>
      </c>
      <c r="S527" s="39" t="n">
        <v>677.59</v>
      </c>
    </row>
    <row r="528" customFormat="false" ht="15" hidden="false" customHeight="false" outlineLevel="0" collapsed="false">
      <c r="A528" s="8" t="n">
        <v>45575</v>
      </c>
      <c r="B528" s="39" t="n">
        <v>24998.45</v>
      </c>
      <c r="C528" s="39" t="n">
        <v>23598.15</v>
      </c>
      <c r="D528" s="39" t="n">
        <v>1721.5</v>
      </c>
      <c r="E528" s="39" t="n">
        <v>858.1</v>
      </c>
      <c r="F528" s="39" t="n">
        <v>1241.65</v>
      </c>
      <c r="G528" s="39" t="n">
        <v>616.1</v>
      </c>
      <c r="H528" s="39" t="n">
        <v>950.25</v>
      </c>
      <c r="I528" s="39" t="n">
        <v>500.3</v>
      </c>
      <c r="J528" s="39" t="n">
        <v>1562.9</v>
      </c>
      <c r="K528" s="39" t="n">
        <v>730.98</v>
      </c>
      <c r="L528" s="39" t="n">
        <v>1517.1</v>
      </c>
      <c r="M528" s="39" t="n">
        <v>1119.2</v>
      </c>
      <c r="N528" s="39" t="n">
        <v>454.6</v>
      </c>
      <c r="O528" s="39" t="n">
        <v>284.45</v>
      </c>
      <c r="P528" s="39" t="n">
        <v>1943.4</v>
      </c>
      <c r="Q528" s="39" t="n">
        <v>388.1</v>
      </c>
      <c r="R528" s="39" t="n">
        <v>737.3</v>
      </c>
      <c r="S528" s="39" t="n">
        <v>667.53</v>
      </c>
    </row>
    <row r="529" customFormat="false" ht="15" hidden="false" customHeight="false" outlineLevel="0" collapsed="false">
      <c r="A529" s="8" t="n">
        <v>45576</v>
      </c>
      <c r="B529" s="39" t="n">
        <v>24964.25</v>
      </c>
      <c r="C529" s="39" t="n">
        <v>23611.25</v>
      </c>
      <c r="D529" s="39" t="n">
        <v>1718.85</v>
      </c>
      <c r="E529" s="39" t="n">
        <v>867.75</v>
      </c>
      <c r="F529" s="39" t="n">
        <v>1216.65</v>
      </c>
      <c r="G529" s="39" t="n">
        <v>619.5</v>
      </c>
      <c r="H529" s="39" t="n">
        <v>973.95</v>
      </c>
      <c r="I529" s="39" t="n">
        <v>497.55</v>
      </c>
      <c r="J529" s="39" t="n">
        <v>1541.4</v>
      </c>
      <c r="K529" s="39" t="n">
        <v>729.21</v>
      </c>
      <c r="L529" s="39" t="n">
        <v>1501.05</v>
      </c>
      <c r="M529" s="39" t="n">
        <v>1075.25</v>
      </c>
      <c r="N529" s="39" t="n">
        <v>469.55</v>
      </c>
      <c r="O529" s="39" t="n">
        <v>284.05</v>
      </c>
      <c r="P529" s="39" t="n">
        <v>1945.45</v>
      </c>
      <c r="Q529" s="39" t="n">
        <v>380.7</v>
      </c>
      <c r="R529" s="39" t="n">
        <v>733.75</v>
      </c>
      <c r="S529" s="39" t="n">
        <v>668.24</v>
      </c>
    </row>
    <row r="530" customFormat="false" ht="15" hidden="false" customHeight="false" outlineLevel="0" collapsed="false">
      <c r="A530" s="8" t="n">
        <v>45579</v>
      </c>
      <c r="B530" s="39" t="n">
        <v>25127.95</v>
      </c>
      <c r="C530" s="39" t="n">
        <v>23727.05</v>
      </c>
      <c r="D530" s="39" t="n">
        <v>1728.05</v>
      </c>
      <c r="E530" s="39" t="n">
        <v>871.9</v>
      </c>
      <c r="F530" s="39" t="n">
        <v>1214.55</v>
      </c>
      <c r="G530" s="39" t="n">
        <v>617.75</v>
      </c>
      <c r="H530" s="39" t="n">
        <v>989.5</v>
      </c>
      <c r="I530" s="39" t="n">
        <v>509</v>
      </c>
      <c r="J530" s="39" t="n">
        <v>1538.05</v>
      </c>
      <c r="K530" s="39" t="n">
        <v>719.9</v>
      </c>
      <c r="L530" s="39" t="n">
        <v>1512.9</v>
      </c>
      <c r="M530" s="39" t="n">
        <v>1054.9</v>
      </c>
      <c r="N530" s="39" t="n">
        <v>471.45</v>
      </c>
      <c r="O530" s="39" t="n">
        <v>283.25</v>
      </c>
      <c r="P530" s="39" t="n">
        <v>1949.95</v>
      </c>
      <c r="Q530" s="39" t="n">
        <v>380.3</v>
      </c>
      <c r="R530" s="39" t="n">
        <v>737.55</v>
      </c>
      <c r="S530" s="39" t="n">
        <v>679.06</v>
      </c>
    </row>
    <row r="531" customFormat="false" ht="15" hidden="false" customHeight="false" outlineLevel="0" collapsed="false">
      <c r="A531" s="8" t="n">
        <v>45580</v>
      </c>
      <c r="B531" s="39" t="n">
        <v>25057.35</v>
      </c>
      <c r="C531" s="39" t="n">
        <v>23735.7</v>
      </c>
      <c r="D531" s="39" t="n">
        <v>1776.35</v>
      </c>
      <c r="E531" s="39" t="n">
        <v>890.8</v>
      </c>
      <c r="F531" s="39" t="n">
        <v>1200.2</v>
      </c>
      <c r="G531" s="39" t="n">
        <v>625.95</v>
      </c>
      <c r="H531" s="39" t="n">
        <v>981.85</v>
      </c>
      <c r="I531" s="39" t="n">
        <v>508.8</v>
      </c>
      <c r="J531" s="39" t="n">
        <v>1524.7</v>
      </c>
      <c r="K531" s="39" t="n">
        <v>700.74</v>
      </c>
      <c r="L531" s="39" t="n">
        <v>1503.05</v>
      </c>
      <c r="M531" s="39" t="n">
        <v>1054.75</v>
      </c>
      <c r="N531" s="39" t="n">
        <v>477.35</v>
      </c>
      <c r="O531" s="39" t="n">
        <v>286.4</v>
      </c>
      <c r="P531" s="39" t="n">
        <v>1956.95</v>
      </c>
      <c r="Q531" s="39" t="n">
        <v>379.9</v>
      </c>
      <c r="R531" s="39" t="n">
        <v>739.05</v>
      </c>
      <c r="S531" s="39" t="n">
        <v>680.23</v>
      </c>
    </row>
    <row r="532" customFormat="false" ht="15" hidden="false" customHeight="false" outlineLevel="0" collapsed="false">
      <c r="A532" s="8" t="n">
        <v>45581</v>
      </c>
      <c r="B532" s="39" t="n">
        <v>24971.3</v>
      </c>
      <c r="C532" s="39" t="n">
        <v>23673.15</v>
      </c>
      <c r="D532" s="39" t="n">
        <v>1746.6</v>
      </c>
      <c r="E532" s="39" t="n">
        <v>882.35</v>
      </c>
      <c r="F532" s="39" t="n">
        <v>1209.75</v>
      </c>
      <c r="G532" s="39" t="n">
        <v>626.1</v>
      </c>
      <c r="H532" s="39" t="n">
        <v>959.45</v>
      </c>
      <c r="I532" s="39" t="n">
        <v>503.75</v>
      </c>
      <c r="J532" s="39" t="n">
        <v>1531.4</v>
      </c>
      <c r="K532" s="39" t="n">
        <v>694.69</v>
      </c>
      <c r="L532" s="39" t="n">
        <v>1485.2</v>
      </c>
      <c r="M532" s="39" t="n">
        <v>1024.1</v>
      </c>
      <c r="N532" s="39" t="n">
        <v>468.95</v>
      </c>
      <c r="O532" s="39" t="n">
        <v>290</v>
      </c>
      <c r="P532" s="39" t="n">
        <v>1956.8</v>
      </c>
      <c r="Q532" s="39" t="n">
        <v>381</v>
      </c>
      <c r="R532" s="39" t="n">
        <v>740.8</v>
      </c>
      <c r="S532" s="39" t="n">
        <v>678.08</v>
      </c>
    </row>
    <row r="533" customFormat="false" ht="15" hidden="false" customHeight="false" outlineLevel="0" collapsed="false">
      <c r="A533" s="8" t="n">
        <v>45582</v>
      </c>
      <c r="B533" s="39" t="n">
        <v>24749.85</v>
      </c>
      <c r="C533" s="39" t="n">
        <v>23377</v>
      </c>
      <c r="D533" s="39" t="n">
        <v>1728</v>
      </c>
      <c r="E533" s="39" t="n">
        <v>857.6</v>
      </c>
      <c r="F533" s="39" t="n">
        <v>1200.85</v>
      </c>
      <c r="G533" s="39" t="n">
        <v>611.8</v>
      </c>
      <c r="H533" s="39" t="n">
        <v>933.65</v>
      </c>
      <c r="I533" s="39" t="n">
        <v>496.95</v>
      </c>
      <c r="J533" s="39" t="n">
        <v>1527.65</v>
      </c>
      <c r="K533" s="39" t="n">
        <v>689.01</v>
      </c>
      <c r="L533" s="39" t="n">
        <v>1456.55</v>
      </c>
      <c r="M533" s="39" t="n">
        <v>1047.35</v>
      </c>
      <c r="N533" s="39" t="n">
        <v>460</v>
      </c>
      <c r="O533" s="39" t="n">
        <v>282.15</v>
      </c>
      <c r="P533" s="39" t="n">
        <v>1955.45</v>
      </c>
      <c r="Q533" s="39" t="n">
        <v>376.45</v>
      </c>
      <c r="R533" s="39" t="n">
        <v>740</v>
      </c>
      <c r="S533" s="39" t="n">
        <v>651.72</v>
      </c>
    </row>
    <row r="534" customFormat="false" ht="15" hidden="false" customHeight="false" outlineLevel="0" collapsed="false">
      <c r="A534" s="8" t="n">
        <v>45583</v>
      </c>
      <c r="B534" s="39" t="n">
        <v>24854.05</v>
      </c>
      <c r="C534" s="39" t="n">
        <v>23440.7</v>
      </c>
      <c r="D534" s="39" t="n">
        <v>1731.15</v>
      </c>
      <c r="E534" s="39" t="n">
        <v>861.1</v>
      </c>
      <c r="F534" s="39" t="n">
        <v>1171</v>
      </c>
      <c r="G534" s="39" t="n">
        <v>618.6</v>
      </c>
      <c r="H534" s="39" t="n">
        <v>932.75</v>
      </c>
      <c r="I534" s="39" t="n">
        <v>497.55</v>
      </c>
      <c r="J534" s="39" t="n">
        <v>1524.25</v>
      </c>
      <c r="K534" s="39" t="n">
        <v>689.02</v>
      </c>
      <c r="L534" s="39" t="n">
        <v>1460.3</v>
      </c>
      <c r="M534" s="39" t="n">
        <v>1026</v>
      </c>
      <c r="N534" s="39" t="n">
        <v>450.45</v>
      </c>
      <c r="O534" s="39" t="n">
        <v>291</v>
      </c>
      <c r="P534" s="39" t="n">
        <v>1968.75</v>
      </c>
      <c r="Q534" s="39" t="n">
        <v>376</v>
      </c>
      <c r="R534" s="39" t="n">
        <v>740.15</v>
      </c>
      <c r="S534" s="39" t="n">
        <v>668.93</v>
      </c>
    </row>
    <row r="535" customFormat="false" ht="15" hidden="false" customHeight="false" outlineLevel="0" collapsed="false">
      <c r="A535" s="8" t="n">
        <v>45586</v>
      </c>
      <c r="B535" s="39" t="n">
        <v>24781.1</v>
      </c>
      <c r="C535" s="39" t="n">
        <v>23263.25</v>
      </c>
      <c r="D535" s="39" t="n">
        <v>1706.3</v>
      </c>
      <c r="E535" s="39" t="n">
        <v>859.45</v>
      </c>
      <c r="F535" s="39" t="n">
        <v>1124.5</v>
      </c>
      <c r="G535" s="39" t="n">
        <v>607.75</v>
      </c>
      <c r="H535" s="39" t="n">
        <v>915.1</v>
      </c>
      <c r="I535" s="39" t="n">
        <v>501.75</v>
      </c>
      <c r="J535" s="39" t="n">
        <v>1486.4</v>
      </c>
      <c r="K535" s="39" t="n">
        <v>677.17</v>
      </c>
      <c r="L535" s="39" t="n">
        <v>1438.7</v>
      </c>
      <c r="M535" s="39" t="n">
        <v>1014.35</v>
      </c>
      <c r="N535" s="39" t="n">
        <v>436.65</v>
      </c>
      <c r="O535" s="39" t="n">
        <v>289.15</v>
      </c>
      <c r="P535" s="39" t="n">
        <v>1945</v>
      </c>
      <c r="Q535" s="39" t="n">
        <v>376.7</v>
      </c>
      <c r="R535" s="39" t="n">
        <v>718.95</v>
      </c>
      <c r="S535" s="39" t="n">
        <v>662.66</v>
      </c>
    </row>
    <row r="536" customFormat="false" ht="15" hidden="false" customHeight="false" outlineLevel="0" collapsed="false">
      <c r="A536" s="8" t="n">
        <v>45587</v>
      </c>
      <c r="B536" s="39" t="n">
        <v>24472.1</v>
      </c>
      <c r="C536" s="39" t="n">
        <v>22814.45</v>
      </c>
      <c r="D536" s="39" t="n">
        <v>1681.3</v>
      </c>
      <c r="E536" s="39" t="n">
        <v>832.9</v>
      </c>
      <c r="F536" s="39" t="n">
        <v>1102.35</v>
      </c>
      <c r="G536" s="39" t="n">
        <v>587.55</v>
      </c>
      <c r="H536" s="39" t="n">
        <v>874.4</v>
      </c>
      <c r="I536" s="39" t="n">
        <v>499.5</v>
      </c>
      <c r="J536" s="39" t="n">
        <v>1487.85</v>
      </c>
      <c r="K536" s="39" t="n">
        <v>666.88</v>
      </c>
      <c r="L536" s="39" t="n">
        <v>1411.2</v>
      </c>
      <c r="M536" s="39" t="n">
        <v>1000.1</v>
      </c>
      <c r="N536" s="39" t="n">
        <v>417.95</v>
      </c>
      <c r="O536" s="39" t="n">
        <v>281.65</v>
      </c>
      <c r="P536" s="39" t="n">
        <v>1910.5</v>
      </c>
      <c r="Q536" s="39" t="n">
        <v>363.3</v>
      </c>
      <c r="R536" s="39" t="n">
        <v>703.95</v>
      </c>
      <c r="S536" s="39" t="n">
        <v>650.9</v>
      </c>
    </row>
    <row r="537" customFormat="false" ht="15" hidden="false" customHeight="false" outlineLevel="0" collapsed="false">
      <c r="A537" s="8" t="n">
        <v>45588</v>
      </c>
      <c r="B537" s="39" t="n">
        <v>24435.5</v>
      </c>
      <c r="C537" s="39" t="n">
        <v>22841.1</v>
      </c>
      <c r="D537" s="39" t="n">
        <v>1684.85</v>
      </c>
      <c r="E537" s="39" t="n">
        <v>871.3</v>
      </c>
      <c r="F537" s="39" t="n">
        <v>1115.25</v>
      </c>
      <c r="G537" s="39" t="n">
        <v>600.6</v>
      </c>
      <c r="H537" s="39" t="n">
        <v>947.65</v>
      </c>
      <c r="I537" s="39" t="n">
        <v>501.75</v>
      </c>
      <c r="J537" s="39" t="n">
        <v>1505.3</v>
      </c>
      <c r="K537" s="39" t="n">
        <v>698.63</v>
      </c>
      <c r="L537" s="39" t="n">
        <v>1406.7</v>
      </c>
      <c r="M537" s="39" t="n">
        <v>993.1</v>
      </c>
      <c r="N537" s="39" t="n">
        <v>420.05</v>
      </c>
      <c r="O537" s="39" t="n">
        <v>267.55</v>
      </c>
      <c r="P537" s="39" t="n">
        <v>1925.05</v>
      </c>
      <c r="Q537" s="39" t="n">
        <v>360.65</v>
      </c>
      <c r="R537" s="39" t="n">
        <v>705.9</v>
      </c>
      <c r="S537" s="39" t="n">
        <v>639.55</v>
      </c>
    </row>
    <row r="538" customFormat="false" ht="15" hidden="false" customHeight="false" outlineLevel="0" collapsed="false">
      <c r="A538" s="8" t="n">
        <v>45589</v>
      </c>
      <c r="B538" s="39" t="n">
        <v>24399.4</v>
      </c>
      <c r="C538" s="39" t="n">
        <v>22787.85</v>
      </c>
      <c r="D538" s="39" t="n">
        <v>1668.95</v>
      </c>
      <c r="E538" s="39" t="n">
        <v>845.45</v>
      </c>
      <c r="F538" s="39" t="n">
        <v>1113</v>
      </c>
      <c r="G538" s="39" t="n">
        <v>600.25</v>
      </c>
      <c r="H538" s="39" t="n">
        <v>934.45</v>
      </c>
      <c r="I538" s="39" t="n">
        <v>501.65</v>
      </c>
      <c r="J538" s="39" t="n">
        <v>1475.7</v>
      </c>
      <c r="K538" s="39" t="n">
        <v>703.13</v>
      </c>
      <c r="L538" s="39" t="n">
        <v>1386.15</v>
      </c>
      <c r="M538" s="39" t="n">
        <v>983.75</v>
      </c>
      <c r="N538" s="39" t="n">
        <v>407.15</v>
      </c>
      <c r="O538" s="39" t="n">
        <v>268.9</v>
      </c>
      <c r="P538" s="39" t="n">
        <v>1930.15</v>
      </c>
      <c r="Q538" s="39" t="n">
        <v>358.7</v>
      </c>
      <c r="R538" s="39" t="n">
        <v>712.2</v>
      </c>
      <c r="S538" s="39" t="n">
        <v>649.02</v>
      </c>
    </row>
    <row r="539" customFormat="false" ht="15" hidden="false" customHeight="false" outlineLevel="0" collapsed="false">
      <c r="A539" s="8" t="n">
        <v>45590</v>
      </c>
      <c r="B539" s="39" t="n">
        <v>24180.8</v>
      </c>
      <c r="C539" s="39" t="n">
        <v>22499.05</v>
      </c>
      <c r="D539" s="39" t="n">
        <v>1673.95</v>
      </c>
      <c r="E539" s="39" t="n">
        <v>850.65</v>
      </c>
      <c r="F539" s="39" t="n">
        <v>1102</v>
      </c>
      <c r="G539" s="39" t="n">
        <v>598.25</v>
      </c>
      <c r="H539" s="39" t="n">
        <v>947.75</v>
      </c>
      <c r="I539" s="39" t="n">
        <v>495.8</v>
      </c>
      <c r="J539" s="39" t="n">
        <v>1465.95</v>
      </c>
      <c r="K539" s="39" t="n">
        <v>690.08</v>
      </c>
      <c r="L539" s="39" t="n">
        <v>1372.2</v>
      </c>
      <c r="M539" s="39" t="n">
        <v>981.5</v>
      </c>
      <c r="N539" s="39" t="n">
        <v>397.45</v>
      </c>
      <c r="O539" s="39" t="n">
        <v>268.25</v>
      </c>
      <c r="P539" s="39" t="n">
        <v>1923.55</v>
      </c>
      <c r="Q539" s="39" t="n">
        <v>297.05</v>
      </c>
      <c r="R539" s="39" t="n">
        <v>691.45</v>
      </c>
      <c r="S539" s="39" t="n">
        <v>618.53</v>
      </c>
    </row>
    <row r="540" customFormat="false" ht="15" hidden="false" customHeight="false" outlineLevel="0" collapsed="false">
      <c r="A540" s="8" t="n">
        <v>45593</v>
      </c>
      <c r="B540" s="39" t="n">
        <v>24339.15</v>
      </c>
      <c r="C540" s="39" t="n">
        <v>22649.95</v>
      </c>
      <c r="D540" s="39" t="n">
        <v>1648.8</v>
      </c>
      <c r="E540" s="39" t="n">
        <v>847.75</v>
      </c>
      <c r="F540" s="39" t="n">
        <v>1103.05</v>
      </c>
      <c r="G540" s="39" t="n">
        <v>618.45</v>
      </c>
      <c r="H540" s="39" t="n">
        <v>903.6</v>
      </c>
      <c r="I540" s="39" t="n">
        <v>478.05</v>
      </c>
      <c r="J540" s="39" t="n">
        <v>1448.9</v>
      </c>
      <c r="K540" s="39" t="n">
        <v>690.2</v>
      </c>
      <c r="L540" s="39" t="n">
        <v>1280.35</v>
      </c>
      <c r="M540" s="39" t="n">
        <v>957.45</v>
      </c>
      <c r="N540" s="39" t="n">
        <v>408</v>
      </c>
      <c r="O540" s="39" t="n">
        <v>273.1</v>
      </c>
      <c r="P540" s="39" t="n">
        <v>1926.1</v>
      </c>
      <c r="Q540" s="39" t="n">
        <v>319.65</v>
      </c>
      <c r="R540" s="39" t="n">
        <v>667.55</v>
      </c>
      <c r="S540" s="39" t="n">
        <v>651.86</v>
      </c>
    </row>
    <row r="541" customFormat="false" ht="15" hidden="false" customHeight="false" outlineLevel="0" collapsed="false">
      <c r="A541" s="8" t="n">
        <v>45594</v>
      </c>
      <c r="B541" s="39" t="n">
        <v>24466.85</v>
      </c>
      <c r="C541" s="39" t="n">
        <v>22795.05</v>
      </c>
      <c r="D541" s="39" t="n">
        <v>1656</v>
      </c>
      <c r="E541" s="39" t="n">
        <v>862.6</v>
      </c>
      <c r="F541" s="39" t="n">
        <v>1185.3</v>
      </c>
      <c r="G541" s="39" t="n">
        <v>637.45</v>
      </c>
      <c r="H541" s="39" t="n">
        <v>921.4</v>
      </c>
      <c r="I541" s="39" t="n">
        <v>472.25</v>
      </c>
      <c r="J541" s="39" t="n">
        <v>1458.65</v>
      </c>
      <c r="K541" s="39" t="n">
        <v>701.3</v>
      </c>
      <c r="L541" s="39" t="n">
        <v>1292.4</v>
      </c>
      <c r="M541" s="39" t="n">
        <v>938.65</v>
      </c>
      <c r="N541" s="39" t="n">
        <v>423.9</v>
      </c>
      <c r="O541" s="39" t="n">
        <v>278.9</v>
      </c>
      <c r="P541" s="39" t="n">
        <v>1960.35</v>
      </c>
      <c r="Q541" s="39" t="n">
        <v>339.55</v>
      </c>
      <c r="R541" s="39" t="n">
        <v>685.2</v>
      </c>
      <c r="S541" s="39" t="n">
        <v>653.16</v>
      </c>
    </row>
    <row r="542" customFormat="false" ht="15" hidden="false" customHeight="false" outlineLevel="0" collapsed="false">
      <c r="A542" s="8" t="n">
        <v>45595</v>
      </c>
      <c r="B542" s="39" t="n">
        <v>24340.85</v>
      </c>
      <c r="C542" s="39" t="n">
        <v>22749.8</v>
      </c>
      <c r="D542" s="39" t="n">
        <v>1668.75</v>
      </c>
      <c r="E542" s="39" t="n">
        <v>884.8</v>
      </c>
      <c r="F542" s="39" t="n">
        <v>1210.65</v>
      </c>
      <c r="G542" s="39" t="n">
        <v>633</v>
      </c>
      <c r="H542" s="39" t="n">
        <v>923</v>
      </c>
      <c r="I542" s="39" t="n">
        <v>478.35</v>
      </c>
      <c r="J542" s="39" t="n">
        <v>1452.25</v>
      </c>
      <c r="K542" s="39" t="n">
        <v>694.55</v>
      </c>
      <c r="L542" s="39" t="n">
        <v>1274.5</v>
      </c>
      <c r="M542" s="39" t="n">
        <v>983.5</v>
      </c>
      <c r="N542" s="39" t="n">
        <v>421.55</v>
      </c>
      <c r="O542" s="39" t="n">
        <v>274.15</v>
      </c>
      <c r="P542" s="39" t="n">
        <v>1968.5</v>
      </c>
      <c r="Q542" s="39" t="n">
        <v>376</v>
      </c>
      <c r="R542" s="39" t="n">
        <v>684</v>
      </c>
      <c r="S542" s="39" t="n">
        <v>637.16</v>
      </c>
    </row>
    <row r="543" customFormat="false" ht="15" hidden="false" customHeight="false" outlineLevel="0" collapsed="false">
      <c r="A543" s="8" t="n">
        <v>45596</v>
      </c>
      <c r="B543" s="39" t="n">
        <v>24205.35</v>
      </c>
      <c r="C543" s="39" t="n">
        <v>22689.35</v>
      </c>
      <c r="D543" s="39" t="n">
        <v>1672.65</v>
      </c>
      <c r="E543" s="39" t="n">
        <v>867.95</v>
      </c>
      <c r="F543" s="39" t="n">
        <v>1179.8</v>
      </c>
      <c r="G543" s="39" t="n">
        <v>631.05</v>
      </c>
      <c r="H543" s="39" t="n">
        <v>967.05</v>
      </c>
      <c r="I543" s="39" t="n">
        <v>470.4</v>
      </c>
      <c r="J543" s="39" t="n">
        <v>1481.4</v>
      </c>
      <c r="K543" s="39" t="n">
        <v>688.04</v>
      </c>
      <c r="L543" s="39" t="n">
        <v>1272.75</v>
      </c>
      <c r="M543" s="39" t="n">
        <v>981.95</v>
      </c>
      <c r="N543" s="39" t="n">
        <v>436.8</v>
      </c>
      <c r="O543" s="39" t="n">
        <v>270.6</v>
      </c>
      <c r="P543" s="39" t="n">
        <v>1930.45</v>
      </c>
      <c r="Q543" s="39" t="n">
        <v>374.5</v>
      </c>
      <c r="R543" s="39" t="n">
        <v>688.4</v>
      </c>
      <c r="S543" s="39" t="n">
        <v>627.78</v>
      </c>
    </row>
    <row r="544" customFormat="false" ht="15" hidden="false" customHeight="false" outlineLevel="0" collapsed="false">
      <c r="A544" s="8" t="n">
        <v>45597</v>
      </c>
      <c r="B544" s="39" t="n">
        <v>24304.35</v>
      </c>
      <c r="C544" s="39" t="n">
        <v>22823.55</v>
      </c>
      <c r="D544" s="39" t="n">
        <v>1682.8</v>
      </c>
      <c r="E544" s="39" t="n">
        <v>876.05</v>
      </c>
      <c r="F544" s="39" t="n">
        <v>1191.6</v>
      </c>
      <c r="G544" s="39" t="n">
        <v>634.05</v>
      </c>
      <c r="H544" s="39" t="n">
        <v>968.15</v>
      </c>
      <c r="I544" s="39" t="n">
        <v>478.35</v>
      </c>
      <c r="J544" s="39" t="n">
        <v>1504.95</v>
      </c>
      <c r="K544" s="39" t="n">
        <v>691.42</v>
      </c>
      <c r="L544" s="39" t="n">
        <v>1283.2</v>
      </c>
      <c r="M544" s="39" t="n">
        <v>997.45</v>
      </c>
      <c r="N544" s="39" t="n">
        <v>453.35</v>
      </c>
      <c r="O544" s="39" t="n">
        <v>273.4</v>
      </c>
      <c r="P544" s="39" t="n">
        <v>1931.45</v>
      </c>
      <c r="Q544" s="39" t="n">
        <v>378.25</v>
      </c>
      <c r="R544" s="39" t="n">
        <v>694.8</v>
      </c>
      <c r="S544" s="39" t="n">
        <v>630.19</v>
      </c>
    </row>
    <row r="545" customFormat="false" ht="15" hidden="false" customHeight="false" outlineLevel="0" collapsed="false">
      <c r="A545" s="8" t="n">
        <v>45600</v>
      </c>
      <c r="B545" s="39" t="n">
        <v>23995.35</v>
      </c>
      <c r="C545" s="39" t="n">
        <v>22518.3</v>
      </c>
      <c r="D545" s="39" t="n">
        <v>1688.7</v>
      </c>
      <c r="E545" s="39" t="n">
        <v>856.35</v>
      </c>
      <c r="F545" s="39" t="n">
        <v>1148.15</v>
      </c>
      <c r="G545" s="39" t="n">
        <v>622.85</v>
      </c>
      <c r="H545" s="39" t="n">
        <v>951.1</v>
      </c>
      <c r="I545" s="39" t="n">
        <v>476.8</v>
      </c>
      <c r="J545" s="39" t="n">
        <v>1475.75</v>
      </c>
      <c r="K545" s="39" t="n">
        <v>683.44</v>
      </c>
      <c r="L545" s="39" t="n">
        <v>1251.25</v>
      </c>
      <c r="M545" s="39" t="n">
        <v>955</v>
      </c>
      <c r="N545" s="39" t="n">
        <v>448.35</v>
      </c>
      <c r="O545" s="39" t="n">
        <v>273.7</v>
      </c>
      <c r="P545" s="39" t="n">
        <v>1901.05</v>
      </c>
      <c r="Q545" s="39" t="n">
        <v>375.8</v>
      </c>
      <c r="R545" s="39" t="n">
        <v>688.45</v>
      </c>
      <c r="S545" s="39" t="n">
        <v>629.58</v>
      </c>
    </row>
    <row r="546" customFormat="false" ht="15" hidden="false" customHeight="false" outlineLevel="0" collapsed="false">
      <c r="A546" s="8" t="n">
        <v>45601</v>
      </c>
      <c r="B546" s="39" t="n">
        <v>24213.3</v>
      </c>
      <c r="C546" s="39" t="n">
        <v>22679.85</v>
      </c>
      <c r="D546" s="39" t="n">
        <v>1679.3</v>
      </c>
      <c r="E546" s="39" t="n">
        <v>865.8</v>
      </c>
      <c r="F546" s="39" t="n">
        <v>1147.35</v>
      </c>
      <c r="G546" s="39" t="n">
        <v>632.1</v>
      </c>
      <c r="H546" s="39" t="n">
        <v>985.7</v>
      </c>
      <c r="I546" s="39" t="n">
        <v>476.25</v>
      </c>
      <c r="J546" s="39" t="n">
        <v>1455</v>
      </c>
      <c r="K546" s="39" t="n">
        <v>692.09</v>
      </c>
      <c r="L546" s="39" t="n">
        <v>1283</v>
      </c>
      <c r="M546" s="39" t="n">
        <v>926.9</v>
      </c>
      <c r="N546" s="39" t="n">
        <v>448.25</v>
      </c>
      <c r="O546" s="39" t="n">
        <v>276.9</v>
      </c>
      <c r="P546" s="39" t="n">
        <v>1913.35</v>
      </c>
      <c r="Q546" s="39" t="n">
        <v>369.85</v>
      </c>
      <c r="R546" s="39" t="n">
        <v>694.95</v>
      </c>
      <c r="S546" s="39" t="n">
        <v>632.46</v>
      </c>
    </row>
    <row r="547" customFormat="false" ht="15" hidden="false" customHeight="false" outlineLevel="0" collapsed="false">
      <c r="A547" s="8" t="n">
        <v>45602</v>
      </c>
      <c r="B547" s="39" t="n">
        <v>24484.05</v>
      </c>
      <c r="C547" s="39" t="n">
        <v>23031.2</v>
      </c>
      <c r="D547" s="39" t="n">
        <v>1684.7</v>
      </c>
      <c r="E547" s="39" t="n">
        <v>869.8</v>
      </c>
      <c r="F547" s="39" t="n">
        <v>1166.45</v>
      </c>
      <c r="G547" s="39" t="n">
        <v>634.45</v>
      </c>
      <c r="H547" s="39" t="n">
        <v>999.25</v>
      </c>
      <c r="I547" s="39" t="n">
        <v>488.3</v>
      </c>
      <c r="J547" s="39" t="n">
        <v>1444.55</v>
      </c>
      <c r="K547" s="39" t="n">
        <v>699.67</v>
      </c>
      <c r="L547" s="39" t="n">
        <v>1304.55</v>
      </c>
      <c r="M547" s="39" t="n">
        <v>949.2</v>
      </c>
      <c r="N547" s="39" t="n">
        <v>457.05</v>
      </c>
      <c r="O547" s="39" t="n">
        <v>277.25</v>
      </c>
      <c r="P547" s="39" t="n">
        <v>1893.9</v>
      </c>
      <c r="Q547" s="39" t="n">
        <v>379.4</v>
      </c>
      <c r="R547" s="39" t="n">
        <v>700.05</v>
      </c>
      <c r="S547" s="39" t="n">
        <v>637.34</v>
      </c>
    </row>
    <row r="548" customFormat="false" ht="15" hidden="false" customHeight="false" outlineLevel="0" collapsed="false">
      <c r="A548" s="8" t="n">
        <v>45603</v>
      </c>
      <c r="B548" s="39" t="n">
        <v>24199.35</v>
      </c>
      <c r="C548" s="39" t="n">
        <v>22806.25</v>
      </c>
      <c r="D548" s="39" t="n">
        <v>1705.9</v>
      </c>
      <c r="E548" s="39" t="n">
        <v>858.55</v>
      </c>
      <c r="F548" s="39" t="n">
        <v>1142.95</v>
      </c>
      <c r="G548" s="39" t="n">
        <v>638.7</v>
      </c>
      <c r="H548" s="39" t="n">
        <v>970.3</v>
      </c>
      <c r="I548" s="39" t="n">
        <v>488.9</v>
      </c>
      <c r="J548" s="39" t="n">
        <v>1434.7</v>
      </c>
      <c r="K548" s="39" t="n">
        <v>689.51</v>
      </c>
      <c r="L548" s="39" t="n">
        <v>1283</v>
      </c>
      <c r="M548" s="39" t="n">
        <v>947.35</v>
      </c>
      <c r="N548" s="39" t="n">
        <v>454</v>
      </c>
      <c r="O548" s="39" t="n">
        <v>272.55</v>
      </c>
      <c r="P548" s="39" t="n">
        <v>1823.85</v>
      </c>
      <c r="Q548" s="39" t="n">
        <v>376.05</v>
      </c>
      <c r="R548" s="39" t="n">
        <v>700.35</v>
      </c>
      <c r="S548" s="39" t="n">
        <v>614.03</v>
      </c>
    </row>
    <row r="549" customFormat="false" ht="15" hidden="false" customHeight="false" outlineLevel="0" collapsed="false">
      <c r="A549" s="8" t="n">
        <v>45604</v>
      </c>
      <c r="B549" s="39" t="n">
        <v>24148.2</v>
      </c>
      <c r="C549" s="39" t="n">
        <v>22645.65</v>
      </c>
      <c r="D549" s="39" t="n">
        <v>1662.4</v>
      </c>
      <c r="E549" s="39" t="n">
        <v>849.6</v>
      </c>
      <c r="F549" s="39" t="n">
        <v>1092.15</v>
      </c>
      <c r="G549" s="39" t="n">
        <v>635</v>
      </c>
      <c r="H549" s="39" t="n">
        <v>947.2</v>
      </c>
      <c r="I549" s="39" t="n">
        <v>479.65</v>
      </c>
      <c r="J549" s="39" t="n">
        <v>1427.25</v>
      </c>
      <c r="K549" s="39" t="n">
        <v>688.66</v>
      </c>
      <c r="L549" s="39" t="n">
        <v>1260.7</v>
      </c>
      <c r="M549" s="39" t="n">
        <v>920.5</v>
      </c>
      <c r="N549" s="39" t="n">
        <v>442.9</v>
      </c>
      <c r="O549" s="39" t="n">
        <v>276.15</v>
      </c>
      <c r="P549" s="39" t="n">
        <v>1804.55</v>
      </c>
      <c r="Q549" s="39" t="n">
        <v>365.9</v>
      </c>
      <c r="R549" s="39" t="n">
        <v>699.4</v>
      </c>
      <c r="S549" s="39" t="n">
        <v>601.59</v>
      </c>
    </row>
    <row r="550" customFormat="false" ht="15" hidden="false" customHeight="false" outlineLevel="0" collapsed="false">
      <c r="A550" s="8" t="n">
        <v>45607</v>
      </c>
      <c r="B550" s="39" t="n">
        <v>24141.3</v>
      </c>
      <c r="C550" s="39" t="n">
        <v>22591.4</v>
      </c>
      <c r="D550" s="39" t="n">
        <v>1656.3</v>
      </c>
      <c r="E550" s="39" t="n">
        <v>838.65</v>
      </c>
      <c r="F550" s="39" t="n">
        <v>1061.3</v>
      </c>
      <c r="G550" s="39" t="n">
        <v>625.95</v>
      </c>
      <c r="H550" s="39" t="n">
        <v>966.85</v>
      </c>
      <c r="I550" s="39" t="n">
        <v>475.9</v>
      </c>
      <c r="J550" s="39" t="n">
        <v>1398.85</v>
      </c>
      <c r="K550" s="39" t="n">
        <v>676.96</v>
      </c>
      <c r="L550" s="39" t="n">
        <v>1262.55</v>
      </c>
      <c r="M550" s="39" t="n">
        <v>917.35</v>
      </c>
      <c r="N550" s="39" t="n">
        <v>441.35</v>
      </c>
      <c r="O550" s="39" t="n">
        <v>269.6</v>
      </c>
      <c r="P550" s="39" t="n">
        <v>1817.15</v>
      </c>
      <c r="Q550" s="39" t="n">
        <v>360.95</v>
      </c>
      <c r="R550" s="39" t="n">
        <v>692.55</v>
      </c>
      <c r="S550" s="39" t="n">
        <v>599.89</v>
      </c>
    </row>
    <row r="551" customFormat="false" ht="15" hidden="false" customHeight="false" outlineLevel="0" collapsed="false">
      <c r="A551" s="8" t="n">
        <v>45608</v>
      </c>
      <c r="B551" s="39" t="n">
        <v>23883.45</v>
      </c>
      <c r="C551" s="39" t="n">
        <v>22331.05</v>
      </c>
      <c r="D551" s="39" t="n">
        <v>1654.55</v>
      </c>
      <c r="E551" s="39" t="n">
        <v>828.85</v>
      </c>
      <c r="F551" s="39" t="n">
        <v>1048.15</v>
      </c>
      <c r="G551" s="39" t="n">
        <v>616.95</v>
      </c>
      <c r="H551" s="39" t="n">
        <v>983.15</v>
      </c>
      <c r="I551" s="39" t="n">
        <v>461.9</v>
      </c>
      <c r="J551" s="39" t="n">
        <v>1362.15</v>
      </c>
      <c r="K551" s="39" t="n">
        <v>662.92</v>
      </c>
      <c r="L551" s="39" t="n">
        <v>1239.75</v>
      </c>
      <c r="M551" s="39" t="n">
        <v>913.9</v>
      </c>
      <c r="N551" s="39" t="n">
        <v>433.1</v>
      </c>
      <c r="O551" s="39" t="n">
        <v>265.4</v>
      </c>
      <c r="P551" s="39" t="n">
        <v>1792.7</v>
      </c>
      <c r="Q551" s="39" t="n">
        <v>361.65</v>
      </c>
      <c r="R551" s="39" t="n">
        <v>679.25</v>
      </c>
      <c r="S551" s="39" t="n">
        <v>586.24</v>
      </c>
    </row>
    <row r="552" customFormat="false" ht="15" hidden="false" customHeight="false" outlineLevel="0" collapsed="false">
      <c r="A552" s="8" t="n">
        <v>45609</v>
      </c>
      <c r="B552" s="39" t="n">
        <v>23559.05</v>
      </c>
      <c r="C552" s="39" t="n">
        <v>21914.95</v>
      </c>
      <c r="D552" s="39" t="n">
        <v>1659.25</v>
      </c>
      <c r="E552" s="39" t="n">
        <v>815.6</v>
      </c>
      <c r="F552" s="39" t="n">
        <v>1027.95</v>
      </c>
      <c r="G552" s="39" t="n">
        <v>606.85</v>
      </c>
      <c r="H552" s="39" t="n">
        <v>924.65</v>
      </c>
      <c r="I552" s="39" t="n">
        <v>462.85</v>
      </c>
      <c r="J552" s="39" t="n">
        <v>1298</v>
      </c>
      <c r="K552" s="39" t="n">
        <v>655.71</v>
      </c>
      <c r="L552" s="39" t="n">
        <v>1205.05</v>
      </c>
      <c r="M552" s="39" t="n">
        <v>897</v>
      </c>
      <c r="N552" s="39" t="n">
        <v>420.25</v>
      </c>
      <c r="O552" s="39" t="n">
        <v>258.25</v>
      </c>
      <c r="P552" s="39" t="n">
        <v>1770.3</v>
      </c>
      <c r="Q552" s="39" t="n">
        <v>347.45</v>
      </c>
      <c r="R552" s="39" t="n">
        <v>680.3</v>
      </c>
      <c r="S552" s="39" t="n">
        <v>570.77</v>
      </c>
    </row>
    <row r="553" customFormat="false" ht="15" hidden="false" customHeight="false" outlineLevel="0" collapsed="false">
      <c r="A553" s="8" t="n">
        <v>45610</v>
      </c>
      <c r="B553" s="39" t="n">
        <v>23532.7</v>
      </c>
      <c r="C553" s="39" t="n">
        <v>21963.1</v>
      </c>
      <c r="D553" s="39" t="n">
        <v>1650.2</v>
      </c>
      <c r="E553" s="39" t="n">
        <v>822.95</v>
      </c>
      <c r="F553" s="39" t="n">
        <v>1049.2</v>
      </c>
      <c r="G553" s="39" t="n">
        <v>608.15</v>
      </c>
      <c r="H553" s="39" t="n">
        <v>904</v>
      </c>
      <c r="I553" s="39" t="n">
        <v>459.3</v>
      </c>
      <c r="J553" s="39" t="n">
        <v>1275.5</v>
      </c>
      <c r="K553" s="39" t="n">
        <v>654.02</v>
      </c>
      <c r="L553" s="39" t="n">
        <v>1205.7</v>
      </c>
      <c r="M553" s="39" t="n">
        <v>884.7</v>
      </c>
      <c r="N553" s="39" t="n">
        <v>422.15</v>
      </c>
      <c r="O553" s="39" t="n">
        <v>256.85</v>
      </c>
      <c r="P553" s="39" t="n">
        <v>1775.85</v>
      </c>
      <c r="Q553" s="39" t="n">
        <v>355.95</v>
      </c>
      <c r="R553" s="39" t="n">
        <v>683.35</v>
      </c>
      <c r="S553" s="39" t="n">
        <v>564.52</v>
      </c>
    </row>
    <row r="554" customFormat="false" ht="15" hidden="false" customHeight="false" outlineLevel="0" collapsed="false">
      <c r="A554" s="8" t="n">
        <v>45614</v>
      </c>
      <c r="B554" s="39" t="n">
        <v>23453.8</v>
      </c>
      <c r="C554" s="39" t="n">
        <v>21899.4</v>
      </c>
      <c r="D554" s="39" t="n">
        <v>1641.2</v>
      </c>
      <c r="E554" s="39" t="n">
        <v>829.5</v>
      </c>
      <c r="F554" s="39" t="n">
        <v>1049.2</v>
      </c>
      <c r="G554" s="39" t="n">
        <v>611.15</v>
      </c>
      <c r="H554" s="39" t="n">
        <v>871.15</v>
      </c>
      <c r="I554" s="39" t="n">
        <v>450.9</v>
      </c>
      <c r="J554" s="39" t="n">
        <v>1277.55</v>
      </c>
      <c r="K554" s="39" t="n">
        <v>655.9</v>
      </c>
      <c r="L554" s="39" t="n">
        <v>1242.8</v>
      </c>
      <c r="M554" s="39" t="n">
        <v>880.35</v>
      </c>
      <c r="N554" s="39" t="n">
        <v>417.6</v>
      </c>
      <c r="O554" s="39" t="n">
        <v>258.2</v>
      </c>
      <c r="P554" s="39" t="n">
        <v>1885.65</v>
      </c>
      <c r="Q554" s="39" t="n">
        <v>356.3</v>
      </c>
      <c r="R554" s="39" t="n">
        <v>677.05</v>
      </c>
      <c r="S554" s="39" t="n">
        <v>569.63</v>
      </c>
    </row>
    <row r="555" customFormat="false" ht="15" hidden="false" customHeight="false" outlineLevel="0" collapsed="false">
      <c r="A555" s="8" t="n">
        <v>45615</v>
      </c>
      <c r="B555" s="39" t="n">
        <v>23518.5</v>
      </c>
      <c r="C555" s="39" t="n">
        <v>22004.35</v>
      </c>
      <c r="D555" s="39" t="n">
        <v>1640.55</v>
      </c>
      <c r="E555" s="39" t="n">
        <v>832.65</v>
      </c>
      <c r="F555" s="39" t="n">
        <v>1052</v>
      </c>
      <c r="G555" s="39" t="n">
        <v>616.45</v>
      </c>
      <c r="H555" s="39" t="n">
        <v>865.15</v>
      </c>
      <c r="I555" s="39" t="n">
        <v>449.2</v>
      </c>
      <c r="J555" s="39" t="n">
        <v>1274.05</v>
      </c>
      <c r="K555" s="39" t="n">
        <v>658.63</v>
      </c>
      <c r="L555" s="39" t="n">
        <v>1236</v>
      </c>
      <c r="M555" s="39" t="n">
        <v>884.6</v>
      </c>
      <c r="N555" s="39" t="n">
        <v>416.3</v>
      </c>
      <c r="O555" s="39" t="n">
        <v>259.8</v>
      </c>
      <c r="P555" s="39" t="n">
        <v>1896.45</v>
      </c>
      <c r="Q555" s="39" t="n">
        <v>358.3</v>
      </c>
      <c r="R555" s="39" t="n">
        <v>684.55</v>
      </c>
      <c r="S555" s="39" t="n">
        <v>564.95</v>
      </c>
    </row>
    <row r="556" customFormat="false" ht="15" hidden="false" customHeight="false" outlineLevel="0" collapsed="false">
      <c r="A556" s="8" t="n">
        <v>45617</v>
      </c>
      <c r="B556" s="39" t="n">
        <v>23349.9</v>
      </c>
      <c r="C556" s="39" t="n">
        <v>21820.85</v>
      </c>
      <c r="D556" s="39" t="n">
        <v>1641.3</v>
      </c>
      <c r="E556" s="39" t="n">
        <v>822.65</v>
      </c>
      <c r="F556" s="39" t="n">
        <v>1069.6</v>
      </c>
      <c r="G556" s="39" t="n">
        <v>611.25</v>
      </c>
      <c r="H556" s="39" t="n">
        <v>866.05</v>
      </c>
      <c r="I556" s="39" t="n">
        <v>441.15</v>
      </c>
      <c r="J556" s="39" t="n">
        <v>1256.7</v>
      </c>
      <c r="K556" s="39" t="n">
        <v>645.69</v>
      </c>
      <c r="L556" s="39" t="n">
        <v>1204.9</v>
      </c>
      <c r="M556" s="39" t="n">
        <v>861.45</v>
      </c>
      <c r="N556" s="39" t="n">
        <v>408.2</v>
      </c>
      <c r="O556" s="39" t="n">
        <v>256.25</v>
      </c>
      <c r="P556" s="39" t="n">
        <v>1899.55</v>
      </c>
      <c r="Q556" s="39" t="n">
        <v>360.2</v>
      </c>
      <c r="R556" s="39" t="n">
        <v>675.05</v>
      </c>
      <c r="S556" s="39" t="n">
        <v>560.44</v>
      </c>
    </row>
    <row r="557" customFormat="false" ht="15" hidden="false" customHeight="false" outlineLevel="0" collapsed="false">
      <c r="A557" s="8" t="n">
        <v>45618</v>
      </c>
      <c r="B557" s="39" t="n">
        <v>23907.25</v>
      </c>
      <c r="C557" s="39" t="n">
        <v>22225.55</v>
      </c>
      <c r="D557" s="39" t="n">
        <v>1637.4</v>
      </c>
      <c r="E557" s="39" t="n">
        <v>842.8</v>
      </c>
      <c r="F557" s="39" t="n">
        <v>1086.7</v>
      </c>
      <c r="G557" s="39" t="n">
        <v>617.45</v>
      </c>
      <c r="H557" s="39" t="n">
        <v>854.6</v>
      </c>
      <c r="I557" s="39" t="n">
        <v>448.4</v>
      </c>
      <c r="J557" s="39" t="n">
        <v>1244.25</v>
      </c>
      <c r="K557" s="39" t="n">
        <v>667.49</v>
      </c>
      <c r="L557" s="39" t="n">
        <v>1208.4</v>
      </c>
      <c r="M557" s="39" t="n">
        <v>890.55</v>
      </c>
      <c r="N557" s="39" t="n">
        <v>408.5</v>
      </c>
      <c r="O557" s="39" t="n">
        <v>263.8</v>
      </c>
      <c r="P557" s="39" t="n">
        <v>1927.35</v>
      </c>
      <c r="Q557" s="39" t="n">
        <v>355.65</v>
      </c>
      <c r="R557" s="39" t="n">
        <v>679.7</v>
      </c>
      <c r="S557" s="39" t="n">
        <v>570.01</v>
      </c>
    </row>
    <row r="558" customFormat="false" ht="15" hidden="false" customHeight="false" outlineLevel="0" collapsed="false">
      <c r="A558" s="8" t="n">
        <v>45621</v>
      </c>
      <c r="B558" s="39" t="n">
        <v>24221.9</v>
      </c>
      <c r="C558" s="39" t="n">
        <v>22553.5</v>
      </c>
      <c r="D558" s="39" t="n">
        <v>1653</v>
      </c>
      <c r="E558" s="39" t="n">
        <v>844.25</v>
      </c>
      <c r="F558" s="39" t="n">
        <v>1143.5</v>
      </c>
      <c r="G558" s="39" t="n">
        <v>627.5</v>
      </c>
      <c r="H558" s="39" t="n">
        <v>866.3</v>
      </c>
      <c r="I558" s="39" t="n">
        <v>476.7</v>
      </c>
      <c r="J558" s="39" t="n">
        <v>1261.55</v>
      </c>
      <c r="K558" s="39" t="n">
        <v>667.63</v>
      </c>
      <c r="L558" s="39" t="n">
        <v>1239.9</v>
      </c>
      <c r="M558" s="39" t="n">
        <v>929.45</v>
      </c>
      <c r="N558" s="39" t="n">
        <v>413.45</v>
      </c>
      <c r="O558" s="39" t="n">
        <v>272.65</v>
      </c>
      <c r="P558" s="39" t="n">
        <v>1932.3</v>
      </c>
      <c r="Q558" s="39" t="n">
        <v>360.05</v>
      </c>
      <c r="R558" s="39" t="n">
        <v>694.75</v>
      </c>
      <c r="S558" s="39" t="n">
        <v>589.56</v>
      </c>
    </row>
    <row r="559" customFormat="false" ht="15" hidden="false" customHeight="false" outlineLevel="0" collapsed="false">
      <c r="A559" s="8" t="n">
        <v>45622</v>
      </c>
      <c r="B559" s="39" t="n">
        <v>24194.5</v>
      </c>
      <c r="C559" s="39" t="n">
        <v>22562.45</v>
      </c>
      <c r="D559" s="39" t="n">
        <v>1657.6</v>
      </c>
      <c r="E559" s="39" t="n">
        <v>821.05</v>
      </c>
      <c r="F559" s="39" t="n">
        <v>1108.95</v>
      </c>
      <c r="G559" s="39" t="n">
        <v>621.5</v>
      </c>
      <c r="H559" s="39" t="n">
        <v>859.55</v>
      </c>
      <c r="I559" s="39" t="n">
        <v>464.7</v>
      </c>
      <c r="J559" s="39" t="n">
        <v>1315.45</v>
      </c>
      <c r="K559" s="39" t="n">
        <v>660.9</v>
      </c>
      <c r="L559" s="39" t="n">
        <v>1265.45</v>
      </c>
      <c r="M559" s="39" t="n">
        <v>973.15</v>
      </c>
      <c r="N559" s="39" t="n">
        <v>411.4</v>
      </c>
      <c r="O559" s="39" t="n">
        <v>270.3</v>
      </c>
      <c r="P559" s="39" t="n">
        <v>1951.8</v>
      </c>
      <c r="Q559" s="39" t="n">
        <v>363.6</v>
      </c>
      <c r="R559" s="39" t="n">
        <v>699</v>
      </c>
      <c r="S559" s="39" t="n">
        <v>609.27</v>
      </c>
    </row>
    <row r="560" customFormat="false" ht="15" hidden="false" customHeight="false" outlineLevel="0" collapsed="false">
      <c r="A560" s="8" t="n">
        <v>45623</v>
      </c>
      <c r="B560" s="39" t="n">
        <v>24274.9</v>
      </c>
      <c r="C560" s="39" t="n">
        <v>22691.7</v>
      </c>
      <c r="D560" s="39" t="n">
        <v>1671.7</v>
      </c>
      <c r="E560" s="39" t="n">
        <v>826.25</v>
      </c>
      <c r="F560" s="39" t="n">
        <v>1094.5</v>
      </c>
      <c r="G560" s="39" t="n">
        <v>627.55</v>
      </c>
      <c r="H560" s="39" t="n">
        <v>876.45</v>
      </c>
      <c r="I560" s="39" t="n">
        <v>464.75</v>
      </c>
      <c r="J560" s="39" t="n">
        <v>1312.85</v>
      </c>
      <c r="K560" s="39" t="n">
        <v>669.61</v>
      </c>
      <c r="L560" s="39" t="n">
        <v>1279.15</v>
      </c>
      <c r="M560" s="39" t="n">
        <v>983.1</v>
      </c>
      <c r="N560" s="39" t="n">
        <v>420.25</v>
      </c>
      <c r="O560" s="39" t="n">
        <v>272.35</v>
      </c>
      <c r="P560" s="39" t="n">
        <v>1940.4</v>
      </c>
      <c r="Q560" s="39" t="n">
        <v>362.65</v>
      </c>
      <c r="R560" s="39" t="n">
        <v>705.5</v>
      </c>
      <c r="S560" s="39" t="n">
        <v>603.8</v>
      </c>
    </row>
    <row r="561" customFormat="false" ht="15" hidden="false" customHeight="false" outlineLevel="0" collapsed="false">
      <c r="A561" s="8" t="n">
        <v>45624</v>
      </c>
      <c r="B561" s="39" t="n">
        <v>23914.15</v>
      </c>
      <c r="C561" s="39" t="n">
        <v>22514.35</v>
      </c>
      <c r="D561" s="39" t="n">
        <v>1670.35</v>
      </c>
      <c r="E561" s="39" t="n">
        <v>821.85</v>
      </c>
      <c r="F561" s="39" t="n">
        <v>1092.45</v>
      </c>
      <c r="G561" s="39" t="n">
        <v>634.7</v>
      </c>
      <c r="H561" s="39" t="n">
        <v>883.4</v>
      </c>
      <c r="I561" s="39" t="n">
        <v>505.45</v>
      </c>
      <c r="J561" s="39" t="n">
        <v>1341.4</v>
      </c>
      <c r="K561" s="39" t="n">
        <v>650.06</v>
      </c>
      <c r="L561" s="39" t="n">
        <v>1268.35</v>
      </c>
      <c r="M561" s="39" t="n">
        <v>986.3</v>
      </c>
      <c r="N561" s="39" t="n">
        <v>421.45</v>
      </c>
      <c r="O561" s="39" t="n">
        <v>272</v>
      </c>
      <c r="P561" s="39" t="n">
        <v>1911.95</v>
      </c>
      <c r="Q561" s="39" t="n">
        <v>372.7</v>
      </c>
      <c r="R561" s="39" t="n">
        <v>711.9</v>
      </c>
      <c r="S561" s="39" t="n">
        <v>608.74</v>
      </c>
    </row>
    <row r="562" customFormat="false" ht="15" hidden="false" customHeight="false" outlineLevel="0" collapsed="false">
      <c r="A562" s="8" t="n">
        <v>45625</v>
      </c>
      <c r="B562" s="39" t="n">
        <v>24131.1</v>
      </c>
      <c r="C562" s="39" t="n">
        <v>22687</v>
      </c>
      <c r="D562" s="39" t="n">
        <v>1673.15</v>
      </c>
      <c r="E562" s="39" t="n">
        <v>823.95</v>
      </c>
      <c r="F562" s="39" t="n">
        <v>1052.15</v>
      </c>
      <c r="G562" s="39" t="n">
        <v>638.8</v>
      </c>
      <c r="H562" s="39" t="n">
        <v>891.7</v>
      </c>
      <c r="I562" s="39" t="n">
        <v>493</v>
      </c>
      <c r="J562" s="39" t="n">
        <v>1322.4</v>
      </c>
      <c r="K562" s="39" t="n">
        <v>656.7</v>
      </c>
      <c r="L562" s="39" t="n">
        <v>1233.95</v>
      </c>
      <c r="M562" s="39" t="n">
        <v>902</v>
      </c>
      <c r="N562" s="39" t="n">
        <v>420.4</v>
      </c>
      <c r="O562" s="39" t="n">
        <v>273.4</v>
      </c>
      <c r="P562" s="39" t="n">
        <v>1917.05</v>
      </c>
      <c r="Q562" s="39" t="n">
        <v>354.45</v>
      </c>
      <c r="R562" s="39" t="n">
        <v>700.6</v>
      </c>
      <c r="S562" s="39" t="n">
        <v>603.93</v>
      </c>
    </row>
    <row r="563" customFormat="false" ht="15" hidden="false" customHeight="false" outlineLevel="0" collapsed="false">
      <c r="A563" s="8" t="n">
        <v>45628</v>
      </c>
      <c r="B563" s="39" t="n">
        <v>24276.05</v>
      </c>
      <c r="C563" s="39" t="n">
        <v>22835.85</v>
      </c>
      <c r="D563" s="39" t="n">
        <v>1663.45</v>
      </c>
      <c r="E563" s="39" t="n">
        <v>814.55</v>
      </c>
      <c r="F563" s="39" t="n">
        <v>1074.75</v>
      </c>
      <c r="G563" s="39" t="n">
        <v>626.85</v>
      </c>
      <c r="H563" s="39" t="n">
        <v>884</v>
      </c>
      <c r="I563" s="39" t="n">
        <v>482.25</v>
      </c>
      <c r="J563" s="39" t="n">
        <v>1323.45</v>
      </c>
      <c r="K563" s="39" t="n">
        <v>664.16</v>
      </c>
      <c r="L563" s="39" t="n">
        <v>1249.2</v>
      </c>
      <c r="M563" s="39" t="n">
        <v>877.2</v>
      </c>
      <c r="N563" s="39" t="n">
        <v>428.95</v>
      </c>
      <c r="O563" s="39" t="n">
        <v>277.4</v>
      </c>
      <c r="P563" s="39" t="n">
        <v>1935.55</v>
      </c>
      <c r="Q563" s="39" t="n">
        <v>344.3</v>
      </c>
      <c r="R563" s="39" t="n">
        <v>703.05</v>
      </c>
      <c r="S563" s="39" t="n">
        <v>618.84</v>
      </c>
    </row>
    <row r="564" customFormat="false" ht="15" hidden="false" customHeight="false" outlineLevel="0" collapsed="false">
      <c r="A564" s="8" t="n">
        <v>45629</v>
      </c>
      <c r="B564" s="39" t="n">
        <v>24457.15</v>
      </c>
      <c r="C564" s="39" t="n">
        <v>23020.85</v>
      </c>
      <c r="D564" s="39" t="n">
        <v>1677.7</v>
      </c>
      <c r="E564" s="39" t="n">
        <v>834.6</v>
      </c>
      <c r="F564" s="39" t="n">
        <v>1050.7</v>
      </c>
      <c r="G564" s="39" t="n">
        <v>635.35</v>
      </c>
      <c r="H564" s="39" t="n">
        <v>884.95</v>
      </c>
      <c r="I564" s="39" t="n">
        <v>489.6</v>
      </c>
      <c r="J564" s="39" t="n">
        <v>1335.65</v>
      </c>
      <c r="K564" s="39" t="n">
        <v>666.64</v>
      </c>
      <c r="L564" s="39" t="n">
        <v>1253.65</v>
      </c>
      <c r="M564" s="39" t="n">
        <v>886.45</v>
      </c>
      <c r="N564" s="39" t="n">
        <v>433.8</v>
      </c>
      <c r="O564" s="39" t="n">
        <v>285.3</v>
      </c>
      <c r="P564" s="39" t="n">
        <v>1932.8</v>
      </c>
      <c r="Q564" s="39" t="n">
        <v>348.55</v>
      </c>
      <c r="R564" s="39" t="n">
        <v>704.4</v>
      </c>
      <c r="S564" s="39" t="n">
        <v>631.11</v>
      </c>
    </row>
    <row r="565" customFormat="false" ht="15" hidden="false" customHeight="false" outlineLevel="0" collapsed="false">
      <c r="A565" s="8" t="n">
        <v>45630</v>
      </c>
      <c r="B565" s="39" t="n">
        <v>24467.45</v>
      </c>
      <c r="C565" s="39" t="n">
        <v>23099.5</v>
      </c>
      <c r="D565" s="39" t="n">
        <v>1659.6</v>
      </c>
      <c r="E565" s="39" t="n">
        <v>844.15</v>
      </c>
      <c r="F565" s="39" t="n">
        <v>1058.55</v>
      </c>
      <c r="G565" s="39" t="n">
        <v>638.25</v>
      </c>
      <c r="H565" s="39" t="n">
        <v>914.25</v>
      </c>
      <c r="I565" s="39" t="n">
        <v>486.8</v>
      </c>
      <c r="J565" s="39" t="n">
        <v>1343.45</v>
      </c>
      <c r="K565" s="39" t="n">
        <v>673.08</v>
      </c>
      <c r="L565" s="39" t="n">
        <v>1292.25</v>
      </c>
      <c r="M565" s="39" t="n">
        <v>884.8</v>
      </c>
      <c r="N565" s="39" t="n">
        <v>437.8</v>
      </c>
      <c r="O565" s="39" t="n">
        <v>285.35</v>
      </c>
      <c r="P565" s="39" t="n">
        <v>1947.8</v>
      </c>
      <c r="Q565" s="39" t="n">
        <v>358.6</v>
      </c>
      <c r="R565" s="39" t="n">
        <v>714.7</v>
      </c>
      <c r="S565" s="39" t="n">
        <v>626.46</v>
      </c>
    </row>
    <row r="566" customFormat="false" ht="15" hidden="false" customHeight="false" outlineLevel="0" collapsed="false">
      <c r="A566" s="8" t="n">
        <v>45631</v>
      </c>
      <c r="B566" s="39" t="n">
        <v>24708.4</v>
      </c>
      <c r="C566" s="39" t="n">
        <v>23277.95</v>
      </c>
      <c r="D566" s="39" t="n">
        <v>1664.15</v>
      </c>
      <c r="E566" s="39" t="n">
        <v>835.55</v>
      </c>
      <c r="F566" s="39" t="n">
        <v>1052.9</v>
      </c>
      <c r="G566" s="39" t="n">
        <v>638.7</v>
      </c>
      <c r="H566" s="39" t="n">
        <v>943.1</v>
      </c>
      <c r="I566" s="39" t="n">
        <v>476.05</v>
      </c>
      <c r="J566" s="39" t="n">
        <v>1340.35</v>
      </c>
      <c r="K566" s="39" t="n">
        <v>684.11</v>
      </c>
      <c r="L566" s="39" t="n">
        <v>1291.45</v>
      </c>
      <c r="M566" s="39" t="n">
        <v>938</v>
      </c>
      <c r="N566" s="39" t="n">
        <v>434.75</v>
      </c>
      <c r="O566" s="39" t="n">
        <v>286.25</v>
      </c>
      <c r="P566" s="39" t="n">
        <v>1937.55</v>
      </c>
      <c r="Q566" s="39" t="n">
        <v>358.45</v>
      </c>
      <c r="R566" s="39" t="n">
        <v>724.4</v>
      </c>
      <c r="S566" s="39" t="n">
        <v>625.26</v>
      </c>
    </row>
    <row r="567" customFormat="false" ht="15" hidden="false" customHeight="false" outlineLevel="0" collapsed="false">
      <c r="A567" s="8" t="n">
        <v>45632</v>
      </c>
      <c r="B567" s="39" t="n">
        <v>24677.8</v>
      </c>
      <c r="C567" s="39" t="n">
        <v>23312.1</v>
      </c>
      <c r="D567" s="39" t="n">
        <v>1653.15</v>
      </c>
      <c r="E567" s="39" t="n">
        <v>802.95</v>
      </c>
      <c r="F567" s="39" t="n">
        <v>1045.7</v>
      </c>
      <c r="G567" s="39" t="n">
        <v>641.25</v>
      </c>
      <c r="H567" s="39" t="n">
        <v>963.15</v>
      </c>
      <c r="I567" s="39" t="n">
        <v>474.55</v>
      </c>
      <c r="J567" s="39" t="n">
        <v>1362.25</v>
      </c>
      <c r="K567" s="39" t="n">
        <v>684.1</v>
      </c>
      <c r="L567" s="39" t="n">
        <v>1275.1</v>
      </c>
      <c r="M567" s="39" t="n">
        <v>933.3</v>
      </c>
      <c r="N567" s="39" t="n">
        <v>434.6</v>
      </c>
      <c r="O567" s="39" t="n">
        <v>278</v>
      </c>
      <c r="P567" s="39" t="n">
        <v>1951.55</v>
      </c>
      <c r="Q567" s="39" t="n">
        <v>353.3</v>
      </c>
      <c r="R567" s="39" t="n">
        <v>717.4</v>
      </c>
      <c r="S567" s="39" t="n">
        <v>625.27</v>
      </c>
    </row>
    <row r="568" customFormat="false" ht="15" hidden="false" customHeight="false" outlineLevel="0" collapsed="false">
      <c r="A568" s="8" t="n">
        <v>45635</v>
      </c>
      <c r="B568" s="39" t="n">
        <v>24619</v>
      </c>
      <c r="C568" s="39" t="n">
        <v>23292</v>
      </c>
      <c r="D568" s="39" t="n">
        <v>1660.2</v>
      </c>
      <c r="E568" s="39" t="n">
        <v>804.5</v>
      </c>
      <c r="F568" s="39" t="n">
        <v>1036.25</v>
      </c>
      <c r="G568" s="39" t="n">
        <v>630.15</v>
      </c>
      <c r="H568" s="39" t="n">
        <v>959.3</v>
      </c>
      <c r="I568" s="39" t="n">
        <v>474.65</v>
      </c>
      <c r="J568" s="39" t="n">
        <v>1364.6</v>
      </c>
      <c r="K568" s="39" t="n">
        <v>685.9</v>
      </c>
      <c r="L568" s="39" t="n">
        <v>1282.25</v>
      </c>
      <c r="M568" s="39" t="n">
        <v>938.45</v>
      </c>
      <c r="N568" s="39" t="n">
        <v>432.6</v>
      </c>
      <c r="O568" s="39" t="n">
        <v>279.15</v>
      </c>
      <c r="P568" s="39" t="n">
        <v>1991.3</v>
      </c>
      <c r="Q568" s="39" t="n">
        <v>359.85</v>
      </c>
      <c r="R568" s="39" t="n">
        <v>719.65</v>
      </c>
      <c r="S568" s="39" t="n">
        <v>621.38</v>
      </c>
    </row>
    <row r="569" customFormat="false" ht="15" hidden="false" customHeight="false" outlineLevel="0" collapsed="false">
      <c r="A569" s="8" t="n">
        <v>45636</v>
      </c>
      <c r="B569" s="39" t="n">
        <v>24610.05</v>
      </c>
      <c r="C569" s="39" t="n">
        <v>23314.9</v>
      </c>
      <c r="D569" s="39" t="n">
        <v>1683.55</v>
      </c>
      <c r="E569" s="39" t="n">
        <v>818.85</v>
      </c>
      <c r="F569" s="39" t="n">
        <v>1022.25</v>
      </c>
      <c r="G569" s="39" t="n">
        <v>630.45</v>
      </c>
      <c r="H569" s="39" t="n">
        <v>964.5</v>
      </c>
      <c r="I569" s="39" t="n">
        <v>471.1</v>
      </c>
      <c r="J569" s="39" t="n">
        <v>1394.05</v>
      </c>
      <c r="K569" s="39" t="n">
        <v>692.68</v>
      </c>
      <c r="L569" s="39" t="n">
        <v>1336.3</v>
      </c>
      <c r="M569" s="39" t="n">
        <v>916.6</v>
      </c>
      <c r="N569" s="39" t="n">
        <v>442.75</v>
      </c>
      <c r="O569" s="39" t="n">
        <v>284.55</v>
      </c>
      <c r="P569" s="39" t="n">
        <v>2033.25</v>
      </c>
      <c r="Q569" s="39" t="n">
        <v>358.9</v>
      </c>
      <c r="R569" s="39" t="n">
        <v>729.5</v>
      </c>
      <c r="S569" s="39" t="n">
        <v>637.3</v>
      </c>
    </row>
    <row r="570" customFormat="false" ht="15" hidden="false" customHeight="false" outlineLevel="0" collapsed="false">
      <c r="A570" s="8" t="n">
        <v>45637</v>
      </c>
      <c r="B570" s="39" t="n">
        <v>24641.8</v>
      </c>
      <c r="C570" s="39" t="n">
        <v>23358.15</v>
      </c>
      <c r="D570" s="39" t="n">
        <v>1673.8</v>
      </c>
      <c r="E570" s="39" t="n">
        <v>819.95</v>
      </c>
      <c r="F570" s="39" t="n">
        <v>1029.85</v>
      </c>
      <c r="G570" s="39" t="n">
        <v>636.85</v>
      </c>
      <c r="H570" s="39" t="n">
        <v>939.9</v>
      </c>
      <c r="I570" s="39" t="n">
        <v>470.6</v>
      </c>
      <c r="J570" s="39" t="n">
        <v>1350.1</v>
      </c>
      <c r="K570" s="39" t="n">
        <v>710.54</v>
      </c>
      <c r="L570" s="39" t="n">
        <v>1348.95</v>
      </c>
      <c r="M570" s="39" t="n">
        <v>903.4</v>
      </c>
      <c r="N570" s="39" t="n">
        <v>445.1</v>
      </c>
      <c r="O570" s="39" t="n">
        <v>283.05</v>
      </c>
      <c r="P570" s="39" t="n">
        <v>2064.5</v>
      </c>
      <c r="Q570" s="39" t="n">
        <v>364.35</v>
      </c>
      <c r="R570" s="39" t="n">
        <v>730.75</v>
      </c>
      <c r="S570" s="39" t="n">
        <v>649.65</v>
      </c>
    </row>
    <row r="571" customFormat="false" ht="15" hidden="false" customHeight="false" outlineLevel="0" collapsed="false">
      <c r="A571" s="8" t="n">
        <v>45638</v>
      </c>
      <c r="B571" s="39" t="n">
        <v>24548.7</v>
      </c>
      <c r="C571" s="39" t="n">
        <v>23256.4</v>
      </c>
      <c r="D571" s="39" t="n">
        <v>1678.05</v>
      </c>
      <c r="E571" s="39" t="n">
        <v>810.85</v>
      </c>
      <c r="F571" s="39" t="n">
        <v>1040.1</v>
      </c>
      <c r="G571" s="39" t="n">
        <v>632.3</v>
      </c>
      <c r="H571" s="39" t="n">
        <v>927.95</v>
      </c>
      <c r="I571" s="39" t="n">
        <v>458.6</v>
      </c>
      <c r="J571" s="39" t="n">
        <v>1329.75</v>
      </c>
      <c r="K571" s="39" t="n">
        <v>711.61</v>
      </c>
      <c r="L571" s="39" t="n">
        <v>1343.05</v>
      </c>
      <c r="M571" s="39" t="n">
        <v>893.8</v>
      </c>
      <c r="N571" s="39" t="n">
        <v>433.55</v>
      </c>
      <c r="O571" s="39" t="n">
        <v>279.9</v>
      </c>
      <c r="P571" s="39" t="n">
        <v>2127.35</v>
      </c>
      <c r="Q571" s="39" t="n">
        <v>358.25</v>
      </c>
      <c r="R571" s="39" t="n">
        <v>726.8</v>
      </c>
      <c r="S571" s="39" t="n">
        <v>649.62</v>
      </c>
    </row>
    <row r="572" customFormat="false" ht="15" hidden="false" customHeight="false" outlineLevel="0" collapsed="false">
      <c r="A572" s="8" t="n">
        <v>45639</v>
      </c>
      <c r="B572" s="39" t="n">
        <v>24768.3</v>
      </c>
      <c r="C572" s="39" t="n">
        <v>23358.95</v>
      </c>
      <c r="D572" s="39" t="n">
        <v>1663.85</v>
      </c>
      <c r="E572" s="39" t="n">
        <v>803.1</v>
      </c>
      <c r="F572" s="39" t="n">
        <v>1053.4</v>
      </c>
      <c r="G572" s="39" t="n">
        <v>624.35</v>
      </c>
      <c r="H572" s="39" t="n">
        <v>934.1</v>
      </c>
      <c r="I572" s="39" t="n">
        <v>459.6</v>
      </c>
      <c r="J572" s="39" t="n">
        <v>1322.65</v>
      </c>
      <c r="K572" s="39" t="n">
        <v>717.3</v>
      </c>
      <c r="L572" s="39" t="n">
        <v>1304.85</v>
      </c>
      <c r="M572" s="39" t="n">
        <v>897.85</v>
      </c>
      <c r="N572" s="39" t="n">
        <v>436.15</v>
      </c>
      <c r="O572" s="39" t="n">
        <v>274.75</v>
      </c>
      <c r="P572" s="39" t="n">
        <v>2092.85</v>
      </c>
      <c r="Q572" s="39" t="n">
        <v>349.95</v>
      </c>
      <c r="R572" s="39" t="n">
        <v>725.45</v>
      </c>
      <c r="S572" s="39" t="n">
        <v>632.51</v>
      </c>
    </row>
    <row r="573" customFormat="false" ht="15" hidden="false" customHeight="false" outlineLevel="0" collapsed="false">
      <c r="A573" s="8" t="n">
        <v>45642</v>
      </c>
      <c r="B573" s="39" t="n">
        <v>24668.25</v>
      </c>
      <c r="C573" s="39" t="n">
        <v>23352.45</v>
      </c>
      <c r="D573" s="39" t="n">
        <v>1669.5</v>
      </c>
      <c r="E573" s="39" t="n">
        <v>801.95</v>
      </c>
      <c r="F573" s="39" t="n">
        <v>1050.8</v>
      </c>
      <c r="G573" s="39" t="n">
        <v>625.95</v>
      </c>
      <c r="H573" s="39" t="n">
        <v>921.75</v>
      </c>
      <c r="I573" s="39" t="n">
        <v>459.4</v>
      </c>
      <c r="J573" s="39" t="n">
        <v>1325.75</v>
      </c>
      <c r="K573" s="39" t="n">
        <v>719.86</v>
      </c>
      <c r="L573" s="39" t="n">
        <v>1285.7</v>
      </c>
      <c r="M573" s="39" t="n">
        <v>894.5</v>
      </c>
      <c r="N573" s="39" t="n">
        <v>426.9</v>
      </c>
      <c r="O573" s="39" t="n">
        <v>276.75</v>
      </c>
      <c r="P573" s="39" t="n">
        <v>2119.2</v>
      </c>
      <c r="Q573" s="39" t="n">
        <v>344.95</v>
      </c>
      <c r="R573" s="39" t="n">
        <v>728.35</v>
      </c>
      <c r="S573" s="39" t="n">
        <v>627.49</v>
      </c>
    </row>
    <row r="574" customFormat="false" ht="15" hidden="false" customHeight="false" outlineLevel="0" collapsed="false">
      <c r="A574" s="8" t="n">
        <v>45643</v>
      </c>
      <c r="B574" s="39" t="n">
        <v>24336</v>
      </c>
      <c r="C574" s="39" t="n">
        <v>23095.75</v>
      </c>
      <c r="D574" s="39" t="n">
        <v>1664.1</v>
      </c>
      <c r="E574" s="39" t="n">
        <v>781.45</v>
      </c>
      <c r="F574" s="39" t="n">
        <v>1038.45</v>
      </c>
      <c r="G574" s="39" t="n">
        <v>604.85</v>
      </c>
      <c r="H574" s="39" t="n">
        <v>889.4</v>
      </c>
      <c r="I574" s="39" t="n">
        <v>447.95</v>
      </c>
      <c r="J574" s="39" t="n">
        <v>1321.7</v>
      </c>
      <c r="K574" s="39" t="n">
        <v>714.31</v>
      </c>
      <c r="L574" s="39" t="n">
        <v>1246.8</v>
      </c>
      <c r="M574" s="39" t="n">
        <v>873</v>
      </c>
      <c r="N574" s="39" t="n">
        <v>416.4</v>
      </c>
      <c r="O574" s="39" t="n">
        <v>269.5</v>
      </c>
      <c r="P574" s="39" t="n">
        <v>2104.9</v>
      </c>
      <c r="Q574" s="39" t="n">
        <v>340.8</v>
      </c>
      <c r="R574" s="39" t="n">
        <v>715.35</v>
      </c>
      <c r="S574" s="39" t="n">
        <v>595.38</v>
      </c>
    </row>
    <row r="575" customFormat="false" ht="15" hidden="false" customHeight="false" outlineLevel="0" collapsed="false">
      <c r="A575" s="8" t="n">
        <v>45644</v>
      </c>
      <c r="B575" s="39" t="n">
        <v>24198.85</v>
      </c>
      <c r="C575" s="39" t="n">
        <v>22934.4</v>
      </c>
      <c r="D575" s="39" t="n">
        <v>1682.35</v>
      </c>
      <c r="E575" s="39" t="n">
        <v>772.95</v>
      </c>
      <c r="F575" s="39" t="n">
        <v>1004.6</v>
      </c>
      <c r="G575" s="39" t="n">
        <v>598.95</v>
      </c>
      <c r="H575" s="39" t="n">
        <v>873</v>
      </c>
      <c r="I575" s="39" t="n">
        <v>440.35</v>
      </c>
      <c r="J575" s="39" t="n">
        <v>1300.2</v>
      </c>
      <c r="K575" s="39" t="n">
        <v>706.48</v>
      </c>
      <c r="L575" s="39" t="n">
        <v>1242.75</v>
      </c>
      <c r="M575" s="39" t="n">
        <v>859.85</v>
      </c>
      <c r="N575" s="39" t="n">
        <v>426.65</v>
      </c>
      <c r="O575" s="39" t="n">
        <v>269.3</v>
      </c>
      <c r="P575" s="39" t="n">
        <v>2114.7</v>
      </c>
      <c r="Q575" s="39" t="n">
        <v>329.85</v>
      </c>
      <c r="R575" s="39" t="n">
        <v>710.55</v>
      </c>
      <c r="S575" s="39" t="n">
        <v>586.28</v>
      </c>
    </row>
    <row r="576" customFormat="false" ht="15" hidden="false" customHeight="false" outlineLevel="0" collapsed="false">
      <c r="A576" s="8" t="n">
        <v>45645</v>
      </c>
      <c r="B576" s="39" t="n">
        <v>23951.7</v>
      </c>
      <c r="C576" s="39" t="n">
        <v>22752.15</v>
      </c>
      <c r="D576" s="39" t="n">
        <v>1679.3</v>
      </c>
      <c r="E576" s="39" t="n">
        <v>770.55</v>
      </c>
      <c r="F576" s="39" t="n">
        <v>1031.75</v>
      </c>
      <c r="G576" s="39" t="n">
        <v>591.85</v>
      </c>
      <c r="H576" s="39" t="n">
        <v>872.1</v>
      </c>
      <c r="I576" s="39" t="n">
        <v>439.15</v>
      </c>
      <c r="J576" s="39" t="n">
        <v>1265.55</v>
      </c>
      <c r="K576" s="39" t="n">
        <v>690.91</v>
      </c>
      <c r="L576" s="39" t="n">
        <v>1213.75</v>
      </c>
      <c r="M576" s="39" t="n">
        <v>841.2</v>
      </c>
      <c r="N576" s="39" t="n">
        <v>419.65</v>
      </c>
      <c r="O576" s="39" t="n">
        <v>272.05</v>
      </c>
      <c r="P576" s="39" t="n">
        <v>2136.85</v>
      </c>
      <c r="Q576" s="39" t="n">
        <v>324.4</v>
      </c>
      <c r="R576" s="39" t="n">
        <v>703.4</v>
      </c>
      <c r="S576" s="39" t="n">
        <v>589.09</v>
      </c>
    </row>
    <row r="577" customFormat="false" ht="15" hidden="false" customHeight="false" outlineLevel="0" collapsed="false">
      <c r="A577" s="8" t="n">
        <v>45646</v>
      </c>
      <c r="B577" s="39" t="n">
        <v>23587.5</v>
      </c>
      <c r="C577" s="39" t="n">
        <v>22319.4</v>
      </c>
      <c r="D577" s="39" t="n">
        <v>1665.3</v>
      </c>
      <c r="E577" s="39" t="n">
        <v>747.7</v>
      </c>
      <c r="F577" s="39" t="n">
        <v>1000.1</v>
      </c>
      <c r="G577" s="39" t="n">
        <v>582.25</v>
      </c>
      <c r="H577" s="39" t="n">
        <v>868.85</v>
      </c>
      <c r="I577" s="39" t="n">
        <v>419.8</v>
      </c>
      <c r="J577" s="39" t="n">
        <v>1253.9</v>
      </c>
      <c r="K577" s="39" t="n">
        <v>683.89</v>
      </c>
      <c r="L577" s="39" t="n">
        <v>1189.55</v>
      </c>
      <c r="M577" s="39" t="n">
        <v>813.9</v>
      </c>
      <c r="N577" s="39" t="n">
        <v>407.25</v>
      </c>
      <c r="O577" s="39" t="n">
        <v>266.05</v>
      </c>
      <c r="P577" s="39" t="n">
        <v>2075.65</v>
      </c>
      <c r="Q577" s="39" t="n">
        <v>318.85</v>
      </c>
      <c r="R577" s="39" t="n">
        <v>687</v>
      </c>
      <c r="S577" s="39" t="n">
        <v>575.45</v>
      </c>
    </row>
    <row r="578" customFormat="false" ht="15" hidden="false" customHeight="false" outlineLevel="0" collapsed="false">
      <c r="A578" s="8" t="n">
        <v>45649</v>
      </c>
      <c r="B578" s="39" t="n">
        <v>23753.45</v>
      </c>
      <c r="C578" s="39" t="n">
        <v>22412.3</v>
      </c>
      <c r="D578" s="39" t="n">
        <v>1672.55</v>
      </c>
      <c r="E578" s="39" t="n">
        <v>726.55</v>
      </c>
      <c r="F578" s="39" t="n">
        <v>1000.25</v>
      </c>
      <c r="G578" s="39" t="n">
        <v>583.25</v>
      </c>
      <c r="H578" s="39" t="n">
        <v>842.95</v>
      </c>
      <c r="I578" s="39" t="n">
        <v>416.95</v>
      </c>
      <c r="J578" s="39" t="n">
        <v>1203.4</v>
      </c>
      <c r="K578" s="39" t="n">
        <v>685.74</v>
      </c>
      <c r="L578" s="39" t="n">
        <v>1171.1</v>
      </c>
      <c r="M578" s="39" t="n">
        <v>826.15</v>
      </c>
      <c r="N578" s="39" t="n">
        <v>408.1</v>
      </c>
      <c r="O578" s="39" t="n">
        <v>265.15</v>
      </c>
      <c r="P578" s="39" t="n">
        <v>2067.55</v>
      </c>
      <c r="Q578" s="39" t="n">
        <v>318.3</v>
      </c>
      <c r="R578" s="39" t="n">
        <v>691.3</v>
      </c>
      <c r="S578" s="39" t="n">
        <v>576.58</v>
      </c>
    </row>
    <row r="579" customFormat="false" ht="15" hidden="false" customHeight="false" outlineLevel="0" collapsed="false">
      <c r="A579" s="8" t="n">
        <v>45650</v>
      </c>
      <c r="B579" s="39" t="n">
        <v>23727.65</v>
      </c>
      <c r="C579" s="39" t="n">
        <v>22402.7</v>
      </c>
      <c r="D579" s="39" t="n">
        <v>1669.05</v>
      </c>
      <c r="E579" s="39" t="n">
        <v>726.2</v>
      </c>
      <c r="F579" s="39" t="n">
        <v>1003.8</v>
      </c>
      <c r="G579" s="39" t="n">
        <v>585.05</v>
      </c>
      <c r="H579" s="39" t="n">
        <v>846.75</v>
      </c>
      <c r="I579" s="39" t="n">
        <v>414.7</v>
      </c>
      <c r="J579" s="39" t="n">
        <v>1196.9</v>
      </c>
      <c r="K579" s="39" t="n">
        <v>679.89</v>
      </c>
      <c r="L579" s="39" t="n">
        <v>1185.45</v>
      </c>
      <c r="M579" s="39" t="n">
        <v>826.6</v>
      </c>
      <c r="N579" s="39" t="n">
        <v>414.6</v>
      </c>
      <c r="O579" s="39" t="n">
        <v>264.05</v>
      </c>
      <c r="P579" s="39" t="n">
        <v>2035</v>
      </c>
      <c r="Q579" s="39" t="n">
        <v>321.95</v>
      </c>
      <c r="R579" s="39" t="n">
        <v>695.9</v>
      </c>
      <c r="S579" s="39" t="n">
        <v>576.59</v>
      </c>
    </row>
    <row r="580" customFormat="false" ht="15" hidden="false" customHeight="false" outlineLevel="0" collapsed="false">
      <c r="A580" s="8" t="n">
        <v>45652</v>
      </c>
      <c r="B580" s="39" t="n">
        <v>23750.2</v>
      </c>
      <c r="C580" s="39" t="n">
        <v>22430.35</v>
      </c>
      <c r="D580" s="39" t="n">
        <v>1663.9</v>
      </c>
      <c r="E580" s="39" t="n">
        <v>723.95</v>
      </c>
      <c r="F580" s="39" t="n">
        <v>1002.55</v>
      </c>
      <c r="G580" s="39" t="n">
        <v>588.2</v>
      </c>
      <c r="H580" s="39" t="n">
        <v>850.4</v>
      </c>
      <c r="I580" s="39" t="n">
        <v>415.55</v>
      </c>
      <c r="J580" s="39" t="n">
        <v>1182.5</v>
      </c>
      <c r="K580" s="39" t="n">
        <v>680.65</v>
      </c>
      <c r="L580" s="39" t="n">
        <v>1189.35</v>
      </c>
      <c r="M580" s="39" t="n">
        <v>834.95</v>
      </c>
      <c r="N580" s="39" t="n">
        <v>409.85</v>
      </c>
      <c r="O580" s="39" t="n">
        <v>265.6</v>
      </c>
      <c r="P580" s="39" t="n">
        <v>2062.5</v>
      </c>
      <c r="Q580" s="39" t="n">
        <v>320.45</v>
      </c>
      <c r="R580" s="39" t="n">
        <v>679.2</v>
      </c>
      <c r="S580" s="39" t="n">
        <v>585.38</v>
      </c>
    </row>
    <row r="581" customFormat="false" ht="15" hidden="false" customHeight="false" outlineLevel="0" collapsed="false">
      <c r="A581" s="8" t="n">
        <v>45653</v>
      </c>
      <c r="B581" s="39" t="n">
        <v>23813.4</v>
      </c>
      <c r="C581" s="39" t="n">
        <v>22445.2</v>
      </c>
      <c r="D581" s="39" t="n">
        <v>1661.55</v>
      </c>
      <c r="E581" s="39" t="n">
        <v>750.55</v>
      </c>
      <c r="F581" s="39" t="n">
        <v>1029.9</v>
      </c>
      <c r="G581" s="39" t="n">
        <v>596.6</v>
      </c>
      <c r="H581" s="39" t="n">
        <v>851</v>
      </c>
      <c r="I581" s="39" t="n">
        <v>411.9</v>
      </c>
      <c r="J581" s="39" t="n">
        <v>1286.75</v>
      </c>
      <c r="K581" s="39" t="n">
        <v>689.84</v>
      </c>
      <c r="L581" s="39" t="n">
        <v>1193.85</v>
      </c>
      <c r="M581" s="39" t="n">
        <v>839.65</v>
      </c>
      <c r="N581" s="39" t="n">
        <v>412.2</v>
      </c>
      <c r="O581" s="39" t="n">
        <v>267</v>
      </c>
      <c r="P581" s="39" t="n">
        <v>2069.6</v>
      </c>
      <c r="Q581" s="39" t="n">
        <v>320.65</v>
      </c>
      <c r="R581" s="39" t="n">
        <v>675.3</v>
      </c>
      <c r="S581" s="39" t="n">
        <v>579.78</v>
      </c>
    </row>
    <row r="582" customFormat="false" ht="15" hidden="false" customHeight="false" outlineLevel="0" collapsed="false">
      <c r="A582" s="8" t="n">
        <v>45656</v>
      </c>
      <c r="B582" s="39" t="n">
        <v>23644.9</v>
      </c>
      <c r="C582" s="39" t="n">
        <v>22357.15</v>
      </c>
      <c r="D582" s="39" t="n">
        <v>1659.1</v>
      </c>
      <c r="E582" s="39" t="n">
        <v>754.3</v>
      </c>
      <c r="F582" s="39" t="n">
        <v>1051.25</v>
      </c>
      <c r="G582" s="39" t="n">
        <v>590.8</v>
      </c>
      <c r="H582" s="39" t="n">
        <v>869.7</v>
      </c>
      <c r="I582" s="39" t="n">
        <v>411.1</v>
      </c>
      <c r="J582" s="39" t="n">
        <v>1207.4</v>
      </c>
      <c r="K582" s="39" t="n">
        <v>687.89</v>
      </c>
      <c r="L582" s="39" t="n">
        <v>1212.4</v>
      </c>
      <c r="M582" s="39" t="n">
        <v>909.25</v>
      </c>
      <c r="N582" s="39" t="n">
        <v>413</v>
      </c>
      <c r="O582" s="39" t="n">
        <v>264.1</v>
      </c>
      <c r="P582" s="39" t="n">
        <v>2101.5</v>
      </c>
      <c r="Q582" s="39" t="n">
        <v>315.35</v>
      </c>
      <c r="R582" s="39" t="n">
        <v>669.5</v>
      </c>
      <c r="S582" s="39" t="n">
        <v>583.8</v>
      </c>
    </row>
    <row r="583" customFormat="false" ht="15" hidden="false" customHeight="false" outlineLevel="0" collapsed="false">
      <c r="A583" s="8" t="n">
        <v>45657</v>
      </c>
      <c r="B583" s="39" t="n">
        <v>23644.8</v>
      </c>
      <c r="C583" s="39" t="n">
        <v>22375.4</v>
      </c>
      <c r="D583" s="39" t="n">
        <v>1679.55</v>
      </c>
      <c r="E583" s="39" t="n">
        <v>759.3</v>
      </c>
      <c r="F583" s="39" t="n">
        <v>1055.55</v>
      </c>
      <c r="G583" s="39" t="n">
        <v>598.05</v>
      </c>
      <c r="H583" s="39" t="n">
        <v>877.7</v>
      </c>
      <c r="I583" s="39" t="n">
        <v>407.75</v>
      </c>
      <c r="J583" s="39" t="n">
        <v>1237.65</v>
      </c>
      <c r="K583" s="39" t="n">
        <v>681.37</v>
      </c>
      <c r="L583" s="39" t="n">
        <v>1185.95</v>
      </c>
      <c r="M583" s="39" t="n">
        <v>886.55</v>
      </c>
      <c r="N583" s="39" t="n">
        <v>413.5</v>
      </c>
      <c r="O583" s="39" t="n">
        <v>264.95</v>
      </c>
      <c r="P583" s="39" t="n">
        <v>2136.15</v>
      </c>
      <c r="Q583" s="39" t="n">
        <v>314.35</v>
      </c>
      <c r="R583" s="39" t="n">
        <v>663.85</v>
      </c>
      <c r="S583" s="39" t="n">
        <v>577.83</v>
      </c>
    </row>
    <row r="584" customFormat="false" ht="15" hidden="false" customHeight="false" outlineLevel="0" collapsed="false">
      <c r="A584" s="8" t="n">
        <v>45658</v>
      </c>
      <c r="B584" s="39" t="n">
        <v>23742.9</v>
      </c>
      <c r="C584" s="39" t="n">
        <v>22481.8</v>
      </c>
      <c r="D584" s="39" t="n">
        <v>1677.85</v>
      </c>
      <c r="E584" s="39" t="n">
        <v>730.35</v>
      </c>
      <c r="F584" s="39" t="n">
        <v>1045</v>
      </c>
      <c r="G584" s="39" t="n">
        <v>600.3</v>
      </c>
      <c r="H584" s="39" t="n">
        <v>908.1</v>
      </c>
      <c r="I584" s="39" t="n">
        <v>432.55</v>
      </c>
      <c r="J584" s="39" t="n">
        <v>1293.65</v>
      </c>
      <c r="K584" s="39" t="n">
        <v>692.59</v>
      </c>
      <c r="L584" s="39" t="n">
        <v>1184.35</v>
      </c>
      <c r="M584" s="39" t="n">
        <v>890.9</v>
      </c>
      <c r="N584" s="39" t="n">
        <v>418.25</v>
      </c>
      <c r="O584" s="39" t="n">
        <v>265.55</v>
      </c>
      <c r="P584" s="39" t="n">
        <v>2215.05</v>
      </c>
      <c r="Q584" s="39" t="n">
        <v>314.1</v>
      </c>
      <c r="R584" s="39" t="n">
        <v>677.8</v>
      </c>
      <c r="S584" s="39" t="n">
        <v>583.73</v>
      </c>
    </row>
    <row r="585" customFormat="false" ht="15" hidden="false" customHeight="false" outlineLevel="0" collapsed="false">
      <c r="A585" s="8" t="n">
        <v>45659</v>
      </c>
      <c r="B585" s="39" t="n">
        <v>24188.65</v>
      </c>
      <c r="C585" s="39" t="n">
        <v>22819.75</v>
      </c>
      <c r="D585" s="39" t="n">
        <v>1695.65</v>
      </c>
      <c r="E585" s="39" t="n">
        <v>729.45</v>
      </c>
      <c r="F585" s="39" t="n">
        <v>1076.15</v>
      </c>
      <c r="G585" s="39" t="n">
        <v>606.05</v>
      </c>
      <c r="H585" s="39" t="n">
        <v>924.8</v>
      </c>
      <c r="I585" s="39" t="n">
        <v>439.45</v>
      </c>
      <c r="J585" s="39" t="n">
        <v>1288.4</v>
      </c>
      <c r="K585" s="39" t="n">
        <v>737.92</v>
      </c>
      <c r="L585" s="39" t="n">
        <v>1271.5</v>
      </c>
      <c r="M585" s="39" t="n">
        <v>954.65</v>
      </c>
      <c r="N585" s="39" t="n">
        <v>431.5</v>
      </c>
      <c r="O585" s="39" t="n">
        <v>275.7</v>
      </c>
      <c r="P585" s="39" t="n">
        <v>2256.9</v>
      </c>
      <c r="Q585" s="39" t="n">
        <v>321.45</v>
      </c>
      <c r="R585" s="39" t="n">
        <v>702.7</v>
      </c>
      <c r="S585" s="39" t="n">
        <v>612.01</v>
      </c>
    </row>
    <row r="586" customFormat="false" ht="15" hidden="false" customHeight="false" outlineLevel="0" collapsed="false">
      <c r="A586" s="8" t="n">
        <v>45660</v>
      </c>
      <c r="B586" s="39" t="n">
        <v>24004.75</v>
      </c>
      <c r="C586" s="39" t="n">
        <v>22708.15</v>
      </c>
      <c r="D586" s="39" t="n">
        <v>1701.35</v>
      </c>
      <c r="E586" s="39" t="n">
        <v>721.15</v>
      </c>
      <c r="F586" s="39" t="n">
        <v>1068.05</v>
      </c>
      <c r="G586" s="39" t="n">
        <v>609.45</v>
      </c>
      <c r="H586" s="39" t="n">
        <v>926.65</v>
      </c>
      <c r="I586" s="39" t="n">
        <v>435.8</v>
      </c>
      <c r="J586" s="39" t="n">
        <v>1251.65</v>
      </c>
      <c r="K586" s="39" t="n">
        <v>739.72</v>
      </c>
      <c r="L586" s="39" t="n">
        <v>1320.25</v>
      </c>
      <c r="M586" s="39" t="n">
        <v>934.55</v>
      </c>
      <c r="N586" s="39" t="n">
        <v>421</v>
      </c>
      <c r="O586" s="39" t="n">
        <v>276.45</v>
      </c>
      <c r="P586" s="39" t="n">
        <v>2237.25</v>
      </c>
      <c r="Q586" s="39" t="n">
        <v>319.6</v>
      </c>
      <c r="R586" s="39" t="n">
        <v>723.55</v>
      </c>
      <c r="S586" s="39" t="n">
        <v>609.67</v>
      </c>
    </row>
    <row r="587" customFormat="false" ht="15" hidden="false" customHeight="false" outlineLevel="0" collapsed="false">
      <c r="A587" s="8" t="n">
        <v>45663</v>
      </c>
      <c r="B587" s="39" t="n">
        <v>23616.05</v>
      </c>
      <c r="C587" s="39" t="n">
        <v>22225.4</v>
      </c>
      <c r="D587" s="39" t="n">
        <v>1691</v>
      </c>
      <c r="E587" s="39" t="n">
        <v>697.75</v>
      </c>
      <c r="F587" s="39" t="n">
        <v>1036.65</v>
      </c>
      <c r="G587" s="39" t="n">
        <v>594.3</v>
      </c>
      <c r="H587" s="39" t="n">
        <v>897.15</v>
      </c>
      <c r="I587" s="39" t="n">
        <v>414.15</v>
      </c>
      <c r="J587" s="39" t="n">
        <v>1212.05</v>
      </c>
      <c r="K587" s="39" t="n">
        <v>733.94</v>
      </c>
      <c r="L587" s="39" t="n">
        <v>1294.2</v>
      </c>
      <c r="M587" s="39" t="n">
        <v>911.25</v>
      </c>
      <c r="N587" s="39" t="n">
        <v>404.45</v>
      </c>
      <c r="O587" s="39" t="n">
        <v>271</v>
      </c>
      <c r="P587" s="39" t="n">
        <v>2185.8</v>
      </c>
      <c r="Q587" s="39" t="n">
        <v>313.3</v>
      </c>
      <c r="R587" s="39" t="n">
        <v>730.5</v>
      </c>
      <c r="S587" s="39" t="n">
        <v>593.91</v>
      </c>
    </row>
    <row r="588" customFormat="false" ht="15" hidden="false" customHeight="false" outlineLevel="0" collapsed="false">
      <c r="A588" s="8" t="n">
        <v>45664</v>
      </c>
      <c r="B588" s="39" t="n">
        <v>23707.9</v>
      </c>
      <c r="C588" s="39" t="n">
        <v>22341.65</v>
      </c>
      <c r="D588" s="39" t="n">
        <v>1699.45</v>
      </c>
      <c r="E588" s="39" t="n">
        <v>714.8</v>
      </c>
      <c r="F588" s="39" t="n">
        <v>1061.3</v>
      </c>
      <c r="G588" s="39" t="n">
        <v>585.15</v>
      </c>
      <c r="H588" s="39" t="n">
        <v>885.6</v>
      </c>
      <c r="I588" s="39" t="n">
        <v>417.15</v>
      </c>
      <c r="J588" s="39" t="n">
        <v>1239.2</v>
      </c>
      <c r="K588" s="39" t="n">
        <v>734.4</v>
      </c>
      <c r="L588" s="39" t="n">
        <v>1276</v>
      </c>
      <c r="M588" s="39" t="n">
        <v>911.1</v>
      </c>
      <c r="N588" s="39" t="n">
        <v>421.4</v>
      </c>
      <c r="O588" s="39" t="n">
        <v>277.15</v>
      </c>
      <c r="P588" s="39" t="n">
        <v>2209.15</v>
      </c>
      <c r="Q588" s="39" t="n">
        <v>316.6</v>
      </c>
      <c r="R588" s="39" t="n">
        <v>732.95</v>
      </c>
      <c r="S588" s="39" t="n">
        <v>591.68</v>
      </c>
    </row>
    <row r="589" customFormat="false" ht="15" hidden="false" customHeight="false" outlineLevel="0" collapsed="false">
      <c r="A589" s="8" t="n">
        <v>45665</v>
      </c>
      <c r="B589" s="39" t="n">
        <v>23688.95</v>
      </c>
      <c r="C589" s="39" t="n">
        <v>22231.8</v>
      </c>
      <c r="D589" s="39" t="n">
        <v>1680.75</v>
      </c>
      <c r="E589" s="39" t="n">
        <v>705.4</v>
      </c>
      <c r="F589" s="39" t="n">
        <v>1054.7</v>
      </c>
      <c r="G589" s="39" t="n">
        <v>582.85</v>
      </c>
      <c r="H589" s="39" t="n">
        <v>873.9</v>
      </c>
      <c r="I589" s="39" t="n">
        <v>410.8</v>
      </c>
      <c r="J589" s="39" t="n">
        <v>1302.95</v>
      </c>
      <c r="K589" s="39" t="n">
        <v>734.54</v>
      </c>
      <c r="L589" s="39" t="n">
        <v>1275.25</v>
      </c>
      <c r="M589" s="39" t="n">
        <v>1029.1</v>
      </c>
      <c r="N589" s="39" t="n">
        <v>434.6</v>
      </c>
      <c r="O589" s="39" t="n">
        <v>278.75</v>
      </c>
      <c r="P589" s="39" t="n">
        <v>2179.2</v>
      </c>
      <c r="Q589" s="39" t="n">
        <v>321.8</v>
      </c>
      <c r="R589" s="39" t="n">
        <v>737.25</v>
      </c>
      <c r="S589" s="39" t="n">
        <v>579.75</v>
      </c>
    </row>
    <row r="590" customFormat="false" ht="15" hidden="false" customHeight="false" outlineLevel="0" collapsed="false">
      <c r="A590" s="8" t="n">
        <v>45666</v>
      </c>
      <c r="B590" s="39" t="n">
        <v>23526.5</v>
      </c>
      <c r="C590" s="39" t="n">
        <v>22046.55</v>
      </c>
      <c r="D590" s="39" t="n">
        <v>1679.75</v>
      </c>
      <c r="E590" s="39" t="n">
        <v>693.1</v>
      </c>
      <c r="F590" s="39" t="n">
        <v>1041</v>
      </c>
      <c r="G590" s="39" t="n">
        <v>573.45</v>
      </c>
      <c r="H590" s="39" t="n">
        <v>890.75</v>
      </c>
      <c r="I590" s="39" t="n">
        <v>408.65</v>
      </c>
      <c r="J590" s="39" t="n">
        <v>1300.05</v>
      </c>
      <c r="K590" s="39" t="n">
        <v>726.76</v>
      </c>
      <c r="L590" s="39" t="n">
        <v>1288.2</v>
      </c>
      <c r="M590" s="39" t="n">
        <v>999.55</v>
      </c>
      <c r="N590" s="39" t="n">
        <v>429.3</v>
      </c>
      <c r="O590" s="39" t="n">
        <v>279.75</v>
      </c>
      <c r="P590" s="39" t="n">
        <v>2135.1</v>
      </c>
      <c r="Q590" s="39" t="n">
        <v>313.45</v>
      </c>
      <c r="R590" s="39" t="n">
        <v>730.7</v>
      </c>
      <c r="S590" s="39" t="n">
        <v>561.97</v>
      </c>
    </row>
    <row r="591" customFormat="false" ht="15" hidden="false" customHeight="false" outlineLevel="0" collapsed="false">
      <c r="A591" s="8" t="n">
        <v>45667</v>
      </c>
      <c r="B591" s="39" t="n">
        <v>23431.5</v>
      </c>
      <c r="C591" s="39" t="n">
        <v>21799</v>
      </c>
      <c r="D591" s="39" t="n">
        <v>1667.55</v>
      </c>
      <c r="E591" s="39" t="n">
        <v>679.35</v>
      </c>
      <c r="F591" s="39" t="n">
        <v>1036.7</v>
      </c>
      <c r="G591" s="39" t="n">
        <v>554.9</v>
      </c>
      <c r="H591" s="39" t="n">
        <v>855.3</v>
      </c>
      <c r="I591" s="39" t="n">
        <v>402.4</v>
      </c>
      <c r="J591" s="39" t="n">
        <v>1299.45</v>
      </c>
      <c r="K591" s="39" t="n">
        <v>727.81</v>
      </c>
      <c r="L591" s="39" t="n">
        <v>1255.05</v>
      </c>
      <c r="M591" s="39" t="n">
        <v>976.2</v>
      </c>
      <c r="N591" s="39" t="n">
        <v>415.35</v>
      </c>
      <c r="O591" s="39" t="n">
        <v>275.55</v>
      </c>
      <c r="P591" s="39" t="n">
        <v>2136.55</v>
      </c>
      <c r="Q591" s="39" t="n">
        <v>308.25</v>
      </c>
      <c r="R591" s="39" t="n">
        <v>722.55</v>
      </c>
      <c r="S591" s="39" t="n">
        <v>532</v>
      </c>
    </row>
    <row r="592" customFormat="false" ht="15" hidden="false" customHeight="false" outlineLevel="0" collapsed="false">
      <c r="A592" s="8" t="n">
        <v>45670</v>
      </c>
      <c r="B592" s="39" t="n">
        <v>23085.95</v>
      </c>
      <c r="C592" s="39" t="n">
        <v>21243.45</v>
      </c>
      <c r="D592" s="39" t="n">
        <v>1637</v>
      </c>
      <c r="E592" s="39" t="n">
        <v>651.75</v>
      </c>
      <c r="F592" s="39" t="n">
        <v>1018.4</v>
      </c>
      <c r="G592" s="39" t="n">
        <v>533.6</v>
      </c>
      <c r="H592" s="39" t="n">
        <v>809.4</v>
      </c>
      <c r="I592" s="39" t="n">
        <v>399.15</v>
      </c>
      <c r="J592" s="39" t="n">
        <v>1231.65</v>
      </c>
      <c r="K592" s="39" t="n">
        <v>714.12</v>
      </c>
      <c r="L592" s="39" t="n">
        <v>1222.55</v>
      </c>
      <c r="M592" s="39" t="n">
        <v>915.05</v>
      </c>
      <c r="N592" s="39" t="n">
        <v>392.6</v>
      </c>
      <c r="O592" s="39" t="n">
        <v>263.2</v>
      </c>
      <c r="P592" s="39" t="n">
        <v>2096.5</v>
      </c>
      <c r="Q592" s="39" t="n">
        <v>302.25</v>
      </c>
      <c r="R592" s="39" t="n">
        <v>713.55</v>
      </c>
      <c r="S592" s="39" t="n">
        <v>521.1</v>
      </c>
    </row>
    <row r="593" customFormat="false" ht="15" hidden="false" customHeight="false" outlineLevel="0" collapsed="false">
      <c r="A593" s="8" t="n">
        <v>45671</v>
      </c>
      <c r="B593" s="39" t="n">
        <v>23176.05</v>
      </c>
      <c r="C593" s="39" t="n">
        <v>21481.05</v>
      </c>
      <c r="D593" s="39" t="n">
        <v>1638.2</v>
      </c>
      <c r="E593" s="39" t="n">
        <v>670.8</v>
      </c>
      <c r="F593" s="39" t="n">
        <v>1041.15</v>
      </c>
      <c r="G593" s="39" t="n">
        <v>552.4</v>
      </c>
      <c r="H593" s="39" t="n">
        <v>840.95</v>
      </c>
      <c r="I593" s="39" t="n">
        <v>416.05</v>
      </c>
      <c r="J593" s="39" t="n">
        <v>1284.65</v>
      </c>
      <c r="K593" s="39" t="n">
        <v>732.5</v>
      </c>
      <c r="L593" s="39" t="n">
        <v>1270.7</v>
      </c>
      <c r="M593" s="39" t="n">
        <v>959.05</v>
      </c>
      <c r="N593" s="39" t="n">
        <v>402.05</v>
      </c>
      <c r="O593" s="39" t="n">
        <v>266.8</v>
      </c>
      <c r="P593" s="39" t="n">
        <v>2123.85</v>
      </c>
      <c r="Q593" s="39" t="n">
        <v>308.85</v>
      </c>
      <c r="R593" s="39" t="n">
        <v>734.7</v>
      </c>
      <c r="S593" s="39" t="n">
        <v>544.1</v>
      </c>
    </row>
    <row r="594" customFormat="false" ht="15" hidden="false" customHeight="false" outlineLevel="0" collapsed="false">
      <c r="A594" s="8" t="n">
        <v>45672</v>
      </c>
      <c r="B594" s="39" t="n">
        <v>23213.2</v>
      </c>
      <c r="C594" s="39" t="n">
        <v>21551.2</v>
      </c>
      <c r="D594" s="39" t="n">
        <v>1638.4</v>
      </c>
      <c r="E594" s="39" t="n">
        <v>673.15</v>
      </c>
      <c r="F594" s="39" t="n">
        <v>1027.25</v>
      </c>
      <c r="G594" s="39" t="n">
        <v>552.95</v>
      </c>
      <c r="H594" s="39" t="n">
        <v>856.6</v>
      </c>
      <c r="I594" s="39" t="n">
        <v>414.5</v>
      </c>
      <c r="J594" s="39" t="n">
        <v>1291.7</v>
      </c>
      <c r="K594" s="39" t="n">
        <v>716.76</v>
      </c>
      <c r="L594" s="39" t="n">
        <v>1253.85</v>
      </c>
      <c r="M594" s="39" t="n">
        <v>900.6</v>
      </c>
      <c r="N594" s="39" t="n">
        <v>393.25</v>
      </c>
      <c r="O594" s="39" t="n">
        <v>267.85</v>
      </c>
      <c r="P594" s="39" t="n">
        <v>2179.55</v>
      </c>
      <c r="Q594" s="39" t="n">
        <v>310.25</v>
      </c>
      <c r="R594" s="39" t="n">
        <v>735.2</v>
      </c>
      <c r="S594" s="39" t="n">
        <v>533.2</v>
      </c>
    </row>
    <row r="595" customFormat="false" ht="15" hidden="false" customHeight="false" outlineLevel="0" collapsed="false">
      <c r="A595" s="8" t="n">
        <v>45673</v>
      </c>
      <c r="B595" s="39" t="n">
        <v>23311.8</v>
      </c>
      <c r="C595" s="39" t="n">
        <v>21714.55</v>
      </c>
      <c r="D595" s="39" t="n">
        <v>1639.15</v>
      </c>
      <c r="E595" s="39" t="n">
        <v>687.6</v>
      </c>
      <c r="F595" s="39" t="n">
        <v>1048.45</v>
      </c>
      <c r="G595" s="39" t="n">
        <v>565.45</v>
      </c>
      <c r="H595" s="39" t="n">
        <v>895.6</v>
      </c>
      <c r="I595" s="39" t="n">
        <v>413.55</v>
      </c>
      <c r="J595" s="39" t="n">
        <v>1305.75</v>
      </c>
      <c r="K595" s="39" t="n">
        <v>724.99</v>
      </c>
      <c r="L595" s="39" t="n">
        <v>1282.1</v>
      </c>
      <c r="M595" s="39" t="n">
        <v>906.05</v>
      </c>
      <c r="N595" s="39" t="n">
        <v>399.05</v>
      </c>
      <c r="O595" s="39" t="n">
        <v>269.85</v>
      </c>
      <c r="P595" s="39" t="n">
        <v>2180</v>
      </c>
      <c r="Q595" s="39" t="n">
        <v>311.25</v>
      </c>
      <c r="R595" s="39" t="n">
        <v>752.75</v>
      </c>
      <c r="S595" s="39" t="n">
        <v>546.8</v>
      </c>
    </row>
    <row r="596" customFormat="false" ht="15" hidden="false" customHeight="false" outlineLevel="0" collapsed="false">
      <c r="A596" s="8" t="n">
        <v>45674</v>
      </c>
      <c r="B596" s="39" t="n">
        <v>23203.2</v>
      </c>
      <c r="C596" s="39" t="n">
        <v>21680.25</v>
      </c>
      <c r="D596" s="39" t="n">
        <v>1638.25</v>
      </c>
      <c r="E596" s="39" t="n">
        <v>691.5</v>
      </c>
      <c r="F596" s="39" t="n">
        <v>1030.2</v>
      </c>
      <c r="G596" s="39" t="n">
        <v>562.7</v>
      </c>
      <c r="H596" s="39" t="n">
        <v>903.9</v>
      </c>
      <c r="I596" s="39" t="n">
        <v>409.3</v>
      </c>
      <c r="J596" s="39" t="n">
        <v>1338.35</v>
      </c>
      <c r="K596" s="39" t="n">
        <v>717.23</v>
      </c>
      <c r="L596" s="39" t="n">
        <v>1257.4</v>
      </c>
      <c r="M596" s="39" t="n">
        <v>910.95</v>
      </c>
      <c r="N596" s="39" t="n">
        <v>399.15</v>
      </c>
      <c r="O596" s="39" t="n">
        <v>268.55</v>
      </c>
      <c r="P596" s="39" t="n">
        <v>2149.6</v>
      </c>
      <c r="Q596" s="39" t="n">
        <v>314.05</v>
      </c>
      <c r="R596" s="39" t="n">
        <v>740.85</v>
      </c>
      <c r="S596" s="39" t="n">
        <v>526.5</v>
      </c>
    </row>
    <row r="597" customFormat="false" ht="15" hidden="false" customHeight="false" outlineLevel="0" collapsed="false">
      <c r="A597" s="8" t="n">
        <v>45677</v>
      </c>
      <c r="B597" s="39" t="n">
        <v>23344.75</v>
      </c>
      <c r="C597" s="39" t="n">
        <v>21809</v>
      </c>
      <c r="D597" s="39" t="n">
        <v>1666.1</v>
      </c>
      <c r="E597" s="39" t="n">
        <v>708</v>
      </c>
      <c r="F597" s="39" t="n">
        <v>1038.2</v>
      </c>
      <c r="G597" s="39" t="n">
        <v>569.9</v>
      </c>
      <c r="H597" s="39" t="n">
        <v>912.45</v>
      </c>
      <c r="I597" s="39" t="n">
        <v>413.2</v>
      </c>
      <c r="J597" s="39" t="n">
        <v>1418.8</v>
      </c>
      <c r="K597" s="39" t="n">
        <v>743</v>
      </c>
      <c r="L597" s="39" t="n">
        <v>1246.9</v>
      </c>
      <c r="M597" s="39" t="n">
        <v>999.5</v>
      </c>
      <c r="N597" s="39" t="n">
        <v>402</v>
      </c>
      <c r="O597" s="39" t="n">
        <v>267.65</v>
      </c>
      <c r="P597" s="39" t="n">
        <v>2142.2</v>
      </c>
      <c r="Q597" s="39" t="n">
        <v>319.25</v>
      </c>
      <c r="R597" s="39" t="n">
        <v>761.5</v>
      </c>
      <c r="S597" s="39" t="n">
        <v>516.7</v>
      </c>
    </row>
    <row r="598" customFormat="false" ht="15" hidden="false" customHeight="false" outlineLevel="0" collapsed="false">
      <c r="A598" s="8" t="n">
        <v>45678</v>
      </c>
      <c r="B598" s="39" t="n">
        <v>23024.65</v>
      </c>
      <c r="C598" s="39" t="n">
        <v>21433.2</v>
      </c>
      <c r="D598" s="39" t="n">
        <v>1700.7</v>
      </c>
      <c r="E598" s="39" t="n">
        <v>691.8</v>
      </c>
      <c r="F598" s="39" t="n">
        <v>1020.4</v>
      </c>
      <c r="G598" s="39" t="n">
        <v>560.4</v>
      </c>
      <c r="H598" s="39" t="n">
        <v>898.5</v>
      </c>
      <c r="I598" s="39" t="n">
        <v>399.85</v>
      </c>
      <c r="J598" s="39" t="n">
        <v>1413.8</v>
      </c>
      <c r="K598" s="39" t="n">
        <v>728.17</v>
      </c>
      <c r="L598" s="39" t="n">
        <v>1240.5</v>
      </c>
      <c r="M598" s="39" t="n">
        <v>959.5</v>
      </c>
      <c r="N598" s="39" t="n">
        <v>391</v>
      </c>
      <c r="O598" s="39" t="n">
        <v>265.25</v>
      </c>
      <c r="P598" s="39" t="n">
        <v>2165.05</v>
      </c>
      <c r="Q598" s="39" t="n">
        <v>323.85</v>
      </c>
      <c r="R598" s="39" t="n">
        <v>762.6</v>
      </c>
      <c r="S598" s="39" t="n">
        <v>520.3</v>
      </c>
    </row>
    <row r="599" customFormat="false" ht="15" hidden="false" customHeight="false" outlineLevel="0" collapsed="false">
      <c r="A599" s="8" t="n">
        <v>45679</v>
      </c>
      <c r="B599" s="39" t="n">
        <v>23155.35</v>
      </c>
      <c r="C599" s="39" t="n">
        <v>21396.55</v>
      </c>
      <c r="D599" s="39" t="n">
        <v>1685.95</v>
      </c>
      <c r="E599" s="39" t="n">
        <v>686</v>
      </c>
      <c r="F599" s="39" t="n">
        <v>987.45</v>
      </c>
      <c r="G599" s="39" t="n">
        <v>554.8</v>
      </c>
      <c r="H599" s="39" t="n">
        <v>911.45</v>
      </c>
      <c r="I599" s="39" t="n">
        <v>394.6</v>
      </c>
      <c r="J599" s="39" t="n">
        <v>1367.85</v>
      </c>
      <c r="K599" s="39" t="n">
        <v>738.71</v>
      </c>
      <c r="L599" s="39" t="n">
        <v>1257.1</v>
      </c>
      <c r="M599" s="39" t="n">
        <v>959.7</v>
      </c>
      <c r="N599" s="39" t="n">
        <v>385.5</v>
      </c>
      <c r="O599" s="39" t="n">
        <v>265.85</v>
      </c>
      <c r="P599" s="39" t="n">
        <v>2197.45</v>
      </c>
      <c r="Q599" s="39" t="n">
        <v>327.1</v>
      </c>
      <c r="R599" s="39" t="n">
        <v>756.55</v>
      </c>
      <c r="S599" s="39" t="n">
        <v>518.65</v>
      </c>
    </row>
    <row r="600" customFormat="false" ht="15" hidden="false" customHeight="false" outlineLevel="0" collapsed="false">
      <c r="A600" s="8" t="n">
        <v>45680</v>
      </c>
      <c r="B600" s="39" t="n">
        <v>23205.35</v>
      </c>
      <c r="C600" s="39" t="n">
        <v>21538.05</v>
      </c>
      <c r="D600" s="39" t="n">
        <v>1727.85</v>
      </c>
      <c r="E600" s="39" t="n">
        <v>690.95</v>
      </c>
      <c r="F600" s="39" t="n">
        <v>993.7</v>
      </c>
      <c r="G600" s="39" t="n">
        <v>579.95</v>
      </c>
      <c r="H600" s="39" t="n">
        <v>883.75</v>
      </c>
      <c r="I600" s="39" t="n">
        <v>397.2</v>
      </c>
      <c r="J600" s="39" t="n">
        <v>1437.6</v>
      </c>
      <c r="K600" s="39" t="n">
        <v>743.31</v>
      </c>
      <c r="L600" s="39" t="n">
        <v>1246.05</v>
      </c>
      <c r="M600" s="39" t="n">
        <v>971.3</v>
      </c>
      <c r="N600" s="39" t="n">
        <v>386.45</v>
      </c>
      <c r="O600" s="39" t="n">
        <v>275.45</v>
      </c>
      <c r="P600" s="39" t="n">
        <v>2195.1</v>
      </c>
      <c r="Q600" s="39" t="n">
        <v>332.8</v>
      </c>
      <c r="R600" s="39" t="n">
        <v>760</v>
      </c>
      <c r="S600" s="39" t="n">
        <v>529.8</v>
      </c>
    </row>
    <row r="601" customFormat="false" ht="15" hidden="false" customHeight="false" outlineLevel="0" collapsed="false">
      <c r="A601" s="8" t="n">
        <v>45681</v>
      </c>
      <c r="B601" s="39" t="n">
        <v>23092.2</v>
      </c>
      <c r="C601" s="39" t="n">
        <v>21318.9</v>
      </c>
      <c r="D601" s="39" t="n">
        <v>1725.05</v>
      </c>
      <c r="E601" s="39" t="n">
        <v>682.7</v>
      </c>
      <c r="F601" s="39" t="n">
        <v>995.9</v>
      </c>
      <c r="G601" s="39" t="n">
        <v>573.3</v>
      </c>
      <c r="H601" s="39" t="n">
        <v>863.4</v>
      </c>
      <c r="I601" s="39" t="n">
        <v>387.95</v>
      </c>
      <c r="J601" s="39" t="n">
        <v>1341.95</v>
      </c>
      <c r="K601" s="39" t="n">
        <v>742.85</v>
      </c>
      <c r="L601" s="39" t="n">
        <v>1223.05</v>
      </c>
      <c r="M601" s="39" t="n">
        <v>916.6</v>
      </c>
      <c r="N601" s="39" t="n">
        <v>375.9</v>
      </c>
      <c r="O601" s="39" t="n">
        <v>268.05</v>
      </c>
      <c r="P601" s="39" t="n">
        <v>2173.4</v>
      </c>
      <c r="Q601" s="39" t="n">
        <v>317</v>
      </c>
      <c r="R601" s="39" t="n">
        <v>758.3</v>
      </c>
      <c r="S601" s="39" t="n">
        <v>527.45</v>
      </c>
    </row>
    <row r="602" customFormat="false" ht="15" hidden="false" customHeight="false" outlineLevel="0" collapsed="false">
      <c r="A602" s="8" t="n">
        <v>45684</v>
      </c>
      <c r="B602" s="39" t="n">
        <v>22829.15</v>
      </c>
      <c r="C602" s="39" t="n">
        <v>20910.95</v>
      </c>
      <c r="D602" s="39" t="n">
        <v>1667.35</v>
      </c>
      <c r="E602" s="39" t="n">
        <v>674.05</v>
      </c>
      <c r="F602" s="39" t="n">
        <v>977.1</v>
      </c>
      <c r="G602" s="39" t="n">
        <v>563.9</v>
      </c>
      <c r="H602" s="39" t="n">
        <v>813.3</v>
      </c>
      <c r="I602" s="39" t="n">
        <v>370.2</v>
      </c>
      <c r="J602" s="39" t="n">
        <v>1298.7</v>
      </c>
      <c r="K602" s="39" t="n">
        <v>728.55</v>
      </c>
      <c r="L602" s="39" t="n">
        <v>1175.35</v>
      </c>
      <c r="M602" s="39" t="n">
        <v>923.8</v>
      </c>
      <c r="N602" s="39" t="n">
        <v>357.85</v>
      </c>
      <c r="O602" s="39" t="n">
        <v>259.75</v>
      </c>
      <c r="P602" s="39" t="n">
        <v>2139</v>
      </c>
      <c r="Q602" s="39" t="n">
        <v>309.55</v>
      </c>
      <c r="R602" s="39" t="n">
        <v>753.7</v>
      </c>
      <c r="S602" s="39" t="n">
        <v>511.65</v>
      </c>
    </row>
    <row r="603" customFormat="false" ht="15" hidden="false" customHeight="false" outlineLevel="0" collapsed="false">
      <c r="A603" s="8" t="n">
        <v>45685</v>
      </c>
      <c r="B603" s="39" t="n">
        <v>22957.25</v>
      </c>
      <c r="C603" s="39" t="n">
        <v>20924.75</v>
      </c>
      <c r="D603" s="39" t="n">
        <v>1672.6</v>
      </c>
      <c r="E603" s="39" t="n">
        <v>662.95</v>
      </c>
      <c r="F603" s="39" t="n">
        <v>961.95</v>
      </c>
      <c r="G603" s="39" t="n">
        <v>570.5</v>
      </c>
      <c r="H603" s="39" t="n">
        <v>843.05</v>
      </c>
      <c r="I603" s="39" t="n">
        <v>364.4</v>
      </c>
      <c r="J603" s="39" t="n">
        <v>1301.15</v>
      </c>
      <c r="K603" s="39" t="n">
        <v>759.63</v>
      </c>
      <c r="L603" s="39" t="n">
        <v>1241.7</v>
      </c>
      <c r="M603" s="39" t="n">
        <v>961</v>
      </c>
      <c r="N603" s="39" t="n">
        <v>350.05</v>
      </c>
      <c r="O603" s="39" t="n">
        <v>272</v>
      </c>
      <c r="P603" s="39" t="n">
        <v>2135.9</v>
      </c>
      <c r="Q603" s="39" t="n">
        <v>308.7</v>
      </c>
      <c r="R603" s="39" t="n">
        <v>759.1</v>
      </c>
      <c r="S603" s="39" t="n">
        <v>530.1</v>
      </c>
    </row>
    <row r="604" customFormat="false" ht="15" hidden="false" customHeight="false" outlineLevel="0" collapsed="false">
      <c r="A604" s="8" t="n">
        <v>45686</v>
      </c>
      <c r="B604" s="39" t="n">
        <v>23163.1</v>
      </c>
      <c r="C604" s="39" t="n">
        <v>21245.5</v>
      </c>
      <c r="D604" s="39" t="n">
        <v>1689.7</v>
      </c>
      <c r="E604" s="39" t="n">
        <v>667.45</v>
      </c>
      <c r="F604" s="39" t="n">
        <v>969.9</v>
      </c>
      <c r="G604" s="39" t="n">
        <v>574.6</v>
      </c>
      <c r="H604" s="39" t="n">
        <v>871.15</v>
      </c>
      <c r="I604" s="39" t="n">
        <v>383.15</v>
      </c>
      <c r="J604" s="39" t="n">
        <v>1383.9</v>
      </c>
      <c r="K604" s="39" t="n">
        <v>774.91</v>
      </c>
      <c r="L604" s="39" t="n">
        <v>1296.55</v>
      </c>
      <c r="M604" s="39" t="n">
        <v>1069.2</v>
      </c>
      <c r="N604" s="39" t="n">
        <v>347.9</v>
      </c>
      <c r="O604" s="39" t="n">
        <v>270</v>
      </c>
      <c r="P604" s="39" t="n">
        <v>2210.6</v>
      </c>
      <c r="Q604" s="39" t="n">
        <v>314.9</v>
      </c>
      <c r="R604" s="39" t="n">
        <v>761.4</v>
      </c>
      <c r="S604" s="39" t="n">
        <v>553.5</v>
      </c>
    </row>
    <row r="605" customFormat="false" ht="15" hidden="false" customHeight="false" outlineLevel="0" collapsed="false">
      <c r="A605" s="8" t="n">
        <v>45687</v>
      </c>
      <c r="B605" s="39" t="n">
        <v>23249.5</v>
      </c>
      <c r="C605" s="39" t="n">
        <v>21297.5</v>
      </c>
      <c r="D605" s="39" t="n">
        <v>1703.85</v>
      </c>
      <c r="E605" s="39" t="n">
        <v>653.7</v>
      </c>
      <c r="F605" s="39" t="n">
        <v>945.1</v>
      </c>
      <c r="G605" s="39" t="n">
        <v>584.35</v>
      </c>
      <c r="H605" s="39" t="n">
        <v>861.7</v>
      </c>
      <c r="I605" s="39" t="n">
        <v>393.2</v>
      </c>
      <c r="J605" s="39" t="n">
        <v>1404.4</v>
      </c>
      <c r="K605" s="39" t="n">
        <v>789.09</v>
      </c>
      <c r="L605" s="39" t="n">
        <v>1279.4</v>
      </c>
      <c r="M605" s="39" t="n">
        <v>1067.65</v>
      </c>
      <c r="N605" s="39" t="n">
        <v>353.4</v>
      </c>
      <c r="O605" s="39" t="n">
        <v>276.65</v>
      </c>
      <c r="P605" s="39" t="n">
        <v>2209.65</v>
      </c>
      <c r="Q605" s="39" t="n">
        <v>308.6</v>
      </c>
      <c r="R605" s="39" t="n">
        <v>774.8</v>
      </c>
      <c r="S605" s="39" t="n">
        <v>538.3</v>
      </c>
    </row>
    <row r="606" customFormat="false" ht="15" hidden="false" customHeight="false" outlineLevel="0" collapsed="false">
      <c r="A606" s="8" t="n">
        <v>45688</v>
      </c>
      <c r="B606" s="39" t="n">
        <v>23508.4</v>
      </c>
      <c r="C606" s="39" t="n">
        <v>21580.9</v>
      </c>
      <c r="D606" s="39" t="n">
        <v>1712.8</v>
      </c>
      <c r="E606" s="39" t="n">
        <v>667.7</v>
      </c>
      <c r="F606" s="39" t="n">
        <v>995.95</v>
      </c>
      <c r="G606" s="39" t="n">
        <v>598.1</v>
      </c>
      <c r="H606" s="39" t="n">
        <v>878.2</v>
      </c>
      <c r="I606" s="39" t="n">
        <v>393.2</v>
      </c>
      <c r="J606" s="39" t="n">
        <v>1403.1</v>
      </c>
      <c r="K606" s="39" t="n">
        <v>787.44</v>
      </c>
      <c r="L606" s="39" t="n">
        <v>1285.85</v>
      </c>
      <c r="M606" s="39" t="n">
        <v>1082.85</v>
      </c>
      <c r="N606" s="39" t="n">
        <v>356.45</v>
      </c>
      <c r="O606" s="39" t="n">
        <v>284.95</v>
      </c>
      <c r="P606" s="39" t="n">
        <v>2258.8</v>
      </c>
      <c r="Q606" s="39" t="n">
        <v>310.4</v>
      </c>
      <c r="R606" s="39" t="n">
        <v>778.2</v>
      </c>
      <c r="S606" s="39" t="n">
        <v>543.75</v>
      </c>
    </row>
    <row r="607" customFormat="false" ht="15" hidden="false" customHeight="false" outlineLevel="0" collapsed="false">
      <c r="A607" s="8" t="n">
        <v>45689</v>
      </c>
      <c r="B607" s="39" t="n">
        <v>23482.15</v>
      </c>
      <c r="C607" s="39" t="n">
        <v>21581.75</v>
      </c>
      <c r="D607" s="39" t="n">
        <v>1688.6</v>
      </c>
      <c r="E607" s="39" t="n">
        <v>660.7</v>
      </c>
      <c r="F607" s="39" t="n">
        <v>962.6</v>
      </c>
      <c r="G607" s="39" t="n">
        <v>584.7</v>
      </c>
      <c r="H607" s="39" t="n">
        <v>893.95</v>
      </c>
      <c r="I607" s="39" t="n">
        <v>397.6</v>
      </c>
      <c r="J607" s="39" t="n">
        <v>1430.1</v>
      </c>
      <c r="K607" s="39" t="n">
        <v>798.92</v>
      </c>
      <c r="L607" s="39" t="n">
        <v>1265.5</v>
      </c>
      <c r="M607" s="39" t="n">
        <v>1024.65</v>
      </c>
      <c r="N607" s="39" t="n">
        <v>357.9</v>
      </c>
      <c r="O607" s="39" t="n">
        <v>283.25</v>
      </c>
      <c r="P607" s="39" t="n">
        <v>2182.45</v>
      </c>
      <c r="Q607" s="39" t="n">
        <v>308.6</v>
      </c>
      <c r="R607" s="39" t="n">
        <v>824.95</v>
      </c>
      <c r="S607" s="39" t="n">
        <v>531.8</v>
      </c>
    </row>
    <row r="608" customFormat="false" ht="15" hidden="false" customHeight="false" outlineLevel="0" collapsed="false">
      <c r="A608" s="8" t="n">
        <v>45691</v>
      </c>
      <c r="B608" s="39" t="n">
        <v>23361.05</v>
      </c>
      <c r="C608" s="39" t="n">
        <v>21402.55</v>
      </c>
      <c r="D608" s="39" t="n">
        <v>1718.5</v>
      </c>
      <c r="E608" s="39" t="n">
        <v>648.3</v>
      </c>
      <c r="F608" s="39" t="n">
        <v>992.85</v>
      </c>
      <c r="G608" s="39" t="n">
        <v>557.6</v>
      </c>
      <c r="H608" s="39" t="n">
        <v>879.9</v>
      </c>
      <c r="I608" s="39" t="n">
        <v>378.95</v>
      </c>
      <c r="J608" s="39" t="n">
        <v>1415.85</v>
      </c>
      <c r="K608" s="39" t="n">
        <v>841.43</v>
      </c>
      <c r="L608" s="39" t="n">
        <v>1337.65</v>
      </c>
      <c r="M608" s="39" t="n">
        <v>1016.7</v>
      </c>
      <c r="N608" s="39" t="n">
        <v>346.5</v>
      </c>
      <c r="O608" s="39" t="n">
        <v>291.85</v>
      </c>
      <c r="P608" s="39" t="n">
        <v>2172.45</v>
      </c>
      <c r="Q608" s="39" t="n">
        <v>308</v>
      </c>
      <c r="R608" s="39" t="n">
        <v>825.3</v>
      </c>
      <c r="S608" s="39" t="n">
        <v>546.15</v>
      </c>
    </row>
    <row r="609" customFormat="false" ht="15" hidden="false" customHeight="false" outlineLevel="0" collapsed="false">
      <c r="A609" s="8" t="n">
        <v>45692</v>
      </c>
      <c r="B609" s="39" t="n">
        <v>23739.25</v>
      </c>
      <c r="C609" s="39" t="n">
        <v>21727.45</v>
      </c>
      <c r="D609" s="39" t="n">
        <v>1709.15</v>
      </c>
      <c r="E609" s="39" t="n">
        <v>663.6</v>
      </c>
      <c r="F609" s="39" t="n">
        <v>998.7</v>
      </c>
      <c r="G609" s="39" t="n">
        <v>576.5</v>
      </c>
      <c r="H609" s="39" t="n">
        <v>868.85</v>
      </c>
      <c r="I609" s="39" t="n">
        <v>394.25</v>
      </c>
      <c r="J609" s="39" t="n">
        <v>1413.4</v>
      </c>
      <c r="K609" s="39" t="n">
        <v>846.38</v>
      </c>
      <c r="L609" s="39" t="n">
        <v>1394.9</v>
      </c>
      <c r="M609" s="39" t="n">
        <v>1002.2</v>
      </c>
      <c r="N609" s="39" t="n">
        <v>352.2</v>
      </c>
      <c r="O609" s="39" t="n">
        <v>297.8</v>
      </c>
      <c r="P609" s="39" t="n">
        <v>2239</v>
      </c>
      <c r="Q609" s="39" t="n">
        <v>312.95</v>
      </c>
      <c r="R609" s="39" t="n">
        <v>835.75</v>
      </c>
      <c r="S609" s="39" t="n">
        <v>576.75</v>
      </c>
    </row>
    <row r="610" customFormat="false" ht="15" hidden="false" customHeight="false" outlineLevel="0" collapsed="false">
      <c r="A610" s="8" t="n">
        <v>45693</v>
      </c>
      <c r="B610" s="39" t="n">
        <v>23696.3</v>
      </c>
      <c r="C610" s="39" t="n">
        <v>21784.25</v>
      </c>
      <c r="D610" s="39" t="n">
        <v>1716.35</v>
      </c>
      <c r="E610" s="39" t="n">
        <v>673.45</v>
      </c>
      <c r="F610" s="39" t="n">
        <v>1000.95</v>
      </c>
      <c r="G610" s="39" t="n">
        <v>574.1</v>
      </c>
      <c r="H610" s="39" t="n">
        <v>900.85</v>
      </c>
      <c r="I610" s="39" t="n">
        <v>395.4</v>
      </c>
      <c r="J610" s="39" t="n">
        <v>1471</v>
      </c>
      <c r="K610" s="39" t="n">
        <v>849.79</v>
      </c>
      <c r="L610" s="39" t="n">
        <v>1388</v>
      </c>
      <c r="M610" s="39" t="n">
        <v>1067.7</v>
      </c>
      <c r="N610" s="39" t="n">
        <v>361.9</v>
      </c>
      <c r="O610" s="39" t="n">
        <v>298.45</v>
      </c>
      <c r="P610" s="39" t="n">
        <v>2266.15</v>
      </c>
      <c r="Q610" s="39" t="n">
        <v>317.2</v>
      </c>
      <c r="R610" s="39" t="n">
        <v>821.35</v>
      </c>
      <c r="S610" s="39" t="n">
        <v>571.3</v>
      </c>
    </row>
    <row r="611" customFormat="false" ht="15" hidden="false" customHeight="false" outlineLevel="0" collapsed="false">
      <c r="A611" s="8" t="n">
        <v>45694</v>
      </c>
      <c r="B611" s="39" t="n">
        <v>23603.35</v>
      </c>
      <c r="C611" s="39" t="n">
        <v>21672.45</v>
      </c>
      <c r="D611" s="39" t="n">
        <v>1724.35</v>
      </c>
      <c r="E611" s="39" t="n">
        <v>667.05</v>
      </c>
      <c r="F611" s="39" t="n">
        <v>1015.95</v>
      </c>
      <c r="G611" s="39" t="n">
        <v>576.2</v>
      </c>
      <c r="H611" s="39" t="n">
        <v>907</v>
      </c>
      <c r="I611" s="39" t="n">
        <v>397.2</v>
      </c>
      <c r="J611" s="39" t="n">
        <v>1507.35</v>
      </c>
      <c r="K611" s="39" t="n">
        <v>849.57</v>
      </c>
      <c r="L611" s="39" t="n">
        <v>1381.9</v>
      </c>
      <c r="M611" s="39" t="n">
        <v>1077</v>
      </c>
      <c r="N611" s="39" t="n">
        <v>359.5</v>
      </c>
      <c r="O611" s="39" t="n">
        <v>297.05</v>
      </c>
      <c r="P611" s="39" t="n">
        <v>2233.6</v>
      </c>
      <c r="Q611" s="39" t="n">
        <v>318.7</v>
      </c>
      <c r="R611" s="39" t="n">
        <v>810.7</v>
      </c>
      <c r="S611" s="39" t="n">
        <v>566.35</v>
      </c>
    </row>
    <row r="612" customFormat="false" ht="15" hidden="false" customHeight="false" outlineLevel="0" collapsed="false">
      <c r="A612" s="8" t="n">
        <v>45695</v>
      </c>
      <c r="B612" s="39" t="n">
        <v>23559.95</v>
      </c>
      <c r="C612" s="39" t="n">
        <v>21646.15</v>
      </c>
      <c r="D612" s="39" t="n">
        <v>1716.6</v>
      </c>
      <c r="E612" s="39" t="n">
        <v>669.3</v>
      </c>
      <c r="F612" s="39" t="n">
        <v>1005.3</v>
      </c>
      <c r="G612" s="39" t="n">
        <v>578.2</v>
      </c>
      <c r="H612" s="39" t="n">
        <v>888.85</v>
      </c>
      <c r="I612" s="39" t="n">
        <v>392.8</v>
      </c>
      <c r="J612" s="39" t="n">
        <v>1481.25</v>
      </c>
      <c r="K612" s="39" t="n">
        <v>846.27</v>
      </c>
      <c r="L612" s="39" t="n">
        <v>1380.15</v>
      </c>
      <c r="M612" s="39" t="n">
        <v>1072.8</v>
      </c>
      <c r="N612" s="39" t="n">
        <v>364.6</v>
      </c>
      <c r="O612" s="39" t="n">
        <v>297.7</v>
      </c>
      <c r="P612" s="39" t="n">
        <v>2244.55</v>
      </c>
      <c r="Q612" s="39" t="n">
        <v>316.7</v>
      </c>
      <c r="R612" s="39" t="n">
        <v>815.55</v>
      </c>
      <c r="S612" s="39" t="n">
        <v>559.55</v>
      </c>
    </row>
    <row r="613" customFormat="false" ht="15" hidden="false" customHeight="false" outlineLevel="0" collapsed="false">
      <c r="A613" s="8" t="n">
        <v>45698</v>
      </c>
      <c r="B613" s="39" t="n">
        <v>23381.6</v>
      </c>
      <c r="C613" s="39" t="n">
        <v>21371.3</v>
      </c>
      <c r="D613" s="39" t="n">
        <v>1709.7</v>
      </c>
      <c r="E613" s="39" t="n">
        <v>649.3</v>
      </c>
      <c r="F613" s="39" t="n">
        <v>981.1</v>
      </c>
      <c r="G613" s="39" t="n">
        <v>562.85</v>
      </c>
      <c r="H613" s="39" t="n">
        <v>866.5</v>
      </c>
      <c r="I613" s="39" t="n">
        <v>390.25</v>
      </c>
      <c r="J613" s="39" t="n">
        <v>1418.9</v>
      </c>
      <c r="K613" s="39" t="n">
        <v>827.55</v>
      </c>
      <c r="L613" s="39" t="n">
        <v>1347.75</v>
      </c>
      <c r="M613" s="39" t="n">
        <v>1055.05</v>
      </c>
      <c r="N613" s="39" t="n">
        <v>356.85</v>
      </c>
      <c r="O613" s="39" t="n">
        <v>296.35</v>
      </c>
      <c r="P613" s="39" t="n">
        <v>2201.85</v>
      </c>
      <c r="Q613" s="39" t="n">
        <v>309.4</v>
      </c>
      <c r="R613" s="39" t="n">
        <v>799.1</v>
      </c>
      <c r="S613" s="39" t="n">
        <v>560.8</v>
      </c>
    </row>
    <row r="614" customFormat="false" ht="15" hidden="false" customHeight="false" outlineLevel="0" collapsed="false">
      <c r="A614" s="8" t="n">
        <v>45699</v>
      </c>
      <c r="B614" s="39" t="n">
        <v>23071.8</v>
      </c>
      <c r="C614" s="39" t="n">
        <v>20950.45</v>
      </c>
      <c r="D614" s="39" t="n">
        <v>1680.85</v>
      </c>
      <c r="E614" s="39" t="n">
        <v>620.65</v>
      </c>
      <c r="F614" s="39" t="n">
        <v>959.35</v>
      </c>
      <c r="G614" s="39" t="n">
        <v>544.6</v>
      </c>
      <c r="H614" s="39" t="n">
        <v>830.55</v>
      </c>
      <c r="I614" s="39" t="n">
        <v>376.35</v>
      </c>
      <c r="J614" s="39" t="n">
        <v>1398.6</v>
      </c>
      <c r="K614" s="39" t="n">
        <v>818.01</v>
      </c>
      <c r="L614" s="39" t="n">
        <v>1310.3</v>
      </c>
      <c r="M614" s="39" t="n">
        <v>996.1</v>
      </c>
      <c r="N614" s="39" t="n">
        <v>343.95</v>
      </c>
      <c r="O614" s="39" t="n">
        <v>281.55</v>
      </c>
      <c r="P614" s="39" t="n">
        <v>2188.2</v>
      </c>
      <c r="Q614" s="39" t="n">
        <v>299.65</v>
      </c>
      <c r="R614" s="39" t="n">
        <v>784.35</v>
      </c>
      <c r="S614" s="39" t="n">
        <v>538.55</v>
      </c>
    </row>
    <row r="615" customFormat="false" ht="15" hidden="false" customHeight="false" outlineLevel="0" collapsed="false">
      <c r="A615" s="8" t="n">
        <v>45700</v>
      </c>
      <c r="B615" s="39" t="n">
        <v>23045.25</v>
      </c>
      <c r="C615" s="39" t="n">
        <v>20907.85</v>
      </c>
      <c r="D615" s="39" t="n">
        <v>1701.35</v>
      </c>
      <c r="E615" s="39" t="n">
        <v>616.45</v>
      </c>
      <c r="F615" s="39" t="n">
        <v>939.65</v>
      </c>
      <c r="G615" s="39" t="n">
        <v>542.85</v>
      </c>
      <c r="H615" s="39" t="n">
        <v>818.7</v>
      </c>
      <c r="I615" s="39" t="n">
        <v>370.65</v>
      </c>
      <c r="J615" s="39" t="n">
        <v>1386.25</v>
      </c>
      <c r="K615" s="39" t="n">
        <v>820.29</v>
      </c>
      <c r="L615" s="39" t="n">
        <v>1351.85</v>
      </c>
      <c r="M615" s="39" t="n">
        <v>998.5</v>
      </c>
      <c r="N615" s="39" t="n">
        <v>335.65</v>
      </c>
      <c r="O615" s="39" t="n">
        <v>276.05</v>
      </c>
      <c r="P615" s="39" t="n">
        <v>2182.85</v>
      </c>
      <c r="Q615" s="39" t="n">
        <v>291.5</v>
      </c>
      <c r="R615" s="39" t="n">
        <v>816.4</v>
      </c>
      <c r="S615" s="39" t="n">
        <v>547.15</v>
      </c>
    </row>
    <row r="616" customFormat="false" ht="15" hidden="false" customHeight="false" outlineLevel="0" collapsed="false">
      <c r="A616" s="8" t="n">
        <v>45701</v>
      </c>
      <c r="B616" s="39" t="n">
        <v>23031.4</v>
      </c>
      <c r="C616" s="39" t="n">
        <v>20904.35</v>
      </c>
      <c r="D616" s="39" t="n">
        <v>1697.85</v>
      </c>
      <c r="E616" s="39" t="n">
        <v>611.4</v>
      </c>
      <c r="F616" s="39" t="n">
        <v>969.6</v>
      </c>
      <c r="G616" s="39" t="n">
        <v>551.25</v>
      </c>
      <c r="H616" s="39" t="n">
        <v>806.15</v>
      </c>
      <c r="I616" s="39" t="n">
        <v>358.8</v>
      </c>
      <c r="J616" s="39" t="n">
        <v>1420</v>
      </c>
      <c r="K616" s="39" t="n">
        <v>839.76</v>
      </c>
      <c r="L616" s="39" t="n">
        <v>1390.8</v>
      </c>
      <c r="M616" s="39" t="n">
        <v>1045.65</v>
      </c>
      <c r="N616" s="39" t="n">
        <v>331.5</v>
      </c>
      <c r="O616" s="39" t="n">
        <v>282.6</v>
      </c>
      <c r="P616" s="39" t="n">
        <v>2317.8</v>
      </c>
      <c r="Q616" s="39" t="n">
        <v>298.7</v>
      </c>
      <c r="R616" s="39" t="n">
        <v>859.85</v>
      </c>
      <c r="S616" s="39" t="n">
        <v>548.65</v>
      </c>
    </row>
    <row r="617" customFormat="false" ht="15" hidden="false" customHeight="false" outlineLevel="0" collapsed="false">
      <c r="A617" s="8" t="n">
        <v>45702</v>
      </c>
      <c r="B617" s="39" t="n">
        <v>22929.25</v>
      </c>
      <c r="C617" s="39" t="n">
        <v>20633.1</v>
      </c>
      <c r="D617" s="39" t="n">
        <v>1685.05</v>
      </c>
      <c r="E617" s="39" t="n">
        <v>607.3</v>
      </c>
      <c r="F617" s="39" t="n">
        <v>936.3</v>
      </c>
      <c r="G617" s="39" t="n">
        <v>533.55</v>
      </c>
      <c r="H617" s="39" t="n">
        <v>792.7</v>
      </c>
      <c r="I617" s="39" t="n">
        <v>335.7</v>
      </c>
      <c r="J617" s="39" t="n">
        <v>1330.05</v>
      </c>
      <c r="K617" s="39" t="n">
        <v>838.09</v>
      </c>
      <c r="L617" s="39" t="n">
        <v>1376</v>
      </c>
      <c r="M617" s="39" t="n">
        <v>966.1</v>
      </c>
      <c r="N617" s="39" t="n">
        <v>314.35</v>
      </c>
      <c r="O617" s="39" t="n">
        <v>271.25</v>
      </c>
      <c r="P617" s="39" t="n">
        <v>2254.9</v>
      </c>
      <c r="Q617" s="39" t="n">
        <v>286.55</v>
      </c>
      <c r="R617" s="39" t="n">
        <v>859</v>
      </c>
      <c r="S617" s="39" t="n">
        <v>539.15</v>
      </c>
    </row>
    <row r="618" customFormat="false" ht="15" hidden="false" customHeight="false" outlineLevel="0" collapsed="false">
      <c r="A618" s="8" t="n">
        <v>45705</v>
      </c>
      <c r="B618" s="39" t="n">
        <v>22959.5</v>
      </c>
      <c r="C618" s="39" t="n">
        <v>20652.35</v>
      </c>
      <c r="D618" s="39" t="n">
        <v>1686</v>
      </c>
      <c r="E618" s="39" t="n">
        <v>608.85</v>
      </c>
      <c r="F618" s="39" t="n">
        <v>954.75</v>
      </c>
      <c r="G618" s="39" t="n">
        <v>538.5</v>
      </c>
      <c r="H618" s="39" t="n">
        <v>781.25</v>
      </c>
      <c r="I618" s="39" t="n">
        <v>336.95</v>
      </c>
      <c r="J618" s="39" t="n">
        <v>1256.4</v>
      </c>
      <c r="K618" s="39" t="n">
        <v>841.51</v>
      </c>
      <c r="L618" s="39" t="n">
        <v>1356.95</v>
      </c>
      <c r="M618" s="39" t="n">
        <v>1015.35</v>
      </c>
      <c r="N618" s="39" t="n">
        <v>314.5</v>
      </c>
      <c r="O618" s="39" t="n">
        <v>276.85</v>
      </c>
      <c r="P618" s="39" t="n">
        <v>2243.9</v>
      </c>
      <c r="Q618" s="39" t="n">
        <v>285.3</v>
      </c>
      <c r="R618" s="39" t="n">
        <v>853.1</v>
      </c>
      <c r="S618" s="39" t="n">
        <v>550.35</v>
      </c>
    </row>
    <row r="619" customFormat="false" ht="15" hidden="false" customHeight="false" outlineLevel="0" collapsed="false">
      <c r="A619" s="8" t="n">
        <v>45706</v>
      </c>
      <c r="B619" s="39" t="n">
        <v>22945.3</v>
      </c>
      <c r="C619" s="39" t="n">
        <v>20611.4</v>
      </c>
      <c r="D619" s="39" t="n">
        <v>1680.2</v>
      </c>
      <c r="E619" s="39" t="n">
        <v>598.6</v>
      </c>
      <c r="F619" s="39" t="n">
        <v>932.8</v>
      </c>
      <c r="G619" s="39" t="n">
        <v>530.55</v>
      </c>
      <c r="H619" s="39" t="n">
        <v>800.3</v>
      </c>
      <c r="I619" s="39" t="n">
        <v>322.25</v>
      </c>
      <c r="J619" s="39" t="n">
        <v>1274.95</v>
      </c>
      <c r="K619" s="39" t="n">
        <v>845.44</v>
      </c>
      <c r="L619" s="39" t="n">
        <v>1350.4</v>
      </c>
      <c r="M619" s="39" t="n">
        <v>962.9</v>
      </c>
      <c r="N619" s="39" t="n">
        <v>305.5</v>
      </c>
      <c r="O619" s="39" t="n">
        <v>272.8</v>
      </c>
      <c r="P619" s="39" t="n">
        <v>2244.5</v>
      </c>
      <c r="Q619" s="39" t="n">
        <v>290.6</v>
      </c>
      <c r="R619" s="39" t="n">
        <v>865.35</v>
      </c>
      <c r="S619" s="39" t="n">
        <v>553.35</v>
      </c>
    </row>
    <row r="620" customFormat="false" ht="15" hidden="false" customHeight="false" outlineLevel="0" collapsed="false">
      <c r="A620" s="8" t="n">
        <v>45707</v>
      </c>
      <c r="B620" s="39" t="n">
        <v>22932.9</v>
      </c>
      <c r="C620" s="39" t="n">
        <v>20731.45</v>
      </c>
      <c r="D620" s="39" t="n">
        <v>1683.7</v>
      </c>
      <c r="E620" s="39" t="n">
        <v>600.8</v>
      </c>
      <c r="F620" s="39" t="n">
        <v>926.45</v>
      </c>
      <c r="G620" s="39" t="n">
        <v>541</v>
      </c>
      <c r="H620" s="39" t="n">
        <v>810.9</v>
      </c>
      <c r="I620" s="39" t="n">
        <v>333.75</v>
      </c>
      <c r="J620" s="39" t="n">
        <v>1279.65</v>
      </c>
      <c r="K620" s="39" t="n">
        <v>842.8</v>
      </c>
      <c r="L620" s="39" t="n">
        <v>1375.4</v>
      </c>
      <c r="M620" s="39" t="n">
        <v>893.1</v>
      </c>
      <c r="N620" s="39" t="n">
        <v>314.15</v>
      </c>
      <c r="O620" s="39" t="n">
        <v>278.4</v>
      </c>
      <c r="P620" s="39" t="n">
        <v>2264.2</v>
      </c>
      <c r="Q620" s="39" t="n">
        <v>285.6</v>
      </c>
      <c r="R620" s="39" t="n">
        <v>857.9</v>
      </c>
      <c r="S620" s="39" t="n">
        <v>557.8</v>
      </c>
    </row>
    <row r="621" customFormat="false" ht="15" hidden="false" customHeight="false" outlineLevel="0" collapsed="false">
      <c r="A621" s="8" t="n">
        <v>45708</v>
      </c>
      <c r="B621" s="39" t="n">
        <v>22913.15</v>
      </c>
      <c r="C621" s="39" t="n">
        <v>20831.1</v>
      </c>
      <c r="D621" s="39" t="n">
        <v>1690.2</v>
      </c>
      <c r="E621" s="39" t="n">
        <v>605.05</v>
      </c>
      <c r="F621" s="39" t="n">
        <v>941.95</v>
      </c>
      <c r="G621" s="39" t="n">
        <v>545.3</v>
      </c>
      <c r="H621" s="39" t="n">
        <v>826.65</v>
      </c>
      <c r="I621" s="39" t="n">
        <v>340.4</v>
      </c>
      <c r="J621" s="39" t="n">
        <v>1313</v>
      </c>
      <c r="K621" s="39" t="n">
        <v>838.8</v>
      </c>
      <c r="L621" s="39" t="n">
        <v>1395.25</v>
      </c>
      <c r="M621" s="39" t="n">
        <v>875.1</v>
      </c>
      <c r="N621" s="39" t="n">
        <v>318.4</v>
      </c>
      <c r="O621" s="39" t="n">
        <v>280.5</v>
      </c>
      <c r="P621" s="39" t="n">
        <v>2276.25</v>
      </c>
      <c r="Q621" s="39" t="n">
        <v>290.35</v>
      </c>
      <c r="R621" s="39" t="n">
        <v>849.8</v>
      </c>
      <c r="S621" s="39" t="n">
        <v>580.85</v>
      </c>
    </row>
    <row r="622" customFormat="false" ht="15" hidden="false" customHeight="false" outlineLevel="0" collapsed="false">
      <c r="A622" s="8" t="n">
        <v>45709</v>
      </c>
      <c r="B622" s="39" t="n">
        <v>22795.9</v>
      </c>
      <c r="C622" s="39" t="n">
        <v>20690.25</v>
      </c>
      <c r="D622" s="39" t="n">
        <v>1690.75</v>
      </c>
      <c r="E622" s="39" t="n">
        <v>598.55</v>
      </c>
      <c r="F622" s="39" t="n">
        <v>933.65</v>
      </c>
      <c r="G622" s="39" t="n">
        <v>544.05</v>
      </c>
      <c r="H622" s="39" t="n">
        <v>804.7</v>
      </c>
      <c r="I622" s="39" t="n">
        <v>341.3</v>
      </c>
      <c r="J622" s="39" t="n">
        <v>1334.15</v>
      </c>
      <c r="K622" s="39" t="n">
        <v>838.53</v>
      </c>
      <c r="L622" s="39" t="n">
        <v>1384.15</v>
      </c>
      <c r="M622" s="39" t="n">
        <v>866.35</v>
      </c>
      <c r="N622" s="39" t="n">
        <v>319.5</v>
      </c>
      <c r="O622" s="39" t="n">
        <v>270.45</v>
      </c>
      <c r="P622" s="39" t="n">
        <v>2212.1</v>
      </c>
      <c r="Q622" s="39" t="n">
        <v>290.6</v>
      </c>
      <c r="R622" s="39" t="n">
        <v>835.2</v>
      </c>
      <c r="S622" s="39" t="n">
        <v>585.1</v>
      </c>
    </row>
    <row r="623" customFormat="false" ht="15" hidden="false" customHeight="false" outlineLevel="0" collapsed="false">
      <c r="A623" s="8" t="n">
        <v>45712</v>
      </c>
      <c r="B623" s="39" t="n">
        <v>22553.35</v>
      </c>
      <c r="C623" s="39" t="n">
        <v>20468.45</v>
      </c>
      <c r="D623" s="39" t="n">
        <v>1683.1</v>
      </c>
      <c r="E623" s="39" t="n">
        <v>605.2</v>
      </c>
      <c r="F623" s="39" t="n">
        <v>908.3</v>
      </c>
      <c r="G623" s="39" t="n">
        <v>537.25</v>
      </c>
      <c r="H623" s="39" t="n">
        <v>789</v>
      </c>
      <c r="I623" s="39" t="n">
        <v>334.8</v>
      </c>
      <c r="J623" s="39" t="n">
        <v>1299.5</v>
      </c>
      <c r="K623" s="39" t="n">
        <v>834.36</v>
      </c>
      <c r="L623" s="39" t="n">
        <v>1377.25</v>
      </c>
      <c r="M623" s="39" t="n">
        <v>853.5</v>
      </c>
      <c r="N623" s="39" t="n">
        <v>310.95</v>
      </c>
      <c r="O623" s="39" t="n">
        <v>271.35</v>
      </c>
      <c r="P623" s="39" t="n">
        <v>2188.55</v>
      </c>
      <c r="Q623" s="39" t="n">
        <v>282.95</v>
      </c>
      <c r="R623" s="39" t="n">
        <v>839.25</v>
      </c>
      <c r="S623" s="39" t="n">
        <v>577.2</v>
      </c>
    </row>
    <row r="624" customFormat="false" ht="15" hidden="false" customHeight="false" outlineLevel="0" collapsed="false">
      <c r="A624" s="8" t="n">
        <v>45713</v>
      </c>
      <c r="B624" s="39" t="n">
        <v>22547.55</v>
      </c>
      <c r="C624" s="39" t="n">
        <v>20418.75</v>
      </c>
      <c r="D624" s="39" t="n">
        <v>1698.05</v>
      </c>
      <c r="E624" s="39" t="n">
        <v>577.85</v>
      </c>
      <c r="F624" s="39" t="n">
        <v>885</v>
      </c>
      <c r="G624" s="39" t="n">
        <v>521.45</v>
      </c>
      <c r="H624" s="39" t="n">
        <v>792.2</v>
      </c>
      <c r="I624" s="39" t="n">
        <v>336.2</v>
      </c>
      <c r="J624" s="39" t="n">
        <v>1301.55</v>
      </c>
      <c r="K624" s="39" t="n">
        <v>847.73</v>
      </c>
      <c r="L624" s="39" t="n">
        <v>1367.8</v>
      </c>
      <c r="M624" s="39" t="n">
        <v>866.45</v>
      </c>
      <c r="N624" s="39" t="n">
        <v>312.5</v>
      </c>
      <c r="O624" s="39" t="n">
        <v>271</v>
      </c>
      <c r="P624" s="39" t="n">
        <v>2183.25</v>
      </c>
      <c r="Q624" s="39" t="n">
        <v>276.2</v>
      </c>
      <c r="R624" s="39" t="n">
        <v>840.7</v>
      </c>
      <c r="S624" s="39" t="n">
        <v>574.25</v>
      </c>
    </row>
    <row r="625" customFormat="false" ht="15" hidden="false" customHeight="false" outlineLevel="0" collapsed="false">
      <c r="A625" s="8" t="n">
        <v>45715</v>
      </c>
      <c r="B625" s="39" t="n">
        <v>22545.05</v>
      </c>
      <c r="C625" s="39" t="n">
        <v>20315.55</v>
      </c>
      <c r="D625" s="39" t="n">
        <v>1690.35</v>
      </c>
      <c r="E625" s="39" t="n">
        <v>574.8</v>
      </c>
      <c r="F625" s="39" t="n">
        <v>924.9</v>
      </c>
      <c r="G625" s="39" t="n">
        <v>513.45</v>
      </c>
      <c r="H625" s="39" t="n">
        <v>784.7</v>
      </c>
      <c r="I625" s="39" t="n">
        <v>341.9</v>
      </c>
      <c r="J625" s="39" t="n">
        <v>1283</v>
      </c>
      <c r="K625" s="39" t="n">
        <v>869.36</v>
      </c>
      <c r="L625" s="39" t="n">
        <v>1438.65</v>
      </c>
      <c r="M625" s="39" t="n">
        <v>971.45</v>
      </c>
      <c r="N625" s="39" t="n">
        <v>316.9</v>
      </c>
      <c r="O625" s="39" t="n">
        <v>281.9</v>
      </c>
      <c r="P625" s="39" t="n">
        <v>2208.65</v>
      </c>
      <c r="Q625" s="39" t="n">
        <v>282.95</v>
      </c>
      <c r="R625" s="39" t="n">
        <v>856.75</v>
      </c>
      <c r="S625" s="39" t="n">
        <v>606.8</v>
      </c>
    </row>
    <row r="626" customFormat="false" ht="15" hidden="false" customHeight="false" outlineLevel="0" collapsed="false">
      <c r="A626" s="8" t="n">
        <v>45716</v>
      </c>
      <c r="B626" s="39" t="n">
        <v>22124.7</v>
      </c>
      <c r="C626" s="39" t="n">
        <v>19880.9</v>
      </c>
      <c r="D626" s="39" t="n">
        <v>1685.55</v>
      </c>
      <c r="E626" s="39" t="n">
        <v>577.65</v>
      </c>
      <c r="F626" s="39" t="n">
        <v>1018.65</v>
      </c>
      <c r="G626" s="39" t="n">
        <v>496.9</v>
      </c>
      <c r="H626" s="39" t="n">
        <v>763.35</v>
      </c>
      <c r="I626" s="39" t="n">
        <v>330.5</v>
      </c>
      <c r="J626" s="39" t="n">
        <v>1278.55</v>
      </c>
      <c r="K626" s="39" t="n">
        <v>851.87</v>
      </c>
      <c r="L626" s="39" t="n">
        <v>1400.75</v>
      </c>
      <c r="M626" s="39" t="n">
        <v>919.1</v>
      </c>
      <c r="N626" s="39" t="n">
        <v>301.9</v>
      </c>
      <c r="O626" s="39" t="n">
        <v>270.6</v>
      </c>
      <c r="P626" s="39" t="n">
        <v>2132.8</v>
      </c>
      <c r="Q626" s="39" t="n">
        <v>281.3</v>
      </c>
      <c r="R626" s="39" t="n">
        <v>838.8</v>
      </c>
      <c r="S626" s="39" t="n">
        <v>617.3</v>
      </c>
    </row>
    <row r="627" customFormat="false" ht="15" hidden="false" customHeight="false" outlineLevel="0" collapsed="false">
      <c r="A627" s="8" t="n">
        <v>45719</v>
      </c>
      <c r="B627" s="39" t="n">
        <v>22119.3</v>
      </c>
      <c r="C627" s="39" t="n">
        <v>19896.95</v>
      </c>
      <c r="D627" s="39" t="n">
        <v>1677.95</v>
      </c>
      <c r="E627" s="39" t="n">
        <v>578.7</v>
      </c>
      <c r="F627" s="39" t="n">
        <v>998.9</v>
      </c>
      <c r="G627" s="39" t="n">
        <v>500.85</v>
      </c>
      <c r="H627" s="39" t="n">
        <v>766.05</v>
      </c>
      <c r="I627" s="39" t="n">
        <v>320.85</v>
      </c>
      <c r="J627" s="39" t="n">
        <v>1276</v>
      </c>
      <c r="K627" s="39" t="n">
        <v>861.61</v>
      </c>
      <c r="L627" s="39" t="n">
        <v>1419.75</v>
      </c>
      <c r="M627" s="39" t="n">
        <v>897.15</v>
      </c>
      <c r="N627" s="39" t="n">
        <v>291.85</v>
      </c>
      <c r="O627" s="39" t="n">
        <v>270.4</v>
      </c>
      <c r="P627" s="39" t="n">
        <v>2146.3</v>
      </c>
      <c r="Q627" s="39" t="n">
        <v>273.8</v>
      </c>
      <c r="R627" s="39" t="n">
        <v>827.95</v>
      </c>
      <c r="S627" s="39" t="n">
        <v>621.3</v>
      </c>
    </row>
    <row r="628" customFormat="false" ht="15" hidden="false" customHeight="false" outlineLevel="0" collapsed="false">
      <c r="A628" s="8" t="n">
        <v>45720</v>
      </c>
      <c r="B628" s="39" t="n">
        <v>22082.65</v>
      </c>
      <c r="C628" s="39" t="n">
        <v>19917.85</v>
      </c>
      <c r="D628" s="39" t="n">
        <v>1677.75</v>
      </c>
      <c r="E628" s="39" t="n">
        <v>592.6</v>
      </c>
      <c r="F628" s="39" t="n">
        <v>998.65</v>
      </c>
      <c r="G628" s="39" t="n">
        <v>503.2</v>
      </c>
      <c r="H628" s="39" t="n">
        <v>785.5</v>
      </c>
      <c r="I628" s="39" t="n">
        <v>320.45</v>
      </c>
      <c r="J628" s="39" t="n">
        <v>1253.85</v>
      </c>
      <c r="K628" s="39" t="n">
        <v>857.43</v>
      </c>
      <c r="L628" s="39" t="n">
        <v>1449.6</v>
      </c>
      <c r="M628" s="39" t="n">
        <v>902.55</v>
      </c>
      <c r="N628" s="39" t="n">
        <v>283.6</v>
      </c>
      <c r="O628" s="39" t="n">
        <v>266.55</v>
      </c>
      <c r="P628" s="39" t="n">
        <v>2151.75</v>
      </c>
      <c r="Q628" s="39" t="n">
        <v>276.25</v>
      </c>
      <c r="R628" s="39" t="n">
        <v>834.65</v>
      </c>
      <c r="S628" s="39" t="n">
        <v>632.9</v>
      </c>
    </row>
    <row r="629" customFormat="false" ht="15" hidden="false" customHeight="false" outlineLevel="0" collapsed="false">
      <c r="A629" s="8" t="n">
        <v>45721</v>
      </c>
      <c r="B629" s="39" t="n">
        <v>22337.3</v>
      </c>
      <c r="C629" s="39" t="n">
        <v>20256.5</v>
      </c>
      <c r="D629" s="39" t="n">
        <v>1701.1</v>
      </c>
      <c r="E629" s="39" t="n">
        <v>603.05</v>
      </c>
      <c r="F629" s="39" t="n">
        <v>1009.75</v>
      </c>
      <c r="G629" s="39" t="n">
        <v>520.55</v>
      </c>
      <c r="H629" s="39" t="n">
        <v>805</v>
      </c>
      <c r="I629" s="39" t="n">
        <v>324.85</v>
      </c>
      <c r="J629" s="39" t="n">
        <v>1238.85</v>
      </c>
      <c r="K629" s="39" t="n">
        <v>828.74</v>
      </c>
      <c r="L629" s="39" t="n">
        <v>1446.9</v>
      </c>
      <c r="M629" s="39" t="n">
        <v>920.25</v>
      </c>
      <c r="N629" s="39" t="n">
        <v>313.7</v>
      </c>
      <c r="O629" s="39" t="n">
        <v>276</v>
      </c>
      <c r="P629" s="39" t="n">
        <v>2125.9</v>
      </c>
      <c r="Q629" s="39" t="n">
        <v>285.25</v>
      </c>
      <c r="R629" s="39" t="n">
        <v>844</v>
      </c>
      <c r="S629" s="39" t="n">
        <v>631.3</v>
      </c>
    </row>
    <row r="630" customFormat="false" ht="15" hidden="false" customHeight="false" outlineLevel="0" collapsed="false">
      <c r="A630" s="8" t="n">
        <v>45722</v>
      </c>
      <c r="B630" s="39" t="n">
        <v>22544.7</v>
      </c>
      <c r="C630" s="39" t="n">
        <v>20447.1</v>
      </c>
      <c r="D630" s="39" t="n">
        <v>1706</v>
      </c>
      <c r="E630" s="39" t="n">
        <v>606.2</v>
      </c>
      <c r="F630" s="39" t="n">
        <v>1000.7</v>
      </c>
      <c r="G630" s="39" t="n">
        <v>530.15</v>
      </c>
      <c r="H630" s="39" t="n">
        <v>818.15</v>
      </c>
      <c r="I630" s="39" t="n">
        <v>326.25</v>
      </c>
      <c r="J630" s="39" t="n">
        <v>1237.45</v>
      </c>
      <c r="K630" s="39" t="n">
        <v>839.94</v>
      </c>
      <c r="L630" s="39" t="n">
        <v>1458.6</v>
      </c>
      <c r="M630" s="39" t="n">
        <v>985</v>
      </c>
      <c r="N630" s="39" t="n">
        <v>325.85</v>
      </c>
      <c r="O630" s="39" t="n">
        <v>279.1</v>
      </c>
      <c r="P630" s="39" t="n">
        <v>2176.85</v>
      </c>
      <c r="Q630" s="39" t="n">
        <v>286.25</v>
      </c>
      <c r="R630" s="39" t="n">
        <v>839.05</v>
      </c>
      <c r="S630" s="39" t="n">
        <v>644.35</v>
      </c>
    </row>
    <row r="631" customFormat="false" ht="15" hidden="false" customHeight="false" outlineLevel="0" collapsed="false">
      <c r="A631" s="8" t="n">
        <v>45723</v>
      </c>
      <c r="B631" s="39" t="n">
        <v>22552.5</v>
      </c>
      <c r="C631" s="39" t="n">
        <v>20443.4</v>
      </c>
      <c r="D631" s="39" t="n">
        <v>1699.2</v>
      </c>
      <c r="E631" s="39" t="n">
        <v>629.6</v>
      </c>
      <c r="F631" s="39" t="n">
        <v>999.55</v>
      </c>
      <c r="G631" s="39" t="n">
        <v>532.4</v>
      </c>
      <c r="H631" s="39" t="n">
        <v>818.2</v>
      </c>
      <c r="I631" s="39" t="n">
        <v>325.7</v>
      </c>
      <c r="J631" s="39" t="n">
        <v>1274.45</v>
      </c>
      <c r="K631" s="39" t="n">
        <v>839.31</v>
      </c>
      <c r="L631" s="39" t="n">
        <v>1457.35</v>
      </c>
      <c r="M631" s="39" t="n">
        <v>964.75</v>
      </c>
      <c r="N631" s="39" t="n">
        <v>322.1</v>
      </c>
      <c r="O631" s="39" t="n">
        <v>274.65</v>
      </c>
      <c r="P631" s="39" t="n">
        <v>2179.45</v>
      </c>
      <c r="Q631" s="39" t="n">
        <v>288.45</v>
      </c>
      <c r="R631" s="39" t="n">
        <v>834.8</v>
      </c>
      <c r="S631" s="39" t="n">
        <v>630.85</v>
      </c>
    </row>
    <row r="632" customFormat="false" ht="15" hidden="false" customHeight="false" outlineLevel="0" collapsed="false">
      <c r="A632" s="8" t="n">
        <v>45726</v>
      </c>
      <c r="B632" s="39" t="n">
        <v>22460.3</v>
      </c>
      <c r="C632" s="39" t="n">
        <v>20266.5</v>
      </c>
      <c r="D632" s="39" t="n">
        <v>1752.35</v>
      </c>
      <c r="E632" s="39" t="n">
        <v>622.65</v>
      </c>
      <c r="F632" s="39" t="n">
        <v>1004.75</v>
      </c>
      <c r="G632" s="39" t="n">
        <v>528.45</v>
      </c>
      <c r="H632" s="39" t="n">
        <v>786.8</v>
      </c>
      <c r="I632" s="39" t="n">
        <v>324.7</v>
      </c>
      <c r="J632" s="39" t="n">
        <v>1244.9</v>
      </c>
      <c r="K632" s="39" t="n">
        <v>833.13</v>
      </c>
      <c r="L632" s="39" t="n">
        <v>1419.55</v>
      </c>
      <c r="M632" s="39" t="n">
        <v>936.75</v>
      </c>
      <c r="N632" s="39" t="n">
        <v>313.7</v>
      </c>
      <c r="O632" s="39" t="n">
        <v>272.15</v>
      </c>
      <c r="P632" s="39" t="n">
        <v>2184.6</v>
      </c>
      <c r="Q632" s="39" t="n">
        <v>289.05</v>
      </c>
      <c r="R632" s="39" t="n">
        <v>843.25</v>
      </c>
      <c r="S632" s="39" t="n">
        <v>625.6</v>
      </c>
    </row>
    <row r="633" customFormat="false" ht="15" hidden="false" customHeight="false" outlineLevel="0" collapsed="false">
      <c r="A633" s="8" t="n">
        <v>45727</v>
      </c>
      <c r="B633" s="39" t="n">
        <v>22497.9</v>
      </c>
      <c r="C633" s="39" t="n">
        <v>20302.5</v>
      </c>
      <c r="D633" s="39" t="n">
        <v>1770.8</v>
      </c>
      <c r="E633" s="39" t="n">
        <v>612.8</v>
      </c>
      <c r="F633" s="39" t="n">
        <v>985.05</v>
      </c>
      <c r="G633" s="39" t="n">
        <v>533.6</v>
      </c>
      <c r="H633" s="39" t="n">
        <v>791.7</v>
      </c>
      <c r="I633" s="39" t="n">
        <v>317.4</v>
      </c>
      <c r="J633" s="39" t="n">
        <v>1209.7</v>
      </c>
      <c r="K633" s="39" t="n">
        <v>832.91</v>
      </c>
      <c r="L633" s="39" t="n">
        <v>1448.75</v>
      </c>
      <c r="M633" s="39" t="n">
        <v>929.75</v>
      </c>
      <c r="N633" s="39" t="n">
        <v>311.95</v>
      </c>
      <c r="O633" s="39" t="n">
        <v>268.6</v>
      </c>
      <c r="P633" s="39" t="n">
        <v>2184.6</v>
      </c>
      <c r="Q633" s="39" t="n">
        <v>283.85</v>
      </c>
      <c r="R633" s="39" t="n">
        <v>838.6</v>
      </c>
      <c r="S633" s="39" t="n">
        <v>638.25</v>
      </c>
    </row>
    <row r="634" customFormat="false" ht="15" hidden="false" customHeight="false" outlineLevel="0" collapsed="false">
      <c r="A634" s="8" t="n">
        <v>45728</v>
      </c>
      <c r="B634" s="39" t="n">
        <v>22470.5</v>
      </c>
      <c r="C634" s="39" t="n">
        <v>20264.35</v>
      </c>
      <c r="D634" s="39" t="n">
        <v>1816.25</v>
      </c>
      <c r="E634" s="39" t="n">
        <v>602.4</v>
      </c>
      <c r="F634" s="39" t="n">
        <v>999.2</v>
      </c>
      <c r="G634" s="39" t="n">
        <v>523.7</v>
      </c>
      <c r="H634" s="39" t="n">
        <v>801</v>
      </c>
      <c r="I634" s="39" t="n">
        <v>313</v>
      </c>
      <c r="J634" s="39" t="n">
        <v>1159.7</v>
      </c>
      <c r="K634" s="39" t="n">
        <v>847.29</v>
      </c>
      <c r="L634" s="39" t="n">
        <v>1451.5</v>
      </c>
      <c r="M634" s="39" t="n">
        <v>925.4</v>
      </c>
      <c r="N634" s="39" t="n">
        <v>313.1</v>
      </c>
      <c r="O634" s="39" t="n">
        <v>270.25</v>
      </c>
      <c r="P634" s="39" t="n">
        <v>2209</v>
      </c>
      <c r="Q634" s="39" t="n">
        <v>282.85</v>
      </c>
      <c r="R634" s="39" t="n">
        <v>835.35</v>
      </c>
      <c r="S634" s="39" t="n">
        <v>636.95</v>
      </c>
    </row>
    <row r="635" customFormat="false" ht="15" hidden="false" customHeight="false" outlineLevel="0" collapsed="false">
      <c r="A635" s="8" t="n">
        <v>45729</v>
      </c>
      <c r="B635" s="39" t="n">
        <v>22397.2</v>
      </c>
      <c r="C635" s="39" t="n">
        <v>20176.05</v>
      </c>
      <c r="D635" s="39" t="n">
        <v>1872.45</v>
      </c>
      <c r="E635" s="39" t="n">
        <v>601.75</v>
      </c>
      <c r="F635" s="39" t="n">
        <v>992.95</v>
      </c>
      <c r="G635" s="39" t="n">
        <v>515.6</v>
      </c>
      <c r="H635" s="39" t="n">
        <v>803.45</v>
      </c>
      <c r="I635" s="39" t="n">
        <v>311.25</v>
      </c>
      <c r="J635" s="39" t="n">
        <v>1157.75</v>
      </c>
      <c r="K635" s="39" t="n">
        <v>840.9</v>
      </c>
      <c r="L635" s="39" t="n">
        <v>1444.7</v>
      </c>
      <c r="M635" s="39" t="n">
        <v>923.25</v>
      </c>
      <c r="N635" s="39" t="n">
        <v>313.25</v>
      </c>
      <c r="O635" s="39" t="n">
        <v>271.35</v>
      </c>
      <c r="P635" s="39" t="n">
        <v>2196.35</v>
      </c>
      <c r="Q635" s="39" t="n">
        <v>281.35</v>
      </c>
      <c r="R635" s="39" t="n">
        <v>829.85</v>
      </c>
      <c r="S635" s="39" t="n">
        <v>619.55</v>
      </c>
    </row>
    <row r="636" customFormat="false" ht="15" hidden="false" customHeight="false" outlineLevel="0" collapsed="false">
      <c r="A636" s="8" t="n">
        <v>45733</v>
      </c>
      <c r="B636" s="39" t="n">
        <v>22508.75</v>
      </c>
      <c r="C636" s="39" t="n">
        <v>20288.3</v>
      </c>
      <c r="D636" s="39" t="n">
        <v>1909.9</v>
      </c>
      <c r="E636" s="39" t="n">
        <v>625.5</v>
      </c>
      <c r="F636" s="39" t="n">
        <v>1002.3</v>
      </c>
      <c r="G636" s="39" t="n">
        <v>520.7</v>
      </c>
      <c r="H636" s="39" t="n">
        <v>801.1</v>
      </c>
      <c r="I636" s="39" t="n">
        <v>316.5</v>
      </c>
      <c r="J636" s="39" t="n">
        <v>1120.8</v>
      </c>
      <c r="K636" s="39" t="n">
        <v>856.87</v>
      </c>
      <c r="L636" s="39" t="n">
        <v>1455.6</v>
      </c>
      <c r="M636" s="39" t="n">
        <v>919.55</v>
      </c>
      <c r="N636" s="39" t="n">
        <v>307.45</v>
      </c>
      <c r="O636" s="39" t="n">
        <v>275.25</v>
      </c>
      <c r="P636" s="39" t="n">
        <v>2290.2</v>
      </c>
      <c r="Q636" s="39" t="n">
        <v>289.65</v>
      </c>
      <c r="R636" s="39" t="n">
        <v>843</v>
      </c>
      <c r="S636" s="39" t="n">
        <v>623.25</v>
      </c>
    </row>
    <row r="637" customFormat="false" ht="15" hidden="false" customHeight="false" outlineLevel="0" collapsed="false">
      <c r="A637" s="8" t="n">
        <v>45734</v>
      </c>
      <c r="B637" s="39" t="n">
        <v>22834.3</v>
      </c>
      <c r="C637" s="39" t="n">
        <v>20657.2</v>
      </c>
      <c r="D637" s="39" t="n">
        <v>1865.1</v>
      </c>
      <c r="E637" s="39" t="n">
        <v>643.55</v>
      </c>
      <c r="F637" s="39" t="n">
        <v>992.9</v>
      </c>
      <c r="G637" s="39" t="n">
        <v>539.8</v>
      </c>
      <c r="H637" s="39" t="n">
        <v>817.5</v>
      </c>
      <c r="I637" s="39" t="n">
        <v>318.25</v>
      </c>
      <c r="J637" s="39" t="n">
        <v>1152.35</v>
      </c>
      <c r="K637" s="39" t="n">
        <v>867.07</v>
      </c>
      <c r="L637" s="39" t="n">
        <v>1515.25</v>
      </c>
      <c r="M637" s="39" t="n">
        <v>934.7</v>
      </c>
      <c r="N637" s="39" t="n">
        <v>325.85</v>
      </c>
      <c r="O637" s="39" t="n">
        <v>282.05</v>
      </c>
      <c r="P637" s="39" t="n">
        <v>2317.9</v>
      </c>
      <c r="Q637" s="39" t="n">
        <v>306.25</v>
      </c>
      <c r="R637" s="39" t="n">
        <v>839.3</v>
      </c>
      <c r="S637" s="39" t="n">
        <v>642.3</v>
      </c>
    </row>
    <row r="638" customFormat="false" ht="15" hidden="false" customHeight="false" outlineLevel="0" collapsed="false">
      <c r="A638" s="8" t="n">
        <v>45735</v>
      </c>
      <c r="B638" s="39" t="n">
        <v>22907.6</v>
      </c>
      <c r="C638" s="39" t="n">
        <v>20864.5</v>
      </c>
      <c r="D638" s="39" t="n">
        <v>1918.05</v>
      </c>
      <c r="E638" s="39" t="n">
        <v>660.05</v>
      </c>
      <c r="F638" s="39" t="n">
        <v>991</v>
      </c>
      <c r="G638" s="39" t="n">
        <v>549.8</v>
      </c>
      <c r="H638" s="39" t="n">
        <v>833.85</v>
      </c>
      <c r="I638" s="39" t="n">
        <v>331.8</v>
      </c>
      <c r="J638" s="39" t="n">
        <v>1182.55</v>
      </c>
      <c r="K638" s="39" t="n">
        <v>871.97</v>
      </c>
      <c r="L638" s="39" t="n">
        <v>1513.25</v>
      </c>
      <c r="M638" s="39" t="n">
        <v>943.8</v>
      </c>
      <c r="N638" s="39" t="n">
        <v>330.55</v>
      </c>
      <c r="O638" s="39" t="n">
        <v>287.15</v>
      </c>
      <c r="P638" s="39" t="n">
        <v>2416.45</v>
      </c>
      <c r="Q638" s="39" t="n">
        <v>323.6</v>
      </c>
      <c r="R638" s="39" t="n">
        <v>846.5</v>
      </c>
      <c r="S638" s="39" t="n">
        <v>667.95</v>
      </c>
    </row>
    <row r="639" customFormat="false" ht="15" hidden="false" customHeight="false" outlineLevel="0" collapsed="false">
      <c r="A639" s="8" t="n">
        <v>45736</v>
      </c>
      <c r="B639" s="39" t="n">
        <v>23190.65</v>
      </c>
      <c r="C639" s="39" t="n">
        <v>21070.05</v>
      </c>
      <c r="D639" s="39" t="n">
        <v>1980</v>
      </c>
      <c r="E639" s="39" t="n">
        <v>676.5</v>
      </c>
      <c r="F639" s="39" t="n">
        <v>1010.6</v>
      </c>
      <c r="G639" s="39" t="n">
        <v>555.8</v>
      </c>
      <c r="H639" s="39" t="n">
        <v>826.05</v>
      </c>
      <c r="I639" s="39" t="n">
        <v>335.4</v>
      </c>
      <c r="J639" s="39" t="n">
        <v>1251.3</v>
      </c>
      <c r="K639" s="39" t="n">
        <v>866.79</v>
      </c>
      <c r="L639" s="39" t="n">
        <v>1493.2</v>
      </c>
      <c r="M639" s="39" t="n">
        <v>971.55</v>
      </c>
      <c r="N639" s="39" t="n">
        <v>326.75</v>
      </c>
      <c r="O639" s="39" t="n">
        <v>287.65</v>
      </c>
      <c r="P639" s="39" t="n">
        <v>2374.75</v>
      </c>
      <c r="Q639" s="39" t="n">
        <v>318.2</v>
      </c>
      <c r="R639" s="39" t="n">
        <v>856.85</v>
      </c>
      <c r="S639" s="39" t="n">
        <v>667.9</v>
      </c>
    </row>
    <row r="640" customFormat="false" ht="15" hidden="false" customHeight="false" outlineLevel="0" collapsed="false">
      <c r="A640" s="8" t="n">
        <v>45737</v>
      </c>
      <c r="B640" s="39" t="n">
        <v>23350.4</v>
      </c>
      <c r="C640" s="39" t="n">
        <v>21273.9</v>
      </c>
      <c r="D640" s="39" t="n">
        <v>1981.05</v>
      </c>
      <c r="E640" s="39" t="n">
        <v>675.65</v>
      </c>
      <c r="F640" s="39" t="n">
        <v>1103.15</v>
      </c>
      <c r="G640" s="39" t="n">
        <v>571.7</v>
      </c>
      <c r="H640" s="39" t="n">
        <v>860.8</v>
      </c>
      <c r="I640" s="39" t="n">
        <v>345.55</v>
      </c>
      <c r="J640" s="39" t="n">
        <v>1433</v>
      </c>
      <c r="K640" s="39" t="n">
        <v>890.4</v>
      </c>
      <c r="L640" s="39" t="n">
        <v>1538.5</v>
      </c>
      <c r="M640" s="39" t="n">
        <v>1009.5</v>
      </c>
      <c r="N640" s="39" t="n">
        <v>340</v>
      </c>
      <c r="O640" s="39" t="n">
        <v>291.35</v>
      </c>
      <c r="P640" s="39" t="n">
        <v>2356.6</v>
      </c>
      <c r="Q640" s="39" t="n">
        <v>334.8</v>
      </c>
      <c r="R640" s="39" t="n">
        <v>857.5</v>
      </c>
      <c r="S640" s="39" t="n">
        <v>676.8</v>
      </c>
    </row>
    <row r="641" customFormat="false" ht="15" hidden="false" customHeight="false" outlineLevel="0" collapsed="false">
      <c r="A641" s="8" t="n">
        <v>45740</v>
      </c>
      <c r="B641" s="39" t="n">
        <v>23658.35</v>
      </c>
      <c r="C641" s="39" t="n">
        <v>21538.1</v>
      </c>
      <c r="D641" s="39" t="n">
        <v>2005.3</v>
      </c>
      <c r="E641" s="39" t="n">
        <v>685.3</v>
      </c>
      <c r="F641" s="39" t="n">
        <v>1086.5</v>
      </c>
      <c r="G641" s="39" t="n">
        <v>578.3</v>
      </c>
      <c r="H641" s="39" t="n">
        <v>872.95</v>
      </c>
      <c r="I641" s="39" t="n">
        <v>354.3</v>
      </c>
      <c r="J641" s="39" t="n">
        <v>1400.15</v>
      </c>
      <c r="K641" s="39" t="n">
        <v>907.77</v>
      </c>
      <c r="L641" s="39" t="n">
        <v>1529.3</v>
      </c>
      <c r="M641" s="39" t="n">
        <v>995.85</v>
      </c>
      <c r="N641" s="39" t="n">
        <v>337</v>
      </c>
      <c r="O641" s="39" t="n">
        <v>293.1</v>
      </c>
      <c r="P641" s="39" t="n">
        <v>2352.55</v>
      </c>
      <c r="Q641" s="39" t="n">
        <v>347.3</v>
      </c>
      <c r="R641" s="39" t="n">
        <v>854.5</v>
      </c>
      <c r="S641" s="39" t="n">
        <v>682</v>
      </c>
    </row>
    <row r="642" customFormat="false" ht="15" hidden="false" customHeight="false" outlineLevel="0" collapsed="false">
      <c r="A642" s="8" t="n">
        <v>45741</v>
      </c>
      <c r="B642" s="39" t="n">
        <v>23668.65</v>
      </c>
      <c r="C642" s="39" t="n">
        <v>21437.75</v>
      </c>
      <c r="D642" s="39" t="n">
        <v>1957.05</v>
      </c>
      <c r="E642" s="39" t="n">
        <v>680.1</v>
      </c>
      <c r="F642" s="39" t="n">
        <v>1027.8</v>
      </c>
      <c r="G642" s="39" t="n">
        <v>570.6</v>
      </c>
      <c r="H642" s="39" t="n">
        <v>870.65</v>
      </c>
      <c r="I642" s="39" t="n">
        <v>340.15</v>
      </c>
      <c r="J642" s="39" t="n">
        <v>1363.8</v>
      </c>
      <c r="K642" s="39" t="n">
        <v>905.49</v>
      </c>
      <c r="L642" s="39" t="n">
        <v>1529.05</v>
      </c>
      <c r="M642" s="39" t="n">
        <v>966.95</v>
      </c>
      <c r="N642" s="39" t="n">
        <v>328.25</v>
      </c>
      <c r="O642" s="39" t="n">
        <v>289.2</v>
      </c>
      <c r="P642" s="39" t="n">
        <v>2345.45</v>
      </c>
      <c r="Q642" s="39" t="n">
        <v>346.55</v>
      </c>
      <c r="R642" s="39" t="n">
        <v>859.2</v>
      </c>
      <c r="S642" s="39" t="n">
        <v>678.35</v>
      </c>
    </row>
    <row r="643" customFormat="false" ht="15" hidden="false" customHeight="false" outlineLevel="0" collapsed="false">
      <c r="A643" s="8" t="n">
        <v>45742</v>
      </c>
      <c r="B643" s="39" t="n">
        <v>23486.85</v>
      </c>
      <c r="C643" s="39" t="n">
        <v>21275.45</v>
      </c>
      <c r="D643" s="39" t="n">
        <v>2013.6</v>
      </c>
      <c r="E643" s="39" t="n">
        <v>670.65</v>
      </c>
      <c r="F643" s="39" t="n">
        <v>1016.7</v>
      </c>
      <c r="G643" s="39" t="n">
        <v>561.15</v>
      </c>
      <c r="H643" s="39" t="n">
        <v>851.95</v>
      </c>
      <c r="I643" s="39" t="n">
        <v>335.1</v>
      </c>
      <c r="J643" s="39" t="n">
        <v>1326.85</v>
      </c>
      <c r="K643" s="39" t="n">
        <v>885.4</v>
      </c>
      <c r="L643" s="39" t="n">
        <v>1522.25</v>
      </c>
      <c r="M643" s="39" t="n">
        <v>921.55</v>
      </c>
      <c r="N643" s="39" t="n">
        <v>328.4</v>
      </c>
      <c r="O643" s="39" t="n">
        <v>287.2</v>
      </c>
      <c r="P643" s="39" t="n">
        <v>2313.55</v>
      </c>
      <c r="Q643" s="39" t="n">
        <v>342.25</v>
      </c>
      <c r="R643" s="39" t="n">
        <v>868.6</v>
      </c>
      <c r="S643" s="39" t="n">
        <v>672</v>
      </c>
    </row>
    <row r="644" customFormat="false" ht="15" hidden="false" customHeight="false" outlineLevel="0" collapsed="false">
      <c r="A644" s="8" t="n">
        <v>45743</v>
      </c>
      <c r="B644" s="39" t="n">
        <v>23591.95</v>
      </c>
      <c r="C644" s="39" t="n">
        <v>21407.95</v>
      </c>
      <c r="D644" s="39" t="n">
        <v>2087.2</v>
      </c>
      <c r="E644" s="39" t="n">
        <v>666.9</v>
      </c>
      <c r="F644" s="39" t="n">
        <v>1049.45</v>
      </c>
      <c r="G644" s="39" t="n">
        <v>569.5</v>
      </c>
      <c r="H644" s="39" t="n">
        <v>871</v>
      </c>
      <c r="I644" s="39" t="n">
        <v>335.55</v>
      </c>
      <c r="J644" s="39" t="n">
        <v>1272.05</v>
      </c>
      <c r="K644" s="39" t="n">
        <v>899.16</v>
      </c>
      <c r="L644" s="39" t="n">
        <v>1531.7</v>
      </c>
      <c r="M644" s="39" t="n">
        <v>985.65</v>
      </c>
      <c r="N644" s="39" t="n">
        <v>336.9</v>
      </c>
      <c r="O644" s="39" t="n">
        <v>290.1</v>
      </c>
      <c r="P644" s="39" t="n">
        <v>2337.9</v>
      </c>
      <c r="Q644" s="39" t="n">
        <v>338.6</v>
      </c>
      <c r="R644" s="39" t="n">
        <v>870.5</v>
      </c>
      <c r="S644" s="39" t="n">
        <v>678.5</v>
      </c>
    </row>
    <row r="645" customFormat="false" ht="15" hidden="false" customHeight="false" outlineLevel="0" collapsed="false">
      <c r="A645" s="8" t="n">
        <v>45744</v>
      </c>
      <c r="B645" s="39" t="n">
        <v>23519.35</v>
      </c>
      <c r="C645" s="39" t="n">
        <v>21339.55</v>
      </c>
      <c r="D645" s="39" t="n">
        <v>2084.05</v>
      </c>
      <c r="E645" s="39" t="n">
        <v>669.45</v>
      </c>
      <c r="F645" s="39" t="n">
        <v>1014.15</v>
      </c>
      <c r="G645" s="39" t="n">
        <v>563.85</v>
      </c>
      <c r="H645" s="39" t="n">
        <v>881.5</v>
      </c>
      <c r="I645" s="39" t="n">
        <v>335.1</v>
      </c>
      <c r="J645" s="39" t="n">
        <v>1289.4</v>
      </c>
      <c r="K645" s="39" t="n">
        <v>893.34</v>
      </c>
      <c r="L645" s="39" t="n">
        <v>1519.95</v>
      </c>
      <c r="M645" s="39" t="n">
        <v>951.95</v>
      </c>
      <c r="N645" s="39" t="n">
        <v>327.65</v>
      </c>
      <c r="O645" s="39" t="n">
        <v>283</v>
      </c>
      <c r="P645" s="39" t="n">
        <v>2382.9</v>
      </c>
      <c r="Q645" s="39" t="n">
        <v>350.45</v>
      </c>
      <c r="R645" s="39" t="n">
        <v>881.1</v>
      </c>
      <c r="S645" s="39" t="n">
        <v>656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6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7" min="2" style="0" width="10"/>
  </cols>
  <sheetData>
    <row r="1" customFormat="false" ht="15" hidden="false" customHeight="false" outlineLevel="0" collapsed="false">
      <c r="A1" s="1" t="s">
        <v>405</v>
      </c>
    </row>
    <row r="2" customFormat="false" ht="15" hidden="false" customHeight="false" outlineLevel="0" collapsed="false">
      <c r="A2" s="2" t="s">
        <v>406</v>
      </c>
    </row>
    <row r="4" customFormat="false" ht="54" hidden="false" customHeight="true" outlineLevel="0" collapsed="false">
      <c r="A4" s="3" t="s">
        <v>66</v>
      </c>
      <c r="B4" s="3" t="s">
        <v>407</v>
      </c>
      <c r="C4" s="3" t="s">
        <v>408</v>
      </c>
      <c r="D4" s="3" t="s">
        <v>248</v>
      </c>
      <c r="E4" s="3" t="s">
        <v>251</v>
      </c>
      <c r="F4" s="3" t="s">
        <v>253</v>
      </c>
      <c r="G4" s="3" t="s">
        <v>255</v>
      </c>
      <c r="H4" s="3" t="s">
        <v>257</v>
      </c>
      <c r="I4" s="3" t="s">
        <v>259</v>
      </c>
      <c r="J4" s="3" t="s">
        <v>227</v>
      </c>
      <c r="K4" s="3" t="s">
        <v>230</v>
      </c>
      <c r="L4" s="3" t="s">
        <v>232</v>
      </c>
      <c r="M4" s="3" t="s">
        <v>234</v>
      </c>
      <c r="N4" s="3" t="s">
        <v>236</v>
      </c>
      <c r="O4" s="3" t="s">
        <v>238</v>
      </c>
      <c r="P4" s="3" t="s">
        <v>240</v>
      </c>
      <c r="Q4" s="3" t="s">
        <v>242</v>
      </c>
      <c r="R4" s="3" t="s">
        <v>244</v>
      </c>
      <c r="S4" s="3" t="s">
        <v>246</v>
      </c>
      <c r="T4" s="3" t="s">
        <v>286</v>
      </c>
      <c r="U4" s="3" t="s">
        <v>288</v>
      </c>
      <c r="V4" s="3" t="s">
        <v>289</v>
      </c>
      <c r="W4" s="3" t="s">
        <v>290</v>
      </c>
      <c r="X4" s="3" t="s">
        <v>291</v>
      </c>
      <c r="Y4" s="3" t="s">
        <v>292</v>
      </c>
      <c r="Z4" s="3" t="s">
        <v>293</v>
      </c>
      <c r="AA4" s="3" t="s">
        <v>295</v>
      </c>
    </row>
    <row r="5" customFormat="false" ht="15" hidden="false" customHeight="false" outlineLevel="0" collapsed="false">
      <c r="A5" s="28" t="n">
        <f aca="false">Data_Prices!A5</f>
        <v>44805</v>
      </c>
    </row>
    <row r="6" customFormat="false" ht="15" hidden="false" customHeight="false" outlineLevel="0" collapsed="false">
      <c r="A6" s="28" t="n">
        <f aca="false">Data_Prices!A6</f>
        <v>44806</v>
      </c>
      <c r="B6" s="32" t="n">
        <f aca="false">Data_Prices!B6/Data_Prices!B5-1</f>
        <v>-0.000190961534076606</v>
      </c>
      <c r="C6" s="32" t="n">
        <f aca="false">Data_Prices!C6/Data_Prices!C5-1</f>
        <v>-0.000631113916061854</v>
      </c>
      <c r="D6" s="32" t="n">
        <f aca="false">Data_Prices!D6/Data_Prices!D5-1</f>
        <v>-0.0130900264401196</v>
      </c>
      <c r="E6" s="32" t="n">
        <f aca="false">Data_Prices!E6/Data_Prices!E5-1</f>
        <v>-0.0117336234361646</v>
      </c>
      <c r="F6" s="32" t="n">
        <f aca="false">Data_Prices!F6/Data_Prices!F5-1</f>
        <v>-0.00710394188655061</v>
      </c>
      <c r="G6" s="32" t="n">
        <f aca="false">Data_Prices!G6/Data_Prices!G5-1</f>
        <v>0.00239779402949281</v>
      </c>
      <c r="H6" s="32" t="n">
        <f aca="false">Data_Prices!H6/Data_Prices!H5-1</f>
        <v>0.054711857588253</v>
      </c>
      <c r="I6" s="32" t="n">
        <f aca="false">Data_Prices!I6/Data_Prices!I5-1</f>
        <v>-0.00553732567678433</v>
      </c>
      <c r="J6" s="32" t="n">
        <f aca="false">Data_Prices!J6/Data_Prices!J5-1</f>
        <v>0.0159471994291829</v>
      </c>
      <c r="K6" s="32" t="n">
        <f aca="false">Data_Prices!K6/Data_Prices!K5-1</f>
        <v>0.00126891166422638</v>
      </c>
      <c r="L6" s="32" t="n">
        <f aca="false">Data_Prices!L6/Data_Prices!L5-1</f>
        <v>0.00152033447358435</v>
      </c>
      <c r="M6" s="32" t="n">
        <f aca="false">Data_Prices!M6/Data_Prices!M5-1</f>
        <v>0.0131284347649094</v>
      </c>
      <c r="N6" s="32" t="n">
        <f aca="false">Data_Prices!N6/Data_Prices!N5-1</f>
        <v>-0.00188402763240525</v>
      </c>
      <c r="O6" s="32" t="n">
        <f aca="false">Data_Prices!O6/Data_Prices!O5-1</f>
        <v>0.0108774474256708</v>
      </c>
      <c r="P6" s="32" t="n">
        <f aca="false">Data_Prices!P6/Data_Prices!P5-1</f>
        <v>-0.0141182100981095</v>
      </c>
      <c r="Q6" s="32" t="n">
        <f aca="false">Data_Prices!Q6/Data_Prices!Q5-1</f>
        <v>-0.00147155003270105</v>
      </c>
      <c r="R6" s="32" t="n">
        <f aca="false">Data_Prices!R6/Data_Prices!R5-1</f>
        <v>0.00479500026938218</v>
      </c>
      <c r="S6" s="32" t="n">
        <f aca="false">Data_Prices!S6/Data_Prices!S5-1</f>
        <v>-0.015535076170773</v>
      </c>
      <c r="T6" s="32" t="n">
        <f aca="false">AVERAGE(D6:S6)</f>
        <v>0.00213582489194337</v>
      </c>
      <c r="U6" s="32" t="n">
        <f aca="false">AVERAGE(J6:S6)</f>
        <v>0.00145284640929672</v>
      </c>
      <c r="V6" s="32" t="n">
        <f aca="false">AVERAGE(D6:I6)</f>
        <v>0.00327412236302112</v>
      </c>
      <c r="W6" s="32" t="n">
        <f aca="false">AVERAGE(K6,Q6,R6)</f>
        <v>0.0015307873003025</v>
      </c>
      <c r="X6" s="32" t="n">
        <f aca="false">AVERAGE(K6,L6,N6,O6,P6,Q6,R6,S6)</f>
        <v>-0.00181839626264065</v>
      </c>
      <c r="Y6" s="32" t="n">
        <f aca="false">AVERAGE(J6,L6,M6,N6,O6,P6,Q6,R6,S6)</f>
        <v>0.00147328360319342</v>
      </c>
      <c r="Z6" s="32" t="n">
        <f aca="false">U6-V6</f>
        <v>-0.00182127595372441</v>
      </c>
      <c r="AA6" s="32" t="n">
        <f aca="false">W6-V6</f>
        <v>-0.00174333506271862</v>
      </c>
    </row>
    <row r="7" customFormat="false" ht="15" hidden="false" customHeight="false" outlineLevel="0" collapsed="false">
      <c r="A7" s="28" t="n">
        <f aca="false">Data_Prices!A7</f>
        <v>44809</v>
      </c>
      <c r="B7" s="32" t="n">
        <f aca="false">Data_Prices!B7/Data_Prices!B6-1</f>
        <v>0.00720376066524309</v>
      </c>
      <c r="C7" s="32" t="n">
        <f aca="false">Data_Prices!C7/Data_Prices!C6-1</f>
        <v>0.00610462056625605</v>
      </c>
      <c r="D7" s="32" t="n">
        <f aca="false">Data_Prices!D7/Data_Prices!D6-1</f>
        <v>0.00485308972726073</v>
      </c>
      <c r="E7" s="32" t="n">
        <f aca="false">Data_Prices!E7/Data_Prices!E6-1</f>
        <v>0.00424595062116695</v>
      </c>
      <c r="F7" s="32" t="n">
        <f aca="false">Data_Prices!F7/Data_Prices!F6-1</f>
        <v>-0.0172682769379742</v>
      </c>
      <c r="G7" s="32" t="n">
        <f aca="false">Data_Prices!G7/Data_Prices!G6-1</f>
        <v>0.017940437746681</v>
      </c>
      <c r="H7" s="32" t="n">
        <f aca="false">Data_Prices!H7/Data_Prices!H6-1</f>
        <v>-0.0109341724674994</v>
      </c>
      <c r="I7" s="32" t="n">
        <f aca="false">Data_Prices!I7/Data_Prices!I6-1</f>
        <v>-0.0220664054444215</v>
      </c>
      <c r="J7" s="32" t="n">
        <f aca="false">Data_Prices!J7/Data_Prices!J6-1</f>
        <v>-0.00312532921304898</v>
      </c>
      <c r="K7" s="32" t="n">
        <f aca="false">Data_Prices!K7/Data_Prices!K6-1</f>
        <v>0.000807731944405754</v>
      </c>
      <c r="L7" s="32" t="n">
        <f aca="false">Data_Prices!L7/Data_Prices!L6-1</f>
        <v>0.0117014547754586</v>
      </c>
      <c r="M7" s="32" t="n">
        <f aca="false">Data_Prices!M7/Data_Prices!M6-1</f>
        <v>0.0217478653942742</v>
      </c>
      <c r="N7" s="32" t="n">
        <f aca="false">Data_Prices!N7/Data_Prices!N6-1</f>
        <v>-0.0147111697027803</v>
      </c>
      <c r="O7" s="32" t="n">
        <f aca="false">Data_Prices!O7/Data_Prices!O6-1</f>
        <v>0.027737924438068</v>
      </c>
      <c r="P7" s="32" t="n">
        <f aca="false">Data_Prices!P7/Data_Prices!P6-1</f>
        <v>0.000582524271844465</v>
      </c>
      <c r="Q7" s="32" t="n">
        <f aca="false">Data_Prices!Q7/Data_Prices!Q6-1</f>
        <v>-0.00573112821352551</v>
      </c>
      <c r="R7" s="32" t="n">
        <f aca="false">Data_Prices!R7/Data_Prices!R6-1</f>
        <v>0.00412868632707775</v>
      </c>
      <c r="S7" s="32" t="n">
        <f aca="false">Data_Prices!S7/Data_Prices!S6-1</f>
        <v>0.00932294054714955</v>
      </c>
      <c r="T7" s="32" t="n">
        <f aca="false">AVERAGE(D7:S7)</f>
        <v>0.00182700773838357</v>
      </c>
      <c r="U7" s="32" t="n">
        <f aca="false">AVERAGE(J7:S7)</f>
        <v>0.00524615005689235</v>
      </c>
      <c r="V7" s="32" t="n">
        <f aca="false">AVERAGE(D7:I7)</f>
        <v>-0.0038715627924644</v>
      </c>
      <c r="W7" s="32" t="n">
        <f aca="false">AVERAGE(K7,Q7,R7)</f>
        <v>-0.000264903314014002</v>
      </c>
      <c r="X7" s="32" t="n">
        <f aca="false">AVERAGE(K7,L7,N7,O7,P7,Q7,R7,S7)</f>
        <v>0.00422987054846229</v>
      </c>
      <c r="Y7" s="32" t="n">
        <f aca="false">AVERAGE(J7,L7,M7,N7,O7,P7,Q7,R7,S7)</f>
        <v>0.00573930762494642</v>
      </c>
      <c r="Z7" s="32" t="n">
        <f aca="false">U7-V7</f>
        <v>0.00911771284935676</v>
      </c>
      <c r="AA7" s="32" t="n">
        <f aca="false">W7-V7</f>
        <v>0.0036066594784504</v>
      </c>
    </row>
    <row r="8" customFormat="false" ht="15" hidden="false" customHeight="false" outlineLevel="0" collapsed="false">
      <c r="A8" s="28" t="n">
        <f aca="false">Data_Prices!A8</f>
        <v>44810</v>
      </c>
      <c r="B8" s="32" t="n">
        <f aca="false">Data_Prices!B8/Data_Prices!B7-1</f>
        <v>-0.000577386815202252</v>
      </c>
      <c r="C8" s="32" t="n">
        <f aca="false">Data_Prices!C8/Data_Prices!C7-1</f>
        <v>0.00121940056491265</v>
      </c>
      <c r="D8" s="32" t="n">
        <f aca="false">Data_Prices!D8/Data_Prices!D7-1</f>
        <v>-0.00201053344697211</v>
      </c>
      <c r="E8" s="32" t="n">
        <f aca="false">Data_Prices!E8/Data_Prices!E7-1</f>
        <v>0.00963044159098025</v>
      </c>
      <c r="F8" s="32" t="n">
        <f aca="false">Data_Prices!F8/Data_Prices!F7-1</f>
        <v>-0.029778848259251</v>
      </c>
      <c r="G8" s="32" t="n">
        <f aca="false">Data_Prices!G8/Data_Prices!G7-1</f>
        <v>-0.00751968041358242</v>
      </c>
      <c r="H8" s="32" t="n">
        <f aca="false">Data_Prices!H8/Data_Prices!H7-1</f>
        <v>-0.0208889031718996</v>
      </c>
      <c r="I8" s="32" t="n">
        <f aca="false">Data_Prices!I8/Data_Prices!I7-1</f>
        <v>-0.0175031632222691</v>
      </c>
      <c r="J8" s="32" t="n">
        <f aca="false">Data_Prices!J8/Data_Prices!J7-1</f>
        <v>-0.00338171058193615</v>
      </c>
      <c r="K8" s="32" t="n">
        <f aca="false">Data_Prices!K8/Data_Prices!K7-1</f>
        <v>-0.0106729377713458</v>
      </c>
      <c r="L8" s="32" t="n">
        <f aca="false">Data_Prices!L8/Data_Prices!L7-1</f>
        <v>0.00256330103157221</v>
      </c>
      <c r="M8" s="32" t="n">
        <f aca="false">Data_Prices!M8/Data_Prices!M7-1</f>
        <v>0.0349997542152092</v>
      </c>
      <c r="N8" s="32" t="n">
        <f aca="false">Data_Prices!N8/Data_Prices!N7-1</f>
        <v>-0.017272312604531</v>
      </c>
      <c r="O8" s="32" t="n">
        <f aca="false">Data_Prices!O8/Data_Prices!O7-1</f>
        <v>0.0228013029315961</v>
      </c>
      <c r="P8" s="32" t="n">
        <f aca="false">Data_Prices!P8/Data_Prices!P7-1</f>
        <v>0</v>
      </c>
      <c r="Q8" s="32" t="n">
        <f aca="false">Data_Prices!Q8/Data_Prices!Q7-1</f>
        <v>-0.0135046113306984</v>
      </c>
      <c r="R8" s="32" t="n">
        <f aca="false">Data_Prices!R8/Data_Prices!R7-1</f>
        <v>0.0148448763816949</v>
      </c>
      <c r="S8" s="32" t="n">
        <f aca="false">Data_Prices!S8/Data_Prices!S7-1</f>
        <v>0.0484176256814051</v>
      </c>
      <c r="T8" s="32" t="n">
        <f aca="false">AVERAGE(D8:S8)</f>
        <v>0.000670287564373255</v>
      </c>
      <c r="U8" s="32" t="n">
        <f aca="false">AVERAGE(J8:S8)</f>
        <v>0.00787952879529661</v>
      </c>
      <c r="V8" s="32" t="n">
        <f aca="false">AVERAGE(D8:I8)</f>
        <v>-0.0113451144871657</v>
      </c>
      <c r="W8" s="32" t="n">
        <f aca="false">AVERAGE(K8,Q8,R8)</f>
        <v>-0.00311089090678311</v>
      </c>
      <c r="X8" s="32" t="n">
        <f aca="false">AVERAGE(K8,L8,N8,O8,P8,Q8,R8,S8)</f>
        <v>0.00589715553996163</v>
      </c>
      <c r="Y8" s="32" t="n">
        <f aca="false">AVERAGE(J8,L8,M8,N8,O8,P8,Q8,R8,S8)</f>
        <v>0.00994091396936799</v>
      </c>
      <c r="Z8" s="32" t="n">
        <f aca="false">U8-V8</f>
        <v>0.0192246432824623</v>
      </c>
      <c r="AA8" s="32" t="n">
        <f aca="false">W8-V8</f>
        <v>0.00823422358038256</v>
      </c>
    </row>
    <row r="9" customFormat="false" ht="15" hidden="false" customHeight="false" outlineLevel="0" collapsed="false">
      <c r="A9" s="28" t="n">
        <f aca="false">Data_Prices!A9</f>
        <v>44811</v>
      </c>
      <c r="B9" s="32" t="n">
        <f aca="false">Data_Prices!B9/Data_Prices!B8-1</f>
        <v>-0.00176714470196404</v>
      </c>
      <c r="C9" s="32" t="n">
        <f aca="false">Data_Prices!C9/Data_Prices!C8-1</f>
        <v>0.000414678982959105</v>
      </c>
      <c r="D9" s="32" t="n">
        <f aca="false">Data_Prices!D9/Data_Prices!D8-1</f>
        <v>0.00129196137254484</v>
      </c>
      <c r="E9" s="32" t="n">
        <f aca="false">Data_Prices!E9/Data_Prices!E8-1</f>
        <v>-0.00488561457929426</v>
      </c>
      <c r="F9" s="32" t="n">
        <f aca="false">Data_Prices!F9/Data_Prices!F8-1</f>
        <v>-0.0305235838411194</v>
      </c>
      <c r="G9" s="32" t="n">
        <f aca="false">Data_Prices!G9/Data_Prices!G8-1</f>
        <v>0.00295963063809634</v>
      </c>
      <c r="H9" s="32" t="n">
        <f aca="false">Data_Prices!H9/Data_Prices!H8-1</f>
        <v>0.00964978501329306</v>
      </c>
      <c r="I9" s="32" t="n">
        <f aca="false">Data_Prices!I9/Data_Prices!I8-1</f>
        <v>0.0216784717750591</v>
      </c>
      <c r="J9" s="32" t="n">
        <f aca="false">Data_Prices!J9/Data_Prices!J8-1</f>
        <v>-0.00710448183232004</v>
      </c>
      <c r="K9" s="32" t="n">
        <f aca="false">Data_Prices!K9/Data_Prices!K8-1</f>
        <v>0.00662475209924462</v>
      </c>
      <c r="L9" s="32" t="n">
        <f aca="false">Data_Prices!L9/Data_Prices!L8-1</f>
        <v>0.000498877525567654</v>
      </c>
      <c r="M9" s="32" t="n">
        <f aca="false">Data_Prices!M9/Data_Prices!M8-1</f>
        <v>-0.0131560199477558</v>
      </c>
      <c r="N9" s="32" t="n">
        <f aca="false">Data_Prices!N9/Data_Prices!N8-1</f>
        <v>0.00105207785376105</v>
      </c>
      <c r="O9" s="32" t="n">
        <f aca="false">Data_Prices!O9/Data_Prices!O8-1</f>
        <v>0.0113739763421292</v>
      </c>
      <c r="P9" s="32" t="n">
        <f aca="false">Data_Prices!P9/Data_Prices!P8-1</f>
        <v>0.00514263535804393</v>
      </c>
      <c r="Q9" s="32" t="n">
        <f aca="false">Data_Prices!Q9/Data_Prices!Q8-1</f>
        <v>0.000500834724540766</v>
      </c>
      <c r="R9" s="32" t="n">
        <f aca="false">Data_Prices!R9/Data_Prices!R8-1</f>
        <v>0.00831360168376749</v>
      </c>
      <c r="S9" s="32" t="n">
        <f aca="false">Data_Prices!S9/Data_Prices!S8-1</f>
        <v>-0.013107059035927</v>
      </c>
      <c r="T9" s="32" t="n">
        <f aca="false">AVERAGE(D9:S9)</f>
        <v>1.9365321851969E-005</v>
      </c>
      <c r="U9" s="32" t="n">
        <f aca="false">AVERAGE(J9:S9)</f>
        <v>1.39194771051843E-005</v>
      </c>
      <c r="V9" s="32" t="n">
        <f aca="false">AVERAGE(D9:I9)</f>
        <v>2.8441729763277E-005</v>
      </c>
      <c r="W9" s="32" t="n">
        <f aca="false">AVERAGE(K9,Q9,R9)</f>
        <v>0.00514639616918429</v>
      </c>
      <c r="X9" s="32" t="n">
        <f aca="false">AVERAGE(K9,L9,N9,O9,P9,Q9,R9,S9)</f>
        <v>0.00254996206889097</v>
      </c>
      <c r="Y9" s="32" t="n">
        <f aca="false">AVERAGE(J9,L9,M9,N9,O9,P9,Q9,R9,S9)</f>
        <v>-0.000720617480910309</v>
      </c>
      <c r="Z9" s="32" t="n">
        <f aca="false">U9-V9</f>
        <v>-1.45222526580927E-005</v>
      </c>
      <c r="AA9" s="32" t="n">
        <f aca="false">W9-V9</f>
        <v>0.00511795443942102</v>
      </c>
    </row>
    <row r="10" customFormat="false" ht="15" hidden="false" customHeight="false" outlineLevel="0" collapsed="false">
      <c r="A10" s="28" t="n">
        <f aca="false">Data_Prices!A10</f>
        <v>44812</v>
      </c>
      <c r="B10" s="32" t="n">
        <f aca="false">Data_Prices!B10/Data_Prices!B9-1</f>
        <v>0.00989253534872092</v>
      </c>
      <c r="C10" s="32" t="n">
        <f aca="false">Data_Prices!C10/Data_Prices!C9-1</f>
        <v>0.0079180646761623</v>
      </c>
      <c r="D10" s="32" t="n">
        <f aca="false">Data_Prices!D10/Data_Prices!D9-1</f>
        <v>0.0019245068451208</v>
      </c>
      <c r="E10" s="32" t="n">
        <f aca="false">Data_Prices!E10/Data_Prices!E9-1</f>
        <v>0.00802680798004984</v>
      </c>
      <c r="F10" s="32" t="n">
        <f aca="false">Data_Prices!F10/Data_Prices!F9-1</f>
        <v>0.032590350928243</v>
      </c>
      <c r="G10" s="32" t="n">
        <f aca="false">Data_Prices!G10/Data_Prices!G9-1</f>
        <v>0.0217186024551463</v>
      </c>
      <c r="H10" s="32" t="n">
        <f aca="false">Data_Prices!H10/Data_Prices!H9-1</f>
        <v>-0.00243815220571508</v>
      </c>
      <c r="I10" s="32" t="n">
        <f aca="false">Data_Prices!I10/Data_Prices!I9-1</f>
        <v>-0.011344537815126</v>
      </c>
      <c r="J10" s="32" t="n">
        <f aca="false">Data_Prices!J10/Data_Prices!J9-1</f>
        <v>0.00135274643124128</v>
      </c>
      <c r="K10" s="32" t="n">
        <f aca="false">Data_Prices!K10/Data_Prices!K9-1</f>
        <v>0.0127151799687011</v>
      </c>
      <c r="L10" s="32" t="n">
        <f aca="false">Data_Prices!L10/Data_Prices!L9-1</f>
        <v>-0.000997257541760277</v>
      </c>
      <c r="M10" s="32" t="n">
        <f aca="false">Data_Prices!M10/Data_Prices!M9-1</f>
        <v>0.000336894792569042</v>
      </c>
      <c r="N10" s="32" t="n">
        <f aca="false">Data_Prices!N10/Data_Prices!N9-1</f>
        <v>0.0066149423510864</v>
      </c>
      <c r="O10" s="32" t="n">
        <f aca="false">Data_Prices!O10/Data_Prices!O9-1</f>
        <v>-0.00629779577148004</v>
      </c>
      <c r="P10" s="32" t="n">
        <f aca="false">Data_Prices!P10/Data_Prices!P9-1</f>
        <v>0.00429578144608533</v>
      </c>
      <c r="Q10" s="32" t="n">
        <f aca="false">Data_Prices!Q10/Data_Prices!Q9-1</f>
        <v>0.0115134323377275</v>
      </c>
      <c r="R10" s="32" t="n">
        <f aca="false">Data_Prices!R10/Data_Prices!R9-1</f>
        <v>0.00527057350101767</v>
      </c>
      <c r="S10" s="32" t="n">
        <f aca="false">Data_Prices!S10/Data_Prices!S9-1</f>
        <v>-0.00376847651104917</v>
      </c>
      <c r="T10" s="32" t="n">
        <f aca="false">AVERAGE(D10:S10)</f>
        <v>0.00509459994949111</v>
      </c>
      <c r="U10" s="32" t="n">
        <f aca="false">AVERAGE(J10:S10)</f>
        <v>0.00310360210041388</v>
      </c>
      <c r="V10" s="32" t="n">
        <f aca="false">AVERAGE(D10:I10)</f>
        <v>0.00841292969795315</v>
      </c>
      <c r="W10" s="32" t="n">
        <f aca="false">AVERAGE(K10,Q10,R10)</f>
        <v>0.00983306193581542</v>
      </c>
      <c r="X10" s="32" t="n">
        <f aca="false">AVERAGE(K10,L10,N10,O10,P10,Q10,R10,S10)</f>
        <v>0.00366829747254106</v>
      </c>
      <c r="Y10" s="32" t="n">
        <f aca="false">AVERAGE(J10,L10,M10,N10,O10,P10,Q10,R10,S10)</f>
        <v>0.00203564900393753</v>
      </c>
      <c r="Z10" s="32" t="n">
        <f aca="false">U10-V10</f>
        <v>-0.00530932759753927</v>
      </c>
      <c r="AA10" s="32" t="n">
        <f aca="false">W10-V10</f>
        <v>0.00142013223786227</v>
      </c>
    </row>
    <row r="11" customFormat="false" ht="15" hidden="false" customHeight="false" outlineLevel="0" collapsed="false">
      <c r="A11" s="28" t="n">
        <f aca="false">Data_Prices!A11</f>
        <v>44813</v>
      </c>
      <c r="B11" s="32" t="n">
        <f aca="false">Data_Prices!B11/Data_Prices!B10-1</f>
        <v>0.00194395673853487</v>
      </c>
      <c r="C11" s="32" t="n">
        <f aca="false">Data_Prices!C11/Data_Prices!C10-1</f>
        <v>0.00172919621519751</v>
      </c>
      <c r="D11" s="32" t="n">
        <f aca="false">Data_Prices!D11/Data_Prices!D10-1</f>
        <v>0.00984415244248482</v>
      </c>
      <c r="E11" s="32" t="n">
        <f aca="false">Data_Prices!E11/Data_Prices!E10-1</f>
        <v>0.000463857750289787</v>
      </c>
      <c r="F11" s="32" t="n">
        <f aca="false">Data_Prices!F11/Data_Prices!F10-1</f>
        <v>-0.0149918277630614</v>
      </c>
      <c r="G11" s="32" t="n">
        <f aca="false">Data_Prices!G11/Data_Prices!G10-1</f>
        <v>0.00901109057301297</v>
      </c>
      <c r="H11" s="32" t="n">
        <f aca="false">Data_Prices!H11/Data_Prices!H10-1</f>
        <v>0.00593104347259343</v>
      </c>
      <c r="I11" s="32" t="n">
        <f aca="false">Data_Prices!I11/Data_Prices!I10-1</f>
        <v>-0.0161495962600935</v>
      </c>
      <c r="J11" s="32" t="n">
        <f aca="false">Data_Prices!J11/Data_Prices!J10-1</f>
        <v>-0.0029151409577306</v>
      </c>
      <c r="K11" s="32" t="n">
        <f aca="false">Data_Prices!K11/Data_Prices!K10-1</f>
        <v>-0.0105825215927591</v>
      </c>
      <c r="L11" s="32" t="n">
        <f aca="false">Data_Prices!L11/Data_Prices!L10-1</f>
        <v>-0.0132892438233092</v>
      </c>
      <c r="M11" s="32" t="n">
        <f aca="false">Data_Prices!M11/Data_Prices!M10-1</f>
        <v>-0.00918931922059174</v>
      </c>
      <c r="N11" s="32" t="n">
        <f aca="false">Data_Prices!N11/Data_Prices!N10-1</f>
        <v>0.00178105327805933</v>
      </c>
      <c r="O11" s="32" t="n">
        <f aca="false">Data_Prices!O11/Data_Prices!O10-1</f>
        <v>0.0169760072430964</v>
      </c>
      <c r="P11" s="32" t="n">
        <f aca="false">Data_Prices!P11/Data_Prices!P10-1</f>
        <v>0.0048060748786467</v>
      </c>
      <c r="Q11" s="32" t="n">
        <f aca="false">Data_Prices!Q11/Data_Prices!Q10-1</f>
        <v>0.00709336852523923</v>
      </c>
      <c r="R11" s="32" t="n">
        <f aca="false">Data_Prices!R11/Data_Prices!R10-1</f>
        <v>-0.0207122093023256</v>
      </c>
      <c r="S11" s="32" t="n">
        <f aca="false">Data_Prices!S11/Data_Prices!S10-1</f>
        <v>-0.0274339858239379</v>
      </c>
      <c r="T11" s="32" t="n">
        <f aca="false">AVERAGE(D11:S11)</f>
        <v>-0.00370982478627414</v>
      </c>
      <c r="U11" s="32" t="n">
        <f aca="false">AVERAGE(J11:S11)</f>
        <v>-0.00534659167956124</v>
      </c>
      <c r="V11" s="32" t="n">
        <f aca="false">AVERAGE(D11:I11)</f>
        <v>-0.000981879964128981</v>
      </c>
      <c r="W11" s="32" t="n">
        <f aca="false">AVERAGE(K11,Q11,R11)</f>
        <v>-0.0080671207899485</v>
      </c>
      <c r="X11" s="32" t="n">
        <f aca="false">AVERAGE(K11,L11,N11,O11,P11,Q11,R11,S11)</f>
        <v>-0.00517018207716126</v>
      </c>
      <c r="Y11" s="32" t="n">
        <f aca="false">AVERAGE(J11,L11,M11,N11,O11,P11,Q11,R11,S11)</f>
        <v>-0.00476482168920593</v>
      </c>
      <c r="Z11" s="32" t="n">
        <f aca="false">U11-V11</f>
        <v>-0.00436471171543226</v>
      </c>
      <c r="AA11" s="32" t="n">
        <f aca="false">W11-V11</f>
        <v>-0.00708524082581952</v>
      </c>
    </row>
    <row r="12" customFormat="false" ht="15" hidden="false" customHeight="false" outlineLevel="0" collapsed="false">
      <c r="A12" s="28" t="n">
        <f aca="false">Data_Prices!A12</f>
        <v>44816</v>
      </c>
      <c r="B12" s="32" t="n">
        <f aca="false">Data_Prices!B12/Data_Prices!B11-1</f>
        <v>0.00577569553673318</v>
      </c>
      <c r="C12" s="32" t="n">
        <f aca="false">Data_Prices!C12/Data_Prices!C11-1</f>
        <v>0.0071117317713385</v>
      </c>
      <c r="D12" s="32" t="n">
        <f aca="false">Data_Prices!D12/Data_Prices!D11-1</f>
        <v>-0.0022046903706906</v>
      </c>
      <c r="E12" s="32" t="n">
        <f aca="false">Data_Prices!E12/Data_Prices!E11-1</f>
        <v>0.0144501970481417</v>
      </c>
      <c r="F12" s="32" t="n">
        <f aca="false">Data_Prices!F12/Data_Prices!F11-1</f>
        <v>0.00652285861417856</v>
      </c>
      <c r="G12" s="32" t="n">
        <f aca="false">Data_Prices!G12/Data_Prices!G11-1</f>
        <v>0.00194641630409897</v>
      </c>
      <c r="H12" s="32" t="n">
        <f aca="false">Data_Prices!H12/Data_Prices!H11-1</f>
        <v>-0.00145782039652709</v>
      </c>
      <c r="I12" s="32" t="n">
        <f aca="false">Data_Prices!I12/Data_Prices!I11-1</f>
        <v>0.1</v>
      </c>
      <c r="J12" s="32" t="n">
        <f aca="false">Data_Prices!J12/Data_Prices!J11-1</f>
        <v>0.0128355973900951</v>
      </c>
      <c r="K12" s="32" t="n">
        <f aca="false">Data_Prices!K12/Data_Prices!K11-1</f>
        <v>0.0147676088745103</v>
      </c>
      <c r="L12" s="32" t="n">
        <f aca="false">Data_Prices!L12/Data_Prices!L11-1</f>
        <v>0.00942143534619033</v>
      </c>
      <c r="M12" s="32" t="n">
        <f aca="false">Data_Prices!M12/Data_Prices!M11-1</f>
        <v>0.01393609789259</v>
      </c>
      <c r="N12" s="32" t="n">
        <f aca="false">Data_Prices!N12/Data_Prices!N11-1</f>
        <v>0.00282009625111113</v>
      </c>
      <c r="O12" s="32" t="n">
        <f aca="false">Data_Prices!O12/Data_Prices!O11-1</f>
        <v>0.00356109503672375</v>
      </c>
      <c r="P12" s="32" t="n">
        <f aca="false">Data_Prices!P12/Data_Prices!P11-1</f>
        <v>0.000765293920696575</v>
      </c>
      <c r="Q12" s="32" t="n">
        <f aca="false">Data_Prices!Q12/Data_Prices!Q11-1</f>
        <v>-0.00655200655200661</v>
      </c>
      <c r="R12" s="32" t="n">
        <f aca="false">Data_Prices!R12/Data_Prices!R11-1</f>
        <v>0.00689106811555784</v>
      </c>
      <c r="S12" s="32" t="n">
        <f aca="false">Data_Prices!S12/Data_Prices!S11-1</f>
        <v>0.00332301185711037</v>
      </c>
      <c r="T12" s="32" t="n">
        <f aca="false">AVERAGE(D12:S12)</f>
        <v>0.0113141412082363</v>
      </c>
      <c r="U12" s="32" t="n">
        <f aca="false">AVERAGE(J12:S12)</f>
        <v>0.00617692981325788</v>
      </c>
      <c r="V12" s="32" t="n">
        <f aca="false">AVERAGE(D12:I12)</f>
        <v>0.0198761601998669</v>
      </c>
      <c r="W12" s="32" t="n">
        <f aca="false">AVERAGE(K12,Q12,R12)</f>
        <v>0.00503555681268719</v>
      </c>
      <c r="X12" s="32" t="n">
        <f aca="false">AVERAGE(K12,L12,N12,O12,P12,Q12,R12,S12)</f>
        <v>0.00437470035623672</v>
      </c>
      <c r="Y12" s="32" t="n">
        <f aca="false">AVERAGE(J12,L12,M12,N12,O12,P12,Q12,R12,S12)</f>
        <v>0.00522240991756316</v>
      </c>
      <c r="Z12" s="32" t="n">
        <f aca="false">U12-V12</f>
        <v>-0.0136992303866091</v>
      </c>
      <c r="AA12" s="32" t="n">
        <f aca="false">W12-V12</f>
        <v>-0.0148406033871797</v>
      </c>
    </row>
    <row r="13" customFormat="false" ht="15" hidden="false" customHeight="false" outlineLevel="0" collapsed="false">
      <c r="A13" s="28" t="n">
        <f aca="false">Data_Prices!A13</f>
        <v>44817</v>
      </c>
      <c r="B13" s="32" t="n">
        <f aca="false">Data_Prices!B13/Data_Prices!B12-1</f>
        <v>0.00745413643244031</v>
      </c>
      <c r="C13" s="32" t="n">
        <f aca="false">Data_Prices!C13/Data_Prices!C12-1</f>
        <v>0.00593488001848841</v>
      </c>
      <c r="D13" s="32" t="n">
        <f aca="false">Data_Prices!D13/Data_Prices!D12-1</f>
        <v>-0.0118276541819207</v>
      </c>
      <c r="E13" s="32" t="n">
        <f aca="false">Data_Prices!E13/Data_Prices!E12-1</f>
        <v>-0.00723644119439371</v>
      </c>
      <c r="F13" s="32" t="n">
        <f aca="false">Data_Prices!F13/Data_Prices!F12-1</f>
        <v>-0.0206355522710476</v>
      </c>
      <c r="G13" s="32" t="n">
        <f aca="false">Data_Prices!G13/Data_Prices!G12-1</f>
        <v>-0.000685635927322625</v>
      </c>
      <c r="H13" s="32" t="n">
        <f aca="false">Data_Prices!H13/Data_Prices!H12-1</f>
        <v>0.0815624695844013</v>
      </c>
      <c r="I13" s="32" t="n">
        <f aca="false">Data_Prices!I13/Data_Prices!I12-1</f>
        <v>-0.01826035735323</v>
      </c>
      <c r="J13" s="32" t="n">
        <f aca="false">Data_Prices!J13/Data_Prices!J12-1</f>
        <v>-0.00151371140915957</v>
      </c>
      <c r="K13" s="32" t="n">
        <f aca="false">Data_Prices!K13/Data_Prices!K12-1</f>
        <v>0.0159956025834822</v>
      </c>
      <c r="L13" s="32" t="n">
        <f aca="false">Data_Prices!L13/Data_Prices!L12-1</f>
        <v>-0.000375845652718754</v>
      </c>
      <c r="M13" s="32" t="n">
        <f aca="false">Data_Prices!M13/Data_Prices!M12-1</f>
        <v>-0.0130740864901105</v>
      </c>
      <c r="N13" s="32" t="n">
        <f aca="false">Data_Prices!N13/Data_Prices!N12-1</f>
        <v>0.0307504202965001</v>
      </c>
      <c r="O13" s="32" t="n">
        <f aca="false">Data_Prices!O13/Data_Prices!O12-1</f>
        <v>0.00177422931913962</v>
      </c>
      <c r="P13" s="32" t="n">
        <f aca="false">Data_Prices!P13/Data_Prices!P12-1</f>
        <v>0.00387133776227122</v>
      </c>
      <c r="Q13" s="32" t="n">
        <f aca="false">Data_Prices!Q13/Data_Prices!Q12-1</f>
        <v>-0.00577081615828523</v>
      </c>
      <c r="R13" s="32" t="n">
        <f aca="false">Data_Prices!R13/Data_Prices!R12-1</f>
        <v>0.00315872598052125</v>
      </c>
      <c r="S13" s="32" t="n">
        <f aca="false">Data_Prices!S13/Data_Prices!S12-1</f>
        <v>0.00308618742943168</v>
      </c>
      <c r="T13" s="32" t="n">
        <f aca="false">AVERAGE(D13:S13)</f>
        <v>0.00380117951984742</v>
      </c>
      <c r="U13" s="32" t="n">
        <f aca="false">AVERAGE(J13:S13)</f>
        <v>0.0037902043661072</v>
      </c>
      <c r="V13" s="32" t="n">
        <f aca="false">AVERAGE(D13:I13)</f>
        <v>0.00381947144274778</v>
      </c>
      <c r="W13" s="32" t="n">
        <f aca="false">AVERAGE(K13,Q13,R13)</f>
        <v>0.00446117080190607</v>
      </c>
      <c r="X13" s="32" t="n">
        <f aca="false">AVERAGE(K13,L13,N13,O13,P13,Q13,R13,S13)</f>
        <v>0.00656123019504276</v>
      </c>
      <c r="Y13" s="32" t="n">
        <f aca="false">AVERAGE(J13,L13,M13,N13,O13,P13,Q13,R13,S13)</f>
        <v>0.00243404900862109</v>
      </c>
      <c r="Z13" s="32" t="n">
        <f aca="false">U13-V13</f>
        <v>-2.92670766405857E-005</v>
      </c>
      <c r="AA13" s="32" t="n">
        <f aca="false">W13-V13</f>
        <v>0.000641699359158291</v>
      </c>
    </row>
    <row r="14" customFormat="false" ht="15" hidden="false" customHeight="false" outlineLevel="0" collapsed="false">
      <c r="A14" s="28" t="n">
        <f aca="false">Data_Prices!A14</f>
        <v>44818</v>
      </c>
      <c r="B14" s="32" t="n">
        <f aca="false">Data_Prices!B14/Data_Prices!B13-1</f>
        <v>-0.00366905459586442</v>
      </c>
      <c r="C14" s="32" t="n">
        <f aca="false">Data_Prices!C14/Data_Prices!C13-1</f>
        <v>-0.00249842851080262</v>
      </c>
      <c r="D14" s="32" t="n">
        <f aca="false">Data_Prices!D14/Data_Prices!D13-1</f>
        <v>-0.00721222351316386</v>
      </c>
      <c r="E14" s="32" t="n">
        <f aca="false">Data_Prices!E14/Data_Prices!E13-1</f>
        <v>0.00283894728765444</v>
      </c>
      <c r="F14" s="32" t="n">
        <f aca="false">Data_Prices!F14/Data_Prices!F13-1</f>
        <v>0.00406315300673321</v>
      </c>
      <c r="G14" s="32" t="n">
        <f aca="false">Data_Prices!G14/Data_Prices!G13-1</f>
        <v>0.00388793596340764</v>
      </c>
      <c r="H14" s="32" t="n">
        <f aca="false">Data_Prices!H14/Data_Prices!H13-1</f>
        <v>0.00854905960344365</v>
      </c>
      <c r="I14" s="32" t="n">
        <f aca="false">Data_Prices!I14/Data_Prices!I13-1</f>
        <v>0.0344</v>
      </c>
      <c r="J14" s="32" t="n">
        <f aca="false">Data_Prices!J14/Data_Prices!J13-1</f>
        <v>-0.00719221548441695</v>
      </c>
      <c r="K14" s="32" t="n">
        <f aca="false">Data_Prices!K14/Data_Prices!K13-1</f>
        <v>0.0108069359158167</v>
      </c>
      <c r="L14" s="32" t="n">
        <f aca="false">Data_Prices!L14/Data_Prices!L13-1</f>
        <v>-0.00382253415214928</v>
      </c>
      <c r="M14" s="32" t="n">
        <f aca="false">Data_Prices!M14/Data_Prices!M13-1</f>
        <v>-0.0049010093167704</v>
      </c>
      <c r="N14" s="32" t="n">
        <f aca="false">Data_Prices!N14/Data_Prices!N13-1</f>
        <v>0.00676136532131322</v>
      </c>
      <c r="O14" s="32" t="n">
        <f aca="false">Data_Prices!O14/Data_Prices!O13-1</f>
        <v>0.0163825547930043</v>
      </c>
      <c r="P14" s="32" t="n">
        <f aca="false">Data_Prices!P14/Data_Prices!P13-1</f>
        <v>-0.00818891639687691</v>
      </c>
      <c r="Q14" s="32" t="n">
        <f aca="false">Data_Prices!Q14/Data_Prices!Q13-1</f>
        <v>-0.0164179104477612</v>
      </c>
      <c r="R14" s="32" t="n">
        <f aca="false">Data_Prices!R14/Data_Prices!R13-1</f>
        <v>0.00535292574127522</v>
      </c>
      <c r="S14" s="32" t="n">
        <f aca="false">Data_Prices!S14/Data_Prices!S13-1</f>
        <v>0.00153834609034975</v>
      </c>
      <c r="T14" s="32" t="n">
        <f aca="false">AVERAGE(D14:S14)</f>
        <v>0.00292790090074122</v>
      </c>
      <c r="U14" s="32" t="n">
        <f aca="false">AVERAGE(J14:S14)</f>
        <v>3.19542063784484E-005</v>
      </c>
      <c r="V14" s="32" t="n">
        <f aca="false">AVERAGE(D14:I14)</f>
        <v>0.00775447872467918</v>
      </c>
      <c r="W14" s="32" t="n">
        <f aca="false">AVERAGE(K14,Q14,R14)</f>
        <v>-8.6016263556421E-005</v>
      </c>
      <c r="X14" s="32" t="n">
        <f aca="false">AVERAGE(K14,L14,N14,O14,P14,Q14,R14,S14)</f>
        <v>0.00155159585812148</v>
      </c>
      <c r="Y14" s="32" t="n">
        <f aca="false">AVERAGE(J14,L14,M14,N14,O14,P14,Q14,R14,S14)</f>
        <v>-0.00116526598355914</v>
      </c>
      <c r="Z14" s="32" t="n">
        <f aca="false">U14-V14</f>
        <v>-0.00772252451830073</v>
      </c>
      <c r="AA14" s="32" t="n">
        <f aca="false">W14-V14</f>
        <v>-0.0078404949882356</v>
      </c>
    </row>
    <row r="15" customFormat="false" ht="15" hidden="false" customHeight="false" outlineLevel="0" collapsed="false">
      <c r="A15" s="28" t="n">
        <f aca="false">Data_Prices!A15</f>
        <v>44819</v>
      </c>
      <c r="B15" s="32" t="n">
        <f aca="false">Data_Prices!B15/Data_Prices!B14-1</f>
        <v>-0.00701798236478501</v>
      </c>
      <c r="C15" s="32" t="n">
        <f aca="false">Data_Prices!C15/Data_Prices!C14-1</f>
        <v>-0.00322122489715759</v>
      </c>
      <c r="D15" s="32" t="n">
        <f aca="false">Data_Prices!D15/Data_Prices!D14-1</f>
        <v>-0.0232953541777071</v>
      </c>
      <c r="E15" s="32" t="n">
        <f aca="false">Data_Prices!E15/Data_Prices!E14-1</f>
        <v>0.0166029074215761</v>
      </c>
      <c r="F15" s="32" t="n">
        <f aca="false">Data_Prices!F15/Data_Prices!F14-1</f>
        <v>0.0297144178517748</v>
      </c>
      <c r="G15" s="32" t="n">
        <f aca="false">Data_Prices!G15/Data_Prices!G14-1</f>
        <v>0.00318942931996813</v>
      </c>
      <c r="H15" s="32" t="n">
        <f aca="false">Data_Prices!H15/Data_Prices!H14-1</f>
        <v>0.0192136101362204</v>
      </c>
      <c r="I15" s="32" t="n">
        <f aca="false">Data_Prices!I15/Data_Prices!I14-1</f>
        <v>-0.0104408352668214</v>
      </c>
      <c r="J15" s="32" t="n">
        <f aca="false">Data_Prices!J15/Data_Prices!J14-1</f>
        <v>0.0684303977272727</v>
      </c>
      <c r="K15" s="32" t="n">
        <f aca="false">Data_Prices!K15/Data_Prices!K14-1</f>
        <v>-0.0129795404975045</v>
      </c>
      <c r="L15" s="32" t="n">
        <f aca="false">Data_Prices!L15/Data_Prices!L14-1</f>
        <v>-0.0025791029754042</v>
      </c>
      <c r="M15" s="32" t="n">
        <f aca="false">Data_Prices!M15/Data_Prices!M14-1</f>
        <v>-0.0241380991856438</v>
      </c>
      <c r="N15" s="32" t="n">
        <f aca="false">Data_Prices!N15/Data_Prices!N14-1</f>
        <v>0.0382043653715867</v>
      </c>
      <c r="O15" s="32" t="n">
        <f aca="false">Data_Prices!O15/Data_Prices!O14-1</f>
        <v>0.00152472228272704</v>
      </c>
      <c r="P15" s="32" t="n">
        <f aca="false">Data_Prices!P15/Data_Prices!P14-1</f>
        <v>0.0172331029185868</v>
      </c>
      <c r="Q15" s="32" t="n">
        <f aca="false">Data_Prices!Q15/Data_Prices!Q14-1</f>
        <v>0.0615410554712528</v>
      </c>
      <c r="R15" s="32" t="n">
        <f aca="false">Data_Prices!R15/Data_Prices!R14-1</f>
        <v>0.000835203841937693</v>
      </c>
      <c r="S15" s="32" t="n">
        <f aca="false">Data_Prices!S15/Data_Prices!S14-1</f>
        <v>-0.00651856291911745</v>
      </c>
      <c r="T15" s="32" t="n">
        <f aca="false">AVERAGE(D15:S15)</f>
        <v>0.011033607332544</v>
      </c>
      <c r="U15" s="32" t="n">
        <f aca="false">AVERAGE(J15:S15)</f>
        <v>0.0141553542035694</v>
      </c>
      <c r="V15" s="32" t="n">
        <f aca="false">AVERAGE(D15:I15)</f>
        <v>0.00583069588083514</v>
      </c>
      <c r="W15" s="32" t="n">
        <f aca="false">AVERAGE(K15,Q15,R15)</f>
        <v>0.016465572938562</v>
      </c>
      <c r="X15" s="32" t="n">
        <f aca="false">AVERAGE(K15,L15,N15,O15,P15,Q15,R15,S15)</f>
        <v>0.0121576554367581</v>
      </c>
      <c r="Y15" s="32" t="n">
        <f aca="false">AVERAGE(J15,L15,M15,N15,O15,P15,Q15,R15,S15)</f>
        <v>0.0171703425036887</v>
      </c>
      <c r="Z15" s="32" t="n">
        <f aca="false">U15-V15</f>
        <v>0.00832465832273423</v>
      </c>
      <c r="AA15" s="32" t="n">
        <f aca="false">W15-V15</f>
        <v>0.0106348770577268</v>
      </c>
    </row>
    <row r="16" customFormat="false" ht="15" hidden="false" customHeight="false" outlineLevel="0" collapsed="false">
      <c r="A16" s="28" t="n">
        <f aca="false">Data_Prices!A16</f>
        <v>44820</v>
      </c>
      <c r="B16" s="32" t="n">
        <f aca="false">Data_Prices!B16/Data_Prices!B15-1</f>
        <v>-0.0193848098716817</v>
      </c>
      <c r="C16" s="32" t="n">
        <f aca="false">Data_Prices!C16/Data_Prices!C15-1</f>
        <v>-0.0215912992968708</v>
      </c>
      <c r="D16" s="32" t="n">
        <f aca="false">Data_Prices!D16/Data_Prices!D15-1</f>
        <v>-0.0213641398955531</v>
      </c>
      <c r="E16" s="32" t="n">
        <f aca="false">Data_Prices!E16/Data_Prices!E15-1</f>
        <v>-0.044178520358245</v>
      </c>
      <c r="F16" s="32" t="n">
        <f aca="false">Data_Prices!F16/Data_Prices!F15-1</f>
        <v>-0.0253200089827084</v>
      </c>
      <c r="G16" s="32" t="n">
        <f aca="false">Data_Prices!G16/Data_Prices!G15-1</f>
        <v>-0.0221414783694788</v>
      </c>
      <c r="H16" s="32" t="n">
        <f aca="false">Data_Prices!H16/Data_Prices!H15-1</f>
        <v>-0.0066242558655305</v>
      </c>
      <c r="I16" s="32" t="n">
        <f aca="false">Data_Prices!I16/Data_Prices!I15-1</f>
        <v>-0.0935912465806956</v>
      </c>
      <c r="J16" s="32" t="n">
        <f aca="false">Data_Prices!J16/Data_Prices!J15-1</f>
        <v>-0.0248612357496593</v>
      </c>
      <c r="K16" s="32" t="n">
        <f aca="false">Data_Prices!K16/Data_Prices!K15-1</f>
        <v>-0.0151973211501701</v>
      </c>
      <c r="L16" s="32" t="n">
        <f aca="false">Data_Prices!L16/Data_Prices!L15-1</f>
        <v>-0.0305247225025226</v>
      </c>
      <c r="M16" s="32" t="n">
        <f aca="false">Data_Prices!M16/Data_Prices!M15-1</f>
        <v>0.0120427743353988</v>
      </c>
      <c r="N16" s="32" t="n">
        <f aca="false">Data_Prices!N16/Data_Prices!N15-1</f>
        <v>-0.00261022527378985</v>
      </c>
      <c r="O16" s="32" t="n">
        <f aca="false">Data_Prices!O16/Data_Prices!O15-1</f>
        <v>-0.0165289256198348</v>
      </c>
      <c r="P16" s="32" t="n">
        <f aca="false">Data_Prices!P16/Data_Prices!P15-1</f>
        <v>-0.0246802888018497</v>
      </c>
      <c r="Q16" s="32" t="n">
        <f aca="false">Data_Prices!Q16/Data_Prices!Q15-1</f>
        <v>-0.00381194409148666</v>
      </c>
      <c r="R16" s="32" t="n">
        <f aca="false">Data_Prices!R16/Data_Prices!R15-1</f>
        <v>-0.0256610859020497</v>
      </c>
      <c r="S16" s="32" t="n">
        <f aca="false">Data_Prices!S16/Data_Prices!S15-1</f>
        <v>-0.031599984916475</v>
      </c>
      <c r="T16" s="32" t="n">
        <f aca="false">AVERAGE(D16:S16)</f>
        <v>-0.0235407881077906</v>
      </c>
      <c r="U16" s="32" t="n">
        <f aca="false">AVERAGE(J16:S16)</f>
        <v>-0.0163432959672439</v>
      </c>
      <c r="V16" s="32" t="n">
        <f aca="false">AVERAGE(D16:I16)</f>
        <v>-0.0355366083420352</v>
      </c>
      <c r="W16" s="32" t="n">
        <f aca="false">AVERAGE(K16,Q16,R16)</f>
        <v>-0.0148901170479022</v>
      </c>
      <c r="X16" s="32" t="n">
        <f aca="false">AVERAGE(K16,L16,N16,O16,P16,Q16,R16,S16)</f>
        <v>-0.0188268122822723</v>
      </c>
      <c r="Y16" s="32" t="n">
        <f aca="false">AVERAGE(J16,L16,M16,N16,O16,P16,Q16,R16,S16)</f>
        <v>-0.0164706265024743</v>
      </c>
      <c r="Z16" s="32" t="n">
        <f aca="false">U16-V16</f>
        <v>0.0191933123747913</v>
      </c>
      <c r="AA16" s="32" t="n">
        <f aca="false">W16-V16</f>
        <v>0.020646491294133</v>
      </c>
    </row>
    <row r="17" customFormat="false" ht="15" hidden="false" customHeight="false" outlineLevel="0" collapsed="false">
      <c r="A17" s="28" t="n">
        <f aca="false">Data_Prices!A17</f>
        <v>44823</v>
      </c>
      <c r="B17" s="32" t="n">
        <f aca="false">Data_Prices!B17/Data_Prices!B16-1</f>
        <v>0.00521366619416641</v>
      </c>
      <c r="C17" s="32" t="n">
        <f aca="false">Data_Prices!C17/Data_Prices!C16-1</f>
        <v>0.00325374984830029</v>
      </c>
      <c r="D17" s="32" t="n">
        <f aca="false">Data_Prices!D17/Data_Prices!D16-1</f>
        <v>0.0326649417852523</v>
      </c>
      <c r="E17" s="32" t="n">
        <f aca="false">Data_Prices!E17/Data_Prices!E16-1</f>
        <v>-0.0710236220472441</v>
      </c>
      <c r="F17" s="32" t="n">
        <f aca="false">Data_Prices!F17/Data_Prices!F16-1</f>
        <v>0.0233281493001556</v>
      </c>
      <c r="G17" s="32" t="n">
        <f aca="false">Data_Prices!G17/Data_Prices!G16-1</f>
        <v>-0.0397120297259638</v>
      </c>
      <c r="H17" s="32" t="n">
        <f aca="false">Data_Prices!H17/Data_Prices!H16-1</f>
        <v>0.0822243764871771</v>
      </c>
      <c r="I17" s="32" t="n">
        <f aca="false">Data_Prices!I17/Data_Prices!I16-1</f>
        <v>0.00948480275921537</v>
      </c>
      <c r="J17" s="32" t="n">
        <f aca="false">Data_Prices!J17/Data_Prices!J16-1</f>
        <v>-0.0214390401854188</v>
      </c>
      <c r="K17" s="32" t="n">
        <f aca="false">Data_Prices!K17/Data_Prices!K16-1</f>
        <v>0.0305195341537954</v>
      </c>
      <c r="L17" s="32" t="n">
        <f aca="false">Data_Prices!L17/Data_Prices!L16-1</f>
        <v>0.022183190215977</v>
      </c>
      <c r="M17" s="32" t="n">
        <f aca="false">Data_Prices!M17/Data_Prices!M16-1</f>
        <v>-0.023502690959364</v>
      </c>
      <c r="N17" s="32" t="n">
        <f aca="false">Data_Prices!N17/Data_Prices!N16-1</f>
        <v>0.00662797974625917</v>
      </c>
      <c r="O17" s="32" t="n">
        <f aca="false">Data_Prices!O17/Data_Prices!O16-1</f>
        <v>-0.0119416187527642</v>
      </c>
      <c r="P17" s="32" t="n">
        <f aca="false">Data_Prices!P17/Data_Prices!P16-1</f>
        <v>-0.00512870137410504</v>
      </c>
      <c r="Q17" s="32" t="n">
        <f aca="false">Data_Prices!Q17/Data_Prices!Q16-1</f>
        <v>0.0392219387755099</v>
      </c>
      <c r="R17" s="32" t="n">
        <f aca="false">Data_Prices!R17/Data_Prices!R16-1</f>
        <v>0.0094213371875167</v>
      </c>
      <c r="S17" s="32" t="n">
        <f aca="false">Data_Prices!S17/Data_Prices!S16-1</f>
        <v>0.00221953973754907</v>
      </c>
      <c r="T17" s="32" t="n">
        <f aca="false">AVERAGE(D17:S17)</f>
        <v>0.00532175544397173</v>
      </c>
      <c r="U17" s="32" t="n">
        <f aca="false">AVERAGE(J17:S17)</f>
        <v>0.00481814685449553</v>
      </c>
      <c r="V17" s="32" t="n">
        <f aca="false">AVERAGE(D17:I17)</f>
        <v>0.00616110309309873</v>
      </c>
      <c r="W17" s="32" t="n">
        <f aca="false">AVERAGE(K17,Q17,R17)</f>
        <v>0.026387603372274</v>
      </c>
      <c r="X17" s="32" t="n">
        <f aca="false">AVERAGE(K17,L17,N17,O17,P17,Q17,R17,S17)</f>
        <v>0.0116403999612173</v>
      </c>
      <c r="Y17" s="32" t="n">
        <f aca="false">AVERAGE(J17,L17,M17,N17,O17,P17,Q17,R17,S17)</f>
        <v>0.00196243715457333</v>
      </c>
      <c r="Z17" s="32" t="n">
        <f aca="false">U17-V17</f>
        <v>-0.0013429562386032</v>
      </c>
      <c r="AA17" s="32" t="n">
        <f aca="false">W17-V17</f>
        <v>0.0202265002791753</v>
      </c>
    </row>
    <row r="18" customFormat="false" ht="15" hidden="false" customHeight="false" outlineLevel="0" collapsed="false">
      <c r="A18" s="28" t="n">
        <f aca="false">Data_Prices!A18</f>
        <v>44824</v>
      </c>
      <c r="B18" s="32" t="n">
        <f aca="false">Data_Prices!B18/Data_Prices!B17-1</f>
        <v>0.0110088098852303</v>
      </c>
      <c r="C18" s="32" t="n">
        <f aca="false">Data_Prices!C18/Data_Prices!C17-1</f>
        <v>0.0115604290697713</v>
      </c>
      <c r="D18" s="32" t="n">
        <f aca="false">Data_Prices!D18/Data_Prices!D17-1</f>
        <v>-0.00568207239049701</v>
      </c>
      <c r="E18" s="32" t="n">
        <f aca="false">Data_Prices!E18/Data_Prices!E17-1</f>
        <v>-0.0416172232581793</v>
      </c>
      <c r="F18" s="32" t="n">
        <f aca="false">Data_Prices!F18/Data_Prices!F17-1</f>
        <v>0.0210514465833616</v>
      </c>
      <c r="G18" s="32" t="n">
        <f aca="false">Data_Prices!G18/Data_Prices!G17-1</f>
        <v>0.0274486094316808</v>
      </c>
      <c r="H18" s="32" t="n">
        <f aca="false">Data_Prices!H18/Data_Prices!H17-1</f>
        <v>-0.026872964169381</v>
      </c>
      <c r="I18" s="32" t="n">
        <f aca="false">Data_Prices!I18/Data_Prices!I17-1</f>
        <v>0.0277599829169335</v>
      </c>
      <c r="J18" s="32" t="n">
        <f aca="false">Data_Prices!J18/Data_Prices!J17-1</f>
        <v>0.0027516544757924</v>
      </c>
      <c r="K18" s="32" t="n">
        <f aca="false">Data_Prices!K18/Data_Prices!K17-1</f>
        <v>0.0185816000748074</v>
      </c>
      <c r="L18" s="32" t="n">
        <f aca="false">Data_Prices!L18/Data_Prices!L17-1</f>
        <v>0.00108190670145736</v>
      </c>
      <c r="M18" s="32" t="n">
        <f aca="false">Data_Prices!M18/Data_Prices!M17-1</f>
        <v>0.010062193457046</v>
      </c>
      <c r="N18" s="32" t="n">
        <f aca="false">Data_Prices!N18/Data_Prices!N17-1</f>
        <v>-0.0142707774041315</v>
      </c>
      <c r="O18" s="32" t="n">
        <f aca="false">Data_Prices!O18/Data_Prices!O17-1</f>
        <v>0.0176812891674127</v>
      </c>
      <c r="P18" s="32" t="n">
        <f aca="false">Data_Prices!P18/Data_Prices!P17-1</f>
        <v>0.00569010796615133</v>
      </c>
      <c r="Q18" s="32" t="n">
        <f aca="false">Data_Prices!Q18/Data_Prices!Q17-1</f>
        <v>-0.00874501380791648</v>
      </c>
      <c r="R18" s="32" t="n">
        <f aca="false">Data_Prices!R18/Data_Prices!R17-1</f>
        <v>0.0152198122713052</v>
      </c>
      <c r="S18" s="32" t="n">
        <f aca="false">Data_Prices!S18/Data_Prices!S17-1</f>
        <v>0.00714896262335851</v>
      </c>
      <c r="T18" s="32" t="n">
        <f aca="false">AVERAGE(D18:S18)</f>
        <v>0.00358059466495009</v>
      </c>
      <c r="U18" s="32" t="n">
        <f aca="false">AVERAGE(J18:S18)</f>
        <v>0.00552017355252829</v>
      </c>
      <c r="V18" s="32" t="n">
        <f aca="false">AVERAGE(D18:I18)</f>
        <v>0.000347963185653092</v>
      </c>
      <c r="W18" s="32" t="n">
        <f aca="false">AVERAGE(K18,Q18,R18)</f>
        <v>0.00835213284606536</v>
      </c>
      <c r="X18" s="32" t="n">
        <f aca="false">AVERAGE(K18,L18,N18,O18,P18,Q18,R18,S18)</f>
        <v>0.00529848594905556</v>
      </c>
      <c r="Y18" s="32" t="n">
        <f aca="false">AVERAGE(J18,L18,M18,N18,O18,P18,Q18,R18,S18)</f>
        <v>0.00406890393894172</v>
      </c>
      <c r="Z18" s="32" t="n">
        <f aca="false">U18-V18</f>
        <v>0.00517221036687519</v>
      </c>
      <c r="AA18" s="32" t="n">
        <f aca="false">W18-V18</f>
        <v>0.00800416966041227</v>
      </c>
    </row>
    <row r="19" customFormat="false" ht="15" hidden="false" customHeight="false" outlineLevel="0" collapsed="false">
      <c r="A19" s="28" t="n">
        <f aca="false">Data_Prices!A19</f>
        <v>44825</v>
      </c>
      <c r="B19" s="32" t="n">
        <f aca="false">Data_Prices!B19/Data_Prices!B18-1</f>
        <v>-0.00549498351224309</v>
      </c>
      <c r="C19" s="32" t="n">
        <f aca="false">Data_Prices!C19/Data_Prices!C18-1</f>
        <v>-0.00705219985326777</v>
      </c>
      <c r="D19" s="32" t="n">
        <f aca="false">Data_Prices!D19/Data_Prices!D18-1</f>
        <v>-0.0232406407487401</v>
      </c>
      <c r="E19" s="32" t="n">
        <f aca="false">Data_Prices!E19/Data_Prices!E18-1</f>
        <v>-0.0229061643229859</v>
      </c>
      <c r="F19" s="32" t="n">
        <f aca="false">Data_Prices!F19/Data_Prices!F18-1</f>
        <v>-0.00711135611907388</v>
      </c>
      <c r="G19" s="32" t="n">
        <f aca="false">Data_Prices!G19/Data_Prices!G18-1</f>
        <v>-0.00976815346592919</v>
      </c>
      <c r="H19" s="32" t="n">
        <f aca="false">Data_Prices!H19/Data_Prices!H18-1</f>
        <v>-0.0318828451882846</v>
      </c>
      <c r="I19" s="32" t="n">
        <f aca="false">Data_Prices!I19/Data_Prices!I18-1</f>
        <v>-0.026386868896738</v>
      </c>
      <c r="J19" s="32" t="n">
        <f aca="false">Data_Prices!J19/Data_Prices!J18-1</f>
        <v>-0.00489770398416056</v>
      </c>
      <c r="K19" s="32" t="n">
        <f aca="false">Data_Prices!K19/Data_Prices!K18-1</f>
        <v>0.00723934426229511</v>
      </c>
      <c r="L19" s="32" t="n">
        <f aca="false">Data_Prices!L19/Data_Prices!L18-1</f>
        <v>-0.017546090273363</v>
      </c>
      <c r="M19" s="32" t="n">
        <f aca="false">Data_Prices!M19/Data_Prices!M18-1</f>
        <v>-0.000450540648778475</v>
      </c>
      <c r="N19" s="32" t="n">
        <f aca="false">Data_Prices!N19/Data_Prices!N18-1</f>
        <v>0.0303308296542628</v>
      </c>
      <c r="O19" s="32" t="n">
        <f aca="false">Data_Prices!O19/Data_Prices!O18-1</f>
        <v>-0.0158346162304817</v>
      </c>
      <c r="P19" s="32" t="n">
        <f aca="false">Data_Prices!P19/Data_Prices!P18-1</f>
        <v>0.00236955365346492</v>
      </c>
      <c r="Q19" s="32" t="n">
        <f aca="false">Data_Prices!Q19/Data_Prices!Q18-1</f>
        <v>-0.0111437857916732</v>
      </c>
      <c r="R19" s="32" t="n">
        <f aca="false">Data_Prices!R19/Data_Prices!R18-1</f>
        <v>-0.00919348098620987</v>
      </c>
      <c r="S19" s="32" t="n">
        <f aca="false">Data_Prices!S19/Data_Prices!S18-1</f>
        <v>-0.0179770079469178</v>
      </c>
      <c r="T19" s="32" t="n">
        <f aca="false">AVERAGE(D19:S19)</f>
        <v>-0.00989997043958208</v>
      </c>
      <c r="U19" s="32" t="n">
        <f aca="false">AVERAGE(J19:S19)</f>
        <v>-0.00371034982915617</v>
      </c>
      <c r="V19" s="32" t="n">
        <f aca="false">AVERAGE(D19:I19)</f>
        <v>-0.0202160047902919</v>
      </c>
      <c r="W19" s="32" t="n">
        <f aca="false">AVERAGE(K19,Q19,R19)</f>
        <v>-0.00436597417186265</v>
      </c>
      <c r="X19" s="32" t="n">
        <f aca="false">AVERAGE(K19,L19,N19,O19,P19,Q19,R19,S19)</f>
        <v>-0.00396940670732783</v>
      </c>
      <c r="Y19" s="32" t="n">
        <f aca="false">AVERAGE(J19,L19,M19,N19,O19,P19,Q19,R19,S19)</f>
        <v>-0.00492698250598409</v>
      </c>
      <c r="Z19" s="32" t="n">
        <f aca="false">U19-V19</f>
        <v>0.0165056549611358</v>
      </c>
      <c r="AA19" s="32" t="n">
        <f aca="false">W19-V19</f>
        <v>0.0158500306184293</v>
      </c>
    </row>
    <row r="20" customFormat="false" ht="15" hidden="false" customHeight="false" outlineLevel="0" collapsed="false">
      <c r="A20" s="28" t="n">
        <f aca="false">Data_Prices!A20</f>
        <v>44826</v>
      </c>
      <c r="B20" s="32" t="n">
        <f aca="false">Data_Prices!B20/Data_Prices!B19-1</f>
        <v>-0.00499764368578337</v>
      </c>
      <c r="C20" s="32" t="n">
        <f aca="false">Data_Prices!C20/Data_Prices!C19-1</f>
        <v>-0.00168931564814068</v>
      </c>
      <c r="D20" s="32" t="n">
        <f aca="false">Data_Prices!D20/Data_Prices!D19-1</f>
        <v>0.0132673039272142</v>
      </c>
      <c r="E20" s="32" t="n">
        <f aca="false">Data_Prices!E20/Data_Prices!E19-1</f>
        <v>-0.0176502534395365</v>
      </c>
      <c r="F20" s="32" t="n">
        <f aca="false">Data_Prices!F20/Data_Prices!F19-1</f>
        <v>0.00866137360501917</v>
      </c>
      <c r="G20" s="32" t="n">
        <f aca="false">Data_Prices!G20/Data_Prices!G19-1</f>
        <v>0.00415973377703827</v>
      </c>
      <c r="H20" s="32" t="n">
        <f aca="false">Data_Prices!H20/Data_Prices!H19-1</f>
        <v>-0.00501339787362787</v>
      </c>
      <c r="I20" s="32" t="n">
        <f aca="false">Data_Prices!I20/Data_Prices!I19-1</f>
        <v>0.00533504054630818</v>
      </c>
      <c r="J20" s="32" t="n">
        <f aca="false">Data_Prices!J20/Data_Prices!J19-1</f>
        <v>-0.0138229544819884</v>
      </c>
      <c r="K20" s="32" t="n">
        <f aca="false">Data_Prices!K20/Data_Prices!K19-1</f>
        <v>0.00376292284055091</v>
      </c>
      <c r="L20" s="32" t="n">
        <f aca="false">Data_Prices!L20/Data_Prices!L19-1</f>
        <v>0.0147534618868901</v>
      </c>
      <c r="M20" s="32" t="n">
        <f aca="false">Data_Prices!M20/Data_Prices!M19-1</f>
        <v>0.00135223118144934</v>
      </c>
      <c r="N20" s="32" t="n">
        <f aca="false">Data_Prices!N20/Data_Prices!N19-1</f>
        <v>0.0386477462437398</v>
      </c>
      <c r="O20" s="32" t="n">
        <f aca="false">Data_Prices!O20/Data_Prices!O19-1</f>
        <v>-0.000223463687150871</v>
      </c>
      <c r="P20" s="32" t="n">
        <f aca="false">Data_Prices!P20/Data_Prices!P19-1</f>
        <v>-0.021323813199537</v>
      </c>
      <c r="Q20" s="32" t="n">
        <f aca="false">Data_Prices!Q20/Data_Prices!Q19-1</f>
        <v>-0.00563468461418071</v>
      </c>
      <c r="R20" s="32" t="n">
        <f aca="false">Data_Prices!R20/Data_Prices!R19-1</f>
        <v>-0.00416490932096159</v>
      </c>
      <c r="S20" s="32" t="n">
        <f aca="false">Data_Prices!S20/Data_Prices!S19-1</f>
        <v>-0.0122564424890006</v>
      </c>
      <c r="T20" s="32" t="n">
        <f aca="false">AVERAGE(D20:S20)</f>
        <v>0.000615618431389145</v>
      </c>
      <c r="U20" s="32" t="n">
        <f aca="false">AVERAGE(J20:S20)</f>
        <v>0.000109009435981089</v>
      </c>
      <c r="V20" s="32" t="n">
        <f aca="false">AVERAGE(D20:I20)</f>
        <v>0.00145996675706924</v>
      </c>
      <c r="W20" s="32" t="n">
        <f aca="false">AVERAGE(K20,Q20,R20)</f>
        <v>-0.00201222369819713</v>
      </c>
      <c r="X20" s="32" t="n">
        <f aca="false">AVERAGE(K20,L20,N20,O20,P20,Q20,R20,S20)</f>
        <v>0.00169510220754375</v>
      </c>
      <c r="Y20" s="32" t="n">
        <f aca="false">AVERAGE(J20,L20,M20,N20,O20,P20,Q20,R20,S20)</f>
        <v>-0.000296980942304447</v>
      </c>
      <c r="Z20" s="32" t="n">
        <f aca="false">U20-V20</f>
        <v>-0.00135095732108815</v>
      </c>
      <c r="AA20" s="32" t="n">
        <f aca="false">W20-V20</f>
        <v>-0.00347219045526637</v>
      </c>
    </row>
    <row r="21" customFormat="false" ht="15" hidden="false" customHeight="false" outlineLevel="0" collapsed="false">
      <c r="A21" s="28" t="n">
        <f aca="false">Data_Prices!A21</f>
        <v>44827</v>
      </c>
      <c r="B21" s="32" t="n">
        <f aca="false">Data_Prices!B21/Data_Prices!B20-1</f>
        <v>-0.0171556115214013</v>
      </c>
      <c r="C21" s="32" t="n">
        <f aca="false">Data_Prices!C21/Data_Prices!C20-1</f>
        <v>-0.0181052864958625</v>
      </c>
      <c r="D21" s="32" t="n">
        <f aca="false">Data_Prices!D21/Data_Prices!D20-1</f>
        <v>-0.0108658589256894</v>
      </c>
      <c r="E21" s="32" t="n">
        <f aca="false">Data_Prices!E21/Data_Prices!E20-1</f>
        <v>-0.0464387726895787</v>
      </c>
      <c r="F21" s="32" t="n">
        <f aca="false">Data_Prices!F21/Data_Prices!F20-1</f>
        <v>-0.0415038256178786</v>
      </c>
      <c r="G21" s="32" t="n">
        <f aca="false">Data_Prices!G21/Data_Prices!G20-1</f>
        <v>-0.048526452834655</v>
      </c>
      <c r="H21" s="32" t="n">
        <f aca="false">Data_Prices!H21/Data_Prices!H20-1</f>
        <v>-0.0298555005357195</v>
      </c>
      <c r="I21" s="32" t="n">
        <f aca="false">Data_Prices!I21/Data_Prices!I20-1</f>
        <v>0.001910422415623</v>
      </c>
      <c r="J21" s="32" t="n">
        <f aca="false">Data_Prices!J21/Data_Prices!J20-1</f>
        <v>-0.00651281325215902</v>
      </c>
      <c r="K21" s="32" t="n">
        <f aca="false">Data_Prices!K21/Data_Prices!K20-1</f>
        <v>-0.0275259109364256</v>
      </c>
      <c r="L21" s="32" t="n">
        <f aca="false">Data_Prices!L21/Data_Prices!L20-1</f>
        <v>-0.0581558474684352</v>
      </c>
      <c r="M21" s="32" t="n">
        <f aca="false">Data_Prices!M21/Data_Prices!M20-1</f>
        <v>-0.00620186055816752</v>
      </c>
      <c r="N21" s="32" t="n">
        <f aca="false">Data_Prices!N21/Data_Prices!N20-1</f>
        <v>-0.0246992954539367</v>
      </c>
      <c r="O21" s="32" t="n">
        <f aca="false">Data_Prices!O21/Data_Prices!O20-1</f>
        <v>-0.130978989718373</v>
      </c>
      <c r="P21" s="32" t="n">
        <f aca="false">Data_Prices!P21/Data_Prices!P20-1</f>
        <v>-0.0116336389628314</v>
      </c>
      <c r="Q21" s="32" t="n">
        <f aca="false">Data_Prices!Q21/Data_Prices!Q20-1</f>
        <v>-0.035573744687549</v>
      </c>
      <c r="R21" s="32" t="n">
        <f aca="false">Data_Prices!R21/Data_Prices!R20-1</f>
        <v>-0.0305998200010589</v>
      </c>
      <c r="S21" s="32" t="n">
        <f aca="false">Data_Prices!S21/Data_Prices!S20-1</f>
        <v>-0.0429923639834553</v>
      </c>
      <c r="T21" s="32" t="n">
        <f aca="false">AVERAGE(D21:S21)</f>
        <v>-0.0343846420756431</v>
      </c>
      <c r="U21" s="32" t="n">
        <f aca="false">AVERAGE(J21:S21)</f>
        <v>-0.0374874285022391</v>
      </c>
      <c r="V21" s="32" t="n">
        <f aca="false">AVERAGE(D21:I21)</f>
        <v>-0.0292133313646497</v>
      </c>
      <c r="W21" s="32" t="n">
        <f aca="false">AVERAGE(K21,Q21,R21)</f>
        <v>-0.0312331585416779</v>
      </c>
      <c r="X21" s="32" t="n">
        <f aca="false">AVERAGE(K21,L21,N21,O21,P21,Q21,R21,S21)</f>
        <v>-0.0452699514015081</v>
      </c>
      <c r="Y21" s="32" t="n">
        <f aca="false">AVERAGE(J21,L21,M21,N21,O21,P21,Q21,R21,S21)</f>
        <v>-0.0385942637873295</v>
      </c>
      <c r="Z21" s="32" t="n">
        <f aca="false">U21-V21</f>
        <v>-0.00827409713758945</v>
      </c>
      <c r="AA21" s="32" t="n">
        <f aca="false">W21-V21</f>
        <v>-0.00201982717702816</v>
      </c>
    </row>
    <row r="22" customFormat="false" ht="15" hidden="false" customHeight="false" outlineLevel="0" collapsed="false">
      <c r="A22" s="28" t="n">
        <f aca="false">Data_Prices!A22</f>
        <v>44830</v>
      </c>
      <c r="B22" s="32" t="n">
        <f aca="false">Data_Prices!B22/Data_Prices!B21-1</f>
        <v>-0.0179513889890837</v>
      </c>
      <c r="C22" s="32" t="n">
        <f aca="false">Data_Prices!C22/Data_Prices!C21-1</f>
        <v>-0.0220452726687098</v>
      </c>
      <c r="D22" s="32" t="n">
        <f aca="false">Data_Prices!D22/Data_Prices!D21-1</f>
        <v>0.00627398708431959</v>
      </c>
      <c r="E22" s="32" t="n">
        <f aca="false">Data_Prices!E22/Data_Prices!E21-1</f>
        <v>-0.0761426224756016</v>
      </c>
      <c r="F22" s="32" t="n">
        <f aca="false">Data_Prices!F22/Data_Prices!F21-1</f>
        <v>-0.0282547521966348</v>
      </c>
      <c r="G22" s="32" t="n">
        <f aca="false">Data_Prices!G22/Data_Prices!G21-1</f>
        <v>-0.0190322179375544</v>
      </c>
      <c r="H22" s="32" t="n">
        <f aca="false">Data_Prices!H22/Data_Prices!H21-1</f>
        <v>-0.0588323085188943</v>
      </c>
      <c r="I22" s="32" t="n">
        <f aca="false">Data_Prices!I22/Data_Prices!I21-1</f>
        <v>-0.0220338983050847</v>
      </c>
      <c r="J22" s="32" t="n">
        <f aca="false">Data_Prices!J22/Data_Prices!J21-1</f>
        <v>-0.0402593701011829</v>
      </c>
      <c r="K22" s="32" t="n">
        <f aca="false">Data_Prices!K22/Data_Prices!K21-1</f>
        <v>-0.0329869679467514</v>
      </c>
      <c r="L22" s="32" t="n">
        <f aca="false">Data_Prices!L22/Data_Prices!L21-1</f>
        <v>-0.0332430602572782</v>
      </c>
      <c r="M22" s="32" t="n">
        <f aca="false">Data_Prices!M22/Data_Prices!M21-1</f>
        <v>-0.0142425767488676</v>
      </c>
      <c r="N22" s="32" t="n">
        <f aca="false">Data_Prices!N22/Data_Prices!N21-1</f>
        <v>-0.0596313895679402</v>
      </c>
      <c r="O22" s="32" t="n">
        <f aca="false">Data_Prices!O22/Data_Prices!O21-1</f>
        <v>-0.0573559670781894</v>
      </c>
      <c r="P22" s="32" t="n">
        <f aca="false">Data_Prices!P22/Data_Prices!P21-1</f>
        <v>-0.0461845386533666</v>
      </c>
      <c r="Q22" s="32" t="n">
        <f aca="false">Data_Prices!Q22/Data_Prices!Q21-1</f>
        <v>-0.0690386812469399</v>
      </c>
      <c r="R22" s="32" t="n">
        <f aca="false">Data_Prices!R22/Data_Prices!R21-1</f>
        <v>-0.0435257495494511</v>
      </c>
      <c r="S22" s="32" t="n">
        <f aca="false">Data_Prices!S22/Data_Prices!S21-1</f>
        <v>-0.0234384740057348</v>
      </c>
      <c r="T22" s="32" t="n">
        <f aca="false">AVERAGE(D22:S22)</f>
        <v>-0.038620536719072</v>
      </c>
      <c r="U22" s="32" t="n">
        <f aca="false">AVERAGE(J22:S22)</f>
        <v>-0.0419906775155702</v>
      </c>
      <c r="V22" s="32" t="n">
        <f aca="false">AVERAGE(D22:I22)</f>
        <v>-0.033003635391575</v>
      </c>
      <c r="W22" s="32" t="n">
        <f aca="false">AVERAGE(K22,Q22,R22)</f>
        <v>-0.0485171329143808</v>
      </c>
      <c r="X22" s="32" t="n">
        <f aca="false">AVERAGE(K22,L22,N22,O22,P22,Q22,R22,S22)</f>
        <v>-0.0456756035382065</v>
      </c>
      <c r="Y22" s="32" t="n">
        <f aca="false">AVERAGE(J22,L22,M22,N22,O22,P22,Q22,R22,S22)</f>
        <v>-0.0429910896898834</v>
      </c>
      <c r="Z22" s="32" t="n">
        <f aca="false">U22-V22</f>
        <v>-0.00898704212399518</v>
      </c>
      <c r="AA22" s="32" t="n">
        <f aca="false">W22-V22</f>
        <v>-0.0155134975228058</v>
      </c>
    </row>
    <row r="23" customFormat="false" ht="15" hidden="false" customHeight="false" outlineLevel="0" collapsed="false">
      <c r="A23" s="28" t="n">
        <f aca="false">Data_Prices!A23</f>
        <v>44831</v>
      </c>
      <c r="B23" s="32" t="n">
        <f aca="false">Data_Prices!B23/Data_Prices!B22-1</f>
        <v>-0.000523027920288022</v>
      </c>
      <c r="C23" s="32" t="n">
        <f aca="false">Data_Prices!C23/Data_Prices!C22-1</f>
        <v>0.00010865357843759</v>
      </c>
      <c r="D23" s="32" t="n">
        <f aca="false">Data_Prices!D23/Data_Prices!D22-1</f>
        <v>-0.00283195541954062</v>
      </c>
      <c r="E23" s="32" t="n">
        <f aca="false">Data_Prices!E23/Data_Prices!E22-1</f>
        <v>-0.0337830770839871</v>
      </c>
      <c r="F23" s="32" t="n">
        <f aca="false">Data_Prices!F23/Data_Prices!F22-1</f>
        <v>0.0218663199574494</v>
      </c>
      <c r="G23" s="32" t="n">
        <f aca="false">Data_Prices!G23/Data_Prices!G22-1</f>
        <v>0.00672077098655843</v>
      </c>
      <c r="H23" s="32" t="n">
        <f aca="false">Data_Prices!H23/Data_Prices!H22-1</f>
        <v>0.0303510830611144</v>
      </c>
      <c r="I23" s="32" t="n">
        <f aca="false">Data_Prices!I23/Data_Prices!I22-1</f>
        <v>-0.0080155979202774</v>
      </c>
      <c r="J23" s="32" t="n">
        <f aca="false">Data_Prices!J23/Data_Prices!J22-1</f>
        <v>-0.00631078773479843</v>
      </c>
      <c r="K23" s="32" t="n">
        <f aca="false">Data_Prices!K23/Data_Prices!K22-1</f>
        <v>-0.00228978150518666</v>
      </c>
      <c r="L23" s="32" t="n">
        <f aca="false">Data_Prices!L23/Data_Prices!L22-1</f>
        <v>0.00938441067301632</v>
      </c>
      <c r="M23" s="32" t="n">
        <f aca="false">Data_Prices!M23/Data_Prices!M22-1</f>
        <v>0.0127125134017461</v>
      </c>
      <c r="N23" s="32" t="n">
        <f aca="false">Data_Prices!N23/Data_Prices!N22-1</f>
        <v>0.0146045098726486</v>
      </c>
      <c r="O23" s="32" t="n">
        <f aca="false">Data_Prices!O23/Data_Prices!O22-1</f>
        <v>-0.00136425648021832</v>
      </c>
      <c r="P23" s="32" t="n">
        <f aca="false">Data_Prices!P23/Data_Prices!P22-1</f>
        <v>0.0584082827860279</v>
      </c>
      <c r="Q23" s="32" t="n">
        <f aca="false">Data_Prices!Q23/Data_Prices!Q22-1</f>
        <v>0.0187587657784012</v>
      </c>
      <c r="R23" s="32" t="n">
        <f aca="false">Data_Prices!R23/Data_Prices!R22-1</f>
        <v>0.0328308781546192</v>
      </c>
      <c r="S23" s="32" t="n">
        <f aca="false">Data_Prices!S23/Data_Prices!S22-1</f>
        <v>-0.00842589046342401</v>
      </c>
      <c r="T23" s="32" t="n">
        <f aca="false">AVERAGE(D23:S23)</f>
        <v>0.00891351175400931</v>
      </c>
      <c r="U23" s="32" t="n">
        <f aca="false">AVERAGE(J23:S23)</f>
        <v>0.0128308644482832</v>
      </c>
      <c r="V23" s="32" t="n">
        <f aca="false">AVERAGE(D23:I23)</f>
        <v>0.00238459059688619</v>
      </c>
      <c r="W23" s="32" t="n">
        <f aca="false">AVERAGE(K23,Q23,R23)</f>
        <v>0.0164332874759446</v>
      </c>
      <c r="X23" s="32" t="n">
        <f aca="false">AVERAGE(K23,L23,N23,O23,P23,Q23,R23,S23)</f>
        <v>0.0152383648519855</v>
      </c>
      <c r="Y23" s="32" t="n">
        <f aca="false">AVERAGE(J23,L23,M23,N23,O23,P23,Q23,R23,S23)</f>
        <v>0.0145109362208909</v>
      </c>
      <c r="Z23" s="32" t="n">
        <f aca="false">U23-V23</f>
        <v>0.010446273851397</v>
      </c>
      <c r="AA23" s="32" t="n">
        <f aca="false">W23-V23</f>
        <v>0.0140486968790584</v>
      </c>
    </row>
    <row r="24" customFormat="false" ht="15" hidden="false" customHeight="false" outlineLevel="0" collapsed="false">
      <c r="A24" s="28" t="n">
        <f aca="false">Data_Prices!A24</f>
        <v>44832</v>
      </c>
      <c r="B24" s="32" t="n">
        <f aca="false">Data_Prices!B24/Data_Prices!B23-1</f>
        <v>-0.00874913273045863</v>
      </c>
      <c r="C24" s="32" t="n">
        <f aca="false">Data_Prices!C24/Data_Prices!C23-1</f>
        <v>-0.00724504831163886</v>
      </c>
      <c r="D24" s="32" t="n">
        <f aca="false">Data_Prices!D24/Data_Prices!D23-1</f>
        <v>0.00453483578397695</v>
      </c>
      <c r="E24" s="32" t="n">
        <f aca="false">Data_Prices!E24/Data_Prices!E23-1</f>
        <v>0.00422169300714459</v>
      </c>
      <c r="F24" s="32" t="n">
        <f aca="false">Data_Prices!F24/Data_Prices!F23-1</f>
        <v>0.0106992076802961</v>
      </c>
      <c r="G24" s="32" t="n">
        <f aca="false">Data_Prices!G24/Data_Prices!G23-1</f>
        <v>-0.00226728807154553</v>
      </c>
      <c r="H24" s="32" t="n">
        <f aca="false">Data_Prices!H24/Data_Prices!H23-1</f>
        <v>-0.0365981285397685</v>
      </c>
      <c r="I24" s="32" t="n">
        <f aca="false">Data_Prices!I24/Data_Prices!I23-1</f>
        <v>-0.00502293077091054</v>
      </c>
      <c r="J24" s="32" t="n">
        <f aca="false">Data_Prices!J24/Data_Prices!J23-1</f>
        <v>-0.0320905558876271</v>
      </c>
      <c r="K24" s="32" t="n">
        <f aca="false">Data_Prices!K24/Data_Prices!K23-1</f>
        <v>-0.00557168533112118</v>
      </c>
      <c r="L24" s="32" t="n">
        <f aca="false">Data_Prices!L24/Data_Prices!L23-1</f>
        <v>-0.00111010892943864</v>
      </c>
      <c r="M24" s="32" t="n">
        <f aca="false">Data_Prices!M24/Data_Prices!M23-1</f>
        <v>-0.00413389796329899</v>
      </c>
      <c r="N24" s="32" t="n">
        <f aca="false">Data_Prices!N24/Data_Prices!N23-1</f>
        <v>-0.0177625518194381</v>
      </c>
      <c r="O24" s="32" t="n">
        <f aca="false">Data_Prices!O24/Data_Prices!O23-1</f>
        <v>-0.0289617486338798</v>
      </c>
      <c r="P24" s="32" t="n">
        <f aca="false">Data_Prices!P24/Data_Prices!P23-1</f>
        <v>0.0361642211353195</v>
      </c>
      <c r="Q24" s="32" t="n">
        <f aca="false">Data_Prices!Q24/Data_Prices!Q23-1</f>
        <v>-0.00326966098778181</v>
      </c>
      <c r="R24" s="32" t="n">
        <f aca="false">Data_Prices!R24/Data_Prices!R23-1</f>
        <v>-0.00768422798385759</v>
      </c>
      <c r="S24" s="32" t="n">
        <f aca="false">Data_Prices!S24/Data_Prices!S23-1</f>
        <v>0.0084545727651173</v>
      </c>
      <c r="T24" s="32" t="n">
        <f aca="false">AVERAGE(D24:S24)</f>
        <v>-0.00502489090917584</v>
      </c>
      <c r="U24" s="32" t="n">
        <f aca="false">AVERAGE(J24:S24)</f>
        <v>-0.00559656436360064</v>
      </c>
      <c r="V24" s="32" t="n">
        <f aca="false">AVERAGE(D24:I24)</f>
        <v>-0.00407210181846783</v>
      </c>
      <c r="W24" s="32" t="n">
        <f aca="false">AVERAGE(K24,Q24,R24)</f>
        <v>-0.00550852476758686</v>
      </c>
      <c r="X24" s="32" t="n">
        <f aca="false">AVERAGE(K24,L24,N24,O24,P24,Q24,R24,S24)</f>
        <v>-0.00246764872313504</v>
      </c>
      <c r="Y24" s="32" t="n">
        <f aca="false">AVERAGE(J24,L24,M24,N24,O24,P24,Q24,R24,S24)</f>
        <v>-0.00559932870054281</v>
      </c>
      <c r="Z24" s="32" t="n">
        <f aca="false">U24-V24</f>
        <v>-0.00152446254513282</v>
      </c>
      <c r="AA24" s="32" t="n">
        <f aca="false">W24-V24</f>
        <v>-0.00143642294911903</v>
      </c>
    </row>
    <row r="25" customFormat="false" ht="15" hidden="false" customHeight="false" outlineLevel="0" collapsed="false">
      <c r="A25" s="28" t="n">
        <f aca="false">Data_Prices!A25</f>
        <v>44833</v>
      </c>
      <c r="B25" s="32" t="n">
        <f aca="false">Data_Prices!B25/Data_Prices!B24-1</f>
        <v>-0.00240233471343998</v>
      </c>
      <c r="C25" s="32" t="n">
        <f aca="false">Data_Prices!C25/Data_Prices!C24-1</f>
        <v>-0.00123797928949565</v>
      </c>
      <c r="D25" s="32" t="n">
        <f aca="false">Data_Prices!D25/Data_Prices!D24-1</f>
        <v>-0.0143638850889193</v>
      </c>
      <c r="E25" s="32" t="n">
        <f aca="false">Data_Prices!E25/Data_Prices!E24-1</f>
        <v>0.0144443246739248</v>
      </c>
      <c r="F25" s="32" t="n">
        <f aca="false">Data_Prices!F25/Data_Prices!F24-1</f>
        <v>0.0143625543602657</v>
      </c>
      <c r="G25" s="32" t="n">
        <f aca="false">Data_Prices!G25/Data_Prices!G24-1</f>
        <v>-0.00277742709253892</v>
      </c>
      <c r="H25" s="32" t="n">
        <f aca="false">Data_Prices!H25/Data_Prices!H24-1</f>
        <v>-0.00712482826927385</v>
      </c>
      <c r="I25" s="32" t="n">
        <f aca="false">Data_Prices!I25/Data_Prices!I24-1</f>
        <v>0.00658472344161543</v>
      </c>
      <c r="J25" s="32" t="n">
        <f aca="false">Data_Prices!J25/Data_Prices!J24-1</f>
        <v>0.0183333976610445</v>
      </c>
      <c r="K25" s="32" t="n">
        <f aca="false">Data_Prices!K25/Data_Prices!K24-1</f>
        <v>-0.0135693133315723</v>
      </c>
      <c r="L25" s="32" t="n">
        <f aca="false">Data_Prices!L25/Data_Prices!L24-1</f>
        <v>0.0108355907480724</v>
      </c>
      <c r="M25" s="32" t="n">
        <f aca="false">Data_Prices!M25/Data_Prices!M24-1</f>
        <v>0.0129594006277209</v>
      </c>
      <c r="N25" s="32" t="n">
        <f aca="false">Data_Prices!N25/Data_Prices!N24-1</f>
        <v>0.00996512207274525</v>
      </c>
      <c r="O25" s="32" t="n">
        <f aca="false">Data_Prices!O25/Data_Prices!O24-1</f>
        <v>0.023072594259989</v>
      </c>
      <c r="P25" s="32" t="n">
        <f aca="false">Data_Prices!P25/Data_Prices!P24-1</f>
        <v>-0.0145901873837793</v>
      </c>
      <c r="Q25" s="32" t="n">
        <f aca="false">Data_Prices!Q25/Data_Prices!Q24-1</f>
        <v>0.0112223756906078</v>
      </c>
      <c r="R25" s="32" t="n">
        <f aca="false">Data_Prices!R25/Data_Prices!R24-1</f>
        <v>0.00657381615598873</v>
      </c>
      <c r="S25" s="32" t="n">
        <f aca="false">Data_Prices!S25/Data_Prices!S24-1</f>
        <v>0.029236530768576</v>
      </c>
      <c r="T25" s="32" t="n">
        <f aca="false">AVERAGE(D25:S25)</f>
        <v>0.00657279933090418</v>
      </c>
      <c r="U25" s="32" t="n">
        <f aca="false">AVERAGE(J25:S25)</f>
        <v>0.0094039327269393</v>
      </c>
      <c r="V25" s="32" t="n">
        <f aca="false">AVERAGE(D25:I25)</f>
        <v>0.00185424367084563</v>
      </c>
      <c r="W25" s="32" t="n">
        <f aca="false">AVERAGE(K25,Q25,R25)</f>
        <v>0.00140895950500808</v>
      </c>
      <c r="X25" s="32" t="n">
        <f aca="false">AVERAGE(K25,L25,N25,O25,P25,Q25,R25,S25)</f>
        <v>0.00784331612257845</v>
      </c>
      <c r="Y25" s="32" t="n">
        <f aca="false">AVERAGE(J25,L25,M25,N25,O25,P25,Q25,R25,S25)</f>
        <v>0.0119565156223295</v>
      </c>
      <c r="Z25" s="32" t="n">
        <f aca="false">U25-V25</f>
        <v>0.00754968905609367</v>
      </c>
      <c r="AA25" s="32" t="n">
        <f aca="false">W25-V25</f>
        <v>-0.000445284165837556</v>
      </c>
    </row>
    <row r="26" customFormat="false" ht="15" hidden="false" customHeight="false" outlineLevel="0" collapsed="false">
      <c r="A26" s="28" t="n">
        <f aca="false">Data_Prices!A26</f>
        <v>44834</v>
      </c>
      <c r="B26" s="32" t="n">
        <f aca="false">Data_Prices!B26/Data_Prices!B25-1</f>
        <v>0.0164257555847569</v>
      </c>
      <c r="C26" s="32" t="n">
        <f aca="false">Data_Prices!C26/Data_Prices!C25-1</f>
        <v>0.0155350111282315</v>
      </c>
      <c r="D26" s="32" t="n">
        <f aca="false">Data_Prices!D26/Data_Prices!D25-1</f>
        <v>0.0371038630580614</v>
      </c>
      <c r="E26" s="32" t="n">
        <f aca="false">Data_Prices!E26/Data_Prices!E25-1</f>
        <v>0.019657847200085</v>
      </c>
      <c r="F26" s="32" t="n">
        <f aca="false">Data_Prices!F26/Data_Prices!F25-1</f>
        <v>-0.014441247814069</v>
      </c>
      <c r="G26" s="32" t="n">
        <f aca="false">Data_Prices!G26/Data_Prices!G25-1</f>
        <v>0.0478541587542727</v>
      </c>
      <c r="H26" s="32" t="n">
        <f aca="false">Data_Prices!H26/Data_Prices!H25-1</f>
        <v>0.0456944265671257</v>
      </c>
      <c r="I26" s="32" t="n">
        <f aca="false">Data_Prices!I26/Data_Prices!I25-1</f>
        <v>0.00283471434801563</v>
      </c>
      <c r="J26" s="32" t="n">
        <f aca="false">Data_Prices!J26/Data_Prices!J25-1</f>
        <v>0.033164038811401</v>
      </c>
      <c r="K26" s="32" t="n">
        <f aca="false">Data_Prices!K26/Data_Prices!K25-1</f>
        <v>0.0325153979506985</v>
      </c>
      <c r="L26" s="32" t="n">
        <f aca="false">Data_Prices!L26/Data_Prices!L25-1</f>
        <v>0.0062530062530064</v>
      </c>
      <c r="M26" s="32" t="n">
        <f aca="false">Data_Prices!M26/Data_Prices!M25-1</f>
        <v>-0.00639680159920042</v>
      </c>
      <c r="N26" s="32" t="n">
        <f aca="false">Data_Prices!N26/Data_Prices!N25-1</f>
        <v>-0.00858991845381463</v>
      </c>
      <c r="O26" s="32" t="n">
        <f aca="false">Data_Prices!O26/Data_Prices!O25-1</f>
        <v>0.0189768976897688</v>
      </c>
      <c r="P26" s="32" t="n">
        <f aca="false">Data_Prices!P26/Data_Prices!P25-1</f>
        <v>0.00648376639086479</v>
      </c>
      <c r="Q26" s="32" t="n">
        <f aca="false">Data_Prices!Q26/Data_Prices!Q25-1</f>
        <v>0.0442205907461157</v>
      </c>
      <c r="R26" s="32" t="n">
        <f aca="false">Data_Prices!R26/Data_Prices!R25-1</f>
        <v>0.0111799867168474</v>
      </c>
      <c r="S26" s="32" t="n">
        <f aca="false">Data_Prices!S26/Data_Prices!S25-1</f>
        <v>-0.00967541864792232</v>
      </c>
      <c r="T26" s="32" t="n">
        <f aca="false">AVERAGE(D26:S26)</f>
        <v>0.0166772067482035</v>
      </c>
      <c r="U26" s="32" t="n">
        <f aca="false">AVERAGE(J26:S26)</f>
        <v>0.0128131545857765</v>
      </c>
      <c r="V26" s="32" t="n">
        <f aca="false">AVERAGE(D26:I26)</f>
        <v>0.0231172936855819</v>
      </c>
      <c r="W26" s="32" t="n">
        <f aca="false">AVERAGE(K26,Q26,R26)</f>
        <v>0.0293053251378872</v>
      </c>
      <c r="X26" s="32" t="n">
        <f aca="false">AVERAGE(K26,L26,N26,O26,P26,Q26,R26,S26)</f>
        <v>0.0126705385806956</v>
      </c>
      <c r="Y26" s="32" t="n">
        <f aca="false">AVERAGE(J26,L26,M26,N26,O26,P26,Q26,R26,S26)</f>
        <v>0.0106240164341185</v>
      </c>
      <c r="Z26" s="32" t="n">
        <f aca="false">U26-V26</f>
        <v>-0.0103041390998054</v>
      </c>
      <c r="AA26" s="32" t="n">
        <f aca="false">W26-V26</f>
        <v>0.00618803145230529</v>
      </c>
    </row>
    <row r="27" customFormat="false" ht="15" hidden="false" customHeight="false" outlineLevel="0" collapsed="false">
      <c r="A27" s="28" t="n">
        <f aca="false">Data_Prices!A27</f>
        <v>44837</v>
      </c>
      <c r="B27" s="32" t="n">
        <f aca="false">Data_Prices!B27/Data_Prices!B26-1</f>
        <v>-0.0121092641720802</v>
      </c>
      <c r="C27" s="32" t="n">
        <f aca="false">Data_Prices!C27/Data_Prices!C26-1</f>
        <v>-0.0128697481683284</v>
      </c>
      <c r="D27" s="32" t="n">
        <f aca="false">Data_Prices!D27/Data_Prices!D26-1</f>
        <v>-0.00504081723691829</v>
      </c>
      <c r="E27" s="32" t="n">
        <f aca="false">Data_Prices!E27/Data_Prices!E26-1</f>
        <v>0.00229262192580237</v>
      </c>
      <c r="F27" s="32" t="n">
        <f aca="false">Data_Prices!F27/Data_Prices!F26-1</f>
        <v>-0.00017171312460651</v>
      </c>
      <c r="G27" s="32" t="n">
        <f aca="false">Data_Prices!G27/Data_Prices!G26-1</f>
        <v>-0.0279086625588981</v>
      </c>
      <c r="H27" s="32" t="n">
        <f aca="false">Data_Prices!H27/Data_Prices!H26-1</f>
        <v>-0.00304652880354495</v>
      </c>
      <c r="I27" s="32" t="n">
        <f aca="false">Data_Prices!I27/Data_Prices!I26-1</f>
        <v>0.0100021743857361</v>
      </c>
      <c r="J27" s="32" t="n">
        <f aca="false">Data_Prices!J27/Data_Prices!J26-1</f>
        <v>-0.017535492864742</v>
      </c>
      <c r="K27" s="32" t="n">
        <f aca="false">Data_Prices!K27/Data_Prices!K26-1</f>
        <v>-0.0223456823828114</v>
      </c>
      <c r="L27" s="32" t="n">
        <f aca="false">Data_Prices!L27/Data_Prices!L26-1</f>
        <v>-0.0445916416279706</v>
      </c>
      <c r="M27" s="32" t="n">
        <f aca="false">Data_Prices!M27/Data_Prices!M26-1</f>
        <v>0.000402374006639228</v>
      </c>
      <c r="N27" s="32" t="n">
        <f aca="false">Data_Prices!N27/Data_Prices!N26-1</f>
        <v>0.0171823317624331</v>
      </c>
      <c r="O27" s="32" t="n">
        <f aca="false">Data_Prices!O27/Data_Prices!O26-1</f>
        <v>-0.029689608636977</v>
      </c>
      <c r="P27" s="32" t="n">
        <f aca="false">Data_Prices!P27/Data_Prices!P26-1</f>
        <v>-0.0100475938656796</v>
      </c>
      <c r="Q27" s="32" t="n">
        <f aca="false">Data_Prices!Q27/Data_Prices!Q26-1</f>
        <v>0.00245258338783527</v>
      </c>
      <c r="R27" s="32" t="n">
        <f aca="false">Data_Prices!R27/Data_Prices!R26-1</f>
        <v>-0.0374931581828134</v>
      </c>
      <c r="S27" s="32" t="n">
        <f aca="false">Data_Prices!S27/Data_Prices!S26-1</f>
        <v>-0.0232975658636382</v>
      </c>
      <c r="T27" s="32" t="n">
        <f aca="false">AVERAGE(D27:S27)</f>
        <v>-0.0118022737300096</v>
      </c>
      <c r="U27" s="32" t="n">
        <f aca="false">AVERAGE(J27:S27)</f>
        <v>-0.0164963454267725</v>
      </c>
      <c r="V27" s="32" t="n">
        <f aca="false">AVERAGE(D27:I27)</f>
        <v>-0.00397882090207156</v>
      </c>
      <c r="W27" s="32" t="n">
        <f aca="false">AVERAGE(K27,Q27,R27)</f>
        <v>-0.0191287523925965</v>
      </c>
      <c r="X27" s="32" t="n">
        <f aca="false">AVERAGE(K27,L27,N27,O27,P27,Q27,R27,S27)</f>
        <v>-0.0184787919262027</v>
      </c>
      <c r="Y27" s="32" t="n">
        <f aca="false">AVERAGE(J27,L27,M27,N27,O27,P27,Q27,R27,S27)</f>
        <v>-0.0158464190983237</v>
      </c>
      <c r="Z27" s="32" t="n">
        <f aca="false">U27-V27</f>
        <v>-0.0125175245247009</v>
      </c>
      <c r="AA27" s="32" t="n">
        <f aca="false">W27-V27</f>
        <v>-0.015149931490525</v>
      </c>
    </row>
    <row r="28" customFormat="false" ht="15" hidden="false" customHeight="false" outlineLevel="0" collapsed="false">
      <c r="A28" s="28" t="n">
        <f aca="false">Data_Prices!A28</f>
        <v>44838</v>
      </c>
      <c r="B28" s="32" t="n">
        <f aca="false">Data_Prices!B28/Data_Prices!B27-1</f>
        <v>0.0229136010090394</v>
      </c>
      <c r="C28" s="32" t="n">
        <f aca="false">Data_Prices!C28/Data_Prices!C27-1</f>
        <v>0.0223588482426478</v>
      </c>
      <c r="D28" s="32" t="n">
        <f aca="false">Data_Prices!D28/Data_Prices!D27-1</f>
        <v>-0.015400824964132</v>
      </c>
      <c r="E28" s="32" t="n">
        <f aca="false">Data_Prices!E28/Data_Prices!E27-1</f>
        <v>0.0299438552713662</v>
      </c>
      <c r="F28" s="32" t="n">
        <f aca="false">Data_Prices!F28/Data_Prices!F27-1</f>
        <v>0.00858713075337758</v>
      </c>
      <c r="G28" s="32" t="n">
        <f aca="false">Data_Prices!G28/Data_Prices!G27-1</f>
        <v>0.0381556052696992</v>
      </c>
      <c r="H28" s="32" t="n">
        <f aca="false">Data_Prices!H28/Data_Prices!H27-1</f>
        <v>0.0127789610149087</v>
      </c>
      <c r="I28" s="32" t="n">
        <f aca="false">Data_Prices!I28/Data_Prices!I27-1</f>
        <v>0.00839612486544672</v>
      </c>
      <c r="J28" s="32" t="n">
        <f aca="false">Data_Prices!J28/Data_Prices!J27-1</f>
        <v>0.0209850266980323</v>
      </c>
      <c r="K28" s="32" t="n">
        <f aca="false">Data_Prices!K28/Data_Prices!K27-1</f>
        <v>0.0441769871964925</v>
      </c>
      <c r="L28" s="32" t="n">
        <f aca="false">Data_Prices!L28/Data_Prices!L27-1</f>
        <v>0.0546065327710672</v>
      </c>
      <c r="M28" s="32" t="n">
        <f aca="false">Data_Prices!M28/Data_Prices!M27-1</f>
        <v>0.00201106083459024</v>
      </c>
      <c r="N28" s="32" t="n">
        <f aca="false">Data_Prices!N28/Data_Prices!N27-1</f>
        <v>-0.00670503597122296</v>
      </c>
      <c r="O28" s="32" t="n">
        <f aca="false">Data_Prices!O28/Data_Prices!O27-1</f>
        <v>0.114881780250348</v>
      </c>
      <c r="P28" s="32" t="n">
        <f aca="false">Data_Prices!P28/Data_Prices!P27-1</f>
        <v>0.0101495726495726</v>
      </c>
      <c r="Q28" s="32" t="n">
        <f aca="false">Data_Prices!Q28/Data_Prices!Q27-1</f>
        <v>0.0303376284456043</v>
      </c>
      <c r="R28" s="32" t="n">
        <f aca="false">Data_Prices!R28/Data_Prices!R27-1</f>
        <v>0.017401194199602</v>
      </c>
      <c r="S28" s="32" t="n">
        <f aca="false">Data_Prices!S28/Data_Prices!S27-1</f>
        <v>0.0258196896507501</v>
      </c>
      <c r="T28" s="32" t="n">
        <f aca="false">AVERAGE(D28:S28)</f>
        <v>0.0247578305584689</v>
      </c>
      <c r="U28" s="32" t="n">
        <f aca="false">AVERAGE(J28:S28)</f>
        <v>0.0313664436724836</v>
      </c>
      <c r="V28" s="32" t="n">
        <f aca="false">AVERAGE(D28:I28)</f>
        <v>0.0137434753684444</v>
      </c>
      <c r="W28" s="32" t="n">
        <f aca="false">AVERAGE(K28,Q28,R28)</f>
        <v>0.0306386032805663</v>
      </c>
      <c r="X28" s="32" t="n">
        <f aca="false">AVERAGE(K28,L28,N28,O28,P28,Q28,R28,S28)</f>
        <v>0.0363335436490267</v>
      </c>
      <c r="Y28" s="32" t="n">
        <f aca="false">AVERAGE(J28,L28,M28,N28,O28,P28,Q28,R28,S28)</f>
        <v>0.0299430499475937</v>
      </c>
      <c r="Z28" s="32" t="n">
        <f aca="false">U28-V28</f>
        <v>0.0176229683040392</v>
      </c>
      <c r="AA28" s="32" t="n">
        <f aca="false">W28-V28</f>
        <v>0.0168951279121219</v>
      </c>
    </row>
    <row r="29" customFormat="false" ht="15" hidden="false" customHeight="false" outlineLevel="0" collapsed="false">
      <c r="A29" s="28" t="n">
        <f aca="false">Data_Prices!A29</f>
        <v>44840</v>
      </c>
      <c r="B29" s="32" t="n">
        <f aca="false">Data_Prices!B29/Data_Prices!B28-1</f>
        <v>0.00332864428659918</v>
      </c>
      <c r="C29" s="32" t="n">
        <f aca="false">Data_Prices!C29/Data_Prices!C28-1</f>
        <v>0.00582995897312544</v>
      </c>
      <c r="D29" s="32" t="n">
        <f aca="false">Data_Prices!D29/Data_Prices!D28-1</f>
        <v>-0.00742241752236983</v>
      </c>
      <c r="E29" s="32" t="n">
        <f aca="false">Data_Prices!E29/Data_Prices!E28-1</f>
        <v>0.0120129214617404</v>
      </c>
      <c r="F29" s="32" t="n">
        <f aca="false">Data_Prices!F29/Data_Prices!F28-1</f>
        <v>0.00578953343171751</v>
      </c>
      <c r="G29" s="32" t="n">
        <f aca="false">Data_Prices!G29/Data_Prices!G28-1</f>
        <v>0.0211899916197773</v>
      </c>
      <c r="H29" s="32" t="n">
        <f aca="false">Data_Prices!H29/Data_Prices!H28-1</f>
        <v>0.0143854195239401</v>
      </c>
      <c r="I29" s="32" t="n">
        <f aca="false">Data_Prices!I29/Data_Prices!I28-1</f>
        <v>-0.00320239111870202</v>
      </c>
      <c r="J29" s="32" t="n">
        <f aca="false">Data_Prices!J29/Data_Prices!J28-1</f>
        <v>0.0273927513440366</v>
      </c>
      <c r="K29" s="32" t="n">
        <f aca="false">Data_Prices!K29/Data_Prices!K28-1</f>
        <v>-0.0112856856321456</v>
      </c>
      <c r="L29" s="32" t="n">
        <f aca="false">Data_Prices!L29/Data_Prices!L28-1</f>
        <v>-0.012267028126059</v>
      </c>
      <c r="M29" s="32" t="n">
        <f aca="false">Data_Prices!M29/Data_Prices!M28-1</f>
        <v>0.00456598093326632</v>
      </c>
      <c r="N29" s="32" t="n">
        <f aca="false">Data_Prices!N29/Data_Prices!N28-1</f>
        <v>0.0488454964220528</v>
      </c>
      <c r="O29" s="32" t="n">
        <f aca="false">Data_Prices!O29/Data_Prices!O28-1</f>
        <v>-0.000748502994011968</v>
      </c>
      <c r="P29" s="32" t="n">
        <f aca="false">Data_Prices!P29/Data_Prices!P28-1</f>
        <v>0.00374981972020594</v>
      </c>
      <c r="Q29" s="32" t="n">
        <f aca="false">Data_Prices!Q29/Data_Prices!Q28-1</f>
        <v>0.0196295709988918</v>
      </c>
      <c r="R29" s="32" t="n">
        <f aca="false">Data_Prices!R29/Data_Prices!R28-1</f>
        <v>-0.00916662008831248</v>
      </c>
      <c r="S29" s="32" t="n">
        <f aca="false">Data_Prices!S29/Data_Prices!S28-1</f>
        <v>-0.00175021877734716</v>
      </c>
      <c r="T29" s="32" t="n">
        <f aca="false">AVERAGE(D29:S29)</f>
        <v>0.00698241382479255</v>
      </c>
      <c r="U29" s="32" t="n">
        <f aca="false">AVERAGE(J29:S29)</f>
        <v>0.00689655638005774</v>
      </c>
      <c r="V29" s="32" t="n">
        <f aca="false">AVERAGE(D29:I29)</f>
        <v>0.00712550956601725</v>
      </c>
      <c r="W29" s="32" t="n">
        <f aca="false">AVERAGE(K29,Q29,R29)</f>
        <v>-0.000274244907188748</v>
      </c>
      <c r="X29" s="32" t="n">
        <f aca="false">AVERAGE(K29,L29,N29,O29,P29,Q29,R29,S29)</f>
        <v>0.00462585394040931</v>
      </c>
      <c r="Y29" s="32" t="n">
        <f aca="false">AVERAGE(J29,L29,M29,N29,O29,P29,Q29,R29,S29)</f>
        <v>0.00891680549252478</v>
      </c>
      <c r="Z29" s="32" t="n">
        <f aca="false">U29-V29</f>
        <v>-0.000228953185959506</v>
      </c>
      <c r="AA29" s="32" t="n">
        <f aca="false">W29-V29</f>
        <v>-0.00739975447320599</v>
      </c>
    </row>
    <row r="30" customFormat="false" ht="15" hidden="false" customHeight="false" outlineLevel="0" collapsed="false">
      <c r="A30" s="28" t="n">
        <f aca="false">Data_Prices!A30</f>
        <v>44841</v>
      </c>
      <c r="B30" s="32" t="n">
        <f aca="false">Data_Prices!B30/Data_Prices!B29-1</f>
        <v>-0.000989510610553857</v>
      </c>
      <c r="C30" s="32" t="n">
        <f aca="false">Data_Prices!C30/Data_Prices!C29-1</f>
        <v>-0.00108615861901729</v>
      </c>
      <c r="D30" s="32" t="n">
        <f aca="false">Data_Prices!D30/Data_Prices!D29-1</f>
        <v>-0.0399357724509692</v>
      </c>
      <c r="E30" s="32" t="n">
        <f aca="false">Data_Prices!E30/Data_Prices!E29-1</f>
        <v>-0.00109725685785533</v>
      </c>
      <c r="F30" s="32" t="n">
        <f aca="false">Data_Prices!F30/Data_Prices!F29-1</f>
        <v>-0.00891647855530475</v>
      </c>
      <c r="G30" s="32" t="n">
        <f aca="false">Data_Prices!G30/Data_Prices!G29-1</f>
        <v>-0.00222743259085578</v>
      </c>
      <c r="H30" s="32" t="n">
        <f aca="false">Data_Prices!H30/Data_Prices!H29-1</f>
        <v>0.0251179280713878</v>
      </c>
      <c r="I30" s="32" t="n">
        <f aca="false">Data_Prices!I30/Data_Prices!I29-1</f>
        <v>-0.00428357249946454</v>
      </c>
      <c r="J30" s="32" t="n">
        <f aca="false">Data_Prices!J30/Data_Prices!J29-1</f>
        <v>-0.0327139399117186</v>
      </c>
      <c r="K30" s="32" t="n">
        <f aca="false">Data_Prices!K30/Data_Prices!K29-1</f>
        <v>-0.0079658105787046</v>
      </c>
      <c r="L30" s="32" t="n">
        <f aca="false">Data_Prices!L30/Data_Prices!L29-1</f>
        <v>0.0115959928640044</v>
      </c>
      <c r="M30" s="32" t="n">
        <f aca="false">Data_Prices!M30/Data_Prices!M29-1</f>
        <v>-0.00144847909694812</v>
      </c>
      <c r="N30" s="32" t="n">
        <f aca="false">Data_Prices!N30/Data_Prices!N29-1</f>
        <v>-0.0115460044747672</v>
      </c>
      <c r="O30" s="32" t="n">
        <f aca="false">Data_Prices!O30/Data_Prices!O29-1</f>
        <v>0.00299625468164799</v>
      </c>
      <c r="P30" s="32" t="n">
        <f aca="false">Data_Prices!P30/Data_Prices!P29-1</f>
        <v>0.0138416590832895</v>
      </c>
      <c r="Q30" s="32" t="n">
        <f aca="false">Data_Prices!Q30/Data_Prices!Q29-1</f>
        <v>0.024996118615122</v>
      </c>
      <c r="R30" s="32" t="n">
        <f aca="false">Data_Prices!R30/Data_Prices!R29-1</f>
        <v>-0.000902577988379338</v>
      </c>
      <c r="S30" s="32" t="n">
        <f aca="false">Data_Prices!S30/Data_Prices!S29-1</f>
        <v>0.0011271133375077</v>
      </c>
      <c r="T30" s="32" t="n">
        <f aca="false">AVERAGE(D30:S30)</f>
        <v>-0.00196014114700051</v>
      </c>
      <c r="U30" s="32" t="n">
        <f aca="false">AVERAGE(J30:S30)</f>
        <v>-1.96734689462685E-006</v>
      </c>
      <c r="V30" s="32" t="n">
        <f aca="false">AVERAGE(D30:I30)</f>
        <v>-0.00522376414717698</v>
      </c>
      <c r="W30" s="32" t="n">
        <f aca="false">AVERAGE(K30,Q30,R30)</f>
        <v>0.00537591001601268</v>
      </c>
      <c r="X30" s="32" t="n">
        <f aca="false">AVERAGE(K30,L30,N30,O30,P30,Q30,R30,S30)</f>
        <v>0.00426784319246505</v>
      </c>
      <c r="Y30" s="32" t="n">
        <f aca="false">AVERAGE(J30,L30,M30,N30,O30,P30,Q30,R30,S30)</f>
        <v>0.000882904123306482</v>
      </c>
      <c r="Z30" s="32" t="n">
        <f aca="false">U30-V30</f>
        <v>0.00522179680028235</v>
      </c>
      <c r="AA30" s="32" t="n">
        <f aca="false">W30-V30</f>
        <v>0.0105996741631897</v>
      </c>
    </row>
    <row r="31" customFormat="false" ht="15" hidden="false" customHeight="false" outlineLevel="0" collapsed="false">
      <c r="A31" s="28" t="n">
        <f aca="false">Data_Prices!A31</f>
        <v>44844</v>
      </c>
      <c r="B31" s="32" t="n">
        <f aca="false">Data_Prices!B31/Data_Prices!B30-1</f>
        <v>-0.00425362337673596</v>
      </c>
      <c r="C31" s="32" t="n">
        <f aca="false">Data_Prices!C31/Data_Prices!C30-1</f>
        <v>-0.00565616125878687</v>
      </c>
      <c r="D31" s="32" t="n">
        <f aca="false">Data_Prices!D31/Data_Prices!D30-1</f>
        <v>-0.000549529316194231</v>
      </c>
      <c r="E31" s="32" t="n">
        <f aca="false">Data_Prices!E31/Data_Prices!E30-1</f>
        <v>-0.00699021370081887</v>
      </c>
      <c r="F31" s="32" t="n">
        <f aca="false">Data_Prices!F31/Data_Prices!F30-1</f>
        <v>-0.0182211593212618</v>
      </c>
      <c r="G31" s="32" t="n">
        <f aca="false">Data_Prices!G31/Data_Prices!G30-1</f>
        <v>-0.0219715662084362</v>
      </c>
      <c r="H31" s="32" t="n">
        <f aca="false">Data_Prices!H31/Data_Prices!H30-1</f>
        <v>-0.0152700841173539</v>
      </c>
      <c r="I31" s="32" t="n">
        <f aca="false">Data_Prices!I31/Data_Prices!I30-1</f>
        <v>-0.0107550010755001</v>
      </c>
      <c r="J31" s="32" t="n">
        <f aca="false">Data_Prices!J31/Data_Prices!J30-1</f>
        <v>-0.0114451845582013</v>
      </c>
      <c r="K31" s="32" t="n">
        <f aca="false">Data_Prices!K31/Data_Prices!K30-1</f>
        <v>-0.00704820591122257</v>
      </c>
      <c r="L31" s="32" t="n">
        <f aca="false">Data_Prices!L31/Data_Prices!L30-1</f>
        <v>-0.00990300481584472</v>
      </c>
      <c r="M31" s="32" t="n">
        <f aca="false">Data_Prices!M31/Data_Prices!M30-1</f>
        <v>-0.00395158063225298</v>
      </c>
      <c r="N31" s="32" t="n">
        <f aca="false">Data_Prices!N31/Data_Prices!N30-1</f>
        <v>-0.0198127707139864</v>
      </c>
      <c r="O31" s="32" t="n">
        <f aca="false">Data_Prices!O31/Data_Prices!O30-1</f>
        <v>0.0174259397560368</v>
      </c>
      <c r="P31" s="32" t="n">
        <f aca="false">Data_Prices!P31/Data_Prices!P30-1</f>
        <v>-0.00557445200302353</v>
      </c>
      <c r="Q31" s="32" t="n">
        <f aca="false">Data_Prices!Q31/Data_Prices!Q30-1</f>
        <v>-0.013329294153287</v>
      </c>
      <c r="R31" s="32" t="n">
        <f aca="false">Data_Prices!R31/Data_Prices!R30-1</f>
        <v>-0.00293602845689112</v>
      </c>
      <c r="S31" s="32" t="n">
        <f aca="false">Data_Prices!S31/Data_Prices!S30-1</f>
        <v>-0.0178050204319906</v>
      </c>
      <c r="T31" s="32" t="n">
        <f aca="false">AVERAGE(D31:S31)</f>
        <v>-0.00925857222876428</v>
      </c>
      <c r="U31" s="32" t="n">
        <f aca="false">AVERAGE(J31:S31)</f>
        <v>-0.00743796019206634</v>
      </c>
      <c r="V31" s="32" t="n">
        <f aca="false">AVERAGE(D31:I31)</f>
        <v>-0.0122929256232608</v>
      </c>
      <c r="W31" s="32" t="n">
        <f aca="false">AVERAGE(K31,Q31,R31)</f>
        <v>-0.00777117617380022</v>
      </c>
      <c r="X31" s="32" t="n">
        <f aca="false">AVERAGE(K31,L31,N31,O31,P31,Q31,R31,S31)</f>
        <v>-0.00737285459127614</v>
      </c>
      <c r="Y31" s="32" t="n">
        <f aca="false">AVERAGE(J31,L31,M31,N31,O31,P31,Q31,R31,S31)</f>
        <v>-0.0074812662232712</v>
      </c>
      <c r="Z31" s="32" t="n">
        <f aca="false">U31-V31</f>
        <v>0.0048549654311945</v>
      </c>
      <c r="AA31" s="32" t="n">
        <f aca="false">W31-V31</f>
        <v>0.00452174944946062</v>
      </c>
    </row>
    <row r="32" customFormat="false" ht="15" hidden="false" customHeight="false" outlineLevel="0" collapsed="false">
      <c r="A32" s="28" t="n">
        <f aca="false">Data_Prices!A32</f>
        <v>44845</v>
      </c>
      <c r="B32" s="32" t="n">
        <f aca="false">Data_Prices!B32/Data_Prices!B31-1</f>
        <v>-0.0149324285134274</v>
      </c>
      <c r="C32" s="32" t="n">
        <f aca="false">Data_Prices!C32/Data_Prices!C31-1</f>
        <v>-0.0153661970417981</v>
      </c>
      <c r="D32" s="32" t="n">
        <f aca="false">Data_Prices!D32/Data_Prices!D31-1</f>
        <v>-0.0206784442160121</v>
      </c>
      <c r="E32" s="32" t="n">
        <f aca="false">Data_Prices!E32/Data_Prices!E31-1</f>
        <v>-0.0332864038616251</v>
      </c>
      <c r="F32" s="32" t="n">
        <f aca="false">Data_Prices!F32/Data_Prices!F31-1</f>
        <v>-0.0154274446119941</v>
      </c>
      <c r="G32" s="32" t="n">
        <f aca="false">Data_Prices!G32/Data_Prices!G31-1</f>
        <v>-0.027871215761653</v>
      </c>
      <c r="H32" s="32" t="n">
        <f aca="false">Data_Prices!H32/Data_Prices!H31-1</f>
        <v>-0.0479492826953986</v>
      </c>
      <c r="I32" s="32" t="n">
        <f aca="false">Data_Prices!I32/Data_Prices!I31-1</f>
        <v>-0.0530550119591215</v>
      </c>
      <c r="J32" s="32" t="n">
        <f aca="false">Data_Prices!J32/Data_Prices!J31-1</f>
        <v>0.0171245625791081</v>
      </c>
      <c r="K32" s="32" t="n">
        <f aca="false">Data_Prices!K32/Data_Prices!K31-1</f>
        <v>-0.0124253449577814</v>
      </c>
      <c r="L32" s="32" t="n">
        <f aca="false">Data_Prices!L32/Data_Prices!L31-1</f>
        <v>-0.014592039460163</v>
      </c>
      <c r="M32" s="32" t="n">
        <f aca="false">Data_Prices!M32/Data_Prices!M31-1</f>
        <v>-0.0124039572138804</v>
      </c>
      <c r="N32" s="32" t="n">
        <f aca="false">Data_Prices!N32/Data_Prices!N31-1</f>
        <v>-0.0105200136845707</v>
      </c>
      <c r="O32" s="32" t="n">
        <f aca="false">Data_Prices!O32/Data_Prices!O31-1</f>
        <v>-0.0229997553217518</v>
      </c>
      <c r="P32" s="32" t="n">
        <f aca="false">Data_Prices!P32/Data_Prices!P31-1</f>
        <v>-0.0239429928741093</v>
      </c>
      <c r="Q32" s="32" t="n">
        <f aca="false">Data_Prices!Q32/Data_Prices!Q31-1</f>
        <v>0.00230273257599012</v>
      </c>
      <c r="R32" s="32" t="n">
        <f aca="false">Data_Prices!R32/Data_Prices!R31-1</f>
        <v>-0.0118353247635767</v>
      </c>
      <c r="S32" s="32" t="n">
        <f aca="false">Data_Prices!S32/Data_Prices!S31-1</f>
        <v>-0.00331139885374654</v>
      </c>
      <c r="T32" s="32" t="n">
        <f aca="false">AVERAGE(D32:S32)</f>
        <v>-0.0181794584425179</v>
      </c>
      <c r="U32" s="32" t="n">
        <f aca="false">AVERAGE(J32:S32)</f>
        <v>-0.00926035319744816</v>
      </c>
      <c r="V32" s="32" t="n">
        <f aca="false">AVERAGE(D32:I32)</f>
        <v>-0.0330446338509674</v>
      </c>
      <c r="W32" s="32" t="n">
        <f aca="false">AVERAGE(K32,Q32,R32)</f>
        <v>-0.00731931238178933</v>
      </c>
      <c r="X32" s="32" t="n">
        <f aca="false">AVERAGE(K32,L32,N32,O32,P32,Q32,R32,S32)</f>
        <v>-0.0121655171674637</v>
      </c>
      <c r="Y32" s="32" t="n">
        <f aca="false">AVERAGE(J32,L32,M32,N32,O32,P32,Q32,R32,S32)</f>
        <v>-0.00890868744630002</v>
      </c>
      <c r="Z32" s="32" t="n">
        <f aca="false">U32-V32</f>
        <v>0.0237842806535192</v>
      </c>
      <c r="AA32" s="32" t="n">
        <f aca="false">W32-V32</f>
        <v>0.0257253214691781</v>
      </c>
    </row>
    <row r="33" customFormat="false" ht="15" hidden="false" customHeight="false" outlineLevel="0" collapsed="false">
      <c r="A33" s="28" t="n">
        <f aca="false">Data_Prices!A33</f>
        <v>44846</v>
      </c>
      <c r="B33" s="32" t="n">
        <f aca="false">Data_Prices!B33/Data_Prices!B32-1</f>
        <v>0.00824621471953746</v>
      </c>
      <c r="C33" s="32" t="n">
        <f aca="false">Data_Prices!C33/Data_Prices!C32-1</f>
        <v>0.00733940591907301</v>
      </c>
      <c r="D33" s="32" t="n">
        <f aca="false">Data_Prices!D33/Data_Prices!D32-1</f>
        <v>0.030976907679539</v>
      </c>
      <c r="E33" s="32" t="n">
        <f aca="false">Data_Prices!E33/Data_Prices!E32-1</f>
        <v>0.0238219078331428</v>
      </c>
      <c r="F33" s="32" t="n">
        <f aca="false">Data_Prices!F33/Data_Prices!F32-1</f>
        <v>-0.012841658812441</v>
      </c>
      <c r="G33" s="32" t="n">
        <f aca="false">Data_Prices!G33/Data_Prices!G32-1</f>
        <v>0.013964409293129</v>
      </c>
      <c r="H33" s="32" t="n">
        <f aca="false">Data_Prices!H33/Data_Prices!H32-1</f>
        <v>0.00828461562509752</v>
      </c>
      <c r="I33" s="32" t="n">
        <f aca="false">Data_Prices!I33/Data_Prices!I32-1</f>
        <v>0.00597014925373141</v>
      </c>
      <c r="J33" s="32" t="n">
        <f aca="false">Data_Prices!J33/Data_Prices!J32-1</f>
        <v>0.00468486933606616</v>
      </c>
      <c r="K33" s="32" t="n">
        <f aca="false">Data_Prices!K33/Data_Prices!K32-1</f>
        <v>0.00325316279716392</v>
      </c>
      <c r="L33" s="32" t="n">
        <f aca="false">Data_Prices!L33/Data_Prices!L32-1</f>
        <v>0.0353170189098999</v>
      </c>
      <c r="M33" s="32" t="n">
        <f aca="false">Data_Prices!M33/Data_Prices!M32-1</f>
        <v>0.00371199023695734</v>
      </c>
      <c r="N33" s="32" t="n">
        <f aca="false">Data_Prices!N33/Data_Prices!N32-1</f>
        <v>-0.012331806263866</v>
      </c>
      <c r="O33" s="32" t="n">
        <f aca="false">Data_Prices!O33/Data_Prices!O32-1</f>
        <v>0.0370648635111446</v>
      </c>
      <c r="P33" s="32" t="n">
        <f aca="false">Data_Prices!P33/Data_Prices!P32-1</f>
        <v>0.00141146695220495</v>
      </c>
      <c r="Q33" s="32" t="n">
        <f aca="false">Data_Prices!Q33/Data_Prices!Q32-1</f>
        <v>0.00873028028794609</v>
      </c>
      <c r="R33" s="32" t="n">
        <f aca="false">Data_Prices!R33/Data_Prices!R32-1</f>
        <v>0.00177650429799425</v>
      </c>
      <c r="S33" s="32" t="n">
        <f aca="false">Data_Prices!S33/Data_Prices!S32-1</f>
        <v>0.0324998935127998</v>
      </c>
      <c r="T33" s="32" t="n">
        <f aca="false">AVERAGE(D33:S33)</f>
        <v>0.0116434109031569</v>
      </c>
      <c r="U33" s="32" t="n">
        <f aca="false">AVERAGE(J33:S33)</f>
        <v>0.0116118243578311</v>
      </c>
      <c r="V33" s="32" t="n">
        <f aca="false">AVERAGE(D33:I33)</f>
        <v>0.0116960551453664</v>
      </c>
      <c r="W33" s="32" t="n">
        <f aca="false">AVERAGE(K33,Q33,R33)</f>
        <v>0.00458664912770142</v>
      </c>
      <c r="X33" s="32" t="n">
        <f aca="false">AVERAGE(K33,L33,N33,O33,P33,Q33,R33,S33)</f>
        <v>0.0134651730006609</v>
      </c>
      <c r="Y33" s="32" t="n">
        <f aca="false">AVERAGE(J33,L33,M33,N33,O33,P33,Q33,R33,S33)</f>
        <v>0.0125405645312386</v>
      </c>
      <c r="Z33" s="32" t="n">
        <f aca="false">U33-V33</f>
        <v>-8.42307875353419E-005</v>
      </c>
      <c r="AA33" s="32" t="n">
        <f aca="false">W33-V33</f>
        <v>-0.00710940601766502</v>
      </c>
    </row>
    <row r="34" customFormat="false" ht="15" hidden="false" customHeight="false" outlineLevel="0" collapsed="false">
      <c r="A34" s="28" t="n">
        <f aca="false">Data_Prices!A34</f>
        <v>44847</v>
      </c>
      <c r="B34" s="32" t="n">
        <f aca="false">Data_Prices!B34/Data_Prices!B33-1</f>
        <v>-0.0063800836272746</v>
      </c>
      <c r="C34" s="32" t="n">
        <f aca="false">Data_Prices!C34/Data_Prices!C33-1</f>
        <v>-0.00671951018041206</v>
      </c>
      <c r="D34" s="32" t="n">
        <f aca="false">Data_Prices!D34/Data_Prices!D33-1</f>
        <v>-0.0186811885876642</v>
      </c>
      <c r="E34" s="32" t="n">
        <f aca="false">Data_Prices!E34/Data_Prices!E33-1</f>
        <v>0.0206258890469417</v>
      </c>
      <c r="F34" s="32" t="n">
        <f aca="false">Data_Prices!F34/Data_Prices!F33-1</f>
        <v>-0.0192743764172335</v>
      </c>
      <c r="G34" s="32" t="n">
        <f aca="false">Data_Prices!G34/Data_Prices!G33-1</f>
        <v>-0.0146252285191956</v>
      </c>
      <c r="H34" s="32" t="n">
        <f aca="false">Data_Prices!H34/Data_Prices!H33-1</f>
        <v>0.000496093265534014</v>
      </c>
      <c r="I34" s="32" t="n">
        <f aca="false">Data_Prices!I34/Data_Prices!I33-1</f>
        <v>-0.014380278475234</v>
      </c>
      <c r="J34" s="32" t="n">
        <f aca="false">Data_Prices!J34/Data_Prices!J33-1</f>
        <v>0.00229508196721318</v>
      </c>
      <c r="K34" s="32" t="n">
        <f aca="false">Data_Prices!K34/Data_Prices!K33-1</f>
        <v>-0.010323707111579</v>
      </c>
      <c r="L34" s="32" t="n">
        <f aca="false">Data_Prices!L34/Data_Prices!L33-1</f>
        <v>-0.0267929089443998</v>
      </c>
      <c r="M34" s="32" t="n">
        <f aca="false">Data_Prices!M34/Data_Prices!M33-1</f>
        <v>0.00491412938852021</v>
      </c>
      <c r="N34" s="32" t="n">
        <f aca="false">Data_Prices!N34/Data_Prices!N33-1</f>
        <v>-0.00708888824061382</v>
      </c>
      <c r="O34" s="32" t="n">
        <f aca="false">Data_Prices!O34/Data_Prices!O33-1</f>
        <v>-0.00458826370441934</v>
      </c>
      <c r="P34" s="32" t="n">
        <f aca="false">Data_Prices!P34/Data_Prices!P33-1</f>
        <v>-0.00831105710814095</v>
      </c>
      <c r="Q34" s="32" t="n">
        <f aca="false">Data_Prices!Q34/Data_Prices!Q33-1</f>
        <v>-0.023382933495293</v>
      </c>
      <c r="R34" s="32" t="n">
        <f aca="false">Data_Prices!R34/Data_Prices!R33-1</f>
        <v>-0.014587266174704</v>
      </c>
      <c r="S34" s="32" t="n">
        <f aca="false">Data_Prices!S34/Data_Prices!S33-1</f>
        <v>-0.018976897689769</v>
      </c>
      <c r="T34" s="32" t="n">
        <f aca="false">AVERAGE(D34:S34)</f>
        <v>-0.00954261255000231</v>
      </c>
      <c r="U34" s="32" t="n">
        <f aca="false">AVERAGE(J34:S34)</f>
        <v>-0.0106842711113185</v>
      </c>
      <c r="V34" s="32" t="n">
        <f aca="false">AVERAGE(D34:I34)</f>
        <v>-0.00763984828114193</v>
      </c>
      <c r="W34" s="32" t="n">
        <f aca="false">AVERAGE(K34,Q34,R34)</f>
        <v>-0.016097968927192</v>
      </c>
      <c r="X34" s="32" t="n">
        <f aca="false">AVERAGE(K34,L34,N34,O34,P34,Q34,R34,S34)</f>
        <v>-0.0142564903086149</v>
      </c>
      <c r="Y34" s="32" t="n">
        <f aca="false">AVERAGE(J34,L34,M34,N34,O34,P34,Q34,R34,S34)</f>
        <v>-0.0107243337779563</v>
      </c>
      <c r="Z34" s="32" t="n">
        <f aca="false">U34-V34</f>
        <v>-0.00304442283017661</v>
      </c>
      <c r="AA34" s="32" t="n">
        <f aca="false">W34-V34</f>
        <v>-0.00845812064605006</v>
      </c>
    </row>
    <row r="35" customFormat="false" ht="15" hidden="false" customHeight="false" outlineLevel="0" collapsed="false">
      <c r="A35" s="28" t="n">
        <f aca="false">Data_Prices!A35</f>
        <v>44848</v>
      </c>
      <c r="B35" s="32" t="n">
        <f aca="false">Data_Prices!B35/Data_Prices!B34-1</f>
        <v>0.0100709107312358</v>
      </c>
      <c r="C35" s="32" t="n">
        <f aca="false">Data_Prices!C35/Data_Prices!C34-1</f>
        <v>0.00575684134063814</v>
      </c>
      <c r="D35" s="32" t="n">
        <f aca="false">Data_Prices!D35/Data_Prices!D34-1</f>
        <v>0.0020267335810451</v>
      </c>
      <c r="E35" s="32" t="n">
        <f aca="false">Data_Prices!E35/Data_Prices!E34-1</f>
        <v>0.00258835241413635</v>
      </c>
      <c r="F35" s="32" t="n">
        <f aca="false">Data_Prices!F35/Data_Prices!F34-1</f>
        <v>0.0051110435047157</v>
      </c>
      <c r="G35" s="32" t="n">
        <f aca="false">Data_Prices!G35/Data_Prices!G34-1</f>
        <v>0.00420531849103267</v>
      </c>
      <c r="H35" s="32" t="n">
        <f aca="false">Data_Prices!H35/Data_Prices!H34-1</f>
        <v>0.00232428412049091</v>
      </c>
      <c r="I35" s="32" t="n">
        <f aca="false">Data_Prices!I35/Data_Prices!I34-1</f>
        <v>-0.0233904585456231</v>
      </c>
      <c r="J35" s="32" t="n">
        <f aca="false">Data_Prices!J35/Data_Prices!J34-1</f>
        <v>-0.00327118089630352</v>
      </c>
      <c r="K35" s="32" t="n">
        <f aca="false">Data_Prices!K35/Data_Prices!K34-1</f>
        <v>0.016900264635461</v>
      </c>
      <c r="L35" s="32" t="n">
        <f aca="false">Data_Prices!L35/Data_Prices!L34-1</f>
        <v>0.00269095425377786</v>
      </c>
      <c r="M35" s="32" t="n">
        <f aca="false">Data_Prices!M35/Data_Prices!M34-1</f>
        <v>-0.0147711232103246</v>
      </c>
      <c r="N35" s="32" t="n">
        <f aca="false">Data_Prices!N35/Data_Prices!N34-1</f>
        <v>-0.00854977083088504</v>
      </c>
      <c r="O35" s="32" t="n">
        <f aca="false">Data_Prices!O35/Data_Prices!O34-1</f>
        <v>0.00849102377486655</v>
      </c>
      <c r="P35" s="32" t="n">
        <f aca="false">Data_Prices!P35/Data_Prices!P34-1</f>
        <v>-0.00499901980003925</v>
      </c>
      <c r="Q35" s="32" t="n">
        <f aca="false">Data_Prices!Q35/Data_Prices!Q34-1</f>
        <v>0.00435323383084563</v>
      </c>
      <c r="R35" s="32" t="n">
        <f aca="false">Data_Prices!R35/Data_Prices!R34-1</f>
        <v>-0.016776965052827</v>
      </c>
      <c r="S35" s="32" t="n">
        <f aca="false">Data_Prices!S35/Data_Prices!S34-1</f>
        <v>-0.00428931875525651</v>
      </c>
      <c r="T35" s="32" t="n">
        <f aca="false">AVERAGE(D35:S35)</f>
        <v>-0.00170978928030545</v>
      </c>
      <c r="U35" s="32" t="n">
        <f aca="false">AVERAGE(J35:S35)</f>
        <v>-0.00202219020506849</v>
      </c>
      <c r="V35" s="32" t="n">
        <f aca="false">AVERAGE(D35:I35)</f>
        <v>-0.00118912107236705</v>
      </c>
      <c r="W35" s="32" t="n">
        <f aca="false">AVERAGE(K35,Q35,R35)</f>
        <v>0.00149217780449321</v>
      </c>
      <c r="X35" s="32" t="n">
        <f aca="false">AVERAGE(K35,L35,N35,O35,P35,Q35,R35,S35)</f>
        <v>-0.000272449743007094</v>
      </c>
      <c r="Y35" s="32" t="n">
        <f aca="false">AVERAGE(J35,L35,M35,N35,O35,P35,Q35,R35,S35)</f>
        <v>-0.00412468518734954</v>
      </c>
      <c r="Z35" s="32" t="n">
        <f aca="false">U35-V35</f>
        <v>-0.000833069132701432</v>
      </c>
      <c r="AA35" s="32" t="n">
        <f aca="false">W35-V35</f>
        <v>0.00268129887686027</v>
      </c>
    </row>
    <row r="36" customFormat="false" ht="15" hidden="false" customHeight="false" outlineLevel="0" collapsed="false">
      <c r="A36" s="28" t="n">
        <f aca="false">Data_Prices!A36</f>
        <v>44851</v>
      </c>
      <c r="B36" s="32" t="n">
        <f aca="false">Data_Prices!B36/Data_Prices!B35-1</f>
        <v>0.0073374957086414</v>
      </c>
      <c r="C36" s="32" t="n">
        <f aca="false">Data_Prices!C36/Data_Prices!C35-1</f>
        <v>0.0061457566941836</v>
      </c>
      <c r="D36" s="32" t="n">
        <f aca="false">Data_Prices!D36/Data_Prices!D35-1</f>
        <v>-0.011365278112208</v>
      </c>
      <c r="E36" s="32" t="n">
        <f aca="false">Data_Prices!E36/Data_Prices!E35-1</f>
        <v>-0.00268096514745309</v>
      </c>
      <c r="F36" s="32" t="n">
        <f aca="false">Data_Prices!F36/Data_Prices!F35-1</f>
        <v>0.011320297838852</v>
      </c>
      <c r="G36" s="32" t="n">
        <f aca="false">Data_Prices!G36/Data_Prices!G35-1</f>
        <v>0.00578889025742102</v>
      </c>
      <c r="H36" s="32" t="n">
        <f aca="false">Data_Prices!H36/Data_Prices!H35-1</f>
        <v>-0.00562718362551395</v>
      </c>
      <c r="I36" s="32" t="n">
        <f aca="false">Data_Prices!I36/Data_Prices!I35-1</f>
        <v>0.00118567702157923</v>
      </c>
      <c r="J36" s="32" t="n">
        <f aca="false">Data_Prices!J36/Data_Prices!J35-1</f>
        <v>0.000656383327863441</v>
      </c>
      <c r="K36" s="32" t="n">
        <f aca="false">Data_Prices!K36/Data_Prices!K35-1</f>
        <v>0.0113733373722908</v>
      </c>
      <c r="L36" s="32" t="n">
        <f aca="false">Data_Prices!L36/Data_Prices!L35-1</f>
        <v>0.00791357005229831</v>
      </c>
      <c r="M36" s="32" t="n">
        <f aca="false">Data_Prices!M36/Data_Prices!M35-1</f>
        <v>-0.0427262958604103</v>
      </c>
      <c r="N36" s="32" t="n">
        <f aca="false">Data_Prices!N36/Data_Prices!N35-1</f>
        <v>0.00749740702326274</v>
      </c>
      <c r="O36" s="32" t="n">
        <f aca="false">Data_Prices!O36/Data_Prices!O35-1</f>
        <v>0.017320182824152</v>
      </c>
      <c r="P36" s="32" t="n">
        <f aca="false">Data_Prices!P36/Data_Prices!P35-1</f>
        <v>0.00684661609693626</v>
      </c>
      <c r="Q36" s="32" t="n">
        <f aca="false">Data_Prices!Q36/Data_Prices!Q35-1</f>
        <v>0.00526315789473686</v>
      </c>
      <c r="R36" s="32" t="n">
        <f aca="false">Data_Prices!R36/Data_Prices!R35-1</f>
        <v>0.0137568636712522</v>
      </c>
      <c r="S36" s="32" t="n">
        <f aca="false">Data_Prices!S36/Data_Prices!S35-1</f>
        <v>0.00717966044429419</v>
      </c>
      <c r="T36" s="32" t="n">
        <f aca="false">AVERAGE(D36:S36)</f>
        <v>0.00210639506745961</v>
      </c>
      <c r="U36" s="32" t="n">
        <f aca="false">AVERAGE(J36:S36)</f>
        <v>0.00350808828466765</v>
      </c>
      <c r="V36" s="32" t="n">
        <f aca="false">AVERAGE(D36:I36)</f>
        <v>-0.000229760294553794</v>
      </c>
      <c r="W36" s="32" t="n">
        <f aca="false">AVERAGE(K36,Q36,R36)</f>
        <v>0.0101311196460933</v>
      </c>
      <c r="X36" s="32" t="n">
        <f aca="false">AVERAGE(K36,L36,N36,O36,P36,Q36,R36,S36)</f>
        <v>0.00964384942240293</v>
      </c>
      <c r="Y36" s="32" t="n">
        <f aca="false">AVERAGE(J36,L36,M36,N36,O36,P36,Q36,R36,S36)</f>
        <v>0.00263417171937619</v>
      </c>
      <c r="Z36" s="32" t="n">
        <f aca="false">U36-V36</f>
        <v>0.00373784857922145</v>
      </c>
      <c r="AA36" s="32" t="n">
        <f aca="false">W36-V36</f>
        <v>0.0103608799406471</v>
      </c>
    </row>
    <row r="37" customFormat="false" ht="15" hidden="false" customHeight="false" outlineLevel="0" collapsed="false">
      <c r="A37" s="28" t="n">
        <f aca="false">Data_Prices!A37</f>
        <v>44852</v>
      </c>
      <c r="B37" s="32" t="n">
        <f aca="false">Data_Prices!B37/Data_Prices!B36-1</f>
        <v>0.0101173765870679</v>
      </c>
      <c r="C37" s="32" t="n">
        <f aca="false">Data_Prices!C37/Data_Prices!C36-1</f>
        <v>0.0100897951516656</v>
      </c>
      <c r="D37" s="32" t="n">
        <f aca="false">Data_Prices!D37/Data_Prices!D36-1</f>
        <v>-0.00336109893321646</v>
      </c>
      <c r="E37" s="32" t="n">
        <f aca="false">Data_Prices!E37/Data_Prices!E36-1</f>
        <v>0.0440063719633612</v>
      </c>
      <c r="F37" s="32" t="n">
        <f aca="false">Data_Prices!F37/Data_Prices!F36-1</f>
        <v>-0.00119717466778402</v>
      </c>
      <c r="G37" s="32" t="n">
        <f aca="false">Data_Prices!G37/Data_Prices!G36-1</f>
        <v>0.0167768797452852</v>
      </c>
      <c r="H37" s="32" t="n">
        <f aca="false">Data_Prices!H37/Data_Prices!H36-1</f>
        <v>0.0136189795093435</v>
      </c>
      <c r="I37" s="32" t="n">
        <f aca="false">Data_Prices!I37/Data_Prices!I36-1</f>
        <v>0.00544765513974421</v>
      </c>
      <c r="J37" s="32" t="n">
        <f aca="false">Data_Prices!J37/Data_Prices!J36-1</f>
        <v>0.0176378411865457</v>
      </c>
      <c r="K37" s="32" t="n">
        <f aca="false">Data_Prices!K37/Data_Prices!K36-1</f>
        <v>0.00479224527582645</v>
      </c>
      <c r="L37" s="32" t="n">
        <f aca="false">Data_Prices!L37/Data_Prices!L36-1</f>
        <v>0.0197310029357547</v>
      </c>
      <c r="M37" s="32" t="n">
        <f aca="false">Data_Prices!M37/Data_Prices!M36-1</f>
        <v>0.00662818045755831</v>
      </c>
      <c r="N37" s="32" t="n">
        <f aca="false">Data_Prices!N37/Data_Prices!N36-1</f>
        <v>0.0075592681922465</v>
      </c>
      <c r="O37" s="32" t="n">
        <f aca="false">Data_Prices!O37/Data_Prices!O36-1</f>
        <v>0.00685741310002364</v>
      </c>
      <c r="P37" s="32" t="n">
        <f aca="false">Data_Prices!P37/Data_Prices!P36-1</f>
        <v>0.0183944034049215</v>
      </c>
      <c r="Q37" s="32" t="n">
        <f aca="false">Data_Prices!Q37/Data_Prices!Q36-1</f>
        <v>0.00923929781336619</v>
      </c>
      <c r="R37" s="32" t="n">
        <f aca="false">Data_Prices!R37/Data_Prices!R36-1</f>
        <v>0.029353523587653</v>
      </c>
      <c r="S37" s="32" t="n">
        <f aca="false">Data_Prices!S37/Data_Prices!S36-1</f>
        <v>0.0266269708151627</v>
      </c>
      <c r="T37" s="32" t="n">
        <f aca="false">AVERAGE(D37:S37)</f>
        <v>0.013881984970362</v>
      </c>
      <c r="U37" s="32" t="n">
        <f aca="false">AVERAGE(J37:S37)</f>
        <v>0.0146820146769059</v>
      </c>
      <c r="V37" s="32" t="n">
        <f aca="false">AVERAGE(D37:I37)</f>
        <v>0.0125486021261223</v>
      </c>
      <c r="W37" s="32" t="n">
        <f aca="false">AVERAGE(K37,Q37,R37)</f>
        <v>0.0144616888922819</v>
      </c>
      <c r="X37" s="32" t="n">
        <f aca="false">AVERAGE(K37,L37,N37,O37,P37,Q37,R37,S37)</f>
        <v>0.0153192656406193</v>
      </c>
      <c r="Y37" s="32" t="n">
        <f aca="false">AVERAGE(J37,L37,M37,N37,O37,P37,Q37,R37,S37)</f>
        <v>0.0157808779436925</v>
      </c>
      <c r="Z37" s="32" t="n">
        <f aca="false">U37-V37</f>
        <v>0.00213341255078358</v>
      </c>
      <c r="AA37" s="32" t="n">
        <f aca="false">W37-V37</f>
        <v>0.00191308676615959</v>
      </c>
    </row>
    <row r="38" customFormat="false" ht="15" hidden="false" customHeight="false" outlineLevel="0" collapsed="false">
      <c r="A38" s="28" t="n">
        <f aca="false">Data_Prices!A38</f>
        <v>44853</v>
      </c>
      <c r="B38" s="32" t="n">
        <f aca="false">Data_Prices!B38/Data_Prices!B37-1</f>
        <v>0.00144679318005703</v>
      </c>
      <c r="C38" s="32" t="n">
        <f aca="false">Data_Prices!C38/Data_Prices!C37-1</f>
        <v>0.000800316141480018</v>
      </c>
      <c r="D38" s="32" t="n">
        <f aca="false">Data_Prices!D38/Data_Prices!D37-1</f>
        <v>-0.00601173020527857</v>
      </c>
      <c r="E38" s="32" t="n">
        <f aca="false">Data_Prices!E38/Data_Prices!E37-1</f>
        <v>-0.00915506389471665</v>
      </c>
      <c r="F38" s="32" t="n">
        <f aca="false">Data_Prices!F38/Data_Prices!F37-1</f>
        <v>0.0164808821766751</v>
      </c>
      <c r="G38" s="32" t="n">
        <f aca="false">Data_Prices!G38/Data_Prices!G37-1</f>
        <v>-0.0107190172226905</v>
      </c>
      <c r="H38" s="32" t="n">
        <f aca="false">Data_Prices!H38/Data_Prices!H37-1</f>
        <v>0.0803092119390165</v>
      </c>
      <c r="I38" s="32" t="n">
        <f aca="false">Data_Prices!I38/Data_Prices!I37-1</f>
        <v>0.0416961130742048</v>
      </c>
      <c r="J38" s="32" t="n">
        <f aca="false">Data_Prices!J38/Data_Prices!J37-1</f>
        <v>0.028325872873769</v>
      </c>
      <c r="K38" s="32" t="n">
        <f aca="false">Data_Prices!K38/Data_Prices!K37-1</f>
        <v>-0.00135494011164705</v>
      </c>
      <c r="L38" s="32" t="n">
        <f aca="false">Data_Prices!L38/Data_Prices!L37-1</f>
        <v>-0.000468666309587418</v>
      </c>
      <c r="M38" s="32" t="n">
        <f aca="false">Data_Prices!M38/Data_Prices!M37-1</f>
        <v>0.0350467289719627</v>
      </c>
      <c r="N38" s="32" t="n">
        <f aca="false">Data_Prices!N38/Data_Prices!N37-1</f>
        <v>0.00709385491169168</v>
      </c>
      <c r="O38" s="32" t="n">
        <f aca="false">Data_Prices!O38/Data_Prices!O37-1</f>
        <v>0.0119774542038515</v>
      </c>
      <c r="P38" s="32" t="n">
        <f aca="false">Data_Prices!P38/Data_Prices!P37-1</f>
        <v>0.00864677907479461</v>
      </c>
      <c r="Q38" s="32" t="n">
        <f aca="false">Data_Prices!Q38/Data_Prices!Q37-1</f>
        <v>0.0199877937137627</v>
      </c>
      <c r="R38" s="32" t="n">
        <f aca="false">Data_Prices!R38/Data_Prices!R37-1</f>
        <v>0.00311191580853221</v>
      </c>
      <c r="S38" s="32" t="n">
        <f aca="false">Data_Prices!S38/Data_Prices!S37-1</f>
        <v>-0.0078421762038966</v>
      </c>
      <c r="T38" s="32" t="n">
        <f aca="false">AVERAGE(D38:S38)</f>
        <v>0.0135703133000278</v>
      </c>
      <c r="U38" s="32" t="n">
        <f aca="false">AVERAGE(J38:S38)</f>
        <v>0.0104524616933233</v>
      </c>
      <c r="V38" s="32" t="n">
        <f aca="false">AVERAGE(D38:I38)</f>
        <v>0.0187667326445351</v>
      </c>
      <c r="W38" s="32" t="n">
        <f aca="false">AVERAGE(K38,Q38,R38)</f>
        <v>0.00724825647021595</v>
      </c>
      <c r="X38" s="32" t="n">
        <f aca="false">AVERAGE(K38,L38,N38,O38,P38,Q38,R38,S38)</f>
        <v>0.00514400188593771</v>
      </c>
      <c r="Y38" s="32" t="n">
        <f aca="false">AVERAGE(J38,L38,M38,N38,O38,P38,Q38,R38,S38)</f>
        <v>0.0117643952272089</v>
      </c>
      <c r="Z38" s="32" t="n">
        <f aca="false">U38-V38</f>
        <v>-0.00831427095121178</v>
      </c>
      <c r="AA38" s="32" t="n">
        <f aca="false">W38-V38</f>
        <v>-0.0115184761743192</v>
      </c>
    </row>
    <row r="39" customFormat="false" ht="15" hidden="false" customHeight="false" outlineLevel="0" collapsed="false">
      <c r="A39" s="28" t="n">
        <f aca="false">Data_Prices!A39</f>
        <v>44854</v>
      </c>
      <c r="B39" s="32" t="n">
        <f aca="false">Data_Prices!B39/Data_Prices!B38-1</f>
        <v>0.00295221916087307</v>
      </c>
      <c r="C39" s="32" t="n">
        <f aca="false">Data_Prices!C39/Data_Prices!C38-1</f>
        <v>0.00288679771179812</v>
      </c>
      <c r="D39" s="32" t="n">
        <f aca="false">Data_Prices!D39/Data_Prices!D38-1</f>
        <v>0.0128337512907508</v>
      </c>
      <c r="E39" s="32" t="n">
        <f aca="false">Data_Prices!E39/Data_Prices!E38-1</f>
        <v>0.00336862367661217</v>
      </c>
      <c r="F39" s="32" t="n">
        <f aca="false">Data_Prices!F39/Data_Prices!F38-1</f>
        <v>-0.053357702965627</v>
      </c>
      <c r="G39" s="32" t="n">
        <f aca="false">Data_Prices!G39/Data_Prices!G38-1</f>
        <v>0.0209398587776968</v>
      </c>
      <c r="H39" s="32" t="n">
        <f aca="false">Data_Prices!H39/Data_Prices!H38-1</f>
        <v>0.0443251838600676</v>
      </c>
      <c r="I39" s="32" t="n">
        <f aca="false">Data_Prices!I39/Data_Prices!I38-1</f>
        <v>-0.0174129353233831</v>
      </c>
      <c r="J39" s="32" t="n">
        <f aca="false">Data_Prices!J39/Data_Prices!J38-1</f>
        <v>0.0273715002089427</v>
      </c>
      <c r="K39" s="32" t="n">
        <f aca="false">Data_Prices!K39/Data_Prices!K38-1</f>
        <v>0.00704168023445129</v>
      </c>
      <c r="L39" s="32" t="n">
        <f aca="false">Data_Prices!L39/Data_Prices!L38-1</f>
        <v>-0.0226404983588989</v>
      </c>
      <c r="M39" s="32" t="n">
        <f aca="false">Data_Prices!M39/Data_Prices!M38-1</f>
        <v>-0.00210342704699373</v>
      </c>
      <c r="N39" s="32" t="n">
        <f aca="false">Data_Prices!N39/Data_Prices!N38-1</f>
        <v>0.00901501536320937</v>
      </c>
      <c r="O39" s="32" t="n">
        <f aca="false">Data_Prices!O39/Data_Prices!O38-1</f>
        <v>-0.0148526340218148</v>
      </c>
      <c r="P39" s="32" t="n">
        <f aca="false">Data_Prices!P39/Data_Prices!P38-1</f>
        <v>-0.00176215649854727</v>
      </c>
      <c r="Q39" s="32" t="n">
        <f aca="false">Data_Prices!Q39/Data_Prices!Q38-1</f>
        <v>-0.00972326103216159</v>
      </c>
      <c r="R39" s="32" t="n">
        <f aca="false">Data_Prices!R39/Data_Prices!R38-1</f>
        <v>0.000564047605617901</v>
      </c>
      <c r="S39" s="32" t="n">
        <f aca="false">Data_Prices!S39/Data_Prices!S38-1</f>
        <v>0.00102918776501593</v>
      </c>
      <c r="T39" s="32" t="n">
        <f aca="false">AVERAGE(D39:S39)</f>
        <v>0.000289764595933634</v>
      </c>
      <c r="U39" s="32" t="n">
        <f aca="false">AVERAGE(J39:S39)</f>
        <v>-0.000606054578117909</v>
      </c>
      <c r="V39" s="32" t="n">
        <f aca="false">AVERAGE(D39:I39)</f>
        <v>0.00178279655268621</v>
      </c>
      <c r="W39" s="32" t="n">
        <f aca="false">AVERAGE(K39,Q39,R39)</f>
        <v>-0.000705844397364134</v>
      </c>
      <c r="X39" s="32" t="n">
        <f aca="false">AVERAGE(K39,L39,N39,O39,P39,Q39,R39,S39)</f>
        <v>-0.00391607736789101</v>
      </c>
      <c r="Y39" s="32" t="n">
        <f aca="false">AVERAGE(J39,L39,M39,N39,O39,P39,Q39,R39,S39)</f>
        <v>-0.0014558028906256</v>
      </c>
      <c r="Z39" s="32" t="n">
        <f aca="false">U39-V39</f>
        <v>-0.00238885113080412</v>
      </c>
      <c r="AA39" s="32" t="n">
        <f aca="false">W39-V39</f>
        <v>-0.00248864095005034</v>
      </c>
    </row>
    <row r="40" customFormat="false" ht="15" hidden="false" customHeight="false" outlineLevel="0" collapsed="false">
      <c r="A40" s="28" t="n">
        <f aca="false">Data_Prices!A40</f>
        <v>44855</v>
      </c>
      <c r="B40" s="32" t="n">
        <f aca="false">Data_Prices!B40/Data_Prices!B39-1</f>
        <v>0.000703144793739341</v>
      </c>
      <c r="C40" s="32" t="n">
        <f aca="false">Data_Prices!C40/Data_Prices!C39-1</f>
        <v>-0.00205133634637145</v>
      </c>
      <c r="D40" s="32" t="n">
        <f aca="false">Data_Prices!D40/Data_Prices!D39-1</f>
        <v>-0.0338625109233908</v>
      </c>
      <c r="E40" s="32" t="n">
        <f aca="false">Data_Prices!E40/Data_Prices!E39-1</f>
        <v>-0.000191846522781813</v>
      </c>
      <c r="F40" s="32" t="n">
        <f aca="false">Data_Prices!F40/Data_Prices!F39-1</f>
        <v>-0.0606003986048829</v>
      </c>
      <c r="G40" s="32" t="n">
        <f aca="false">Data_Prices!G40/Data_Prices!G39-1</f>
        <v>-0.0133555926544241</v>
      </c>
      <c r="H40" s="32" t="n">
        <f aca="false">Data_Prices!H40/Data_Prices!H39-1</f>
        <v>-0.0369242481918538</v>
      </c>
      <c r="I40" s="32" t="n">
        <f aca="false">Data_Prices!I40/Data_Prices!I39-1</f>
        <v>0.00805523590333723</v>
      </c>
      <c r="J40" s="32" t="n">
        <f aca="false">Data_Prices!J40/Data_Prices!J39-1</f>
        <v>-0.0284387499152599</v>
      </c>
      <c r="K40" s="32" t="n">
        <f aca="false">Data_Prices!K40/Data_Prices!K39-1</f>
        <v>-0.0322406801126336</v>
      </c>
      <c r="L40" s="32" t="n">
        <f aca="false">Data_Prices!L40/Data_Prices!L39-1</f>
        <v>-0.023439106298403</v>
      </c>
      <c r="M40" s="32" t="n">
        <f aca="false">Data_Prices!M40/Data_Prices!M39-1</f>
        <v>-0.0154233715490206</v>
      </c>
      <c r="N40" s="32" t="n">
        <f aca="false">Data_Prices!N40/Data_Prices!N39-1</f>
        <v>-0.0106007067137809</v>
      </c>
      <c r="O40" s="32" t="n">
        <f aca="false">Data_Prices!O40/Data_Prices!O39-1</f>
        <v>-0.0287396937573616</v>
      </c>
      <c r="P40" s="32" t="n">
        <f aca="false">Data_Prices!P40/Data_Prices!P39-1</f>
        <v>-0.0143129770992366</v>
      </c>
      <c r="Q40" s="32" t="n">
        <f aca="false">Data_Prices!Q40/Data_Prices!Q39-1</f>
        <v>-0.0459214501510574</v>
      </c>
      <c r="R40" s="32" t="n">
        <f aca="false">Data_Prices!R40/Data_Prices!R39-1</f>
        <v>-0.0242403743164779</v>
      </c>
      <c r="S40" s="32" t="n">
        <f aca="false">Data_Prices!S40/Data_Prices!S39-1</f>
        <v>-0.0148873169929264</v>
      </c>
      <c r="T40" s="32" t="n">
        <f aca="false">AVERAGE(D40:S40)</f>
        <v>-0.0234452367437596</v>
      </c>
      <c r="U40" s="32" t="n">
        <f aca="false">AVERAGE(J40:S40)</f>
        <v>-0.0238244426906158</v>
      </c>
      <c r="V40" s="32" t="n">
        <f aca="false">AVERAGE(D40:I40)</f>
        <v>-0.0228132268323327</v>
      </c>
      <c r="W40" s="32" t="n">
        <f aca="false">AVERAGE(K40,Q40,R40)</f>
        <v>-0.0341341681933896</v>
      </c>
      <c r="X40" s="32" t="n">
        <f aca="false">AVERAGE(K40,L40,N40,O40,P40,Q40,R40,S40)</f>
        <v>-0.0242977881802347</v>
      </c>
      <c r="Y40" s="32" t="n">
        <f aca="false">AVERAGE(J40,L40,M40,N40,O40,P40,Q40,R40,S40)</f>
        <v>-0.0228893051992805</v>
      </c>
      <c r="Z40" s="32" t="n">
        <f aca="false">U40-V40</f>
        <v>-0.0010112158582831</v>
      </c>
      <c r="AA40" s="32" t="n">
        <f aca="false">W40-V40</f>
        <v>-0.0113209413610569</v>
      </c>
    </row>
    <row r="41" customFormat="false" ht="15" hidden="false" customHeight="false" outlineLevel="0" collapsed="false">
      <c r="A41" s="28" t="n">
        <f aca="false">Data_Prices!A41</f>
        <v>44858</v>
      </c>
      <c r="B41" s="32" t="n">
        <f aca="false">Data_Prices!B41/Data_Prices!B40-1</f>
        <v>0.00878740121641086</v>
      </c>
      <c r="C41" s="32" t="n">
        <f aca="false">Data_Prices!C41/Data_Prices!C40-1</f>
        <v>0.00780115508815671</v>
      </c>
      <c r="D41" s="32" t="n">
        <f aca="false">Data_Prices!D41/Data_Prices!D40-1</f>
        <v>0.0105022486872191</v>
      </c>
      <c r="E41" s="32" t="n">
        <f aca="false">Data_Prices!E41/Data_Prices!E40-1</f>
        <v>0.00690780005756508</v>
      </c>
      <c r="F41" s="32" t="n">
        <f aca="false">Data_Prices!F41/Data_Prices!F40-1</f>
        <v>0.0135251607770339</v>
      </c>
      <c r="G41" s="32" t="n">
        <f aca="false">Data_Prices!G41/Data_Prices!G40-1</f>
        <v>0.00568044476673935</v>
      </c>
      <c r="H41" s="32" t="n">
        <f aca="false">Data_Prices!H41/Data_Prices!H40-1</f>
        <v>0.0151891586674195</v>
      </c>
      <c r="I41" s="32" t="n">
        <f aca="false">Data_Prices!I41/Data_Prices!I40-1</f>
        <v>0.00136986301369868</v>
      </c>
      <c r="J41" s="32" t="n">
        <f aca="false">Data_Prices!J41/Data_Prices!J40-1</f>
        <v>0.010885113212155</v>
      </c>
      <c r="K41" s="32" t="n">
        <f aca="false">Data_Prices!K41/Data_Prices!K40-1</f>
        <v>0.00190728108032845</v>
      </c>
      <c r="L41" s="32" t="n">
        <f aca="false">Data_Prices!L41/Data_Prices!L40-1</f>
        <v>0.0011228858165484</v>
      </c>
      <c r="M41" s="32" t="n">
        <f aca="false">Data_Prices!M41/Data_Prices!M40-1</f>
        <v>0.0308600073103233</v>
      </c>
      <c r="N41" s="32" t="n">
        <f aca="false">Data_Prices!N41/Data_Prices!N40-1</f>
        <v>0.0188734030197444</v>
      </c>
      <c r="O41" s="32" t="n">
        <f aca="false">Data_Prices!O41/Data_Prices!O40-1</f>
        <v>-0.00873150618481688</v>
      </c>
      <c r="P41" s="32" t="n">
        <f aca="false">Data_Prices!P41/Data_Prices!P40-1</f>
        <v>0.00227492739593416</v>
      </c>
      <c r="Q41" s="32" t="n">
        <f aca="false">Data_Prices!Q41/Data_Prices!Q40-1</f>
        <v>0.0101329955668144</v>
      </c>
      <c r="R41" s="32" t="n">
        <f aca="false">Data_Prices!R41/Data_Prices!R40-1</f>
        <v>-0.011496909122422</v>
      </c>
      <c r="S41" s="32" t="n">
        <f aca="false">Data_Prices!S41/Data_Prices!S40-1</f>
        <v>0.00108541370961013</v>
      </c>
      <c r="T41" s="32" t="n">
        <f aca="false">AVERAGE(D41:S41)</f>
        <v>0.00688051798586844</v>
      </c>
      <c r="U41" s="32" t="n">
        <f aca="false">AVERAGE(J41:S41)</f>
        <v>0.00569136118042194</v>
      </c>
      <c r="V41" s="32" t="n">
        <f aca="false">AVERAGE(D41:I41)</f>
        <v>0.00886244599494594</v>
      </c>
      <c r="W41" s="32" t="n">
        <f aca="false">AVERAGE(K41,Q41,R41)</f>
        <v>0.00018112250824028</v>
      </c>
      <c r="X41" s="32" t="n">
        <f aca="false">AVERAGE(K41,L41,N41,O41,P41,Q41,R41,S41)</f>
        <v>0.00189606141021763</v>
      </c>
      <c r="Y41" s="32" t="n">
        <f aca="false">AVERAGE(J41,L41,M41,N41,O41,P41,Q41,R41,S41)</f>
        <v>0.00611181452487677</v>
      </c>
      <c r="Z41" s="32" t="n">
        <f aca="false">U41-V41</f>
        <v>-0.003171084814524</v>
      </c>
      <c r="AA41" s="32" t="n">
        <f aca="false">W41-V41</f>
        <v>-0.00868132348670566</v>
      </c>
    </row>
    <row r="42" customFormat="false" ht="15" hidden="false" customHeight="false" outlineLevel="0" collapsed="false">
      <c r="A42" s="28" t="n">
        <f aca="false">Data_Prices!A42</f>
        <v>44859</v>
      </c>
      <c r="B42" s="32" t="n">
        <f aca="false">Data_Prices!B42/Data_Prices!B41-1</f>
        <v>-0.0041960999957702</v>
      </c>
      <c r="C42" s="32" t="n">
        <f aca="false">Data_Prices!C42/Data_Prices!C41-1</f>
        <v>-0.00267456205280037</v>
      </c>
      <c r="D42" s="32" t="n">
        <f aca="false">Data_Prices!D42/Data_Prices!D41-1</f>
        <v>-0.019418682712151</v>
      </c>
      <c r="E42" s="32" t="n">
        <f aca="false">Data_Prices!E42/Data_Prices!E41-1</f>
        <v>0.00209623630300149</v>
      </c>
      <c r="F42" s="32" t="n">
        <f aca="false">Data_Prices!F42/Data_Prices!F41-1</f>
        <v>-0.0444168247530582</v>
      </c>
      <c r="G42" s="32" t="n">
        <f aca="false">Data_Prices!G42/Data_Prices!G41-1</f>
        <v>0.00925369546929455</v>
      </c>
      <c r="H42" s="32" t="n">
        <f aca="false">Data_Prices!H42/Data_Prices!H41-1</f>
        <v>-0.00678569442126931</v>
      </c>
      <c r="I42" s="32" t="n">
        <f aca="false">Data_Prices!I42/Data_Prices!I41-1</f>
        <v>-0.0155038759689923</v>
      </c>
      <c r="J42" s="32" t="n">
        <f aca="false">Data_Prices!J42/Data_Prices!J41-1</f>
        <v>0.00158757549611721</v>
      </c>
      <c r="K42" s="32" t="n">
        <f aca="false">Data_Prices!K42/Data_Prices!K41-1</f>
        <v>-0.0143815915627995</v>
      </c>
      <c r="L42" s="32" t="n">
        <f aca="false">Data_Prices!L42/Data_Prices!L41-1</f>
        <v>0.00350508236943559</v>
      </c>
      <c r="M42" s="32" t="n">
        <f aca="false">Data_Prices!M42/Data_Prices!M41-1</f>
        <v>-0.0108398338567521</v>
      </c>
      <c r="N42" s="32" t="n">
        <f aca="false">Data_Prices!N42/Data_Prices!N41-1</f>
        <v>0.00803647762895432</v>
      </c>
      <c r="O42" s="32" t="n">
        <f aca="false">Data_Prices!O42/Data_Prices!O41-1</f>
        <v>-0.000489356496207405</v>
      </c>
      <c r="P42" s="32" t="n">
        <f aca="false">Data_Prices!P42/Data_Prices!P41-1</f>
        <v>0.016129811174965</v>
      </c>
      <c r="Q42" s="32" t="n">
        <f aca="false">Data_Prices!Q42/Data_Prices!Q41-1</f>
        <v>-0.0178683385579937</v>
      </c>
      <c r="R42" s="32" t="n">
        <f aca="false">Data_Prices!R42/Data_Prices!R41-1</f>
        <v>-0.0124488603156049</v>
      </c>
      <c r="S42" s="32" t="n">
        <f aca="false">Data_Prices!S42/Data_Prices!S41-1</f>
        <v>0.0150959132610509</v>
      </c>
      <c r="T42" s="32" t="n">
        <f aca="false">AVERAGE(D42:S42)</f>
        <v>-0.00540301668387559</v>
      </c>
      <c r="U42" s="32" t="n">
        <f aca="false">AVERAGE(J42:S42)</f>
        <v>-0.00116731208588347</v>
      </c>
      <c r="V42" s="32" t="n">
        <f aca="false">AVERAGE(D42:I42)</f>
        <v>-0.0124625243471958</v>
      </c>
      <c r="W42" s="32" t="n">
        <f aca="false">AVERAGE(K42,Q42,R42)</f>
        <v>-0.0148995968121327</v>
      </c>
      <c r="X42" s="32" t="n">
        <f aca="false">AVERAGE(K42,L42,N42,O42,P42,Q42,R42,S42)</f>
        <v>-0.000302607812274966</v>
      </c>
      <c r="Y42" s="32" t="n">
        <f aca="false">AVERAGE(J42,L42,M42,N42,O42,P42,Q42,R42,S42)</f>
        <v>0.000300941189329428</v>
      </c>
      <c r="Z42" s="32" t="n">
        <f aca="false">U42-V42</f>
        <v>0.0112952122613123</v>
      </c>
      <c r="AA42" s="32" t="n">
        <f aca="false">W42-V42</f>
        <v>-0.00243707246493693</v>
      </c>
    </row>
    <row r="43" customFormat="false" ht="15" hidden="false" customHeight="false" outlineLevel="0" collapsed="false">
      <c r="A43" s="28" t="n">
        <f aca="false">Data_Prices!A43</f>
        <v>44861</v>
      </c>
      <c r="B43" s="32" t="n">
        <f aca="false">Data_Prices!B43/Data_Prices!B42-1</f>
        <v>0.00456492989774238</v>
      </c>
      <c r="C43" s="32" t="n">
        <f aca="false">Data_Prices!C43/Data_Prices!C42-1</f>
        <v>0.00568342998132998</v>
      </c>
      <c r="D43" s="32" t="n">
        <f aca="false">Data_Prices!D43/Data_Prices!D42-1</f>
        <v>0.00849434555504836</v>
      </c>
      <c r="E43" s="32" t="n">
        <f aca="false">Data_Prices!E43/Data_Prices!E42-1</f>
        <v>-0.0130265284777028</v>
      </c>
      <c r="F43" s="32" t="n">
        <f aca="false">Data_Prices!F43/Data_Prices!F42-1</f>
        <v>-0.0308050383351588</v>
      </c>
      <c r="G43" s="32" t="n">
        <f aca="false">Data_Prices!G43/Data_Prices!G42-1</f>
        <v>0.00500119075970473</v>
      </c>
      <c r="H43" s="32" t="n">
        <f aca="false">Data_Prices!H43/Data_Prices!H42-1</f>
        <v>0.0503164025312204</v>
      </c>
      <c r="I43" s="32" t="n">
        <f aca="false">Data_Prices!I43/Data_Prices!I42-1</f>
        <v>0.0217693376563224</v>
      </c>
      <c r="J43" s="32" t="n">
        <f aca="false">Data_Prices!J43/Data_Prices!J42-1</f>
        <v>-0.0304951586781985</v>
      </c>
      <c r="K43" s="32" t="n">
        <f aca="false">Data_Prices!K43/Data_Prices!K42-1</f>
        <v>-0.0185529803191791</v>
      </c>
      <c r="L43" s="32" t="n">
        <f aca="false">Data_Prices!L43/Data_Prices!L42-1</f>
        <v>0.00279427174292701</v>
      </c>
      <c r="M43" s="32" t="n">
        <f aca="false">Data_Prices!M43/Data_Prices!M42-1</f>
        <v>-0.00122900450634977</v>
      </c>
      <c r="N43" s="32" t="n">
        <f aca="false">Data_Prices!N43/Data_Prices!N42-1</f>
        <v>0.100927287119756</v>
      </c>
      <c r="O43" s="32" t="n">
        <f aca="false">Data_Prices!O43/Data_Prices!O42-1</f>
        <v>0.0156670746634027</v>
      </c>
      <c r="P43" s="32" t="n">
        <f aca="false">Data_Prices!P43/Data_Prices!P42-1</f>
        <v>-0.00974288294282588</v>
      </c>
      <c r="Q43" s="32" t="n">
        <f aca="false">Data_Prices!Q43/Data_Prices!Q42-1</f>
        <v>-0.0108522183210981</v>
      </c>
      <c r="R43" s="32" t="n">
        <f aca="false">Data_Prices!R43/Data_Prices!R42-1</f>
        <v>0.0157424394862993</v>
      </c>
      <c r="S43" s="32" t="n">
        <f aca="false">Data_Prices!S43/Data_Prices!S42-1</f>
        <v>0.0244844302029414</v>
      </c>
      <c r="T43" s="32" t="n">
        <f aca="false">AVERAGE(D43:S43)</f>
        <v>0.00815581050856932</v>
      </c>
      <c r="U43" s="32" t="n">
        <f aca="false">AVERAGE(J43:S43)</f>
        <v>0.00887432584476748</v>
      </c>
      <c r="V43" s="32" t="n">
        <f aca="false">AVERAGE(D43:I43)</f>
        <v>0.00695828494823904</v>
      </c>
      <c r="W43" s="32" t="n">
        <f aca="false">AVERAGE(K43,Q43,R43)</f>
        <v>-0.00455425305132595</v>
      </c>
      <c r="X43" s="32" t="n">
        <f aca="false">AVERAGE(K43,L43,N43,O43,P43,Q43,R43,S43)</f>
        <v>0.0150584277040279</v>
      </c>
      <c r="Y43" s="32" t="n">
        <f aca="false">AVERAGE(J43,L43,M43,N43,O43,P43,Q43,R43,S43)</f>
        <v>0.0119218043074282</v>
      </c>
      <c r="Z43" s="32" t="n">
        <f aca="false">U43-V43</f>
        <v>0.00191604089652844</v>
      </c>
      <c r="AA43" s="32" t="n">
        <f aca="false">W43-V43</f>
        <v>-0.011512537999565</v>
      </c>
    </row>
    <row r="44" customFormat="false" ht="15" hidden="false" customHeight="false" outlineLevel="0" collapsed="false">
      <c r="A44" s="28" t="n">
        <f aca="false">Data_Prices!A44</f>
        <v>44862</v>
      </c>
      <c r="B44" s="32" t="n">
        <f aca="false">Data_Prices!B44/Data_Prices!B43-1</f>
        <v>0.00281051702801216</v>
      </c>
      <c r="C44" s="32" t="n">
        <f aca="false">Data_Prices!C44/Data_Prices!C43-1</f>
        <v>-0.000173836036538311</v>
      </c>
      <c r="D44" s="32" t="n">
        <f aca="false">Data_Prices!D44/Data_Prices!D43-1</f>
        <v>-0.0121439167274282</v>
      </c>
      <c r="E44" s="32" t="n">
        <f aca="false">Data_Prices!E44/Data_Prices!E43-1</f>
        <v>-0.00510597302504812</v>
      </c>
      <c r="F44" s="32" t="n">
        <f aca="false">Data_Prices!F44/Data_Prices!F43-1</f>
        <v>0.0320666760841928</v>
      </c>
      <c r="G44" s="32" t="n">
        <f aca="false">Data_Prices!G44/Data_Prices!G43-1</f>
        <v>-0.00189573459715642</v>
      </c>
      <c r="H44" s="32" t="n">
        <f aca="false">Data_Prices!H44/Data_Prices!H43-1</f>
        <v>-0.0100503852203355</v>
      </c>
      <c r="I44" s="32" t="n">
        <f aca="false">Data_Prices!I44/Data_Prices!I43-1</f>
        <v>-0.0231187669990933</v>
      </c>
      <c r="J44" s="32" t="n">
        <f aca="false">Data_Prices!J44/Data_Prices!J43-1</f>
        <v>0.0304591981802673</v>
      </c>
      <c r="K44" s="32" t="n">
        <f aca="false">Data_Prices!K44/Data_Prices!K43-1</f>
        <v>0.00512813146403124</v>
      </c>
      <c r="L44" s="32" t="n">
        <f aca="false">Data_Prices!L44/Data_Prices!L43-1</f>
        <v>-0.0016718913270638</v>
      </c>
      <c r="M44" s="32" t="n">
        <f aca="false">Data_Prices!M44/Data_Prices!M43-1</f>
        <v>-0.0226620180475801</v>
      </c>
      <c r="N44" s="32" t="n">
        <f aca="false">Data_Prices!N44/Data_Prices!N43-1</f>
        <v>0.0243182168352933</v>
      </c>
      <c r="O44" s="32" t="n">
        <f aca="false">Data_Prices!O44/Data_Prices!O43-1</f>
        <v>-0.00795372378886472</v>
      </c>
      <c r="P44" s="32" t="n">
        <f aca="false">Data_Prices!P44/Data_Prices!P43-1</f>
        <v>0.00556728738721435</v>
      </c>
      <c r="Q44" s="32" t="n">
        <f aca="false">Data_Prices!Q44/Data_Prices!Q43-1</f>
        <v>0</v>
      </c>
      <c r="R44" s="32" t="n">
        <f aca="false">Data_Prices!R44/Data_Prices!R43-1</f>
        <v>-0.0557594826079357</v>
      </c>
      <c r="S44" s="32" t="n">
        <f aca="false">Data_Prices!S44/Data_Prices!S43-1</f>
        <v>0.022295292324966</v>
      </c>
      <c r="T44" s="32" t="n">
        <f aca="false">AVERAGE(D44:S44)</f>
        <v>-0.00128294312903381</v>
      </c>
      <c r="U44" s="32" t="n">
        <f aca="false">AVERAGE(J44:S44)</f>
        <v>-2.78989579672095E-005</v>
      </c>
      <c r="V44" s="32" t="n">
        <f aca="false">AVERAGE(D44:I44)</f>
        <v>-0.0033746834141448</v>
      </c>
      <c r="W44" s="32" t="n">
        <f aca="false">AVERAGE(K44,Q44,R44)</f>
        <v>-0.0168771170479682</v>
      </c>
      <c r="X44" s="32" t="n">
        <f aca="false">AVERAGE(K44,L44,N44,O44,P44,Q44,R44,S44)</f>
        <v>-0.00100952121404492</v>
      </c>
      <c r="Y44" s="32" t="n">
        <f aca="false">AVERAGE(J44,L44,M44,N44,O44,P44,Q44,R44,S44)</f>
        <v>-0.000600791227078148</v>
      </c>
      <c r="Z44" s="32" t="n">
        <f aca="false">U44-V44</f>
        <v>0.00334678445617759</v>
      </c>
      <c r="AA44" s="32" t="n">
        <f aca="false">W44-V44</f>
        <v>-0.0135024336338234</v>
      </c>
    </row>
    <row r="45" customFormat="false" ht="15" hidden="false" customHeight="false" outlineLevel="0" collapsed="false">
      <c r="A45" s="28" t="n">
        <f aca="false">Data_Prices!A45</f>
        <v>44865</v>
      </c>
      <c r="B45" s="32" t="n">
        <f aca="false">Data_Prices!B45/Data_Prices!B44-1</f>
        <v>0.0126723187982101</v>
      </c>
      <c r="C45" s="32" t="n">
        <f aca="false">Data_Prices!C45/Data_Prices!C44-1</f>
        <v>0.0119672475330674</v>
      </c>
      <c r="D45" s="32" t="n">
        <f aca="false">Data_Prices!D45/Data_Prices!D44-1</f>
        <v>0.027640621023161</v>
      </c>
      <c r="E45" s="32" t="n">
        <f aca="false">Data_Prices!E45/Data_Prices!E44-1</f>
        <v>0.015493366902295</v>
      </c>
      <c r="F45" s="32" t="n">
        <f aca="false">Data_Prices!F45/Data_Prices!F44-1</f>
        <v>-0.00595401040240906</v>
      </c>
      <c r="G45" s="32" t="n">
        <f aca="false">Data_Prices!G45/Data_Prices!G44-1</f>
        <v>-0.0377492877492877</v>
      </c>
      <c r="H45" s="32" t="n">
        <f aca="false">Data_Prices!H45/Data_Prices!H44-1</f>
        <v>-0.0186082835137609</v>
      </c>
      <c r="I45" s="32" t="n">
        <f aca="false">Data_Prices!I45/Data_Prices!I44-1</f>
        <v>-0.0201856148491879</v>
      </c>
      <c r="J45" s="32" t="n">
        <f aca="false">Data_Prices!J45/Data_Prices!J44-1</f>
        <v>0.0150381126478805</v>
      </c>
      <c r="K45" s="32" t="n">
        <f aca="false">Data_Prices!K45/Data_Prices!K44-1</f>
        <v>0.0195932716905092</v>
      </c>
      <c r="L45" s="32" t="n">
        <f aca="false">Data_Prices!L45/Data_Prices!L44-1</f>
        <v>-0.010048147372828</v>
      </c>
      <c r="M45" s="32" t="n">
        <f aca="false">Data_Prices!M45/Data_Prices!M44-1</f>
        <v>0.023187493442451</v>
      </c>
      <c r="N45" s="32" t="n">
        <f aca="false">Data_Prices!N45/Data_Prices!N44-1</f>
        <v>0.0225124721101055</v>
      </c>
      <c r="O45" s="32" t="n">
        <f aca="false">Data_Prices!O45/Data_Prices!O44-1</f>
        <v>-0.0184645286686104</v>
      </c>
      <c r="P45" s="32" t="n">
        <f aca="false">Data_Prices!P45/Data_Prices!P44-1</f>
        <v>-0.00396143566246643</v>
      </c>
      <c r="Q45" s="32" t="n">
        <f aca="false">Data_Prices!Q45/Data_Prices!Q44-1</f>
        <v>0.0145208131655372</v>
      </c>
      <c r="R45" s="32" t="n">
        <f aca="false">Data_Prices!R45/Data_Prices!R44-1</f>
        <v>0.0201777119585338</v>
      </c>
      <c r="S45" s="32" t="n">
        <f aca="false">Data_Prices!S45/Data_Prices!S44-1</f>
        <v>-0.0357338981721189</v>
      </c>
      <c r="T45" s="32" t="n">
        <f aca="false">AVERAGE(D45:S45)</f>
        <v>0.000466166034362746</v>
      </c>
      <c r="U45" s="32" t="n">
        <f aca="false">AVERAGE(J45:S45)</f>
        <v>0.00468218651389935</v>
      </c>
      <c r="V45" s="32" t="n">
        <f aca="false">AVERAGE(D45:I45)</f>
        <v>-0.00656053476486492</v>
      </c>
      <c r="W45" s="32" t="n">
        <f aca="false">AVERAGE(K45,Q45,R45)</f>
        <v>0.0180972656048601</v>
      </c>
      <c r="X45" s="32" t="n">
        <f aca="false">AVERAGE(K45,L45,N45,O45,P45,Q45,R45,S45)</f>
        <v>0.00107453238108275</v>
      </c>
      <c r="Y45" s="32" t="n">
        <f aca="false">AVERAGE(J45,L45,M45,N45,O45,P45,Q45,R45,S45)</f>
        <v>0.00302539927205381</v>
      </c>
      <c r="Z45" s="32" t="n">
        <f aca="false">U45-V45</f>
        <v>0.0112427212787643</v>
      </c>
      <c r="AA45" s="32" t="n">
        <f aca="false">W45-V45</f>
        <v>0.024657800369725</v>
      </c>
    </row>
    <row r="46" customFormat="false" ht="15" hidden="false" customHeight="false" outlineLevel="0" collapsed="false">
      <c r="A46" s="28" t="n">
        <f aca="false">Data_Prices!A46</f>
        <v>44866</v>
      </c>
      <c r="B46" s="32" t="n">
        <f aca="false">Data_Prices!B46/Data_Prices!B45-1</f>
        <v>0.007394987841574</v>
      </c>
      <c r="C46" s="32" t="n">
        <f aca="false">Data_Prices!C46/Data_Prices!C45-1</f>
        <v>0.00735217842323643</v>
      </c>
      <c r="D46" s="32" t="n">
        <f aca="false">Data_Prices!D46/Data_Prices!D45-1</f>
        <v>-0.0182781850604319</v>
      </c>
      <c r="E46" s="32" t="n">
        <f aca="false">Data_Prices!E46/Data_Prices!E45-1</f>
        <v>-0.00638886240106806</v>
      </c>
      <c r="F46" s="32" t="n">
        <f aca="false">Data_Prices!F46/Data_Prices!F45-1</f>
        <v>0.0192082616179001</v>
      </c>
      <c r="G46" s="32" t="n">
        <f aca="false">Data_Prices!G46/Data_Prices!G45-1</f>
        <v>-0.0118430792005921</v>
      </c>
      <c r="H46" s="32" t="n">
        <f aca="false">Data_Prices!H46/Data_Prices!H45-1</f>
        <v>-0.00694234832478124</v>
      </c>
      <c r="I46" s="32" t="n">
        <f aca="false">Data_Prices!I46/Data_Prices!I45-1</f>
        <v>0.00757755150367045</v>
      </c>
      <c r="J46" s="32" t="n">
        <f aca="false">Data_Prices!J46/Data_Prices!J45-1</f>
        <v>-0.0236501410173638</v>
      </c>
      <c r="K46" s="32" t="n">
        <f aca="false">Data_Prices!K46/Data_Prices!K45-1</f>
        <v>0.0091528369589593</v>
      </c>
      <c r="L46" s="32" t="n">
        <f aca="false">Data_Prices!L46/Data_Prices!L45-1</f>
        <v>0.000211461196870433</v>
      </c>
      <c r="M46" s="32" t="n">
        <f aca="false">Data_Prices!M46/Data_Prices!M45-1</f>
        <v>0.00738310090237904</v>
      </c>
      <c r="N46" s="32" t="n">
        <f aca="false">Data_Prices!N46/Data_Prices!N45-1</f>
        <v>-0.00737980238801572</v>
      </c>
      <c r="O46" s="32" t="n">
        <f aca="false">Data_Prices!O46/Data_Prices!O45-1</f>
        <v>-0.0190594059405941</v>
      </c>
      <c r="P46" s="32" t="n">
        <f aca="false">Data_Prices!P46/Data_Prices!P45-1</f>
        <v>0.0233360486846519</v>
      </c>
      <c r="Q46" s="32" t="n">
        <f aca="false">Data_Prices!Q46/Data_Prices!Q45-1</f>
        <v>0.00667938931297707</v>
      </c>
      <c r="R46" s="32" t="n">
        <f aca="false">Data_Prices!R46/Data_Prices!R45-1</f>
        <v>-0.00127018689892933</v>
      </c>
      <c r="S46" s="32" t="n">
        <f aca="false">Data_Prices!S46/Data_Prices!S45-1</f>
        <v>-0.0174510840824961</v>
      </c>
      <c r="T46" s="32" t="n">
        <f aca="false">AVERAGE(D46:S46)</f>
        <v>-0.002419652821054</v>
      </c>
      <c r="U46" s="32" t="n">
        <f aca="false">AVERAGE(J46:S46)</f>
        <v>-0.00220477832715613</v>
      </c>
      <c r="V46" s="32" t="n">
        <f aca="false">AVERAGE(D46:I46)</f>
        <v>-0.00277777697755046</v>
      </c>
      <c r="W46" s="32" t="n">
        <f aca="false">AVERAGE(K46,Q46,R46)</f>
        <v>0.00485401312433568</v>
      </c>
      <c r="X46" s="32" t="n">
        <f aca="false">AVERAGE(K46,L46,N46,O46,P46,Q46,R46,S46)</f>
        <v>-0.000722592894572063</v>
      </c>
      <c r="Y46" s="32" t="n">
        <f aca="false">AVERAGE(J46,L46,M46,N46,O46,P46,Q46,R46,S46)</f>
        <v>-0.00346673558116896</v>
      </c>
      <c r="Z46" s="32" t="n">
        <f aca="false">U46-V46</f>
        <v>0.000572998650394326</v>
      </c>
      <c r="AA46" s="32" t="n">
        <f aca="false">W46-V46</f>
        <v>0.00763179010188614</v>
      </c>
    </row>
    <row r="47" customFormat="false" ht="15" hidden="false" customHeight="false" outlineLevel="0" collapsed="false">
      <c r="A47" s="28" t="n">
        <f aca="false">Data_Prices!A47</f>
        <v>44867</v>
      </c>
      <c r="B47" s="32" t="n">
        <f aca="false">Data_Prices!B47/Data_Prices!B46-1</f>
        <v>-0.00344715465076562</v>
      </c>
      <c r="C47" s="32" t="n">
        <f aca="false">Data_Prices!C47/Data_Prices!C46-1</f>
        <v>-0.00256477917798348</v>
      </c>
      <c r="D47" s="32" t="n">
        <f aca="false">Data_Prices!D47/Data_Prices!D46-1</f>
        <v>-0.0106968060951612</v>
      </c>
      <c r="E47" s="32" t="n">
        <f aca="false">Data_Prices!E47/Data_Prices!E46-1</f>
        <v>-0.026295585412668</v>
      </c>
      <c r="F47" s="32" t="n">
        <f aca="false">Data_Prices!F47/Data_Prices!F46-1</f>
        <v>-0.00716022696568508</v>
      </c>
      <c r="G47" s="32" t="n">
        <f aca="false">Data_Prices!G47/Data_Prices!G46-1</f>
        <v>-0.0845193508114857</v>
      </c>
      <c r="H47" s="32" t="n">
        <f aca="false">Data_Prices!H47/Data_Prices!H46-1</f>
        <v>-0.0314727825366123</v>
      </c>
      <c r="I47" s="32" t="n">
        <f aca="false">Data_Prices!I47/Data_Prices!I46-1</f>
        <v>-0.0138660399529964</v>
      </c>
      <c r="J47" s="32" t="n">
        <f aca="false">Data_Prices!J47/Data_Prices!J46-1</f>
        <v>0.0209515191591549</v>
      </c>
      <c r="K47" s="32" t="n">
        <f aca="false">Data_Prices!K47/Data_Prices!K46-1</f>
        <v>-0.00738919677208783</v>
      </c>
      <c r="L47" s="32" t="n">
        <f aca="false">Data_Prices!L47/Data_Prices!L46-1</f>
        <v>0.0496124031007752</v>
      </c>
      <c r="M47" s="32" t="n">
        <f aca="false">Data_Prices!M47/Data_Prices!M46-1</f>
        <v>0.0122658794788275</v>
      </c>
      <c r="N47" s="32" t="n">
        <f aca="false">Data_Prices!N47/Data_Prices!N46-1</f>
        <v>-0.0185990218841081</v>
      </c>
      <c r="O47" s="32" t="n">
        <f aca="false">Data_Prices!O47/Data_Prices!O46-1</f>
        <v>-0.02296240222054</v>
      </c>
      <c r="P47" s="32" t="n">
        <f aca="false">Data_Prices!P47/Data_Prices!P46-1</f>
        <v>-0.00678966098520317</v>
      </c>
      <c r="Q47" s="32" t="n">
        <f aca="false">Data_Prices!Q47/Data_Prices!Q46-1</f>
        <v>-0.0115323854660346</v>
      </c>
      <c r="R47" s="32" t="n">
        <f aca="false">Data_Prices!R47/Data_Prices!R46-1</f>
        <v>0.0124757751937985</v>
      </c>
      <c r="S47" s="32" t="n">
        <f aca="false">Data_Prices!S47/Data_Prices!S46-1</f>
        <v>8.28020203693658E-005</v>
      </c>
      <c r="T47" s="32" t="n">
        <f aca="false">AVERAGE(D47:S47)</f>
        <v>-0.00911844250935356</v>
      </c>
      <c r="U47" s="32" t="n">
        <f aca="false">AVERAGE(J47:S47)</f>
        <v>0.00281157116249517</v>
      </c>
      <c r="V47" s="32" t="n">
        <f aca="false">AVERAGE(D47:I47)</f>
        <v>-0.0290017986291014</v>
      </c>
      <c r="W47" s="32" t="n">
        <f aca="false">AVERAGE(K47,Q47,R47)</f>
        <v>-0.00214860234810799</v>
      </c>
      <c r="X47" s="32" t="n">
        <f aca="false">AVERAGE(K47,L47,N47,O47,P47,Q47,R47,S47)</f>
        <v>-0.000637710876628839</v>
      </c>
      <c r="Y47" s="32" t="n">
        <f aca="false">AVERAGE(J47,L47,M47,N47,O47,P47,Q47,R47,S47)</f>
        <v>0.00394498982189329</v>
      </c>
      <c r="Z47" s="32" t="n">
        <f aca="false">U47-V47</f>
        <v>0.0318133697915966</v>
      </c>
      <c r="AA47" s="32" t="n">
        <f aca="false">W47-V47</f>
        <v>0.0268531962809935</v>
      </c>
    </row>
    <row r="48" customFormat="false" ht="15" hidden="false" customHeight="false" outlineLevel="0" collapsed="false">
      <c r="A48" s="28" t="n">
        <f aca="false">Data_Prices!A48</f>
        <v>44868</v>
      </c>
      <c r="B48" s="32" t="n">
        <f aca="false">Data_Prices!B48/Data_Prices!B47-1</f>
        <v>-0.00166732567045558</v>
      </c>
      <c r="C48" s="32" t="n">
        <f aca="false">Data_Prices!C48/Data_Prices!C47-1</f>
        <v>-0.000829163319363335</v>
      </c>
      <c r="D48" s="32" t="n">
        <f aca="false">Data_Prices!D48/Data_Prices!D47-1</f>
        <v>-0.0473555362880604</v>
      </c>
      <c r="E48" s="32" t="n">
        <f aca="false">Data_Prices!E48/Data_Prices!E47-1</f>
        <v>0.0273013995663316</v>
      </c>
      <c r="F48" s="32" t="n">
        <f aca="false">Data_Prices!F48/Data_Prices!F47-1</f>
        <v>-0.00367396924751662</v>
      </c>
      <c r="G48" s="32" t="n">
        <f aca="false">Data_Prices!G48/Data_Prices!G47-1</f>
        <v>0.00886403927451251</v>
      </c>
      <c r="H48" s="32" t="n">
        <f aca="false">Data_Prices!H48/Data_Prices!H47-1</f>
        <v>-0.00188297052865816</v>
      </c>
      <c r="I48" s="32" t="n">
        <f aca="false">Data_Prices!I48/Data_Prices!I47-1</f>
        <v>0.03860819828408</v>
      </c>
      <c r="J48" s="32" t="n">
        <f aca="false">Data_Prices!J48/Data_Prices!J47-1</f>
        <v>0.0674279870461907</v>
      </c>
      <c r="K48" s="32" t="n">
        <f aca="false">Data_Prices!K48/Data_Prices!K47-1</f>
        <v>-0.00484153081928207</v>
      </c>
      <c r="L48" s="32" t="n">
        <f aca="false">Data_Prices!L48/Data_Prices!L47-1</f>
        <v>0.018665234322546</v>
      </c>
      <c r="M48" s="32" t="n">
        <f aca="false">Data_Prices!M48/Data_Prices!M47-1</f>
        <v>-0.0206646890240837</v>
      </c>
      <c r="N48" s="32" t="n">
        <f aca="false">Data_Prices!N48/Data_Prices!N47-1</f>
        <v>0.00405204741650511</v>
      </c>
      <c r="O48" s="32" t="n">
        <f aca="false">Data_Prices!O48/Data_Prices!O47-1</f>
        <v>0.135847107438017</v>
      </c>
      <c r="P48" s="32" t="n">
        <f aca="false">Data_Prices!P48/Data_Prices!P47-1</f>
        <v>-0.00216868605912024</v>
      </c>
      <c r="Q48" s="32" t="n">
        <f aca="false">Data_Prices!Q48/Data_Prices!Q47-1</f>
        <v>-0.019657983058974</v>
      </c>
      <c r="R48" s="32" t="n">
        <f aca="false">Data_Prices!R48/Data_Prices!R47-1</f>
        <v>-0.00807512860390003</v>
      </c>
      <c r="S48" s="32" t="n">
        <f aca="false">Data_Prices!S48/Data_Prices!S47-1</f>
        <v>0.0268670309653916</v>
      </c>
      <c r="T48" s="32" t="n">
        <f aca="false">AVERAGE(D48:S48)</f>
        <v>0.0137070344177487</v>
      </c>
      <c r="U48" s="32" t="n">
        <f aca="false">AVERAGE(J48:S48)</f>
        <v>0.019745138962329</v>
      </c>
      <c r="V48" s="32" t="n">
        <f aca="false">AVERAGE(D48:I48)</f>
        <v>0.00364352684344815</v>
      </c>
      <c r="W48" s="32" t="n">
        <f aca="false">AVERAGE(K48,Q48,R48)</f>
        <v>-0.0108582141607187</v>
      </c>
      <c r="X48" s="32" t="n">
        <f aca="false">AVERAGE(K48,L48,N48,O48,P48,Q48,R48,S48)</f>
        <v>0.0188360114501479</v>
      </c>
      <c r="Y48" s="32" t="n">
        <f aca="false">AVERAGE(J48,L48,M48,N48,O48,P48,Q48,R48,S48)</f>
        <v>0.0224769911602858</v>
      </c>
      <c r="Z48" s="32" t="n">
        <f aca="false">U48-V48</f>
        <v>0.0161016121188808</v>
      </c>
      <c r="AA48" s="32" t="n">
        <f aca="false">W48-V48</f>
        <v>-0.0145017410041669</v>
      </c>
    </row>
    <row r="49" customFormat="false" ht="15" hidden="false" customHeight="false" outlineLevel="0" collapsed="false">
      <c r="A49" s="28" t="n">
        <f aca="false">Data_Prices!A49</f>
        <v>44869</v>
      </c>
      <c r="B49" s="32" t="n">
        <f aca="false">Data_Prices!B49/Data_Prices!B48-1</f>
        <v>0.00357010308707295</v>
      </c>
      <c r="C49" s="32" t="n">
        <f aca="false">Data_Prices!C49/Data_Prices!C48-1</f>
        <v>0.00298036125982426</v>
      </c>
      <c r="D49" s="32" t="n">
        <f aca="false">Data_Prices!D49/Data_Prices!D48-1</f>
        <v>0.0145354284337609</v>
      </c>
      <c r="E49" s="32" t="n">
        <f aca="false">Data_Prices!E49/Data_Prices!E48-1</f>
        <v>-0.0094022834116857</v>
      </c>
      <c r="F49" s="32" t="n">
        <f aca="false">Data_Prices!F49/Data_Prices!F48-1</f>
        <v>-0.00300464354001651</v>
      </c>
      <c r="G49" s="32" t="n">
        <f aca="false">Data_Prices!G49/Data_Prices!G48-1</f>
        <v>0.00662341173290093</v>
      </c>
      <c r="H49" s="32" t="n">
        <f aca="false">Data_Prices!H49/Data_Prices!H48-1</f>
        <v>0.0198942403887379</v>
      </c>
      <c r="I49" s="32" t="n">
        <f aca="false">Data_Prices!I49/Data_Prices!I48-1</f>
        <v>0.0998164295548416</v>
      </c>
      <c r="J49" s="32" t="n">
        <f aca="false">Data_Prices!J49/Data_Prices!J48-1</f>
        <v>-0.00587615367419281</v>
      </c>
      <c r="K49" s="32" t="n">
        <f aca="false">Data_Prices!K49/Data_Prices!K48-1</f>
        <v>0.0126970289233537</v>
      </c>
      <c r="L49" s="32" t="n">
        <f aca="false">Data_Prices!L49/Data_Prices!L48-1</f>
        <v>0.00659108884787774</v>
      </c>
      <c r="M49" s="32" t="n">
        <f aca="false">Data_Prices!M49/Data_Prices!M48-1</f>
        <v>0.00718759626244991</v>
      </c>
      <c r="N49" s="32" t="n">
        <f aca="false">Data_Prices!N49/Data_Prices!N48-1</f>
        <v>0.000601594224695523</v>
      </c>
      <c r="O49" s="32" t="n">
        <f aca="false">Data_Prices!O49/Data_Prices!O48-1</f>
        <v>-0.00818553888130968</v>
      </c>
      <c r="P49" s="32" t="n">
        <f aca="false">Data_Prices!P49/Data_Prices!P48-1</f>
        <v>0.0168202220647296</v>
      </c>
      <c r="Q49" s="32" t="n">
        <f aca="false">Data_Prices!Q49/Data_Prices!Q48-1</f>
        <v>0.0241278121943269</v>
      </c>
      <c r="R49" s="32" t="n">
        <f aca="false">Data_Prices!R49/Data_Prices!R48-1</f>
        <v>-0.0215280709159983</v>
      </c>
      <c r="S49" s="32" t="n">
        <f aca="false">Data_Prices!S49/Data_Prices!S48-1</f>
        <v>0.0155613787542834</v>
      </c>
      <c r="T49" s="32" t="n">
        <f aca="false">AVERAGE(D49:S49)</f>
        <v>0.0110287213099222</v>
      </c>
      <c r="U49" s="32" t="n">
        <f aca="false">AVERAGE(J49:S49)</f>
        <v>0.0047996957800216</v>
      </c>
      <c r="V49" s="32" t="n">
        <f aca="false">AVERAGE(D49:I49)</f>
        <v>0.0214104305264232</v>
      </c>
      <c r="W49" s="32" t="n">
        <f aca="false">AVERAGE(K49,Q49,R49)</f>
        <v>0.00509892340056077</v>
      </c>
      <c r="X49" s="32" t="n">
        <f aca="false">AVERAGE(K49,L49,N49,O49,P49,Q49,R49,S49)</f>
        <v>0.00583568940149486</v>
      </c>
      <c r="Y49" s="32" t="n">
        <f aca="false">AVERAGE(J49,L49,M49,N49,O49,P49,Q49,R49,S49)</f>
        <v>0.00392221431965137</v>
      </c>
      <c r="Z49" s="32" t="n">
        <f aca="false">U49-V49</f>
        <v>-0.0166107347464016</v>
      </c>
      <c r="AA49" s="32" t="n">
        <f aca="false">W49-V49</f>
        <v>-0.0163115071258624</v>
      </c>
    </row>
    <row r="50" customFormat="false" ht="15" hidden="false" customHeight="false" outlineLevel="0" collapsed="false">
      <c r="A50" s="28" t="n">
        <f aca="false">Data_Prices!A50</f>
        <v>44872</v>
      </c>
      <c r="B50" s="32" t="n">
        <f aca="false">Data_Prices!B50/Data_Prices!B49-1</f>
        <v>0.00472756476598124</v>
      </c>
      <c r="C50" s="32" t="n">
        <f aca="false">Data_Prices!C50/Data_Prices!C49-1</f>
        <v>0.00542790639276025</v>
      </c>
      <c r="D50" s="32" t="n">
        <f aca="false">Data_Prices!D50/Data_Prices!D49-1</f>
        <v>0.0101319261213721</v>
      </c>
      <c r="E50" s="32" t="n">
        <f aca="false">Data_Prices!E50/Data_Prices!E49-1</f>
        <v>0.0107506053268764</v>
      </c>
      <c r="F50" s="32" t="n">
        <f aca="false">Data_Prices!F50/Data_Prices!F49-1</f>
        <v>-0.0281506849315067</v>
      </c>
      <c r="G50" s="32" t="n">
        <f aca="false">Data_Prices!G50/Data_Prices!G49-1</f>
        <v>0.0280649926144756</v>
      </c>
      <c r="H50" s="32" t="n">
        <f aca="false">Data_Prices!H50/Data_Prices!H49-1</f>
        <v>0.00336313444129921</v>
      </c>
      <c r="I50" s="32" t="n">
        <f aca="false">Data_Prices!I50/Data_Prices!I49-1</f>
        <v>-0.00375547673690801</v>
      </c>
      <c r="J50" s="32" t="n">
        <f aca="false">Data_Prices!J50/Data_Prices!J49-1</f>
        <v>-0.000128497542484562</v>
      </c>
      <c r="K50" s="32" t="n">
        <f aca="false">Data_Prices!K50/Data_Prices!K49-1</f>
        <v>-0.00304073755241463</v>
      </c>
      <c r="L50" s="32" t="n">
        <f aca="false">Data_Prices!L50/Data_Prices!L49-1</f>
        <v>-0.019971189104243</v>
      </c>
      <c r="M50" s="32" t="n">
        <f aca="false">Data_Prices!M50/Data_Prices!M49-1</f>
        <v>0.0193699663574269</v>
      </c>
      <c r="N50" s="32" t="n">
        <f aca="false">Data_Prices!N50/Data_Prices!N49-1</f>
        <v>-0.0133774237186233</v>
      </c>
      <c r="O50" s="32" t="n">
        <f aca="false">Data_Prices!O50/Data_Prices!O49-1</f>
        <v>0.00412654745529584</v>
      </c>
      <c r="P50" s="32" t="n">
        <f aca="false">Data_Prices!P50/Data_Prices!P49-1</f>
        <v>0.0345708842525905</v>
      </c>
      <c r="Q50" s="32" t="n">
        <f aca="false">Data_Prices!Q50/Data_Prices!Q49-1</f>
        <v>-0.010028653295129</v>
      </c>
      <c r="R50" s="32" t="n">
        <f aca="false">Data_Prices!R50/Data_Prices!R49-1</f>
        <v>-0.00591643042031298</v>
      </c>
      <c r="S50" s="32" t="n">
        <f aca="false">Data_Prices!S50/Data_Prices!S49-1</f>
        <v>0.0235004565122463</v>
      </c>
      <c r="T50" s="32" t="n">
        <f aca="false">AVERAGE(D50:S50)</f>
        <v>0.00309433873624754</v>
      </c>
      <c r="U50" s="32" t="n">
        <f aca="false">AVERAGE(J50:S50)</f>
        <v>0.00291049229443521</v>
      </c>
      <c r="V50" s="32" t="n">
        <f aca="false">AVERAGE(D50:I50)</f>
        <v>0.00340074947260144</v>
      </c>
      <c r="W50" s="32" t="n">
        <f aca="false">AVERAGE(K50,Q50,R50)</f>
        <v>-0.00632860708928555</v>
      </c>
      <c r="X50" s="32" t="n">
        <f aca="false">AVERAGE(K50,L50,N50,O50,P50,Q50,R50,S50)</f>
        <v>0.00123293176617621</v>
      </c>
      <c r="Y50" s="32" t="n">
        <f aca="false">AVERAGE(J50,L50,M50,N50,O50,P50,Q50,R50,S50)</f>
        <v>0.0035717400551963</v>
      </c>
      <c r="Z50" s="32" t="n">
        <f aca="false">U50-V50</f>
        <v>-0.000490257178166231</v>
      </c>
      <c r="AA50" s="32" t="n">
        <f aca="false">W50-V50</f>
        <v>-0.00972935656188699</v>
      </c>
    </row>
    <row r="51" customFormat="false" ht="15" hidden="false" customHeight="false" outlineLevel="0" collapsed="false">
      <c r="A51" s="28" t="n">
        <f aca="false">Data_Prices!A51</f>
        <v>44874</v>
      </c>
      <c r="B51" s="32" t="n">
        <f aca="false">Data_Prices!B51/Data_Prices!B50-1</f>
        <v>-0.00251609642472583</v>
      </c>
      <c r="C51" s="32" t="n">
        <f aca="false">Data_Prices!C51/Data_Prices!C50-1</f>
        <v>-0.00306753377329061</v>
      </c>
      <c r="D51" s="32" t="n">
        <f aca="false">Data_Prices!D51/Data_Prices!D50-1</f>
        <v>0.0455803991223487</v>
      </c>
      <c r="E51" s="32" t="n">
        <f aca="false">Data_Prices!E51/Data_Prices!E50-1</f>
        <v>0.0249137600613263</v>
      </c>
      <c r="F51" s="32" t="n">
        <f aca="false">Data_Prices!F51/Data_Prices!F50-1</f>
        <v>-0.0133906547325393</v>
      </c>
      <c r="G51" s="32" t="n">
        <f aca="false">Data_Prices!G51/Data_Prices!G50-1</f>
        <v>-0.00914315569487978</v>
      </c>
      <c r="H51" s="32" t="n">
        <f aca="false">Data_Prices!H51/Data_Prices!H50-1</f>
        <v>-0.0115639227954526</v>
      </c>
      <c r="I51" s="32" t="n">
        <f aca="false">Data_Prices!I51/Data_Prices!I50-1</f>
        <v>-0.00670157068062827</v>
      </c>
      <c r="J51" s="32" t="n">
        <f aca="false">Data_Prices!J51/Data_Prices!J50-1</f>
        <v>0.00581526104417662</v>
      </c>
      <c r="K51" s="32" t="n">
        <f aca="false">Data_Prices!K51/Data_Prices!K50-1</f>
        <v>-0.00640641755915494</v>
      </c>
      <c r="L51" s="32" t="n">
        <f aca="false">Data_Prices!L51/Data_Prices!L50-1</f>
        <v>-0.00494421059664607</v>
      </c>
      <c r="M51" s="32" t="n">
        <f aca="false">Data_Prices!M51/Data_Prices!M50-1</f>
        <v>-0.00310031003100308</v>
      </c>
      <c r="N51" s="32" t="n">
        <f aca="false">Data_Prices!N51/Data_Prices!N50-1</f>
        <v>-0.00358013406459468</v>
      </c>
      <c r="O51" s="32" t="n">
        <f aca="false">Data_Prices!O51/Data_Prices!O50-1</f>
        <v>0.00913242009132431</v>
      </c>
      <c r="P51" s="32" t="n">
        <f aca="false">Data_Prices!P51/Data_Prices!P50-1</f>
        <v>0.00426678643611056</v>
      </c>
      <c r="Q51" s="32" t="n">
        <f aca="false">Data_Prices!Q51/Data_Prices!Q50-1</f>
        <v>0.0270139893873613</v>
      </c>
      <c r="R51" s="32" t="n">
        <f aca="false">Data_Prices!R51/Data_Prices!R50-1</f>
        <v>0.00960942343459403</v>
      </c>
      <c r="S51" s="32" t="n">
        <f aca="false">Data_Prices!S51/Data_Prices!S50-1</f>
        <v>-0.0107435131675909</v>
      </c>
      <c r="T51" s="32" t="n">
        <f aca="false">AVERAGE(D51:S51)</f>
        <v>0.00354738439092201</v>
      </c>
      <c r="U51" s="32" t="n">
        <f aca="false">AVERAGE(J51:S51)</f>
        <v>0.00270632949745772</v>
      </c>
      <c r="V51" s="32" t="n">
        <f aca="false">AVERAGE(D51:I51)</f>
        <v>0.00494914254669584</v>
      </c>
      <c r="W51" s="32" t="n">
        <f aca="false">AVERAGE(K51,Q51,R51)</f>
        <v>0.0100723317542668</v>
      </c>
      <c r="X51" s="32" t="n">
        <f aca="false">AVERAGE(K51,L51,N51,O51,P51,Q51,R51,S51)</f>
        <v>0.00304354299517545</v>
      </c>
      <c r="Y51" s="32" t="n">
        <f aca="false">AVERAGE(J51,L51,M51,N51,O51,P51,Q51,R51,S51)</f>
        <v>0.00371885694819246</v>
      </c>
      <c r="Z51" s="32" t="n">
        <f aca="false">U51-V51</f>
        <v>-0.00224281304923812</v>
      </c>
      <c r="AA51" s="32" t="n">
        <f aca="false">W51-V51</f>
        <v>0.00512318920757097</v>
      </c>
    </row>
    <row r="52" customFormat="false" ht="15" hidden="false" customHeight="false" outlineLevel="0" collapsed="false">
      <c r="A52" s="28" t="n">
        <f aca="false">Data_Prices!A52</f>
        <v>44875</v>
      </c>
      <c r="B52" s="32" t="n">
        <f aca="false">Data_Prices!B52/Data_Prices!B51-1</f>
        <v>-0.00709368287712719</v>
      </c>
      <c r="C52" s="32" t="n">
        <f aca="false">Data_Prices!C52/Data_Prices!C51-1</f>
        <v>-0.00817421188713485</v>
      </c>
      <c r="D52" s="32" t="n">
        <f aca="false">Data_Prices!D52/Data_Prices!D51-1</f>
        <v>0.00442179419920552</v>
      </c>
      <c r="E52" s="32" t="n">
        <f aca="false">Data_Prices!E52/Data_Prices!E51-1</f>
        <v>-0.00701196709050111</v>
      </c>
      <c r="F52" s="32" t="n">
        <f aca="false">Data_Prices!F52/Data_Prices!F51-1</f>
        <v>0.00121437245517519</v>
      </c>
      <c r="G52" s="32" t="n">
        <f aca="false">Data_Prices!G52/Data_Prices!G51-1</f>
        <v>0.0121276034800948</v>
      </c>
      <c r="H52" s="32" t="n">
        <f aca="false">Data_Prices!H52/Data_Prices!H51-1</f>
        <v>-0.0158250204877498</v>
      </c>
      <c r="I52" s="32" t="n">
        <f aca="false">Data_Prices!I52/Data_Prices!I51-1</f>
        <v>-0.00780096985030565</v>
      </c>
      <c r="J52" s="32" t="n">
        <f aca="false">Data_Prices!J52/Data_Prices!J51-1</f>
        <v>-0.0116910496390468</v>
      </c>
      <c r="K52" s="32" t="n">
        <f aca="false">Data_Prices!K52/Data_Prices!K51-1</f>
        <v>-0.023646328301305</v>
      </c>
      <c r="L52" s="32" t="n">
        <f aca="false">Data_Prices!L52/Data_Prices!L51-1</f>
        <v>-0.03028268313973</v>
      </c>
      <c r="M52" s="32" t="n">
        <f aca="false">Data_Prices!M52/Data_Prices!M51-1</f>
        <v>-0.0029594703049759</v>
      </c>
      <c r="N52" s="32" t="n">
        <f aca="false">Data_Prices!N52/Data_Prices!N51-1</f>
        <v>-0.013480111102617</v>
      </c>
      <c r="O52" s="32" t="n">
        <f aca="false">Data_Prices!O52/Data_Prices!O51-1</f>
        <v>-0.00316742081447963</v>
      </c>
      <c r="P52" s="32" t="n">
        <f aca="false">Data_Prices!P52/Data_Prices!P51-1</f>
        <v>-0.0112254025044722</v>
      </c>
      <c r="Q52" s="32" t="n">
        <f aca="false">Data_Prices!Q52/Data_Prices!Q51-1</f>
        <v>-0.013621418506341</v>
      </c>
      <c r="R52" s="32" t="n">
        <f aca="false">Data_Prices!R52/Data_Prices!R51-1</f>
        <v>-0.0093951489100399</v>
      </c>
      <c r="S52" s="32" t="n">
        <f aca="false">Data_Prices!S52/Data_Prices!S51-1</f>
        <v>-0.0236414961185604</v>
      </c>
      <c r="T52" s="32" t="n">
        <f aca="false">AVERAGE(D52:S52)</f>
        <v>-0.00974904478972806</v>
      </c>
      <c r="U52" s="32" t="n">
        <f aca="false">AVERAGE(J52:S52)</f>
        <v>-0.0143110529341568</v>
      </c>
      <c r="V52" s="32" t="n">
        <f aca="false">AVERAGE(D52:I52)</f>
        <v>-0.00214569788234685</v>
      </c>
      <c r="W52" s="32" t="n">
        <f aca="false">AVERAGE(K52,Q52,R52)</f>
        <v>-0.015554298572562</v>
      </c>
      <c r="X52" s="32" t="n">
        <f aca="false">AVERAGE(K52,L52,N52,O52,P52,Q52,R52,S52)</f>
        <v>-0.0160575011746932</v>
      </c>
      <c r="Y52" s="32" t="n">
        <f aca="false">AVERAGE(J52,L52,M52,N52,O52,P52,Q52,R52,S52)</f>
        <v>-0.0132738001155848</v>
      </c>
      <c r="Z52" s="32" t="n">
        <f aca="false">U52-V52</f>
        <v>-0.0121653550518099</v>
      </c>
      <c r="AA52" s="32" t="n">
        <f aca="false">W52-V52</f>
        <v>-0.0134086006902151</v>
      </c>
    </row>
    <row r="53" customFormat="false" ht="15" hidden="false" customHeight="false" outlineLevel="0" collapsed="false">
      <c r="A53" s="28" t="n">
        <f aca="false">Data_Prices!A53</f>
        <v>44876</v>
      </c>
      <c r="B53" s="32" t="n">
        <f aca="false">Data_Prices!B53/Data_Prices!B52-1</f>
        <v>0.0178331724742349</v>
      </c>
      <c r="C53" s="32" t="n">
        <f aca="false">Data_Prices!C53/Data_Prices!C52-1</f>
        <v>0.0135427461139896</v>
      </c>
      <c r="D53" s="32" t="n">
        <f aca="false">Data_Prices!D53/Data_Prices!D52-1</f>
        <v>-0.000820773018952337</v>
      </c>
      <c r="E53" s="32" t="n">
        <f aca="false">Data_Prices!E53/Data_Prices!E52-1</f>
        <v>0.00847377836361929</v>
      </c>
      <c r="F53" s="32" t="n">
        <f aca="false">Data_Prices!F53/Data_Prices!F52-1</f>
        <v>-0.0265410958904109</v>
      </c>
      <c r="G53" s="32" t="n">
        <f aca="false">Data_Prices!G53/Data_Prices!G52-1</f>
        <v>-0.0195363375879135</v>
      </c>
      <c r="H53" s="32" t="n">
        <f aca="false">Data_Prices!H53/Data_Prices!H52-1</f>
        <v>0.000373273609555858</v>
      </c>
      <c r="I53" s="32" t="n">
        <f aca="false">Data_Prices!I53/Data_Prices!I52-1</f>
        <v>0.00807479813004663</v>
      </c>
      <c r="J53" s="32" t="n">
        <f aca="false">Data_Prices!J53/Data_Prices!J52-1</f>
        <v>0.0130898513251454</v>
      </c>
      <c r="K53" s="32" t="n">
        <f aca="false">Data_Prices!K53/Data_Prices!K52-1</f>
        <v>0.010953830251522</v>
      </c>
      <c r="L53" s="32" t="n">
        <f aca="false">Data_Prices!L53/Data_Prices!L52-1</f>
        <v>0.00886303836033786</v>
      </c>
      <c r="M53" s="32" t="n">
        <f aca="false">Data_Prices!M53/Data_Prices!M52-1</f>
        <v>0.00181113850178605</v>
      </c>
      <c r="N53" s="32" t="n">
        <f aca="false">Data_Prices!N53/Data_Prices!N52-1</f>
        <v>0.00439117631864439</v>
      </c>
      <c r="O53" s="32" t="n">
        <f aca="false">Data_Prices!O53/Data_Prices!O52-1</f>
        <v>0.00703586019064906</v>
      </c>
      <c r="P53" s="32" t="n">
        <f aca="false">Data_Prices!P53/Data_Prices!P52-1</f>
        <v>-0.0284951829571668</v>
      </c>
      <c r="Q53" s="32" t="n">
        <f aca="false">Data_Prices!Q53/Data_Prices!Q52-1</f>
        <v>-0.00238095238095237</v>
      </c>
      <c r="R53" s="32" t="n">
        <f aca="false">Data_Prices!R53/Data_Prices!R52-1</f>
        <v>0.00712868832134883</v>
      </c>
      <c r="S53" s="32" t="n">
        <f aca="false">Data_Prices!S53/Data_Prices!S52-1</f>
        <v>0.0253784684576155</v>
      </c>
      <c r="T53" s="32" t="n">
        <f aca="false">AVERAGE(D53:S53)</f>
        <v>0.00111247249967968</v>
      </c>
      <c r="U53" s="32" t="n">
        <f aca="false">AVERAGE(J53:S53)</f>
        <v>0.00477759163889299</v>
      </c>
      <c r="V53" s="32" t="n">
        <f aca="false">AVERAGE(D53:I53)</f>
        <v>-0.00499605939900916</v>
      </c>
      <c r="W53" s="32" t="n">
        <f aca="false">AVERAGE(K53,Q53,R53)</f>
        <v>0.00523385539730614</v>
      </c>
      <c r="X53" s="32" t="n">
        <f aca="false">AVERAGE(K53,L53,N53,O53,P53,Q53,R53,S53)</f>
        <v>0.0041093658202498</v>
      </c>
      <c r="Y53" s="32" t="n">
        <f aca="false">AVERAGE(J53,L53,M53,N53,O53,P53,Q53,R53,S53)</f>
        <v>0.00409134290415643</v>
      </c>
      <c r="Z53" s="32" t="n">
        <f aca="false">U53-V53</f>
        <v>0.00977365103790214</v>
      </c>
      <c r="AA53" s="32" t="n">
        <f aca="false">W53-V53</f>
        <v>0.0102299147963153</v>
      </c>
    </row>
    <row r="54" customFormat="false" ht="15" hidden="false" customHeight="false" outlineLevel="0" collapsed="false">
      <c r="A54" s="28" t="n">
        <f aca="false">Data_Prices!A54</f>
        <v>44879</v>
      </c>
      <c r="B54" s="32" t="n">
        <f aca="false">Data_Prices!B54/Data_Prices!B53-1</f>
        <v>-0.00111990931731853</v>
      </c>
      <c r="C54" s="32" t="n">
        <f aca="false">Data_Prices!C54/Data_Prices!C53-1</f>
        <v>7.02915822634598E-005</v>
      </c>
      <c r="D54" s="32" t="n">
        <f aca="false">Data_Prices!D54/Data_Prices!D53-1</f>
        <v>0.00774151793493139</v>
      </c>
      <c r="E54" s="32" t="n">
        <f aca="false">Data_Prices!E54/Data_Prices!E53-1</f>
        <v>0.00214732517972194</v>
      </c>
      <c r="F54" s="32" t="n">
        <f aca="false">Data_Prices!F54/Data_Prices!F53-1</f>
        <v>-0.0306361770741719</v>
      </c>
      <c r="G54" s="32" t="n">
        <f aca="false">Data_Prices!G54/Data_Prices!G53-1</f>
        <v>-0.00770456960680122</v>
      </c>
      <c r="H54" s="32" t="n">
        <f aca="false">Data_Prices!H54/Data_Prices!H53-1</f>
        <v>0.0153272101033295</v>
      </c>
      <c r="I54" s="32" t="n">
        <f aca="false">Data_Prices!I54/Data_Prices!I53-1</f>
        <v>0.0999156829679595</v>
      </c>
      <c r="J54" s="32" t="n">
        <f aca="false">Data_Prices!J54/Data_Prices!J53-1</f>
        <v>0.00408358589886748</v>
      </c>
      <c r="K54" s="32" t="n">
        <f aca="false">Data_Prices!K54/Data_Prices!K53-1</f>
        <v>-0.00363538249620143</v>
      </c>
      <c r="L54" s="32" t="n">
        <f aca="false">Data_Prices!L54/Data_Prices!L53-1</f>
        <v>-0.0109814687714482</v>
      </c>
      <c r="M54" s="32" t="n">
        <f aca="false">Data_Prices!M54/Data_Prices!M53-1</f>
        <v>-0.00562446642896608</v>
      </c>
      <c r="N54" s="32" t="n">
        <f aca="false">Data_Prices!N54/Data_Prices!N53-1</f>
        <v>0.0504577718341734</v>
      </c>
      <c r="O54" s="32" t="n">
        <f aca="false">Data_Prices!O54/Data_Prices!O53-1</f>
        <v>-0.0277214334009466</v>
      </c>
      <c r="P54" s="32" t="n">
        <f aca="false">Data_Prices!P54/Data_Prices!P53-1</f>
        <v>0.0124307463103495</v>
      </c>
      <c r="Q54" s="32" t="n">
        <f aca="false">Data_Prices!Q54/Data_Prices!Q53-1</f>
        <v>-0.00922832140015906</v>
      </c>
      <c r="R54" s="32" t="n">
        <f aca="false">Data_Prices!R54/Data_Prices!R53-1</f>
        <v>-0.00393918877331201</v>
      </c>
      <c r="S54" s="32" t="n">
        <f aca="false">Data_Prices!S54/Data_Prices!S53-1</f>
        <v>-0.00861562561190521</v>
      </c>
      <c r="T54" s="32" t="n">
        <f aca="false">AVERAGE(D54:S54)</f>
        <v>0.00525107541658881</v>
      </c>
      <c r="U54" s="32" t="n">
        <f aca="false">AVERAGE(J54:S54)</f>
        <v>-0.000277378283954821</v>
      </c>
      <c r="V54" s="32" t="n">
        <f aca="false">AVERAGE(D54:I54)</f>
        <v>0.0144651649174949</v>
      </c>
      <c r="W54" s="32" t="n">
        <f aca="false">AVERAGE(K54,Q54,R54)</f>
        <v>-0.00560096422322417</v>
      </c>
      <c r="X54" s="32" t="n">
        <f aca="false">AVERAGE(K54,L54,N54,O54,P54,Q54,R54,S54)</f>
        <v>-0.000154112788681202</v>
      </c>
      <c r="Y54" s="32" t="n">
        <f aca="false">AVERAGE(J54,L54,M54,N54,O54,P54,Q54,R54,S54)</f>
        <v>9.57332951836914E-005</v>
      </c>
      <c r="Z54" s="32" t="n">
        <f aca="false">U54-V54</f>
        <v>-0.0147425432014497</v>
      </c>
      <c r="AA54" s="32" t="n">
        <f aca="false">W54-V54</f>
        <v>-0.020066129140719</v>
      </c>
    </row>
    <row r="55" customFormat="false" ht="15" hidden="false" customHeight="false" outlineLevel="0" collapsed="false">
      <c r="A55" s="28" t="n">
        <f aca="false">Data_Prices!A55</f>
        <v>44880</v>
      </c>
      <c r="B55" s="32" t="n">
        <f aca="false">Data_Prices!B55/Data_Prices!B54-1</f>
        <v>0.00405092434728283</v>
      </c>
      <c r="C55" s="32" t="n">
        <f aca="false">Data_Prices!C55/Data_Prices!C54-1</f>
        <v>0.00279229658406921</v>
      </c>
      <c r="D55" s="32" t="n">
        <f aca="false">Data_Prices!D55/Data_Prices!D54-1</f>
        <v>0.00518723446299774</v>
      </c>
      <c r="E55" s="32" t="n">
        <f aca="false">Data_Prices!E55/Data_Prices!E54-1</f>
        <v>-0.00139742873113469</v>
      </c>
      <c r="F55" s="32" t="n">
        <f aca="false">Data_Prices!F55/Data_Prices!F54-1</f>
        <v>0.0151217299259034</v>
      </c>
      <c r="G55" s="32" t="n">
        <f aca="false">Data_Prices!G55/Data_Prices!G54-1</f>
        <v>0.0045515394912985</v>
      </c>
      <c r="H55" s="32" t="n">
        <f aca="false">Data_Prices!H55/Data_Prices!H54-1</f>
        <v>-0.0149827556962742</v>
      </c>
      <c r="I55" s="32" t="n">
        <f aca="false">Data_Prices!I55/Data_Prices!I54-1</f>
        <v>-0.0456113453430432</v>
      </c>
      <c r="J55" s="32" t="n">
        <f aca="false">Data_Prices!J55/Data_Prices!J54-1</f>
        <v>0.0024783147459726</v>
      </c>
      <c r="K55" s="32" t="n">
        <f aca="false">Data_Prices!K55/Data_Prices!K54-1</f>
        <v>-1.42525262603055E-005</v>
      </c>
      <c r="L55" s="32" t="n">
        <f aca="false">Data_Prices!L55/Data_Prices!L54-1</f>
        <v>0.00138792505204721</v>
      </c>
      <c r="M55" s="32" t="n">
        <f aca="false">Data_Prices!M55/Data_Prices!M54-1</f>
        <v>-0.0154537649613655</v>
      </c>
      <c r="N55" s="32" t="n">
        <f aca="false">Data_Prices!N55/Data_Prices!N54-1</f>
        <v>0.00261959555403224</v>
      </c>
      <c r="O55" s="32" t="n">
        <f aca="false">Data_Prices!O55/Data_Prices!O54-1</f>
        <v>-0.0122855818266109</v>
      </c>
      <c r="P55" s="32" t="n">
        <f aca="false">Data_Prices!P55/Data_Prices!P54-1</f>
        <v>0.0301204819277108</v>
      </c>
      <c r="Q55" s="32" t="n">
        <f aca="false">Data_Prices!Q55/Data_Prices!Q54-1</f>
        <v>0.00192709169744654</v>
      </c>
      <c r="R55" s="32" t="n">
        <f aca="false">Data_Prices!R55/Data_Prices!R54-1</f>
        <v>0.00228634987332388</v>
      </c>
      <c r="S55" s="32" t="n">
        <f aca="false">Data_Prices!S55/Data_Prices!S54-1</f>
        <v>-0.0103100928303378</v>
      </c>
      <c r="T55" s="32" t="n">
        <f aca="false">AVERAGE(D55:S55)</f>
        <v>-0.00214843494901835</v>
      </c>
      <c r="U55" s="32" t="n">
        <f aca="false">AVERAGE(J55:S55)</f>
        <v>0.000275606670595874</v>
      </c>
      <c r="V55" s="32" t="n">
        <f aca="false">AVERAGE(D55:I55)</f>
        <v>-0.00618850431504207</v>
      </c>
      <c r="W55" s="32" t="n">
        <f aca="false">AVERAGE(K55,Q55,R55)</f>
        <v>0.00139972968150337</v>
      </c>
      <c r="X55" s="32" t="n">
        <f aca="false">AVERAGE(K55,L55,N55,O55,P55,Q55,R55,S55)</f>
        <v>0.00196643961516896</v>
      </c>
      <c r="Y55" s="32" t="n">
        <f aca="false">AVERAGE(J55,L55,M55,N55,O55,P55,Q55,R55,S55)</f>
        <v>0.000307813248024338</v>
      </c>
      <c r="Z55" s="32" t="n">
        <f aca="false">U55-V55</f>
        <v>0.00646411098563794</v>
      </c>
      <c r="AA55" s="32" t="n">
        <f aca="false">W55-V55</f>
        <v>0.00758823399654544</v>
      </c>
    </row>
    <row r="56" customFormat="false" ht="15" hidden="false" customHeight="false" outlineLevel="0" collapsed="false">
      <c r="A56" s="28" t="n">
        <f aca="false">Data_Prices!A56</f>
        <v>44881</v>
      </c>
      <c r="B56" s="32" t="n">
        <f aca="false">Data_Prices!B56/Data_Prices!B55-1</f>
        <v>0.000339611158807651</v>
      </c>
      <c r="C56" s="32" t="n">
        <f aca="false">Data_Prices!C56/Data_Prices!C55-1</f>
        <v>-0.00194980215242868</v>
      </c>
      <c r="D56" s="32" t="n">
        <f aca="false">Data_Prices!D56/Data_Prices!D55-1</f>
        <v>-0.00577480709686928</v>
      </c>
      <c r="E56" s="32" t="n">
        <f aca="false">Data_Prices!E56/Data_Prices!E55-1</f>
        <v>-0.0280809777031441</v>
      </c>
      <c r="F56" s="32" t="n">
        <f aca="false">Data_Prices!F56/Data_Prices!F55-1</f>
        <v>0.0686727245642782</v>
      </c>
      <c r="G56" s="32" t="n">
        <f aca="false">Data_Prices!G56/Data_Prices!G55-1</f>
        <v>0.0146588486140724</v>
      </c>
      <c r="H56" s="32" t="n">
        <f aca="false">Data_Prices!H56/Data_Prices!H55-1</f>
        <v>-0.00143496728274595</v>
      </c>
      <c r="I56" s="32" t="n">
        <f aca="false">Data_Prices!I56/Data_Prices!I55-1</f>
        <v>-0.0208835341365461</v>
      </c>
      <c r="J56" s="32" t="n">
        <f aca="false">Data_Prices!J56/Data_Prices!J55-1</f>
        <v>-0.00938163608126519</v>
      </c>
      <c r="K56" s="32" t="n">
        <f aca="false">Data_Prices!K56/Data_Prices!K55-1</f>
        <v>-0.0185998118639719</v>
      </c>
      <c r="L56" s="32" t="n">
        <f aca="false">Data_Prices!L56/Data_Prices!L55-1</f>
        <v>-0.0198891198891199</v>
      </c>
      <c r="M56" s="32" t="n">
        <f aca="false">Data_Prices!M56/Data_Prices!M55-1</f>
        <v>-0.00369325468068737</v>
      </c>
      <c r="N56" s="32" t="n">
        <f aca="false">Data_Prices!N56/Data_Prices!N55-1</f>
        <v>-0.0110370424633116</v>
      </c>
      <c r="O56" s="32" t="n">
        <f aca="false">Data_Prices!O56/Data_Prices!O55-1</f>
        <v>-0.0227646092466558</v>
      </c>
      <c r="P56" s="32" t="n">
        <f aca="false">Data_Prices!P56/Data_Prices!P55-1</f>
        <v>-0.0353109236194812</v>
      </c>
      <c r="Q56" s="32" t="n">
        <f aca="false">Data_Prices!Q56/Data_Prices!Q55-1</f>
        <v>-0.0165090559384516</v>
      </c>
      <c r="R56" s="32" t="n">
        <f aca="false">Data_Prices!R56/Data_Prices!R55-1</f>
        <v>6.16522811343057E-005</v>
      </c>
      <c r="S56" s="32" t="n">
        <f aca="false">Data_Prices!S56/Data_Prices!S55-1</f>
        <v>-0.015207152550491</v>
      </c>
      <c r="T56" s="32" t="n">
        <f aca="false">AVERAGE(D56:S56)</f>
        <v>-0.0078233541933285</v>
      </c>
      <c r="U56" s="32" t="n">
        <f aca="false">AVERAGE(J56:S56)</f>
        <v>-0.0152330954052301</v>
      </c>
      <c r="V56" s="32" t="n">
        <f aca="false">AVERAGE(D56:I56)</f>
        <v>0.0045262144931742</v>
      </c>
      <c r="W56" s="32" t="n">
        <f aca="false">AVERAGE(K56,Q56,R56)</f>
        <v>-0.0116824051737631</v>
      </c>
      <c r="X56" s="32" t="n">
        <f aca="false">AVERAGE(K56,L56,N56,O56,P56,Q56,R56,S56)</f>
        <v>-0.0174070079112936</v>
      </c>
      <c r="Y56" s="32" t="n">
        <f aca="false">AVERAGE(J56,L56,M56,N56,O56,P56,Q56,R56,S56)</f>
        <v>-0.0148590157987033</v>
      </c>
      <c r="Z56" s="32" t="n">
        <f aca="false">U56-V56</f>
        <v>-0.0197593098984043</v>
      </c>
      <c r="AA56" s="32" t="n">
        <f aca="false">W56-V56</f>
        <v>-0.0162086196669373</v>
      </c>
    </row>
    <row r="57" customFormat="false" ht="15" hidden="false" customHeight="false" outlineLevel="0" collapsed="false">
      <c r="A57" s="28" t="n">
        <f aca="false">Data_Prices!A57</f>
        <v>44882</v>
      </c>
      <c r="B57" s="32" t="n">
        <f aca="false">Data_Prices!B57/Data_Prices!B56-1</f>
        <v>-0.00357149647060107</v>
      </c>
      <c r="C57" s="32" t="n">
        <f aca="false">Data_Prices!C57/Data_Prices!C56-1</f>
        <v>-0.00421686362388507</v>
      </c>
      <c r="D57" s="32" t="n">
        <f aca="false">Data_Prices!D57/Data_Prices!D56-1</f>
        <v>-0.0298821028695717</v>
      </c>
      <c r="E57" s="32" t="n">
        <f aca="false">Data_Prices!E57/Data_Prices!E56-1</f>
        <v>-0.00393549625647904</v>
      </c>
      <c r="F57" s="32" t="n">
        <f aca="false">Data_Prices!F57/Data_Prices!F56-1</f>
        <v>0.0217451909673823</v>
      </c>
      <c r="G57" s="32" t="n">
        <f aca="false">Data_Prices!G57/Data_Prices!G56-1</f>
        <v>-0.0118203309692672</v>
      </c>
      <c r="H57" s="32" t="n">
        <f aca="false">Data_Prices!H57/Data_Prices!H56-1</f>
        <v>-0.00261539345864237</v>
      </c>
      <c r="I57" s="32" t="n">
        <f aca="false">Data_Prices!I57/Data_Prices!I56-1</f>
        <v>0.0209187858900739</v>
      </c>
      <c r="J57" s="32" t="n">
        <f aca="false">Data_Prices!J57/Data_Prices!J56-1</f>
        <v>-0.00841465365541516</v>
      </c>
      <c r="K57" s="32" t="n">
        <f aca="false">Data_Prices!K57/Data_Prices!K56-1</f>
        <v>0</v>
      </c>
      <c r="L57" s="32" t="n">
        <f aca="false">Data_Prices!L57/Data_Prices!L56-1</f>
        <v>-0.0136463268047797</v>
      </c>
      <c r="M57" s="32" t="n">
        <f aca="false">Data_Prices!M57/Data_Prices!M56-1</f>
        <v>0.00411882819337905</v>
      </c>
      <c r="N57" s="32" t="n">
        <f aca="false">Data_Prices!N57/Data_Prices!N56-1</f>
        <v>0.00659242981654784</v>
      </c>
      <c r="O57" s="32" t="n">
        <f aca="false">Data_Prices!O57/Data_Prices!O56-1</f>
        <v>-0.0204130643611912</v>
      </c>
      <c r="P57" s="32" t="n">
        <f aca="false">Data_Prices!P57/Data_Prices!P56-1</f>
        <v>0.0025451180009255</v>
      </c>
      <c r="Q57" s="32" t="n">
        <f aca="false">Data_Prices!Q57/Data_Prices!Q56-1</f>
        <v>0.0192307692307692</v>
      </c>
      <c r="R57" s="32" t="n">
        <f aca="false">Data_Prices!R57/Data_Prices!R56-1</f>
        <v>-0.0168916836199987</v>
      </c>
      <c r="S57" s="32" t="n">
        <f aca="false">Data_Prices!S57/Data_Prices!S56-1</f>
        <v>0.0340453126899851</v>
      </c>
      <c r="T57" s="32" t="n">
        <f aca="false">AVERAGE(D57:S57)</f>
        <v>9.85864246073609E-005</v>
      </c>
      <c r="U57" s="32" t="n">
        <f aca="false">AVERAGE(J57:S57)</f>
        <v>0.00071667294902219</v>
      </c>
      <c r="V57" s="32" t="n">
        <f aca="false">AVERAGE(D57:I57)</f>
        <v>-0.000931557782750688</v>
      </c>
      <c r="W57" s="32" t="n">
        <f aca="false">AVERAGE(K57,Q57,R57)</f>
        <v>0.000779695203590151</v>
      </c>
      <c r="X57" s="32" t="n">
        <f aca="false">AVERAGE(K57,L57,N57,O57,P57,Q57,R57,S57)</f>
        <v>0.00143281936903225</v>
      </c>
      <c r="Y57" s="32" t="n">
        <f aca="false">AVERAGE(J57,L57,M57,N57,O57,P57,Q57,R57,S57)</f>
        <v>0.000796303276691322</v>
      </c>
      <c r="Z57" s="32" t="n">
        <f aca="false">U57-V57</f>
        <v>0.00164823073177288</v>
      </c>
      <c r="AA57" s="32" t="n">
        <f aca="false">W57-V57</f>
        <v>0.00171125298634084</v>
      </c>
    </row>
    <row r="58" customFormat="false" ht="15" hidden="false" customHeight="false" outlineLevel="0" collapsed="false">
      <c r="A58" s="28" t="n">
        <f aca="false">Data_Prices!A58</f>
        <v>44883</v>
      </c>
      <c r="B58" s="32" t="n">
        <f aca="false">Data_Prices!B58/Data_Prices!B57-1</f>
        <v>-0.00197613375563543</v>
      </c>
      <c r="C58" s="32" t="n">
        <f aca="false">Data_Prices!C58/Data_Prices!C57-1</f>
        <v>-0.00297488339290575</v>
      </c>
      <c r="D58" s="32" t="n">
        <f aca="false">Data_Prices!D58/Data_Prices!D57-1</f>
        <v>-0.0339872611464969</v>
      </c>
      <c r="E58" s="32" t="n">
        <f aca="false">Data_Prices!E58/Data_Prices!E57-1</f>
        <v>-0.013009540329575</v>
      </c>
      <c r="F58" s="32" t="n">
        <f aca="false">Data_Prices!F58/Data_Prices!F57-1</f>
        <v>-0.0169849931787177</v>
      </c>
      <c r="G58" s="32" t="n">
        <f aca="false">Data_Prices!G58/Data_Prices!G57-1</f>
        <v>-0.00691121743753309</v>
      </c>
      <c r="H58" s="32" t="n">
        <f aca="false">Data_Prices!H58/Data_Prices!H57-1</f>
        <v>-0.0015560614356106</v>
      </c>
      <c r="I58" s="32" t="n">
        <f aca="false">Data_Prices!I58/Data_Prices!I57-1</f>
        <v>-0.0359582161510648</v>
      </c>
      <c r="J58" s="32" t="n">
        <f aca="false">Data_Prices!J58/Data_Prices!J57-1</f>
        <v>-0.0247805885389777</v>
      </c>
      <c r="K58" s="32" t="n">
        <f aca="false">Data_Prices!K58/Data_Prices!K57-1</f>
        <v>-0.0150166286652047</v>
      </c>
      <c r="L58" s="32" t="n">
        <f aca="false">Data_Prices!L58/Data_Prices!L57-1</f>
        <v>0.0233691756272401</v>
      </c>
      <c r="M58" s="32" t="n">
        <f aca="false">Data_Prices!M58/Data_Prices!M57-1</f>
        <v>-0.00246115982156592</v>
      </c>
      <c r="N58" s="32" t="n">
        <f aca="false">Data_Prices!N58/Data_Prices!N57-1</f>
        <v>0.0619603610675039</v>
      </c>
      <c r="O58" s="32" t="n">
        <f aca="false">Data_Prices!O58/Data_Prices!O57-1</f>
        <v>-0.00759990193674909</v>
      </c>
      <c r="P58" s="32" t="n">
        <f aca="false">Data_Prices!P58/Data_Prices!P57-1</f>
        <v>-0.0201246249711516</v>
      </c>
      <c r="Q58" s="32" t="n">
        <f aca="false">Data_Prices!Q58/Data_Prices!Q57-1</f>
        <v>-0.0139110968979852</v>
      </c>
      <c r="R58" s="32" t="n">
        <f aca="false">Data_Prices!R58/Data_Prices!R57-1</f>
        <v>-0.00520474070358057</v>
      </c>
      <c r="S58" s="32" t="n">
        <f aca="false">Data_Prices!S58/Data_Prices!S57-1</f>
        <v>-0.0191275036256027</v>
      </c>
      <c r="T58" s="32" t="n">
        <f aca="false">AVERAGE(D58:S58)</f>
        <v>-0.00820649988406697</v>
      </c>
      <c r="U58" s="32" t="n">
        <f aca="false">AVERAGE(J58:S58)</f>
        <v>-0.00228967084660735</v>
      </c>
      <c r="V58" s="32" t="n">
        <f aca="false">AVERAGE(D58:I58)</f>
        <v>-0.0180678816131663</v>
      </c>
      <c r="W58" s="32" t="n">
        <f aca="false">AVERAGE(K58,Q58,R58)</f>
        <v>-0.0113774887555902</v>
      </c>
      <c r="X58" s="32" t="n">
        <f aca="false">AVERAGE(K58,L58,N58,O58,P58,Q58,R58,S58)</f>
        <v>0.000543129986808763</v>
      </c>
      <c r="Y58" s="32" t="n">
        <f aca="false">AVERAGE(J58,L58,M58,N58,O58,P58,Q58,R58,S58)</f>
        <v>-0.000875564422318756</v>
      </c>
      <c r="Z58" s="32" t="n">
        <f aca="false">U58-V58</f>
        <v>0.015778210766559</v>
      </c>
      <c r="AA58" s="32" t="n">
        <f aca="false">W58-V58</f>
        <v>0.00669039285757619</v>
      </c>
    </row>
    <row r="59" customFormat="false" ht="15" hidden="false" customHeight="false" outlineLevel="0" collapsed="false">
      <c r="A59" s="28" t="n">
        <f aca="false">Data_Prices!A59</f>
        <v>44886</v>
      </c>
      <c r="B59" s="32" t="n">
        <f aca="false">Data_Prices!B59/Data_Prices!B58-1</f>
        <v>-0.00806766570258888</v>
      </c>
      <c r="C59" s="32" t="n">
        <f aca="false">Data_Prices!C59/Data_Prices!C58-1</f>
        <v>-0.00624081641839525</v>
      </c>
      <c r="D59" s="32" t="n">
        <f aca="false">Data_Prices!D59/Data_Prices!D58-1</f>
        <v>0.0137672750290117</v>
      </c>
      <c r="E59" s="32" t="n">
        <f aca="false">Data_Prices!E59/Data_Prices!E58-1</f>
        <v>-0.00292911540714702</v>
      </c>
      <c r="F59" s="32" t="n">
        <f aca="false">Data_Prices!F59/Data_Prices!F58-1</f>
        <v>-0.0322670182499479</v>
      </c>
      <c r="G59" s="32" t="n">
        <f aca="false">Data_Prices!G59/Data_Prices!G58-1</f>
        <v>-0.00401498929336186</v>
      </c>
      <c r="H59" s="32" t="n">
        <f aca="false">Data_Prices!H59/Data_Prices!H58-1</f>
        <v>-0.0026263384224654</v>
      </c>
      <c r="I59" s="32" t="n">
        <f aca="false">Data_Prices!I59/Data_Prices!I58-1</f>
        <v>-0.0360491769118565</v>
      </c>
      <c r="J59" s="32" t="n">
        <f aca="false">Data_Prices!J59/Data_Prices!J58-1</f>
        <v>0.0181974589730016</v>
      </c>
      <c r="K59" s="32" t="n">
        <f aca="false">Data_Prices!K59/Data_Prices!K58-1</f>
        <v>-0.0165578048744527</v>
      </c>
      <c r="L59" s="32" t="n">
        <f aca="false">Data_Prices!L59/Data_Prices!L58-1</f>
        <v>0.000280190529560187</v>
      </c>
      <c r="M59" s="32" t="n">
        <f aca="false">Data_Prices!M59/Data_Prices!M58-1</f>
        <v>-0.00395785145206895</v>
      </c>
      <c r="N59" s="32" t="n">
        <f aca="false">Data_Prices!N59/Data_Prices!N58-1</f>
        <v>0.0085231209867418</v>
      </c>
      <c r="O59" s="32" t="n">
        <f aca="false">Data_Prices!O59/Data_Prices!O58-1</f>
        <v>0.0037055335968379</v>
      </c>
      <c r="P59" s="32" t="n">
        <f aca="false">Data_Prices!P59/Data_Prices!P58-1</f>
        <v>-0.00202553111310011</v>
      </c>
      <c r="Q59" s="32" t="n">
        <f aca="false">Data_Prices!Q59/Data_Prices!Q58-1</f>
        <v>-0.00810766985568345</v>
      </c>
      <c r="R59" s="32" t="n">
        <f aca="false">Data_Prices!R59/Data_Prices!R58-1</f>
        <v>0.000945537065052848</v>
      </c>
      <c r="S59" s="32" t="n">
        <f aca="false">Data_Prices!S59/Data_Prices!S58-1</f>
        <v>0.0390809190809189</v>
      </c>
      <c r="T59" s="32" t="n">
        <f aca="false">AVERAGE(D59:S59)</f>
        <v>-0.00150221626993494</v>
      </c>
      <c r="U59" s="32" t="n">
        <f aca="false">AVERAGE(J59:S59)</f>
        <v>0.00400839029368081</v>
      </c>
      <c r="V59" s="32" t="n">
        <f aca="false">AVERAGE(D59:I59)</f>
        <v>-0.0106865605426278</v>
      </c>
      <c r="W59" s="32" t="n">
        <f aca="false">AVERAGE(K59,Q59,R59)</f>
        <v>-0.0079066458883611</v>
      </c>
      <c r="X59" s="32" t="n">
        <f aca="false">AVERAGE(K59,L59,N59,O59,P59,Q59,R59,S59)</f>
        <v>0.00323053692698443</v>
      </c>
      <c r="Y59" s="32" t="n">
        <f aca="false">AVERAGE(J59,L59,M59,N59,O59,P59,Q59,R59,S59)</f>
        <v>0.00629352309014009</v>
      </c>
      <c r="Z59" s="32" t="n">
        <f aca="false">U59-V59</f>
        <v>0.0146949508363087</v>
      </c>
      <c r="AA59" s="32" t="n">
        <f aca="false">W59-V59</f>
        <v>0.00277991465426675</v>
      </c>
    </row>
    <row r="60" customFormat="false" ht="15" hidden="false" customHeight="false" outlineLevel="0" collapsed="false">
      <c r="A60" s="28" t="n">
        <f aca="false">Data_Prices!A60</f>
        <v>44887</v>
      </c>
      <c r="B60" s="32" t="n">
        <f aca="false">Data_Prices!B60/Data_Prices!B59-1</f>
        <v>0.00463932995410232</v>
      </c>
      <c r="C60" s="32" t="n">
        <f aca="false">Data_Prices!C60/Data_Prices!C59-1</f>
        <v>0.00358487880003633</v>
      </c>
      <c r="D60" s="32" t="n">
        <f aca="false">Data_Prices!D60/Data_Prices!D59-1</f>
        <v>0.00564545501847125</v>
      </c>
      <c r="E60" s="32" t="n">
        <f aca="false">Data_Prices!E60/Data_Prices!E59-1</f>
        <v>0.00724637681159401</v>
      </c>
      <c r="F60" s="32" t="n">
        <f aca="false">Data_Prices!F60/Data_Prices!F59-1</f>
        <v>0.0163487738419621</v>
      </c>
      <c r="G60" s="32" t="n">
        <f aca="false">Data_Prices!G60/Data_Prices!G59-1</f>
        <v>0.000537489922064038</v>
      </c>
      <c r="H60" s="32" t="n">
        <f aca="false">Data_Prices!H60/Data_Prices!H59-1</f>
        <v>0.00442733954511265</v>
      </c>
      <c r="I60" s="32" t="n">
        <f aca="false">Data_Prices!I60/Data_Prices!I59-1</f>
        <v>-0.0103761348897536</v>
      </c>
      <c r="J60" s="32" t="n">
        <f aca="false">Data_Prices!J60/Data_Prices!J59-1</f>
        <v>-0.0306752453369727</v>
      </c>
      <c r="K60" s="32" t="n">
        <f aca="false">Data_Prices!K60/Data_Prices!K59-1</f>
        <v>0.000899550224887635</v>
      </c>
      <c r="L60" s="32" t="n">
        <f aca="false">Data_Prices!L60/Data_Prices!L59-1</f>
        <v>-0.00413165266106452</v>
      </c>
      <c r="M60" s="32" t="n">
        <f aca="false">Data_Prices!M60/Data_Prices!M59-1</f>
        <v>-0.00433481267416647</v>
      </c>
      <c r="N60" s="32" t="n">
        <f aca="false">Data_Prices!N60/Data_Prices!N59-1</f>
        <v>0.0275748345280902</v>
      </c>
      <c r="O60" s="32" t="n">
        <f aca="false">Data_Prices!O60/Data_Prices!O59-1</f>
        <v>0.00492247108048249</v>
      </c>
      <c r="P60" s="32" t="n">
        <f aca="false">Data_Prices!P60/Data_Prices!P59-1</f>
        <v>-0.00486170112338324</v>
      </c>
      <c r="Q60" s="32" t="n">
        <f aca="false">Data_Prices!Q60/Data_Prices!Q59-1</f>
        <v>0.0207618113454306</v>
      </c>
      <c r="R60" s="32" t="n">
        <f aca="false">Data_Prices!R60/Data_Prices!R59-1</f>
        <v>0.00642357831097673</v>
      </c>
      <c r="S60" s="32" t="n">
        <f aca="false">Data_Prices!S60/Data_Prices!S59-1</f>
        <v>0.0356497327231475</v>
      </c>
      <c r="T60" s="32" t="n">
        <f aca="false">AVERAGE(D60:S60)</f>
        <v>0.00475361666667992</v>
      </c>
      <c r="U60" s="32" t="n">
        <f aca="false">AVERAGE(J60:S60)</f>
        <v>0.00522285664174282</v>
      </c>
      <c r="V60" s="32" t="n">
        <f aca="false">AVERAGE(D60:I60)</f>
        <v>0.00397155004157507</v>
      </c>
      <c r="W60" s="32" t="n">
        <f aca="false">AVERAGE(K60,Q60,R60)</f>
        <v>0.00936164662709834</v>
      </c>
      <c r="X60" s="32" t="n">
        <f aca="false">AVERAGE(K60,L60,N60,O60,P60,Q60,R60,S60)</f>
        <v>0.0109048280535709</v>
      </c>
      <c r="Y60" s="32" t="n">
        <f aca="false">AVERAGE(J60,L60,M60,N60,O60,P60,Q60,R60,S60)</f>
        <v>0.0057032240213934</v>
      </c>
      <c r="Z60" s="32" t="n">
        <f aca="false">U60-V60</f>
        <v>0.00125130660016776</v>
      </c>
      <c r="AA60" s="32" t="n">
        <f aca="false">W60-V60</f>
        <v>0.00539009658552327</v>
      </c>
    </row>
    <row r="61" customFormat="false" ht="15" hidden="false" customHeight="false" outlineLevel="0" collapsed="false">
      <c r="A61" s="28" t="n">
        <f aca="false">Data_Prices!A61</f>
        <v>44888</v>
      </c>
      <c r="B61" s="32" t="n">
        <f aca="false">Data_Prices!B61/Data_Prices!B60-1</f>
        <v>0.00126341522237206</v>
      </c>
      <c r="C61" s="32" t="n">
        <f aca="false">Data_Prices!C61/Data_Prices!C60-1</f>
        <v>0.001866633997885</v>
      </c>
      <c r="D61" s="32" t="n">
        <f aca="false">Data_Prices!D61/Data_Prices!D60-1</f>
        <v>-0.0106325184322856</v>
      </c>
      <c r="E61" s="32" t="n">
        <f aca="false">Data_Prices!E61/Data_Prices!E60-1</f>
        <v>0.0220688314213495</v>
      </c>
      <c r="F61" s="32" t="n">
        <f aca="false">Data_Prices!F61/Data_Prices!F60-1</f>
        <v>-0.00275151686185982</v>
      </c>
      <c r="G61" s="32" t="n">
        <f aca="false">Data_Prices!G61/Data_Prices!G60-1</f>
        <v>-0.0041633091592802</v>
      </c>
      <c r="H61" s="32" t="n">
        <f aca="false">Data_Prices!H61/Data_Prices!H60-1</f>
        <v>0.00276569387225956</v>
      </c>
      <c r="I61" s="32" t="n">
        <f aca="false">Data_Prices!I61/Data_Prices!I60-1</f>
        <v>-0.0249017038007865</v>
      </c>
      <c r="J61" s="32" t="n">
        <f aca="false">Data_Prices!J61/Data_Prices!J60-1</f>
        <v>-0.0131411330874958</v>
      </c>
      <c r="K61" s="32" t="n">
        <f aca="false">Data_Prices!K61/Data_Prices!K60-1</f>
        <v>0.0142001198322348</v>
      </c>
      <c r="L61" s="32" t="n">
        <f aca="false">Data_Prices!L61/Data_Prices!L60-1</f>
        <v>0.0106884185359679</v>
      </c>
      <c r="M61" s="32" t="n">
        <f aca="false">Data_Prices!M61/Data_Prices!M60-1</f>
        <v>-0.0116098268891884</v>
      </c>
      <c r="N61" s="32" t="n">
        <f aca="false">Data_Prices!N61/Data_Prices!N60-1</f>
        <v>0.0176521719749481</v>
      </c>
      <c r="O61" s="32" t="n">
        <f aca="false">Data_Prices!O61/Data_Prices!O60-1</f>
        <v>0.0134704873867255</v>
      </c>
      <c r="P61" s="32" t="n">
        <f aca="false">Data_Prices!P61/Data_Prices!P60-1</f>
        <v>-0.00066404211924298</v>
      </c>
      <c r="Q61" s="32" t="n">
        <f aca="false">Data_Prices!Q61/Data_Prices!Q60-1</f>
        <v>-0.00256245996156312</v>
      </c>
      <c r="R61" s="32" t="n">
        <f aca="false">Data_Prices!R61/Data_Prices!R60-1</f>
        <v>-0.000375445841937272</v>
      </c>
      <c r="S61" s="32" t="n">
        <f aca="false">Data_Prices!S61/Data_Prices!S60-1</f>
        <v>-0.00909766060155959</v>
      </c>
      <c r="T61" s="32" t="n">
        <f aca="false">AVERAGE(D61:S61)</f>
        <v>5.91316417678789E-005</v>
      </c>
      <c r="U61" s="32" t="n">
        <f aca="false">AVERAGE(J61:S61)</f>
        <v>0.00185606292288891</v>
      </c>
      <c r="V61" s="32" t="n">
        <f aca="false">AVERAGE(D61:I61)</f>
        <v>-0.00293575382676718</v>
      </c>
      <c r="W61" s="32" t="n">
        <f aca="false">AVERAGE(K61,Q61,R61)</f>
        <v>0.00375407134291147</v>
      </c>
      <c r="X61" s="32" t="n">
        <f aca="false">AVERAGE(K61,L61,N61,O61,P61,Q61,R61,S61)</f>
        <v>0.00541394865069667</v>
      </c>
      <c r="Y61" s="32" t="n">
        <f aca="false">AVERAGE(J61,L61,M61,N61,O61,P61,Q61,R61,S61)</f>
        <v>0.000484501044072704</v>
      </c>
      <c r="Z61" s="32" t="n">
        <f aca="false">U61-V61</f>
        <v>0.00479181674965609</v>
      </c>
      <c r="AA61" s="32" t="n">
        <f aca="false">W61-V61</f>
        <v>0.00668982516967864</v>
      </c>
    </row>
    <row r="62" customFormat="false" ht="15" hidden="false" customHeight="false" outlineLevel="0" collapsed="false">
      <c r="A62" s="28" t="n">
        <f aca="false">Data_Prices!A62</f>
        <v>44889</v>
      </c>
      <c r="B62" s="32" t="n">
        <f aca="false">Data_Prices!B62/Data_Prices!B61-1</f>
        <v>0.0118709712737275</v>
      </c>
      <c r="C62" s="32" t="n">
        <f aca="false">Data_Prices!C62/Data_Prices!C61-1</f>
        <v>0.00918062961163324</v>
      </c>
      <c r="D62" s="32" t="n">
        <f aca="false">Data_Prices!D62/Data_Prices!D61-1</f>
        <v>-0.00277167660286581</v>
      </c>
      <c r="E62" s="32" t="n">
        <f aca="false">Data_Prices!E62/Data_Prices!E61-1</f>
        <v>-0.00199752687149235</v>
      </c>
      <c r="F62" s="32" t="n">
        <f aca="false">Data_Prices!F62/Data_Prices!F61-1</f>
        <v>0.00233463035019454</v>
      </c>
      <c r="G62" s="32" t="n">
        <f aca="false">Data_Prices!G62/Data_Prices!G61-1</f>
        <v>0.00148347943358051</v>
      </c>
      <c r="H62" s="32" t="n">
        <f aca="false">Data_Prices!H62/Data_Prices!H61-1</f>
        <v>0.0440141350877696</v>
      </c>
      <c r="I62" s="32" t="n">
        <f aca="false">Data_Prices!I62/Data_Prices!I61-1</f>
        <v>0.0291218637992832</v>
      </c>
      <c r="J62" s="32" t="n">
        <f aca="false">Data_Prices!J62/Data_Prices!J61-1</f>
        <v>0.00142672735919547</v>
      </c>
      <c r="K62" s="32" t="n">
        <f aca="false">Data_Prices!K62/Data_Prices!K61-1</f>
        <v>-0.0012849294027294</v>
      </c>
      <c r="L62" s="32" t="n">
        <f aca="false">Data_Prices!L62/Data_Prices!L61-1</f>
        <v>0.00473109302163777</v>
      </c>
      <c r="M62" s="32" t="n">
        <f aca="false">Data_Prices!M62/Data_Prices!M61-1</f>
        <v>0.0142108023072889</v>
      </c>
      <c r="N62" s="32" t="n">
        <f aca="false">Data_Prices!N62/Data_Prices!N61-1</f>
        <v>0.0155281543616812</v>
      </c>
      <c r="O62" s="32" t="n">
        <f aca="false">Data_Prices!O62/Data_Prices!O61-1</f>
        <v>0.00821652972450448</v>
      </c>
      <c r="P62" s="32" t="n">
        <f aca="false">Data_Prices!P62/Data_Prices!P61-1</f>
        <v>0.0195547961459963</v>
      </c>
      <c r="Q62" s="32" t="n">
        <f aca="false">Data_Prices!Q62/Data_Prices!Q61-1</f>
        <v>-0.00658317276814369</v>
      </c>
      <c r="R62" s="32" t="n">
        <f aca="false">Data_Prices!R62/Data_Prices!R61-1</f>
        <v>0.000876369327073689</v>
      </c>
      <c r="S62" s="32" t="n">
        <f aca="false">Data_Prices!S62/Data_Prices!S61-1</f>
        <v>-0.0169008806445571</v>
      </c>
      <c r="T62" s="32" t="n">
        <f aca="false">AVERAGE(D62:S62)</f>
        <v>0.00699752466427608</v>
      </c>
      <c r="U62" s="32" t="n">
        <f aca="false">AVERAGE(J62:S62)</f>
        <v>0.00397754894319476</v>
      </c>
      <c r="V62" s="32" t="n">
        <f aca="false">AVERAGE(D62:I62)</f>
        <v>0.012030817532745</v>
      </c>
      <c r="W62" s="32" t="n">
        <f aca="false">AVERAGE(K62,Q62,R62)</f>
        <v>-0.0023305776145998</v>
      </c>
      <c r="X62" s="32" t="n">
        <f aca="false">AVERAGE(K62,L62,N62,O62,P62,Q62,R62,S62)</f>
        <v>0.00301724497068291</v>
      </c>
      <c r="Y62" s="32" t="n">
        <f aca="false">AVERAGE(J62,L62,M62,N62,O62,P62,Q62,R62,S62)</f>
        <v>0.00456226875940856</v>
      </c>
      <c r="Z62" s="32" t="n">
        <f aca="false">U62-V62</f>
        <v>-0.00805326858955019</v>
      </c>
      <c r="AA62" s="32" t="n">
        <f aca="false">W62-V62</f>
        <v>-0.0143613951473447</v>
      </c>
    </row>
    <row r="63" customFormat="false" ht="15" hidden="false" customHeight="false" outlineLevel="0" collapsed="false">
      <c r="A63" s="28" t="n">
        <f aca="false">Data_Prices!A63</f>
        <v>44890</v>
      </c>
      <c r="B63" s="32" t="n">
        <f aca="false">Data_Prices!B63/Data_Prices!B62-1</f>
        <v>0.00154998079430446</v>
      </c>
      <c r="C63" s="32" t="n">
        <f aca="false">Data_Prices!C63/Data_Prices!C62-1</f>
        <v>0.00296222131523916</v>
      </c>
      <c r="D63" s="32" t="n">
        <f aca="false">Data_Prices!D63/Data_Prices!D62-1</f>
        <v>-0.000524411348261533</v>
      </c>
      <c r="E63" s="32" t="n">
        <f aca="false">Data_Prices!E63/Data_Prices!E62-1</f>
        <v>0.0383149065955013</v>
      </c>
      <c r="F63" s="32" t="n">
        <f aca="false">Data_Prices!F63/Data_Prices!F62-1</f>
        <v>0.0165866741953697</v>
      </c>
      <c r="G63" s="32" t="n">
        <f aca="false">Data_Prices!G63/Data_Prices!G62-1</f>
        <v>0.0321842176137894</v>
      </c>
      <c r="H63" s="32" t="n">
        <f aca="false">Data_Prices!H63/Data_Prices!H62-1</f>
        <v>0.0116128677178788</v>
      </c>
      <c r="I63" s="32" t="n">
        <f aca="false">Data_Prices!I63/Data_Prices!I62-1</f>
        <v>-0.0156726164562473</v>
      </c>
      <c r="J63" s="32" t="n">
        <f aca="false">Data_Prices!J63/Data_Prices!J62-1</f>
        <v>0.0363297150610584</v>
      </c>
      <c r="K63" s="32" t="n">
        <f aca="false">Data_Prices!K63/Data_Prices!K62-1</f>
        <v>-0.00351961668712386</v>
      </c>
      <c r="L63" s="32" t="n">
        <f aca="false">Data_Prices!L63/Data_Prices!L62-1</f>
        <v>-0.00180042933314861</v>
      </c>
      <c r="M63" s="32" t="n">
        <f aca="false">Data_Prices!M63/Data_Prices!M62-1</f>
        <v>0.0133912414042707</v>
      </c>
      <c r="N63" s="32" t="n">
        <f aca="false">Data_Prices!N63/Data_Prices!N62-1</f>
        <v>-0.00524068322981364</v>
      </c>
      <c r="O63" s="32" t="n">
        <f aca="false">Data_Prices!O63/Data_Prices!O62-1</f>
        <v>0.0194151486097796</v>
      </c>
      <c r="P63" s="32" t="n">
        <f aca="false">Data_Prices!P63/Data_Prices!P62-1</f>
        <v>0.00367766863740049</v>
      </c>
      <c r="Q63" s="32" t="n">
        <f aca="false">Data_Prices!Q63/Data_Prices!Q62-1</f>
        <v>0.00824309035073534</v>
      </c>
      <c r="R63" s="32" t="n">
        <f aca="false">Data_Prices!R63/Data_Prices!R62-1</f>
        <v>0.00925636375007821</v>
      </c>
      <c r="S63" s="32" t="n">
        <f aca="false">Data_Prices!S63/Data_Prices!S62-1</f>
        <v>-0.0240527559655409</v>
      </c>
      <c r="T63" s="32" t="n">
        <f aca="false">AVERAGE(D63:S63)</f>
        <v>0.00863758630723289</v>
      </c>
      <c r="U63" s="32" t="n">
        <f aca="false">AVERAGE(J63:S63)</f>
        <v>0.00556997425976957</v>
      </c>
      <c r="V63" s="32" t="n">
        <f aca="false">AVERAGE(D63:I63)</f>
        <v>0.0137502730530051</v>
      </c>
      <c r="W63" s="32" t="n">
        <f aca="false">AVERAGE(K63,Q63,R63)</f>
        <v>0.00465994580456323</v>
      </c>
      <c r="X63" s="32" t="n">
        <f aca="false">AVERAGE(K63,L63,N63,O63,P63,Q63,R63,S63)</f>
        <v>0.000747348266545822</v>
      </c>
      <c r="Y63" s="32" t="n">
        <f aca="false">AVERAGE(J63,L63,M63,N63,O63,P63,Q63,R63,S63)</f>
        <v>0.0065799288094244</v>
      </c>
      <c r="Z63" s="32" t="n">
        <f aca="false">U63-V63</f>
        <v>-0.00818029879323551</v>
      </c>
      <c r="AA63" s="32" t="n">
        <f aca="false">W63-V63</f>
        <v>-0.00909032724844185</v>
      </c>
    </row>
    <row r="64" customFormat="false" ht="15" hidden="false" customHeight="false" outlineLevel="0" collapsed="false">
      <c r="A64" s="28" t="n">
        <f aca="false">Data_Prices!A64</f>
        <v>44893</v>
      </c>
      <c r="B64" s="32" t="n">
        <f aca="false">Data_Prices!B64/Data_Prices!B63-1</f>
        <v>0.0027008413120686</v>
      </c>
      <c r="C64" s="32" t="n">
        <f aca="false">Data_Prices!C64/Data_Prices!C63-1</f>
        <v>0.00363699947543283</v>
      </c>
      <c r="D64" s="32" t="n">
        <f aca="false">Data_Prices!D64/Data_Prices!D63-1</f>
        <v>0.00941812267170361</v>
      </c>
      <c r="E64" s="32" t="n">
        <f aca="false">Data_Prices!E64/Data_Prices!E63-1</f>
        <v>0.00229484119698919</v>
      </c>
      <c r="F64" s="32" t="n">
        <f aca="false">Data_Prices!F64/Data_Prices!F63-1</f>
        <v>-0.00298548913420815</v>
      </c>
      <c r="G64" s="32" t="n">
        <f aca="false">Data_Prices!G64/Data_Prices!G63-1</f>
        <v>0.0189171559034573</v>
      </c>
      <c r="H64" s="32" t="n">
        <f aca="false">Data_Prices!H64/Data_Prices!H63-1</f>
        <v>-0.00348195098065895</v>
      </c>
      <c r="I64" s="32" t="n">
        <f aca="false">Data_Prices!I64/Data_Prices!I63-1</f>
        <v>0.0130473241928351</v>
      </c>
      <c r="J64" s="32" t="n">
        <f aca="false">Data_Prices!J64/Data_Prices!J63-1</f>
        <v>-0.0101796995188373</v>
      </c>
      <c r="K64" s="32" t="n">
        <f aca="false">Data_Prices!K64/Data_Prices!K63-1</f>
        <v>0.00443732098600536</v>
      </c>
      <c r="L64" s="32" t="n">
        <f aca="false">Data_Prices!L64/Data_Prices!L63-1</f>
        <v>-0.000624349635796162</v>
      </c>
      <c r="M64" s="32" t="n">
        <f aca="false">Data_Prices!M64/Data_Prices!M63-1</f>
        <v>0.00224489795918381</v>
      </c>
      <c r="N64" s="32" t="n">
        <f aca="false">Data_Prices!N64/Data_Prices!N63-1</f>
        <v>0.0133766937669377</v>
      </c>
      <c r="O64" s="32" t="n">
        <f aca="false">Data_Prices!O64/Data_Prices!O63-1</f>
        <v>0.00916999764871851</v>
      </c>
      <c r="P64" s="32" t="n">
        <f aca="false">Data_Prices!P64/Data_Prices!P63-1</f>
        <v>0.011178107606679</v>
      </c>
      <c r="Q64" s="32" t="n">
        <f aca="false">Data_Prices!Q64/Data_Prices!Q63-1</f>
        <v>0.00977877524847703</v>
      </c>
      <c r="R64" s="32" t="n">
        <f aca="false">Data_Prices!R64/Data_Prices!R63-1</f>
        <v>0.00725041829336304</v>
      </c>
      <c r="S64" s="32" t="n">
        <f aca="false">Data_Prices!S64/Data_Prices!S63-1</f>
        <v>-0.0120298402530953</v>
      </c>
      <c r="T64" s="32" t="n">
        <f aca="false">AVERAGE(D64:S64)</f>
        <v>0.00448827037198461</v>
      </c>
      <c r="U64" s="32" t="n">
        <f aca="false">AVERAGE(J64:S64)</f>
        <v>0.00346023221016357</v>
      </c>
      <c r="V64" s="32" t="n">
        <f aca="false">AVERAGE(D64:I64)</f>
        <v>0.00620166730835301</v>
      </c>
      <c r="W64" s="32" t="n">
        <f aca="false">AVERAGE(K64,Q64,R64)</f>
        <v>0.00715550484261514</v>
      </c>
      <c r="X64" s="32" t="n">
        <f aca="false">AVERAGE(K64,L64,N64,O64,P64,Q64,R64,S64)</f>
        <v>0.00531714045766116</v>
      </c>
      <c r="Y64" s="32" t="n">
        <f aca="false">AVERAGE(J64,L64,M64,N64,O64,P64,Q64,R64,S64)</f>
        <v>0.0033516667906256</v>
      </c>
      <c r="Z64" s="32" t="n">
        <f aca="false">U64-V64</f>
        <v>-0.00274143509818944</v>
      </c>
      <c r="AA64" s="32" t="n">
        <f aca="false">W64-V64</f>
        <v>0.000953837534262128</v>
      </c>
    </row>
    <row r="65" customFormat="false" ht="15" hidden="false" customHeight="false" outlineLevel="0" collapsed="false">
      <c r="A65" s="28" t="n">
        <f aca="false">Data_Prices!A65</f>
        <v>44894</v>
      </c>
      <c r="B65" s="32" t="n">
        <f aca="false">Data_Prices!B65/Data_Prices!B64-1</f>
        <v>0.00297908445677497</v>
      </c>
      <c r="C65" s="32" t="n">
        <f aca="false">Data_Prices!C65/Data_Prices!C64-1</f>
        <v>0.00177389772846071</v>
      </c>
      <c r="D65" s="32" t="n">
        <f aca="false">Data_Prices!D65/Data_Prices!D64-1</f>
        <v>0.00657535670660403</v>
      </c>
      <c r="E65" s="32" t="n">
        <f aca="false">Data_Prices!E65/Data_Prices!E64-1</f>
        <v>0.00595292609213294</v>
      </c>
      <c r="F65" s="32" t="n">
        <f aca="false">Data_Prices!F65/Data_Prices!F64-1</f>
        <v>0.0096796657381617</v>
      </c>
      <c r="G65" s="32" t="n">
        <f aca="false">Data_Prices!G65/Data_Prices!G64-1</f>
        <v>-0.0115236875800256</v>
      </c>
      <c r="H65" s="32" t="n">
        <f aca="false">Data_Prices!H65/Data_Prices!H64-1</f>
        <v>-0.011765348183332</v>
      </c>
      <c r="I65" s="32" t="n">
        <f aca="false">Data_Prices!I65/Data_Prices!I64-1</f>
        <v>-0.0032743942370661</v>
      </c>
      <c r="J65" s="32" t="n">
        <f aca="false">Data_Prices!J65/Data_Prices!J64-1</f>
        <v>-0.0424272486772488</v>
      </c>
      <c r="K65" s="32" t="n">
        <f aca="false">Data_Prices!K65/Data_Prices!K64-1</f>
        <v>-0.00638279010667542</v>
      </c>
      <c r="L65" s="32" t="n">
        <f aca="false">Data_Prices!L65/Data_Prices!L64-1</f>
        <v>-0.00770512286547265</v>
      </c>
      <c r="M65" s="32" t="n">
        <f aca="false">Data_Prices!M65/Data_Prices!M64-1</f>
        <v>-0.0151700264711873</v>
      </c>
      <c r="N65" s="32" t="n">
        <f aca="false">Data_Prices!N65/Data_Prices!N64-1</f>
        <v>-0.04313037525138</v>
      </c>
      <c r="O65" s="32" t="n">
        <f aca="false">Data_Prices!O65/Data_Prices!O64-1</f>
        <v>-0.00163094128611363</v>
      </c>
      <c r="P65" s="32" t="n">
        <f aca="false">Data_Prices!P65/Data_Prices!P64-1</f>
        <v>-0.00275216733177375</v>
      </c>
      <c r="Q65" s="32" t="n">
        <f aca="false">Data_Prices!Q65/Data_Prices!Q64-1</f>
        <v>-0.00523892681377991</v>
      </c>
      <c r="R65" s="32" t="n">
        <f aca="false">Data_Prices!R65/Data_Prices!R64-1</f>
        <v>0.00566014519502889</v>
      </c>
      <c r="S65" s="32" t="n">
        <f aca="false">Data_Prices!S65/Data_Prices!S64-1</f>
        <v>0.0043882190156157</v>
      </c>
      <c r="T65" s="32" t="n">
        <f aca="false">AVERAGE(D65:S65)</f>
        <v>-0.00742154475353199</v>
      </c>
      <c r="U65" s="32" t="n">
        <f aca="false">AVERAGE(J65:S65)</f>
        <v>-0.0114389234592987</v>
      </c>
      <c r="V65" s="32" t="n">
        <f aca="false">AVERAGE(D65:I65)</f>
        <v>-0.000725913577254174</v>
      </c>
      <c r="W65" s="32" t="n">
        <f aca="false">AVERAGE(K65,Q65,R65)</f>
        <v>-0.00198719057514215</v>
      </c>
      <c r="X65" s="32" t="n">
        <f aca="false">AVERAGE(K65,L65,N65,O65,P65,Q65,R65,S65)</f>
        <v>-0.00709899493056884</v>
      </c>
      <c r="Y65" s="32" t="n">
        <f aca="false">AVERAGE(J65,L65,M65,N65,O65,P65,Q65,R65,S65)</f>
        <v>-0.0120007160540346</v>
      </c>
      <c r="Z65" s="32" t="n">
        <f aca="false">U65-V65</f>
        <v>-0.0107130098820445</v>
      </c>
      <c r="AA65" s="32" t="n">
        <f aca="false">W65-V65</f>
        <v>-0.00126127699788797</v>
      </c>
    </row>
    <row r="66" customFormat="false" ht="15" hidden="false" customHeight="false" outlineLevel="0" collapsed="false">
      <c r="A66" s="28" t="n">
        <f aca="false">Data_Prices!A66</f>
        <v>44895</v>
      </c>
      <c r="B66" s="32" t="n">
        <f aca="false">Data_Prices!B66/Data_Prices!B65-1</f>
        <v>0.00753569788457975</v>
      </c>
      <c r="C66" s="32" t="n">
        <f aca="false">Data_Prices!C66/Data_Prices!C65-1</f>
        <v>0.00845536270470415</v>
      </c>
      <c r="D66" s="32" t="n">
        <f aca="false">Data_Prices!D66/Data_Prices!D65-1</f>
        <v>-0.0117479989672089</v>
      </c>
      <c r="E66" s="32" t="n">
        <f aca="false">Data_Prices!E66/Data_Prices!E65-1</f>
        <v>0.00701019664967206</v>
      </c>
      <c r="F66" s="32" t="n">
        <f aca="false">Data_Prices!F66/Data_Prices!F65-1</f>
        <v>0.0120697979170978</v>
      </c>
      <c r="G66" s="32" t="n">
        <f aca="false">Data_Prices!G66/Data_Prices!G65-1</f>
        <v>0.00155440414507768</v>
      </c>
      <c r="H66" s="32" t="n">
        <f aca="false">Data_Prices!H66/Data_Prices!H65-1</f>
        <v>0.0248328821612065</v>
      </c>
      <c r="I66" s="32" t="n">
        <f aca="false">Data_Prices!I66/Data_Prices!I65-1</f>
        <v>0.0779675865089793</v>
      </c>
      <c r="J66" s="32" t="n">
        <f aca="false">Data_Prices!J66/Data_Prices!J65-1</f>
        <v>-0.016127361259799</v>
      </c>
      <c r="K66" s="32" t="n">
        <f aca="false">Data_Prices!K66/Data_Prices!K65-1</f>
        <v>-0.00196282527881053</v>
      </c>
      <c r="L66" s="32" t="n">
        <f aca="false">Data_Prices!L66/Data_Prices!L65-1</f>
        <v>0.000139909059111654</v>
      </c>
      <c r="M66" s="32" t="n">
        <f aca="false">Data_Prices!M66/Data_Prices!M65-1</f>
        <v>-0.00728832833660698</v>
      </c>
      <c r="N66" s="32" t="n">
        <f aca="false">Data_Prices!N66/Data_Prices!N65-1</f>
        <v>0.0133702991548541</v>
      </c>
      <c r="O66" s="32" t="n">
        <f aca="false">Data_Prices!O66/Data_Prices!O65-1</f>
        <v>0.00350058343057169</v>
      </c>
      <c r="P66" s="32" t="n">
        <f aca="false">Data_Prices!P66/Data_Prices!P65-1</f>
        <v>-0.00579550158686348</v>
      </c>
      <c r="Q66" s="32" t="n">
        <f aca="false">Data_Prices!Q66/Data_Prices!Q65-1</f>
        <v>-0.00718161506543247</v>
      </c>
      <c r="R66" s="32" t="n">
        <f aca="false">Data_Prices!R66/Data_Prices!R65-1</f>
        <v>0.00850360944573603</v>
      </c>
      <c r="S66" s="32" t="n">
        <f aca="false">Data_Prices!S66/Data_Prices!S65-1</f>
        <v>0.062741084783122</v>
      </c>
      <c r="T66" s="32" t="n">
        <f aca="false">AVERAGE(D66:S66)</f>
        <v>0.0100991701725442</v>
      </c>
      <c r="U66" s="32" t="n">
        <f aca="false">AVERAGE(J66:S66)</f>
        <v>0.00498998543458831</v>
      </c>
      <c r="V66" s="32" t="n">
        <f aca="false">AVERAGE(D66:I66)</f>
        <v>0.0186144780691374</v>
      </c>
      <c r="W66" s="32" t="n">
        <f aca="false">AVERAGE(K66,Q66,R66)</f>
        <v>-0.000213610299502324</v>
      </c>
      <c r="X66" s="32" t="n">
        <f aca="false">AVERAGE(K66,L66,N66,O66,P66,Q66,R66,S66)</f>
        <v>0.00916444299278613</v>
      </c>
      <c r="Y66" s="32" t="n">
        <f aca="false">AVERAGE(J66,L66,M66,N66,O66,P66,Q66,R66,S66)</f>
        <v>0.00576251995829929</v>
      </c>
      <c r="Z66" s="32" t="n">
        <f aca="false">U66-V66</f>
        <v>-0.0136244926345491</v>
      </c>
      <c r="AA66" s="32" t="n">
        <f aca="false">W66-V66</f>
        <v>-0.0188280883686397</v>
      </c>
    </row>
    <row r="67" customFormat="false" ht="15" hidden="false" customHeight="false" outlineLevel="0" collapsed="false">
      <c r="A67" s="28" t="n">
        <f aca="false">Data_Prices!A67</f>
        <v>44896</v>
      </c>
      <c r="B67" s="32" t="n">
        <f aca="false">Data_Prices!B67/Data_Prices!B66-1</f>
        <v>0.00288671444983168</v>
      </c>
      <c r="C67" s="32" t="n">
        <f aca="false">Data_Prices!C67/Data_Prices!C66-1</f>
        <v>0.00362469937884691</v>
      </c>
      <c r="D67" s="32" t="n">
        <f aca="false">Data_Prices!D67/Data_Prices!D66-1</f>
        <v>-0.00715871979098626</v>
      </c>
      <c r="E67" s="32" t="n">
        <f aca="false">Data_Prices!E67/Data_Prices!E66-1</f>
        <v>-0.00759425006780568</v>
      </c>
      <c r="F67" s="32" t="n">
        <f aca="false">Data_Prices!F67/Data_Prices!F66-1</f>
        <v>0.0217391304347825</v>
      </c>
      <c r="G67" s="32" t="n">
        <f aca="false">Data_Prices!G67/Data_Prices!G66-1</f>
        <v>0.0191412312467667</v>
      </c>
      <c r="H67" s="32" t="n">
        <f aca="false">Data_Prices!H67/Data_Prices!H66-1</f>
        <v>-0.010835287458559</v>
      </c>
      <c r="I67" s="32" t="n">
        <f aca="false">Data_Prices!I67/Data_Prices!I66-1</f>
        <v>0.00711093051605038</v>
      </c>
      <c r="J67" s="32" t="n">
        <f aca="false">Data_Prices!J67/Data_Prices!J66-1</f>
        <v>0.0188487188487188</v>
      </c>
      <c r="K67" s="32" t="n">
        <f aca="false">Data_Prices!K67/Data_Prices!K66-1</f>
        <v>0.00399296760928514</v>
      </c>
      <c r="L67" s="32" t="n">
        <f aca="false">Data_Prices!L67/Data_Prices!L66-1</f>
        <v>0.0196544729663566</v>
      </c>
      <c r="M67" s="32" t="n">
        <f aca="false">Data_Prices!M67/Data_Prices!M66-1</f>
        <v>-0.0124967456391565</v>
      </c>
      <c r="N67" s="32" t="n">
        <f aca="false">Data_Prices!N67/Data_Prices!N66-1</f>
        <v>-0.0151134057011738</v>
      </c>
      <c r="O67" s="32" t="n">
        <f aca="false">Data_Prices!O67/Data_Prices!O66-1</f>
        <v>0.0246511627906978</v>
      </c>
      <c r="P67" s="32" t="n">
        <f aca="false">Data_Prices!P67/Data_Prices!P66-1</f>
        <v>0.0283136710617626</v>
      </c>
      <c r="Q67" s="32" t="n">
        <f aca="false">Data_Prices!Q67/Data_Prices!Q66-1</f>
        <v>-0.0115737019771741</v>
      </c>
      <c r="R67" s="32" t="n">
        <f aca="false">Data_Prices!R67/Data_Prices!R66-1</f>
        <v>0.0123748862602366</v>
      </c>
      <c r="S67" s="32" t="n">
        <f aca="false">Data_Prices!S67/Data_Prices!S66-1</f>
        <v>-0.0467777777777778</v>
      </c>
      <c r="T67" s="32" t="n">
        <f aca="false">AVERAGE(D67:S67)</f>
        <v>0.0027673302076265</v>
      </c>
      <c r="U67" s="32" t="n">
        <f aca="false">AVERAGE(J67:S67)</f>
        <v>0.00218742484417753</v>
      </c>
      <c r="V67" s="32" t="n">
        <f aca="false">AVERAGE(D67:I67)</f>
        <v>0.00373383914670811</v>
      </c>
      <c r="W67" s="32" t="n">
        <f aca="false">AVERAGE(K67,Q67,R67)</f>
        <v>0.00159805063078255</v>
      </c>
      <c r="X67" s="32" t="n">
        <f aca="false">AVERAGE(K67,L67,N67,O67,P67,Q67,R67,S67)</f>
        <v>0.00194028440402663</v>
      </c>
      <c r="Y67" s="32" t="n">
        <f aca="false">AVERAGE(J67,L67,M67,N67,O67,P67,Q67,R67,S67)</f>
        <v>0.0019868089813878</v>
      </c>
      <c r="Z67" s="32" t="n">
        <f aca="false">U67-V67</f>
        <v>-0.00154641430253057</v>
      </c>
      <c r="AA67" s="32" t="n">
        <f aca="false">W67-V67</f>
        <v>-0.00213578851592555</v>
      </c>
    </row>
    <row r="68" customFormat="false" ht="15" hidden="false" customHeight="false" outlineLevel="0" collapsed="false">
      <c r="A68" s="28" t="n">
        <f aca="false">Data_Prices!A68</f>
        <v>44897</v>
      </c>
      <c r="B68" s="32" t="n">
        <f aca="false">Data_Prices!B68/Data_Prices!B67-1</f>
        <v>-0.00618737541528247</v>
      </c>
      <c r="C68" s="32" t="n">
        <f aca="false">Data_Prices!C68/Data_Prices!C67-1</f>
        <v>-0.002527501023185</v>
      </c>
      <c r="D68" s="32" t="n">
        <f aca="false">Data_Prices!D68/Data_Prices!D67-1</f>
        <v>0.00752611773374379</v>
      </c>
      <c r="E68" s="32" t="n">
        <f aca="false">Data_Prices!E68/Data_Prices!E67-1</f>
        <v>0.00537487473808862</v>
      </c>
      <c r="F68" s="32" t="n">
        <f aca="false">Data_Prices!F68/Data_Prices!F67-1</f>
        <v>0.010671646768492</v>
      </c>
      <c r="G68" s="32" t="n">
        <f aca="false">Data_Prices!G68/Data_Prices!G67-1</f>
        <v>-0.0010152284263959</v>
      </c>
      <c r="H68" s="32" t="n">
        <f aca="false">Data_Prices!H68/Data_Prices!H67-1</f>
        <v>0.00711191040627823</v>
      </c>
      <c r="I68" s="32" t="n">
        <f aca="false">Data_Prices!I68/Data_Prices!I67-1</f>
        <v>-0.0125075650595118</v>
      </c>
      <c r="J68" s="32" t="n">
        <f aca="false">Data_Prices!J68/Data_Prices!J67-1</f>
        <v>-0.0156750611499639</v>
      </c>
      <c r="K68" s="32" t="n">
        <f aca="false">Data_Prices!K68/Data_Prices!K67-1</f>
        <v>-0.0106698720802542</v>
      </c>
      <c r="L68" s="32" t="n">
        <f aca="false">Data_Prices!L68/Data_Prices!L67-1</f>
        <v>0.0037728083413362</v>
      </c>
      <c r="M68" s="32" t="n">
        <f aca="false">Data_Prices!M68/Data_Prices!M67-1</f>
        <v>-0.000474558397047242</v>
      </c>
      <c r="N68" s="32" t="n">
        <f aca="false">Data_Prices!N68/Data_Prices!N67-1</f>
        <v>0.00716861936871349</v>
      </c>
      <c r="O68" s="32" t="n">
        <f aca="false">Data_Prices!O68/Data_Prices!O67-1</f>
        <v>0.0394916023604175</v>
      </c>
      <c r="P68" s="32" t="n">
        <f aca="false">Data_Prices!P68/Data_Prices!P67-1</f>
        <v>0.021955279614883</v>
      </c>
      <c r="Q68" s="32" t="n">
        <f aca="false">Data_Prices!Q68/Data_Prices!Q67-1</f>
        <v>0.00130102455683856</v>
      </c>
      <c r="R68" s="32" t="n">
        <f aca="false">Data_Prices!R68/Data_Prices!R67-1</f>
        <v>0.00467373719216258</v>
      </c>
      <c r="S68" s="32" t="n">
        <f aca="false">Data_Prices!S68/Data_Prices!S67-1</f>
        <v>0.0027198197148075</v>
      </c>
      <c r="T68" s="32" t="n">
        <f aca="false">AVERAGE(D68:S68)</f>
        <v>0.00446407223016178</v>
      </c>
      <c r="U68" s="32" t="n">
        <f aca="false">AVERAGE(J68:S68)</f>
        <v>0.00542633995218935</v>
      </c>
      <c r="V68" s="32" t="n">
        <f aca="false">AVERAGE(D68:I68)</f>
        <v>0.00286029269344916</v>
      </c>
      <c r="W68" s="32" t="n">
        <f aca="false">AVERAGE(K68,Q68,R68)</f>
        <v>-0.00156503677708434</v>
      </c>
      <c r="X68" s="32" t="n">
        <f aca="false">AVERAGE(K68,L68,N68,O68,P68,Q68,R68,S68)</f>
        <v>0.00880162738361308</v>
      </c>
      <c r="Y68" s="32" t="n">
        <f aca="false">AVERAGE(J68,L68,M68,N68,O68,P68,Q68,R68,S68)</f>
        <v>0.00721480795579419</v>
      </c>
      <c r="Z68" s="32" t="n">
        <f aca="false">U68-V68</f>
        <v>0.0025660472587402</v>
      </c>
      <c r="AA68" s="32" t="n">
        <f aca="false">W68-V68</f>
        <v>-0.0044253294705335</v>
      </c>
    </row>
    <row r="69" customFormat="false" ht="15" hidden="false" customHeight="false" outlineLevel="0" collapsed="false">
      <c r="A69" s="28" t="n">
        <f aca="false">Data_Prices!A69</f>
        <v>44900</v>
      </c>
      <c r="B69" s="32" t="n">
        <f aca="false">Data_Prices!B69/Data_Prices!B68-1</f>
        <v>0.000264761099908473</v>
      </c>
      <c r="C69" s="32" t="n">
        <f aca="false">Data_Prices!C69/Data_Prices!C68-1</f>
        <v>0.00023177874526259</v>
      </c>
      <c r="D69" s="32" t="n">
        <f aca="false">Data_Prices!D69/Data_Prices!D68-1</f>
        <v>-0.012667485047144</v>
      </c>
      <c r="E69" s="32" t="n">
        <f aca="false">Data_Prices!E69/Data_Prices!E68-1</f>
        <v>0.0212033345415006</v>
      </c>
      <c r="F69" s="32" t="n">
        <f aca="false">Data_Prices!F69/Data_Prices!F68-1</f>
        <v>-0.0135286741899294</v>
      </c>
      <c r="G69" s="32" t="n">
        <f aca="false">Data_Prices!G69/Data_Prices!G68-1</f>
        <v>0.0240091463414633</v>
      </c>
      <c r="H69" s="32" t="n">
        <f aca="false">Data_Prices!H69/Data_Prices!H68-1</f>
        <v>-0.00110930735930748</v>
      </c>
      <c r="I69" s="32" t="n">
        <f aca="false">Data_Prices!I69/Data_Prices!I68-1</f>
        <v>0.00592441266598565</v>
      </c>
      <c r="J69" s="32" t="n">
        <f aca="false">Data_Prices!J69/Data_Prices!J68-1</f>
        <v>0.00538989220215602</v>
      </c>
      <c r="K69" s="32" t="n">
        <f aca="false">Data_Prices!K69/Data_Prices!K68-1</f>
        <v>-0.00229498852505738</v>
      </c>
      <c r="L69" s="32" t="n">
        <f aca="false">Data_Prices!L69/Data_Prices!L68-1</f>
        <v>0.00826898107018392</v>
      </c>
      <c r="M69" s="32" t="n">
        <f aca="false">Data_Prices!M69/Data_Prices!M68-1</f>
        <v>-0.0174614897657733</v>
      </c>
      <c r="N69" s="32" t="n">
        <f aca="false">Data_Prices!N69/Data_Prices!N68-1</f>
        <v>0.0225761249138103</v>
      </c>
      <c r="O69" s="32" t="n">
        <f aca="false">Data_Prices!O69/Data_Prices!O68-1</f>
        <v>0.053056768558952</v>
      </c>
      <c r="P69" s="32" t="n">
        <f aca="false">Data_Prices!P69/Data_Prices!P68-1</f>
        <v>0.00559101915034121</v>
      </c>
      <c r="Q69" s="32" t="n">
        <f aca="false">Data_Prices!Q69/Data_Prices!Q68-1</f>
        <v>-0.0069839207406206</v>
      </c>
      <c r="R69" s="32" t="n">
        <f aca="false">Data_Prices!R69/Data_Prices!R68-1</f>
        <v>-0.00858829844337095</v>
      </c>
      <c r="S69" s="32" t="n">
        <f aca="false">Data_Prices!S69/Data_Prices!S68-1</f>
        <v>0.00348742589219997</v>
      </c>
      <c r="T69" s="32" t="n">
        <f aca="false">AVERAGE(D69:S69)</f>
        <v>0.00542955882908687</v>
      </c>
      <c r="U69" s="32" t="n">
        <f aca="false">AVERAGE(J69:S69)</f>
        <v>0.00630415143128212</v>
      </c>
      <c r="V69" s="32" t="n">
        <f aca="false">AVERAGE(D69:I69)</f>
        <v>0.00397190449209478</v>
      </c>
      <c r="W69" s="32" t="n">
        <f aca="false">AVERAGE(K69,Q69,R69)</f>
        <v>-0.00595573590301631</v>
      </c>
      <c r="X69" s="32" t="n">
        <f aca="false">AVERAGE(K69,L69,N69,O69,P69,Q69,R69,S69)</f>
        <v>0.00938913898455482</v>
      </c>
      <c r="Y69" s="32" t="n">
        <f aca="false">AVERAGE(J69,L69,M69,N69,O69,P69,Q69,R69,S69)</f>
        <v>0.00725961142643096</v>
      </c>
      <c r="Z69" s="32" t="n">
        <f aca="false">U69-V69</f>
        <v>0.00233224693918734</v>
      </c>
      <c r="AA69" s="32" t="n">
        <f aca="false">W69-V69</f>
        <v>-0.00992764039511109</v>
      </c>
    </row>
    <row r="70" customFormat="false" ht="15" hidden="false" customHeight="false" outlineLevel="0" collapsed="false">
      <c r="A70" s="28" t="n">
        <f aca="false">Data_Prices!A70</f>
        <v>44901</v>
      </c>
      <c r="B70" s="32" t="n">
        <f aca="false">Data_Prices!B70/Data_Prices!B69-1</f>
        <v>-0.00311747201360346</v>
      </c>
      <c r="C70" s="32" t="n">
        <f aca="false">Data_Prices!C70/Data_Prices!C69-1</f>
        <v>-0.00277756901648385</v>
      </c>
      <c r="D70" s="32" t="n">
        <f aca="false">Data_Prices!D70/Data_Prices!D69-1</f>
        <v>-0.00613724141579808</v>
      </c>
      <c r="E70" s="32" t="n">
        <f aca="false">Data_Prices!E70/Data_Prices!E69-1</f>
        <v>-0.00869565217391299</v>
      </c>
      <c r="F70" s="32" t="n">
        <f aca="false">Data_Prices!F70/Data_Prices!F69-1</f>
        <v>-0.00113727588975121</v>
      </c>
      <c r="G70" s="32" t="n">
        <f aca="false">Data_Prices!G70/Data_Prices!G69-1</f>
        <v>0.0148864905098622</v>
      </c>
      <c r="H70" s="32" t="n">
        <f aca="false">Data_Prices!H70/Data_Prices!H69-1</f>
        <v>-0.0188520815840082</v>
      </c>
      <c r="I70" s="32" t="n">
        <f aca="false">Data_Prices!I70/Data_Prices!I69-1</f>
        <v>-0.00934199837530458</v>
      </c>
      <c r="J70" s="32" t="n">
        <f aca="false">Data_Prices!J70/Data_Prices!J69-1</f>
        <v>-0.0022975701455128</v>
      </c>
      <c r="K70" s="32" t="n">
        <f aca="false">Data_Prices!K70/Data_Prices!K69-1</f>
        <v>0.00571308295997852</v>
      </c>
      <c r="L70" s="32" t="n">
        <f aca="false">Data_Prices!L70/Data_Prices!L69-1</f>
        <v>-0.00393113731869332</v>
      </c>
      <c r="M70" s="32" t="n">
        <f aca="false">Data_Prices!M70/Data_Prices!M69-1</f>
        <v>-0.0329127516778524</v>
      </c>
      <c r="N70" s="32" t="n">
        <f aca="false">Data_Prices!N70/Data_Prices!N69-1</f>
        <v>-0.00939661547831383</v>
      </c>
      <c r="O70" s="32" t="n">
        <f aca="false">Data_Prices!O70/Data_Prices!O69-1</f>
        <v>-0.00601285506945892</v>
      </c>
      <c r="P70" s="32" t="n">
        <f aca="false">Data_Prices!P70/Data_Prices!P69-1</f>
        <v>-0.0229839768846861</v>
      </c>
      <c r="Q70" s="32" t="n">
        <f aca="false">Data_Prices!Q70/Data_Prices!Q69-1</f>
        <v>-0.0230618253189402</v>
      </c>
      <c r="R70" s="32" t="n">
        <f aca="false">Data_Prices!R70/Data_Prices!R69-1</f>
        <v>-0.0163027131083439</v>
      </c>
      <c r="S70" s="32" t="n">
        <f aca="false">Data_Prices!S70/Data_Prices!S69-1</f>
        <v>0.0244816001853496</v>
      </c>
      <c r="T70" s="32" t="n">
        <f aca="false">AVERAGE(D70:S70)</f>
        <v>-0.00724890754908663</v>
      </c>
      <c r="U70" s="32" t="n">
        <f aca="false">AVERAGE(J70:S70)</f>
        <v>-0.00867047618564732</v>
      </c>
      <c r="V70" s="32" t="n">
        <f aca="false">AVERAGE(D70:I70)</f>
        <v>-0.00487962648815214</v>
      </c>
      <c r="W70" s="32" t="n">
        <f aca="false">AVERAGE(K70,Q70,R70)</f>
        <v>-0.0112171518224352</v>
      </c>
      <c r="X70" s="32" t="n">
        <f aca="false">AVERAGE(K70,L70,N70,O70,P70,Q70,R70,S70)</f>
        <v>-0.00643680500413851</v>
      </c>
      <c r="Y70" s="32" t="n">
        <f aca="false">AVERAGE(J70,L70,M70,N70,O70,P70,Q70,R70,S70)</f>
        <v>-0.0102686494240502</v>
      </c>
      <c r="Z70" s="32" t="n">
        <f aca="false">U70-V70</f>
        <v>-0.00379084969749519</v>
      </c>
      <c r="AA70" s="32" t="n">
        <f aca="false">W70-V70</f>
        <v>-0.00633752533428304</v>
      </c>
    </row>
    <row r="71" customFormat="false" ht="15" hidden="false" customHeight="false" outlineLevel="0" collapsed="false">
      <c r="A71" s="28" t="n">
        <f aca="false">Data_Prices!A71</f>
        <v>44902</v>
      </c>
      <c r="B71" s="32" t="n">
        <f aca="false">Data_Prices!B71/Data_Prices!B70-1</f>
        <v>-0.00441190275039893</v>
      </c>
      <c r="C71" s="32" t="n">
        <f aca="false">Data_Prices!C71/Data_Prices!C70-1</f>
        <v>-0.0038215520462731</v>
      </c>
      <c r="D71" s="32" t="n">
        <f aca="false">Data_Prices!D71/Data_Prices!D70-1</f>
        <v>0.0239552834708545</v>
      </c>
      <c r="E71" s="32" t="n">
        <f aca="false">Data_Prices!E71/Data_Prices!E70-1</f>
        <v>-0.0136949516648764</v>
      </c>
      <c r="F71" s="32" t="n">
        <f aca="false">Data_Prices!F71/Data_Prices!F70-1</f>
        <v>0.0217667939186927</v>
      </c>
      <c r="G71" s="32" t="n">
        <f aca="false">Data_Prices!G71/Data_Prices!G70-1</f>
        <v>-0.0172350568390173</v>
      </c>
      <c r="H71" s="32" t="n">
        <f aca="false">Data_Prices!H71/Data_Prices!H70-1</f>
        <v>-0.00924826767523401</v>
      </c>
      <c r="I71" s="32" t="n">
        <f aca="false">Data_Prices!I71/Data_Prices!I70-1</f>
        <v>-0.00676506765067653</v>
      </c>
      <c r="J71" s="32" t="n">
        <f aca="false">Data_Prices!J71/Data_Prices!J70-1</f>
        <v>0.0222958827634334</v>
      </c>
      <c r="K71" s="32" t="n">
        <f aca="false">Data_Prices!K71/Data_Prices!K70-1</f>
        <v>-0.0109426854426407</v>
      </c>
      <c r="L71" s="32" t="n">
        <f aca="false">Data_Prices!L71/Data_Prices!L70-1</f>
        <v>0.00136091453456721</v>
      </c>
      <c r="M71" s="32" t="n">
        <f aca="false">Data_Prices!M71/Data_Prices!M70-1</f>
        <v>0.00993781923162329</v>
      </c>
      <c r="N71" s="32" t="n">
        <f aca="false">Data_Prices!N71/Data_Prices!N70-1</f>
        <v>0.0124939616178472</v>
      </c>
      <c r="O71" s="32" t="n">
        <f aca="false">Data_Prices!O71/Data_Prices!O70-1</f>
        <v>0.000625782227784644</v>
      </c>
      <c r="P71" s="32" t="n">
        <f aca="false">Data_Prices!P71/Data_Prices!P70-1</f>
        <v>-0.00690056907290393</v>
      </c>
      <c r="Q71" s="32" t="n">
        <f aca="false">Data_Prices!Q71/Data_Prices!Q70-1</f>
        <v>-0.0165745856353591</v>
      </c>
      <c r="R71" s="32" t="n">
        <f aca="false">Data_Prices!R71/Data_Prices!R70-1</f>
        <v>-0.00752201565557731</v>
      </c>
      <c r="S71" s="32" t="n">
        <f aca="false">Data_Prices!S71/Data_Prices!S70-1</f>
        <v>0.00652067392861189</v>
      </c>
      <c r="T71" s="32" t="n">
        <f aca="false">AVERAGE(D71:S71)</f>
        <v>0.000629619503570607</v>
      </c>
      <c r="U71" s="32" t="n">
        <f aca="false">AVERAGE(J71:S71)</f>
        <v>0.00112951784973867</v>
      </c>
      <c r="V71" s="32" t="n">
        <f aca="false">AVERAGE(D71:I71)</f>
        <v>-0.000203544406709499</v>
      </c>
      <c r="W71" s="32" t="n">
        <f aca="false">AVERAGE(K71,Q71,R71)</f>
        <v>-0.0116797622445257</v>
      </c>
      <c r="X71" s="32" t="n">
        <f aca="false">AVERAGE(K71,L71,N71,O71,P71,Q71,R71,S71)</f>
        <v>-0.00261731543720875</v>
      </c>
      <c r="Y71" s="32" t="n">
        <f aca="false">AVERAGE(J71,L71,M71,N71,O71,P71,Q71,R71,S71)</f>
        <v>0.00247087377111415</v>
      </c>
      <c r="Z71" s="32" t="n">
        <f aca="false">U71-V71</f>
        <v>0.00133306225644817</v>
      </c>
      <c r="AA71" s="32" t="n">
        <f aca="false">W71-V71</f>
        <v>-0.0114762178378162</v>
      </c>
    </row>
    <row r="72" customFormat="false" ht="15" hidden="false" customHeight="false" outlineLevel="0" collapsed="false">
      <c r="A72" s="28" t="n">
        <f aca="false">Data_Prices!A72</f>
        <v>44903</v>
      </c>
      <c r="B72" s="32" t="n">
        <f aca="false">Data_Prices!B72/Data_Prices!B71-1</f>
        <v>0.00263193340696644</v>
      </c>
      <c r="C72" s="32" t="n">
        <f aca="false">Data_Prices!C72/Data_Prices!C71-1</f>
        <v>0.00309544824107944</v>
      </c>
      <c r="D72" s="32" t="n">
        <f aca="false">Data_Prices!D72/Data_Prices!D71-1</f>
        <v>0.00681050168962827</v>
      </c>
      <c r="E72" s="32" t="n">
        <f aca="false">Data_Prices!E72/Data_Prices!E71-1</f>
        <v>0.00980125238224883</v>
      </c>
      <c r="F72" s="32" t="n">
        <f aca="false">Data_Prices!F72/Data_Prices!F71-1</f>
        <v>-0.00511274252753013</v>
      </c>
      <c r="G72" s="32" t="n">
        <f aca="false">Data_Prices!G72/Data_Prices!G71-1</f>
        <v>0.000621890547263693</v>
      </c>
      <c r="H72" s="32" t="n">
        <f aca="false">Data_Prices!H72/Data_Prices!H71-1</f>
        <v>0.00426326348640216</v>
      </c>
      <c r="I72" s="32" t="n">
        <f aca="false">Data_Prices!I72/Data_Prices!I71-1</f>
        <v>0.0012383900928794</v>
      </c>
      <c r="J72" s="32" t="n">
        <f aca="false">Data_Prices!J72/Data_Prices!J71-1</f>
        <v>0.00406157206730606</v>
      </c>
      <c r="K72" s="32" t="n">
        <f aca="false">Data_Prices!K72/Data_Prices!K71-1</f>
        <v>-0.00652942776820542</v>
      </c>
      <c r="L72" s="32" t="n">
        <f aca="false">Data_Prices!L72/Data_Prices!L71-1</f>
        <v>0.00958140799130214</v>
      </c>
      <c r="M72" s="32" t="n">
        <f aca="false">Data_Prices!M72/Data_Prices!M71-1</f>
        <v>-0.0105546698917046</v>
      </c>
      <c r="N72" s="32" t="n">
        <f aca="false">Data_Prices!N72/Data_Prices!N71-1</f>
        <v>0.0142048535056711</v>
      </c>
      <c r="O72" s="32" t="n">
        <f aca="false">Data_Prices!O72/Data_Prices!O71-1</f>
        <v>0.000625390869293252</v>
      </c>
      <c r="P72" s="32" t="n">
        <f aca="false">Data_Prices!P72/Data_Prices!P71-1</f>
        <v>0.0117763840635292</v>
      </c>
      <c r="Q72" s="32" t="n">
        <f aca="false">Data_Prices!Q72/Data_Prices!Q71-1</f>
        <v>0.00102145045965285</v>
      </c>
      <c r="R72" s="32" t="n">
        <f aca="false">Data_Prices!R72/Data_Prices!R71-1</f>
        <v>0.0038203216464352</v>
      </c>
      <c r="S72" s="32" t="n">
        <f aca="false">Data_Prices!S72/Data_Prices!S71-1</f>
        <v>0.00224685440383454</v>
      </c>
      <c r="T72" s="32" t="n">
        <f aca="false">AVERAGE(D72:S72)</f>
        <v>0.00299229331362541</v>
      </c>
      <c r="U72" s="32" t="n">
        <f aca="false">AVERAGE(J72:S72)</f>
        <v>0.00302541373471144</v>
      </c>
      <c r="V72" s="32" t="n">
        <f aca="false">AVERAGE(D72:I72)</f>
        <v>0.00293709261181537</v>
      </c>
      <c r="W72" s="32" t="n">
        <f aca="false">AVERAGE(K72,Q72,R72)</f>
        <v>-0.000562551887372457</v>
      </c>
      <c r="X72" s="32" t="n">
        <f aca="false">AVERAGE(K72,L72,N72,O72,P72,Q72,R72,S72)</f>
        <v>0.00459340439643911</v>
      </c>
      <c r="Y72" s="32" t="n">
        <f aca="false">AVERAGE(J72,L72,M72,N72,O72,P72,Q72,R72,S72)</f>
        <v>0.00408706279059109</v>
      </c>
      <c r="Z72" s="32" t="n">
        <f aca="false">U72-V72</f>
        <v>8.83211228960659E-005</v>
      </c>
      <c r="AA72" s="32" t="n">
        <f aca="false">W72-V72</f>
        <v>-0.00349964449918783</v>
      </c>
    </row>
    <row r="73" customFormat="false" ht="15" hidden="false" customHeight="false" outlineLevel="0" collapsed="false">
      <c r="A73" s="28" t="n">
        <f aca="false">Data_Prices!A73</f>
        <v>44904</v>
      </c>
      <c r="B73" s="32" t="n">
        <f aca="false">Data_Prices!B73/Data_Prices!B72-1</f>
        <v>-0.00605878227880075</v>
      </c>
      <c r="C73" s="32" t="n">
        <f aca="false">Data_Prices!C73/Data_Prices!C72-1</f>
        <v>-0.00618121940029293</v>
      </c>
      <c r="D73" s="32" t="n">
        <f aca="false">Data_Prices!D73/Data_Prices!D72-1</f>
        <v>-0.000103273778787494</v>
      </c>
      <c r="E73" s="32" t="n">
        <f aca="false">Data_Prices!E73/Data_Prices!E72-1</f>
        <v>0.00143794374045103</v>
      </c>
      <c r="F73" s="32" t="n">
        <f aca="false">Data_Prices!F73/Data_Prices!F72-1</f>
        <v>-0.00474370799841883</v>
      </c>
      <c r="G73" s="32" t="n">
        <f aca="false">Data_Prices!G73/Data_Prices!G72-1</f>
        <v>-0.000124300807955335</v>
      </c>
      <c r="H73" s="32" t="n">
        <f aca="false">Data_Prices!H73/Data_Prices!H72-1</f>
        <v>-0.0226408812186122</v>
      </c>
      <c r="I73" s="32" t="n">
        <f aca="false">Data_Prices!I73/Data_Prices!I72-1</f>
        <v>-0.0086580086580087</v>
      </c>
      <c r="J73" s="32" t="n">
        <f aca="false">Data_Prices!J73/Data_Prices!J72-1</f>
        <v>0.0182881229179412</v>
      </c>
      <c r="K73" s="32" t="n">
        <f aca="false">Data_Prices!K73/Data_Prices!K72-1</f>
        <v>-0.00979765708200209</v>
      </c>
      <c r="L73" s="32" t="n">
        <f aca="false">Data_Prices!L73/Data_Prices!L72-1</f>
        <v>0.00168270848758167</v>
      </c>
      <c r="M73" s="32" t="n">
        <f aca="false">Data_Prices!M73/Data_Prices!M72-1</f>
        <v>-0.0401688982721263</v>
      </c>
      <c r="N73" s="32" t="n">
        <f aca="false">Data_Prices!N73/Data_Prices!N72-1</f>
        <v>0.0166146345635718</v>
      </c>
      <c r="O73" s="32" t="n">
        <f aca="false">Data_Prices!O73/Data_Prices!O72-1</f>
        <v>-0.04125</v>
      </c>
      <c r="P73" s="32" t="n">
        <f aca="false">Data_Prices!P73/Data_Prices!P72-1</f>
        <v>-0.0159650374598646</v>
      </c>
      <c r="Q73" s="32" t="n">
        <f aca="false">Data_Prices!Q73/Data_Prices!Q72-1</f>
        <v>0.0188775510204082</v>
      </c>
      <c r="R73" s="32" t="n">
        <f aca="false">Data_Prices!R73/Data_Prices!R72-1</f>
        <v>-0.0161438831256522</v>
      </c>
      <c r="S73" s="32" t="n">
        <f aca="false">Data_Prices!S73/Data_Prices!S72-1</f>
        <v>0.00437154386489325</v>
      </c>
      <c r="T73" s="32" t="n">
        <f aca="false">AVERAGE(D73:S73)</f>
        <v>-0.00614519648791128</v>
      </c>
      <c r="U73" s="32" t="n">
        <f aca="false">AVERAGE(J73:S73)</f>
        <v>-0.0063490915085249</v>
      </c>
      <c r="V73" s="32" t="n">
        <f aca="false">AVERAGE(D73:I73)</f>
        <v>-0.00580537145355525</v>
      </c>
      <c r="W73" s="32" t="n">
        <f aca="false">AVERAGE(K73,Q73,R73)</f>
        <v>-0.00235466306241535</v>
      </c>
      <c r="X73" s="32" t="n">
        <f aca="false">AVERAGE(K73,L73,N73,O73,P73,Q73,R73,S73)</f>
        <v>-0.00520126746638298</v>
      </c>
      <c r="Y73" s="32" t="n">
        <f aca="false">AVERAGE(J73,L73,M73,N73,O73,P73,Q73,R73,S73)</f>
        <v>-0.00596591755591632</v>
      </c>
      <c r="Z73" s="32" t="n">
        <f aca="false">U73-V73</f>
        <v>-0.000543720054969643</v>
      </c>
      <c r="AA73" s="32" t="n">
        <f aca="false">W73-V73</f>
        <v>0.0034507083911399</v>
      </c>
    </row>
    <row r="74" customFormat="false" ht="15" hidden="false" customHeight="false" outlineLevel="0" collapsed="false">
      <c r="A74" s="28" t="n">
        <f aca="false">Data_Prices!A74</f>
        <v>44907</v>
      </c>
      <c r="B74" s="32" t="n">
        <f aca="false">Data_Prices!B74/Data_Prices!B73-1</f>
        <v>2.97351945763857E-005</v>
      </c>
      <c r="C74" s="32" t="n">
        <f aca="false">Data_Prices!C74/Data_Prices!C73-1</f>
        <v>0.000964411629855722</v>
      </c>
      <c r="D74" s="32" t="n">
        <f aca="false">Data_Prices!D74/Data_Prices!D73-1</f>
        <v>-0.00560318116091718</v>
      </c>
      <c r="E74" s="32" t="n">
        <f aca="false">Data_Prices!E74/Data_Prices!E73-1</f>
        <v>-0.00960244099434626</v>
      </c>
      <c r="F74" s="32" t="n">
        <f aca="false">Data_Prices!F74/Data_Prices!F73-1</f>
        <v>-0.00483251688070963</v>
      </c>
      <c r="G74" s="32" t="n">
        <f aca="false">Data_Prices!G74/Data_Prices!G73-1</f>
        <v>-0.00335653903530575</v>
      </c>
      <c r="H74" s="32" t="n">
        <f aca="false">Data_Prices!H74/Data_Prices!H73-1</f>
        <v>0.00471256210078086</v>
      </c>
      <c r="I74" s="32" t="n">
        <f aca="false">Data_Prices!I74/Data_Prices!I73-1</f>
        <v>0.0253690996049076</v>
      </c>
      <c r="J74" s="32" t="n">
        <f aca="false">Data_Prices!J74/Data_Prices!J73-1</f>
        <v>0.002870877286687</v>
      </c>
      <c r="K74" s="32" t="n">
        <f aca="false">Data_Prices!K74/Data_Prices!K73-1</f>
        <v>-0.00167470731032793</v>
      </c>
      <c r="L74" s="32" t="n">
        <f aca="false">Data_Prices!L74/Data_Prices!L73-1</f>
        <v>0.00335976347265143</v>
      </c>
      <c r="M74" s="32" t="n">
        <f aca="false">Data_Prices!M74/Data_Prices!M73-1</f>
        <v>0.0278999768464923</v>
      </c>
      <c r="N74" s="32" t="n">
        <f aca="false">Data_Prices!N74/Data_Prices!N73-1</f>
        <v>0.0145131775445386</v>
      </c>
      <c r="O74" s="32" t="n">
        <f aca="false">Data_Prices!O74/Data_Prices!O73-1</f>
        <v>-0.000434593654932591</v>
      </c>
      <c r="P74" s="32" t="n">
        <f aca="false">Data_Prices!P74/Data_Prices!P73-1</f>
        <v>-0.00725097434967825</v>
      </c>
      <c r="Q74" s="32" t="n">
        <f aca="false">Data_Prices!Q74/Data_Prices!Q73-1</f>
        <v>0.0258721415456518</v>
      </c>
      <c r="R74" s="32" t="n">
        <f aca="false">Data_Prices!R74/Data_Prices!R73-1</f>
        <v>0.00293236835537813</v>
      </c>
      <c r="S74" s="32" t="n">
        <f aca="false">Data_Prices!S74/Data_Prices!S73-1</f>
        <v>0.0145083888248205</v>
      </c>
      <c r="T74" s="32" t="n">
        <f aca="false">AVERAGE(D74:S74)</f>
        <v>0.00558021263723067</v>
      </c>
      <c r="U74" s="32" t="n">
        <f aca="false">AVERAGE(J74:S74)</f>
        <v>0.0082596418561281</v>
      </c>
      <c r="V74" s="32" t="n">
        <f aca="false">AVERAGE(D74:I74)</f>
        <v>0.00111449727240161</v>
      </c>
      <c r="W74" s="32" t="n">
        <f aca="false">AVERAGE(K74,Q74,R74)</f>
        <v>0.00904326753023399</v>
      </c>
      <c r="X74" s="32" t="n">
        <f aca="false">AVERAGE(K74,L74,N74,O74,P74,Q74,R74,S74)</f>
        <v>0.00647819555351271</v>
      </c>
      <c r="Y74" s="32" t="n">
        <f aca="false">AVERAGE(J74,L74,M74,N74,O74,P74,Q74,R74,S74)</f>
        <v>0.00936345843017877</v>
      </c>
      <c r="Z74" s="32" t="n">
        <f aca="false">U74-V74</f>
        <v>0.00714514458372649</v>
      </c>
      <c r="AA74" s="32" t="n">
        <f aca="false">W74-V74</f>
        <v>0.00792877025783238</v>
      </c>
    </row>
    <row r="75" customFormat="false" ht="15" hidden="false" customHeight="false" outlineLevel="0" collapsed="false">
      <c r="A75" s="28" t="n">
        <f aca="false">Data_Prices!A75</f>
        <v>44908</v>
      </c>
      <c r="B75" s="32" t="n">
        <f aca="false">Data_Prices!B75/Data_Prices!B74-1</f>
        <v>0.00599281510935468</v>
      </c>
      <c r="C75" s="32" t="n">
        <f aca="false">Data_Prices!C75/Data_Prices!C74-1</f>
        <v>0.00483320697498102</v>
      </c>
      <c r="D75" s="32" t="n">
        <f aca="false">Data_Prices!D75/Data_Prices!D74-1</f>
        <v>-0.00340162550959466</v>
      </c>
      <c r="E75" s="32" t="n">
        <f aca="false">Data_Prices!E75/Data_Prices!E74-1</f>
        <v>-0.0217470097861544</v>
      </c>
      <c r="F75" s="32" t="n">
        <f aca="false">Data_Prices!F75/Data_Prices!F74-1</f>
        <v>-0.00146344708308388</v>
      </c>
      <c r="G75" s="32" t="n">
        <f aca="false">Data_Prices!G75/Data_Prices!G74-1</f>
        <v>0.0253211924660097</v>
      </c>
      <c r="H75" s="32" t="n">
        <f aca="false">Data_Prices!H75/Data_Prices!H74-1</f>
        <v>0.0368455256986238</v>
      </c>
      <c r="I75" s="32" t="n">
        <f aca="false">Data_Prices!I75/Data_Prices!I74-1</f>
        <v>-0.00425877104035699</v>
      </c>
      <c r="J75" s="32" t="n">
        <f aca="false">Data_Prices!J75/Data_Prices!J74-1</f>
        <v>-0.0123493775381133</v>
      </c>
      <c r="K75" s="32" t="n">
        <f aca="false">Data_Prices!K75/Data_Prices!K74-1</f>
        <v>0.0174523292857474</v>
      </c>
      <c r="L75" s="32" t="n">
        <f aca="false">Data_Prices!L75/Data_Prices!L74-1</f>
        <v>0.00669702652022508</v>
      </c>
      <c r="M75" s="32" t="n">
        <f aca="false">Data_Prices!M75/Data_Prices!M74-1</f>
        <v>0.0142470998986373</v>
      </c>
      <c r="N75" s="32" t="n">
        <f aca="false">Data_Prices!N75/Data_Prices!N74-1</f>
        <v>0.00240499243256687</v>
      </c>
      <c r="O75" s="32" t="n">
        <f aca="false">Data_Prices!O75/Data_Prices!O74-1</f>
        <v>0.0163043478260869</v>
      </c>
      <c r="P75" s="32" t="n">
        <f aca="false">Data_Prices!P75/Data_Prices!P74-1</f>
        <v>0.00917556833744171</v>
      </c>
      <c r="Q75" s="32" t="n">
        <f aca="false">Data_Prices!Q75/Data_Prices!Q74-1</f>
        <v>-0.0126911812561017</v>
      </c>
      <c r="R75" s="32" t="n">
        <f aca="false">Data_Prices!R75/Data_Prices!R74-1</f>
        <v>-0.00709175738724732</v>
      </c>
      <c r="S75" s="32" t="n">
        <f aca="false">Data_Prices!S75/Data_Prices!S74-1</f>
        <v>0.00168677349565494</v>
      </c>
      <c r="T75" s="32" t="n">
        <f aca="false">AVERAGE(D75:S75)</f>
        <v>0.00419573039752134</v>
      </c>
      <c r="U75" s="32" t="n">
        <f aca="false">AVERAGE(J75:S75)</f>
        <v>0.00358358216148978</v>
      </c>
      <c r="V75" s="32" t="n">
        <f aca="false">AVERAGE(D75:I75)</f>
        <v>0.00521597745757392</v>
      </c>
      <c r="W75" s="32" t="n">
        <f aca="false">AVERAGE(K75,Q75,R75)</f>
        <v>-0.000776869785867218</v>
      </c>
      <c r="X75" s="32" t="n">
        <f aca="false">AVERAGE(K75,L75,N75,O75,P75,Q75,R75,S75)</f>
        <v>0.00424226240679673</v>
      </c>
      <c r="Y75" s="32" t="n">
        <f aca="false">AVERAGE(J75,L75,M75,N75,O75,P75,Q75,R75,S75)</f>
        <v>0.0020426102587945</v>
      </c>
      <c r="Z75" s="32" t="n">
        <f aca="false">U75-V75</f>
        <v>-0.00163239529608414</v>
      </c>
      <c r="AA75" s="32" t="n">
        <f aca="false">W75-V75</f>
        <v>-0.00599284724344114</v>
      </c>
    </row>
    <row r="76" customFormat="false" ht="15" hidden="false" customHeight="false" outlineLevel="0" collapsed="false">
      <c r="A76" s="28" t="n">
        <f aca="false">Data_Prices!A76</f>
        <v>44909</v>
      </c>
      <c r="B76" s="32" t="n">
        <f aca="false">Data_Prices!B76/Data_Prices!B75-1</f>
        <v>0.00281061908856395</v>
      </c>
      <c r="C76" s="32" t="n">
        <f aca="false">Data_Prices!C76/Data_Prices!C75-1</f>
        <v>0.0037285045113018</v>
      </c>
      <c r="D76" s="32" t="n">
        <f aca="false">Data_Prices!D76/Data_Prices!D75-1</f>
        <v>0.0359822824387701</v>
      </c>
      <c r="E76" s="32" t="n">
        <f aca="false">Data_Prices!E76/Data_Prices!E75-1</f>
        <v>0.0127825120414971</v>
      </c>
      <c r="F76" s="32" t="n">
        <f aca="false">Data_Prices!F76/Data_Prices!F75-1</f>
        <v>-0.00113250283125699</v>
      </c>
      <c r="G76" s="32" t="n">
        <f aca="false">Data_Prices!G76/Data_Prices!G75-1</f>
        <v>0.0143552311435522</v>
      </c>
      <c r="H76" s="32" t="n">
        <f aca="false">Data_Prices!H76/Data_Prices!H75-1</f>
        <v>0.0857610028614253</v>
      </c>
      <c r="I76" s="32" t="n">
        <f aca="false">Data_Prices!I76/Data_Prices!I75-1</f>
        <v>-0.00896130346232171</v>
      </c>
      <c r="J76" s="32" t="n">
        <f aca="false">Data_Prices!J76/Data_Prices!J75-1</f>
        <v>-0.0178625594014358</v>
      </c>
      <c r="K76" s="32" t="n">
        <f aca="false">Data_Prices!K76/Data_Prices!K75-1</f>
        <v>0.00530925262059268</v>
      </c>
      <c r="L76" s="32" t="n">
        <f aca="false">Data_Prices!L76/Data_Prices!L75-1</f>
        <v>0.000665247472059649</v>
      </c>
      <c r="M76" s="32" t="n">
        <f aca="false">Data_Prices!M76/Data_Prices!M75-1</f>
        <v>0.00727333296318933</v>
      </c>
      <c r="N76" s="32" t="n">
        <f aca="false">Data_Prices!N76/Data_Prices!N75-1</f>
        <v>-0.0205795362882376</v>
      </c>
      <c r="O76" s="32" t="n">
        <f aca="false">Data_Prices!O76/Data_Prices!O75-1</f>
        <v>0.0145454545454546</v>
      </c>
      <c r="P76" s="32" t="n">
        <f aca="false">Data_Prices!P76/Data_Prices!P75-1</f>
        <v>0.00294024517121283</v>
      </c>
      <c r="Q76" s="32" t="n">
        <f aca="false">Data_Prices!Q76/Data_Prices!Q75-1</f>
        <v>-0.00444957152274217</v>
      </c>
      <c r="R76" s="32" t="n">
        <f aca="false">Data_Prices!R76/Data_Prices!R75-1</f>
        <v>0.00187958147985712</v>
      </c>
      <c r="S76" s="32" t="n">
        <f aca="false">Data_Prices!S76/Data_Prices!S75-1</f>
        <v>0.00929823919171202</v>
      </c>
      <c r="T76" s="32" t="n">
        <f aca="false">AVERAGE(D76:S76)</f>
        <v>0.00861293177645804</v>
      </c>
      <c r="U76" s="32" t="n">
        <f aca="false">AVERAGE(J76:S76)</f>
        <v>-9.80313768337293E-005</v>
      </c>
      <c r="V76" s="32" t="n">
        <f aca="false">AVERAGE(D76:I76)</f>
        <v>0.023131203698611</v>
      </c>
      <c r="W76" s="32" t="n">
        <f aca="false">AVERAGE(K76,Q76,R76)</f>
        <v>0.000913087525902541</v>
      </c>
      <c r="X76" s="32" t="n">
        <f aca="false">AVERAGE(K76,L76,N76,O76,P76,Q76,R76,S76)</f>
        <v>0.00120111408373864</v>
      </c>
      <c r="Y76" s="32" t="n">
        <f aca="false">AVERAGE(J76,L76,M76,N76,O76,P76,Q76,R76,S76)</f>
        <v>-0.000698840709881108</v>
      </c>
      <c r="Z76" s="32" t="n">
        <f aca="false">U76-V76</f>
        <v>-0.0232292350754447</v>
      </c>
      <c r="AA76" s="32" t="n">
        <f aca="false">W76-V76</f>
        <v>-0.0222181161727085</v>
      </c>
    </row>
    <row r="77" customFormat="false" ht="15" hidden="false" customHeight="false" outlineLevel="0" collapsed="false">
      <c r="A77" s="28" t="n">
        <f aca="false">Data_Prices!A77</f>
        <v>44910</v>
      </c>
      <c r="B77" s="32" t="n">
        <f aca="false">Data_Prices!B77/Data_Prices!B76-1</f>
        <v>-0.0131509139724441</v>
      </c>
      <c r="C77" s="32" t="n">
        <f aca="false">Data_Prices!C77/Data_Prices!C76-1</f>
        <v>-0.0112755108432829</v>
      </c>
      <c r="D77" s="32" t="n">
        <f aca="false">Data_Prices!D77/Data_Prices!D76-1</f>
        <v>-0.00847564196071526</v>
      </c>
      <c r="E77" s="32" t="n">
        <f aca="false">Data_Prices!E77/Data_Prices!E76-1</f>
        <v>-0.0148161697457473</v>
      </c>
      <c r="F77" s="32" t="n">
        <f aca="false">Data_Prices!F77/Data_Prices!F76-1</f>
        <v>0.014672535680939</v>
      </c>
      <c r="G77" s="32" t="n">
        <f aca="false">Data_Prices!G77/Data_Prices!G76-1</f>
        <v>-0.00923482849604218</v>
      </c>
      <c r="H77" s="32" t="n">
        <f aca="false">Data_Prices!H77/Data_Prices!H76-1</f>
        <v>0.0322272978264142</v>
      </c>
      <c r="I77" s="32" t="n">
        <f aca="false">Data_Prices!I77/Data_Prices!I76-1</f>
        <v>-0.0143855322646937</v>
      </c>
      <c r="J77" s="32" t="n">
        <f aca="false">Data_Prices!J77/Data_Prices!J76-1</f>
        <v>-0.0287567344977865</v>
      </c>
      <c r="K77" s="32" t="n">
        <f aca="false">Data_Prices!K77/Data_Prices!K76-1</f>
        <v>-0.00448376515903826</v>
      </c>
      <c r="L77" s="32" t="n">
        <f aca="false">Data_Prices!L77/Data_Prices!L76-1</f>
        <v>-0.00598324690865582</v>
      </c>
      <c r="M77" s="32" t="n">
        <f aca="false">Data_Prices!M77/Data_Prices!M76-1</f>
        <v>0.00314188071877419</v>
      </c>
      <c r="N77" s="32" t="n">
        <f aca="false">Data_Prices!N77/Data_Prices!N76-1</f>
        <v>0.0203995438611311</v>
      </c>
      <c r="O77" s="32" t="n">
        <f aca="false">Data_Prices!O77/Data_Prices!O76-1</f>
        <v>0.00653594771241828</v>
      </c>
      <c r="P77" s="32" t="n">
        <f aca="false">Data_Prices!P77/Data_Prices!P76-1</f>
        <v>-0.00572794515605257</v>
      </c>
      <c r="Q77" s="32" t="n">
        <f aca="false">Data_Prices!Q77/Data_Prices!Q76-1</f>
        <v>-0.0441979804668102</v>
      </c>
      <c r="R77" s="32" t="n">
        <f aca="false">Data_Prices!R77/Data_Prices!R76-1</f>
        <v>-0.00112563316865733</v>
      </c>
      <c r="S77" s="32" t="n">
        <f aca="false">Data_Prices!S77/Data_Prices!S76-1</f>
        <v>0.0106271081933917</v>
      </c>
      <c r="T77" s="32" t="n">
        <f aca="false">AVERAGE(D77:S77)</f>
        <v>-0.00309894773944567</v>
      </c>
      <c r="U77" s="32" t="n">
        <f aca="false">AVERAGE(J77:S77)</f>
        <v>-0.00495708248712854</v>
      </c>
      <c r="V77" s="32" t="n">
        <f aca="false">AVERAGE(D77:I77)</f>
        <v>-2.05649330755249E-006</v>
      </c>
      <c r="W77" s="32" t="n">
        <f aca="false">AVERAGE(K77,Q77,R77)</f>
        <v>-0.0166024595981686</v>
      </c>
      <c r="X77" s="32" t="n">
        <f aca="false">AVERAGE(K77,L77,N77,O77,P77,Q77,R77,S77)</f>
        <v>-0.00299449638653414</v>
      </c>
      <c r="Y77" s="32" t="n">
        <f aca="false">AVERAGE(J77,L77,M77,N77,O77,P77,Q77,R77,S77)</f>
        <v>-0.00500967330136079</v>
      </c>
      <c r="Z77" s="32" t="n">
        <f aca="false">U77-V77</f>
        <v>-0.00495502599382099</v>
      </c>
      <c r="AA77" s="32" t="n">
        <f aca="false">W77-V77</f>
        <v>-0.0166004031048611</v>
      </c>
    </row>
    <row r="78" customFormat="false" ht="15" hidden="false" customHeight="false" outlineLevel="0" collapsed="false">
      <c r="A78" s="28" t="n">
        <f aca="false">Data_Prices!A78</f>
        <v>44911</v>
      </c>
      <c r="B78" s="32" t="n">
        <f aca="false">Data_Prices!B78/Data_Prices!B77-1</f>
        <v>-0.00792293197356497</v>
      </c>
      <c r="C78" s="32" t="n">
        <f aca="false">Data_Prices!C78/Data_Prices!C77-1</f>
        <v>-0.00934185684055799</v>
      </c>
      <c r="D78" s="32" t="n">
        <f aca="false">Data_Prices!D78/Data_Prices!D77-1</f>
        <v>0.00727982954545459</v>
      </c>
      <c r="E78" s="32" t="n">
        <f aca="false">Data_Prices!E78/Data_Prices!E77-1</f>
        <v>-0.026550315633123</v>
      </c>
      <c r="F78" s="32" t="n">
        <f aca="false">Data_Prices!F78/Data_Prices!F77-1</f>
        <v>-0.0312869725253058</v>
      </c>
      <c r="G78" s="32" t="n">
        <f aca="false">Data_Prices!G78/Data_Prices!G77-1</f>
        <v>-0.0223943832465803</v>
      </c>
      <c r="H78" s="32" t="n">
        <f aca="false">Data_Prices!H78/Data_Prices!H77-1</f>
        <v>-0.0586003987744979</v>
      </c>
      <c r="I78" s="32" t="n">
        <f aca="false">Data_Prices!I78/Data_Prices!I77-1</f>
        <v>-0.0266889074228523</v>
      </c>
      <c r="J78" s="32" t="n">
        <f aca="false">Data_Prices!J78/Data_Prices!J77-1</f>
        <v>0.0250503480196445</v>
      </c>
      <c r="K78" s="32" t="n">
        <f aca="false">Data_Prices!K78/Data_Prices!K77-1</f>
        <v>-0.00430747838703827</v>
      </c>
      <c r="L78" s="32" t="n">
        <f aca="false">Data_Prices!L78/Data_Prices!L77-1</f>
        <v>-0.0237426431246656</v>
      </c>
      <c r="M78" s="32" t="n">
        <f aca="false">Data_Prices!M78/Data_Prices!M77-1</f>
        <v>-0.0339579097752625</v>
      </c>
      <c r="N78" s="32" t="n">
        <f aca="false">Data_Prices!N78/Data_Prices!N77-1</f>
        <v>0.00010347682119205</v>
      </c>
      <c r="O78" s="32" t="n">
        <f aca="false">Data_Prices!O78/Data_Prices!O77-1</f>
        <v>-0.0201089233347297</v>
      </c>
      <c r="P78" s="32" t="n">
        <f aca="false">Data_Prices!P78/Data_Prices!P77-1</f>
        <v>-0.0214561124971649</v>
      </c>
      <c r="Q78" s="32" t="n">
        <f aca="false">Data_Prices!Q78/Data_Prices!Q77-1</f>
        <v>0.000519570488396459</v>
      </c>
      <c r="R78" s="32" t="n">
        <f aca="false">Data_Prices!R78/Data_Prices!R77-1</f>
        <v>-0.00976648093658039</v>
      </c>
      <c r="S78" s="32" t="n">
        <f aca="false">Data_Prices!S78/Data_Prices!S77-1</f>
        <v>-0.016329313809934</v>
      </c>
      <c r="T78" s="32" t="n">
        <f aca="false">AVERAGE(D78:S78)</f>
        <v>-0.0163897884120654</v>
      </c>
      <c r="U78" s="32" t="n">
        <f aca="false">AVERAGE(J78:S78)</f>
        <v>-0.0103995466536142</v>
      </c>
      <c r="V78" s="32" t="n">
        <f aca="false">AVERAGE(D78:I78)</f>
        <v>-0.0263735246761508</v>
      </c>
      <c r="W78" s="32" t="n">
        <f aca="false">AVERAGE(K78,Q78,R78)</f>
        <v>-0.00451812961174073</v>
      </c>
      <c r="X78" s="32" t="n">
        <f aca="false">AVERAGE(K78,L78,N78,O78,P78,Q78,R78,S78)</f>
        <v>-0.0118859880975655</v>
      </c>
      <c r="Y78" s="32" t="n">
        <f aca="false">AVERAGE(J78,L78,M78,N78,O78,P78,Q78,R78,S78)</f>
        <v>-0.0110764431276782</v>
      </c>
      <c r="Z78" s="32" t="n">
        <f aca="false">U78-V78</f>
        <v>0.0159739780225366</v>
      </c>
      <c r="AA78" s="32" t="n">
        <f aca="false">W78-V78</f>
        <v>0.0218553950644101</v>
      </c>
    </row>
    <row r="79" customFormat="false" ht="15" hidden="false" customHeight="false" outlineLevel="0" collapsed="false">
      <c r="A79" s="28" t="n">
        <f aca="false">Data_Prices!A79</f>
        <v>44914</v>
      </c>
      <c r="B79" s="32" t="n">
        <f aca="false">Data_Prices!B79/Data_Prices!B78-1</f>
        <v>0.00828999945262465</v>
      </c>
      <c r="C79" s="32" t="n">
        <f aca="false">Data_Prices!C79/Data_Prices!C78-1</f>
        <v>0.00760087872169657</v>
      </c>
      <c r="D79" s="32" t="n">
        <f aca="false">Data_Prices!D79/Data_Prices!D78-1</f>
        <v>-0.00629548487824527</v>
      </c>
      <c r="E79" s="32" t="n">
        <f aca="false">Data_Prices!E79/Data_Prices!E78-1</f>
        <v>0.0329963761205419</v>
      </c>
      <c r="F79" s="32" t="n">
        <f aca="false">Data_Prices!F79/Data_Prices!F78-1</f>
        <v>-0.021780431537522</v>
      </c>
      <c r="G79" s="32" t="n">
        <f aca="false">Data_Prices!G79/Data_Prices!G78-1</f>
        <v>0.0139920752847944</v>
      </c>
      <c r="H79" s="32" t="n">
        <f aca="false">Data_Prices!H79/Data_Prices!H78-1</f>
        <v>0.0839704514929227</v>
      </c>
      <c r="I79" s="32" t="n">
        <f aca="false">Data_Prices!I79/Data_Prices!I78-1</f>
        <v>0.0400599828620394</v>
      </c>
      <c r="J79" s="32" t="n">
        <f aca="false">Data_Prices!J79/Data_Prices!J78-1</f>
        <v>-0.0040672825037914</v>
      </c>
      <c r="K79" s="32" t="n">
        <f aca="false">Data_Prices!K79/Data_Prices!K78-1</f>
        <v>0.0136614095538792</v>
      </c>
      <c r="L79" s="32" t="n">
        <f aca="false">Data_Prices!L79/Data_Prices!L78-1</f>
        <v>0.0209632116188256</v>
      </c>
      <c r="M79" s="32" t="n">
        <f aca="false">Data_Prices!M79/Data_Prices!M78-1</f>
        <v>0.0291792275752234</v>
      </c>
      <c r="N79" s="32" t="n">
        <f aca="false">Data_Prices!N79/Data_Prices!N78-1</f>
        <v>0.00513191929643053</v>
      </c>
      <c r="O79" s="32" t="n">
        <f aca="false">Data_Prices!O79/Data_Prices!O78-1</f>
        <v>0.0091919623770842</v>
      </c>
      <c r="P79" s="32" t="n">
        <f aca="false">Data_Prices!P79/Data_Prices!P78-1</f>
        <v>0.0102447617281662</v>
      </c>
      <c r="Q79" s="32" t="n">
        <f aca="false">Data_Prices!Q79/Data_Prices!Q78-1</f>
        <v>-0.00571230742599982</v>
      </c>
      <c r="R79" s="32" t="n">
        <f aca="false">Data_Prices!R79/Data_Prices!R78-1</f>
        <v>0.00708098880950869</v>
      </c>
      <c r="S79" s="32" t="n">
        <f aca="false">Data_Prices!S79/Data_Prices!S78-1</f>
        <v>0.00131343719216326</v>
      </c>
      <c r="T79" s="32" t="n">
        <f aca="false">AVERAGE(D79:S79)</f>
        <v>0.0143706435978763</v>
      </c>
      <c r="U79" s="32" t="n">
        <f aca="false">AVERAGE(J79:S79)</f>
        <v>0.00869873282214899</v>
      </c>
      <c r="V79" s="32" t="n">
        <f aca="false">AVERAGE(D79:I79)</f>
        <v>0.0238238282240885</v>
      </c>
      <c r="W79" s="32" t="n">
        <f aca="false">AVERAGE(K79,Q79,R79)</f>
        <v>0.00501003031246268</v>
      </c>
      <c r="X79" s="32" t="n">
        <f aca="false">AVERAGE(K79,L79,N79,O79,P79,Q79,R79,S79)</f>
        <v>0.00773442289375724</v>
      </c>
      <c r="Y79" s="32" t="n">
        <f aca="false">AVERAGE(J79,L79,M79,N79,O79,P79,Q79,R79,S79)</f>
        <v>0.00814732429640119</v>
      </c>
      <c r="Z79" s="32" t="n">
        <f aca="false">U79-V79</f>
        <v>-0.0151250954019395</v>
      </c>
      <c r="AA79" s="32" t="n">
        <f aca="false">W79-V79</f>
        <v>-0.0188137979116258</v>
      </c>
    </row>
    <row r="80" customFormat="false" ht="15" hidden="false" customHeight="false" outlineLevel="0" collapsed="false">
      <c r="A80" s="28" t="n">
        <f aca="false">Data_Prices!A80</f>
        <v>44915</v>
      </c>
      <c r="B80" s="32" t="n">
        <f aca="false">Data_Prices!B80/Data_Prices!B79-1</f>
        <v>-0.00190820528271574</v>
      </c>
      <c r="C80" s="32" t="n">
        <f aca="false">Data_Prices!C80/Data_Prices!C79-1</f>
        <v>-0.00184066213059819</v>
      </c>
      <c r="D80" s="32" t="n">
        <f aca="false">Data_Prices!D80/Data_Prices!D79-1</f>
        <v>0.00288892830896326</v>
      </c>
      <c r="E80" s="32" t="n">
        <f aca="false">Data_Prices!E80/Data_Prices!E79-1</f>
        <v>0.00858567208271777</v>
      </c>
      <c r="F80" s="32" t="n">
        <f aca="false">Data_Prices!F80/Data_Prices!F79-1</f>
        <v>0.00173406395227849</v>
      </c>
      <c r="G80" s="32" t="n">
        <f aca="false">Data_Prices!G80/Data_Prices!G79-1</f>
        <v>0.0117230431066064</v>
      </c>
      <c r="H80" s="32" t="n">
        <f aca="false">Data_Prices!H80/Data_Prices!H79-1</f>
        <v>0.0472752400695784</v>
      </c>
      <c r="I80" s="32" t="n">
        <f aca="false">Data_Prices!I80/Data_Prices!I79-1</f>
        <v>-0.0140061791967044</v>
      </c>
      <c r="J80" s="32" t="n">
        <f aca="false">Data_Prices!J80/Data_Prices!J79-1</f>
        <v>-0.0112826192289056</v>
      </c>
      <c r="K80" s="32" t="n">
        <f aca="false">Data_Prices!K80/Data_Prices!K79-1</f>
        <v>-0.00660387247487981</v>
      </c>
      <c r="L80" s="32" t="n">
        <f aca="false">Data_Prices!L80/Data_Prices!L79-1</f>
        <v>0.00254982218345301</v>
      </c>
      <c r="M80" s="32" t="n">
        <f aca="false">Data_Prices!M80/Data_Prices!M79-1</f>
        <v>0.000718470211119593</v>
      </c>
      <c r="N80" s="32" t="n">
        <f aca="false">Data_Prices!N80/Data_Prices!N79-1</f>
        <v>0.0233874786403969</v>
      </c>
      <c r="O80" s="32" t="n">
        <f aca="false">Data_Prices!O80/Data_Prices!O79-1</f>
        <v>-0.00847278119042572</v>
      </c>
      <c r="P80" s="32" t="n">
        <f aca="false">Data_Prices!P80/Data_Prices!P79-1</f>
        <v>0.00188133804432611</v>
      </c>
      <c r="Q80" s="32" t="n">
        <f aca="false">Data_Prices!Q80/Data_Prices!Q79-1</f>
        <v>0.00835654596100288</v>
      </c>
      <c r="R80" s="32" t="n">
        <f aca="false">Data_Prices!R80/Data_Prices!R79-1</f>
        <v>-0.000439450059639634</v>
      </c>
      <c r="S80" s="32" t="n">
        <f aca="false">Data_Prices!S80/Data_Prices!S79-1</f>
        <v>0.0123884131900165</v>
      </c>
      <c r="T80" s="32" t="n">
        <f aca="false">AVERAGE(D80:S80)</f>
        <v>0.00504275709999401</v>
      </c>
      <c r="U80" s="32" t="n">
        <f aca="false">AVERAGE(J80:S80)</f>
        <v>0.00224833452764642</v>
      </c>
      <c r="V80" s="32" t="n">
        <f aca="false">AVERAGE(D80:I80)</f>
        <v>0.00970012805390665</v>
      </c>
      <c r="W80" s="32" t="n">
        <f aca="false">AVERAGE(K80,Q80,R80)</f>
        <v>0.000437741142161145</v>
      </c>
      <c r="X80" s="32" t="n">
        <f aca="false">AVERAGE(K80,L80,N80,O80,P80,Q80,R80,S80)</f>
        <v>0.00413093678678128</v>
      </c>
      <c r="Y80" s="32" t="n">
        <f aca="false">AVERAGE(J80,L80,M80,N80,O80,P80,Q80,R80,S80)</f>
        <v>0.00323191308348267</v>
      </c>
      <c r="Z80" s="32" t="n">
        <f aca="false">U80-V80</f>
        <v>-0.00745179352626023</v>
      </c>
      <c r="AA80" s="32" t="n">
        <f aca="false">W80-V80</f>
        <v>-0.00926238691174551</v>
      </c>
    </row>
    <row r="81" customFormat="false" ht="15" hidden="false" customHeight="false" outlineLevel="0" collapsed="false">
      <c r="A81" s="28" t="n">
        <f aca="false">Data_Prices!A81</f>
        <v>44916</v>
      </c>
      <c r="B81" s="32" t="n">
        <f aca="false">Data_Prices!B81/Data_Prices!B80-1</f>
        <v>-0.0101276563341366</v>
      </c>
      <c r="C81" s="32" t="n">
        <f aca="false">Data_Prices!C81/Data_Prices!C80-1</f>
        <v>-0.0126317864455495</v>
      </c>
      <c r="D81" s="32" t="n">
        <f aca="false">Data_Prices!D81/Data_Prices!D80-1</f>
        <v>-0.00166771951989886</v>
      </c>
      <c r="E81" s="32" t="n">
        <f aca="false">Data_Prices!E81/Data_Prices!E80-1</f>
        <v>-0.0213272311212814</v>
      </c>
      <c r="F81" s="32" t="n">
        <f aca="false">Data_Prices!F81/Data_Prices!F80-1</f>
        <v>-0.00914000830909845</v>
      </c>
      <c r="G81" s="32" t="n">
        <f aca="false">Data_Prices!G81/Data_Prices!G80-1</f>
        <v>-0.0072420036210018</v>
      </c>
      <c r="H81" s="32" t="n">
        <f aca="false">Data_Prices!H81/Data_Prices!H80-1</f>
        <v>-0.0792473436326818</v>
      </c>
      <c r="I81" s="32" t="n">
        <f aca="false">Data_Prices!I81/Data_Prices!I80-1</f>
        <v>-0.0261123877167329</v>
      </c>
      <c r="J81" s="32" t="n">
        <f aca="false">Data_Prices!J81/Data_Prices!J80-1</f>
        <v>-0.0165569868384207</v>
      </c>
      <c r="K81" s="32" t="n">
        <f aca="false">Data_Prices!K81/Data_Prices!K80-1</f>
        <v>-0.0174862070005125</v>
      </c>
      <c r="L81" s="32" t="n">
        <f aca="false">Data_Prices!L81/Data_Prices!L80-1</f>
        <v>-0.0327956629409009</v>
      </c>
      <c r="M81" s="32" t="n">
        <f aca="false">Data_Prices!M81/Data_Prices!M80-1</f>
        <v>0.00298227204948365</v>
      </c>
      <c r="N81" s="32" t="n">
        <f aca="false">Data_Prices!N81/Data_Prices!N80-1</f>
        <v>-0.0402542799090708</v>
      </c>
      <c r="O81" s="32" t="n">
        <f aca="false">Data_Prices!O81/Data_Prices!O80-1</f>
        <v>-0.0311899166844691</v>
      </c>
      <c r="P81" s="32" t="n">
        <f aca="false">Data_Prices!P81/Data_Prices!P80-1</f>
        <v>-0.00215260602729706</v>
      </c>
      <c r="Q81" s="32" t="n">
        <f aca="false">Data_Prices!Q81/Data_Prices!Q80-1</f>
        <v>-0.0531767955801106</v>
      </c>
      <c r="R81" s="32" t="n">
        <f aca="false">Data_Prices!R81/Data_Prices!R80-1</f>
        <v>-0.00558975003140316</v>
      </c>
      <c r="S81" s="32" t="n">
        <f aca="false">Data_Prices!S81/Data_Prices!S80-1</f>
        <v>-0.0142882850458882</v>
      </c>
      <c r="T81" s="32" t="n">
        <f aca="false">AVERAGE(D81:S81)</f>
        <v>-0.0222028069955803</v>
      </c>
      <c r="U81" s="32" t="n">
        <f aca="false">AVERAGE(J81:S81)</f>
        <v>-0.0210508218008589</v>
      </c>
      <c r="V81" s="32" t="n">
        <f aca="false">AVERAGE(D81:I81)</f>
        <v>-0.0241227823201159</v>
      </c>
      <c r="W81" s="32" t="n">
        <f aca="false">AVERAGE(K81,Q81,R81)</f>
        <v>-0.0254175842040087</v>
      </c>
      <c r="X81" s="32" t="n">
        <f aca="false">AVERAGE(K81,L81,N81,O81,P81,Q81,R81,S81)</f>
        <v>-0.0246166879024565</v>
      </c>
      <c r="Y81" s="32" t="n">
        <f aca="false">AVERAGE(J81,L81,M81,N81,O81,P81,Q81,R81,S81)</f>
        <v>-0.0214468901120085</v>
      </c>
      <c r="Z81" s="32" t="n">
        <f aca="false">U81-V81</f>
        <v>0.00307196051925694</v>
      </c>
      <c r="AA81" s="32" t="n">
        <f aca="false">W81-V81</f>
        <v>-0.00129480188389288</v>
      </c>
    </row>
    <row r="82" customFormat="false" ht="15" hidden="false" customHeight="false" outlineLevel="0" collapsed="false">
      <c r="A82" s="28" t="n">
        <f aca="false">Data_Prices!A82</f>
        <v>44917</v>
      </c>
      <c r="B82" s="32" t="n">
        <f aca="false">Data_Prices!B82/Data_Prices!B81-1</f>
        <v>-0.00394250265122997</v>
      </c>
      <c r="C82" s="32" t="n">
        <f aca="false">Data_Prices!C82/Data_Prices!C81-1</f>
        <v>-0.00618577946939469</v>
      </c>
      <c r="D82" s="32" t="n">
        <f aca="false">Data_Prices!D82/Data_Prices!D81-1</f>
        <v>-0.027613961375889</v>
      </c>
      <c r="E82" s="32" t="n">
        <f aca="false">Data_Prices!E82/Data_Prices!E81-1</f>
        <v>-0.0241301907968574</v>
      </c>
      <c r="F82" s="32" t="n">
        <f aca="false">Data_Prices!F82/Data_Prices!F81-1</f>
        <v>-0.00922431865828099</v>
      </c>
      <c r="G82" s="32" t="n">
        <f aca="false">Data_Prices!G82/Data_Prices!G81-1</f>
        <v>-0.000607902735562327</v>
      </c>
      <c r="H82" s="32" t="n">
        <f aca="false">Data_Prices!H82/Data_Prices!H81-1</f>
        <v>0.0424532964317486</v>
      </c>
      <c r="I82" s="32" t="n">
        <f aca="false">Data_Prices!I82/Data_Prices!I81-1</f>
        <v>-0.0534105534105533</v>
      </c>
      <c r="J82" s="32" t="n">
        <f aca="false">Data_Prices!J82/Data_Prices!J81-1</f>
        <v>0.0123509521267129</v>
      </c>
      <c r="K82" s="32" t="n">
        <f aca="false">Data_Prices!K82/Data_Prices!K81-1</f>
        <v>-0.00552333609500144</v>
      </c>
      <c r="L82" s="32" t="n">
        <f aca="false">Data_Prices!L82/Data_Prices!L81-1</f>
        <v>-0.00788872742370761</v>
      </c>
      <c r="M82" s="32" t="n">
        <f aca="false">Data_Prices!M82/Data_Prices!M81-1</f>
        <v>-0.0241726777159847</v>
      </c>
      <c r="N82" s="32" t="n">
        <f aca="false">Data_Prices!N82/Data_Prices!N81-1</f>
        <v>-0.0276892764316257</v>
      </c>
      <c r="O82" s="32" t="n">
        <f aca="false">Data_Prices!O82/Data_Prices!O81-1</f>
        <v>0.00485115766262401</v>
      </c>
      <c r="P82" s="32" t="n">
        <f aca="false">Data_Prices!P82/Data_Prices!P81-1</f>
        <v>-0.00339652086106379</v>
      </c>
      <c r="Q82" s="32" t="n">
        <f aca="false">Data_Prices!Q82/Data_Prices!Q81-1</f>
        <v>-0.0330051057622174</v>
      </c>
      <c r="R82" s="32" t="n">
        <f aca="false">Data_Prices!R82/Data_Prices!R81-1</f>
        <v>-0.00606328554285351</v>
      </c>
      <c r="S82" s="32" t="n">
        <f aca="false">Data_Prices!S82/Data_Prices!S81-1</f>
        <v>-0.0219074047027895</v>
      </c>
      <c r="T82" s="32" t="n">
        <f aca="false">AVERAGE(D82:S82)</f>
        <v>-0.0115611159557063</v>
      </c>
      <c r="U82" s="32" t="n">
        <f aca="false">AVERAGE(J82:S82)</f>
        <v>-0.0112444224745907</v>
      </c>
      <c r="V82" s="32" t="n">
        <f aca="false">AVERAGE(D82:I82)</f>
        <v>-0.0120889384242324</v>
      </c>
      <c r="W82" s="32" t="n">
        <f aca="false">AVERAGE(K82,Q82,R82)</f>
        <v>-0.0148639091333574</v>
      </c>
      <c r="X82" s="32" t="n">
        <f aca="false">AVERAGE(K82,L82,N82,O82,P82,Q82,R82,S82)</f>
        <v>-0.0125778123945794</v>
      </c>
      <c r="Y82" s="32" t="n">
        <f aca="false">AVERAGE(J82,L82,M82,N82,O82,P82,Q82,R82,S82)</f>
        <v>-0.0118800987389895</v>
      </c>
      <c r="Z82" s="32" t="n">
        <f aca="false">U82-V82</f>
        <v>0.000844515949641744</v>
      </c>
      <c r="AA82" s="32" t="n">
        <f aca="false">W82-V82</f>
        <v>-0.00277497070912502</v>
      </c>
    </row>
    <row r="83" customFormat="false" ht="15" hidden="false" customHeight="false" outlineLevel="0" collapsed="false">
      <c r="A83" s="28" t="n">
        <f aca="false">Data_Prices!A83</f>
        <v>44918</v>
      </c>
      <c r="B83" s="32" t="n">
        <f aca="false">Data_Prices!B83/Data_Prices!B82-1</f>
        <v>-0.0176832245198553</v>
      </c>
      <c r="C83" s="32" t="n">
        <f aca="false">Data_Prices!C83/Data_Prices!C82-1</f>
        <v>-0.0249813692771279</v>
      </c>
      <c r="D83" s="32" t="n">
        <f aca="false">Data_Prices!D83/Data_Prices!D82-1</f>
        <v>-0.0254828465823312</v>
      </c>
      <c r="E83" s="32" t="n">
        <f aca="false">Data_Prices!E83/Data_Prices!E82-1</f>
        <v>-0.0615296147211041</v>
      </c>
      <c r="F83" s="32" t="n">
        <f aca="false">Data_Prices!F83/Data_Prices!F82-1</f>
        <v>-0.0196078431372548</v>
      </c>
      <c r="G83" s="32" t="n">
        <f aca="false">Data_Prices!G83/Data_Prices!G82-1</f>
        <v>-0.0388077858880779</v>
      </c>
      <c r="H83" s="32" t="n">
        <f aca="false">Data_Prices!H83/Data_Prices!H82-1</f>
        <v>-0.0791968899634951</v>
      </c>
      <c r="I83" s="32" t="n">
        <f aca="false">Data_Prices!I83/Data_Prices!I82-1</f>
        <v>-0.0561975980058918</v>
      </c>
      <c r="J83" s="32" t="n">
        <f aca="false">Data_Prices!J83/Data_Prices!J82-1</f>
        <v>-0.0514380142043456</v>
      </c>
      <c r="K83" s="32" t="n">
        <f aca="false">Data_Prices!K83/Data_Prices!K82-1</f>
        <v>-0.0178808355703661</v>
      </c>
      <c r="L83" s="32" t="n">
        <f aca="false">Data_Prices!L83/Data_Prices!L82-1</f>
        <v>-0.0245518588268118</v>
      </c>
      <c r="M83" s="32" t="n">
        <f aca="false">Data_Prices!M83/Data_Prices!M82-1</f>
        <v>-0.0316555693488321</v>
      </c>
      <c r="N83" s="32" t="n">
        <f aca="false">Data_Prices!N83/Data_Prices!N82-1</f>
        <v>-0.0727574535969129</v>
      </c>
      <c r="O83" s="32" t="n">
        <f aca="false">Data_Prices!O83/Data_Prices!O82-1</f>
        <v>-0.0311608514373491</v>
      </c>
      <c r="P83" s="32" t="n">
        <f aca="false">Data_Prices!P83/Data_Prices!P82-1</f>
        <v>-0.0388707226085755</v>
      </c>
      <c r="Q83" s="32" t="n">
        <f aca="false">Data_Prices!Q83/Data_Prices!Q82-1</f>
        <v>-0.071846124834999</v>
      </c>
      <c r="R83" s="32" t="n">
        <f aca="false">Data_Prices!R83/Data_Prices!R82-1</f>
        <v>-0.0198258880345682</v>
      </c>
      <c r="S83" s="32" t="n">
        <f aca="false">Data_Prices!S83/Data_Prices!S82-1</f>
        <v>-0.0282962520531581</v>
      </c>
      <c r="T83" s="32" t="n">
        <f aca="false">AVERAGE(D83:S83)</f>
        <v>-0.0418191343008796</v>
      </c>
      <c r="U83" s="32" t="n">
        <f aca="false">AVERAGE(J83:S83)</f>
        <v>-0.0388283570515918</v>
      </c>
      <c r="V83" s="32" t="n">
        <f aca="false">AVERAGE(D83:I83)</f>
        <v>-0.0468037630496925</v>
      </c>
      <c r="W83" s="32" t="n">
        <f aca="false">AVERAGE(K83,Q83,R83)</f>
        <v>-0.0365176161466444</v>
      </c>
      <c r="X83" s="32" t="n">
        <f aca="false">AVERAGE(K83,L83,N83,O83,P83,Q83,R83,S83)</f>
        <v>-0.0381487483703426</v>
      </c>
      <c r="Y83" s="32" t="n">
        <f aca="false">AVERAGE(J83,L83,M83,N83,O83,P83,Q83,R83,S83)</f>
        <v>-0.0411558594383947</v>
      </c>
      <c r="Z83" s="32" t="n">
        <f aca="false">U83-V83</f>
        <v>0.00797540599810064</v>
      </c>
      <c r="AA83" s="32" t="n">
        <f aca="false">W83-V83</f>
        <v>0.010286146903048</v>
      </c>
    </row>
    <row r="84" customFormat="false" ht="15" hidden="false" customHeight="false" outlineLevel="0" collapsed="false">
      <c r="A84" s="28" t="n">
        <f aca="false">Data_Prices!A84</f>
        <v>44921</v>
      </c>
      <c r="B84" s="32" t="n">
        <f aca="false">Data_Prices!B84/Data_Prices!B83-1</f>
        <v>0.0116696992160299</v>
      </c>
      <c r="C84" s="32" t="n">
        <f aca="false">Data_Prices!C84/Data_Prices!C83-1</f>
        <v>0.0167851920776285</v>
      </c>
      <c r="D84" s="32" t="n">
        <f aca="false">Data_Prices!D84/Data_Prices!D83-1</f>
        <v>-0.0132749272149364</v>
      </c>
      <c r="E84" s="32" t="n">
        <f aca="false">Data_Prices!E84/Data_Prices!E83-1</f>
        <v>0.0614787581699348</v>
      </c>
      <c r="F84" s="32" t="n">
        <f aca="false">Data_Prices!F84/Data_Prices!F83-1</f>
        <v>0.0154676258992805</v>
      </c>
      <c r="G84" s="32" t="n">
        <f aca="false">Data_Prices!G84/Data_Prices!G83-1</f>
        <v>0.0324009619035566</v>
      </c>
      <c r="H84" s="32" t="n">
        <f aca="false">Data_Prices!H84/Data_Prices!H83-1</f>
        <v>0.0399536619899601</v>
      </c>
      <c r="I84" s="32" t="n">
        <f aca="false">Data_Prices!I84/Data_Prices!I83-1</f>
        <v>0.0374549819927972</v>
      </c>
      <c r="J84" s="32" t="n">
        <f aca="false">Data_Prices!J84/Data_Prices!J83-1</f>
        <v>0.0270951480781347</v>
      </c>
      <c r="K84" s="32" t="n">
        <f aca="false">Data_Prices!K84/Data_Prices!K83-1</f>
        <v>0.009283840462464</v>
      </c>
      <c r="L84" s="32" t="n">
        <f aca="false">Data_Prices!L84/Data_Prices!L83-1</f>
        <v>0.0163746871648196</v>
      </c>
      <c r="M84" s="32" t="n">
        <f aca="false">Data_Prices!M84/Data_Prices!M83-1</f>
        <v>0.0365946040440535</v>
      </c>
      <c r="N84" s="32" t="n">
        <f aca="false">Data_Prices!N84/Data_Prices!N83-1</f>
        <v>0.0753045661675811</v>
      </c>
      <c r="O84" s="32" t="n">
        <f aca="false">Data_Prices!O84/Data_Prices!O83-1</f>
        <v>0.0321630804077009</v>
      </c>
      <c r="P84" s="32" t="n">
        <f aca="false">Data_Prices!P84/Data_Prices!P83-1</f>
        <v>0.0201734630312904</v>
      </c>
      <c r="Q84" s="32" t="n">
        <f aca="false">Data_Prices!Q84/Data_Prices!Q83-1</f>
        <v>0.139577407557903</v>
      </c>
      <c r="R84" s="32" t="n">
        <f aca="false">Data_Prices!R84/Data_Prices!R83-1</f>
        <v>0.0278119935170178</v>
      </c>
      <c r="S84" s="32" t="n">
        <f aca="false">Data_Prices!S84/Data_Prices!S83-1</f>
        <v>0.0381482904341146</v>
      </c>
      <c r="T84" s="32" t="n">
        <f aca="false">AVERAGE(D84:S84)</f>
        <v>0.0372505089753545</v>
      </c>
      <c r="U84" s="32" t="n">
        <f aca="false">AVERAGE(J84:S84)</f>
        <v>0.042252708086508</v>
      </c>
      <c r="V84" s="32" t="n">
        <f aca="false">AVERAGE(D84:I84)</f>
        <v>0.0289135104567655</v>
      </c>
      <c r="W84" s="32" t="n">
        <f aca="false">AVERAGE(K84,Q84,R84)</f>
        <v>0.0588910805124617</v>
      </c>
      <c r="X84" s="32" t="n">
        <f aca="false">AVERAGE(K84,L84,N84,O84,P84,Q84,R84,S84)</f>
        <v>0.0448546660928615</v>
      </c>
      <c r="Y84" s="32" t="n">
        <f aca="false">AVERAGE(J84,L84,M84,N84,O84,P84,Q84,R84,S84)</f>
        <v>0.0459159156002907</v>
      </c>
      <c r="Z84" s="32" t="n">
        <f aca="false">U84-V84</f>
        <v>0.0133391976297425</v>
      </c>
      <c r="AA84" s="32" t="n">
        <f aca="false">W84-V84</f>
        <v>0.0299775700556962</v>
      </c>
    </row>
    <row r="85" customFormat="false" ht="15" hidden="false" customHeight="false" outlineLevel="0" collapsed="false">
      <c r="A85" s="28" t="n">
        <f aca="false">Data_Prices!A85</f>
        <v>44922</v>
      </c>
      <c r="B85" s="32" t="n">
        <f aca="false">Data_Prices!B85/Data_Prices!B84-1</f>
        <v>0.0065335894219134</v>
      </c>
      <c r="C85" s="32" t="n">
        <f aca="false">Data_Prices!C85/Data_Prices!C84-1</f>
        <v>0.00783080749482812</v>
      </c>
      <c r="D85" s="32" t="n">
        <f aca="false">Data_Prices!D85/Data_Prices!D84-1</f>
        <v>-0.00473715554111853</v>
      </c>
      <c r="E85" s="32" t="n">
        <f aca="false">Data_Prices!E85/Data_Prices!E84-1</f>
        <v>0.0185684048489512</v>
      </c>
      <c r="F85" s="32" t="n">
        <f aca="false">Data_Prices!F85/Data_Prices!F84-1</f>
        <v>0.0325185972369819</v>
      </c>
      <c r="G85" s="32" t="n">
        <f aca="false">Data_Prices!G85/Data_Prices!G84-1</f>
        <v>0.0147112909157778</v>
      </c>
      <c r="H85" s="32" t="n">
        <f aca="false">Data_Prices!H85/Data_Prices!H84-1</f>
        <v>0.0447062900710447</v>
      </c>
      <c r="I85" s="32" t="n">
        <f aca="false">Data_Prices!I85/Data_Prices!I84-1</f>
        <v>0.0430455912983105</v>
      </c>
      <c r="J85" s="32" t="n">
        <f aca="false">Data_Prices!J85/Data_Prices!J84-1</f>
        <v>0.0115842656080838</v>
      </c>
      <c r="K85" s="32" t="n">
        <f aca="false">Data_Prices!K85/Data_Prices!K84-1</f>
        <v>0.0110350194552529</v>
      </c>
      <c r="L85" s="32" t="n">
        <f aca="false">Data_Prices!L85/Data_Prices!L84-1</f>
        <v>-0.00506542845082314</v>
      </c>
      <c r="M85" s="32" t="n">
        <f aca="false">Data_Prices!M85/Data_Prices!M84-1</f>
        <v>0.00337287087526006</v>
      </c>
      <c r="N85" s="32" t="n">
        <f aca="false">Data_Prices!N85/Data_Prices!N84-1</f>
        <v>-0.00849711357592264</v>
      </c>
      <c r="O85" s="32" t="n">
        <f aca="false">Data_Prices!O85/Data_Prices!O84-1</f>
        <v>0.00548606539389951</v>
      </c>
      <c r="P85" s="32" t="n">
        <f aca="false">Data_Prices!P85/Data_Prices!P84-1</f>
        <v>0.00131517144199167</v>
      </c>
      <c r="Q85" s="32" t="n">
        <f aca="false">Data_Prices!Q85/Data_Prices!Q84-1</f>
        <v>0.0418969513282226</v>
      </c>
      <c r="R85" s="32" t="n">
        <f aca="false">Data_Prices!R85/Data_Prices!R84-1</f>
        <v>0.00826289895294563</v>
      </c>
      <c r="S85" s="32" t="n">
        <f aca="false">Data_Prices!S85/Data_Prices!S84-1</f>
        <v>0.0205380601709653</v>
      </c>
      <c r="T85" s="32" t="n">
        <f aca="false">AVERAGE(D85:S85)</f>
        <v>0.0149213612518639</v>
      </c>
      <c r="U85" s="32" t="n">
        <f aca="false">AVERAGE(J85:S85)</f>
        <v>0.00899287611998756</v>
      </c>
      <c r="V85" s="32" t="n">
        <f aca="false">AVERAGE(D85:I85)</f>
        <v>0.0248021698049913</v>
      </c>
      <c r="W85" s="32" t="n">
        <f aca="false">AVERAGE(K85,Q85,R85)</f>
        <v>0.0203982899121404</v>
      </c>
      <c r="X85" s="32" t="n">
        <f aca="false">AVERAGE(K85,L85,N85,O85,P85,Q85,R85,S85)</f>
        <v>0.00937145308956647</v>
      </c>
      <c r="Y85" s="32" t="n">
        <f aca="false">AVERAGE(J85,L85,M85,N85,O85,P85,Q85,R85,S85)</f>
        <v>0.00876597130495808</v>
      </c>
      <c r="Z85" s="32" t="n">
        <f aca="false">U85-V85</f>
        <v>-0.0158092936850037</v>
      </c>
      <c r="AA85" s="32" t="n">
        <f aca="false">W85-V85</f>
        <v>-0.0044038798928509</v>
      </c>
    </row>
    <row r="86" customFormat="false" ht="15" hidden="false" customHeight="false" outlineLevel="0" collapsed="false">
      <c r="A86" s="28" t="n">
        <f aca="false">Data_Prices!A86</f>
        <v>44923</v>
      </c>
      <c r="B86" s="32" t="n">
        <f aca="false">Data_Prices!B86/Data_Prices!B85-1</f>
        <v>-0.000540471975425061</v>
      </c>
      <c r="C86" s="32" t="n">
        <f aca="false">Data_Prices!C86/Data_Prices!C85-1</f>
        <v>0.000937194965738852</v>
      </c>
      <c r="D86" s="32" t="n">
        <f aca="false">Data_Prices!D86/Data_Prices!D85-1</f>
        <v>0.00459651317757781</v>
      </c>
      <c r="E86" s="32" t="n">
        <f aca="false">Data_Prices!E86/Data_Prices!E85-1</f>
        <v>-0.00717861528289421</v>
      </c>
      <c r="F86" s="32" t="n">
        <f aca="false">Data_Prices!F86/Data_Prices!F85-1</f>
        <v>-0.00679291889666533</v>
      </c>
      <c r="G86" s="32" t="n">
        <f aca="false">Data_Prices!G86/Data_Prices!G85-1</f>
        <v>0.00640328621481201</v>
      </c>
      <c r="H86" s="32" t="n">
        <f aca="false">Data_Prices!H86/Data_Prices!H85-1</f>
        <v>-0.0119659739828921</v>
      </c>
      <c r="I86" s="32" t="n">
        <f aca="false">Data_Prices!I86/Data_Prices!I85-1</f>
        <v>-0.012425116485467</v>
      </c>
      <c r="J86" s="32" t="n">
        <f aca="false">Data_Prices!J86/Data_Prices!J85-1</f>
        <v>-0.00656416110734548</v>
      </c>
      <c r="K86" s="32" t="n">
        <f aca="false">Data_Prices!K86/Data_Prices!K85-1</f>
        <v>-0.00440277713634751</v>
      </c>
      <c r="L86" s="32" t="n">
        <f aca="false">Data_Prices!L86/Data_Prices!L85-1</f>
        <v>0.026446047235186</v>
      </c>
      <c r="M86" s="32" t="n">
        <f aca="false">Data_Prices!M86/Data_Prices!M85-1</f>
        <v>0.0219620146786934</v>
      </c>
      <c r="N86" s="32" t="n">
        <f aca="false">Data_Prices!N86/Data_Prices!N85-1</f>
        <v>-0.00115574163722787</v>
      </c>
      <c r="O86" s="32" t="n">
        <f aca="false">Data_Prices!O86/Data_Prices!O85-1</f>
        <v>0.011567001309472</v>
      </c>
      <c r="P86" s="32" t="n">
        <f aca="false">Data_Prices!P86/Data_Prices!P85-1</f>
        <v>0.0114926353316447</v>
      </c>
      <c r="Q86" s="32" t="n">
        <f aca="false">Data_Prices!Q86/Data_Prices!Q85-1</f>
        <v>0.0349075975359343</v>
      </c>
      <c r="R86" s="32" t="n">
        <f aca="false">Data_Prices!R86/Data_Prices!R85-1</f>
        <v>-0.00538004379105406</v>
      </c>
      <c r="S86" s="32" t="n">
        <f aca="false">Data_Prices!S86/Data_Prices!S85-1</f>
        <v>0.00703459279135554</v>
      </c>
      <c r="T86" s="32" t="n">
        <f aca="false">AVERAGE(D86:S86)</f>
        <v>0.00428402124717388</v>
      </c>
      <c r="U86" s="32" t="n">
        <f aca="false">AVERAGE(J86:S86)</f>
        <v>0.0095907165210311</v>
      </c>
      <c r="V86" s="32" t="n">
        <f aca="false">AVERAGE(D86:I86)</f>
        <v>-0.00456047087592147</v>
      </c>
      <c r="W86" s="32" t="n">
        <f aca="false">AVERAGE(K86,Q86,R86)</f>
        <v>0.00837492553617758</v>
      </c>
      <c r="X86" s="32" t="n">
        <f aca="false">AVERAGE(K86,L86,N86,O86,P86,Q86,R86,S86)</f>
        <v>0.0100636639548704</v>
      </c>
      <c r="Y86" s="32" t="n">
        <f aca="false">AVERAGE(J86,L86,M86,N86,O86,P86,Q86,R86,S86)</f>
        <v>0.0111455491496287</v>
      </c>
      <c r="Z86" s="32" t="n">
        <f aca="false">U86-V86</f>
        <v>0.0141511873969526</v>
      </c>
      <c r="AA86" s="32" t="n">
        <f aca="false">W86-V86</f>
        <v>0.012935396412099</v>
      </c>
    </row>
    <row r="87" customFormat="false" ht="15" hidden="false" customHeight="false" outlineLevel="0" collapsed="false">
      <c r="A87" s="28" t="n">
        <f aca="false">Data_Prices!A87</f>
        <v>44924</v>
      </c>
      <c r="B87" s="32" t="n">
        <f aca="false">Data_Prices!B87/Data_Prices!B86-1</f>
        <v>0.00377983170092433</v>
      </c>
      <c r="C87" s="32" t="n">
        <f aca="false">Data_Prices!C87/Data_Prices!C86-1</f>
        <v>0.00339536571458199</v>
      </c>
      <c r="D87" s="32" t="n">
        <f aca="false">Data_Prices!D87/Data_Prices!D86-1</f>
        <v>0.00438596491228083</v>
      </c>
      <c r="E87" s="32" t="n">
        <f aca="false">Data_Prices!E87/Data_Prices!E86-1</f>
        <v>0.00951384264104283</v>
      </c>
      <c r="F87" s="32" t="n">
        <f aca="false">Data_Prices!F87/Data_Prices!F86-1</f>
        <v>0.0112607944732297</v>
      </c>
      <c r="G87" s="32" t="n">
        <f aca="false">Data_Prices!G87/Data_Prices!G86-1</f>
        <v>-0.00132052821128459</v>
      </c>
      <c r="H87" s="32" t="n">
        <f aca="false">Data_Prices!H87/Data_Prices!H86-1</f>
        <v>-0.000887332725790224</v>
      </c>
      <c r="I87" s="32" t="n">
        <f aca="false">Data_Prices!I87/Data_Prices!I86-1</f>
        <v>0.00876207593799139</v>
      </c>
      <c r="J87" s="32" t="n">
        <f aca="false">Data_Prices!J87/Data_Prices!J86-1</f>
        <v>0.0319962653068555</v>
      </c>
      <c r="K87" s="32" t="n">
        <f aca="false">Data_Prices!K87/Data_Prices!K86-1</f>
        <v>0.00538091630201176</v>
      </c>
      <c r="L87" s="32" t="n">
        <f aca="false">Data_Prices!L87/Data_Prices!L86-1</f>
        <v>-0.0148801322678424</v>
      </c>
      <c r="M87" s="32" t="n">
        <f aca="false">Data_Prices!M87/Data_Prices!M86-1</f>
        <v>-0.0135409242914313</v>
      </c>
      <c r="N87" s="32" t="n">
        <f aca="false">Data_Prices!N87/Data_Prices!N86-1</f>
        <v>0.0191900447549394</v>
      </c>
      <c r="O87" s="32" t="n">
        <f aca="false">Data_Prices!O87/Data_Prices!O86-1</f>
        <v>-0.0112189859762675</v>
      </c>
      <c r="P87" s="32" t="n">
        <f aca="false">Data_Prices!P87/Data_Prices!P86-1</f>
        <v>-0.0199879423085844</v>
      </c>
      <c r="Q87" s="32" t="n">
        <f aca="false">Data_Prices!Q87/Data_Prices!Q86-1</f>
        <v>0.0142195767195767</v>
      </c>
      <c r="R87" s="32" t="n">
        <f aca="false">Data_Prices!R87/Data_Prices!R86-1</f>
        <v>-0.0123278193597083</v>
      </c>
      <c r="S87" s="32" t="n">
        <f aca="false">Data_Prices!S87/Data_Prices!S86-1</f>
        <v>-0.0549834365548035</v>
      </c>
      <c r="T87" s="32" t="n">
        <f aca="false">AVERAGE(D87:S87)</f>
        <v>-0.0015273512904865</v>
      </c>
      <c r="U87" s="32" t="n">
        <f aca="false">AVERAGE(J87:S87)</f>
        <v>-0.00561524376752539</v>
      </c>
      <c r="V87" s="32" t="n">
        <f aca="false">AVERAGE(D87:I87)</f>
        <v>0.00528580283791165</v>
      </c>
      <c r="W87" s="32" t="n">
        <f aca="false">AVERAGE(K87,Q87,R87)</f>
        <v>0.00242422455396008</v>
      </c>
      <c r="X87" s="32" t="n">
        <f aca="false">AVERAGE(K87,L87,N87,O87,P87,Q87,R87,S87)</f>
        <v>-0.00932597233633477</v>
      </c>
      <c r="Y87" s="32" t="n">
        <f aca="false">AVERAGE(J87,L87,M87,N87,O87,P87,Q87,R87,S87)</f>
        <v>-0.0068370393308073</v>
      </c>
      <c r="Z87" s="32" t="n">
        <f aca="false">U87-V87</f>
        <v>-0.010901046605437</v>
      </c>
      <c r="AA87" s="32" t="n">
        <f aca="false">W87-V87</f>
        <v>-0.00286157828395158</v>
      </c>
    </row>
    <row r="88" customFormat="false" ht="15" hidden="false" customHeight="false" outlineLevel="0" collapsed="false">
      <c r="A88" s="28" t="n">
        <f aca="false">Data_Prices!A88</f>
        <v>44925</v>
      </c>
      <c r="B88" s="32" t="n">
        <f aca="false">Data_Prices!B88/Data_Prices!B87-1</f>
        <v>-0.00471112088395365</v>
      </c>
      <c r="C88" s="32" t="n">
        <f aca="false">Data_Prices!C88/Data_Prices!C87-1</f>
        <v>-0.00234740268126987</v>
      </c>
      <c r="D88" s="32" t="n">
        <f aca="false">Data_Prices!D88/Data_Prices!D87-1</f>
        <v>-0.00487896921666942</v>
      </c>
      <c r="E88" s="32" t="n">
        <f aca="false">Data_Prices!E88/Data_Prices!E87-1</f>
        <v>0.00848176420695501</v>
      </c>
      <c r="F88" s="32" t="n">
        <f aca="false">Data_Prices!F88/Data_Prices!F87-1</f>
        <v>-0.000341576718130843</v>
      </c>
      <c r="G88" s="32" t="n">
        <f aca="false">Data_Prices!G88/Data_Prices!G87-1</f>
        <v>-0.00432744320230805</v>
      </c>
      <c r="H88" s="32" t="n">
        <f aca="false">Data_Prices!H88/Data_Prices!H87-1</f>
        <v>0.0607282590432299</v>
      </c>
      <c r="I88" s="32" t="n">
        <f aca="false">Data_Prices!I88/Data_Prices!I87-1</f>
        <v>0.0267260579064588</v>
      </c>
      <c r="J88" s="32" t="n">
        <f aca="false">Data_Prices!J88/Data_Prices!J87-1</f>
        <v>0.000800334052474039</v>
      </c>
      <c r="K88" s="32" t="n">
        <f aca="false">Data_Prices!K88/Data_Prices!K87-1</f>
        <v>0.00987373310161321</v>
      </c>
      <c r="L88" s="32" t="n">
        <f aca="false">Data_Prices!L88/Data_Prices!L87-1</f>
        <v>0.0110489510489511</v>
      </c>
      <c r="M88" s="32" t="n">
        <f aca="false">Data_Prices!M88/Data_Prices!M87-1</f>
        <v>0.0173391130376792</v>
      </c>
      <c r="N88" s="32" t="n">
        <f aca="false">Data_Prices!N88/Data_Prices!N87-1</f>
        <v>0.00124239568160411</v>
      </c>
      <c r="O88" s="32" t="n">
        <f aca="false">Data_Prices!O88/Data_Prices!O87-1</f>
        <v>0.0237835478943922</v>
      </c>
      <c r="P88" s="32" t="n">
        <f aca="false">Data_Prices!P88/Data_Prices!P87-1</f>
        <v>0.0061044860874504</v>
      </c>
      <c r="Q88" s="32" t="n">
        <f aca="false">Data_Prices!Q88/Data_Prices!Q87-1</f>
        <v>0.00521682425823289</v>
      </c>
      <c r="R88" s="32" t="n">
        <f aca="false">Data_Prices!R88/Data_Prices!R87-1</f>
        <v>0.0131821944851303</v>
      </c>
      <c r="S88" s="32" t="n">
        <f aca="false">Data_Prices!S88/Data_Prices!S87-1</f>
        <v>0.0492665269575157</v>
      </c>
      <c r="T88" s="32" t="n">
        <f aca="false">AVERAGE(D88:S88)</f>
        <v>0.0140153874140362</v>
      </c>
      <c r="U88" s="32" t="n">
        <f aca="false">AVERAGE(J88:S88)</f>
        <v>0.0137858106605043</v>
      </c>
      <c r="V88" s="32" t="n">
        <f aca="false">AVERAGE(D88:I88)</f>
        <v>0.0143980153365892</v>
      </c>
      <c r="W88" s="32" t="n">
        <f aca="false">AVERAGE(K88,Q88,R88)</f>
        <v>0.00942425061499212</v>
      </c>
      <c r="X88" s="32" t="n">
        <f aca="false">AVERAGE(K88,L88,N88,O88,P88,Q88,R88,S88)</f>
        <v>0.0149648324393612</v>
      </c>
      <c r="Y88" s="32" t="n">
        <f aca="false">AVERAGE(J88,L88,M88,N88,O88,P88,Q88,R88,S88)</f>
        <v>0.0142204859448255</v>
      </c>
      <c r="Z88" s="32" t="n">
        <f aca="false">U88-V88</f>
        <v>-0.000612204676084919</v>
      </c>
      <c r="AA88" s="32" t="n">
        <f aca="false">W88-V88</f>
        <v>-0.00497376472159711</v>
      </c>
    </row>
    <row r="89" customFormat="false" ht="15" hidden="false" customHeight="false" outlineLevel="0" collapsed="false">
      <c r="A89" s="28" t="n">
        <f aca="false">Data_Prices!A89</f>
        <v>44928</v>
      </c>
      <c r="B89" s="32" t="n">
        <f aca="false">Data_Prices!B89/Data_Prices!B88-1</f>
        <v>0.00508966987567194</v>
      </c>
      <c r="C89" s="32" t="n">
        <f aca="false">Data_Prices!C89/Data_Prices!C88-1</f>
        <v>0.00484178433993465</v>
      </c>
      <c r="D89" s="32" t="n">
        <f aca="false">Data_Prices!D89/Data_Prices!D88-1</f>
        <v>-0.0203971070238643</v>
      </c>
      <c r="E89" s="32" t="n">
        <f aca="false">Data_Prices!E89/Data_Prices!E88-1</f>
        <v>0.021119521540043</v>
      </c>
      <c r="F89" s="32" t="n">
        <f aca="false">Data_Prices!F89/Data_Prices!F88-1</f>
        <v>0.0263103943142213</v>
      </c>
      <c r="G89" s="32" t="n">
        <f aca="false">Data_Prices!G89/Data_Prices!G88-1</f>
        <v>0.0248702161052758</v>
      </c>
      <c r="H89" s="32" t="n">
        <f aca="false">Data_Prices!H89/Data_Prices!H88-1</f>
        <v>0.0742232581294833</v>
      </c>
      <c r="I89" s="32" t="n">
        <f aca="false">Data_Prices!I89/Data_Prices!I88-1</f>
        <v>0.00629067245119308</v>
      </c>
      <c r="J89" s="32" t="n">
        <f aca="false">Data_Prices!J89/Data_Prices!J88-1</f>
        <v>0.00170369597719144</v>
      </c>
      <c r="K89" s="32" t="n">
        <f aca="false">Data_Prices!K89/Data_Prices!K88-1</f>
        <v>-0.00327429450375394</v>
      </c>
      <c r="L89" s="32" t="n">
        <f aca="false">Data_Prices!L89/Data_Prices!L88-1</f>
        <v>0.0123806888919631</v>
      </c>
      <c r="M89" s="32" t="n">
        <f aca="false">Data_Prices!M89/Data_Prices!M88-1</f>
        <v>-0.0154047853162896</v>
      </c>
      <c r="N89" s="32" t="n">
        <f aca="false">Data_Prices!N89/Data_Prices!N88-1</f>
        <v>-0.0101835608232425</v>
      </c>
      <c r="O89" s="32" t="n">
        <f aca="false">Data_Prices!O89/Data_Prices!O88-1</f>
        <v>0.0274936061381075</v>
      </c>
      <c r="P89" s="32" t="n">
        <f aca="false">Data_Prices!P89/Data_Prices!P88-1</f>
        <v>0.0269507549033443</v>
      </c>
      <c r="Q89" s="32" t="n">
        <f aca="false">Data_Prices!Q89/Data_Prices!Q88-1</f>
        <v>-0.0157314304249109</v>
      </c>
      <c r="R89" s="32" t="n">
        <f aca="false">Data_Prices!R89/Data_Prices!R88-1</f>
        <v>-0.000817096165933395</v>
      </c>
      <c r="S89" s="32" t="n">
        <f aca="false">Data_Prices!S89/Data_Prices!S88-1</f>
        <v>0.00646379548260589</v>
      </c>
      <c r="T89" s="32" t="n">
        <f aca="false">AVERAGE(D89:S89)</f>
        <v>0.0101248956047146</v>
      </c>
      <c r="U89" s="32" t="n">
        <f aca="false">AVERAGE(J89:S89)</f>
        <v>0.00295813741590819</v>
      </c>
      <c r="V89" s="32" t="n">
        <f aca="false">AVERAGE(D89:I89)</f>
        <v>0.0220694925860587</v>
      </c>
      <c r="W89" s="32" t="n">
        <f aca="false">AVERAGE(K89,Q89,R89)</f>
        <v>-0.00660760703153274</v>
      </c>
      <c r="X89" s="32" t="n">
        <f aca="false">AVERAGE(K89,L89,N89,O89,P89,Q89,R89,S89)</f>
        <v>0.00541030793727251</v>
      </c>
      <c r="Y89" s="32" t="n">
        <f aca="false">AVERAGE(J89,L89,M89,N89,O89,P89,Q89,R89,S89)</f>
        <v>0.00365062985142621</v>
      </c>
      <c r="Z89" s="32" t="n">
        <f aca="false">U89-V89</f>
        <v>-0.0191113551701505</v>
      </c>
      <c r="AA89" s="32" t="n">
        <f aca="false">W89-V89</f>
        <v>-0.0286770996175914</v>
      </c>
    </row>
    <row r="90" customFormat="false" ht="15" hidden="false" customHeight="false" outlineLevel="0" collapsed="false">
      <c r="A90" s="28" t="n">
        <f aca="false">Data_Prices!A90</f>
        <v>44929</v>
      </c>
      <c r="B90" s="32" t="n">
        <f aca="false">Data_Prices!B90/Data_Prices!B89-1</f>
        <v>0.00192884167836693</v>
      </c>
      <c r="C90" s="32" t="n">
        <f aca="false">Data_Prices!C90/Data_Prices!C89-1</f>
        <v>0.00219986923178506</v>
      </c>
      <c r="D90" s="32" t="n">
        <f aca="false">Data_Prices!D90/Data_Prices!D89-1</f>
        <v>-0.00561331711093915</v>
      </c>
      <c r="E90" s="32" t="n">
        <f aca="false">Data_Prices!E90/Data_Prices!E89-1</f>
        <v>0.00420975565113935</v>
      </c>
      <c r="F90" s="32" t="n">
        <f aca="false">Data_Prices!F90/Data_Prices!F89-1</f>
        <v>-0.0146490877613531</v>
      </c>
      <c r="G90" s="32" t="n">
        <f aca="false">Data_Prices!G90/Data_Prices!G89-1</f>
        <v>-0.00671457179879842</v>
      </c>
      <c r="H90" s="32" t="n">
        <f aca="false">Data_Prices!H90/Data_Prices!H89-1</f>
        <v>-0.000105327463082672</v>
      </c>
      <c r="I90" s="32" t="n">
        <f aca="false">Data_Prices!I90/Data_Prices!I89-1</f>
        <v>-0.00495796507868063</v>
      </c>
      <c r="J90" s="32" t="n">
        <f aca="false">Data_Prices!J90/Data_Prices!J89-1</f>
        <v>0.00350572717806319</v>
      </c>
      <c r="K90" s="32" t="n">
        <f aca="false">Data_Prices!K90/Data_Prices!K89-1</f>
        <v>0.00802163549688295</v>
      </c>
      <c r="L90" s="32" t="n">
        <f aca="false">Data_Prices!L90/Data_Prices!L89-1</f>
        <v>-0.00457744073239053</v>
      </c>
      <c r="M90" s="32" t="n">
        <f aca="false">Data_Prices!M90/Data_Prices!M89-1</f>
        <v>-0.011040834442965</v>
      </c>
      <c r="N90" s="32" t="n">
        <f aca="false">Data_Prices!N90/Data_Prices!N89-1</f>
        <v>-0.0207928068127783</v>
      </c>
      <c r="O90" s="32" t="n">
        <f aca="false">Data_Prices!O90/Data_Prices!O89-1</f>
        <v>-0.0282099149554035</v>
      </c>
      <c r="P90" s="32" t="n">
        <f aca="false">Data_Prices!P90/Data_Prices!P89-1</f>
        <v>-0.00407621141339198</v>
      </c>
      <c r="Q90" s="32" t="n">
        <f aca="false">Data_Prices!Q90/Data_Prices!Q89-1</f>
        <v>0.00131817432855508</v>
      </c>
      <c r="R90" s="32" t="n">
        <f aca="false">Data_Prices!R90/Data_Prices!R89-1</f>
        <v>-0.00308234258036111</v>
      </c>
      <c r="S90" s="32" t="n">
        <f aca="false">Data_Prices!S90/Data_Prices!S89-1</f>
        <v>-0.0260860152980229</v>
      </c>
      <c r="T90" s="32" t="n">
        <f aca="false">AVERAGE(D90:S90)</f>
        <v>-0.00705315892459542</v>
      </c>
      <c r="U90" s="32" t="n">
        <f aca="false">AVERAGE(J90:S90)</f>
        <v>-0.00850200292318121</v>
      </c>
      <c r="V90" s="32" t="n">
        <f aca="false">AVERAGE(D90:I90)</f>
        <v>-0.00463841892695244</v>
      </c>
      <c r="W90" s="32" t="n">
        <f aca="false">AVERAGE(K90,Q90,R90)</f>
        <v>0.00208582241502564</v>
      </c>
      <c r="X90" s="32" t="n">
        <f aca="false">AVERAGE(K90,L90,N90,O90,P90,Q90,R90,S90)</f>
        <v>-0.00968561524586378</v>
      </c>
      <c r="Y90" s="32" t="n">
        <f aca="false">AVERAGE(J90,L90,M90,N90,O90,P90,Q90,R90,S90)</f>
        <v>-0.0103379627476328</v>
      </c>
      <c r="Z90" s="32" t="n">
        <f aca="false">U90-V90</f>
        <v>-0.00386358399622877</v>
      </c>
      <c r="AA90" s="32" t="n">
        <f aca="false">W90-V90</f>
        <v>0.00672424134197808</v>
      </c>
    </row>
    <row r="91" customFormat="false" ht="15" hidden="false" customHeight="false" outlineLevel="0" collapsed="false">
      <c r="A91" s="28" t="n">
        <f aca="false">Data_Prices!A91</f>
        <v>44930</v>
      </c>
      <c r="B91" s="32" t="n">
        <f aca="false">Data_Prices!B91/Data_Prices!B90-1</f>
        <v>-0.0103989842342404</v>
      </c>
      <c r="C91" s="32" t="n">
        <f aca="false">Data_Prices!C91/Data_Prices!C90-1</f>
        <v>-0.010592757330728</v>
      </c>
      <c r="D91" s="32" t="n">
        <f aca="false">Data_Prices!D91/Data_Prices!D90-1</f>
        <v>-0.0202441533883929</v>
      </c>
      <c r="E91" s="32" t="n">
        <f aca="false">Data_Prices!E91/Data_Prices!E90-1</f>
        <v>-0.0102068714116468</v>
      </c>
      <c r="F91" s="32" t="n">
        <f aca="false">Data_Prices!F91/Data_Prices!F90-1</f>
        <v>0.021354237059062</v>
      </c>
      <c r="G91" s="32" t="n">
        <f aca="false">Data_Prices!G91/Data_Prices!G90-1</f>
        <v>-0.000711574952561689</v>
      </c>
      <c r="H91" s="32" t="n">
        <f aca="false">Data_Prices!H91/Data_Prices!H90-1</f>
        <v>-0.029916150507732</v>
      </c>
      <c r="I91" s="32" t="n">
        <f aca="false">Data_Prices!I91/Data_Prices!I90-1</f>
        <v>-0.00931542461005197</v>
      </c>
      <c r="J91" s="32" t="n">
        <f aca="false">Data_Prices!J91/Data_Prices!J90-1</f>
        <v>-0.00833592750164292</v>
      </c>
      <c r="K91" s="32" t="n">
        <f aca="false">Data_Prices!K91/Data_Prices!K90-1</f>
        <v>-0.00533551604444238</v>
      </c>
      <c r="L91" s="32" t="n">
        <f aca="false">Data_Prices!L91/Data_Prices!L90-1</f>
        <v>-0.0137268359643102</v>
      </c>
      <c r="M91" s="32" t="n">
        <f aca="false">Data_Prices!M91/Data_Prices!M90-1</f>
        <v>-0.00678821879382885</v>
      </c>
      <c r="N91" s="32" t="n">
        <f aca="false">Data_Prices!N91/Data_Prices!N90-1</f>
        <v>-0.00920448525516515</v>
      </c>
      <c r="O91" s="32" t="n">
        <f aca="false">Data_Prices!O91/Data_Prices!O90-1</f>
        <v>-0.000640341515474985</v>
      </c>
      <c r="P91" s="32" t="n">
        <f aca="false">Data_Prices!P91/Data_Prices!P90-1</f>
        <v>0.0025753046677397</v>
      </c>
      <c r="Q91" s="32" t="n">
        <f aca="false">Data_Prices!Q91/Data_Prices!Q90-1</f>
        <v>-0.018101036695738</v>
      </c>
      <c r="R91" s="32" t="n">
        <f aca="false">Data_Prices!R91/Data_Prices!R90-1</f>
        <v>-0.0106007067137809</v>
      </c>
      <c r="S91" s="32" t="n">
        <f aca="false">Data_Prices!S91/Data_Prices!S90-1</f>
        <v>-0.0157818693735412</v>
      </c>
      <c r="T91" s="32" t="n">
        <f aca="false">AVERAGE(D91:S91)</f>
        <v>-0.00843622318759427</v>
      </c>
      <c r="U91" s="32" t="n">
        <f aca="false">AVERAGE(J91:S91)</f>
        <v>-0.00859396331901849</v>
      </c>
      <c r="V91" s="32" t="n">
        <f aca="false">AVERAGE(D91:I91)</f>
        <v>-0.00817332296855389</v>
      </c>
      <c r="W91" s="32" t="n">
        <f aca="false">AVERAGE(K91,Q91,R91)</f>
        <v>-0.0113457531513204</v>
      </c>
      <c r="X91" s="32" t="n">
        <f aca="false">AVERAGE(K91,L91,N91,O91,P91,Q91,R91,S91)</f>
        <v>-0.00885193586183915</v>
      </c>
      <c r="Y91" s="32" t="n">
        <f aca="false">AVERAGE(J91,L91,M91,N91,O91,P91,Q91,R91,S91)</f>
        <v>-0.00895601301619362</v>
      </c>
      <c r="Z91" s="32" t="n">
        <f aca="false">U91-V91</f>
        <v>-0.000420640350464607</v>
      </c>
      <c r="AA91" s="32" t="n">
        <f aca="false">W91-V91</f>
        <v>-0.00317243018276655</v>
      </c>
    </row>
    <row r="92" customFormat="false" ht="15" hidden="false" customHeight="false" outlineLevel="0" collapsed="false">
      <c r="A92" s="28" t="n">
        <f aca="false">Data_Prices!A92</f>
        <v>44931</v>
      </c>
      <c r="B92" s="32" t="n">
        <f aca="false">Data_Prices!B92/Data_Prices!B91-1</f>
        <v>-0.00281550411656628</v>
      </c>
      <c r="C92" s="32" t="n">
        <f aca="false">Data_Prices!C92/Data_Prices!C91-1</f>
        <v>-0.00044175924121348</v>
      </c>
      <c r="D92" s="32" t="n">
        <f aca="false">Data_Prices!D92/Data_Prices!D91-1</f>
        <v>-0.0170294893991428</v>
      </c>
      <c r="E92" s="32" t="n">
        <f aca="false">Data_Prices!E92/Data_Prices!E91-1</f>
        <v>0.00441948255225144</v>
      </c>
      <c r="F92" s="32" t="n">
        <f aca="false">Data_Prices!F92/Data_Prices!F91-1</f>
        <v>-0.00741034802170182</v>
      </c>
      <c r="G92" s="32" t="n">
        <f aca="false">Data_Prices!G92/Data_Prices!G91-1</f>
        <v>-0.00201756468075009</v>
      </c>
      <c r="H92" s="32" t="n">
        <f aca="false">Data_Prices!H92/Data_Prices!H91-1</f>
        <v>0.0119662945749903</v>
      </c>
      <c r="I92" s="32" t="n">
        <f aca="false">Data_Prices!I92/Data_Prices!I91-1</f>
        <v>0.00962169254318823</v>
      </c>
      <c r="J92" s="32" t="n">
        <f aca="false">Data_Prices!J92/Data_Prices!J91-1</f>
        <v>0.012033484478549</v>
      </c>
      <c r="K92" s="32" t="n">
        <f aca="false">Data_Prices!K92/Data_Prices!K91-1</f>
        <v>-0.0716691303088951</v>
      </c>
      <c r="L92" s="32" t="n">
        <f aca="false">Data_Prices!L92/Data_Prices!L91-1</f>
        <v>-0.0490605427974948</v>
      </c>
      <c r="M92" s="32" t="n">
        <f aca="false">Data_Prices!M92/Data_Prices!M91-1</f>
        <v>-0.0163804789877994</v>
      </c>
      <c r="N92" s="32" t="n">
        <f aca="false">Data_Prices!N92/Data_Prices!N91-1</f>
        <v>0.00984694900527994</v>
      </c>
      <c r="O92" s="32" t="n">
        <f aca="false">Data_Prices!O92/Data_Prices!O91-1</f>
        <v>0.00704826997009822</v>
      </c>
      <c r="P92" s="32" t="n">
        <f aca="false">Data_Prices!P92/Data_Prices!P91-1</f>
        <v>-0.00761432961790742</v>
      </c>
      <c r="Q92" s="32" t="n">
        <f aca="false">Data_Prices!Q92/Data_Prices!Q91-1</f>
        <v>-0.0187699011228424</v>
      </c>
      <c r="R92" s="32" t="n">
        <f aca="false">Data_Prices!R92/Data_Prices!R91-1</f>
        <v>-0.00567602040816329</v>
      </c>
      <c r="S92" s="32" t="n">
        <f aca="false">Data_Prices!S92/Data_Prices!S91-1</f>
        <v>-0.00636127526630781</v>
      </c>
      <c r="T92" s="32" t="n">
        <f aca="false">AVERAGE(D92:S92)</f>
        <v>-0.00919080671791549</v>
      </c>
      <c r="U92" s="32" t="n">
        <f aca="false">AVERAGE(J92:S92)</f>
        <v>-0.0146602975055483</v>
      </c>
      <c r="V92" s="32" t="n">
        <f aca="false">AVERAGE(D92:I92)</f>
        <v>-7.49887385274595E-005</v>
      </c>
      <c r="W92" s="32" t="n">
        <f aca="false">AVERAGE(K92,Q92,R92)</f>
        <v>-0.0320383506133003</v>
      </c>
      <c r="X92" s="32" t="n">
        <f aca="false">AVERAGE(K92,L92,N92,O92,P92,Q92,R92,S92)</f>
        <v>-0.0177819975682791</v>
      </c>
      <c r="Y92" s="32" t="n">
        <f aca="false">AVERAGE(J92,L92,M92,N92,O92,P92,Q92,R92,S92)</f>
        <v>-0.00832598274962088</v>
      </c>
      <c r="Z92" s="32" t="n">
        <f aca="false">U92-V92</f>
        <v>-0.0145853087670208</v>
      </c>
      <c r="AA92" s="32" t="n">
        <f aca="false">W92-V92</f>
        <v>-0.0319633618747728</v>
      </c>
    </row>
    <row r="93" customFormat="false" ht="15" hidden="false" customHeight="false" outlineLevel="0" collapsed="false">
      <c r="A93" s="28" t="n">
        <f aca="false">Data_Prices!A93</f>
        <v>44932</v>
      </c>
      <c r="B93" s="32" t="n">
        <f aca="false">Data_Prices!B93/Data_Prices!B92-1</f>
        <v>-0.00737543873300306</v>
      </c>
      <c r="C93" s="32" t="n">
        <f aca="false">Data_Prices!C93/Data_Prices!C92-1</f>
        <v>-0.00742223550974253</v>
      </c>
      <c r="D93" s="32" t="n">
        <f aca="false">Data_Prices!D93/Data_Prices!D92-1</f>
        <v>0.00874888112493855</v>
      </c>
      <c r="E93" s="32" t="n">
        <f aca="false">Data_Prices!E93/Data_Prices!E92-1</f>
        <v>-0.00375836465303891</v>
      </c>
      <c r="F93" s="32" t="n">
        <f aca="false">Data_Prices!F93/Data_Prices!F92-1</f>
        <v>-0.0153979469404081</v>
      </c>
      <c r="G93" s="32" t="n">
        <f aca="false">Data_Prices!G93/Data_Prices!G92-1</f>
        <v>-0.036865263408253</v>
      </c>
      <c r="H93" s="32" t="n">
        <f aca="false">Data_Prices!H93/Data_Prices!H92-1</f>
        <v>-0.023992960920231</v>
      </c>
      <c r="I93" s="32" t="n">
        <f aca="false">Data_Prices!I93/Data_Prices!I92-1</f>
        <v>0.00043318171973139</v>
      </c>
      <c r="J93" s="32" t="n">
        <f aca="false">Data_Prices!J93/Data_Prices!J92-1</f>
        <v>-0.0163019128037223</v>
      </c>
      <c r="K93" s="32" t="n">
        <f aca="false">Data_Prices!K93/Data_Prices!K92-1</f>
        <v>-0.0196165337010407</v>
      </c>
      <c r="L93" s="32" t="n">
        <f aca="false">Data_Prices!L93/Data_Prices!L92-1</f>
        <v>-0.0224661544090743</v>
      </c>
      <c r="M93" s="32" t="n">
        <f aca="false">Data_Prices!M93/Data_Prices!M92-1</f>
        <v>0.000918800964740951</v>
      </c>
      <c r="N93" s="32" t="n">
        <f aca="false">Data_Prices!N93/Data_Prices!N92-1</f>
        <v>-0.0191930110966491</v>
      </c>
      <c r="O93" s="32" t="n">
        <f aca="false">Data_Prices!O93/Data_Prices!O92-1</f>
        <v>-0.00827147401908801</v>
      </c>
      <c r="P93" s="32" t="n">
        <f aca="false">Data_Prices!P93/Data_Prices!P92-1</f>
        <v>-0.0087820660966027</v>
      </c>
      <c r="Q93" s="32" t="n">
        <f aca="false">Data_Prices!Q93/Data_Prices!Q92-1</f>
        <v>-0.0119555935098207</v>
      </c>
      <c r="R93" s="32" t="n">
        <f aca="false">Data_Prices!R93/Data_Prices!R92-1</f>
        <v>-0.00686293374382641</v>
      </c>
      <c r="S93" s="32" t="n">
        <f aca="false">Data_Prices!S93/Data_Prices!S92-1</f>
        <v>-0.0191302371391773</v>
      </c>
      <c r="T93" s="32" t="n">
        <f aca="false">AVERAGE(D93:S93)</f>
        <v>-0.0126558492894701</v>
      </c>
      <c r="U93" s="32" t="n">
        <f aca="false">AVERAGE(J93:S93)</f>
        <v>-0.013166111555426</v>
      </c>
      <c r="V93" s="32" t="n">
        <f aca="false">AVERAGE(D93:I93)</f>
        <v>-0.0118054121795435</v>
      </c>
      <c r="W93" s="32" t="n">
        <f aca="false">AVERAGE(K93,Q93,R93)</f>
        <v>-0.0128116869848959</v>
      </c>
      <c r="X93" s="32" t="n">
        <f aca="false">AVERAGE(K93,L93,N93,O93,P93,Q93,R93,S93)</f>
        <v>-0.0145347504644099</v>
      </c>
      <c r="Y93" s="32" t="n">
        <f aca="false">AVERAGE(J93,L93,M93,N93,O93,P93,Q93,R93,S93)</f>
        <v>-0.0124493979836911</v>
      </c>
      <c r="Z93" s="32" t="n">
        <f aca="false">U93-V93</f>
        <v>-0.00136069937588254</v>
      </c>
      <c r="AA93" s="32" t="n">
        <f aca="false">W93-V93</f>
        <v>-0.00100627480535241</v>
      </c>
    </row>
    <row r="94" customFormat="false" ht="15" hidden="false" customHeight="false" outlineLevel="0" collapsed="false">
      <c r="A94" s="28" t="n">
        <f aca="false">Data_Prices!A94</f>
        <v>44935</v>
      </c>
      <c r="B94" s="32" t="n">
        <f aca="false">Data_Prices!B94/Data_Prices!B93-1</f>
        <v>0.0135362511163557</v>
      </c>
      <c r="C94" s="32" t="n">
        <f aca="false">Data_Prices!C94/Data_Prices!C93-1</f>
        <v>0.0116618648507072</v>
      </c>
      <c r="D94" s="32" t="n">
        <f aca="false">Data_Prices!D94/Data_Prices!D93-1</f>
        <v>0.0197790245019465</v>
      </c>
      <c r="E94" s="32" t="n">
        <f aca="false">Data_Prices!E94/Data_Prices!E93-1</f>
        <v>0.0196908354803091</v>
      </c>
      <c r="F94" s="32" t="n">
        <f aca="false">Data_Prices!F94/Data_Prices!F93-1</f>
        <v>-0.0186852616613634</v>
      </c>
      <c r="G94" s="32" t="n">
        <f aca="false">Data_Prices!G94/Data_Prices!G93-1</f>
        <v>-0.00629707371280408</v>
      </c>
      <c r="H94" s="32" t="n">
        <f aca="false">Data_Prices!H94/Data_Prices!H93-1</f>
        <v>0.035225048923679</v>
      </c>
      <c r="I94" s="32" t="n">
        <f aca="false">Data_Prices!I94/Data_Prices!I93-1</f>
        <v>0.035072526520892</v>
      </c>
      <c r="J94" s="32" t="n">
        <f aca="false">Data_Prices!J94/Data_Prices!J93-1</f>
        <v>0.0130684605143299</v>
      </c>
      <c r="K94" s="32" t="n">
        <f aca="false">Data_Prices!K94/Data_Prices!K93-1</f>
        <v>0.00215997187013373</v>
      </c>
      <c r="L94" s="32" t="n">
        <f aca="false">Data_Prices!L94/Data_Prices!L93-1</f>
        <v>0.0169187004042521</v>
      </c>
      <c r="M94" s="32" t="n">
        <f aca="false">Data_Prices!M94/Data_Prices!M93-1</f>
        <v>0.0148594377510041</v>
      </c>
      <c r="N94" s="32" t="n">
        <f aca="false">Data_Prices!N94/Data_Prices!N93-1</f>
        <v>0.0345261926719001</v>
      </c>
      <c r="O94" s="32" t="n">
        <f aca="false">Data_Prices!O94/Data_Prices!O93-1</f>
        <v>0.0134730538922154</v>
      </c>
      <c r="P94" s="32" t="n">
        <f aca="false">Data_Prices!P94/Data_Prices!P93-1</f>
        <v>0.0042900442993703</v>
      </c>
      <c r="Q94" s="32" t="n">
        <f aca="false">Data_Prices!Q94/Data_Prices!Q93-1</f>
        <v>0.0108902333621435</v>
      </c>
      <c r="R94" s="32" t="n">
        <f aca="false">Data_Prices!R94/Data_Prices!R93-1</f>
        <v>0.010204081632653</v>
      </c>
      <c r="S94" s="32" t="n">
        <f aca="false">Data_Prices!S94/Data_Prices!S93-1</f>
        <v>0.0184992082802302</v>
      </c>
      <c r="T94" s="32" t="n">
        <f aca="false">AVERAGE(D94:S94)</f>
        <v>0.0139796552956807</v>
      </c>
      <c r="U94" s="32" t="n">
        <f aca="false">AVERAGE(J94:S94)</f>
        <v>0.0138889384678232</v>
      </c>
      <c r="V94" s="32" t="n">
        <f aca="false">AVERAGE(D94:I94)</f>
        <v>0.0141308500087765</v>
      </c>
      <c r="W94" s="32" t="n">
        <f aca="false">AVERAGE(K94,Q94,R94)</f>
        <v>0.00775142895497671</v>
      </c>
      <c r="X94" s="32" t="n">
        <f aca="false">AVERAGE(K94,L94,N94,O94,P94,Q94,R94,S94)</f>
        <v>0.0138701858016123</v>
      </c>
      <c r="Y94" s="32" t="n">
        <f aca="false">AVERAGE(J94,L94,M94,N94,O94,P94,Q94,R94,S94)</f>
        <v>0.0151921569786776</v>
      </c>
      <c r="Z94" s="32" t="n">
        <f aca="false">U94-V94</f>
        <v>-0.000241911540953288</v>
      </c>
      <c r="AA94" s="32" t="n">
        <f aca="false">W94-V94</f>
        <v>-0.00637942105379979</v>
      </c>
    </row>
    <row r="95" customFormat="false" ht="15" hidden="false" customHeight="false" outlineLevel="0" collapsed="false">
      <c r="A95" s="28" t="n">
        <f aca="false">Data_Prices!A95</f>
        <v>44936</v>
      </c>
      <c r="B95" s="32" t="n">
        <f aca="false">Data_Prices!B95/Data_Prices!B94-1</f>
        <v>-0.0103335690451462</v>
      </c>
      <c r="C95" s="32" t="n">
        <f aca="false">Data_Prices!C95/Data_Prices!C94-1</f>
        <v>-0.0080808538456062</v>
      </c>
      <c r="D95" s="32" t="n">
        <f aca="false">Data_Prices!D95/Data_Prices!D94-1</f>
        <v>0.0251494652931765</v>
      </c>
      <c r="E95" s="32" t="n">
        <f aca="false">Data_Prices!E95/Data_Prices!E94-1</f>
        <v>-0.0138061721710883</v>
      </c>
      <c r="F95" s="32" t="n">
        <f aca="false">Data_Prices!F95/Data_Prices!F94-1</f>
        <v>-0.00372542255950337</v>
      </c>
      <c r="G95" s="32" t="n">
        <f aca="false">Data_Prices!G95/Data_Prices!G94-1</f>
        <v>-0.0168986083499005</v>
      </c>
      <c r="H95" s="32" t="n">
        <f aca="false">Data_Prices!H95/Data_Prices!H94-1</f>
        <v>-0.0207514708693528</v>
      </c>
      <c r="I95" s="32" t="n">
        <f aca="false">Data_Prices!I95/Data_Prices!I94-1</f>
        <v>-0.0150596109600503</v>
      </c>
      <c r="J95" s="32" t="n">
        <f aca="false">Data_Prices!J95/Data_Prices!J94-1</f>
        <v>-0.0021442158049455</v>
      </c>
      <c r="K95" s="32" t="n">
        <f aca="false">Data_Prices!K95/Data_Prices!K94-1</f>
        <v>-0.0148867205774242</v>
      </c>
      <c r="L95" s="32" t="n">
        <f aca="false">Data_Prices!L95/Data_Prices!L94-1</f>
        <v>-0.0150176678445231</v>
      </c>
      <c r="M95" s="32" t="n">
        <f aca="false">Data_Prices!M95/Data_Prices!M94-1</f>
        <v>-0.00757532930069538</v>
      </c>
      <c r="N95" s="32" t="n">
        <f aca="false">Data_Prices!N95/Data_Prices!N94-1</f>
        <v>-0.0116102100273948</v>
      </c>
      <c r="O95" s="32" t="n">
        <f aca="false">Data_Prices!O95/Data_Prices!O94-1</f>
        <v>-0.00949567419286768</v>
      </c>
      <c r="P95" s="32" t="n">
        <f aca="false">Data_Prices!P95/Data_Prices!P94-1</f>
        <v>-0.00232158610762878</v>
      </c>
      <c r="Q95" s="32" t="n">
        <f aca="false">Data_Prices!Q95/Data_Prices!Q94-1</f>
        <v>-0.00649794801641579</v>
      </c>
      <c r="R95" s="32" t="n">
        <f aca="false">Data_Prices!R95/Data_Prices!R94-1</f>
        <v>-0.000127860887354614</v>
      </c>
      <c r="S95" s="32" t="n">
        <f aca="false">Data_Prices!S95/Data_Prices!S94-1</f>
        <v>0.0116032155316241</v>
      </c>
      <c r="T95" s="32" t="n">
        <f aca="false">AVERAGE(D95:S95)</f>
        <v>-0.00644786355277153</v>
      </c>
      <c r="U95" s="32" t="n">
        <f aca="false">AVERAGE(J95:S95)</f>
        <v>-0.00580739972276257</v>
      </c>
      <c r="V95" s="32" t="n">
        <f aca="false">AVERAGE(D95:I95)</f>
        <v>-0.00751530326945312</v>
      </c>
      <c r="W95" s="32" t="n">
        <f aca="false">AVERAGE(K95,Q95,R95)</f>
        <v>-0.00717084316039821</v>
      </c>
      <c r="X95" s="32" t="n">
        <f aca="false">AVERAGE(K95,L95,N95,O95,P95,Q95,R95,S95)</f>
        <v>-0.00604430651524811</v>
      </c>
      <c r="Y95" s="32" t="n">
        <f aca="false">AVERAGE(J95,L95,M95,N95,O95,P95,Q95,R95,S95)</f>
        <v>-0.00479858629446683</v>
      </c>
      <c r="Z95" s="32" t="n">
        <f aca="false">U95-V95</f>
        <v>0.00170790354669054</v>
      </c>
      <c r="AA95" s="32" t="n">
        <f aca="false">W95-V95</f>
        <v>0.000344460109054904</v>
      </c>
    </row>
    <row r="96" customFormat="false" ht="15" hidden="false" customHeight="false" outlineLevel="0" collapsed="false">
      <c r="A96" s="28" t="n">
        <f aca="false">Data_Prices!A96</f>
        <v>44937</v>
      </c>
      <c r="B96" s="32" t="n">
        <f aca="false">Data_Prices!B96/Data_Prices!B95-1</f>
        <v>-0.00102991210858461</v>
      </c>
      <c r="C96" s="32" t="n">
        <f aca="false">Data_Prices!C96/Data_Prices!C95-1</f>
        <v>-0.00155951778926933</v>
      </c>
      <c r="D96" s="32" t="n">
        <f aca="false">Data_Prices!D96/Data_Prices!D95-1</f>
        <v>0.0159899241573802</v>
      </c>
      <c r="E96" s="32" t="n">
        <f aca="false">Data_Prices!E96/Data_Prices!E95-1</f>
        <v>0.00686247598133405</v>
      </c>
      <c r="F96" s="32" t="n">
        <f aca="false">Data_Prices!F96/Data_Prices!F95-1</f>
        <v>-0.000969461948618466</v>
      </c>
      <c r="G96" s="32" t="n">
        <f aca="false">Data_Prices!G96/Data_Prices!G95-1</f>
        <v>0.0178210313447926</v>
      </c>
      <c r="H96" s="32" t="n">
        <f aca="false">Data_Prices!H96/Data_Prices!H95-1</f>
        <v>0.0197596737810168</v>
      </c>
      <c r="I96" s="32" t="n">
        <f aca="false">Data_Prices!I96/Data_Prices!I95-1</f>
        <v>0.00891909110214484</v>
      </c>
      <c r="J96" s="32" t="n">
        <f aca="false">Data_Prices!J96/Data_Prices!J95-1</f>
        <v>0.0110213842581359</v>
      </c>
      <c r="K96" s="32" t="n">
        <f aca="false">Data_Prices!K96/Data_Prices!K95-1</f>
        <v>-0.00142467054493656</v>
      </c>
      <c r="L96" s="32" t="n">
        <f aca="false">Data_Prices!L96/Data_Prices!L95-1</f>
        <v>-0.00455904334828094</v>
      </c>
      <c r="M96" s="32" t="n">
        <f aca="false">Data_Prices!M96/Data_Prices!M95-1</f>
        <v>-0.00934206778695534</v>
      </c>
      <c r="N96" s="32" t="n">
        <f aca="false">Data_Prices!N96/Data_Prices!N95-1</f>
        <v>-0.00503739551253857</v>
      </c>
      <c r="O96" s="32" t="n">
        <f aca="false">Data_Prices!O96/Data_Prices!O95-1</f>
        <v>0.00724328930549656</v>
      </c>
      <c r="P96" s="32" t="n">
        <f aca="false">Data_Prices!P96/Data_Prices!P95-1</f>
        <v>-0.00605016987015405</v>
      </c>
      <c r="Q96" s="32" t="n">
        <f aca="false">Data_Prices!Q96/Data_Prices!Q95-1</f>
        <v>0.0160068846815833</v>
      </c>
      <c r="R96" s="32" t="n">
        <f aca="false">Data_Prices!R96/Data_Prices!R95-1</f>
        <v>-0.00498721227621479</v>
      </c>
      <c r="S96" s="32" t="n">
        <f aca="false">Data_Prices!S96/Data_Prices!S95-1</f>
        <v>0.00044980883124679</v>
      </c>
      <c r="T96" s="32" t="n">
        <f aca="false">AVERAGE(D96:S96)</f>
        <v>0.00448147138471453</v>
      </c>
      <c r="U96" s="32" t="n">
        <f aca="false">AVERAGE(J96:S96)</f>
        <v>0.00033208077373823</v>
      </c>
      <c r="V96" s="32" t="n">
        <f aca="false">AVERAGE(D96:I96)</f>
        <v>0.0113971224030084</v>
      </c>
      <c r="W96" s="32" t="n">
        <f aca="false">AVERAGE(K96,Q96,R96)</f>
        <v>0.00319833395347731</v>
      </c>
      <c r="X96" s="32" t="n">
        <f aca="false">AVERAGE(K96,L96,N96,O96,P96,Q96,R96,S96)</f>
        <v>0.000205186408275215</v>
      </c>
      <c r="Y96" s="32" t="n">
        <f aca="false">AVERAGE(J96,L96,M96,N96,O96,P96,Q96,R96,S96)</f>
        <v>0.000527275364702096</v>
      </c>
      <c r="Z96" s="32" t="n">
        <f aca="false">U96-V96</f>
        <v>-0.0110650416292701</v>
      </c>
      <c r="AA96" s="32" t="n">
        <f aca="false">W96-V96</f>
        <v>-0.00819878844953104</v>
      </c>
    </row>
    <row r="97" customFormat="false" ht="15" hidden="false" customHeight="false" outlineLevel="0" collapsed="false">
      <c r="A97" s="28" t="n">
        <f aca="false">Data_Prices!A97</f>
        <v>44938</v>
      </c>
      <c r="B97" s="32" t="n">
        <f aca="false">Data_Prices!B97/Data_Prices!B96-1</f>
        <v>-0.00209547544940969</v>
      </c>
      <c r="C97" s="32" t="n">
        <f aca="false">Data_Prices!C97/Data_Prices!C96-1</f>
        <v>-0.00142144320599158</v>
      </c>
      <c r="D97" s="32" t="n">
        <f aca="false">Data_Prices!D97/Data_Prices!D96-1</f>
        <v>-0.0144447139353761</v>
      </c>
      <c r="E97" s="32" t="n">
        <f aca="false">Data_Prices!E97/Data_Prices!E96-1</f>
        <v>-0.00481643038894963</v>
      </c>
      <c r="F97" s="32" t="n">
        <f aca="false">Data_Prices!F97/Data_Prices!F96-1</f>
        <v>0.0176058778678865</v>
      </c>
      <c r="G97" s="32" t="n">
        <f aca="false">Data_Prices!G97/Data_Prices!G96-1</f>
        <v>-0.00620886626102069</v>
      </c>
      <c r="H97" s="32" t="n">
        <f aca="false">Data_Prices!H97/Data_Prices!H96-1</f>
        <v>0.0355843879612889</v>
      </c>
      <c r="I97" s="32" t="n">
        <f aca="false">Data_Prices!I97/Data_Prices!I96-1</f>
        <v>0.00357819406440751</v>
      </c>
      <c r="J97" s="32" t="n">
        <f aca="false">Data_Prices!J97/Data_Prices!J96-1</f>
        <v>0.0305097528367213</v>
      </c>
      <c r="K97" s="32" t="n">
        <f aca="false">Data_Prices!K97/Data_Prices!K96-1</f>
        <v>0.000458583147918468</v>
      </c>
      <c r="L97" s="32" t="n">
        <f aca="false">Data_Prices!L97/Data_Prices!L96-1</f>
        <v>0.0295067197237029</v>
      </c>
      <c r="M97" s="32" t="n">
        <f aca="false">Data_Prices!M97/Data_Prices!M96-1</f>
        <v>0.0186303260307057</v>
      </c>
      <c r="N97" s="32" t="n">
        <f aca="false">Data_Prices!N97/Data_Prices!N96-1</f>
        <v>0.0249165395414648</v>
      </c>
      <c r="O97" s="32" t="n">
        <f aca="false">Data_Prices!O97/Data_Prices!O96-1</f>
        <v>-0.0150169204737733</v>
      </c>
      <c r="P97" s="32" t="n">
        <f aca="false">Data_Prices!P97/Data_Prices!P96-1</f>
        <v>-0.00426089806620777</v>
      </c>
      <c r="Q97" s="32" t="n">
        <f aca="false">Data_Prices!Q97/Data_Prices!Q96-1</f>
        <v>-0.0203286464509571</v>
      </c>
      <c r="R97" s="32" t="n">
        <f aca="false">Data_Prices!R97/Data_Prices!R96-1</f>
        <v>0.0027631409844493</v>
      </c>
      <c r="S97" s="32" t="n">
        <f aca="false">Data_Prices!S97/Data_Prices!S96-1</f>
        <v>-0.016373173473211</v>
      </c>
      <c r="T97" s="32" t="n">
        <f aca="false">AVERAGE(D97:S97)</f>
        <v>0.00513149206931561</v>
      </c>
      <c r="U97" s="32" t="n">
        <f aca="false">AVERAGE(J97:S97)</f>
        <v>0.00508054238008132</v>
      </c>
      <c r="V97" s="32" t="n">
        <f aca="false">AVERAGE(D97:I97)</f>
        <v>0.00521640821803943</v>
      </c>
      <c r="W97" s="32" t="n">
        <f aca="false">AVERAGE(K97,Q97,R97)</f>
        <v>-0.00570230743952978</v>
      </c>
      <c r="X97" s="32" t="n">
        <f aca="false">AVERAGE(K97,L97,N97,O97,P97,Q97,R97,S97)</f>
        <v>0.000208168116673277</v>
      </c>
      <c r="Y97" s="32" t="n">
        <f aca="false">AVERAGE(J97,L97,M97,N97,O97,P97,Q97,R97,S97)</f>
        <v>0.00559409340587719</v>
      </c>
      <c r="Z97" s="32" t="n">
        <f aca="false">U97-V97</f>
        <v>-0.000135865837958105</v>
      </c>
      <c r="AA97" s="32" t="n">
        <f aca="false">W97-V97</f>
        <v>-0.0109187156575692</v>
      </c>
    </row>
    <row r="98" customFormat="false" ht="15" hidden="false" customHeight="false" outlineLevel="0" collapsed="false">
      <c r="A98" s="28" t="n">
        <f aca="false">Data_Prices!A98</f>
        <v>44939</v>
      </c>
      <c r="B98" s="32" t="n">
        <f aca="false">Data_Prices!B98/Data_Prices!B97-1</f>
        <v>0.00551007380363067</v>
      </c>
      <c r="C98" s="32" t="n">
        <f aca="false">Data_Prices!C98/Data_Prices!C97-1</f>
        <v>0.00435220817298876</v>
      </c>
      <c r="D98" s="32" t="n">
        <f aca="false">Data_Prices!D98/Data_Prices!D97-1</f>
        <v>-0.00590631921467832</v>
      </c>
      <c r="E98" s="32" t="n">
        <f aca="false">Data_Prices!E98/Data_Prices!E97-1</f>
        <v>0.00365263446260622</v>
      </c>
      <c r="F98" s="32" t="n">
        <f aca="false">Data_Prices!F98/Data_Prices!F97-1</f>
        <v>0.00292895579320218</v>
      </c>
      <c r="G98" s="32" t="n">
        <f aca="false">Data_Prices!G98/Data_Prices!G97-1</f>
        <v>0.00687242284143452</v>
      </c>
      <c r="H98" s="32" t="n">
        <f aca="false">Data_Prices!H98/Data_Prices!H97-1</f>
        <v>-0.0129189944134078</v>
      </c>
      <c r="I98" s="32" t="n">
        <f aca="false">Data_Prices!I98/Data_Prices!I97-1</f>
        <v>-0.00692114093959739</v>
      </c>
      <c r="J98" s="32" t="n">
        <f aca="false">Data_Prices!J98/Data_Prices!J97-1</f>
        <v>0.00412494594324886</v>
      </c>
      <c r="K98" s="32" t="n">
        <f aca="false">Data_Prices!K98/Data_Prices!K97-1</f>
        <v>0.0134625831862014</v>
      </c>
      <c r="L98" s="32" t="n">
        <f aca="false">Data_Prices!L98/Data_Prices!L97-1</f>
        <v>0.038068844807468</v>
      </c>
      <c r="M98" s="32" t="n">
        <f aca="false">Data_Prices!M98/Data_Prices!M97-1</f>
        <v>-0.0023708721422524</v>
      </c>
      <c r="N98" s="32" t="n">
        <f aca="false">Data_Prices!N98/Data_Prices!N97-1</f>
        <v>-0.00114327624142541</v>
      </c>
      <c r="O98" s="32" t="n">
        <f aca="false">Data_Prices!O98/Data_Prices!O97-1</f>
        <v>0.00944814258106086</v>
      </c>
      <c r="P98" s="32" t="n">
        <f aca="false">Data_Prices!P98/Data_Prices!P97-1</f>
        <v>-0.000611304429605775</v>
      </c>
      <c r="Q98" s="32" t="n">
        <f aca="false">Data_Prices!Q98/Data_Prices!Q97-1</f>
        <v>-0.00380425384748384</v>
      </c>
      <c r="R98" s="32" t="n">
        <f aca="false">Data_Prices!R98/Data_Prices!R97-1</f>
        <v>0.0090996475488625</v>
      </c>
      <c r="S98" s="32" t="n">
        <f aca="false">Data_Prices!S98/Data_Prices!S97-1</f>
        <v>-0.0224355311773892</v>
      </c>
      <c r="T98" s="32" t="n">
        <f aca="false">AVERAGE(D98:S98)</f>
        <v>0.00197165529739028</v>
      </c>
      <c r="U98" s="32" t="n">
        <f aca="false">AVERAGE(J98:S98)</f>
        <v>0.0043838926228685</v>
      </c>
      <c r="V98" s="32" t="n">
        <f aca="false">AVERAGE(D98:I98)</f>
        <v>-0.00204874024507344</v>
      </c>
      <c r="W98" s="32" t="n">
        <f aca="false">AVERAGE(K98,Q98,R98)</f>
        <v>0.00625265896252669</v>
      </c>
      <c r="X98" s="32" t="n">
        <f aca="false">AVERAGE(K98,L98,N98,O98,P98,Q98,R98,S98)</f>
        <v>0.00526060655346107</v>
      </c>
      <c r="Y98" s="32" t="n">
        <f aca="false">AVERAGE(J98,L98,M98,N98,O98,P98,Q98,R98,S98)</f>
        <v>0.00337514922694262</v>
      </c>
      <c r="Z98" s="32" t="n">
        <f aca="false">U98-V98</f>
        <v>0.00643263286794194</v>
      </c>
      <c r="AA98" s="32" t="n">
        <f aca="false">W98-V98</f>
        <v>0.00830139920760013</v>
      </c>
    </row>
    <row r="99" customFormat="false" ht="15" hidden="false" customHeight="false" outlineLevel="0" collapsed="false">
      <c r="A99" s="28" t="n">
        <f aca="false">Data_Prices!A99</f>
        <v>44942</v>
      </c>
      <c r="B99" s="32" t="n">
        <f aca="false">Data_Prices!B99/Data_Prices!B98-1</f>
        <v>-0.00343884699776131</v>
      </c>
      <c r="C99" s="32" t="n">
        <f aca="false">Data_Prices!C99/Data_Prices!C98-1</f>
        <v>-0.00264888147477205</v>
      </c>
      <c r="D99" s="32" t="n">
        <f aca="false">Data_Prices!D99/Data_Prices!D98-1</f>
        <v>0.0285242745151972</v>
      </c>
      <c r="E99" s="32" t="n">
        <f aca="false">Data_Prices!E99/Data_Prices!E98-1</f>
        <v>-0.0121008097534346</v>
      </c>
      <c r="F99" s="32" t="n">
        <f aca="false">Data_Prices!F99/Data_Prices!F98-1</f>
        <v>0.00156207552295573</v>
      </c>
      <c r="G99" s="32" t="n">
        <f aca="false">Data_Prices!G99/Data_Prices!G98-1</f>
        <v>-0.0182427401340282</v>
      </c>
      <c r="H99" s="32" t="n">
        <f aca="false">Data_Prices!H99/Data_Prices!H98-1</f>
        <v>-0.0205164485320126</v>
      </c>
      <c r="I99" s="32" t="n">
        <f aca="false">Data_Prices!I99/Data_Prices!I98-1</f>
        <v>-0.0234424498416052</v>
      </c>
      <c r="J99" s="32" t="n">
        <f aca="false">Data_Prices!J99/Data_Prices!J98-1</f>
        <v>-0.0193804869968527</v>
      </c>
      <c r="K99" s="32" t="n">
        <f aca="false">Data_Prices!K99/Data_Prices!K98-1</f>
        <v>0.00552791597567714</v>
      </c>
      <c r="L99" s="32" t="n">
        <f aca="false">Data_Prices!L99/Data_Prices!L98-1</f>
        <v>-0.0286637628214137</v>
      </c>
      <c r="M99" s="32" t="n">
        <f aca="false">Data_Prices!M99/Data_Prices!M98-1</f>
        <v>-0.0126747015220958</v>
      </c>
      <c r="N99" s="32" t="n">
        <f aca="false">Data_Prices!N99/Data_Prices!N98-1</f>
        <v>-0.00902710290465392</v>
      </c>
      <c r="O99" s="32" t="n">
        <f aca="false">Data_Prices!O99/Data_Prices!O98-1</f>
        <v>-0.0127632418634334</v>
      </c>
      <c r="P99" s="32" t="n">
        <f aca="false">Data_Prices!P99/Data_Prices!P98-1</f>
        <v>-0.000611678351291722</v>
      </c>
      <c r="Q99" s="32" t="n">
        <f aca="false">Data_Prices!Q99/Data_Prices!Q98-1</f>
        <v>-0.00121506682867567</v>
      </c>
      <c r="R99" s="32" t="n">
        <f aca="false">Data_Prices!R99/Data_Prices!R98-1</f>
        <v>-0.0159395440401348</v>
      </c>
      <c r="S99" s="32" t="n">
        <f aca="false">Data_Prices!S99/Data_Prices!S98-1</f>
        <v>-0.00818266832917702</v>
      </c>
      <c r="T99" s="32" t="n">
        <f aca="false">AVERAGE(D99:S99)</f>
        <v>-0.00919665224406119</v>
      </c>
      <c r="U99" s="32" t="n">
        <f aca="false">AVERAGE(J99:S99)</f>
        <v>-0.0102930337682052</v>
      </c>
      <c r="V99" s="32" t="n">
        <f aca="false">AVERAGE(D99:I99)</f>
        <v>-0.00736934970382127</v>
      </c>
      <c r="W99" s="32" t="n">
        <f aca="false">AVERAGE(K99,Q99,R99)</f>
        <v>-0.00387556496437776</v>
      </c>
      <c r="X99" s="32" t="n">
        <f aca="false">AVERAGE(K99,L99,N99,O99,P99,Q99,R99,S99)</f>
        <v>-0.00885939364538788</v>
      </c>
      <c r="Y99" s="32" t="n">
        <f aca="false">AVERAGE(J99,L99,M99,N99,O99,P99,Q99,R99,S99)</f>
        <v>-0.012050917073081</v>
      </c>
      <c r="Z99" s="32" t="n">
        <f aca="false">U99-V99</f>
        <v>-0.00292368406438388</v>
      </c>
      <c r="AA99" s="32" t="n">
        <f aca="false">W99-V99</f>
        <v>0.00349378473944351</v>
      </c>
    </row>
    <row r="100" customFormat="false" ht="15" hidden="false" customHeight="false" outlineLevel="0" collapsed="false">
      <c r="A100" s="28" t="n">
        <f aca="false">Data_Prices!A100</f>
        <v>44943</v>
      </c>
      <c r="B100" s="32" t="n">
        <f aca="false">Data_Prices!B100/Data_Prices!B99-1</f>
        <v>0.00885450283182032</v>
      </c>
      <c r="C100" s="32" t="n">
        <f aca="false">Data_Prices!C100/Data_Prices!C99-1</f>
        <v>0.0059259936819891</v>
      </c>
      <c r="D100" s="32" t="n">
        <f aca="false">Data_Prices!D100/Data_Prices!D99-1</f>
        <v>0.000668592212237806</v>
      </c>
      <c r="E100" s="32" t="n">
        <f aca="false">Data_Prices!E100/Data_Prices!E99-1</f>
        <v>-0.0310370233928901</v>
      </c>
      <c r="F100" s="32" t="n">
        <f aca="false">Data_Prices!F100/Data_Prices!F99-1</f>
        <v>-0.0104428019258155</v>
      </c>
      <c r="G100" s="32" t="n">
        <f aca="false">Data_Prices!G100/Data_Prices!G99-1</f>
        <v>-0.00480343825053731</v>
      </c>
      <c r="H100" s="32" t="n">
        <f aca="false">Data_Prices!H100/Data_Prices!H99-1</f>
        <v>-0.0398529942854715</v>
      </c>
      <c r="I100" s="32" t="n">
        <f aca="false">Data_Prices!I100/Data_Prices!I99-1</f>
        <v>-0.0160034602076125</v>
      </c>
      <c r="J100" s="32" t="n">
        <f aca="false">Data_Prices!J100/Data_Prices!J99-1</f>
        <v>-0.0100675675675677</v>
      </c>
      <c r="K100" s="32" t="n">
        <f aca="false">Data_Prices!K100/Data_Prices!K99-1</f>
        <v>-0.00431472504039854</v>
      </c>
      <c r="L100" s="32" t="n">
        <f aca="false">Data_Prices!L100/Data_Prices!L99-1</f>
        <v>-0.0143208447851872</v>
      </c>
      <c r="M100" s="32" t="n">
        <f aca="false">Data_Prices!M100/Data_Prices!M99-1</f>
        <v>0.0106023267809043</v>
      </c>
      <c r="N100" s="32" t="n">
        <f aca="false">Data_Prices!N100/Data_Prices!N99-1</f>
        <v>0.0896550221195545</v>
      </c>
      <c r="O100" s="32" t="n">
        <f aca="false">Data_Prices!O100/Data_Prices!O99-1</f>
        <v>-0.00883430295195009</v>
      </c>
      <c r="P100" s="32" t="n">
        <f aca="false">Data_Prices!P100/Data_Prices!P99-1</f>
        <v>-0.00706214689265539</v>
      </c>
      <c r="Q100" s="32" t="n">
        <f aca="false">Data_Prices!Q100/Data_Prices!Q99-1</f>
        <v>0.0205074730622177</v>
      </c>
      <c r="R100" s="32" t="n">
        <f aca="false">Data_Prices!R100/Data_Prices!R99-1</f>
        <v>-0.0109705730511099</v>
      </c>
      <c r="S100" s="32" t="n">
        <f aca="false">Data_Prices!S100/Data_Prices!S99-1</f>
        <v>-0.000825017678950157</v>
      </c>
      <c r="T100" s="32" t="n">
        <f aca="false">AVERAGE(D100:S100)</f>
        <v>-0.00231884261595197</v>
      </c>
      <c r="U100" s="32" t="n">
        <f aca="false">AVERAGE(J100:S100)</f>
        <v>0.00643696439948575</v>
      </c>
      <c r="V100" s="32" t="n">
        <f aca="false">AVERAGE(D100:I100)</f>
        <v>-0.0169118543083482</v>
      </c>
      <c r="W100" s="32" t="n">
        <f aca="false">AVERAGE(K100,Q100,R100)</f>
        <v>0.0017407249902364</v>
      </c>
      <c r="X100" s="32" t="n">
        <f aca="false">AVERAGE(K100,L100,N100,O100,P100,Q100,R100,S100)</f>
        <v>0.0079793605976901</v>
      </c>
      <c r="Y100" s="32" t="n">
        <f aca="false">AVERAGE(J100,L100,M100,N100,O100,P100,Q100,R100,S100)</f>
        <v>0.00763159655947289</v>
      </c>
      <c r="Z100" s="32" t="n">
        <f aca="false">U100-V100</f>
        <v>0.0233488187078339</v>
      </c>
      <c r="AA100" s="32" t="n">
        <f aca="false">W100-V100</f>
        <v>0.0186525792985846</v>
      </c>
    </row>
    <row r="101" customFormat="false" ht="15" hidden="false" customHeight="false" outlineLevel="0" collapsed="false">
      <c r="A101" s="28" t="n">
        <f aca="false">Data_Prices!A101</f>
        <v>44944</v>
      </c>
      <c r="B101" s="32" t="n">
        <f aca="false">Data_Prices!B101/Data_Prices!B100-1</f>
        <v>0.00620662150410167</v>
      </c>
      <c r="C101" s="32" t="n">
        <f aca="false">Data_Prices!C101/Data_Prices!C100-1</f>
        <v>0.00455958145380508</v>
      </c>
      <c r="D101" s="32" t="n">
        <f aca="false">Data_Prices!D101/Data_Prices!D100-1</f>
        <v>-0.0279017558863617</v>
      </c>
      <c r="E101" s="32" t="n">
        <f aca="false">Data_Prices!E101/Data_Prices!E100-1</f>
        <v>0.0141621518867028</v>
      </c>
      <c r="F101" s="32" t="n">
        <f aca="false">Data_Prices!F101/Data_Prices!F100-1</f>
        <v>0</v>
      </c>
      <c r="G101" s="32" t="n">
        <f aca="false">Data_Prices!G101/Data_Prices!G100-1</f>
        <v>0.00698590118125231</v>
      </c>
      <c r="H101" s="32" t="n">
        <f aca="false">Data_Prices!H101/Data_Prices!H100-1</f>
        <v>0.0110848065137066</v>
      </c>
      <c r="I101" s="32" t="n">
        <f aca="false">Data_Prices!I101/Data_Prices!I100-1</f>
        <v>0.023076923076923</v>
      </c>
      <c r="J101" s="32" t="n">
        <f aca="false">Data_Prices!J101/Data_Prices!J100-1</f>
        <v>-0.015903351307078</v>
      </c>
      <c r="K101" s="32" t="n">
        <f aca="false">Data_Prices!K101/Data_Prices!K100-1</f>
        <v>0.00229219649310664</v>
      </c>
      <c r="L101" s="32" t="n">
        <f aca="false">Data_Prices!L101/Data_Prices!L100-1</f>
        <v>0.0157029644848841</v>
      </c>
      <c r="M101" s="32" t="n">
        <f aca="false">Data_Prices!M101/Data_Prices!M100-1</f>
        <v>0.0148009527050017</v>
      </c>
      <c r="N101" s="32" t="n">
        <f aca="false">Data_Prices!N101/Data_Prices!N100-1</f>
        <v>-0.012339753204936</v>
      </c>
      <c r="O101" s="32" t="n">
        <f aca="false">Data_Prices!O101/Data_Prices!O100-1</f>
        <v>0.00934782608695661</v>
      </c>
      <c r="P101" s="32" t="n">
        <f aca="false">Data_Prices!P101/Data_Prices!P100-1</f>
        <v>4.74158368894972E-005</v>
      </c>
      <c r="Q101" s="32" t="n">
        <f aca="false">Data_Prices!Q101/Data_Prices!Q100-1</f>
        <v>0.0263964577656677</v>
      </c>
      <c r="R101" s="32" t="n">
        <f aca="false">Data_Prices!R101/Data_Prices!R100-1</f>
        <v>-0.00156596633172379</v>
      </c>
      <c r="S101" s="32" t="n">
        <f aca="false">Data_Prices!S101/Data_Prices!S100-1</f>
        <v>0.00971179176660253</v>
      </c>
      <c r="T101" s="32" t="n">
        <f aca="false">AVERAGE(D101:S101)</f>
        <v>0.00474366006672462</v>
      </c>
      <c r="U101" s="32" t="n">
        <f aca="false">AVERAGE(J101:S101)</f>
        <v>0.0048490534295371</v>
      </c>
      <c r="V101" s="32" t="n">
        <f aca="false">AVERAGE(D101:I101)</f>
        <v>0.00456800446203716</v>
      </c>
      <c r="W101" s="32" t="n">
        <f aca="false">AVERAGE(K101,Q101,R101)</f>
        <v>0.00904089597568351</v>
      </c>
      <c r="X101" s="32" t="n">
        <f aca="false">AVERAGE(K101,L101,N101,O101,P101,Q101,R101,S101)</f>
        <v>0.00619911661218091</v>
      </c>
      <c r="Y101" s="32" t="n">
        <f aca="false">AVERAGE(J101,L101,M101,N101,O101,P101,Q101,R101,S101)</f>
        <v>0.00513314864469604</v>
      </c>
      <c r="Z101" s="32" t="n">
        <f aca="false">U101-V101</f>
        <v>0.000281048967499934</v>
      </c>
      <c r="AA101" s="32" t="n">
        <f aca="false">W101-V101</f>
        <v>0.00447289151364635</v>
      </c>
    </row>
    <row r="102" customFormat="false" ht="15" hidden="false" customHeight="false" outlineLevel="0" collapsed="false">
      <c r="A102" s="28" t="n">
        <f aca="false">Data_Prices!A102</f>
        <v>44945</v>
      </c>
      <c r="B102" s="32" t="n">
        <f aca="false">Data_Prices!B102/Data_Prices!B101-1</f>
        <v>-0.00316536703118853</v>
      </c>
      <c r="C102" s="32" t="n">
        <f aca="false">Data_Prices!C102/Data_Prices!C101-1</f>
        <v>-0.0030162255477213</v>
      </c>
      <c r="D102" s="32" t="n">
        <f aca="false">Data_Prices!D102/Data_Prices!D101-1</f>
        <v>0.0111071399114726</v>
      </c>
      <c r="E102" s="32" t="n">
        <f aca="false">Data_Prices!E102/Data_Prices!E101-1</f>
        <v>-0.00590440487347699</v>
      </c>
      <c r="F102" s="32" t="n">
        <f aca="false">Data_Prices!F102/Data_Prices!F101-1</f>
        <v>0.00294661824162268</v>
      </c>
      <c r="G102" s="32" t="n">
        <f aca="false">Data_Prices!G102/Data_Prices!G101-1</f>
        <v>-0.0119828456104945</v>
      </c>
      <c r="H102" s="32" t="n">
        <f aca="false">Data_Prices!H102/Data_Prices!H101-1</f>
        <v>-0.0163026828307585</v>
      </c>
      <c r="I102" s="32" t="n">
        <f aca="false">Data_Prices!I102/Data_Prices!I101-1</f>
        <v>0.00816326530612255</v>
      </c>
      <c r="J102" s="32" t="n">
        <f aca="false">Data_Prices!J102/Data_Prices!J101-1</f>
        <v>0.0147732001664587</v>
      </c>
      <c r="K102" s="32" t="n">
        <f aca="false">Data_Prices!K102/Data_Prices!K101-1</f>
        <v>0.0023036474417828</v>
      </c>
      <c r="L102" s="32" t="n">
        <f aca="false">Data_Prices!L102/Data_Prices!L101-1</f>
        <v>0.0132206328565236</v>
      </c>
      <c r="M102" s="32" t="n">
        <f aca="false">Data_Prices!M102/Data_Prices!M101-1</f>
        <v>0.0183850237496508</v>
      </c>
      <c r="N102" s="32" t="n">
        <f aca="false">Data_Prices!N102/Data_Prices!N101-1</f>
        <v>-0.0116029483233435</v>
      </c>
      <c r="O102" s="32" t="n">
        <f aca="false">Data_Prices!O102/Data_Prices!O101-1</f>
        <v>0.0109842774068489</v>
      </c>
      <c r="P102" s="32" t="n">
        <f aca="false">Data_Prices!P102/Data_Prices!P101-1</f>
        <v>-0.0039827414537007</v>
      </c>
      <c r="Q102" s="32" t="n">
        <f aca="false">Data_Prices!Q102/Data_Prices!Q101-1</f>
        <v>-0.00813008130081316</v>
      </c>
      <c r="R102" s="32" t="n">
        <f aca="false">Data_Prices!R102/Data_Prices!R101-1</f>
        <v>0.00529342569598734</v>
      </c>
      <c r="S102" s="32" t="n">
        <f aca="false">Data_Prices!S102/Data_Prices!S101-1</f>
        <v>0.00841121495327091</v>
      </c>
      <c r="T102" s="32" t="n">
        <f aca="false">AVERAGE(D102:S102)</f>
        <v>0.0023551713335721</v>
      </c>
      <c r="U102" s="32" t="n">
        <f aca="false">AVERAGE(J102:S102)</f>
        <v>0.00496556511926657</v>
      </c>
      <c r="V102" s="32" t="n">
        <f aca="false">AVERAGE(D102:I102)</f>
        <v>-0.00199548497591869</v>
      </c>
      <c r="W102" s="32" t="n">
        <f aca="false">AVERAGE(K102,Q102,R102)</f>
        <v>-0.000177669387681008</v>
      </c>
      <c r="X102" s="32" t="n">
        <f aca="false">AVERAGE(K102,L102,N102,O102,P102,Q102,R102,S102)</f>
        <v>0.00206217840956953</v>
      </c>
      <c r="Y102" s="32" t="n">
        <f aca="false">AVERAGE(J102,L102,M102,N102,O102,P102,Q102,R102,S102)</f>
        <v>0.0052613337500981</v>
      </c>
      <c r="Z102" s="32" t="n">
        <f aca="false">U102-V102</f>
        <v>0.00696105009518526</v>
      </c>
      <c r="AA102" s="32" t="n">
        <f aca="false">W102-V102</f>
        <v>0.00181781558823768</v>
      </c>
    </row>
    <row r="103" customFormat="false" ht="15" hidden="false" customHeight="false" outlineLevel="0" collapsed="false">
      <c r="A103" s="28" t="n">
        <f aca="false">Data_Prices!A103</f>
        <v>44946</v>
      </c>
      <c r="B103" s="32" t="n">
        <f aca="false">Data_Prices!B103/Data_Prices!B102-1</f>
        <v>-0.00442901835391818</v>
      </c>
      <c r="C103" s="32" t="n">
        <f aca="false">Data_Prices!C103/Data_Prices!C102-1</f>
        <v>-0.00465638112284938</v>
      </c>
      <c r="D103" s="32" t="n">
        <f aca="false">Data_Prices!D103/Data_Prices!D102-1</f>
        <v>-0.00946243576148131</v>
      </c>
      <c r="E103" s="32" t="n">
        <f aca="false">Data_Prices!E103/Data_Prices!E102-1</f>
        <v>-0.017441312340907</v>
      </c>
      <c r="F103" s="32" t="n">
        <f aca="false">Data_Prices!F103/Data_Prices!F102-1</f>
        <v>0.00778901339163718</v>
      </c>
      <c r="G103" s="32" t="n">
        <f aca="false">Data_Prices!G103/Data_Prices!G102-1</f>
        <v>-0.00548959530192772</v>
      </c>
      <c r="H103" s="32" t="n">
        <f aca="false">Data_Prices!H103/Data_Prices!H102-1</f>
        <v>-0.00894267345894595</v>
      </c>
      <c r="I103" s="32" t="n">
        <f aca="false">Data_Prices!I103/Data_Prices!I102-1</f>
        <v>0.00596633283613901</v>
      </c>
      <c r="J103" s="32" t="n">
        <f aca="false">Data_Prices!J103/Data_Prices!J102-1</f>
        <v>0.0274759073200739</v>
      </c>
      <c r="K103" s="32" t="n">
        <f aca="false">Data_Prices!K103/Data_Prices!K102-1</f>
        <v>-0.0252985360491647</v>
      </c>
      <c r="L103" s="32" t="n">
        <f aca="false">Data_Prices!L103/Data_Prices!L102-1</f>
        <v>0.00713012477718356</v>
      </c>
      <c r="M103" s="32" t="n">
        <f aca="false">Data_Prices!M103/Data_Prices!M102-1</f>
        <v>0.00378621597892881</v>
      </c>
      <c r="N103" s="32" t="n">
        <f aca="false">Data_Prices!N103/Data_Prices!N102-1</f>
        <v>-0.0222900575689906</v>
      </c>
      <c r="O103" s="32" t="n">
        <f aca="false">Data_Prices!O103/Data_Prices!O102-1</f>
        <v>-0.000852151682999569</v>
      </c>
      <c r="P103" s="32" t="n">
        <f aca="false">Data_Prices!P103/Data_Prices!P102-1</f>
        <v>0.00199933355548154</v>
      </c>
      <c r="Q103" s="32" t="n">
        <f aca="false">Data_Prices!Q103/Data_Prices!Q102-1</f>
        <v>-0.0235864837738372</v>
      </c>
      <c r="R103" s="32" t="n">
        <f aca="false">Data_Prices!R103/Data_Prices!R102-1</f>
        <v>-0.0217122797893778</v>
      </c>
      <c r="S103" s="32" t="n">
        <f aca="false">Data_Prices!S103/Data_Prices!S102-1</f>
        <v>-0.0135156008649984</v>
      </c>
      <c r="T103" s="32" t="n">
        <f aca="false">AVERAGE(D103:S103)</f>
        <v>-0.00590276242082414</v>
      </c>
      <c r="U103" s="32" t="n">
        <f aca="false">AVERAGE(J103:S103)</f>
        <v>-0.00668635280977005</v>
      </c>
      <c r="V103" s="32" t="n">
        <f aca="false">AVERAGE(D103:I103)</f>
        <v>-0.00459677843924762</v>
      </c>
      <c r="W103" s="32" t="n">
        <f aca="false">AVERAGE(K103,Q103,R103)</f>
        <v>-0.0235324332041266</v>
      </c>
      <c r="X103" s="32" t="n">
        <f aca="false">AVERAGE(K103,L103,N103,O103,P103,Q103,R103,S103)</f>
        <v>-0.0122657064245879</v>
      </c>
      <c r="Y103" s="32" t="n">
        <f aca="false">AVERAGE(J103,L103,M103,N103,O103,P103,Q103,R103,S103)</f>
        <v>-0.00461833244983731</v>
      </c>
      <c r="Z103" s="32" t="n">
        <f aca="false">U103-V103</f>
        <v>-0.00208957437052242</v>
      </c>
      <c r="AA103" s="32" t="n">
        <f aca="false">W103-V103</f>
        <v>-0.0189356547648789</v>
      </c>
    </row>
    <row r="104" customFormat="false" ht="15" hidden="false" customHeight="false" outlineLevel="0" collapsed="false">
      <c r="A104" s="28" t="n">
        <f aca="false">Data_Prices!A104</f>
        <v>44949</v>
      </c>
      <c r="B104" s="32" t="n">
        <f aca="false">Data_Prices!B104/Data_Prices!B103-1</f>
        <v>0.00504225453678098</v>
      </c>
      <c r="C104" s="32" t="n">
        <f aca="false">Data_Prices!C104/Data_Prices!C103-1</f>
        <v>0.0036030987952751</v>
      </c>
      <c r="D104" s="32" t="n">
        <f aca="false">Data_Prices!D104/Data_Prices!D103-1</f>
        <v>0.0206977957122074</v>
      </c>
      <c r="E104" s="32" t="n">
        <f aca="false">Data_Prices!E104/Data_Prices!E103-1</f>
        <v>0.0590097869890616</v>
      </c>
      <c r="F104" s="32" t="n">
        <f aca="false">Data_Prices!F104/Data_Prices!F103-1</f>
        <v>0.0216949152542374</v>
      </c>
      <c r="G104" s="32" t="n">
        <f aca="false">Data_Prices!G104/Data_Prices!G103-1</f>
        <v>0.0102695763799743</v>
      </c>
      <c r="H104" s="32" t="n">
        <f aca="false">Data_Prices!H104/Data_Prices!H103-1</f>
        <v>-0.0131983569392382</v>
      </c>
      <c r="I104" s="32" t="n">
        <f aca="false">Data_Prices!I104/Data_Prices!I103-1</f>
        <v>-0.00910823977970776</v>
      </c>
      <c r="J104" s="32" t="n">
        <f aca="false">Data_Prices!J104/Data_Prices!J103-1</f>
        <v>-3.32601609791539E-005</v>
      </c>
      <c r="K104" s="32" t="n">
        <f aca="false">Data_Prices!K104/Data_Prices!K103-1</f>
        <v>0.000444262183036059</v>
      </c>
      <c r="L104" s="32" t="n">
        <f aca="false">Data_Prices!L104/Data_Prices!L103-1</f>
        <v>0.00927433628318575</v>
      </c>
      <c r="M104" s="32" t="n">
        <f aca="false">Data_Prices!M104/Data_Prices!M103-1</f>
        <v>-0.0175476958399388</v>
      </c>
      <c r="N104" s="32" t="n">
        <f aca="false">Data_Prices!N104/Data_Prices!N103-1</f>
        <v>-0.0281834754730425</v>
      </c>
      <c r="O104" s="32" t="n">
        <f aca="false">Data_Prices!O104/Data_Prices!O103-1</f>
        <v>0.00788912579957346</v>
      </c>
      <c r="P104" s="32" t="n">
        <f aca="false">Data_Prices!P104/Data_Prices!P103-1</f>
        <v>0.00650862273742203</v>
      </c>
      <c r="Q104" s="32" t="n">
        <f aca="false">Data_Prices!Q104/Data_Prices!Q103-1</f>
        <v>-0.00359773856433099</v>
      </c>
      <c r="R104" s="32" t="n">
        <f aca="false">Data_Prices!R104/Data_Prices!R103-1</f>
        <v>0.0195361818061</v>
      </c>
      <c r="S104" s="32" t="n">
        <f aca="false">Data_Prices!S104/Data_Prices!S103-1</f>
        <v>0.00571518045878028</v>
      </c>
      <c r="T104" s="32" t="n">
        <f aca="false">AVERAGE(D104:S104)</f>
        <v>0.0055856885528963</v>
      </c>
      <c r="U104" s="32" t="n">
        <f aca="false">AVERAGE(J104:S104)</f>
        <v>5.53922980617294E-007</v>
      </c>
      <c r="V104" s="32" t="n">
        <f aca="false">AVERAGE(D104:I104)</f>
        <v>0.0148942462694224</v>
      </c>
      <c r="W104" s="32" t="n">
        <f aca="false">AVERAGE(K104,Q104,R104)</f>
        <v>0.00546090180826834</v>
      </c>
      <c r="X104" s="32" t="n">
        <f aca="false">AVERAGE(K104,L104,N104,O104,P104,Q104,R104,S104)</f>
        <v>0.00219831190384051</v>
      </c>
      <c r="Y104" s="32" t="n">
        <f aca="false">AVERAGE(J104,L104,M104,N104,O104,P104,Q104,R104,S104)</f>
        <v>-4.87469948033207E-005</v>
      </c>
      <c r="Z104" s="32" t="n">
        <f aca="false">U104-V104</f>
        <v>-0.0148936923464418</v>
      </c>
      <c r="AA104" s="32" t="n">
        <f aca="false">W104-V104</f>
        <v>-0.00943334446115411</v>
      </c>
    </row>
    <row r="105" customFormat="false" ht="15" hidden="false" customHeight="false" outlineLevel="0" collapsed="false">
      <c r="A105" s="28" t="n">
        <f aca="false">Data_Prices!A105</f>
        <v>44950</v>
      </c>
      <c r="B105" s="32" t="n">
        <f aca="false">Data_Prices!B105/Data_Prices!B104-1</f>
        <v>-1.37980136379889E-005</v>
      </c>
      <c r="C105" s="32" t="n">
        <f aca="false">Data_Prices!C105/Data_Prices!C104-1</f>
        <v>-0.000951101069907701</v>
      </c>
      <c r="D105" s="32" t="n">
        <f aca="false">Data_Prices!D105/Data_Prices!D104-1</f>
        <v>-0.0212731624667187</v>
      </c>
      <c r="E105" s="32" t="n">
        <f aca="false">Data_Prices!E105/Data_Prices!E104-1</f>
        <v>0.0212920177584488</v>
      </c>
      <c r="F105" s="32" t="n">
        <f aca="false">Data_Prices!F105/Data_Prices!F104-1</f>
        <v>0.00238885202388839</v>
      </c>
      <c r="G105" s="32" t="n">
        <f aca="false">Data_Prices!G105/Data_Prices!G104-1</f>
        <v>0.00266836086404076</v>
      </c>
      <c r="H105" s="32" t="n">
        <f aca="false">Data_Prices!H105/Data_Prices!H104-1</f>
        <v>0.0482223688101358</v>
      </c>
      <c r="I105" s="32" t="n">
        <f aca="false">Data_Prices!I105/Data_Prices!I104-1</f>
        <v>0.0136810602821718</v>
      </c>
      <c r="J105" s="32" t="n">
        <f aca="false">Data_Prices!J105/Data_Prices!J104-1</f>
        <v>0.0146682188591385</v>
      </c>
      <c r="K105" s="32" t="n">
        <f aca="false">Data_Prices!K105/Data_Prices!K104-1</f>
        <v>-0.00134927412467967</v>
      </c>
      <c r="L105" s="32" t="n">
        <f aca="false">Data_Prices!L105/Data_Prices!L104-1</f>
        <v>0.0178170594837261</v>
      </c>
      <c r="M105" s="32" t="n">
        <f aca="false">Data_Prices!M105/Data_Prices!M104-1</f>
        <v>0.00823503227242384</v>
      </c>
      <c r="N105" s="32" t="n">
        <f aca="false">Data_Prices!N105/Data_Prices!N104-1</f>
        <v>-0.0161283367113717</v>
      </c>
      <c r="O105" s="32" t="n">
        <f aca="false">Data_Prices!O105/Data_Prices!O104-1</f>
        <v>-0.00951977998730691</v>
      </c>
      <c r="P105" s="32" t="n">
        <f aca="false">Data_Prices!P105/Data_Prices!P104-1</f>
        <v>-0.000896818653828069</v>
      </c>
      <c r="Q105" s="32" t="n">
        <f aca="false">Data_Prices!Q105/Data_Prices!Q104-1</f>
        <v>0.0398899587345254</v>
      </c>
      <c r="R105" s="32" t="n">
        <f aca="false">Data_Prices!R105/Data_Prices!R104-1</f>
        <v>-0.0288731017402072</v>
      </c>
      <c r="S105" s="32" t="n">
        <f aca="false">Data_Prices!S105/Data_Prices!S104-1</f>
        <v>-0.0150241320255333</v>
      </c>
      <c r="T105" s="32" t="n">
        <f aca="false">AVERAGE(D105:S105)</f>
        <v>0.00473739521117836</v>
      </c>
      <c r="U105" s="32" t="n">
        <f aca="false">AVERAGE(J105:S105)</f>
        <v>0.0008818826106887</v>
      </c>
      <c r="V105" s="32" t="n">
        <f aca="false">AVERAGE(D105:I105)</f>
        <v>0.0111632495453278</v>
      </c>
      <c r="W105" s="32" t="n">
        <f aca="false">AVERAGE(K105,Q105,R105)</f>
        <v>0.00322252762321285</v>
      </c>
      <c r="X105" s="32" t="n">
        <f aca="false">AVERAGE(K105,L105,N105,O105,P105,Q105,R105,S105)</f>
        <v>-0.00176055312808442</v>
      </c>
      <c r="Y105" s="32" t="n">
        <f aca="false">AVERAGE(J105,L105,M105,N105,O105,P105,Q105,R105,S105)</f>
        <v>0.00112978891461852</v>
      </c>
      <c r="Z105" s="32" t="n">
        <f aca="false">U105-V105</f>
        <v>-0.0102813669346391</v>
      </c>
      <c r="AA105" s="32" t="n">
        <f aca="false">W105-V105</f>
        <v>-0.00794072192211494</v>
      </c>
    </row>
    <row r="106" customFormat="false" ht="15" hidden="false" customHeight="false" outlineLevel="0" collapsed="false">
      <c r="A106" s="28" t="n">
        <f aca="false">Data_Prices!A106</f>
        <v>44951</v>
      </c>
      <c r="B106" s="32" t="n">
        <f aca="false">Data_Prices!B106/Data_Prices!B105-1</f>
        <v>-0.0124928939249267</v>
      </c>
      <c r="C106" s="32" t="n">
        <f aca="false">Data_Prices!C106/Data_Prices!C105-1</f>
        <v>-0.0140754002163945</v>
      </c>
      <c r="D106" s="32" t="n">
        <f aca="false">Data_Prices!D106/Data_Prices!D105-1</f>
        <v>0.0451472851176082</v>
      </c>
      <c r="E106" s="32" t="n">
        <f aca="false">Data_Prices!E106/Data_Prices!E105-1</f>
        <v>-0.0121540099361249</v>
      </c>
      <c r="F106" s="32" t="n">
        <f aca="false">Data_Prices!F106/Data_Prices!F105-1</f>
        <v>0.0494505494505495</v>
      </c>
      <c r="G106" s="32" t="n">
        <f aca="false">Data_Prices!G106/Data_Prices!G105-1</f>
        <v>-0.0115321252059308</v>
      </c>
      <c r="H106" s="32" t="n">
        <f aca="false">Data_Prices!H106/Data_Prices!H105-1</f>
        <v>-0.0118481869669943</v>
      </c>
      <c r="I106" s="32" t="n">
        <f aca="false">Data_Prices!I106/Data_Prices!I105-1</f>
        <v>0.00168705187684526</v>
      </c>
      <c r="J106" s="32" t="n">
        <f aca="false">Data_Prices!J106/Data_Prices!J105-1</f>
        <v>0.00930964400445822</v>
      </c>
      <c r="K106" s="32" t="n">
        <f aca="false">Data_Prices!K106/Data_Prices!K105-1</f>
        <v>-0.0101075746951481</v>
      </c>
      <c r="L106" s="32" t="n">
        <f aca="false">Data_Prices!L106/Data_Prices!L105-1</f>
        <v>-0.00978635423845631</v>
      </c>
      <c r="M106" s="32" t="n">
        <f aca="false">Data_Prices!M106/Data_Prices!M105-1</f>
        <v>0</v>
      </c>
      <c r="N106" s="32" t="n">
        <f aca="false">Data_Prices!N106/Data_Prices!N105-1</f>
        <v>0.0154284461976768</v>
      </c>
      <c r="O106" s="32" t="n">
        <f aca="false">Data_Prices!O106/Data_Prices!O105-1</f>
        <v>-0.0190089705254164</v>
      </c>
      <c r="P106" s="32" t="n">
        <f aca="false">Data_Prices!P106/Data_Prices!P105-1</f>
        <v>-0.0172910662824207</v>
      </c>
      <c r="Q106" s="32" t="n">
        <f aca="false">Data_Prices!Q106/Data_Prices!Q105-1</f>
        <v>-0.0112433862433862</v>
      </c>
      <c r="R106" s="32" t="n">
        <f aca="false">Data_Prices!R106/Data_Prices!R105-1</f>
        <v>-0.0401342281879195</v>
      </c>
      <c r="S106" s="32" t="n">
        <f aca="false">Data_Prices!S106/Data_Prices!S105-1</f>
        <v>-0.0087726230933376</v>
      </c>
      <c r="T106" s="32" t="n">
        <f aca="false">AVERAGE(D106:S106)</f>
        <v>-0.0019284717954998</v>
      </c>
      <c r="U106" s="32" t="n">
        <f aca="false">AVERAGE(J106:S106)</f>
        <v>-0.00916061130639497</v>
      </c>
      <c r="V106" s="32" t="n">
        <f aca="false">AVERAGE(D106:I106)</f>
        <v>0.0101250940559922</v>
      </c>
      <c r="W106" s="32" t="n">
        <f aca="false">AVERAGE(K106,Q106,R106)</f>
        <v>-0.0204950630421512</v>
      </c>
      <c r="X106" s="32" t="n">
        <f aca="false">AVERAGE(K106,L106,N106,O106,P106,Q106,R106,S106)</f>
        <v>-0.012614469633551</v>
      </c>
      <c r="Y106" s="32" t="n">
        <f aca="false">AVERAGE(J106,L106,M106,N106,O106,P106,Q106,R106,S106)</f>
        <v>-0.00905539315208907</v>
      </c>
      <c r="Z106" s="32" t="n">
        <f aca="false">U106-V106</f>
        <v>-0.0192857053623871</v>
      </c>
      <c r="AA106" s="32" t="n">
        <f aca="false">W106-V106</f>
        <v>-0.0306201570981434</v>
      </c>
    </row>
    <row r="107" customFormat="false" ht="15" hidden="false" customHeight="false" outlineLevel="0" collapsed="false">
      <c r="A107" s="28" t="n">
        <f aca="false">Data_Prices!A107</f>
        <v>44953</v>
      </c>
      <c r="B107" s="32" t="n">
        <f aca="false">Data_Prices!B107/Data_Prices!B106-1</f>
        <v>-0.0160742680367429</v>
      </c>
      <c r="C107" s="32" t="n">
        <f aca="false">Data_Prices!C107/Data_Prices!C106-1</f>
        <v>-0.0195887806115892</v>
      </c>
      <c r="D107" s="32" t="n">
        <f aca="false">Data_Prices!D107/Data_Prices!D106-1</f>
        <v>-0.00612593663730776</v>
      </c>
      <c r="E107" s="32" t="n">
        <f aca="false">Data_Prices!E107/Data_Prices!E106-1</f>
        <v>-0.0306241580601706</v>
      </c>
      <c r="F107" s="32" t="n">
        <f aca="false">Data_Prices!F107/Data_Prices!F106-1</f>
        <v>-0.0424525326436637</v>
      </c>
      <c r="G107" s="32" t="n">
        <f aca="false">Data_Prices!G107/Data_Prices!G106-1</f>
        <v>-0.00948717948717948</v>
      </c>
      <c r="H107" s="32" t="n">
        <f aca="false">Data_Prices!H107/Data_Prices!H106-1</f>
        <v>-0.0296462217537388</v>
      </c>
      <c r="I107" s="32" t="n">
        <f aca="false">Data_Prices!I107/Data_Prices!I106-1</f>
        <v>-0.0218947368421052</v>
      </c>
      <c r="J107" s="32" t="n">
        <f aca="false">Data_Prices!J107/Data_Prices!J106-1</f>
        <v>-0.026761935693407</v>
      </c>
      <c r="K107" s="32" t="n">
        <f aca="false">Data_Prices!K107/Data_Prices!K106-1</f>
        <v>-0.00606427090532136</v>
      </c>
      <c r="L107" s="32" t="n">
        <f aca="false">Data_Prices!L107/Data_Prices!L106-1</f>
        <v>-0.0118318485523385</v>
      </c>
      <c r="M107" s="32" t="n">
        <f aca="false">Data_Prices!M107/Data_Prices!M106-1</f>
        <v>-0.0404525386313466</v>
      </c>
      <c r="N107" s="32" t="n">
        <f aca="false">Data_Prices!N107/Data_Prices!N106-1</f>
        <v>-0.0344887123926274</v>
      </c>
      <c r="O107" s="32" t="n">
        <f aca="false">Data_Prices!O107/Data_Prices!O106-1</f>
        <v>-0.01807097757457</v>
      </c>
      <c r="P107" s="32" t="n">
        <f aca="false">Data_Prices!P107/Data_Prices!P106-1</f>
        <v>-0.0287486178549108</v>
      </c>
      <c r="Q107" s="32" t="n">
        <f aca="false">Data_Prices!Q107/Data_Prices!Q106-1</f>
        <v>-0.0439799331103679</v>
      </c>
      <c r="R107" s="32" t="n">
        <f aca="false">Data_Prices!R107/Data_Prices!R106-1</f>
        <v>-0.0220248916235491</v>
      </c>
      <c r="S107" s="32" t="n">
        <f aca="false">Data_Prices!S107/Data_Prices!S106-1</f>
        <v>-0.0104847711688726</v>
      </c>
      <c r="T107" s="32" t="n">
        <f aca="false">AVERAGE(D107:S107)</f>
        <v>-0.0239462039332173</v>
      </c>
      <c r="U107" s="32" t="n">
        <f aca="false">AVERAGE(J107:S107)</f>
        <v>-0.0242908497507311</v>
      </c>
      <c r="V107" s="32" t="n">
        <f aca="false">AVERAGE(D107:I107)</f>
        <v>-0.0233717942373609</v>
      </c>
      <c r="W107" s="32" t="n">
        <f aca="false">AVERAGE(K107,Q107,R107)</f>
        <v>-0.0240230318797461</v>
      </c>
      <c r="X107" s="32" t="n">
        <f aca="false">AVERAGE(K107,L107,N107,O107,P107,Q107,R107,S107)</f>
        <v>-0.0219617528978197</v>
      </c>
      <c r="Y107" s="32" t="n">
        <f aca="false">AVERAGE(J107,L107,M107,N107,O107,P107,Q107,R107,S107)</f>
        <v>-0.0263160251779989</v>
      </c>
      <c r="Z107" s="32" t="n">
        <f aca="false">U107-V107</f>
        <v>-0.000919055513370216</v>
      </c>
      <c r="AA107" s="32" t="n">
        <f aca="false">W107-V107</f>
        <v>-0.00065123764238521</v>
      </c>
    </row>
    <row r="108" customFormat="false" ht="15" hidden="false" customHeight="false" outlineLevel="0" collapsed="false">
      <c r="A108" s="28" t="n">
        <f aca="false">Data_Prices!A108</f>
        <v>44956</v>
      </c>
      <c r="B108" s="32" t="n">
        <f aca="false">Data_Prices!B108/Data_Prices!B107-1</f>
        <v>0.00253346474024907</v>
      </c>
      <c r="C108" s="32" t="n">
        <f aca="false">Data_Prices!C108/Data_Prices!C107-1</f>
        <v>-0.00138153582413147</v>
      </c>
      <c r="D108" s="32" t="n">
        <f aca="false">Data_Prices!D108/Data_Prices!D107-1</f>
        <v>-0.0158457224485477</v>
      </c>
      <c r="E108" s="32" t="n">
        <f aca="false">Data_Prices!E108/Data_Prices!E107-1</f>
        <v>0.00185288123031313</v>
      </c>
      <c r="F108" s="32" t="n">
        <f aca="false">Data_Prices!F108/Data_Prices!F107-1</f>
        <v>-0.016798418972332</v>
      </c>
      <c r="G108" s="32" t="n">
        <f aca="false">Data_Prices!G108/Data_Prices!G107-1</f>
        <v>0.00737768573647424</v>
      </c>
      <c r="H108" s="32" t="n">
        <f aca="false">Data_Prices!H108/Data_Prices!H107-1</f>
        <v>-0.0102292529476995</v>
      </c>
      <c r="I108" s="32" t="n">
        <f aca="false">Data_Prices!I108/Data_Prices!I107-1</f>
        <v>-0.0413258717176066</v>
      </c>
      <c r="J108" s="32" t="n">
        <f aca="false">Data_Prices!J108/Data_Prices!J107-1</f>
        <v>0.00710805579656948</v>
      </c>
      <c r="K108" s="32" t="n">
        <f aca="false">Data_Prices!K108/Data_Prices!K107-1</f>
        <v>0.0453162752698639</v>
      </c>
      <c r="L108" s="32" t="n">
        <f aca="false">Data_Prices!L108/Data_Prices!L107-1</f>
        <v>0.00119735173968172</v>
      </c>
      <c r="M108" s="32" t="n">
        <f aca="false">Data_Prices!M108/Data_Prices!M107-1</f>
        <v>-0.0171392419623857</v>
      </c>
      <c r="N108" s="32" t="n">
        <f aca="false">Data_Prices!N108/Data_Prices!N107-1</f>
        <v>0.0205203862660945</v>
      </c>
      <c r="O108" s="32" t="n">
        <f aca="false">Data_Prices!O108/Data_Prices!O107-1</f>
        <v>0.000221729490022193</v>
      </c>
      <c r="P108" s="32" t="n">
        <f aca="false">Data_Prices!P108/Data_Prices!P107-1</f>
        <v>0.0129188734346384</v>
      </c>
      <c r="Q108" s="32" t="n">
        <f aca="false">Data_Prices!Q108/Data_Prices!Q107-1</f>
        <v>0.011719433269197</v>
      </c>
      <c r="R108" s="32" t="n">
        <f aca="false">Data_Prices!R108/Data_Prices!R107-1</f>
        <v>0.0243797812254236</v>
      </c>
      <c r="S108" s="32" t="n">
        <f aca="false">Data_Prices!S108/Data_Prices!S107-1</f>
        <v>0.00225615406309165</v>
      </c>
      <c r="T108" s="32" t="n">
        <f aca="false">AVERAGE(D108:S108)</f>
        <v>0.0020956312170499</v>
      </c>
      <c r="U108" s="32" t="n">
        <f aca="false">AVERAGE(J108:S108)</f>
        <v>0.0108498798592197</v>
      </c>
      <c r="V108" s="32" t="n">
        <f aca="false">AVERAGE(D108:I108)</f>
        <v>-0.0124947831865664</v>
      </c>
      <c r="W108" s="32" t="n">
        <f aca="false">AVERAGE(K108,Q108,R108)</f>
        <v>0.0271384965881615</v>
      </c>
      <c r="X108" s="32" t="n">
        <f aca="false">AVERAGE(K108,L108,N108,O108,P108,Q108,R108,S108)</f>
        <v>0.0148162480947516</v>
      </c>
      <c r="Y108" s="32" t="n">
        <f aca="false">AVERAGE(J108,L108,M108,N108,O108,P108,Q108,R108,S108)</f>
        <v>0.0070202803691481</v>
      </c>
      <c r="Z108" s="32" t="n">
        <f aca="false">U108-V108</f>
        <v>0.0233446630457861</v>
      </c>
      <c r="AA108" s="32" t="n">
        <f aca="false">W108-V108</f>
        <v>0.0396332797747279</v>
      </c>
    </row>
    <row r="109" customFormat="false" ht="15" hidden="false" customHeight="false" outlineLevel="0" collapsed="false">
      <c r="A109" s="28" t="n">
        <f aca="false">Data_Prices!A109</f>
        <v>44957</v>
      </c>
      <c r="B109" s="32" t="n">
        <f aca="false">Data_Prices!B109/Data_Prices!B108-1</f>
        <v>0.000747919847922995</v>
      </c>
      <c r="C109" s="32" t="n">
        <f aca="false">Data_Prices!C109/Data_Prices!C108-1</f>
        <v>0.0054731994991315</v>
      </c>
      <c r="D109" s="32" t="n">
        <f aca="false">Data_Prices!D109/Data_Prices!D108-1</f>
        <v>-0.027363384673279</v>
      </c>
      <c r="E109" s="32" t="n">
        <f aca="false">Data_Prices!E109/Data_Prices!E108-1</f>
        <v>0.0496578509339742</v>
      </c>
      <c r="F109" s="32" t="n">
        <f aca="false">Data_Prices!F109/Data_Prices!F108-1</f>
        <v>-0.0105192629815746</v>
      </c>
      <c r="G109" s="32" t="n">
        <f aca="false">Data_Prices!G109/Data_Prices!G108-1</f>
        <v>0.0309649235513298</v>
      </c>
      <c r="H109" s="32" t="n">
        <f aca="false">Data_Prices!H109/Data_Prices!H108-1</f>
        <v>0.049617011546816</v>
      </c>
      <c r="I109" s="32" t="n">
        <f aca="false">Data_Prices!I109/Data_Prices!I108-1</f>
        <v>0.022002694207454</v>
      </c>
      <c r="J109" s="32" t="n">
        <f aca="false">Data_Prices!J109/Data_Prices!J108-1</f>
        <v>0.018290864508433</v>
      </c>
      <c r="K109" s="32" t="n">
        <f aca="false">Data_Prices!K109/Data_Prices!K108-1</f>
        <v>-0.0224823732872156</v>
      </c>
      <c r="L109" s="32" t="n">
        <f aca="false">Data_Prices!L109/Data_Prices!L108-1</f>
        <v>-0.00534646500175862</v>
      </c>
      <c r="M109" s="32" t="n">
        <f aca="false">Data_Prices!M109/Data_Prices!M108-1</f>
        <v>0.00708057814968699</v>
      </c>
      <c r="N109" s="32" t="n">
        <f aca="false">Data_Prices!N109/Data_Prices!N108-1</f>
        <v>0.0922372628904367</v>
      </c>
      <c r="O109" s="32" t="n">
        <f aca="false">Data_Prices!O109/Data_Prices!O108-1</f>
        <v>0.0319219685213921</v>
      </c>
      <c r="P109" s="32" t="n">
        <f aca="false">Data_Prices!P109/Data_Prices!P108-1</f>
        <v>0.0204261141516808</v>
      </c>
      <c r="Q109" s="32" t="n">
        <f aca="false">Data_Prices!Q109/Data_Prices!Q108-1</f>
        <v>0.0283540802213</v>
      </c>
      <c r="R109" s="32" t="n">
        <f aca="false">Data_Prices!R109/Data_Prices!R108-1</f>
        <v>0.00900335008375208</v>
      </c>
      <c r="S109" s="32" t="n">
        <f aca="false">Data_Prices!S109/Data_Prices!S108-1</f>
        <v>0.0343690959520842</v>
      </c>
      <c r="T109" s="32" t="n">
        <f aca="false">AVERAGE(D109:S109)</f>
        <v>0.020513394298407</v>
      </c>
      <c r="U109" s="32" t="n">
        <f aca="false">AVERAGE(J109:S109)</f>
        <v>0.0213854476189792</v>
      </c>
      <c r="V109" s="32" t="n">
        <f aca="false">AVERAGE(D109:I109)</f>
        <v>0.0190599720974534</v>
      </c>
      <c r="W109" s="32" t="n">
        <f aca="false">AVERAGE(K109,Q109,R109)</f>
        <v>0.00495835233927885</v>
      </c>
      <c r="X109" s="32" t="n">
        <f aca="false">AVERAGE(K109,L109,N109,O109,P109,Q109,R109,S109)</f>
        <v>0.023560379191459</v>
      </c>
      <c r="Y109" s="32" t="n">
        <f aca="false">AVERAGE(J109,L109,M109,N109,O109,P109,Q109,R109,S109)</f>
        <v>0.0262596499418897</v>
      </c>
      <c r="Z109" s="32" t="n">
        <f aca="false">U109-V109</f>
        <v>0.00232547552152574</v>
      </c>
      <c r="AA109" s="32" t="n">
        <f aca="false">W109-V109</f>
        <v>-0.0141016197581746</v>
      </c>
    </row>
    <row r="110" customFormat="false" ht="15" hidden="false" customHeight="false" outlineLevel="0" collapsed="false">
      <c r="A110" s="28" t="n">
        <f aca="false">Data_Prices!A110</f>
        <v>44958</v>
      </c>
      <c r="B110" s="32" t="n">
        <f aca="false">Data_Prices!B110/Data_Prices!B109-1</f>
        <v>-0.00259594669958085</v>
      </c>
      <c r="C110" s="32" t="n">
        <f aca="false">Data_Prices!C110/Data_Prices!C109-1</f>
        <v>-0.00588195909075695</v>
      </c>
      <c r="D110" s="32" t="n">
        <f aca="false">Data_Prices!D110/Data_Prices!D109-1</f>
        <v>0.0180185159596518</v>
      </c>
      <c r="E110" s="32" t="n">
        <f aca="false">Data_Prices!E110/Data_Prices!E109-1</f>
        <v>-0.0453704519425602</v>
      </c>
      <c r="F110" s="32" t="n">
        <f aca="false">Data_Prices!F110/Data_Prices!F109-1</f>
        <v>0.0287107258938246</v>
      </c>
      <c r="G110" s="32" t="n">
        <f aca="false">Data_Prices!G110/Data_Prices!G109-1</f>
        <v>-0.0356430707876371</v>
      </c>
      <c r="H110" s="32" t="n">
        <f aca="false">Data_Prices!H110/Data_Prices!H109-1</f>
        <v>-0.0274262062956105</v>
      </c>
      <c r="I110" s="32" t="n">
        <f aca="false">Data_Prices!I110/Data_Prices!I109-1</f>
        <v>-0.00505272407732871</v>
      </c>
      <c r="J110" s="32" t="n">
        <f aca="false">Data_Prices!J110/Data_Prices!J109-1</f>
        <v>-0.035338908593928</v>
      </c>
      <c r="K110" s="32" t="n">
        <f aca="false">Data_Prices!K110/Data_Prices!K109-1</f>
        <v>-0.0117548992923245</v>
      </c>
      <c r="L110" s="32" t="n">
        <f aca="false">Data_Prices!L110/Data_Prices!L109-1</f>
        <v>0.0606124902751255</v>
      </c>
      <c r="M110" s="32" t="n">
        <f aca="false">Data_Prices!M110/Data_Prices!M109-1</f>
        <v>0.0468913422428821</v>
      </c>
      <c r="N110" s="32" t="n">
        <f aca="false">Data_Prices!N110/Data_Prices!N109-1</f>
        <v>0.0127544369798456</v>
      </c>
      <c r="O110" s="32" t="n">
        <f aca="false">Data_Prices!O110/Data_Prices!O109-1</f>
        <v>0.00472610096670234</v>
      </c>
      <c r="P110" s="32" t="n">
        <f aca="false">Data_Prices!P110/Data_Prices!P109-1</f>
        <v>-0.0272962359927209</v>
      </c>
      <c r="Q110" s="32" t="n">
        <f aca="false">Data_Prices!Q110/Data_Prices!Q109-1</f>
        <v>-0.0247141896435775</v>
      </c>
      <c r="R110" s="32" t="n">
        <f aca="false">Data_Prices!R110/Data_Prices!R109-1</f>
        <v>0.0233105070208204</v>
      </c>
      <c r="S110" s="32" t="n">
        <f aca="false">Data_Prices!S110/Data_Prices!S109-1</f>
        <v>0.0083553551997515</v>
      </c>
      <c r="T110" s="32" t="n">
        <f aca="false">AVERAGE(D110:S110)</f>
        <v>-0.000576075755442732</v>
      </c>
      <c r="U110" s="32" t="n">
        <f aca="false">AVERAGE(J110:S110)</f>
        <v>0.00575459991625764</v>
      </c>
      <c r="V110" s="32" t="n">
        <f aca="false">AVERAGE(D110:I110)</f>
        <v>-0.0111272018749434</v>
      </c>
      <c r="W110" s="32" t="n">
        <f aca="false">AVERAGE(K110,Q110,R110)</f>
        <v>-0.00438619397169389</v>
      </c>
      <c r="X110" s="32" t="n">
        <f aca="false">AVERAGE(K110,L110,N110,O110,P110,Q110,R110,S110)</f>
        <v>0.00574919568920279</v>
      </c>
      <c r="Y110" s="32" t="n">
        <f aca="false">AVERAGE(J110,L110,M110,N110,O110,P110,Q110,R110,S110)</f>
        <v>0.00770009982832233</v>
      </c>
      <c r="Z110" s="32" t="n">
        <f aca="false">U110-V110</f>
        <v>0.016881801791201</v>
      </c>
      <c r="AA110" s="32" t="n">
        <f aca="false">W110-V110</f>
        <v>0.00674100790324946</v>
      </c>
    </row>
    <row r="111" customFormat="false" ht="15" hidden="false" customHeight="false" outlineLevel="0" collapsed="false">
      <c r="A111" s="28" t="n">
        <f aca="false">Data_Prices!A111</f>
        <v>44959</v>
      </c>
      <c r="B111" s="32" t="n">
        <f aca="false">Data_Prices!B111/Data_Prices!B110-1</f>
        <v>-0.000334917093827714</v>
      </c>
      <c r="C111" s="32" t="n">
        <f aca="false">Data_Prices!C111/Data_Prices!C110-1</f>
        <v>-0.000555643485669499</v>
      </c>
      <c r="D111" s="32" t="n">
        <f aca="false">Data_Prices!D111/Data_Prices!D110-1</f>
        <v>0.0106143279854496</v>
      </c>
      <c r="E111" s="32" t="n">
        <f aca="false">Data_Prices!E111/Data_Prices!E110-1</f>
        <v>0.0550941306755262</v>
      </c>
      <c r="F111" s="32" t="n">
        <f aca="false">Data_Prices!F111/Data_Prices!F110-1</f>
        <v>-0.0256055818852028</v>
      </c>
      <c r="G111" s="32" t="n">
        <f aca="false">Data_Prices!G111/Data_Prices!G110-1</f>
        <v>0.0205479452054795</v>
      </c>
      <c r="H111" s="32" t="n">
        <f aca="false">Data_Prices!H111/Data_Prices!H110-1</f>
        <v>0.00992250145589746</v>
      </c>
      <c r="I111" s="32" t="n">
        <f aca="false">Data_Prices!I111/Data_Prices!I110-1</f>
        <v>0.0141311547803047</v>
      </c>
      <c r="J111" s="32" t="n">
        <f aca="false">Data_Prices!J111/Data_Prices!J110-1</f>
        <v>0.00873671782762697</v>
      </c>
      <c r="K111" s="32" t="n">
        <f aca="false">Data_Prices!K111/Data_Prices!K110-1</f>
        <v>-0.0171104952403903</v>
      </c>
      <c r="L111" s="32" t="n">
        <f aca="false">Data_Prices!L111/Data_Prices!L110-1</f>
        <v>0.0336089623899707</v>
      </c>
      <c r="M111" s="32" t="n">
        <f aca="false">Data_Prices!M111/Data_Prices!M110-1</f>
        <v>-0.00455125714602878</v>
      </c>
      <c r="N111" s="32" t="n">
        <f aca="false">Data_Prices!N111/Data_Prices!N110-1</f>
        <v>-0.000297023821310471</v>
      </c>
      <c r="O111" s="32" t="n">
        <f aca="false">Data_Prices!O111/Data_Prices!O110-1</f>
        <v>0.0168911695531324</v>
      </c>
      <c r="P111" s="32" t="n">
        <f aca="false">Data_Prices!P111/Data_Prices!P110-1</f>
        <v>0.0102402520677432</v>
      </c>
      <c r="Q111" s="32" t="n">
        <f aca="false">Data_Prices!Q111/Data_Prices!Q110-1</f>
        <v>0.0037924495776589</v>
      </c>
      <c r="R111" s="32" t="n">
        <f aca="false">Data_Prices!R111/Data_Prices!R110-1</f>
        <v>-0.00317696363390563</v>
      </c>
      <c r="S111" s="32" t="n">
        <f aca="false">Data_Prices!S111/Data_Prices!S110-1</f>
        <v>-0.0253208463406175</v>
      </c>
      <c r="T111" s="32" t="n">
        <f aca="false">AVERAGE(D111:S111)</f>
        <v>0.00671984021570838</v>
      </c>
      <c r="U111" s="32" t="n">
        <f aca="false">AVERAGE(J111:S111)</f>
        <v>0.00228129652338794</v>
      </c>
      <c r="V111" s="32" t="n">
        <f aca="false">AVERAGE(D111:I111)</f>
        <v>0.0141174130362424</v>
      </c>
      <c r="W111" s="32" t="n">
        <f aca="false">AVERAGE(K111,Q111,R111)</f>
        <v>-0.00549833643221235</v>
      </c>
      <c r="X111" s="32" t="n">
        <f aca="false">AVERAGE(K111,L111,N111,O111,P111,Q111,R111,S111)</f>
        <v>0.00232843806903515</v>
      </c>
      <c r="Y111" s="32" t="n">
        <f aca="false">AVERAGE(J111,L111,M111,N111,O111,P111,Q111,R111,S111)</f>
        <v>0.00443594005269664</v>
      </c>
      <c r="Z111" s="32" t="n">
        <f aca="false">U111-V111</f>
        <v>-0.0118361165128545</v>
      </c>
      <c r="AA111" s="32" t="n">
        <f aca="false">W111-V111</f>
        <v>-0.0196157494684548</v>
      </c>
    </row>
    <row r="112" customFormat="false" ht="15" hidden="false" customHeight="false" outlineLevel="0" collapsed="false">
      <c r="A112" s="28" t="n">
        <f aca="false">Data_Prices!A112</f>
        <v>44960</v>
      </c>
      <c r="B112" s="32" t="n">
        <f aca="false">Data_Prices!B112/Data_Prices!B111-1</f>
        <v>0.0138355744332892</v>
      </c>
      <c r="C112" s="32" t="n">
        <f aca="false">Data_Prices!C112/Data_Prices!C111-1</f>
        <v>0.00828537541949137</v>
      </c>
      <c r="D112" s="32" t="n">
        <f aca="false">Data_Prices!D112/Data_Prices!D111-1</f>
        <v>0.0737348232513162</v>
      </c>
      <c r="E112" s="32" t="n">
        <f aca="false">Data_Prices!E112/Data_Prices!E111-1</f>
        <v>0.0112831277879821</v>
      </c>
      <c r="F112" s="32" t="n">
        <f aca="false">Data_Prices!F112/Data_Prices!F111-1</f>
        <v>-0.00547186381138953</v>
      </c>
      <c r="G112" s="32" t="n">
        <f aca="false">Data_Prices!G112/Data_Prices!G111-1</f>
        <v>0.0122831454982903</v>
      </c>
      <c r="H112" s="32" t="n">
        <f aca="false">Data_Prices!H112/Data_Prices!H111-1</f>
        <v>-0.0105568985783672</v>
      </c>
      <c r="I112" s="32" t="n">
        <f aca="false">Data_Prices!I112/Data_Prices!I111-1</f>
        <v>-0.0226431526235577</v>
      </c>
      <c r="J112" s="32" t="n">
        <f aca="false">Data_Prices!J112/Data_Prices!J111-1</f>
        <v>-0.0156500802568219</v>
      </c>
      <c r="K112" s="32" t="n">
        <f aca="false">Data_Prices!K112/Data_Prices!K111-1</f>
        <v>0.0518748139196834</v>
      </c>
      <c r="L112" s="32" t="n">
        <f aca="false">Data_Prices!L112/Data_Prices!L111-1</f>
        <v>0.00793548387096776</v>
      </c>
      <c r="M112" s="32" t="n">
        <f aca="false">Data_Prices!M112/Data_Prices!M111-1</f>
        <v>0.00334541399498178</v>
      </c>
      <c r="N112" s="32" t="n">
        <f aca="false">Data_Prices!N112/Data_Prices!N111-1</f>
        <v>-0.0246206869231074</v>
      </c>
      <c r="O112" s="32" t="n">
        <f aca="false">Data_Prices!O112/Data_Prices!O111-1</f>
        <v>0.024390243902439</v>
      </c>
      <c r="P112" s="32" t="n">
        <f aca="false">Data_Prices!P112/Data_Prices!P111-1</f>
        <v>0.00146198830409361</v>
      </c>
      <c r="Q112" s="32" t="n">
        <f aca="false">Data_Prices!Q112/Data_Prices!Q111-1</f>
        <v>-0.00171732783788425</v>
      </c>
      <c r="R112" s="32" t="n">
        <f aca="false">Data_Prices!R112/Data_Prices!R111-1</f>
        <v>0.0226486743066385</v>
      </c>
      <c r="S112" s="32" t="n">
        <f aca="false">Data_Prices!S112/Data_Prices!S111-1</f>
        <v>0.0115065243179122</v>
      </c>
      <c r="T112" s="32" t="n">
        <f aca="false">AVERAGE(D112:S112)</f>
        <v>0.00873776432019857</v>
      </c>
      <c r="U112" s="32" t="n">
        <f aca="false">AVERAGE(J112:S112)</f>
        <v>0.00811750475989028</v>
      </c>
      <c r="V112" s="32" t="n">
        <f aca="false">AVERAGE(D112:I112)</f>
        <v>0.00977153025404572</v>
      </c>
      <c r="W112" s="32" t="n">
        <f aca="false">AVERAGE(K112,Q112,R112)</f>
        <v>0.0242687201294792</v>
      </c>
      <c r="X112" s="32" t="n">
        <f aca="false">AVERAGE(K112,L112,N112,O112,P112,Q112,R112,S112)</f>
        <v>0.0116849642325929</v>
      </c>
      <c r="Y112" s="32" t="n">
        <f aca="false">AVERAGE(J112,L112,M112,N112,O112,P112,Q112,R112,S112)</f>
        <v>0.00325558151991327</v>
      </c>
      <c r="Z112" s="32" t="n">
        <f aca="false">U112-V112</f>
        <v>-0.00165402549415544</v>
      </c>
      <c r="AA112" s="32" t="n">
        <f aca="false">W112-V112</f>
        <v>0.0144971898754335</v>
      </c>
    </row>
    <row r="113" customFormat="false" ht="15" hidden="false" customHeight="false" outlineLevel="0" collapsed="false">
      <c r="A113" s="28" t="n">
        <f aca="false">Data_Prices!A113</f>
        <v>44963</v>
      </c>
      <c r="B113" s="32" t="n">
        <f aca="false">Data_Prices!B113/Data_Prices!B112-1</f>
        <v>-0.00501006774373325</v>
      </c>
      <c r="C113" s="32" t="n">
        <f aca="false">Data_Prices!C113/Data_Prices!C112-1</f>
        <v>-0.00188473067399175</v>
      </c>
      <c r="D113" s="32" t="n">
        <f aca="false">Data_Prices!D113/Data_Prices!D112-1</f>
        <v>-0.00470317464288395</v>
      </c>
      <c r="E113" s="32" t="n">
        <f aca="false">Data_Prices!E113/Data_Prices!E112-1</f>
        <v>0.00657325722193392</v>
      </c>
      <c r="F113" s="32" t="n">
        <f aca="false">Data_Prices!F113/Data_Prices!F112-1</f>
        <v>0.0164379839695694</v>
      </c>
      <c r="G113" s="32" t="n">
        <f aca="false">Data_Prices!G113/Data_Prices!G112-1</f>
        <v>-0.028771578684013</v>
      </c>
      <c r="H113" s="32" t="n">
        <f aca="false">Data_Prices!H113/Data_Prices!H112-1</f>
        <v>0.0021294241588774</v>
      </c>
      <c r="I113" s="32" t="n">
        <f aca="false">Data_Prices!I113/Data_Prices!I112-1</f>
        <v>0.00690576965916701</v>
      </c>
      <c r="J113" s="32" t="n">
        <f aca="false">Data_Prices!J113/Data_Prices!J112-1</f>
        <v>0.0406644924582145</v>
      </c>
      <c r="K113" s="32" t="n">
        <f aca="false">Data_Prices!K113/Data_Prices!K112-1</f>
        <v>0.0149514660095569</v>
      </c>
      <c r="L113" s="32" t="n">
        <f aca="false">Data_Prices!L113/Data_Prices!L112-1</f>
        <v>-6.40081930486369E-005</v>
      </c>
      <c r="M113" s="32" t="n">
        <f aca="false">Data_Prices!M113/Data_Prices!M112-1</f>
        <v>-0.0171714365101417</v>
      </c>
      <c r="N113" s="32" t="n">
        <f aca="false">Data_Prices!N113/Data_Prices!N112-1</f>
        <v>-0.0282070548098207</v>
      </c>
      <c r="O113" s="32" t="n">
        <f aca="false">Data_Prices!O113/Data_Prices!O112-1</f>
        <v>0.0749178981937604</v>
      </c>
      <c r="P113" s="32" t="n">
        <f aca="false">Data_Prices!P113/Data_Prices!P112-1</f>
        <v>0.00968369829683713</v>
      </c>
      <c r="Q113" s="32" t="n">
        <f aca="false">Data_Prices!Q113/Data_Prices!Q112-1</f>
        <v>0.0048167899535525</v>
      </c>
      <c r="R113" s="32" t="n">
        <f aca="false">Data_Prices!R113/Data_Prices!R112-1</f>
        <v>0.00324912141104705</v>
      </c>
      <c r="S113" s="32" t="n">
        <f aca="false">Data_Prices!S113/Data_Prices!S112-1</f>
        <v>0.0114147218638834</v>
      </c>
      <c r="T113" s="32" t="n">
        <f aca="false">AVERAGE(D113:S113)</f>
        <v>0.00705171064728072</v>
      </c>
      <c r="U113" s="32" t="n">
        <f aca="false">AVERAGE(J113:S113)</f>
        <v>0.0114255688673841</v>
      </c>
      <c r="V113" s="32" t="n">
        <f aca="false">AVERAGE(D113:I113)</f>
        <v>-0.00023805305289154</v>
      </c>
      <c r="W113" s="32" t="n">
        <f aca="false">AVERAGE(K113,Q113,R113)</f>
        <v>0.00767245912471881</v>
      </c>
      <c r="X113" s="32" t="n">
        <f aca="false">AVERAGE(K113,L113,N113,O113,P113,Q113,R113,S113)</f>
        <v>0.011345329090721</v>
      </c>
      <c r="Y113" s="32" t="n">
        <f aca="false">AVERAGE(J113,L113,M113,N113,O113,P113,Q113,R113,S113)</f>
        <v>0.0110338025182538</v>
      </c>
      <c r="Z113" s="32" t="n">
        <f aca="false">U113-V113</f>
        <v>0.0116636219202756</v>
      </c>
      <c r="AA113" s="32" t="n">
        <f aca="false">W113-V113</f>
        <v>0.00791051217761035</v>
      </c>
    </row>
    <row r="114" customFormat="false" ht="15" hidden="false" customHeight="false" outlineLevel="0" collapsed="false">
      <c r="A114" s="28" t="n">
        <f aca="false">Data_Prices!A114</f>
        <v>44964</v>
      </c>
      <c r="B114" s="32" t="n">
        <f aca="false">Data_Prices!B114/Data_Prices!B113-1</f>
        <v>-0.00242617340103346</v>
      </c>
      <c r="C114" s="32" t="n">
        <f aca="false">Data_Prices!C114/Data_Prices!C113-1</f>
        <v>-0.00213939193057511</v>
      </c>
      <c r="D114" s="32" t="n">
        <f aca="false">Data_Prices!D114/Data_Prices!D113-1</f>
        <v>-0.0158602488375016</v>
      </c>
      <c r="E114" s="32" t="n">
        <f aca="false">Data_Prices!E114/Data_Prices!E113-1</f>
        <v>-0.00360886750300737</v>
      </c>
      <c r="F114" s="32" t="n">
        <f aca="false">Data_Prices!F114/Data_Prices!F113-1</f>
        <v>-0.00100240577385724</v>
      </c>
      <c r="G114" s="32" t="n">
        <f aca="false">Data_Prices!G114/Data_Prices!G113-1</f>
        <v>-0.0311695002575991</v>
      </c>
      <c r="H114" s="32" t="n">
        <f aca="false">Data_Prices!H114/Data_Prices!H113-1</f>
        <v>0.0315827145029972</v>
      </c>
      <c r="I114" s="32" t="n">
        <f aca="false">Data_Prices!I114/Data_Prices!I113-1</f>
        <v>-0.00376106194690262</v>
      </c>
      <c r="J114" s="32" t="n">
        <f aca="false">Data_Prices!J114/Data_Prices!J113-1</f>
        <v>0.0351581627656448</v>
      </c>
      <c r="K114" s="32" t="n">
        <f aca="false">Data_Prices!K114/Data_Prices!K113-1</f>
        <v>0.00923571580898641</v>
      </c>
      <c r="L114" s="32" t="n">
        <f aca="false">Data_Prices!L114/Data_Prices!L113-1</f>
        <v>0.000384073742158542</v>
      </c>
      <c r="M114" s="32" t="n">
        <f aca="false">Data_Prices!M114/Data_Prices!M113-1</f>
        <v>0.0192807870632139</v>
      </c>
      <c r="N114" s="32" t="n">
        <f aca="false">Data_Prices!N114/Data_Prices!N113-1</f>
        <v>-0.030843816608852</v>
      </c>
      <c r="O114" s="32" t="n">
        <f aca="false">Data_Prices!O114/Data_Prices!O113-1</f>
        <v>0.021386289860607</v>
      </c>
      <c r="P114" s="32" t="n">
        <f aca="false">Data_Prices!P114/Data_Prices!P113-1</f>
        <v>-0.0257361800568703</v>
      </c>
      <c r="Q114" s="32" t="n">
        <f aca="false">Data_Prices!Q114/Data_Prices!Q113-1</f>
        <v>0.0292758089368259</v>
      </c>
      <c r="R114" s="32" t="n">
        <f aca="false">Data_Prices!R114/Data_Prices!R113-1</f>
        <v>-0.0076668869795109</v>
      </c>
      <c r="S114" s="32" t="n">
        <f aca="false">Data_Prices!S114/Data_Prices!S113-1</f>
        <v>-0.00181656553163545</v>
      </c>
      <c r="T114" s="32" t="n">
        <f aca="false">AVERAGE(D114:S114)</f>
        <v>0.00155237619904357</v>
      </c>
      <c r="U114" s="32" t="n">
        <f aca="false">AVERAGE(J114:S114)</f>
        <v>0.00486573890005678</v>
      </c>
      <c r="V114" s="32" t="n">
        <f aca="false">AVERAGE(D114:I114)</f>
        <v>-0.00396989496931179</v>
      </c>
      <c r="W114" s="32" t="n">
        <f aca="false">AVERAGE(K114,Q114,R114)</f>
        <v>0.0102815459221005</v>
      </c>
      <c r="X114" s="32" t="n">
        <f aca="false">AVERAGE(K114,L114,N114,O114,P114,Q114,R114,S114)</f>
        <v>-0.000722695103536356</v>
      </c>
      <c r="Y114" s="32" t="n">
        <f aca="false">AVERAGE(J114,L114,M114,N114,O114,P114,Q114,R114,S114)</f>
        <v>0.00438018591017571</v>
      </c>
      <c r="Z114" s="32" t="n">
        <f aca="false">U114-V114</f>
        <v>0.00883563386936857</v>
      </c>
      <c r="AA114" s="32" t="n">
        <f aca="false">W114-V114</f>
        <v>0.0142514408914123</v>
      </c>
    </row>
    <row r="115" customFormat="false" ht="15" hidden="false" customHeight="false" outlineLevel="0" collapsed="false">
      <c r="A115" s="28" t="n">
        <f aca="false">Data_Prices!A115</f>
        <v>44965</v>
      </c>
      <c r="B115" s="32" t="n">
        <f aca="false">Data_Prices!B115/Data_Prices!B114-1</f>
        <v>0.00847558050955066</v>
      </c>
      <c r="C115" s="32" t="n">
        <f aca="false">Data_Prices!C115/Data_Prices!C114-1</f>
        <v>0.00846183784944499</v>
      </c>
      <c r="D115" s="32" t="n">
        <f aca="false">Data_Prices!D115/Data_Prices!D114-1</f>
        <v>0.0168309751238698</v>
      </c>
      <c r="E115" s="32" t="n">
        <f aca="false">Data_Prices!E115/Data_Prices!E114-1</f>
        <v>0.0204380820972749</v>
      </c>
      <c r="F115" s="32" t="n">
        <f aca="false">Data_Prices!F115/Data_Prices!F114-1</f>
        <v>0.00608736370325769</v>
      </c>
      <c r="G115" s="32" t="n">
        <f aca="false">Data_Prices!G115/Data_Prices!G114-1</f>
        <v>0.026987503323584</v>
      </c>
      <c r="H115" s="32" t="n">
        <f aca="false">Data_Prices!H115/Data_Prices!H114-1</f>
        <v>0.0463356461405031</v>
      </c>
      <c r="I115" s="32" t="n">
        <f aca="false">Data_Prices!I115/Data_Prices!I114-1</f>
        <v>0.0501887630468576</v>
      </c>
      <c r="J115" s="32" t="n">
        <f aca="false">Data_Prices!J115/Data_Prices!J114-1</f>
        <v>-0.0140334279407127</v>
      </c>
      <c r="K115" s="32" t="n">
        <f aca="false">Data_Prices!K115/Data_Prices!K114-1</f>
        <v>0.0310132960566951</v>
      </c>
      <c r="L115" s="32" t="n">
        <f aca="false">Data_Prices!L115/Data_Prices!L114-1</f>
        <v>0.018748400307141</v>
      </c>
      <c r="M115" s="32" t="n">
        <f aca="false">Data_Prices!M115/Data_Prices!M114-1</f>
        <v>0.0612969434736783</v>
      </c>
      <c r="N115" s="32" t="n">
        <f aca="false">Data_Prices!N115/Data_Prices!N114-1</f>
        <v>0.0196860580447626</v>
      </c>
      <c r="O115" s="32" t="n">
        <f aca="false">Data_Prices!O115/Data_Prices!O114-1</f>
        <v>0.00598242662179849</v>
      </c>
      <c r="P115" s="32" t="n">
        <f aca="false">Data_Prices!P115/Data_Prices!P114-1</f>
        <v>-0.00435320306702947</v>
      </c>
      <c r="Q115" s="32" t="n">
        <f aca="false">Data_Prices!Q115/Data_Prices!Q114-1</f>
        <v>0.00216234198270127</v>
      </c>
      <c r="R115" s="32" t="n">
        <f aca="false">Data_Prices!R115/Data_Prices!R114-1</f>
        <v>0.00133209004928725</v>
      </c>
      <c r="S115" s="32" t="n">
        <f aca="false">Data_Prices!S115/Data_Prices!S114-1</f>
        <v>0.0126616587934638</v>
      </c>
      <c r="T115" s="32" t="n">
        <f aca="false">AVERAGE(D115:S115)</f>
        <v>0.0188353073598208</v>
      </c>
      <c r="U115" s="32" t="n">
        <f aca="false">AVERAGE(J115:S115)</f>
        <v>0.0134496584321786</v>
      </c>
      <c r="V115" s="32" t="n">
        <f aca="false">AVERAGE(D115:I115)</f>
        <v>0.0278113889058912</v>
      </c>
      <c r="W115" s="32" t="n">
        <f aca="false">AVERAGE(K115,Q115,R115)</f>
        <v>0.0115025760295612</v>
      </c>
      <c r="X115" s="32" t="n">
        <f aca="false">AVERAGE(K115,L115,N115,O115,P115,Q115,R115,S115)</f>
        <v>0.0109041335986025</v>
      </c>
      <c r="Y115" s="32" t="n">
        <f aca="false">AVERAGE(J115,L115,M115,N115,O115,P115,Q115,R115,S115)</f>
        <v>0.0114981431405656</v>
      </c>
      <c r="Z115" s="32" t="n">
        <f aca="false">U115-V115</f>
        <v>-0.0143617304737126</v>
      </c>
      <c r="AA115" s="32" t="n">
        <f aca="false">W115-V115</f>
        <v>-0.01630881287633</v>
      </c>
    </row>
    <row r="116" customFormat="false" ht="15" hidden="false" customHeight="false" outlineLevel="0" collapsed="false">
      <c r="A116" s="28" t="n">
        <f aca="false">Data_Prices!A116</f>
        <v>44966</v>
      </c>
      <c r="B116" s="32" t="n">
        <f aca="false">Data_Prices!B116/Data_Prices!B115-1</f>
        <v>0.00121700789516388</v>
      </c>
      <c r="C116" s="32" t="n">
        <f aca="false">Data_Prices!C116/Data_Prices!C115-1</f>
        <v>0.000119774026337005</v>
      </c>
      <c r="D116" s="32" t="n">
        <f aca="false">Data_Prices!D116/Data_Prices!D115-1</f>
        <v>0.00241127269987196</v>
      </c>
      <c r="E116" s="32" t="n">
        <f aca="false">Data_Prices!E116/Data_Prices!E115-1</f>
        <v>0.0147046395673118</v>
      </c>
      <c r="F116" s="32" t="n">
        <f aca="false">Data_Prices!F116/Data_Prices!F115-1</f>
        <v>0.0245345744680852</v>
      </c>
      <c r="G116" s="32" t="n">
        <f aca="false">Data_Prices!G116/Data_Prices!G115-1</f>
        <v>-0.0161812297734628</v>
      </c>
      <c r="H116" s="32" t="n">
        <f aca="false">Data_Prices!H116/Data_Prices!H115-1</f>
        <v>0.00370930642186629</v>
      </c>
      <c r="I116" s="32" t="n">
        <f aca="false">Data_Prices!I116/Data_Prices!I115-1</f>
        <v>-0.0109959822372594</v>
      </c>
      <c r="J116" s="32" t="n">
        <f aca="false">Data_Prices!J116/Data_Prices!J115-1</f>
        <v>0.0260674876059492</v>
      </c>
      <c r="K116" s="32" t="n">
        <f aca="false">Data_Prices!K116/Data_Prices!K115-1</f>
        <v>0.0162699038309948</v>
      </c>
      <c r="L116" s="32" t="n">
        <f aca="false">Data_Prices!L116/Data_Prices!L115-1</f>
        <v>6.28101249922075E-005</v>
      </c>
      <c r="M116" s="32" t="n">
        <f aca="false">Data_Prices!M116/Data_Prices!M115-1</f>
        <v>0.0032929123980765</v>
      </c>
      <c r="N116" s="32" t="n">
        <f aca="false">Data_Prices!N116/Data_Prices!N115-1</f>
        <v>-0.0152037385549048</v>
      </c>
      <c r="O116" s="32" t="n">
        <f aca="false">Data_Prices!O116/Data_Prices!O115-1</f>
        <v>0.00501765471102011</v>
      </c>
      <c r="P116" s="32" t="n">
        <f aca="false">Data_Prices!P116/Data_Prices!P115-1</f>
        <v>0.0112783822725693</v>
      </c>
      <c r="Q116" s="32" t="n">
        <f aca="false">Data_Prices!Q116/Data_Prices!Q115-1</f>
        <v>0.00348547717842318</v>
      </c>
      <c r="R116" s="32" t="n">
        <f aca="false">Data_Prices!R116/Data_Prices!R115-1</f>
        <v>0.00738326460023941</v>
      </c>
      <c r="S116" s="32" t="n">
        <f aca="false">Data_Prices!S116/Data_Prices!S115-1</f>
        <v>0.00565900661492003</v>
      </c>
      <c r="T116" s="32" t="n">
        <f aca="false">AVERAGE(D116:S116)</f>
        <v>0.00509348387054331</v>
      </c>
      <c r="U116" s="32" t="n">
        <f aca="false">AVERAGE(J116:S116)</f>
        <v>0.006331316078228</v>
      </c>
      <c r="V116" s="32" t="n">
        <f aca="false">AVERAGE(D116:I116)</f>
        <v>0.00303043019106884</v>
      </c>
      <c r="W116" s="32" t="n">
        <f aca="false">AVERAGE(K116,Q116,R116)</f>
        <v>0.00904621520321913</v>
      </c>
      <c r="X116" s="32" t="n">
        <f aca="false">AVERAGE(K116,L116,N116,O116,P116,Q116,R116,S116)</f>
        <v>0.00424409509728178</v>
      </c>
      <c r="Y116" s="32" t="n">
        <f aca="false">AVERAGE(J116,L116,M116,N116,O116,P116,Q116,R116,S116)</f>
        <v>0.0052270285501428</v>
      </c>
      <c r="Z116" s="32" t="n">
        <f aca="false">U116-V116</f>
        <v>0.00330088588715916</v>
      </c>
      <c r="AA116" s="32" t="n">
        <f aca="false">W116-V116</f>
        <v>0.0060157850121503</v>
      </c>
    </row>
    <row r="117" customFormat="false" ht="15" hidden="false" customHeight="false" outlineLevel="0" collapsed="false">
      <c r="A117" s="28" t="n">
        <f aca="false">Data_Prices!A117</f>
        <v>44967</v>
      </c>
      <c r="B117" s="32" t="n">
        <f aca="false">Data_Prices!B117/Data_Prices!B116-1</f>
        <v>-0.00206500143907407</v>
      </c>
      <c r="C117" s="32" t="n">
        <f aca="false">Data_Prices!C117/Data_Prices!C116-1</f>
        <v>-0.000948097484381294</v>
      </c>
      <c r="D117" s="32" t="n">
        <f aca="false">Data_Prices!D117/Data_Prices!D116-1</f>
        <v>0.0139567516099126</v>
      </c>
      <c r="E117" s="32" t="n">
        <f aca="false">Data_Prices!E117/Data_Prices!E116-1</f>
        <v>-0.00499708503373031</v>
      </c>
      <c r="F117" s="32" t="n">
        <f aca="false">Data_Prices!F117/Data_Prices!F116-1</f>
        <v>0.00791745084041784</v>
      </c>
      <c r="G117" s="32" t="n">
        <f aca="false">Data_Prices!G117/Data_Prices!G116-1</f>
        <v>-0.00552631578947371</v>
      </c>
      <c r="H117" s="32" t="n">
        <f aca="false">Data_Prices!H117/Data_Prices!H116-1</f>
        <v>-0.0293376827153358</v>
      </c>
      <c r="I117" s="32" t="n">
        <f aca="false">Data_Prices!I117/Data_Prices!I116-1</f>
        <v>0.0173187940987813</v>
      </c>
      <c r="J117" s="32" t="n">
        <f aca="false">Data_Prices!J117/Data_Prices!J116-1</f>
        <v>0.0288029925187032</v>
      </c>
      <c r="K117" s="32" t="n">
        <f aca="false">Data_Prices!K117/Data_Prices!K116-1</f>
        <v>-0.00300952499146789</v>
      </c>
      <c r="L117" s="32" t="n">
        <f aca="false">Data_Prices!L117/Data_Prices!L116-1</f>
        <v>-0.0233010928275343</v>
      </c>
      <c r="M117" s="32" t="n">
        <f aca="false">Data_Prices!M117/Data_Prices!M116-1</f>
        <v>-0.0107319614482938</v>
      </c>
      <c r="N117" s="32" t="n">
        <f aca="false">Data_Prices!N117/Data_Prices!N116-1</f>
        <v>-0.0160611526238942</v>
      </c>
      <c r="O117" s="32" t="n">
        <f aca="false">Data_Prices!O117/Data_Prices!O116-1</f>
        <v>-0.0197855029585797</v>
      </c>
      <c r="P117" s="32" t="n">
        <f aca="false">Data_Prices!P117/Data_Prices!P116-1</f>
        <v>-0.0036847794045396</v>
      </c>
      <c r="Q117" s="32" t="n">
        <f aca="false">Data_Prices!Q117/Data_Prices!Q116-1</f>
        <v>-0.00479655970889836</v>
      </c>
      <c r="R117" s="32" t="n">
        <f aca="false">Data_Prices!R117/Data_Prices!R116-1</f>
        <v>-0.00468801584681411</v>
      </c>
      <c r="S117" s="32" t="n">
        <f aca="false">Data_Prices!S117/Data_Prices!S116-1</f>
        <v>-0.0277175772784305</v>
      </c>
      <c r="T117" s="32" t="n">
        <f aca="false">AVERAGE(D117:S117)</f>
        <v>-0.00535257884744858</v>
      </c>
      <c r="U117" s="32" t="n">
        <f aca="false">AVERAGE(J117:S117)</f>
        <v>-0.00849731745697493</v>
      </c>
      <c r="V117" s="32" t="n">
        <f aca="false">AVERAGE(D117:I117)</f>
        <v>-0.000111347831571333</v>
      </c>
      <c r="W117" s="32" t="n">
        <f aca="false">AVERAGE(K117,Q117,R117)</f>
        <v>-0.00416470018239346</v>
      </c>
      <c r="X117" s="32" t="n">
        <f aca="false">AVERAGE(K117,L117,N117,O117,P117,Q117,R117,S117)</f>
        <v>-0.0128805257050198</v>
      </c>
      <c r="Y117" s="32" t="n">
        <f aca="false">AVERAGE(J117,L117,M117,N117,O117,P117,Q117,R117,S117)</f>
        <v>-0.0091070721753646</v>
      </c>
      <c r="Z117" s="32" t="n">
        <f aca="false">U117-V117</f>
        <v>-0.0083859696254036</v>
      </c>
      <c r="AA117" s="32" t="n">
        <f aca="false">W117-V117</f>
        <v>-0.00405335235082212</v>
      </c>
    </row>
    <row r="118" customFormat="false" ht="15" hidden="false" customHeight="false" outlineLevel="0" collapsed="false">
      <c r="A118" s="28" t="n">
        <f aca="false">Data_Prices!A118</f>
        <v>44970</v>
      </c>
      <c r="B118" s="32" t="n">
        <f aca="false">Data_Prices!B118/Data_Prices!B117-1</f>
        <v>-0.00479377257581259</v>
      </c>
      <c r="C118" s="32" t="n">
        <f aca="false">Data_Prices!C118/Data_Prices!C117-1</f>
        <v>-0.00768188281049698</v>
      </c>
      <c r="D118" s="32" t="n">
        <f aca="false">Data_Prices!D118/Data_Prices!D117-1</f>
        <v>-0.00402807295013086</v>
      </c>
      <c r="E118" s="32" t="n">
        <f aca="false">Data_Prices!E118/Data_Prices!E117-1</f>
        <v>-0.0105465807315646</v>
      </c>
      <c r="F118" s="32" t="n">
        <f aca="false">Data_Prices!F118/Data_Prices!F117-1</f>
        <v>-0.0186723327538472</v>
      </c>
      <c r="G118" s="32" t="n">
        <f aca="false">Data_Prices!G118/Data_Prices!G117-1</f>
        <v>-0.0211696215930141</v>
      </c>
      <c r="H118" s="32" t="n">
        <f aca="false">Data_Prices!H118/Data_Prices!H117-1</f>
        <v>0.0014888865255771</v>
      </c>
      <c r="I118" s="32" t="n">
        <f aca="false">Data_Prices!I118/Data_Prices!I117-1</f>
        <v>-0.0323665405632619</v>
      </c>
      <c r="J118" s="32" t="n">
        <f aca="false">Data_Prices!J118/Data_Prices!J117-1</f>
        <v>-0.0147860865349655</v>
      </c>
      <c r="K118" s="32" t="n">
        <f aca="false">Data_Prices!K118/Data_Prices!K117-1</f>
        <v>-0.013988298997946</v>
      </c>
      <c r="L118" s="32" t="n">
        <f aca="false">Data_Prices!L118/Data_Prices!L117-1</f>
        <v>-0.00816667738409094</v>
      </c>
      <c r="M118" s="32" t="n">
        <f aca="false">Data_Prices!M118/Data_Prices!M117-1</f>
        <v>-0.034914950760967</v>
      </c>
      <c r="N118" s="32" t="n">
        <f aca="false">Data_Prices!N118/Data_Prices!N117-1</f>
        <v>-0.00931826117318435</v>
      </c>
      <c r="O118" s="32" t="n">
        <f aca="false">Data_Prices!O118/Data_Prices!O117-1</f>
        <v>-0.0162233540841351</v>
      </c>
      <c r="P118" s="32" t="n">
        <f aca="false">Data_Prices!P118/Data_Prices!P117-1</f>
        <v>-0.0127225208343608</v>
      </c>
      <c r="Q118" s="32" t="n">
        <f aca="false">Data_Prices!Q118/Data_Prices!Q117-1</f>
        <v>0.0043210902443076</v>
      </c>
      <c r="R118" s="32" t="n">
        <f aca="false">Data_Prices!R118/Data_Prices!R117-1</f>
        <v>-0.0148600238821813</v>
      </c>
      <c r="S118" s="32" t="n">
        <f aca="false">Data_Prices!S118/Data_Prices!S117-1</f>
        <v>-0.0175973721257625</v>
      </c>
      <c r="T118" s="32" t="n">
        <f aca="false">AVERAGE(D118:S118)</f>
        <v>-0.0139719198499705</v>
      </c>
      <c r="U118" s="32" t="n">
        <f aca="false">AVERAGE(J118:S118)</f>
        <v>-0.0138256455533286</v>
      </c>
      <c r="V118" s="32" t="n">
        <f aca="false">AVERAGE(D118:I118)</f>
        <v>-0.0142157103443736</v>
      </c>
      <c r="W118" s="32" t="n">
        <f aca="false">AVERAGE(K118,Q118,R118)</f>
        <v>-0.0081757442119399</v>
      </c>
      <c r="X118" s="32" t="n">
        <f aca="false">AVERAGE(K118,L118,N118,O118,P118,Q118,R118,S118)</f>
        <v>-0.0110694272796692</v>
      </c>
      <c r="Y118" s="32" t="n">
        <f aca="false">AVERAGE(J118,L118,M118,N118,O118,P118,Q118,R118,S118)</f>
        <v>-0.0138075729483711</v>
      </c>
      <c r="Z118" s="32" t="n">
        <f aca="false">U118-V118</f>
        <v>0.000390064791044998</v>
      </c>
      <c r="AA118" s="32" t="n">
        <f aca="false">W118-V118</f>
        <v>0.00603996613243368</v>
      </c>
    </row>
    <row r="119" customFormat="false" ht="15" hidden="false" customHeight="false" outlineLevel="0" collapsed="false">
      <c r="A119" s="28" t="n">
        <f aca="false">Data_Prices!A119</f>
        <v>44971</v>
      </c>
      <c r="B119" s="32" t="n">
        <f aca="false">Data_Prices!B119/Data_Prices!B118-1</f>
        <v>0.00894439786392343</v>
      </c>
      <c r="C119" s="32" t="n">
        <f aca="false">Data_Prices!C119/Data_Prices!C118-1</f>
        <v>0.00459044998489988</v>
      </c>
      <c r="D119" s="32" t="n">
        <f aca="false">Data_Prices!D119/Data_Prices!D118-1</f>
        <v>-0.0163263280649084</v>
      </c>
      <c r="E119" s="32" t="n">
        <f aca="false">Data_Prices!E119/Data_Prices!E118-1</f>
        <v>-0.00109973775484307</v>
      </c>
      <c r="F119" s="32" t="n">
        <f aca="false">Data_Prices!F119/Data_Prices!F118-1</f>
        <v>-0.0215865100715176</v>
      </c>
      <c r="G119" s="32" t="n">
        <f aca="false">Data_Prices!G119/Data_Prices!G118-1</f>
        <v>0.00405515004055146</v>
      </c>
      <c r="H119" s="32" t="n">
        <f aca="false">Data_Prices!H119/Data_Prices!H118-1</f>
        <v>0.00660507592651571</v>
      </c>
      <c r="I119" s="32" t="n">
        <f aca="false">Data_Prices!I119/Data_Prices!I118-1</f>
        <v>-0.0314943527367506</v>
      </c>
      <c r="J119" s="32" t="n">
        <f aca="false">Data_Prices!J119/Data_Prices!J118-1</f>
        <v>-0.0706113913150449</v>
      </c>
      <c r="K119" s="32" t="n">
        <f aca="false">Data_Prices!K119/Data_Prices!K118-1</f>
        <v>0.0178320629961022</v>
      </c>
      <c r="L119" s="32" t="n">
        <f aca="false">Data_Prices!L119/Data_Prices!L118-1</f>
        <v>0.00641856846473021</v>
      </c>
      <c r="M119" s="32" t="n">
        <f aca="false">Data_Prices!M119/Data_Prices!M118-1</f>
        <v>-0.0153879733711666</v>
      </c>
      <c r="N119" s="32" t="n">
        <f aca="false">Data_Prices!N119/Data_Prices!N118-1</f>
        <v>-0.00718109126153721</v>
      </c>
      <c r="O119" s="32" t="n">
        <f aca="false">Data_Prices!O119/Data_Prices!O118-1</f>
        <v>0.0051773729626079</v>
      </c>
      <c r="P119" s="32" t="n">
        <f aca="false">Data_Prices!P119/Data_Prices!P118-1</f>
        <v>-0.000649318215873329</v>
      </c>
      <c r="Q119" s="32" t="n">
        <f aca="false">Data_Prices!Q119/Data_Prices!Q118-1</f>
        <v>0.0349164322356446</v>
      </c>
      <c r="R119" s="32" t="n">
        <f aca="false">Data_Prices!R119/Data_Prices!R118-1</f>
        <v>0.00707070707070701</v>
      </c>
      <c r="S119" s="32" t="n">
        <f aca="false">Data_Prices!S119/Data_Prices!S118-1</f>
        <v>0.011225220921901</v>
      </c>
      <c r="T119" s="32" t="n">
        <f aca="false">AVERAGE(D119:S119)</f>
        <v>-0.0044397570108051</v>
      </c>
      <c r="U119" s="32" t="n">
        <f aca="false">AVERAGE(J119:S119)</f>
        <v>-0.00111894095119292</v>
      </c>
      <c r="V119" s="32" t="n">
        <f aca="false">AVERAGE(D119:I119)</f>
        <v>-0.00997445044349208</v>
      </c>
      <c r="W119" s="32" t="n">
        <f aca="false">AVERAGE(K119,Q119,R119)</f>
        <v>0.0199397341008179</v>
      </c>
      <c r="X119" s="32" t="n">
        <f aca="false">AVERAGE(K119,L119,N119,O119,P119,Q119,R119,S119)</f>
        <v>0.00935124439678529</v>
      </c>
      <c r="Y119" s="32" t="n">
        <f aca="false">AVERAGE(J119,L119,M119,N119,O119,P119,Q119,R119,S119)</f>
        <v>-0.00322460805644793</v>
      </c>
      <c r="Z119" s="32" t="n">
        <f aca="false">U119-V119</f>
        <v>0.00885550949229917</v>
      </c>
      <c r="AA119" s="32" t="n">
        <f aca="false">W119-V119</f>
        <v>0.02991418454431</v>
      </c>
    </row>
    <row r="120" customFormat="false" ht="15" hidden="false" customHeight="false" outlineLevel="0" collapsed="false">
      <c r="A120" s="28" t="n">
        <f aca="false">Data_Prices!A120</f>
        <v>44972</v>
      </c>
      <c r="B120" s="32" t="n">
        <f aca="false">Data_Prices!B120/Data_Prices!B119-1</f>
        <v>0.00479647068993883</v>
      </c>
      <c r="C120" s="32" t="n">
        <f aca="false">Data_Prices!C120/Data_Prices!C119-1</f>
        <v>0.00472646620660178</v>
      </c>
      <c r="D120" s="32" t="n">
        <f aca="false">Data_Prices!D120/Data_Prices!D119-1</f>
        <v>-0.0184386429562365</v>
      </c>
      <c r="E120" s="32" t="n">
        <f aca="false">Data_Prices!E120/Data_Prices!E119-1</f>
        <v>0.00745257452574522</v>
      </c>
      <c r="F120" s="32" t="n">
        <f aca="false">Data_Prices!F120/Data_Prices!F119-1</f>
        <v>0.00321888412017168</v>
      </c>
      <c r="G120" s="32" t="n">
        <f aca="false">Data_Prices!G120/Data_Prices!G119-1</f>
        <v>0.00350026925148095</v>
      </c>
      <c r="H120" s="32" t="n">
        <f aca="false">Data_Prices!H120/Data_Prices!H119-1</f>
        <v>-0.0140729175457843</v>
      </c>
      <c r="I120" s="32" t="n">
        <f aca="false">Data_Prices!I120/Data_Prices!I119-1</f>
        <v>-0.020632428795694</v>
      </c>
      <c r="J120" s="32" t="n">
        <f aca="false">Data_Prices!J120/Data_Prices!J119-1</f>
        <v>0.00238252812706818</v>
      </c>
      <c r="K120" s="32" t="n">
        <f aca="false">Data_Prices!K120/Data_Prices!K119-1</f>
        <v>0.00483728429898145</v>
      </c>
      <c r="L120" s="32" t="n">
        <f aca="false">Data_Prices!L120/Data_Prices!L119-1</f>
        <v>0.00837466984474644</v>
      </c>
      <c r="M120" s="32" t="n">
        <f aca="false">Data_Prices!M120/Data_Prices!M119-1</f>
        <v>0.0320328086898691</v>
      </c>
      <c r="N120" s="32" t="n">
        <f aca="false">Data_Prices!N120/Data_Prices!N119-1</f>
        <v>-0.0221872157262986</v>
      </c>
      <c r="O120" s="32" t="n">
        <f aca="false">Data_Prices!O120/Data_Prices!O119-1</f>
        <v>0.00305227012590592</v>
      </c>
      <c r="P120" s="32" t="n">
        <f aca="false">Data_Prices!P120/Data_Prices!P119-1</f>
        <v>-0.00149940023990403</v>
      </c>
      <c r="Q120" s="32" t="n">
        <f aca="false">Data_Prices!Q120/Data_Prices!Q119-1</f>
        <v>0.00767508794371619</v>
      </c>
      <c r="R120" s="32" t="n">
        <f aca="false">Data_Prices!R120/Data_Prices!R119-1</f>
        <v>0.0115680374456704</v>
      </c>
      <c r="S120" s="32" t="n">
        <f aca="false">Data_Prices!S120/Data_Prices!S119-1</f>
        <v>0.00196819398519921</v>
      </c>
      <c r="T120" s="32" t="n">
        <f aca="false">AVERAGE(D120:S120)</f>
        <v>0.000577000193414827</v>
      </c>
      <c r="U120" s="32" t="n">
        <f aca="false">AVERAGE(J120:S120)</f>
        <v>0.00482042644949543</v>
      </c>
      <c r="V120" s="32" t="n">
        <f aca="false">AVERAGE(D120:I120)</f>
        <v>-0.00649537690005284</v>
      </c>
      <c r="W120" s="32" t="n">
        <f aca="false">AVERAGE(K120,Q120,R120)</f>
        <v>0.008026803229456</v>
      </c>
      <c r="X120" s="32" t="n">
        <f aca="false">AVERAGE(K120,L120,N120,O120,P120,Q120,R120,S120)</f>
        <v>0.00172361595975212</v>
      </c>
      <c r="Y120" s="32" t="n">
        <f aca="false">AVERAGE(J120,L120,M120,N120,O120,P120,Q120,R120,S120)</f>
        <v>0.00481855335510809</v>
      </c>
      <c r="Z120" s="32" t="n">
        <f aca="false">U120-V120</f>
        <v>0.0113158033495483</v>
      </c>
      <c r="AA120" s="32" t="n">
        <f aca="false">W120-V120</f>
        <v>0.0145221801295088</v>
      </c>
    </row>
    <row r="121" customFormat="false" ht="15" hidden="false" customHeight="false" outlineLevel="0" collapsed="false">
      <c r="A121" s="28" t="n">
        <f aca="false">Data_Prices!A121</f>
        <v>44973</v>
      </c>
      <c r="B121" s="32" t="n">
        <f aca="false">Data_Prices!B121/Data_Prices!B120-1</f>
        <v>0.00111013357682266</v>
      </c>
      <c r="C121" s="32" t="n">
        <f aca="false">Data_Prices!C121/Data_Prices!C120-1</f>
        <v>0.00293224908824352</v>
      </c>
      <c r="D121" s="32" t="n">
        <f aca="false">Data_Prices!D121/Data_Prices!D120-1</f>
        <v>-0.0255178085007967</v>
      </c>
      <c r="E121" s="32" t="n">
        <f aca="false">Data_Prices!E121/Data_Prices!E120-1</f>
        <v>-0.0138702084734365</v>
      </c>
      <c r="F121" s="32" t="n">
        <f aca="false">Data_Prices!F121/Data_Prices!F120-1</f>
        <v>-0.0171791443850268</v>
      </c>
      <c r="G121" s="32" t="n">
        <f aca="false">Data_Prices!G121/Data_Prices!G120-1</f>
        <v>-0.00160987389321166</v>
      </c>
      <c r="H121" s="32" t="n">
        <f aca="false">Data_Prices!H121/Data_Prices!H120-1</f>
        <v>0.0390977765413341</v>
      </c>
      <c r="I121" s="32" t="n">
        <f aca="false">Data_Prices!I121/Data_Prices!I120-1</f>
        <v>-0.0194641630409892</v>
      </c>
      <c r="J121" s="32" t="n">
        <f aca="false">Data_Prices!J121/Data_Prices!J120-1</f>
        <v>-0.00855011224085556</v>
      </c>
      <c r="K121" s="32" t="n">
        <f aca="false">Data_Prices!K121/Data_Prices!K120-1</f>
        <v>-0.00810047677091852</v>
      </c>
      <c r="L121" s="32" t="n">
        <f aca="false">Data_Prices!L121/Data_Prices!L120-1</f>
        <v>-0.000511084137226114</v>
      </c>
      <c r="M121" s="32" t="n">
        <f aca="false">Data_Prices!M121/Data_Prices!M120-1</f>
        <v>0.0226076683492642</v>
      </c>
      <c r="N121" s="32" t="n">
        <f aca="false">Data_Prices!N121/Data_Prices!N120-1</f>
        <v>0.00780558644006257</v>
      </c>
      <c r="O121" s="32" t="n">
        <f aca="false">Data_Prices!O121/Data_Prices!O120-1</f>
        <v>0.0155952833777102</v>
      </c>
      <c r="P121" s="32" t="n">
        <f aca="false">Data_Prices!P121/Data_Prices!P120-1</f>
        <v>-0.0080588647512263</v>
      </c>
      <c r="Q121" s="32" t="n">
        <f aca="false">Data_Prices!Q121/Data_Prices!Q120-1</f>
        <v>0.0195176134560455</v>
      </c>
      <c r="R121" s="32" t="n">
        <f aca="false">Data_Prices!R121/Data_Prices!R120-1</f>
        <v>0.00482548915917502</v>
      </c>
      <c r="S121" s="32" t="n">
        <f aca="false">Data_Prices!S121/Data_Prices!S120-1</f>
        <v>-0.0110002357193367</v>
      </c>
      <c r="T121" s="32" t="n">
        <f aca="false">AVERAGE(D121:S121)</f>
        <v>-0.000275784661839522</v>
      </c>
      <c r="U121" s="32" t="n">
        <f aca="false">AVERAGE(J121:S121)</f>
        <v>0.00341308671626943</v>
      </c>
      <c r="V121" s="32" t="n">
        <f aca="false">AVERAGE(D121:I121)</f>
        <v>-0.00642390362535444</v>
      </c>
      <c r="W121" s="32" t="n">
        <f aca="false">AVERAGE(K121,Q121,R121)</f>
        <v>0.00541420861476734</v>
      </c>
      <c r="X121" s="32" t="n">
        <f aca="false">AVERAGE(K121,L121,N121,O121,P121,Q121,R121,S121)</f>
        <v>0.00250916388178571</v>
      </c>
      <c r="Y121" s="32" t="n">
        <f aca="false">AVERAGE(J121,L121,M121,N121,O121,P121,Q121,R121,S121)</f>
        <v>0.0046923715481792</v>
      </c>
      <c r="Z121" s="32" t="n">
        <f aca="false">U121-V121</f>
        <v>0.00983699034162388</v>
      </c>
      <c r="AA121" s="32" t="n">
        <f aca="false">W121-V121</f>
        <v>0.0118381122401218</v>
      </c>
    </row>
    <row r="122" customFormat="false" ht="15" hidden="false" customHeight="false" outlineLevel="0" collapsed="false">
      <c r="A122" s="28" t="n">
        <f aca="false">Data_Prices!A122</f>
        <v>44974</v>
      </c>
      <c r="B122" s="32" t="n">
        <f aca="false">Data_Prices!B122/Data_Prices!B121-1</f>
        <v>-0.00508154592104049</v>
      </c>
      <c r="C122" s="32" t="n">
        <f aca="false">Data_Prices!C122/Data_Prices!C121-1</f>
        <v>-0.00529046158945878</v>
      </c>
      <c r="D122" s="32" t="n">
        <f aca="false">Data_Prices!D122/Data_Prices!D121-1</f>
        <v>-0.00398196250098892</v>
      </c>
      <c r="E122" s="32" t="n">
        <f aca="false">Data_Prices!E122/Data_Prices!E121-1</f>
        <v>-0.0131276106043814</v>
      </c>
      <c r="F122" s="32" t="n">
        <f aca="false">Data_Prices!F122/Data_Prices!F121-1</f>
        <v>0.0375433584982656</v>
      </c>
      <c r="G122" s="32" t="n">
        <f aca="false">Data_Prices!G122/Data_Prices!G121-1</f>
        <v>-0.0155872077398549</v>
      </c>
      <c r="H122" s="32" t="n">
        <f aca="false">Data_Prices!H122/Data_Prices!H121-1</f>
        <v>0.0127893566191613</v>
      </c>
      <c r="I122" s="32" t="n">
        <f aca="false">Data_Prices!I122/Data_Prices!I121-1</f>
        <v>0.00256889304063535</v>
      </c>
      <c r="J122" s="32" t="n">
        <f aca="false">Data_Prices!J122/Data_Prices!J121-1</f>
        <v>-0.0203775846568776</v>
      </c>
      <c r="K122" s="32" t="n">
        <f aca="false">Data_Prices!K122/Data_Prices!K121-1</f>
        <v>-0.00320443020253247</v>
      </c>
      <c r="L122" s="32" t="n">
        <f aca="false">Data_Prices!L122/Data_Prices!L121-1</f>
        <v>-0.00370725471396605</v>
      </c>
      <c r="M122" s="32" t="n">
        <f aca="false">Data_Prices!M122/Data_Prices!M121-1</f>
        <v>0.00236307304521355</v>
      </c>
      <c r="N122" s="32" t="n">
        <f aca="false">Data_Prices!N122/Data_Prices!N121-1</f>
        <v>-0.00468310255544291</v>
      </c>
      <c r="O122" s="32" t="n">
        <f aca="false">Data_Prices!O122/Data_Prices!O121-1</f>
        <v>-0.0177902621722846</v>
      </c>
      <c r="P122" s="32" t="n">
        <f aca="false">Data_Prices!P122/Data_Prices!P121-1</f>
        <v>-0.00968865115809658</v>
      </c>
      <c r="Q122" s="32" t="n">
        <f aca="false">Data_Prices!Q122/Data_Prices!Q121-1</f>
        <v>-0.0216342412451361</v>
      </c>
      <c r="R122" s="32" t="n">
        <f aca="false">Data_Prices!R122/Data_Prices!R121-1</f>
        <v>-0.00177619893428049</v>
      </c>
      <c r="S122" s="32" t="n">
        <f aca="false">Data_Prices!S122/Data_Prices!S121-1</f>
        <v>-0.0195439739413681</v>
      </c>
      <c r="T122" s="32" t="n">
        <f aca="false">AVERAGE(D122:S122)</f>
        <v>-0.0049898624513709</v>
      </c>
      <c r="U122" s="32" t="n">
        <f aca="false">AVERAGE(J122:S122)</f>
        <v>-0.0100042626534771</v>
      </c>
      <c r="V122" s="32" t="n">
        <f aca="false">AVERAGE(D122:I122)</f>
        <v>0.00336747121880617</v>
      </c>
      <c r="W122" s="32" t="n">
        <f aca="false">AVERAGE(K122,Q122,R122)</f>
        <v>-0.0088716234606497</v>
      </c>
      <c r="X122" s="32" t="n">
        <f aca="false">AVERAGE(K122,L122,N122,O122,P122,Q122,R122,S122)</f>
        <v>-0.0102535143653884</v>
      </c>
      <c r="Y122" s="32" t="n">
        <f aca="false">AVERAGE(J122,L122,M122,N122,O122,P122,Q122,R122,S122)</f>
        <v>-0.010759799592471</v>
      </c>
      <c r="Z122" s="32" t="n">
        <f aca="false">U122-V122</f>
        <v>-0.0133717338722833</v>
      </c>
      <c r="AA122" s="32" t="n">
        <f aca="false">W122-V122</f>
        <v>-0.0122390946794559</v>
      </c>
    </row>
    <row r="123" customFormat="false" ht="15" hidden="false" customHeight="false" outlineLevel="0" collapsed="false">
      <c r="A123" s="28" t="n">
        <f aca="false">Data_Prices!A123</f>
        <v>44977</v>
      </c>
      <c r="B123" s="32" t="n">
        <f aca="false">Data_Prices!B123/Data_Prices!B122-1</f>
        <v>-0.00555054000735622</v>
      </c>
      <c r="C123" s="32" t="n">
        <f aca="false">Data_Prices!C123/Data_Prices!C122-1</f>
        <v>-0.00435218725735564</v>
      </c>
      <c r="D123" s="32" t="n">
        <f aca="false">Data_Prices!D123/Data_Prices!D122-1</f>
        <v>0.0120995499073338</v>
      </c>
      <c r="E123" s="32" t="n">
        <f aca="false">Data_Prices!E123/Data_Prices!E122-1</f>
        <v>0.0192623304828539</v>
      </c>
      <c r="F123" s="32" t="n">
        <f aca="false">Data_Prices!F123/Data_Prices!F122-1</f>
        <v>-0.00858734841035724</v>
      </c>
      <c r="G123" s="32" t="n">
        <f aca="false">Data_Prices!G123/Data_Prices!G122-1</f>
        <v>-0.0166530166530167</v>
      </c>
      <c r="H123" s="32" t="n">
        <f aca="false">Data_Prices!H123/Data_Prices!H122-1</f>
        <v>-0.0217378042580881</v>
      </c>
      <c r="I123" s="32" t="n">
        <f aca="false">Data_Prices!I123/Data_Prices!I122-1</f>
        <v>0.000465874679711042</v>
      </c>
      <c r="J123" s="32" t="n">
        <f aca="false">Data_Prices!J123/Data_Prices!J122-1</f>
        <v>-0.0300465653784712</v>
      </c>
      <c r="K123" s="32" t="n">
        <f aca="false">Data_Prices!K123/Data_Prices!K122-1</f>
        <v>-0.00769350811485636</v>
      </c>
      <c r="L123" s="32" t="n">
        <f aca="false">Data_Prices!L123/Data_Prices!L122-1</f>
        <v>-0.0118688650798743</v>
      </c>
      <c r="M123" s="32" t="n">
        <f aca="false">Data_Prices!M123/Data_Prices!M122-1</f>
        <v>0.0484073763621125</v>
      </c>
      <c r="N123" s="32" t="n">
        <f aca="false">Data_Prices!N123/Data_Prices!N122-1</f>
        <v>-0.00692198068179251</v>
      </c>
      <c r="O123" s="32" t="n">
        <f aca="false">Data_Prices!O123/Data_Prices!O122-1</f>
        <v>-0.00743565300285987</v>
      </c>
      <c r="P123" s="32" t="n">
        <f aca="false">Data_Prices!P123/Data_Prices!P122-1</f>
        <v>0.0089171974522293</v>
      </c>
      <c r="Q123" s="32" t="n">
        <f aca="false">Data_Prices!Q123/Data_Prices!Q122-1</f>
        <v>-0.00731784918867329</v>
      </c>
      <c r="R123" s="32" t="n">
        <f aca="false">Data_Prices!R123/Data_Prices!R122-1</f>
        <v>-0.00210887043627261</v>
      </c>
      <c r="S123" s="32" t="n">
        <f aca="false">Data_Prices!S123/Data_Prices!S122-1</f>
        <v>0.00251195202981935</v>
      </c>
      <c r="T123" s="32" t="n">
        <f aca="false">AVERAGE(D123:S123)</f>
        <v>-0.00179419876813765</v>
      </c>
      <c r="U123" s="32" t="n">
        <f aca="false">AVERAGE(J123:S123)</f>
        <v>-0.0013556766038639</v>
      </c>
      <c r="V123" s="32" t="n">
        <f aca="false">AVERAGE(D123:I123)</f>
        <v>-0.00252506904192723</v>
      </c>
      <c r="W123" s="32" t="n">
        <f aca="false">AVERAGE(K123,Q123,R123)</f>
        <v>-0.00570674257993409</v>
      </c>
      <c r="X123" s="32" t="n">
        <f aca="false">AVERAGE(K123,L123,N123,O123,P123,Q123,R123,S123)</f>
        <v>-0.00398969712778503</v>
      </c>
      <c r="Y123" s="32" t="n">
        <f aca="false">AVERAGE(J123,L123,M123,N123,O123,P123,Q123,R123,S123)</f>
        <v>-0.000651473102642513</v>
      </c>
      <c r="Z123" s="32" t="n">
        <f aca="false">U123-V123</f>
        <v>0.00116939243806333</v>
      </c>
      <c r="AA123" s="32" t="n">
        <f aca="false">W123-V123</f>
        <v>-0.00318167353800686</v>
      </c>
    </row>
    <row r="124" customFormat="false" ht="15" hidden="false" customHeight="false" outlineLevel="0" collapsed="false">
      <c r="A124" s="28" t="n">
        <f aca="false">Data_Prices!A124</f>
        <v>44978</v>
      </c>
      <c r="B124" s="32" t="n">
        <f aca="false">Data_Prices!B124/Data_Prices!B123-1</f>
        <v>-0.00100310458065733</v>
      </c>
      <c r="C124" s="32" t="n">
        <f aca="false">Data_Prices!C124/Data_Prices!C123-1</f>
        <v>-0.00165342919206213</v>
      </c>
      <c r="D124" s="32" t="n">
        <f aca="false">Data_Prices!D124/Data_Prices!D123-1</f>
        <v>-0.00551965887984929</v>
      </c>
      <c r="E124" s="32" t="n">
        <f aca="false">Data_Prices!E124/Data_Prices!E123-1</f>
        <v>-0.0198305084745763</v>
      </c>
      <c r="F124" s="32" t="n">
        <f aca="false">Data_Prices!F124/Data_Prices!F123-1</f>
        <v>-0.0281671515472098</v>
      </c>
      <c r="G124" s="32" t="n">
        <f aca="false">Data_Prices!G124/Data_Prices!G123-1</f>
        <v>-0.00541365907828983</v>
      </c>
      <c r="H124" s="32" t="n">
        <f aca="false">Data_Prices!H124/Data_Prices!H123-1</f>
        <v>-0.0175438596491228</v>
      </c>
      <c r="I124" s="32" t="n">
        <f aca="false">Data_Prices!I124/Data_Prices!I123-1</f>
        <v>0.00791618160651919</v>
      </c>
      <c r="J124" s="32" t="n">
        <f aca="false">Data_Prices!J124/Data_Prices!J123-1</f>
        <v>0.00325892700704356</v>
      </c>
      <c r="K124" s="32" t="n">
        <f aca="false">Data_Prices!K124/Data_Prices!K123-1</f>
        <v>0.0018714517118279</v>
      </c>
      <c r="L124" s="32" t="n">
        <f aca="false">Data_Prices!L124/Data_Prices!L123-1</f>
        <v>0.00428515777171801</v>
      </c>
      <c r="M124" s="32" t="n">
        <f aca="false">Data_Prices!M124/Data_Prices!M123-1</f>
        <v>-0.0122426544073556</v>
      </c>
      <c r="N124" s="32" t="n">
        <f aca="false">Data_Prices!N124/Data_Prices!N123-1</f>
        <v>-0.0274481219106627</v>
      </c>
      <c r="O124" s="32" t="n">
        <f aca="false">Data_Prices!O124/Data_Prices!O123-1</f>
        <v>-0.0161352285824049</v>
      </c>
      <c r="P124" s="32" t="n">
        <f aca="false">Data_Prices!P124/Data_Prices!P123-1</f>
        <v>-0.00424242424242427</v>
      </c>
      <c r="Q124" s="32" t="n">
        <f aca="false">Data_Prices!Q124/Data_Prices!Q123-1</f>
        <v>-0.0113782051282052</v>
      </c>
      <c r="R124" s="32" t="n">
        <f aca="false">Data_Prices!R124/Data_Prices!R123-1</f>
        <v>-0.0151895390305111</v>
      </c>
      <c r="S124" s="32" t="n">
        <f aca="false">Data_Prices!S124/Data_Prices!S123-1</f>
        <v>-0.0179841577756223</v>
      </c>
      <c r="T124" s="32" t="n">
        <f aca="false">AVERAGE(D124:S124)</f>
        <v>-0.0102352156630703</v>
      </c>
      <c r="U124" s="32" t="n">
        <f aca="false">AVERAGE(J124:S124)</f>
        <v>-0.00952047945865967</v>
      </c>
      <c r="V124" s="32" t="n">
        <f aca="false">AVERAGE(D124:I124)</f>
        <v>-0.0114264426704215</v>
      </c>
      <c r="W124" s="32" t="n">
        <f aca="false">AVERAGE(K124,Q124,R124)</f>
        <v>-0.00823209748229614</v>
      </c>
      <c r="X124" s="32" t="n">
        <f aca="false">AVERAGE(K124,L124,N124,O124,P124,Q124,R124,S124)</f>
        <v>-0.0107776333982856</v>
      </c>
      <c r="Y124" s="32" t="n">
        <f aca="false">AVERAGE(J124,L124,M124,N124,O124,P124,Q124,R124,S124)</f>
        <v>-0.0107862495887138</v>
      </c>
      <c r="Z124" s="32" t="n">
        <f aca="false">U124-V124</f>
        <v>0.00190596321176181</v>
      </c>
      <c r="AA124" s="32" t="n">
        <f aca="false">W124-V124</f>
        <v>0.00319434518812534</v>
      </c>
    </row>
    <row r="125" customFormat="false" ht="15" hidden="false" customHeight="false" outlineLevel="0" collapsed="false">
      <c r="A125" s="28" t="n">
        <f aca="false">Data_Prices!A125</f>
        <v>44979</v>
      </c>
      <c r="B125" s="32" t="n">
        <f aca="false">Data_Prices!B125/Data_Prices!B124-1</f>
        <v>-0.0152804501113499</v>
      </c>
      <c r="C125" s="32" t="n">
        <f aca="false">Data_Prices!C125/Data_Prices!C124-1</f>
        <v>-0.014218231923803</v>
      </c>
      <c r="D125" s="32" t="n">
        <f aca="false">Data_Prices!D125/Data_Prices!D124-1</f>
        <v>0.00265677609427617</v>
      </c>
      <c r="E125" s="32" t="n">
        <f aca="false">Data_Prices!E125/Data_Prices!E124-1</f>
        <v>-0.0246411896939305</v>
      </c>
      <c r="F125" s="32" t="n">
        <f aca="false">Data_Prices!F125/Data_Prices!F124-1</f>
        <v>0.00231323989658461</v>
      </c>
      <c r="G125" s="32" t="n">
        <f aca="false">Data_Prices!G125/Data_Prices!G124-1</f>
        <v>-0.0139567341242149</v>
      </c>
      <c r="H125" s="32" t="n">
        <f aca="false">Data_Prices!H125/Data_Prices!H124-1</f>
        <v>0.0237389979688558</v>
      </c>
      <c r="I125" s="32" t="n">
        <f aca="false">Data_Prices!I125/Data_Prices!I124-1</f>
        <v>-0.0482790482790483</v>
      </c>
      <c r="J125" s="32" t="n">
        <f aca="false">Data_Prices!J125/Data_Prices!J124-1</f>
        <v>-0.0174641983932937</v>
      </c>
      <c r="K125" s="32" t="n">
        <f aca="false">Data_Prices!K125/Data_Prices!K124-1</f>
        <v>-0.0283175839010453</v>
      </c>
      <c r="L125" s="32" t="n">
        <f aca="false">Data_Prices!L125/Data_Prices!L124-1</f>
        <v>-0.0103439358675976</v>
      </c>
      <c r="M125" s="32" t="n">
        <f aca="false">Data_Prices!M125/Data_Prices!M124-1</f>
        <v>-0.0140132544139222</v>
      </c>
      <c r="N125" s="32" t="n">
        <f aca="false">Data_Prices!N125/Data_Prices!N124-1</f>
        <v>-0.0087596027730934</v>
      </c>
      <c r="O125" s="32" t="n">
        <f aca="false">Data_Prices!O125/Data_Prices!O124-1</f>
        <v>-0.00331901600937146</v>
      </c>
      <c r="P125" s="32" t="n">
        <f aca="false">Data_Prices!P125/Data_Prices!P124-1</f>
        <v>-0.0145059849868127</v>
      </c>
      <c r="Q125" s="32" t="n">
        <f aca="false">Data_Prices!Q125/Data_Prices!Q124-1</f>
        <v>-0.036796887664127</v>
      </c>
      <c r="R125" s="32" t="n">
        <f aca="false">Data_Prices!R125/Data_Prices!R124-1</f>
        <v>-0.00274946351931338</v>
      </c>
      <c r="S125" s="32" t="n">
        <f aca="false">Data_Prices!S125/Data_Prices!S124-1</f>
        <v>-0.00567924605950865</v>
      </c>
      <c r="T125" s="32" t="n">
        <f aca="false">AVERAGE(D125:S125)</f>
        <v>-0.0125073207328477</v>
      </c>
      <c r="U125" s="32" t="n">
        <f aca="false">AVERAGE(J125:S125)</f>
        <v>-0.0141949173588085</v>
      </c>
      <c r="V125" s="32" t="n">
        <f aca="false">AVERAGE(D125:I125)</f>
        <v>-0.00969465968957952</v>
      </c>
      <c r="W125" s="32" t="n">
        <f aca="false">AVERAGE(K125,Q125,R125)</f>
        <v>-0.0226213116948286</v>
      </c>
      <c r="X125" s="32" t="n">
        <f aca="false">AVERAGE(K125,L125,N125,O125,P125,Q125,R125,S125)</f>
        <v>-0.0138089650976087</v>
      </c>
      <c r="Y125" s="32" t="n">
        <f aca="false">AVERAGE(J125,L125,M125,N125,O125,P125,Q125,R125,S125)</f>
        <v>-0.0126257321874489</v>
      </c>
      <c r="Z125" s="32" t="n">
        <f aca="false">U125-V125</f>
        <v>-0.00450025766922903</v>
      </c>
      <c r="AA125" s="32" t="n">
        <f aca="false">W125-V125</f>
        <v>-0.0129266520052491</v>
      </c>
    </row>
    <row r="126" customFormat="false" ht="15" hidden="false" customHeight="false" outlineLevel="0" collapsed="false">
      <c r="A126" s="28" t="n">
        <f aca="false">Data_Prices!A126</f>
        <v>44980</v>
      </c>
      <c r="B126" s="32" t="n">
        <f aca="false">Data_Prices!B126/Data_Prices!B125-1</f>
        <v>-0.00245239058236435</v>
      </c>
      <c r="C126" s="32" t="n">
        <f aca="false">Data_Prices!C126/Data_Prices!C125-1</f>
        <v>-0.0023908474414871</v>
      </c>
      <c r="D126" s="32" t="n">
        <f aca="false">Data_Prices!D126/Data_Prices!D125-1</f>
        <v>0.00209880105989457</v>
      </c>
      <c r="E126" s="32" t="n">
        <f aca="false">Data_Prices!E126/Data_Prices!E125-1</f>
        <v>-0.00124102473184984</v>
      </c>
      <c r="F126" s="32" t="n">
        <f aca="false">Data_Prices!F126/Data_Prices!F125-1</f>
        <v>0.0247081183817539</v>
      </c>
      <c r="G126" s="32" t="n">
        <f aca="false">Data_Prices!G126/Data_Prices!G125-1</f>
        <v>-0.00254777070063683</v>
      </c>
      <c r="H126" s="32" t="n">
        <f aca="false">Data_Prices!H126/Data_Prices!H125-1</f>
        <v>0.0106022403174473</v>
      </c>
      <c r="I126" s="32" t="n">
        <f aca="false">Data_Prices!I126/Data_Prices!I125-1</f>
        <v>-0.0230582524271845</v>
      </c>
      <c r="J126" s="32" t="n">
        <f aca="false">Data_Prices!J126/Data_Prices!J125-1</f>
        <v>-0.0215428368290082</v>
      </c>
      <c r="K126" s="32" t="n">
        <f aca="false">Data_Prices!K126/Data_Prices!K125-1</f>
        <v>0.00059771897515426</v>
      </c>
      <c r="L126" s="32" t="n">
        <f aca="false">Data_Prices!L126/Data_Prices!L125-1</f>
        <v>-0.0181604389861511</v>
      </c>
      <c r="M126" s="32" t="n">
        <f aca="false">Data_Prices!M126/Data_Prices!M125-1</f>
        <v>0.0188814776808619</v>
      </c>
      <c r="N126" s="32" t="n">
        <f aca="false">Data_Prices!N126/Data_Prices!N125-1</f>
        <v>-0.00172487122536746</v>
      </c>
      <c r="O126" s="32" t="n">
        <f aca="false">Data_Prices!O126/Data_Prices!O125-1</f>
        <v>0.00117531831537709</v>
      </c>
      <c r="P126" s="32" t="n">
        <f aca="false">Data_Prices!P126/Data_Prices!P125-1</f>
        <v>-0.014873906330417</v>
      </c>
      <c r="Q126" s="32" t="n">
        <f aca="false">Data_Prices!Q126/Data_Prices!Q125-1</f>
        <v>0.0065634466509592</v>
      </c>
      <c r="R126" s="32" t="n">
        <f aca="false">Data_Prices!R126/Data_Prices!R125-1</f>
        <v>-0.00585031268912639</v>
      </c>
      <c r="S126" s="32" t="n">
        <f aca="false">Data_Prices!S126/Data_Prices!S125-1</f>
        <v>-0.0064152973800754</v>
      </c>
      <c r="T126" s="32" t="n">
        <f aca="false">AVERAGE(D126:S126)</f>
        <v>-0.00192422436989802</v>
      </c>
      <c r="U126" s="32" t="n">
        <f aca="false">AVERAGE(J126:S126)</f>
        <v>-0.0041349701817793</v>
      </c>
      <c r="V126" s="32" t="n">
        <f aca="false">AVERAGE(D126:I126)</f>
        <v>0.00176035198323743</v>
      </c>
      <c r="W126" s="32" t="n">
        <f aca="false">AVERAGE(K126,Q126,R126)</f>
        <v>0.000436950978995691</v>
      </c>
      <c r="X126" s="32" t="n">
        <f aca="false">AVERAGE(K126,L126,N126,O126,P126,Q126,R126,S126)</f>
        <v>-0.00483604283370584</v>
      </c>
      <c r="Y126" s="32" t="n">
        <f aca="false">AVERAGE(J126,L126,M126,N126,O126,P126,Q126,R126,S126)</f>
        <v>-0.00466082453254969</v>
      </c>
      <c r="Z126" s="32" t="n">
        <f aca="false">U126-V126</f>
        <v>-0.00589532216501673</v>
      </c>
      <c r="AA126" s="32" t="n">
        <f aca="false">W126-V126</f>
        <v>-0.00132340100424174</v>
      </c>
    </row>
    <row r="127" customFormat="false" ht="15" hidden="false" customHeight="false" outlineLevel="0" collapsed="false">
      <c r="A127" s="28" t="n">
        <f aca="false">Data_Prices!A127</f>
        <v>44981</v>
      </c>
      <c r="B127" s="32" t="n">
        <f aca="false">Data_Prices!B127/Data_Prices!B126-1</f>
        <v>-0.00259547433792562</v>
      </c>
      <c r="C127" s="32" t="n">
        <f aca="false">Data_Prices!C127/Data_Prices!C126-1</f>
        <v>-0.00247498593757989</v>
      </c>
      <c r="D127" s="32" t="n">
        <f aca="false">Data_Prices!D127/Data_Prices!D126-1</f>
        <v>-0.00251328638374737</v>
      </c>
      <c r="E127" s="32" t="n">
        <f aca="false">Data_Prices!E127/Data_Prices!E126-1</f>
        <v>0.00550279577527291</v>
      </c>
      <c r="F127" s="32" t="n">
        <f aca="false">Data_Prices!F127/Data_Prices!F126-1</f>
        <v>-0.00384207737148912</v>
      </c>
      <c r="G127" s="32" t="n">
        <f aca="false">Data_Prices!G127/Data_Prices!G126-1</f>
        <v>-0.00510855683269484</v>
      </c>
      <c r="H127" s="32" t="n">
        <f aca="false">Data_Prices!H127/Data_Prices!H126-1</f>
        <v>-0.0149082803329312</v>
      </c>
      <c r="I127" s="32" t="n">
        <f aca="false">Data_Prices!I127/Data_Prices!I126-1</f>
        <v>-0.0121739130434783</v>
      </c>
      <c r="J127" s="32" t="n">
        <f aca="false">Data_Prices!J127/Data_Prices!J126-1</f>
        <v>0.0100276122656591</v>
      </c>
      <c r="K127" s="32" t="n">
        <f aca="false">Data_Prices!K127/Data_Prices!K126-1</f>
        <v>0.00547312678603129</v>
      </c>
      <c r="L127" s="32" t="n">
        <f aca="false">Data_Prices!L127/Data_Prices!L126-1</f>
        <v>0.0151031270791751</v>
      </c>
      <c r="M127" s="32" t="n">
        <f aca="false">Data_Prices!M127/Data_Prices!M126-1</f>
        <v>0.00830899385638029</v>
      </c>
      <c r="N127" s="32" t="n">
        <f aca="false">Data_Prices!N127/Data_Prices!N126-1</f>
        <v>-0.00262728111907973</v>
      </c>
      <c r="O127" s="32" t="n">
        <f aca="false">Data_Prices!O127/Data_Prices!O126-1</f>
        <v>0.00508706711015461</v>
      </c>
      <c r="P127" s="32" t="n">
        <f aca="false">Data_Prices!P127/Data_Prices!P126-1</f>
        <v>0.00872472702575622</v>
      </c>
      <c r="Q127" s="32" t="n">
        <f aca="false">Data_Prices!Q127/Data_Prices!Q126-1</f>
        <v>-0.0145460625313494</v>
      </c>
      <c r="R127" s="32" t="n">
        <f aca="false">Data_Prices!R127/Data_Prices!R126-1</f>
        <v>0.00967261904761907</v>
      </c>
      <c r="S127" s="32" t="n">
        <f aca="false">Data_Prices!S127/Data_Prices!S126-1</f>
        <v>0.0151212196950763</v>
      </c>
      <c r="T127" s="32" t="n">
        <f aca="false">AVERAGE(D127:S127)</f>
        <v>0.00170636443914718</v>
      </c>
      <c r="U127" s="32" t="n">
        <f aca="false">AVERAGE(J127:S127)</f>
        <v>0.00603451492154228</v>
      </c>
      <c r="V127" s="32" t="n">
        <f aca="false">AVERAGE(D127:I127)</f>
        <v>-0.00550721969817799</v>
      </c>
      <c r="W127" s="32" t="n">
        <f aca="false">AVERAGE(K127,Q127,R127)</f>
        <v>0.000199894434100327</v>
      </c>
      <c r="X127" s="32" t="n">
        <f aca="false">AVERAGE(K127,L127,N127,O127,P127,Q127,R127,S127)</f>
        <v>0.00525106788667293</v>
      </c>
      <c r="Y127" s="32" t="n">
        <f aca="false">AVERAGE(J127,L127,M127,N127,O127,P127,Q127,R127,S127)</f>
        <v>0.0060968913810435</v>
      </c>
      <c r="Z127" s="32" t="n">
        <f aca="false">U127-V127</f>
        <v>0.0115417346197203</v>
      </c>
      <c r="AA127" s="32" t="n">
        <f aca="false">W127-V127</f>
        <v>0.00570711413227831</v>
      </c>
    </row>
    <row r="128" customFormat="false" ht="15" hidden="false" customHeight="false" outlineLevel="0" collapsed="false">
      <c r="A128" s="28" t="n">
        <f aca="false">Data_Prices!A128</f>
        <v>44984</v>
      </c>
      <c r="B128" s="32" t="n">
        <f aca="false">Data_Prices!B128/Data_Prices!B127-1</f>
        <v>-0.00418532217247414</v>
      </c>
      <c r="C128" s="32" t="n">
        <f aca="false">Data_Prices!C128/Data_Prices!C127-1</f>
        <v>-0.00558766135012934</v>
      </c>
      <c r="D128" s="32" t="n">
        <f aca="false">Data_Prices!D128/Data_Prices!D127-1</f>
        <v>-0.0204719036245767</v>
      </c>
      <c r="E128" s="32" t="n">
        <f aca="false">Data_Prices!E128/Data_Prices!E127-1</f>
        <v>0.00662017830346895</v>
      </c>
      <c r="F128" s="32" t="n">
        <f aca="false">Data_Prices!F128/Data_Prices!F127-1</f>
        <v>-0.0158930708870859</v>
      </c>
      <c r="G128" s="32" t="n">
        <f aca="false">Data_Prices!G128/Data_Prices!G127-1</f>
        <v>-0.000142633005277504</v>
      </c>
      <c r="H128" s="32" t="n">
        <f aca="false">Data_Prices!H128/Data_Prices!H127-1</f>
        <v>-0.00763960971559063</v>
      </c>
      <c r="I128" s="32" t="n">
        <f aca="false">Data_Prices!I128/Data_Prices!I127-1</f>
        <v>-0.0394869215291752</v>
      </c>
      <c r="J128" s="32" t="n">
        <f aca="false">Data_Prices!J128/Data_Prices!J127-1</f>
        <v>0.0040287769784173</v>
      </c>
      <c r="K128" s="32" t="n">
        <f aca="false">Data_Prices!K128/Data_Prices!K127-1</f>
        <v>-0.00669578342271737</v>
      </c>
      <c r="L128" s="32" t="n">
        <f aca="false">Data_Prices!L128/Data_Prices!L127-1</f>
        <v>-0.000917611588123535</v>
      </c>
      <c r="M128" s="32" t="n">
        <f aca="false">Data_Prices!M128/Data_Prices!M127-1</f>
        <v>-0.0233231783449034</v>
      </c>
      <c r="N128" s="32" t="n">
        <f aca="false">Data_Prices!N128/Data_Prices!N127-1</f>
        <v>-0.0176325406996061</v>
      </c>
      <c r="O128" s="32" t="n">
        <f aca="false">Data_Prices!O128/Data_Prices!O127-1</f>
        <v>-0.0190772824605803</v>
      </c>
      <c r="P128" s="32" t="n">
        <f aca="false">Data_Prices!P128/Data_Prices!P127-1</f>
        <v>-0.00688833644085352</v>
      </c>
      <c r="Q128" s="32" t="n">
        <f aca="false">Data_Prices!Q128/Data_Prices!Q127-1</f>
        <v>-0.01017984390906</v>
      </c>
      <c r="R128" s="32" t="n">
        <f aca="false">Data_Prices!R128/Data_Prices!R127-1</f>
        <v>0.000200978093387816</v>
      </c>
      <c r="S128" s="32" t="n">
        <f aca="false">Data_Prices!S128/Data_Prices!S127-1</f>
        <v>-0.0127621158028642</v>
      </c>
      <c r="T128" s="32" t="n">
        <f aca="false">AVERAGE(D128:S128)</f>
        <v>-0.0106413061284463</v>
      </c>
      <c r="U128" s="32" t="n">
        <f aca="false">AVERAGE(J128:S128)</f>
        <v>-0.00932469375969033</v>
      </c>
      <c r="V128" s="32" t="n">
        <f aca="false">AVERAGE(D128:I128)</f>
        <v>-0.0128356600763728</v>
      </c>
      <c r="W128" s="32" t="n">
        <f aca="false">AVERAGE(K128,Q128,R128)</f>
        <v>-0.00555821641279652</v>
      </c>
      <c r="X128" s="32" t="n">
        <f aca="false">AVERAGE(K128,L128,N128,O128,P128,Q128,R128,S128)</f>
        <v>-0.00924406702880215</v>
      </c>
      <c r="Y128" s="32" t="n">
        <f aca="false">AVERAGE(J128,L128,M128,N128,O128,P128,Q128,R128,S128)</f>
        <v>-0.00961679490824288</v>
      </c>
      <c r="Z128" s="32" t="n">
        <f aca="false">U128-V128</f>
        <v>0.00351096631668251</v>
      </c>
      <c r="AA128" s="32" t="n">
        <f aca="false">W128-V128</f>
        <v>0.00727744366357632</v>
      </c>
    </row>
    <row r="129" customFormat="false" ht="15" hidden="false" customHeight="false" outlineLevel="0" collapsed="false">
      <c r="A129" s="28" t="n">
        <f aca="false">Data_Prices!A129</f>
        <v>44985</v>
      </c>
      <c r="B129" s="32" t="n">
        <f aca="false">Data_Prices!B129/Data_Prices!B128-1</f>
        <v>-0.00510271550708052</v>
      </c>
      <c r="C129" s="32" t="n">
        <f aca="false">Data_Prices!C129/Data_Prices!C128-1</f>
        <v>-0.00205860317416684</v>
      </c>
      <c r="D129" s="32" t="n">
        <f aca="false">Data_Prices!D129/Data_Prices!D128-1</f>
        <v>-0.0204442539053079</v>
      </c>
      <c r="E129" s="32" t="n">
        <f aca="false">Data_Prices!E129/Data_Prices!E128-1</f>
        <v>0.00876885303402308</v>
      </c>
      <c r="F129" s="32" t="n">
        <f aca="false">Data_Prices!F129/Data_Prices!F128-1</f>
        <v>-0.0206770727751876</v>
      </c>
      <c r="G129" s="32" t="n">
        <f aca="false">Data_Prices!G129/Data_Prices!G128-1</f>
        <v>0.000142653352353861</v>
      </c>
      <c r="H129" s="32" t="n">
        <f aca="false">Data_Prices!H129/Data_Prices!H128-1</f>
        <v>0.0347475001045983</v>
      </c>
      <c r="I129" s="32" t="n">
        <f aca="false">Data_Prices!I129/Data_Prices!I128-1</f>
        <v>0.0199004975124379</v>
      </c>
      <c r="J129" s="32" t="n">
        <f aca="false">Data_Prices!J129/Data_Prices!J128-1</f>
        <v>-0.00583978217254222</v>
      </c>
      <c r="K129" s="32" t="n">
        <f aca="false">Data_Prices!K129/Data_Prices!K128-1</f>
        <v>-0.0133040203035839</v>
      </c>
      <c r="L129" s="32" t="n">
        <f aca="false">Data_Prices!L129/Data_Prices!L128-1</f>
        <v>-0.00741323886374068</v>
      </c>
      <c r="M129" s="32" t="n">
        <f aca="false">Data_Prices!M129/Data_Prices!M128-1</f>
        <v>-0.0131417467784822</v>
      </c>
      <c r="N129" s="32" t="n">
        <f aca="false">Data_Prices!N129/Data_Prices!N128-1</f>
        <v>0.00584611668075863</v>
      </c>
      <c r="O129" s="32" t="n">
        <f aca="false">Data_Prices!O129/Data_Prices!O128-1</f>
        <v>-0.000595356221472443</v>
      </c>
      <c r="P129" s="32" t="n">
        <f aca="false">Data_Prices!P129/Data_Prices!P128-1</f>
        <v>0.0144458930899609</v>
      </c>
      <c r="Q129" s="32" t="n">
        <f aca="false">Data_Prices!Q129/Data_Prices!Q128-1</f>
        <v>-0.00891326705519357</v>
      </c>
      <c r="R129" s="32" t="n">
        <f aca="false">Data_Prices!R129/Data_Prices!R128-1</f>
        <v>0.00529135967849981</v>
      </c>
      <c r="S129" s="32" t="n">
        <f aca="false">Data_Prices!S129/Data_Prices!S128-1</f>
        <v>0.000374095934824181</v>
      </c>
      <c r="T129" s="32" t="n">
        <f aca="false">AVERAGE(D129:S129)</f>
        <v>-5.07355430033676E-005</v>
      </c>
      <c r="U129" s="32" t="n">
        <f aca="false">AVERAGE(J129:S129)</f>
        <v>-0.00232499460109715</v>
      </c>
      <c r="V129" s="32" t="n">
        <f aca="false">AVERAGE(D129:I129)</f>
        <v>0.00373969622048627</v>
      </c>
      <c r="W129" s="32" t="n">
        <f aca="false">AVERAGE(K129,Q129,R129)</f>
        <v>-0.00564197589342589</v>
      </c>
      <c r="X129" s="32" t="n">
        <f aca="false">AVERAGE(K129,L129,N129,O129,P129,Q129,R129,S129)</f>
        <v>-0.000533552132493384</v>
      </c>
      <c r="Y129" s="32" t="n">
        <f aca="false">AVERAGE(J129,L129,M129,N129,O129,P129,Q129,R129,S129)</f>
        <v>-0.0011051028563764</v>
      </c>
      <c r="Z129" s="32" t="n">
        <f aca="false">U129-V129</f>
        <v>-0.00606469082158343</v>
      </c>
      <c r="AA129" s="32" t="n">
        <f aca="false">W129-V129</f>
        <v>-0.00938167211391217</v>
      </c>
    </row>
    <row r="130" customFormat="false" ht="15" hidden="false" customHeight="false" outlineLevel="0" collapsed="false">
      <c r="A130" s="28" t="n">
        <f aca="false">Data_Prices!A130</f>
        <v>44986</v>
      </c>
      <c r="B130" s="32" t="n">
        <f aca="false">Data_Prices!B130/Data_Prices!B129-1</f>
        <v>0.00849228066424135</v>
      </c>
      <c r="C130" s="32" t="n">
        <f aca="false">Data_Prices!C130/Data_Prices!C129-1</f>
        <v>0.0100628497632371</v>
      </c>
      <c r="D130" s="32" t="n">
        <f aca="false">Data_Prices!D130/Data_Prices!D129-1</f>
        <v>0.0131571749001587</v>
      </c>
      <c r="E130" s="32" t="n">
        <f aca="false">Data_Prices!E130/Data_Prices!E129-1</f>
        <v>0.00295549374130721</v>
      </c>
      <c r="F130" s="32" t="n">
        <f aca="false">Data_Prices!F130/Data_Prices!F129-1</f>
        <v>0.0117298005933899</v>
      </c>
      <c r="G130" s="32" t="n">
        <f aca="false">Data_Prices!G130/Data_Prices!G129-1</f>
        <v>0.017971758664955</v>
      </c>
      <c r="H130" s="32" t="n">
        <f aca="false">Data_Prices!H130/Data_Prices!H129-1</f>
        <v>0.00291126700766231</v>
      </c>
      <c r="I130" s="32" t="n">
        <f aca="false">Data_Prices!I130/Data_Prices!I129-1</f>
        <v>-0.0015404364569962</v>
      </c>
      <c r="J130" s="32" t="n">
        <f aca="false">Data_Prices!J130/Data_Prices!J129-1</f>
        <v>0.00706331759703049</v>
      </c>
      <c r="K130" s="32" t="n">
        <f aca="false">Data_Prices!K130/Data_Prices!K129-1</f>
        <v>0.00699564205904513</v>
      </c>
      <c r="L130" s="32" t="n">
        <f aca="false">Data_Prices!L130/Data_Prices!L129-1</f>
        <v>0.0135492399206874</v>
      </c>
      <c r="M130" s="32" t="n">
        <f aca="false">Data_Prices!M130/Data_Prices!M129-1</f>
        <v>0.0021762785636561</v>
      </c>
      <c r="N130" s="32" t="n">
        <f aca="false">Data_Prices!N130/Data_Prices!N129-1</f>
        <v>0.0179647909311431</v>
      </c>
      <c r="O130" s="32" t="n">
        <f aca="false">Data_Prices!O130/Data_Prices!O129-1</f>
        <v>0.0131056393963462</v>
      </c>
      <c r="P130" s="32" t="n">
        <f aca="false">Data_Prices!P130/Data_Prices!P129-1</f>
        <v>-0.0125436973061897</v>
      </c>
      <c r="Q130" s="32" t="n">
        <f aca="false">Data_Prices!Q130/Data_Prices!Q129-1</f>
        <v>0.0103770321687997</v>
      </c>
      <c r="R130" s="32" t="n">
        <f aca="false">Data_Prices!R130/Data_Prices!R129-1</f>
        <v>0.0016656672663069</v>
      </c>
      <c r="S130" s="32" t="n">
        <f aca="false">Data_Prices!S130/Data_Prices!S129-1</f>
        <v>0.0152075456018617</v>
      </c>
      <c r="T130" s="32" t="n">
        <f aca="false">AVERAGE(D130:S130)</f>
        <v>0.00767165716557275</v>
      </c>
      <c r="U130" s="32" t="n">
        <f aca="false">AVERAGE(J130:S130)</f>
        <v>0.0075561456198687</v>
      </c>
      <c r="V130" s="32" t="n">
        <f aca="false">AVERAGE(D130:I130)</f>
        <v>0.00786417640841282</v>
      </c>
      <c r="W130" s="32" t="n">
        <f aca="false">AVERAGE(K130,Q130,R130)</f>
        <v>0.00634611383138391</v>
      </c>
      <c r="X130" s="32" t="n">
        <f aca="false">AVERAGE(K130,L130,N130,O130,P130,Q130,R130,S130)</f>
        <v>0.00829023250475006</v>
      </c>
      <c r="Y130" s="32" t="n">
        <f aca="false">AVERAGE(J130,L130,M130,N130,O130,P130,Q130,R130,S130)</f>
        <v>0.00761842379329355</v>
      </c>
      <c r="Z130" s="32" t="n">
        <f aca="false">U130-V130</f>
        <v>-0.00030803078854412</v>
      </c>
      <c r="AA130" s="32" t="n">
        <f aca="false">W130-V130</f>
        <v>-0.00151806257702891</v>
      </c>
    </row>
    <row r="131" customFormat="false" ht="15" hidden="false" customHeight="false" outlineLevel="0" collapsed="false">
      <c r="A131" s="28" t="n">
        <f aca="false">Data_Prices!A131</f>
        <v>44987</v>
      </c>
      <c r="B131" s="32" t="n">
        <f aca="false">Data_Prices!B131/Data_Prices!B130-1</f>
        <v>-0.00739216888527239</v>
      </c>
      <c r="C131" s="32" t="n">
        <f aca="false">Data_Prices!C131/Data_Prices!C130-1</f>
        <v>-0.00529156452333301</v>
      </c>
      <c r="D131" s="32" t="n">
        <f aca="false">Data_Prices!D131/Data_Prices!D130-1</f>
        <v>-0.00845055212073764</v>
      </c>
      <c r="E131" s="32" t="n">
        <f aca="false">Data_Prices!E131/Data_Prices!E130-1</f>
        <v>-0.0173340266944011</v>
      </c>
      <c r="F131" s="32" t="n">
        <f aca="false">Data_Prices!F131/Data_Prices!F130-1</f>
        <v>0.0289845188569871</v>
      </c>
      <c r="G131" s="32" t="n">
        <f aca="false">Data_Prices!G131/Data_Prices!G130-1</f>
        <v>-0.00546448087431706</v>
      </c>
      <c r="H131" s="32" t="n">
        <f aca="false">Data_Prices!H131/Data_Prices!H130-1</f>
        <v>-0.0162678654222186</v>
      </c>
      <c r="I131" s="32" t="n">
        <f aca="false">Data_Prices!I131/Data_Prices!I130-1</f>
        <v>-0.00257135510413986</v>
      </c>
      <c r="J131" s="32" t="n">
        <f aca="false">Data_Prices!J131/Data_Prices!J130-1</f>
        <v>-0.0316693505099303</v>
      </c>
      <c r="K131" s="32" t="n">
        <f aca="false">Data_Prices!K131/Data_Prices!K130-1</f>
        <v>-0.0116814447246399</v>
      </c>
      <c r="L131" s="32" t="n">
        <f aca="false">Data_Prices!L131/Data_Prices!L130-1</f>
        <v>-0.0218454515813499</v>
      </c>
      <c r="M131" s="32" t="n">
        <f aca="false">Data_Prices!M131/Data_Prices!M130-1</f>
        <v>0.0238870792616721</v>
      </c>
      <c r="N131" s="32" t="n">
        <f aca="false">Data_Prices!N131/Data_Prices!N130-1</f>
        <v>0.0167276159018519</v>
      </c>
      <c r="O131" s="32" t="n">
        <f aca="false">Data_Prices!O131/Data_Prices!O130-1</f>
        <v>-0.00999607996863972</v>
      </c>
      <c r="P131" s="32" t="n">
        <f aca="false">Data_Prices!P131/Data_Prices!P130-1</f>
        <v>-0.00583090379008744</v>
      </c>
      <c r="Q131" s="32" t="n">
        <f aca="false">Data_Prices!Q131/Data_Prices!Q130-1</f>
        <v>-0.0114686751112634</v>
      </c>
      <c r="R131" s="32" t="n">
        <f aca="false">Data_Prices!R131/Data_Prices!R130-1</f>
        <v>-0.00585339896235215</v>
      </c>
      <c r="S131" s="32" t="n">
        <f aca="false">Data_Prices!S131/Data_Prices!S130-1</f>
        <v>-0.00986370891826638</v>
      </c>
      <c r="T131" s="32" t="n">
        <f aca="false">AVERAGE(D131:S131)</f>
        <v>-0.00554362998511452</v>
      </c>
      <c r="U131" s="32" t="n">
        <f aca="false">AVERAGE(J131:S131)</f>
        <v>-0.00675943184030051</v>
      </c>
      <c r="V131" s="32" t="n">
        <f aca="false">AVERAGE(D131:I131)</f>
        <v>-0.00351729355980453</v>
      </c>
      <c r="W131" s="32" t="n">
        <f aca="false">AVERAGE(K131,Q131,R131)</f>
        <v>-0.00966783959941849</v>
      </c>
      <c r="X131" s="32" t="n">
        <f aca="false">AVERAGE(K131,L131,N131,O131,P131,Q131,R131,S131)</f>
        <v>-0.00747650589434337</v>
      </c>
      <c r="Y131" s="32" t="n">
        <f aca="false">AVERAGE(J131,L131,M131,N131,O131,P131,Q131,R131,S131)</f>
        <v>-0.00621254151981835</v>
      </c>
      <c r="Z131" s="32" t="n">
        <f aca="false">U131-V131</f>
        <v>-0.00324213828049598</v>
      </c>
      <c r="AA131" s="32" t="n">
        <f aca="false">W131-V131</f>
        <v>-0.00615054603961396</v>
      </c>
    </row>
    <row r="132" customFormat="false" ht="15" hidden="false" customHeight="false" outlineLevel="0" collapsed="false">
      <c r="A132" s="28" t="n">
        <f aca="false">Data_Prices!A132</f>
        <v>44988</v>
      </c>
      <c r="B132" s="32" t="n">
        <f aca="false">Data_Prices!B132/Data_Prices!B131-1</f>
        <v>0.0157286440863875</v>
      </c>
      <c r="C132" s="32" t="n">
        <f aca="false">Data_Prices!C132/Data_Prices!C131-1</f>
        <v>0.012853690723063</v>
      </c>
      <c r="D132" s="32" t="n">
        <f aca="false">Data_Prices!D132/Data_Prices!D131-1</f>
        <v>-0.00451995861242716</v>
      </c>
      <c r="E132" s="32" t="n">
        <f aca="false">Data_Prices!E132/Data_Prices!E131-1</f>
        <v>-0.00555653554418767</v>
      </c>
      <c r="F132" s="32" t="n">
        <f aca="false">Data_Prices!F132/Data_Prices!F131-1</f>
        <v>-0.0139846235418876</v>
      </c>
      <c r="G132" s="32" t="n">
        <f aca="false">Data_Prices!G132/Data_Prices!G131-1</f>
        <v>0.0111298957452806</v>
      </c>
      <c r="H132" s="32" t="n">
        <f aca="false">Data_Prices!H132/Data_Prices!H131-1</f>
        <v>-0.00637295081967215</v>
      </c>
      <c r="I132" s="32" t="n">
        <f aca="false">Data_Prices!I132/Data_Prices!I131-1</f>
        <v>0.0283578241814901</v>
      </c>
      <c r="J132" s="32" t="n">
        <f aca="false">Data_Prices!J132/Data_Prices!J131-1</f>
        <v>0.0098669623059866</v>
      </c>
      <c r="K132" s="32" t="n">
        <f aca="false">Data_Prices!K132/Data_Prices!K131-1</f>
        <v>0.00281495382488006</v>
      </c>
      <c r="L132" s="32" t="n">
        <f aca="false">Data_Prices!L132/Data_Prices!L131-1</f>
        <v>0.000266666666666637</v>
      </c>
      <c r="M132" s="32" t="n">
        <f aca="false">Data_Prices!M132/Data_Prices!M131-1</f>
        <v>-0.0237842751098318</v>
      </c>
      <c r="N132" s="32" t="n">
        <f aca="false">Data_Prices!N132/Data_Prices!N131-1</f>
        <v>0.00587088689840809</v>
      </c>
      <c r="O132" s="32" t="n">
        <f aca="false">Data_Prices!O132/Data_Prices!O131-1</f>
        <v>0.00554345674123935</v>
      </c>
      <c r="P132" s="32" t="n">
        <f aca="false">Data_Prices!P132/Data_Prices!P131-1</f>
        <v>-0.00481776288227886</v>
      </c>
      <c r="Q132" s="32" t="n">
        <f aca="false">Data_Prices!Q132/Data_Prices!Q131-1</f>
        <v>0.00987012987013003</v>
      </c>
      <c r="R132" s="32" t="n">
        <f aca="false">Data_Prices!R132/Data_Prices!R131-1</f>
        <v>0.00408135956108668</v>
      </c>
      <c r="S132" s="32" t="n">
        <f aca="false">Data_Prices!S132/Data_Prices!S131-1</f>
        <v>0.00603505291005302</v>
      </c>
      <c r="T132" s="32" t="n">
        <f aca="false">AVERAGE(D132:S132)</f>
        <v>0.0015500676371835</v>
      </c>
      <c r="U132" s="32" t="n">
        <f aca="false">AVERAGE(J132:S132)</f>
        <v>0.00157474307863398</v>
      </c>
      <c r="V132" s="32" t="n">
        <f aca="false">AVERAGE(D132:I132)</f>
        <v>0.00150894190143269</v>
      </c>
      <c r="W132" s="32" t="n">
        <f aca="false">AVERAGE(K132,Q132,R132)</f>
        <v>0.00558881441869893</v>
      </c>
      <c r="X132" s="32" t="n">
        <f aca="false">AVERAGE(K132,L132,N132,O132,P132,Q132,R132,S132)</f>
        <v>0.00370809294877313</v>
      </c>
      <c r="Y132" s="32" t="n">
        <f aca="false">AVERAGE(J132,L132,M132,N132,O132,P132,Q132,R132,S132)</f>
        <v>0.00143694188460664</v>
      </c>
      <c r="Z132" s="32" t="n">
        <f aca="false">U132-V132</f>
        <v>6.58011772012856E-005</v>
      </c>
      <c r="AA132" s="32" t="n">
        <f aca="false">W132-V132</f>
        <v>0.00407987251726623</v>
      </c>
    </row>
    <row r="133" customFormat="false" ht="15" hidden="false" customHeight="false" outlineLevel="0" collapsed="false">
      <c r="A133" s="28" t="n">
        <f aca="false">Data_Prices!A133</f>
        <v>44991</v>
      </c>
      <c r="B133" s="32" t="n">
        <f aca="false">Data_Prices!B133/Data_Prices!B132-1</f>
        <v>0.00665554567233251</v>
      </c>
      <c r="C133" s="32" t="n">
        <f aca="false">Data_Prices!C133/Data_Prices!C132-1</f>
        <v>0.00719132303423065</v>
      </c>
      <c r="D133" s="32" t="n">
        <f aca="false">Data_Prices!D133/Data_Prices!D132-1</f>
        <v>-0.000410284463895017</v>
      </c>
      <c r="E133" s="32" t="n">
        <f aca="false">Data_Prices!E133/Data_Prices!E132-1</f>
        <v>0.0101108647450112</v>
      </c>
      <c r="F133" s="32" t="n">
        <f aca="false">Data_Prices!F133/Data_Prices!F132-1</f>
        <v>0.00396585333064459</v>
      </c>
      <c r="G133" s="32" t="n">
        <f aca="false">Data_Prices!G133/Data_Prices!G132-1</f>
        <v>0.00320468162184762</v>
      </c>
      <c r="H133" s="32" t="n">
        <f aca="false">Data_Prices!H133/Data_Prices!H132-1</f>
        <v>0.00385654478335296</v>
      </c>
      <c r="I133" s="32" t="n">
        <f aca="false">Data_Prices!I133/Data_Prices!I132-1</f>
        <v>0.000250689395838721</v>
      </c>
      <c r="J133" s="32" t="n">
        <f aca="false">Data_Prices!J133/Data_Prices!J132-1</f>
        <v>-0.0130640026347568</v>
      </c>
      <c r="K133" s="32" t="n">
        <f aca="false">Data_Prices!K133/Data_Prices!K132-1</f>
        <v>0.00569618175251985</v>
      </c>
      <c r="L133" s="32" t="n">
        <f aca="false">Data_Prices!L133/Data_Prices!L132-1</f>
        <v>0.0254598773660355</v>
      </c>
      <c r="M133" s="32" t="n">
        <f aca="false">Data_Prices!M133/Data_Prices!M132-1</f>
        <v>-0.00750051727705359</v>
      </c>
      <c r="N133" s="32" t="n">
        <f aca="false">Data_Prices!N133/Data_Prices!N132-1</f>
        <v>0.0171407479179642</v>
      </c>
      <c r="O133" s="32" t="n">
        <f aca="false">Data_Prices!O133/Data_Prices!O132-1</f>
        <v>0.00886001181334906</v>
      </c>
      <c r="P133" s="32" t="n">
        <f aca="false">Data_Prices!P133/Data_Prices!P132-1</f>
        <v>0.00284150705114716</v>
      </c>
      <c r="Q133" s="32" t="n">
        <f aca="false">Data_Prices!Q133/Data_Prices!Q132-1</f>
        <v>0.0195473251028806</v>
      </c>
      <c r="R133" s="32" t="n">
        <f aca="false">Data_Prices!R133/Data_Prices!R132-1</f>
        <v>0.00906243752915303</v>
      </c>
      <c r="S133" s="32" t="n">
        <f aca="false">Data_Prices!S133/Data_Prices!S132-1</f>
        <v>0.0246117183005998</v>
      </c>
      <c r="T133" s="32" t="n">
        <f aca="false">AVERAGE(D133:S133)</f>
        <v>0.00710210227091493</v>
      </c>
      <c r="U133" s="32" t="n">
        <f aca="false">AVERAGE(J133:S133)</f>
        <v>0.00926552869218388</v>
      </c>
      <c r="V133" s="32" t="n">
        <f aca="false">AVERAGE(D133:I133)</f>
        <v>0.00349639156880001</v>
      </c>
      <c r="W133" s="32" t="n">
        <f aca="false">AVERAGE(K133,Q133,R133)</f>
        <v>0.0114353147948512</v>
      </c>
      <c r="X133" s="32" t="n">
        <f aca="false">AVERAGE(K133,L133,N133,O133,P133,Q133,R133,S133)</f>
        <v>0.0141524758542061</v>
      </c>
      <c r="Y133" s="32" t="n">
        <f aca="false">AVERAGE(J133,L133,M133,N133,O133,P133,Q133,R133,S133)</f>
        <v>0.00966212279659099</v>
      </c>
      <c r="Z133" s="32" t="n">
        <f aca="false">U133-V133</f>
        <v>0.00576913712338386</v>
      </c>
      <c r="AA133" s="32" t="n">
        <f aca="false">W133-V133</f>
        <v>0.00793892322605115</v>
      </c>
    </row>
    <row r="134" customFormat="false" ht="15" hidden="false" customHeight="false" outlineLevel="0" collapsed="false">
      <c r="A134" s="28" t="n">
        <f aca="false">Data_Prices!A134</f>
        <v>44993</v>
      </c>
      <c r="B134" s="32" t="n">
        <f aca="false">Data_Prices!B134/Data_Prices!B133-1</f>
        <v>0.00242498496735166</v>
      </c>
      <c r="C134" s="32" t="n">
        <f aca="false">Data_Prices!C134/Data_Prices!C133-1</f>
        <v>0.00275183119414013</v>
      </c>
      <c r="D134" s="32" t="n">
        <f aca="false">Data_Prices!D134/Data_Prices!D133-1</f>
        <v>-0.000738815159392448</v>
      </c>
      <c r="E134" s="32" t="n">
        <f aca="false">Data_Prices!E134/Data_Prices!E133-1</f>
        <v>-0.00895601018526648</v>
      </c>
      <c r="F134" s="32" t="n">
        <f aca="false">Data_Prices!F134/Data_Prices!F133-1</f>
        <v>-0.0121853240492767</v>
      </c>
      <c r="G134" s="32" t="n">
        <f aca="false">Data_Prices!G134/Data_Prices!G133-1</f>
        <v>-0.00236111111111115</v>
      </c>
      <c r="H134" s="32" t="n">
        <f aca="false">Data_Prices!H134/Data_Prices!H133-1</f>
        <v>0.0609129755937217</v>
      </c>
      <c r="I134" s="32" t="n">
        <f aca="false">Data_Prices!I134/Data_Prices!I133-1</f>
        <v>0.00350877192982457</v>
      </c>
      <c r="J134" s="32" t="n">
        <f aca="false">Data_Prices!J134/Data_Prices!J133-1</f>
        <v>-0.00893585465331848</v>
      </c>
      <c r="K134" s="32" t="n">
        <f aca="false">Data_Prices!K134/Data_Prices!K133-1</f>
        <v>-0.0224924508283685</v>
      </c>
      <c r="L134" s="32" t="n">
        <f aca="false">Data_Prices!L134/Data_Prices!L133-1</f>
        <v>-0.00350968412842834</v>
      </c>
      <c r="M134" s="32" t="n">
        <f aca="false">Data_Prices!M134/Data_Prices!M133-1</f>
        <v>-0.0113097409704488</v>
      </c>
      <c r="N134" s="32" t="n">
        <f aca="false">Data_Prices!N134/Data_Prices!N133-1</f>
        <v>-0.0104558856883646</v>
      </c>
      <c r="O134" s="32" t="n">
        <f aca="false">Data_Prices!O134/Data_Prices!O133-1</f>
        <v>-0.00897736143637773</v>
      </c>
      <c r="P134" s="32" t="n">
        <f aca="false">Data_Prices!P134/Data_Prices!P133-1</f>
        <v>-0.00472242627767872</v>
      </c>
      <c r="Q134" s="32" t="n">
        <f aca="false">Data_Prices!Q134/Data_Prices!Q133-1</f>
        <v>-0.00891355533131533</v>
      </c>
      <c r="R134" s="32" t="n">
        <f aca="false">Data_Prices!R134/Data_Prices!R133-1</f>
        <v>-0.00924519580003957</v>
      </c>
      <c r="S134" s="32" t="n">
        <f aca="false">Data_Prices!S134/Data_Prices!S133-1</f>
        <v>0.018927697798452</v>
      </c>
      <c r="T134" s="32" t="n">
        <f aca="false">AVERAGE(D134:S134)</f>
        <v>-0.00184087314358679</v>
      </c>
      <c r="U134" s="32" t="n">
        <f aca="false">AVERAGE(J134:S134)</f>
        <v>-0.0069634457315888</v>
      </c>
      <c r="V134" s="32" t="n">
        <f aca="false">AVERAGE(D134:I134)</f>
        <v>0.00669674783641657</v>
      </c>
      <c r="W134" s="32" t="n">
        <f aca="false">AVERAGE(K134,Q134,R134)</f>
        <v>-0.0135504006532411</v>
      </c>
      <c r="X134" s="32" t="n">
        <f aca="false">AVERAGE(K134,L134,N134,O134,P134,Q134,R134,S134)</f>
        <v>-0.00617360771151509</v>
      </c>
      <c r="Y134" s="32" t="n">
        <f aca="false">AVERAGE(J134,L134,M134,N134,O134,P134,Q134,R134,S134)</f>
        <v>-0.00523800072083551</v>
      </c>
      <c r="Z134" s="32" t="n">
        <f aca="false">U134-V134</f>
        <v>-0.0136601935680054</v>
      </c>
      <c r="AA134" s="32" t="n">
        <f aca="false">W134-V134</f>
        <v>-0.0202471484896577</v>
      </c>
    </row>
    <row r="135" customFormat="false" ht="15" hidden="false" customHeight="false" outlineLevel="0" collapsed="false">
      <c r="A135" s="28" t="n">
        <f aca="false">Data_Prices!A135</f>
        <v>44994</v>
      </c>
      <c r="B135" s="32" t="n">
        <f aca="false">Data_Prices!B135/Data_Prices!B134-1</f>
        <v>-0.00928220610102304</v>
      </c>
      <c r="C135" s="32" t="n">
        <f aca="false">Data_Prices!C135/Data_Prices!C134-1</f>
        <v>-0.00790781365706228</v>
      </c>
      <c r="D135" s="32" t="n">
        <f aca="false">Data_Prices!D135/Data_Prices!D134-1</f>
        <v>-0.00399802836957131</v>
      </c>
      <c r="E135" s="32" t="n">
        <f aca="false">Data_Prices!E135/Data_Prices!E134-1</f>
        <v>0.00735359262868784</v>
      </c>
      <c r="F135" s="32" t="n">
        <f aca="false">Data_Prices!F135/Data_Prices!F134-1</f>
        <v>-0.0778771858479057</v>
      </c>
      <c r="G135" s="32" t="n">
        <f aca="false">Data_Prices!G135/Data_Prices!G134-1</f>
        <v>-0.0115550605596547</v>
      </c>
      <c r="H135" s="32" t="n">
        <f aca="false">Data_Prices!H135/Data_Prices!H134-1</f>
        <v>0.013632578764935</v>
      </c>
      <c r="I135" s="32" t="n">
        <f aca="false">Data_Prices!I135/Data_Prices!I134-1</f>
        <v>-0.02997002997003</v>
      </c>
      <c r="J135" s="32" t="n">
        <f aca="false">Data_Prices!J135/Data_Prices!J134-1</f>
        <v>0.0031426540461672</v>
      </c>
      <c r="K135" s="32" t="n">
        <f aca="false">Data_Prices!K135/Data_Prices!K134-1</f>
        <v>-0.0159300015028303</v>
      </c>
      <c r="L135" s="32" t="n">
        <f aca="false">Data_Prices!L135/Data_Prices!L134-1</f>
        <v>6.52230628750417E-005</v>
      </c>
      <c r="M135" s="32" t="n">
        <f aca="false">Data_Prices!M135/Data_Prices!M134-1</f>
        <v>-0.00869794412229841</v>
      </c>
      <c r="N135" s="32" t="n">
        <f aca="false">Data_Prices!N135/Data_Prices!N134-1</f>
        <v>-0.00155859634646682</v>
      </c>
      <c r="O135" s="32" t="n">
        <f aca="false">Data_Prices!O135/Data_Prices!O134-1</f>
        <v>-0.0120126033871604</v>
      </c>
      <c r="P135" s="32" t="n">
        <f aca="false">Data_Prices!P135/Data_Prices!P134-1</f>
        <v>-0.00479755377477853</v>
      </c>
      <c r="Q135" s="32" t="n">
        <f aca="false">Data_Prices!Q135/Data_Prices!Q134-1</f>
        <v>0.0122178856270152</v>
      </c>
      <c r="R135" s="32" t="n">
        <f aca="false">Data_Prices!R135/Data_Prices!R134-1</f>
        <v>0.0225954809038194</v>
      </c>
      <c r="S135" s="32" t="n">
        <f aca="false">Data_Prices!S135/Data_Prices!S134-1</f>
        <v>0.0157030973277184</v>
      </c>
      <c r="T135" s="32" t="n">
        <f aca="false">AVERAGE(D135:S135)</f>
        <v>-0.00573040571996739</v>
      </c>
      <c r="U135" s="32" t="n">
        <f aca="false">AVERAGE(J135:S135)</f>
        <v>0.00107276418340607</v>
      </c>
      <c r="V135" s="32" t="n">
        <f aca="false">AVERAGE(D135:I135)</f>
        <v>-0.0170690222255898</v>
      </c>
      <c r="W135" s="32" t="n">
        <f aca="false">AVERAGE(K135,Q135,R135)</f>
        <v>0.00629445500933475</v>
      </c>
      <c r="X135" s="32" t="n">
        <f aca="false">AVERAGE(K135,L135,N135,O135,P135,Q135,R135,S135)</f>
        <v>0.00203536648877399</v>
      </c>
      <c r="Y135" s="32" t="n">
        <f aca="false">AVERAGE(J135,L135,M135,N135,O135,P135,Q135,R135,S135)</f>
        <v>0.00296196037076567</v>
      </c>
      <c r="Z135" s="32" t="n">
        <f aca="false">U135-V135</f>
        <v>0.0181417864089959</v>
      </c>
      <c r="AA135" s="32" t="n">
        <f aca="false">W135-V135</f>
        <v>0.0233634772349246</v>
      </c>
    </row>
    <row r="136" customFormat="false" ht="15" hidden="false" customHeight="false" outlineLevel="0" collapsed="false">
      <c r="A136" s="28" t="n">
        <f aca="false">Data_Prices!A136</f>
        <v>44995</v>
      </c>
      <c r="B136" s="32" t="n">
        <f aca="false">Data_Prices!B136/Data_Prices!B135-1</f>
        <v>-0.0100457088279436</v>
      </c>
      <c r="C136" s="32" t="n">
        <f aca="false">Data_Prices!C136/Data_Prices!C135-1</f>
        <v>-0.00838289780767976</v>
      </c>
      <c r="D136" s="32" t="n">
        <f aca="false">Data_Prices!D136/Data_Prices!D135-1</f>
        <v>-0.0167986363136479</v>
      </c>
      <c r="E136" s="32" t="n">
        <f aca="false">Data_Prices!E136/Data_Prices!E135-1</f>
        <v>-0.0200527704485488</v>
      </c>
      <c r="F136" s="32" t="n">
        <f aca="false">Data_Prices!F136/Data_Prices!F135-1</f>
        <v>-0.0031606027195884</v>
      </c>
      <c r="G136" s="32" t="n">
        <f aca="false">Data_Prices!G136/Data_Prices!G135-1</f>
        <v>-0.0105633802816901</v>
      </c>
      <c r="H136" s="32" t="n">
        <f aca="false">Data_Prices!H136/Data_Prices!H135-1</f>
        <v>-0.0390104116916612</v>
      </c>
      <c r="I136" s="32" t="n">
        <f aca="false">Data_Prices!I136/Data_Prices!I135-1</f>
        <v>0.011071060762101</v>
      </c>
      <c r="J136" s="32" t="n">
        <f aca="false">Data_Prices!J136/Data_Prices!J135-1</f>
        <v>-0.00652668481706631</v>
      </c>
      <c r="K136" s="32" t="n">
        <f aca="false">Data_Prices!K136/Data_Prices!K135-1</f>
        <v>-0.00459844229888184</v>
      </c>
      <c r="L136" s="32" t="n">
        <f aca="false">Data_Prices!L136/Data_Prices!L135-1</f>
        <v>-0.0181308289310637</v>
      </c>
      <c r="M136" s="32" t="n">
        <f aca="false">Data_Prices!M136/Data_Prices!M135-1</f>
        <v>0.00404147833023116</v>
      </c>
      <c r="N136" s="32" t="n">
        <f aca="false">Data_Prices!N136/Data_Prices!N135-1</f>
        <v>-0.0279837469295929</v>
      </c>
      <c r="O136" s="32" t="n">
        <f aca="false">Data_Prices!O136/Data_Prices!O135-1</f>
        <v>-0.0231213872832369</v>
      </c>
      <c r="P136" s="32" t="n">
        <f aca="false">Data_Prices!P136/Data_Prices!P135-1</f>
        <v>-0.00116543942363723</v>
      </c>
      <c r="Q136" s="32" t="n">
        <f aca="false">Data_Prices!Q136/Data_Prices!Q135-1</f>
        <v>-0.00972338642078785</v>
      </c>
      <c r="R136" s="32" t="n">
        <f aca="false">Data_Prices!R136/Data_Prices!R135-1</f>
        <v>-0.0174032068830661</v>
      </c>
      <c r="S136" s="32" t="n">
        <f aca="false">Data_Prices!S136/Data_Prices!S135-1</f>
        <v>-0.016080285182889</v>
      </c>
      <c r="T136" s="32" t="n">
        <f aca="false">AVERAGE(D136:S136)</f>
        <v>-0.0124504169083141</v>
      </c>
      <c r="U136" s="32" t="n">
        <f aca="false">AVERAGE(J136:S136)</f>
        <v>-0.0120691929839991</v>
      </c>
      <c r="V136" s="32" t="n">
        <f aca="false">AVERAGE(D136:I136)</f>
        <v>-0.0130857901155059</v>
      </c>
      <c r="W136" s="32" t="n">
        <f aca="false">AVERAGE(K136,Q136,R136)</f>
        <v>-0.0105750118675786</v>
      </c>
      <c r="X136" s="32" t="n">
        <f aca="false">AVERAGE(K136,L136,N136,O136,P136,Q136,R136,S136)</f>
        <v>-0.0147758404191444</v>
      </c>
      <c r="Y136" s="32" t="n">
        <f aca="false">AVERAGE(J136,L136,M136,N136,O136,P136,Q136,R136,S136)</f>
        <v>-0.0128992763934565</v>
      </c>
      <c r="Z136" s="32" t="n">
        <f aca="false">U136-V136</f>
        <v>0.00101659713150685</v>
      </c>
      <c r="AA136" s="32" t="n">
        <f aca="false">W136-V136</f>
        <v>0.00251077824792732</v>
      </c>
    </row>
    <row r="137" customFormat="false" ht="15" hidden="false" customHeight="false" outlineLevel="0" collapsed="false">
      <c r="A137" s="28" t="n">
        <f aca="false">Data_Prices!A137</f>
        <v>44998</v>
      </c>
      <c r="B137" s="32" t="n">
        <f aca="false">Data_Prices!B137/Data_Prices!B136-1</f>
        <v>-0.0148510586978621</v>
      </c>
      <c r="C137" s="32" t="n">
        <f aca="false">Data_Prices!C137/Data_Prices!C136-1</f>
        <v>-0.0153543803240496</v>
      </c>
      <c r="D137" s="32" t="n">
        <f aca="false">Data_Prices!D137/Data_Prices!D136-1</f>
        <v>-0.0133944800201337</v>
      </c>
      <c r="E137" s="32" t="n">
        <f aca="false">Data_Prices!E137/Data_Prices!E136-1</f>
        <v>-0.0306946688206785</v>
      </c>
      <c r="F137" s="32" t="n">
        <f aca="false">Data_Prices!F137/Data_Prices!F136-1</f>
        <v>-0.00376050729980837</v>
      </c>
      <c r="G137" s="32" t="n">
        <f aca="false">Data_Prices!G137/Data_Prices!G136-1</f>
        <v>-0.0167971530249109</v>
      </c>
      <c r="H137" s="32" t="n">
        <f aca="false">Data_Prices!H137/Data_Prices!H136-1</f>
        <v>-0.0366379738782974</v>
      </c>
      <c r="I137" s="32" t="n">
        <f aca="false">Data_Prices!I137/Data_Prices!I136-1</f>
        <v>-0.076139546727782</v>
      </c>
      <c r="J137" s="32" t="n">
        <f aca="false">Data_Prices!J137/Data_Prices!J136-1</f>
        <v>-0.0321720849913658</v>
      </c>
      <c r="K137" s="32" t="n">
        <f aca="false">Data_Prices!K137/Data_Prices!K136-1</f>
        <v>-0.00692100507994964</v>
      </c>
      <c r="L137" s="32" t="n">
        <f aca="false">Data_Prices!L137/Data_Prices!L136-1</f>
        <v>-0.0172035868482232</v>
      </c>
      <c r="M137" s="32" t="n">
        <f aca="false">Data_Prices!M137/Data_Prices!M136-1</f>
        <v>-0.0309835284148086</v>
      </c>
      <c r="N137" s="32" t="n">
        <f aca="false">Data_Prices!N137/Data_Prices!N136-1</f>
        <v>-0.0294978980681121</v>
      </c>
      <c r="O137" s="32" t="n">
        <f aca="false">Data_Prices!O137/Data_Prices!O136-1</f>
        <v>-0.0267292389308305</v>
      </c>
      <c r="P137" s="32" t="n">
        <f aca="false">Data_Prices!P137/Data_Prices!P136-1</f>
        <v>-0.0144789180588703</v>
      </c>
      <c r="Q137" s="32" t="n">
        <f aca="false">Data_Prices!Q137/Data_Prices!Q136-1</f>
        <v>-0.032165227695954</v>
      </c>
      <c r="R137" s="32" t="n">
        <f aca="false">Data_Prices!R137/Data_Prices!R136-1</f>
        <v>-0.0248756218905473</v>
      </c>
      <c r="S137" s="32" t="n">
        <f aca="false">Data_Prices!S137/Data_Prices!S136-1</f>
        <v>-0.00913637616666008</v>
      </c>
      <c r="T137" s="32" t="n">
        <f aca="false">AVERAGE(D137:S137)</f>
        <v>-0.0250992384948083</v>
      </c>
      <c r="U137" s="32" t="n">
        <f aca="false">AVERAGE(J137:S137)</f>
        <v>-0.0224163486145321</v>
      </c>
      <c r="V137" s="32" t="n">
        <f aca="false">AVERAGE(D137:I137)</f>
        <v>-0.0295707216286018</v>
      </c>
      <c r="W137" s="32" t="n">
        <f aca="false">AVERAGE(K137,Q137,R137)</f>
        <v>-0.0213206182221503</v>
      </c>
      <c r="X137" s="32" t="n">
        <f aca="false">AVERAGE(K137,L137,N137,O137,P137,Q137,R137,S137)</f>
        <v>-0.0201259840923934</v>
      </c>
      <c r="Y137" s="32" t="n">
        <f aca="false">AVERAGE(J137,L137,M137,N137,O137,P137,Q137,R137,S137)</f>
        <v>-0.024138053451708</v>
      </c>
      <c r="Z137" s="32" t="n">
        <f aca="false">U137-V137</f>
        <v>0.00715437301406967</v>
      </c>
      <c r="AA137" s="32" t="n">
        <f aca="false">W137-V137</f>
        <v>0.00825010340645151</v>
      </c>
    </row>
    <row r="138" customFormat="false" ht="15" hidden="false" customHeight="false" outlineLevel="0" collapsed="false">
      <c r="A138" s="28" t="n">
        <f aca="false">Data_Prices!A138</f>
        <v>44999</v>
      </c>
      <c r="B138" s="32" t="n">
        <f aca="false">Data_Prices!B138/Data_Prices!B137-1</f>
        <v>-0.00647068082055224</v>
      </c>
      <c r="C138" s="32" t="n">
        <f aca="false">Data_Prices!C138/Data_Prices!C137-1</f>
        <v>-0.00663463500859607</v>
      </c>
      <c r="D138" s="32" t="n">
        <f aca="false">Data_Prices!D138/Data_Prices!D137-1</f>
        <v>-0.00291933563856917</v>
      </c>
      <c r="E138" s="32" t="n">
        <f aca="false">Data_Prices!E138/Data_Prices!E137-1</f>
        <v>-0.0214814814814815</v>
      </c>
      <c r="F138" s="32" t="n">
        <f aca="false">Data_Prices!F138/Data_Prices!F137-1</f>
        <v>-0.0159869735770852</v>
      </c>
      <c r="G138" s="32" t="n">
        <f aca="false">Data_Prices!G138/Data_Prices!G137-1</f>
        <v>0.000434341971912389</v>
      </c>
      <c r="H138" s="32" t="n">
        <f aca="false">Data_Prices!H138/Data_Prices!H137-1</f>
        <v>-0.10724308708213</v>
      </c>
      <c r="I138" s="32" t="n">
        <f aca="false">Data_Prices!I138/Data_Prices!I137-1</f>
        <v>-0.0239801543550165</v>
      </c>
      <c r="J138" s="32" t="n">
        <f aca="false">Data_Prices!J138/Data_Prices!J137-1</f>
        <v>0.000930918117993951</v>
      </c>
      <c r="K138" s="32" t="n">
        <f aca="false">Data_Prices!K138/Data_Prices!K137-1</f>
        <v>-0.0174745948915133</v>
      </c>
      <c r="L138" s="32" t="n">
        <f aca="false">Data_Prices!L138/Data_Prices!L137-1</f>
        <v>0.00594755339280906</v>
      </c>
      <c r="M138" s="32" t="n">
        <f aca="false">Data_Prices!M138/Data_Prices!M137-1</f>
        <v>-0.0307717533887188</v>
      </c>
      <c r="N138" s="32" t="n">
        <f aca="false">Data_Prices!N138/Data_Prices!N137-1</f>
        <v>-0.00695982284087315</v>
      </c>
      <c r="O138" s="32" t="n">
        <f aca="false">Data_Prices!O138/Data_Prices!O137-1</f>
        <v>0.019287211740042</v>
      </c>
      <c r="P138" s="32" t="n">
        <f aca="false">Data_Prices!P138/Data_Prices!P137-1</f>
        <v>-0.00532773651921215</v>
      </c>
      <c r="Q138" s="32" t="n">
        <f aca="false">Data_Prices!Q138/Data_Prices!Q137-1</f>
        <v>-0.0110197656113348</v>
      </c>
      <c r="R138" s="32" t="n">
        <f aca="false">Data_Prices!R138/Data_Prices!R137-1</f>
        <v>-0.0133333333333333</v>
      </c>
      <c r="S138" s="32" t="n">
        <f aca="false">Data_Prices!S138/Data_Prices!S137-1</f>
        <v>-0.0151424824132587</v>
      </c>
      <c r="T138" s="32" t="n">
        <f aca="false">AVERAGE(D138:S138)</f>
        <v>-0.0153150309943606</v>
      </c>
      <c r="U138" s="32" t="n">
        <f aca="false">AVERAGE(J138:S138)</f>
        <v>-0.00738638057473992</v>
      </c>
      <c r="V138" s="32" t="n">
        <f aca="false">AVERAGE(D138:I138)</f>
        <v>-0.028529448360395</v>
      </c>
      <c r="W138" s="32" t="n">
        <f aca="false">AVERAGE(K138,Q138,R138)</f>
        <v>-0.0139425646120604</v>
      </c>
      <c r="X138" s="32" t="n">
        <f aca="false">AVERAGE(K138,L138,N138,O138,P138,Q138,R138,S138)</f>
        <v>-0.00550287130958428</v>
      </c>
      <c r="Y138" s="32" t="n">
        <f aca="false">AVERAGE(J138,L138,M138,N138,O138,P138,Q138,R138,S138)</f>
        <v>-0.00626546787287621</v>
      </c>
      <c r="Z138" s="32" t="n">
        <f aca="false">U138-V138</f>
        <v>0.021143067785655</v>
      </c>
      <c r="AA138" s="32" t="n">
        <f aca="false">W138-V138</f>
        <v>0.0145868837483345</v>
      </c>
    </row>
    <row r="139" customFormat="false" ht="15" hidden="false" customHeight="false" outlineLevel="0" collapsed="false">
      <c r="A139" s="28" t="n">
        <f aca="false">Data_Prices!A139</f>
        <v>45000</v>
      </c>
      <c r="B139" s="32" t="n">
        <f aca="false">Data_Prices!B139/Data_Prices!B138-1</f>
        <v>-0.00417466101048492</v>
      </c>
      <c r="C139" s="32" t="n">
        <f aca="false">Data_Prices!C139/Data_Prices!C138-1</f>
        <v>-0.00266391801400556</v>
      </c>
      <c r="D139" s="32" t="n">
        <f aca="false">Data_Prices!D139/Data_Prices!D138-1</f>
        <v>-0.00315529150913896</v>
      </c>
      <c r="E139" s="32" t="n">
        <f aca="false">Data_Prices!E139/Data_Prices!E138-1</f>
        <v>-0.0163701741105223</v>
      </c>
      <c r="F139" s="32" t="n">
        <f aca="false">Data_Prices!F139/Data_Prices!F138-1</f>
        <v>0.00940203083866109</v>
      </c>
      <c r="G139" s="32" t="n">
        <f aca="false">Data_Prices!G139/Data_Prices!G138-1</f>
        <v>-0.00651230101302458</v>
      </c>
      <c r="H139" s="32" t="n">
        <f aca="false">Data_Prices!H139/Data_Prices!H138-1</f>
        <v>-9.24577583616415E-005</v>
      </c>
      <c r="I139" s="32" t="n">
        <f aca="false">Data_Prices!I139/Data_Prices!I138-1</f>
        <v>0.00593052809940686</v>
      </c>
      <c r="J139" s="32" t="n">
        <f aca="false">Data_Prices!J139/Data_Prices!J138-1</f>
        <v>-0.00643286184847891</v>
      </c>
      <c r="K139" s="32" t="n">
        <f aca="false">Data_Prices!K139/Data_Prices!K138-1</f>
        <v>-0.0022362765994618</v>
      </c>
      <c r="L139" s="32" t="n">
        <f aca="false">Data_Prices!L139/Data_Prices!L138-1</f>
        <v>0.00241870464928784</v>
      </c>
      <c r="M139" s="32" t="n">
        <f aca="false">Data_Prices!M139/Data_Prices!M138-1</f>
        <v>0.0105453110020866</v>
      </c>
      <c r="N139" s="32" t="n">
        <f aca="false">Data_Prices!N139/Data_Prices!N138-1</f>
        <v>0.0183301884480604</v>
      </c>
      <c r="O139" s="32" t="n">
        <f aca="false">Data_Prices!O139/Data_Prices!O138-1</f>
        <v>-0.00473056355409296</v>
      </c>
      <c r="P139" s="32" t="n">
        <f aca="false">Data_Prices!P139/Data_Prices!P138-1</f>
        <v>-0.00903532976248445</v>
      </c>
      <c r="Q139" s="32" t="n">
        <f aca="false">Data_Prices!Q139/Data_Prices!Q138-1</f>
        <v>-0.0107888220728688</v>
      </c>
      <c r="R139" s="32" t="n">
        <f aca="false">Data_Prices!R139/Data_Prices!R138-1</f>
        <v>0.011238279095422</v>
      </c>
      <c r="S139" s="32" t="n">
        <f aca="false">Data_Prices!S139/Data_Prices!S138-1</f>
        <v>-0.00762711864406784</v>
      </c>
      <c r="T139" s="32" t="n">
        <f aca="false">AVERAGE(D139:S139)</f>
        <v>-0.000569759671223594</v>
      </c>
      <c r="U139" s="32" t="n">
        <f aca="false">AVERAGE(J139:S139)</f>
        <v>0.000168151071340206</v>
      </c>
      <c r="V139" s="32" t="n">
        <f aca="false">AVERAGE(D139:I139)</f>
        <v>-0.00179961090882993</v>
      </c>
      <c r="W139" s="32" t="n">
        <f aca="false">AVERAGE(K139,Q139,R139)</f>
        <v>-0.000595606525636209</v>
      </c>
      <c r="X139" s="32" t="n">
        <f aca="false">AVERAGE(K139,L139,N139,O139,P139,Q139,R139,S139)</f>
        <v>-0.000303867305025699</v>
      </c>
      <c r="Y139" s="32" t="n">
        <f aca="false">AVERAGE(J139,L139,M139,N139,O139,P139,Q139,R139,S139)</f>
        <v>0.000435309701429317</v>
      </c>
      <c r="Z139" s="32" t="n">
        <f aca="false">U139-V139</f>
        <v>0.00196776198017013</v>
      </c>
      <c r="AA139" s="32" t="n">
        <f aca="false">W139-V139</f>
        <v>0.00120400438319372</v>
      </c>
    </row>
    <row r="140" customFormat="false" ht="15" hidden="false" customHeight="false" outlineLevel="0" collapsed="false">
      <c r="A140" s="28" t="n">
        <f aca="false">Data_Prices!A140</f>
        <v>45001</v>
      </c>
      <c r="B140" s="32" t="n">
        <f aca="false">Data_Prices!B140/Data_Prices!B139-1</f>
        <v>0.000792474730661574</v>
      </c>
      <c r="C140" s="32" t="n">
        <f aca="false">Data_Prices!C140/Data_Prices!C139-1</f>
        <v>0.000701800939924446</v>
      </c>
      <c r="D140" s="32" t="n">
        <f aca="false">Data_Prices!D140/Data_Prices!D139-1</f>
        <v>-0.010322801414395</v>
      </c>
      <c r="E140" s="32" t="n">
        <f aca="false">Data_Prices!E140/Data_Prices!E139-1</f>
        <v>0.00269360269360264</v>
      </c>
      <c r="F140" s="32" t="n">
        <f aca="false">Data_Prices!F140/Data_Prices!F139-1</f>
        <v>0.000521609538002954</v>
      </c>
      <c r="G140" s="32" t="n">
        <f aca="false">Data_Prices!G140/Data_Prices!G139-1</f>
        <v>0.0112163146394757</v>
      </c>
      <c r="H140" s="32" t="n">
        <f aca="false">Data_Prices!H140/Data_Prices!H139-1</f>
        <v>-0.04662613560184</v>
      </c>
      <c r="I140" s="32" t="n">
        <f aca="false">Data_Prices!I140/Data_Prices!I139-1</f>
        <v>-0.0179674340258281</v>
      </c>
      <c r="J140" s="32" t="n">
        <f aca="false">Data_Prices!J140/Data_Prices!J139-1</f>
        <v>-0.029564335582511</v>
      </c>
      <c r="K140" s="32" t="n">
        <f aca="false">Data_Prices!K140/Data_Prices!K139-1</f>
        <v>-0.000647872526702842</v>
      </c>
      <c r="L140" s="32" t="n">
        <f aca="false">Data_Prices!L140/Data_Prices!L139-1</f>
        <v>0.000871313672922147</v>
      </c>
      <c r="M140" s="32" t="n">
        <f aca="false">Data_Prices!M140/Data_Prices!M139-1</f>
        <v>-0.00150669642857149</v>
      </c>
      <c r="N140" s="32" t="n">
        <f aca="false">Data_Prices!N140/Data_Prices!N139-1</f>
        <v>0.00163638551317535</v>
      </c>
      <c r="O140" s="32" t="n">
        <f aca="false">Data_Prices!O140/Data_Prices!O139-1</f>
        <v>0.000826617069642488</v>
      </c>
      <c r="P140" s="32" t="n">
        <f aca="false">Data_Prices!P140/Data_Prices!P139-1</f>
        <v>0.015833151343088</v>
      </c>
      <c r="Q140" s="32" t="n">
        <f aca="false">Data_Prices!Q140/Data_Prices!Q139-1</f>
        <v>0.00590023243339899</v>
      </c>
      <c r="R140" s="32" t="n">
        <f aca="false">Data_Prices!R140/Data_Prices!R139-1</f>
        <v>-0.0077043703552192</v>
      </c>
      <c r="S140" s="32" t="n">
        <f aca="false">Data_Prices!S140/Data_Prices!S139-1</f>
        <v>0.0167947623114146</v>
      </c>
      <c r="T140" s="32" t="n">
        <f aca="false">AVERAGE(D140:S140)</f>
        <v>-0.00362785354502155</v>
      </c>
      <c r="U140" s="32" t="n">
        <f aca="false">AVERAGE(J140:S140)</f>
        <v>0.000243918745063709</v>
      </c>
      <c r="V140" s="32" t="n">
        <f aca="false">AVERAGE(D140:I140)</f>
        <v>-0.0100808073618303</v>
      </c>
      <c r="W140" s="32" t="n">
        <f aca="false">AVERAGE(K140,Q140,R140)</f>
        <v>-0.000817336816174352</v>
      </c>
      <c r="X140" s="32" t="n">
        <f aca="false">AVERAGE(K140,L140,N140,O140,P140,Q140,R140,S140)</f>
        <v>0.00418877743271495</v>
      </c>
      <c r="Y140" s="32" t="n">
        <f aca="false">AVERAGE(J140,L140,M140,N140,O140,P140,Q140,R140,S140)</f>
        <v>0.000343006664148882</v>
      </c>
      <c r="Z140" s="32" t="n">
        <f aca="false">U140-V140</f>
        <v>0.010324726106894</v>
      </c>
      <c r="AA140" s="32" t="n">
        <f aca="false">W140-V140</f>
        <v>0.00926347054565596</v>
      </c>
    </row>
    <row r="141" customFormat="false" ht="15" hidden="false" customHeight="false" outlineLevel="0" collapsed="false">
      <c r="A141" s="28" t="n">
        <f aca="false">Data_Prices!A141</f>
        <v>45002</v>
      </c>
      <c r="B141" s="32" t="n">
        <f aca="false">Data_Prices!B141/Data_Prices!B140-1</f>
        <v>0.00673806047475511</v>
      </c>
      <c r="C141" s="32" t="n">
        <f aca="false">Data_Prices!C141/Data_Prices!C140-1</f>
        <v>0.0063152679453049</v>
      </c>
      <c r="D141" s="32" t="n">
        <f aca="false">Data_Prices!D141/Data_Prices!D140-1</f>
        <v>-0.042125280931251</v>
      </c>
      <c r="E141" s="32" t="n">
        <f aca="false">Data_Prices!E141/Data_Prices!E140-1</f>
        <v>0.0172695001439125</v>
      </c>
      <c r="F141" s="32" t="n">
        <f aca="false">Data_Prices!F141/Data_Prices!F140-1</f>
        <v>-0.00335145602144937</v>
      </c>
      <c r="G141" s="32" t="n">
        <f aca="false">Data_Prices!G141/Data_Prices!G140-1</f>
        <v>0.00244886199942362</v>
      </c>
      <c r="H141" s="32" t="n">
        <f aca="false">Data_Prices!H141/Data_Prices!H140-1</f>
        <v>0.0209010232287474</v>
      </c>
      <c r="I141" s="32" t="n">
        <f aca="false">Data_Prices!I141/Data_Prices!I140-1</f>
        <v>0.017724413950829</v>
      </c>
      <c r="J141" s="32" t="n">
        <f aca="false">Data_Prices!J141/Data_Prices!J140-1</f>
        <v>-0.0174028375065309</v>
      </c>
      <c r="K141" s="32" t="n">
        <f aca="false">Data_Prices!K141/Data_Prices!K140-1</f>
        <v>0.00303120564890591</v>
      </c>
      <c r="L141" s="32" t="n">
        <f aca="false">Data_Prices!L141/Data_Prices!L140-1</f>
        <v>0.0228353311457845</v>
      </c>
      <c r="M141" s="32" t="n">
        <f aca="false">Data_Prices!M141/Data_Prices!M140-1</f>
        <v>0.00955680992566932</v>
      </c>
      <c r="N141" s="32" t="n">
        <f aca="false">Data_Prices!N141/Data_Prices!N140-1</f>
        <v>0.00653484852125019</v>
      </c>
      <c r="O141" s="32" t="n">
        <f aca="false">Data_Prices!O141/Data_Prices!O140-1</f>
        <v>-0.0262234152384885</v>
      </c>
      <c r="P141" s="32" t="n">
        <f aca="false">Data_Prices!P141/Data_Prices!P140-1</f>
        <v>-0.00182736751585499</v>
      </c>
      <c r="Q141" s="32" t="n">
        <f aca="false">Data_Prices!Q141/Data_Prices!Q140-1</f>
        <v>0.0216850337717738</v>
      </c>
      <c r="R141" s="32" t="n">
        <f aca="false">Data_Prices!R141/Data_Prices!R140-1</f>
        <v>-0.00515322248179195</v>
      </c>
      <c r="S141" s="32" t="n">
        <f aca="false">Data_Prices!S141/Data_Prices!S140-1</f>
        <v>-0.00335946248600227</v>
      </c>
      <c r="T141" s="32" t="n">
        <f aca="false">AVERAGE(D141:S141)</f>
        <v>0.00140899913468295</v>
      </c>
      <c r="U141" s="32" t="n">
        <f aca="false">AVERAGE(J141:S141)</f>
        <v>0.000967692378471507</v>
      </c>
      <c r="V141" s="32" t="n">
        <f aca="false">AVERAGE(D141:I141)</f>
        <v>0.00214451039503536</v>
      </c>
      <c r="W141" s="32" t="n">
        <f aca="false">AVERAGE(K141,Q141,R141)</f>
        <v>0.00652100564629591</v>
      </c>
      <c r="X141" s="32" t="n">
        <f aca="false">AVERAGE(K141,L141,N141,O141,P141,Q141,R141,S141)</f>
        <v>0.00219036892069709</v>
      </c>
      <c r="Y141" s="32" t="n">
        <f aca="false">AVERAGE(J141,L141,M141,N141,O141,P141,Q141,R141,S141)</f>
        <v>0.000738413126201018</v>
      </c>
      <c r="Z141" s="32" t="n">
        <f aca="false">U141-V141</f>
        <v>-0.00117681801656386</v>
      </c>
      <c r="AA141" s="32" t="n">
        <f aca="false">W141-V141</f>
        <v>0.00437649525126055</v>
      </c>
    </row>
    <row r="142" customFormat="false" ht="15" hidden="false" customHeight="false" outlineLevel="0" collapsed="false">
      <c r="A142" s="28" t="n">
        <f aca="false">Data_Prices!A142</f>
        <v>45005</v>
      </c>
      <c r="B142" s="32" t="n">
        <f aca="false">Data_Prices!B142/Data_Prices!B141-1</f>
        <v>-0.00652922067479322</v>
      </c>
      <c r="C142" s="32" t="n">
        <f aca="false">Data_Prices!C142/Data_Prices!C141-1</f>
        <v>-0.00719444415551096</v>
      </c>
      <c r="D142" s="32" t="n">
        <f aca="false">Data_Prices!D142/Data_Prices!D141-1</f>
        <v>0.00881362050294787</v>
      </c>
      <c r="E142" s="32" t="n">
        <f aca="false">Data_Prices!E142/Data_Prices!E141-1</f>
        <v>9.43129303028201E-005</v>
      </c>
      <c r="F142" s="32" t="n">
        <f aca="false">Data_Prices!F142/Data_Prices!F141-1</f>
        <v>0.00298908982214918</v>
      </c>
      <c r="G142" s="32" t="n">
        <f aca="false">Data_Prices!G142/Data_Prices!G141-1</f>
        <v>-0.00905302485989357</v>
      </c>
      <c r="H142" s="32" t="n">
        <f aca="false">Data_Prices!H142/Data_Prices!H141-1</f>
        <v>-0.00059376781303444</v>
      </c>
      <c r="I142" s="32" t="n">
        <f aca="false">Data_Prices!I142/Data_Prices!I141-1</f>
        <v>0.00646067415730345</v>
      </c>
      <c r="J142" s="32" t="n">
        <f aca="false">Data_Prices!J142/Data_Prices!J141-1</f>
        <v>0.0579188481675392</v>
      </c>
      <c r="K142" s="32" t="n">
        <f aca="false">Data_Prices!K142/Data_Prices!K141-1</f>
        <v>-0.0316703350452433</v>
      </c>
      <c r="L142" s="32" t="n">
        <f aca="false">Data_Prices!L142/Data_Prices!L141-1</f>
        <v>-0.0232421107764829</v>
      </c>
      <c r="M142" s="32" t="n">
        <f aca="false">Data_Prices!M142/Data_Prices!M141-1</f>
        <v>0.00636625332152341</v>
      </c>
      <c r="N142" s="32" t="n">
        <f aca="false">Data_Prices!N142/Data_Prices!N141-1</f>
        <v>-0.0142737796873135</v>
      </c>
      <c r="O142" s="32" t="n">
        <f aca="false">Data_Prices!O142/Data_Prices!O141-1</f>
        <v>-0.0436810856658185</v>
      </c>
      <c r="P142" s="32" t="n">
        <f aca="false">Data_Prices!P142/Data_Prices!P141-1</f>
        <v>0.018845573982339</v>
      </c>
      <c r="Q142" s="32" t="n">
        <f aca="false">Data_Prices!Q142/Data_Prices!Q141-1</f>
        <v>-0.0407098121085595</v>
      </c>
      <c r="R142" s="32" t="n">
        <f aca="false">Data_Prices!R142/Data_Prices!R141-1</f>
        <v>-0.0184405000345328</v>
      </c>
      <c r="S142" s="32" t="n">
        <f aca="false">Data_Prices!S142/Data_Prices!S141-1</f>
        <v>-0.0211075441412519</v>
      </c>
      <c r="T142" s="32" t="n">
        <f aca="false">AVERAGE(D142:S142)</f>
        <v>-0.00633022420300159</v>
      </c>
      <c r="U142" s="32" t="n">
        <f aca="false">AVERAGE(J142:S142)</f>
        <v>-0.0109994491987801</v>
      </c>
      <c r="V142" s="32" t="n">
        <f aca="false">AVERAGE(D142:I142)</f>
        <v>0.00145181745662922</v>
      </c>
      <c r="W142" s="32" t="n">
        <f aca="false">AVERAGE(K142,Q142,R142)</f>
        <v>-0.0302735490627785</v>
      </c>
      <c r="X142" s="32" t="n">
        <f aca="false">AVERAGE(K142,L142,N142,O142,P142,Q142,R142,S142)</f>
        <v>-0.0217849491846079</v>
      </c>
      <c r="Y142" s="32" t="n">
        <f aca="false">AVERAGE(J142,L142,M142,N142,O142,P142,Q142,R142,S142)</f>
        <v>-0.00870268410472861</v>
      </c>
      <c r="Z142" s="32" t="n">
        <f aca="false">U142-V142</f>
        <v>-0.0124512666554093</v>
      </c>
      <c r="AA142" s="32" t="n">
        <f aca="false">W142-V142</f>
        <v>-0.0317253665194078</v>
      </c>
    </row>
    <row r="143" customFormat="false" ht="15" hidden="false" customHeight="false" outlineLevel="0" collapsed="false">
      <c r="A143" s="28" t="n">
        <f aca="false">Data_Prices!A143</f>
        <v>45006</v>
      </c>
      <c r="B143" s="32" t="n">
        <f aca="false">Data_Prices!B143/Data_Prices!B142-1</f>
        <v>0.00701066610157519</v>
      </c>
      <c r="C143" s="32" t="n">
        <f aca="false">Data_Prices!C143/Data_Prices!C142-1</f>
        <v>0.00657954474020572</v>
      </c>
      <c r="D143" s="32" t="n">
        <f aca="false">Data_Prices!D143/Data_Prices!D142-1</f>
        <v>0.00808062736678905</v>
      </c>
      <c r="E143" s="32" t="n">
        <f aca="false">Data_Prices!E143/Data_Prices!E142-1</f>
        <v>0.00282912108638245</v>
      </c>
      <c r="F143" s="32" t="n">
        <f aca="false">Data_Prices!F143/Data_Prices!F142-1</f>
        <v>0.0337505587840858</v>
      </c>
      <c r="G143" s="32" t="n">
        <f aca="false">Data_Prices!G143/Data_Prices!G142-1</f>
        <v>-0.00377030162412995</v>
      </c>
      <c r="H143" s="32" t="n">
        <f aca="false">Data_Prices!H143/Data_Prices!H142-1</f>
        <v>-0.0138786568121867</v>
      </c>
      <c r="I143" s="32" t="n">
        <f aca="false">Data_Prices!I143/Data_Prices!I142-1</f>
        <v>-0.0103265420039073</v>
      </c>
      <c r="J143" s="32" t="n">
        <f aca="false">Data_Prices!J143/Data_Prices!J142-1</f>
        <v>0.0332895143829259</v>
      </c>
      <c r="K143" s="32" t="n">
        <f aca="false">Data_Prices!K143/Data_Prices!K142-1</f>
        <v>0.0286832753053234</v>
      </c>
      <c r="L143" s="32" t="n">
        <f aca="false">Data_Prices!L143/Data_Prices!L142-1</f>
        <v>0.0115959514712782</v>
      </c>
      <c r="M143" s="32" t="n">
        <f aca="false">Data_Prices!M143/Data_Prices!M142-1</f>
        <v>0.0454370427416249</v>
      </c>
      <c r="N143" s="32" t="n">
        <f aca="false">Data_Prices!N143/Data_Prices!N142-1</f>
        <v>-0.0114051868174444</v>
      </c>
      <c r="O143" s="32" t="n">
        <f aca="false">Data_Prices!O143/Data_Prices!O142-1</f>
        <v>0.0179600886917961</v>
      </c>
      <c r="P143" s="32" t="n">
        <f aca="false">Data_Prices!P143/Data_Prices!P142-1</f>
        <v>0.0260543282951062</v>
      </c>
      <c r="Q143" s="32" t="n">
        <f aca="false">Data_Prices!Q143/Data_Prices!Q142-1</f>
        <v>0.0195865070729055</v>
      </c>
      <c r="R143" s="32" t="n">
        <f aca="false">Data_Prices!R143/Data_Prices!R142-1</f>
        <v>0.00963974106388976</v>
      </c>
      <c r="S143" s="32" t="n">
        <f aca="false">Data_Prices!S143/Data_Prices!S142-1</f>
        <v>0.0334508485693203</v>
      </c>
      <c r="T143" s="32" t="n">
        <f aca="false">AVERAGE(D143:S143)</f>
        <v>0.01443605734836</v>
      </c>
      <c r="U143" s="32" t="n">
        <f aca="false">AVERAGE(J143:S143)</f>
        <v>0.0214292110776726</v>
      </c>
      <c r="V143" s="32" t="n">
        <f aca="false">AVERAGE(D143:I143)</f>
        <v>0.00278080113283891</v>
      </c>
      <c r="W143" s="32" t="n">
        <f aca="false">AVERAGE(K143,Q143,R143)</f>
        <v>0.0193031744807063</v>
      </c>
      <c r="X143" s="32" t="n">
        <f aca="false">AVERAGE(K143,L143,N143,O143,P143,Q143,R143,S143)</f>
        <v>0.0169456942065219</v>
      </c>
      <c r="Y143" s="32" t="n">
        <f aca="false">AVERAGE(J143,L143,M143,N143,O143,P143,Q143,R143,S143)</f>
        <v>0.020623203941267</v>
      </c>
      <c r="Z143" s="32" t="n">
        <f aca="false">U143-V143</f>
        <v>0.0186484099448337</v>
      </c>
      <c r="AA143" s="32" t="n">
        <f aca="false">W143-V143</f>
        <v>0.0165223733478673</v>
      </c>
    </row>
    <row r="144" customFormat="false" ht="15" hidden="false" customHeight="false" outlineLevel="0" collapsed="false">
      <c r="A144" s="28" t="n">
        <f aca="false">Data_Prices!A144</f>
        <v>45007</v>
      </c>
      <c r="B144" s="32" t="n">
        <f aca="false">Data_Prices!B144/Data_Prices!B143-1</f>
        <v>0.00259535291538815</v>
      </c>
      <c r="C144" s="32" t="n">
        <f aca="false">Data_Prices!C144/Data_Prices!C143-1</f>
        <v>0.00337929263841574</v>
      </c>
      <c r="D144" s="32" t="n">
        <f aca="false">Data_Prices!D144/Data_Prices!D143-1</f>
        <v>0.0138132986275437</v>
      </c>
      <c r="E144" s="32" t="n">
        <f aca="false">Data_Prices!E144/Data_Prices!E143-1</f>
        <v>0.0302802332142185</v>
      </c>
      <c r="F144" s="32" t="n">
        <f aca="false">Data_Prices!F144/Data_Prices!F143-1</f>
        <v>0.0322162162162163</v>
      </c>
      <c r="G144" s="32" t="n">
        <f aca="false">Data_Prices!G144/Data_Prices!G143-1</f>
        <v>-0.00742358078602623</v>
      </c>
      <c r="H144" s="32" t="n">
        <f aca="false">Data_Prices!H144/Data_Prices!H143-1</f>
        <v>0.0126762260513316</v>
      </c>
      <c r="I144" s="32" t="n">
        <f aca="false">Data_Prices!I144/Data_Prices!I143-1</f>
        <v>0.012408347433728</v>
      </c>
      <c r="J144" s="32" t="n">
        <f aca="false">Data_Prices!J144/Data_Prices!J143-1</f>
        <v>0.0289616463985034</v>
      </c>
      <c r="K144" s="32" t="n">
        <f aca="false">Data_Prices!K144/Data_Prices!K143-1</f>
        <v>0.0217456114199532</v>
      </c>
      <c r="L144" s="32" t="n">
        <f aca="false">Data_Prices!L144/Data_Prices!L143-1</f>
        <v>-0.00993904055128547</v>
      </c>
      <c r="M144" s="32" t="n">
        <f aca="false">Data_Prices!M144/Data_Prices!M143-1</f>
        <v>0.00589318600368327</v>
      </c>
      <c r="N144" s="32" t="n">
        <f aca="false">Data_Prices!N144/Data_Prices!N143-1</f>
        <v>0.0222652231421154</v>
      </c>
      <c r="O144" s="32" t="n">
        <f aca="false">Data_Prices!O144/Data_Prices!O143-1</f>
        <v>0.00392071444129805</v>
      </c>
      <c r="P144" s="32" t="n">
        <f aca="false">Data_Prices!P144/Data_Prices!P143-1</f>
        <v>0.000927118207571409</v>
      </c>
      <c r="Q144" s="32" t="n">
        <f aca="false">Data_Prices!Q144/Data_Prices!Q143-1</f>
        <v>0.0145855567413731</v>
      </c>
      <c r="R144" s="32" t="n">
        <f aca="false">Data_Prices!R144/Data_Prices!R143-1</f>
        <v>0.0136594884660952</v>
      </c>
      <c r="S144" s="32" t="n">
        <f aca="false">Data_Prices!S144/Data_Prices!S143-1</f>
        <v>-0.0113843712812376</v>
      </c>
      <c r="T144" s="32" t="n">
        <f aca="false">AVERAGE(D144:S144)</f>
        <v>0.0115378671090676</v>
      </c>
      <c r="U144" s="32" t="n">
        <f aca="false">AVERAGE(J144:S144)</f>
        <v>0.009063513298807</v>
      </c>
      <c r="V144" s="32" t="n">
        <f aca="false">AVERAGE(D144:I144)</f>
        <v>0.0156617901261686</v>
      </c>
      <c r="W144" s="32" t="n">
        <f aca="false">AVERAGE(K144,Q144,R144)</f>
        <v>0.0166635522091405</v>
      </c>
      <c r="X144" s="32" t="n">
        <f aca="false">AVERAGE(K144,L144,N144,O144,P144,Q144,R144,S144)</f>
        <v>0.00697253757323542</v>
      </c>
      <c r="Y144" s="32" t="n">
        <f aca="false">AVERAGE(J144,L144,M144,N144,O144,P144,Q144,R144,S144)</f>
        <v>0.00765439128534631</v>
      </c>
      <c r="Z144" s="32" t="n">
        <f aca="false">U144-V144</f>
        <v>-0.00659827682736162</v>
      </c>
      <c r="AA144" s="32" t="n">
        <f aca="false">W144-V144</f>
        <v>0.00100176208297189</v>
      </c>
    </row>
    <row r="145" customFormat="false" ht="15" hidden="false" customHeight="false" outlineLevel="0" collapsed="false">
      <c r="A145" s="28" t="n">
        <f aca="false">Data_Prices!A145</f>
        <v>45008</v>
      </c>
      <c r="B145" s="32" t="n">
        <f aca="false">Data_Prices!B145/Data_Prices!B144-1</f>
        <v>-0.0043726934042293</v>
      </c>
      <c r="C145" s="32" t="n">
        <f aca="false">Data_Prices!C145/Data_Prices!C144-1</f>
        <v>-0.00390041493775928</v>
      </c>
      <c r="D145" s="32" t="n">
        <f aca="false">Data_Prices!D145/Data_Prices!D144-1</f>
        <v>-0.00752735229759305</v>
      </c>
      <c r="E145" s="32" t="n">
        <f aca="false">Data_Prices!E145/Data_Prices!E144-1</f>
        <v>-0.0137824023366191</v>
      </c>
      <c r="F145" s="32" t="n">
        <f aca="false">Data_Prices!F145/Data_Prices!F144-1</f>
        <v>-0.0334450495740819</v>
      </c>
      <c r="G145" s="32" t="n">
        <f aca="false">Data_Prices!G145/Data_Prices!G144-1</f>
        <v>-0.0167179938407391</v>
      </c>
      <c r="H145" s="32" t="n">
        <f aca="false">Data_Prices!H145/Data_Prices!H144-1</f>
        <v>0.00649675162418806</v>
      </c>
      <c r="I145" s="32" t="n">
        <f aca="false">Data_Prices!I145/Data_Prices!I144-1</f>
        <v>-0.000835654596100355</v>
      </c>
      <c r="J145" s="32" t="n">
        <f aca="false">Data_Prices!J145/Data_Prices!J144-1</f>
        <v>0.0133095748936325</v>
      </c>
      <c r="K145" s="32" t="n">
        <f aca="false">Data_Prices!K145/Data_Prices!K144-1</f>
        <v>-0.000205962617784827</v>
      </c>
      <c r="L145" s="32" t="n">
        <f aca="false">Data_Prices!L145/Data_Prices!L144-1</f>
        <v>-0.000535403560433689</v>
      </c>
      <c r="M145" s="32" t="n">
        <f aca="false">Data_Prices!M145/Data_Prices!M144-1</f>
        <v>-0.0218130459800178</v>
      </c>
      <c r="N145" s="32" t="n">
        <f aca="false">Data_Prices!N145/Data_Prices!N144-1</f>
        <v>0</v>
      </c>
      <c r="O145" s="32" t="n">
        <f aca="false">Data_Prices!O145/Data_Prices!O144-1</f>
        <v>-0.0119331742243437</v>
      </c>
      <c r="P145" s="32" t="n">
        <f aca="false">Data_Prices!P145/Data_Prices!P144-1</f>
        <v>0.0104976071630731</v>
      </c>
      <c r="Q145" s="32" t="n">
        <f aca="false">Data_Prices!Q145/Data_Prices!Q144-1</f>
        <v>0.00333099579242635</v>
      </c>
      <c r="R145" s="32" t="n">
        <f aca="false">Data_Prices!R145/Data_Prices!R144-1</f>
        <v>-0.00969405293915426</v>
      </c>
      <c r="S145" s="32" t="n">
        <f aca="false">Data_Prices!S145/Data_Prices!S144-1</f>
        <v>0.0115555912209606</v>
      </c>
      <c r="T145" s="32" t="n">
        <f aca="false">AVERAGE(D145:S145)</f>
        <v>-0.0044562232045367</v>
      </c>
      <c r="U145" s="32" t="n">
        <f aca="false">AVERAGE(J145:S145)</f>
        <v>-0.000548787025164166</v>
      </c>
      <c r="V145" s="32" t="n">
        <f aca="false">AVERAGE(D145:I145)</f>
        <v>-0.0109686168368242</v>
      </c>
      <c r="W145" s="32" t="n">
        <f aca="false">AVERAGE(K145,Q145,R145)</f>
        <v>-0.00218967325483758</v>
      </c>
      <c r="X145" s="32" t="n">
        <f aca="false">AVERAGE(K145,L145,N145,O145,P145,Q145,R145,S145)</f>
        <v>0.000376950104342952</v>
      </c>
      <c r="Y145" s="32" t="n">
        <f aca="false">AVERAGE(J145,L145,M145,N145,O145,P145,Q145,R145,S145)</f>
        <v>-0.000586878625984092</v>
      </c>
      <c r="Z145" s="32" t="n">
        <f aca="false">U145-V145</f>
        <v>0.0104198298116601</v>
      </c>
      <c r="AA145" s="32" t="n">
        <f aca="false">W145-V145</f>
        <v>0.00877894358198667</v>
      </c>
    </row>
    <row r="146" customFormat="false" ht="15" hidden="false" customHeight="false" outlineLevel="0" collapsed="false">
      <c r="A146" s="28" t="n">
        <f aca="false">Data_Prices!A146</f>
        <v>45009</v>
      </c>
      <c r="B146" s="32" t="n">
        <f aca="false">Data_Prices!B146/Data_Prices!B145-1</f>
        <v>-0.00772095637967096</v>
      </c>
      <c r="C146" s="32" t="n">
        <f aca="false">Data_Prices!C146/Data_Prices!C145-1</f>
        <v>-0.00865061512399679</v>
      </c>
      <c r="D146" s="32" t="n">
        <f aca="false">Data_Prices!D146/Data_Prices!D145-1</f>
        <v>-0.0105535467560336</v>
      </c>
      <c r="E146" s="32" t="n">
        <f aca="false">Data_Prices!E146/Data_Prices!E145-1</f>
        <v>-0.0284127718648775</v>
      </c>
      <c r="F146" s="32" t="n">
        <f aca="false">Data_Prices!F146/Data_Prices!F145-1</f>
        <v>-0.00577909412699562</v>
      </c>
      <c r="G146" s="32" t="n">
        <f aca="false">Data_Prices!G146/Data_Prices!G145-1</f>
        <v>-0.0435495898583148</v>
      </c>
      <c r="H146" s="32" t="n">
        <f aca="false">Data_Prices!H146/Data_Prices!H145-1</f>
        <v>-0.027403414195867</v>
      </c>
      <c r="I146" s="32" t="n">
        <f aca="false">Data_Prices!I146/Data_Prices!I145-1</f>
        <v>-0.0342904934485643</v>
      </c>
      <c r="J146" s="32" t="n">
        <f aca="false">Data_Prices!J146/Data_Prices!J145-1</f>
        <v>-0.0391889467073389</v>
      </c>
      <c r="K146" s="32" t="n">
        <f aca="false">Data_Prices!K146/Data_Prices!K145-1</f>
        <v>-0.0315016051226589</v>
      </c>
      <c r="L146" s="32" t="n">
        <f aca="false">Data_Prices!L146/Data_Prices!L145-1</f>
        <v>-0.0255122539172359</v>
      </c>
      <c r="M146" s="32" t="n">
        <f aca="false">Data_Prices!M146/Data_Prices!M145-1</f>
        <v>-0.0216577540106951</v>
      </c>
      <c r="N146" s="32" t="n">
        <f aca="false">Data_Prices!N146/Data_Prices!N145-1</f>
        <v>-0.0116449023601294</v>
      </c>
      <c r="O146" s="32" t="n">
        <f aca="false">Data_Prices!O146/Data_Prices!O145-1</f>
        <v>-0.0316205533596837</v>
      </c>
      <c r="P146" s="32" t="n">
        <f aca="false">Data_Prices!P146/Data_Prices!P145-1</f>
        <v>-0.01986046748485</v>
      </c>
      <c r="Q146" s="32" t="n">
        <f aca="false">Data_Prices!Q146/Data_Prices!Q145-1</f>
        <v>-0.0246374279224182</v>
      </c>
      <c r="R146" s="32" t="n">
        <f aca="false">Data_Prices!R146/Data_Prices!R145-1</f>
        <v>0.004651485698417</v>
      </c>
      <c r="S146" s="32" t="n">
        <f aca="false">Data_Prices!S146/Data_Prices!S145-1</f>
        <v>-0.0216968783467535</v>
      </c>
      <c r="T146" s="32" t="n">
        <f aca="false">AVERAGE(D146:S146)</f>
        <v>-0.0232911383615</v>
      </c>
      <c r="U146" s="32" t="n">
        <f aca="false">AVERAGE(J146:S146)</f>
        <v>-0.0222669303533347</v>
      </c>
      <c r="V146" s="32" t="n">
        <f aca="false">AVERAGE(D146:I146)</f>
        <v>-0.0249981517084421</v>
      </c>
      <c r="W146" s="32" t="n">
        <f aca="false">AVERAGE(K146,Q146,R146)</f>
        <v>-0.01716251578222</v>
      </c>
      <c r="X146" s="32" t="n">
        <f aca="false">AVERAGE(K146,L146,N146,O146,P146,Q146,R146,S146)</f>
        <v>-0.0202278253519141</v>
      </c>
      <c r="Y146" s="32" t="n">
        <f aca="false">AVERAGE(J146,L146,M146,N146,O146,P146,Q146,R146,S146)</f>
        <v>-0.0212408553789653</v>
      </c>
      <c r="Z146" s="32" t="n">
        <f aca="false">U146-V146</f>
        <v>0.00273122135510747</v>
      </c>
      <c r="AA146" s="32" t="n">
        <f aca="false">W146-V146</f>
        <v>0.00783563592622211</v>
      </c>
    </row>
    <row r="147" customFormat="false" ht="15" hidden="false" customHeight="false" outlineLevel="0" collapsed="false">
      <c r="A147" s="28" t="n">
        <f aca="false">Data_Prices!A147</f>
        <v>45012</v>
      </c>
      <c r="B147" s="32" t="n">
        <f aca="false">Data_Prices!B147/Data_Prices!B146-1</f>
        <v>0.0023989306611667</v>
      </c>
      <c r="C147" s="32" t="n">
        <f aca="false">Data_Prices!C147/Data_Prices!C146-1</f>
        <v>-0.00114153652216542</v>
      </c>
      <c r="D147" s="32" t="n">
        <f aca="false">Data_Prices!D147/Data_Prices!D146-1</f>
        <v>-0.0359498484758453</v>
      </c>
      <c r="E147" s="32" t="n">
        <f aca="false">Data_Prices!E147/Data_Prices!E146-1</f>
        <v>-0.00952562392836731</v>
      </c>
      <c r="F147" s="32" t="n">
        <f aca="false">Data_Prices!F147/Data_Prices!F146-1</f>
        <v>-0.0140231054275957</v>
      </c>
      <c r="G147" s="32" t="n">
        <f aca="false">Data_Prices!G147/Data_Prices!G146-1</f>
        <v>0.000467799781693534</v>
      </c>
      <c r="H147" s="32" t="n">
        <f aca="false">Data_Prices!H147/Data_Prices!H146-1</f>
        <v>-0.0569831044123009</v>
      </c>
      <c r="I147" s="32" t="n">
        <f aca="false">Data_Prices!I147/Data_Prices!I146-1</f>
        <v>-0.00548498845265577</v>
      </c>
      <c r="J147" s="32" t="n">
        <f aca="false">Data_Prices!J147/Data_Prices!J146-1</f>
        <v>-0.0304411160497516</v>
      </c>
      <c r="K147" s="32" t="n">
        <f aca="false">Data_Prices!K147/Data_Prices!K146-1</f>
        <v>-0.00996171298922288</v>
      </c>
      <c r="L147" s="32" t="n">
        <f aca="false">Data_Prices!L147/Data_Prices!L146-1</f>
        <v>-0.016216587645159</v>
      </c>
      <c r="M147" s="32" t="n">
        <f aca="false">Data_Prices!M147/Data_Prices!M146-1</f>
        <v>-0.018201694452036</v>
      </c>
      <c r="N147" s="32" t="n">
        <f aca="false">Data_Prices!N147/Data_Prices!N146-1</f>
        <v>-0.00341826468520456</v>
      </c>
      <c r="O147" s="32" t="n">
        <f aca="false">Data_Prices!O147/Data_Prices!O146-1</f>
        <v>-0.010657596371882</v>
      </c>
      <c r="P147" s="32" t="n">
        <f aca="false">Data_Prices!P147/Data_Prices!P146-1</f>
        <v>0.00379279887774708</v>
      </c>
      <c r="Q147" s="32" t="n">
        <f aca="false">Data_Prices!Q147/Data_Prices!Q146-1</f>
        <v>-0.0123611608742388</v>
      </c>
      <c r="R147" s="32" t="n">
        <f aca="false">Data_Prices!R147/Data_Prices!R146-1</f>
        <v>-0.0073249948172206</v>
      </c>
      <c r="S147" s="32" t="n">
        <f aca="false">Data_Prices!S147/Data_Prices!S146-1</f>
        <v>-0.0192993837171586</v>
      </c>
      <c r="T147" s="32" t="n">
        <f aca="false">AVERAGE(D147:S147)</f>
        <v>-0.0153492864774499</v>
      </c>
      <c r="U147" s="32" t="n">
        <f aca="false">AVERAGE(J147:S147)</f>
        <v>-0.0124089712724127</v>
      </c>
      <c r="V147" s="32" t="n">
        <f aca="false">AVERAGE(D147:I147)</f>
        <v>-0.0202498118191786</v>
      </c>
      <c r="W147" s="32" t="n">
        <f aca="false">AVERAGE(K147,Q147,R147)</f>
        <v>-0.00988262289356075</v>
      </c>
      <c r="X147" s="32" t="n">
        <f aca="false">AVERAGE(K147,L147,N147,O147,P147,Q147,R147,S147)</f>
        <v>-0.00943086277779241</v>
      </c>
      <c r="Y147" s="32" t="n">
        <f aca="false">AVERAGE(J147,L147,M147,N147,O147,P147,Q147,R147,S147)</f>
        <v>-0.0126808888594338</v>
      </c>
      <c r="Z147" s="32" t="n">
        <f aca="false">U147-V147</f>
        <v>0.00784084054676587</v>
      </c>
      <c r="AA147" s="32" t="n">
        <f aca="false">W147-V147</f>
        <v>0.0103671889256178</v>
      </c>
    </row>
    <row r="148" customFormat="false" ht="15" hidden="false" customHeight="false" outlineLevel="0" collapsed="false">
      <c r="A148" s="28" t="n">
        <f aca="false">Data_Prices!A148</f>
        <v>45013</v>
      </c>
      <c r="B148" s="32" t="n">
        <f aca="false">Data_Prices!B148/Data_Prices!B147-1</f>
        <v>-0.00200168376928833</v>
      </c>
      <c r="C148" s="32" t="n">
        <f aca="false">Data_Prices!C148/Data_Prices!C147-1</f>
        <v>-0.00356874925505002</v>
      </c>
      <c r="D148" s="32" t="n">
        <f aca="false">Data_Prices!D148/Data_Prices!D147-1</f>
        <v>-0.00240384615384626</v>
      </c>
      <c r="E148" s="32" t="n">
        <f aca="false">Data_Prices!E148/Data_Prices!E147-1</f>
        <v>-0.00201961915753024</v>
      </c>
      <c r="F148" s="32" t="n">
        <f aca="false">Data_Prices!F148/Data_Prices!F147-1</f>
        <v>-0.0125276344878408</v>
      </c>
      <c r="G148" s="32" t="n">
        <f aca="false">Data_Prices!G148/Data_Prices!G147-1</f>
        <v>-0.00670199501246893</v>
      </c>
      <c r="H148" s="32" t="n">
        <f aca="false">Data_Prices!H148/Data_Prices!H147-1</f>
        <v>0.0355494831275296</v>
      </c>
      <c r="I148" s="32" t="n">
        <f aca="false">Data_Prices!I148/Data_Prices!I147-1</f>
        <v>0.0156748911465892</v>
      </c>
      <c r="J148" s="32" t="n">
        <f aca="false">Data_Prices!J148/Data_Prices!J147-1</f>
        <v>0.0258879728792665</v>
      </c>
      <c r="K148" s="32" t="n">
        <f aca="false">Data_Prices!K148/Data_Prices!K147-1</f>
        <v>-0.0104737350950691</v>
      </c>
      <c r="L148" s="32" t="n">
        <f aca="false">Data_Prices!L148/Data_Prices!L147-1</f>
        <v>0.0227701334078367</v>
      </c>
      <c r="M148" s="32" t="n">
        <f aca="false">Data_Prices!M148/Data_Prices!M147-1</f>
        <v>-0.000445384701035501</v>
      </c>
      <c r="N148" s="32" t="n">
        <f aca="false">Data_Prices!N148/Data_Prices!N147-1</f>
        <v>0.0303590541986962</v>
      </c>
      <c r="O148" s="32" t="n">
        <f aca="false">Data_Prices!O148/Data_Prices!O147-1</f>
        <v>0.0148980059592023</v>
      </c>
      <c r="P148" s="32" t="n">
        <f aca="false">Data_Prices!P148/Data_Prices!P147-1</f>
        <v>0.000310559006211131</v>
      </c>
      <c r="Q148" s="32" t="n">
        <f aca="false">Data_Prices!Q148/Data_Prices!Q147-1</f>
        <v>0.0244875748231452</v>
      </c>
      <c r="R148" s="32" t="n">
        <f aca="false">Data_Prices!R148/Data_Prices!R147-1</f>
        <v>-0.00995475113122168</v>
      </c>
      <c r="S148" s="32" t="n">
        <f aca="false">Data_Prices!S148/Data_Prices!S147-1</f>
        <v>0.0136431288242105</v>
      </c>
      <c r="T148" s="32" t="n">
        <f aca="false">AVERAGE(D148:S148)</f>
        <v>0.00869086485210468</v>
      </c>
      <c r="U148" s="32" t="n">
        <f aca="false">AVERAGE(J148:S148)</f>
        <v>0.0111482558171242</v>
      </c>
      <c r="V148" s="32" t="n">
        <f aca="false">AVERAGE(D148:I148)</f>
        <v>0.00459521324373876</v>
      </c>
      <c r="W148" s="32" t="n">
        <f aca="false">AVERAGE(K148,Q148,R148)</f>
        <v>0.00135302953228481</v>
      </c>
      <c r="X148" s="32" t="n">
        <f aca="false">AVERAGE(K148,L148,N148,O148,P148,Q148,R148,S148)</f>
        <v>0.0107549962491264</v>
      </c>
      <c r="Y148" s="32" t="n">
        <f aca="false">AVERAGE(J148,L148,M148,N148,O148,P148,Q148,R148,S148)</f>
        <v>0.0135506992518124</v>
      </c>
      <c r="Z148" s="32" t="n">
        <f aca="false">U148-V148</f>
        <v>0.00655304257338547</v>
      </c>
      <c r="AA148" s="32" t="n">
        <f aca="false">W148-V148</f>
        <v>-0.00324218371145394</v>
      </c>
    </row>
    <row r="149" customFormat="false" ht="15" hidden="false" customHeight="false" outlineLevel="0" collapsed="false">
      <c r="A149" s="28" t="n">
        <f aca="false">Data_Prices!A149</f>
        <v>45014</v>
      </c>
      <c r="B149" s="32" t="n">
        <f aca="false">Data_Prices!B149/Data_Prices!B148-1</f>
        <v>0.00760985623860733</v>
      </c>
      <c r="C149" s="32" t="n">
        <f aca="false">Data_Prices!C149/Data_Prices!C148-1</f>
        <v>0.00941471171843133</v>
      </c>
      <c r="D149" s="32" t="n">
        <f aca="false">Data_Prices!D149/Data_Prices!D148-1</f>
        <v>-0.00747605807846763</v>
      </c>
      <c r="E149" s="32" t="n">
        <f aca="false">Data_Prices!E149/Data_Prices!E148-1</f>
        <v>-0.00664932061289403</v>
      </c>
      <c r="F149" s="32" t="n">
        <f aca="false">Data_Prices!F149/Data_Prices!F148-1</f>
        <v>0.0529104477611941</v>
      </c>
      <c r="G149" s="32" t="n">
        <f aca="false">Data_Prices!G149/Data_Prices!G148-1</f>
        <v>0.0122391338459125</v>
      </c>
      <c r="H149" s="32" t="n">
        <f aca="false">Data_Prices!H149/Data_Prices!H148-1</f>
        <v>0.000821508588498832</v>
      </c>
      <c r="I149" s="32" t="n">
        <f aca="false">Data_Prices!I149/Data_Prices!I148-1</f>
        <v>0.0362960845955989</v>
      </c>
      <c r="J149" s="32" t="n">
        <f aca="false">Data_Prices!J149/Data_Prices!J148-1</f>
        <v>0.0115283514832893</v>
      </c>
      <c r="K149" s="32" t="n">
        <f aca="false">Data_Prices!K149/Data_Prices!K148-1</f>
        <v>0.016410646112649</v>
      </c>
      <c r="L149" s="32" t="n">
        <f aca="false">Data_Prices!L149/Data_Prices!L148-1</f>
        <v>0.0214436932322613</v>
      </c>
      <c r="M149" s="32" t="n">
        <f aca="false">Data_Prices!M149/Data_Prices!M148-1</f>
        <v>-0.00690653893282844</v>
      </c>
      <c r="N149" s="32" t="n">
        <f aca="false">Data_Prices!N149/Data_Prices!N148-1</f>
        <v>0.0726933610350364</v>
      </c>
      <c r="O149" s="32" t="n">
        <f aca="false">Data_Prices!O149/Data_Prices!O148-1</f>
        <v>0.0239385727190604</v>
      </c>
      <c r="P149" s="32" t="n">
        <f aca="false">Data_Prices!P149/Data_Prices!P148-1</f>
        <v>0.00869295249922386</v>
      </c>
      <c r="Q149" s="32" t="n">
        <f aca="false">Data_Prices!Q149/Data_Prices!Q148-1</f>
        <v>0.0217776203966007</v>
      </c>
      <c r="R149" s="32" t="n">
        <f aca="false">Data_Prices!R149/Data_Prices!R148-1</f>
        <v>0.0127267613556461</v>
      </c>
      <c r="S149" s="32" t="n">
        <f aca="false">Data_Prices!S149/Data_Prices!S148-1</f>
        <v>0.0211273350191696</v>
      </c>
      <c r="T149" s="32" t="n">
        <f aca="false">AVERAGE(D149:S149)</f>
        <v>0.0182234094387469</v>
      </c>
      <c r="U149" s="32" t="n">
        <f aca="false">AVERAGE(J149:S149)</f>
        <v>0.0203432754920108</v>
      </c>
      <c r="V149" s="32" t="n">
        <f aca="false">AVERAGE(D149:I149)</f>
        <v>0.0146902993499738</v>
      </c>
      <c r="W149" s="32" t="n">
        <f aca="false">AVERAGE(K149,Q149,R149)</f>
        <v>0.0169716759549653</v>
      </c>
      <c r="X149" s="32" t="n">
        <f aca="false">AVERAGE(K149,L149,N149,O149,P149,Q149,R149,S149)</f>
        <v>0.0248513677962059</v>
      </c>
      <c r="Y149" s="32" t="n">
        <f aca="false">AVERAGE(J149,L149,M149,N149,O149,P149,Q149,R149,S149)</f>
        <v>0.0207802343119399</v>
      </c>
      <c r="Z149" s="32" t="n">
        <f aca="false">U149-V149</f>
        <v>0.00565297614203705</v>
      </c>
      <c r="AA149" s="32" t="n">
        <f aca="false">W149-V149</f>
        <v>0.00228137660499148</v>
      </c>
    </row>
    <row r="150" customFormat="false" ht="15" hidden="false" customHeight="false" outlineLevel="0" collapsed="false">
      <c r="A150" s="28" t="n">
        <f aca="false">Data_Prices!A150</f>
        <v>45016</v>
      </c>
      <c r="B150" s="32" t="n">
        <f aca="false">Data_Prices!B150/Data_Prices!B149-1</f>
        <v>0.0163371524586229</v>
      </c>
      <c r="C150" s="32" t="n">
        <f aca="false">Data_Prices!C150/Data_Prices!C149-1</f>
        <v>0.0147954773589114</v>
      </c>
      <c r="D150" s="32" t="n">
        <f aca="false">Data_Prices!D150/Data_Prices!D149-1</f>
        <v>0.00270791832669315</v>
      </c>
      <c r="E150" s="32" t="n">
        <f aca="false">Data_Prices!E150/Data_Prices!E149-1</f>
        <v>0.0267753201396974</v>
      </c>
      <c r="F150" s="32" t="n">
        <f aca="false">Data_Prices!F150/Data_Prices!F149-1</f>
        <v>0.0525905450421715</v>
      </c>
      <c r="G150" s="32" t="n">
        <f aca="false">Data_Prices!G150/Data_Prices!G149-1</f>
        <v>0.0192218260734769</v>
      </c>
      <c r="H150" s="32" t="n">
        <f aca="false">Data_Prices!H150/Data_Prices!H149-1</f>
        <v>0.0571599134392957</v>
      </c>
      <c r="I150" s="32" t="n">
        <f aca="false">Data_Prices!I150/Data_Prices!I149-1</f>
        <v>-0.00854936569222287</v>
      </c>
      <c r="J150" s="32" t="n">
        <f aca="false">Data_Prices!J150/Data_Prices!J149-1</f>
        <v>-0.0129190332999219</v>
      </c>
      <c r="K150" s="32" t="n">
        <f aca="false">Data_Prices!K150/Data_Prices!K149-1</f>
        <v>-0.00151310168043295</v>
      </c>
      <c r="L150" s="32" t="n">
        <f aca="false">Data_Prices!L150/Data_Prices!L149-1</f>
        <v>0.0179848900180517</v>
      </c>
      <c r="M150" s="32" t="n">
        <f aca="false">Data_Prices!M150/Data_Prices!M149-1</f>
        <v>0.026584408300617</v>
      </c>
      <c r="N150" s="32" t="n">
        <f aca="false">Data_Prices!N150/Data_Prices!N149-1</f>
        <v>0.0435127104655002</v>
      </c>
      <c r="O150" s="32" t="n">
        <f aca="false">Data_Prices!O150/Data_Prices!O149-1</f>
        <v>0.021835024261138</v>
      </c>
      <c r="P150" s="32" t="n">
        <f aca="false">Data_Prices!P150/Data_Prices!P149-1</f>
        <v>0.00538627269929215</v>
      </c>
      <c r="Q150" s="32" t="n">
        <f aca="false">Data_Prices!Q150/Data_Prices!Q149-1</f>
        <v>0.0136891353318316</v>
      </c>
      <c r="R150" s="32" t="n">
        <f aca="false">Data_Prices!R150/Data_Prices!R149-1</f>
        <v>0.0278414219259877</v>
      </c>
      <c r="S150" s="32" t="n">
        <f aca="false">Data_Prices!S150/Data_Prices!S149-1</f>
        <v>0.00607125738935932</v>
      </c>
      <c r="T150" s="32" t="n">
        <f aca="false">AVERAGE(D150:S150)</f>
        <v>0.0186486964212834</v>
      </c>
      <c r="U150" s="32" t="n">
        <f aca="false">AVERAGE(J150:S150)</f>
        <v>0.0148472985411423</v>
      </c>
      <c r="V150" s="32" t="n">
        <f aca="false">AVERAGE(D150:I150)</f>
        <v>0.024984359554852</v>
      </c>
      <c r="W150" s="32" t="n">
        <f aca="false">AVERAGE(K150,Q150,R150)</f>
        <v>0.0133391518591288</v>
      </c>
      <c r="X150" s="32" t="n">
        <f aca="false">AVERAGE(K150,L150,N150,O150,P150,Q150,R150,S150)</f>
        <v>0.016850951301341</v>
      </c>
      <c r="Y150" s="32" t="n">
        <f aca="false">AVERAGE(J150,L150,M150,N150,O150,P150,Q150,R150,S150)</f>
        <v>0.016665120787984</v>
      </c>
      <c r="Z150" s="32" t="n">
        <f aca="false">U150-V150</f>
        <v>-0.0101370610137097</v>
      </c>
      <c r="AA150" s="32" t="n">
        <f aca="false">W150-V150</f>
        <v>-0.0116452076957232</v>
      </c>
    </row>
    <row r="151" customFormat="false" ht="15" hidden="false" customHeight="false" outlineLevel="0" collapsed="false">
      <c r="A151" s="28" t="n">
        <f aca="false">Data_Prices!A151</f>
        <v>45019</v>
      </c>
      <c r="B151" s="32" t="n">
        <f aca="false">Data_Prices!B151/Data_Prices!B150-1</f>
        <v>0.00220625297023291</v>
      </c>
      <c r="C151" s="32" t="n">
        <f aca="false">Data_Prices!C151/Data_Prices!C150-1</f>
        <v>0.00302929347396774</v>
      </c>
      <c r="D151" s="32" t="n">
        <f aca="false">Data_Prices!D151/Data_Prices!D150-1</f>
        <v>0.0128821977339748</v>
      </c>
      <c r="E151" s="32" t="n">
        <f aca="false">Data_Prices!E151/Data_Prices!E150-1</f>
        <v>0.0306122448979591</v>
      </c>
      <c r="F151" s="32" t="n">
        <f aca="false">Data_Prices!F151/Data_Prices!F150-1</f>
        <v>-0.0321190492222745</v>
      </c>
      <c r="G151" s="32" t="n">
        <f aca="false">Data_Prices!G151/Data_Prices!G150-1</f>
        <v>0.0146007604562739</v>
      </c>
      <c r="H151" s="32" t="n">
        <f aca="false">Data_Prices!H151/Data_Prices!H150-1</f>
        <v>0.0540693160160939</v>
      </c>
      <c r="I151" s="32" t="n">
        <f aca="false">Data_Prices!I151/Data_Prices!I150-1</f>
        <v>0.0183588317107093</v>
      </c>
      <c r="J151" s="32" t="n">
        <f aca="false">Data_Prices!J151/Data_Prices!J150-1</f>
        <v>0.011470909022528</v>
      </c>
      <c r="K151" s="32" t="n">
        <f aca="false">Data_Prices!K151/Data_Prices!K150-1</f>
        <v>0.0175072649801218</v>
      </c>
      <c r="L151" s="32" t="n">
        <f aca="false">Data_Prices!L151/Data_Prices!L150-1</f>
        <v>0.0227242874031264</v>
      </c>
      <c r="M151" s="32" t="n">
        <f aca="false">Data_Prices!M151/Data_Prices!M150-1</f>
        <v>0.0119645979020979</v>
      </c>
      <c r="N151" s="32" t="n">
        <f aca="false">Data_Prices!N151/Data_Prices!N150-1</f>
        <v>-0.0357504429258415</v>
      </c>
      <c r="O151" s="32" t="n">
        <f aca="false">Data_Prices!O151/Data_Prices!O150-1</f>
        <v>0.0274120440319448</v>
      </c>
      <c r="P151" s="32" t="n">
        <f aca="false">Data_Prices!P151/Data_Prices!P150-1</f>
        <v>0.00127557528445332</v>
      </c>
      <c r="Q151" s="32" t="n">
        <f aca="false">Data_Prices!Q151/Data_Prices!Q150-1</f>
        <v>-0.00461538461538469</v>
      </c>
      <c r="R151" s="32" t="n">
        <f aca="false">Data_Prices!R151/Data_Prices!R150-1</f>
        <v>0.0095244528505809</v>
      </c>
      <c r="S151" s="32" t="n">
        <f aca="false">Data_Prices!S151/Data_Prices!S150-1</f>
        <v>0.0214784818167382</v>
      </c>
      <c r="T151" s="32" t="n">
        <f aca="false">AVERAGE(D151:S151)</f>
        <v>0.0113372554589438</v>
      </c>
      <c r="U151" s="32" t="n">
        <f aca="false">AVERAGE(J151:S151)</f>
        <v>0.0082991785750365</v>
      </c>
      <c r="V151" s="32" t="n">
        <f aca="false">AVERAGE(D151:I151)</f>
        <v>0.0164007169321228</v>
      </c>
      <c r="W151" s="32" t="n">
        <f aca="false">AVERAGE(K151,Q151,R151)</f>
        <v>0.00747211107177267</v>
      </c>
      <c r="X151" s="32" t="n">
        <f aca="false">AVERAGE(K151,L151,N151,O151,P151,Q151,R151,S151)</f>
        <v>0.00744453485321739</v>
      </c>
      <c r="Y151" s="32" t="n">
        <f aca="false">AVERAGE(J151,L151,M151,N151,O151,P151,Q151,R151,S151)</f>
        <v>0.00727605786336036</v>
      </c>
      <c r="Z151" s="32" t="n">
        <f aca="false">U151-V151</f>
        <v>-0.00810153835708625</v>
      </c>
      <c r="AA151" s="32" t="n">
        <f aca="false">W151-V151</f>
        <v>-0.00892860586035009</v>
      </c>
    </row>
    <row r="152" customFormat="false" ht="15" hidden="false" customHeight="false" outlineLevel="0" collapsed="false">
      <c r="A152" s="28" t="n">
        <f aca="false">Data_Prices!A152</f>
        <v>45021</v>
      </c>
      <c r="B152" s="32" t="n">
        <f aca="false">Data_Prices!B152/Data_Prices!B151-1</f>
        <v>0.009138955227741</v>
      </c>
      <c r="C152" s="32" t="n">
        <f aca="false">Data_Prices!C152/Data_Prices!C151-1</f>
        <v>0.00735860621355355</v>
      </c>
      <c r="D152" s="32" t="n">
        <f aca="false">Data_Prices!D152/Data_Prices!D151-1</f>
        <v>0.0246092552865462</v>
      </c>
      <c r="E152" s="32" t="n">
        <f aca="false">Data_Prices!E152/Data_Prices!E151-1</f>
        <v>-0.00220022002200204</v>
      </c>
      <c r="F152" s="32" t="n">
        <f aca="false">Data_Prices!F152/Data_Prices!F151-1</f>
        <v>-0.0103659385000696</v>
      </c>
      <c r="G152" s="32" t="n">
        <f aca="false">Data_Prices!G152/Data_Prices!G151-1</f>
        <v>-0.0155898665867186</v>
      </c>
      <c r="H152" s="32" t="n">
        <f aca="false">Data_Prices!H152/Data_Prices!H151-1</f>
        <v>0.0338400410723454</v>
      </c>
      <c r="I152" s="32" t="n">
        <f aca="false">Data_Prices!I152/Data_Prices!I151-1</f>
        <v>-0.00464354001638911</v>
      </c>
      <c r="J152" s="32" t="n">
        <f aca="false">Data_Prices!J152/Data_Prices!J151-1</f>
        <v>0.0344686547185245</v>
      </c>
      <c r="K152" s="32" t="n">
        <f aca="false">Data_Prices!K152/Data_Prices!K151-1</f>
        <v>0.00809489601037261</v>
      </c>
      <c r="L152" s="32" t="n">
        <f aca="false">Data_Prices!L152/Data_Prices!L151-1</f>
        <v>0.0052016439763678</v>
      </c>
      <c r="M152" s="32" t="n">
        <f aca="false">Data_Prices!M152/Data_Prices!M151-1</f>
        <v>0.0323921610970146</v>
      </c>
      <c r="N152" s="32" t="n">
        <f aca="false">Data_Prices!N152/Data_Prices!N151-1</f>
        <v>-0.0210425006015268</v>
      </c>
      <c r="O152" s="32" t="n">
        <f aca="false">Data_Prices!O152/Data_Prices!O151-1</f>
        <v>0.00630252100840334</v>
      </c>
      <c r="P152" s="32" t="n">
        <f aca="false">Data_Prices!P152/Data_Prices!P151-1</f>
        <v>0.00871381981247454</v>
      </c>
      <c r="Q152" s="32" t="n">
        <f aca="false">Data_Prices!Q152/Data_Prices!Q151-1</f>
        <v>-0.000343465567576695</v>
      </c>
      <c r="R152" s="32" t="n">
        <f aca="false">Data_Prices!R152/Data_Prices!R151-1</f>
        <v>-0.00956841753094673</v>
      </c>
      <c r="S152" s="32" t="n">
        <f aca="false">Data_Prices!S152/Data_Prices!S151-1</f>
        <v>0.00202106572350269</v>
      </c>
      <c r="T152" s="32" t="n">
        <f aca="false">AVERAGE(D152:S152)</f>
        <v>0.00574313186752013</v>
      </c>
      <c r="U152" s="32" t="n">
        <f aca="false">AVERAGE(J152:S152)</f>
        <v>0.00662403786466098</v>
      </c>
      <c r="V152" s="32" t="n">
        <f aca="false">AVERAGE(D152:I152)</f>
        <v>0.00427495520561871</v>
      </c>
      <c r="W152" s="32" t="n">
        <f aca="false">AVERAGE(K152,Q152,R152)</f>
        <v>-0.000605662362716937</v>
      </c>
      <c r="X152" s="32" t="n">
        <f aca="false">AVERAGE(K152,L152,N152,O152,P152,Q152,R152,S152)</f>
        <v>-7.75546461161542E-005</v>
      </c>
      <c r="Y152" s="32" t="n">
        <f aca="false">AVERAGE(J152,L152,M152,N152,O152,P152,Q152,R152,S152)</f>
        <v>0.00646060918180413</v>
      </c>
      <c r="Z152" s="32" t="n">
        <f aca="false">U152-V152</f>
        <v>0.00234908265904227</v>
      </c>
      <c r="AA152" s="32" t="n">
        <f aca="false">W152-V152</f>
        <v>-0.00488061756833565</v>
      </c>
    </row>
    <row r="153" customFormat="false" ht="15" hidden="false" customHeight="false" outlineLevel="0" collapsed="false">
      <c r="A153" s="28" t="n">
        <f aca="false">Data_Prices!A153</f>
        <v>45022</v>
      </c>
      <c r="B153" s="32" t="n">
        <f aca="false">Data_Prices!B153/Data_Prices!B152-1</f>
        <v>0.00239789714103456</v>
      </c>
      <c r="C153" s="32" t="n">
        <f aca="false">Data_Prices!C153/Data_Prices!C152-1</f>
        <v>0.00338559016683226</v>
      </c>
      <c r="D153" s="32" t="n">
        <f aca="false">Data_Prices!D153/Data_Prices!D152-1</f>
        <v>-0.0215056979630904</v>
      </c>
      <c r="E153" s="32" t="n">
        <f aca="false">Data_Prices!E153/Data_Prices!E152-1</f>
        <v>0.0421719955898565</v>
      </c>
      <c r="F153" s="32" t="n">
        <f aca="false">Data_Prices!F153/Data_Prices!F152-1</f>
        <v>-0.00878734622144117</v>
      </c>
      <c r="G153" s="32" t="n">
        <f aca="false">Data_Prices!G153/Data_Prices!G152-1</f>
        <v>0.0254301812090756</v>
      </c>
      <c r="H153" s="32" t="n">
        <f aca="false">Data_Prices!H153/Data_Prices!H152-1</f>
        <v>-0.00917629277771781</v>
      </c>
      <c r="I153" s="32" t="n">
        <f aca="false">Data_Prices!I153/Data_Prices!I152-1</f>
        <v>-0.00109769484083422</v>
      </c>
      <c r="J153" s="32" t="n">
        <f aca="false">Data_Prices!J153/Data_Prices!J152-1</f>
        <v>0.0209553934078575</v>
      </c>
      <c r="K153" s="32" t="n">
        <f aca="false">Data_Prices!K153/Data_Prices!K152-1</f>
        <v>0.0296515164682367</v>
      </c>
      <c r="L153" s="32" t="n">
        <f aca="false">Data_Prices!L153/Data_Prices!L152-1</f>
        <v>0.0750654826550821</v>
      </c>
      <c r="M153" s="32" t="n">
        <f aca="false">Data_Prices!M153/Data_Prices!M152-1</f>
        <v>-0.00245777336192021</v>
      </c>
      <c r="N153" s="32" t="n">
        <f aca="false">Data_Prices!N153/Data_Prices!N152-1</f>
        <v>0.0325773656574684</v>
      </c>
      <c r="O153" s="32" t="n">
        <f aca="false">Data_Prices!O153/Data_Prices!O152-1</f>
        <v>0.0528183716075157</v>
      </c>
      <c r="P153" s="32" t="n">
        <f aca="false">Data_Prices!P153/Data_Prices!P152-1</f>
        <v>0.0307148269765092</v>
      </c>
      <c r="Q153" s="32" t="n">
        <f aca="false">Data_Prices!Q153/Data_Prices!Q152-1</f>
        <v>-0.00360762755540289</v>
      </c>
      <c r="R153" s="32" t="n">
        <f aca="false">Data_Prices!R153/Data_Prices!R152-1</f>
        <v>0.0142548304283205</v>
      </c>
      <c r="S153" s="32" t="n">
        <f aca="false">Data_Prices!S153/Data_Prices!S152-1</f>
        <v>0.0114813234552578</v>
      </c>
      <c r="T153" s="32" t="n">
        <f aca="false">AVERAGE(D153:S153)</f>
        <v>0.0180305534209233</v>
      </c>
      <c r="U153" s="32" t="n">
        <f aca="false">AVERAGE(J153:S153)</f>
        <v>0.0261453709738925</v>
      </c>
      <c r="V153" s="32" t="n">
        <f aca="false">AVERAGE(D153:I153)</f>
        <v>0.00450585749930808</v>
      </c>
      <c r="W153" s="32" t="n">
        <f aca="false">AVERAGE(K153,Q153,R153)</f>
        <v>0.0134329064470515</v>
      </c>
      <c r="X153" s="32" t="n">
        <f aca="false">AVERAGE(K153,L153,N153,O153,P153,Q153,R153,S153)</f>
        <v>0.0303695112116234</v>
      </c>
      <c r="Y153" s="32" t="n">
        <f aca="false">AVERAGE(J153,L153,M153,N153,O153,P153,Q153,R153,S153)</f>
        <v>0.0257557992522987</v>
      </c>
      <c r="Z153" s="32" t="n">
        <f aca="false">U153-V153</f>
        <v>0.0216395134745844</v>
      </c>
      <c r="AA153" s="32" t="n">
        <f aca="false">W153-V153</f>
        <v>0.00892704894774338</v>
      </c>
    </row>
    <row r="154" customFormat="false" ht="15" hidden="false" customHeight="false" outlineLevel="0" collapsed="false">
      <c r="A154" s="28" t="n">
        <f aca="false">Data_Prices!A154</f>
        <v>45026</v>
      </c>
      <c r="B154" s="32" t="n">
        <f aca="false">Data_Prices!B154/Data_Prices!B153-1</f>
        <v>0.00141484105766465</v>
      </c>
      <c r="C154" s="32" t="n">
        <f aca="false">Data_Prices!C154/Data_Prices!C153-1</f>
        <v>0.00212409886714715</v>
      </c>
      <c r="D154" s="32" t="n">
        <f aca="false">Data_Prices!D154/Data_Prices!D153-1</f>
        <v>0.0228953964663448</v>
      </c>
      <c r="E154" s="32" t="n">
        <f aca="false">Data_Prices!E154/Data_Prices!E153-1</f>
        <v>0.0264480296217933</v>
      </c>
      <c r="F154" s="32" t="n">
        <f aca="false">Data_Prices!F154/Data_Prices!F153-1</f>
        <v>-0.0182978723404255</v>
      </c>
      <c r="G154" s="32" t="n">
        <f aca="false">Data_Prices!G154/Data_Prices!G153-1</f>
        <v>-0.00965250965250963</v>
      </c>
      <c r="H154" s="32" t="n">
        <f aca="false">Data_Prices!H154/Data_Prices!H153-1</f>
        <v>-0.0188494225321421</v>
      </c>
      <c r="I154" s="32" t="n">
        <f aca="false">Data_Prices!I154/Data_Prices!I153-1</f>
        <v>0.0387362637362638</v>
      </c>
      <c r="J154" s="32" t="n">
        <f aca="false">Data_Prices!J154/Data_Prices!J153-1</f>
        <v>-0.0171454724686665</v>
      </c>
      <c r="K154" s="32" t="n">
        <f aca="false">Data_Prices!K154/Data_Prices!K153-1</f>
        <v>-0.0174203676507823</v>
      </c>
      <c r="L154" s="32" t="n">
        <f aca="false">Data_Prices!L154/Data_Prices!L153-1</f>
        <v>-0.0144996434513904</v>
      </c>
      <c r="M154" s="32" t="n">
        <f aca="false">Data_Prices!M154/Data_Prices!M153-1</f>
        <v>0.00581882994338434</v>
      </c>
      <c r="N154" s="32" t="n">
        <f aca="false">Data_Prices!N154/Data_Prices!N153-1</f>
        <v>-0.0112522450392747</v>
      </c>
      <c r="O154" s="32" t="n">
        <f aca="false">Data_Prices!O154/Data_Prices!O153-1</f>
        <v>-0.00495736664683721</v>
      </c>
      <c r="P154" s="32" t="n">
        <f aca="false">Data_Prices!P154/Data_Prices!P153-1</f>
        <v>0.0076459344214086</v>
      </c>
      <c r="Q154" s="32" t="n">
        <f aca="false">Data_Prices!Q154/Data_Prices!Q153-1</f>
        <v>-0.0129310344827587</v>
      </c>
      <c r="R154" s="32" t="n">
        <f aca="false">Data_Prices!R154/Data_Prices!R153-1</f>
        <v>-0.0148537933790714</v>
      </c>
      <c r="S154" s="32" t="n">
        <f aca="false">Data_Prices!S154/Data_Prices!S153-1</f>
        <v>0.000690263450550344</v>
      </c>
      <c r="T154" s="32" t="n">
        <f aca="false">AVERAGE(D154:S154)</f>
        <v>-0.00235156312525708</v>
      </c>
      <c r="U154" s="32" t="n">
        <f aca="false">AVERAGE(J154:S154)</f>
        <v>-0.00789048953034379</v>
      </c>
      <c r="V154" s="32" t="n">
        <f aca="false">AVERAGE(D154:I154)</f>
        <v>0.00687998088322078</v>
      </c>
      <c r="W154" s="32" t="n">
        <f aca="false">AVERAGE(K154,Q154,R154)</f>
        <v>-0.0150683985042041</v>
      </c>
      <c r="X154" s="32" t="n">
        <f aca="false">AVERAGE(K154,L154,N154,O154,P154,Q154,R154,S154)</f>
        <v>-0.00844728159726947</v>
      </c>
      <c r="Y154" s="32" t="n">
        <f aca="false">AVERAGE(J154,L154,M154,N154,O154,P154,Q154,R154,S154)</f>
        <v>-0.00683161418362841</v>
      </c>
      <c r="Z154" s="32" t="n">
        <f aca="false">U154-V154</f>
        <v>-0.0147704704135646</v>
      </c>
      <c r="AA154" s="32" t="n">
        <f aca="false">W154-V154</f>
        <v>-0.0219483793874249</v>
      </c>
    </row>
    <row r="155" customFormat="false" ht="15" hidden="false" customHeight="false" outlineLevel="0" collapsed="false">
      <c r="A155" s="28" t="n">
        <f aca="false">Data_Prices!A155</f>
        <v>45027</v>
      </c>
      <c r="B155" s="32" t="n">
        <f aca="false">Data_Prices!B155/Data_Prices!B154-1</f>
        <v>0.0055747685690859</v>
      </c>
      <c r="C155" s="32" t="n">
        <f aca="false">Data_Prices!C155/Data_Prices!C154-1</f>
        <v>0.00518574359979862</v>
      </c>
      <c r="D155" s="32" t="n">
        <f aca="false">Data_Prices!D155/Data_Prices!D154-1</f>
        <v>0.0114454770941039</v>
      </c>
      <c r="E155" s="32" t="n">
        <f aca="false">Data_Prices!E155/Data_Prices!E154-1</f>
        <v>-0.0123679464055655</v>
      </c>
      <c r="F155" s="32" t="n">
        <f aca="false">Data_Prices!F155/Data_Prices!F154-1</f>
        <v>0.0242017049559313</v>
      </c>
      <c r="G155" s="32" t="n">
        <f aca="false">Data_Prices!G155/Data_Prices!G154-1</f>
        <v>-0.00119958014694854</v>
      </c>
      <c r="H155" s="32" t="n">
        <f aca="false">Data_Prices!H155/Data_Prices!H154-1</f>
        <v>-0.0137701277068295</v>
      </c>
      <c r="I155" s="32" t="n">
        <f aca="false">Data_Prices!I155/Data_Prices!I154-1</f>
        <v>0.00423168473948676</v>
      </c>
      <c r="J155" s="32" t="n">
        <f aca="false">Data_Prices!J155/Data_Prices!J154-1</f>
        <v>0.0102088333273633</v>
      </c>
      <c r="K155" s="32" t="n">
        <f aca="false">Data_Prices!K155/Data_Prices!K154-1</f>
        <v>0.00152897318284118</v>
      </c>
      <c r="L155" s="32" t="n">
        <f aca="false">Data_Prices!L155/Data_Prices!L154-1</f>
        <v>0.0140496864447661</v>
      </c>
      <c r="M155" s="32" t="n">
        <f aca="false">Data_Prices!M155/Data_Prices!M154-1</f>
        <v>-0.00958982644498885</v>
      </c>
      <c r="N155" s="32" t="n">
        <f aca="false">Data_Prices!N155/Data_Prices!N154-1</f>
        <v>-0.0241393648917778</v>
      </c>
      <c r="O155" s="32" t="n">
        <f aca="false">Data_Prices!O155/Data_Prices!O154-1</f>
        <v>0.00199282582702276</v>
      </c>
      <c r="P155" s="32" t="n">
        <f aca="false">Data_Prices!P155/Data_Prices!P154-1</f>
        <v>-0.000194561992314823</v>
      </c>
      <c r="Q155" s="32" t="n">
        <f aca="false">Data_Prices!Q155/Data_Prices!Q154-1</f>
        <v>0.0101310043668121</v>
      </c>
      <c r="R155" s="32" t="n">
        <f aca="false">Data_Prices!R155/Data_Prices!R154-1</f>
        <v>-0.00243407707910748</v>
      </c>
      <c r="S155" s="32" t="n">
        <f aca="false">Data_Prices!S155/Data_Prices!S154-1</f>
        <v>-0.00724276681356573</v>
      </c>
      <c r="T155" s="32" t="n">
        <f aca="false">AVERAGE(D155:S155)</f>
        <v>0.000428246153576832</v>
      </c>
      <c r="U155" s="32" t="n">
        <f aca="false">AVERAGE(J155:S155)</f>
        <v>-0.000568927407294917</v>
      </c>
      <c r="V155" s="32" t="n">
        <f aca="false">AVERAGE(D155:I155)</f>
        <v>0.00209020208836308</v>
      </c>
      <c r="W155" s="32" t="n">
        <f aca="false">AVERAGE(K155,Q155,R155)</f>
        <v>0.00307530015684861</v>
      </c>
      <c r="X155" s="32" t="n">
        <f aca="false">AVERAGE(K155,L155,N155,O155,P155,Q155,R155,S155)</f>
        <v>-0.000788535119415457</v>
      </c>
      <c r="Y155" s="32" t="n">
        <f aca="false">AVERAGE(J155,L155,M155,N155,O155,P155,Q155,R155,S155)</f>
        <v>-0.000802027472865594</v>
      </c>
      <c r="Z155" s="32" t="n">
        <f aca="false">U155-V155</f>
        <v>-0.002659129495658</v>
      </c>
      <c r="AA155" s="32" t="n">
        <f aca="false">W155-V155</f>
        <v>0.000985098068485531</v>
      </c>
    </row>
    <row r="156" customFormat="false" ht="15" hidden="false" customHeight="false" outlineLevel="0" collapsed="false">
      <c r="A156" s="28" t="n">
        <f aca="false">Data_Prices!A156</f>
        <v>45028</v>
      </c>
      <c r="B156" s="32" t="n">
        <f aca="false">Data_Prices!B156/Data_Prices!B155-1</f>
        <v>0.00508399022700234</v>
      </c>
      <c r="C156" s="32" t="n">
        <f aca="false">Data_Prices!C156/Data_Prices!C155-1</f>
        <v>0.00499756175486388</v>
      </c>
      <c r="D156" s="32" t="n">
        <f aca="false">Data_Prices!D156/Data_Prices!D155-1</f>
        <v>0.0292796785439933</v>
      </c>
      <c r="E156" s="32" t="n">
        <f aca="false">Data_Prices!E156/Data_Prices!E155-1</f>
        <v>-0.00930515697017131</v>
      </c>
      <c r="F156" s="32" t="n">
        <f aca="false">Data_Prices!F156/Data_Prices!F155-1</f>
        <v>0.00846441419200117</v>
      </c>
      <c r="G156" s="32" t="n">
        <f aca="false">Data_Prices!G156/Data_Prices!G155-1</f>
        <v>-0.00840714607416304</v>
      </c>
      <c r="H156" s="32" t="n">
        <f aca="false">Data_Prices!H156/Data_Prices!H155-1</f>
        <v>-0.0117103929737642</v>
      </c>
      <c r="I156" s="32" t="n">
        <f aca="false">Data_Prices!I156/Data_Prices!I155-1</f>
        <v>-0.00131682907558595</v>
      </c>
      <c r="J156" s="32" t="n">
        <f aca="false">Data_Prices!J156/Data_Prices!J155-1</f>
        <v>0.00858095170555284</v>
      </c>
      <c r="K156" s="32" t="n">
        <f aca="false">Data_Prices!K156/Data_Prices!K155-1</f>
        <v>0.00329342344505812</v>
      </c>
      <c r="L156" s="32" t="n">
        <f aca="false">Data_Prices!L156/Data_Prices!L155-1</f>
        <v>-0.0244990188499733</v>
      </c>
      <c r="M156" s="32" t="n">
        <f aca="false">Data_Prices!M156/Data_Prices!M155-1</f>
        <v>-0.00905120244171975</v>
      </c>
      <c r="N156" s="32" t="n">
        <f aca="false">Data_Prices!N156/Data_Prices!N155-1</f>
        <v>-0.00152500560663815</v>
      </c>
      <c r="O156" s="32" t="n">
        <f aca="false">Data_Prices!O156/Data_Prices!O155-1</f>
        <v>0.0149164677804297</v>
      </c>
      <c r="P156" s="32" t="n">
        <f aca="false">Data_Prices!P156/Data_Prices!P155-1</f>
        <v>-0.00267574799318904</v>
      </c>
      <c r="Q156" s="32" t="n">
        <f aca="false">Data_Prices!Q156/Data_Prices!Q155-1</f>
        <v>0.000172920629431195</v>
      </c>
      <c r="R156" s="32" t="n">
        <f aca="false">Data_Prices!R156/Data_Prices!R155-1</f>
        <v>0.00569337128914182</v>
      </c>
      <c r="S156" s="32" t="n">
        <f aca="false">Data_Prices!S156/Data_Prices!S155-1</f>
        <v>0.0105767003782908</v>
      </c>
      <c r="T156" s="32" t="n">
        <f aca="false">AVERAGE(D156:S156)</f>
        <v>0.000780464248668386</v>
      </c>
      <c r="U156" s="32" t="n">
        <f aca="false">AVERAGE(J156:S156)</f>
        <v>0.000548286033638423</v>
      </c>
      <c r="V156" s="32" t="n">
        <f aca="false">AVERAGE(D156:I156)</f>
        <v>0.00116742794038499</v>
      </c>
      <c r="W156" s="32" t="n">
        <f aca="false">AVERAGE(K156,Q156,R156)</f>
        <v>0.00305323845454371</v>
      </c>
      <c r="X156" s="32" t="n">
        <f aca="false">AVERAGE(K156,L156,N156,O156,P156,Q156,R156,S156)</f>
        <v>0.000744138884068893</v>
      </c>
      <c r="Y156" s="32" t="n">
        <f aca="false">AVERAGE(J156,L156,M156,N156,O156,P156,Q156,R156,S156)</f>
        <v>0.000243270765702901</v>
      </c>
      <c r="Z156" s="32" t="n">
        <f aca="false">U156-V156</f>
        <v>-0.000619141906746568</v>
      </c>
      <c r="AA156" s="32" t="n">
        <f aca="false">W156-V156</f>
        <v>0.00188581051415872</v>
      </c>
    </row>
    <row r="157" customFormat="false" ht="15" hidden="false" customHeight="false" outlineLevel="0" collapsed="false">
      <c r="A157" s="28" t="n">
        <f aca="false">Data_Prices!A157</f>
        <v>45029</v>
      </c>
      <c r="B157" s="32" t="n">
        <f aca="false">Data_Prices!B157/Data_Prices!B156-1</f>
        <v>0.000875794390424511</v>
      </c>
      <c r="C157" s="32" t="n">
        <f aca="false">Data_Prices!C157/Data_Prices!C156-1</f>
        <v>0.000849978750531388</v>
      </c>
      <c r="D157" s="32" t="n">
        <f aca="false">Data_Prices!D157/Data_Prices!D156-1</f>
        <v>0.0290495737290812</v>
      </c>
      <c r="E157" s="32" t="n">
        <f aca="false">Data_Prices!E157/Data_Prices!E156-1</f>
        <v>-0.00500351123595511</v>
      </c>
      <c r="F157" s="32" t="n">
        <f aca="false">Data_Prices!F157/Data_Prices!F156-1</f>
        <v>0.0021682870532278</v>
      </c>
      <c r="G157" s="32" t="n">
        <f aca="false">Data_Prices!G157/Data_Prices!G156-1</f>
        <v>-0.00862982588947769</v>
      </c>
      <c r="H157" s="32" t="n">
        <f aca="false">Data_Prices!H157/Data_Prices!H156-1</f>
        <v>-0.0350917169875813</v>
      </c>
      <c r="I157" s="32" t="n">
        <f aca="false">Data_Prices!I157/Data_Prices!I156-1</f>
        <v>-0.00184599156118137</v>
      </c>
      <c r="J157" s="32" t="n">
        <f aca="false">Data_Prices!J157/Data_Prices!J156-1</f>
        <v>0.0328012937702151</v>
      </c>
      <c r="K157" s="32" t="n">
        <f aca="false">Data_Prices!K157/Data_Prices!K156-1</f>
        <v>0.00810394939305859</v>
      </c>
      <c r="L157" s="32" t="n">
        <f aca="false">Data_Prices!L157/Data_Prices!L156-1</f>
        <v>0.000853398354160317</v>
      </c>
      <c r="M157" s="32" t="n">
        <f aca="false">Data_Prices!M157/Data_Prices!M156-1</f>
        <v>0.0142318517338433</v>
      </c>
      <c r="N157" s="32" t="n">
        <f aca="false">Data_Prices!N157/Data_Prices!N156-1</f>
        <v>0.00534567180270429</v>
      </c>
      <c r="O157" s="32" t="n">
        <f aca="false">Data_Prices!O157/Data_Prices!O156-1</f>
        <v>0.0166568685087203</v>
      </c>
      <c r="P157" s="32" t="n">
        <f aca="false">Data_Prices!P157/Data_Prices!P156-1</f>
        <v>0.00814634146341464</v>
      </c>
      <c r="Q157" s="32" t="n">
        <f aca="false">Data_Prices!Q157/Data_Prices!Q156-1</f>
        <v>0.0127939142461964</v>
      </c>
      <c r="R157" s="32" t="n">
        <f aca="false">Data_Prices!R157/Data_Prices!R156-1</f>
        <v>0.0227119557891899</v>
      </c>
      <c r="S157" s="32" t="n">
        <f aca="false">Data_Prices!S157/Data_Prices!S156-1</f>
        <v>-0.00947288006111546</v>
      </c>
      <c r="T157" s="32" t="n">
        <f aca="false">AVERAGE(D157:S157)</f>
        <v>0.00580119875678131</v>
      </c>
      <c r="U157" s="32" t="n">
        <f aca="false">AVERAGE(J157:S157)</f>
        <v>0.0112172365000387</v>
      </c>
      <c r="V157" s="32" t="n">
        <f aca="false">AVERAGE(D157:I157)</f>
        <v>-0.0032255308153144</v>
      </c>
      <c r="W157" s="32" t="n">
        <f aca="false">AVERAGE(K157,Q157,R157)</f>
        <v>0.0145366064761483</v>
      </c>
      <c r="X157" s="32" t="n">
        <f aca="false">AVERAGE(K157,L157,N157,O157,P157,Q157,R157,S157)</f>
        <v>0.00814240243704112</v>
      </c>
      <c r="Y157" s="32" t="n">
        <f aca="false">AVERAGE(J157,L157,M157,N157,O157,P157,Q157,R157,S157)</f>
        <v>0.0115631572897032</v>
      </c>
      <c r="Z157" s="32" t="n">
        <f aca="false">U157-V157</f>
        <v>0.0144427673153531</v>
      </c>
      <c r="AA157" s="32" t="n">
        <f aca="false">W157-V157</f>
        <v>0.0177621372914627</v>
      </c>
    </row>
    <row r="158" customFormat="false" ht="15" hidden="false" customHeight="false" outlineLevel="0" collapsed="false">
      <c r="A158" s="28" t="n">
        <f aca="false">Data_Prices!A158</f>
        <v>45033</v>
      </c>
      <c r="B158" s="32" t="n">
        <f aca="false">Data_Prices!B158/Data_Prices!B157-1</f>
        <v>-0.00679549024007187</v>
      </c>
      <c r="C158" s="32" t="n">
        <f aca="false">Data_Prices!C158/Data_Prices!C157-1</f>
        <v>-0.00334018757209498</v>
      </c>
      <c r="D158" s="32" t="n">
        <f aca="false">Data_Prices!D158/Data_Prices!D157-1</f>
        <v>0.00122737035900578</v>
      </c>
      <c r="E158" s="32" t="n">
        <f aca="false">Data_Prices!E158/Data_Prices!E157-1</f>
        <v>0.00644022937803257</v>
      </c>
      <c r="F158" s="32" t="n">
        <f aca="false">Data_Prices!F158/Data_Prices!F157-1</f>
        <v>0.00530429927414855</v>
      </c>
      <c r="G158" s="32" t="n">
        <f aca="false">Data_Prices!G158/Data_Prices!G157-1</f>
        <v>0.0140500916310324</v>
      </c>
      <c r="H158" s="32" t="n">
        <f aca="false">Data_Prices!H158/Data_Prices!H157-1</f>
        <v>-0.0281024914393671</v>
      </c>
      <c r="I158" s="32" t="n">
        <f aca="false">Data_Prices!I158/Data_Prices!I157-1</f>
        <v>0.00634081902245698</v>
      </c>
      <c r="J158" s="32" t="n">
        <f aca="false">Data_Prices!J158/Data_Prices!J157-1</f>
        <v>-0.0196071756816557</v>
      </c>
      <c r="K158" s="32" t="n">
        <f aca="false">Data_Prices!K158/Data_Prices!K157-1</f>
        <v>0.00964995590529827</v>
      </c>
      <c r="L158" s="32" t="n">
        <f aca="false">Data_Prices!L158/Data_Prices!L157-1</f>
        <v>0.0188805651988551</v>
      </c>
      <c r="M158" s="32" t="n">
        <f aca="false">Data_Prices!M158/Data_Prices!M157-1</f>
        <v>-0.0125137441750878</v>
      </c>
      <c r="N158" s="32" t="n">
        <f aca="false">Data_Prices!N158/Data_Prices!N157-1</f>
        <v>-0.00422252010723867</v>
      </c>
      <c r="O158" s="32" t="n">
        <f aca="false">Data_Prices!O158/Data_Prices!O157-1</f>
        <v>0.0048188126445643</v>
      </c>
      <c r="P158" s="32" t="n">
        <f aca="false">Data_Prices!P158/Data_Prices!P157-1</f>
        <v>0.0149997580684182</v>
      </c>
      <c r="Q158" s="32" t="n">
        <f aca="false">Data_Prices!Q158/Data_Prices!Q157-1</f>
        <v>0.0317514510071697</v>
      </c>
      <c r="R158" s="32" t="n">
        <f aca="false">Data_Prices!R158/Data_Prices!R157-1</f>
        <v>0.00448105436573298</v>
      </c>
      <c r="S158" s="32" t="n">
        <f aca="false">Data_Prices!S158/Data_Prices!S157-1</f>
        <v>0.0190883850069412</v>
      </c>
      <c r="T158" s="32" t="n">
        <f aca="false">AVERAGE(D158:S158)</f>
        <v>0.00453667877864418</v>
      </c>
      <c r="U158" s="32" t="n">
        <f aca="false">AVERAGE(J158:S158)</f>
        <v>0.00673265422329976</v>
      </c>
      <c r="V158" s="32" t="n">
        <f aca="false">AVERAGE(D158:I158)</f>
        <v>0.00087671970421821</v>
      </c>
      <c r="W158" s="32" t="n">
        <f aca="false">AVERAGE(K158,Q158,R158)</f>
        <v>0.0152941537594003</v>
      </c>
      <c r="X158" s="32" t="n">
        <f aca="false">AVERAGE(K158,L158,N158,O158,P158,Q158,R158,S158)</f>
        <v>0.0124309327612176</v>
      </c>
      <c r="Y158" s="32" t="n">
        <f aca="false">AVERAGE(J158,L158,M158,N158,O158,P158,Q158,R158,S158)</f>
        <v>0.00640850959196659</v>
      </c>
      <c r="Z158" s="32" t="n">
        <f aca="false">U158-V158</f>
        <v>0.00585593451908155</v>
      </c>
      <c r="AA158" s="32" t="n">
        <f aca="false">W158-V158</f>
        <v>0.0144174340551821</v>
      </c>
    </row>
    <row r="159" customFormat="false" ht="15" hidden="false" customHeight="false" outlineLevel="0" collapsed="false">
      <c r="A159" s="28" t="n">
        <f aca="false">Data_Prices!A159</f>
        <v>45034</v>
      </c>
      <c r="B159" s="32" t="n">
        <f aca="false">Data_Prices!B159/Data_Prices!B158-1</f>
        <v>-0.00263739739140489</v>
      </c>
      <c r="C159" s="32" t="n">
        <f aca="false">Data_Prices!C159/Data_Prices!C158-1</f>
        <v>-0.000489791536670614</v>
      </c>
      <c r="D159" s="32" t="n">
        <f aca="false">Data_Prices!D159/Data_Prices!D158-1</f>
        <v>-0.026606859276182</v>
      </c>
      <c r="E159" s="32" t="n">
        <f aca="false">Data_Prices!E159/Data_Prices!E158-1</f>
        <v>-0.0139375876577839</v>
      </c>
      <c r="F159" s="32" t="n">
        <f aca="false">Data_Prices!F159/Data_Prices!F158-1</f>
        <v>0.0127048042210496</v>
      </c>
      <c r="G159" s="32" t="n">
        <f aca="false">Data_Prices!G159/Data_Prices!G158-1</f>
        <v>0.00120481927710836</v>
      </c>
      <c r="H159" s="32" t="n">
        <f aca="false">Data_Prices!H159/Data_Prices!H158-1</f>
        <v>0.00303729801968178</v>
      </c>
      <c r="I159" s="32" t="n">
        <f aca="false">Data_Prices!I159/Data_Prices!I158-1</f>
        <v>-0.034392228931478</v>
      </c>
      <c r="J159" s="32" t="n">
        <f aca="false">Data_Prices!J159/Data_Prices!J158-1</f>
        <v>-0.0151383632512759</v>
      </c>
      <c r="K159" s="32" t="n">
        <f aca="false">Data_Prices!K159/Data_Prices!K158-1</f>
        <v>-0.00767641476156089</v>
      </c>
      <c r="L159" s="32" t="n">
        <f aca="false">Data_Prices!L159/Data_Prices!L158-1</f>
        <v>0.00376591547611937</v>
      </c>
      <c r="M159" s="32" t="n">
        <f aca="false">Data_Prices!M159/Data_Prices!M158-1</f>
        <v>0.0393425238600211</v>
      </c>
      <c r="N159" s="32" t="n">
        <f aca="false">Data_Prices!N159/Data_Prices!N158-1</f>
        <v>0.00435260595454445</v>
      </c>
      <c r="O159" s="32" t="n">
        <f aca="false">Data_Prices!O159/Data_Prices!O158-1</f>
        <v>-0.00364473431805101</v>
      </c>
      <c r="P159" s="32" t="n">
        <f aca="false">Data_Prices!P159/Data_Prices!P158-1</f>
        <v>0.00128712399294484</v>
      </c>
      <c r="Q159" s="32" t="n">
        <f aca="false">Data_Prices!Q159/Data_Prices!Q158-1</f>
        <v>0.0238252812706816</v>
      </c>
      <c r="R159" s="32" t="n">
        <f aca="false">Data_Prices!R159/Data_Prices!R158-1</f>
        <v>0.0103654136324871</v>
      </c>
      <c r="S159" s="32" t="n">
        <f aca="false">Data_Prices!S159/Data_Prices!S158-1</f>
        <v>0.0135089113406743</v>
      </c>
      <c r="T159" s="32" t="n">
        <f aca="false">AVERAGE(D159:S159)</f>
        <v>0.000749906803061307</v>
      </c>
      <c r="U159" s="32" t="n">
        <f aca="false">AVERAGE(J159:S159)</f>
        <v>0.0069988263196585</v>
      </c>
      <c r="V159" s="32" t="n">
        <f aca="false">AVERAGE(D159:I159)</f>
        <v>-0.00966495905793402</v>
      </c>
      <c r="W159" s="32" t="n">
        <f aca="false">AVERAGE(K159,Q159,R159)</f>
        <v>0.00883809338053595</v>
      </c>
      <c r="X159" s="32" t="n">
        <f aca="false">AVERAGE(K159,L159,N159,O159,P159,Q159,R159,S159)</f>
        <v>0.00572301282347998</v>
      </c>
      <c r="Y159" s="32" t="n">
        <f aca="false">AVERAGE(J159,L159,M159,N159,O159,P159,Q159,R159,S159)</f>
        <v>0.00862940866201621</v>
      </c>
      <c r="Z159" s="32" t="n">
        <f aca="false">U159-V159</f>
        <v>0.0166637853775925</v>
      </c>
      <c r="AA159" s="32" t="n">
        <f aca="false">W159-V159</f>
        <v>0.01850305243847</v>
      </c>
    </row>
    <row r="160" customFormat="false" ht="15" hidden="false" customHeight="false" outlineLevel="0" collapsed="false">
      <c r="A160" s="28" t="n">
        <f aca="false">Data_Prices!A160</f>
        <v>45035</v>
      </c>
      <c r="B160" s="32" t="n">
        <f aca="false">Data_Prices!B160/Data_Prices!B159-1</f>
        <v>-0.00234426094908602</v>
      </c>
      <c r="C160" s="32" t="n">
        <f aca="false">Data_Prices!C160/Data_Prices!C159-1</f>
        <v>-0.00269181714439148</v>
      </c>
      <c r="D160" s="32" t="n">
        <f aca="false">Data_Prices!D160/Data_Prices!D159-1</f>
        <v>0.00732726544163942</v>
      </c>
      <c r="E160" s="32" t="n">
        <f aca="false">Data_Prices!E160/Data_Prices!E159-1</f>
        <v>0.00373366521468554</v>
      </c>
      <c r="F160" s="32" t="n">
        <f aca="false">Data_Prices!F160/Data_Prices!F159-1</f>
        <v>-0.0249537259203401</v>
      </c>
      <c r="G160" s="32" t="n">
        <f aca="false">Data_Prices!G160/Data_Prices!G159-1</f>
        <v>-0.00451263537906133</v>
      </c>
      <c r="H160" s="32" t="n">
        <f aca="false">Data_Prices!H160/Data_Prices!H159-1</f>
        <v>0.0110222868217054</v>
      </c>
      <c r="I160" s="32" t="n">
        <f aca="false">Data_Prices!I160/Data_Prices!I159-1</f>
        <v>0.0217509516041328</v>
      </c>
      <c r="J160" s="32" t="n">
        <f aca="false">Data_Prices!J160/Data_Prices!J159-1</f>
        <v>0.0235148951172219</v>
      </c>
      <c r="K160" s="32" t="n">
        <f aca="false">Data_Prices!K160/Data_Prices!K159-1</f>
        <v>0.00543367865122901</v>
      </c>
      <c r="L160" s="32" t="n">
        <f aca="false">Data_Prices!L160/Data_Prices!L159-1</f>
        <v>0.00869461648404002</v>
      </c>
      <c r="M160" s="32" t="n">
        <f aca="false">Data_Prices!M160/Data_Prices!M159-1</f>
        <v>0.00290786654423014</v>
      </c>
      <c r="N160" s="32" t="n">
        <f aca="false">Data_Prices!N160/Data_Prices!N159-1</f>
        <v>-0.0109460516028147</v>
      </c>
      <c r="O160" s="32" t="n">
        <f aca="false">Data_Prices!O160/Data_Prices!O159-1</f>
        <v>0.00500577589526374</v>
      </c>
      <c r="P160" s="32" t="n">
        <f aca="false">Data_Prices!P160/Data_Prices!P159-1</f>
        <v>-0.00771281660636081</v>
      </c>
      <c r="Q160" s="32" t="n">
        <f aca="false">Data_Prices!Q160/Data_Prices!Q159-1</f>
        <v>0.0054945054945057</v>
      </c>
      <c r="R160" s="32" t="n">
        <f aca="false">Data_Prices!R160/Data_Prices!R159-1</f>
        <v>-0.0141549250048698</v>
      </c>
      <c r="S160" s="32" t="n">
        <f aca="false">Data_Prices!S160/Data_Prices!S159-1</f>
        <v>0.020422640382318</v>
      </c>
      <c r="T160" s="32" t="n">
        <f aca="false">AVERAGE(D160:S160)</f>
        <v>0.00331424957109531</v>
      </c>
      <c r="U160" s="32" t="n">
        <f aca="false">AVERAGE(J160:S160)</f>
        <v>0.00386601853547632</v>
      </c>
      <c r="V160" s="32" t="n">
        <f aca="false">AVERAGE(D160:I160)</f>
        <v>0.00239463463046028</v>
      </c>
      <c r="W160" s="32" t="n">
        <f aca="false">AVERAGE(K160,Q160,R160)</f>
        <v>-0.00107558028637837</v>
      </c>
      <c r="X160" s="32" t="n">
        <f aca="false">AVERAGE(K160,L160,N160,O160,P160,Q160,R160,S160)</f>
        <v>0.00152967796166389</v>
      </c>
      <c r="Y160" s="32" t="n">
        <f aca="false">AVERAGE(J160,L160,M160,N160,O160,P160,Q160,R160,S160)</f>
        <v>0.00369183407817047</v>
      </c>
      <c r="Z160" s="32" t="n">
        <f aca="false">U160-V160</f>
        <v>0.00147138390501604</v>
      </c>
      <c r="AA160" s="32" t="n">
        <f aca="false">W160-V160</f>
        <v>-0.00347021491683865</v>
      </c>
    </row>
    <row r="161" customFormat="false" ht="15" hidden="false" customHeight="false" outlineLevel="0" collapsed="false">
      <c r="A161" s="28" t="n">
        <f aca="false">Data_Prices!A161</f>
        <v>45036</v>
      </c>
      <c r="B161" s="32" t="n">
        <f aca="false">Data_Prices!B161/Data_Prices!B160-1</f>
        <v>0.000323518978361248</v>
      </c>
      <c r="C161" s="32" t="n">
        <f aca="false">Data_Prices!C161/Data_Prices!C160-1</f>
        <v>0.00032644764385581</v>
      </c>
      <c r="D161" s="32" t="n">
        <f aca="false">Data_Prices!D161/Data_Prices!D160-1</f>
        <v>-0.0520543274421778</v>
      </c>
      <c r="E161" s="32" t="n">
        <f aca="false">Data_Prices!E161/Data_Prices!E160-1</f>
        <v>-0.00212558675050911</v>
      </c>
      <c r="F161" s="32" t="n">
        <f aca="false">Data_Prices!F161/Data_Prices!F160-1</f>
        <v>0.0206707445686565</v>
      </c>
      <c r="G161" s="32" t="n">
        <f aca="false">Data_Prices!G161/Data_Prices!G160-1</f>
        <v>0.00407978241160478</v>
      </c>
      <c r="H161" s="32" t="n">
        <f aca="false">Data_Prices!H161/Data_Prices!H160-1</f>
        <v>0.0220438480891338</v>
      </c>
      <c r="I161" s="32" t="n">
        <f aca="false">Data_Prices!I161/Data_Prices!I160-1</f>
        <v>-0.00425758382118158</v>
      </c>
      <c r="J161" s="32" t="n">
        <f aca="false">Data_Prices!J161/Data_Prices!J160-1</f>
        <v>-0.0138123449986222</v>
      </c>
      <c r="K161" s="32" t="n">
        <f aca="false">Data_Prices!K161/Data_Prices!K160-1</f>
        <v>-0.00589255349596785</v>
      </c>
      <c r="L161" s="32" t="n">
        <f aca="false">Data_Prices!L161/Data_Prices!L160-1</f>
        <v>-0.00425079702444209</v>
      </c>
      <c r="M161" s="32" t="n">
        <f aca="false">Data_Prices!M161/Data_Prices!M160-1</f>
        <v>0.00966478457703857</v>
      </c>
      <c r="N161" s="32" t="n">
        <f aca="false">Data_Prices!N161/Data_Prices!N160-1</f>
        <v>0.0093280632411068</v>
      </c>
      <c r="O161" s="32" t="n">
        <f aca="false">Data_Prices!O161/Data_Prices!O160-1</f>
        <v>-0.000191570881226122</v>
      </c>
      <c r="P161" s="32" t="n">
        <f aca="false">Data_Prices!P161/Data_Prices!P160-1</f>
        <v>-0.0026868822569811</v>
      </c>
      <c r="Q161" s="32" t="n">
        <f aca="false">Data_Prices!Q161/Data_Prices!Q160-1</f>
        <v>0.00353584056573442</v>
      </c>
      <c r="R161" s="32" t="n">
        <f aca="false">Data_Prices!R161/Data_Prices!R160-1</f>
        <v>-0.00711321873147597</v>
      </c>
      <c r="S161" s="32" t="n">
        <f aca="false">Data_Prices!S161/Data_Prices!S160-1</f>
        <v>-0.0199041381581354</v>
      </c>
      <c r="T161" s="32" t="n">
        <f aca="false">AVERAGE(D161:S161)</f>
        <v>-0.00268537125671527</v>
      </c>
      <c r="U161" s="32" t="n">
        <f aca="false">AVERAGE(J161:S161)</f>
        <v>-0.00313228171629709</v>
      </c>
      <c r="V161" s="32" t="n">
        <f aca="false">AVERAGE(D161:I161)</f>
        <v>-0.00194052049074556</v>
      </c>
      <c r="W161" s="32" t="n">
        <f aca="false">AVERAGE(K161,Q161,R161)</f>
        <v>-0.00315664388723647</v>
      </c>
      <c r="X161" s="32" t="n">
        <f aca="false">AVERAGE(K161,L161,N161,O161,P161,Q161,R161,S161)</f>
        <v>-0.00339690709267342</v>
      </c>
      <c r="Y161" s="32" t="n">
        <f aca="false">AVERAGE(J161,L161,M161,N161,O161,P161,Q161,R161,S161)</f>
        <v>-0.00282558485188923</v>
      </c>
      <c r="Z161" s="32" t="n">
        <f aca="false">U161-V161</f>
        <v>-0.00119176122555154</v>
      </c>
      <c r="AA161" s="32" t="n">
        <f aca="false">W161-V161</f>
        <v>-0.00121612339649091</v>
      </c>
    </row>
    <row r="162" customFormat="false" ht="15" hidden="false" customHeight="false" outlineLevel="0" collapsed="false">
      <c r="A162" s="28" t="n">
        <f aca="false">Data_Prices!A162</f>
        <v>45037</v>
      </c>
      <c r="B162" s="32" t="n">
        <f aca="false">Data_Prices!B162/Data_Prices!B161-1</f>
        <v>-2.26957436970654E-005</v>
      </c>
      <c r="C162" s="32" t="n">
        <f aca="false">Data_Prices!C162/Data_Prices!C161-1</f>
        <v>-0.000985752014399322</v>
      </c>
      <c r="D162" s="32" t="n">
        <f aca="false">Data_Prices!D162/Data_Prices!D161-1</f>
        <v>-0.0534140639050417</v>
      </c>
      <c r="E162" s="32" t="n">
        <f aca="false">Data_Prices!E162/Data_Prices!E161-1</f>
        <v>-0.00239637880536081</v>
      </c>
      <c r="F162" s="32" t="n">
        <f aca="false">Data_Prices!F162/Data_Prices!F161-1</f>
        <v>-0.0208720810084728</v>
      </c>
      <c r="G162" s="32" t="n">
        <f aca="false">Data_Prices!G162/Data_Prices!G161-1</f>
        <v>-0.00316027088036119</v>
      </c>
      <c r="H162" s="32" t="n">
        <f aca="false">Data_Prices!H162/Data_Prices!H161-1</f>
        <v>0.00375102567108176</v>
      </c>
      <c r="I162" s="32" t="n">
        <f aca="false">Data_Prices!I162/Data_Prices!I161-1</f>
        <v>-0.00454302512025651</v>
      </c>
      <c r="J162" s="32" t="n">
        <f aca="false">Data_Prices!J162/Data_Prices!J161-1</f>
        <v>-0.00712514407460452</v>
      </c>
      <c r="K162" s="32" t="n">
        <f aca="false">Data_Prices!K162/Data_Prices!K161-1</f>
        <v>0.00425085101698652</v>
      </c>
      <c r="L162" s="32" t="n">
        <f aca="false">Data_Prices!L162/Data_Prices!L161-1</f>
        <v>-0.00705561484643658</v>
      </c>
      <c r="M162" s="32" t="n">
        <f aca="false">Data_Prices!M162/Data_Prices!M161-1</f>
        <v>-0.00141065041060007</v>
      </c>
      <c r="N162" s="32" t="n">
        <f aca="false">Data_Prices!N162/Data_Prices!N161-1</f>
        <v>-0.0156641604010025</v>
      </c>
      <c r="O162" s="32" t="n">
        <f aca="false">Data_Prices!O162/Data_Prices!O161-1</f>
        <v>-0.0137957463115538</v>
      </c>
      <c r="P162" s="32" t="n">
        <f aca="false">Data_Prices!P162/Data_Prices!P161-1</f>
        <v>-0.00408929086885401</v>
      </c>
      <c r="Q162" s="32" t="n">
        <f aca="false">Data_Prices!Q162/Data_Prices!Q161-1</f>
        <v>-0.00640614990390775</v>
      </c>
      <c r="R162" s="32" t="n">
        <f aca="false">Data_Prices!R162/Data_Prices!R161-1</f>
        <v>0.0114096185737977</v>
      </c>
      <c r="S162" s="32" t="n">
        <f aca="false">Data_Prices!S162/Data_Prices!S161-1</f>
        <v>0.0145593011535445</v>
      </c>
      <c r="T162" s="32" t="n">
        <f aca="false">AVERAGE(D162:S162)</f>
        <v>-0.0066226112575651</v>
      </c>
      <c r="U162" s="32" t="n">
        <f aca="false">AVERAGE(J162:S162)</f>
        <v>-0.00253269860726304</v>
      </c>
      <c r="V162" s="32" t="n">
        <f aca="false">AVERAGE(D162:I162)</f>
        <v>-0.0134391323414019</v>
      </c>
      <c r="W162" s="32" t="n">
        <f aca="false">AVERAGE(K162,Q162,R162)</f>
        <v>0.00308477322895884</v>
      </c>
      <c r="X162" s="32" t="n">
        <f aca="false">AVERAGE(K162,L162,N162,O162,P162,Q162,R162,S162)</f>
        <v>-0.00209889894842823</v>
      </c>
      <c r="Y162" s="32" t="n">
        <f aca="false">AVERAGE(J162,L162,M162,N162,O162,P162,Q162,R162,S162)</f>
        <v>-0.00328642634329077</v>
      </c>
      <c r="Z162" s="32" t="n">
        <f aca="false">U162-V162</f>
        <v>0.0109064337341388</v>
      </c>
      <c r="AA162" s="32" t="n">
        <f aca="false">W162-V162</f>
        <v>0.0165239055703607</v>
      </c>
    </row>
    <row r="163" customFormat="false" ht="15" hidden="false" customHeight="false" outlineLevel="0" collapsed="false">
      <c r="A163" s="28" t="n">
        <f aca="false">Data_Prices!A163</f>
        <v>45040</v>
      </c>
      <c r="B163" s="32" t="n">
        <f aca="false">Data_Prices!B163/Data_Prices!B162-1</f>
        <v>0.00677199622107305</v>
      </c>
      <c r="C163" s="32" t="n">
        <f aca="false">Data_Prices!C163/Data_Prices!C162-1</f>
        <v>0.00559368496204638</v>
      </c>
      <c r="D163" s="32" t="n">
        <f aca="false">Data_Prices!D163/Data_Prices!D162-1</f>
        <v>-0.0132678910702977</v>
      </c>
      <c r="E163" s="32" t="n">
        <f aca="false">Data_Prices!E163/Data_Prices!E162-1</f>
        <v>0.0268683274021353</v>
      </c>
      <c r="F163" s="32" t="n">
        <f aca="false">Data_Prices!F163/Data_Prices!F162-1</f>
        <v>-0.00175882932320248</v>
      </c>
      <c r="G163" s="32" t="n">
        <f aca="false">Data_Prices!G163/Data_Prices!G162-1</f>
        <v>0.0211352657004831</v>
      </c>
      <c r="H163" s="32" t="n">
        <f aca="false">Data_Prices!H163/Data_Prices!H162-1</f>
        <v>0.00163494102534179</v>
      </c>
      <c r="I163" s="32" t="n">
        <f aca="false">Data_Prices!I163/Data_Prices!I162-1</f>
        <v>-0.00214765100671144</v>
      </c>
      <c r="J163" s="32" t="n">
        <f aca="false">Data_Prices!J163/Data_Prices!J162-1</f>
        <v>-0.00932212333345062</v>
      </c>
      <c r="K163" s="32" t="n">
        <f aca="false">Data_Prices!K163/Data_Prices!K162-1</f>
        <v>-0.000691422982225354</v>
      </c>
      <c r="L163" s="32" t="n">
        <f aca="false">Data_Prices!L163/Data_Prices!L162-1</f>
        <v>0.00358273123544506</v>
      </c>
      <c r="M163" s="32" t="n">
        <f aca="false">Data_Prices!M163/Data_Prices!M162-1</f>
        <v>-0.0118056606629332</v>
      </c>
      <c r="N163" s="32" t="n">
        <f aca="false">Data_Prices!N163/Data_Prices!N162-1</f>
        <v>0.00441029371646806</v>
      </c>
      <c r="O163" s="32" t="n">
        <f aca="false">Data_Prices!O163/Data_Prices!O162-1</f>
        <v>-0.00854866912764729</v>
      </c>
      <c r="P163" s="32" t="n">
        <f aca="false">Data_Prices!P163/Data_Prices!P162-1</f>
        <v>-0.0154098835805033</v>
      </c>
      <c r="Q163" s="32" t="n">
        <f aca="false">Data_Prices!Q163/Data_Prices!Q162-1</f>
        <v>0.0157962604771116</v>
      </c>
      <c r="R163" s="32" t="n">
        <f aca="false">Data_Prices!R163/Data_Prices!R162-1</f>
        <v>0.0136420279399225</v>
      </c>
      <c r="S163" s="32" t="n">
        <f aca="false">Data_Prices!S163/Data_Prices!S162-1</f>
        <v>0.0248371784965229</v>
      </c>
      <c r="T163" s="32" t="n">
        <f aca="false">AVERAGE(D163:S163)</f>
        <v>0.00305968093165368</v>
      </c>
      <c r="U163" s="32" t="n">
        <f aca="false">AVERAGE(J163:S163)</f>
        <v>0.00164907321787103</v>
      </c>
      <c r="V163" s="32" t="n">
        <f aca="false">AVERAGE(D163:I163)</f>
        <v>0.00541069378795809</v>
      </c>
      <c r="W163" s="32" t="n">
        <f aca="false">AVERAGE(K163,Q163,R163)</f>
        <v>0.00958228847826959</v>
      </c>
      <c r="X163" s="32" t="n">
        <f aca="false">AVERAGE(K163,L163,N163,O163,P163,Q163,R163,S163)</f>
        <v>0.00470231452188677</v>
      </c>
      <c r="Y163" s="32" t="n">
        <f aca="false">AVERAGE(J163,L163,M163,N163,O163,P163,Q163,R163,S163)</f>
        <v>0.00190912835121508</v>
      </c>
      <c r="Z163" s="32" t="n">
        <f aca="false">U163-V163</f>
        <v>-0.00376162057008706</v>
      </c>
      <c r="AA163" s="32" t="n">
        <f aca="false">W163-V163</f>
        <v>0.00417159469031149</v>
      </c>
    </row>
    <row r="164" customFormat="false" ht="15" hidden="false" customHeight="false" outlineLevel="0" collapsed="false">
      <c r="A164" s="28" t="n">
        <f aca="false">Data_Prices!A164</f>
        <v>45041</v>
      </c>
      <c r="B164" s="32" t="n">
        <f aca="false">Data_Prices!B164/Data_Prices!B163-1</f>
        <v>0.00145687974119957</v>
      </c>
      <c r="C164" s="32" t="n">
        <f aca="false">Data_Prices!C164/Data_Prices!C163-1</f>
        <v>0.00171130229769978</v>
      </c>
      <c r="D164" s="32" t="n">
        <f aca="false">Data_Prices!D164/Data_Prices!D163-1</f>
        <v>-0.0267000417188151</v>
      </c>
      <c r="E164" s="32" t="n">
        <f aca="false">Data_Prices!E164/Data_Prices!E163-1</f>
        <v>0.0122162536822041</v>
      </c>
      <c r="F164" s="32" t="n">
        <f aca="false">Data_Prices!F164/Data_Prices!F163-1</f>
        <v>-0.00458101346113182</v>
      </c>
      <c r="G164" s="32" t="n">
        <f aca="false">Data_Prices!G164/Data_Prices!G163-1</f>
        <v>0.00206978119455936</v>
      </c>
      <c r="H164" s="32" t="n">
        <f aca="false">Data_Prices!H164/Data_Prices!H163-1</f>
        <v>0.0369593097819749</v>
      </c>
      <c r="I164" s="32" t="n">
        <f aca="false">Data_Prices!I164/Data_Prices!I163-1</f>
        <v>0.00672585418348137</v>
      </c>
      <c r="J164" s="32" t="n">
        <f aca="false">Data_Prices!J164/Data_Prices!J163-1</f>
        <v>0.0308926922803778</v>
      </c>
      <c r="K164" s="32" t="n">
        <f aca="false">Data_Prices!K164/Data_Prices!K163-1</f>
        <v>0.0238452841014563</v>
      </c>
      <c r="L164" s="32" t="n">
        <f aca="false">Data_Prices!L164/Data_Prices!L163-1</f>
        <v>-0.00214196465758321</v>
      </c>
      <c r="M164" s="32" t="n">
        <f aca="false">Data_Prices!M164/Data_Prices!M163-1</f>
        <v>-0.00413539592586931</v>
      </c>
      <c r="N164" s="32" t="n">
        <f aca="false">Data_Prices!N164/Data_Prices!N163-1</f>
        <v>0.0130822506903265</v>
      </c>
      <c r="O164" s="32" t="n">
        <f aca="false">Data_Prices!O164/Data_Prices!O163-1</f>
        <v>-0.0160689790319419</v>
      </c>
      <c r="P164" s="32" t="n">
        <f aca="false">Data_Prices!P164/Data_Prices!P163-1</f>
        <v>-0.00260033362771073</v>
      </c>
      <c r="Q164" s="32" t="n">
        <f aca="false">Data_Prices!Q164/Data_Prices!Q163-1</f>
        <v>0.00428435417327822</v>
      </c>
      <c r="R164" s="32" t="n">
        <f aca="false">Data_Prices!R164/Data_Prices!R163-1</f>
        <v>-0.000129407958589511</v>
      </c>
      <c r="S164" s="32" t="n">
        <f aca="false">Data_Prices!S164/Data_Prices!S163-1</f>
        <v>0.028830963665087</v>
      </c>
      <c r="T164" s="32" t="n">
        <f aca="false">AVERAGE(D164:S164)</f>
        <v>0.006409350460694</v>
      </c>
      <c r="U164" s="32" t="n">
        <f aca="false">AVERAGE(J164:S164)</f>
        <v>0.00758594637088311</v>
      </c>
      <c r="V164" s="32" t="n">
        <f aca="false">AVERAGE(D164:I164)</f>
        <v>0.00444835727704547</v>
      </c>
      <c r="W164" s="32" t="n">
        <f aca="false">AVERAGE(K164,Q164,R164)</f>
        <v>0.00933341010538165</v>
      </c>
      <c r="X164" s="32" t="n">
        <f aca="false">AVERAGE(K164,L164,N164,O164,P164,Q164,R164,S164)</f>
        <v>0.00613777091929033</v>
      </c>
      <c r="Y164" s="32" t="n">
        <f aca="false">AVERAGE(J164,L164,M164,N164,O164,P164,Q164,R164,S164)</f>
        <v>0.00577935328970832</v>
      </c>
      <c r="Z164" s="32" t="n">
        <f aca="false">U164-V164</f>
        <v>0.00313758909383764</v>
      </c>
      <c r="AA164" s="32" t="n">
        <f aca="false">W164-V164</f>
        <v>0.00488505282833618</v>
      </c>
    </row>
    <row r="165" customFormat="false" ht="15" hidden="false" customHeight="false" outlineLevel="0" collapsed="false">
      <c r="A165" s="28" t="n">
        <f aca="false">Data_Prices!A165</f>
        <v>45042</v>
      </c>
      <c r="B165" s="32" t="n">
        <f aca="false">Data_Prices!B165/Data_Prices!B164-1</f>
        <v>0.00249588474471341</v>
      </c>
      <c r="C165" s="32" t="n">
        <f aca="false">Data_Prices!C165/Data_Prices!C164-1</f>
        <v>0.00258764216987495</v>
      </c>
      <c r="D165" s="32" t="n">
        <f aca="false">Data_Prices!D165/Data_Prices!D164-1</f>
        <v>-0.0537439414421841</v>
      </c>
      <c r="E165" s="32" t="n">
        <f aca="false">Data_Prices!E165/Data_Prices!E164-1</f>
        <v>0.00171188906958819</v>
      </c>
      <c r="F165" s="32" t="n">
        <f aca="false">Data_Prices!F165/Data_Prices!F164-1</f>
        <v>0.0034692721608609</v>
      </c>
      <c r="G165" s="32" t="n">
        <f aca="false">Data_Prices!G165/Data_Prices!G164-1</f>
        <v>0.00324579521982882</v>
      </c>
      <c r="H165" s="32" t="n">
        <f aca="false">Data_Prices!H165/Data_Prices!H164-1</f>
        <v>-0.016078255003373</v>
      </c>
      <c r="I165" s="32" t="n">
        <f aca="false">Data_Prices!I165/Data_Prices!I164-1</f>
        <v>-0.000801710315339377</v>
      </c>
      <c r="J165" s="32" t="n">
        <f aca="false">Data_Prices!J165/Data_Prices!J164-1</f>
        <v>0.00902452466244164</v>
      </c>
      <c r="K165" s="32" t="n">
        <f aca="false">Data_Prices!K165/Data_Prices!K164-1</f>
        <v>-0.0031811438931928</v>
      </c>
      <c r="L165" s="32" t="n">
        <f aca="false">Data_Prices!L165/Data_Prices!L164-1</f>
        <v>-0.000298133683143575</v>
      </c>
      <c r="M165" s="32" t="n">
        <f aca="false">Data_Prices!M165/Data_Prices!M164-1</f>
        <v>-0.00666461601558499</v>
      </c>
      <c r="N165" s="32" t="n">
        <f aca="false">Data_Prices!N165/Data_Prices!N164-1</f>
        <v>0.028865058087578</v>
      </c>
      <c r="O165" s="32" t="n">
        <f aca="false">Data_Prices!O165/Data_Prices!O164-1</f>
        <v>0.000398327026488676</v>
      </c>
      <c r="P165" s="32" t="n">
        <f aca="false">Data_Prices!P165/Data_Prices!P164-1</f>
        <v>0.000442717300408235</v>
      </c>
      <c r="Q165" s="32" t="n">
        <f aca="false">Data_Prices!Q165/Data_Prices!Q164-1</f>
        <v>-0.0270184863327541</v>
      </c>
      <c r="R165" s="32" t="n">
        <f aca="false">Data_Prices!R165/Data_Prices!R164-1</f>
        <v>0.00459457710476929</v>
      </c>
      <c r="S165" s="32" t="n">
        <f aca="false">Data_Prices!S165/Data_Prices!S164-1</f>
        <v>-0.0185656953411272</v>
      </c>
      <c r="T165" s="32" t="n">
        <f aca="false">AVERAGE(D165:S165)</f>
        <v>-0.00466248883717096</v>
      </c>
      <c r="U165" s="32" t="n">
        <f aca="false">AVERAGE(J165:S165)</f>
        <v>-0.00124028710841168</v>
      </c>
      <c r="V165" s="32" t="n">
        <f aca="false">AVERAGE(D165:I165)</f>
        <v>-0.0103661583851031</v>
      </c>
      <c r="W165" s="32" t="n">
        <f aca="false">AVERAGE(K165,Q165,R165)</f>
        <v>-0.00853501770705919</v>
      </c>
      <c r="X165" s="32" t="n">
        <f aca="false">AVERAGE(K165,L165,N165,O165,P165,Q165,R165,S165)</f>
        <v>-0.00184534746637167</v>
      </c>
      <c r="Y165" s="32" t="n">
        <f aca="false">AVERAGE(J165,L165,M165,N165,O165,P165,Q165,R165,S165)</f>
        <v>-0.00102463635454711</v>
      </c>
      <c r="Z165" s="32" t="n">
        <f aca="false">U165-V165</f>
        <v>0.00912587127669142</v>
      </c>
      <c r="AA165" s="32" t="n">
        <f aca="false">W165-V165</f>
        <v>0.00183114067804391</v>
      </c>
    </row>
    <row r="166" customFormat="false" ht="15" hidden="false" customHeight="false" outlineLevel="0" collapsed="false">
      <c r="A166" s="28" t="n">
        <f aca="false">Data_Prices!A166</f>
        <v>45043</v>
      </c>
      <c r="B166" s="32" t="n">
        <f aca="false">Data_Prices!B166/Data_Prices!B165-1</f>
        <v>0.00569508689989684</v>
      </c>
      <c r="C166" s="32" t="n">
        <f aca="false">Data_Prices!C166/Data_Prices!C165-1</f>
        <v>0.00537867470522335</v>
      </c>
      <c r="D166" s="32" t="n">
        <f aca="false">Data_Prices!D166/Data_Prices!D165-1</f>
        <v>-0.0237290497926757</v>
      </c>
      <c r="E166" s="32" t="n">
        <f aca="false">Data_Prices!E166/Data_Prices!E165-1</f>
        <v>0.0137571562847134</v>
      </c>
      <c r="F166" s="32" t="n">
        <f aca="false">Data_Prices!F166/Data_Prices!F165-1</f>
        <v>-0.00388061807662454</v>
      </c>
      <c r="G166" s="32" t="n">
        <f aca="false">Data_Prices!G166/Data_Prices!G165-1</f>
        <v>-0.000735294117647056</v>
      </c>
      <c r="H166" s="32" t="n">
        <f aca="false">Data_Prices!H166/Data_Prices!H165-1</f>
        <v>0.0193120786195864</v>
      </c>
      <c r="I166" s="32" t="n">
        <f aca="false">Data_Prices!I166/Data_Prices!I165-1</f>
        <v>0.0120353035571008</v>
      </c>
      <c r="J166" s="32" t="n">
        <f aca="false">Data_Prices!J166/Data_Prices!J165-1</f>
        <v>-0.0151908240595344</v>
      </c>
      <c r="K166" s="32" t="n">
        <f aca="false">Data_Prices!K166/Data_Prices!K165-1</f>
        <v>0.0237941696843429</v>
      </c>
      <c r="L166" s="32" t="n">
        <f aca="false">Data_Prices!L166/Data_Prices!L165-1</f>
        <v>0.0192055350113325</v>
      </c>
      <c r="M166" s="32" t="n">
        <f aca="false">Data_Prices!M166/Data_Prices!M165-1</f>
        <v>0.00428364987613561</v>
      </c>
      <c r="N166" s="32" t="n">
        <f aca="false">Data_Prices!N166/Data_Prices!N165-1</f>
        <v>0.0194128376617737</v>
      </c>
      <c r="O166" s="32" t="n">
        <f aca="false">Data_Prices!O166/Data_Prices!O165-1</f>
        <v>0.0226956002389012</v>
      </c>
      <c r="P166" s="32" t="n">
        <f aca="false">Data_Prices!P166/Data_Prices!P165-1</f>
        <v>-0.00472022814436024</v>
      </c>
      <c r="Q166" s="32" t="n">
        <f aca="false">Data_Prices!Q166/Data_Prices!Q165-1</f>
        <v>0.0368626177330302</v>
      </c>
      <c r="R166" s="32" t="n">
        <f aca="false">Data_Prices!R166/Data_Prices!R165-1</f>
        <v>0.0103066220046379</v>
      </c>
      <c r="S166" s="32" t="n">
        <f aca="false">Data_Prices!S166/Data_Prices!S165-1</f>
        <v>-0.000426697009565102</v>
      </c>
      <c r="T166" s="32" t="n">
        <f aca="false">AVERAGE(D166:S166)</f>
        <v>0.00831142871694673</v>
      </c>
      <c r="U166" s="32" t="n">
        <f aca="false">AVERAGE(J166:S166)</f>
        <v>0.0116223282996694</v>
      </c>
      <c r="V166" s="32" t="n">
        <f aca="false">AVERAGE(D166:I166)</f>
        <v>0.00279326274574223</v>
      </c>
      <c r="W166" s="32" t="n">
        <f aca="false">AVERAGE(K166,Q166,R166)</f>
        <v>0.023654469807337</v>
      </c>
      <c r="X166" s="32" t="n">
        <f aca="false">AVERAGE(K166,L166,N166,O166,P166,Q166,R166,S166)</f>
        <v>0.0158913071475116</v>
      </c>
      <c r="Y166" s="32" t="n">
        <f aca="false">AVERAGE(J166,L166,M166,N166,O166,P166,Q166,R166,S166)</f>
        <v>0.0102699014791502</v>
      </c>
      <c r="Z166" s="32" t="n">
        <f aca="false">U166-V166</f>
        <v>0.0088290655539272</v>
      </c>
      <c r="AA166" s="32" t="n">
        <f aca="false">W166-V166</f>
        <v>0.0208612070615948</v>
      </c>
    </row>
    <row r="167" customFormat="false" ht="15" hidden="false" customHeight="false" outlineLevel="0" collapsed="false">
      <c r="A167" s="28" t="n">
        <f aca="false">Data_Prices!A167</f>
        <v>45044</v>
      </c>
      <c r="B167" s="32" t="n">
        <f aca="false">Data_Prices!B167/Data_Prices!B166-1</f>
        <v>0.00837005757728848</v>
      </c>
      <c r="C167" s="32" t="n">
        <f aca="false">Data_Prices!C167/Data_Prices!C166-1</f>
        <v>0.00958537450953734</v>
      </c>
      <c r="D167" s="32" t="n">
        <f aca="false">Data_Prices!D167/Data_Prices!D166-1</f>
        <v>-0.0097794275108859</v>
      </c>
      <c r="E167" s="32" t="n">
        <f aca="false">Data_Prices!E167/Data_Prices!E166-1</f>
        <v>0.039615643964936</v>
      </c>
      <c r="F167" s="32" t="n">
        <f aca="false">Data_Prices!F167/Data_Prices!F166-1</f>
        <v>0.00927893469329932</v>
      </c>
      <c r="G167" s="32" t="n">
        <f aca="false">Data_Prices!G167/Data_Prices!G166-1</f>
        <v>0.0130978660779986</v>
      </c>
      <c r="H167" s="32" t="n">
        <f aca="false">Data_Prices!H167/Data_Prices!H166-1</f>
        <v>-0.00022421524663685</v>
      </c>
      <c r="I167" s="32" t="n">
        <f aca="false">Data_Prices!I167/Data_Prices!I166-1</f>
        <v>0.00554968287526436</v>
      </c>
      <c r="J167" s="32" t="n">
        <f aca="false">Data_Prices!J167/Data_Prices!J166-1</f>
        <v>0.0127214114873999</v>
      </c>
      <c r="K167" s="32" t="n">
        <f aca="false">Data_Prices!K167/Data_Prices!K166-1</f>
        <v>0.0129207313133923</v>
      </c>
      <c r="L167" s="32" t="n">
        <f aca="false">Data_Prices!L167/Data_Prices!L166-1</f>
        <v>0.0195458801498127</v>
      </c>
      <c r="M167" s="32" t="n">
        <f aca="false">Data_Prices!M167/Data_Prices!M166-1</f>
        <v>-0.00889048769207057</v>
      </c>
      <c r="N167" s="32" t="n">
        <f aca="false">Data_Prices!N167/Data_Prices!N166-1</f>
        <v>-0.0073488689132194</v>
      </c>
      <c r="O167" s="32" t="n">
        <f aca="false">Data_Prices!O167/Data_Prices!O166-1</f>
        <v>0.00837064434494828</v>
      </c>
      <c r="P167" s="32" t="n">
        <f aca="false">Data_Prices!P167/Data_Prices!P166-1</f>
        <v>0.00849718407272015</v>
      </c>
      <c r="Q167" s="32" t="n">
        <f aca="false">Data_Prices!Q167/Data_Prices!Q166-1</f>
        <v>0.0122161315583398</v>
      </c>
      <c r="R167" s="32" t="n">
        <f aca="false">Data_Prices!R167/Data_Prices!R166-1</f>
        <v>-0.0152384595766387</v>
      </c>
      <c r="S167" s="32" t="n">
        <f aca="false">Data_Prices!S167/Data_Prices!S166-1</f>
        <v>-0.0519013909145887</v>
      </c>
      <c r="T167" s="32" t="n">
        <f aca="false">AVERAGE(D167:S167)</f>
        <v>0.00302695379275446</v>
      </c>
      <c r="U167" s="32" t="n">
        <f aca="false">AVERAGE(J167:S167)</f>
        <v>-0.000910722416990417</v>
      </c>
      <c r="V167" s="32" t="n">
        <f aca="false">AVERAGE(D167:I167)</f>
        <v>0.00958974747566258</v>
      </c>
      <c r="W167" s="32" t="n">
        <f aca="false">AVERAGE(K167,Q167,R167)</f>
        <v>0.00329946776503113</v>
      </c>
      <c r="X167" s="32" t="n">
        <f aca="false">AVERAGE(K167,L167,N167,O167,P167,Q167,R167,S167)</f>
        <v>-0.00161726849565419</v>
      </c>
      <c r="Y167" s="32" t="n">
        <f aca="false">AVERAGE(J167,L167,M167,N167,O167,P167,Q167,R167,S167)</f>
        <v>-0.00244755060925517</v>
      </c>
      <c r="Z167" s="32" t="n">
        <f aca="false">U167-V167</f>
        <v>-0.010500469892653</v>
      </c>
      <c r="AA167" s="32" t="n">
        <f aca="false">W167-V167</f>
        <v>-0.00629027971063145</v>
      </c>
    </row>
    <row r="168" customFormat="false" ht="15" hidden="false" customHeight="false" outlineLevel="0" collapsed="false">
      <c r="A168" s="28" t="n">
        <f aca="false">Data_Prices!A168</f>
        <v>45048</v>
      </c>
      <c r="B168" s="32" t="n">
        <f aca="false">Data_Prices!B168/Data_Prices!B167-1</f>
        <v>0.00457514530860781</v>
      </c>
      <c r="C168" s="32" t="n">
        <f aca="false">Data_Prices!C168/Data_Prices!C167-1</f>
        <v>0.00533524315764922</v>
      </c>
      <c r="D168" s="32" t="n">
        <f aca="false">Data_Prices!D168/Data_Prices!D167-1</f>
        <v>0.00861447520184555</v>
      </c>
      <c r="E168" s="32" t="n">
        <f aca="false">Data_Prices!E168/Data_Prices!E167-1</f>
        <v>0.0171882600940487</v>
      </c>
      <c r="F168" s="32" t="n">
        <f aca="false">Data_Prices!F168/Data_Prices!F167-1</f>
        <v>0.000982525089479935</v>
      </c>
      <c r="G168" s="32" t="n">
        <f aca="false">Data_Prices!G168/Data_Prices!G167-1</f>
        <v>0.0318128994770481</v>
      </c>
      <c r="H168" s="32" t="n">
        <f aca="false">Data_Prices!H168/Data_Prices!H167-1</f>
        <v>0.0274725274725274</v>
      </c>
      <c r="I168" s="32" t="n">
        <f aca="false">Data_Prices!I168/Data_Prices!I167-1</f>
        <v>0.00131406044678051</v>
      </c>
      <c r="J168" s="32" t="n">
        <f aca="false">Data_Prices!J168/Data_Prices!J167-1</f>
        <v>-0.00790662650602403</v>
      </c>
      <c r="K168" s="32" t="n">
        <f aca="false">Data_Prices!K168/Data_Prices!K167-1</f>
        <v>-0.00492697238344264</v>
      </c>
      <c r="L168" s="32" t="n">
        <f aca="false">Data_Prices!L168/Data_Prices!L167-1</f>
        <v>0.00413270577430835</v>
      </c>
      <c r="M168" s="32" t="n">
        <f aca="false">Data_Prices!M168/Data_Prices!M167-1</f>
        <v>0.0117183449134088</v>
      </c>
      <c r="N168" s="32" t="n">
        <f aca="false">Data_Prices!N168/Data_Prices!N167-1</f>
        <v>-0.0266732473552069</v>
      </c>
      <c r="O168" s="32" t="n">
        <f aca="false">Data_Prices!O168/Data_Prices!O167-1</f>
        <v>0.0281853281853282</v>
      </c>
      <c r="P168" s="32" t="n">
        <f aca="false">Data_Prices!P168/Data_Prices!P167-1</f>
        <v>0.00656412266091899</v>
      </c>
      <c r="Q168" s="32" t="n">
        <f aca="false">Data_Prices!Q168/Data_Prices!Q167-1</f>
        <v>-0.0021661766981278</v>
      </c>
      <c r="R168" s="32" t="n">
        <f aca="false">Data_Prices!R168/Data_Prices!R167-1</f>
        <v>0.0125606992554226</v>
      </c>
      <c r="S168" s="32" t="n">
        <f aca="false">Data_Prices!S168/Data_Prices!S167-1</f>
        <v>-0.00547801290709882</v>
      </c>
      <c r="T168" s="32" t="n">
        <f aca="false">AVERAGE(D168:S168)</f>
        <v>0.00646218204507606</v>
      </c>
      <c r="U168" s="32" t="n">
        <f aca="false">AVERAGE(J168:S168)</f>
        <v>0.00160101649394867</v>
      </c>
      <c r="V168" s="32" t="n">
        <f aca="false">AVERAGE(D168:I168)</f>
        <v>0.0145641246302884</v>
      </c>
      <c r="W168" s="32" t="n">
        <f aca="false">AVERAGE(K168,Q168,R168)</f>
        <v>0.00182251672461738</v>
      </c>
      <c r="X168" s="32" t="n">
        <f aca="false">AVERAGE(K168,L168,N168,O168,P168,Q168,R168,S168)</f>
        <v>0.00152480581651274</v>
      </c>
      <c r="Y168" s="32" t="n">
        <f aca="false">AVERAGE(J168,L168,M168,N168,O168,P168,Q168,R168,S168)</f>
        <v>0.00232634859143659</v>
      </c>
      <c r="Z168" s="32" t="n">
        <f aca="false">U168-V168</f>
        <v>-0.0129631081363397</v>
      </c>
      <c r="AA168" s="32" t="n">
        <f aca="false">W168-V168</f>
        <v>-0.012741607905671</v>
      </c>
    </row>
    <row r="169" customFormat="false" ht="15" hidden="false" customHeight="false" outlineLevel="0" collapsed="false">
      <c r="A169" s="28" t="n">
        <f aca="false">Data_Prices!A169</f>
        <v>45049</v>
      </c>
      <c r="B169" s="32" t="n">
        <f aca="false">Data_Prices!B169/Data_Prices!B168-1</f>
        <v>-0.00318498538378265</v>
      </c>
      <c r="C169" s="32" t="n">
        <f aca="false">Data_Prices!C169/Data_Prices!C168-1</f>
        <v>-0.0015914252569319</v>
      </c>
      <c r="D169" s="32" t="n">
        <f aca="false">Data_Prices!D169/Data_Prices!D168-1</f>
        <v>0.02976807347318</v>
      </c>
      <c r="E169" s="32" t="n">
        <f aca="false">Data_Prices!E169/Data_Prices!E168-1</f>
        <v>0.00996333492746682</v>
      </c>
      <c r="F169" s="32" t="n">
        <f aca="false">Data_Prices!F169/Data_Prices!F168-1</f>
        <v>-0.00687092477038487</v>
      </c>
      <c r="G169" s="32" t="n">
        <f aca="false">Data_Prices!G169/Data_Prices!G168-1</f>
        <v>0.00183021258623128</v>
      </c>
      <c r="H169" s="32" t="n">
        <f aca="false">Data_Prices!H169/Data_Prices!H168-1</f>
        <v>0.0591509331005129</v>
      </c>
      <c r="I169" s="32" t="n">
        <f aca="false">Data_Prices!I169/Data_Prices!I168-1</f>
        <v>0.0110236220472442</v>
      </c>
      <c r="J169" s="32" t="n">
        <f aca="false">Data_Prices!J169/Data_Prices!J168-1</f>
        <v>0.00158702777298592</v>
      </c>
      <c r="K169" s="32" t="n">
        <f aca="false">Data_Prices!K169/Data_Prices!K168-1</f>
        <v>-0.0110244043136186</v>
      </c>
      <c r="L169" s="32" t="n">
        <f aca="false">Data_Prices!L169/Data_Prices!L168-1</f>
        <v>0.013604664456385</v>
      </c>
      <c r="M169" s="32" t="n">
        <f aca="false">Data_Prices!M169/Data_Prices!M168-1</f>
        <v>0.00410004100040995</v>
      </c>
      <c r="N169" s="32" t="n">
        <f aca="false">Data_Prices!N169/Data_Prices!N168-1</f>
        <v>-0.00449755280215169</v>
      </c>
      <c r="O169" s="32" t="n">
        <f aca="false">Data_Prices!O169/Data_Prices!O168-1</f>
        <v>0.0195268494179497</v>
      </c>
      <c r="P169" s="32" t="n">
        <f aca="false">Data_Prices!P169/Data_Prices!P168-1</f>
        <v>-0.00807864512361312</v>
      </c>
      <c r="Q169" s="32" t="n">
        <f aca="false">Data_Prices!Q169/Data_Prices!Q168-1</f>
        <v>0.00914870522561628</v>
      </c>
      <c r="R169" s="32" t="n">
        <f aca="false">Data_Prices!R169/Data_Prices!R168-1</f>
        <v>0.00607455719675176</v>
      </c>
      <c r="S169" s="32" t="n">
        <f aca="false">Data_Prices!S169/Data_Prices!S168-1</f>
        <v>-0.00471591337810307</v>
      </c>
      <c r="T169" s="32" t="n">
        <f aca="false">AVERAGE(D169:S169)</f>
        <v>0.0081619113010539</v>
      </c>
      <c r="U169" s="32" t="n">
        <f aca="false">AVERAGE(J169:S169)</f>
        <v>0.00257253294526121</v>
      </c>
      <c r="V169" s="32" t="n">
        <f aca="false">AVERAGE(D169:I169)</f>
        <v>0.0174775418940417</v>
      </c>
      <c r="W169" s="32" t="n">
        <f aca="false">AVERAGE(K169,Q169,R169)</f>
        <v>0.00139961936958314</v>
      </c>
      <c r="X169" s="32" t="n">
        <f aca="false">AVERAGE(K169,L169,N169,O169,P169,Q169,R169,S169)</f>
        <v>0.00250478258490203</v>
      </c>
      <c r="Y169" s="32" t="n">
        <f aca="false">AVERAGE(J169,L169,M169,N169,O169,P169,Q169,R169,S169)</f>
        <v>0.00408330375180341</v>
      </c>
      <c r="Z169" s="32" t="n">
        <f aca="false">U169-V169</f>
        <v>-0.0149050089487805</v>
      </c>
      <c r="AA169" s="32" t="n">
        <f aca="false">W169-V169</f>
        <v>-0.0160779225244586</v>
      </c>
    </row>
    <row r="170" customFormat="false" ht="15" hidden="false" customHeight="false" outlineLevel="0" collapsed="false">
      <c r="A170" s="28" t="n">
        <f aca="false">Data_Prices!A170</f>
        <v>45050</v>
      </c>
      <c r="B170" s="32" t="n">
        <f aca="false">Data_Prices!B170/Data_Prices!B169-1</f>
        <v>0.00917365262840764</v>
      </c>
      <c r="C170" s="32" t="n">
        <f aca="false">Data_Prices!C170/Data_Prices!C169-1</f>
        <v>0.00845094393967161</v>
      </c>
      <c r="D170" s="32" t="n">
        <f aca="false">Data_Prices!D170/Data_Prices!D169-1</f>
        <v>-0.0287340366463075</v>
      </c>
      <c r="E170" s="32" t="n">
        <f aca="false">Data_Prices!E170/Data_Prices!E169-1</f>
        <v>0.00607686843974431</v>
      </c>
      <c r="F170" s="32" t="n">
        <f aca="false">Data_Prices!F170/Data_Prices!F169-1</f>
        <v>-0.00240028238616319</v>
      </c>
      <c r="G170" s="32" t="n">
        <f aca="false">Data_Prices!G170/Data_Prices!G169-1</f>
        <v>0.0400505902192243</v>
      </c>
      <c r="H170" s="32" t="n">
        <f aca="false">Data_Prices!H170/Data_Prices!H169-1</f>
        <v>0.0174137042761462</v>
      </c>
      <c r="I170" s="32" t="n">
        <f aca="false">Data_Prices!I170/Data_Prices!I169-1</f>
        <v>0.0267393561786085</v>
      </c>
      <c r="J170" s="32" t="n">
        <f aca="false">Data_Prices!J170/Data_Prices!J169-1</f>
        <v>0.00520133650235954</v>
      </c>
      <c r="K170" s="32" t="n">
        <f aca="false">Data_Prices!K170/Data_Prices!K169-1</f>
        <v>0.0339765712341418</v>
      </c>
      <c r="L170" s="32" t="n">
        <f aca="false">Data_Prices!L170/Data_Prices!L169-1</f>
        <v>0.0717347168960072</v>
      </c>
      <c r="M170" s="32" t="n">
        <f aca="false">Data_Prices!M170/Data_Prices!M169-1</f>
        <v>0.00535933033891389</v>
      </c>
      <c r="N170" s="32" t="n">
        <f aca="false">Data_Prices!N170/Data_Prices!N169-1</f>
        <v>0.010430969570802</v>
      </c>
      <c r="O170" s="32" t="n">
        <f aca="false">Data_Prices!O170/Data_Prices!O169-1</f>
        <v>0.0620626151012893</v>
      </c>
      <c r="P170" s="32" t="n">
        <f aca="false">Data_Prices!P170/Data_Prices!P169-1</f>
        <v>0.027671474830733</v>
      </c>
      <c r="Q170" s="32" t="n">
        <f aca="false">Data_Prices!Q170/Data_Prices!Q169-1</f>
        <v>0.0167486170866626</v>
      </c>
      <c r="R170" s="32" t="n">
        <f aca="false">Data_Prices!R170/Data_Prices!R169-1</f>
        <v>0.0125206559044106</v>
      </c>
      <c r="S170" s="32" t="n">
        <f aca="false">Data_Prices!S170/Data_Prices!S169-1</f>
        <v>0.0065577498957583</v>
      </c>
      <c r="T170" s="32" t="n">
        <f aca="false">AVERAGE(D170:S170)</f>
        <v>0.0194631398401457</v>
      </c>
      <c r="U170" s="32" t="n">
        <f aca="false">AVERAGE(J170:S170)</f>
        <v>0.0252264037361078</v>
      </c>
      <c r="V170" s="32" t="n">
        <f aca="false">AVERAGE(D170:I170)</f>
        <v>0.0098577000135421</v>
      </c>
      <c r="W170" s="32" t="n">
        <f aca="false">AVERAGE(K170,Q170,R170)</f>
        <v>0.0210819480750717</v>
      </c>
      <c r="X170" s="32" t="n">
        <f aca="false">AVERAGE(K170,L170,N170,O170,P170,Q170,R170,S170)</f>
        <v>0.0302129213149756</v>
      </c>
      <c r="Y170" s="32" t="n">
        <f aca="false">AVERAGE(J170,L170,M170,N170,O170,P170,Q170,R170,S170)</f>
        <v>0.0242541629029929</v>
      </c>
      <c r="Z170" s="32" t="n">
        <f aca="false">U170-V170</f>
        <v>0.0153687037225657</v>
      </c>
      <c r="AA170" s="32" t="n">
        <f aca="false">W170-V170</f>
        <v>0.0112242480615296</v>
      </c>
    </row>
    <row r="171" customFormat="false" ht="15" hidden="false" customHeight="false" outlineLevel="0" collapsed="false">
      <c r="A171" s="28" t="n">
        <f aca="false">Data_Prices!A171</f>
        <v>45051</v>
      </c>
      <c r="B171" s="32" t="n">
        <f aca="false">Data_Prices!B171/Data_Prices!B170-1</f>
        <v>-0.0102323645088136</v>
      </c>
      <c r="C171" s="32" t="n">
        <f aca="false">Data_Prices!C171/Data_Prices!C170-1</f>
        <v>-0.00823731784103077</v>
      </c>
      <c r="D171" s="32" t="n">
        <f aca="false">Data_Prices!D171/Data_Prices!D170-1</f>
        <v>0.0277261683578676</v>
      </c>
      <c r="E171" s="32" t="n">
        <f aca="false">Data_Prices!E171/Data_Prices!E170-1</f>
        <v>0.00996234703482912</v>
      </c>
      <c r="F171" s="32" t="n">
        <f aca="false">Data_Prices!F171/Data_Prices!F170-1</f>
        <v>-0.0185407968296651</v>
      </c>
      <c r="G171" s="32" t="n">
        <f aca="false">Data_Prices!G171/Data_Prices!G170-1</f>
        <v>-0.0147277394946629</v>
      </c>
      <c r="H171" s="32" t="n">
        <f aca="false">Data_Prices!H171/Data_Prices!H170-1</f>
        <v>-0.0339274863277294</v>
      </c>
      <c r="I171" s="32" t="n">
        <f aca="false">Data_Prices!I171/Data_Prices!I170-1</f>
        <v>-0.031858407079646</v>
      </c>
      <c r="J171" s="32" t="n">
        <f aca="false">Data_Prices!J171/Data_Prices!J170-1</f>
        <v>-0.00918374340346784</v>
      </c>
      <c r="K171" s="32" t="n">
        <f aca="false">Data_Prices!K171/Data_Prices!K170-1</f>
        <v>-6.26802055909703E-005</v>
      </c>
      <c r="L171" s="32" t="n">
        <f aca="false">Data_Prices!L171/Data_Prices!L170-1</f>
        <v>0.0438328772889918</v>
      </c>
      <c r="M171" s="32" t="n">
        <f aca="false">Data_Prices!M171/Data_Prices!M170-1</f>
        <v>0.00639691323551794</v>
      </c>
      <c r="N171" s="32" t="n">
        <f aca="false">Data_Prices!N171/Data_Prices!N170-1</f>
        <v>-0.0115068493150685</v>
      </c>
      <c r="O171" s="32" t="n">
        <f aca="false">Data_Prices!O171/Data_Prices!O170-1</f>
        <v>-0.00676261487775287</v>
      </c>
      <c r="P171" s="32" t="n">
        <f aca="false">Data_Prices!P171/Data_Prices!P170-1</f>
        <v>0.00983481332951386</v>
      </c>
      <c r="Q171" s="32" t="n">
        <f aca="false">Data_Prices!Q171/Data_Prices!Q170-1</f>
        <v>-0.0166238476651051</v>
      </c>
      <c r="R171" s="32" t="n">
        <f aca="false">Data_Prices!R171/Data_Prices!R170-1</f>
        <v>0.00508442658966812</v>
      </c>
      <c r="S171" s="32" t="n">
        <f aca="false">Data_Prices!S171/Data_Prices!S170-1</f>
        <v>-0.00666566242374045</v>
      </c>
      <c r="T171" s="32" t="n">
        <f aca="false">AVERAGE(D171:S171)</f>
        <v>-0.00293889261162755</v>
      </c>
      <c r="U171" s="32" t="n">
        <f aca="false">AVERAGE(J171:S171)</f>
        <v>0.0014343632552966</v>
      </c>
      <c r="V171" s="32" t="n">
        <f aca="false">AVERAGE(D171:I171)</f>
        <v>-0.0102276523898345</v>
      </c>
      <c r="W171" s="32" t="n">
        <f aca="false">AVERAGE(K171,Q171,R171)</f>
        <v>-0.00386736709367597</v>
      </c>
      <c r="X171" s="32" t="n">
        <f aca="false">AVERAGE(K171,L171,N171,O171,P171,Q171,R171,S171)</f>
        <v>0.00214130784011449</v>
      </c>
      <c r="Y171" s="32" t="n">
        <f aca="false">AVERAGE(J171,L171,M171,N171,O171,P171,Q171,R171,S171)</f>
        <v>0.00160070141761744</v>
      </c>
      <c r="Z171" s="32" t="n">
        <f aca="false">U171-V171</f>
        <v>0.0116620156451311</v>
      </c>
      <c r="AA171" s="32" t="n">
        <f aca="false">W171-V171</f>
        <v>0.00636028529615849</v>
      </c>
    </row>
    <row r="172" customFormat="false" ht="15" hidden="false" customHeight="false" outlineLevel="0" collapsed="false">
      <c r="A172" s="28" t="n">
        <f aca="false">Data_Prices!A172</f>
        <v>45054</v>
      </c>
      <c r="B172" s="32" t="n">
        <f aca="false">Data_Prices!B172/Data_Prices!B171-1</f>
        <v>0.0108141014998064</v>
      </c>
      <c r="C172" s="32" t="n">
        <f aca="false">Data_Prices!C172/Data_Prices!C171-1</f>
        <v>0.0097194769154243</v>
      </c>
      <c r="D172" s="32" t="n">
        <f aca="false">Data_Prices!D172/Data_Prices!D171-1</f>
        <v>0.0269781671533862</v>
      </c>
      <c r="E172" s="32" t="n">
        <f aca="false">Data_Prices!E172/Data_Prices!E171-1</f>
        <v>0.0205825242718447</v>
      </c>
      <c r="F172" s="32" t="n">
        <f aca="false">Data_Prices!F172/Data_Prices!F171-1</f>
        <v>0.00187468454827311</v>
      </c>
      <c r="G172" s="32" t="n">
        <f aca="false">Data_Prices!G172/Data_Prices!G171-1</f>
        <v>0.0171420735052112</v>
      </c>
      <c r="H172" s="32" t="n">
        <f aca="false">Data_Prices!H172/Data_Prices!H171-1</f>
        <v>0.0201278960058706</v>
      </c>
      <c r="I172" s="32" t="n">
        <f aca="false">Data_Prices!I172/Data_Prices!I171-1</f>
        <v>0.0446591799425438</v>
      </c>
      <c r="J172" s="32" t="n">
        <f aca="false">Data_Prices!J172/Data_Prices!J171-1</f>
        <v>0.0124161305941759</v>
      </c>
      <c r="K172" s="32" t="n">
        <f aca="false">Data_Prices!K172/Data_Prices!K171-1</f>
        <v>0.0419513571115151</v>
      </c>
      <c r="L172" s="32" t="n">
        <f aca="false">Data_Prices!L172/Data_Prices!L171-1</f>
        <v>0.0101325805313304</v>
      </c>
      <c r="M172" s="32" t="n">
        <f aca="false">Data_Prices!M172/Data_Prices!M171-1</f>
        <v>-0.00282500126116125</v>
      </c>
      <c r="N172" s="32" t="n">
        <f aca="false">Data_Prices!N172/Data_Prices!N171-1</f>
        <v>-0.0115077605321507</v>
      </c>
      <c r="O172" s="32" t="n">
        <f aca="false">Data_Prices!O172/Data_Prices!O171-1</f>
        <v>0.0270600558659218</v>
      </c>
      <c r="P172" s="32" t="n">
        <f aca="false">Data_Prices!P172/Data_Prices!P171-1</f>
        <v>0.00959720121028762</v>
      </c>
      <c r="Q172" s="32" t="n">
        <f aca="false">Data_Prices!Q172/Data_Prices!Q171-1</f>
        <v>0.00276625172890732</v>
      </c>
      <c r="R172" s="32" t="n">
        <f aca="false">Data_Prices!R172/Data_Prices!R171-1</f>
        <v>0.0178616037971522</v>
      </c>
      <c r="S172" s="32" t="n">
        <f aca="false">Data_Prices!S172/Data_Prices!S171-1</f>
        <v>0.0220267657428821</v>
      </c>
      <c r="T172" s="32" t="n">
        <f aca="false">AVERAGE(D172:S172)</f>
        <v>0.0163027318884994</v>
      </c>
      <c r="U172" s="32" t="n">
        <f aca="false">AVERAGE(J172:S172)</f>
        <v>0.012947918478886</v>
      </c>
      <c r="V172" s="32" t="n">
        <f aca="false">AVERAGE(D172:I172)</f>
        <v>0.0218940875711883</v>
      </c>
      <c r="W172" s="32" t="n">
        <f aca="false">AVERAGE(K172,Q172,R172)</f>
        <v>0.0208597375458582</v>
      </c>
      <c r="X172" s="32" t="n">
        <f aca="false">AVERAGE(K172,L172,N172,O172,P172,Q172,R172,S172)</f>
        <v>0.0149860069319807</v>
      </c>
      <c r="Y172" s="32" t="n">
        <f aca="false">AVERAGE(J172,L172,M172,N172,O172,P172,Q172,R172,S172)</f>
        <v>0.00972531418637169</v>
      </c>
      <c r="Z172" s="32" t="n">
        <f aca="false">U172-V172</f>
        <v>-0.00894616909230224</v>
      </c>
      <c r="AA172" s="32" t="n">
        <f aca="false">W172-V172</f>
        <v>-0.00103435002533007</v>
      </c>
    </row>
    <row r="173" customFormat="false" ht="15" hidden="false" customHeight="false" outlineLevel="0" collapsed="false">
      <c r="A173" s="28" t="n">
        <f aca="false">Data_Prices!A173</f>
        <v>45055</v>
      </c>
      <c r="B173" s="32" t="n">
        <f aca="false">Data_Prices!B173/Data_Prices!B172-1</f>
        <v>8.48645452355967E-005</v>
      </c>
      <c r="C173" s="32" t="n">
        <f aca="false">Data_Prices!C173/Data_Prices!C172-1</f>
        <v>-0.000421336479312417</v>
      </c>
      <c r="D173" s="32" t="n">
        <f aca="false">Data_Prices!D173/Data_Prices!D172-1</f>
        <v>0.00873392010832785</v>
      </c>
      <c r="E173" s="32" t="n">
        <f aca="false">Data_Prices!E173/Data_Prices!E172-1</f>
        <v>-0.0169710806697108</v>
      </c>
      <c r="F173" s="32" t="n">
        <f aca="false">Data_Prices!F173/Data_Prices!F172-1</f>
        <v>0.0247571068729759</v>
      </c>
      <c r="G173" s="32" t="n">
        <f aca="false">Data_Prices!G173/Data_Prices!G172-1</f>
        <v>-0.00579749224753956</v>
      </c>
      <c r="H173" s="32" t="n">
        <f aca="false">Data_Prices!H173/Data_Prices!H172-1</f>
        <v>-0.0348371184873085</v>
      </c>
      <c r="I173" s="32" t="n">
        <f aca="false">Data_Prices!I173/Data_Prices!I172-1</f>
        <v>0.0177500000000002</v>
      </c>
      <c r="J173" s="32" t="n">
        <f aca="false">Data_Prices!J173/Data_Prices!J172-1</f>
        <v>-0.00990673999931679</v>
      </c>
      <c r="K173" s="32" t="n">
        <f aca="false">Data_Prices!K173/Data_Prices!K172-1</f>
        <v>-0.0158823263998555</v>
      </c>
      <c r="L173" s="32" t="n">
        <f aca="false">Data_Prices!L173/Data_Prices!L172-1</f>
        <v>-0.0183152011178761</v>
      </c>
      <c r="M173" s="32" t="n">
        <f aca="false">Data_Prices!M173/Data_Prices!M172-1</f>
        <v>0.0126979308949258</v>
      </c>
      <c r="N173" s="32" t="n">
        <f aca="false">Data_Prices!N173/Data_Prices!N172-1</f>
        <v>-0.0188645387048295</v>
      </c>
      <c r="O173" s="32" t="n">
        <f aca="false">Data_Prices!O173/Data_Prices!O172-1</f>
        <v>-0.0185279619241883</v>
      </c>
      <c r="P173" s="32" t="n">
        <f aca="false">Data_Prices!P173/Data_Prices!P172-1</f>
        <v>-0.00346523062514637</v>
      </c>
      <c r="Q173" s="32" t="n">
        <f aca="false">Data_Prices!Q173/Data_Prices!Q172-1</f>
        <v>-0.00888888888888884</v>
      </c>
      <c r="R173" s="32" t="n">
        <f aca="false">Data_Prices!R173/Data_Prices!R172-1</f>
        <v>0.00711743772241991</v>
      </c>
      <c r="S173" s="32" t="n">
        <f aca="false">Data_Prices!S173/Data_Prices!S172-1</f>
        <v>0.000259663179761116</v>
      </c>
      <c r="T173" s="32" t="n">
        <f aca="false">AVERAGE(D173:S173)</f>
        <v>-0.0050087825178906</v>
      </c>
      <c r="U173" s="32" t="n">
        <f aca="false">AVERAGE(J173:S173)</f>
        <v>-0.00737758558629946</v>
      </c>
      <c r="V173" s="32" t="n">
        <f aca="false">AVERAGE(D173:I173)</f>
        <v>-0.00106077740387582</v>
      </c>
      <c r="W173" s="32" t="n">
        <f aca="false">AVERAGE(K173,Q173,R173)</f>
        <v>-0.00588459252210816</v>
      </c>
      <c r="X173" s="32" t="n">
        <f aca="false">AVERAGE(K173,L173,N173,O173,P173,Q173,R173,S173)</f>
        <v>-0.00957088084482545</v>
      </c>
      <c r="Y173" s="32" t="n">
        <f aca="false">AVERAGE(J173,L173,M173,N173,O173,P173,Q173,R173,S173)</f>
        <v>-0.00643261438479323</v>
      </c>
      <c r="Z173" s="32" t="n">
        <f aca="false">U173-V173</f>
        <v>-0.00631680818242365</v>
      </c>
      <c r="AA173" s="32" t="n">
        <f aca="false">W173-V173</f>
        <v>-0.00482381511823234</v>
      </c>
    </row>
    <row r="174" customFormat="false" ht="15" hidden="false" customHeight="false" outlineLevel="0" collapsed="false">
      <c r="A174" s="28" t="n">
        <f aca="false">Data_Prices!A174</f>
        <v>45056</v>
      </c>
      <c r="B174" s="32" t="n">
        <f aca="false">Data_Prices!B174/Data_Prices!B173-1</f>
        <v>0.00269079900032554</v>
      </c>
      <c r="C174" s="32" t="n">
        <f aca="false">Data_Prices!C174/Data_Prices!C173-1</f>
        <v>0.00294735613400254</v>
      </c>
      <c r="D174" s="32" t="n">
        <f aca="false">Data_Prices!D174/Data_Prices!D173-1</f>
        <v>0.00453050540304711</v>
      </c>
      <c r="E174" s="32" t="n">
        <f aca="false">Data_Prices!E174/Data_Prices!E173-1</f>
        <v>0.000929008283657273</v>
      </c>
      <c r="F174" s="32" t="n">
        <f aca="false">Data_Prices!F174/Data_Prices!F173-1</f>
        <v>-0.00210688952875904</v>
      </c>
      <c r="G174" s="32" t="n">
        <f aca="false">Data_Prices!G174/Data_Prices!G173-1</f>
        <v>0.0101708706265256</v>
      </c>
      <c r="H174" s="32" t="n">
        <f aca="false">Data_Prices!H174/Data_Prices!H173-1</f>
        <v>-0.0124574105621806</v>
      </c>
      <c r="I174" s="32" t="n">
        <f aca="false">Data_Prices!I174/Data_Prices!I173-1</f>
        <v>0.00982559567673791</v>
      </c>
      <c r="J174" s="32" t="n">
        <f aca="false">Data_Prices!J174/Data_Prices!J173-1</f>
        <v>0.0130766311285926</v>
      </c>
      <c r="K174" s="32" t="n">
        <f aca="false">Data_Prices!K174/Data_Prices!K173-1</f>
        <v>0.0121039842281416</v>
      </c>
      <c r="L174" s="32" t="n">
        <f aca="false">Data_Prices!L174/Data_Prices!L173-1</f>
        <v>0.00615118702658735</v>
      </c>
      <c r="M174" s="32" t="n">
        <f aca="false">Data_Prices!M174/Data_Prices!M173-1</f>
        <v>0.0300229793186133</v>
      </c>
      <c r="N174" s="32" t="n">
        <f aca="false">Data_Prices!N174/Data_Prices!N173-1</f>
        <v>-0.00708733424782804</v>
      </c>
      <c r="O174" s="32" t="n">
        <f aca="false">Data_Prices!O174/Data_Prices!O173-1</f>
        <v>-0.00987183927952884</v>
      </c>
      <c r="P174" s="32" t="n">
        <f aca="false">Data_Prices!P174/Data_Prices!P173-1</f>
        <v>0.00390019266011943</v>
      </c>
      <c r="Q174" s="32" t="n">
        <f aca="false">Data_Prices!Q174/Data_Prices!Q173-1</f>
        <v>-0.000618524818308486</v>
      </c>
      <c r="R174" s="32" t="n">
        <f aca="false">Data_Prices!R174/Data_Prices!R173-1</f>
        <v>0.00432557572803693</v>
      </c>
      <c r="S174" s="32" t="n">
        <f aca="false">Data_Prices!S174/Data_Prices!S173-1</f>
        <v>0.00356017059150759</v>
      </c>
      <c r="T174" s="32" t="n">
        <f aca="false">AVERAGE(D174:S174)</f>
        <v>0.0041534188896851</v>
      </c>
      <c r="U174" s="32" t="n">
        <f aca="false">AVERAGE(J174:S174)</f>
        <v>0.00555630223359335</v>
      </c>
      <c r="V174" s="32" t="n">
        <f aca="false">AVERAGE(D174:I174)</f>
        <v>0.00181527998317136</v>
      </c>
      <c r="W174" s="32" t="n">
        <f aca="false">AVERAGE(K174,Q174,R174)</f>
        <v>0.00527034504595669</v>
      </c>
      <c r="X174" s="32" t="n">
        <f aca="false">AVERAGE(K174,L174,N174,O174,P174,Q174,R174,S174)</f>
        <v>0.00155792648609095</v>
      </c>
      <c r="Y174" s="32" t="n">
        <f aca="false">AVERAGE(J174,L174,M174,N174,O174,P174,Q174,R174,S174)</f>
        <v>0.00482878201197687</v>
      </c>
      <c r="Z174" s="32" t="n">
        <f aca="false">U174-V174</f>
        <v>0.00374102225042198</v>
      </c>
      <c r="AA174" s="32" t="n">
        <f aca="false">W174-V174</f>
        <v>0.00345506506278533</v>
      </c>
    </row>
    <row r="175" customFormat="false" ht="15" hidden="false" customHeight="false" outlineLevel="0" collapsed="false">
      <c r="A175" s="28" t="n">
        <f aca="false">Data_Prices!A175</f>
        <v>45057</v>
      </c>
      <c r="B175" s="32" t="n">
        <f aca="false">Data_Prices!B175/Data_Prices!B174-1</f>
        <v>-0.000988255592380027</v>
      </c>
      <c r="C175" s="32" t="n">
        <f aca="false">Data_Prices!C175/Data_Prices!C174-1</f>
        <v>0.00116383950653209</v>
      </c>
      <c r="D175" s="32" t="n">
        <f aca="false">Data_Prices!D175/Data_Prices!D174-1</f>
        <v>-0.024421207363111</v>
      </c>
      <c r="E175" s="32" t="n">
        <f aca="false">Data_Prices!E175/Data_Prices!E174-1</f>
        <v>-0.00386727511795193</v>
      </c>
      <c r="F175" s="32" t="n">
        <f aca="false">Data_Prices!F175/Data_Prices!F174-1</f>
        <v>0.00914913083257085</v>
      </c>
      <c r="G175" s="32" t="n">
        <f aca="false">Data_Prices!G175/Data_Prices!G174-1</f>
        <v>0.0143643442072763</v>
      </c>
      <c r="H175" s="32" t="n">
        <f aca="false">Data_Prices!H175/Data_Prices!H174-1</f>
        <v>0.0197304582210243</v>
      </c>
      <c r="I175" s="32" t="n">
        <f aca="false">Data_Prices!I175/Data_Prices!I174-1</f>
        <v>0.0145949890537582</v>
      </c>
      <c r="J175" s="32" t="n">
        <f aca="false">Data_Prices!J175/Data_Prices!J174-1</f>
        <v>-0.0043593760643007</v>
      </c>
      <c r="K175" s="32" t="n">
        <f aca="false">Data_Prices!K175/Data_Prices!K174-1</f>
        <v>0.0048169120422803</v>
      </c>
      <c r="L175" s="32" t="n">
        <f aca="false">Data_Prices!L175/Data_Prices!L174-1</f>
        <v>0.0093472109943411</v>
      </c>
      <c r="M175" s="32" t="n">
        <f aca="false">Data_Prices!M175/Data_Prices!M174-1</f>
        <v>0.0195935787380572</v>
      </c>
      <c r="N175" s="32" t="n">
        <f aca="false">Data_Prices!N175/Data_Prices!N174-1</f>
        <v>-0.0110752935758692</v>
      </c>
      <c r="O175" s="32" t="n">
        <f aca="false">Data_Prices!O175/Data_Prices!O174-1</f>
        <v>-0.00104950148679384</v>
      </c>
      <c r="P175" s="32" t="n">
        <f aca="false">Data_Prices!P175/Data_Prices!P174-1</f>
        <v>0.000280846283467362</v>
      </c>
      <c r="Q175" s="32" t="n">
        <f aca="false">Data_Prices!Q175/Data_Prices!Q174-1</f>
        <v>0.00649853009438339</v>
      </c>
      <c r="R175" s="32" t="n">
        <f aca="false">Data_Prices!R175/Data_Prices!R174-1</f>
        <v>0.0502274795268425</v>
      </c>
      <c r="S175" s="32" t="n">
        <f aca="false">Data_Prices!S175/Data_Prices!S174-1</f>
        <v>0.00831454861239411</v>
      </c>
      <c r="T175" s="32" t="n">
        <f aca="false">AVERAGE(D175:S175)</f>
        <v>0.00700908593739805</v>
      </c>
      <c r="U175" s="32" t="n">
        <f aca="false">AVERAGE(J175:S175)</f>
        <v>0.00825949351648022</v>
      </c>
      <c r="V175" s="32" t="n">
        <f aca="false">AVERAGE(D175:I175)</f>
        <v>0.00492507330559444</v>
      </c>
      <c r="W175" s="32" t="n">
        <f aca="false">AVERAGE(K175,Q175,R175)</f>
        <v>0.0205143072211687</v>
      </c>
      <c r="X175" s="32" t="n">
        <f aca="false">AVERAGE(K175,L175,N175,O175,P175,Q175,R175,S175)</f>
        <v>0.00842009156138071</v>
      </c>
      <c r="Y175" s="32" t="n">
        <f aca="false">AVERAGE(J175,L175,M175,N175,O175,P175,Q175,R175,S175)</f>
        <v>0.0086420025691691</v>
      </c>
      <c r="Z175" s="32" t="n">
        <f aca="false">U175-V175</f>
        <v>0.00333442021088578</v>
      </c>
      <c r="AA175" s="32" t="n">
        <f aca="false">W175-V175</f>
        <v>0.0155892339155743</v>
      </c>
    </row>
    <row r="176" customFormat="false" ht="15" hidden="false" customHeight="false" outlineLevel="0" collapsed="false">
      <c r="A176" s="28" t="n">
        <f aca="false">Data_Prices!A176</f>
        <v>45058</v>
      </c>
      <c r="B176" s="32" t="n">
        <f aca="false">Data_Prices!B176/Data_Prices!B175-1</f>
        <v>0.000972837077116484</v>
      </c>
      <c r="C176" s="32" t="n">
        <f aca="false">Data_Prices!C176/Data_Prices!C175-1</f>
        <v>-0.000432703330200956</v>
      </c>
      <c r="D176" s="32" t="n">
        <f aca="false">Data_Prices!D176/Data_Prices!D175-1</f>
        <v>0.000821861516334455</v>
      </c>
      <c r="E176" s="32" t="n">
        <f aca="false">Data_Prices!E176/Data_Prices!E175-1</f>
        <v>-0.000465874679711265</v>
      </c>
      <c r="F176" s="32" t="n">
        <f aca="false">Data_Prices!F176/Data_Prices!F175-1</f>
        <v>0.0117162982076853</v>
      </c>
      <c r="G176" s="32" t="n">
        <f aca="false">Data_Prices!G176/Data_Prices!G175-1</f>
        <v>-0.00754367390153521</v>
      </c>
      <c r="H176" s="32" t="n">
        <f aca="false">Data_Prices!H176/Data_Prices!H175-1</f>
        <v>-0.00771833368576858</v>
      </c>
      <c r="I176" s="32" t="n">
        <f aca="false">Data_Prices!I176/Data_Prices!I175-1</f>
        <v>-0.0270918245025175</v>
      </c>
      <c r="J176" s="32" t="n">
        <f aca="false">Data_Prices!J176/Data_Prices!J175-1</f>
        <v>-0.00991995621536568</v>
      </c>
      <c r="K176" s="32" t="n">
        <f aca="false">Data_Prices!K176/Data_Prices!K175-1</f>
        <v>0.00764907429670592</v>
      </c>
      <c r="L176" s="32" t="n">
        <f aca="false">Data_Prices!L176/Data_Prices!L175-1</f>
        <v>0.00620713820894014</v>
      </c>
      <c r="M176" s="32" t="n">
        <f aca="false">Data_Prices!M176/Data_Prices!M175-1</f>
        <v>-0.0176949055796034</v>
      </c>
      <c r="N176" s="32" t="n">
        <f aca="false">Data_Prices!N176/Data_Prices!N175-1</f>
        <v>-0.00260774406854647</v>
      </c>
      <c r="O176" s="32" t="n">
        <f aca="false">Data_Prices!O176/Data_Prices!O175-1</f>
        <v>-0.0131325512169498</v>
      </c>
      <c r="P176" s="32" t="n">
        <f aca="false">Data_Prices!P176/Data_Prices!P175-1</f>
        <v>-0.00823584464202143</v>
      </c>
      <c r="Q176" s="32" t="n">
        <f aca="false">Data_Prices!Q176/Data_Prices!Q175-1</f>
        <v>-0.000614911606456547</v>
      </c>
      <c r="R176" s="32" t="n">
        <f aca="false">Data_Prices!R176/Data_Prices!R175-1</f>
        <v>0.00138624155259048</v>
      </c>
      <c r="S176" s="32" t="n">
        <f aca="false">Data_Prices!S176/Data_Prices!S175-1</f>
        <v>-0.0106648097925677</v>
      </c>
      <c r="T176" s="32" t="n">
        <f aca="false">AVERAGE(D176:S176)</f>
        <v>-0.0048693635067992</v>
      </c>
      <c r="U176" s="32" t="n">
        <f aca="false">AVERAGE(J176:S176)</f>
        <v>-0.00476282690632744</v>
      </c>
      <c r="V176" s="32" t="n">
        <f aca="false">AVERAGE(D176:I176)</f>
        <v>-0.00504692450758546</v>
      </c>
      <c r="W176" s="32" t="n">
        <f aca="false">AVERAGE(K176,Q176,R176)</f>
        <v>0.00280680141427995</v>
      </c>
      <c r="X176" s="32" t="n">
        <f aca="false">AVERAGE(K176,L176,N176,O176,P176,Q176,R176,S176)</f>
        <v>-0.00250167590853817</v>
      </c>
      <c r="Y176" s="32" t="n">
        <f aca="false">AVERAGE(J176,L176,M176,N176,O176,P176,Q176,R176,S176)</f>
        <v>-0.00614192703999782</v>
      </c>
      <c r="Z176" s="32" t="n">
        <f aca="false">U176-V176</f>
        <v>0.00028409760125802</v>
      </c>
      <c r="AA176" s="32" t="n">
        <f aca="false">W176-V176</f>
        <v>0.00785372592186542</v>
      </c>
    </row>
    <row r="177" customFormat="false" ht="15" hidden="false" customHeight="false" outlineLevel="0" collapsed="false">
      <c r="A177" s="28" t="n">
        <f aca="false">Data_Prices!A177</f>
        <v>45061</v>
      </c>
      <c r="B177" s="32" t="n">
        <f aca="false">Data_Prices!B177/Data_Prices!B176-1</f>
        <v>0.00458918470308167</v>
      </c>
      <c r="C177" s="32" t="n">
        <f aca="false">Data_Prices!C177/Data_Prices!C176-1</f>
        <v>0.00467457284354245</v>
      </c>
      <c r="D177" s="32" t="n">
        <f aca="false">Data_Prices!D177/Data_Prices!D176-1</f>
        <v>-0.0239170601519195</v>
      </c>
      <c r="E177" s="32" t="n">
        <f aca="false">Data_Prices!E177/Data_Prices!E176-1</f>
        <v>0.0237706828245166</v>
      </c>
      <c r="F177" s="32" t="n">
        <f aca="false">Data_Prices!F177/Data_Prices!F176-1</f>
        <v>-0.0429447852760736</v>
      </c>
      <c r="G177" s="32" t="n">
        <f aca="false">Data_Prices!G177/Data_Prices!G176-1</f>
        <v>0.0182691025470063</v>
      </c>
      <c r="H177" s="32" t="n">
        <f aca="false">Data_Prices!H177/Data_Prices!H176-1</f>
        <v>0.0193926478423017</v>
      </c>
      <c r="I177" s="32" t="n">
        <f aca="false">Data_Prices!I177/Data_Prices!I176-1</f>
        <v>0.0300640709709217</v>
      </c>
      <c r="J177" s="32" t="n">
        <f aca="false">Data_Prices!J177/Data_Prices!J176-1</f>
        <v>-0.00753178551686018</v>
      </c>
      <c r="K177" s="32" t="n">
        <f aca="false">Data_Prices!K177/Data_Prices!K176-1</f>
        <v>-0.000313185092389534</v>
      </c>
      <c r="L177" s="32" t="n">
        <f aca="false">Data_Prices!L177/Data_Prices!L176-1</f>
        <v>-0.00154221183025716</v>
      </c>
      <c r="M177" s="32" t="n">
        <f aca="false">Data_Prices!M177/Data_Prices!M176-1</f>
        <v>0.0344777492615371</v>
      </c>
      <c r="N177" s="32" t="n">
        <f aca="false">Data_Prices!N177/Data_Prices!N176-1</f>
        <v>0.0176949833088218</v>
      </c>
      <c r="O177" s="32" t="n">
        <f aca="false">Data_Prices!O177/Data_Prices!O176-1</f>
        <v>0.00638750887154016</v>
      </c>
      <c r="P177" s="32" t="n">
        <f aca="false">Data_Prices!P177/Data_Prices!P176-1</f>
        <v>0.00844578654336137</v>
      </c>
      <c r="Q177" s="32" t="n">
        <f aca="false">Data_Prices!Q177/Data_Prices!Q176-1</f>
        <v>0.0161513613290263</v>
      </c>
      <c r="R177" s="32" t="n">
        <f aca="false">Data_Prices!R177/Data_Prices!R176-1</f>
        <v>0.0278018111553326</v>
      </c>
      <c r="S177" s="32" t="n">
        <f aca="false">Data_Prices!S177/Data_Prices!S176-1</f>
        <v>-0.00677903315428774</v>
      </c>
      <c r="T177" s="32" t="n">
        <f aca="false">AVERAGE(D177:S177)</f>
        <v>0.00746422772703612</v>
      </c>
      <c r="U177" s="32" t="n">
        <f aca="false">AVERAGE(J177:S177)</f>
        <v>0.00947929848758248</v>
      </c>
      <c r="V177" s="32" t="n">
        <f aca="false">AVERAGE(D177:I177)</f>
        <v>0.00410577645945885</v>
      </c>
      <c r="W177" s="32" t="n">
        <f aca="false">AVERAGE(K177,Q177,R177)</f>
        <v>0.0145466624639898</v>
      </c>
      <c r="X177" s="32" t="n">
        <f aca="false">AVERAGE(K177,L177,N177,O177,P177,Q177,R177,S177)</f>
        <v>0.00848087764139348</v>
      </c>
      <c r="Y177" s="32" t="n">
        <f aca="false">AVERAGE(J177,L177,M177,N177,O177,P177,Q177,R177,S177)</f>
        <v>0.0105673522186905</v>
      </c>
      <c r="Z177" s="32" t="n">
        <f aca="false">U177-V177</f>
        <v>0.00537352202812363</v>
      </c>
      <c r="AA177" s="32" t="n">
        <f aca="false">W177-V177</f>
        <v>0.010440886004531</v>
      </c>
    </row>
    <row r="178" customFormat="false" ht="15" hidden="false" customHeight="false" outlineLevel="0" collapsed="false">
      <c r="A178" s="28" t="n">
        <f aca="false">Data_Prices!A178</f>
        <v>45062</v>
      </c>
      <c r="B178" s="32" t="n">
        <f aca="false">Data_Prices!B178/Data_Prices!B177-1</f>
        <v>-0.00610635990836372</v>
      </c>
      <c r="C178" s="32" t="n">
        <f aca="false">Data_Prices!C178/Data_Prices!C177-1</f>
        <v>-0.00368495855225515</v>
      </c>
      <c r="D178" s="32" t="n">
        <f aca="false">Data_Prices!D178/Data_Prices!D177-1</f>
        <v>-0.00501279489606332</v>
      </c>
      <c r="E178" s="32" t="n">
        <f aca="false">Data_Prices!E178/Data_Prices!E177-1</f>
        <v>-0.000682904620987967</v>
      </c>
      <c r="F178" s="32" t="n">
        <f aca="false">Data_Prices!F178/Data_Prices!F177-1</f>
        <v>0.000648228176318044</v>
      </c>
      <c r="G178" s="32" t="n">
        <f aca="false">Data_Prices!G178/Data_Prices!G177-1</f>
        <v>0.033787323205867</v>
      </c>
      <c r="H178" s="32" t="n">
        <f aca="false">Data_Prices!H178/Data_Prices!H177-1</f>
        <v>-0.0124385909898611</v>
      </c>
      <c r="I178" s="32" t="n">
        <f aca="false">Data_Prices!I178/Data_Prices!I177-1</f>
        <v>0.0038277511961724</v>
      </c>
      <c r="J178" s="32" t="n">
        <f aca="false">Data_Prices!J178/Data_Prices!J177-1</f>
        <v>0.0103042539859362</v>
      </c>
      <c r="K178" s="32" t="n">
        <f aca="false">Data_Prices!K178/Data_Prices!K177-1</f>
        <v>0.0107709750566891</v>
      </c>
      <c r="L178" s="32" t="n">
        <f aca="false">Data_Prices!L178/Data_Prices!L177-1</f>
        <v>0.0168410563029398</v>
      </c>
      <c r="M178" s="32" t="n">
        <f aca="false">Data_Prices!M178/Data_Prices!M177-1</f>
        <v>0.0166175162664419</v>
      </c>
      <c r="N178" s="32" t="n">
        <f aca="false">Data_Prices!N178/Data_Prices!N177-1</f>
        <v>-0.0199564170203005</v>
      </c>
      <c r="O178" s="32" t="n">
        <f aca="false">Data_Prices!O178/Data_Prices!O177-1</f>
        <v>0.0010578279266571</v>
      </c>
      <c r="P178" s="32" t="n">
        <f aca="false">Data_Prices!P178/Data_Prices!P177-1</f>
        <v>-0.00533383240537133</v>
      </c>
      <c r="Q178" s="32" t="n">
        <f aca="false">Data_Prices!Q178/Data_Prices!Q177-1</f>
        <v>-0.0151377535573721</v>
      </c>
      <c r="R178" s="32" t="n">
        <f aca="false">Data_Prices!R178/Data_Prices!R177-1</f>
        <v>-0.0150962455805601</v>
      </c>
      <c r="S178" s="32" t="n">
        <f aca="false">Data_Prices!S178/Data_Prices!S177-1</f>
        <v>-0.00895121587348935</v>
      </c>
      <c r="T178" s="32" t="n">
        <f aca="false">AVERAGE(D178:S178)</f>
        <v>0.000702823573313478</v>
      </c>
      <c r="U178" s="32" t="n">
        <f aca="false">AVERAGE(J178:S178)</f>
        <v>-0.000888383489842937</v>
      </c>
      <c r="V178" s="32" t="n">
        <f aca="false">AVERAGE(D178:I178)</f>
        <v>0.00335483534524084</v>
      </c>
      <c r="W178" s="32" t="n">
        <f aca="false">AVERAGE(K178,Q178,R178)</f>
        <v>-0.00648767469374771</v>
      </c>
      <c r="X178" s="32" t="n">
        <f aca="false">AVERAGE(K178,L178,N178,O178,P178,Q178,R178,S178)</f>
        <v>-0.00447570064385093</v>
      </c>
      <c r="Y178" s="32" t="n">
        <f aca="false">AVERAGE(J178,L178,M178,N178,O178,P178,Q178,R178,S178)</f>
        <v>-0.00218386777279094</v>
      </c>
      <c r="Z178" s="32" t="n">
        <f aca="false">U178-V178</f>
        <v>-0.00424321883508377</v>
      </c>
      <c r="AA178" s="32" t="n">
        <f aca="false">W178-V178</f>
        <v>-0.00984251003898854</v>
      </c>
    </row>
    <row r="179" customFormat="false" ht="15" hidden="false" customHeight="false" outlineLevel="0" collapsed="false">
      <c r="A179" s="28" t="n">
        <f aca="false">Data_Prices!A179</f>
        <v>45063</v>
      </c>
      <c r="B179" s="32" t="n">
        <f aca="false">Data_Prices!B179/Data_Prices!B178-1</f>
        <v>-0.00572826948842042</v>
      </c>
      <c r="C179" s="32" t="n">
        <f aca="false">Data_Prices!C179/Data_Prices!C178-1</f>
        <v>-0.00426338075443433</v>
      </c>
      <c r="D179" s="32" t="n">
        <f aca="false">Data_Prices!D179/Data_Prices!D178-1</f>
        <v>-0.0035935738444195</v>
      </c>
      <c r="E179" s="32" t="n">
        <f aca="false">Data_Prices!E179/Data_Prices!E178-1</f>
        <v>0.018299164768413</v>
      </c>
      <c r="F179" s="32" t="n">
        <f aca="false">Data_Prices!F179/Data_Prices!F178-1</f>
        <v>0.012164399337796</v>
      </c>
      <c r="G179" s="32" t="n">
        <f aca="false">Data_Prices!G179/Data_Prices!G178-1</f>
        <v>-0.0614390676463137</v>
      </c>
      <c r="H179" s="32" t="n">
        <f aca="false">Data_Prices!H179/Data_Prices!H178-1</f>
        <v>-0.00783234546994072</v>
      </c>
      <c r="I179" s="32" t="n">
        <f aca="false">Data_Prices!I179/Data_Prices!I178-1</f>
        <v>0.00619637750238322</v>
      </c>
      <c r="J179" s="32" t="n">
        <f aca="false">Data_Prices!J179/Data_Prices!J178-1</f>
        <v>0.00547860243952858</v>
      </c>
      <c r="K179" s="32" t="n">
        <f aca="false">Data_Prices!K179/Data_Prices!K178-1</f>
        <v>-0.0117336245830504</v>
      </c>
      <c r="L179" s="32" t="n">
        <f aca="false">Data_Prices!L179/Data_Prices!L178-1</f>
        <v>-0.00862406899255186</v>
      </c>
      <c r="M179" s="32" t="n">
        <f aca="false">Data_Prices!M179/Data_Prices!M178-1</f>
        <v>0.0788286214200202</v>
      </c>
      <c r="N179" s="32" t="n">
        <f aca="false">Data_Prices!N179/Data_Prices!N178-1</f>
        <v>0.0557050906963137</v>
      </c>
      <c r="O179" s="32" t="n">
        <f aca="false">Data_Prices!O179/Data_Prices!O178-1</f>
        <v>0.00405072208524149</v>
      </c>
      <c r="P179" s="32" t="n">
        <f aca="false">Data_Prices!P179/Data_Prices!P178-1</f>
        <v>-0.0054565125358671</v>
      </c>
      <c r="Q179" s="32" t="n">
        <f aca="false">Data_Prices!Q179/Data_Prices!Q178-1</f>
        <v>0.00999077774362123</v>
      </c>
      <c r="R179" s="32" t="n">
        <f aca="false">Data_Prices!R179/Data_Prices!R178-1</f>
        <v>0.00216524216524205</v>
      </c>
      <c r="S179" s="32" t="n">
        <f aca="false">Data_Prices!S179/Data_Prices!S178-1</f>
        <v>0.0117416829745596</v>
      </c>
      <c r="T179" s="32" t="n">
        <f aca="false">AVERAGE(D179:S179)</f>
        <v>0.00662134300381099</v>
      </c>
      <c r="U179" s="32" t="n">
        <f aca="false">AVERAGE(J179:S179)</f>
        <v>0.0142146533413058</v>
      </c>
      <c r="V179" s="32" t="n">
        <f aca="false">AVERAGE(D179:I179)</f>
        <v>-0.00603417422534695</v>
      </c>
      <c r="W179" s="32" t="n">
        <f aca="false">AVERAGE(K179,Q179,R179)</f>
        <v>0.000140798441937632</v>
      </c>
      <c r="X179" s="32" t="n">
        <f aca="false">AVERAGE(K179,L179,N179,O179,P179,Q179,R179,S179)</f>
        <v>0.00722991369418859</v>
      </c>
      <c r="Y179" s="32" t="n">
        <f aca="false">AVERAGE(J179,L179,M179,N179,O179,P179,Q179,R179,S179)</f>
        <v>0.0170977953329009</v>
      </c>
      <c r="Z179" s="32" t="n">
        <f aca="false">U179-V179</f>
        <v>0.0202488275666527</v>
      </c>
      <c r="AA179" s="32" t="n">
        <f aca="false">W179-V179</f>
        <v>0.00617497266728458</v>
      </c>
    </row>
    <row r="180" customFormat="false" ht="15" hidden="false" customHeight="false" outlineLevel="0" collapsed="false">
      <c r="A180" s="28" t="n">
        <f aca="false">Data_Prices!A180</f>
        <v>45064</v>
      </c>
      <c r="B180" s="32" t="n">
        <f aca="false">Data_Prices!B180/Data_Prices!B179-1</f>
        <v>-0.00284901068379007</v>
      </c>
      <c r="C180" s="32" t="n">
        <f aca="false">Data_Prices!C180/Data_Prices!C179-1</f>
        <v>-0.00419736360188894</v>
      </c>
      <c r="D180" s="32" t="n">
        <f aca="false">Data_Prices!D180/Data_Prices!D179-1</f>
        <v>-0.0123753624213281</v>
      </c>
      <c r="E180" s="32" t="n">
        <f aca="false">Data_Prices!E180/Data_Prices!E179-1</f>
        <v>0.00730743419580948</v>
      </c>
      <c r="F180" s="32" t="n">
        <f aca="false">Data_Prices!F180/Data_Prices!F179-1</f>
        <v>-0.00689802304081921</v>
      </c>
      <c r="G180" s="32" t="n">
        <f aca="false">Data_Prices!G180/Data_Prices!G179-1</f>
        <v>-0.0125523012552301</v>
      </c>
      <c r="H180" s="32" t="n">
        <f aca="false">Data_Prices!H180/Data_Prices!H179-1</f>
        <v>0.0249626626840196</v>
      </c>
      <c r="I180" s="32" t="n">
        <f aca="false">Data_Prices!I180/Data_Prices!I179-1</f>
        <v>-0.0239223117006158</v>
      </c>
      <c r="J180" s="32" t="n">
        <f aca="false">Data_Prices!J180/Data_Prices!J179-1</f>
        <v>0.0545903156163257</v>
      </c>
      <c r="K180" s="32" t="n">
        <f aca="false">Data_Prices!K180/Data_Prices!K179-1</f>
        <v>0.0125897937543868</v>
      </c>
      <c r="L180" s="32" t="n">
        <f aca="false">Data_Prices!L180/Data_Prices!L179-1</f>
        <v>0.030347963621985</v>
      </c>
      <c r="M180" s="32" t="n">
        <f aca="false">Data_Prices!M180/Data_Prices!M179-1</f>
        <v>0.0102432778489117</v>
      </c>
      <c r="N180" s="32" t="n">
        <f aca="false">Data_Prices!N180/Data_Prices!N179-1</f>
        <v>-0.0077596718767321</v>
      </c>
      <c r="O180" s="32" t="n">
        <f aca="false">Data_Prices!O180/Data_Prices!O179-1</f>
        <v>0.000175407823189033</v>
      </c>
      <c r="P180" s="32" t="n">
        <f aca="false">Data_Prices!P180/Data_Prices!P179-1</f>
        <v>-0.00638509199262172</v>
      </c>
      <c r="Q180" s="32" t="n">
        <f aca="false">Data_Prices!Q180/Data_Prices!Q179-1</f>
        <v>0.0226753918733831</v>
      </c>
      <c r="R180" s="32" t="n">
        <f aca="false">Data_Prices!R180/Data_Prices!R179-1</f>
        <v>0.00818740050034128</v>
      </c>
      <c r="S180" s="32" t="n">
        <f aca="false">Data_Prices!S180/Data_Prices!S179-1</f>
        <v>0.00141348013688458</v>
      </c>
      <c r="T180" s="32" t="n">
        <f aca="false">AVERAGE(D180:S180)</f>
        <v>0.00641252286049308</v>
      </c>
      <c r="U180" s="32" t="n">
        <f aca="false">AVERAGE(J180:S180)</f>
        <v>0.0126078267306053</v>
      </c>
      <c r="V180" s="32" t="n">
        <f aca="false">AVERAGE(D180:I180)</f>
        <v>-0.00391298358969402</v>
      </c>
      <c r="W180" s="32" t="n">
        <f aca="false">AVERAGE(K180,Q180,R180)</f>
        <v>0.0144841953760371</v>
      </c>
      <c r="X180" s="32" t="n">
        <f aca="false">AVERAGE(K180,L180,N180,O180,P180,Q180,R180,S180)</f>
        <v>0.007655584230102</v>
      </c>
      <c r="Y180" s="32" t="n">
        <f aca="false">AVERAGE(J180,L180,M180,N180,O180,P180,Q180,R180,S180)</f>
        <v>0.0126098303946296</v>
      </c>
      <c r="Z180" s="32" t="n">
        <f aca="false">U180-V180</f>
        <v>0.0165208103202993</v>
      </c>
      <c r="AA180" s="32" t="n">
        <f aca="false">W180-V180</f>
        <v>0.0183971789657311</v>
      </c>
    </row>
    <row r="181" customFormat="false" ht="15" hidden="false" customHeight="false" outlineLevel="0" collapsed="false">
      <c r="A181" s="28" t="n">
        <f aca="false">Data_Prices!A181</f>
        <v>45065</v>
      </c>
      <c r="B181" s="32" t="n">
        <f aca="false">Data_Prices!B181/Data_Prices!B180-1</f>
        <v>0.00405130736709158</v>
      </c>
      <c r="C181" s="32" t="n">
        <f aca="false">Data_Prices!C181/Data_Prices!C180-1</f>
        <v>0.0029912248724091</v>
      </c>
      <c r="D181" s="32" t="n">
        <f aca="false">Data_Prices!D181/Data_Prices!D180-1</f>
        <v>-0.00293570098811391</v>
      </c>
      <c r="E181" s="32" t="n">
        <f aca="false">Data_Prices!E181/Data_Prices!E180-1</f>
        <v>-0.0134724998149383</v>
      </c>
      <c r="F181" s="32" t="n">
        <f aca="false">Data_Prices!F181/Data_Prices!F180-1</f>
        <v>0.00286430361618328</v>
      </c>
      <c r="G181" s="32" t="n">
        <f aca="false">Data_Prices!G181/Data_Prices!G180-1</f>
        <v>0.0191361399671952</v>
      </c>
      <c r="H181" s="32" t="n">
        <f aca="false">Data_Prices!H181/Data_Prices!H180-1</f>
        <v>-0.0305995004163198</v>
      </c>
      <c r="I181" s="32" t="n">
        <f aca="false">Data_Prices!I181/Data_Prices!I180-1</f>
        <v>0.0131036156272748</v>
      </c>
      <c r="J181" s="32" t="n">
        <f aca="false">Data_Prices!J181/Data_Prices!J180-1</f>
        <v>-0.0153701176317671</v>
      </c>
      <c r="K181" s="32" t="n">
        <f aca="false">Data_Prices!K181/Data_Prices!K180-1</f>
        <v>-0.000766939028347236</v>
      </c>
      <c r="L181" s="32" t="n">
        <f aca="false">Data_Prices!L181/Data_Prices!L180-1</f>
        <v>0.00105535834212822</v>
      </c>
      <c r="M181" s="32" t="n">
        <f aca="false">Data_Prices!M181/Data_Prices!M180-1</f>
        <v>0.0309252217997464</v>
      </c>
      <c r="N181" s="32" t="n">
        <f aca="false">Data_Prices!N181/Data_Prices!N180-1</f>
        <v>-0.0138755446318848</v>
      </c>
      <c r="O181" s="32" t="n">
        <f aca="false">Data_Prices!O181/Data_Prices!O180-1</f>
        <v>-0.0115748860049106</v>
      </c>
      <c r="P181" s="32" t="n">
        <f aca="false">Data_Prices!P181/Data_Prices!P180-1</f>
        <v>-0.0147562833206397</v>
      </c>
      <c r="Q181" s="32" t="n">
        <f aca="false">Data_Prices!Q181/Data_Prices!Q180-1</f>
        <v>-0.00431547619047612</v>
      </c>
      <c r="R181" s="32" t="n">
        <f aca="false">Data_Prices!R181/Data_Prices!R180-1</f>
        <v>0.00558312655086835</v>
      </c>
      <c r="S181" s="32" t="n">
        <f aca="false">Data_Prices!S181/Data_Prices!S180-1</f>
        <v>-0.00505163063665404</v>
      </c>
      <c r="T181" s="32" t="n">
        <f aca="false">AVERAGE(D181:S181)</f>
        <v>-0.00250317579754095</v>
      </c>
      <c r="U181" s="32" t="n">
        <f aca="false">AVERAGE(J181:S181)</f>
        <v>-0.00281471707519366</v>
      </c>
      <c r="V181" s="32" t="n">
        <f aca="false">AVERAGE(D181:I181)</f>
        <v>-0.00198394033478644</v>
      </c>
      <c r="W181" s="32" t="n">
        <f aca="false">AVERAGE(K181,Q181,R181)</f>
        <v>0.00016690377734833</v>
      </c>
      <c r="X181" s="32" t="n">
        <f aca="false">AVERAGE(K181,L181,N181,O181,P181,Q181,R181,S181)</f>
        <v>-0.0054627843649895</v>
      </c>
      <c r="Y181" s="32" t="n">
        <f aca="false">AVERAGE(J181,L181,M181,N181,O181,P181,Q181,R181,S181)</f>
        <v>-0.00304224796928771</v>
      </c>
      <c r="Z181" s="32" t="n">
        <f aca="false">U181-V181</f>
        <v>-0.000830776740407224</v>
      </c>
      <c r="AA181" s="32" t="n">
        <f aca="false">W181-V181</f>
        <v>0.00215084411213477</v>
      </c>
    </row>
    <row r="182" customFormat="false" ht="15" hidden="false" customHeight="false" outlineLevel="0" collapsed="false">
      <c r="A182" s="28" t="n">
        <f aca="false">Data_Prices!A182</f>
        <v>45068</v>
      </c>
      <c r="B182" s="32" t="n">
        <f aca="false">Data_Prices!B182/Data_Prices!B181-1</f>
        <v>0.00609776195655765</v>
      </c>
      <c r="C182" s="32" t="n">
        <f aca="false">Data_Prices!C182/Data_Prices!C181-1</f>
        <v>0.00625991802720094</v>
      </c>
      <c r="D182" s="32" t="n">
        <f aca="false">Data_Prices!D182/Data_Prices!D181-1</f>
        <v>-0.00362657091561935</v>
      </c>
      <c r="E182" s="32" t="n">
        <f aca="false">Data_Prices!E182/Data_Prices!E181-1</f>
        <v>0.00562767314474377</v>
      </c>
      <c r="F182" s="32" t="n">
        <f aca="false">Data_Prices!F182/Data_Prices!F181-1</f>
        <v>-0.00835415922884686</v>
      </c>
      <c r="G182" s="32" t="n">
        <f aca="false">Data_Prices!G182/Data_Prices!G181-1</f>
        <v>-0.00147532188841204</v>
      </c>
      <c r="H182" s="32" t="n">
        <f aca="false">Data_Prices!H182/Data_Prices!H181-1</f>
        <v>0.0186815546489156</v>
      </c>
      <c r="I182" s="32" t="n">
        <f aca="false">Data_Prices!I182/Data_Prices!I181-1</f>
        <v>-0.010059880239521</v>
      </c>
      <c r="J182" s="32" t="n">
        <f aca="false">Data_Prices!J182/Data_Prices!J181-1</f>
        <v>0.00306920563677782</v>
      </c>
      <c r="K182" s="32" t="n">
        <f aca="false">Data_Prices!K182/Data_Prices!K181-1</f>
        <v>0.00129889298892993</v>
      </c>
      <c r="L182" s="32" t="n">
        <f aca="false">Data_Prices!L182/Data_Prices!L181-1</f>
        <v>0.00987157370136083</v>
      </c>
      <c r="M182" s="32" t="n">
        <f aca="false">Data_Prices!M182/Data_Prices!M181-1</f>
        <v>0.0307351856405214</v>
      </c>
      <c r="N182" s="32" t="n">
        <f aca="false">Data_Prices!N182/Data_Prices!N181-1</f>
        <v>-0.0237685231340915</v>
      </c>
      <c r="O182" s="32" t="n">
        <f aca="false">Data_Prices!O182/Data_Prices!O181-1</f>
        <v>0.00479063165365501</v>
      </c>
      <c r="P182" s="32" t="n">
        <f aca="false">Data_Prices!P182/Data_Prices!P181-1</f>
        <v>0.0862885302927818</v>
      </c>
      <c r="Q182" s="32" t="n">
        <f aca="false">Data_Prices!Q182/Data_Prices!Q181-1</f>
        <v>0.0360185323568973</v>
      </c>
      <c r="R182" s="32" t="n">
        <f aca="false">Data_Prices!R182/Data_Prices!R181-1</f>
        <v>-0.00386966518983789</v>
      </c>
      <c r="S182" s="32" t="n">
        <f aca="false">Data_Prices!S182/Data_Prices!S181-1</f>
        <v>-0.0149331740461435</v>
      </c>
      <c r="T182" s="32" t="n">
        <f aca="false">AVERAGE(D182:S182)</f>
        <v>0.00814340533888196</v>
      </c>
      <c r="U182" s="32" t="n">
        <f aca="false">AVERAGE(J182:S182)</f>
        <v>0.0129501189900851</v>
      </c>
      <c r="V182" s="32" t="n">
        <f aca="false">AVERAGE(D182:I182)</f>
        <v>0.000132215920210029</v>
      </c>
      <c r="W182" s="32" t="n">
        <f aca="false">AVERAGE(K182,Q182,R182)</f>
        <v>0.0111492533853298</v>
      </c>
      <c r="X182" s="32" t="n">
        <f aca="false">AVERAGE(K182,L182,N182,O182,P182,Q182,R182,S182)</f>
        <v>0.011962099827944</v>
      </c>
      <c r="Y182" s="32" t="n">
        <f aca="false">AVERAGE(J182,L182,M182,N182,O182,P182,Q182,R182,S182)</f>
        <v>0.0142446996568801</v>
      </c>
      <c r="Z182" s="32" t="n">
        <f aca="false">U182-V182</f>
        <v>0.0128179030698751</v>
      </c>
      <c r="AA182" s="32" t="n">
        <f aca="false">W182-V182</f>
        <v>0.0110170374651198</v>
      </c>
    </row>
    <row r="183" customFormat="false" ht="15" hidden="false" customHeight="false" outlineLevel="0" collapsed="false">
      <c r="A183" s="28" t="n">
        <f aca="false">Data_Prices!A183</f>
        <v>45069</v>
      </c>
      <c r="B183" s="32" t="n">
        <f aca="false">Data_Prices!B183/Data_Prices!B182-1</f>
        <v>0.00183462193683659</v>
      </c>
      <c r="C183" s="32" t="n">
        <f aca="false">Data_Prices!C183/Data_Prices!C182-1</f>
        <v>0.00262835397316819</v>
      </c>
      <c r="D183" s="32" t="n">
        <f aca="false">Data_Prices!D183/Data_Prices!D182-1</f>
        <v>-0.00115319470971942</v>
      </c>
      <c r="E183" s="32" t="n">
        <f aca="false">Data_Prices!E183/Data_Prices!E182-1</f>
        <v>0.0102223548724072</v>
      </c>
      <c r="F183" s="32" t="n">
        <f aca="false">Data_Prices!F183/Data_Prices!F182-1</f>
        <v>-0.00316820276497687</v>
      </c>
      <c r="G183" s="32" t="n">
        <f aca="false">Data_Prices!G183/Data_Prices!G182-1</f>
        <v>0.00214909335124247</v>
      </c>
      <c r="H183" s="32" t="n">
        <f aca="false">Data_Prices!H183/Data_Prices!H182-1</f>
        <v>-0.00505902192242824</v>
      </c>
      <c r="I183" s="32" t="n">
        <f aca="false">Data_Prices!I183/Data_Prices!I182-1</f>
        <v>0.104524558432131</v>
      </c>
      <c r="J183" s="32" t="n">
        <f aca="false">Data_Prices!J183/Data_Prices!J182-1</f>
        <v>0.00470487596236091</v>
      </c>
      <c r="K183" s="32" t="n">
        <f aca="false">Data_Prices!K183/Data_Prices!K182-1</f>
        <v>-0.0018426250773903</v>
      </c>
      <c r="L183" s="32" t="n">
        <f aca="false">Data_Prices!L183/Data_Prices!L182-1</f>
        <v>0.00659580525766357</v>
      </c>
      <c r="M183" s="32" t="n">
        <f aca="false">Data_Prices!M183/Data_Prices!M182-1</f>
        <v>-0.017612913486005</v>
      </c>
      <c r="N183" s="32" t="n">
        <f aca="false">Data_Prices!N183/Data_Prices!N182-1</f>
        <v>-0.00204247417894854</v>
      </c>
      <c r="O183" s="32" t="n">
        <f aca="false">Data_Prices!O183/Data_Prices!O182-1</f>
        <v>0.0088292424509977</v>
      </c>
      <c r="P183" s="32" t="n">
        <f aca="false">Data_Prices!P183/Data_Prices!P182-1</f>
        <v>0.00355808574986649</v>
      </c>
      <c r="Q183" s="32" t="n">
        <f aca="false">Data_Prices!Q183/Data_Prices!Q182-1</f>
        <v>-0.000432775533756535</v>
      </c>
      <c r="R183" s="32" t="n">
        <f aca="false">Data_Prices!R183/Data_Prices!R182-1</f>
        <v>-0.000281499831100152</v>
      </c>
      <c r="S183" s="32" t="n">
        <f aca="false">Data_Prices!S183/Data_Prices!S182-1</f>
        <v>0.0333510194800273</v>
      </c>
      <c r="T183" s="32" t="n">
        <f aca="false">AVERAGE(D183:S183)</f>
        <v>0.00889639550327325</v>
      </c>
      <c r="U183" s="32" t="n">
        <f aca="false">AVERAGE(J183:S183)</f>
        <v>0.00348267407937154</v>
      </c>
      <c r="V183" s="32" t="n">
        <f aca="false">AVERAGE(D183:I183)</f>
        <v>0.0179192645431094</v>
      </c>
      <c r="W183" s="32" t="n">
        <f aca="false">AVERAGE(K183,Q183,R183)</f>
        <v>-0.000852300147415663</v>
      </c>
      <c r="X183" s="32" t="n">
        <f aca="false">AVERAGE(K183,L183,N183,O183,P183,Q183,R183,S183)</f>
        <v>0.00596684728966994</v>
      </c>
      <c r="Y183" s="32" t="n">
        <f aca="false">AVERAGE(J183,L183,M183,N183,O183,P183,Q183,R183,S183)</f>
        <v>0.00407437398567841</v>
      </c>
      <c r="Z183" s="32" t="n">
        <f aca="false">U183-V183</f>
        <v>-0.0144365904637379</v>
      </c>
      <c r="AA183" s="32" t="n">
        <f aca="false">W183-V183</f>
        <v>-0.0187715646905251</v>
      </c>
    </row>
    <row r="184" customFormat="false" ht="15" hidden="false" customHeight="false" outlineLevel="0" collapsed="false">
      <c r="A184" s="28" t="n">
        <f aca="false">Data_Prices!A184</f>
        <v>45070</v>
      </c>
      <c r="B184" s="32" t="n">
        <f aca="false">Data_Prices!B184/Data_Prices!B183-1</f>
        <v>-0.00341181600174401</v>
      </c>
      <c r="C184" s="32" t="n">
        <f aca="false">Data_Prices!C184/Data_Prices!C183-1</f>
        <v>-0.00185271554704958</v>
      </c>
      <c r="D184" s="32" t="n">
        <f aca="false">Data_Prices!D184/Data_Prices!D183-1</f>
        <v>-0.000396868347945278</v>
      </c>
      <c r="E184" s="32" t="n">
        <f aca="false">Data_Prices!E184/Data_Prices!E183-1</f>
        <v>0.00347145283994377</v>
      </c>
      <c r="F184" s="32" t="n">
        <f aca="false">Data_Prices!F184/Data_Prices!F183-1</f>
        <v>0.000866801502455772</v>
      </c>
      <c r="G184" s="32" t="n">
        <f aca="false">Data_Prices!G184/Data_Prices!G183-1</f>
        <v>0.00844390832328101</v>
      </c>
      <c r="H184" s="32" t="n">
        <f aca="false">Data_Prices!H184/Data_Prices!H183-1</f>
        <v>-0.00858050847457625</v>
      </c>
      <c r="I184" s="32" t="n">
        <f aca="false">Data_Prices!I184/Data_Prices!I183-1</f>
        <v>0.00328587075575038</v>
      </c>
      <c r="J184" s="32" t="n">
        <f aca="false">Data_Prices!J184/Data_Prices!J183-1</f>
        <v>0.0116907358286669</v>
      </c>
      <c r="K184" s="32" t="n">
        <f aca="false">Data_Prices!K184/Data_Prices!K183-1</f>
        <v>0.000797483496522089</v>
      </c>
      <c r="L184" s="32" t="n">
        <f aca="false">Data_Prices!L184/Data_Prices!L183-1</f>
        <v>-0.00796681280346956</v>
      </c>
      <c r="M184" s="32" t="n">
        <f aca="false">Data_Prices!M184/Data_Prices!M183-1</f>
        <v>-0.00360192642357038</v>
      </c>
      <c r="N184" s="32" t="n">
        <f aca="false">Data_Prices!N184/Data_Prices!N183-1</f>
        <v>0.00283740726097159</v>
      </c>
      <c r="O184" s="32" t="n">
        <f aca="false">Data_Prices!O184/Data_Prices!O183-1</f>
        <v>-0.00717661473831599</v>
      </c>
      <c r="P184" s="32" t="n">
        <f aca="false">Data_Prices!P184/Data_Prices!P183-1</f>
        <v>-0.0217603261833008</v>
      </c>
      <c r="Q184" s="32" t="n">
        <f aca="false">Data_Prices!Q184/Data_Prices!Q183-1</f>
        <v>0.00490691297445522</v>
      </c>
      <c r="R184" s="32" t="n">
        <f aca="false">Data_Prices!R184/Data_Prices!R183-1</f>
        <v>0.00168947457340773</v>
      </c>
      <c r="S184" s="32" t="n">
        <f aca="false">Data_Prices!S184/Data_Prices!S183-1</f>
        <v>0.00465781559451317</v>
      </c>
      <c r="T184" s="32" t="n">
        <f aca="false">AVERAGE(D184:S184)</f>
        <v>-0.000427199613825667</v>
      </c>
      <c r="U184" s="32" t="n">
        <f aca="false">AVERAGE(J184:S184)</f>
        <v>-0.00139258504201201</v>
      </c>
      <c r="V184" s="32" t="n">
        <f aca="false">AVERAGE(D184:I184)</f>
        <v>0.00118177609981823</v>
      </c>
      <c r="W184" s="32" t="n">
        <f aca="false">AVERAGE(K184,Q184,R184)</f>
        <v>0.00246462368146168</v>
      </c>
      <c r="X184" s="32" t="n">
        <f aca="false">AVERAGE(K184,L184,N184,O184,P184,Q184,R184,S184)</f>
        <v>-0.00275183247815207</v>
      </c>
      <c r="Y184" s="32" t="n">
        <f aca="false">AVERAGE(J184,L184,M184,N184,O184,P184,Q184,R184,S184)</f>
        <v>-0.00163592599073802</v>
      </c>
      <c r="Z184" s="32" t="n">
        <f aca="false">U184-V184</f>
        <v>-0.00257436114183024</v>
      </c>
      <c r="AA184" s="32" t="n">
        <f aca="false">W184-V184</f>
        <v>0.00128284758164345</v>
      </c>
    </row>
    <row r="185" customFormat="false" ht="15" hidden="false" customHeight="false" outlineLevel="0" collapsed="false">
      <c r="A185" s="28" t="n">
        <f aca="false">Data_Prices!A185</f>
        <v>45071</v>
      </c>
      <c r="B185" s="32" t="n">
        <f aca="false">Data_Prices!B185/Data_Prices!B184-1</f>
        <v>0.00195511172848284</v>
      </c>
      <c r="C185" s="32" t="n">
        <f aca="false">Data_Prices!C185/Data_Prices!C184-1</f>
        <v>0.00253287745835729</v>
      </c>
      <c r="D185" s="32" t="n">
        <f aca="false">Data_Prices!D185/Data_Prices!D184-1</f>
        <v>0.0133184147838015</v>
      </c>
      <c r="E185" s="32" t="n">
        <f aca="false">Data_Prices!E185/Data_Prices!E184-1</f>
        <v>-0.00301781245399668</v>
      </c>
      <c r="F185" s="32" t="n">
        <f aca="false">Data_Prices!F185/Data_Prices!F184-1</f>
        <v>-0.000577367205542689</v>
      </c>
      <c r="G185" s="32" t="n">
        <f aca="false">Data_Prices!G185/Data_Prices!G184-1</f>
        <v>-0.00305688463583198</v>
      </c>
      <c r="H185" s="32" t="n">
        <f aca="false">Data_Prices!H185/Data_Prices!H184-1</f>
        <v>-0.0159205043273853</v>
      </c>
      <c r="I185" s="32" t="n">
        <f aca="false">Data_Prices!I185/Data_Prices!I184-1</f>
        <v>-0.0196506550218341</v>
      </c>
      <c r="J185" s="32" t="n">
        <f aca="false">Data_Prices!J185/Data_Prices!J184-1</f>
        <v>0.00190975593966458</v>
      </c>
      <c r="K185" s="32" t="n">
        <f aca="false">Data_Prices!K185/Data_Prices!K184-1</f>
        <v>0.00814555757226976</v>
      </c>
      <c r="L185" s="32" t="n">
        <f aca="false">Data_Prices!L185/Data_Prices!L184-1</f>
        <v>0.0068903250332637</v>
      </c>
      <c r="M185" s="32" t="n">
        <f aca="false">Data_Prices!M185/Data_Prices!M184-1</f>
        <v>-0.00426482534524775</v>
      </c>
      <c r="N185" s="32" t="n">
        <f aca="false">Data_Prices!N185/Data_Prices!N184-1</f>
        <v>-0.00823302952294813</v>
      </c>
      <c r="O185" s="32" t="n">
        <f aca="false">Data_Prices!O185/Data_Prices!O184-1</f>
        <v>-0.00158674188998609</v>
      </c>
      <c r="P185" s="32" t="n">
        <f aca="false">Data_Prices!P185/Data_Prices!P184-1</f>
        <v>0.00665972001993387</v>
      </c>
      <c r="Q185" s="32" t="n">
        <f aca="false">Data_Prices!Q185/Data_Prices!Q184-1</f>
        <v>-0.00359040643400832</v>
      </c>
      <c r="R185" s="32" t="n">
        <f aca="false">Data_Prices!R185/Data_Prices!R184-1</f>
        <v>0.00618429189857772</v>
      </c>
      <c r="S185" s="32" t="n">
        <f aca="false">Data_Prices!S185/Data_Prices!S184-1</f>
        <v>0.00416164713612965</v>
      </c>
      <c r="T185" s="32" t="n">
        <f aca="false">AVERAGE(D185:S185)</f>
        <v>-0.000789282153321268</v>
      </c>
      <c r="U185" s="32" t="n">
        <f aca="false">AVERAGE(J185:S185)</f>
        <v>0.0016276294407649</v>
      </c>
      <c r="V185" s="32" t="n">
        <f aca="false">AVERAGE(D185:I185)</f>
        <v>-0.00481746814346488</v>
      </c>
      <c r="W185" s="32" t="n">
        <f aca="false">AVERAGE(K185,Q185,R185)</f>
        <v>0.00357981434561305</v>
      </c>
      <c r="X185" s="32" t="n">
        <f aca="false">AVERAGE(K185,L185,N185,O185,P185,Q185,R185,S185)</f>
        <v>0.00232892047665402</v>
      </c>
      <c r="Y185" s="32" t="n">
        <f aca="false">AVERAGE(J185,L185,M185,N185,O185,P185,Q185,R185,S185)</f>
        <v>0.000903415203931026</v>
      </c>
      <c r="Z185" s="32" t="n">
        <f aca="false">U185-V185</f>
        <v>0.00644509758422978</v>
      </c>
      <c r="AA185" s="32" t="n">
        <f aca="false">W185-V185</f>
        <v>0.00839728248907793</v>
      </c>
    </row>
    <row r="186" customFormat="false" ht="15" hidden="false" customHeight="false" outlineLevel="0" collapsed="false">
      <c r="A186" s="28" t="n">
        <f aca="false">Data_Prices!A186</f>
        <v>45072</v>
      </c>
      <c r="B186" s="32" t="n">
        <f aca="false">Data_Prices!B186/Data_Prices!B185-1</f>
        <v>0.00972646367722541</v>
      </c>
      <c r="C186" s="32" t="n">
        <f aca="false">Data_Prices!C186/Data_Prices!C185-1</f>
        <v>0.00909660725478534</v>
      </c>
      <c r="D186" s="32" t="n">
        <f aca="false">Data_Prices!D186/Data_Prices!D185-1</f>
        <v>-0.0251825467497773</v>
      </c>
      <c r="E186" s="32" t="n">
        <f aca="false">Data_Prices!E186/Data_Prices!E185-1</f>
        <v>-0.000664451827242618</v>
      </c>
      <c r="F186" s="32" t="n">
        <f aca="false">Data_Prices!F186/Data_Prices!F185-1</f>
        <v>0.000361062969381765</v>
      </c>
      <c r="G186" s="32" t="n">
        <f aca="false">Data_Prices!G186/Data_Prices!G185-1</f>
        <v>0.00653246233835492</v>
      </c>
      <c r="H186" s="32" t="n">
        <f aca="false">Data_Prices!H186/Data_Prices!H185-1</f>
        <v>0.0288816503800218</v>
      </c>
      <c r="I186" s="32" t="n">
        <f aca="false">Data_Prices!I186/Data_Prices!I185-1</f>
        <v>-0.0438752783964365</v>
      </c>
      <c r="J186" s="32" t="n">
        <f aca="false">Data_Prices!J186/Data_Prices!J185-1</f>
        <v>0.0226149323167384</v>
      </c>
      <c r="K186" s="32" t="n">
        <f aca="false">Data_Prices!K186/Data_Prices!K185-1</f>
        <v>0.0092507208829169</v>
      </c>
      <c r="L186" s="32" t="n">
        <f aca="false">Data_Prices!L186/Data_Prices!L185-1</f>
        <v>-0.00920288829109439</v>
      </c>
      <c r="M186" s="32" t="n">
        <f aca="false">Data_Prices!M186/Data_Prices!M185-1</f>
        <v>-0.00995308994493172</v>
      </c>
      <c r="N186" s="32" t="n">
        <f aca="false">Data_Prices!N186/Data_Prices!N185-1</f>
        <v>-0.00636049013188655</v>
      </c>
      <c r="O186" s="32" t="n">
        <f aca="false">Data_Prices!O186/Data_Prices!O185-1</f>
        <v>-0.010948260639237</v>
      </c>
      <c r="P186" s="32" t="n">
        <f aca="false">Data_Prices!P186/Data_Prices!P185-1</f>
        <v>-0.00225022502250227</v>
      </c>
      <c r="Q186" s="32" t="n">
        <f aca="false">Data_Prices!Q186/Data_Prices!Q185-1</f>
        <v>-0.00230614009801078</v>
      </c>
      <c r="R186" s="32" t="n">
        <f aca="false">Data_Prices!R186/Data_Prices!R185-1</f>
        <v>0.00743141308599205</v>
      </c>
      <c r="S186" s="32" t="n">
        <f aca="false">Data_Prices!S186/Data_Prices!S185-1</f>
        <v>0.00599847311593416</v>
      </c>
      <c r="T186" s="32" t="n">
        <f aca="false">AVERAGE(D186:S186)</f>
        <v>-0.0018545410007362</v>
      </c>
      <c r="U186" s="32" t="n">
        <f aca="false">AVERAGE(J186:S186)</f>
        <v>0.000427444527391874</v>
      </c>
      <c r="V186" s="32" t="n">
        <f aca="false">AVERAGE(D186:I186)</f>
        <v>-0.00565785021428298</v>
      </c>
      <c r="W186" s="32" t="n">
        <f aca="false">AVERAGE(K186,Q186,R186)</f>
        <v>0.00479199795696605</v>
      </c>
      <c r="X186" s="32" t="n">
        <f aca="false">AVERAGE(K186,L186,N186,O186,P186,Q186,R186,S186)</f>
        <v>-0.00104842463723599</v>
      </c>
      <c r="Y186" s="32" t="n">
        <f aca="false">AVERAGE(J186,L186,M186,N186,O186,P186,Q186,R186,S186)</f>
        <v>-0.000552919512110907</v>
      </c>
      <c r="Z186" s="32" t="n">
        <f aca="false">U186-V186</f>
        <v>0.00608529474167486</v>
      </c>
      <c r="AA186" s="32" t="n">
        <f aca="false">W186-V186</f>
        <v>0.010449848171249</v>
      </c>
    </row>
    <row r="187" customFormat="false" ht="15" hidden="false" customHeight="false" outlineLevel="0" collapsed="false">
      <c r="A187" s="28" t="n">
        <f aca="false">Data_Prices!A187</f>
        <v>45075</v>
      </c>
      <c r="B187" s="32" t="n">
        <f aca="false">Data_Prices!B187/Data_Prices!B186-1</f>
        <v>0.00536775616440588</v>
      </c>
      <c r="C187" s="32" t="n">
        <f aca="false">Data_Prices!C187/Data_Prices!C186-1</f>
        <v>0.00481628362559139</v>
      </c>
      <c r="D187" s="32" t="n">
        <f aca="false">Data_Prices!D187/Data_Prices!D186-1</f>
        <v>0.0155656240865243</v>
      </c>
      <c r="E187" s="32" t="n">
        <f aca="false">Data_Prices!E187/Data_Prices!E186-1</f>
        <v>0.0197251773049645</v>
      </c>
      <c r="F187" s="32" t="n">
        <f aca="false">Data_Prices!F187/Data_Prices!F186-1</f>
        <v>0.00642460116942178</v>
      </c>
      <c r="G187" s="32" t="n">
        <f aca="false">Data_Prices!G187/Data_Prices!G186-1</f>
        <v>0.00675496688741717</v>
      </c>
      <c r="H187" s="32" t="n">
        <f aca="false">Data_Prices!H187/Data_Prices!H186-1</f>
        <v>0.01424651751794</v>
      </c>
      <c r="I187" s="32" t="n">
        <f aca="false">Data_Prices!I187/Data_Prices!I186-1</f>
        <v>0.0840903796878638</v>
      </c>
      <c r="J187" s="32" t="n">
        <f aca="false">Data_Prices!J187/Data_Prices!J186-1</f>
        <v>-0.00963573752882818</v>
      </c>
      <c r="K187" s="32" t="n">
        <f aca="false">Data_Prices!K187/Data_Prices!K186-1</f>
        <v>0.00398833954547428</v>
      </c>
      <c r="L187" s="32" t="n">
        <f aca="false">Data_Prices!L187/Data_Prices!L186-1</f>
        <v>0.00543012289225486</v>
      </c>
      <c r="M187" s="32" t="n">
        <f aca="false">Data_Prices!M187/Data_Prices!M186-1</f>
        <v>4.12014338098121E-005</v>
      </c>
      <c r="N187" s="32" t="n">
        <f aca="false">Data_Prices!N187/Data_Prices!N186-1</f>
        <v>-0.00376541466629021</v>
      </c>
      <c r="O187" s="32" t="n">
        <f aca="false">Data_Prices!O187/Data_Prices!O186-1</f>
        <v>0.0232101410462418</v>
      </c>
      <c r="P187" s="32" t="n">
        <f aca="false">Data_Prices!P187/Data_Prices!P186-1</f>
        <v>0.00672079386558422</v>
      </c>
      <c r="Q187" s="32" t="n">
        <f aca="false">Data_Prices!Q187/Data_Prices!Q186-1</f>
        <v>-0.0151690262929789</v>
      </c>
      <c r="R187" s="32" t="n">
        <f aca="false">Data_Prices!R187/Data_Prices!R186-1</f>
        <v>0.00465890183028295</v>
      </c>
      <c r="S187" s="32" t="n">
        <f aca="false">Data_Prices!S187/Data_Prices!S186-1</f>
        <v>0.0182133564614049</v>
      </c>
      <c r="T187" s="32" t="n">
        <f aca="false">AVERAGE(D187:S187)</f>
        <v>0.0112812465775679</v>
      </c>
      <c r="U187" s="32" t="n">
        <f aca="false">AVERAGE(J187:S187)</f>
        <v>0.00336926785869555</v>
      </c>
      <c r="V187" s="32" t="n">
        <f aca="false">AVERAGE(D187:I187)</f>
        <v>0.0244678777756886</v>
      </c>
      <c r="W187" s="32" t="n">
        <f aca="false">AVERAGE(K187,Q187,R187)</f>
        <v>-0.00217392830574055</v>
      </c>
      <c r="X187" s="32" t="n">
        <f aca="false">AVERAGE(K187,L187,N187,O187,P187,Q187,R187,S187)</f>
        <v>0.00541090183524673</v>
      </c>
      <c r="Y187" s="32" t="n">
        <f aca="false">AVERAGE(J187,L187,M187,N187,O187,P187,Q187,R187,S187)</f>
        <v>0.00330048211572013</v>
      </c>
      <c r="Z187" s="32" t="n">
        <f aca="false">U187-V187</f>
        <v>-0.0210986099169931</v>
      </c>
      <c r="AA187" s="32" t="n">
        <f aca="false">W187-V187</f>
        <v>-0.0266418060814292</v>
      </c>
    </row>
    <row r="188" customFormat="false" ht="15" hidden="false" customHeight="false" outlineLevel="0" collapsed="false">
      <c r="A188" s="28" t="n">
        <f aca="false">Data_Prices!A188</f>
        <v>45076</v>
      </c>
      <c r="B188" s="32" t="n">
        <f aca="false">Data_Prices!B188/Data_Prices!B187-1</f>
        <v>0.00189261048516953</v>
      </c>
      <c r="C188" s="32" t="n">
        <f aca="false">Data_Prices!C188/Data_Prices!C187-1</f>
        <v>0.00171819671767359</v>
      </c>
      <c r="D188" s="32" t="n">
        <f aca="false">Data_Prices!D188/Data_Prices!D187-1</f>
        <v>0.00107936964812549</v>
      </c>
      <c r="E188" s="32" t="n">
        <f aca="false">Data_Prices!E188/Data_Prices!E187-1</f>
        <v>0.000217344055640112</v>
      </c>
      <c r="F188" s="32" t="n">
        <f aca="false">Data_Prices!F188/Data_Prices!F187-1</f>
        <v>0.0185052359776214</v>
      </c>
      <c r="G188" s="32" t="n">
        <f aca="false">Data_Prices!G188/Data_Prices!G187-1</f>
        <v>-0.00131561636626765</v>
      </c>
      <c r="H188" s="32" t="n">
        <f aca="false">Data_Prices!H188/Data_Prices!H187-1</f>
        <v>0.00541046717303084</v>
      </c>
      <c r="I188" s="32" t="n">
        <f aca="false">Data_Prices!I188/Data_Prices!I187-1</f>
        <v>0.103566824237215</v>
      </c>
      <c r="J188" s="32" t="n">
        <f aca="false">Data_Prices!J188/Data_Prices!J187-1</f>
        <v>0.0102717876738547</v>
      </c>
      <c r="K188" s="32" t="n">
        <f aca="false">Data_Prices!K188/Data_Prices!K187-1</f>
        <v>0.0106462889665733</v>
      </c>
      <c r="L188" s="32" t="n">
        <f aca="false">Data_Prices!L188/Data_Prices!L187-1</f>
        <v>-0.0086223232897481</v>
      </c>
      <c r="M188" s="32" t="n">
        <f aca="false">Data_Prices!M188/Data_Prices!M187-1</f>
        <v>-0.00914634146341453</v>
      </c>
      <c r="N188" s="32" t="n">
        <f aca="false">Data_Prices!N188/Data_Prices!N187-1</f>
        <v>-0.00137012189360286</v>
      </c>
      <c r="O188" s="32" t="n">
        <f aca="false">Data_Prices!O188/Data_Prices!O187-1</f>
        <v>-0.00139591694294205</v>
      </c>
      <c r="P188" s="32" t="n">
        <f aca="false">Data_Prices!P188/Data_Prices!P187-1</f>
        <v>0.000403243872933334</v>
      </c>
      <c r="Q188" s="32" t="n">
        <f aca="false">Data_Prices!Q188/Data_Prices!Q187-1</f>
        <v>-0.00264045767933119</v>
      </c>
      <c r="R188" s="32" t="n">
        <f aca="false">Data_Prices!R188/Data_Prices!R187-1</f>
        <v>0.0125317434028926</v>
      </c>
      <c r="S188" s="32" t="n">
        <f aca="false">Data_Prices!S188/Data_Prices!S187-1</f>
        <v>0.00567859170925611</v>
      </c>
      <c r="T188" s="32" t="n">
        <f aca="false">AVERAGE(D188:S188)</f>
        <v>0.00898875744261481</v>
      </c>
      <c r="U188" s="32" t="n">
        <f aca="false">AVERAGE(J188:S188)</f>
        <v>0.00163564943564714</v>
      </c>
      <c r="V188" s="32" t="n">
        <f aca="false">AVERAGE(D188:I188)</f>
        <v>0.0212439374542276</v>
      </c>
      <c r="W188" s="32" t="n">
        <f aca="false">AVERAGE(K188,Q188,R188)</f>
        <v>0.00684585823004491</v>
      </c>
      <c r="X188" s="32" t="n">
        <f aca="false">AVERAGE(K188,L188,N188,O188,P188,Q188,R188,S188)</f>
        <v>0.00190388101825389</v>
      </c>
      <c r="Y188" s="32" t="n">
        <f aca="false">AVERAGE(J188,L188,M188,N188,O188,P188,Q188,R188,S188)</f>
        <v>0.000634467265544231</v>
      </c>
      <c r="Z188" s="32" t="n">
        <f aca="false">U188-V188</f>
        <v>-0.0196082880185805</v>
      </c>
      <c r="AA188" s="32" t="n">
        <f aca="false">W188-V188</f>
        <v>-0.0143980792241827</v>
      </c>
    </row>
    <row r="189" customFormat="false" ht="15" hidden="false" customHeight="false" outlineLevel="0" collapsed="false">
      <c r="A189" s="28" t="n">
        <f aca="false">Data_Prices!A189</f>
        <v>45077</v>
      </c>
      <c r="B189" s="32" t="n">
        <f aca="false">Data_Prices!B189/Data_Prices!B188-1</f>
        <v>-0.005337061315831</v>
      </c>
      <c r="C189" s="32" t="n">
        <f aca="false">Data_Prices!C189/Data_Prices!C188-1</f>
        <v>-0.00209184496928694</v>
      </c>
      <c r="D189" s="32" t="n">
        <f aca="false">Data_Prices!D189/Data_Prices!D188-1</f>
        <v>0.00478004600345017</v>
      </c>
      <c r="E189" s="32" t="n">
        <f aca="false">Data_Prices!E189/Data_Prices!E188-1</f>
        <v>0.024482109227872</v>
      </c>
      <c r="F189" s="32" t="n">
        <f aca="false">Data_Prices!F189/Data_Prices!F188-1</f>
        <v>0.0153521126760563</v>
      </c>
      <c r="G189" s="32" t="n">
        <f aca="false">Data_Prices!G189/Data_Prices!G188-1</f>
        <v>-0.0198919773415888</v>
      </c>
      <c r="H189" s="32" t="n">
        <f aca="false">Data_Prices!H189/Data_Prices!H188-1</f>
        <v>0.0457414881506779</v>
      </c>
      <c r="I189" s="32" t="n">
        <f aca="false">Data_Prices!I189/Data_Prices!I188-1</f>
        <v>0.0159657320872273</v>
      </c>
      <c r="J189" s="32" t="n">
        <f aca="false">Data_Prices!J189/Data_Prices!J188-1</f>
        <v>0.196526681401958</v>
      </c>
      <c r="K189" s="32" t="n">
        <f aca="false">Data_Prices!K189/Data_Prices!K188-1</f>
        <v>-0.00227262981861842</v>
      </c>
      <c r="L189" s="32" t="n">
        <f aca="false">Data_Prices!L189/Data_Prices!L188-1</f>
        <v>0.0043964446143554</v>
      </c>
      <c r="M189" s="32" t="n">
        <f aca="false">Data_Prices!M189/Data_Prices!M188-1</f>
        <v>0.0262785862785861</v>
      </c>
      <c r="N189" s="32" t="n">
        <f aca="false">Data_Prices!N189/Data_Prices!N188-1</f>
        <v>0.0243412026304584</v>
      </c>
      <c r="O189" s="32" t="n">
        <f aca="false">Data_Prices!O189/Data_Prices!O188-1</f>
        <v>-0.00646514066049264</v>
      </c>
      <c r="P189" s="32" t="n">
        <f aca="false">Data_Prices!P189/Data_Prices!P188-1</f>
        <v>-0.000806162665711319</v>
      </c>
      <c r="Q189" s="32" t="n">
        <f aca="false">Data_Prices!Q189/Data_Prices!Q188-1</f>
        <v>0.0170613325489042</v>
      </c>
      <c r="R189" s="32" t="n">
        <f aca="false">Data_Prices!R189/Data_Prices!R188-1</f>
        <v>-0.000109045308325562</v>
      </c>
      <c r="S189" s="32" t="n">
        <f aca="false">Data_Prices!S189/Data_Prices!S188-1</f>
        <v>-0.0120341614906834</v>
      </c>
      <c r="T189" s="32" t="n">
        <f aca="false">AVERAGE(D189:S189)</f>
        <v>0.0208341636458828</v>
      </c>
      <c r="U189" s="32" t="n">
        <f aca="false">AVERAGE(J189:S189)</f>
        <v>0.0246917107530431</v>
      </c>
      <c r="V189" s="32" t="n">
        <f aca="false">AVERAGE(D189:I189)</f>
        <v>0.0144049184672825</v>
      </c>
      <c r="W189" s="32" t="n">
        <f aca="false">AVERAGE(K189,Q189,R189)</f>
        <v>0.0048932191406534</v>
      </c>
      <c r="X189" s="32" t="n">
        <f aca="false">AVERAGE(K189,L189,N189,O189,P189,Q189,R189,S189)</f>
        <v>0.00301397998123583</v>
      </c>
      <c r="Y189" s="32" t="n">
        <f aca="false">AVERAGE(J189,L189,M189,N189,O189,P189,Q189,R189,S189)</f>
        <v>0.0276877485943388</v>
      </c>
      <c r="Z189" s="32" t="n">
        <f aca="false">U189-V189</f>
        <v>0.0102867922857606</v>
      </c>
      <c r="AA189" s="32" t="n">
        <f aca="false">W189-V189</f>
        <v>-0.00951169932662908</v>
      </c>
    </row>
    <row r="190" customFormat="false" ht="15" hidden="false" customHeight="false" outlineLevel="0" collapsed="false">
      <c r="A190" s="28" t="n">
        <f aca="false">Data_Prices!A190</f>
        <v>45078</v>
      </c>
      <c r="B190" s="32" t="n">
        <f aca="false">Data_Prices!B190/Data_Prices!B189-1</f>
        <v>-0.00251694147099457</v>
      </c>
      <c r="C190" s="32" t="n">
        <f aca="false">Data_Prices!C190/Data_Prices!C189-1</f>
        <v>-0.000383727420336877</v>
      </c>
      <c r="D190" s="32" t="n">
        <f aca="false">Data_Prices!D190/Data_Prices!D189-1</f>
        <v>-0.00500769038165749</v>
      </c>
      <c r="E190" s="32" t="n">
        <f aca="false">Data_Prices!E190/Data_Prices!E189-1</f>
        <v>0.0295531674208145</v>
      </c>
      <c r="F190" s="32" t="n">
        <f aca="false">Data_Prices!F190/Data_Prices!F189-1</f>
        <v>0.0118601747815232</v>
      </c>
      <c r="G190" s="32" t="n">
        <f aca="false">Data_Prices!G190/Data_Prices!G189-1</f>
        <v>0.0137096774193548</v>
      </c>
      <c r="H190" s="32" t="n">
        <f aca="false">Data_Prices!H190/Data_Prices!H189-1</f>
        <v>0.0622464126669966</v>
      </c>
      <c r="I190" s="32" t="n">
        <f aca="false">Data_Prices!I190/Data_Prices!I189-1</f>
        <v>0.0214641625143734</v>
      </c>
      <c r="J190" s="32" t="n">
        <f aca="false">Data_Prices!J190/Data_Prices!J189-1</f>
        <v>0.0126933023697682</v>
      </c>
      <c r="K190" s="32" t="n">
        <f aca="false">Data_Prices!K190/Data_Prices!K189-1</f>
        <v>0.0072345424330984</v>
      </c>
      <c r="L190" s="32" t="n">
        <f aca="false">Data_Prices!L190/Data_Prices!L189-1</f>
        <v>-0.00666095727471694</v>
      </c>
      <c r="M190" s="32" t="n">
        <f aca="false">Data_Prices!M190/Data_Prices!M189-1</f>
        <v>0.0130054290576129</v>
      </c>
      <c r="N190" s="32" t="n">
        <f aca="false">Data_Prices!N190/Data_Prices!N189-1</f>
        <v>-0.00639678544211708</v>
      </c>
      <c r="O190" s="32" t="n">
        <f aca="false">Data_Prices!O190/Data_Prices!O189-1</f>
        <v>0.0342947590573337</v>
      </c>
      <c r="P190" s="32" t="n">
        <f aca="false">Data_Prices!P190/Data_Prices!P189-1</f>
        <v>0.00945764231286406</v>
      </c>
      <c r="Q190" s="32" t="n">
        <f aca="false">Data_Prices!Q190/Data_Prices!Q189-1</f>
        <v>-0.00578452639190163</v>
      </c>
      <c r="R190" s="32" t="n">
        <f aca="false">Data_Prices!R190/Data_Prices!R189-1</f>
        <v>-0.00703418943235734</v>
      </c>
      <c r="S190" s="32" t="n">
        <f aca="false">Data_Prices!S190/Data_Prices!S189-1</f>
        <v>0.00750133952491527</v>
      </c>
      <c r="T190" s="32" t="n">
        <f aca="false">AVERAGE(D190:S190)</f>
        <v>0.012008528789744</v>
      </c>
      <c r="U190" s="32" t="n">
        <f aca="false">AVERAGE(J190:S190)</f>
        <v>0.00583105562144995</v>
      </c>
      <c r="V190" s="32" t="n">
        <f aca="false">AVERAGE(D190:I190)</f>
        <v>0.0223043174035675</v>
      </c>
      <c r="W190" s="32" t="n">
        <f aca="false">AVERAGE(K190,Q190,R190)</f>
        <v>-0.00186139113038686</v>
      </c>
      <c r="X190" s="32" t="n">
        <f aca="false">AVERAGE(K190,L190,N190,O190,P190,Q190,R190,S190)</f>
        <v>0.00407647809838981</v>
      </c>
      <c r="Y190" s="32" t="n">
        <f aca="false">AVERAGE(J190,L190,M190,N190,O190,P190,Q190,R190,S190)</f>
        <v>0.00567511264237791</v>
      </c>
      <c r="Z190" s="32" t="n">
        <f aca="false">U190-V190</f>
        <v>-0.0164732617821176</v>
      </c>
      <c r="AA190" s="32" t="n">
        <f aca="false">W190-V190</f>
        <v>-0.0241657085339544</v>
      </c>
    </row>
    <row r="191" customFormat="false" ht="15" hidden="false" customHeight="false" outlineLevel="0" collapsed="false">
      <c r="A191" s="28" t="n">
        <f aca="false">Data_Prices!A191</f>
        <v>45079</v>
      </c>
      <c r="B191" s="32" t="n">
        <f aca="false">Data_Prices!B191/Data_Prices!B190-1</f>
        <v>0.00250706548931046</v>
      </c>
      <c r="C191" s="32" t="n">
        <f aca="false">Data_Prices!C191/Data_Prices!C190-1</f>
        <v>0.0032264511892186</v>
      </c>
      <c r="D191" s="32" t="n">
        <f aca="false">Data_Prices!D191/Data_Prices!D190-1</f>
        <v>0.00230075133910912</v>
      </c>
      <c r="E191" s="32" t="n">
        <f aca="false">Data_Prices!E191/Data_Prices!E190-1</f>
        <v>-0.00302156297211931</v>
      </c>
      <c r="F191" s="32" t="n">
        <f aca="false">Data_Prices!F191/Data_Prices!F190-1</f>
        <v>0.044554116114881</v>
      </c>
      <c r="G191" s="32" t="n">
        <f aca="false">Data_Prices!G191/Data_Prices!G190-1</f>
        <v>0.00556881463802705</v>
      </c>
      <c r="H191" s="32" t="n">
        <f aca="false">Data_Prices!H191/Data_Prices!H190-1</f>
        <v>-0.0117384013415317</v>
      </c>
      <c r="I191" s="32" t="n">
        <f aca="false">Data_Prices!I191/Data_Prices!I190-1</f>
        <v>0.00562851782363971</v>
      </c>
      <c r="J191" s="32" t="n">
        <f aca="false">Data_Prices!J191/Data_Prices!J190-1</f>
        <v>0.00534201954397395</v>
      </c>
      <c r="K191" s="32" t="n">
        <f aca="false">Data_Prices!K191/Data_Prices!K190-1</f>
        <v>-0.00234678348433337</v>
      </c>
      <c r="L191" s="32" t="n">
        <f aca="false">Data_Prices!L191/Data_Prices!L190-1</f>
        <v>-0.00440655235175791</v>
      </c>
      <c r="M191" s="32" t="n">
        <f aca="false">Data_Prices!M191/Data_Prices!M190-1</f>
        <v>-0.0205975282966044</v>
      </c>
      <c r="N191" s="32" t="n">
        <f aca="false">Data_Prices!N191/Data_Prices!N190-1</f>
        <v>0.0634500069725283</v>
      </c>
      <c r="O191" s="32" t="n">
        <f aca="false">Data_Prices!O191/Data_Prices!O190-1</f>
        <v>0.0137731678286006</v>
      </c>
      <c r="P191" s="32" t="n">
        <f aca="false">Data_Prices!P191/Data_Prices!P190-1</f>
        <v>-0.00217574708050272</v>
      </c>
      <c r="Q191" s="32" t="n">
        <f aca="false">Data_Prices!Q191/Data_Prices!Q190-1</f>
        <v>0.00960000000000005</v>
      </c>
      <c r="R191" s="32" t="n">
        <f aca="false">Data_Prices!R191/Data_Prices!R190-1</f>
        <v>0.00428336079077418</v>
      </c>
      <c r="S191" s="32" t="n">
        <f aca="false">Data_Prices!S191/Data_Prices!S190-1</f>
        <v>0.00219819180996272</v>
      </c>
      <c r="T191" s="32" t="n">
        <f aca="false">AVERAGE(D191:S191)</f>
        <v>0.00702577320841546</v>
      </c>
      <c r="U191" s="32" t="n">
        <f aca="false">AVERAGE(J191:S191)</f>
        <v>0.00691201357326414</v>
      </c>
      <c r="V191" s="32" t="n">
        <f aca="false">AVERAGE(D191:I191)</f>
        <v>0.00721537260033432</v>
      </c>
      <c r="W191" s="32" t="n">
        <f aca="false">AVERAGE(K191,Q191,R191)</f>
        <v>0.00384552576881362</v>
      </c>
      <c r="X191" s="32" t="n">
        <f aca="false">AVERAGE(K191,L191,N191,O191,P191,Q191,R191,S191)</f>
        <v>0.010546955560659</v>
      </c>
      <c r="Y191" s="32" t="n">
        <f aca="false">AVERAGE(J191,L191,M191,N191,O191,P191,Q191,R191,S191)</f>
        <v>0.00794076880188609</v>
      </c>
      <c r="Z191" s="32" t="n">
        <f aca="false">U191-V191</f>
        <v>-0.000303359027070176</v>
      </c>
      <c r="AA191" s="32" t="n">
        <f aca="false">W191-V191</f>
        <v>-0.0033698468315207</v>
      </c>
    </row>
    <row r="192" customFormat="false" ht="15" hidden="false" customHeight="false" outlineLevel="0" collapsed="false">
      <c r="A192" s="28" t="n">
        <f aca="false">Data_Prices!A192</f>
        <v>45082</v>
      </c>
      <c r="B192" s="32" t="n">
        <f aca="false">Data_Prices!B192/Data_Prices!B191-1</f>
        <v>0.00322378750519303</v>
      </c>
      <c r="C192" s="32" t="n">
        <f aca="false">Data_Prices!C192/Data_Prices!C191-1</f>
        <v>0.00305479659987862</v>
      </c>
      <c r="D192" s="32" t="n">
        <f aca="false">Data_Prices!D192/Data_Prices!D191-1</f>
        <v>-0.00408880599691552</v>
      </c>
      <c r="E192" s="32" t="n">
        <f aca="false">Data_Prices!E192/Data_Prices!E191-1</f>
        <v>-0.0166000826560132</v>
      </c>
      <c r="F192" s="32" t="n">
        <f aca="false">Data_Prices!F192/Data_Prices!F191-1</f>
        <v>0.00826825907211748</v>
      </c>
      <c r="G192" s="32" t="n">
        <f aca="false">Data_Prices!G192/Data_Prices!G191-1</f>
        <v>-0.00896624472573837</v>
      </c>
      <c r="H192" s="32" t="n">
        <f aca="false">Data_Prices!H192/Data_Prices!H191-1</f>
        <v>0.00952111613876339</v>
      </c>
      <c r="I192" s="32" t="n">
        <f aca="false">Data_Prices!I192/Data_Prices!I191-1</f>
        <v>0.0307835820895523</v>
      </c>
      <c r="J192" s="32" t="n">
        <f aca="false">Data_Prices!J192/Data_Prices!J191-1</f>
        <v>0.0393986521513738</v>
      </c>
      <c r="K192" s="32" t="n">
        <f aca="false">Data_Prices!K192/Data_Prices!K191-1</f>
        <v>0.00273722627737216</v>
      </c>
      <c r="L192" s="32" t="n">
        <f aca="false">Data_Prices!L192/Data_Prices!L191-1</f>
        <v>0.00890022130279999</v>
      </c>
      <c r="M192" s="32" t="n">
        <f aca="false">Data_Prices!M192/Data_Prices!M191-1</f>
        <v>0.00575792224763139</v>
      </c>
      <c r="N192" s="32" t="n">
        <f aca="false">Data_Prices!N192/Data_Prices!N191-1</f>
        <v>-0.00118017309205354</v>
      </c>
      <c r="O192" s="32" t="n">
        <f aca="false">Data_Prices!O192/Data_Prices!O191-1</f>
        <v>0.00972827910097274</v>
      </c>
      <c r="P192" s="32" t="n">
        <f aca="false">Data_Prices!P192/Data_Prices!P191-1</f>
        <v>0.00293698825204713</v>
      </c>
      <c r="Q192" s="32" t="n">
        <f aca="false">Data_Prices!Q192/Data_Prices!Q191-1</f>
        <v>-0.0100850021610719</v>
      </c>
      <c r="R192" s="32" t="n">
        <f aca="false">Data_Prices!R192/Data_Prices!R191-1</f>
        <v>0.00590551181102361</v>
      </c>
      <c r="S192" s="32" t="n">
        <f aca="false">Data_Prices!S192/Data_Prices!S191-1</f>
        <v>-0.0087734814447944</v>
      </c>
      <c r="T192" s="32" t="n">
        <f aca="false">AVERAGE(D192:S192)</f>
        <v>0.0046402480229417</v>
      </c>
      <c r="U192" s="32" t="n">
        <f aca="false">AVERAGE(J192:S192)</f>
        <v>0.0055326144445301</v>
      </c>
      <c r="V192" s="32" t="n">
        <f aca="false">AVERAGE(D192:I192)</f>
        <v>0.00315297065362768</v>
      </c>
      <c r="W192" s="32" t="n">
        <f aca="false">AVERAGE(K192,Q192,R192)</f>
        <v>-0.000480754690892038</v>
      </c>
      <c r="X192" s="32" t="n">
        <f aca="false">AVERAGE(K192,L192,N192,O192,P192,Q192,R192,S192)</f>
        <v>0.00127119625578698</v>
      </c>
      <c r="Y192" s="32" t="n">
        <f aca="false">AVERAGE(J192,L192,M192,N192,O192,P192,Q192,R192,S192)</f>
        <v>0.00584321312976988</v>
      </c>
      <c r="Z192" s="32" t="n">
        <f aca="false">U192-V192</f>
        <v>0.00237964379090242</v>
      </c>
      <c r="AA192" s="32" t="n">
        <f aca="false">W192-V192</f>
        <v>-0.00363372534451972</v>
      </c>
    </row>
    <row r="193" customFormat="false" ht="15" hidden="false" customHeight="false" outlineLevel="0" collapsed="false">
      <c r="A193" s="28" t="n">
        <f aca="false">Data_Prices!A193</f>
        <v>45083</v>
      </c>
      <c r="B193" s="32" t="n">
        <f aca="false">Data_Prices!B193/Data_Prices!B192-1</f>
        <v>0.000276973300311845</v>
      </c>
      <c r="C193" s="32" t="n">
        <f aca="false">Data_Prices!C193/Data_Prices!C192-1</f>
        <v>0.00119171474510549</v>
      </c>
      <c r="D193" s="32" t="n">
        <f aca="false">Data_Prices!D193/Data_Prices!D192-1</f>
        <v>0.00500594230561458</v>
      </c>
      <c r="E193" s="32" t="n">
        <f aca="false">Data_Prices!E193/Data_Prices!E192-1</f>
        <v>0.0057435035371578</v>
      </c>
      <c r="F193" s="32" t="n">
        <f aca="false">Data_Prices!F193/Data_Prices!F192-1</f>
        <v>0.0150341685649202</v>
      </c>
      <c r="G193" s="32" t="n">
        <f aca="false">Data_Prices!G193/Data_Prices!G192-1</f>
        <v>-0.0073177221926557</v>
      </c>
      <c r="H193" s="32" t="n">
        <f aca="false">Data_Prices!H193/Data_Prices!H192-1</f>
        <v>0.00037351760201676</v>
      </c>
      <c r="I193" s="32" t="n">
        <f aca="false">Data_Prices!I193/Data_Prices!I192-1</f>
        <v>-0.00434389140271485</v>
      </c>
      <c r="J193" s="32" t="n">
        <f aca="false">Data_Prices!J193/Data_Prices!J192-1</f>
        <v>-0.0191271820448877</v>
      </c>
      <c r="K193" s="32" t="n">
        <f aca="false">Data_Prices!K193/Data_Prices!K192-1</f>
        <v>0.0100517515923566</v>
      </c>
      <c r="L193" s="32" t="n">
        <f aca="false">Data_Prices!L193/Data_Prices!L192-1</f>
        <v>0.00829717228553717</v>
      </c>
      <c r="M193" s="32" t="n">
        <f aca="false">Data_Prices!M193/Data_Prices!M192-1</f>
        <v>0.0068212270088106</v>
      </c>
      <c r="N193" s="32" t="n">
        <f aca="false">Data_Prices!N193/Data_Prices!N192-1</f>
        <v>0.0122314121920266</v>
      </c>
      <c r="O193" s="32" t="n">
        <f aca="false">Data_Prices!O193/Data_Prices!O192-1</f>
        <v>-0.0225913621262459</v>
      </c>
      <c r="P193" s="32" t="n">
        <f aca="false">Data_Prices!P193/Data_Prices!P192-1</f>
        <v>-0.000221847546366116</v>
      </c>
      <c r="Q193" s="32" t="n">
        <f aca="false">Data_Prices!Q193/Data_Prices!Q192-1</f>
        <v>0.0107699024887207</v>
      </c>
      <c r="R193" s="32" t="n">
        <f aca="false">Data_Prices!R193/Data_Prices!R192-1</f>
        <v>0.00679495542509234</v>
      </c>
      <c r="S193" s="32" t="n">
        <f aca="false">Data_Prices!S193/Data_Prices!S192-1</f>
        <v>0.00567472072522213</v>
      </c>
      <c r="T193" s="32" t="n">
        <f aca="false">AVERAGE(D193:S193)</f>
        <v>0.00207476677591283</v>
      </c>
      <c r="U193" s="32" t="n">
        <f aca="false">AVERAGE(J193:S193)</f>
        <v>0.00187007500002664</v>
      </c>
      <c r="V193" s="32" t="n">
        <f aca="false">AVERAGE(D193:I193)</f>
        <v>0.00241591973572314</v>
      </c>
      <c r="W193" s="32" t="n">
        <f aca="false">AVERAGE(K193,Q193,R193)</f>
        <v>0.00920553650205654</v>
      </c>
      <c r="X193" s="32" t="n">
        <f aca="false">AVERAGE(K193,L193,N193,O193,P193,Q193,R193,S193)</f>
        <v>0.00387583812954294</v>
      </c>
      <c r="Y193" s="32" t="n">
        <f aca="false">AVERAGE(J193,L193,M193,N193,O193,P193,Q193,R193,S193)</f>
        <v>0.000960999823101087</v>
      </c>
      <c r="Z193" s="32" t="n">
        <f aca="false">U193-V193</f>
        <v>-0.000545844735696499</v>
      </c>
      <c r="AA193" s="32" t="n">
        <f aca="false">W193-V193</f>
        <v>0.0067896167663334</v>
      </c>
    </row>
    <row r="194" customFormat="false" ht="15" hidden="false" customHeight="false" outlineLevel="0" collapsed="false">
      <c r="A194" s="28" t="n">
        <f aca="false">Data_Prices!A194</f>
        <v>45084</v>
      </c>
      <c r="B194" s="32" t="n">
        <f aca="false">Data_Prices!B194/Data_Prices!B193-1</f>
        <v>0.00684983063605582</v>
      </c>
      <c r="C194" s="32" t="n">
        <f aca="false">Data_Prices!C194/Data_Prices!C193-1</f>
        <v>0.00808015920999594</v>
      </c>
      <c r="D194" s="32" t="n">
        <f aca="false">Data_Prices!D194/Data_Prices!D193-1</f>
        <v>-0.00383430086719694</v>
      </c>
      <c r="E194" s="32" t="n">
        <f aca="false">Data_Prices!E194/Data_Prices!E193-1</f>
        <v>0.0438749216519256</v>
      </c>
      <c r="F194" s="32" t="n">
        <f aca="false">Data_Prices!F194/Data_Prices!F193-1</f>
        <v>0.0207745575788665</v>
      </c>
      <c r="G194" s="32" t="n">
        <f aca="false">Data_Prices!G194/Data_Prices!G193-1</f>
        <v>0.00991824152258403</v>
      </c>
      <c r="H194" s="32" t="n">
        <f aca="false">Data_Prices!H194/Data_Prices!H193-1</f>
        <v>0.0207224866984039</v>
      </c>
      <c r="I194" s="32" t="n">
        <f aca="false">Data_Prices!I194/Data_Prices!I193-1</f>
        <v>0.0423559352844936</v>
      </c>
      <c r="J194" s="32" t="n">
        <f aca="false">Data_Prices!J194/Data_Prices!J193-1</f>
        <v>-0.00373731980779501</v>
      </c>
      <c r="K194" s="32" t="n">
        <f aca="false">Data_Prices!K194/Data_Prices!K193-1</f>
        <v>-0.00478583393156251</v>
      </c>
      <c r="L194" s="32" t="n">
        <f aca="false">Data_Prices!L194/Data_Prices!L193-1</f>
        <v>0.0150863088200521</v>
      </c>
      <c r="M194" s="32" t="n">
        <f aca="false">Data_Prices!M194/Data_Prices!M193-1</f>
        <v>0.025769246279792</v>
      </c>
      <c r="N194" s="32" t="n">
        <f aca="false">Data_Prices!N194/Data_Prices!N193-1</f>
        <v>0.00157800306954003</v>
      </c>
      <c r="O194" s="32" t="n">
        <f aca="false">Data_Prices!O194/Data_Prices!O193-1</f>
        <v>-0.00866757307953781</v>
      </c>
      <c r="P194" s="32" t="n">
        <f aca="false">Data_Prices!P194/Data_Prices!P193-1</f>
        <v>0.000887587094483555</v>
      </c>
      <c r="Q194" s="32" t="n">
        <f aca="false">Data_Prices!Q194/Data_Prices!Q193-1</f>
        <v>0.00547156227501788</v>
      </c>
      <c r="R194" s="32" t="n">
        <f aca="false">Data_Prices!R194/Data_Prices!R193-1</f>
        <v>0.00178176124399343</v>
      </c>
      <c r="S194" s="32" t="n">
        <f aca="false">Data_Prices!S194/Data_Prices!S193-1</f>
        <v>-0.000390375470224802</v>
      </c>
      <c r="T194" s="32" t="n">
        <f aca="false">AVERAGE(D194:S194)</f>
        <v>0.0104253255226772</v>
      </c>
      <c r="U194" s="32" t="n">
        <f aca="false">AVERAGE(J194:S194)</f>
        <v>0.00329933664937589</v>
      </c>
      <c r="V194" s="32" t="n">
        <f aca="false">AVERAGE(D194:I194)</f>
        <v>0.0223019736448461</v>
      </c>
      <c r="W194" s="32" t="n">
        <f aca="false">AVERAGE(K194,Q194,R194)</f>
        <v>0.0008224965291496</v>
      </c>
      <c r="X194" s="32" t="n">
        <f aca="false">AVERAGE(K194,L194,N194,O194,P194,Q194,R194,S194)</f>
        <v>0.00137018000272024</v>
      </c>
      <c r="Y194" s="32" t="n">
        <f aca="false">AVERAGE(J194,L194,M194,N194,O194,P194,Q194,R194,S194)</f>
        <v>0.00419768893614683</v>
      </c>
      <c r="Z194" s="32" t="n">
        <f aca="false">U194-V194</f>
        <v>-0.0190026369954702</v>
      </c>
      <c r="AA194" s="32" t="n">
        <f aca="false">W194-V194</f>
        <v>-0.0214794771156965</v>
      </c>
    </row>
    <row r="195" customFormat="false" ht="15" hidden="false" customHeight="false" outlineLevel="0" collapsed="false">
      <c r="A195" s="28" t="n">
        <f aca="false">Data_Prices!A195</f>
        <v>45085</v>
      </c>
      <c r="B195" s="32" t="n">
        <f aca="false">Data_Prices!B195/Data_Prices!B194-1</f>
        <v>-0.00490484022556403</v>
      </c>
      <c r="C195" s="32" t="n">
        <f aca="false">Data_Prices!C195/Data_Prices!C194-1</f>
        <v>-0.00535088431719222</v>
      </c>
      <c r="D195" s="32" t="n">
        <f aca="false">Data_Prices!D195/Data_Prices!D194-1</f>
        <v>-0.00773409115435808</v>
      </c>
      <c r="E195" s="32" t="n">
        <f aca="false">Data_Prices!E195/Data_Prices!E194-1</f>
        <v>-0.0109413569951298</v>
      </c>
      <c r="F195" s="32" t="n">
        <f aca="false">Data_Prices!F195/Data_Prices!F194-1</f>
        <v>0.010929648241206</v>
      </c>
      <c r="G195" s="32" t="n">
        <f aca="false">Data_Prices!G195/Data_Prices!G194-1</f>
        <v>-0.0126078301260784</v>
      </c>
      <c r="H195" s="32" t="n">
        <f aca="false">Data_Prices!H195/Data_Prices!H194-1</f>
        <v>-0.00320073159579337</v>
      </c>
      <c r="I195" s="32" t="n">
        <f aca="false">Data_Prices!I195/Data_Prices!I194-1</f>
        <v>0.00191838158353685</v>
      </c>
      <c r="J195" s="32" t="n">
        <f aca="false">Data_Prices!J195/Data_Prices!J194-1</f>
        <v>-0.050528249885163</v>
      </c>
      <c r="K195" s="32" t="n">
        <f aca="false">Data_Prices!K195/Data_Prices!K194-1</f>
        <v>-0.0098581389757153</v>
      </c>
      <c r="L195" s="32" t="n">
        <f aca="false">Data_Prices!L195/Data_Prices!L194-1</f>
        <v>-0.0108087961237422</v>
      </c>
      <c r="M195" s="32" t="n">
        <f aca="false">Data_Prices!M195/Data_Prices!M194-1</f>
        <v>-0.0298395974209782</v>
      </c>
      <c r="N195" s="32" t="n">
        <f aca="false">Data_Prices!N195/Data_Prices!N194-1</f>
        <v>0.0127767945784953</v>
      </c>
      <c r="O195" s="32" t="n">
        <f aca="false">Data_Prices!O195/Data_Prices!O194-1</f>
        <v>-0.0229727412995028</v>
      </c>
      <c r="P195" s="32" t="n">
        <f aca="false">Data_Prices!P195/Data_Prices!P194-1</f>
        <v>-0.0022613399547734</v>
      </c>
      <c r="Q195" s="32" t="n">
        <f aca="false">Data_Prices!Q195/Data_Prices!Q194-1</f>
        <v>0.0110267793212087</v>
      </c>
      <c r="R195" s="32" t="n">
        <f aca="false">Data_Prices!R195/Data_Prices!R194-1</f>
        <v>-0.0135280801983401</v>
      </c>
      <c r="S195" s="32" t="n">
        <f aca="false">Data_Prices!S195/Data_Prices!S194-1</f>
        <v>0.00184613199843775</v>
      </c>
      <c r="T195" s="32" t="n">
        <f aca="false">AVERAGE(D195:S195)</f>
        <v>-0.00848645112541812</v>
      </c>
      <c r="U195" s="32" t="n">
        <f aca="false">AVERAGE(J195:S195)</f>
        <v>-0.0114147237960073</v>
      </c>
      <c r="V195" s="32" t="n">
        <f aca="false">AVERAGE(D195:I195)</f>
        <v>-0.00360599667443612</v>
      </c>
      <c r="W195" s="32" t="n">
        <f aca="false">AVERAGE(K195,Q195,R195)</f>
        <v>-0.00411981328428224</v>
      </c>
      <c r="X195" s="32" t="n">
        <f aca="false">AVERAGE(K195,L195,N195,O195,P195,Q195,R195,S195)</f>
        <v>-0.0042224238317415</v>
      </c>
      <c r="Y195" s="32" t="n">
        <f aca="false">AVERAGE(J195,L195,M195,N195,O195,P195,Q195,R195,S195)</f>
        <v>-0.0115876776649287</v>
      </c>
      <c r="Z195" s="32" t="n">
        <f aca="false">U195-V195</f>
        <v>-0.0078087271215712</v>
      </c>
      <c r="AA195" s="32" t="n">
        <f aca="false">W195-V195</f>
        <v>-0.000513816609846118</v>
      </c>
    </row>
    <row r="196" customFormat="false" ht="15" hidden="false" customHeight="false" outlineLevel="0" collapsed="false">
      <c r="A196" s="28" t="n">
        <f aca="false">Data_Prices!A196</f>
        <v>45086</v>
      </c>
      <c r="B196" s="32" t="n">
        <f aca="false">Data_Prices!B196/Data_Prices!B195-1</f>
        <v>-0.00381817645180582</v>
      </c>
      <c r="C196" s="32" t="n">
        <f aca="false">Data_Prices!C196/Data_Prices!C195-1</f>
        <v>-0.00274165334572785</v>
      </c>
      <c r="D196" s="32" t="n">
        <f aca="false">Data_Prices!D196/Data_Prices!D195-1</f>
        <v>-0.0182714617169374</v>
      </c>
      <c r="E196" s="32" t="n">
        <f aca="false">Data_Prices!E196/Data_Prices!E195-1</f>
        <v>0.000741989881956062</v>
      </c>
      <c r="F196" s="32" t="n">
        <f aca="false">Data_Prices!F196/Data_Prices!F195-1</f>
        <v>0.0139182303964209</v>
      </c>
      <c r="G196" s="32" t="n">
        <f aca="false">Data_Prices!G196/Data_Prices!G195-1</f>
        <v>-0.021505376344086</v>
      </c>
      <c r="H196" s="32" t="n">
        <f aca="false">Data_Prices!H196/Data_Prices!H195-1</f>
        <v>-0.018256880733945</v>
      </c>
      <c r="I196" s="32" t="n">
        <f aca="false">Data_Prices!I196/Data_Prices!I195-1</f>
        <v>0.00557006092254131</v>
      </c>
      <c r="J196" s="32" t="n">
        <f aca="false">Data_Prices!J196/Data_Prices!J195-1</f>
        <v>-0.0136805891522873</v>
      </c>
      <c r="K196" s="32" t="n">
        <f aca="false">Data_Prices!K196/Data_Prices!K195-1</f>
        <v>0.00385681227323387</v>
      </c>
      <c r="L196" s="32" t="n">
        <f aca="false">Data_Prices!L196/Data_Prices!L195-1</f>
        <v>0.00386209495101753</v>
      </c>
      <c r="M196" s="32" t="n">
        <f aca="false">Data_Prices!M196/Data_Prices!M195-1</f>
        <v>0.00085099485350737</v>
      </c>
      <c r="N196" s="32" t="n">
        <f aca="false">Data_Prices!N196/Data_Prices!N195-1</f>
        <v>0.0161530921024591</v>
      </c>
      <c r="O196" s="32" t="n">
        <f aca="false">Data_Prices!O196/Data_Prices!O195-1</f>
        <v>-0.00543955079838576</v>
      </c>
      <c r="P196" s="32" t="n">
        <f aca="false">Data_Prices!P196/Data_Prices!P195-1</f>
        <v>-0.00737712203359697</v>
      </c>
      <c r="Q196" s="32" t="n">
        <f aca="false">Data_Prices!Q196/Data_Prices!Q195-1</f>
        <v>-0.021671388101983</v>
      </c>
      <c r="R196" s="32" t="n">
        <f aca="false">Data_Prices!R196/Data_Prices!R195-1</f>
        <v>0.0116374364858221</v>
      </c>
      <c r="S196" s="32" t="n">
        <f aca="false">Data_Prices!S196/Data_Prices!S195-1</f>
        <v>0.00442963960452181</v>
      </c>
      <c r="T196" s="32" t="n">
        <f aca="false">AVERAGE(D196:S196)</f>
        <v>-0.00282387608810884</v>
      </c>
      <c r="U196" s="32" t="n">
        <f aca="false">AVERAGE(J196:S196)</f>
        <v>-0.000737857981569134</v>
      </c>
      <c r="V196" s="32" t="n">
        <f aca="false">AVERAGE(D196:I196)</f>
        <v>-0.00630057293234169</v>
      </c>
      <c r="W196" s="32" t="n">
        <f aca="false">AVERAGE(K196,Q196,R196)</f>
        <v>-0.00205904644764236</v>
      </c>
      <c r="X196" s="32" t="n">
        <f aca="false">AVERAGE(K196,L196,N196,O196,P196,Q196,R196,S196)</f>
        <v>0.000681376810386075</v>
      </c>
      <c r="Y196" s="32" t="n">
        <f aca="false">AVERAGE(J196,L196,M196,N196,O196,P196,Q196,R196,S196)</f>
        <v>-0.00124837689876947</v>
      </c>
      <c r="Z196" s="32" t="n">
        <f aca="false">U196-V196</f>
        <v>0.00556271495077256</v>
      </c>
      <c r="AA196" s="32" t="n">
        <f aca="false">W196-V196</f>
        <v>0.00424152648469933</v>
      </c>
    </row>
    <row r="197" customFormat="false" ht="15" hidden="false" customHeight="false" outlineLevel="0" collapsed="false">
      <c r="A197" s="28" t="n">
        <f aca="false">Data_Prices!A197</f>
        <v>45089</v>
      </c>
      <c r="B197" s="32" t="n">
        <f aca="false">Data_Prices!B197/Data_Prices!B196-1</f>
        <v>0.0020524257409742</v>
      </c>
      <c r="C197" s="32" t="n">
        <f aca="false">Data_Prices!C197/Data_Prices!C196-1</f>
        <v>0.00325620063738397</v>
      </c>
      <c r="D197" s="32" t="n">
        <f aca="false">Data_Prices!D197/Data_Prices!D196-1</f>
        <v>-0.0125923190546529</v>
      </c>
      <c r="E197" s="32" t="n">
        <f aca="false">Data_Prices!E197/Data_Prices!E196-1</f>
        <v>0.00337018064168237</v>
      </c>
      <c r="F197" s="32" t="n">
        <f aca="false">Data_Prices!F197/Data_Prices!F196-1</f>
        <v>-0.0170976835396494</v>
      </c>
      <c r="G197" s="32" t="n">
        <f aca="false">Data_Prices!G197/Data_Prices!G196-1</f>
        <v>0.0173076923076922</v>
      </c>
      <c r="H197" s="32" t="n">
        <f aca="false">Data_Prices!H197/Data_Prices!H196-1</f>
        <v>0.0450425193907111</v>
      </c>
      <c r="I197" s="32" t="n">
        <f aca="false">Data_Prices!I197/Data_Prices!I196-1</f>
        <v>0.0566037735849057</v>
      </c>
      <c r="J197" s="32" t="n">
        <f aca="false">Data_Prices!J197/Data_Prices!J196-1</f>
        <v>0.0736844973703572</v>
      </c>
      <c r="K197" s="32" t="n">
        <f aca="false">Data_Prices!K197/Data_Prices!K196-1</f>
        <v>0.00860891342705905</v>
      </c>
      <c r="L197" s="32" t="n">
        <f aca="false">Data_Prices!L197/Data_Prices!L196-1</f>
        <v>0.00694379281223601</v>
      </c>
      <c r="M197" s="32" t="n">
        <f aca="false">Data_Prices!M197/Data_Prices!M196-1</f>
        <v>0.0117013523362215</v>
      </c>
      <c r="N197" s="32" t="n">
        <f aca="false">Data_Prices!N197/Data_Prices!N196-1</f>
        <v>-0.00977267007801352</v>
      </c>
      <c r="O197" s="32" t="n">
        <f aca="false">Data_Prices!O197/Data_Prices!O196-1</f>
        <v>0.0236414961185605</v>
      </c>
      <c r="P197" s="32" t="n">
        <f aca="false">Data_Prices!P197/Data_Prices!P196-1</f>
        <v>0.0145952722063036</v>
      </c>
      <c r="Q197" s="32" t="n">
        <f aca="false">Data_Prices!Q197/Data_Prices!Q196-1</f>
        <v>-0.0078181554944261</v>
      </c>
      <c r="R197" s="32" t="n">
        <f aca="false">Data_Prices!R197/Data_Prices!R196-1</f>
        <v>-0.00140419096997191</v>
      </c>
      <c r="S197" s="32" t="n">
        <f aca="false">Data_Prices!S197/Data_Prices!S196-1</f>
        <v>0.0248024273214791</v>
      </c>
      <c r="T197" s="32" t="n">
        <f aca="false">AVERAGE(D197:S197)</f>
        <v>0.0148510561487809</v>
      </c>
      <c r="U197" s="32" t="n">
        <f aca="false">AVERAGE(J197:S197)</f>
        <v>0.0144982735049805</v>
      </c>
      <c r="V197" s="32" t="n">
        <f aca="false">AVERAGE(D197:I197)</f>
        <v>0.0154390272217815</v>
      </c>
      <c r="W197" s="32" t="n">
        <f aca="false">AVERAGE(K197,Q197,R197)</f>
        <v>-0.000204477679112987</v>
      </c>
      <c r="X197" s="32" t="n">
        <f aca="false">AVERAGE(K197,L197,N197,O197,P197,Q197,R197,S197)</f>
        <v>0.00744961066790334</v>
      </c>
      <c r="Y197" s="32" t="n">
        <f aca="false">AVERAGE(J197,L197,M197,N197,O197,P197,Q197,R197,S197)</f>
        <v>0.0151526468469718</v>
      </c>
      <c r="Z197" s="32" t="n">
        <f aca="false">U197-V197</f>
        <v>-0.000940753716800991</v>
      </c>
      <c r="AA197" s="32" t="n">
        <f aca="false">W197-V197</f>
        <v>-0.0156435049008945</v>
      </c>
    </row>
    <row r="198" customFormat="false" ht="15" hidden="false" customHeight="false" outlineLevel="0" collapsed="false">
      <c r="A198" s="28" t="n">
        <f aca="false">Data_Prices!A198</f>
        <v>45090</v>
      </c>
      <c r="B198" s="32" t="n">
        <f aca="false">Data_Prices!B198/Data_Prices!B197-1</f>
        <v>0.00616348143966894</v>
      </c>
      <c r="C198" s="32" t="n">
        <f aca="false">Data_Prices!C198/Data_Prices!C197-1</f>
        <v>0.00747688193306595</v>
      </c>
      <c r="D198" s="32" t="n">
        <f aca="false">Data_Prices!D198/Data_Prices!D197-1</f>
        <v>0.00968622611167214</v>
      </c>
      <c r="E198" s="32" t="n">
        <f aca="false">Data_Prices!E198/Data_Prices!E197-1</f>
        <v>0.00268708853956734</v>
      </c>
      <c r="F198" s="32" t="n">
        <f aca="false">Data_Prices!F198/Data_Prices!F197-1</f>
        <v>0.0117214290167715</v>
      </c>
      <c r="G198" s="32" t="n">
        <f aca="false">Data_Prices!G198/Data_Prices!G197-1</f>
        <v>0.00850661625708882</v>
      </c>
      <c r="H198" s="32" t="n">
        <f aca="false">Data_Prices!H198/Data_Prices!H197-1</f>
        <v>0.0294196548332291</v>
      </c>
      <c r="I198" s="32" t="n">
        <f aca="false">Data_Prices!I198/Data_Prices!I197-1</f>
        <v>0.00229357798165131</v>
      </c>
      <c r="J198" s="32" t="n">
        <f aca="false">Data_Prices!J198/Data_Prices!J197-1</f>
        <v>-0.00723331895129564</v>
      </c>
      <c r="K198" s="32" t="n">
        <f aca="false">Data_Prices!K198/Data_Prices!K197-1</f>
        <v>0.00972051748705582</v>
      </c>
      <c r="L198" s="32" t="n">
        <f aca="false">Data_Prices!L198/Data_Prices!L197-1</f>
        <v>0.0267449445531638</v>
      </c>
      <c r="M198" s="32" t="n">
        <f aca="false">Data_Prices!M198/Data_Prices!M197-1</f>
        <v>-0.00924480729979582</v>
      </c>
      <c r="N198" s="32" t="n">
        <f aca="false">Data_Prices!N198/Data_Prices!N197-1</f>
        <v>0.0319793299165572</v>
      </c>
      <c r="O198" s="32" t="n">
        <f aca="false">Data_Prices!O198/Data_Prices!O197-1</f>
        <v>0.0244743192002757</v>
      </c>
      <c r="P198" s="32" t="n">
        <f aca="false">Data_Prices!P198/Data_Prices!P197-1</f>
        <v>0.0205630570999913</v>
      </c>
      <c r="Q198" s="32" t="n">
        <f aca="false">Data_Prices!Q198/Data_Prices!Q197-1</f>
        <v>0.0147380709178462</v>
      </c>
      <c r="R198" s="32" t="n">
        <f aca="false">Data_Prices!R198/Data_Prices!R197-1</f>
        <v>0.0018929150892375</v>
      </c>
      <c r="S198" s="32" t="n">
        <f aca="false">Data_Prices!S198/Data_Prices!S197-1</f>
        <v>-0.0061624264123662</v>
      </c>
      <c r="T198" s="32" t="n">
        <f aca="false">AVERAGE(D198:S198)</f>
        <v>0.0107366996462906</v>
      </c>
      <c r="U198" s="32" t="n">
        <f aca="false">AVERAGE(J198:S198)</f>
        <v>0.010747260160067</v>
      </c>
      <c r="V198" s="32" t="n">
        <f aca="false">AVERAGE(D198:I198)</f>
        <v>0.0107190987899967</v>
      </c>
      <c r="W198" s="32" t="n">
        <f aca="false">AVERAGE(K198,Q198,R198)</f>
        <v>0.0087838344980465</v>
      </c>
      <c r="X198" s="32" t="n">
        <f aca="false">AVERAGE(K198,L198,N198,O198,P198,Q198,R198,S198)</f>
        <v>0.0154938409814702</v>
      </c>
      <c r="Y198" s="32" t="n">
        <f aca="false">AVERAGE(J198,L198,M198,N198,O198,P198,Q198,R198,S198)</f>
        <v>0.0108613426792904</v>
      </c>
      <c r="Z198" s="32" t="n">
        <f aca="false">U198-V198</f>
        <v>2.81613700702753E-005</v>
      </c>
      <c r="AA198" s="32" t="n">
        <f aca="false">W198-V198</f>
        <v>-0.0019352642919502</v>
      </c>
    </row>
    <row r="199" customFormat="false" ht="15" hidden="false" customHeight="false" outlineLevel="0" collapsed="false">
      <c r="A199" s="28" t="n">
        <f aca="false">Data_Prices!A199</f>
        <v>45091</v>
      </c>
      <c r="B199" s="32" t="n">
        <f aca="false">Data_Prices!B199/Data_Prices!B198-1</f>
        <v>0.00212383422872753</v>
      </c>
      <c r="C199" s="32" t="n">
        <f aca="false">Data_Prices!C199/Data_Prices!C198-1</f>
        <v>0.00223389539013708</v>
      </c>
      <c r="D199" s="32" t="n">
        <f aca="false">Data_Prices!D199/Data_Prices!D198-1</f>
        <v>0.000370397807244904</v>
      </c>
      <c r="E199" s="32" t="n">
        <f aca="false">Data_Prices!E199/Data_Prices!E198-1</f>
        <v>0.00341685649202739</v>
      </c>
      <c r="F199" s="32" t="n">
        <f aca="false">Data_Prices!F199/Data_Prices!F198-1</f>
        <v>-0.00517655758920321</v>
      </c>
      <c r="G199" s="32" t="n">
        <f aca="false">Data_Prices!G199/Data_Prices!G198-1</f>
        <v>-0.00160664078189843</v>
      </c>
      <c r="H199" s="32" t="n">
        <f aca="false">Data_Prices!H199/Data_Prices!H198-1</f>
        <v>-0.010858234885337</v>
      </c>
      <c r="I199" s="32" t="n">
        <f aca="false">Data_Prices!I199/Data_Prices!I198-1</f>
        <v>-0.0248447204968943</v>
      </c>
      <c r="J199" s="32" t="n">
        <f aca="false">Data_Prices!J199/Data_Prices!J198-1</f>
        <v>-0.00516412721137127</v>
      </c>
      <c r="K199" s="32" t="n">
        <f aca="false">Data_Prices!K199/Data_Prices!K198-1</f>
        <v>-0.00975268967444465</v>
      </c>
      <c r="L199" s="32" t="n">
        <f aca="false">Data_Prices!L199/Data_Prices!L198-1</f>
        <v>-0.00226901434017068</v>
      </c>
      <c r="M199" s="32" t="n">
        <f aca="false">Data_Prices!M199/Data_Prices!M198-1</f>
        <v>-0.0161173048957829</v>
      </c>
      <c r="N199" s="32" t="n">
        <f aca="false">Data_Prices!N199/Data_Prices!N198-1</f>
        <v>-0.0112461008044655</v>
      </c>
      <c r="O199" s="32" t="n">
        <f aca="false">Data_Prices!O199/Data_Prices!O198-1</f>
        <v>-0.0074024226110363</v>
      </c>
      <c r="P199" s="32" t="n">
        <f aca="false">Data_Prices!P199/Data_Prices!P198-1</f>
        <v>-0.00220511933587009</v>
      </c>
      <c r="Q199" s="32" t="n">
        <f aca="false">Data_Prices!Q199/Data_Prices!Q198-1</f>
        <v>-0.00589588725913148</v>
      </c>
      <c r="R199" s="32" t="n">
        <f aca="false">Data_Prices!R199/Data_Prices!R198-1</f>
        <v>-0.00507422402159252</v>
      </c>
      <c r="S199" s="32" t="n">
        <f aca="false">Data_Prices!S199/Data_Prices!S198-1</f>
        <v>-0.0246639878065679</v>
      </c>
      <c r="T199" s="32" t="n">
        <f aca="false">AVERAGE(D199:S199)</f>
        <v>-0.00803061108840587</v>
      </c>
      <c r="U199" s="32" t="n">
        <f aca="false">AVERAGE(J199:S199)</f>
        <v>-0.00897908779604333</v>
      </c>
      <c r="V199" s="32" t="n">
        <f aca="false">AVERAGE(D199:I199)</f>
        <v>-0.00644981657567678</v>
      </c>
      <c r="W199" s="32" t="n">
        <f aca="false">AVERAGE(K199,Q199,R199)</f>
        <v>-0.00690760031838955</v>
      </c>
      <c r="X199" s="32" t="n">
        <f aca="false">AVERAGE(K199,L199,N199,O199,P199,Q199,R199,S199)</f>
        <v>-0.00856368073165989</v>
      </c>
      <c r="Y199" s="32" t="n">
        <f aca="false">AVERAGE(J199,L199,M199,N199,O199,P199,Q199,R199,S199)</f>
        <v>-0.00889313203177652</v>
      </c>
      <c r="Z199" s="32" t="n">
        <f aca="false">U199-V199</f>
        <v>-0.00252927122036655</v>
      </c>
      <c r="AA199" s="32" t="n">
        <f aca="false">W199-V199</f>
        <v>-0.00045778374271277</v>
      </c>
    </row>
    <row r="200" customFormat="false" ht="15" hidden="false" customHeight="false" outlineLevel="0" collapsed="false">
      <c r="A200" s="28" t="n">
        <f aca="false">Data_Prices!A200</f>
        <v>45092</v>
      </c>
      <c r="B200" s="32" t="n">
        <f aca="false">Data_Prices!B200/Data_Prices!B199-1</f>
        <v>-0.00361486252325949</v>
      </c>
      <c r="C200" s="32" t="n">
        <f aca="false">Data_Prices!C200/Data_Prices!C199-1</f>
        <v>-0.00160407360086545</v>
      </c>
      <c r="D200" s="32" t="n">
        <f aca="false">Data_Prices!D200/Data_Prices!D199-1</f>
        <v>-0.00733116113744081</v>
      </c>
      <c r="E200" s="32" t="n">
        <f aca="false">Data_Prices!E200/Data_Prices!E199-1</f>
        <v>-0.0210322494491554</v>
      </c>
      <c r="F200" s="32" t="n">
        <f aca="false">Data_Prices!F200/Data_Prices!F199-1</f>
        <v>0.02155733135105</v>
      </c>
      <c r="G200" s="32" t="n">
        <f aca="false">Data_Prices!G200/Data_Prices!G199-1</f>
        <v>0.00965535738232526</v>
      </c>
      <c r="H200" s="32" t="n">
        <f aca="false">Data_Prices!H200/Data_Prices!H199-1</f>
        <v>-0.0143145692456309</v>
      </c>
      <c r="I200" s="32" t="n">
        <f aca="false">Data_Prices!I200/Data_Prices!I199-1</f>
        <v>-0.0175997318136104</v>
      </c>
      <c r="J200" s="32" t="n">
        <f aca="false">Data_Prices!J200/Data_Prices!J199-1</f>
        <v>-0.0127460554042247</v>
      </c>
      <c r="K200" s="32" t="n">
        <f aca="false">Data_Prices!K200/Data_Prices!K199-1</f>
        <v>0.00419065357263793</v>
      </c>
      <c r="L200" s="32" t="n">
        <f aca="false">Data_Prices!L200/Data_Prices!L199-1</f>
        <v>0.0123715091421814</v>
      </c>
      <c r="M200" s="32" t="n">
        <f aca="false">Data_Prices!M200/Data_Prices!M199-1</f>
        <v>-0.0233197848667733</v>
      </c>
      <c r="N200" s="32" t="n">
        <f aca="false">Data_Prices!N200/Data_Prices!N199-1</f>
        <v>0.00554171855541719</v>
      </c>
      <c r="O200" s="32" t="n">
        <f aca="false">Data_Prices!O200/Data_Prices!O199-1</f>
        <v>-0.00305084745762707</v>
      </c>
      <c r="P200" s="32" t="n">
        <f aca="false">Data_Prices!P200/Data_Prices!P199-1</f>
        <v>0.00173332755557487</v>
      </c>
      <c r="Q200" s="32" t="n">
        <f aca="false">Data_Prices!Q200/Data_Prices!Q199-1</f>
        <v>-0.0176479097352813</v>
      </c>
      <c r="R200" s="32" t="n">
        <f aca="false">Data_Prices!R200/Data_Prices!R199-1</f>
        <v>-0.00960338560034713</v>
      </c>
      <c r="S200" s="32" t="n">
        <f aca="false">Data_Prices!S200/Data_Prices!S199-1</f>
        <v>0.0045461002983378</v>
      </c>
      <c r="T200" s="32" t="n">
        <f aca="false">AVERAGE(D200:S200)</f>
        <v>-0.00419060605328541</v>
      </c>
      <c r="U200" s="32" t="n">
        <f aca="false">AVERAGE(J200:S200)</f>
        <v>-0.00379846739401043</v>
      </c>
      <c r="V200" s="32" t="n">
        <f aca="false">AVERAGE(D200:I200)</f>
        <v>-0.00484417048541038</v>
      </c>
      <c r="W200" s="32" t="n">
        <f aca="false">AVERAGE(K200,Q200,R200)</f>
        <v>-0.0076868805876635</v>
      </c>
      <c r="X200" s="32" t="n">
        <f aca="false">AVERAGE(K200,L200,N200,O200,P200,Q200,R200,S200)</f>
        <v>-0.000239854208638285</v>
      </c>
      <c r="Y200" s="32" t="n">
        <f aca="false">AVERAGE(J200,L200,M200,N200,O200,P200,Q200,R200,S200)</f>
        <v>-0.0046861475014158</v>
      </c>
      <c r="Z200" s="32" t="n">
        <f aca="false">U200-V200</f>
        <v>0.00104570309139995</v>
      </c>
      <c r="AA200" s="32" t="n">
        <f aca="false">W200-V200</f>
        <v>-0.00284271010225312</v>
      </c>
    </row>
    <row r="201" customFormat="false" ht="15" hidden="false" customHeight="false" outlineLevel="0" collapsed="false">
      <c r="A201" s="28" t="n">
        <f aca="false">Data_Prices!A201</f>
        <v>45093</v>
      </c>
      <c r="B201" s="32" t="n">
        <f aca="false">Data_Prices!B201/Data_Prices!B200-1</f>
        <v>0.00737902729544482</v>
      </c>
      <c r="C201" s="32" t="n">
        <f aca="false">Data_Prices!C201/Data_Prices!C200-1</f>
        <v>0.00767206887425465</v>
      </c>
      <c r="D201" s="32" t="n">
        <f aca="false">Data_Prices!D201/Data_Prices!D200-1</f>
        <v>0.00988437150317045</v>
      </c>
      <c r="E201" s="32" t="n">
        <f aca="false">Data_Prices!E201/Data_Prices!E200-1</f>
        <v>0.0225753648888283</v>
      </c>
      <c r="F201" s="32" t="n">
        <f aca="false">Data_Prices!F201/Data_Prices!F200-1</f>
        <v>0.00448729610090348</v>
      </c>
      <c r="G201" s="32" t="n">
        <f aca="false">Data_Prices!G201/Data_Prices!G200-1</f>
        <v>0.0264311329525833</v>
      </c>
      <c r="H201" s="32" t="n">
        <f aca="false">Data_Prices!H201/Data_Prices!H200-1</f>
        <v>0.0155024946543121</v>
      </c>
      <c r="I201" s="32" t="n">
        <f aca="false">Data_Prices!I201/Data_Prices!I200-1</f>
        <v>-0.00272990957174546</v>
      </c>
      <c r="J201" s="32" t="n">
        <f aca="false">Data_Prices!J201/Data_Prices!J200-1</f>
        <v>-0.00562236451663289</v>
      </c>
      <c r="K201" s="32" t="n">
        <f aca="false">Data_Prices!K201/Data_Prices!K200-1</f>
        <v>0.0107490620916411</v>
      </c>
      <c r="L201" s="32" t="n">
        <f aca="false">Data_Prices!L201/Data_Prices!L200-1</f>
        <v>0.0123551082756761</v>
      </c>
      <c r="M201" s="32" t="n">
        <f aca="false">Data_Prices!M201/Data_Prices!M200-1</f>
        <v>-0.0102148051620498</v>
      </c>
      <c r="N201" s="32" t="n">
        <f aca="false">Data_Prices!N201/Data_Prices!N200-1</f>
        <v>0.0278655025078953</v>
      </c>
      <c r="O201" s="32" t="n">
        <f aca="false">Data_Prices!O201/Data_Prices!O200-1</f>
        <v>0.0370622237334239</v>
      </c>
      <c r="P201" s="32" t="n">
        <f aca="false">Data_Prices!P201/Data_Prices!P200-1</f>
        <v>0.0103819699788035</v>
      </c>
      <c r="Q201" s="32" t="n">
        <f aca="false">Data_Prices!Q201/Data_Prices!Q200-1</f>
        <v>0.0160506552790458</v>
      </c>
      <c r="R201" s="32" t="n">
        <f aca="false">Data_Prices!R201/Data_Prices!R200-1</f>
        <v>0.000219130053686678</v>
      </c>
      <c r="S201" s="32" t="n">
        <f aca="false">Data_Prices!S201/Data_Prices!S200-1</f>
        <v>-0.00898034224296407</v>
      </c>
      <c r="T201" s="32" t="n">
        <f aca="false">AVERAGE(D201:S201)</f>
        <v>0.0103760556579111</v>
      </c>
      <c r="U201" s="32" t="n">
        <f aca="false">AVERAGE(J201:S201)</f>
        <v>0.00898661399985257</v>
      </c>
      <c r="V201" s="32" t="n">
        <f aca="false">AVERAGE(D201:I201)</f>
        <v>0.0126917917546753</v>
      </c>
      <c r="W201" s="32" t="n">
        <f aca="false">AVERAGE(K201,Q201,R201)</f>
        <v>0.00900628247479118</v>
      </c>
      <c r="X201" s="32" t="n">
        <f aca="false">AVERAGE(K201,L201,N201,O201,P201,Q201,R201,S201)</f>
        <v>0.013212913709651</v>
      </c>
      <c r="Y201" s="32" t="n">
        <f aca="false">AVERAGE(J201,L201,M201,N201,O201,P201,Q201,R201,S201)</f>
        <v>0.00879078643409829</v>
      </c>
      <c r="Z201" s="32" t="n">
        <f aca="false">U201-V201</f>
        <v>-0.00370517775482278</v>
      </c>
      <c r="AA201" s="32" t="n">
        <f aca="false">W201-V201</f>
        <v>-0.00368550927988417</v>
      </c>
    </row>
    <row r="202" customFormat="false" ht="15" hidden="false" customHeight="false" outlineLevel="0" collapsed="false">
      <c r="A202" s="28" t="n">
        <f aca="false">Data_Prices!A202</f>
        <v>45096</v>
      </c>
      <c r="B202" s="32" t="n">
        <f aca="false">Data_Prices!B202/Data_Prices!B201-1</f>
        <v>-0.00374747689365762</v>
      </c>
      <c r="C202" s="32" t="n">
        <f aca="false">Data_Prices!C202/Data_Prices!C201-1</f>
        <v>-0.00242870694529851</v>
      </c>
      <c r="D202" s="32" t="n">
        <f aca="false">Data_Prices!D202/Data_Prices!D201-1</f>
        <v>0.0132594644506001</v>
      </c>
      <c r="E202" s="32" t="n">
        <f aca="false">Data_Prices!E202/Data_Prices!E201-1</f>
        <v>-0.00593610351497353</v>
      </c>
      <c r="F202" s="32" t="n">
        <f aca="false">Data_Prices!F202/Data_Prices!F201-1</f>
        <v>0.000362209477814623</v>
      </c>
      <c r="G202" s="32" t="n">
        <f aca="false">Data_Prices!G202/Data_Prices!G201-1</f>
        <v>-0.00478778467908891</v>
      </c>
      <c r="H202" s="32" t="n">
        <f aca="false">Data_Prices!H202/Data_Prices!H201-1</f>
        <v>0.000877346902965481</v>
      </c>
      <c r="I202" s="32" t="n">
        <f aca="false">Data_Prices!I202/Data_Prices!I201-1</f>
        <v>-0.0200171086398632</v>
      </c>
      <c r="J202" s="32" t="n">
        <f aca="false">Data_Prices!J202/Data_Prices!J201-1</f>
        <v>0.00298413695618027</v>
      </c>
      <c r="K202" s="32" t="n">
        <f aca="false">Data_Prices!K202/Data_Prices!K201-1</f>
        <v>0.02541218339033</v>
      </c>
      <c r="L202" s="32" t="n">
        <f aca="false">Data_Prices!L202/Data_Prices!L201-1</f>
        <v>0.00497048772910835</v>
      </c>
      <c r="M202" s="32" t="n">
        <f aca="false">Data_Prices!M202/Data_Prices!M201-1</f>
        <v>0.0809904017667547</v>
      </c>
      <c r="N202" s="32" t="n">
        <f aca="false">Data_Prices!N202/Data_Prices!N201-1</f>
        <v>0.00526136112617226</v>
      </c>
      <c r="O202" s="32" t="n">
        <f aca="false">Data_Prices!O202/Data_Prices!O201-1</f>
        <v>0.0368852459016393</v>
      </c>
      <c r="P202" s="32" t="n">
        <f aca="false">Data_Prices!P202/Data_Prices!P201-1</f>
        <v>0.0108318705313184</v>
      </c>
      <c r="Q202" s="32" t="n">
        <f aca="false">Data_Prices!Q202/Data_Prices!Q201-1</f>
        <v>-0.0114492753623188</v>
      </c>
      <c r="R202" s="32" t="n">
        <f aca="false">Data_Prices!R202/Data_Prices!R201-1</f>
        <v>-0.00816080622193005</v>
      </c>
      <c r="S202" s="32" t="n">
        <f aca="false">Data_Prices!S202/Data_Prices!S201-1</f>
        <v>0.0487691758829825</v>
      </c>
      <c r="T202" s="32" t="n">
        <f aca="false">AVERAGE(D202:S202)</f>
        <v>0.0112658003561057</v>
      </c>
      <c r="U202" s="32" t="n">
        <f aca="false">AVERAGE(J202:S202)</f>
        <v>0.0196494781700237</v>
      </c>
      <c r="V202" s="32" t="n">
        <f aca="false">AVERAGE(D202:I202)</f>
        <v>-0.00270699600042423</v>
      </c>
      <c r="W202" s="32" t="n">
        <f aca="false">AVERAGE(K202,Q202,R202)</f>
        <v>0.0019340339353604</v>
      </c>
      <c r="X202" s="32" t="n">
        <f aca="false">AVERAGE(K202,L202,N202,O202,P202,Q202,R202,S202)</f>
        <v>0.0140650303721628</v>
      </c>
      <c r="Y202" s="32" t="n">
        <f aca="false">AVERAGE(J202,L202,M202,N202,O202,P202,Q202,R202,S202)</f>
        <v>0.0190091775899897</v>
      </c>
      <c r="Z202" s="32" t="n">
        <f aca="false">U202-V202</f>
        <v>0.0223564741704479</v>
      </c>
      <c r="AA202" s="32" t="n">
        <f aca="false">W202-V202</f>
        <v>0.00464102993578464</v>
      </c>
    </row>
    <row r="203" customFormat="false" ht="15" hidden="false" customHeight="false" outlineLevel="0" collapsed="false">
      <c r="A203" s="28" t="n">
        <f aca="false">Data_Prices!A203</f>
        <v>45097</v>
      </c>
      <c r="B203" s="32" t="n">
        <f aca="false">Data_Prices!B203/Data_Prices!B202-1</f>
        <v>0.00326571743146653</v>
      </c>
      <c r="C203" s="32" t="n">
        <f aca="false">Data_Prices!C203/Data_Prices!C202-1</f>
        <v>0.00358068782659071</v>
      </c>
      <c r="D203" s="32" t="n">
        <f aca="false">Data_Prices!D203/Data_Prices!D202-1</f>
        <v>-0.00546766785740327</v>
      </c>
      <c r="E203" s="32" t="n">
        <f aca="false">Data_Prices!E203/Data_Prices!E202-1</f>
        <v>0.00805152979066026</v>
      </c>
      <c r="F203" s="32" t="n">
        <f aca="false">Data_Prices!F203/Data_Prices!F202-1</f>
        <v>-0.0213022750588378</v>
      </c>
      <c r="G203" s="32" t="n">
        <f aca="false">Data_Prices!G203/Data_Prices!G202-1</f>
        <v>0.0156026524509167</v>
      </c>
      <c r="H203" s="32" t="n">
        <f aca="false">Data_Prices!H203/Data_Prices!H202-1</f>
        <v>0.0323457223001404</v>
      </c>
      <c r="I203" s="32" t="n">
        <f aca="false">Data_Prices!I203/Data_Prices!I202-1</f>
        <v>0.0403282122905029</v>
      </c>
      <c r="J203" s="32" t="n">
        <f aca="false">Data_Prices!J203/Data_Prices!J202-1</f>
        <v>0.0170685875352334</v>
      </c>
      <c r="K203" s="32" t="n">
        <f aca="false">Data_Prices!K203/Data_Prices!K202-1</f>
        <v>-0.0186139204468426</v>
      </c>
      <c r="L203" s="32" t="n">
        <f aca="false">Data_Prices!L203/Data_Prices!L202-1</f>
        <v>-0.00914109074850955</v>
      </c>
      <c r="M203" s="32" t="n">
        <f aca="false">Data_Prices!M203/Data_Prices!M202-1</f>
        <v>0.0140258515695595</v>
      </c>
      <c r="N203" s="32" t="n">
        <f aca="false">Data_Prices!N203/Data_Prices!N202-1</f>
        <v>-0.0432689426476757</v>
      </c>
      <c r="O203" s="32" t="n">
        <f aca="false">Data_Prices!O203/Data_Prices!O202-1</f>
        <v>0.012806324110672</v>
      </c>
      <c r="P203" s="32" t="n">
        <f aca="false">Data_Prices!P203/Data_Prices!P202-1</f>
        <v>0.00910631088521807</v>
      </c>
      <c r="Q203" s="32" t="n">
        <f aca="false">Data_Prices!Q203/Data_Prices!Q202-1</f>
        <v>0.000293212138982479</v>
      </c>
      <c r="R203" s="32" t="n">
        <f aca="false">Data_Prices!R203/Data_Prices!R202-1</f>
        <v>-0.0128665304544703</v>
      </c>
      <c r="S203" s="32" t="n">
        <f aca="false">Data_Prices!S203/Data_Prices!S202-1</f>
        <v>0.061094669524101</v>
      </c>
      <c r="T203" s="32" t="n">
        <f aca="false">AVERAGE(D203:S203)</f>
        <v>0.00625391533639048</v>
      </c>
      <c r="U203" s="32" t="n">
        <f aca="false">AVERAGE(J203:S203)</f>
        <v>0.00305044714662683</v>
      </c>
      <c r="V203" s="32" t="n">
        <f aca="false">AVERAGE(D203:I203)</f>
        <v>0.0115930289859965</v>
      </c>
      <c r="W203" s="32" t="n">
        <f aca="false">AVERAGE(K203,Q203,R203)</f>
        <v>-0.0103957462541101</v>
      </c>
      <c r="X203" s="32" t="n">
        <f aca="false">AVERAGE(K203,L203,N203,O203,P203,Q203,R203,S203)</f>
        <v>-7.37459548155739E-005</v>
      </c>
      <c r="Y203" s="32" t="n">
        <f aca="false">AVERAGE(J203,L203,M203,N203,O203,P203,Q203,R203,S203)</f>
        <v>0.00545759910145677</v>
      </c>
      <c r="Z203" s="32" t="n">
        <f aca="false">U203-V203</f>
        <v>-0.00854258183936972</v>
      </c>
      <c r="AA203" s="32" t="n">
        <f aca="false">W203-V203</f>
        <v>-0.0219887752401067</v>
      </c>
    </row>
    <row r="204" customFormat="false" ht="15" hidden="false" customHeight="false" outlineLevel="0" collapsed="false">
      <c r="A204" s="28" t="n">
        <f aca="false">Data_Prices!A204</f>
        <v>45098</v>
      </c>
      <c r="B204" s="32" t="n">
        <f aca="false">Data_Prices!B204/Data_Prices!B203-1</f>
        <v>0.00213374289859525</v>
      </c>
      <c r="C204" s="32" t="n">
        <f aca="false">Data_Prices!C204/Data_Prices!C203-1</f>
        <v>0.00253087200886415</v>
      </c>
      <c r="D204" s="32" t="n">
        <f aca="false">Data_Prices!D204/Data_Prices!D203-1</f>
        <v>0.0140008796364168</v>
      </c>
      <c r="E204" s="32" t="n">
        <f aca="false">Data_Prices!E204/Data_Prices!E203-1</f>
        <v>-0.00931842385516501</v>
      </c>
      <c r="F204" s="32" t="n">
        <f aca="false">Data_Prices!F204/Data_Prices!F203-1</f>
        <v>-0.0553089160192379</v>
      </c>
      <c r="G204" s="32" t="n">
        <f aca="false">Data_Prices!G204/Data_Prices!G203-1</f>
        <v>0.0387914479580078</v>
      </c>
      <c r="H204" s="32" t="n">
        <f aca="false">Data_Prices!H204/Data_Prices!H203-1</f>
        <v>0.022841131018086</v>
      </c>
      <c r="I204" s="32" t="n">
        <f aca="false">Data_Prices!I204/Data_Prices!I203-1</f>
        <v>0.0515187111931532</v>
      </c>
      <c r="J204" s="32" t="n">
        <f aca="false">Data_Prices!J204/Data_Prices!J203-1</f>
        <v>0.00279702335129595</v>
      </c>
      <c r="K204" s="32" t="n">
        <f aca="false">Data_Prices!K204/Data_Prices!K203-1</f>
        <v>-0.00587105775739405</v>
      </c>
      <c r="L204" s="32" t="n">
        <f aca="false">Data_Prices!L204/Data_Prices!L203-1</f>
        <v>0.0110972457438272</v>
      </c>
      <c r="M204" s="32" t="n">
        <f aca="false">Data_Prices!M204/Data_Prices!M203-1</f>
        <v>0.0184812088337853</v>
      </c>
      <c r="N204" s="32" t="n">
        <f aca="false">Data_Prices!N204/Data_Prices!N203-1</f>
        <v>-0.0128828847639531</v>
      </c>
      <c r="O204" s="32" t="n">
        <f aca="false">Data_Prices!O204/Data_Prices!O203-1</f>
        <v>0.0173275054636279</v>
      </c>
      <c r="P204" s="32" t="n">
        <f aca="false">Data_Prices!P204/Data_Prices!P203-1</f>
        <v>0.0334522560335782</v>
      </c>
      <c r="Q204" s="32" t="n">
        <f aca="false">Data_Prices!Q204/Data_Prices!Q203-1</f>
        <v>0.0256485416972005</v>
      </c>
      <c r="R204" s="32" t="n">
        <f aca="false">Data_Prices!R204/Data_Prices!R203-1</f>
        <v>-0.00895054822107855</v>
      </c>
      <c r="S204" s="32" t="n">
        <f aca="false">Data_Prices!S204/Data_Prices!S203-1</f>
        <v>0.112012310454269</v>
      </c>
      <c r="T204" s="32" t="n">
        <f aca="false">AVERAGE(D204:S204)</f>
        <v>0.0159772769229012</v>
      </c>
      <c r="U204" s="32" t="n">
        <f aca="false">AVERAGE(J204:S204)</f>
        <v>0.0193111600835158</v>
      </c>
      <c r="V204" s="32" t="n">
        <f aca="false">AVERAGE(D204:I204)</f>
        <v>0.0104208049885435</v>
      </c>
      <c r="W204" s="32" t="n">
        <f aca="false">AVERAGE(K204,Q204,R204)</f>
        <v>0.00360897857290932</v>
      </c>
      <c r="X204" s="32" t="n">
        <f aca="false">AVERAGE(K204,L204,N204,O204,P204,Q204,R204,S204)</f>
        <v>0.0214791710812596</v>
      </c>
      <c r="Y204" s="32" t="n">
        <f aca="false">AVERAGE(J204,L204,M204,N204,O204,P204,Q204,R204,S204)</f>
        <v>0.0221091842880613</v>
      </c>
      <c r="Z204" s="32" t="n">
        <f aca="false">U204-V204</f>
        <v>0.00889035509497231</v>
      </c>
      <c r="AA204" s="32" t="n">
        <f aca="false">W204-V204</f>
        <v>-0.00681182641563418</v>
      </c>
    </row>
    <row r="205" customFormat="false" ht="15" hidden="false" customHeight="false" outlineLevel="0" collapsed="false">
      <c r="A205" s="28" t="n">
        <f aca="false">Data_Prices!A205</f>
        <v>45099</v>
      </c>
      <c r="B205" s="32" t="n">
        <f aca="false">Data_Prices!B205/Data_Prices!B204-1</f>
        <v>-0.00453946443865216</v>
      </c>
      <c r="C205" s="32" t="n">
        <f aca="false">Data_Prices!C205/Data_Prices!C204-1</f>
        <v>-0.00616651119546585</v>
      </c>
      <c r="D205" s="32" t="n">
        <f aca="false">Data_Prices!D205/Data_Prices!D204-1</f>
        <v>-0.0048434902045833</v>
      </c>
      <c r="E205" s="32" t="n">
        <f aca="false">Data_Prices!E205/Data_Prices!E204-1</f>
        <v>-0.014713786616501</v>
      </c>
      <c r="F205" s="32" t="n">
        <f aca="false">Data_Prices!F205/Data_Prices!F204-1</f>
        <v>-0.0176228705698062</v>
      </c>
      <c r="G205" s="32" t="n">
        <f aca="false">Data_Prices!G205/Data_Prices!G204-1</f>
        <v>-0.00776435789992602</v>
      </c>
      <c r="H205" s="32" t="n">
        <f aca="false">Data_Prices!H205/Data_Prices!H204-1</f>
        <v>0.0146106591399635</v>
      </c>
      <c r="I205" s="32" t="n">
        <f aca="false">Data_Prices!I205/Data_Prices!I204-1</f>
        <v>0</v>
      </c>
      <c r="J205" s="32" t="n">
        <f aca="false">Data_Prices!J205/Data_Prices!J204-1</f>
        <v>0.0118989738734359</v>
      </c>
      <c r="K205" s="32" t="n">
        <f aca="false">Data_Prices!K205/Data_Prices!K204-1</f>
        <v>-0.0244566727808349</v>
      </c>
      <c r="L205" s="32" t="n">
        <f aca="false">Data_Prices!L205/Data_Prices!L204-1</f>
        <v>-0.0301053466743068</v>
      </c>
      <c r="M205" s="32" t="n">
        <f aca="false">Data_Prices!M205/Data_Prices!M204-1</f>
        <v>0.0160155209799522</v>
      </c>
      <c r="N205" s="32" t="n">
        <f aca="false">Data_Prices!N205/Data_Prices!N204-1</f>
        <v>-0.0176622387680853</v>
      </c>
      <c r="O205" s="32" t="n">
        <f aca="false">Data_Prices!O205/Data_Prices!O204-1</f>
        <v>-0.0398956575111248</v>
      </c>
      <c r="P205" s="32" t="n">
        <f aca="false">Data_Prices!P205/Data_Prices!P204-1</f>
        <v>-0.0172203720250181</v>
      </c>
      <c r="Q205" s="32" t="n">
        <f aca="false">Data_Prices!Q205/Data_Prices!Q204-1</f>
        <v>-0.00585881680480127</v>
      </c>
      <c r="R205" s="32" t="n">
        <f aca="false">Data_Prices!R205/Data_Prices!R204-1</f>
        <v>-0.00620907654097991</v>
      </c>
      <c r="S205" s="32" t="n">
        <f aca="false">Data_Prices!S205/Data_Prices!S204-1</f>
        <v>-0.00899472424827752</v>
      </c>
      <c r="T205" s="32" t="n">
        <f aca="false">AVERAGE(D205:S205)</f>
        <v>-0.00955139104068084</v>
      </c>
      <c r="U205" s="32" t="n">
        <f aca="false">AVERAGE(J205:S205)</f>
        <v>-0.012248841050004</v>
      </c>
      <c r="V205" s="32" t="n">
        <f aca="false">AVERAGE(D205:I205)</f>
        <v>-0.00505564102514217</v>
      </c>
      <c r="W205" s="32" t="n">
        <f aca="false">AVERAGE(K205,Q205,R205)</f>
        <v>-0.0121748553755387</v>
      </c>
      <c r="X205" s="32" t="n">
        <f aca="false">AVERAGE(K205,L205,N205,O205,P205,Q205,R205,S205)</f>
        <v>-0.0188003631691786</v>
      </c>
      <c r="Y205" s="32" t="n">
        <f aca="false">AVERAGE(J205,L205,M205,N205,O205,P205,Q205,R205,S205)</f>
        <v>-0.010892415302134</v>
      </c>
      <c r="Z205" s="32" t="n">
        <f aca="false">U205-V205</f>
        <v>-0.00719320002486188</v>
      </c>
      <c r="AA205" s="32" t="n">
        <f aca="false">W205-V205</f>
        <v>-0.00711921435039651</v>
      </c>
    </row>
    <row r="206" customFormat="false" ht="15" hidden="false" customHeight="false" outlineLevel="0" collapsed="false">
      <c r="A206" s="28" t="n">
        <f aca="false">Data_Prices!A206</f>
        <v>45100</v>
      </c>
      <c r="B206" s="32" t="n">
        <f aca="false">Data_Prices!B206/Data_Prices!B205-1</f>
        <v>-0.00563361523606576</v>
      </c>
      <c r="C206" s="32" t="n">
        <f aca="false">Data_Prices!C206/Data_Prices!C205-1</f>
        <v>-0.00799216891356069</v>
      </c>
      <c r="D206" s="32" t="n">
        <f aca="false">Data_Prices!D206/Data_Prices!D205-1</f>
        <v>0.0126761586517508</v>
      </c>
      <c r="E206" s="32" t="n">
        <f aca="false">Data_Prices!E206/Data_Prices!E205-1</f>
        <v>0.00456870098874873</v>
      </c>
      <c r="F206" s="32" t="n">
        <f aca="false">Data_Prices!F206/Data_Prices!F205-1</f>
        <v>0.00372068301109563</v>
      </c>
      <c r="G206" s="32" t="n">
        <f aca="false">Data_Prices!G206/Data_Prices!G205-1</f>
        <v>-0.0320457086076265</v>
      </c>
      <c r="H206" s="32" t="n">
        <f aca="false">Data_Prices!H206/Data_Prices!H205-1</f>
        <v>-0.0364097529045983</v>
      </c>
      <c r="I206" s="32" t="n">
        <f aca="false">Data_Prices!I206/Data_Prices!I205-1</f>
        <v>-0.0338333865304821</v>
      </c>
      <c r="J206" s="32" t="n">
        <f aca="false">Data_Prices!J206/Data_Prices!J205-1</f>
        <v>-0.00192190977139384</v>
      </c>
      <c r="K206" s="32" t="n">
        <f aca="false">Data_Prices!K206/Data_Prices!K205-1</f>
        <v>-0.00572616944903426</v>
      </c>
      <c r="L206" s="32" t="n">
        <f aca="false">Data_Prices!L206/Data_Prices!L205-1</f>
        <v>-0.00913470278131245</v>
      </c>
      <c r="M206" s="32" t="n">
        <f aca="false">Data_Prices!M206/Data_Prices!M205-1</f>
        <v>0.0361689381458739</v>
      </c>
      <c r="N206" s="32" t="n">
        <f aca="false">Data_Prices!N206/Data_Prices!N205-1</f>
        <v>-0.00867767705260447</v>
      </c>
      <c r="O206" s="32" t="n">
        <f aca="false">Data_Prices!O206/Data_Prices!O205-1</f>
        <v>-0.0228544030685633</v>
      </c>
      <c r="P206" s="32" t="n">
        <f aca="false">Data_Prices!P206/Data_Prices!P205-1</f>
        <v>0.00987684932639055</v>
      </c>
      <c r="Q206" s="32" t="n">
        <f aca="false">Data_Prices!Q206/Data_Prices!Q205-1</f>
        <v>-0.0199798763834987</v>
      </c>
      <c r="R206" s="32" t="n">
        <f aca="false">Data_Prices!R206/Data_Prices!R205-1</f>
        <v>-0.026354651823242</v>
      </c>
      <c r="S206" s="32" t="n">
        <f aca="false">Data_Prices!S206/Data_Prices!S205-1</f>
        <v>-0.0244945454545455</v>
      </c>
      <c r="T206" s="32" t="n">
        <f aca="false">AVERAGE(D206:S206)</f>
        <v>-0.00965134085644012</v>
      </c>
      <c r="U206" s="32" t="n">
        <f aca="false">AVERAGE(J206:S206)</f>
        <v>-0.00730981483119303</v>
      </c>
      <c r="V206" s="32" t="n">
        <f aca="false">AVERAGE(D206:I206)</f>
        <v>-0.0135538842318519</v>
      </c>
      <c r="W206" s="32" t="n">
        <f aca="false">AVERAGE(K206,Q206,R206)</f>
        <v>-0.0173535658852583</v>
      </c>
      <c r="X206" s="32" t="n">
        <f aca="false">AVERAGE(K206,L206,N206,O206,P206,Q206,R206,S206)</f>
        <v>-0.0134181470858013</v>
      </c>
      <c r="Y206" s="32" t="n">
        <f aca="false">AVERAGE(J206,L206,M206,N206,O206,P206,Q206,R206,S206)</f>
        <v>-0.00748577542921067</v>
      </c>
      <c r="Z206" s="32" t="n">
        <f aca="false">U206-V206</f>
        <v>0.00624406940065891</v>
      </c>
      <c r="AA206" s="32" t="n">
        <f aca="false">W206-V206</f>
        <v>-0.0037996816534064</v>
      </c>
    </row>
    <row r="207" customFormat="false" ht="15" hidden="false" customHeight="false" outlineLevel="0" collapsed="false">
      <c r="A207" s="28" t="n">
        <f aca="false">Data_Prices!A207</f>
        <v>45103</v>
      </c>
      <c r="B207" s="32" t="n">
        <f aca="false">Data_Prices!B207/Data_Prices!B206-1</f>
        <v>0.00137687176877122</v>
      </c>
      <c r="C207" s="32" t="n">
        <f aca="false">Data_Prices!C207/Data_Prices!C206-1</f>
        <v>0.0033943716509075</v>
      </c>
      <c r="D207" s="32" t="n">
        <f aca="false">Data_Prices!D207/Data_Prices!D206-1</f>
        <v>0.0496036727520535</v>
      </c>
      <c r="E207" s="32" t="n">
        <f aca="false">Data_Prices!E207/Data_Prices!E206-1</f>
        <v>0.00787401574803148</v>
      </c>
      <c r="F207" s="32" t="n">
        <f aca="false">Data_Prices!F207/Data_Prices!F206-1</f>
        <v>-0.000794333752565102</v>
      </c>
      <c r="G207" s="32" t="n">
        <f aca="false">Data_Prices!G207/Data_Prices!G206-1</f>
        <v>0.00538945207237274</v>
      </c>
      <c r="H207" s="32" t="n">
        <f aca="false">Data_Prices!H207/Data_Prices!H206-1</f>
        <v>0.0219071070731085</v>
      </c>
      <c r="I207" s="32" t="n">
        <f aca="false">Data_Prices!I207/Data_Prices!I206-1</f>
        <v>-0.0061116617112652</v>
      </c>
      <c r="J207" s="32" t="n">
        <f aca="false">Data_Prices!J207/Data_Prices!J206-1</f>
        <v>0.0506993006993006</v>
      </c>
      <c r="K207" s="32" t="n">
        <f aca="false">Data_Prices!K207/Data_Prices!K206-1</f>
        <v>0.00128936133635138</v>
      </c>
      <c r="L207" s="32" t="n">
        <f aca="false">Data_Prices!L207/Data_Prices!L206-1</f>
        <v>-0.0115121772233181</v>
      </c>
      <c r="M207" s="32" t="n">
        <f aca="false">Data_Prices!M207/Data_Prices!M206-1</f>
        <v>-0.0409048204090483</v>
      </c>
      <c r="N207" s="32" t="n">
        <f aca="false">Data_Prices!N207/Data_Prices!N206-1</f>
        <v>0.0214170902298101</v>
      </c>
      <c r="O207" s="32" t="n">
        <f aca="false">Data_Prices!O207/Data_Prices!O206-1</f>
        <v>0.00997710173372601</v>
      </c>
      <c r="P207" s="32" t="n">
        <f aca="false">Data_Prices!P207/Data_Prices!P206-1</f>
        <v>0.0130130539755289</v>
      </c>
      <c r="Q207" s="32" t="n">
        <f aca="false">Data_Prices!Q207/Data_Prices!Q206-1</f>
        <v>-0.0108536227632736</v>
      </c>
      <c r="R207" s="32" t="n">
        <f aca="false">Data_Prices!R207/Data_Prices!R206-1</f>
        <v>-0.014292381285731</v>
      </c>
      <c r="S207" s="32" t="n">
        <f aca="false">Data_Prices!S207/Data_Prices!S206-1</f>
        <v>0.015924611576656</v>
      </c>
      <c r="T207" s="32" t="n">
        <f aca="false">AVERAGE(D207:S207)</f>
        <v>0.00703911062823362</v>
      </c>
      <c r="U207" s="32" t="n">
        <f aca="false">AVERAGE(J207:S207)</f>
        <v>0.0034757517870002</v>
      </c>
      <c r="V207" s="32" t="n">
        <f aca="false">AVERAGE(D207:I207)</f>
        <v>0.0129780420302893</v>
      </c>
      <c r="W207" s="32" t="n">
        <f aca="false">AVERAGE(K207,Q207,R207)</f>
        <v>-0.00795221423755107</v>
      </c>
      <c r="X207" s="32" t="n">
        <f aca="false">AVERAGE(K207,L207,N207,O207,P207,Q207,R207,S207)</f>
        <v>0.00312037969746871</v>
      </c>
      <c r="Y207" s="32" t="n">
        <f aca="false">AVERAGE(J207,L207,M207,N207,O207,P207,Q207,R207,S207)</f>
        <v>0.00371868405929452</v>
      </c>
      <c r="Z207" s="32" t="n">
        <f aca="false">U207-V207</f>
        <v>-0.00950229024328911</v>
      </c>
      <c r="AA207" s="32" t="n">
        <f aca="false">W207-V207</f>
        <v>-0.0209302562678404</v>
      </c>
    </row>
    <row r="208" customFormat="false" ht="15" hidden="false" customHeight="false" outlineLevel="0" collapsed="false">
      <c r="A208" s="28" t="n">
        <f aca="false">Data_Prices!A208</f>
        <v>45104</v>
      </c>
      <c r="B208" s="32" t="n">
        <f aca="false">Data_Prices!B208/Data_Prices!B207-1</f>
        <v>0.00675184043828114</v>
      </c>
      <c r="C208" s="32" t="n">
        <f aca="false">Data_Prices!C208/Data_Prices!C207-1</f>
        <v>0.00605932348446903</v>
      </c>
      <c r="D208" s="32" t="n">
        <f aca="false">Data_Prices!D208/Data_Prices!D207-1</f>
        <v>0.031130399125205</v>
      </c>
      <c r="E208" s="32" t="n">
        <f aca="false">Data_Prices!E208/Data_Prices!E207-1</f>
        <v>0.05078125</v>
      </c>
      <c r="F208" s="32" t="n">
        <f aca="false">Data_Prices!F208/Data_Prices!F207-1</f>
        <v>0.0180192116594899</v>
      </c>
      <c r="G208" s="32" t="n">
        <f aca="false">Data_Prices!G208/Data_Prices!G207-1</f>
        <v>0.00804084237396285</v>
      </c>
      <c r="H208" s="32" t="n">
        <f aca="false">Data_Prices!H208/Data_Prices!H207-1</f>
        <v>-0.0125467386788533</v>
      </c>
      <c r="I208" s="32" t="n">
        <f aca="false">Data_Prices!I208/Data_Prices!I207-1</f>
        <v>-0.00265913245803562</v>
      </c>
      <c r="J208" s="32" t="n">
        <f aca="false">Data_Prices!J208/Data_Prices!J207-1</f>
        <v>0.049482746147725</v>
      </c>
      <c r="K208" s="32" t="n">
        <f aca="false">Data_Prices!K208/Data_Prices!K207-1</f>
        <v>0.002933096777886</v>
      </c>
      <c r="L208" s="32" t="n">
        <f aca="false">Data_Prices!L208/Data_Prices!L207-1</f>
        <v>0.0150798069784708</v>
      </c>
      <c r="M208" s="32" t="n">
        <f aca="false">Data_Prices!M208/Data_Prices!M207-1</f>
        <v>0.0201944088614272</v>
      </c>
      <c r="N208" s="32" t="n">
        <f aca="false">Data_Prices!N208/Data_Prices!N207-1</f>
        <v>0.0256039469207212</v>
      </c>
      <c r="O208" s="32" t="n">
        <f aca="false">Data_Prices!O208/Data_Prices!O207-1</f>
        <v>0.0278542510121458</v>
      </c>
      <c r="P208" s="32" t="n">
        <f aca="false">Data_Prices!P208/Data_Prices!P207-1</f>
        <v>0.000282771157341877</v>
      </c>
      <c r="Q208" s="32" t="n">
        <f aca="false">Data_Prices!Q208/Data_Prices!Q207-1</f>
        <v>0.0121589561091342</v>
      </c>
      <c r="R208" s="32" t="n">
        <f aca="false">Data_Prices!R208/Data_Prices!R207-1</f>
        <v>0.0189974551695566</v>
      </c>
      <c r="S208" s="32" t="n">
        <f aca="false">Data_Prices!S208/Data_Prices!S207-1</f>
        <v>-0.00422696451111049</v>
      </c>
      <c r="T208" s="32" t="n">
        <f aca="false">AVERAGE(D208:S208)</f>
        <v>0.0163203941653167</v>
      </c>
      <c r="U208" s="32" t="n">
        <f aca="false">AVERAGE(J208:S208)</f>
        <v>0.0168360474623298</v>
      </c>
      <c r="V208" s="32" t="n">
        <f aca="false">AVERAGE(D208:I208)</f>
        <v>0.0154609720036282</v>
      </c>
      <c r="W208" s="32" t="n">
        <f aca="false">AVERAGE(K208,Q208,R208)</f>
        <v>0.0113631693521923</v>
      </c>
      <c r="X208" s="32" t="n">
        <f aca="false">AVERAGE(K208,L208,N208,O208,P208,Q208,R208,S208)</f>
        <v>0.0123354149517683</v>
      </c>
      <c r="Y208" s="32" t="n">
        <f aca="false">AVERAGE(J208,L208,M208,N208,O208,P208,Q208,R208,S208)</f>
        <v>0.0183808197606014</v>
      </c>
      <c r="Z208" s="32" t="n">
        <f aca="false">U208-V208</f>
        <v>0.00137507545870167</v>
      </c>
      <c r="AA208" s="32" t="n">
        <f aca="false">W208-V208</f>
        <v>-0.00409780265143587</v>
      </c>
    </row>
    <row r="209" customFormat="false" ht="15" hidden="false" customHeight="false" outlineLevel="0" collapsed="false">
      <c r="A209" s="28" t="n">
        <f aca="false">Data_Prices!A209</f>
        <v>45105</v>
      </c>
      <c r="B209" s="32" t="n">
        <f aca="false">Data_Prices!B209/Data_Prices!B208-1</f>
        <v>0.00822111450040897</v>
      </c>
      <c r="C209" s="32" t="n">
        <f aca="false">Data_Prices!C209/Data_Prices!C208-1</f>
        <v>0.00703436755653164</v>
      </c>
      <c r="D209" s="32" t="n">
        <f aca="false">Data_Prices!D209/Data_Prices!D208-1</f>
        <v>0.016006628003314</v>
      </c>
      <c r="E209" s="32" t="n">
        <f aca="false">Data_Prices!E209/Data_Prices!E208-1</f>
        <v>0.00256377387514428</v>
      </c>
      <c r="F209" s="32" t="n">
        <f aca="false">Data_Prices!F209/Data_Prices!F208-1</f>
        <v>0.0213444393830937</v>
      </c>
      <c r="G209" s="32" t="n">
        <f aca="false">Data_Prices!G209/Data_Prices!G208-1</f>
        <v>-0.00493795897695615</v>
      </c>
      <c r="H209" s="32" t="n">
        <f aca="false">Data_Prices!H209/Data_Prices!H208-1</f>
        <v>-0.00580612588354101</v>
      </c>
      <c r="I209" s="32" t="n">
        <f aca="false">Data_Prices!I209/Data_Prices!I208-1</f>
        <v>0.0303282786202299</v>
      </c>
      <c r="J209" s="32" t="n">
        <f aca="false">Data_Prices!J209/Data_Prices!J208-1</f>
        <v>0.0181981112566347</v>
      </c>
      <c r="K209" s="32" t="n">
        <f aca="false">Data_Prices!K209/Data_Prices!K208-1</f>
        <v>0.0101145555444597</v>
      </c>
      <c r="L209" s="32" t="n">
        <f aca="false">Data_Prices!L209/Data_Prices!L208-1</f>
        <v>0.030762901677561</v>
      </c>
      <c r="M209" s="32" t="n">
        <f aca="false">Data_Prices!M209/Data_Prices!M208-1</f>
        <v>-0.0208287170396633</v>
      </c>
      <c r="N209" s="32" t="n">
        <f aca="false">Data_Prices!N209/Data_Prices!N208-1</f>
        <v>0.0100771336153271</v>
      </c>
      <c r="O209" s="32" t="n">
        <f aca="false">Data_Prices!O209/Data_Prices!O208-1</f>
        <v>0.0286749645501811</v>
      </c>
      <c r="P209" s="32" t="n">
        <f aca="false">Data_Prices!P209/Data_Prices!P208-1</f>
        <v>0.00759227849123656</v>
      </c>
      <c r="Q209" s="32" t="n">
        <f aca="false">Data_Prices!Q209/Data_Prices!Q208-1</f>
        <v>0.0105479050688544</v>
      </c>
      <c r="R209" s="32" t="n">
        <f aca="false">Data_Prices!R209/Data_Prices!R208-1</f>
        <v>-0.00493669415727727</v>
      </c>
      <c r="S209" s="32" t="n">
        <f aca="false">Data_Prices!S209/Data_Prices!S208-1</f>
        <v>0.00285941691477754</v>
      </c>
      <c r="T209" s="32" t="n">
        <f aca="false">AVERAGE(D209:S209)</f>
        <v>0.00953505568396103</v>
      </c>
      <c r="U209" s="32" t="n">
        <f aca="false">AVERAGE(J209:S209)</f>
        <v>0.00930618559220917</v>
      </c>
      <c r="V209" s="32" t="n">
        <f aca="false">AVERAGE(D209:I209)</f>
        <v>0.00991650583688079</v>
      </c>
      <c r="W209" s="32" t="n">
        <f aca="false">AVERAGE(K209,Q209,R209)</f>
        <v>0.00524192215201228</v>
      </c>
      <c r="X209" s="32" t="n">
        <f aca="false">AVERAGE(K209,L209,N209,O209,P209,Q209,R209,S209)</f>
        <v>0.01196155771314</v>
      </c>
      <c r="Y209" s="32" t="n">
        <f aca="false">AVERAGE(J209,L209,M209,N209,O209,P209,Q209,R209,S209)</f>
        <v>0.00921636670862578</v>
      </c>
      <c r="Z209" s="32" t="n">
        <f aca="false">U209-V209</f>
        <v>-0.000610320244671617</v>
      </c>
      <c r="AA209" s="32" t="n">
        <f aca="false">W209-V209</f>
        <v>-0.0046745836848685</v>
      </c>
    </row>
    <row r="210" customFormat="false" ht="15" hidden="false" customHeight="false" outlineLevel="0" collapsed="false">
      <c r="A210" s="28" t="n">
        <f aca="false">Data_Prices!A210</f>
        <v>45107</v>
      </c>
      <c r="B210" s="32" t="n">
        <f aca="false">Data_Prices!B210/Data_Prices!B209-1</f>
        <v>0.0114352127597894</v>
      </c>
      <c r="C210" s="32" t="n">
        <f aca="false">Data_Prices!C210/Data_Prices!C209-1</f>
        <v>0.00938736392008455</v>
      </c>
      <c r="D210" s="32" t="n">
        <f aca="false">Data_Prices!D210/Data_Prices!D209-1</f>
        <v>0.00264205101441717</v>
      </c>
      <c r="E210" s="32" t="n">
        <f aca="false">Data_Prices!E210/Data_Prices!E209-1</f>
        <v>-0.00607339214934155</v>
      </c>
      <c r="F210" s="32" t="n">
        <f aca="false">Data_Prices!F210/Data_Prices!F209-1</f>
        <v>-0.000955718381650206</v>
      </c>
      <c r="G210" s="32" t="n">
        <f aca="false">Data_Prices!G210/Data_Prices!G209-1</f>
        <v>-0.00190863977605293</v>
      </c>
      <c r="H210" s="32" t="n">
        <f aca="false">Data_Prices!H210/Data_Prices!H209-1</f>
        <v>-0.0395260262378333</v>
      </c>
      <c r="I210" s="32" t="n">
        <f aca="false">Data_Prices!I210/Data_Prices!I209-1</f>
        <v>0.00970402717127605</v>
      </c>
      <c r="J210" s="32" t="n">
        <f aca="false">Data_Prices!J210/Data_Prices!J209-1</f>
        <v>0.0039266129578226</v>
      </c>
      <c r="K210" s="32" t="n">
        <f aca="false">Data_Prices!K210/Data_Prices!K209-1</f>
        <v>0.00992853712962183</v>
      </c>
      <c r="L210" s="32" t="n">
        <f aca="false">Data_Prices!L210/Data_Prices!L209-1</f>
        <v>0.0128603104212861</v>
      </c>
      <c r="M210" s="32" t="n">
        <f aca="false">Data_Prices!M210/Data_Prices!M209-1</f>
        <v>-0.0588745568378969</v>
      </c>
      <c r="N210" s="32" t="n">
        <f aca="false">Data_Prices!N210/Data_Prices!N209-1</f>
        <v>0.00827277579340646</v>
      </c>
      <c r="O210" s="32" t="n">
        <f aca="false">Data_Prices!O210/Data_Prices!O209-1</f>
        <v>0.0306325624138459</v>
      </c>
      <c r="P210" s="32" t="n">
        <f aca="false">Data_Prices!P210/Data_Prices!P209-1</f>
        <v>-0.00629258517034059</v>
      </c>
      <c r="Q210" s="32" t="n">
        <f aca="false">Data_Prices!Q210/Data_Prices!Q209-1</f>
        <v>-0.0115975645114526</v>
      </c>
      <c r="R210" s="32" t="n">
        <f aca="false">Data_Prices!R210/Data_Prices!R209-1</f>
        <v>-0.0110313430222377</v>
      </c>
      <c r="S210" s="32" t="n">
        <f aca="false">Data_Prices!S210/Data_Prices!S209-1</f>
        <v>0.0201058201058202</v>
      </c>
      <c r="T210" s="32" t="n">
        <f aca="false">AVERAGE(D210:S210)</f>
        <v>-0.00238669556745684</v>
      </c>
      <c r="U210" s="32" t="n">
        <f aca="false">AVERAGE(J210:S210)</f>
        <v>-0.000206943072012467</v>
      </c>
      <c r="V210" s="32" t="n">
        <f aca="false">AVERAGE(D210:I210)</f>
        <v>-0.00601961639319746</v>
      </c>
      <c r="W210" s="32" t="n">
        <f aca="false">AVERAGE(K210,Q210,R210)</f>
        <v>-0.00423345680135615</v>
      </c>
      <c r="X210" s="32" t="n">
        <f aca="false">AVERAGE(K210,L210,N210,O210,P210,Q210,R210,S210)</f>
        <v>0.0066098141449937</v>
      </c>
      <c r="Y210" s="32" t="n">
        <f aca="false">AVERAGE(J210,L210,M210,N210,O210,P210,Q210,R210,S210)</f>
        <v>-0.00133310753886072</v>
      </c>
      <c r="Z210" s="32" t="n">
        <f aca="false">U210-V210</f>
        <v>0.005812673321185</v>
      </c>
      <c r="AA210" s="32" t="n">
        <f aca="false">W210-V210</f>
        <v>0.00178615959184131</v>
      </c>
    </row>
    <row r="211" customFormat="false" ht="15" hidden="false" customHeight="false" outlineLevel="0" collapsed="false">
      <c r="A211" s="28" t="n">
        <f aca="false">Data_Prices!A211</f>
        <v>45110</v>
      </c>
      <c r="B211" s="32" t="n">
        <f aca="false">Data_Prices!B211/Data_Prices!B210-1</f>
        <v>0.00695709271694023</v>
      </c>
      <c r="C211" s="32" t="n">
        <f aca="false">Data_Prices!C211/Data_Prices!C210-1</f>
        <v>0.0059616555082167</v>
      </c>
      <c r="D211" s="32" t="n">
        <f aca="false">Data_Prices!D211/Data_Prices!D210-1</f>
        <v>-0.000618107290412895</v>
      </c>
      <c r="E211" s="32" t="n">
        <f aca="false">Data_Prices!E211/Data_Prices!E210-1</f>
        <v>0.00141506399948543</v>
      </c>
      <c r="F211" s="32" t="n">
        <f aca="false">Data_Prices!F211/Data_Prices!F210-1</f>
        <v>0.00867346938775504</v>
      </c>
      <c r="G211" s="32" t="n">
        <f aca="false">Data_Prices!G211/Data_Prices!G210-1</f>
        <v>0.0109637939826619</v>
      </c>
      <c r="H211" s="32" t="n">
        <f aca="false">Data_Prices!H211/Data_Prices!H210-1</f>
        <v>-0.0037892139584067</v>
      </c>
      <c r="I211" s="32" t="n">
        <f aca="false">Data_Prices!I211/Data_Prices!I210-1</f>
        <v>-0.0110523786641038</v>
      </c>
      <c r="J211" s="32" t="n">
        <f aca="false">Data_Prices!J211/Data_Prices!J210-1</f>
        <v>-0.00305707285274337</v>
      </c>
      <c r="K211" s="32" t="n">
        <f aca="false">Data_Prices!K211/Data_Prices!K210-1</f>
        <v>0.0240669006698457</v>
      </c>
      <c r="L211" s="32" t="n">
        <f aca="false">Data_Prices!L211/Data_Prices!L210-1</f>
        <v>0.0237740805604203</v>
      </c>
      <c r="M211" s="32" t="n">
        <f aca="false">Data_Prices!M211/Data_Prices!M210-1</f>
        <v>0.0121829038592554</v>
      </c>
      <c r="N211" s="32" t="n">
        <f aca="false">Data_Prices!N211/Data_Prices!N210-1</f>
        <v>-0.0123582466355844</v>
      </c>
      <c r="O211" s="32" t="n">
        <f aca="false">Data_Prices!O211/Data_Prices!O210-1</f>
        <v>0.0216971318175063</v>
      </c>
      <c r="P211" s="32" t="n">
        <f aca="false">Data_Prices!P211/Data_Prices!P210-1</f>
        <v>0.0068971080546929</v>
      </c>
      <c r="Q211" s="32" t="n">
        <f aca="false">Data_Prices!Q211/Data_Prices!Q210-1</f>
        <v>0.00528014080375483</v>
      </c>
      <c r="R211" s="32" t="n">
        <f aca="false">Data_Prices!R211/Data_Prices!R210-1</f>
        <v>-0.00548866855524088</v>
      </c>
      <c r="S211" s="32" t="n">
        <f aca="false">Data_Prices!S211/Data_Prices!S210-1</f>
        <v>0.0131108805901337</v>
      </c>
      <c r="T211" s="32" t="n">
        <f aca="false">AVERAGE(D211:S211)</f>
        <v>0.00573111161056372</v>
      </c>
      <c r="U211" s="32" t="n">
        <f aca="false">AVERAGE(J211:S211)</f>
        <v>0.00861051583120405</v>
      </c>
      <c r="V211" s="32" t="n">
        <f aca="false">AVERAGE(D211:I211)</f>
        <v>0.000932104576163162</v>
      </c>
      <c r="W211" s="32" t="n">
        <f aca="false">AVERAGE(K211,Q211,R211)</f>
        <v>0.00795279097278656</v>
      </c>
      <c r="X211" s="32" t="n">
        <f aca="false">AVERAGE(K211,L211,N211,O211,P211,Q211,R211,S211)</f>
        <v>0.00962241591319106</v>
      </c>
      <c r="Y211" s="32" t="n">
        <f aca="false">AVERAGE(J211,L211,M211,N211,O211,P211,Q211,R211,S211)</f>
        <v>0.00689313973802164</v>
      </c>
      <c r="Z211" s="32" t="n">
        <f aca="false">U211-V211</f>
        <v>0.00767841125504088</v>
      </c>
      <c r="AA211" s="32" t="n">
        <f aca="false">W211-V211</f>
        <v>0.0070206863966234</v>
      </c>
    </row>
    <row r="212" customFormat="false" ht="15" hidden="false" customHeight="false" outlineLevel="0" collapsed="false">
      <c r="A212" s="28" t="n">
        <f aca="false">Data_Prices!A212</f>
        <v>45111</v>
      </c>
      <c r="B212" s="32" t="n">
        <f aca="false">Data_Prices!B212/Data_Prices!B211-1</f>
        <v>0.0034389870902134</v>
      </c>
      <c r="C212" s="32" t="n">
        <f aca="false">Data_Prices!C212/Data_Prices!C211-1</f>
        <v>0.0017001503513745</v>
      </c>
      <c r="D212" s="32" t="n">
        <f aca="false">Data_Prices!D212/Data_Prices!D211-1</f>
        <v>-0.00276692708333337</v>
      </c>
      <c r="E212" s="32" t="n">
        <f aca="false">Data_Prices!E212/Data_Prices!E211-1</f>
        <v>0.0249855482047658</v>
      </c>
      <c r="F212" s="32" t="n">
        <f aca="false">Data_Prices!F212/Data_Prices!F211-1</f>
        <v>0.0242159838138596</v>
      </c>
      <c r="G212" s="32" t="n">
        <f aca="false">Data_Prices!G212/Data_Prices!G211-1</f>
        <v>-0.0158890290037831</v>
      </c>
      <c r="H212" s="32" t="n">
        <f aca="false">Data_Prices!H212/Data_Prices!H211-1</f>
        <v>0.00318443166740368</v>
      </c>
      <c r="I212" s="32" t="n">
        <f aca="false">Data_Prices!I212/Data_Prices!I211-1</f>
        <v>-0.00712666018788466</v>
      </c>
      <c r="J212" s="32" t="n">
        <f aca="false">Data_Prices!J212/Data_Prices!J211-1</f>
        <v>-0.0162115848571623</v>
      </c>
      <c r="K212" s="32" t="n">
        <f aca="false">Data_Prices!K212/Data_Prices!K211-1</f>
        <v>0.0719377304383451</v>
      </c>
      <c r="L212" s="32" t="n">
        <f aca="false">Data_Prices!L212/Data_Prices!L211-1</f>
        <v>0.015481332592054</v>
      </c>
      <c r="M212" s="32" t="n">
        <f aca="false">Data_Prices!M212/Data_Prices!M211-1</f>
        <v>-0.00906679336421568</v>
      </c>
      <c r="N212" s="32" t="n">
        <f aca="false">Data_Prices!N212/Data_Prices!N211-1</f>
        <v>0.0106163677592248</v>
      </c>
      <c r="O212" s="32" t="n">
        <f aca="false">Data_Prices!O212/Data_Prices!O211-1</f>
        <v>-0.00218181818181817</v>
      </c>
      <c r="P212" s="32" t="n">
        <f aca="false">Data_Prices!P212/Data_Prices!P211-1</f>
        <v>-0.00484697965069691</v>
      </c>
      <c r="Q212" s="32" t="n">
        <f aca="false">Data_Prices!Q212/Data_Prices!Q211-1</f>
        <v>0.0468339655675518</v>
      </c>
      <c r="R212" s="32" t="n">
        <f aca="false">Data_Prices!R212/Data_Prices!R211-1</f>
        <v>-0.00433208711649158</v>
      </c>
      <c r="S212" s="32" t="n">
        <f aca="false">Data_Prices!S212/Data_Prices!S211-1</f>
        <v>0.011234676754174</v>
      </c>
      <c r="T212" s="32" t="n">
        <f aca="false">AVERAGE(D212:S212)</f>
        <v>0.00912925983449956</v>
      </c>
      <c r="U212" s="32" t="n">
        <f aca="false">AVERAGE(J212:S212)</f>
        <v>0.0119464809940965</v>
      </c>
      <c r="V212" s="32" t="n">
        <f aca="false">AVERAGE(D212:I212)</f>
        <v>0.00443389123517133</v>
      </c>
      <c r="W212" s="32" t="n">
        <f aca="false">AVERAGE(K212,Q212,R212)</f>
        <v>0.0381465362964684</v>
      </c>
      <c r="X212" s="32" t="n">
        <f aca="false">AVERAGE(K212,L212,N212,O212,P212,Q212,R212,S212)</f>
        <v>0.0180928985202929</v>
      </c>
      <c r="Y212" s="32" t="n">
        <f aca="false">AVERAGE(J212,L212,M212,N212,O212,P212,Q212,R212,S212)</f>
        <v>0.00528078661140221</v>
      </c>
      <c r="Z212" s="32" t="n">
        <f aca="false">U212-V212</f>
        <v>0.00751258975892517</v>
      </c>
      <c r="AA212" s="32" t="n">
        <f aca="false">W212-V212</f>
        <v>0.0337126450612971</v>
      </c>
    </row>
    <row r="213" customFormat="false" ht="15" hidden="false" customHeight="false" outlineLevel="0" collapsed="false">
      <c r="A213" s="28" t="n">
        <f aca="false">Data_Prices!A213</f>
        <v>45112</v>
      </c>
      <c r="B213" s="32" t="n">
        <f aca="false">Data_Prices!B213/Data_Prices!B212-1</f>
        <v>0.000489968538862184</v>
      </c>
      <c r="C213" s="32" t="n">
        <f aca="false">Data_Prices!C213/Data_Prices!C212-1</f>
        <v>0.00248549623853522</v>
      </c>
      <c r="D213" s="32" t="n">
        <f aca="false">Data_Prices!D213/Data_Prices!D212-1</f>
        <v>0.00558185082422069</v>
      </c>
      <c r="E213" s="32" t="n">
        <f aca="false">Data_Prices!E213/Data_Prices!E212-1</f>
        <v>-0.036345406692568</v>
      </c>
      <c r="F213" s="32" t="n">
        <f aca="false">Data_Prices!F213/Data_Prices!F212-1</f>
        <v>-0.0190752515587382</v>
      </c>
      <c r="G213" s="32" t="n">
        <f aca="false">Data_Prices!G213/Data_Prices!G212-1</f>
        <v>0.00909789851358278</v>
      </c>
      <c r="H213" s="32" t="n">
        <f aca="false">Data_Prices!H213/Data_Prices!H212-1</f>
        <v>-0.00925844281809363</v>
      </c>
      <c r="I213" s="32" t="n">
        <f aca="false">Data_Prices!I213/Data_Prices!I212-1</f>
        <v>0.0748776508972266</v>
      </c>
      <c r="J213" s="32" t="n">
        <f aca="false">Data_Prices!J213/Data_Prices!J212-1</f>
        <v>0.0132929959662633</v>
      </c>
      <c r="K213" s="32" t="n">
        <f aca="false">Data_Prices!K213/Data_Prices!K212-1</f>
        <v>-0.00276440164080627</v>
      </c>
      <c r="L213" s="32" t="n">
        <f aca="false">Data_Prices!L213/Data_Prices!L212-1</f>
        <v>-0.000673826068645966</v>
      </c>
      <c r="M213" s="32" t="n">
        <f aca="false">Data_Prices!M213/Data_Prices!M212-1</f>
        <v>-0.00115870225347614</v>
      </c>
      <c r="N213" s="32" t="n">
        <f aca="false">Data_Prices!N213/Data_Prices!N212-1</f>
        <v>0.00652728199898012</v>
      </c>
      <c r="O213" s="32" t="n">
        <f aca="false">Data_Prices!O213/Data_Prices!O212-1</f>
        <v>0.000583090379008722</v>
      </c>
      <c r="P213" s="32" t="n">
        <f aca="false">Data_Prices!P213/Data_Prices!P212-1</f>
        <v>0.0144507507144869</v>
      </c>
      <c r="Q213" s="32" t="n">
        <f aca="false">Data_Prices!Q213/Data_Prices!Q212-1</f>
        <v>0.0268989547038327</v>
      </c>
      <c r="R213" s="32" t="n">
        <f aca="false">Data_Prices!R213/Data_Prices!R212-1</f>
        <v>-0.0029204911193228</v>
      </c>
      <c r="S213" s="32" t="n">
        <f aca="false">Data_Prices!S213/Data_Prices!S212-1</f>
        <v>0.0138099791865893</v>
      </c>
      <c r="T213" s="32" t="n">
        <f aca="false">AVERAGE(D213:S213)</f>
        <v>0.00580774568953376</v>
      </c>
      <c r="U213" s="32" t="n">
        <f aca="false">AVERAGE(J213:S213)</f>
        <v>0.00680456318669099</v>
      </c>
      <c r="V213" s="32" t="n">
        <f aca="false">AVERAGE(D213:I213)</f>
        <v>0.0041463831942717</v>
      </c>
      <c r="W213" s="32" t="n">
        <f aca="false">AVERAGE(K213,Q213,R213)</f>
        <v>0.00707135398123456</v>
      </c>
      <c r="X213" s="32" t="n">
        <f aca="false">AVERAGE(K213,L213,N213,O213,P213,Q213,R213,S213)</f>
        <v>0.00698891726926534</v>
      </c>
      <c r="Y213" s="32" t="n">
        <f aca="false">AVERAGE(J213,L213,M213,N213,O213,P213,Q213,R213,S213)</f>
        <v>0.00786778150085736</v>
      </c>
      <c r="Z213" s="32" t="n">
        <f aca="false">U213-V213</f>
        <v>0.00265817999241929</v>
      </c>
      <c r="AA213" s="32" t="n">
        <f aca="false">W213-V213</f>
        <v>0.00292497078696286</v>
      </c>
    </row>
    <row r="214" customFormat="false" ht="15" hidden="false" customHeight="false" outlineLevel="0" collapsed="false">
      <c r="A214" s="28" t="n">
        <f aca="false">Data_Prices!A214</f>
        <v>45113</v>
      </c>
      <c r="B214" s="32" t="n">
        <f aca="false">Data_Prices!B214/Data_Prices!B213-1</f>
        <v>0.00509317730752379</v>
      </c>
      <c r="C214" s="32" t="n">
        <f aca="false">Data_Prices!C214/Data_Prices!C213-1</f>
        <v>0.00589557274721031</v>
      </c>
      <c r="D214" s="32" t="n">
        <f aca="false">Data_Prices!D214/Data_Prices!D213-1</f>
        <v>-0.00172044406933702</v>
      </c>
      <c r="E214" s="32" t="n">
        <f aca="false">Data_Prices!E214/Data_Prices!E213-1</f>
        <v>-0.000390167772141958</v>
      </c>
      <c r="F214" s="32" t="n">
        <f aca="false">Data_Prices!F214/Data_Prices!F213-1</f>
        <v>-0.0091881686595342</v>
      </c>
      <c r="G214" s="32" t="n">
        <f aca="false">Data_Prices!G214/Data_Prices!G213-1</f>
        <v>0.0114285714285713</v>
      </c>
      <c r="H214" s="32" t="n">
        <f aca="false">Data_Prices!H214/Data_Prices!H213-1</f>
        <v>0.0321288714845143</v>
      </c>
      <c r="I214" s="32" t="n">
        <f aca="false">Data_Prices!I214/Data_Prices!I213-1</f>
        <v>-0.0169980270147214</v>
      </c>
      <c r="J214" s="32" t="n">
        <f aca="false">Data_Prices!J214/Data_Prices!J213-1</f>
        <v>0.0109246358454718</v>
      </c>
      <c r="K214" s="32" t="n">
        <f aca="false">Data_Prices!K214/Data_Prices!K213-1</f>
        <v>-0.00924873213167932</v>
      </c>
      <c r="L214" s="32" t="n">
        <f aca="false">Data_Prices!L214/Data_Prices!L213-1</f>
        <v>-0.0176577184036412</v>
      </c>
      <c r="M214" s="32" t="n">
        <f aca="false">Data_Prices!M214/Data_Prices!M213-1</f>
        <v>0.0238409536381454</v>
      </c>
      <c r="N214" s="32" t="n">
        <f aca="false">Data_Prices!N214/Data_Prices!N213-1</f>
        <v>0.00836964231431758</v>
      </c>
      <c r="O214" s="32" t="n">
        <f aca="false">Data_Prices!O214/Data_Prices!O213-1</f>
        <v>-0.00655594405594406</v>
      </c>
      <c r="P214" s="32" t="n">
        <f aca="false">Data_Prices!P214/Data_Prices!P213-1</f>
        <v>0.000238076343147542</v>
      </c>
      <c r="Q214" s="32" t="n">
        <f aca="false">Data_Prices!Q214/Data_Prices!Q213-1</f>
        <v>-0.017372421281216</v>
      </c>
      <c r="R214" s="32" t="n">
        <f aca="false">Data_Prices!R214/Data_Prices!R213-1</f>
        <v>0.00520054994321217</v>
      </c>
      <c r="S214" s="32" t="n">
        <f aca="false">Data_Prices!S214/Data_Prices!S213-1</f>
        <v>-0.0171452351227632</v>
      </c>
      <c r="T214" s="32" t="n">
        <f aca="false">AVERAGE(D214:S214)</f>
        <v>-0.00025909734459989</v>
      </c>
      <c r="U214" s="32" t="n">
        <f aca="false">AVERAGE(J214:S214)</f>
        <v>-0.00194061929109492</v>
      </c>
      <c r="V214" s="32" t="n">
        <f aca="false">AVERAGE(D214:I214)</f>
        <v>0.00254343923289183</v>
      </c>
      <c r="W214" s="32" t="n">
        <f aca="false">AVERAGE(K214,Q214,R214)</f>
        <v>-0.00714020115656104</v>
      </c>
      <c r="X214" s="32" t="n">
        <f aca="false">AVERAGE(K214,L214,N214,O214,P214,Q214,R214,S214)</f>
        <v>-0.00677147279932081</v>
      </c>
      <c r="Y214" s="32" t="n">
        <f aca="false">AVERAGE(J214,L214,M214,N214,O214,P214,Q214,R214,S214)</f>
        <v>-0.00112860675325221</v>
      </c>
      <c r="Z214" s="32" t="n">
        <f aca="false">U214-V214</f>
        <v>-0.00448405852398676</v>
      </c>
      <c r="AA214" s="32" t="n">
        <f aca="false">W214-V214</f>
        <v>-0.00968364038945287</v>
      </c>
    </row>
    <row r="215" customFormat="false" ht="15" hidden="false" customHeight="false" outlineLevel="0" collapsed="false">
      <c r="A215" s="28" t="n">
        <f aca="false">Data_Prices!A215</f>
        <v>45114</v>
      </c>
      <c r="B215" s="32" t="n">
        <f aca="false">Data_Prices!B215/Data_Prices!B214-1</f>
        <v>-0.00848835479784382</v>
      </c>
      <c r="C215" s="32" t="n">
        <f aca="false">Data_Prices!C215/Data_Prices!C214-1</f>
        <v>-0.00779572388222849</v>
      </c>
      <c r="D215" s="32" t="n">
        <f aca="false">Data_Prices!D215/Data_Prices!D214-1</f>
        <v>0.0170715052190029</v>
      </c>
      <c r="E215" s="32" t="n">
        <f aca="false">Data_Prices!E215/Data_Prices!E214-1</f>
        <v>0.00709081446786364</v>
      </c>
      <c r="F215" s="32" t="n">
        <f aca="false">Data_Prices!F215/Data_Prices!F214-1</f>
        <v>-0.00470020325203258</v>
      </c>
      <c r="G215" s="32" t="n">
        <f aca="false">Data_Prices!G215/Data_Prices!G214-1</f>
        <v>-0.0210922787193973</v>
      </c>
      <c r="H215" s="32" t="n">
        <f aca="false">Data_Prices!H215/Data_Prices!H214-1</f>
        <v>0.00569112701560748</v>
      </c>
      <c r="I215" s="32" t="n">
        <f aca="false">Data_Prices!I215/Data_Prices!I214-1</f>
        <v>-0.0250115794349236</v>
      </c>
      <c r="J215" s="32" t="n">
        <f aca="false">Data_Prices!J215/Data_Prices!J214-1</f>
        <v>0.00962076294887582</v>
      </c>
      <c r="K215" s="32" t="n">
        <f aca="false">Data_Prices!K215/Data_Prices!K214-1</f>
        <v>-0.0185283082120247</v>
      </c>
      <c r="L215" s="32" t="n">
        <f aca="false">Data_Prices!L215/Data_Prices!L214-1</f>
        <v>0.00965250965250974</v>
      </c>
      <c r="M215" s="32" t="n">
        <f aca="false">Data_Prices!M215/Data_Prices!M214-1</f>
        <v>0.00164094549716731</v>
      </c>
      <c r="N215" s="32" t="n">
        <f aca="false">Data_Prices!N215/Data_Prices!N214-1</f>
        <v>-0.00458217774026282</v>
      </c>
      <c r="O215" s="32" t="n">
        <f aca="false">Data_Prices!O215/Data_Prices!O214-1</f>
        <v>-0.0356357237131544</v>
      </c>
      <c r="P215" s="32" t="n">
        <f aca="false">Data_Prices!P215/Data_Prices!P214-1</f>
        <v>0.00622818152967297</v>
      </c>
      <c r="Q215" s="32" t="n">
        <f aca="false">Data_Prices!Q215/Data_Prices!Q214-1</f>
        <v>-0.00069060773480667</v>
      </c>
      <c r="R215" s="32" t="n">
        <f aca="false">Data_Prices!R215/Data_Prices!R214-1</f>
        <v>-0.00487630827783048</v>
      </c>
      <c r="S215" s="32" t="n">
        <f aca="false">Data_Prices!S215/Data_Prices!S214-1</f>
        <v>-0.0297795466734411</v>
      </c>
      <c r="T215" s="32" t="n">
        <f aca="false">AVERAGE(D215:S215)</f>
        <v>-0.00549380546419836</v>
      </c>
      <c r="U215" s="32" t="n">
        <f aca="false">AVERAGE(J215:S215)</f>
        <v>-0.00669502727232942</v>
      </c>
      <c r="V215" s="32" t="n">
        <f aca="false">AVERAGE(D215:I215)</f>
        <v>-0.00349176911731325</v>
      </c>
      <c r="W215" s="32" t="n">
        <f aca="false">AVERAGE(K215,Q215,R215)</f>
        <v>-0.00803174140822061</v>
      </c>
      <c r="X215" s="32" t="n">
        <f aca="false">AVERAGE(K215,L215,N215,O215,P215,Q215,R215,S215)</f>
        <v>-0.00977649764616717</v>
      </c>
      <c r="Y215" s="32" t="n">
        <f aca="false">AVERAGE(J215,L215,M215,N215,O215,P215,Q215,R215,S215)</f>
        <v>-0.00538021827902995</v>
      </c>
      <c r="Z215" s="32" t="n">
        <f aca="false">U215-V215</f>
        <v>-0.00320325815501618</v>
      </c>
      <c r="AA215" s="32" t="n">
        <f aca="false">W215-V215</f>
        <v>-0.00453997229090736</v>
      </c>
    </row>
    <row r="216" customFormat="false" ht="15" hidden="false" customHeight="false" outlineLevel="0" collapsed="false">
      <c r="A216" s="28" t="n">
        <f aca="false">Data_Prices!A216</f>
        <v>45117</v>
      </c>
      <c r="B216" s="32" t="n">
        <f aca="false">Data_Prices!B216/Data_Prices!B215-1</f>
        <v>0.00124665059642681</v>
      </c>
      <c r="C216" s="32" t="n">
        <f aca="false">Data_Prices!C216/Data_Prices!C215-1</f>
        <v>-0.00067311000971948</v>
      </c>
      <c r="D216" s="32" t="n">
        <f aca="false">Data_Prices!D216/Data_Prices!D215-1</f>
        <v>-0.0117654581494981</v>
      </c>
      <c r="E216" s="32" t="n">
        <f aca="false">Data_Prices!E216/Data_Prices!E215-1</f>
        <v>0.0056197920031007</v>
      </c>
      <c r="F216" s="32" t="n">
        <f aca="false">Data_Prices!F216/Data_Prices!F215-1</f>
        <v>0.00644543714103385</v>
      </c>
      <c r="G216" s="32" t="n">
        <f aca="false">Data_Prices!G216/Data_Prices!G215-1</f>
        <v>0.00012825445684217</v>
      </c>
      <c r="H216" s="32" t="n">
        <f aca="false">Data_Prices!H216/Data_Prices!H215-1</f>
        <v>0.0306096201663379</v>
      </c>
      <c r="I216" s="32" t="n">
        <f aca="false">Data_Prices!I216/Data_Prices!I215-1</f>
        <v>-0.00665083135391931</v>
      </c>
      <c r="J216" s="32" t="n">
        <f aca="false">Data_Prices!J216/Data_Prices!J215-1</f>
        <v>-0.0125872576177286</v>
      </c>
      <c r="K216" s="32" t="n">
        <f aca="false">Data_Prices!K216/Data_Prices!K215-1</f>
        <v>-0.0116920651602733</v>
      </c>
      <c r="L216" s="32" t="n">
        <f aca="false">Data_Prices!L216/Data_Prices!L215-1</f>
        <v>-0.0215848735925218</v>
      </c>
      <c r="M216" s="32" t="n">
        <f aca="false">Data_Prices!M216/Data_Prices!M215-1</f>
        <v>-0.00982954323828833</v>
      </c>
      <c r="N216" s="32" t="n">
        <f aca="false">Data_Prices!N216/Data_Prices!N215-1</f>
        <v>0.0591156874621441</v>
      </c>
      <c r="O216" s="32" t="n">
        <f aca="false">Data_Prices!O216/Data_Prices!O215-1</f>
        <v>-0.000912408759124128</v>
      </c>
      <c r="P216" s="32" t="n">
        <f aca="false">Data_Prices!P216/Data_Prices!P215-1</f>
        <v>-0.0101714961561207</v>
      </c>
      <c r="Q216" s="32" t="n">
        <f aca="false">Data_Prices!Q216/Data_Prices!Q215-1</f>
        <v>0.00317899101589481</v>
      </c>
      <c r="R216" s="32" t="n">
        <f aca="false">Data_Prices!R216/Data_Prices!R215-1</f>
        <v>-0.00101589578104466</v>
      </c>
      <c r="S216" s="32" t="n">
        <f aca="false">Data_Prices!S216/Data_Prices!S215-1</f>
        <v>0.00267659723030356</v>
      </c>
      <c r="T216" s="32" t="n">
        <f aca="false">AVERAGE(D216:S216)</f>
        <v>0.00134778435419614</v>
      </c>
      <c r="U216" s="32" t="n">
        <f aca="false">AVERAGE(J216:S216)</f>
        <v>-0.000282226459675905</v>
      </c>
      <c r="V216" s="32" t="n">
        <f aca="false">AVERAGE(D216:I216)</f>
        <v>0.00406446904398287</v>
      </c>
      <c r="W216" s="32" t="n">
        <f aca="false">AVERAGE(K216,Q216,R216)</f>
        <v>-0.00317632330847439</v>
      </c>
      <c r="X216" s="32" t="n">
        <f aca="false">AVERAGE(K216,L216,N216,O216,P216,Q216,R216,S216)</f>
        <v>0.00244931703240724</v>
      </c>
      <c r="Y216" s="32" t="n">
        <f aca="false">AVERAGE(J216,L216,M216,N216,O216,P216,Q216,R216,S216)</f>
        <v>0.000985533395946031</v>
      </c>
      <c r="Z216" s="32" t="n">
        <f aca="false">U216-V216</f>
        <v>-0.00434669550365878</v>
      </c>
      <c r="AA216" s="32" t="n">
        <f aca="false">W216-V216</f>
        <v>-0.00724079235245726</v>
      </c>
    </row>
    <row r="217" customFormat="false" ht="15" hidden="false" customHeight="false" outlineLevel="0" collapsed="false">
      <c r="A217" s="28" t="n">
        <f aca="false">Data_Prices!A217</f>
        <v>45118</v>
      </c>
      <c r="B217" s="32" t="n">
        <f aca="false">Data_Prices!B217/Data_Prices!B216-1</f>
        <v>0.00431393011949854</v>
      </c>
      <c r="C217" s="32" t="n">
        <f aca="false">Data_Prices!C217/Data_Prices!C216-1</f>
        <v>0.00569357396360348</v>
      </c>
      <c r="D217" s="32" t="n">
        <f aca="false">Data_Prices!D217/Data_Prices!D216-1</f>
        <v>0.00472339048851511</v>
      </c>
      <c r="E217" s="32" t="n">
        <f aca="false">Data_Prices!E217/Data_Prices!E216-1</f>
        <v>0.00578108941418298</v>
      </c>
      <c r="F217" s="32" t="n">
        <f aca="false">Data_Prices!F217/Data_Prices!F216-1</f>
        <v>0.0071650497749034</v>
      </c>
      <c r="G217" s="32" t="n">
        <f aca="false">Data_Prices!G217/Data_Prices!G216-1</f>
        <v>0.00756604257501925</v>
      </c>
      <c r="H217" s="32" t="n">
        <f aca="false">Data_Prices!H217/Data_Prices!H216-1</f>
        <v>0.00865224625623973</v>
      </c>
      <c r="I217" s="32" t="n">
        <f aca="false">Data_Prices!I217/Data_Prices!I216-1</f>
        <v>0.00701418778893692</v>
      </c>
      <c r="J217" s="32" t="n">
        <f aca="false">Data_Prices!J217/Data_Prices!J216-1</f>
        <v>0.00657584666831257</v>
      </c>
      <c r="K217" s="32" t="n">
        <f aca="false">Data_Prices!K217/Data_Prices!K216-1</f>
        <v>-0.0118436793832247</v>
      </c>
      <c r="L217" s="32" t="n">
        <f aca="false">Data_Prices!L217/Data_Prices!L216-1</f>
        <v>-0.0168063577539409</v>
      </c>
      <c r="M217" s="32" t="n">
        <f aca="false">Data_Prices!M217/Data_Prices!M216-1</f>
        <v>0.018081544219027</v>
      </c>
      <c r="N217" s="32" t="n">
        <f aca="false">Data_Prices!N217/Data_Prices!N216-1</f>
        <v>-0.00331693926569832</v>
      </c>
      <c r="O217" s="32" t="n">
        <f aca="false">Data_Prices!O217/Data_Prices!O216-1</f>
        <v>-0.00791476407914771</v>
      </c>
      <c r="P217" s="32" t="n">
        <f aca="false">Data_Prices!P217/Data_Prices!P216-1</f>
        <v>0.0123471541801092</v>
      </c>
      <c r="Q217" s="32" t="n">
        <f aca="false">Data_Prices!Q217/Data_Prices!Q216-1</f>
        <v>0.00523560209424101</v>
      </c>
      <c r="R217" s="32" t="n">
        <f aca="false">Data_Prices!R217/Data_Prices!R216-1</f>
        <v>-0.00185439971286727</v>
      </c>
      <c r="S217" s="32" t="n">
        <f aca="false">Data_Prices!S217/Data_Prices!S216-1</f>
        <v>0.0217618384401115</v>
      </c>
      <c r="T217" s="32" t="n">
        <f aca="false">AVERAGE(D217:S217)</f>
        <v>0.00394799073154498</v>
      </c>
      <c r="U217" s="32" t="n">
        <f aca="false">AVERAGE(J217:S217)</f>
        <v>0.00222658454069223</v>
      </c>
      <c r="V217" s="32" t="n">
        <f aca="false">AVERAGE(D217:I217)</f>
        <v>0.0068170010496329</v>
      </c>
      <c r="W217" s="32" t="n">
        <f aca="false">AVERAGE(K217,Q217,R217)</f>
        <v>-0.00282082566728366</v>
      </c>
      <c r="X217" s="32" t="n">
        <f aca="false">AVERAGE(K217,L217,N217,O217,P217,Q217,R217,S217)</f>
        <v>-0.00029894318505215</v>
      </c>
      <c r="Y217" s="32" t="n">
        <f aca="false">AVERAGE(J217,L217,M217,N217,O217,P217,Q217,R217,S217)</f>
        <v>0.00378994719890523</v>
      </c>
      <c r="Z217" s="32" t="n">
        <f aca="false">U217-V217</f>
        <v>-0.00459041650894067</v>
      </c>
      <c r="AA217" s="32" t="n">
        <f aca="false">W217-V217</f>
        <v>-0.00963782671691656</v>
      </c>
    </row>
    <row r="218" customFormat="false" ht="15" hidden="false" customHeight="false" outlineLevel="0" collapsed="false">
      <c r="A218" s="28" t="n">
        <f aca="false">Data_Prices!A218</f>
        <v>45119</v>
      </c>
      <c r="B218" s="32" t="n">
        <f aca="false">Data_Prices!B218/Data_Prices!B217-1</f>
        <v>-0.00283444962293089</v>
      </c>
      <c r="C218" s="32" t="n">
        <f aca="false">Data_Prices!C218/Data_Prices!C217-1</f>
        <v>-0.000417467563671337</v>
      </c>
      <c r="D218" s="32" t="n">
        <f aca="false">Data_Prices!D218/Data_Prices!D217-1</f>
        <v>-0.00247939206594539</v>
      </c>
      <c r="E218" s="32" t="n">
        <f aca="false">Data_Prices!E218/Data_Prices!E217-1</f>
        <v>0.0159662792182911</v>
      </c>
      <c r="F218" s="32" t="n">
        <f aca="false">Data_Prices!F218/Data_Prices!F217-1</f>
        <v>0.00547720977083843</v>
      </c>
      <c r="G218" s="32" t="n">
        <f aca="false">Data_Prices!G218/Data_Prices!G217-1</f>
        <v>-0.000254550082728788</v>
      </c>
      <c r="H218" s="32" t="n">
        <f aca="false">Data_Prices!H218/Data_Prices!H217-1</f>
        <v>0.00915539425932033</v>
      </c>
      <c r="I218" s="32" t="n">
        <f aca="false">Data_Prices!I218/Data_Prices!I217-1</f>
        <v>-0.0183631470634795</v>
      </c>
      <c r="J218" s="32" t="n">
        <f aca="false">Data_Prices!J218/Data_Prices!J217-1</f>
        <v>-0.00700111482720167</v>
      </c>
      <c r="K218" s="32" t="n">
        <f aca="false">Data_Prices!K218/Data_Prices!K217-1</f>
        <v>-0.00162767860746049</v>
      </c>
      <c r="L218" s="32" t="n">
        <f aca="false">Data_Prices!L218/Data_Prices!L217-1</f>
        <v>0.0146201413427562</v>
      </c>
      <c r="M218" s="32" t="n">
        <f aca="false">Data_Prices!M218/Data_Prices!M217-1</f>
        <v>0.00297941495124587</v>
      </c>
      <c r="N218" s="32" t="n">
        <f aca="false">Data_Prices!N218/Data_Prices!N217-1</f>
        <v>0.00770790299135493</v>
      </c>
      <c r="O218" s="32" t="n">
        <f aca="false">Data_Prices!O218/Data_Prices!O217-1</f>
        <v>-0.00490948143602321</v>
      </c>
      <c r="P218" s="32" t="n">
        <f aca="false">Data_Prices!P218/Data_Prices!P217-1</f>
        <v>0.0116457489082111</v>
      </c>
      <c r="Q218" s="32" t="n">
        <f aca="false">Data_Prices!Q218/Data_Prices!Q217-1</f>
        <v>0.00932017543859653</v>
      </c>
      <c r="R218" s="32" t="n">
        <f aca="false">Data_Prices!R218/Data_Prices!R217-1</f>
        <v>0.00425506412561427</v>
      </c>
      <c r="S218" s="32" t="n">
        <f aca="false">Data_Prices!S218/Data_Prices!S217-1</f>
        <v>0.0254444255125803</v>
      </c>
      <c r="T218" s="32" t="n">
        <f aca="false">AVERAGE(D218:S218)</f>
        <v>0.00449602452724813</v>
      </c>
      <c r="U218" s="32" t="n">
        <f aca="false">AVERAGE(J218:S218)</f>
        <v>0.00624345983996739</v>
      </c>
      <c r="V218" s="32" t="n">
        <f aca="false">AVERAGE(D218:I218)</f>
        <v>0.00158363233938269</v>
      </c>
      <c r="W218" s="32" t="n">
        <f aca="false">AVERAGE(K218,Q218,R218)</f>
        <v>0.00398252031891677</v>
      </c>
      <c r="X218" s="32" t="n">
        <f aca="false">AVERAGE(K218,L218,N218,O218,P218,Q218,R218,S218)</f>
        <v>0.00830703728445371</v>
      </c>
      <c r="Y218" s="32" t="n">
        <f aca="false">AVERAGE(J218,L218,M218,N218,O218,P218,Q218,R218,S218)</f>
        <v>0.00711803077857049</v>
      </c>
      <c r="Z218" s="32" t="n">
        <f aca="false">U218-V218</f>
        <v>0.0046598275005847</v>
      </c>
      <c r="AA218" s="32" t="n">
        <f aca="false">W218-V218</f>
        <v>0.00239888797953408</v>
      </c>
    </row>
    <row r="219" customFormat="false" ht="15" hidden="false" customHeight="false" outlineLevel="0" collapsed="false">
      <c r="A219" s="28" t="n">
        <f aca="false">Data_Prices!A219</f>
        <v>45120</v>
      </c>
      <c r="B219" s="32" t="n">
        <f aca="false">Data_Prices!B219/Data_Prices!B218-1</f>
        <v>0.00151927075003999</v>
      </c>
      <c r="C219" s="32" t="n">
        <f aca="false">Data_Prices!C219/Data_Prices!C218-1</f>
        <v>-0.00103058400761957</v>
      </c>
      <c r="D219" s="32" t="n">
        <f aca="false">Data_Prices!D219/Data_Prices!D218-1</f>
        <v>-0.0152684076309759</v>
      </c>
      <c r="E219" s="32" t="n">
        <f aca="false">Data_Prices!E219/Data_Prices!E218-1</f>
        <v>-0.00402313301483526</v>
      </c>
      <c r="F219" s="32" t="n">
        <f aca="false">Data_Prices!F219/Data_Prices!F218-1</f>
        <v>-0.00262976645169355</v>
      </c>
      <c r="G219" s="32" t="n">
        <f aca="false">Data_Prices!G219/Data_Prices!G218-1</f>
        <v>-0.0147676639083386</v>
      </c>
      <c r="H219" s="32" t="n">
        <f aca="false">Data_Prices!H219/Data_Prices!H218-1</f>
        <v>0.0102165917449939</v>
      </c>
      <c r="I219" s="32" t="n">
        <f aca="false">Data_Prices!I219/Data_Prices!I218-1</f>
        <v>0.000161264312207754</v>
      </c>
      <c r="J219" s="32" t="n">
        <f aca="false">Data_Prices!J219/Data_Prices!J218-1</f>
        <v>-0.0251706484641639</v>
      </c>
      <c r="K219" s="32" t="n">
        <f aca="false">Data_Prices!K219/Data_Prices!K218-1</f>
        <v>0.00573984747635348</v>
      </c>
      <c r="L219" s="32" t="n">
        <f aca="false">Data_Prices!L219/Data_Prices!L218-1</f>
        <v>0.00195899177223446</v>
      </c>
      <c r="M219" s="32" t="n">
        <f aca="false">Data_Prices!M219/Data_Prices!M218-1</f>
        <v>-0.0234558851896145</v>
      </c>
      <c r="N219" s="32" t="n">
        <f aca="false">Data_Prices!N219/Data_Prices!N218-1</f>
        <v>-0.0107996279917248</v>
      </c>
      <c r="O219" s="32" t="n">
        <f aca="false">Data_Prices!O219/Data_Prices!O218-1</f>
        <v>-0.0120259019426459</v>
      </c>
      <c r="P219" s="32" t="n">
        <f aca="false">Data_Prices!P219/Data_Prices!P218-1</f>
        <v>-0.00606697001516754</v>
      </c>
      <c r="Q219" s="32" t="n">
        <f aca="false">Data_Prices!Q219/Data_Prices!Q218-1</f>
        <v>0.00271591526344372</v>
      </c>
      <c r="R219" s="32" t="n">
        <f aca="false">Data_Prices!R219/Data_Prices!R218-1</f>
        <v>-0.00250641522945638</v>
      </c>
      <c r="S219" s="32" t="n">
        <f aca="false">Data_Prices!S219/Data_Prices!S218-1</f>
        <v>-0.0091387427305456</v>
      </c>
      <c r="T219" s="32" t="n">
        <f aca="false">AVERAGE(D219:S219)</f>
        <v>-0.00656628449999554</v>
      </c>
      <c r="U219" s="32" t="n">
        <f aca="false">AVERAGE(J219:S219)</f>
        <v>-0.0078749437051287</v>
      </c>
      <c r="V219" s="32" t="n">
        <f aca="false">AVERAGE(D219:I219)</f>
        <v>-0.00438518582477362</v>
      </c>
      <c r="W219" s="32" t="n">
        <f aca="false">AVERAGE(K219,Q219,R219)</f>
        <v>0.00198311583678027</v>
      </c>
      <c r="X219" s="32" t="n">
        <f aca="false">AVERAGE(K219,L219,N219,O219,P219,Q219,R219,S219)</f>
        <v>-0.00376536292468857</v>
      </c>
      <c r="Y219" s="32" t="n">
        <f aca="false">AVERAGE(J219,L219,M219,N219,O219,P219,Q219,R219,S219)</f>
        <v>-0.00938769828084894</v>
      </c>
      <c r="Z219" s="32" t="n">
        <f aca="false">U219-V219</f>
        <v>-0.00348975788035509</v>
      </c>
      <c r="AA219" s="32" t="n">
        <f aca="false">W219-V219</f>
        <v>0.00636830166155389</v>
      </c>
    </row>
    <row r="220" customFormat="false" ht="15" hidden="false" customHeight="false" outlineLevel="0" collapsed="false">
      <c r="A220" s="28" t="n">
        <f aca="false">Data_Prices!A220</f>
        <v>45121</v>
      </c>
      <c r="B220" s="32" t="n">
        <f aca="false">Data_Prices!B220/Data_Prices!B219-1</f>
        <v>0.00776511493142751</v>
      </c>
      <c r="C220" s="32" t="n">
        <f aca="false">Data_Prices!C220/Data_Prices!C219-1</f>
        <v>0.00851484910279776</v>
      </c>
      <c r="D220" s="32" t="n">
        <f aca="false">Data_Prices!D220/Data_Prices!D219-1</f>
        <v>0.0218645512358227</v>
      </c>
      <c r="E220" s="32" t="n">
        <f aca="false">Data_Prices!E220/Data_Prices!E219-1</f>
        <v>0.0128755364806865</v>
      </c>
      <c r="F220" s="32" t="n">
        <f aca="false">Data_Prices!F220/Data_Prices!F219-1</f>
        <v>0.00904011551258699</v>
      </c>
      <c r="G220" s="32" t="n">
        <f aca="false">Data_Prices!G220/Data_Prices!G219-1</f>
        <v>0.0143429383641298</v>
      </c>
      <c r="H220" s="32" t="n">
        <f aca="false">Data_Prices!H220/Data_Prices!H219-1</f>
        <v>0.00372168284789631</v>
      </c>
      <c r="I220" s="32" t="n">
        <f aca="false">Data_Prices!I220/Data_Prices!I219-1</f>
        <v>0.0209609803289261</v>
      </c>
      <c r="J220" s="32" t="n">
        <f aca="false">Data_Prices!J220/Data_Prices!J219-1</f>
        <v>0.000414603247725465</v>
      </c>
      <c r="K220" s="32" t="n">
        <f aca="false">Data_Prices!K220/Data_Prices!K219-1</f>
        <v>0.00104496007716626</v>
      </c>
      <c r="L220" s="32" t="n">
        <f aca="false">Data_Prices!L220/Data_Prices!L219-1</f>
        <v>0.0117744177963155</v>
      </c>
      <c r="M220" s="32" t="n">
        <f aca="false">Data_Prices!M220/Data_Prices!M219-1</f>
        <v>0.00794058388970087</v>
      </c>
      <c r="N220" s="32" t="n">
        <f aca="false">Data_Prices!N220/Data_Prices!N219-1</f>
        <v>0.0200506542845083</v>
      </c>
      <c r="O220" s="32" t="n">
        <f aca="false">Data_Prices!O220/Data_Prices!O219-1</f>
        <v>-0.0126404494382021</v>
      </c>
      <c r="P220" s="32" t="n">
        <f aca="false">Data_Prices!P220/Data_Prices!P219-1</f>
        <v>0.0233986774660564</v>
      </c>
      <c r="Q220" s="32" t="n">
        <f aca="false">Data_Prices!Q220/Data_Prices!Q219-1</f>
        <v>-0.000541711809317391</v>
      </c>
      <c r="R220" s="32" t="n">
        <f aca="false">Data_Prices!R220/Data_Prices!R219-1</f>
        <v>0.00484594675441219</v>
      </c>
      <c r="S220" s="32" t="n">
        <f aca="false">Data_Prices!S220/Data_Prices!S219-1</f>
        <v>-0.00285075461151496</v>
      </c>
      <c r="T220" s="32" t="n">
        <f aca="false">AVERAGE(D220:S220)</f>
        <v>0.00851517077668118</v>
      </c>
      <c r="U220" s="32" t="n">
        <f aca="false">AVERAGE(J220:S220)</f>
        <v>0.00534369276568505</v>
      </c>
      <c r="V220" s="32" t="n">
        <f aca="false">AVERAGE(D220:I220)</f>
        <v>0.0138009674616747</v>
      </c>
      <c r="W220" s="32" t="n">
        <f aca="false">AVERAGE(K220,Q220,R220)</f>
        <v>0.00178306500742035</v>
      </c>
      <c r="X220" s="32" t="n">
        <f aca="false">AVERAGE(K220,L220,N220,O220,P220,Q220,R220,S220)</f>
        <v>0.00563521756492802</v>
      </c>
      <c r="Y220" s="32" t="n">
        <f aca="false">AVERAGE(J220,L220,M220,N220,O220,P220,Q220,R220,S220)</f>
        <v>0.00582132973107603</v>
      </c>
      <c r="Z220" s="32" t="n">
        <f aca="false">U220-V220</f>
        <v>-0.00845727469598968</v>
      </c>
      <c r="AA220" s="32" t="n">
        <f aca="false">W220-V220</f>
        <v>-0.0120179024542544</v>
      </c>
    </row>
    <row r="221" customFormat="false" ht="15" hidden="false" customHeight="false" outlineLevel="0" collapsed="false">
      <c r="A221" s="28" t="n">
        <f aca="false">Data_Prices!A221</f>
        <v>45124</v>
      </c>
      <c r="B221" s="32" t="n">
        <f aca="false">Data_Prices!B221/Data_Prices!B220-1</f>
        <v>0.00751105318306111</v>
      </c>
      <c r="C221" s="32" t="n">
        <f aca="false">Data_Prices!C221/Data_Prices!C220-1</f>
        <v>0.00635831427131373</v>
      </c>
      <c r="D221" s="32" t="n">
        <f aca="false">Data_Prices!D221/Data_Prices!D220-1</f>
        <v>-0.017707631604273</v>
      </c>
      <c r="E221" s="32" t="n">
        <f aca="false">Data_Prices!E221/Data_Prices!E220-1</f>
        <v>0.0117148554336988</v>
      </c>
      <c r="F221" s="32" t="n">
        <f aca="false">Data_Prices!F221/Data_Prices!F220-1</f>
        <v>-0.00976793380202823</v>
      </c>
      <c r="G221" s="32" t="n">
        <f aca="false">Data_Prices!G221/Data_Prices!G220-1</f>
        <v>-0.00675159235668787</v>
      </c>
      <c r="H221" s="32" t="n">
        <f aca="false">Data_Prices!H221/Data_Prices!H220-1</f>
        <v>0.0372400451394488</v>
      </c>
      <c r="I221" s="32" t="n">
        <f aca="false">Data_Prices!I221/Data_Prices!I220-1</f>
        <v>-0.00789639924194563</v>
      </c>
      <c r="J221" s="32" t="n">
        <f aca="false">Data_Prices!J221/Data_Prices!J220-1</f>
        <v>0.0144360279050491</v>
      </c>
      <c r="K221" s="32" t="n">
        <f aca="false">Data_Prices!K221/Data_Prices!K220-1</f>
        <v>0.00381413773721273</v>
      </c>
      <c r="L221" s="32" t="n">
        <f aca="false">Data_Prices!L221/Data_Prices!L220-1</f>
        <v>0.000257654485335213</v>
      </c>
      <c r="M221" s="32" t="n">
        <f aca="false">Data_Prices!M221/Data_Prices!M220-1</f>
        <v>0.0130124637453946</v>
      </c>
      <c r="N221" s="32" t="n">
        <f aca="false">Data_Prices!N221/Data_Prices!N220-1</f>
        <v>0.00630137501645889</v>
      </c>
      <c r="O221" s="32" t="n">
        <f aca="false">Data_Prices!O221/Data_Prices!O220-1</f>
        <v>0.010747589694958</v>
      </c>
      <c r="P221" s="32" t="n">
        <f aca="false">Data_Prices!P221/Data_Prices!P220-1</f>
        <v>0.00225578283311023</v>
      </c>
      <c r="Q221" s="32" t="n">
        <f aca="false">Data_Prices!Q221/Data_Prices!Q220-1</f>
        <v>-0.00582655826558265</v>
      </c>
      <c r="R221" s="32" t="n">
        <f aca="false">Data_Prices!R221/Data_Prices!R220-1</f>
        <v>0.00887115979995246</v>
      </c>
      <c r="S221" s="32" t="n">
        <f aca="false">Data_Prices!S221/Data_Prices!S220-1</f>
        <v>-0.00807220135657827</v>
      </c>
      <c r="T221" s="32" t="n">
        <f aca="false">AVERAGE(D221:S221)</f>
        <v>0.00328929844772019</v>
      </c>
      <c r="U221" s="32" t="n">
        <f aca="false">AVERAGE(J221:S221)</f>
        <v>0.00457974315953102</v>
      </c>
      <c r="V221" s="32" t="n">
        <f aca="false">AVERAGE(D221:I221)</f>
        <v>0.0011385572613688</v>
      </c>
      <c r="W221" s="32" t="n">
        <f aca="false">AVERAGE(K221,Q221,R221)</f>
        <v>0.00228624642386085</v>
      </c>
      <c r="X221" s="32" t="n">
        <f aca="false">AVERAGE(K221,L221,N221,O221,P221,Q221,R221,S221)</f>
        <v>0.00229361749310833</v>
      </c>
      <c r="Y221" s="32" t="n">
        <f aca="false">AVERAGE(J221,L221,M221,N221,O221,P221,Q221,R221,S221)</f>
        <v>0.0046648104286775</v>
      </c>
      <c r="Z221" s="32" t="n">
        <f aca="false">U221-V221</f>
        <v>0.00344118589816222</v>
      </c>
      <c r="AA221" s="32" t="n">
        <f aca="false">W221-V221</f>
        <v>0.00114768916249205</v>
      </c>
    </row>
    <row r="222" customFormat="false" ht="15" hidden="false" customHeight="false" outlineLevel="0" collapsed="false">
      <c r="A222" s="28" t="n">
        <f aca="false">Data_Prices!A222</f>
        <v>45125</v>
      </c>
      <c r="B222" s="32" t="n">
        <f aca="false">Data_Prices!B222/Data_Prices!B221-1</f>
        <v>0.00191766714270125</v>
      </c>
      <c r="C222" s="32" t="n">
        <f aca="false">Data_Prices!C222/Data_Prices!C221-1</f>
        <v>-2.96348102335475E-006</v>
      </c>
      <c r="D222" s="32" t="n">
        <f aca="false">Data_Prices!D222/Data_Prices!D221-1</f>
        <v>0.0140753077953037</v>
      </c>
      <c r="E222" s="32" t="n">
        <f aca="false">Data_Prices!E222/Data_Prices!E221-1</f>
        <v>-0.017430401576743</v>
      </c>
      <c r="F222" s="32" t="n">
        <f aca="false">Data_Prices!F222/Data_Prices!F221-1</f>
        <v>0.00402111083186729</v>
      </c>
      <c r="G222" s="32" t="n">
        <f aca="false">Data_Prices!G222/Data_Prices!G221-1</f>
        <v>-0.0126971912273953</v>
      </c>
      <c r="H222" s="32" t="n">
        <f aca="false">Data_Prices!H222/Data_Prices!H221-1</f>
        <v>-0.0177183711532484</v>
      </c>
      <c r="I222" s="32" t="n">
        <f aca="false">Data_Prices!I222/Data_Prices!I221-1</f>
        <v>-0.0120980579433302</v>
      </c>
      <c r="J222" s="32" t="n">
        <f aca="false">Data_Prices!J222/Data_Prices!J221-1</f>
        <v>-0.0302768951429867</v>
      </c>
      <c r="K222" s="32" t="n">
        <f aca="false">Data_Prices!K222/Data_Prices!K221-1</f>
        <v>-0.0121055368165638</v>
      </c>
      <c r="L222" s="32" t="n">
        <f aca="false">Data_Prices!L222/Data_Prices!L221-1</f>
        <v>-0.0160563259348302</v>
      </c>
      <c r="M222" s="32" t="n">
        <f aca="false">Data_Prices!M222/Data_Prices!M221-1</f>
        <v>0.0114137584152287</v>
      </c>
      <c r="N222" s="32" t="n">
        <f aca="false">Data_Prices!N222/Data_Prices!N221-1</f>
        <v>0.00798160678903881</v>
      </c>
      <c r="O222" s="32" t="n">
        <f aca="false">Data_Prices!O222/Data_Prices!O221-1</f>
        <v>-0.00922595777951518</v>
      </c>
      <c r="P222" s="32" t="n">
        <f aca="false">Data_Prices!P222/Data_Prices!P221-1</f>
        <v>-0.0160219729915313</v>
      </c>
      <c r="Q222" s="32" t="n">
        <f aca="false">Data_Prices!Q222/Data_Prices!Q221-1</f>
        <v>0.0113125255554041</v>
      </c>
      <c r="R222" s="32" t="n">
        <f aca="false">Data_Prices!R222/Data_Prices!R221-1</f>
        <v>-0.00542933018589553</v>
      </c>
      <c r="S222" s="32" t="n">
        <f aca="false">Data_Prices!S222/Data_Prices!S221-1</f>
        <v>0.0082791749081661</v>
      </c>
      <c r="T222" s="32" t="n">
        <f aca="false">AVERAGE(D222:S222)</f>
        <v>-0.00574853477856443</v>
      </c>
      <c r="U222" s="32" t="n">
        <f aca="false">AVERAGE(J222:S222)</f>
        <v>-0.0050128953183485</v>
      </c>
      <c r="V222" s="32" t="n">
        <f aca="false">AVERAGE(D222:I222)</f>
        <v>-0.00697460054559098</v>
      </c>
      <c r="W222" s="32" t="n">
        <f aca="false">AVERAGE(K222,Q222,R222)</f>
        <v>-0.00207411381568508</v>
      </c>
      <c r="X222" s="32" t="n">
        <f aca="false">AVERAGE(K222,L222,N222,O222,P222,Q222,R222,S222)</f>
        <v>-0.00390822705696588</v>
      </c>
      <c r="Y222" s="32" t="n">
        <f aca="false">AVERAGE(J222,L222,M222,N222,O222,P222,Q222,R222,S222)</f>
        <v>-0.00422482404076902</v>
      </c>
      <c r="Z222" s="32" t="n">
        <f aca="false">U222-V222</f>
        <v>0.00196170522724248</v>
      </c>
      <c r="AA222" s="32" t="n">
        <f aca="false">W222-V222</f>
        <v>0.0049004867299059</v>
      </c>
    </row>
    <row r="223" customFormat="false" ht="15" hidden="false" customHeight="false" outlineLevel="0" collapsed="false">
      <c r="A223" s="28" t="n">
        <f aca="false">Data_Prices!A223</f>
        <v>45126</v>
      </c>
      <c r="B223" s="32" t="n">
        <f aca="false">Data_Prices!B223/Data_Prices!B222-1</f>
        <v>0.00424826259225042</v>
      </c>
      <c r="C223" s="32" t="n">
        <f aca="false">Data_Prices!C223/Data_Prices!C222-1</f>
        <v>0.00483048838312006</v>
      </c>
      <c r="D223" s="32" t="n">
        <f aca="false">Data_Prices!D223/Data_Prices!D222-1</f>
        <v>-0.00660182918974628</v>
      </c>
      <c r="E223" s="32" t="n">
        <f aca="false">Data_Prices!E223/Data_Prices!E222-1</f>
        <v>0.0258885476086002</v>
      </c>
      <c r="F223" s="32" t="n">
        <f aca="false">Data_Prices!F223/Data_Prices!F222-1</f>
        <v>0.00306633291614533</v>
      </c>
      <c r="G223" s="32" t="n">
        <f aca="false">Data_Prices!G223/Data_Prices!G222-1</f>
        <v>-0.00285788516497787</v>
      </c>
      <c r="H223" s="32" t="n">
        <f aca="false">Data_Prices!H223/Data_Prices!H222-1</f>
        <v>0.0134493670886076</v>
      </c>
      <c r="I223" s="32" t="n">
        <f aca="false">Data_Prices!I223/Data_Prices!I222-1</f>
        <v>-0.0130518852723172</v>
      </c>
      <c r="J223" s="32" t="n">
        <f aca="false">Data_Prices!J223/Data_Prices!J222-1</f>
        <v>-0.00997050975986524</v>
      </c>
      <c r="K223" s="32" t="n">
        <f aca="false">Data_Prices!K223/Data_Prices!K222-1</f>
        <v>0.0222000296900093</v>
      </c>
      <c r="L223" s="32" t="n">
        <f aca="false">Data_Prices!L223/Data_Prices!L222-1</f>
        <v>0.0212487455822679</v>
      </c>
      <c r="M223" s="32" t="n">
        <f aca="false">Data_Prices!M223/Data_Prices!M222-1</f>
        <v>-7.65081672468027E-005</v>
      </c>
      <c r="N223" s="32" t="n">
        <f aca="false">Data_Prices!N223/Data_Prices!N222-1</f>
        <v>0.000630505331479014</v>
      </c>
      <c r="O223" s="32" t="n">
        <f aca="false">Data_Prices!O223/Data_Prices!O222-1</f>
        <v>0.0096275252525253</v>
      </c>
      <c r="P223" s="32" t="n">
        <f aca="false">Data_Prices!P223/Data_Prices!P222-1</f>
        <v>0.00236489105993631</v>
      </c>
      <c r="Q223" s="32" t="n">
        <f aca="false">Data_Prices!Q223/Data_Prices!Q222-1</f>
        <v>-0.00552560646900269</v>
      </c>
      <c r="R223" s="32" t="n">
        <f aca="false">Data_Prices!R223/Data_Prices!R222-1</f>
        <v>0.0274135168812675</v>
      </c>
      <c r="S223" s="32" t="n">
        <f aca="false">Data_Prices!S223/Data_Prices!S222-1</f>
        <v>0.000896785584171722</v>
      </c>
      <c r="T223" s="32" t="n">
        <f aca="false">AVERAGE(D223:S223)</f>
        <v>0.00554387643574088</v>
      </c>
      <c r="U223" s="32" t="n">
        <f aca="false">AVERAGE(J223:S223)</f>
        <v>0.00688093749855423</v>
      </c>
      <c r="V223" s="32" t="n">
        <f aca="false">AVERAGE(D223:I223)</f>
        <v>0.00331544133105196</v>
      </c>
      <c r="W223" s="32" t="n">
        <f aca="false">AVERAGE(K223,Q223,R223)</f>
        <v>0.0146959800340914</v>
      </c>
      <c r="X223" s="32" t="n">
        <f aca="false">AVERAGE(K223,L223,N223,O223,P223,Q223,R223,S223)</f>
        <v>0.00985704911408179</v>
      </c>
      <c r="Y223" s="32" t="n">
        <f aca="false">AVERAGE(J223,L223,M223,N223,O223,P223,Q223,R223,S223)</f>
        <v>0.00517881614394811</v>
      </c>
      <c r="Z223" s="32" t="n">
        <f aca="false">U223-V223</f>
        <v>0.00356549616750227</v>
      </c>
      <c r="AA223" s="32" t="n">
        <f aca="false">W223-V223</f>
        <v>0.0113805387030394</v>
      </c>
    </row>
    <row r="224" customFormat="false" ht="15" hidden="false" customHeight="false" outlineLevel="0" collapsed="false">
      <c r="A224" s="28" t="n">
        <f aca="false">Data_Prices!A224</f>
        <v>45127</v>
      </c>
      <c r="B224" s="32" t="n">
        <f aca="false">Data_Prices!B224/Data_Prices!B223-1</f>
        <v>0.00736141258448608</v>
      </c>
      <c r="C224" s="32" t="n">
        <f aca="false">Data_Prices!C224/Data_Prices!C223-1</f>
        <v>0.00525260270740557</v>
      </c>
      <c r="D224" s="32" t="n">
        <f aca="false">Data_Prices!D224/Data_Prices!D223-1</f>
        <v>0.016468376179207</v>
      </c>
      <c r="E224" s="32" t="n">
        <f aca="false">Data_Prices!E224/Data_Prices!E223-1</f>
        <v>0.0156421850177197</v>
      </c>
      <c r="F224" s="32" t="n">
        <f aca="false">Data_Prices!F224/Data_Prices!F223-1</f>
        <v>0.011104872418741</v>
      </c>
      <c r="G224" s="32" t="n">
        <f aca="false">Data_Prices!G224/Data_Prices!G223-1</f>
        <v>0.0109431995831162</v>
      </c>
      <c r="H224" s="32" t="n">
        <f aca="false">Data_Prices!H224/Data_Prices!H223-1</f>
        <v>0.0186572989851679</v>
      </c>
      <c r="I224" s="32" t="n">
        <f aca="false">Data_Prices!I224/Data_Prices!I223-1</f>
        <v>0.011265306122449</v>
      </c>
      <c r="J224" s="32" t="n">
        <f aca="false">Data_Prices!J224/Data_Prices!J223-1</f>
        <v>-0.00113475177304967</v>
      </c>
      <c r="K224" s="32" t="n">
        <f aca="false">Data_Prices!K224/Data_Prices!K223-1</f>
        <v>0.0015710815378116</v>
      </c>
      <c r="L224" s="32" t="n">
        <f aca="false">Data_Prices!L224/Data_Prices!L223-1</f>
        <v>-0.0100401606425703</v>
      </c>
      <c r="M224" s="32" t="n">
        <f aca="false">Data_Prices!M224/Data_Prices!M223-1</f>
        <v>0.00688626190749453</v>
      </c>
      <c r="N224" s="32" t="n">
        <f aca="false">Data_Prices!N224/Data_Prices!N223-1</f>
        <v>0.0119720528549452</v>
      </c>
      <c r="O224" s="32" t="n">
        <f aca="false">Data_Prices!O224/Data_Prices!O223-1</f>
        <v>0.00468969829607624</v>
      </c>
      <c r="P224" s="32" t="n">
        <f aca="false">Data_Prices!P224/Data_Prices!P223-1</f>
        <v>0.00135370334558105</v>
      </c>
      <c r="Q224" s="32" t="n">
        <f aca="false">Data_Prices!Q224/Data_Prices!Q223-1</f>
        <v>0.00975741970456712</v>
      </c>
      <c r="R224" s="32" t="n">
        <f aca="false">Data_Prices!R224/Data_Prices!R223-1</f>
        <v>-0.0142073346809124</v>
      </c>
      <c r="S224" s="32" t="n">
        <f aca="false">Data_Prices!S224/Data_Prices!S223-1</f>
        <v>-0.00162396752064953</v>
      </c>
      <c r="T224" s="32" t="n">
        <f aca="false">AVERAGE(D224:S224)</f>
        <v>0.00583157758348092</v>
      </c>
      <c r="U224" s="32" t="n">
        <f aca="false">AVERAGE(J224:S224)</f>
        <v>0.000922400302929383</v>
      </c>
      <c r="V224" s="32" t="n">
        <f aca="false">AVERAGE(D224:I224)</f>
        <v>0.0140135397177335</v>
      </c>
      <c r="W224" s="32" t="n">
        <f aca="false">AVERAGE(K224,Q224,R224)</f>
        <v>-0.000959611146177893</v>
      </c>
      <c r="X224" s="32" t="n">
        <f aca="false">AVERAGE(K224,L224,N224,O224,P224,Q224,R224,S224)</f>
        <v>0.000434061611856121</v>
      </c>
      <c r="Y224" s="32" t="n">
        <f aca="false">AVERAGE(J224,L224,M224,N224,O224,P224,Q224,R224,S224)</f>
        <v>0.000850324610164691</v>
      </c>
      <c r="Z224" s="32" t="n">
        <f aca="false">U224-V224</f>
        <v>-0.0130911394148041</v>
      </c>
      <c r="AA224" s="32" t="n">
        <f aca="false">W224-V224</f>
        <v>-0.0149731508639114</v>
      </c>
    </row>
    <row r="225" customFormat="false" ht="15" hidden="false" customHeight="false" outlineLevel="0" collapsed="false">
      <c r="A225" s="28" t="n">
        <f aca="false">Data_Prices!A225</f>
        <v>45128</v>
      </c>
      <c r="B225" s="32" t="n">
        <f aca="false">Data_Prices!B225/Data_Prices!B224-1</f>
        <v>-0.0117197178058126</v>
      </c>
      <c r="C225" s="32" t="n">
        <f aca="false">Data_Prices!C225/Data_Prices!C224-1</f>
        <v>-0.00811204895980944</v>
      </c>
      <c r="D225" s="32" t="n">
        <f aca="false">Data_Prices!D225/Data_Prices!D224-1</f>
        <v>0.00436931908786464</v>
      </c>
      <c r="E225" s="32" t="n">
        <f aca="false">Data_Prices!E225/Data_Prices!E224-1</f>
        <v>0.00788112140536623</v>
      </c>
      <c r="F225" s="32" t="n">
        <f aca="false">Data_Prices!F225/Data_Prices!F224-1</f>
        <v>0.0023446658851114</v>
      </c>
      <c r="G225" s="32" t="n">
        <f aca="false">Data_Prices!G225/Data_Prices!G224-1</f>
        <v>-0.00554123711340204</v>
      </c>
      <c r="H225" s="32" t="n">
        <f aca="false">Data_Prices!H225/Data_Prices!H224-1</f>
        <v>-0.00344854011801665</v>
      </c>
      <c r="I225" s="32" t="n">
        <f aca="false">Data_Prices!I225/Data_Prices!I224-1</f>
        <v>-0.0153374233128835</v>
      </c>
      <c r="J225" s="32" t="n">
        <f aca="false">Data_Prices!J225/Data_Prices!J224-1</f>
        <v>-0.00470983622077048</v>
      </c>
      <c r="K225" s="32" t="n">
        <f aca="false">Data_Prices!K225/Data_Prices!K224-1</f>
        <v>-0.00196406680463468</v>
      </c>
      <c r="L225" s="32" t="n">
        <f aca="false">Data_Prices!L225/Data_Prices!L224-1</f>
        <v>-0.020542920029347</v>
      </c>
      <c r="M225" s="32" t="n">
        <f aca="false">Data_Prices!M225/Data_Prices!M224-1</f>
        <v>-0.0018617728637107</v>
      </c>
      <c r="N225" s="32" t="n">
        <f aca="false">Data_Prices!N225/Data_Prices!N224-1</f>
        <v>0.0105851112535484</v>
      </c>
      <c r="O225" s="32" t="n">
        <f aca="false">Data_Prices!O225/Data_Prices!O224-1</f>
        <v>-0.0273844717597636</v>
      </c>
      <c r="P225" s="32" t="n">
        <f aca="false">Data_Prices!P225/Data_Prices!P224-1</f>
        <v>-0.00598686751641564</v>
      </c>
      <c r="Q225" s="32" t="n">
        <f aca="false">Data_Prices!Q225/Data_Prices!Q224-1</f>
        <v>0.00724734934908056</v>
      </c>
      <c r="R225" s="32" t="n">
        <f aca="false">Data_Prices!R225/Data_Prices!R224-1</f>
        <v>-0.00837776085300845</v>
      </c>
      <c r="S225" s="32" t="n">
        <f aca="false">Data_Prices!S225/Data_Prices!S224-1</f>
        <v>0.0272877695824103</v>
      </c>
      <c r="T225" s="32" t="n">
        <f aca="false">AVERAGE(D225:S225)</f>
        <v>-0.00221497250178569</v>
      </c>
      <c r="U225" s="32" t="n">
        <f aca="false">AVERAGE(J225:S225)</f>
        <v>-0.00257074658626112</v>
      </c>
      <c r="V225" s="32" t="n">
        <f aca="false">AVERAGE(D225:I225)</f>
        <v>-0.00162201569432665</v>
      </c>
      <c r="W225" s="32" t="n">
        <f aca="false">AVERAGE(K225,Q225,R225)</f>
        <v>-0.00103149276952086</v>
      </c>
      <c r="X225" s="32" t="n">
        <f aca="false">AVERAGE(K225,L225,N225,O225,P225,Q225,R225,S225)</f>
        <v>-0.00239198209726625</v>
      </c>
      <c r="Y225" s="32" t="n">
        <f aca="false">AVERAGE(J225,L225,M225,N225,O225,P225,Q225,R225,S225)</f>
        <v>-0.00263815545088628</v>
      </c>
      <c r="Z225" s="32" t="n">
        <f aca="false">U225-V225</f>
        <v>-0.000948730891934472</v>
      </c>
      <c r="AA225" s="32" t="n">
        <f aca="false">W225-V225</f>
        <v>0.000590522924805788</v>
      </c>
    </row>
    <row r="226" customFormat="false" ht="15" hidden="false" customHeight="false" outlineLevel="0" collapsed="false">
      <c r="A226" s="28" t="n">
        <f aca="false">Data_Prices!A226</f>
        <v>45131</v>
      </c>
      <c r="B226" s="32" t="n">
        <f aca="false">Data_Prices!B226/Data_Prices!B225-1</f>
        <v>-0.00367941250949611</v>
      </c>
      <c r="C226" s="32" t="n">
        <f aca="false">Data_Prices!C226/Data_Prices!C225-1</f>
        <v>-0.00231597877463119</v>
      </c>
      <c r="D226" s="32" t="n">
        <f aca="false">Data_Prices!D226/Data_Prices!D225-1</f>
        <v>0.0183538676489268</v>
      </c>
      <c r="E226" s="32" t="n">
        <f aca="false">Data_Prices!E226/Data_Prices!E225-1</f>
        <v>0.0624365785232497</v>
      </c>
      <c r="F226" s="32" t="n">
        <f aca="false">Data_Prices!F226/Data_Prices!F225-1</f>
        <v>0.0270236995998769</v>
      </c>
      <c r="G226" s="32" t="n">
        <f aca="false">Data_Prices!G226/Data_Prices!G225-1</f>
        <v>0.011792147207464</v>
      </c>
      <c r="H226" s="32" t="n">
        <f aca="false">Data_Prices!H226/Data_Prices!H225-1</f>
        <v>0.0601353429713933</v>
      </c>
      <c r="I226" s="32" t="n">
        <f aca="false">Data_Prices!I226/Data_Prices!I225-1</f>
        <v>-0.0180357435645188</v>
      </c>
      <c r="J226" s="32" t="n">
        <f aca="false">Data_Prices!J226/Data_Prices!J225-1</f>
        <v>0.03317242527287</v>
      </c>
      <c r="K226" s="32" t="n">
        <f aca="false">Data_Prices!K226/Data_Prices!K225-1</f>
        <v>-1.32075970097345E-005</v>
      </c>
      <c r="L226" s="32" t="n">
        <f aca="false">Data_Prices!L226/Data_Prices!L225-1</f>
        <v>0.00934126459572582</v>
      </c>
      <c r="M226" s="32" t="n">
        <f aca="false">Data_Prices!M226/Data_Prices!M225-1</f>
        <v>0.0452988199467073</v>
      </c>
      <c r="N226" s="32" t="n">
        <f aca="false">Data_Prices!N226/Data_Prices!N225-1</f>
        <v>-0.00483844662305433</v>
      </c>
      <c r="O226" s="32" t="n">
        <f aca="false">Data_Prices!O226/Data_Prices!O225-1</f>
        <v>0.0278355463125899</v>
      </c>
      <c r="P226" s="32" t="n">
        <f aca="false">Data_Prices!P226/Data_Prices!P225-1</f>
        <v>0.00777151738877024</v>
      </c>
      <c r="Q226" s="32" t="n">
        <f aca="false">Data_Prices!Q226/Data_Prices!Q225-1</f>
        <v>-0.0181212524983345</v>
      </c>
      <c r="R226" s="32" t="n">
        <f aca="false">Data_Prices!R226/Data_Prices!R225-1</f>
        <v>0.0159517901453385</v>
      </c>
      <c r="S226" s="32" t="n">
        <f aca="false">Data_Prices!S226/Data_Prices!S225-1</f>
        <v>-0.0192192192192193</v>
      </c>
      <c r="T226" s="32" t="n">
        <f aca="false">AVERAGE(D226:S226)</f>
        <v>0.0161803206319235</v>
      </c>
      <c r="U226" s="32" t="n">
        <f aca="false">AVERAGE(J226:S226)</f>
        <v>0.00971792377243839</v>
      </c>
      <c r="V226" s="32" t="n">
        <f aca="false">AVERAGE(D226:I226)</f>
        <v>0.0269509820643987</v>
      </c>
      <c r="W226" s="32" t="n">
        <f aca="false">AVERAGE(K226,Q226,R226)</f>
        <v>-0.000727556650001904</v>
      </c>
      <c r="X226" s="32" t="n">
        <f aca="false">AVERAGE(K226,L226,N226,O226,P226,Q226,R226,S226)</f>
        <v>0.00233849906310082</v>
      </c>
      <c r="Y226" s="32" t="n">
        <f aca="false">AVERAGE(J226,L226,M226,N226,O226,P226,Q226,R226,S226)</f>
        <v>0.010799160591266</v>
      </c>
      <c r="Z226" s="32" t="n">
        <f aca="false">U226-V226</f>
        <v>-0.0172330582919603</v>
      </c>
      <c r="AA226" s="32" t="n">
        <f aca="false">W226-V226</f>
        <v>-0.0276785387144006</v>
      </c>
    </row>
    <row r="227" customFormat="false" ht="15" hidden="false" customHeight="false" outlineLevel="0" collapsed="false">
      <c r="A227" s="28" t="n">
        <f aca="false">Data_Prices!A227</f>
        <v>45132</v>
      </c>
      <c r="B227" s="32" t="n">
        <f aca="false">Data_Prices!B227/Data_Prices!B226-1</f>
        <v>0.000419370334505009</v>
      </c>
      <c r="C227" s="32" t="n">
        <f aca="false">Data_Prices!C227/Data_Prices!C226-1</f>
        <v>0.00188258035060462</v>
      </c>
      <c r="D227" s="32" t="n">
        <f aca="false">Data_Prices!D227/Data_Prices!D226-1</f>
        <v>0.00982226379794193</v>
      </c>
      <c r="E227" s="32" t="n">
        <f aca="false">Data_Prices!E227/Data_Prices!E226-1</f>
        <v>-0.0435417720096635</v>
      </c>
      <c r="F227" s="32" t="n">
        <f aca="false">Data_Prices!F227/Data_Prices!F226-1</f>
        <v>-0.013366099256773</v>
      </c>
      <c r="G227" s="32" t="n">
        <f aca="false">Data_Prices!G227/Data_Prices!G226-1</f>
        <v>0.00537909836065587</v>
      </c>
      <c r="H227" s="32" t="n">
        <f aca="false">Data_Prices!H227/Data_Prices!H226-1</f>
        <v>-0.00674597417670098</v>
      </c>
      <c r="I227" s="32" t="n">
        <f aca="false">Data_Prices!I227/Data_Prices!I226-1</f>
        <v>0.056770746368342</v>
      </c>
      <c r="J227" s="32" t="n">
        <f aca="false">Data_Prices!J227/Data_Prices!J226-1</f>
        <v>0.0165255017492174</v>
      </c>
      <c r="K227" s="32" t="n">
        <f aca="false">Data_Prices!K227/Data_Prices!K226-1</f>
        <v>0.00327552732027536</v>
      </c>
      <c r="L227" s="32" t="n">
        <f aca="false">Data_Prices!L227/Data_Prices!L226-1</f>
        <v>-0.0156720653075477</v>
      </c>
      <c r="M227" s="32" t="n">
        <f aca="false">Data_Prices!M227/Data_Prices!M226-1</f>
        <v>-0.00243991260014564</v>
      </c>
      <c r="N227" s="32" t="n">
        <f aca="false">Data_Prices!N227/Data_Prices!N226-1</f>
        <v>0.0170624226090756</v>
      </c>
      <c r="O227" s="32" t="n">
        <f aca="false">Data_Prices!O227/Data_Prices!O226-1</f>
        <v>-0.0171206225680934</v>
      </c>
      <c r="P227" s="32" t="n">
        <f aca="false">Data_Prices!P227/Data_Prices!P226-1</f>
        <v>0.0119915172546752</v>
      </c>
      <c r="Q227" s="32" t="n">
        <f aca="false">Data_Prices!Q227/Data_Prices!Q226-1</f>
        <v>0.0305333152395169</v>
      </c>
      <c r="R227" s="32" t="n">
        <f aca="false">Data_Prices!R227/Data_Prices!R226-1</f>
        <v>0.0193649685973483</v>
      </c>
      <c r="S227" s="32" t="n">
        <f aca="false">Data_Prices!S227/Data_Prices!S226-1</f>
        <v>0.0151422368201302</v>
      </c>
      <c r="T227" s="32" t="n">
        <f aca="false">AVERAGE(D227:S227)</f>
        <v>0.0054363220123909</v>
      </c>
      <c r="U227" s="32" t="n">
        <f aca="false">AVERAGE(J227:S227)</f>
        <v>0.00786628891144521</v>
      </c>
      <c r="V227" s="32" t="n">
        <f aca="false">AVERAGE(D227:I227)</f>
        <v>0.00138637718063372</v>
      </c>
      <c r="W227" s="32" t="n">
        <f aca="false">AVERAGE(K227,Q227,R227)</f>
        <v>0.0177246037190468</v>
      </c>
      <c r="X227" s="32" t="n">
        <f aca="false">AVERAGE(K227,L227,N227,O227,P227,Q227,R227,S227)</f>
        <v>0.00807216249567254</v>
      </c>
      <c r="Y227" s="32" t="n">
        <f aca="false">AVERAGE(J227,L227,M227,N227,O227,P227,Q227,R227,S227)</f>
        <v>0.0083763735326863</v>
      </c>
      <c r="Z227" s="32" t="n">
        <f aca="false">U227-V227</f>
        <v>0.00647991173081148</v>
      </c>
      <c r="AA227" s="32" t="n">
        <f aca="false">W227-V227</f>
        <v>0.0163382265384131</v>
      </c>
    </row>
    <row r="228" customFormat="false" ht="15" hidden="false" customHeight="false" outlineLevel="0" collapsed="false">
      <c r="A228" s="28" t="n">
        <f aca="false">Data_Prices!A228</f>
        <v>45133</v>
      </c>
      <c r="B228" s="32" t="n">
        <f aca="false">Data_Prices!B228/Data_Prices!B227-1</f>
        <v>0.00496427954432277</v>
      </c>
      <c r="C228" s="32" t="n">
        <f aca="false">Data_Prices!C228/Data_Prices!C227-1</f>
        <v>0.00462214962507912</v>
      </c>
      <c r="D228" s="32" t="n">
        <f aca="false">Data_Prices!D228/Data_Prices!D227-1</f>
        <v>-0.00188358808090161</v>
      </c>
      <c r="E228" s="32" t="n">
        <f aca="false">Data_Prices!E228/Data_Prices!E227-1</f>
        <v>-0.0939849624060151</v>
      </c>
      <c r="F228" s="32" t="n">
        <f aca="false">Data_Prices!F228/Data_Prices!F227-1</f>
        <v>0.0212016280906386</v>
      </c>
      <c r="G228" s="32" t="n">
        <f aca="false">Data_Prices!G228/Data_Prices!G227-1</f>
        <v>0.00828025477707017</v>
      </c>
      <c r="H228" s="32" t="n">
        <f aca="false">Data_Prices!H228/Data_Prices!H227-1</f>
        <v>-0.0447673994011538</v>
      </c>
      <c r="I228" s="32" t="n">
        <f aca="false">Data_Prices!I228/Data_Prices!I227-1</f>
        <v>0.00363406541317746</v>
      </c>
      <c r="J228" s="32" t="n">
        <f aca="false">Data_Prices!J228/Data_Prices!J227-1</f>
        <v>0.0363175293211973</v>
      </c>
      <c r="K228" s="32" t="n">
        <f aca="false">Data_Prices!K228/Data_Prices!K227-1</f>
        <v>-0.0227880096365241</v>
      </c>
      <c r="L228" s="32" t="n">
        <f aca="false">Data_Prices!L228/Data_Prices!L227-1</f>
        <v>0.0125510023061912</v>
      </c>
      <c r="M228" s="32" t="n">
        <f aca="false">Data_Prices!M228/Data_Prices!M227-1</f>
        <v>0.035264483627204</v>
      </c>
      <c r="N228" s="32" t="n">
        <f aca="false">Data_Prices!N228/Data_Prices!N227-1</f>
        <v>0.00773458901043811</v>
      </c>
      <c r="O228" s="32" t="n">
        <f aca="false">Data_Prices!O228/Data_Prices!O227-1</f>
        <v>0.0136183689627871</v>
      </c>
      <c r="P228" s="32" t="n">
        <f aca="false">Data_Prices!P228/Data_Prices!P227-1</f>
        <v>-0.00205745637430466</v>
      </c>
      <c r="Q228" s="32" t="n">
        <f aca="false">Data_Prices!Q228/Data_Prices!Q227-1</f>
        <v>-0.00355543850408213</v>
      </c>
      <c r="R228" s="32" t="n">
        <f aca="false">Data_Prices!R228/Data_Prices!R227-1</f>
        <v>-0.00610417023218668</v>
      </c>
      <c r="S228" s="32" t="n">
        <f aca="false">Data_Prices!S228/Data_Prices!S227-1</f>
        <v>-0.00238552234713463</v>
      </c>
      <c r="T228" s="32" t="n">
        <f aca="false">AVERAGE(D228:S228)</f>
        <v>-0.00243278909209992</v>
      </c>
      <c r="U228" s="32" t="n">
        <f aca="false">AVERAGE(J228:S228)</f>
        <v>0.00685953761335856</v>
      </c>
      <c r="V228" s="32" t="n">
        <f aca="false">AVERAGE(D228:I228)</f>
        <v>-0.017920000267864</v>
      </c>
      <c r="W228" s="32" t="n">
        <f aca="false">AVERAGE(K228,Q228,R228)</f>
        <v>-0.010815872790931</v>
      </c>
      <c r="X228" s="32" t="n">
        <f aca="false">AVERAGE(K228,L228,N228,O228,P228,Q228,R228,S228)</f>
        <v>-0.000373329601851963</v>
      </c>
      <c r="Y228" s="32" t="n">
        <f aca="false">AVERAGE(J228,L228,M228,N228,O228,P228,Q228,R228,S228)</f>
        <v>0.0101537095300122</v>
      </c>
      <c r="Z228" s="32" t="n">
        <f aca="false">U228-V228</f>
        <v>0.0247795378812226</v>
      </c>
      <c r="AA228" s="32" t="n">
        <f aca="false">W228-V228</f>
        <v>0.00710412747693308</v>
      </c>
    </row>
    <row r="229" customFormat="false" ht="15" hidden="false" customHeight="false" outlineLevel="0" collapsed="false">
      <c r="A229" s="28" t="n">
        <f aca="false">Data_Prices!A229</f>
        <v>45134</v>
      </c>
      <c r="B229" s="32" t="n">
        <f aca="false">Data_Prices!B229/Data_Prices!B228-1</f>
        <v>-0.00598635878715548</v>
      </c>
      <c r="C229" s="32" t="n">
        <f aca="false">Data_Prices!C229/Data_Prices!C228-1</f>
        <v>-0.00328718703976427</v>
      </c>
      <c r="D229" s="32" t="n">
        <f aca="false">Data_Prices!D229/Data_Prices!D228-1</f>
        <v>-0.0175102091325331</v>
      </c>
      <c r="E229" s="32" t="n">
        <f aca="false">Data_Prices!E229/Data_Prices!E228-1</f>
        <v>-0.0334543568464731</v>
      </c>
      <c r="F229" s="32" t="n">
        <f aca="false">Data_Prices!F229/Data_Prices!F228-1</f>
        <v>0.0336109458655562</v>
      </c>
      <c r="G229" s="32" t="n">
        <f aca="false">Data_Prices!G229/Data_Prices!G228-1</f>
        <v>0.00366392924826275</v>
      </c>
      <c r="H229" s="32" t="n">
        <f aca="false">Data_Prices!H229/Data_Prices!H228-1</f>
        <v>-0.0253058103975534</v>
      </c>
      <c r="I229" s="32" t="n">
        <f aca="false">Data_Prices!I229/Data_Prices!I228-1</f>
        <v>0.016845088161209</v>
      </c>
      <c r="J229" s="32" t="n">
        <f aca="false">Data_Prices!J229/Data_Prices!J228-1</f>
        <v>-0.0110552763819096</v>
      </c>
      <c r="K229" s="32" t="n">
        <f aca="false">Data_Prices!K229/Data_Prices!K228-1</f>
        <v>-0.0200458035834569</v>
      </c>
      <c r="L229" s="32" t="n">
        <f aca="false">Data_Prices!L229/Data_Prices!L228-1</f>
        <v>-0.00490561079234364</v>
      </c>
      <c r="M229" s="32" t="n">
        <f aca="false">Data_Prices!M229/Data_Prices!M228-1</f>
        <v>-0.033710638597976</v>
      </c>
      <c r="N229" s="32" t="n">
        <f aca="false">Data_Prices!N229/Data_Prices!N228-1</f>
        <v>0.00621835302478457</v>
      </c>
      <c r="O229" s="32" t="n">
        <f aca="false">Data_Prices!O229/Data_Prices!O228-1</f>
        <v>-0.0253085455397595</v>
      </c>
      <c r="P229" s="32" t="n">
        <f aca="false">Data_Prices!P229/Data_Prices!P228-1</f>
        <v>0.0170281001832622</v>
      </c>
      <c r="Q229" s="32" t="n">
        <f aca="false">Data_Prices!Q229/Data_Prices!Q228-1</f>
        <v>-0.0100436104136382</v>
      </c>
      <c r="R229" s="32" t="n">
        <f aca="false">Data_Prices!R229/Data_Prices!R228-1</f>
        <v>-0.0152680518884171</v>
      </c>
      <c r="S229" s="32" t="n">
        <f aca="false">Data_Prices!S229/Data_Prices!S228-1</f>
        <v>-0.00412280460654702</v>
      </c>
      <c r="T229" s="32" t="n">
        <f aca="false">AVERAGE(D229:S229)</f>
        <v>-0.0077102688560958</v>
      </c>
      <c r="U229" s="32" t="n">
        <f aca="false">AVERAGE(J229:S229)</f>
        <v>-0.0101213888596001</v>
      </c>
      <c r="V229" s="32" t="n">
        <f aca="false">AVERAGE(D229:I229)</f>
        <v>-0.00369173551692194</v>
      </c>
      <c r="W229" s="32" t="n">
        <f aca="false">AVERAGE(K229,Q229,R229)</f>
        <v>-0.0151191552951707</v>
      </c>
      <c r="X229" s="32" t="n">
        <f aca="false">AVERAGE(K229,L229,N229,O229,P229,Q229,R229,S229)</f>
        <v>-0.00705599670201444</v>
      </c>
      <c r="Y229" s="32" t="n">
        <f aca="false">AVERAGE(J229,L229,M229,N229,O229,P229,Q229,R229,S229)</f>
        <v>-0.00901867611250492</v>
      </c>
      <c r="Z229" s="32" t="n">
        <f aca="false">U229-V229</f>
        <v>-0.00642965334267817</v>
      </c>
      <c r="AA229" s="32" t="n">
        <f aca="false">W229-V229</f>
        <v>-0.0114274197782488</v>
      </c>
    </row>
    <row r="230" customFormat="false" ht="15" hidden="false" customHeight="false" outlineLevel="0" collapsed="false">
      <c r="A230" s="28" t="n">
        <f aca="false">Data_Prices!A230</f>
        <v>45135</v>
      </c>
      <c r="B230" s="32" t="n">
        <f aca="false">Data_Prices!B230/Data_Prices!B229-1</f>
        <v>-0.0007044796769059</v>
      </c>
      <c r="C230" s="32" t="n">
        <f aca="false">Data_Prices!C230/Data_Prices!C229-1</f>
        <v>0.00172289469951292</v>
      </c>
      <c r="D230" s="32" t="n">
        <f aca="false">Data_Prices!D230/Data_Prices!D229-1</f>
        <v>0.0109263807544555</v>
      </c>
      <c r="E230" s="32" t="n">
        <f aca="false">Data_Prices!E230/Data_Prices!E229-1</f>
        <v>-0.0170378320364903</v>
      </c>
      <c r="F230" s="32" t="n">
        <f aca="false">Data_Prices!F230/Data_Prices!F229-1</f>
        <v>-0.0163453237410073</v>
      </c>
      <c r="G230" s="32" t="n">
        <f aca="false">Data_Prices!G230/Data_Prices!G229-1</f>
        <v>0.0409113796576033</v>
      </c>
      <c r="H230" s="32" t="n">
        <f aca="false">Data_Prices!H230/Data_Prices!H229-1</f>
        <v>-0.0320025100007845</v>
      </c>
      <c r="I230" s="32" t="n">
        <f aca="false">Data_Prices!I230/Data_Prices!I229-1</f>
        <v>0.00123858182381187</v>
      </c>
      <c r="J230" s="32" t="n">
        <f aca="false">Data_Prices!J230/Data_Prices!J229-1</f>
        <v>0.0111125839519266</v>
      </c>
      <c r="K230" s="32" t="n">
        <f aca="false">Data_Prices!K230/Data_Prices!K229-1</f>
        <v>0.0133897885678149</v>
      </c>
      <c r="L230" s="32" t="n">
        <f aca="false">Data_Prices!L230/Data_Prices!L229-1</f>
        <v>0.00145252872045409</v>
      </c>
      <c r="M230" s="32" t="n">
        <f aca="false">Data_Prices!M230/Data_Prices!M229-1</f>
        <v>0.0199613181038572</v>
      </c>
      <c r="N230" s="32" t="n">
        <f aca="false">Data_Prices!N230/Data_Prices!N229-1</f>
        <v>-0.0235013684117597</v>
      </c>
      <c r="O230" s="32" t="n">
        <f aca="false">Data_Prices!O230/Data_Prices!O229-1</f>
        <v>-0.039589677832986</v>
      </c>
      <c r="P230" s="32" t="n">
        <f aca="false">Data_Prices!P230/Data_Prices!P229-1</f>
        <v>-0.00138899316765528</v>
      </c>
      <c r="Q230" s="32" t="n">
        <f aca="false">Data_Prices!Q230/Data_Prices!Q229-1</f>
        <v>0.0185556000533973</v>
      </c>
      <c r="R230" s="32" t="n">
        <f aca="false">Data_Prices!R230/Data_Prices!R229-1</f>
        <v>-0.000699463744462503</v>
      </c>
      <c r="S230" s="32" t="n">
        <f aca="false">Data_Prices!S230/Data_Prices!S229-1</f>
        <v>0.00342229459332666</v>
      </c>
      <c r="T230" s="32" t="n">
        <f aca="false">AVERAGE(D230:S230)</f>
        <v>-0.000599669544281131</v>
      </c>
      <c r="U230" s="32" t="n">
        <f aca="false">AVERAGE(J230:S230)</f>
        <v>0.000271461083391333</v>
      </c>
      <c r="V230" s="32" t="n">
        <f aca="false">AVERAGE(D230:I230)</f>
        <v>-0.00205155392373524</v>
      </c>
      <c r="W230" s="32" t="n">
        <f aca="false">AVERAGE(K230,Q230,R230)</f>
        <v>0.0104153082922499</v>
      </c>
      <c r="X230" s="32" t="n">
        <f aca="false">AVERAGE(K230,L230,N230,O230,P230,Q230,R230,S230)</f>
        <v>-0.0035449114027338</v>
      </c>
      <c r="Y230" s="32" t="n">
        <f aca="false">AVERAGE(J230,L230,M230,N230,O230,P230,Q230,R230,S230)</f>
        <v>-0.0011861308593224</v>
      </c>
      <c r="Z230" s="32" t="n">
        <f aca="false">U230-V230</f>
        <v>0.00232301500712657</v>
      </c>
      <c r="AA230" s="32" t="n">
        <f aca="false">W230-V230</f>
        <v>0.0124668622159851</v>
      </c>
    </row>
    <row r="231" customFormat="false" ht="15" hidden="false" customHeight="false" outlineLevel="0" collapsed="false">
      <c r="A231" s="28" t="n">
        <f aca="false">Data_Prices!A231</f>
        <v>45138</v>
      </c>
      <c r="B231" s="32" t="n">
        <f aca="false">Data_Prices!B231/Data_Prices!B230-1</f>
        <v>0.00548456305465983</v>
      </c>
      <c r="C231" s="32" t="n">
        <f aca="false">Data_Prices!C231/Data_Prices!C230-1</f>
        <v>0.00652865913200995</v>
      </c>
      <c r="D231" s="32" t="n">
        <f aca="false">Data_Prices!D231/Data_Prices!D230-1</f>
        <v>-0.0351658620152624</v>
      </c>
      <c r="E231" s="32" t="n">
        <f aca="false">Data_Prices!E231/Data_Prices!E230-1</f>
        <v>0.0255220417633411</v>
      </c>
      <c r="F231" s="32" t="n">
        <f aca="false">Data_Prices!F231/Data_Prices!F230-1</f>
        <v>0.0181967117196187</v>
      </c>
      <c r="G231" s="32" t="n">
        <f aca="false">Data_Prices!G231/Data_Prices!G230-1</f>
        <v>0.00955375498851119</v>
      </c>
      <c r="H231" s="32" t="n">
        <f aca="false">Data_Prices!H231/Data_Prices!H230-1</f>
        <v>0.0287659022769631</v>
      </c>
      <c r="I231" s="32" t="n">
        <f aca="false">Data_Prices!I231/Data_Prices!I230-1</f>
        <v>0.0156177516622853</v>
      </c>
      <c r="J231" s="32" t="n">
        <f aca="false">Data_Prices!J231/Data_Prices!J230-1</f>
        <v>-0.00192278279109404</v>
      </c>
      <c r="K231" s="32" t="n">
        <f aca="false">Data_Prices!K231/Data_Prices!K230-1</f>
        <v>-0.0110152477074177</v>
      </c>
      <c r="L231" s="32" t="n">
        <f aca="false">Data_Prices!L231/Data_Prices!L230-1</f>
        <v>-0.00483473980309424</v>
      </c>
      <c r="M231" s="32" t="n">
        <f aca="false">Data_Prices!M231/Data_Prices!M230-1</f>
        <v>0.0420393559928445</v>
      </c>
      <c r="N231" s="32" t="n">
        <f aca="false">Data_Prices!N231/Data_Prices!N230-1</f>
        <v>0.036543468826848</v>
      </c>
      <c r="O231" s="32" t="n">
        <f aca="false">Data_Prices!O231/Data_Prices!O230-1</f>
        <v>-0.00717623497997344</v>
      </c>
      <c r="P231" s="32" t="n">
        <f aca="false">Data_Prices!P231/Data_Prices!P230-1</f>
        <v>0.0153001766850871</v>
      </c>
      <c r="Q231" s="32" t="n">
        <f aca="false">Data_Prices!Q231/Data_Prices!Q230-1</f>
        <v>0.0269986893840106</v>
      </c>
      <c r="R231" s="32" t="n">
        <f aca="false">Data_Prices!R231/Data_Prices!R230-1</f>
        <v>-0.00215818945403645</v>
      </c>
      <c r="S231" s="32" t="n">
        <f aca="false">Data_Prices!S231/Data_Prices!S230-1</f>
        <v>0.04142255961713</v>
      </c>
      <c r="T231" s="32" t="n">
        <f aca="false">AVERAGE(D231:S231)</f>
        <v>0.0123554597603601</v>
      </c>
      <c r="U231" s="32" t="n">
        <f aca="false">AVERAGE(J231:S231)</f>
        <v>0.0135197055770304</v>
      </c>
      <c r="V231" s="32" t="n">
        <f aca="false">AVERAGE(D231:I231)</f>
        <v>0.0104150500659095</v>
      </c>
      <c r="W231" s="32" t="n">
        <f aca="false">AVERAGE(K231,Q231,R231)</f>
        <v>0.00460841740751883</v>
      </c>
      <c r="X231" s="32" t="n">
        <f aca="false">AVERAGE(K231,L231,N231,O231,P231,Q231,R231,S231)</f>
        <v>0.0118850603210692</v>
      </c>
      <c r="Y231" s="32" t="n">
        <f aca="false">AVERAGE(J231,L231,M231,N231,O231,P231,Q231,R231,S231)</f>
        <v>0.0162458114975247</v>
      </c>
      <c r="Z231" s="32" t="n">
        <f aca="false">U231-V231</f>
        <v>0.00310465551112096</v>
      </c>
      <c r="AA231" s="32" t="n">
        <f aca="false">W231-V231</f>
        <v>-0.00580663265839065</v>
      </c>
    </row>
    <row r="232" customFormat="false" ht="15" hidden="false" customHeight="false" outlineLevel="0" collapsed="false">
      <c r="A232" s="28" t="n">
        <f aca="false">Data_Prices!A232</f>
        <v>45139</v>
      </c>
      <c r="B232" s="32" t="n">
        <f aca="false">Data_Prices!B232/Data_Prices!B231-1</f>
        <v>-0.00102511921756832</v>
      </c>
      <c r="C232" s="32" t="n">
        <f aca="false">Data_Prices!C232/Data_Prices!C231-1</f>
        <v>-0.000460167653438037</v>
      </c>
      <c r="D232" s="32" t="n">
        <f aca="false">Data_Prices!D232/Data_Prices!D231-1</f>
        <v>0.00445506198347112</v>
      </c>
      <c r="E232" s="32" t="n">
        <f aca="false">Data_Prices!E232/Data_Prices!E231-1</f>
        <v>-0.017700292786798</v>
      </c>
      <c r="F232" s="32" t="n">
        <f aca="false">Data_Prices!F232/Data_Prices!F231-1</f>
        <v>-0.0368348465693599</v>
      </c>
      <c r="G232" s="32" t="n">
        <f aca="false">Data_Prices!G232/Data_Prices!G231-1</f>
        <v>0.00143747005270733</v>
      </c>
      <c r="H232" s="32" t="n">
        <f aca="false">Data_Prices!H232/Data_Prices!H231-1</f>
        <v>-0.00811279143037169</v>
      </c>
      <c r="I232" s="32" t="n">
        <f aca="false">Data_Prices!I232/Data_Prices!I231-1</f>
        <v>0.0264920828258224</v>
      </c>
      <c r="J232" s="32" t="n">
        <f aca="false">Data_Prices!J232/Data_Prices!J231-1</f>
        <v>0.00941351605770713</v>
      </c>
      <c r="K232" s="32" t="n">
        <f aca="false">Data_Prices!K232/Data_Prices!K231-1</f>
        <v>-0.00419730055963996</v>
      </c>
      <c r="L232" s="32" t="n">
        <f aca="false">Data_Prices!L232/Data_Prices!L231-1</f>
        <v>-0.00145746842151739</v>
      </c>
      <c r="M232" s="32" t="n">
        <f aca="false">Data_Prices!M232/Data_Prices!M231-1</f>
        <v>0.0179914163090129</v>
      </c>
      <c r="N232" s="32" t="n">
        <f aca="false">Data_Prices!N232/Data_Prices!N231-1</f>
        <v>0.0498909725250765</v>
      </c>
      <c r="O232" s="32" t="n">
        <f aca="false">Data_Prices!O232/Data_Prices!O231-1</f>
        <v>-0.00537905530341221</v>
      </c>
      <c r="P232" s="32" t="n">
        <f aca="false">Data_Prices!P232/Data_Prices!P231-1</f>
        <v>-0.00244372037914709</v>
      </c>
      <c r="Q232" s="32" t="n">
        <f aca="false">Data_Prices!Q232/Data_Prices!Q231-1</f>
        <v>0.00969882593159777</v>
      </c>
      <c r="R232" s="32" t="n">
        <f aca="false">Data_Prices!R232/Data_Prices!R231-1</f>
        <v>0.0303969135441633</v>
      </c>
      <c r="S232" s="32" t="n">
        <f aca="false">Data_Prices!S232/Data_Prices!S231-1</f>
        <v>-0.0208382853973536</v>
      </c>
      <c r="T232" s="32" t="n">
        <f aca="false">AVERAGE(D232:S232)</f>
        <v>0.00330078114887242</v>
      </c>
      <c r="U232" s="32" t="n">
        <f aca="false">AVERAGE(J232:S232)</f>
        <v>0.00830758143064874</v>
      </c>
      <c r="V232" s="32" t="n">
        <f aca="false">AVERAGE(D232:I232)</f>
        <v>-0.00504388598742145</v>
      </c>
      <c r="W232" s="32" t="n">
        <f aca="false">AVERAGE(K232,Q232,R232)</f>
        <v>0.0119661463053737</v>
      </c>
      <c r="X232" s="32" t="n">
        <f aca="false">AVERAGE(K232,L232,N232,O232,P232,Q232,R232,S232)</f>
        <v>0.00695886024247092</v>
      </c>
      <c r="Y232" s="32" t="n">
        <f aca="false">AVERAGE(J232,L232,M232,N232,O232,P232,Q232,R232,S232)</f>
        <v>0.00969701276290304</v>
      </c>
      <c r="Z232" s="32" t="n">
        <f aca="false">U232-V232</f>
        <v>0.0133514674180702</v>
      </c>
      <c r="AA232" s="32" t="n">
        <f aca="false">W232-V232</f>
        <v>0.0170100322927952</v>
      </c>
    </row>
    <row r="233" customFormat="false" ht="15" hidden="false" customHeight="false" outlineLevel="0" collapsed="false">
      <c r="A233" s="28" t="n">
        <f aca="false">Data_Prices!A233</f>
        <v>45140</v>
      </c>
      <c r="B233" s="32" t="n">
        <f aca="false">Data_Prices!B233/Data_Prices!B232-1</f>
        <v>-0.0104897496902483</v>
      </c>
      <c r="C233" s="32" t="n">
        <f aca="false">Data_Prices!C233/Data_Prices!C232-1</f>
        <v>-0.0112719669934286</v>
      </c>
      <c r="D233" s="32" t="n">
        <f aca="false">Data_Prices!D233/Data_Prices!D232-1</f>
        <v>0.00253904994536214</v>
      </c>
      <c r="E233" s="32" t="n">
        <f aca="false">Data_Prices!E233/Data_Prices!E232-1</f>
        <v>-0.0222192114889581</v>
      </c>
      <c r="F233" s="32" t="n">
        <f aca="false">Data_Prices!F233/Data_Prices!F232-1</f>
        <v>-0.00453433566016337</v>
      </c>
      <c r="G233" s="32" t="n">
        <f aca="false">Data_Prices!G233/Data_Prices!G232-1</f>
        <v>-0.00873205741626792</v>
      </c>
      <c r="H233" s="32" t="n">
        <f aca="false">Data_Prices!H233/Data_Prices!H232-1</f>
        <v>-0.0342253632970697</v>
      </c>
      <c r="I233" s="32" t="n">
        <f aca="false">Data_Prices!I233/Data_Prices!I232-1</f>
        <v>-0.0483536042717295</v>
      </c>
      <c r="J233" s="32" t="n">
        <f aca="false">Data_Prices!J233/Data_Prices!J232-1</f>
        <v>-0.0494263592790994</v>
      </c>
      <c r="K233" s="32" t="n">
        <f aca="false">Data_Prices!K233/Data_Prices!K232-1</f>
        <v>-0.00910493402022095</v>
      </c>
      <c r="L233" s="32" t="n">
        <f aca="false">Data_Prices!L233/Data_Prices!L232-1</f>
        <v>-0.0274669379450661</v>
      </c>
      <c r="M233" s="32" t="n">
        <f aca="false">Data_Prices!M233/Data_Prices!M232-1</f>
        <v>-0.0163580559209416</v>
      </c>
      <c r="N233" s="32" t="n">
        <f aca="false">Data_Prices!N233/Data_Prices!N232-1</f>
        <v>-0.050594001827698</v>
      </c>
      <c r="O233" s="32" t="n">
        <f aca="false">Data_Prices!O233/Data_Prices!O232-1</f>
        <v>-0.00828122359303718</v>
      </c>
      <c r="P233" s="32" t="n">
        <f aca="false">Data_Prices!P233/Data_Prices!P232-1</f>
        <v>0.00207853908395816</v>
      </c>
      <c r="Q233" s="32" t="n">
        <f aca="false">Data_Prices!Q233/Data_Prices!Q232-1</f>
        <v>-0.012639029322548</v>
      </c>
      <c r="R233" s="32" t="n">
        <f aca="false">Data_Prices!R233/Data_Prices!R232-1</f>
        <v>-0.0160549157542407</v>
      </c>
      <c r="S233" s="32" t="n">
        <f aca="false">Data_Prices!S233/Data_Prices!S232-1</f>
        <v>-0.0110859362356369</v>
      </c>
      <c r="T233" s="32" t="n">
        <f aca="false">AVERAGE(D233:S233)</f>
        <v>-0.0196536485627098</v>
      </c>
      <c r="U233" s="32" t="n">
        <f aca="false">AVERAGE(J233:S233)</f>
        <v>-0.0198932854814531</v>
      </c>
      <c r="V233" s="32" t="n">
        <f aca="false">AVERAGE(D233:I233)</f>
        <v>-0.0192542536981378</v>
      </c>
      <c r="W233" s="32" t="n">
        <f aca="false">AVERAGE(K233,Q233,R233)</f>
        <v>-0.0125996263656699</v>
      </c>
      <c r="X233" s="32" t="n">
        <f aca="false">AVERAGE(K233,L233,N233,O233,P233,Q233,R233,S233)</f>
        <v>-0.0166435549518112</v>
      </c>
      <c r="Y233" s="32" t="n">
        <f aca="false">AVERAGE(J233,L233,M233,N233,O233,P233,Q233,R233,S233)</f>
        <v>-0.0210919911993678</v>
      </c>
      <c r="Z233" s="32" t="n">
        <f aca="false">U233-V233</f>
        <v>-0.000639031783315321</v>
      </c>
      <c r="AA233" s="32" t="n">
        <f aca="false">W233-V233</f>
        <v>0.00665462733246787</v>
      </c>
    </row>
    <row r="234" customFormat="false" ht="15" hidden="false" customHeight="false" outlineLevel="0" collapsed="false">
      <c r="A234" s="28" t="n">
        <f aca="false">Data_Prices!A234</f>
        <v>45141</v>
      </c>
      <c r="B234" s="32" t="n">
        <f aca="false">Data_Prices!B234/Data_Prices!B233-1</f>
        <v>-0.00742066570899613</v>
      </c>
      <c r="C234" s="32" t="n">
        <f aca="false">Data_Prices!C234/Data_Prices!C233-1</f>
        <v>-0.00513970324367774</v>
      </c>
      <c r="D234" s="32" t="n">
        <f aca="false">Data_Prices!D234/Data_Prices!D233-1</f>
        <v>0.00625140255826628</v>
      </c>
      <c r="E234" s="32" t="n">
        <f aca="false">Data_Prices!E234/Data_Prices!E233-1</f>
        <v>0.00769017597339605</v>
      </c>
      <c r="F234" s="32" t="n">
        <f aca="false">Data_Prices!F234/Data_Prices!F233-1</f>
        <v>0.00629307761462394</v>
      </c>
      <c r="G234" s="32" t="n">
        <f aca="false">Data_Prices!G234/Data_Prices!G233-1</f>
        <v>-0.0482683721491493</v>
      </c>
      <c r="H234" s="32" t="n">
        <f aca="false">Data_Prices!H234/Data_Prices!H233-1</f>
        <v>0.00287781614865978</v>
      </c>
      <c r="I234" s="32" t="n">
        <f aca="false">Data_Prices!I234/Data_Prices!I233-1</f>
        <v>0.0403678304239401</v>
      </c>
      <c r="J234" s="32" t="n">
        <f aca="false">Data_Prices!J234/Data_Prices!J233-1</f>
        <v>-0.00239561943874056</v>
      </c>
      <c r="K234" s="32" t="n">
        <f aca="false">Data_Prices!K234/Data_Prices!K233-1</f>
        <v>-0.0132059996941768</v>
      </c>
      <c r="L234" s="32" t="n">
        <f aca="false">Data_Prices!L234/Data_Prices!L233-1</f>
        <v>-0.0263325450245588</v>
      </c>
      <c r="M234" s="32" t="n">
        <f aca="false">Data_Prices!M234/Data_Prices!M233-1</f>
        <v>0.00116582087505157</v>
      </c>
      <c r="N234" s="32" t="n">
        <f aca="false">Data_Prices!N234/Data_Prices!N233-1</f>
        <v>-0.0216660833041652</v>
      </c>
      <c r="O234" s="32" t="n">
        <f aca="false">Data_Prices!O234/Data_Prices!O233-1</f>
        <v>-0.0260736196319018</v>
      </c>
      <c r="P234" s="32" t="n">
        <f aca="false">Data_Prices!P234/Data_Prices!P233-1</f>
        <v>-0.011074894436625</v>
      </c>
      <c r="Q234" s="32" t="n">
        <f aca="false">Data_Prices!Q234/Data_Prices!Q233-1</f>
        <v>0.0707885304659497</v>
      </c>
      <c r="R234" s="32" t="n">
        <f aca="false">Data_Prices!R234/Data_Prices!R233-1</f>
        <v>-0.00663053505535061</v>
      </c>
      <c r="S234" s="32" t="n">
        <f aca="false">Data_Prices!S234/Data_Prices!S233-1</f>
        <v>-0.00801898371655352</v>
      </c>
      <c r="T234" s="32" t="n">
        <f aca="false">AVERAGE(D234:S234)</f>
        <v>-0.00176449989945839</v>
      </c>
      <c r="U234" s="32" t="n">
        <f aca="false">AVERAGE(J234:S234)</f>
        <v>-0.00434439289610711</v>
      </c>
      <c r="V234" s="32" t="n">
        <f aca="false">AVERAGE(D234:I234)</f>
        <v>0.00253532176162282</v>
      </c>
      <c r="W234" s="32" t="n">
        <f aca="false">AVERAGE(K234,Q234,R234)</f>
        <v>0.0169839985721408</v>
      </c>
      <c r="X234" s="32" t="n">
        <f aca="false">AVERAGE(K234,L234,N234,O234,P234,Q234,R234,S234)</f>
        <v>-0.00527676629967276</v>
      </c>
      <c r="Y234" s="32" t="n">
        <f aca="false">AVERAGE(J234,L234,M234,N234,O234,P234,Q234,R234,S234)</f>
        <v>-0.00335976991854381</v>
      </c>
      <c r="Z234" s="32" t="n">
        <f aca="false">U234-V234</f>
        <v>-0.00687971465772993</v>
      </c>
      <c r="AA234" s="32" t="n">
        <f aca="false">W234-V234</f>
        <v>0.0144486768105179</v>
      </c>
    </row>
    <row r="235" customFormat="false" ht="15" hidden="false" customHeight="false" outlineLevel="0" collapsed="false">
      <c r="A235" s="28" t="n">
        <f aca="false">Data_Prices!A235</f>
        <v>45142</v>
      </c>
      <c r="B235" s="32" t="n">
        <f aca="false">Data_Prices!B235/Data_Prices!B234-1</f>
        <v>0.00698340956523302</v>
      </c>
      <c r="C235" s="32" t="n">
        <f aca="false">Data_Prices!C235/Data_Prices!C234-1</f>
        <v>0.0070532962086296</v>
      </c>
      <c r="D235" s="32" t="n">
        <f aca="false">Data_Prices!D235/Data_Prices!D234-1</f>
        <v>-0.00614884669300375</v>
      </c>
      <c r="E235" s="32" t="n">
        <f aca="false">Data_Prices!E235/Data_Prices!E234-1</f>
        <v>0.00804400137504291</v>
      </c>
      <c r="F235" s="32" t="n">
        <f aca="false">Data_Prices!F235/Data_Prices!F234-1</f>
        <v>-0.00738534842167959</v>
      </c>
      <c r="G235" s="32" t="n">
        <f aca="false">Data_Prices!G235/Data_Prices!G234-1</f>
        <v>0.0819069354634208</v>
      </c>
      <c r="H235" s="32" t="n">
        <f aca="false">Data_Prices!H235/Data_Prices!H234-1</f>
        <v>0.0118061818479953</v>
      </c>
      <c r="I235" s="32" t="n">
        <f aca="false">Data_Prices!I235/Data_Prices!I234-1</f>
        <v>0.000749063670411942</v>
      </c>
      <c r="J235" s="32" t="n">
        <f aca="false">Data_Prices!J235/Data_Prices!J234-1</f>
        <v>0.0217038307604345</v>
      </c>
      <c r="K235" s="32" t="n">
        <f aca="false">Data_Prices!K235/Data_Prices!K234-1</f>
        <v>0.0056770958062744</v>
      </c>
      <c r="L235" s="32" t="n">
        <f aca="false">Data_Prices!L235/Data_Prices!L234-1</f>
        <v>0.0138726703722734</v>
      </c>
      <c r="M235" s="32" t="n">
        <f aca="false">Data_Prices!M235/Data_Prices!M234-1</f>
        <v>-0.00520583601616553</v>
      </c>
      <c r="N235" s="32" t="n">
        <f aca="false">Data_Prices!N235/Data_Prices!N234-1</f>
        <v>0.0337912775929305</v>
      </c>
      <c r="O235" s="32" t="n">
        <f aca="false">Data_Prices!O235/Data_Prices!O234-1</f>
        <v>0.0153980752405949</v>
      </c>
      <c r="P235" s="32" t="n">
        <f aca="false">Data_Prices!P235/Data_Prices!P234-1</f>
        <v>0.0105996479268886</v>
      </c>
      <c r="Q235" s="32" t="n">
        <f aca="false">Data_Prices!Q235/Data_Prices!Q234-1</f>
        <v>0.00322773460848791</v>
      </c>
      <c r="R235" s="32" t="n">
        <f aca="false">Data_Prices!R235/Data_Prices!R234-1</f>
        <v>0.0230425445469846</v>
      </c>
      <c r="S235" s="32" t="n">
        <f aca="false">Data_Prices!S235/Data_Prices!S234-1</f>
        <v>0.0102009953531854</v>
      </c>
      <c r="T235" s="32" t="n">
        <f aca="false">AVERAGE(D235:S235)</f>
        <v>0.0138300014646298</v>
      </c>
      <c r="U235" s="32" t="n">
        <f aca="false">AVERAGE(J235:S235)</f>
        <v>0.0132308036191889</v>
      </c>
      <c r="V235" s="32" t="n">
        <f aca="false">AVERAGE(D235:I235)</f>
        <v>0.0148286645403646</v>
      </c>
      <c r="W235" s="32" t="n">
        <f aca="false">AVERAGE(K235,Q235,R235)</f>
        <v>0.010649124987249</v>
      </c>
      <c r="X235" s="32" t="n">
        <f aca="false">AVERAGE(K235,L235,N235,O235,P235,Q235,R235,S235)</f>
        <v>0.0144762551809525</v>
      </c>
      <c r="Y235" s="32" t="n">
        <f aca="false">AVERAGE(J235,L235,M235,N235,O235,P235,Q235,R235,S235)</f>
        <v>0.0140701044872905</v>
      </c>
      <c r="Z235" s="32" t="n">
        <f aca="false">U235-V235</f>
        <v>-0.00159786092117573</v>
      </c>
      <c r="AA235" s="32" t="n">
        <f aca="false">W235-V235</f>
        <v>-0.00417953955311562</v>
      </c>
    </row>
    <row r="236" customFormat="false" ht="15" hidden="false" customHeight="false" outlineLevel="0" collapsed="false">
      <c r="A236" s="28" t="n">
        <f aca="false">Data_Prices!A236</f>
        <v>45145</v>
      </c>
      <c r="B236" s="32" t="n">
        <f aca="false">Data_Prices!B236/Data_Prices!B235-1</f>
        <v>0.0041143618383972</v>
      </c>
      <c r="C236" s="32" t="n">
        <f aca="false">Data_Prices!C236/Data_Prices!C235-1</f>
        <v>0.00389269771352119</v>
      </c>
      <c r="D236" s="32" t="n">
        <f aca="false">Data_Prices!D236/Data_Prices!D235-1</f>
        <v>0.00750120211572369</v>
      </c>
      <c r="E236" s="32" t="n">
        <f aca="false">Data_Prices!E236/Data_Prices!E235-1</f>
        <v>0.0139135179375254</v>
      </c>
      <c r="F236" s="32" t="n">
        <f aca="false">Data_Prices!F236/Data_Prices!F235-1</f>
        <v>0.0193207728309133</v>
      </c>
      <c r="G236" s="32" t="n">
        <f aca="false">Data_Prices!G236/Data_Prices!G235-1</f>
        <v>0.0333997421774288</v>
      </c>
      <c r="H236" s="32" t="n">
        <f aca="false">Data_Prices!H236/Data_Prices!H235-1</f>
        <v>0.0204197390811118</v>
      </c>
      <c r="I236" s="32" t="n">
        <f aca="false">Data_Prices!I236/Data_Prices!I235-1</f>
        <v>0.0405688622754492</v>
      </c>
      <c r="J236" s="32" t="n">
        <f aca="false">Data_Prices!J236/Data_Prices!J235-1</f>
        <v>-0.0132067869454269</v>
      </c>
      <c r="K236" s="32" t="n">
        <f aca="false">Data_Prices!K236/Data_Prices!K235-1</f>
        <v>-0.00371200448242048</v>
      </c>
      <c r="L236" s="32" t="n">
        <f aca="false">Data_Prices!L236/Data_Prices!L235-1</f>
        <v>-0.0159863632175434</v>
      </c>
      <c r="M236" s="32" t="n">
        <f aca="false">Data_Prices!M236/Data_Prices!M235-1</f>
        <v>0.00685120154238117</v>
      </c>
      <c r="N236" s="32" t="n">
        <f aca="false">Data_Prices!N236/Data_Prices!N235-1</f>
        <v>-0.0116800193801803</v>
      </c>
      <c r="O236" s="32" t="n">
        <f aca="false">Data_Prices!O236/Data_Prices!O235-1</f>
        <v>0.0186110632431502</v>
      </c>
      <c r="P236" s="32" t="n">
        <f aca="false">Data_Prices!P236/Data_Prices!P235-1</f>
        <v>0.0095989919205397</v>
      </c>
      <c r="Q236" s="32" t="n">
        <f aca="false">Data_Prices!Q236/Data_Prices!Q235-1</f>
        <v>0.0370591039084842</v>
      </c>
      <c r="R236" s="32" t="n">
        <f aca="false">Data_Prices!R236/Data_Prices!R235-1</f>
        <v>-0.000567343696811551</v>
      </c>
      <c r="S236" s="32" t="n">
        <f aca="false">Data_Prices!S236/Data_Prices!S235-1</f>
        <v>0.00968971148611875</v>
      </c>
      <c r="T236" s="32" t="n">
        <f aca="false">AVERAGE(D236:S236)</f>
        <v>0.0107363369247777</v>
      </c>
      <c r="U236" s="32" t="n">
        <f aca="false">AVERAGE(J236:S236)</f>
        <v>0.00366575543782914</v>
      </c>
      <c r="V236" s="32" t="n">
        <f aca="false">AVERAGE(D236:I236)</f>
        <v>0.0225206394030254</v>
      </c>
      <c r="W236" s="32" t="n">
        <f aca="false">AVERAGE(K236,Q236,R236)</f>
        <v>0.0109265852430841</v>
      </c>
      <c r="X236" s="32" t="n">
        <f aca="false">AVERAGE(K236,L236,N236,O236,P236,Q236,R236,S236)</f>
        <v>0.00537664247266714</v>
      </c>
      <c r="Y236" s="32" t="n">
        <f aca="false">AVERAGE(J236,L236,M236,N236,O236,P236,Q236,R236,S236)</f>
        <v>0.0044855065400791</v>
      </c>
      <c r="Z236" s="32" t="n">
        <f aca="false">U236-V236</f>
        <v>-0.0188548839651962</v>
      </c>
      <c r="AA236" s="32" t="n">
        <f aca="false">W236-V236</f>
        <v>-0.0115940541599413</v>
      </c>
    </row>
    <row r="237" customFormat="false" ht="15" hidden="false" customHeight="false" outlineLevel="0" collapsed="false">
      <c r="A237" s="28" t="n">
        <f aca="false">Data_Prices!A237</f>
        <v>45146</v>
      </c>
      <c r="B237" s="32" t="n">
        <f aca="false">Data_Prices!B237/Data_Prices!B236-1</f>
        <v>-0.00134967572063505</v>
      </c>
      <c r="C237" s="32" t="n">
        <f aca="false">Data_Prices!C237/Data_Prices!C236-1</f>
        <v>-0.000418722189622134</v>
      </c>
      <c r="D237" s="32" t="n">
        <f aca="false">Data_Prices!D237/Data_Prices!D236-1</f>
        <v>0.0104998568201342</v>
      </c>
      <c r="E237" s="32" t="n">
        <f aca="false">Data_Prices!E237/Data_Prices!E236-1</f>
        <v>-0.00672675904749087</v>
      </c>
      <c r="F237" s="32" t="n">
        <f aca="false">Data_Prices!F237/Data_Prices!F236-1</f>
        <v>-0.0105368495408523</v>
      </c>
      <c r="G237" s="32" t="n">
        <f aca="false">Data_Prices!G237/Data_Prices!G236-1</f>
        <v>-0.0191653436153323</v>
      </c>
      <c r="H237" s="32" t="n">
        <f aca="false">Data_Prices!H237/Data_Prices!H236-1</f>
        <v>0.0146907011831969</v>
      </c>
      <c r="I237" s="32" t="n">
        <f aca="false">Data_Prices!I237/Data_Prices!I236-1</f>
        <v>-0.00316501222845644</v>
      </c>
      <c r="J237" s="32" t="n">
        <f aca="false">Data_Prices!J237/Data_Prices!J236-1</f>
        <v>0.0266536611922692</v>
      </c>
      <c r="K237" s="32" t="n">
        <f aca="false">Data_Prices!K237/Data_Prices!K236-1</f>
        <v>0.00722671353251325</v>
      </c>
      <c r="L237" s="32" t="n">
        <f aca="false">Data_Prices!L237/Data_Prices!L236-1</f>
        <v>-0.00950419027108018</v>
      </c>
      <c r="M237" s="32" t="n">
        <f aca="false">Data_Prices!M237/Data_Prices!M236-1</f>
        <v>-0.00871943922037954</v>
      </c>
      <c r="N237" s="32" t="n">
        <f aca="false">Data_Prices!N237/Data_Prices!N236-1</f>
        <v>0.00604033895931089</v>
      </c>
      <c r="O237" s="32" t="n">
        <f aca="false">Data_Prices!O237/Data_Prices!O236-1</f>
        <v>-0.013872441211301</v>
      </c>
      <c r="P237" s="32" t="n">
        <f aca="false">Data_Prices!P237/Data_Prices!P236-1</f>
        <v>0.00223927168606153</v>
      </c>
      <c r="Q237" s="32" t="n">
        <f aca="false">Data_Prices!Q237/Data_Prices!Q236-1</f>
        <v>0.0261978628059292</v>
      </c>
      <c r="R237" s="32" t="n">
        <f aca="false">Data_Prices!R237/Data_Prices!R236-1</f>
        <v>0.000510899182561309</v>
      </c>
      <c r="S237" s="32" t="n">
        <f aca="false">Data_Prices!S237/Data_Prices!S236-1</f>
        <v>0.00355833513047221</v>
      </c>
      <c r="T237" s="32" t="n">
        <f aca="false">AVERAGE(D237:S237)</f>
        <v>0.00162047533484725</v>
      </c>
      <c r="U237" s="32" t="n">
        <f aca="false">AVERAGE(J237:S237)</f>
        <v>0.00403310117863568</v>
      </c>
      <c r="V237" s="32" t="n">
        <f aca="false">AVERAGE(D237:I237)</f>
        <v>-0.00240056773813346</v>
      </c>
      <c r="W237" s="32" t="n">
        <f aca="false">AVERAGE(K237,Q237,R237)</f>
        <v>0.0113118251736679</v>
      </c>
      <c r="X237" s="32" t="n">
        <f aca="false">AVERAGE(K237,L237,N237,O237,P237,Q237,R237,S237)</f>
        <v>0.00279959872680839</v>
      </c>
      <c r="Y237" s="32" t="n">
        <f aca="false">AVERAGE(J237,L237,M237,N237,O237,P237,Q237,R237,S237)</f>
        <v>0.00367825536153817</v>
      </c>
      <c r="Z237" s="32" t="n">
        <f aca="false">U237-V237</f>
        <v>0.00643366891676914</v>
      </c>
      <c r="AA237" s="32" t="n">
        <f aca="false">W237-V237</f>
        <v>0.0137123929118014</v>
      </c>
    </row>
    <row r="238" customFormat="false" ht="15" hidden="false" customHeight="false" outlineLevel="0" collapsed="false">
      <c r="A238" s="28" t="n">
        <f aca="false">Data_Prices!A238</f>
        <v>45147</v>
      </c>
      <c r="B238" s="32" t="n">
        <f aca="false">Data_Prices!B238/Data_Prices!B237-1</f>
        <v>0.00315264794324222</v>
      </c>
      <c r="C238" s="32" t="n">
        <f aca="false">Data_Prices!C238/Data_Prices!C237-1</f>
        <v>0.00322138147705653</v>
      </c>
      <c r="D238" s="32" t="n">
        <f aca="false">Data_Prices!D238/Data_Prices!D237-1</f>
        <v>0.00141692118769488</v>
      </c>
      <c r="E238" s="32" t="n">
        <f aca="false">Data_Prices!E238/Data_Prices!E237-1</f>
        <v>-0.00758499255045364</v>
      </c>
      <c r="F238" s="32" t="n">
        <f aca="false">Data_Prices!F238/Data_Prices!F237-1</f>
        <v>0.0108870248081385</v>
      </c>
      <c r="G238" s="32" t="n">
        <f aca="false">Data_Prices!G238/Data_Prices!G237-1</f>
        <v>-0.00381546999653137</v>
      </c>
      <c r="H238" s="32" t="n">
        <f aca="false">Data_Prices!H238/Data_Prices!H237-1</f>
        <v>-0.00680857724213491</v>
      </c>
      <c r="I238" s="32" t="n">
        <f aca="false">Data_Prices!I238/Data_Prices!I237-1</f>
        <v>0.10766344349834</v>
      </c>
      <c r="J238" s="32" t="n">
        <f aca="false">Data_Prices!J238/Data_Prices!J237-1</f>
        <v>0.00315959256722431</v>
      </c>
      <c r="K238" s="32" t="n">
        <f aca="false">Data_Prices!K238/Data_Prices!K237-1</f>
        <v>-0.00672817878529841</v>
      </c>
      <c r="L238" s="32" t="n">
        <f aca="false">Data_Prices!L238/Data_Prices!L237-1</f>
        <v>-0.00203252032520307</v>
      </c>
      <c r="M238" s="32" t="n">
        <f aca="false">Data_Prices!M238/Data_Prices!M237-1</f>
        <v>-0.00169023801310797</v>
      </c>
      <c r="N238" s="32" t="n">
        <f aca="false">Data_Prices!N238/Data_Prices!N237-1</f>
        <v>-0.0136962461495623</v>
      </c>
      <c r="O238" s="32" t="n">
        <f aca="false">Data_Prices!O238/Data_Prices!O237-1</f>
        <v>-0.00909246869102753</v>
      </c>
      <c r="P238" s="32" t="n">
        <f aca="false">Data_Prices!P238/Data_Prices!P237-1</f>
        <v>-0.00183136766537251</v>
      </c>
      <c r="Q238" s="32" t="n">
        <f aca="false">Data_Prices!Q238/Data_Prices!Q237-1</f>
        <v>-0.0191467920725563</v>
      </c>
      <c r="R238" s="32" t="n">
        <f aca="false">Data_Prices!R238/Data_Prices!R237-1</f>
        <v>-0.0113475177304965</v>
      </c>
      <c r="S238" s="32" t="n">
        <f aca="false">Data_Prices!S238/Data_Prices!S237-1</f>
        <v>-0.00671537552379931</v>
      </c>
      <c r="T238" s="32" t="n">
        <f aca="false">AVERAGE(D238:S238)</f>
        <v>0.00203982733224089</v>
      </c>
      <c r="U238" s="32" t="n">
        <f aca="false">AVERAGE(J238:S238)</f>
        <v>-0.00691211123891996</v>
      </c>
      <c r="V238" s="32" t="n">
        <f aca="false">AVERAGE(D238:I238)</f>
        <v>0.0169597249508423</v>
      </c>
      <c r="W238" s="32" t="n">
        <f aca="false">AVERAGE(K238,Q238,R238)</f>
        <v>-0.0124074961961171</v>
      </c>
      <c r="X238" s="32" t="n">
        <f aca="false">AVERAGE(K238,L238,N238,O238,P238,Q238,R238,S238)</f>
        <v>-0.00882380836791449</v>
      </c>
      <c r="Y238" s="32" t="n">
        <f aca="false">AVERAGE(J238,L238,M238,N238,O238,P238,Q238,R238,S238)</f>
        <v>-0.00693254817821124</v>
      </c>
      <c r="Z238" s="32" t="n">
        <f aca="false">U238-V238</f>
        <v>-0.0238718361897623</v>
      </c>
      <c r="AA238" s="32" t="n">
        <f aca="false">W238-V238</f>
        <v>-0.0293672211469594</v>
      </c>
    </row>
    <row r="239" customFormat="false" ht="15" hidden="false" customHeight="false" outlineLevel="0" collapsed="false">
      <c r="A239" s="28" t="n">
        <f aca="false">Data_Prices!A239</f>
        <v>45148</v>
      </c>
      <c r="B239" s="32" t="n">
        <f aca="false">Data_Prices!B239/Data_Prices!B238-1</f>
        <v>-0.00455620894891395</v>
      </c>
      <c r="C239" s="32" t="n">
        <f aca="false">Data_Prices!C239/Data_Prices!C238-1</f>
        <v>-0.00376385348024122</v>
      </c>
      <c r="D239" s="32" t="n">
        <f aca="false">Data_Prices!D239/Data_Prices!D238-1</f>
        <v>0.00676015595522572</v>
      </c>
      <c r="E239" s="32" t="n">
        <f aca="false">Data_Prices!E239/Data_Prices!E238-1</f>
        <v>0.0253173195032073</v>
      </c>
      <c r="F239" s="32" t="n">
        <f aca="false">Data_Prices!F239/Data_Prices!F238-1</f>
        <v>-0.0134769303201507</v>
      </c>
      <c r="G239" s="32" t="n">
        <f aca="false">Data_Prices!G239/Data_Prices!G238-1</f>
        <v>-0.0089368616527391</v>
      </c>
      <c r="H239" s="32" t="n">
        <f aca="false">Data_Prices!H239/Data_Prices!H238-1</f>
        <v>-0.0136317075092585</v>
      </c>
      <c r="I239" s="32" t="n">
        <f aca="false">Data_Prices!I239/Data_Prices!I238-1</f>
        <v>0.00247557003257337</v>
      </c>
      <c r="J239" s="32" t="n">
        <f aca="false">Data_Prices!J239/Data_Prices!J238-1</f>
        <v>-0.0127747676313819</v>
      </c>
      <c r="K239" s="32" t="n">
        <f aca="false">Data_Prices!K239/Data_Prices!K238-1</f>
        <v>0.00258583133071921</v>
      </c>
      <c r="L239" s="32" t="n">
        <f aca="false">Data_Prices!L239/Data_Prices!L238-1</f>
        <v>0.00435750485482878</v>
      </c>
      <c r="M239" s="32" t="n">
        <f aca="false">Data_Prices!M239/Data_Prices!M238-1</f>
        <v>-0.0332745931377629</v>
      </c>
      <c r="N239" s="32" t="n">
        <f aca="false">Data_Prices!N239/Data_Prices!N238-1</f>
        <v>-0.014998059074708</v>
      </c>
      <c r="O239" s="32" t="n">
        <f aca="false">Data_Prices!O239/Data_Prices!O238-1</f>
        <v>-0.0122922437673131</v>
      </c>
      <c r="P239" s="32" t="n">
        <f aca="false">Data_Prices!P239/Data_Prices!P238-1</f>
        <v>0.00165125495376484</v>
      </c>
      <c r="Q239" s="32" t="n">
        <f aca="false">Data_Prices!Q239/Data_Prices!Q238-1</f>
        <v>-0.0111872146118721</v>
      </c>
      <c r="R239" s="32" t="n">
        <f aca="false">Data_Prices!R239/Data_Prices!R238-1</f>
        <v>0.000918220946915405</v>
      </c>
      <c r="S239" s="32" t="n">
        <f aca="false">Data_Prices!S239/Data_Prices!S238-1</f>
        <v>0.000973551841635612</v>
      </c>
      <c r="T239" s="32" t="n">
        <f aca="false">AVERAGE(D239:S239)</f>
        <v>-0.00472081051789475</v>
      </c>
      <c r="U239" s="32" t="n">
        <f aca="false">AVERAGE(J239:S239)</f>
        <v>-0.00740405142951741</v>
      </c>
      <c r="V239" s="32" t="n">
        <f aca="false">AVERAGE(D239:I239)</f>
        <v>-0.000248742331856992</v>
      </c>
      <c r="W239" s="32" t="n">
        <f aca="false">AVERAGE(K239,Q239,R239)</f>
        <v>-0.0025610541114125</v>
      </c>
      <c r="X239" s="32" t="n">
        <f aca="false">AVERAGE(K239,L239,N239,O239,P239,Q239,R239,S239)</f>
        <v>-0.00349889419075367</v>
      </c>
      <c r="Y239" s="32" t="n">
        <f aca="false">AVERAGE(J239,L239,M239,N239,O239,P239,Q239,R239,S239)</f>
        <v>-0.00851403840287704</v>
      </c>
      <c r="Z239" s="32" t="n">
        <f aca="false">U239-V239</f>
        <v>-0.00715530909766042</v>
      </c>
      <c r="AA239" s="32" t="n">
        <f aca="false">W239-V239</f>
        <v>-0.00231231177955551</v>
      </c>
    </row>
    <row r="240" customFormat="false" ht="15" hidden="false" customHeight="false" outlineLevel="0" collapsed="false">
      <c r="A240" s="28" t="n">
        <f aca="false">Data_Prices!A240</f>
        <v>45149</v>
      </c>
      <c r="B240" s="32" t="n">
        <f aca="false">Data_Prices!B240/Data_Prices!B239-1</f>
        <v>-0.00587419600779815</v>
      </c>
      <c r="C240" s="32" t="n">
        <f aca="false">Data_Prices!C240/Data_Prices!C239-1</f>
        <v>-0.00470488227463628</v>
      </c>
      <c r="D240" s="32" t="n">
        <f aca="false">Data_Prices!D240/Data_Prices!D239-1</f>
        <v>0.00768293825541089</v>
      </c>
      <c r="E240" s="32" t="n">
        <f aca="false">Data_Prices!E240/Data_Prices!E239-1</f>
        <v>-0.0366722129783693</v>
      </c>
      <c r="F240" s="32" t="n">
        <f aca="false">Data_Prices!F240/Data_Prices!F239-1</f>
        <v>0.00608482968442403</v>
      </c>
      <c r="G240" s="32" t="n">
        <f aca="false">Data_Prices!G240/Data_Prices!G239-1</f>
        <v>-0.00468438927274861</v>
      </c>
      <c r="H240" s="32" t="n">
        <f aca="false">Data_Prices!H240/Data_Prices!H239-1</f>
        <v>0.0540022367790383</v>
      </c>
      <c r="I240" s="32" t="n">
        <f aca="false">Data_Prices!I240/Data_Prices!I239-1</f>
        <v>-0.0414608786067064</v>
      </c>
      <c r="J240" s="32" t="n">
        <f aca="false">Data_Prices!J240/Data_Prices!J239-1</f>
        <v>0.0202802195350498</v>
      </c>
      <c r="K240" s="32" t="n">
        <f aca="false">Data_Prices!K240/Data_Prices!K239-1</f>
        <v>-0.0116482807922512</v>
      </c>
      <c r="L240" s="32" t="n">
        <f aca="false">Data_Prices!L240/Data_Prices!L239-1</f>
        <v>-0.0160339542560717</v>
      </c>
      <c r="M240" s="32" t="n">
        <f aca="false">Data_Prices!M240/Data_Prices!M239-1</f>
        <v>-0.000965043963113921</v>
      </c>
      <c r="N240" s="32" t="n">
        <f aca="false">Data_Prices!N240/Data_Prices!N239-1</f>
        <v>-0.0071295500143308</v>
      </c>
      <c r="O240" s="32" t="n">
        <f aca="false">Data_Prices!O240/Data_Prices!O239-1</f>
        <v>-0.00771253286590701</v>
      </c>
      <c r="P240" s="32" t="n">
        <f aca="false">Data_Prices!P240/Data_Prices!P239-1</f>
        <v>-0.0108436824559475</v>
      </c>
      <c r="Q240" s="32" t="n">
        <f aca="false">Data_Prices!Q240/Data_Prices!Q239-1</f>
        <v>0.00900484876471941</v>
      </c>
      <c r="R240" s="32" t="n">
        <f aca="false">Data_Prices!R240/Data_Prices!R239-1</f>
        <v>-0.00602029700131879</v>
      </c>
      <c r="S240" s="32" t="n">
        <f aca="false">Data_Prices!S240/Data_Prices!S239-1</f>
        <v>-0.0230993678067758</v>
      </c>
      <c r="T240" s="32" t="n">
        <f aca="false">AVERAGE(D240:S240)</f>
        <v>-0.00432594481218117</v>
      </c>
      <c r="U240" s="32" t="n">
        <f aca="false">AVERAGE(J240:S240)</f>
        <v>-0.00541676408559475</v>
      </c>
      <c r="V240" s="32" t="n">
        <f aca="false">AVERAGE(D240:I240)</f>
        <v>-0.0025079126898252</v>
      </c>
      <c r="W240" s="32" t="n">
        <f aca="false">AVERAGE(K240,Q240,R240)</f>
        <v>-0.00288790967628353</v>
      </c>
      <c r="X240" s="32" t="n">
        <f aca="false">AVERAGE(K240,L240,N240,O240,P240,Q240,R240,S240)</f>
        <v>-0.00918535205348542</v>
      </c>
      <c r="Y240" s="32" t="n">
        <f aca="false">AVERAGE(J240,L240,M240,N240,O240,P240,Q240,R240,S240)</f>
        <v>-0.0047243733404107</v>
      </c>
      <c r="Z240" s="32" t="n">
        <f aca="false">U240-V240</f>
        <v>-0.00290885139576955</v>
      </c>
      <c r="AA240" s="32" t="n">
        <f aca="false">W240-V240</f>
        <v>-0.000379996986458334</v>
      </c>
    </row>
    <row r="241" customFormat="false" ht="15" hidden="false" customHeight="false" outlineLevel="0" collapsed="false">
      <c r="A241" s="28" t="n">
        <f aca="false">Data_Prices!A241</f>
        <v>45152</v>
      </c>
      <c r="B241" s="32" t="n">
        <f aca="false">Data_Prices!B241/Data_Prices!B240-1</f>
        <v>0.000321695670748357</v>
      </c>
      <c r="C241" s="32" t="n">
        <f aca="false">Data_Prices!C241/Data_Prices!C240-1</f>
        <v>-0.00205217628550169</v>
      </c>
      <c r="D241" s="32" t="n">
        <f aca="false">Data_Prices!D241/Data_Prices!D240-1</f>
        <v>-0.00774833410816678</v>
      </c>
      <c r="E241" s="32" t="n">
        <f aca="false">Data_Prices!E241/Data_Prices!E240-1</f>
        <v>0.0153378471742434</v>
      </c>
      <c r="F241" s="32" t="n">
        <f aca="false">Data_Prices!F241/Data_Prices!F240-1</f>
        <v>0.0114438185591461</v>
      </c>
      <c r="G241" s="32" t="n">
        <f aca="false">Data_Prices!G241/Data_Prices!G240-1</f>
        <v>-0.00682433227438517</v>
      </c>
      <c r="H241" s="32" t="n">
        <f aca="false">Data_Prices!H241/Data_Prices!H240-1</f>
        <v>-0.0164468697892982</v>
      </c>
      <c r="I241" s="32" t="n">
        <f aca="false">Data_Prices!I241/Data_Prices!I240-1</f>
        <v>0.0108474576271187</v>
      </c>
      <c r="J241" s="32" t="n">
        <f aca="false">Data_Prices!J241/Data_Prices!J240-1</f>
        <v>0.00938094509195064</v>
      </c>
      <c r="K241" s="32" t="n">
        <f aca="false">Data_Prices!K241/Data_Prices!K240-1</f>
        <v>-0.00602751382782585</v>
      </c>
      <c r="L241" s="32" t="n">
        <f aca="false">Data_Prices!L241/Data_Prices!L240-1</f>
        <v>-0.00522405942966697</v>
      </c>
      <c r="M241" s="32" t="n">
        <f aca="false">Data_Prices!M241/Data_Prices!M240-1</f>
        <v>-0.00672605631283307</v>
      </c>
      <c r="N241" s="32" t="n">
        <f aca="false">Data_Prices!N241/Data_Prices!N240-1</f>
        <v>-0.0173564753004005</v>
      </c>
      <c r="O241" s="32" t="n">
        <f aca="false">Data_Prices!O241/Data_Prices!O240-1</f>
        <v>-0.00759583112524298</v>
      </c>
      <c r="P241" s="32" t="n">
        <f aca="false">Data_Prices!P241/Data_Prices!P240-1</f>
        <v>-0.0502573978741527</v>
      </c>
      <c r="Q241" s="32" t="n">
        <f aca="false">Data_Prices!Q241/Data_Prices!Q240-1</f>
        <v>-0.00549199084668184</v>
      </c>
      <c r="R241" s="32" t="n">
        <f aca="false">Data_Prices!R241/Data_Prices!R240-1</f>
        <v>-0.0139593908629441</v>
      </c>
      <c r="S241" s="32" t="n">
        <f aca="false">Data_Prices!S241/Data_Prices!S240-1</f>
        <v>0.00309743079178082</v>
      </c>
      <c r="T241" s="32" t="n">
        <f aca="false">AVERAGE(D241:S241)</f>
        <v>-0.00584692203170991</v>
      </c>
      <c r="U241" s="32" t="n">
        <f aca="false">AVERAGE(J241:S241)</f>
        <v>-0.0100160339696017</v>
      </c>
      <c r="V241" s="32" t="n">
        <f aca="false">AVERAGE(D241:I241)</f>
        <v>0.00110159786477633</v>
      </c>
      <c r="W241" s="32" t="n">
        <f aca="false">AVERAGE(K241,Q241,R241)</f>
        <v>-0.00849296517915058</v>
      </c>
      <c r="X241" s="32" t="n">
        <f aca="false">AVERAGE(K241,L241,N241,O241,P241,Q241,R241,S241)</f>
        <v>-0.0128519035593918</v>
      </c>
      <c r="Y241" s="32" t="n">
        <f aca="false">AVERAGE(J241,L241,M241,N241,O241,P241,Q241,R241,S241)</f>
        <v>-0.0104592028742434</v>
      </c>
      <c r="Z241" s="32" t="n">
        <f aca="false">U241-V241</f>
        <v>-0.011117631834378</v>
      </c>
      <c r="AA241" s="32" t="n">
        <f aca="false">W241-V241</f>
        <v>-0.00959456304392692</v>
      </c>
    </row>
    <row r="242" customFormat="false" ht="15" hidden="false" customHeight="false" outlineLevel="0" collapsed="false">
      <c r="A242" s="28" t="n">
        <f aca="false">Data_Prices!A242</f>
        <v>45154</v>
      </c>
      <c r="B242" s="32" t="n">
        <f aca="false">Data_Prices!B242/Data_Prices!B241-1</f>
        <v>0.00156679727598541</v>
      </c>
      <c r="C242" s="32" t="n">
        <f aca="false">Data_Prices!C242/Data_Prices!C241-1</f>
        <v>0.00163441908288298</v>
      </c>
      <c r="D242" s="32" t="n">
        <f aca="false">Data_Prices!D242/Data_Prices!D241-1</f>
        <v>-0.00993284397938476</v>
      </c>
      <c r="E242" s="32" t="n">
        <f aca="false">Data_Prices!E242/Data_Prices!E241-1</f>
        <v>0.00217746325530754</v>
      </c>
      <c r="F242" s="32" t="n">
        <f aca="false">Data_Prices!F242/Data_Prices!F241-1</f>
        <v>-0.00756243404854018</v>
      </c>
      <c r="G242" s="32" t="n">
        <f aca="false">Data_Prices!G242/Data_Prices!G241-1</f>
        <v>0.000236938751332794</v>
      </c>
      <c r="H242" s="32" t="n">
        <f aca="false">Data_Prices!H242/Data_Prices!H241-1</f>
        <v>0.00331355475071282</v>
      </c>
      <c r="I242" s="32" t="n">
        <f aca="false">Data_Prices!I242/Data_Prices!I241-1</f>
        <v>0.0104627766599597</v>
      </c>
      <c r="J242" s="32" t="n">
        <f aca="false">Data_Prices!J242/Data_Prices!J241-1</f>
        <v>0.0608752166377817</v>
      </c>
      <c r="K242" s="32" t="n">
        <f aca="false">Data_Prices!K242/Data_Prices!K241-1</f>
        <v>-0.00520796176071914</v>
      </c>
      <c r="L242" s="32" t="n">
        <f aca="false">Data_Prices!L242/Data_Prices!L241-1</f>
        <v>-0.0198978608595105</v>
      </c>
      <c r="M242" s="32" t="n">
        <f aca="false">Data_Prices!M242/Data_Prices!M241-1</f>
        <v>0.00716781327666305</v>
      </c>
      <c r="N242" s="32" t="n">
        <f aca="false">Data_Prices!N242/Data_Prices!N241-1</f>
        <v>0.0138256462984723</v>
      </c>
      <c r="O242" s="32" t="n">
        <f aca="false">Data_Prices!O242/Data_Prices!O241-1</f>
        <v>-0.0124599501601994</v>
      </c>
      <c r="P242" s="32" t="n">
        <f aca="false">Data_Prices!P242/Data_Prices!P241-1</f>
        <v>-0.0203166432693808</v>
      </c>
      <c r="Q242" s="32" t="n">
        <f aca="false">Data_Prices!Q242/Data_Prices!Q241-1</f>
        <v>-0.0131155085135758</v>
      </c>
      <c r="R242" s="32" t="n">
        <f aca="false">Data_Prices!R242/Data_Prices!R241-1</f>
        <v>-0.00561600561600573</v>
      </c>
      <c r="S242" s="32" t="n">
        <f aca="false">Data_Prices!S242/Data_Prices!S241-1</f>
        <v>-0.00967715254611123</v>
      </c>
      <c r="T242" s="32" t="n">
        <f aca="false">AVERAGE(D242:S242)</f>
        <v>-0.000357934445199853</v>
      </c>
      <c r="U242" s="32" t="n">
        <f aca="false">AVERAGE(J242:S242)</f>
        <v>-0.000442240651258552</v>
      </c>
      <c r="V242" s="32" t="n">
        <f aca="false">AVERAGE(D242:I242)</f>
        <v>-0.000217424101768689</v>
      </c>
      <c r="W242" s="32" t="n">
        <f aca="false">AVERAGE(K242,Q242,R242)</f>
        <v>-0.00797982529676689</v>
      </c>
      <c r="X242" s="32" t="n">
        <f aca="false">AVERAGE(K242,L242,N242,O242,P242,Q242,R242,S242)</f>
        <v>-0.00905817955337879</v>
      </c>
      <c r="Y242" s="32" t="n">
        <f aca="false">AVERAGE(J242,L242,M242,N242,O242,P242,Q242,R242,S242)</f>
        <v>8.72839164592909E-005</v>
      </c>
      <c r="Z242" s="32" t="n">
        <f aca="false">U242-V242</f>
        <v>-0.000224816549489863</v>
      </c>
      <c r="AA242" s="32" t="n">
        <f aca="false">W242-V242</f>
        <v>-0.0077624011949982</v>
      </c>
    </row>
    <row r="243" customFormat="false" ht="15" hidden="false" customHeight="false" outlineLevel="0" collapsed="false">
      <c r="A243" s="28" t="n">
        <f aca="false">Data_Prices!A243</f>
        <v>45155</v>
      </c>
      <c r="B243" s="32" t="n">
        <f aca="false">Data_Prices!B243/Data_Prices!B242-1</f>
        <v>-0.0051245825841254</v>
      </c>
      <c r="C243" s="32" t="n">
        <f aca="false">Data_Prices!C243/Data_Prices!C242-1</f>
        <v>-0.00301429118171481</v>
      </c>
      <c r="D243" s="32" t="n">
        <f aca="false">Data_Prices!D243/Data_Prices!D242-1</f>
        <v>-0.00848660756538466</v>
      </c>
      <c r="E243" s="32" t="n">
        <f aca="false">Data_Prices!E243/Data_Prices!E242-1</f>
        <v>-0.00142585551330787</v>
      </c>
      <c r="F243" s="32" t="n">
        <f aca="false">Data_Prices!F243/Data_Prices!F242-1</f>
        <v>0.0249276389627267</v>
      </c>
      <c r="G243" s="32" t="n">
        <f aca="false">Data_Prices!G243/Data_Prices!G242-1</f>
        <v>0.00521141774250866</v>
      </c>
      <c r="H243" s="32" t="n">
        <f aca="false">Data_Prices!H243/Data_Prices!H242-1</f>
        <v>0.00122887864823351</v>
      </c>
      <c r="I243" s="32" t="n">
        <f aca="false">Data_Prices!I243/Data_Prices!I242-1</f>
        <v>-0.00331873091729717</v>
      </c>
      <c r="J243" s="32" t="n">
        <f aca="false">Data_Prices!J243/Data_Prices!J242-1</f>
        <v>-0.0142332040024504</v>
      </c>
      <c r="K243" s="32" t="n">
        <f aca="false">Data_Prices!K243/Data_Prices!K242-1</f>
        <v>-0.0083476764199657</v>
      </c>
      <c r="L243" s="32" t="n">
        <f aca="false">Data_Prices!L243/Data_Prices!L242-1</f>
        <v>0.0035884579462222</v>
      </c>
      <c r="M243" s="32" t="n">
        <f aca="false">Data_Prices!M243/Data_Prices!M242-1</f>
        <v>0.00486374365209952</v>
      </c>
      <c r="N243" s="32" t="n">
        <f aca="false">Data_Prices!N243/Data_Prices!N242-1</f>
        <v>0.000706304217903853</v>
      </c>
      <c r="O243" s="32" t="n">
        <f aca="false">Data_Prices!O243/Data_Prices!O242-1</f>
        <v>0.00757029560201872</v>
      </c>
      <c r="P243" s="32" t="n">
        <f aca="false">Data_Prices!P243/Data_Prices!P242-1</f>
        <v>-0.00119412490546511</v>
      </c>
      <c r="Q243" s="32" t="n">
        <f aca="false">Data_Prices!Q243/Data_Prices!Q242-1</f>
        <v>-0.000349731872231196</v>
      </c>
      <c r="R243" s="32" t="n">
        <f aca="false">Data_Prices!R243/Data_Prices!R242-1</f>
        <v>0.000117660901282513</v>
      </c>
      <c r="S243" s="32" t="n">
        <f aca="false">Data_Prices!S243/Data_Prices!S242-1</f>
        <v>0.0269487750556794</v>
      </c>
      <c r="T243" s="32" t="n">
        <f aca="false">AVERAGE(D243:S243)</f>
        <v>0.0023629525957858</v>
      </c>
      <c r="U243" s="32" t="n">
        <f aca="false">AVERAGE(J243:S243)</f>
        <v>0.00196705001750938</v>
      </c>
      <c r="V243" s="32" t="n">
        <f aca="false">AVERAGE(D243:I243)</f>
        <v>0.00302279022624652</v>
      </c>
      <c r="W243" s="32" t="n">
        <f aca="false">AVERAGE(K243,Q243,R243)</f>
        <v>-0.00285991579697146</v>
      </c>
      <c r="X243" s="32" t="n">
        <f aca="false">AVERAGE(K243,L243,N243,O243,P243,Q243,R243,S243)</f>
        <v>0.00362999506568058</v>
      </c>
      <c r="Y243" s="32" t="n">
        <f aca="false">AVERAGE(J243,L243,M243,N243,O243,P243,Q243,R243,S243)</f>
        <v>0.00311313073278438</v>
      </c>
      <c r="Z243" s="32" t="n">
        <f aca="false">U243-V243</f>
        <v>-0.00105574020873714</v>
      </c>
      <c r="AA243" s="32" t="n">
        <f aca="false">W243-V243</f>
        <v>-0.00588270602321798</v>
      </c>
    </row>
    <row r="244" customFormat="false" ht="15" hidden="false" customHeight="false" outlineLevel="0" collapsed="false">
      <c r="A244" s="28" t="n">
        <f aca="false">Data_Prices!A244</f>
        <v>45156</v>
      </c>
      <c r="B244" s="32" t="n">
        <f aca="false">Data_Prices!B244/Data_Prices!B243-1</f>
        <v>-0.0028453027975367</v>
      </c>
      <c r="C244" s="32" t="n">
        <f aca="false">Data_Prices!C244/Data_Prices!C243-1</f>
        <v>-0.00265143061197159</v>
      </c>
      <c r="D244" s="32" t="n">
        <f aca="false">Data_Prices!D244/Data_Prices!D243-1</f>
        <v>-0.00124093165330286</v>
      </c>
      <c r="E244" s="32" t="n">
        <f aca="false">Data_Prices!E244/Data_Prices!E243-1</f>
        <v>-0.011967090501122</v>
      </c>
      <c r="F244" s="32" t="n">
        <f aca="false">Data_Prices!F244/Data_Prices!F243-1</f>
        <v>-0.00559045588150531</v>
      </c>
      <c r="G244" s="32" t="n">
        <f aca="false">Data_Prices!G244/Data_Prices!G243-1</f>
        <v>-0.0249793802285849</v>
      </c>
      <c r="H244" s="32" t="n">
        <f aca="false">Data_Prices!H244/Data_Prices!H243-1</f>
        <v>-0.0252378030070572</v>
      </c>
      <c r="I244" s="32" t="n">
        <f aca="false">Data_Prices!I244/Data_Prices!I243-1</f>
        <v>-0.00692594565796478</v>
      </c>
      <c r="J244" s="32" t="n">
        <f aca="false">Data_Prices!J244/Data_Prices!J243-1</f>
        <v>-0.0194725830174217</v>
      </c>
      <c r="K244" s="32" t="n">
        <f aca="false">Data_Prices!K244/Data_Prices!K243-1</f>
        <v>-0.00882293384246002</v>
      </c>
      <c r="L244" s="32" t="n">
        <f aca="false">Data_Prices!L244/Data_Prices!L243-1</f>
        <v>-0.00377155172413779</v>
      </c>
      <c r="M244" s="32" t="n">
        <f aca="false">Data_Prices!M244/Data_Prices!M243-1</f>
        <v>-0.0259449071108264</v>
      </c>
      <c r="N244" s="32" t="n">
        <f aca="false">Data_Prices!N244/Data_Prices!N243-1</f>
        <v>0.0111662081945854</v>
      </c>
      <c r="O244" s="32" t="n">
        <f aca="false">Data_Prices!O244/Data_Prices!O243-1</f>
        <v>-0.0159212880143113</v>
      </c>
      <c r="P244" s="32" t="n">
        <f aca="false">Data_Prices!P244/Data_Prices!P243-1</f>
        <v>-0.0104013071374488</v>
      </c>
      <c r="Q244" s="32" t="n">
        <f aca="false">Data_Prices!Q244/Data_Prices!Q243-1</f>
        <v>-0.0187755102040816</v>
      </c>
      <c r="R244" s="32" t="n">
        <f aca="false">Data_Prices!R244/Data_Prices!R243-1</f>
        <v>-0.00888235294117645</v>
      </c>
      <c r="S244" s="32" t="n">
        <f aca="false">Data_Prices!S244/Data_Prices!S243-1</f>
        <v>-0.0129852526566906</v>
      </c>
      <c r="T244" s="32" t="n">
        <f aca="false">AVERAGE(D244:S244)</f>
        <v>-0.0118595678364692</v>
      </c>
      <c r="U244" s="32" t="n">
        <f aca="false">AVERAGE(J244:S244)</f>
        <v>-0.0113811478453969</v>
      </c>
      <c r="V244" s="32" t="n">
        <f aca="false">AVERAGE(D244:I244)</f>
        <v>-0.0126569344882562</v>
      </c>
      <c r="W244" s="32" t="n">
        <f aca="false">AVERAGE(K244,Q244,R244)</f>
        <v>-0.0121602656625727</v>
      </c>
      <c r="X244" s="32" t="n">
        <f aca="false">AVERAGE(K244,L244,N244,O244,P244,Q244,R244,S244)</f>
        <v>-0.00854924854071515</v>
      </c>
      <c r="Y244" s="32" t="n">
        <f aca="false">AVERAGE(J244,L244,M244,N244,O244,P244,Q244,R244,S244)</f>
        <v>-0.0116653938457233</v>
      </c>
      <c r="Z244" s="32" t="n">
        <f aca="false">U244-V244</f>
        <v>0.00127578664285925</v>
      </c>
      <c r="AA244" s="32" t="n">
        <f aca="false">W244-V244</f>
        <v>0.000496668825683482</v>
      </c>
    </row>
    <row r="245" customFormat="false" ht="15" hidden="false" customHeight="false" outlineLevel="0" collapsed="false">
      <c r="A245" s="28" t="n">
        <f aca="false">Data_Prices!A245</f>
        <v>45159</v>
      </c>
      <c r="B245" s="32" t="n">
        <f aca="false">Data_Prices!B245/Data_Prices!B244-1</f>
        <v>0.00432156145861096</v>
      </c>
      <c r="C245" s="32" t="n">
        <f aca="false">Data_Prices!C245/Data_Prices!C244-1</f>
        <v>0.00563024758767594</v>
      </c>
      <c r="D245" s="32" t="n">
        <f aca="false">Data_Prices!D245/Data_Prices!D244-1</f>
        <v>0.00286724648762315</v>
      </c>
      <c r="E245" s="32" t="n">
        <f aca="false">Data_Prices!E245/Data_Prices!E244-1</f>
        <v>0.0210584268116443</v>
      </c>
      <c r="F245" s="32" t="n">
        <f aca="false">Data_Prices!F245/Data_Prices!F244-1</f>
        <v>0.00938912715891949</v>
      </c>
      <c r="G245" s="32" t="n">
        <f aca="false">Data_Prices!G245/Data_Prices!G244-1</f>
        <v>0.0164350453172206</v>
      </c>
      <c r="H245" s="32" t="n">
        <f aca="false">Data_Prices!H245/Data_Prices!H244-1</f>
        <v>0.0354922483670417</v>
      </c>
      <c r="I245" s="32" t="n">
        <f aca="false">Data_Prices!I245/Data_Prices!I244-1</f>
        <v>0.0796673819742488</v>
      </c>
      <c r="J245" s="32" t="n">
        <f aca="false">Data_Prices!J245/Data_Prices!J244-1</f>
        <v>0.00940147465827224</v>
      </c>
      <c r="K245" s="32" t="n">
        <f aca="false">Data_Prices!K245/Data_Prices!K244-1</f>
        <v>0.0271130049031054</v>
      </c>
      <c r="L245" s="32" t="n">
        <f aca="false">Data_Prices!L245/Data_Prices!L244-1</f>
        <v>0.0274349771375189</v>
      </c>
      <c r="M245" s="32" t="n">
        <f aca="false">Data_Prices!M245/Data_Prices!M244-1</f>
        <v>0.0223610654390003</v>
      </c>
      <c r="N245" s="32" t="n">
        <f aca="false">Data_Prices!N245/Data_Prices!N244-1</f>
        <v>0.00442073989225578</v>
      </c>
      <c r="O245" s="32" t="n">
        <f aca="false">Data_Prices!O245/Data_Prices!O244-1</f>
        <v>0.0087256862388656</v>
      </c>
      <c r="P245" s="32" t="n">
        <f aca="false">Data_Prices!P245/Data_Prices!P244-1</f>
        <v>0.0162290592783505</v>
      </c>
      <c r="Q245" s="32" t="n">
        <f aca="false">Data_Prices!Q245/Data_Prices!Q244-1</f>
        <v>-0.000713097218920877</v>
      </c>
      <c r="R245" s="32" t="n">
        <f aca="false">Data_Prices!R245/Data_Prices!R244-1</f>
        <v>-0.00819039705620528</v>
      </c>
      <c r="S245" s="32" t="n">
        <f aca="false">Data_Prices!S245/Data_Prices!S244-1</f>
        <v>0.0125243758411382</v>
      </c>
      <c r="T245" s="32" t="n">
        <f aca="false">AVERAGE(D245:S245)</f>
        <v>0.0177635228268799</v>
      </c>
      <c r="U245" s="32" t="n">
        <f aca="false">AVERAGE(J245:S245)</f>
        <v>0.0119306889113381</v>
      </c>
      <c r="V245" s="32" t="n">
        <f aca="false">AVERAGE(D245:I245)</f>
        <v>0.0274849126861163</v>
      </c>
      <c r="W245" s="32" t="n">
        <f aca="false">AVERAGE(K245,Q245,R245)</f>
        <v>0.00606983687599309</v>
      </c>
      <c r="X245" s="32" t="n">
        <f aca="false">AVERAGE(K245,L245,N245,O245,P245,Q245,R245,S245)</f>
        <v>0.0109430436270135</v>
      </c>
      <c r="Y245" s="32" t="n">
        <f aca="false">AVERAGE(J245,L245,M245,N245,O245,P245,Q245,R245,S245)</f>
        <v>0.0102437649122528</v>
      </c>
      <c r="Z245" s="32" t="n">
        <f aca="false">U245-V245</f>
        <v>-0.0155542237747783</v>
      </c>
      <c r="AA245" s="32" t="n">
        <f aca="false">W245-V245</f>
        <v>-0.0214150758101233</v>
      </c>
    </row>
    <row r="246" customFormat="false" ht="15" hidden="false" customHeight="false" outlineLevel="0" collapsed="false">
      <c r="A246" s="28" t="n">
        <f aca="false">Data_Prices!A246</f>
        <v>45160</v>
      </c>
      <c r="B246" s="32" t="n">
        <f aca="false">Data_Prices!B246/Data_Prices!B245-1</f>
        <v>0.000146955696724849</v>
      </c>
      <c r="C246" s="32" t="n">
        <f aca="false">Data_Prices!C246/Data_Prices!C245-1</f>
        <v>0.00315688595749486</v>
      </c>
      <c r="D246" s="32" t="n">
        <f aca="false">Data_Prices!D246/Data_Prices!D245-1</f>
        <v>0.00298611772927981</v>
      </c>
      <c r="E246" s="32" t="n">
        <f aca="false">Data_Prices!E246/Data_Prices!E245-1</f>
        <v>0.00633551256992648</v>
      </c>
      <c r="F246" s="32" t="n">
        <f aca="false">Data_Prices!F246/Data_Prices!F245-1</f>
        <v>-0.0153307303628846</v>
      </c>
      <c r="G246" s="32" t="n">
        <f aca="false">Data_Prices!G246/Data_Prices!G245-1</f>
        <v>0.00558792058019253</v>
      </c>
      <c r="H246" s="32" t="n">
        <f aca="false">Data_Prices!H246/Data_Prices!H245-1</f>
        <v>-0.000455996352029087</v>
      </c>
      <c r="I246" s="32" t="n">
        <f aca="false">Data_Prices!I246/Data_Prices!I245-1</f>
        <v>0.00236024844720495</v>
      </c>
      <c r="J246" s="32" t="n">
        <f aca="false">Data_Prices!J246/Data_Prices!J245-1</f>
        <v>-0.00632090083301939</v>
      </c>
      <c r="K246" s="32" t="n">
        <f aca="false">Data_Prices!K246/Data_Prices!K245-1</f>
        <v>0.00308299946011981</v>
      </c>
      <c r="L246" s="32" t="n">
        <f aca="false">Data_Prices!L246/Data_Prices!L245-1</f>
        <v>0.0167488156194668</v>
      </c>
      <c r="M246" s="32" t="n">
        <f aca="false">Data_Prices!M246/Data_Prices!M245-1</f>
        <v>-0.0021800507487223</v>
      </c>
      <c r="N246" s="32" t="n">
        <f aca="false">Data_Prices!N246/Data_Prices!N245-1</f>
        <v>0.0528866714183891</v>
      </c>
      <c r="O246" s="32" t="n">
        <f aca="false">Data_Prices!O246/Data_Prices!O245-1</f>
        <v>0.0403676338078933</v>
      </c>
      <c r="P246" s="32" t="n">
        <f aca="false">Data_Prices!P246/Data_Prices!P245-1</f>
        <v>-0.00479492767980971</v>
      </c>
      <c r="Q246" s="32" t="n">
        <f aca="false">Data_Prices!Q246/Data_Prices!Q245-1</f>
        <v>0.044243577545195</v>
      </c>
      <c r="R246" s="32" t="n">
        <f aca="false">Data_Prices!R246/Data_Prices!R245-1</f>
        <v>-0.0065226497516605</v>
      </c>
      <c r="S246" s="32" t="n">
        <f aca="false">Data_Prices!S246/Data_Prices!S245-1</f>
        <v>0.000976536009765328</v>
      </c>
      <c r="T246" s="32" t="n">
        <f aca="false">AVERAGE(D246:S246)</f>
        <v>0.00874817359120673</v>
      </c>
      <c r="U246" s="32" t="n">
        <f aca="false">AVERAGE(J246:S246)</f>
        <v>0.0138487704847618</v>
      </c>
      <c r="V246" s="32" t="n">
        <f aca="false">AVERAGE(D246:I246)</f>
        <v>0.00024717876861502</v>
      </c>
      <c r="W246" s="32" t="n">
        <f aca="false">AVERAGE(K246,Q246,R246)</f>
        <v>0.0136013090845514</v>
      </c>
      <c r="X246" s="32" t="n">
        <f aca="false">AVERAGE(K246,L246,N246,O246,P246,Q246,R246,S246)</f>
        <v>0.0183735820536699</v>
      </c>
      <c r="Y246" s="32" t="n">
        <f aca="false">AVERAGE(J246,L246,M246,N246,O246,P246,Q246,R246,S246)</f>
        <v>0.0150449672652775</v>
      </c>
      <c r="Z246" s="32" t="n">
        <f aca="false">U246-V246</f>
        <v>0.0136015917161467</v>
      </c>
      <c r="AA246" s="32" t="n">
        <f aca="false">W246-V246</f>
        <v>0.0133541303159364</v>
      </c>
    </row>
    <row r="247" customFormat="false" ht="15" hidden="false" customHeight="false" outlineLevel="0" collapsed="false">
      <c r="A247" s="28" t="n">
        <f aca="false">Data_Prices!A247</f>
        <v>45161</v>
      </c>
      <c r="B247" s="32" t="n">
        <f aca="false">Data_Prices!B247/Data_Prices!B246-1</f>
        <v>0.00245147952331481</v>
      </c>
      <c r="C247" s="32" t="n">
        <f aca="false">Data_Prices!C247/Data_Prices!C246-1</f>
        <v>0.00266189497345493</v>
      </c>
      <c r="D247" s="32" t="n">
        <f aca="false">Data_Prices!D247/Data_Prices!D246-1</f>
        <v>0.00478256738352378</v>
      </c>
      <c r="E247" s="32" t="n">
        <f aca="false">Data_Prices!E247/Data_Prices!E246-1</f>
        <v>0.00174134351349542</v>
      </c>
      <c r="F247" s="32" t="n">
        <f aca="false">Data_Prices!F247/Data_Prices!F246-1</f>
        <v>0.00758061694559453</v>
      </c>
      <c r="G247" s="32" t="n">
        <f aca="false">Data_Prices!G247/Data_Prices!G246-1</f>
        <v>0.000236462520690539</v>
      </c>
      <c r="H247" s="32" t="n">
        <f aca="false">Data_Prices!H247/Data_Prices!H246-1</f>
        <v>-0.0180200729927008</v>
      </c>
      <c r="I247" s="32" t="n">
        <f aca="false">Data_Prices!I247/Data_Prices!I246-1</f>
        <v>-0.0234229768248854</v>
      </c>
      <c r="J247" s="32" t="n">
        <f aca="false">Data_Prices!J247/Data_Prices!J246-1</f>
        <v>-0.00522369197067996</v>
      </c>
      <c r="K247" s="32" t="n">
        <f aca="false">Data_Prices!K247/Data_Prices!K246-1</f>
        <v>0.00658612240273082</v>
      </c>
      <c r="L247" s="32" t="n">
        <f aca="false">Data_Prices!L247/Data_Prices!L246-1</f>
        <v>0.0226855556078507</v>
      </c>
      <c r="M247" s="32" t="n">
        <f aca="false">Data_Prices!M247/Data_Prices!M246-1</f>
        <v>-0.0166547277936963</v>
      </c>
      <c r="N247" s="32" t="n">
        <f aca="false">Data_Prices!N247/Data_Prices!N246-1</f>
        <v>-0.0406004603303547</v>
      </c>
      <c r="O247" s="32" t="n">
        <f aca="false">Data_Prices!O247/Data_Prices!O246-1</f>
        <v>0.0325653906114674</v>
      </c>
      <c r="P247" s="32" t="n">
        <f aca="false">Data_Prices!P247/Data_Prices!P246-1</f>
        <v>0.00724695389026042</v>
      </c>
      <c r="Q247" s="32" t="n">
        <f aca="false">Data_Prices!Q247/Data_Prices!Q246-1</f>
        <v>-0.00933940774487474</v>
      </c>
      <c r="R247" s="32" t="n">
        <f aca="false">Data_Prices!R247/Data_Prices!R246-1</f>
        <v>0.0122876761835922</v>
      </c>
      <c r="S247" s="32" t="n">
        <f aca="false">Data_Prices!S247/Data_Prices!S246-1</f>
        <v>0.00387523373350307</v>
      </c>
      <c r="T247" s="32" t="n">
        <f aca="false">AVERAGE(D247:S247)</f>
        <v>-0.00085458842903019</v>
      </c>
      <c r="U247" s="32" t="n">
        <f aca="false">AVERAGE(J247:S247)</f>
        <v>0.00134286445897989</v>
      </c>
      <c r="V247" s="32" t="n">
        <f aca="false">AVERAGE(D247:I247)</f>
        <v>-0.00451700990904698</v>
      </c>
      <c r="W247" s="32" t="n">
        <f aca="false">AVERAGE(K247,Q247,R247)</f>
        <v>0.00317813028048275</v>
      </c>
      <c r="X247" s="32" t="n">
        <f aca="false">AVERAGE(K247,L247,N247,O247,P247,Q247,R247,S247)</f>
        <v>0.00441338304427189</v>
      </c>
      <c r="Y247" s="32" t="n">
        <f aca="false">AVERAGE(J247,L247,M247,N247,O247,P247,Q247,R247,S247)</f>
        <v>0.000760280243007561</v>
      </c>
      <c r="Z247" s="32" t="n">
        <f aca="false">U247-V247</f>
        <v>0.00585987436802687</v>
      </c>
      <c r="AA247" s="32" t="n">
        <f aca="false">W247-V247</f>
        <v>0.00769514018952973</v>
      </c>
    </row>
    <row r="248" customFormat="false" ht="15" hidden="false" customHeight="false" outlineLevel="0" collapsed="false">
      <c r="A248" s="28" t="n">
        <f aca="false">Data_Prices!A248</f>
        <v>45162</v>
      </c>
      <c r="B248" s="32" t="n">
        <f aca="false">Data_Prices!B248/Data_Prices!B247-1</f>
        <v>-0.00294692450113143</v>
      </c>
      <c r="C248" s="32" t="n">
        <f aca="false">Data_Prices!C248/Data_Prices!C247-1</f>
        <v>-0.00118582321794658</v>
      </c>
      <c r="D248" s="32" t="n">
        <f aca="false">Data_Prices!D248/Data_Prices!D247-1</f>
        <v>-0.00201740007565254</v>
      </c>
      <c r="E248" s="32" t="n">
        <f aca="false">Data_Prices!E248/Data_Prices!E247-1</f>
        <v>0.000267433308818621</v>
      </c>
      <c r="F248" s="32" t="n">
        <f aca="false">Data_Prices!F248/Data_Prices!F247-1</f>
        <v>0.000578737195439549</v>
      </c>
      <c r="G248" s="32" t="n">
        <f aca="false">Data_Prices!G248/Data_Prices!G247-1</f>
        <v>-0.00342789598108739</v>
      </c>
      <c r="H248" s="32" t="n">
        <f aca="false">Data_Prices!H248/Data_Prices!H247-1</f>
        <v>0.00526519550909788</v>
      </c>
      <c r="I248" s="32" t="n">
        <f aca="false">Data_Prices!I248/Data_Prices!I247-1</f>
        <v>-0.0115482233502539</v>
      </c>
      <c r="J248" s="32" t="n">
        <f aca="false">Data_Prices!J248/Data_Prices!J247-1</f>
        <v>-0.0162827136444483</v>
      </c>
      <c r="K248" s="32" t="n">
        <f aca="false">Data_Prices!K248/Data_Prices!K247-1</f>
        <v>0.00295491641807844</v>
      </c>
      <c r="L248" s="32" t="n">
        <f aca="false">Data_Prices!L248/Data_Prices!L247-1</f>
        <v>-0.00128860048782742</v>
      </c>
      <c r="M248" s="32" t="n">
        <f aca="false">Data_Prices!M248/Data_Prices!M247-1</f>
        <v>0.018284465488982</v>
      </c>
      <c r="N248" s="32" t="n">
        <f aca="false">Data_Prices!N248/Data_Prices!N247-1</f>
        <v>0.000599763622572302</v>
      </c>
      <c r="O248" s="32" t="n">
        <f aca="false">Data_Prices!O248/Data_Prices!O247-1</f>
        <v>0.0201308505284348</v>
      </c>
      <c r="P248" s="32" t="n">
        <f aca="false">Data_Prices!P248/Data_Prices!P247-1</f>
        <v>0.000513915243516738</v>
      </c>
      <c r="Q248" s="32" t="n">
        <f aca="false">Data_Prices!Q248/Data_Prices!Q247-1</f>
        <v>0.0156357783398482</v>
      </c>
      <c r="R248" s="32" t="n">
        <f aca="false">Data_Prices!R248/Data_Prices!R247-1</f>
        <v>-0.0117815066047839</v>
      </c>
      <c r="S248" s="32" t="n">
        <f aca="false">Data_Prices!S248/Data_Prices!S247-1</f>
        <v>0.0125796350286147</v>
      </c>
      <c r="T248" s="32" t="n">
        <f aca="false">AVERAGE(D248:S248)</f>
        <v>0.00190402190870936</v>
      </c>
      <c r="U248" s="32" t="n">
        <f aca="false">AVERAGE(J248:S248)</f>
        <v>0.00413465039329874</v>
      </c>
      <c r="V248" s="32" t="n">
        <f aca="false">AVERAGE(D248:I248)</f>
        <v>-0.00181369223227296</v>
      </c>
      <c r="W248" s="32" t="n">
        <f aca="false">AVERAGE(K248,Q248,R248)</f>
        <v>0.0022697293843809</v>
      </c>
      <c r="X248" s="32" t="n">
        <f aca="false">AVERAGE(K248,L248,N248,O248,P248,Q248,R248,S248)</f>
        <v>0.00491809401105672</v>
      </c>
      <c r="Y248" s="32" t="n">
        <f aca="false">AVERAGE(J248,L248,M248,N248,O248,P248,Q248,R248,S248)</f>
        <v>0.004265731946101</v>
      </c>
      <c r="Z248" s="32" t="n">
        <f aca="false">U248-V248</f>
        <v>0.0059483426255717</v>
      </c>
      <c r="AA248" s="32" t="n">
        <f aca="false">W248-V248</f>
        <v>0.00408342161665385</v>
      </c>
    </row>
    <row r="249" customFormat="false" ht="15" hidden="false" customHeight="false" outlineLevel="0" collapsed="false">
      <c r="A249" s="28" t="n">
        <f aca="false">Data_Prices!A249</f>
        <v>45163</v>
      </c>
      <c r="B249" s="32" t="n">
        <f aca="false">Data_Prices!B249/Data_Prices!B248-1</f>
        <v>-0.00623623411926744</v>
      </c>
      <c r="C249" s="32" t="n">
        <f aca="false">Data_Prices!C249/Data_Prices!C248-1</f>
        <v>-0.00645593807497291</v>
      </c>
      <c r="D249" s="32" t="n">
        <f aca="false">Data_Prices!D249/Data_Prices!D248-1</f>
        <v>0.00521162349968418</v>
      </c>
      <c r="E249" s="32" t="n">
        <f aca="false">Data_Prices!E249/Data_Prices!E248-1</f>
        <v>-0.0122318026869861</v>
      </c>
      <c r="F249" s="32" t="n">
        <f aca="false">Data_Prices!F249/Data_Prices!F248-1</f>
        <v>-0.0176412747990051</v>
      </c>
      <c r="G249" s="32" t="n">
        <f aca="false">Data_Prices!G249/Data_Prices!G248-1</f>
        <v>-0.0102004507175899</v>
      </c>
      <c r="H249" s="32" t="n">
        <f aca="false">Data_Prices!H249/Data_Prices!H248-1</f>
        <v>-0.0150196410690904</v>
      </c>
      <c r="I249" s="32" t="n">
        <f aca="false">Data_Prices!I249/Data_Prices!I248-1</f>
        <v>-0.0155347284632174</v>
      </c>
      <c r="J249" s="32" t="n">
        <f aca="false">Data_Prices!J249/Data_Prices!J248-1</f>
        <v>-0.0117522977248756</v>
      </c>
      <c r="K249" s="32" t="n">
        <f aca="false">Data_Prices!K249/Data_Prices!K248-1</f>
        <v>0.0103678554392659</v>
      </c>
      <c r="L249" s="32" t="n">
        <f aca="false">Data_Prices!L249/Data_Prices!L248-1</f>
        <v>-0.00262660706879858</v>
      </c>
      <c r="M249" s="32" t="n">
        <f aca="false">Data_Prices!M249/Data_Prices!M248-1</f>
        <v>0.00890653503594807</v>
      </c>
      <c r="N249" s="32" t="n">
        <f aca="false">Data_Prices!N249/Data_Prices!N248-1</f>
        <v>0.00401953352255702</v>
      </c>
      <c r="O249" s="32" t="n">
        <f aca="false">Data_Prices!O249/Data_Prices!O248-1</f>
        <v>-0.0322315408649894</v>
      </c>
      <c r="P249" s="32" t="n">
        <f aca="false">Data_Prices!P249/Data_Prices!P248-1</f>
        <v>-0.0047413963412225</v>
      </c>
      <c r="Q249" s="32" t="n">
        <f aca="false">Data_Prices!Q249/Data_Prices!Q248-1</f>
        <v>-0.0247905818428797</v>
      </c>
      <c r="R249" s="32" t="n">
        <f aca="false">Data_Prices!R249/Data_Prices!R248-1</f>
        <v>-0.0116209055876686</v>
      </c>
      <c r="S249" s="32" t="n">
        <f aca="false">Data_Prices!S249/Data_Prices!S248-1</f>
        <v>-0.00605171954145567</v>
      </c>
      <c r="T249" s="32" t="n">
        <f aca="false">AVERAGE(D249:S249)</f>
        <v>-0.00849608745064524</v>
      </c>
      <c r="U249" s="32" t="n">
        <f aca="false">AVERAGE(J249:S249)</f>
        <v>-0.00705211249741191</v>
      </c>
      <c r="V249" s="32" t="n">
        <f aca="false">AVERAGE(D249:I249)</f>
        <v>-0.0109027123727008</v>
      </c>
      <c r="W249" s="32" t="n">
        <f aca="false">AVERAGE(K249,Q249,R249)</f>
        <v>-0.00868121066376082</v>
      </c>
      <c r="X249" s="32" t="n">
        <f aca="false">AVERAGE(K249,L249,N249,O249,P249,Q249,R249,S249)</f>
        <v>-0.00845942028564894</v>
      </c>
      <c r="Y249" s="32" t="n">
        <f aca="false">AVERAGE(J249,L249,M249,N249,O249,P249,Q249,R249,S249)</f>
        <v>-0.00898766449037611</v>
      </c>
      <c r="Z249" s="32" t="n">
        <f aca="false">U249-V249</f>
        <v>0.00385059987528887</v>
      </c>
      <c r="AA249" s="32" t="n">
        <f aca="false">W249-V249</f>
        <v>0.00222150170893996</v>
      </c>
    </row>
    <row r="250" customFormat="false" ht="15" hidden="false" customHeight="false" outlineLevel="0" collapsed="false">
      <c r="A250" s="28" t="n">
        <f aca="false">Data_Prices!A250</f>
        <v>45166</v>
      </c>
      <c r="B250" s="32" t="n">
        <f aca="false">Data_Prices!B250/Data_Prices!B249-1</f>
        <v>0.00208919432362009</v>
      </c>
      <c r="C250" s="32" t="n">
        <f aca="false">Data_Prices!C250/Data_Prices!C249-1</f>
        <v>0.00323705401332286</v>
      </c>
      <c r="D250" s="32" t="n">
        <f aca="false">Data_Prices!D250/Data_Prices!D249-1</f>
        <v>0.00490180675569518</v>
      </c>
      <c r="E250" s="32" t="n">
        <f aca="false">Data_Prices!E250/Data_Prices!E249-1</f>
        <v>0.00629313844904589</v>
      </c>
      <c r="F250" s="32" t="n">
        <f aca="false">Data_Prices!F250/Data_Prices!F249-1</f>
        <v>-0.01530852567122</v>
      </c>
      <c r="G250" s="32" t="n">
        <f aca="false">Data_Prices!G250/Data_Prices!G249-1</f>
        <v>0.00659077291791488</v>
      </c>
      <c r="H250" s="32" t="n">
        <f aca="false">Data_Prices!H250/Data_Prices!H249-1</f>
        <v>0.0197841726618704</v>
      </c>
      <c r="I250" s="32" t="n">
        <f aca="false">Data_Prices!I250/Data_Prices!I249-1</f>
        <v>0.0207355242566512</v>
      </c>
      <c r="J250" s="32" t="n">
        <f aca="false">Data_Prices!J250/Data_Prices!J249-1</f>
        <v>0.00731818874828472</v>
      </c>
      <c r="K250" s="32" t="n">
        <f aca="false">Data_Prices!K250/Data_Prices!K249-1</f>
        <v>0.0033464320924228</v>
      </c>
      <c r="L250" s="32" t="n">
        <f aca="false">Data_Prices!L250/Data_Prices!L249-1</f>
        <v>0.00993346885973012</v>
      </c>
      <c r="M250" s="32" t="n">
        <f aca="false">Data_Prices!M250/Data_Prices!M249-1</f>
        <v>-0.00088633624051615</v>
      </c>
      <c r="N250" s="32" t="n">
        <f aca="false">Data_Prices!N250/Data_Prices!N249-1</f>
        <v>0.0119400888483081</v>
      </c>
      <c r="O250" s="32" t="n">
        <f aca="false">Data_Prices!O250/Data_Prices!O249-1</f>
        <v>-0.00526762956669502</v>
      </c>
      <c r="P250" s="32" t="n">
        <f aca="false">Data_Prices!P250/Data_Prices!P249-1</f>
        <v>0.0226686251935369</v>
      </c>
      <c r="Q250" s="32" t="n">
        <f aca="false">Data_Prices!Q250/Data_Prices!Q249-1</f>
        <v>-0.0342426001160766</v>
      </c>
      <c r="R250" s="32" t="n">
        <f aca="false">Data_Prices!R250/Data_Prices!R249-1</f>
        <v>0.00359427353030761</v>
      </c>
      <c r="S250" s="32" t="n">
        <f aca="false">Data_Prices!S250/Data_Prices!S249-1</f>
        <v>-0.00123380629241199</v>
      </c>
      <c r="T250" s="32" t="n">
        <f aca="false">AVERAGE(D250:S250)</f>
        <v>0.003760474651678</v>
      </c>
      <c r="U250" s="32" t="n">
        <f aca="false">AVERAGE(J250:S250)</f>
        <v>0.00171707050568904</v>
      </c>
      <c r="V250" s="32" t="n">
        <f aca="false">AVERAGE(D250:I250)</f>
        <v>0.00716614822832625</v>
      </c>
      <c r="W250" s="32" t="n">
        <f aca="false">AVERAGE(K250,Q250,R250)</f>
        <v>-0.00910063149778206</v>
      </c>
      <c r="X250" s="32" t="n">
        <f aca="false">AVERAGE(K250,L250,N250,O250,P250,Q250,R250,S250)</f>
        <v>0.00134235656864024</v>
      </c>
      <c r="Y250" s="32" t="n">
        <f aca="false">AVERAGE(J250,L250,M250,N250,O250,P250,Q250,R250,S250)</f>
        <v>0.00153603032938529</v>
      </c>
      <c r="Z250" s="32" t="n">
        <f aca="false">U250-V250</f>
        <v>-0.0054490777226372</v>
      </c>
      <c r="AA250" s="32" t="n">
        <f aca="false">W250-V250</f>
        <v>-0.0162667797261083</v>
      </c>
    </row>
    <row r="251" customFormat="false" ht="15" hidden="false" customHeight="false" outlineLevel="0" collapsed="false">
      <c r="A251" s="28" t="n">
        <f aca="false">Data_Prices!A251</f>
        <v>45167</v>
      </c>
      <c r="B251" s="32" t="n">
        <f aca="false">Data_Prices!B251/Data_Prices!B250-1</f>
        <v>0.00189577878437075</v>
      </c>
      <c r="C251" s="32" t="n">
        <f aca="false">Data_Prices!C251/Data_Prices!C250-1</f>
        <v>0.00308142670056233</v>
      </c>
      <c r="D251" s="32" t="n">
        <f aca="false">Data_Prices!D251/Data_Prices!D250-1</f>
        <v>0.0012820111941465</v>
      </c>
      <c r="E251" s="32" t="n">
        <f aca="false">Data_Prices!E251/Data_Prices!E250-1</f>
        <v>0.00759868199852076</v>
      </c>
      <c r="F251" s="32" t="n">
        <f aca="false">Data_Prices!F251/Data_Prices!F250-1</f>
        <v>-0.0234393685721119</v>
      </c>
      <c r="G251" s="32" t="n">
        <f aca="false">Data_Prices!G251/Data_Prices!G250-1</f>
        <v>0.00785714285714279</v>
      </c>
      <c r="H251" s="32" t="n">
        <f aca="false">Data_Prices!H251/Data_Prices!H250-1</f>
        <v>-0.01456943485929</v>
      </c>
      <c r="I251" s="32" t="n">
        <f aca="false">Data_Prices!I251/Data_Prices!I250-1</f>
        <v>-0.00638814360546824</v>
      </c>
      <c r="J251" s="32" t="n">
        <f aca="false">Data_Prices!J251/Data_Prices!J250-1</f>
        <v>0.0349412960280222</v>
      </c>
      <c r="K251" s="32" t="n">
        <f aca="false">Data_Prices!K251/Data_Prices!K250-1</f>
        <v>0.00797143568878189</v>
      </c>
      <c r="L251" s="32" t="n">
        <f aca="false">Data_Prices!L251/Data_Prices!L250-1</f>
        <v>0.00558122512466253</v>
      </c>
      <c r="M251" s="32" t="n">
        <f aca="false">Data_Prices!M251/Data_Prices!M250-1</f>
        <v>-0.0113196834746816</v>
      </c>
      <c r="N251" s="32" t="n">
        <f aca="false">Data_Prices!N251/Data_Prices!N250-1</f>
        <v>-0.00910968055386863</v>
      </c>
      <c r="O251" s="32" t="n">
        <f aca="false">Data_Prices!O251/Data_Prices!O250-1</f>
        <v>0.00153741031773147</v>
      </c>
      <c r="P251" s="32" t="n">
        <f aca="false">Data_Prices!P251/Data_Prices!P250-1</f>
        <v>0.00850155279503118</v>
      </c>
      <c r="Q251" s="32" t="n">
        <f aca="false">Data_Prices!Q251/Data_Prices!Q250-1</f>
        <v>-0.0129807692307692</v>
      </c>
      <c r="R251" s="32" t="n">
        <f aca="false">Data_Prices!R251/Data_Prices!R250-1</f>
        <v>0.00103192910040062</v>
      </c>
      <c r="S251" s="32" t="n">
        <f aca="false">Data_Prices!S251/Data_Prices!S250-1</f>
        <v>0.00558584203883239</v>
      </c>
      <c r="T251" s="32" t="n">
        <f aca="false">AVERAGE(D251:S251)</f>
        <v>0.000255090427942674</v>
      </c>
      <c r="U251" s="32" t="n">
        <f aca="false">AVERAGE(J251:S251)</f>
        <v>0.00317405578341429</v>
      </c>
      <c r="V251" s="32" t="n">
        <f aca="false">AVERAGE(D251:I251)</f>
        <v>-0.00460985183117668</v>
      </c>
      <c r="W251" s="32" t="n">
        <f aca="false">AVERAGE(K251,Q251,R251)</f>
        <v>-0.00132580148052889</v>
      </c>
      <c r="X251" s="32" t="n">
        <f aca="false">AVERAGE(K251,L251,N251,O251,P251,Q251,R251,S251)</f>
        <v>0.00101486816010028</v>
      </c>
      <c r="Y251" s="32" t="n">
        <f aca="false">AVERAGE(J251,L251,M251,N251,O251,P251,Q251,R251,S251)</f>
        <v>0.00264101357170678</v>
      </c>
      <c r="Z251" s="32" t="n">
        <f aca="false">U251-V251</f>
        <v>0.00778390761459097</v>
      </c>
      <c r="AA251" s="32" t="n">
        <f aca="false">W251-V251</f>
        <v>0.00328405035064779</v>
      </c>
    </row>
    <row r="252" customFormat="false" ht="15" hidden="false" customHeight="false" outlineLevel="0" collapsed="false">
      <c r="A252" s="28" t="n">
        <f aca="false">Data_Prices!A252</f>
        <v>45168</v>
      </c>
      <c r="B252" s="32" t="n">
        <f aca="false">Data_Prices!B252/Data_Prices!B251-1</f>
        <v>0.000248156276414946</v>
      </c>
      <c r="C252" s="32" t="n">
        <f aca="false">Data_Prices!C252/Data_Prices!C251-1</f>
        <v>0.00246052235146776</v>
      </c>
      <c r="D252" s="32" t="n">
        <f aca="false">Data_Prices!D252/Data_Prices!D251-1</f>
        <v>-0.00886890262944218</v>
      </c>
      <c r="E252" s="32" t="n">
        <f aca="false">Data_Prices!E252/Data_Prices!E251-1</f>
        <v>0.000600640683395604</v>
      </c>
      <c r="F252" s="32" t="n">
        <f aca="false">Data_Prices!F252/Data_Prices!F251-1</f>
        <v>0.00226549106049467</v>
      </c>
      <c r="G252" s="32" t="n">
        <f aca="false">Data_Prices!G252/Data_Prices!G251-1</f>
        <v>-0.00531537916371372</v>
      </c>
      <c r="H252" s="32" t="n">
        <f aca="false">Data_Prices!H252/Data_Prices!H251-1</f>
        <v>0.00560267683448767</v>
      </c>
      <c r="I252" s="32" t="n">
        <f aca="false">Data_Prices!I252/Data_Prices!I251-1</f>
        <v>-0.00244310145300253</v>
      </c>
      <c r="J252" s="32" t="n">
        <f aca="false">Data_Prices!J252/Data_Prices!J251-1</f>
        <v>0.0074793690588113</v>
      </c>
      <c r="K252" s="32" t="n">
        <f aca="false">Data_Prices!K252/Data_Prices!K251-1</f>
        <v>-0.00345992256363781</v>
      </c>
      <c r="L252" s="32" t="n">
        <f aca="false">Data_Prices!L252/Data_Prices!L251-1</f>
        <v>0.0155133979345798</v>
      </c>
      <c r="M252" s="32" t="n">
        <f aca="false">Data_Prices!M252/Data_Prices!M251-1</f>
        <v>0.000825497092814542</v>
      </c>
      <c r="N252" s="32" t="n">
        <f aca="false">Data_Prices!N252/Data_Prices!N251-1</f>
        <v>-0.0175112947851365</v>
      </c>
      <c r="O252" s="32" t="n">
        <f aca="false">Data_Prices!O252/Data_Prices!O251-1</f>
        <v>0.0150093808630396</v>
      </c>
      <c r="P252" s="32" t="n">
        <f aca="false">Data_Prices!P252/Data_Prices!P251-1</f>
        <v>-0.0086993340775241</v>
      </c>
      <c r="Q252" s="32" t="n">
        <f aca="false">Data_Prices!Q252/Data_Prices!Q251-1</f>
        <v>-0.0152216268874817</v>
      </c>
      <c r="R252" s="32" t="n">
        <f aca="false">Data_Prices!R252/Data_Prices!R251-1</f>
        <v>0.000606391364986969</v>
      </c>
      <c r="S252" s="32" t="n">
        <f aca="false">Data_Prices!S252/Data_Prices!S251-1</f>
        <v>0.00632928294832413</v>
      </c>
      <c r="T252" s="32" t="n">
        <f aca="false">AVERAGE(D252:S252)</f>
        <v>-0.000455464607437762</v>
      </c>
      <c r="U252" s="32" t="n">
        <f aca="false">AVERAGE(J252:S252)</f>
        <v>8.71140948776272E-005</v>
      </c>
      <c r="V252" s="32" t="n">
        <f aca="false">AVERAGE(D252:I252)</f>
        <v>-0.00135976244463008</v>
      </c>
      <c r="W252" s="32" t="n">
        <f aca="false">AVERAGE(K252,Q252,R252)</f>
        <v>-0.00602505269537753</v>
      </c>
      <c r="X252" s="32" t="n">
        <f aca="false">AVERAGE(K252,L252,N252,O252,P252,Q252,R252,S252)</f>
        <v>-0.000929215650356197</v>
      </c>
      <c r="Y252" s="32" t="n">
        <f aca="false">AVERAGE(J252,L252,M252,N252,O252,P252,Q252,R252,S252)</f>
        <v>0.00048122927915712</v>
      </c>
      <c r="Z252" s="32" t="n">
        <f aca="false">U252-V252</f>
        <v>0.00144687653950771</v>
      </c>
      <c r="AA252" s="32" t="n">
        <f aca="false">W252-V252</f>
        <v>-0.00466529025074745</v>
      </c>
    </row>
    <row r="253" customFormat="false" ht="15" hidden="false" customHeight="false" outlineLevel="0" collapsed="false">
      <c r="A253" s="28" t="n">
        <f aca="false">Data_Prices!A253</f>
        <v>45169</v>
      </c>
      <c r="B253" s="32" t="n">
        <f aca="false">Data_Prices!B253/Data_Prices!B252-1</f>
        <v>-0.00484043116793176</v>
      </c>
      <c r="C253" s="32" t="n">
        <f aca="false">Data_Prices!C253/Data_Prices!C252-1</f>
        <v>-0.00263127653744055</v>
      </c>
      <c r="D253" s="32" t="n">
        <f aca="false">Data_Prices!D253/Data_Prices!D252-1</f>
        <v>0.0286722540802824</v>
      </c>
      <c r="E253" s="32" t="n">
        <f aca="false">Data_Prices!E253/Data_Prices!E252-1</f>
        <v>0.00226772493830452</v>
      </c>
      <c r="F253" s="32" t="n">
        <f aca="false">Data_Prices!F253/Data_Prices!F252-1</f>
        <v>0.0193047834320972</v>
      </c>
      <c r="G253" s="32" t="n">
        <f aca="false">Data_Prices!G253/Data_Prices!G252-1</f>
        <v>0.0054625341408383</v>
      </c>
      <c r="H253" s="32" t="n">
        <f aca="false">Data_Prices!H253/Data_Prices!H252-1</f>
        <v>0.00665480151667586</v>
      </c>
      <c r="I253" s="32" t="n">
        <f aca="false">Data_Prices!I253/Data_Prices!I252-1</f>
        <v>0.000257798401650078</v>
      </c>
      <c r="J253" s="32" t="n">
        <f aca="false">Data_Prices!J253/Data_Prices!J252-1</f>
        <v>-0.00823258611036226</v>
      </c>
      <c r="K253" s="32" t="n">
        <f aca="false">Data_Prices!K253/Data_Prices!K252-1</f>
        <v>-0.0144526191066656</v>
      </c>
      <c r="L253" s="32" t="n">
        <f aca="false">Data_Prices!L253/Data_Prices!L252-1</f>
        <v>0.00515186811217627</v>
      </c>
      <c r="M253" s="32" t="n">
        <f aca="false">Data_Prices!M253/Data_Prices!M252-1</f>
        <v>0.0152770306616461</v>
      </c>
      <c r="N253" s="32" t="n">
        <f aca="false">Data_Prices!N253/Data_Prices!N252-1</f>
        <v>0.0503867679036112</v>
      </c>
      <c r="O253" s="32" t="n">
        <f aca="false">Data_Prices!O253/Data_Prices!O252-1</f>
        <v>0.000336077970088944</v>
      </c>
      <c r="P253" s="32" t="n">
        <f aca="false">Data_Prices!P253/Data_Prices!P252-1</f>
        <v>-0.021201413427562</v>
      </c>
      <c r="Q253" s="32" t="n">
        <f aca="false">Data_Prices!Q253/Data_Prices!Q252-1</f>
        <v>0.0309138122913317</v>
      </c>
      <c r="R253" s="32" t="n">
        <f aca="false">Data_Prices!R253/Data_Prices!R252-1</f>
        <v>-0.010302405914793</v>
      </c>
      <c r="S253" s="32" t="n">
        <f aca="false">Data_Prices!S253/Data_Prices!S252-1</f>
        <v>0.0234594766732128</v>
      </c>
      <c r="T253" s="32" t="n">
        <f aca="false">AVERAGE(D253:S253)</f>
        <v>0.00837224409765828</v>
      </c>
      <c r="U253" s="32" t="n">
        <f aca="false">AVERAGE(J253:S253)</f>
        <v>0.00713360090526841</v>
      </c>
      <c r="V253" s="32" t="n">
        <f aca="false">AVERAGE(D253:I253)</f>
        <v>0.0104366494183081</v>
      </c>
      <c r="W253" s="32" t="n">
        <f aca="false">AVERAGE(K253,Q253,R253)</f>
        <v>0.00205292908995769</v>
      </c>
      <c r="X253" s="32" t="n">
        <f aca="false">AVERAGE(K253,L253,N253,O253,P253,Q253,R253,S253)</f>
        <v>0.00803644556267504</v>
      </c>
      <c r="Y253" s="32" t="n">
        <f aca="false">AVERAGE(J253,L253,M253,N253,O253,P253,Q253,R253,S253)</f>
        <v>0.0095320697954833</v>
      </c>
      <c r="Z253" s="32" t="n">
        <f aca="false">U253-V253</f>
        <v>-0.00330304851303965</v>
      </c>
      <c r="AA253" s="32" t="n">
        <f aca="false">W253-V253</f>
        <v>-0.00838372032835037</v>
      </c>
    </row>
    <row r="254" customFormat="false" ht="15" hidden="false" customHeight="false" outlineLevel="0" collapsed="false">
      <c r="A254" s="28" t="n">
        <f aca="false">Data_Prices!A254</f>
        <v>45170</v>
      </c>
      <c r="B254" s="32" t="n">
        <f aca="false">Data_Prices!B254/Data_Prices!B253-1</f>
        <v>0.00942671057141964</v>
      </c>
      <c r="C254" s="32" t="n">
        <f aca="false">Data_Prices!C254/Data_Prices!C253-1</f>
        <v>0.00887776747044189</v>
      </c>
      <c r="D254" s="32" t="n">
        <f aca="false">Data_Prices!D254/Data_Prices!D253-1</f>
        <v>-0.00315486400392062</v>
      </c>
      <c r="E254" s="32" t="n">
        <f aca="false">Data_Prices!E254/Data_Prices!E253-1</f>
        <v>0.0115126106341918</v>
      </c>
      <c r="F254" s="32" t="n">
        <f aca="false">Data_Prices!F254/Data_Prices!F253-1</f>
        <v>0.0348216961342522</v>
      </c>
      <c r="G254" s="32" t="n">
        <f aca="false">Data_Prices!G254/Data_Prices!G253-1</f>
        <v>0.0232668005196646</v>
      </c>
      <c r="H254" s="32" t="n">
        <f aca="false">Data_Prices!H254/Data_Prices!H253-1</f>
        <v>0.00184487662387567</v>
      </c>
      <c r="I254" s="32" t="n">
        <f aca="false">Data_Prices!I254/Data_Prices!I253-1</f>
        <v>-0.00244845360824741</v>
      </c>
      <c r="J254" s="32" t="n">
        <f aca="false">Data_Prices!J254/Data_Prices!J253-1</f>
        <v>-0.0155145736628614</v>
      </c>
      <c r="K254" s="32" t="n">
        <f aca="false">Data_Prices!K254/Data_Prices!K253-1</f>
        <v>0.0220038303999552</v>
      </c>
      <c r="L254" s="32" t="n">
        <f aca="false">Data_Prices!L254/Data_Prices!L253-1</f>
        <v>0.00623969336364039</v>
      </c>
      <c r="M254" s="32" t="n">
        <f aca="false">Data_Prices!M254/Data_Prices!M253-1</f>
        <v>-0.00448588887711487</v>
      </c>
      <c r="N254" s="32" t="n">
        <f aca="false">Data_Prices!N254/Data_Prices!N253-1</f>
        <v>-0.0189706955356084</v>
      </c>
      <c r="O254" s="32" t="n">
        <f aca="false">Data_Prices!O254/Data_Prices!O253-1</f>
        <v>0.00503947589450693</v>
      </c>
      <c r="P254" s="32" t="n">
        <f aca="false">Data_Prices!P254/Data_Prices!P253-1</f>
        <v>0.000714087356686655</v>
      </c>
      <c r="Q254" s="32" t="n">
        <f aca="false">Data_Prices!Q254/Data_Prices!Q253-1</f>
        <v>-0.0169125584742713</v>
      </c>
      <c r="R254" s="32" t="n">
        <f aca="false">Data_Prices!R254/Data_Prices!R253-1</f>
        <v>0.0290857877655992</v>
      </c>
      <c r="S254" s="32" t="n">
        <f aca="false">Data_Prices!S254/Data_Prices!S253-1</f>
        <v>-0.008427111963906</v>
      </c>
      <c r="T254" s="32" t="n">
        <f aca="false">AVERAGE(D254:S254)</f>
        <v>0.00403841953540268</v>
      </c>
      <c r="U254" s="32" t="n">
        <f aca="false">AVERAGE(J254:S254)</f>
        <v>-0.000122795373337348</v>
      </c>
      <c r="V254" s="32" t="n">
        <f aca="false">AVERAGE(D254:I254)</f>
        <v>0.010973777716636</v>
      </c>
      <c r="W254" s="32" t="n">
        <f aca="false">AVERAGE(K254,Q254,R254)</f>
        <v>0.0113923532304277</v>
      </c>
      <c r="X254" s="32" t="n">
        <f aca="false">AVERAGE(K254,L254,N254,O254,P254,Q254,R254,S254)</f>
        <v>0.00234656360082534</v>
      </c>
      <c r="Y254" s="32" t="n">
        <f aca="false">AVERAGE(J254,L254,M254,N254,O254,P254,Q254,R254,S254)</f>
        <v>-0.00258130934814764</v>
      </c>
      <c r="Z254" s="32" t="n">
        <f aca="false">U254-V254</f>
        <v>-0.0110965730899734</v>
      </c>
      <c r="AA254" s="32" t="n">
        <f aca="false">W254-V254</f>
        <v>0.000418575513791672</v>
      </c>
    </row>
    <row r="255" customFormat="false" ht="15" hidden="false" customHeight="false" outlineLevel="0" collapsed="false">
      <c r="A255" s="28" t="n">
        <f aca="false">Data_Prices!A255</f>
        <v>45173</v>
      </c>
      <c r="B255" s="32" t="n">
        <f aca="false">Data_Prices!B255/Data_Prices!B254-1</f>
        <v>0.00481083389502612</v>
      </c>
      <c r="C255" s="32" t="n">
        <f aca="false">Data_Prices!C255/Data_Prices!C254-1</f>
        <v>0.0062314965840975</v>
      </c>
      <c r="D255" s="32" t="n">
        <f aca="false">Data_Prices!D255/Data_Prices!D254-1</f>
        <v>0.0112152404363191</v>
      </c>
      <c r="E255" s="32" t="n">
        <f aca="false">Data_Prices!E255/Data_Prices!E254-1</f>
        <v>0.00802631578947377</v>
      </c>
      <c r="F255" s="32" t="n">
        <f aca="false">Data_Prices!F255/Data_Prices!F254-1</f>
        <v>-0.0202131356423028</v>
      </c>
      <c r="G255" s="32" t="n">
        <f aca="false">Data_Prices!G255/Data_Prices!G254-1</f>
        <v>0.0337026777469991</v>
      </c>
      <c r="H255" s="32" t="n">
        <f aca="false">Data_Prices!H255/Data_Prices!H254-1</f>
        <v>0.0165733138954962</v>
      </c>
      <c r="I255" s="32" t="n">
        <f aca="false">Data_Prices!I255/Data_Prices!I254-1</f>
        <v>-0.00529647332385996</v>
      </c>
      <c r="J255" s="32" t="n">
        <f aca="false">Data_Prices!J255/Data_Prices!J254-1</f>
        <v>-0.0130617619573529</v>
      </c>
      <c r="K255" s="32" t="n">
        <f aca="false">Data_Prices!K255/Data_Prices!K254-1</f>
        <v>-0.00688032609736422</v>
      </c>
      <c r="L255" s="32" t="n">
        <f aca="false">Data_Prices!L255/Data_Prices!L254-1</f>
        <v>-0.0220578464809318</v>
      </c>
      <c r="M255" s="32" t="n">
        <f aca="false">Data_Prices!M255/Data_Prices!M254-1</f>
        <v>0.0348424638092535</v>
      </c>
      <c r="N255" s="32" t="n">
        <f aca="false">Data_Prices!N255/Data_Prices!N254-1</f>
        <v>0.00396090979849539</v>
      </c>
      <c r="O255" s="32" t="n">
        <f aca="false">Data_Prices!O255/Data_Prices!O254-1</f>
        <v>-0.0113655356844392</v>
      </c>
      <c r="P255" s="32" t="n">
        <f aca="false">Data_Prices!P255/Data_Prices!P254-1</f>
        <v>0.0133201189296333</v>
      </c>
      <c r="Q255" s="32" t="n">
        <f aca="false">Data_Prices!Q255/Data_Prices!Q254-1</f>
        <v>-0.0178135675939483</v>
      </c>
      <c r="R255" s="32" t="n">
        <f aca="false">Data_Prices!R255/Data_Prices!R254-1</f>
        <v>0.00172557419969066</v>
      </c>
      <c r="S255" s="32" t="n">
        <f aca="false">Data_Prices!S255/Data_Prices!S254-1</f>
        <v>-0.0094924295912765</v>
      </c>
      <c r="T255" s="32" t="n">
        <f aca="false">AVERAGE(D255:S255)</f>
        <v>0.00107409613961783</v>
      </c>
      <c r="U255" s="32" t="n">
        <f aca="false">AVERAGE(J255:S255)</f>
        <v>-0.002682240066824</v>
      </c>
      <c r="V255" s="32" t="n">
        <f aca="false">AVERAGE(D255:I255)</f>
        <v>0.00733465648368757</v>
      </c>
      <c r="W255" s="32" t="n">
        <f aca="false">AVERAGE(K255,Q255,R255)</f>
        <v>-0.00765610649720727</v>
      </c>
      <c r="X255" s="32" t="n">
        <f aca="false">AVERAGE(K255,L255,N255,O255,P255,Q255,R255,S255)</f>
        <v>-0.00607538781501758</v>
      </c>
      <c r="Y255" s="32" t="n">
        <f aca="false">AVERAGE(J255,L255,M255,N255,O255,P255,Q255,R255,S255)</f>
        <v>-0.00221578606343065</v>
      </c>
      <c r="Z255" s="32" t="n">
        <f aca="false">U255-V255</f>
        <v>-0.0100168965505116</v>
      </c>
      <c r="AA255" s="32" t="n">
        <f aca="false">W255-V255</f>
        <v>-0.0149907629808948</v>
      </c>
    </row>
    <row r="256" customFormat="false" ht="15" hidden="false" customHeight="false" outlineLevel="0" collapsed="false">
      <c r="A256" s="28" t="n">
        <f aca="false">Data_Prices!A256</f>
        <v>45174</v>
      </c>
      <c r="B256" s="32" t="n">
        <f aca="false">Data_Prices!B256/Data_Prices!B255-1</f>
        <v>0.00236061611568572</v>
      </c>
      <c r="C256" s="32" t="n">
        <f aca="false">Data_Prices!C256/Data_Prices!C255-1</f>
        <v>0.00414121454285121</v>
      </c>
      <c r="D256" s="32" t="n">
        <f aca="false">Data_Prices!D256/Data_Prices!D255-1</f>
        <v>-0.00534791856578543</v>
      </c>
      <c r="E256" s="32" t="n">
        <f aca="false">Data_Prices!E256/Data_Prices!E255-1</f>
        <v>0.0219292520558674</v>
      </c>
      <c r="F256" s="32" t="n">
        <f aca="false">Data_Prices!F256/Data_Prices!F255-1</f>
        <v>0.0165513980020098</v>
      </c>
      <c r="G256" s="32" t="n">
        <f aca="false">Data_Prices!G256/Data_Prices!G255-1</f>
        <v>0.00725770433229123</v>
      </c>
      <c r="H256" s="32" t="n">
        <f aca="false">Data_Prices!H256/Data_Prices!H255-1</f>
        <v>0.0194731677862481</v>
      </c>
      <c r="I256" s="32" t="n">
        <f aca="false">Data_Prices!I256/Data_Prices!I255-1</f>
        <v>-0.00662337662337664</v>
      </c>
      <c r="J256" s="32" t="n">
        <f aca="false">Data_Prices!J256/Data_Prices!J255-1</f>
        <v>0.0268566140868105</v>
      </c>
      <c r="K256" s="32" t="n">
        <f aca="false">Data_Prices!K256/Data_Prices!K255-1</f>
        <v>0.0102886893284118</v>
      </c>
      <c r="L256" s="32" t="n">
        <f aca="false">Data_Prices!L256/Data_Prices!L255-1</f>
        <v>-0.00652203451243272</v>
      </c>
      <c r="M256" s="32" t="n">
        <f aca="false">Data_Prices!M256/Data_Prices!M255-1</f>
        <v>-0.00582870465610641</v>
      </c>
      <c r="N256" s="32" t="n">
        <f aca="false">Data_Prices!N256/Data_Prices!N255-1</f>
        <v>0.00785610915856916</v>
      </c>
      <c r="O256" s="32" t="n">
        <f aca="false">Data_Prices!O256/Data_Prices!O255-1</f>
        <v>-0.0104818258664413</v>
      </c>
      <c r="P256" s="32" t="n">
        <f aca="false">Data_Prices!P256/Data_Prices!P255-1</f>
        <v>0.00387308790735896</v>
      </c>
      <c r="Q256" s="32" t="n">
        <f aca="false">Data_Prices!Q256/Data_Prices!Q255-1</f>
        <v>0.0180124223602485</v>
      </c>
      <c r="R256" s="32" t="n">
        <f aca="false">Data_Prices!R256/Data_Prices!R255-1</f>
        <v>-0.00944460944460945</v>
      </c>
      <c r="S256" s="32" t="n">
        <f aca="false">Data_Prices!S256/Data_Prices!S255-1</f>
        <v>0.0103490152595174</v>
      </c>
      <c r="T256" s="32" t="n">
        <f aca="false">AVERAGE(D256:S256)</f>
        <v>0.0061374369130363</v>
      </c>
      <c r="U256" s="32" t="n">
        <f aca="false">AVERAGE(J256:S256)</f>
        <v>0.00449587636213263</v>
      </c>
      <c r="V256" s="32" t="n">
        <f aca="false">AVERAGE(D256:I256)</f>
        <v>0.0088733711645424</v>
      </c>
      <c r="W256" s="32" t="n">
        <f aca="false">AVERAGE(K256,Q256,R256)</f>
        <v>0.00628550074801693</v>
      </c>
      <c r="X256" s="32" t="n">
        <f aca="false">AVERAGE(K256,L256,N256,O256,P256,Q256,R256,S256)</f>
        <v>0.00299135677382778</v>
      </c>
      <c r="Y256" s="32" t="n">
        <f aca="false">AVERAGE(J256,L256,M256,N256,O256,P256,Q256,R256,S256)</f>
        <v>0.00385223047699051</v>
      </c>
      <c r="Z256" s="32" t="n">
        <f aca="false">U256-V256</f>
        <v>-0.00437749480240976</v>
      </c>
      <c r="AA256" s="32" t="n">
        <f aca="false">W256-V256</f>
        <v>-0.00258787041652547</v>
      </c>
    </row>
    <row r="257" customFormat="false" ht="15" hidden="false" customHeight="false" outlineLevel="0" collapsed="false">
      <c r="A257" s="28" t="n">
        <f aca="false">Data_Prices!A257</f>
        <v>45175</v>
      </c>
      <c r="B257" s="32" t="n">
        <f aca="false">Data_Prices!B257/Data_Prices!B256-1</f>
        <v>0.00184675272926027</v>
      </c>
      <c r="C257" s="32" t="n">
        <f aca="false">Data_Prices!C257/Data_Prices!C256-1</f>
        <v>0.00188382863535463</v>
      </c>
      <c r="D257" s="32" t="n">
        <f aca="false">Data_Prices!D257/Data_Prices!D256-1</f>
        <v>-0.00287163194232298</v>
      </c>
      <c r="E257" s="32" t="n">
        <f aca="false">Data_Prices!E257/Data_Prices!E256-1</f>
        <v>-0.00102184186997056</v>
      </c>
      <c r="F257" s="32" t="n">
        <f aca="false">Data_Prices!F257/Data_Prices!F256-1</f>
        <v>0.0131418270628598</v>
      </c>
      <c r="G257" s="32" t="n">
        <f aca="false">Data_Prices!G257/Data_Prices!G256-1</f>
        <v>-0.00399068839374794</v>
      </c>
      <c r="H257" s="32" t="n">
        <f aca="false">Data_Prices!H257/Data_Prices!H256-1</f>
        <v>-0.00540460501961937</v>
      </c>
      <c r="I257" s="32" t="n">
        <f aca="false">Data_Prices!I257/Data_Prices!I256-1</f>
        <v>0.0248398483461891</v>
      </c>
      <c r="J257" s="32" t="n">
        <f aca="false">Data_Prices!J257/Data_Prices!J256-1</f>
        <v>-0.028689984701469</v>
      </c>
      <c r="K257" s="32" t="n">
        <f aca="false">Data_Prices!K257/Data_Prices!K256-1</f>
        <v>0.00582132486264664</v>
      </c>
      <c r="L257" s="32" t="n">
        <f aca="false">Data_Prices!L257/Data_Prices!L256-1</f>
        <v>0.00738545703214033</v>
      </c>
      <c r="M257" s="32" t="n">
        <f aca="false">Data_Prices!M257/Data_Prices!M256-1</f>
        <v>0.00751827838322527</v>
      </c>
      <c r="N257" s="32" t="n">
        <f aca="false">Data_Prices!N257/Data_Prices!N256-1</f>
        <v>-0.0129401709401711</v>
      </c>
      <c r="O257" s="32" t="n">
        <f aca="false">Data_Prices!O257/Data_Prices!O256-1</f>
        <v>0.00580898684435338</v>
      </c>
      <c r="P257" s="32" t="n">
        <f aca="false">Data_Prices!P257/Data_Prices!P256-1</f>
        <v>-0.00428682774746692</v>
      </c>
      <c r="Q257" s="32" t="n">
        <f aca="false">Data_Prices!Q257/Data_Prices!Q256-1</f>
        <v>-0.028065893837706</v>
      </c>
      <c r="R257" s="32" t="n">
        <f aca="false">Data_Prices!R257/Data_Prices!R256-1</f>
        <v>-0.000839529863276511</v>
      </c>
      <c r="S257" s="32" t="n">
        <f aca="false">Data_Prices!S257/Data_Prices!S256-1</f>
        <v>-0.0109223935197282</v>
      </c>
      <c r="T257" s="32" t="n">
        <f aca="false">AVERAGE(D257:S257)</f>
        <v>-0.002157365331504</v>
      </c>
      <c r="U257" s="32" t="n">
        <f aca="false">AVERAGE(J257:S257)</f>
        <v>-0.00592107534874521</v>
      </c>
      <c r="V257" s="32" t="n">
        <f aca="false">AVERAGE(D257:I257)</f>
        <v>0.00411548469723135</v>
      </c>
      <c r="W257" s="32" t="n">
        <f aca="false">AVERAGE(K257,Q257,R257)</f>
        <v>-0.00769469961277861</v>
      </c>
      <c r="X257" s="32" t="n">
        <f aca="false">AVERAGE(K257,L257,N257,O257,P257,Q257,R257,S257)</f>
        <v>-0.00475488089615105</v>
      </c>
      <c r="Y257" s="32" t="n">
        <f aca="false">AVERAGE(J257,L257,M257,N257,O257,P257,Q257,R257,S257)</f>
        <v>-0.0072257864833443</v>
      </c>
      <c r="Z257" s="32" t="n">
        <f aca="false">U257-V257</f>
        <v>-0.0100365600459766</v>
      </c>
      <c r="AA257" s="32" t="n">
        <f aca="false">W257-V257</f>
        <v>-0.01181018431001</v>
      </c>
    </row>
    <row r="258" customFormat="false" ht="15" hidden="false" customHeight="false" outlineLevel="0" collapsed="false">
      <c r="A258" s="28" t="n">
        <f aca="false">Data_Prices!A258</f>
        <v>45176</v>
      </c>
      <c r="B258" s="32" t="n">
        <f aca="false">Data_Prices!B258/Data_Prices!B257-1</f>
        <v>0.00591503259641879</v>
      </c>
      <c r="C258" s="32" t="n">
        <f aca="false">Data_Prices!C258/Data_Prices!C257-1</f>
        <v>0.00583756638857724</v>
      </c>
      <c r="D258" s="32" t="n">
        <f aca="false">Data_Prices!D258/Data_Prices!D257-1</f>
        <v>0.023345588235294</v>
      </c>
      <c r="E258" s="32" t="n">
        <f aca="false">Data_Prices!E258/Data_Prices!E257-1</f>
        <v>-0.0111238971998466</v>
      </c>
      <c r="F258" s="32" t="n">
        <f aca="false">Data_Prices!F258/Data_Prices!F257-1</f>
        <v>-0.0126843827125064</v>
      </c>
      <c r="G258" s="32" t="n">
        <f aca="false">Data_Prices!G258/Data_Prices!G257-1</f>
        <v>0.00389538119087374</v>
      </c>
      <c r="H258" s="32" t="n">
        <f aca="false">Data_Prices!H258/Data_Prices!H257-1</f>
        <v>0.000446627958910151</v>
      </c>
      <c r="I258" s="32" t="n">
        <f aca="false">Data_Prices!I258/Data_Prices!I257-1</f>
        <v>0.0117361908406686</v>
      </c>
      <c r="J258" s="32" t="n">
        <f aca="false">Data_Prices!J258/Data_Prices!J257-1</f>
        <v>0.00968758090963995</v>
      </c>
      <c r="K258" s="32" t="n">
        <f aca="false">Data_Prices!K258/Data_Prices!K257-1</f>
        <v>-0.00333432730624295</v>
      </c>
      <c r="L258" s="32" t="n">
        <f aca="false">Data_Prices!L258/Data_Prices!L257-1</f>
        <v>0.0220844458523783</v>
      </c>
      <c r="M258" s="32" t="n">
        <f aca="false">Data_Prices!M258/Data_Prices!M257-1</f>
        <v>-0.0126993907030876</v>
      </c>
      <c r="N258" s="32" t="n">
        <f aca="false">Data_Prices!N258/Data_Prices!N257-1</f>
        <v>-0.0095942365308348</v>
      </c>
      <c r="O258" s="32" t="n">
        <f aca="false">Data_Prices!O258/Data_Prices!O257-1</f>
        <v>0.0188551044674705</v>
      </c>
      <c r="P258" s="32" t="n">
        <f aca="false">Data_Prices!P258/Data_Prices!P257-1</f>
        <v>-0.000508806262231043</v>
      </c>
      <c r="Q258" s="32" t="n">
        <f aca="false">Data_Prices!Q258/Data_Prices!Q257-1</f>
        <v>-0.024105461393597</v>
      </c>
      <c r="R258" s="32" t="n">
        <f aca="false">Data_Prices!R258/Data_Prices!R257-1</f>
        <v>0.00186052094586486</v>
      </c>
      <c r="S258" s="32" t="n">
        <f aca="false">Data_Prices!S258/Data_Prices!S257-1</f>
        <v>0.000581211032442131</v>
      </c>
      <c r="T258" s="32" t="n">
        <f aca="false">AVERAGE(D258:S258)</f>
        <v>0.00115263433282474</v>
      </c>
      <c r="U258" s="32" t="n">
        <f aca="false">AVERAGE(J258:S258)</f>
        <v>0.000282664101180241</v>
      </c>
      <c r="V258" s="32" t="n">
        <f aca="false">AVERAGE(D258:I258)</f>
        <v>0.0026025847188989</v>
      </c>
      <c r="W258" s="32" t="n">
        <f aca="false">AVERAGE(K258,Q258,R258)</f>
        <v>-0.00852642258465837</v>
      </c>
      <c r="X258" s="32" t="n">
        <f aca="false">AVERAGE(K258,L258,N258,O258,P258,Q258,R258,S258)</f>
        <v>0.000729806350656254</v>
      </c>
      <c r="Y258" s="32" t="n">
        <f aca="false">AVERAGE(J258,L258,M258,N258,O258,P258,Q258,R258,S258)</f>
        <v>0.000684552035338373</v>
      </c>
      <c r="Z258" s="32" t="n">
        <f aca="false">U258-V258</f>
        <v>-0.00231992061771866</v>
      </c>
      <c r="AA258" s="32" t="n">
        <f aca="false">W258-V258</f>
        <v>-0.0111290073035573</v>
      </c>
    </row>
    <row r="259" customFormat="false" ht="15" hidden="false" customHeight="false" outlineLevel="0" collapsed="false">
      <c r="A259" s="28" t="n">
        <f aca="false">Data_Prices!A259</f>
        <v>45177</v>
      </c>
      <c r="B259" s="32" t="n">
        <f aca="false">Data_Prices!B259/Data_Prices!B258-1</f>
        <v>0.00470926975903652</v>
      </c>
      <c r="C259" s="32" t="n">
        <f aca="false">Data_Prices!C259/Data_Prices!C258-1</f>
        <v>0.00586408213741341</v>
      </c>
      <c r="D259" s="32" t="n">
        <f aca="false">Data_Prices!D259/Data_Prices!D258-1</f>
        <v>-0.00302377103167473</v>
      </c>
      <c r="E259" s="32" t="n">
        <f aca="false">Data_Prices!E259/Data_Prices!E258-1</f>
        <v>0.000323247995862364</v>
      </c>
      <c r="F259" s="32" t="n">
        <f aca="false">Data_Prices!F259/Data_Prices!F258-1</f>
        <v>-0.000348796651552186</v>
      </c>
      <c r="G259" s="32" t="n">
        <f aca="false">Data_Prices!G259/Data_Prices!G258-1</f>
        <v>0.00432372505543244</v>
      </c>
      <c r="H259" s="32" t="n">
        <f aca="false">Data_Prices!H259/Data_Prices!H258-1</f>
        <v>0.00900297619047619</v>
      </c>
      <c r="I259" s="32" t="n">
        <f aca="false">Data_Prices!I259/Data_Prices!I258-1</f>
        <v>-0.00315218761820701</v>
      </c>
      <c r="J259" s="32" t="n">
        <f aca="false">Data_Prices!J259/Data_Prices!J258-1</f>
        <v>-0.00282069363420723</v>
      </c>
      <c r="K259" s="32" t="n">
        <f aca="false">Data_Prices!K259/Data_Prices!K258-1</f>
        <v>0.00644617309470696</v>
      </c>
      <c r="L259" s="32" t="n">
        <f aca="false">Data_Prices!L259/Data_Prices!L258-1</f>
        <v>0.0413548815585567</v>
      </c>
      <c r="M259" s="32" t="n">
        <f aca="false">Data_Prices!M259/Data_Prices!M258-1</f>
        <v>-0.00669139825954312</v>
      </c>
      <c r="N259" s="32" t="n">
        <f aca="false">Data_Prices!N259/Data_Prices!N258-1</f>
        <v>0.0438196156603543</v>
      </c>
      <c r="O259" s="32" t="n">
        <f aca="false">Data_Prices!O259/Data_Prices!O258-1</f>
        <v>0.00583527842614195</v>
      </c>
      <c r="P259" s="32" t="n">
        <f aca="false">Data_Prices!P259/Data_Prices!P258-1</f>
        <v>0.00575635352625614</v>
      </c>
      <c r="Q259" s="32" t="n">
        <f aca="false">Data_Prices!Q259/Data_Prices!Q258-1</f>
        <v>0.00334491187443708</v>
      </c>
      <c r="R259" s="32" t="n">
        <f aca="false">Data_Prices!R259/Data_Prices!R258-1</f>
        <v>0.00629006170251012</v>
      </c>
      <c r="S259" s="32" t="n">
        <f aca="false">Data_Prices!S259/Data_Prices!S258-1</f>
        <v>0.0317632148703595</v>
      </c>
      <c r="T259" s="32" t="n">
        <f aca="false">AVERAGE(D259:S259)</f>
        <v>0.00888897454749434</v>
      </c>
      <c r="U259" s="32" t="n">
        <f aca="false">AVERAGE(J259:S259)</f>
        <v>0.0135098398819572</v>
      </c>
      <c r="V259" s="32" t="n">
        <f aca="false">AVERAGE(D259:I259)</f>
        <v>0.00118753232338951</v>
      </c>
      <c r="W259" s="32" t="n">
        <f aca="false">AVERAGE(K259,Q259,R259)</f>
        <v>0.00536038222388472</v>
      </c>
      <c r="X259" s="32" t="n">
        <f aca="false">AVERAGE(K259,L259,N259,O259,P259,Q259,R259,S259)</f>
        <v>0.0180763113391653</v>
      </c>
      <c r="Y259" s="32" t="n">
        <f aca="false">AVERAGE(J259,L259,M259,N259,O259,P259,Q259,R259,S259)</f>
        <v>0.0142946917472073</v>
      </c>
      <c r="Z259" s="32" t="n">
        <f aca="false">U259-V259</f>
        <v>0.0123223075585677</v>
      </c>
      <c r="AA259" s="32" t="n">
        <f aca="false">W259-V259</f>
        <v>0.00417284990049521</v>
      </c>
    </row>
    <row r="260" customFormat="false" ht="15" hidden="false" customHeight="false" outlineLevel="0" collapsed="false">
      <c r="A260" s="28" t="n">
        <f aca="false">Data_Prices!A260</f>
        <v>45180</v>
      </c>
      <c r="B260" s="32" t="n">
        <f aca="false">Data_Prices!B260/Data_Prices!B259-1</f>
        <v>0.00890012336055324</v>
      </c>
      <c r="C260" s="32" t="n">
        <f aca="false">Data_Prices!C260/Data_Prices!C259-1</f>
        <v>0.00948680339329044</v>
      </c>
      <c r="D260" s="32" t="n">
        <f aca="false">Data_Prices!D260/Data_Prices!D259-1</f>
        <v>0.0321611963604695</v>
      </c>
      <c r="E260" s="32" t="n">
        <f aca="false">Data_Prices!E260/Data_Prices!E259-1</f>
        <v>0.0192593550054934</v>
      </c>
      <c r="F260" s="32" t="n">
        <f aca="false">Data_Prices!F260/Data_Prices!F259-1</f>
        <v>-0.010002326122354</v>
      </c>
      <c r="G260" s="32" t="n">
        <f aca="false">Data_Prices!G260/Data_Prices!G259-1</f>
        <v>0.00419472347941285</v>
      </c>
      <c r="H260" s="32" t="n">
        <f aca="false">Data_Prices!H260/Data_Prices!H259-1</f>
        <v>-0.00641545608730909</v>
      </c>
      <c r="I260" s="32" t="n">
        <f aca="false">Data_Prices!I260/Data_Prices!I259-1</f>
        <v>-0.00265621047305842</v>
      </c>
      <c r="J260" s="32" t="n">
        <f aca="false">Data_Prices!J260/Data_Prices!J259-1</f>
        <v>-0.0131576127718847</v>
      </c>
      <c r="K260" s="32" t="n">
        <f aca="false">Data_Prices!K260/Data_Prices!K259-1</f>
        <v>-0.00256735940329156</v>
      </c>
      <c r="L260" s="32" t="n">
        <f aca="false">Data_Prices!L260/Data_Prices!L259-1</f>
        <v>0.00718567966325101</v>
      </c>
      <c r="M260" s="32" t="n">
        <f aca="false">Data_Prices!M260/Data_Prices!M259-1</f>
        <v>0.0198603839441536</v>
      </c>
      <c r="N260" s="32" t="n">
        <f aca="false">Data_Prices!N260/Data_Prices!N259-1</f>
        <v>0.00552810118100333</v>
      </c>
      <c r="O260" s="32" t="n">
        <f aca="false">Data_Prices!O260/Data_Prices!O259-1</f>
        <v>0.00397812033814038</v>
      </c>
      <c r="P260" s="32" t="n">
        <f aca="false">Data_Prices!P260/Data_Prices!P259-1</f>
        <v>0.00961688210559086</v>
      </c>
      <c r="Q260" s="32" t="n">
        <f aca="false">Data_Prices!Q260/Data_Prices!Q259-1</f>
        <v>0.0105141684831389</v>
      </c>
      <c r="R260" s="32" t="n">
        <f aca="false">Data_Prices!R260/Data_Prices!R259-1</f>
        <v>0.0132158590308371</v>
      </c>
      <c r="S260" s="32" t="n">
        <f aca="false">Data_Prices!S260/Data_Prices!S259-1</f>
        <v>0.00171456355400879</v>
      </c>
      <c r="T260" s="32" t="n">
        <f aca="false">AVERAGE(D260:S260)</f>
        <v>0.00577687926797513</v>
      </c>
      <c r="U260" s="32" t="n">
        <f aca="false">AVERAGE(J260:S260)</f>
        <v>0.00558887861249477</v>
      </c>
      <c r="V260" s="32" t="n">
        <f aca="false">AVERAGE(D260:I260)</f>
        <v>0.00609021369377571</v>
      </c>
      <c r="W260" s="32" t="n">
        <f aca="false">AVERAGE(K260,Q260,R260)</f>
        <v>0.00705422270356149</v>
      </c>
      <c r="X260" s="32" t="n">
        <f aca="false">AVERAGE(K260,L260,N260,O260,P260,Q260,R260,S260)</f>
        <v>0.00614825186908485</v>
      </c>
      <c r="Y260" s="32" t="n">
        <f aca="false">AVERAGE(J260,L260,M260,N260,O260,P260,Q260,R260,S260)</f>
        <v>0.00649512728091548</v>
      </c>
      <c r="Z260" s="32" t="n">
        <f aca="false">U260-V260</f>
        <v>-0.000501335081280941</v>
      </c>
      <c r="AA260" s="32" t="n">
        <f aca="false">W260-V260</f>
        <v>0.000964009009785771</v>
      </c>
    </row>
    <row r="261" customFormat="false" ht="15" hidden="false" customHeight="false" outlineLevel="0" collapsed="false">
      <c r="A261" s="28" t="n">
        <f aca="false">Data_Prices!A261</f>
        <v>45181</v>
      </c>
      <c r="B261" s="32" t="n">
        <f aca="false">Data_Prices!B261/Data_Prices!B260-1</f>
        <v>-0.000157528748996549</v>
      </c>
      <c r="C261" s="32" t="n">
        <f aca="false">Data_Prices!C261/Data_Prices!C260-1</f>
        <v>-0.0109214398400304</v>
      </c>
      <c r="D261" s="32" t="n">
        <f aca="false">Data_Prices!D261/Data_Prices!D260-1</f>
        <v>-0.0411672291399977</v>
      </c>
      <c r="E261" s="32" t="n">
        <f aca="false">Data_Prices!E261/Data_Prices!E260-1</f>
        <v>-0.0466045272969374</v>
      </c>
      <c r="F261" s="32" t="n">
        <f aca="false">Data_Prices!F261/Data_Prices!F260-1</f>
        <v>0.000881109022556448</v>
      </c>
      <c r="G261" s="32" t="n">
        <f aca="false">Data_Prices!G261/Data_Prices!G260-1</f>
        <v>-0.0338573155985491</v>
      </c>
      <c r="H261" s="32" t="n">
        <f aca="false">Data_Prices!H261/Data_Prices!H260-1</f>
        <v>-0.00853495621196376</v>
      </c>
      <c r="I261" s="32" t="n">
        <f aca="false">Data_Prices!I261/Data_Prices!I260-1</f>
        <v>-0.0498414711477488</v>
      </c>
      <c r="J261" s="32" t="n">
        <f aca="false">Data_Prices!J261/Data_Prices!J260-1</f>
        <v>-0.044407287572474</v>
      </c>
      <c r="K261" s="32" t="n">
        <f aca="false">Data_Prices!K261/Data_Prices!K260-1</f>
        <v>0.00536469058198774</v>
      </c>
      <c r="L261" s="32" t="n">
        <f aca="false">Data_Prices!L261/Data_Prices!L260-1</f>
        <v>-0.0154930766632896</v>
      </c>
      <c r="M261" s="32" t="n">
        <f aca="false">Data_Prices!M261/Data_Prices!M260-1</f>
        <v>-0.0500017112153051</v>
      </c>
      <c r="N261" s="32" t="n">
        <f aca="false">Data_Prices!N261/Data_Prices!N260-1</f>
        <v>-0.0640733027905041</v>
      </c>
      <c r="O261" s="32" t="n">
        <f aca="false">Data_Prices!O261/Data_Prices!O260-1</f>
        <v>-0.0320290572890871</v>
      </c>
      <c r="P261" s="32" t="n">
        <f aca="false">Data_Prices!P261/Data_Prices!P260-1</f>
        <v>-0.0192433766534265</v>
      </c>
      <c r="Q261" s="32" t="n">
        <f aca="false">Data_Prices!Q261/Data_Prices!Q260-1</f>
        <v>-0.0432686207334095</v>
      </c>
      <c r="R261" s="32" t="n">
        <f aca="false">Data_Prices!R261/Data_Prices!R260-1</f>
        <v>-0.018096357226792</v>
      </c>
      <c r="S261" s="32" t="n">
        <f aca="false">Data_Prices!S261/Data_Prices!S260-1</f>
        <v>-0.0235285101164929</v>
      </c>
      <c r="T261" s="32" t="n">
        <f aca="false">AVERAGE(D261:S261)</f>
        <v>-0.0302438125032146</v>
      </c>
      <c r="U261" s="32" t="n">
        <f aca="false">AVERAGE(J261:S261)</f>
        <v>-0.0304776609678793</v>
      </c>
      <c r="V261" s="32" t="n">
        <f aca="false">AVERAGE(D261:I261)</f>
        <v>-0.0298540650621067</v>
      </c>
      <c r="W261" s="32" t="n">
        <f aca="false">AVERAGE(K261,Q261,R261)</f>
        <v>-0.0186667624594046</v>
      </c>
      <c r="X261" s="32" t="n">
        <f aca="false">AVERAGE(K261,L261,N261,O261,P261,Q261,R261,S261)</f>
        <v>-0.0262959513613767</v>
      </c>
      <c r="Y261" s="32" t="n">
        <f aca="false">AVERAGE(J261,L261,M261,N261,O261,P261,Q261,R261,S261)</f>
        <v>-0.0344601444734201</v>
      </c>
      <c r="Z261" s="32" t="n">
        <f aca="false">U261-V261</f>
        <v>-0.000623595905772573</v>
      </c>
      <c r="AA261" s="32" t="n">
        <f aca="false">W261-V261</f>
        <v>0.0111873026027021</v>
      </c>
    </row>
    <row r="262" customFormat="false" ht="15" hidden="false" customHeight="false" outlineLevel="0" collapsed="false">
      <c r="A262" s="28" t="n">
        <f aca="false">Data_Prices!A262</f>
        <v>45182</v>
      </c>
      <c r="B262" s="32" t="n">
        <f aca="false">Data_Prices!B262/Data_Prices!B261-1</f>
        <v>0.00384130604405497</v>
      </c>
      <c r="C262" s="32" t="n">
        <f aca="false">Data_Prices!C262/Data_Prices!C261-1</f>
        <v>0.00379140405084599</v>
      </c>
      <c r="D262" s="32" t="n">
        <f aca="false">Data_Prices!D262/Data_Prices!D261-1</f>
        <v>-0.000849591892465806</v>
      </c>
      <c r="E262" s="32" t="n">
        <f aca="false">Data_Prices!E262/Data_Prices!E261-1</f>
        <v>0.0309257781324821</v>
      </c>
      <c r="F262" s="32" t="n">
        <f aca="false">Data_Prices!F262/Data_Prices!F261-1</f>
        <v>-0.0181348670696637</v>
      </c>
      <c r="G262" s="32" t="n">
        <f aca="false">Data_Prices!G262/Data_Prices!G261-1</f>
        <v>0.025827739219479</v>
      </c>
      <c r="H262" s="32" t="n">
        <f aca="false">Data_Prices!H262/Data_Prices!H261-1</f>
        <v>0.0241784564712928</v>
      </c>
      <c r="I262" s="32" t="n">
        <f aca="false">Data_Prices!I262/Data_Prices!I261-1</f>
        <v>0.00453817405232249</v>
      </c>
      <c r="J262" s="32" t="n">
        <f aca="false">Data_Prices!J262/Data_Prices!J261-1</f>
        <v>0.0111348452483753</v>
      </c>
      <c r="K262" s="32" t="n">
        <f aca="false">Data_Prices!K262/Data_Prices!K261-1</f>
        <v>0.00599633482455664</v>
      </c>
      <c r="L262" s="32" t="n">
        <f aca="false">Data_Prices!L262/Data_Prices!L261-1</f>
        <v>-0.0050169375241198</v>
      </c>
      <c r="M262" s="32" t="n">
        <f aca="false">Data_Prices!M262/Data_Prices!M261-1</f>
        <v>0.0143742344549318</v>
      </c>
      <c r="N262" s="32" t="n">
        <f aca="false">Data_Prices!N262/Data_Prices!N261-1</f>
        <v>0.0107157478773208</v>
      </c>
      <c r="O262" s="32" t="n">
        <f aca="false">Data_Prices!O262/Data_Prices!O261-1</f>
        <v>0.0158621865938939</v>
      </c>
      <c r="P262" s="32" t="n">
        <f aca="false">Data_Prices!P262/Data_Prices!P261-1</f>
        <v>0.00751022334067342</v>
      </c>
      <c r="Q262" s="32" t="n">
        <f aca="false">Data_Prices!Q262/Data_Prices!Q261-1</f>
        <v>-0.00570291777188325</v>
      </c>
      <c r="R262" s="32" t="n">
        <f aca="false">Data_Prices!R262/Data_Prices!R261-1</f>
        <v>-0.0040689325035902</v>
      </c>
      <c r="S262" s="32" t="n">
        <f aca="false">Data_Prices!S262/Data_Prices!S261-1</f>
        <v>-0.000418596133218263</v>
      </c>
      <c r="T262" s="32" t="n">
        <f aca="false">AVERAGE(D262:S262)</f>
        <v>0.0073044923325242</v>
      </c>
      <c r="U262" s="32" t="n">
        <f aca="false">AVERAGE(J262:S262)</f>
        <v>0.00503861884069403</v>
      </c>
      <c r="V262" s="32" t="n">
        <f aca="false">AVERAGE(D262:I262)</f>
        <v>0.0110809481522411</v>
      </c>
      <c r="W262" s="32" t="n">
        <f aca="false">AVERAGE(K262,Q262,R262)</f>
        <v>-0.0012585051503056</v>
      </c>
      <c r="X262" s="32" t="n">
        <f aca="false">AVERAGE(K262,L262,N262,O262,P262,Q262,R262,S262)</f>
        <v>0.00310963858795416</v>
      </c>
      <c r="Y262" s="32" t="n">
        <f aca="false">AVERAGE(J262,L262,M262,N262,O262,P262,Q262,R262,S262)</f>
        <v>0.00493220595359819</v>
      </c>
      <c r="Z262" s="32" t="n">
        <f aca="false">U262-V262</f>
        <v>-0.00604232931154711</v>
      </c>
      <c r="AA262" s="32" t="n">
        <f aca="false">W262-V262</f>
        <v>-0.0123394533025467</v>
      </c>
    </row>
    <row r="263" customFormat="false" ht="15" hidden="false" customHeight="false" outlineLevel="0" collapsed="false">
      <c r="A263" s="28" t="n">
        <f aca="false">Data_Prices!A263</f>
        <v>45183</v>
      </c>
      <c r="B263" s="32" t="n">
        <f aca="false">Data_Prices!B263/Data_Prices!B262-1</f>
        <v>0.00164922770303932</v>
      </c>
      <c r="C263" s="32" t="n">
        <f aca="false">Data_Prices!C263/Data_Prices!C262-1</f>
        <v>0.00437902063987905</v>
      </c>
      <c r="D263" s="32" t="n">
        <f aca="false">Data_Prices!D263/Data_Prices!D262-1</f>
        <v>0.0081387227064289</v>
      </c>
      <c r="E263" s="32" t="n">
        <f aca="false">Data_Prices!E263/Data_Prices!E262-1</f>
        <v>0.00877362750790289</v>
      </c>
      <c r="F263" s="32" t="n">
        <f aca="false">Data_Prices!F263/Data_Prices!F262-1</f>
        <v>0.0163777644949195</v>
      </c>
      <c r="G263" s="32" t="n">
        <f aca="false">Data_Prices!G263/Data_Prices!G262-1</f>
        <v>0.0242901508429458</v>
      </c>
      <c r="H263" s="32" t="n">
        <f aca="false">Data_Prices!H263/Data_Prices!H262-1</f>
        <v>0.0623446864493495</v>
      </c>
      <c r="I263" s="32" t="n">
        <f aca="false">Data_Prices!I263/Data_Prices!I262-1</f>
        <v>0.0203295243157056</v>
      </c>
      <c r="J263" s="32" t="n">
        <f aca="false">Data_Prices!J263/Data_Prices!J262-1</f>
        <v>0.0369021934555915</v>
      </c>
      <c r="K263" s="32" t="n">
        <f aca="false">Data_Prices!K263/Data_Prices!K262-1</f>
        <v>0.0024646047925847</v>
      </c>
      <c r="L263" s="32" t="n">
        <f aca="false">Data_Prices!L263/Data_Prices!L262-1</f>
        <v>0.0416738493363213</v>
      </c>
      <c r="M263" s="32" t="n">
        <f aca="false">Data_Prices!M263/Data_Prices!M262-1</f>
        <v>0.000532727208154338</v>
      </c>
      <c r="N263" s="32" t="n">
        <f aca="false">Data_Prices!N263/Data_Prices!N262-1</f>
        <v>0.0103555766893857</v>
      </c>
      <c r="O263" s="32" t="n">
        <f aca="false">Data_Prices!O263/Data_Prices!O262-1</f>
        <v>0.00789120214909334</v>
      </c>
      <c r="P263" s="32" t="n">
        <f aca="false">Data_Prices!P263/Data_Prices!P262-1</f>
        <v>0.00729813058580175</v>
      </c>
      <c r="Q263" s="32" t="n">
        <f aca="false">Data_Prices!Q263/Data_Prices!Q262-1</f>
        <v>0.0188075230092035</v>
      </c>
      <c r="R263" s="32" t="n">
        <f aca="false">Data_Prices!R263/Data_Prices!R262-1</f>
        <v>-0.00745013217976454</v>
      </c>
      <c r="S263" s="32" t="n">
        <f aca="false">Data_Prices!S263/Data_Prices!S262-1</f>
        <v>0.00264349464757774</v>
      </c>
      <c r="T263" s="32" t="n">
        <f aca="false">AVERAGE(D263:S263)</f>
        <v>0.0163358528757001</v>
      </c>
      <c r="U263" s="32" t="n">
        <f aca="false">AVERAGE(J263:S263)</f>
        <v>0.0121119169693949</v>
      </c>
      <c r="V263" s="32" t="n">
        <f aca="false">AVERAGE(D263:I263)</f>
        <v>0.0233757460528754</v>
      </c>
      <c r="W263" s="32" t="n">
        <f aca="false">AVERAGE(K263,Q263,R263)</f>
        <v>0.0046073318740079</v>
      </c>
      <c r="X263" s="32" t="n">
        <f aca="false">AVERAGE(K263,L263,N263,O263,P263,Q263,R263,S263)</f>
        <v>0.0104605311287754</v>
      </c>
      <c r="Y263" s="32" t="n">
        <f aca="false">AVERAGE(J263,L263,M263,N263,O263,P263,Q263,R263,S263)</f>
        <v>0.0131838405445961</v>
      </c>
      <c r="Z263" s="32" t="n">
        <f aca="false">U263-V263</f>
        <v>-0.0112638290834804</v>
      </c>
      <c r="AA263" s="32" t="n">
        <f aca="false">W263-V263</f>
        <v>-0.0187684141788675</v>
      </c>
    </row>
    <row r="264" customFormat="false" ht="15" hidden="false" customHeight="false" outlineLevel="0" collapsed="false">
      <c r="A264" s="28" t="n">
        <f aca="false">Data_Prices!A264</f>
        <v>45184</v>
      </c>
      <c r="B264" s="32" t="n">
        <f aca="false">Data_Prices!B264/Data_Prices!B263-1</f>
        <v>0.00443961379090796</v>
      </c>
      <c r="C264" s="32" t="n">
        <f aca="false">Data_Prices!C264/Data_Prices!C263-1</f>
        <v>0.00353906893515488</v>
      </c>
      <c r="D264" s="32" t="n">
        <f aca="false">Data_Prices!D264/Data_Prices!D263-1</f>
        <v>0.00885622194776636</v>
      </c>
      <c r="E264" s="32" t="n">
        <f aca="false">Data_Prices!E264/Data_Prices!E263-1</f>
        <v>-0.000767410628637277</v>
      </c>
      <c r="F264" s="32" t="n">
        <f aca="false">Data_Prices!F264/Data_Prices!F263-1</f>
        <v>-0.000882145377558263</v>
      </c>
      <c r="G264" s="32" t="n">
        <f aca="false">Data_Prices!G264/Data_Prices!G263-1</f>
        <v>-0.00649702219815918</v>
      </c>
      <c r="H264" s="32" t="n">
        <f aca="false">Data_Prices!H264/Data_Prices!H263-1</f>
        <v>-0.00990712074303413</v>
      </c>
      <c r="I264" s="32" t="n">
        <f aca="false">Data_Prices!I264/Data_Prices!I263-1</f>
        <v>0.0253939315014975</v>
      </c>
      <c r="J264" s="32" t="n">
        <f aca="false">Data_Prices!J264/Data_Prices!J263-1</f>
        <v>-0.0090814512982792</v>
      </c>
      <c r="K264" s="32" t="n">
        <f aca="false">Data_Prices!K264/Data_Prices!K263-1</f>
        <v>-0.000280594861105432</v>
      </c>
      <c r="L264" s="32" t="n">
        <f aca="false">Data_Prices!L264/Data_Prices!L263-1</f>
        <v>0.0153489719084854</v>
      </c>
      <c r="M264" s="32" t="n">
        <f aca="false">Data_Prices!M264/Data_Prices!M263-1</f>
        <v>-0.0193099531449665</v>
      </c>
      <c r="N264" s="32" t="n">
        <f aca="false">Data_Prices!N264/Data_Prices!N263-1</f>
        <v>-0.00888981854311566</v>
      </c>
      <c r="O264" s="32" t="n">
        <f aca="false">Data_Prices!O264/Data_Prices!O263-1</f>
        <v>0.00266533399966695</v>
      </c>
      <c r="P264" s="32" t="n">
        <f aca="false">Data_Prices!P264/Data_Prices!P263-1</f>
        <v>0.0271600154978691</v>
      </c>
      <c r="Q264" s="32" t="n">
        <f aca="false">Data_Prices!Q264/Data_Prices!Q263-1</f>
        <v>0.0184603299293009</v>
      </c>
      <c r="R264" s="32" t="n">
        <f aca="false">Data_Prices!R264/Data_Prices!R263-1</f>
        <v>0.0157384987893463</v>
      </c>
      <c r="S264" s="32" t="n">
        <f aca="false">Data_Prices!S264/Data_Prices!S263-1</f>
        <v>0.00357627649577119</v>
      </c>
      <c r="T264" s="32" t="n">
        <f aca="false">AVERAGE(D264:S264)</f>
        <v>0.003849003954678</v>
      </c>
      <c r="U264" s="32" t="n">
        <f aca="false">AVERAGE(J264:S264)</f>
        <v>0.0045387608772973</v>
      </c>
      <c r="V264" s="32" t="n">
        <f aca="false">AVERAGE(D264:I264)</f>
        <v>0.00269940908364584</v>
      </c>
      <c r="W264" s="32" t="n">
        <f aca="false">AVERAGE(K264,Q264,R264)</f>
        <v>0.0113060779525139</v>
      </c>
      <c r="X264" s="32" t="n">
        <f aca="false">AVERAGE(K264,L264,N264,O264,P264,Q264,R264,S264)</f>
        <v>0.00922237665202734</v>
      </c>
      <c r="Y264" s="32" t="n">
        <f aca="false">AVERAGE(J264,L264,M264,N264,O264,P264,Q264,R264,S264)</f>
        <v>0.00507424484823094</v>
      </c>
      <c r="Z264" s="32" t="n">
        <f aca="false">U264-V264</f>
        <v>0.00183935179365146</v>
      </c>
      <c r="AA264" s="32" t="n">
        <f aca="false">W264-V264</f>
        <v>0.00860666886886809</v>
      </c>
    </row>
    <row r="265" customFormat="false" ht="15" hidden="false" customHeight="false" outlineLevel="0" collapsed="false">
      <c r="A265" s="28" t="n">
        <f aca="false">Data_Prices!A265</f>
        <v>45187</v>
      </c>
      <c r="B265" s="32" t="n">
        <f aca="false">Data_Prices!B265/Data_Prices!B264-1</f>
        <v>-0.00292437482511942</v>
      </c>
      <c r="C265" s="32" t="n">
        <f aca="false">Data_Prices!C265/Data_Prices!C264-1</f>
        <v>-0.00295486193662331</v>
      </c>
      <c r="D265" s="32" t="n">
        <f aca="false">Data_Prices!D265/Data_Prices!D264-1</f>
        <v>-0.00627034128571857</v>
      </c>
      <c r="E265" s="32" t="n">
        <f aca="false">Data_Prices!E265/Data_Prices!E264-1</f>
        <v>-0.0149119999999999</v>
      </c>
      <c r="F265" s="32" t="n">
        <f aca="false">Data_Prices!F265/Data_Prices!F264-1</f>
        <v>-0.00647477779739836</v>
      </c>
      <c r="G265" s="32" t="n">
        <f aca="false">Data_Prices!G265/Data_Prices!G264-1</f>
        <v>-0.0062125340599456</v>
      </c>
      <c r="H265" s="32" t="n">
        <f aca="false">Data_Prices!H265/Data_Prices!H264-1</f>
        <v>-0.0412063094989924</v>
      </c>
      <c r="I265" s="32" t="n">
        <f aca="false">Data_Prices!I265/Data_Prices!I264-1</f>
        <v>-0.0119380238760477</v>
      </c>
      <c r="J265" s="32" t="n">
        <f aca="false">Data_Prices!J265/Data_Prices!J264-1</f>
        <v>-0.0194886152365537</v>
      </c>
      <c r="K265" s="32" t="n">
        <f aca="false">Data_Prices!K265/Data_Prices!K264-1</f>
        <v>0.00753809141940653</v>
      </c>
      <c r="L265" s="32" t="n">
        <f aca="false">Data_Prices!L265/Data_Prices!L264-1</f>
        <v>-0.0273408850134463</v>
      </c>
      <c r="M265" s="32" t="n">
        <f aca="false">Data_Prices!M265/Data_Prices!M264-1</f>
        <v>-0.036086578833068</v>
      </c>
      <c r="N265" s="32" t="n">
        <f aca="false">Data_Prices!N265/Data_Prices!N264-1</f>
        <v>0.00212807119365444</v>
      </c>
      <c r="O265" s="32" t="n">
        <f aca="false">Data_Prices!O265/Data_Prices!O264-1</f>
        <v>0.00166140554909444</v>
      </c>
      <c r="P265" s="32" t="n">
        <f aca="false">Data_Prices!P265/Data_Prices!P264-1</f>
        <v>0.00411150088642454</v>
      </c>
      <c r="Q265" s="32" t="n">
        <f aca="false">Data_Prices!Q265/Data_Prices!Q264-1</f>
        <v>-0.0277670651754725</v>
      </c>
      <c r="R265" s="32" t="n">
        <f aca="false">Data_Prices!R265/Data_Prices!R264-1</f>
        <v>-0.0227056019070321</v>
      </c>
      <c r="S265" s="32" t="n">
        <f aca="false">Data_Prices!S265/Data_Prices!S264-1</f>
        <v>-0.00507218103784624</v>
      </c>
      <c r="T265" s="32" t="n">
        <f aca="false">AVERAGE(D265:S265)</f>
        <v>-0.0131272402920588</v>
      </c>
      <c r="U265" s="32" t="n">
        <f aca="false">AVERAGE(J265:S265)</f>
        <v>-0.0123021858154839</v>
      </c>
      <c r="V265" s="32" t="n">
        <f aca="false">AVERAGE(D265:I265)</f>
        <v>-0.0145023310863504</v>
      </c>
      <c r="W265" s="32" t="n">
        <f aca="false">AVERAGE(K265,Q265,R265)</f>
        <v>-0.0143115252210327</v>
      </c>
      <c r="X265" s="32" t="n">
        <f aca="false">AVERAGE(K265,L265,N265,O265,P265,Q265,R265,S265)</f>
        <v>-0.00843083301065215</v>
      </c>
      <c r="Y265" s="32" t="n">
        <f aca="false">AVERAGE(J265,L265,M265,N265,O265,P265,Q265,R265,S265)</f>
        <v>-0.014506661063805</v>
      </c>
      <c r="Z265" s="32" t="n">
        <f aca="false">U265-V265</f>
        <v>0.00220014527086655</v>
      </c>
      <c r="AA265" s="32" t="n">
        <f aca="false">W265-V265</f>
        <v>0.000190805865317761</v>
      </c>
    </row>
    <row r="266" customFormat="false" ht="15" hidden="false" customHeight="false" outlineLevel="0" collapsed="false">
      <c r="A266" s="28" t="n">
        <f aca="false">Data_Prices!A266</f>
        <v>45189</v>
      </c>
      <c r="B266" s="32" t="n">
        <f aca="false">Data_Prices!B266/Data_Prices!B265-1</f>
        <v>-0.0115182309904486</v>
      </c>
      <c r="C266" s="32" t="n">
        <f aca="false">Data_Prices!C266/Data_Prices!C265-1</f>
        <v>-0.00932518054230824</v>
      </c>
      <c r="D266" s="32" t="n">
        <f aca="false">Data_Prices!D266/Data_Prices!D265-1</f>
        <v>0.0030948589285178</v>
      </c>
      <c r="E266" s="32" t="n">
        <f aca="false">Data_Prices!E266/Data_Prices!E265-1</f>
        <v>0.00246881496881501</v>
      </c>
      <c r="F266" s="32" t="n">
        <f aca="false">Data_Prices!F266/Data_Prices!F265-1</f>
        <v>0.00521357900349551</v>
      </c>
      <c r="G266" s="32" t="n">
        <f aca="false">Data_Prices!G266/Data_Prices!G265-1</f>
        <v>0.00186444395700813</v>
      </c>
      <c r="H266" s="32" t="n">
        <f aca="false">Data_Prices!H266/Data_Prices!H265-1</f>
        <v>-0.0223220756631396</v>
      </c>
      <c r="I266" s="32" t="n">
        <f aca="false">Data_Prices!I266/Data_Prices!I265-1</f>
        <v>-0.0187660668380463</v>
      </c>
      <c r="J266" s="32" t="n">
        <f aca="false">Data_Prices!J266/Data_Prices!J265-1</f>
        <v>0.03263585259213</v>
      </c>
      <c r="K266" s="32" t="n">
        <f aca="false">Data_Prices!K266/Data_Prices!K265-1</f>
        <v>-0.00127347978350845</v>
      </c>
      <c r="L266" s="32" t="n">
        <f aca="false">Data_Prices!L266/Data_Prices!L265-1</f>
        <v>0.00456621004566205</v>
      </c>
      <c r="M266" s="32" t="n">
        <f aca="false">Data_Prices!M266/Data_Prices!M265-1</f>
        <v>0.0127295257406781</v>
      </c>
      <c r="N266" s="32" t="n">
        <f aca="false">Data_Prices!N266/Data_Prices!N265-1</f>
        <v>0.00587925587925597</v>
      </c>
      <c r="O266" s="32" t="n">
        <f aca="false">Data_Prices!O266/Data_Prices!O265-1</f>
        <v>0.0267042627301377</v>
      </c>
      <c r="P266" s="32" t="n">
        <f aca="false">Data_Prices!P266/Data_Prices!P265-1</f>
        <v>-0.0232531930879039</v>
      </c>
      <c r="Q266" s="32" t="n">
        <f aca="false">Data_Prices!Q266/Data_Prices!Q265-1</f>
        <v>-0.00542112918154158</v>
      </c>
      <c r="R266" s="32" t="n">
        <f aca="false">Data_Prices!R266/Data_Prices!R265-1</f>
        <v>-0.0106713824013659</v>
      </c>
      <c r="S266" s="32" t="n">
        <f aca="false">Data_Prices!S266/Data_Prices!S265-1</f>
        <v>0.00282352941176467</v>
      </c>
      <c r="T266" s="32" t="n">
        <f aca="false">AVERAGE(D266:S266)</f>
        <v>0.00101706289387245</v>
      </c>
      <c r="U266" s="32" t="n">
        <f aca="false">AVERAGE(J266:S266)</f>
        <v>0.00447194519453087</v>
      </c>
      <c r="V266" s="32" t="n">
        <f aca="false">AVERAGE(D266:I266)</f>
        <v>-0.00474107427389157</v>
      </c>
      <c r="W266" s="32" t="n">
        <f aca="false">AVERAGE(K266,Q266,R266)</f>
        <v>-0.00578866378880531</v>
      </c>
      <c r="X266" s="32" t="n">
        <f aca="false">AVERAGE(K266,L266,N266,O266,P266,Q266,R266,S266)</f>
        <v>-8.07407984374231E-005</v>
      </c>
      <c r="Y266" s="32" t="n">
        <f aca="false">AVERAGE(J266,L266,M266,N266,O266,P266,Q266,R266,S266)</f>
        <v>0.00511032574764635</v>
      </c>
      <c r="Z266" s="32" t="n">
        <f aca="false">U266-V266</f>
        <v>0.00921301946842244</v>
      </c>
      <c r="AA266" s="32" t="n">
        <f aca="false">W266-V266</f>
        <v>-0.00104758951491374</v>
      </c>
    </row>
    <row r="267" customFormat="false" ht="15" hidden="false" customHeight="false" outlineLevel="0" collapsed="false">
      <c r="A267" s="28" t="n">
        <f aca="false">Data_Prices!A267</f>
        <v>45190</v>
      </c>
      <c r="B267" s="32" t="n">
        <f aca="false">Data_Prices!B267/Data_Prices!B266-1</f>
        <v>-0.00799190006733208</v>
      </c>
      <c r="C267" s="32" t="n">
        <f aca="false">Data_Prices!C267/Data_Prices!C266-1</f>
        <v>-0.0083584775364125</v>
      </c>
      <c r="D267" s="32" t="n">
        <f aca="false">Data_Prices!D267/Data_Prices!D266-1</f>
        <v>-5.99089384136775E-005</v>
      </c>
      <c r="E267" s="32" t="n">
        <f aca="false">Data_Prices!E267/Data_Prices!E266-1</f>
        <v>-0.0164614387556709</v>
      </c>
      <c r="F267" s="32" t="n">
        <f aca="false">Data_Prices!F267/Data_Prices!F266-1</f>
        <v>-0.0109035185949196</v>
      </c>
      <c r="G267" s="32" t="n">
        <f aca="false">Data_Prices!G267/Data_Prices!G266-1</f>
        <v>-0.00251778872468522</v>
      </c>
      <c r="H267" s="32" t="n">
        <f aca="false">Data_Prices!H267/Data_Prices!H266-1</f>
        <v>-0.0164566345441067</v>
      </c>
      <c r="I267" s="32" t="n">
        <f aca="false">Data_Prices!I267/Data_Prices!I266-1</f>
        <v>-0.0214828399266439</v>
      </c>
      <c r="J267" s="32" t="n">
        <f aca="false">Data_Prices!J267/Data_Prices!J266-1</f>
        <v>-0.00224665701756288</v>
      </c>
      <c r="K267" s="32" t="n">
        <f aca="false">Data_Prices!K267/Data_Prices!K266-1</f>
        <v>-0.00727871639570721</v>
      </c>
      <c r="L267" s="32" t="n">
        <f aca="false">Data_Prices!L267/Data_Prices!L266-1</f>
        <v>-0.00900750625521263</v>
      </c>
      <c r="M267" s="32" t="n">
        <f aca="false">Data_Prices!M267/Data_Prices!M266-1</f>
        <v>-0.0218761586948462</v>
      </c>
      <c r="N267" s="32" t="n">
        <f aca="false">Data_Prices!N267/Data_Prices!N266-1</f>
        <v>-0.00847945563988484</v>
      </c>
      <c r="O267" s="32" t="n">
        <f aca="false">Data_Prices!O267/Data_Prices!O266-1</f>
        <v>-0.0274636510500808</v>
      </c>
      <c r="P267" s="32" t="n">
        <f aca="false">Data_Prices!P267/Data_Prices!P266-1</f>
        <v>-0.0165762855274797</v>
      </c>
      <c r="Q267" s="32" t="n">
        <f aca="false">Data_Prices!Q267/Data_Prices!Q266-1</f>
        <v>0.0090401488965699</v>
      </c>
      <c r="R267" s="32" t="n">
        <f aca="false">Data_Prices!R267/Data_Prices!R266-1</f>
        <v>-0.0138067061143985</v>
      </c>
      <c r="S267" s="32" t="n">
        <f aca="false">Data_Prices!S267/Data_Prices!S266-1</f>
        <v>-0.00917670368632351</v>
      </c>
      <c r="T267" s="32" t="n">
        <f aca="false">AVERAGE(D267:S267)</f>
        <v>-0.0109221138105854</v>
      </c>
      <c r="U267" s="32" t="n">
        <f aca="false">AVERAGE(J267:S267)</f>
        <v>-0.0106871691484926</v>
      </c>
      <c r="V267" s="32" t="n">
        <f aca="false">AVERAGE(D267:I267)</f>
        <v>-0.0113136882474067</v>
      </c>
      <c r="W267" s="32" t="n">
        <f aca="false">AVERAGE(K267,Q267,R267)</f>
        <v>-0.00401509120451193</v>
      </c>
      <c r="X267" s="32" t="n">
        <f aca="false">AVERAGE(K267,L267,N267,O267,P267,Q267,R267,S267)</f>
        <v>-0.0103436094715647</v>
      </c>
      <c r="Y267" s="32" t="n">
        <f aca="false">AVERAGE(J267,L267,M267,N267,O267,P267,Q267,R267,S267)</f>
        <v>-0.0110658861210243</v>
      </c>
      <c r="Z267" s="32" t="n">
        <f aca="false">U267-V267</f>
        <v>0.000626519098914032</v>
      </c>
      <c r="AA267" s="32" t="n">
        <f aca="false">W267-V267</f>
        <v>0.00729859704289473</v>
      </c>
    </row>
    <row r="268" customFormat="false" ht="15" hidden="false" customHeight="false" outlineLevel="0" collapsed="false">
      <c r="A268" s="28" t="n">
        <f aca="false">Data_Prices!A268</f>
        <v>45191</v>
      </c>
      <c r="B268" s="32" t="n">
        <f aca="false">Data_Prices!B268/Data_Prices!B267-1</f>
        <v>-0.0034494373770092</v>
      </c>
      <c r="C268" s="32" t="n">
        <f aca="false">Data_Prices!C268/Data_Prices!C267-1</f>
        <v>-0.00246770884503145</v>
      </c>
      <c r="D268" s="32" t="n">
        <f aca="false">Data_Prices!D268/Data_Prices!D267-1</f>
        <v>-0.00937631058654354</v>
      </c>
      <c r="E268" s="32" t="n">
        <f aca="false">Data_Prices!E268/Data_Prices!E267-1</f>
        <v>0.00355824986821296</v>
      </c>
      <c r="F268" s="32" t="n">
        <f aca="false">Data_Prices!F268/Data_Prices!F267-1</f>
        <v>-0.00607794065069722</v>
      </c>
      <c r="G268" s="32" t="n">
        <f aca="false">Data_Prices!G268/Data_Prices!G267-1</f>
        <v>0.0106453028972782</v>
      </c>
      <c r="H268" s="32" t="n">
        <f aca="false">Data_Prices!H268/Data_Prices!H267-1</f>
        <v>0.0373078082604763</v>
      </c>
      <c r="I268" s="32" t="n">
        <f aca="false">Data_Prices!I268/Data_Prices!I267-1</f>
        <v>0.00414993306559586</v>
      </c>
      <c r="J268" s="32" t="n">
        <f aca="false">Data_Prices!J268/Data_Prices!J267-1</f>
        <v>-0.0405308853140494</v>
      </c>
      <c r="K268" s="32" t="n">
        <f aca="false">Data_Prices!K268/Data_Prices!K267-1</f>
        <v>-0.00171260369280168</v>
      </c>
      <c r="L268" s="32" t="n">
        <f aca="false">Data_Prices!L268/Data_Prices!L267-1</f>
        <v>0</v>
      </c>
      <c r="M268" s="32" t="n">
        <f aca="false">Data_Prices!M268/Data_Prices!M267-1</f>
        <v>-0.0206974981046247</v>
      </c>
      <c r="N268" s="32" t="n">
        <f aca="false">Data_Prices!N268/Data_Prices!N267-1</f>
        <v>-0.0157138080909394</v>
      </c>
      <c r="O268" s="32" t="n">
        <f aca="false">Data_Prices!O268/Data_Prices!O267-1</f>
        <v>0.0051495016611296</v>
      </c>
      <c r="P268" s="32" t="n">
        <f aca="false">Data_Prices!P268/Data_Prices!P267-1</f>
        <v>-0.00649198279233476</v>
      </c>
      <c r="Q268" s="32" t="n">
        <f aca="false">Data_Prices!Q268/Data_Prices!Q267-1</f>
        <v>-0.0163372859025033</v>
      </c>
      <c r="R268" s="32" t="n">
        <f aca="false">Data_Prices!R268/Data_Prices!R267-1</f>
        <v>-0.002</v>
      </c>
      <c r="S268" s="32" t="n">
        <f aca="false">Data_Prices!S268/Data_Prices!S267-1</f>
        <v>-0.0049202757459349</v>
      </c>
      <c r="T268" s="32" t="n">
        <f aca="false">AVERAGE(D268:S268)</f>
        <v>-0.0039404871954835</v>
      </c>
      <c r="U268" s="32" t="n">
        <f aca="false">AVERAGE(J268:S268)</f>
        <v>-0.0103254837982058</v>
      </c>
      <c r="V268" s="32" t="n">
        <f aca="false">AVERAGE(D268:I268)</f>
        <v>0.00670117380905376</v>
      </c>
      <c r="W268" s="32" t="n">
        <f aca="false">AVERAGE(K268,Q268,R268)</f>
        <v>-0.00668329653176832</v>
      </c>
      <c r="X268" s="32" t="n">
        <f aca="false">AVERAGE(K268,L268,N268,O268,P268,Q268,R268,S268)</f>
        <v>-0.00525330682042305</v>
      </c>
      <c r="Y268" s="32" t="n">
        <f aca="false">AVERAGE(J268,L268,M268,N268,O268,P268,Q268,R268,S268)</f>
        <v>-0.0112824704765841</v>
      </c>
      <c r="Z268" s="32" t="n">
        <f aca="false">U268-V268</f>
        <v>-0.0170266576072596</v>
      </c>
      <c r="AA268" s="32" t="n">
        <f aca="false">W268-V268</f>
        <v>-0.0133844703408221</v>
      </c>
    </row>
    <row r="269" customFormat="false" ht="15" hidden="false" customHeight="false" outlineLevel="0" collapsed="false">
      <c r="A269" s="28" t="n">
        <f aca="false">Data_Prices!A269</f>
        <v>45194</v>
      </c>
      <c r="B269" s="32" t="n">
        <f aca="false">Data_Prices!B269/Data_Prices!B268-1</f>
        <v>1.52483576247864E-005</v>
      </c>
      <c r="C269" s="32" t="n">
        <f aca="false">Data_Prices!C269/Data_Prices!C268-1</f>
        <v>0.000680733222098606</v>
      </c>
      <c r="D269" s="32" t="n">
        <f aca="false">Data_Prices!D269/Data_Prices!D268-1</f>
        <v>0.025431673168224</v>
      </c>
      <c r="E269" s="32" t="n">
        <f aca="false">Data_Prices!E269/Data_Prices!E268-1</f>
        <v>0.0134602757715037</v>
      </c>
      <c r="F269" s="32" t="n">
        <f aca="false">Data_Prices!F269/Data_Prices!F268-1</f>
        <v>0.00653477218225418</v>
      </c>
      <c r="G269" s="32" t="n">
        <f aca="false">Data_Prices!G269/Data_Prices!G268-1</f>
        <v>0.0052122923227278</v>
      </c>
      <c r="H269" s="32" t="n">
        <f aca="false">Data_Prices!H269/Data_Prices!H268-1</f>
        <v>-0.0410520961999564</v>
      </c>
      <c r="I269" s="32" t="n">
        <f aca="false">Data_Prices!I269/Data_Prices!I268-1</f>
        <v>0.00746567124383413</v>
      </c>
      <c r="J269" s="32" t="n">
        <f aca="false">Data_Prices!J269/Data_Prices!J268-1</f>
        <v>-0.00379104140810116</v>
      </c>
      <c r="K269" s="32" t="n">
        <f aca="false">Data_Prices!K269/Data_Prices!K268-1</f>
        <v>0.0466412909451561</v>
      </c>
      <c r="L269" s="32" t="n">
        <f aca="false">Data_Prices!L269/Data_Prices!L268-1</f>
        <v>-0.00429220669920905</v>
      </c>
      <c r="M269" s="32" t="n">
        <f aca="false">Data_Prices!M269/Data_Prices!M268-1</f>
        <v>-0.0020902686382287</v>
      </c>
      <c r="N269" s="32" t="n">
        <f aca="false">Data_Prices!N269/Data_Prices!N268-1</f>
        <v>-0.000357551487414232</v>
      </c>
      <c r="O269" s="32" t="n">
        <f aca="false">Data_Prices!O269/Data_Prices!O268-1</f>
        <v>-0.00809783506858364</v>
      </c>
      <c r="P269" s="32" t="n">
        <f aca="false">Data_Prices!P269/Data_Prices!P268-1</f>
        <v>-0.00704613446701308</v>
      </c>
      <c r="Q269" s="32" t="n">
        <f aca="false">Data_Prices!Q269/Data_Prices!Q268-1</f>
        <v>-0.00616126439860709</v>
      </c>
      <c r="R269" s="32" t="n">
        <f aca="false">Data_Prices!R269/Data_Prices!R268-1</f>
        <v>-0.0137775551102205</v>
      </c>
      <c r="S269" s="32" t="n">
        <f aca="false">Data_Prices!S269/Data_Prices!S268-1</f>
        <v>0.0288743753139957</v>
      </c>
      <c r="T269" s="32" t="n">
        <f aca="false">AVERAGE(D269:S269)</f>
        <v>0.00293464984189761</v>
      </c>
      <c r="U269" s="32" t="n">
        <f aca="false">AVERAGE(J269:S269)</f>
        <v>0.00299018089817744</v>
      </c>
      <c r="V269" s="32" t="n">
        <f aca="false">AVERAGE(D269:I269)</f>
        <v>0.00284209808143123</v>
      </c>
      <c r="W269" s="32" t="n">
        <f aca="false">AVERAGE(K269,Q269,R269)</f>
        <v>0.00890082381210951</v>
      </c>
      <c r="X269" s="32" t="n">
        <f aca="false">AVERAGE(K269,L269,N269,O269,P269,Q269,R269,S269)</f>
        <v>0.00447288987851303</v>
      </c>
      <c r="Y269" s="32" t="n">
        <f aca="false">AVERAGE(J269,L269,M269,N269,O269,P269,Q269,R269,S269)</f>
        <v>-0.00185994244037575</v>
      </c>
      <c r="Z269" s="32" t="n">
        <f aca="false">U269-V269</f>
        <v>0.000148082816746213</v>
      </c>
      <c r="AA269" s="32" t="n">
        <f aca="false">W269-V269</f>
        <v>0.00605872573067828</v>
      </c>
    </row>
    <row r="270" customFormat="false" ht="15" hidden="false" customHeight="false" outlineLevel="0" collapsed="false">
      <c r="A270" s="28" t="n">
        <f aca="false">Data_Prices!A270</f>
        <v>45195</v>
      </c>
      <c r="B270" s="32" t="n">
        <f aca="false">Data_Prices!B270/Data_Prices!B269-1</f>
        <v>-0.000500646774640234</v>
      </c>
      <c r="C270" s="32" t="n">
        <f aca="false">Data_Prices!C270/Data_Prices!C269-1</f>
        <v>0.000243160390330344</v>
      </c>
      <c r="D270" s="32" t="n">
        <f aca="false">Data_Prices!D270/Data_Prices!D269-1</f>
        <v>0.0137127690946623</v>
      </c>
      <c r="E270" s="32" t="n">
        <f aca="false">Data_Prices!E270/Data_Prices!E269-1</f>
        <v>-0.016715257531584</v>
      </c>
      <c r="F270" s="32" t="n">
        <f aca="false">Data_Prices!F270/Data_Prices!F269-1</f>
        <v>-0.0212639228065996</v>
      </c>
      <c r="G270" s="32" t="n">
        <f aca="false">Data_Prices!G270/Data_Prices!G269-1</f>
        <v>0.00280868531921774</v>
      </c>
      <c r="H270" s="32" t="n">
        <f aca="false">Data_Prices!H270/Data_Prices!H269-1</f>
        <v>-0.00666767692074555</v>
      </c>
      <c r="I270" s="32" t="n">
        <f aca="false">Data_Prices!I270/Data_Prices!I269-1</f>
        <v>0.0197168188434564</v>
      </c>
      <c r="J270" s="32" t="n">
        <f aca="false">Data_Prices!J270/Data_Prices!J269-1</f>
        <v>-0.00400933245747159</v>
      </c>
      <c r="K270" s="32" t="n">
        <f aca="false">Data_Prices!K270/Data_Prices!K269-1</f>
        <v>0.00650514777442002</v>
      </c>
      <c r="L270" s="32" t="n">
        <f aca="false">Data_Prices!L270/Data_Prices!L269-1</f>
        <v>0.0101005832135914</v>
      </c>
      <c r="M270" s="32" t="n">
        <f aca="false">Data_Prices!M270/Data_Prices!M269-1</f>
        <v>0.0317688130333593</v>
      </c>
      <c r="N270" s="32" t="n">
        <f aca="false">Data_Prices!N270/Data_Prices!N269-1</f>
        <v>0.007135703555333</v>
      </c>
      <c r="O270" s="32" t="n">
        <f aca="false">Data_Prices!O270/Data_Prices!O269-1</f>
        <v>-0.0101632789070311</v>
      </c>
      <c r="P270" s="32" t="n">
        <f aca="false">Data_Prices!P270/Data_Prices!P269-1</f>
        <v>-0.0193855302279485</v>
      </c>
      <c r="Q270" s="32" t="n">
        <f aca="false">Data_Prices!Q270/Data_Prices!Q269-1</f>
        <v>0.0192722371967655</v>
      </c>
      <c r="R270" s="32" t="n">
        <f aca="false">Data_Prices!R270/Data_Prices!R269-1</f>
        <v>-0.00133350266700527</v>
      </c>
      <c r="S270" s="32" t="n">
        <f aca="false">Data_Prices!S270/Data_Prices!S269-1</f>
        <v>-0.0313279021356429</v>
      </c>
      <c r="T270" s="32" t="n">
        <f aca="false">AVERAGE(D270:S270)</f>
        <v>9.64714854858467E-006</v>
      </c>
      <c r="U270" s="32" t="n">
        <f aca="false">AVERAGE(J270:S270)</f>
        <v>0.000856293837836997</v>
      </c>
      <c r="V270" s="32" t="n">
        <f aca="false">AVERAGE(D270:I270)</f>
        <v>-0.0014014306669321</v>
      </c>
      <c r="W270" s="32" t="n">
        <f aca="false">AVERAGE(K270,Q270,R270)</f>
        <v>0.00814796076806009</v>
      </c>
      <c r="X270" s="32" t="n">
        <f aca="false">AVERAGE(K270,L270,N270,O270,P270,Q270,R270,S270)</f>
        <v>-0.00239956777468972</v>
      </c>
      <c r="Y270" s="32" t="n">
        <f aca="false">AVERAGE(J270,L270,M270,N270,O270,P270,Q270,R270,S270)</f>
        <v>0.000228643400438883</v>
      </c>
      <c r="Z270" s="32" t="n">
        <f aca="false">U270-V270</f>
        <v>0.0022577245047691</v>
      </c>
      <c r="AA270" s="32" t="n">
        <f aca="false">W270-V270</f>
        <v>0.00954939143499219</v>
      </c>
    </row>
    <row r="271" customFormat="false" ht="15" hidden="false" customHeight="false" outlineLevel="0" collapsed="false">
      <c r="A271" s="28" t="n">
        <f aca="false">Data_Prices!A271</f>
        <v>45196</v>
      </c>
      <c r="B271" s="32" t="n">
        <f aca="false">Data_Prices!B271/Data_Prices!B270-1</f>
        <v>0.00263161909411269</v>
      </c>
      <c r="C271" s="32" t="n">
        <f aca="false">Data_Prices!C271/Data_Prices!C270-1</f>
        <v>0.0037535994906448</v>
      </c>
      <c r="D271" s="32" t="n">
        <f aca="false">Data_Prices!D271/Data_Prices!D270-1</f>
        <v>-0.00858181818181814</v>
      </c>
      <c r="E271" s="32" t="n">
        <f aca="false">Data_Prices!E271/Data_Prices!E270-1</f>
        <v>0.0146273967187192</v>
      </c>
      <c r="F271" s="32" t="n">
        <f aca="false">Data_Prices!F271/Data_Prices!F270-1</f>
        <v>-0.00389483933787738</v>
      </c>
      <c r="G271" s="32" t="n">
        <f aca="false">Data_Prices!G271/Data_Prices!G270-1</f>
        <v>0.00624798017882156</v>
      </c>
      <c r="H271" s="32" t="n">
        <f aca="false">Data_Prices!H271/Data_Prices!H270-1</f>
        <v>0.00991609458428688</v>
      </c>
      <c r="I271" s="32" t="n">
        <f aca="false">Data_Prices!I271/Data_Prices!I270-1</f>
        <v>-0.00207630417856219</v>
      </c>
      <c r="J271" s="32" t="n">
        <f aca="false">Data_Prices!J271/Data_Prices!J270-1</f>
        <v>0.00827837161701162</v>
      </c>
      <c r="K271" s="32" t="n">
        <f aca="false">Data_Prices!K271/Data_Prices!K270-1</f>
        <v>-0.00421119592875308</v>
      </c>
      <c r="L271" s="32" t="n">
        <f aca="false">Data_Prices!L271/Data_Prices!L270-1</f>
        <v>0.00271955148320147</v>
      </c>
      <c r="M271" s="32" t="n">
        <f aca="false">Data_Prices!M271/Data_Prices!M270-1</f>
        <v>-0.00383473062897111</v>
      </c>
      <c r="N271" s="32" t="n">
        <f aca="false">Data_Prices!N271/Data_Prices!N270-1</f>
        <v>0.00930480333836448</v>
      </c>
      <c r="O271" s="32" t="n">
        <f aca="false">Data_Prices!O271/Data_Prices!O270-1</f>
        <v>0.00336643662683045</v>
      </c>
      <c r="P271" s="32" t="n">
        <f aca="false">Data_Prices!P271/Data_Prices!P270-1</f>
        <v>0.0183133893919794</v>
      </c>
      <c r="Q271" s="32" t="n">
        <f aca="false">Data_Prices!Q271/Data_Prices!Q270-1</f>
        <v>0.00357001190003969</v>
      </c>
      <c r="R271" s="32" t="n">
        <f aca="false">Data_Prices!R271/Data_Prices!R270-1</f>
        <v>0.00445094423602721</v>
      </c>
      <c r="S271" s="32" t="n">
        <f aca="false">Data_Prices!S271/Data_Prices!S270-1</f>
        <v>0.00413880929640254</v>
      </c>
      <c r="T271" s="32" t="n">
        <f aca="false">AVERAGE(D271:S271)</f>
        <v>0.00389593131973141</v>
      </c>
      <c r="U271" s="32" t="n">
        <f aca="false">AVERAGE(J271:S271)</f>
        <v>0.00460963913321326</v>
      </c>
      <c r="V271" s="32" t="n">
        <f aca="false">AVERAGE(D271:I271)</f>
        <v>0.00270641829726165</v>
      </c>
      <c r="W271" s="32" t="n">
        <f aca="false">AVERAGE(K271,Q271,R271)</f>
        <v>0.00126992006910461</v>
      </c>
      <c r="X271" s="32" t="n">
        <f aca="false">AVERAGE(K271,L271,N271,O271,P271,Q271,R271,S271)</f>
        <v>0.00520659379301151</v>
      </c>
      <c r="Y271" s="32" t="n">
        <f aca="false">AVERAGE(J271,L271,M271,N271,O271,P271,Q271,R271,S271)</f>
        <v>0.00558973191787619</v>
      </c>
      <c r="Z271" s="32" t="n">
        <f aca="false">U271-V271</f>
        <v>0.00190322083595161</v>
      </c>
      <c r="AA271" s="32" t="n">
        <f aca="false">W271-V271</f>
        <v>-0.00143649822815704</v>
      </c>
    </row>
    <row r="272" customFormat="false" ht="15" hidden="false" customHeight="false" outlineLevel="0" collapsed="false">
      <c r="A272" s="28" t="n">
        <f aca="false">Data_Prices!A272</f>
        <v>45197</v>
      </c>
      <c r="B272" s="32" t="n">
        <f aca="false">Data_Prices!B272/Data_Prices!B271-1</f>
        <v>-0.00978370852765087</v>
      </c>
      <c r="C272" s="32" t="n">
        <f aca="false">Data_Prices!C272/Data_Prices!C271-1</f>
        <v>-0.00986933154956859</v>
      </c>
      <c r="D272" s="32" t="n">
        <f aca="false">Data_Prices!D272/Data_Prices!D271-1</f>
        <v>0.00619131455399069</v>
      </c>
      <c r="E272" s="32" t="n">
        <f aca="false">Data_Prices!E272/Data_Prices!E271-1</f>
        <v>-0.0282485875706214</v>
      </c>
      <c r="F272" s="32" t="n">
        <f aca="false">Data_Prices!F272/Data_Prices!F271-1</f>
        <v>0.00262707722385147</v>
      </c>
      <c r="G272" s="32" t="n">
        <f aca="false">Data_Prices!G272/Data_Prices!G271-1</f>
        <v>-0.0186275559361953</v>
      </c>
      <c r="H272" s="32" t="n">
        <f aca="false">Data_Prices!H272/Data_Prices!H271-1</f>
        <v>0.0273413897280967</v>
      </c>
      <c r="I272" s="32" t="n">
        <f aca="false">Data_Prices!I272/Data_Prices!I271-1</f>
        <v>-0.01222366710013</v>
      </c>
      <c r="J272" s="32" t="n">
        <f aca="false">Data_Prices!J272/Data_Prices!J271-1</f>
        <v>-0.00667659132945353</v>
      </c>
      <c r="K272" s="32" t="n">
        <f aca="false">Data_Prices!K272/Data_Prices!K271-1</f>
        <v>-0.0125720272393924</v>
      </c>
      <c r="L272" s="32" t="n">
        <f aca="false">Data_Prices!L272/Data_Prices!L271-1</f>
        <v>0.0179420846198781</v>
      </c>
      <c r="M272" s="32" t="n">
        <f aca="false">Data_Prices!M272/Data_Prices!M271-1</f>
        <v>-0.018945541004642</v>
      </c>
      <c r="N272" s="32" t="n">
        <f aca="false">Data_Prices!N272/Data_Prices!N271-1</f>
        <v>0.0149545206636288</v>
      </c>
      <c r="O272" s="32" t="n">
        <f aca="false">Data_Prices!O272/Data_Prices!O271-1</f>
        <v>-0.0206341217916458</v>
      </c>
      <c r="P272" s="32" t="n">
        <f aca="false">Data_Prices!P272/Data_Prices!P271-1</f>
        <v>-0.0354916828774465</v>
      </c>
      <c r="Q272" s="32" t="n">
        <f aca="false">Data_Prices!Q272/Data_Prices!Q271-1</f>
        <v>-0.010935441370224</v>
      </c>
      <c r="R272" s="32" t="n">
        <f aca="false">Data_Prices!R272/Data_Prices!R271-1</f>
        <v>-0.00955877698297158</v>
      </c>
      <c r="S272" s="32" t="n">
        <f aca="false">Data_Prices!S272/Data_Prices!S271-1</f>
        <v>-0.0110705981822025</v>
      </c>
      <c r="T272" s="32" t="n">
        <f aca="false">AVERAGE(D272:S272)</f>
        <v>-0.00724551278721745</v>
      </c>
      <c r="U272" s="32" t="n">
        <f aca="false">AVERAGE(J272:S272)</f>
        <v>-0.00929881754944714</v>
      </c>
      <c r="V272" s="32" t="n">
        <f aca="false">AVERAGE(D272:I272)</f>
        <v>-0.0038233381835013</v>
      </c>
      <c r="W272" s="32" t="n">
        <f aca="false">AVERAGE(K272,Q272,R272)</f>
        <v>-0.011022081864196</v>
      </c>
      <c r="X272" s="32" t="n">
        <f aca="false">AVERAGE(K272,L272,N272,O272,P272,Q272,R272,S272)</f>
        <v>-0.00842075539504698</v>
      </c>
      <c r="Y272" s="32" t="n">
        <f aca="false">AVERAGE(J272,L272,M272,N272,O272,P272,Q272,R272,S272)</f>
        <v>-0.00893512758389766</v>
      </c>
      <c r="Z272" s="32" t="n">
        <f aca="false">U272-V272</f>
        <v>-0.00547547936594584</v>
      </c>
      <c r="AA272" s="32" t="n">
        <f aca="false">W272-V272</f>
        <v>-0.00719874368069469</v>
      </c>
    </row>
    <row r="273" customFormat="false" ht="15" hidden="false" customHeight="false" outlineLevel="0" collapsed="false">
      <c r="A273" s="28" t="n">
        <f aca="false">Data_Prices!A273</f>
        <v>45198</v>
      </c>
      <c r="B273" s="32" t="n">
        <f aca="false">Data_Prices!B273/Data_Prices!B272-1</f>
        <v>0.00587751715236218</v>
      </c>
      <c r="C273" s="32" t="n">
        <f aca="false">Data_Prices!C273/Data_Prices!C272-1</f>
        <v>0.00711396614532522</v>
      </c>
      <c r="D273" s="32" t="n">
        <f aca="false">Data_Prices!D273/Data_Prices!D272-1</f>
        <v>0.0144352745618384</v>
      </c>
      <c r="E273" s="32" t="n">
        <f aca="false">Data_Prices!E273/Data_Prices!E272-1</f>
        <v>0.0221865811280406</v>
      </c>
      <c r="F273" s="32" t="n">
        <f aca="false">Data_Prices!F273/Data_Prices!F272-1</f>
        <v>-0.0113338614344037</v>
      </c>
      <c r="G273" s="32" t="n">
        <f aca="false">Data_Prices!G273/Data_Prices!G272-1</f>
        <v>0.0130904330751609</v>
      </c>
      <c r="H273" s="32" t="n">
        <f aca="false">Data_Prices!H273/Data_Prices!H272-1</f>
        <v>0.0205852080576385</v>
      </c>
      <c r="I273" s="32" t="n">
        <f aca="false">Data_Prices!I273/Data_Prices!I272-1</f>
        <v>0.0121116377040547</v>
      </c>
      <c r="J273" s="32" t="n">
        <f aca="false">Data_Prices!J273/Data_Prices!J272-1</f>
        <v>-0.0131477360461421</v>
      </c>
      <c r="K273" s="32" t="n">
        <f aca="false">Data_Prices!K273/Data_Prices!K272-1</f>
        <v>0.00926441094649677</v>
      </c>
      <c r="L273" s="32" t="n">
        <f aca="false">Data_Prices!L273/Data_Prices!L272-1</f>
        <v>-0.00184456468273486</v>
      </c>
      <c r="M273" s="32" t="n">
        <f aca="false">Data_Prices!M273/Data_Prices!M272-1</f>
        <v>0.0121177149451817</v>
      </c>
      <c r="N273" s="32" t="n">
        <f aca="false">Data_Prices!N273/Data_Prices!N272-1</f>
        <v>0.00615368614467249</v>
      </c>
      <c r="O273" s="32" t="n">
        <f aca="false">Data_Prices!O273/Data_Prices!O272-1</f>
        <v>0.0323741007194247</v>
      </c>
      <c r="P273" s="32" t="n">
        <f aca="false">Data_Prices!P273/Data_Prices!P272-1</f>
        <v>0.0306647458324758</v>
      </c>
      <c r="Q273" s="32" t="n">
        <f aca="false">Data_Prices!Q273/Data_Prices!Q272-1</f>
        <v>0.0131876914879445</v>
      </c>
      <c r="R273" s="32" t="n">
        <f aca="false">Data_Prices!R273/Data_Prices!R272-1</f>
        <v>0.0112488815032596</v>
      </c>
      <c r="S273" s="32" t="n">
        <f aca="false">Data_Prices!S273/Data_Prices!S272-1</f>
        <v>0.0255951267733576</v>
      </c>
      <c r="T273" s="32" t="n">
        <f aca="false">AVERAGE(D273:S273)</f>
        <v>0.0122930831697666</v>
      </c>
      <c r="U273" s="32" t="n">
        <f aca="false">AVERAGE(J273:S273)</f>
        <v>0.0125614057623936</v>
      </c>
      <c r="V273" s="32" t="n">
        <f aca="false">AVERAGE(D273:I273)</f>
        <v>0.0118458788487216</v>
      </c>
      <c r="W273" s="32" t="n">
        <f aca="false">AVERAGE(K273,Q273,R273)</f>
        <v>0.011233661312567</v>
      </c>
      <c r="X273" s="32" t="n">
        <f aca="false">AVERAGE(K273,L273,N273,O273,P273,Q273,R273,S273)</f>
        <v>0.0158305098406121</v>
      </c>
      <c r="Y273" s="32" t="n">
        <f aca="false">AVERAGE(J273,L273,M273,N273,O273,P273,Q273,R273,S273)</f>
        <v>0.0129277385197155</v>
      </c>
      <c r="Z273" s="32" t="n">
        <f aca="false">U273-V273</f>
        <v>0.000715526913672078</v>
      </c>
      <c r="AA273" s="32" t="n">
        <f aca="false">W273-V273</f>
        <v>-0.000612217536154572</v>
      </c>
    </row>
    <row r="274" customFormat="false" ht="15" hidden="false" customHeight="false" outlineLevel="0" collapsed="false">
      <c r="A274" s="28" t="n">
        <f aca="false">Data_Prices!A274</f>
        <v>45202</v>
      </c>
      <c r="B274" s="32" t="n">
        <f aca="false">Data_Prices!B274/Data_Prices!B273-1</f>
        <v>-0.00557838509443276</v>
      </c>
      <c r="C274" s="32" t="n">
        <f aca="false">Data_Prices!C274/Data_Prices!C273-1</f>
        <v>-0.00220903739171652</v>
      </c>
      <c r="D274" s="32" t="n">
        <f aca="false">Data_Prices!D274/Data_Prices!D273-1</f>
        <v>0.0343529005921923</v>
      </c>
      <c r="E274" s="32" t="n">
        <f aca="false">Data_Prices!E274/Data_Prices!E273-1</f>
        <v>0.000719142259414385</v>
      </c>
      <c r="F274" s="32" t="n">
        <f aca="false">Data_Prices!F274/Data_Prices!F273-1</f>
        <v>0.0259476117103234</v>
      </c>
      <c r="G274" s="32" t="n">
        <f aca="false">Data_Prices!G274/Data_Prices!G273-1</f>
        <v>0.0278884462151394</v>
      </c>
      <c r="H274" s="32" t="n">
        <f aca="false">Data_Prices!H274/Data_Prices!H273-1</f>
        <v>0.0694424434519521</v>
      </c>
      <c r="I274" s="32" t="n">
        <f aca="false">Data_Prices!I274/Data_Prices!I273-1</f>
        <v>0.0326482830385015</v>
      </c>
      <c r="J274" s="32" t="n">
        <f aca="false">Data_Prices!J274/Data_Prices!J273-1</f>
        <v>0.00326744747923358</v>
      </c>
      <c r="K274" s="32" t="n">
        <f aca="false">Data_Prices!K274/Data_Prices!K273-1</f>
        <v>0.0200894860322303</v>
      </c>
      <c r="L274" s="32" t="n">
        <f aca="false">Data_Prices!L274/Data_Prices!L273-1</f>
        <v>0.0297729046035071</v>
      </c>
      <c r="M274" s="32" t="n">
        <f aca="false">Data_Prices!M274/Data_Prices!M273-1</f>
        <v>0.0125047510452301</v>
      </c>
      <c r="N274" s="32" t="n">
        <f aca="false">Data_Prices!N274/Data_Prices!N273-1</f>
        <v>0.0246709392874369</v>
      </c>
      <c r="O274" s="32" t="n">
        <f aca="false">Data_Prices!O274/Data_Prices!O273-1</f>
        <v>-0.00116144018583053</v>
      </c>
      <c r="P274" s="32" t="n">
        <f aca="false">Data_Prices!P274/Data_Prices!P273-1</f>
        <v>-0.0134584664536741</v>
      </c>
      <c r="Q274" s="32" t="n">
        <f aca="false">Data_Prices!Q274/Data_Prices!Q273-1</f>
        <v>0.00447015514067828</v>
      </c>
      <c r="R274" s="32" t="n">
        <f aca="false">Data_Prices!R274/Data_Prices!R273-1</f>
        <v>0.00682593856655278</v>
      </c>
      <c r="S274" s="32" t="n">
        <f aca="false">Data_Prices!S274/Data_Prices!S273-1</f>
        <v>0.00135462526376107</v>
      </c>
      <c r="T274" s="32" t="n">
        <f aca="false">AVERAGE(D274:S274)</f>
        <v>0.0174584480029155</v>
      </c>
      <c r="U274" s="32" t="n">
        <f aca="false">AVERAGE(J274:S274)</f>
        <v>0.00883363407791254</v>
      </c>
      <c r="V274" s="32" t="n">
        <f aca="false">AVERAGE(D274:I274)</f>
        <v>0.0318331378779205</v>
      </c>
      <c r="W274" s="32" t="n">
        <f aca="false">AVERAGE(K274,Q274,R274)</f>
        <v>0.0104618599131538</v>
      </c>
      <c r="X274" s="32" t="n">
        <f aca="false">AVERAGE(K274,L274,N274,O274,P274,Q274,R274,S274)</f>
        <v>0.00907051778183272</v>
      </c>
      <c r="Y274" s="32" t="n">
        <f aca="false">AVERAGE(J274,L274,M274,N274,O274,P274,Q274,R274,S274)</f>
        <v>0.00758298386076613</v>
      </c>
      <c r="Z274" s="32" t="n">
        <f aca="false">U274-V274</f>
        <v>-0.022999503800008</v>
      </c>
      <c r="AA274" s="32" t="n">
        <f aca="false">W274-V274</f>
        <v>-0.0213712779647668</v>
      </c>
    </row>
    <row r="275" customFormat="false" ht="15" hidden="false" customHeight="false" outlineLevel="0" collapsed="false">
      <c r="A275" s="28" t="n">
        <f aca="false">Data_Prices!A275</f>
        <v>45203</v>
      </c>
      <c r="B275" s="32" t="n">
        <f aca="false">Data_Prices!B275/Data_Prices!B274-1</f>
        <v>-0.00474428726877052</v>
      </c>
      <c r="C275" s="32" t="n">
        <f aca="false">Data_Prices!C275/Data_Prices!C274-1</f>
        <v>-0.00760965318991114</v>
      </c>
      <c r="D275" s="32" t="n">
        <f aca="false">Data_Prices!D275/Data_Prices!D274-1</f>
        <v>-0.0050026402823713</v>
      </c>
      <c r="E275" s="32" t="n">
        <f aca="false">Data_Prices!E275/Data_Prices!E274-1</f>
        <v>-0.0145031684850069</v>
      </c>
      <c r="F275" s="32" t="n">
        <f aca="false">Data_Prices!F275/Data_Prices!F274-1</f>
        <v>-0.012916015859666</v>
      </c>
      <c r="G275" s="32" t="n">
        <f aca="false">Data_Prices!G275/Data_Prices!G274-1</f>
        <v>-0.020846427823172</v>
      </c>
      <c r="H275" s="32" t="n">
        <f aca="false">Data_Prices!H275/Data_Prices!H274-1</f>
        <v>-0.0279536575508554</v>
      </c>
      <c r="I275" s="32" t="n">
        <f aca="false">Data_Prices!I275/Data_Prices!I274-1</f>
        <v>-0.00755762690515183</v>
      </c>
      <c r="J275" s="32" t="n">
        <f aca="false">Data_Prices!J275/Data_Prices!J274-1</f>
        <v>0.0407559459645421</v>
      </c>
      <c r="K275" s="32" t="n">
        <f aca="false">Data_Prices!K275/Data_Prices!K274-1</f>
        <v>-0.0142519605871706</v>
      </c>
      <c r="L275" s="32" t="n">
        <f aca="false">Data_Prices!L275/Data_Prices!L274-1</f>
        <v>-0.0352129526240229</v>
      </c>
      <c r="M275" s="32" t="n">
        <f aca="false">Data_Prices!M275/Data_Prices!M274-1</f>
        <v>-0.0100604377041181</v>
      </c>
      <c r="N275" s="32" t="n">
        <f aca="false">Data_Prices!N275/Data_Prices!N274-1</f>
        <v>0.00025220256910341</v>
      </c>
      <c r="O275" s="32" t="n">
        <f aca="false">Data_Prices!O275/Data_Prices!O274-1</f>
        <v>-0.0428571428571428</v>
      </c>
      <c r="P275" s="32" t="n">
        <f aca="false">Data_Prices!P275/Data_Prices!P274-1</f>
        <v>-0.0156256325142696</v>
      </c>
      <c r="Q275" s="32" t="n">
        <f aca="false">Data_Prices!Q275/Data_Prices!Q274-1</f>
        <v>-0.0134816753926701</v>
      </c>
      <c r="R275" s="32" t="n">
        <f aca="false">Data_Prices!R275/Data_Prices!R274-1</f>
        <v>-0.00527306967984942</v>
      </c>
      <c r="S275" s="32" t="n">
        <f aca="false">Data_Prices!S275/Data_Prices!S274-1</f>
        <v>-0.0371237545201487</v>
      </c>
      <c r="T275" s="32" t="n">
        <f aca="false">AVERAGE(D275:S275)</f>
        <v>-0.0138536258907481</v>
      </c>
      <c r="U275" s="32" t="n">
        <f aca="false">AVERAGE(J275:S275)</f>
        <v>-0.0132878477345747</v>
      </c>
      <c r="V275" s="32" t="n">
        <f aca="false">AVERAGE(D275:I275)</f>
        <v>-0.0147965894843706</v>
      </c>
      <c r="W275" s="32" t="n">
        <f aca="false">AVERAGE(K275,Q275,R275)</f>
        <v>-0.0110022352198967</v>
      </c>
      <c r="X275" s="32" t="n">
        <f aca="false">AVERAGE(K275,L275,N275,O275,P275,Q275,R275,S275)</f>
        <v>-0.0204467482007713</v>
      </c>
      <c r="Y275" s="32" t="n">
        <f aca="false">AVERAGE(J275,L275,M275,N275,O275,P275,Q275,R275,S275)</f>
        <v>-0.0131807240842862</v>
      </c>
      <c r="Z275" s="32" t="n">
        <f aca="false">U275-V275</f>
        <v>0.00150874174979589</v>
      </c>
      <c r="AA275" s="32" t="n">
        <f aca="false">W275-V275</f>
        <v>0.00379435426447387</v>
      </c>
    </row>
    <row r="276" customFormat="false" ht="15" hidden="false" customHeight="false" outlineLevel="0" collapsed="false">
      <c r="A276" s="28" t="n">
        <f aca="false">Data_Prices!A276</f>
        <v>45204</v>
      </c>
      <c r="B276" s="32" t="n">
        <f aca="false">Data_Prices!B276/Data_Prices!B275-1</f>
        <v>0.00564156389399106</v>
      </c>
      <c r="C276" s="32" t="n">
        <f aca="false">Data_Prices!C276/Data_Prices!C275-1</f>
        <v>0.0042457265331628</v>
      </c>
      <c r="D276" s="32" t="n">
        <f aca="false">Data_Prices!D276/Data_Prices!D275-1</f>
        <v>-0.0241054719141922</v>
      </c>
      <c r="E276" s="32" t="n">
        <f aca="false">Data_Prices!E276/Data_Prices!E275-1</f>
        <v>0.00477295326483262</v>
      </c>
      <c r="F276" s="32" t="n">
        <f aca="false">Data_Prices!F276/Data_Prices!F275-1</f>
        <v>0.029943399671353</v>
      </c>
      <c r="G276" s="32" t="n">
        <f aca="false">Data_Prices!G276/Data_Prices!G275-1</f>
        <v>0.00802396490852675</v>
      </c>
      <c r="H276" s="32" t="n">
        <f aca="false">Data_Prices!H276/Data_Prices!H275-1</f>
        <v>-0.0189869031945117</v>
      </c>
      <c r="I276" s="32" t="n">
        <f aca="false">Data_Prices!I276/Data_Prices!I275-1</f>
        <v>-0.0100266531285695</v>
      </c>
      <c r="J276" s="32" t="n">
        <f aca="false">Data_Prices!J276/Data_Prices!J275-1</f>
        <v>0.0138613425007712</v>
      </c>
      <c r="K276" s="32" t="n">
        <f aca="false">Data_Prices!K276/Data_Prices!K275-1</f>
        <v>-0.000407986332457977</v>
      </c>
      <c r="L276" s="32" t="n">
        <f aca="false">Data_Prices!L276/Data_Prices!L275-1</f>
        <v>-0.00859752821063953</v>
      </c>
      <c r="M276" s="32" t="n">
        <f aca="false">Data_Prices!M276/Data_Prices!M275-1</f>
        <v>0.000948011072769317</v>
      </c>
      <c r="N276" s="32" t="n">
        <f aca="false">Data_Prices!N276/Data_Prices!N275-1</f>
        <v>-0.000571515019078372</v>
      </c>
      <c r="O276" s="32" t="n">
        <f aca="false">Data_Prices!O276/Data_Prices!O275-1</f>
        <v>-0.00694203401596671</v>
      </c>
      <c r="P276" s="32" t="n">
        <f aca="false">Data_Prices!P276/Data_Prices!P275-1</f>
        <v>-0.0139819879096929</v>
      </c>
      <c r="Q276" s="32" t="n">
        <f aca="false">Data_Prices!Q276/Data_Prices!Q275-1</f>
        <v>0.00358232718588281</v>
      </c>
      <c r="R276" s="32" t="n">
        <f aca="false">Data_Prices!R276/Data_Prices!R275-1</f>
        <v>-0.00296604821406021</v>
      </c>
      <c r="S276" s="32" t="n">
        <f aca="false">Data_Prices!S276/Data_Prices!S275-1</f>
        <v>-0.00707878525883499</v>
      </c>
      <c r="T276" s="32" t="n">
        <f aca="false">AVERAGE(D276:S276)</f>
        <v>-0.00203330716211678</v>
      </c>
      <c r="U276" s="32" t="n">
        <f aca="false">AVERAGE(J276:S276)</f>
        <v>-0.00221542042013073</v>
      </c>
      <c r="V276" s="32" t="n">
        <f aca="false">AVERAGE(D276:I276)</f>
        <v>-0.00172978506542685</v>
      </c>
      <c r="W276" s="32" t="n">
        <f aca="false">AVERAGE(K276,Q276,R276)</f>
        <v>6.94308797882052E-005</v>
      </c>
      <c r="X276" s="32" t="n">
        <f aca="false">AVERAGE(K276,L276,N276,O276,P276,Q276,R276,S276)</f>
        <v>-0.00462044472185598</v>
      </c>
      <c r="Y276" s="32" t="n">
        <f aca="false">AVERAGE(J276,L276,M276,N276,O276,P276,Q276,R276,S276)</f>
        <v>-0.00241624642987215</v>
      </c>
      <c r="Z276" s="32" t="n">
        <f aca="false">U276-V276</f>
        <v>-0.00048563535470388</v>
      </c>
      <c r="AA276" s="32" t="n">
        <f aca="false">W276-V276</f>
        <v>0.00179921594521506</v>
      </c>
    </row>
    <row r="277" customFormat="false" ht="15" hidden="false" customHeight="false" outlineLevel="0" collapsed="false">
      <c r="A277" s="28" t="n">
        <f aca="false">Data_Prices!A277</f>
        <v>45205</v>
      </c>
      <c r="B277" s="32" t="n">
        <f aca="false">Data_Prices!B277/Data_Prices!B276-1</f>
        <v>0.00551270736605147</v>
      </c>
      <c r="C277" s="32" t="n">
        <f aca="false">Data_Prices!C277/Data_Prices!C276-1</f>
        <v>0.00568743530396954</v>
      </c>
      <c r="D277" s="32" t="n">
        <f aca="false">Data_Prices!D277/Data_Prices!D276-1</f>
        <v>-0.0121930276489783</v>
      </c>
      <c r="E277" s="32" t="n">
        <f aca="false">Data_Prices!E277/Data_Prices!E276-1</f>
        <v>0.0209144289767105</v>
      </c>
      <c r="F277" s="32" t="n">
        <f aca="false">Data_Prices!F277/Data_Prices!F276-1</f>
        <v>-0.0031318324174201</v>
      </c>
      <c r="G277" s="32" t="n">
        <f aca="false">Data_Prices!G277/Data_Prices!G276-1</f>
        <v>-0.00583740182551473</v>
      </c>
      <c r="H277" s="32" t="n">
        <f aca="false">Data_Prices!H277/Data_Prices!H276-1</f>
        <v>0.0177297450024723</v>
      </c>
      <c r="I277" s="32" t="n">
        <f aca="false">Data_Prices!I277/Data_Prices!I276-1</f>
        <v>0.0124358974358976</v>
      </c>
      <c r="J277" s="32" t="n">
        <f aca="false">Data_Prices!J277/Data_Prices!J276-1</f>
        <v>0.00765100962896947</v>
      </c>
      <c r="K277" s="32" t="n">
        <f aca="false">Data_Prices!K277/Data_Prices!K276-1</f>
        <v>0.040458151577766</v>
      </c>
      <c r="L277" s="32" t="n">
        <f aca="false">Data_Prices!L277/Data_Prices!L276-1</f>
        <v>0.0169272461955388</v>
      </c>
      <c r="M277" s="32" t="n">
        <f aca="false">Data_Prices!M277/Data_Prices!M276-1</f>
        <v>-0.00280345506894986</v>
      </c>
      <c r="N277" s="32" t="n">
        <f aca="false">Data_Prices!N277/Data_Prices!N276-1</f>
        <v>0.0390534335738431</v>
      </c>
      <c r="O277" s="32" t="n">
        <f aca="false">Data_Prices!O277/Data_Prices!O276-1</f>
        <v>0.00978678783642062</v>
      </c>
      <c r="P277" s="32" t="n">
        <f aca="false">Data_Prices!P277/Data_Prices!P276-1</f>
        <v>0.00354506401968546</v>
      </c>
      <c r="Q277" s="32" t="n">
        <f aca="false">Data_Prices!Q277/Data_Prices!Q276-1</f>
        <v>0.0284241142252777</v>
      </c>
      <c r="R277" s="32" t="n">
        <f aca="false">Data_Prices!R277/Data_Prices!R276-1</f>
        <v>0.0103804038230266</v>
      </c>
      <c r="S277" s="32" t="n">
        <f aca="false">Data_Prices!S277/Data_Prices!S276-1</f>
        <v>0.0061768707482992</v>
      </c>
      <c r="T277" s="32" t="n">
        <f aca="false">AVERAGE(D277:S277)</f>
        <v>0.0118448397551903</v>
      </c>
      <c r="U277" s="32" t="n">
        <f aca="false">AVERAGE(J277:S277)</f>
        <v>0.0159599626559877</v>
      </c>
      <c r="V277" s="32" t="n">
        <f aca="false">AVERAGE(D277:I277)</f>
        <v>0.00498630158719452</v>
      </c>
      <c r="W277" s="32" t="n">
        <f aca="false">AVERAGE(K277,Q277,R277)</f>
        <v>0.0264208898753568</v>
      </c>
      <c r="X277" s="32" t="n">
        <f aca="false">AVERAGE(K277,L277,N277,O277,P277,Q277,R277,S277)</f>
        <v>0.0193440089999822</v>
      </c>
      <c r="Y277" s="32" t="n">
        <f aca="false">AVERAGE(J277,L277,M277,N277,O277,P277,Q277,R277,S277)</f>
        <v>0.013237941664679</v>
      </c>
      <c r="Z277" s="32" t="n">
        <f aca="false">U277-V277</f>
        <v>0.0109736610687932</v>
      </c>
      <c r="AA277" s="32" t="n">
        <f aca="false">W277-V277</f>
        <v>0.0214345882881623</v>
      </c>
    </row>
    <row r="278" customFormat="false" ht="15" hidden="false" customHeight="false" outlineLevel="0" collapsed="false">
      <c r="A278" s="28" t="n">
        <f aca="false">Data_Prices!A278</f>
        <v>45208</v>
      </c>
      <c r="B278" s="32" t="n">
        <f aca="false">Data_Prices!B278/Data_Prices!B277-1</f>
        <v>-0.00718192688325248</v>
      </c>
      <c r="C278" s="32" t="n">
        <f aca="false">Data_Prices!C278/Data_Prices!C277-1</f>
        <v>-0.00959314428459068</v>
      </c>
      <c r="D278" s="32" t="n">
        <f aca="false">Data_Prices!D278/Data_Prices!D277-1</f>
        <v>0.0226587853500233</v>
      </c>
      <c r="E278" s="32" t="n">
        <f aca="false">Data_Prices!E278/Data_Prices!E277-1</f>
        <v>-0.0301150316660205</v>
      </c>
      <c r="F278" s="32" t="n">
        <f aca="false">Data_Prices!F278/Data_Prices!F277-1</f>
        <v>-0.000414937759336098</v>
      </c>
      <c r="G278" s="32" t="n">
        <f aca="false">Data_Prices!G278/Data_Prices!G277-1</f>
        <v>-0.00480409949823846</v>
      </c>
      <c r="H278" s="32" t="n">
        <f aca="false">Data_Prices!H278/Data_Prices!H277-1</f>
        <v>-0.0130483064963909</v>
      </c>
      <c r="I278" s="32" t="n">
        <f aca="false">Data_Prices!I278/Data_Prices!I277-1</f>
        <v>-0.0277320501456251</v>
      </c>
      <c r="J278" s="32" t="n">
        <f aca="false">Data_Prices!J278/Data_Prices!J277-1</f>
        <v>-0.00959899911559781</v>
      </c>
      <c r="K278" s="32" t="n">
        <f aca="false">Data_Prices!K278/Data_Prices!K277-1</f>
        <v>-0.0172358839826416</v>
      </c>
      <c r="L278" s="32" t="n">
        <f aca="false">Data_Prices!L278/Data_Prices!L277-1</f>
        <v>0</v>
      </c>
      <c r="M278" s="32" t="n">
        <f aca="false">Data_Prices!M278/Data_Prices!M277-1</f>
        <v>-0.00262138135400036</v>
      </c>
      <c r="N278" s="32" t="n">
        <f aca="false">Data_Prices!N278/Data_Prices!N277-1</f>
        <v>-0.0135321063791903</v>
      </c>
      <c r="O278" s="32" t="n">
        <f aca="false">Data_Prices!O278/Data_Prices!O277-1</f>
        <v>-0.0112495673243337</v>
      </c>
      <c r="P278" s="32" t="n">
        <f aca="false">Data_Prices!P278/Data_Prices!P277-1</f>
        <v>-0.0108054193333887</v>
      </c>
      <c r="Q278" s="32" t="n">
        <f aca="false">Data_Prices!Q278/Data_Prices!Q277-1</f>
        <v>-0.0372798560226251</v>
      </c>
      <c r="R278" s="32" t="n">
        <f aca="false">Data_Prices!R278/Data_Prices!R277-1</f>
        <v>-0.0187934598759631</v>
      </c>
      <c r="S278" s="32" t="n">
        <f aca="false">Data_Prices!S278/Data_Prices!S277-1</f>
        <v>-0.0151175054763771</v>
      </c>
      <c r="T278" s="32" t="n">
        <f aca="false">AVERAGE(D278:S278)</f>
        <v>-0.0118556136924816</v>
      </c>
      <c r="U278" s="32" t="n">
        <f aca="false">AVERAGE(J278:S278)</f>
        <v>-0.0136234178864118</v>
      </c>
      <c r="V278" s="32" t="n">
        <f aca="false">AVERAGE(D278:I278)</f>
        <v>-0.00890927336926461</v>
      </c>
      <c r="W278" s="32" t="n">
        <f aca="false">AVERAGE(K278,Q278,R278)</f>
        <v>-0.02443639996041</v>
      </c>
      <c r="X278" s="32" t="n">
        <f aca="false">AVERAGE(K278,L278,N278,O278,P278,Q278,R278,S278)</f>
        <v>-0.015501724799315</v>
      </c>
      <c r="Y278" s="32" t="n">
        <f aca="false">AVERAGE(J278,L278,M278,N278,O278,P278,Q278,R278,S278)</f>
        <v>-0.0132220327646085</v>
      </c>
      <c r="Z278" s="32" t="n">
        <f aca="false">U278-V278</f>
        <v>-0.00471414451714718</v>
      </c>
      <c r="AA278" s="32" t="n">
        <f aca="false">W278-V278</f>
        <v>-0.0155271265911453</v>
      </c>
    </row>
    <row r="279" customFormat="false" ht="15" hidden="false" customHeight="false" outlineLevel="0" collapsed="false">
      <c r="A279" s="28" t="n">
        <f aca="false">Data_Prices!A279</f>
        <v>45209</v>
      </c>
      <c r="B279" s="32" t="n">
        <f aca="false">Data_Prices!B279/Data_Prices!B278-1</f>
        <v>0.00909680279412783</v>
      </c>
      <c r="C279" s="32" t="n">
        <f aca="false">Data_Prices!C279/Data_Prices!C278-1</f>
        <v>0.0102553174098097</v>
      </c>
      <c r="D279" s="32" t="n">
        <f aca="false">Data_Prices!D279/Data_Prices!D278-1</f>
        <v>-0.0214484048280161</v>
      </c>
      <c r="E279" s="32" t="n">
        <f aca="false">Data_Prices!E279/Data_Prices!E278-1</f>
        <v>0.0113272921108742</v>
      </c>
      <c r="F279" s="32" t="n">
        <f aca="false">Data_Prices!F279/Data_Prices!F278-1</f>
        <v>0.0148846587202753</v>
      </c>
      <c r="G279" s="32" t="n">
        <f aca="false">Data_Prices!G279/Data_Prices!G278-1</f>
        <v>0.0069727526281913</v>
      </c>
      <c r="H279" s="32" t="n">
        <f aca="false">Data_Prices!H279/Data_Prices!H278-1</f>
        <v>0.0224331926863572</v>
      </c>
      <c r="I279" s="32" t="n">
        <f aca="false">Data_Prices!I279/Data_Prices!I278-1</f>
        <v>-0.000130242250585999</v>
      </c>
      <c r="J279" s="32" t="n">
        <f aca="false">Data_Prices!J279/Data_Prices!J278-1</f>
        <v>0.0147667378141743</v>
      </c>
      <c r="K279" s="32" t="n">
        <f aca="false">Data_Prices!K279/Data_Prices!K278-1</f>
        <v>0.00696038319529002</v>
      </c>
      <c r="L279" s="32" t="n">
        <f aca="false">Data_Prices!L279/Data_Prices!L278-1</f>
        <v>0.0324709933992047</v>
      </c>
      <c r="M279" s="32" t="n">
        <f aca="false">Data_Prices!M279/Data_Prices!M278-1</f>
        <v>0.0295585266445739</v>
      </c>
      <c r="N279" s="32" t="n">
        <f aca="false">Data_Prices!N279/Data_Prices!N278-1</f>
        <v>0.010993879526771</v>
      </c>
      <c r="O279" s="32" t="n">
        <f aca="false">Data_Prices!O279/Data_Prices!O278-1</f>
        <v>0.0157535445475232</v>
      </c>
      <c r="P279" s="32" t="n">
        <f aca="false">Data_Prices!P279/Data_Prices!P278-1</f>
        <v>0.0234854213931603</v>
      </c>
      <c r="Q279" s="32" t="n">
        <f aca="false">Data_Prices!Q279/Data_Prices!Q278-1</f>
        <v>0.0026705835224996</v>
      </c>
      <c r="R279" s="32" t="n">
        <f aca="false">Data_Prices!R279/Data_Prices!R278-1</f>
        <v>0.0105343803868991</v>
      </c>
      <c r="S279" s="32" t="n">
        <f aca="false">Data_Prices!S279/Data_Prices!S278-1</f>
        <v>0.0395134274259981</v>
      </c>
      <c r="T279" s="32" t="n">
        <f aca="false">AVERAGE(D279:S279)</f>
        <v>0.0137966954326994</v>
      </c>
      <c r="U279" s="32" t="n">
        <f aca="false">AVERAGE(J279:S279)</f>
        <v>0.0186707877856094</v>
      </c>
      <c r="V279" s="32" t="n">
        <f aca="false">AVERAGE(D279:I279)</f>
        <v>0.00567320817784933</v>
      </c>
      <c r="W279" s="32" t="n">
        <f aca="false">AVERAGE(K279,Q279,R279)</f>
        <v>0.00672178236822959</v>
      </c>
      <c r="X279" s="32" t="n">
        <f aca="false">AVERAGE(K279,L279,N279,O279,P279,Q279,R279,S279)</f>
        <v>0.0177978266746683</v>
      </c>
      <c r="Y279" s="32" t="n">
        <f aca="false">AVERAGE(J279,L279,M279,N279,O279,P279,Q279,R279,S279)</f>
        <v>0.0199719438512005</v>
      </c>
      <c r="Z279" s="32" t="n">
        <f aca="false">U279-V279</f>
        <v>0.0129975796077601</v>
      </c>
      <c r="AA279" s="32" t="n">
        <f aca="false">W279-V279</f>
        <v>0.00104857419038025</v>
      </c>
    </row>
    <row r="280" customFormat="false" ht="15" hidden="false" customHeight="false" outlineLevel="0" collapsed="false">
      <c r="A280" s="28" t="n">
        <f aca="false">Data_Prices!A280</f>
        <v>45210</v>
      </c>
      <c r="B280" s="32" t="n">
        <f aca="false">Data_Prices!B280/Data_Prices!B279-1</f>
        <v>0.00617069200628762</v>
      </c>
      <c r="C280" s="32" t="n">
        <f aca="false">Data_Prices!C280/Data_Prices!C279-1</f>
        <v>0.00601039683067151</v>
      </c>
      <c r="D280" s="32" t="n">
        <f aca="false">Data_Prices!D280/Data_Prices!D279-1</f>
        <v>-0.00906274430321097</v>
      </c>
      <c r="E280" s="32" t="n">
        <f aca="false">Data_Prices!E280/Data_Prices!E279-1</f>
        <v>-0.00507313216497562</v>
      </c>
      <c r="F280" s="32" t="n">
        <f aca="false">Data_Prices!F280/Data_Prices!F279-1</f>
        <v>-0.00175295080051419</v>
      </c>
      <c r="G280" s="32" t="n">
        <f aca="false">Data_Prices!G280/Data_Prices!G279-1</f>
        <v>0.00980078832427811</v>
      </c>
      <c r="H280" s="32" t="n">
        <f aca="false">Data_Prices!H280/Data_Prices!H279-1</f>
        <v>-0.00220097668340324</v>
      </c>
      <c r="I280" s="32" t="n">
        <f aca="false">Data_Prices!I280/Data_Prices!I279-1</f>
        <v>0.0108115149146801</v>
      </c>
      <c r="J280" s="32" t="n">
        <f aca="false">Data_Prices!J280/Data_Prices!J279-1</f>
        <v>0.00392771291208804</v>
      </c>
      <c r="K280" s="32" t="n">
        <f aca="false">Data_Prices!K280/Data_Prices!K279-1</f>
        <v>0.00226692763174197</v>
      </c>
      <c r="L280" s="32" t="n">
        <f aca="false">Data_Prices!L280/Data_Prices!L279-1</f>
        <v>0.000436802604931952</v>
      </c>
      <c r="M280" s="32" t="n">
        <f aca="false">Data_Prices!M280/Data_Prices!M279-1</f>
        <v>0.0159088386547781</v>
      </c>
      <c r="N280" s="32" t="n">
        <f aca="false">Data_Prices!N280/Data_Prices!N279-1</f>
        <v>-0.0137146381445475</v>
      </c>
      <c r="O280" s="32" t="n">
        <f aca="false">Data_Prices!O280/Data_Prices!O279-1</f>
        <v>0.00137859727727041</v>
      </c>
      <c r="P280" s="32" t="n">
        <f aca="false">Data_Prices!P280/Data_Prices!P279-1</f>
        <v>0.0148598169204879</v>
      </c>
      <c r="Q280" s="32" t="n">
        <f aca="false">Data_Prices!Q280/Data_Prices!Q279-1</f>
        <v>0.00572646157943813</v>
      </c>
      <c r="R280" s="32" t="n">
        <f aca="false">Data_Prices!R280/Data_Prices!R279-1</f>
        <v>0.0117513267626992</v>
      </c>
      <c r="S280" s="32" t="n">
        <f aca="false">Data_Prices!S280/Data_Prices!S279-1</f>
        <v>0.00303774731225404</v>
      </c>
      <c r="T280" s="32" t="n">
        <f aca="false">AVERAGE(D280:S280)</f>
        <v>0.00300638079987477</v>
      </c>
      <c r="U280" s="32" t="n">
        <f aca="false">AVERAGE(J280:S280)</f>
        <v>0.00455795935111422</v>
      </c>
      <c r="V280" s="32" t="n">
        <f aca="false">AVERAGE(D280:I280)</f>
        <v>0.000420416547809036</v>
      </c>
      <c r="W280" s="32" t="n">
        <f aca="false">AVERAGE(K280,Q280,R280)</f>
        <v>0.00658157199129309</v>
      </c>
      <c r="X280" s="32" t="n">
        <f aca="false">AVERAGE(K280,L280,N280,O280,P280,Q280,R280,S280)</f>
        <v>0.0032178802430345</v>
      </c>
      <c r="Y280" s="32" t="n">
        <f aca="false">AVERAGE(J280,L280,M280,N280,O280,P280,Q280,R280,S280)</f>
        <v>0.00481251843104447</v>
      </c>
      <c r="Z280" s="32" t="n">
        <f aca="false">U280-V280</f>
        <v>0.00413754280330518</v>
      </c>
      <c r="AA280" s="32" t="n">
        <f aca="false">W280-V280</f>
        <v>0.00616115544348406</v>
      </c>
    </row>
    <row r="281" customFormat="false" ht="15" hidden="false" customHeight="false" outlineLevel="0" collapsed="false">
      <c r="A281" s="28" t="n">
        <f aca="false">Data_Prices!A281</f>
        <v>45211</v>
      </c>
      <c r="B281" s="32" t="n">
        <f aca="false">Data_Prices!B281/Data_Prices!B280-1</f>
        <v>-0.000875760611972365</v>
      </c>
      <c r="C281" s="32" t="n">
        <f aca="false">Data_Prices!C281/Data_Prices!C280-1</f>
        <v>0.000709470424849368</v>
      </c>
      <c r="D281" s="32" t="n">
        <f aca="false">Data_Prices!D281/Data_Prices!D280-1</f>
        <v>-0.00584385226741468</v>
      </c>
      <c r="E281" s="32" t="n">
        <f aca="false">Data_Prices!E281/Data_Prices!E280-1</f>
        <v>-0.0037083636845241</v>
      </c>
      <c r="F281" s="32" t="n">
        <f aca="false">Data_Prices!F281/Data_Prices!F280-1</f>
        <v>0.00561929290564267</v>
      </c>
      <c r="G281" s="32" t="n">
        <f aca="false">Data_Prices!G281/Data_Prices!G280-1</f>
        <v>-0.0044308471357738</v>
      </c>
      <c r="H281" s="32" t="n">
        <f aca="false">Data_Prices!H281/Data_Prices!H280-1</f>
        <v>0.0221272489143172</v>
      </c>
      <c r="I281" s="32" t="n">
        <f aca="false">Data_Prices!I281/Data_Prices!I280-1</f>
        <v>0.0279639175257733</v>
      </c>
      <c r="J281" s="32" t="n">
        <f aca="false">Data_Prices!J281/Data_Prices!J280-1</f>
        <v>-0.00429716729021923</v>
      </c>
      <c r="K281" s="32" t="n">
        <f aca="false">Data_Prices!K281/Data_Prices!K280-1</f>
        <v>-0.0108146188928302</v>
      </c>
      <c r="L281" s="32" t="n">
        <f aca="false">Data_Prices!L281/Data_Prices!L280-1</f>
        <v>-0.0119869810272288</v>
      </c>
      <c r="M281" s="32" t="n">
        <f aca="false">Data_Prices!M281/Data_Prices!M280-1</f>
        <v>0.00895881131869336</v>
      </c>
      <c r="N281" s="32" t="n">
        <f aca="false">Data_Prices!N281/Data_Prices!N280-1</f>
        <v>0.0205371248025277</v>
      </c>
      <c r="O281" s="32" t="n">
        <f aca="false">Data_Prices!O281/Data_Prices!O280-1</f>
        <v>-0.012734469110308</v>
      </c>
      <c r="P281" s="32" t="n">
        <f aca="false">Data_Prices!P281/Data_Prices!P280-1</f>
        <v>0.000242688994054108</v>
      </c>
      <c r="Q281" s="32" t="n">
        <f aca="false">Data_Prices!Q281/Data_Prices!Q280-1</f>
        <v>-0.00701800847457634</v>
      </c>
      <c r="R281" s="32" t="n">
        <f aca="false">Data_Prices!R281/Data_Prices!R280-1</f>
        <v>0.000437117522168018</v>
      </c>
      <c r="S281" s="32" t="n">
        <f aca="false">Data_Prices!S281/Data_Prices!S280-1</f>
        <v>-0.0107974296850312</v>
      </c>
      <c r="T281" s="32" t="n">
        <f aca="false">AVERAGE(D281:S281)</f>
        <v>0.000890904025954376</v>
      </c>
      <c r="U281" s="32" t="n">
        <f aca="false">AVERAGE(J281:S281)</f>
        <v>-0.00274729318427506</v>
      </c>
      <c r="V281" s="32" t="n">
        <f aca="false">AVERAGE(D281:I281)</f>
        <v>0.00695456604300343</v>
      </c>
      <c r="W281" s="32" t="n">
        <f aca="false">AVERAGE(K281,Q281,R281)</f>
        <v>-0.00579850328174617</v>
      </c>
      <c r="X281" s="32" t="n">
        <f aca="false">AVERAGE(K281,L281,N281,O281,P281,Q281,R281,S281)</f>
        <v>-0.00401682198390309</v>
      </c>
      <c r="Y281" s="32" t="n">
        <f aca="false">AVERAGE(J281,L281,M281,N281,O281,P281,Q281,R281,S281)</f>
        <v>-0.00185092366110226</v>
      </c>
      <c r="Z281" s="32" t="n">
        <f aca="false">U281-V281</f>
        <v>-0.00970185922727849</v>
      </c>
      <c r="AA281" s="32" t="n">
        <f aca="false">W281-V281</f>
        <v>-0.0127530693247496</v>
      </c>
    </row>
    <row r="282" customFormat="false" ht="15" hidden="false" customHeight="false" outlineLevel="0" collapsed="false">
      <c r="A282" s="28" t="n">
        <f aca="false">Data_Prices!A282</f>
        <v>45212</v>
      </c>
      <c r="B282" s="32" t="n">
        <f aca="false">Data_Prices!B282/Data_Prices!B281-1</f>
        <v>-0.00216984944932808</v>
      </c>
      <c r="C282" s="32" t="n">
        <f aca="false">Data_Prices!C282/Data_Prices!C281-1</f>
        <v>-0.00168487402194084</v>
      </c>
      <c r="D282" s="32" t="n">
        <f aca="false">Data_Prices!D282/Data_Prices!D281-1</f>
        <v>-0.0264519162943805</v>
      </c>
      <c r="E282" s="32" t="n">
        <f aca="false">Data_Prices!E282/Data_Prices!E281-1</f>
        <v>-0.00717846460618143</v>
      </c>
      <c r="F282" s="32" t="n">
        <f aca="false">Data_Prices!F282/Data_Prices!F281-1</f>
        <v>0.0110011641443539</v>
      </c>
      <c r="G282" s="32" t="n">
        <f aca="false">Data_Prices!G282/Data_Prices!G281-1</f>
        <v>-0.00392073752251776</v>
      </c>
      <c r="H282" s="32" t="n">
        <f aca="false">Data_Prices!H282/Data_Prices!H281-1</f>
        <v>-0.0205017534394388</v>
      </c>
      <c r="I282" s="32" t="n">
        <f aca="false">Data_Prices!I282/Data_Prices!I281-1</f>
        <v>-0.0102795537169362</v>
      </c>
      <c r="J282" s="32" t="n">
        <f aca="false">Data_Prices!J282/Data_Prices!J281-1</f>
        <v>0.00345686434491355</v>
      </c>
      <c r="K282" s="32" t="n">
        <f aca="false">Data_Prices!K282/Data_Prices!K281-1</f>
        <v>0.00466051927930633</v>
      </c>
      <c r="L282" s="32" t="n">
        <f aca="false">Data_Prices!L282/Data_Prices!L281-1</f>
        <v>0.0106058171300016</v>
      </c>
      <c r="M282" s="32" t="n">
        <f aca="false">Data_Prices!M282/Data_Prices!M281-1</f>
        <v>0.0064248330626242</v>
      </c>
      <c r="N282" s="32" t="n">
        <f aca="false">Data_Prices!N282/Data_Prices!N281-1</f>
        <v>-0.0111906604747161</v>
      </c>
      <c r="O282" s="32" t="n">
        <f aca="false">Data_Prices!O282/Data_Prices!O281-1</f>
        <v>0.00104584277496933</v>
      </c>
      <c r="P282" s="32" t="n">
        <f aca="false">Data_Prices!P282/Data_Prices!P281-1</f>
        <v>-0.00230498604876872</v>
      </c>
      <c r="Q282" s="32" t="n">
        <f aca="false">Data_Prices!Q282/Data_Prices!Q281-1</f>
        <v>0.00306707561008146</v>
      </c>
      <c r="R282" s="32" t="n">
        <f aca="false">Data_Prices!R282/Data_Prices!R281-1</f>
        <v>-0.0139192310093003</v>
      </c>
      <c r="S282" s="32" t="n">
        <f aca="false">Data_Prices!S282/Data_Prices!S281-1</f>
        <v>0.00151749108141197</v>
      </c>
      <c r="T282" s="32" t="n">
        <f aca="false">AVERAGE(D282:S282)</f>
        <v>-0.00337298098028609</v>
      </c>
      <c r="U282" s="32" t="n">
        <f aca="false">AVERAGE(J282:S282)</f>
        <v>0.000336356575052343</v>
      </c>
      <c r="V282" s="32" t="n">
        <f aca="false">AVERAGE(D282:I282)</f>
        <v>-0.00955521023918347</v>
      </c>
      <c r="W282" s="32" t="n">
        <f aca="false">AVERAGE(K282,Q282,R282)</f>
        <v>-0.00206387870663749</v>
      </c>
      <c r="X282" s="32" t="n">
        <f aca="false">AVERAGE(K282,L282,N282,O282,P282,Q282,R282,S282)</f>
        <v>-0.000814766457126789</v>
      </c>
      <c r="Y282" s="32" t="n">
        <f aca="false">AVERAGE(J282,L282,M282,N282,O282,P282,Q282,R282,S282)</f>
        <v>-0.000144105947642544</v>
      </c>
      <c r="Z282" s="32" t="n">
        <f aca="false">U282-V282</f>
        <v>0.00989156681423581</v>
      </c>
      <c r="AA282" s="32" t="n">
        <f aca="false">W282-V282</f>
        <v>0.00749133153254598</v>
      </c>
    </row>
    <row r="283" customFormat="false" ht="15" hidden="false" customHeight="false" outlineLevel="0" collapsed="false">
      <c r="A283" s="28" t="n">
        <f aca="false">Data_Prices!A283</f>
        <v>45215</v>
      </c>
      <c r="B283" s="32" t="n">
        <f aca="false">Data_Prices!B283/Data_Prices!B282-1</f>
        <v>-0.000977163239422652</v>
      </c>
      <c r="C283" s="32" t="n">
        <f aca="false">Data_Prices!C283/Data_Prices!C282-1</f>
        <v>0.000152383362037156</v>
      </c>
      <c r="D283" s="32" t="n">
        <f aca="false">Data_Prices!D283/Data_Prices!D282-1</f>
        <v>-0.014189107595701</v>
      </c>
      <c r="E283" s="32" t="n">
        <f aca="false">Data_Prices!E283/Data_Prices!E282-1</f>
        <v>-0.0105777599250184</v>
      </c>
      <c r="F283" s="32" t="n">
        <f aca="false">Data_Prices!F283/Data_Prices!F282-1</f>
        <v>0.0470953998503081</v>
      </c>
      <c r="G283" s="32" t="n">
        <f aca="false">Data_Prices!G283/Data_Prices!G282-1</f>
        <v>0.0036170212765958</v>
      </c>
      <c r="H283" s="32" t="n">
        <f aca="false">Data_Prices!H283/Data_Prices!H282-1</f>
        <v>-0.00757367116496832</v>
      </c>
      <c r="I283" s="32" t="n">
        <f aca="false">Data_Prices!I283/Data_Prices!I282-1</f>
        <v>-0.0108929702343256</v>
      </c>
      <c r="J283" s="32" t="n">
        <f aca="false">Data_Prices!J283/Data_Prices!J282-1</f>
        <v>-0.00922221033486692</v>
      </c>
      <c r="K283" s="32" t="n">
        <f aca="false">Data_Prices!K283/Data_Prices!K282-1</f>
        <v>-0.00194012959070733</v>
      </c>
      <c r="L283" s="32" t="n">
        <f aca="false">Data_Prices!L283/Data_Prices!L282-1</f>
        <v>-0.00961997137859749</v>
      </c>
      <c r="M283" s="32" t="n">
        <f aca="false">Data_Prices!M283/Data_Prices!M282-1</f>
        <v>-0.00893017250654526</v>
      </c>
      <c r="N283" s="32" t="n">
        <f aca="false">Data_Prices!N283/Data_Prices!N282-1</f>
        <v>0.0649522194318515</v>
      </c>
      <c r="O283" s="32" t="n">
        <f aca="false">Data_Prices!O283/Data_Prices!O282-1</f>
        <v>-0.00644262580532806</v>
      </c>
      <c r="P283" s="32" t="n">
        <f aca="false">Data_Prices!P283/Data_Prices!P282-1</f>
        <v>0.00928177691309995</v>
      </c>
      <c r="Q283" s="32" t="n">
        <f aca="false">Data_Prices!Q283/Data_Prices!Q282-1</f>
        <v>0.00372241425152886</v>
      </c>
      <c r="R283" s="32" t="n">
        <f aca="false">Data_Prices!R283/Data_Prices!R282-1</f>
        <v>0.0127231295100647</v>
      </c>
      <c r="S283" s="32" t="n">
        <f aca="false">Data_Prices!S283/Data_Prices!S282-1</f>
        <v>-0.00712405965070839</v>
      </c>
      <c r="T283" s="32" t="n">
        <f aca="false">AVERAGE(D283:S283)</f>
        <v>0.00342995519041763</v>
      </c>
      <c r="U283" s="32" t="n">
        <f aca="false">AVERAGE(J283:S283)</f>
        <v>0.00474003708397915</v>
      </c>
      <c r="V283" s="32" t="n">
        <f aca="false">AVERAGE(D283:I283)</f>
        <v>0.00124648536781509</v>
      </c>
      <c r="W283" s="32" t="n">
        <f aca="false">AVERAGE(K283,Q283,R283)</f>
        <v>0.00483513805696208</v>
      </c>
      <c r="X283" s="32" t="n">
        <f aca="false">AVERAGE(K283,L283,N283,O283,P283,Q283,R283,S283)</f>
        <v>0.00819409421015047</v>
      </c>
      <c r="Y283" s="32" t="n">
        <f aca="false">AVERAGE(J283,L283,M283,N283,O283,P283,Q283,R283,S283)</f>
        <v>0.00548227782561099</v>
      </c>
      <c r="Z283" s="32" t="n">
        <f aca="false">U283-V283</f>
        <v>0.00349355171616406</v>
      </c>
      <c r="AA283" s="32" t="n">
        <f aca="false">W283-V283</f>
        <v>0.00358865268914699</v>
      </c>
    </row>
    <row r="284" customFormat="false" ht="15" hidden="false" customHeight="false" outlineLevel="0" collapsed="false">
      <c r="A284" s="28" t="n">
        <f aca="false">Data_Prices!A284</f>
        <v>45216</v>
      </c>
      <c r="B284" s="32" t="n">
        <f aca="false">Data_Prices!B284/Data_Prices!B283-1</f>
        <v>0.00404170942769899</v>
      </c>
      <c r="C284" s="32" t="n">
        <f aca="false">Data_Prices!C284/Data_Prices!C283-1</f>
        <v>0.0042948312539528</v>
      </c>
      <c r="D284" s="32" t="n">
        <f aca="false">Data_Prices!D284/Data_Prices!D283-1</f>
        <v>0.00511422796594596</v>
      </c>
      <c r="E284" s="32" t="n">
        <f aca="false">Data_Prices!E284/Data_Prices!E283-1</f>
        <v>0.0396508559442452</v>
      </c>
      <c r="F284" s="32" t="n">
        <f aca="false">Data_Prices!F284/Data_Prices!F283-1</f>
        <v>0.0517952383570683</v>
      </c>
      <c r="G284" s="32" t="n">
        <f aca="false">Data_Prices!G284/Data_Prices!G283-1</f>
        <v>0.00869196523213911</v>
      </c>
      <c r="H284" s="32" t="n">
        <f aca="false">Data_Prices!H284/Data_Prices!H283-1</f>
        <v>0.0359372831968918</v>
      </c>
      <c r="I284" s="32" t="n">
        <f aca="false">Data_Prices!I284/Data_Prices!I283-1</f>
        <v>0.0252273018312204</v>
      </c>
      <c r="J284" s="32" t="n">
        <f aca="false">Data_Prices!J284/Data_Prices!J283-1</f>
        <v>0.00507515549412574</v>
      </c>
      <c r="K284" s="32" t="n">
        <f aca="false">Data_Prices!K284/Data_Prices!K283-1</f>
        <v>0.00709025432704902</v>
      </c>
      <c r="L284" s="32" t="n">
        <f aca="false">Data_Prices!L284/Data_Prices!L283-1</f>
        <v>-0.000842899574536316</v>
      </c>
      <c r="M284" s="32" t="n">
        <f aca="false">Data_Prices!M284/Data_Prices!M283-1</f>
        <v>0.00644134037779542</v>
      </c>
      <c r="N284" s="32" t="n">
        <f aca="false">Data_Prices!N284/Data_Prices!N283-1</f>
        <v>-0.0104126789679196</v>
      </c>
      <c r="O284" s="32" t="n">
        <f aca="false">Data_Prices!O284/Data_Prices!O283-1</f>
        <v>-0.00157728706624605</v>
      </c>
      <c r="P284" s="32" t="n">
        <f aca="false">Data_Prices!P284/Data_Prices!P283-1</f>
        <v>0.00534115095779297</v>
      </c>
      <c r="Q284" s="32" t="n">
        <f aca="false">Data_Prices!Q284/Data_Prices!Q283-1</f>
        <v>0.00158940397351004</v>
      </c>
      <c r="R284" s="32" t="n">
        <f aca="false">Data_Prices!R284/Data_Prices!R283-1</f>
        <v>0.00637539846240376</v>
      </c>
      <c r="S284" s="32" t="n">
        <f aca="false">Data_Prices!S284/Data_Prices!S283-1</f>
        <v>0.0111911327675296</v>
      </c>
      <c r="T284" s="32" t="n">
        <f aca="false">AVERAGE(D284:S284)</f>
        <v>0.0122929902049385</v>
      </c>
      <c r="U284" s="32" t="n">
        <f aca="false">AVERAGE(J284:S284)</f>
        <v>0.00302709707515045</v>
      </c>
      <c r="V284" s="32" t="n">
        <f aca="false">AVERAGE(D284:I284)</f>
        <v>0.0277361454212518</v>
      </c>
      <c r="W284" s="32" t="n">
        <f aca="false">AVERAGE(K284,Q284,R284)</f>
        <v>0.00501835225432094</v>
      </c>
      <c r="X284" s="32" t="n">
        <f aca="false">AVERAGE(K284,L284,N284,O284,P284,Q284,R284,S284)</f>
        <v>0.00234430935994792</v>
      </c>
      <c r="Y284" s="32" t="n">
        <f aca="false">AVERAGE(J284,L284,M284,N284,O284,P284,Q284,R284,S284)</f>
        <v>0.00257563515827284</v>
      </c>
      <c r="Z284" s="32" t="n">
        <f aca="false">U284-V284</f>
        <v>-0.0247090483461013</v>
      </c>
      <c r="AA284" s="32" t="n">
        <f aca="false">W284-V284</f>
        <v>-0.0227177931669309</v>
      </c>
    </row>
    <row r="285" customFormat="false" ht="15" hidden="false" customHeight="false" outlineLevel="0" collapsed="false">
      <c r="A285" s="28" t="n">
        <f aca="false">Data_Prices!A285</f>
        <v>45217</v>
      </c>
      <c r="B285" s="32" t="n">
        <f aca="false">Data_Prices!B285/Data_Prices!B284-1</f>
        <v>-0.00708679302425364</v>
      </c>
      <c r="C285" s="32" t="n">
        <f aca="false">Data_Prices!C285/Data_Prices!C284-1</f>
        <v>-0.00708164211659235</v>
      </c>
      <c r="D285" s="32" t="n">
        <f aca="false">Data_Prices!D285/Data_Prices!D284-1</f>
        <v>-0.00359525913287218</v>
      </c>
      <c r="E285" s="32" t="n">
        <f aca="false">Data_Prices!E285/Data_Prices!E284-1</f>
        <v>-0.00722421086885772</v>
      </c>
      <c r="F285" s="32" t="n">
        <f aca="false">Data_Prices!F285/Data_Prices!F284-1</f>
        <v>-0.00250927910502385</v>
      </c>
      <c r="G285" s="32" t="n">
        <f aca="false">Data_Prices!G285/Data_Prices!G284-1</f>
        <v>-0.0105086170659942</v>
      </c>
      <c r="H285" s="32" t="n">
        <f aca="false">Data_Prices!H285/Data_Prices!H284-1</f>
        <v>0.0198901687650683</v>
      </c>
      <c r="I285" s="32" t="n">
        <f aca="false">Data_Prices!I285/Data_Prices!I284-1</f>
        <v>0.0690731951036723</v>
      </c>
      <c r="J285" s="32" t="n">
        <f aca="false">Data_Prices!J285/Data_Prices!J284-1</f>
        <v>-0.00655364318098795</v>
      </c>
      <c r="K285" s="32" t="n">
        <f aca="false">Data_Prices!K285/Data_Prices!K284-1</f>
        <v>-0.0279757485770848</v>
      </c>
      <c r="L285" s="32" t="n">
        <f aca="false">Data_Prices!L285/Data_Prices!L284-1</f>
        <v>-0.0210500944040494</v>
      </c>
      <c r="M285" s="32" t="n">
        <f aca="false">Data_Prices!M285/Data_Prices!M284-1</f>
        <v>-0.00891701423845814</v>
      </c>
      <c r="N285" s="32" t="n">
        <f aca="false">Data_Prices!N285/Data_Prices!N284-1</f>
        <v>-0.0260889748549323</v>
      </c>
      <c r="O285" s="32" t="n">
        <f aca="false">Data_Prices!O285/Data_Prices!O284-1</f>
        <v>-0.0122871686852729</v>
      </c>
      <c r="P285" s="32" t="n">
        <f aca="false">Data_Prices!P285/Data_Prices!P284-1</f>
        <v>-0.000758967803786925</v>
      </c>
      <c r="Q285" s="32" t="n">
        <f aca="false">Data_Prices!Q285/Data_Prices!Q284-1</f>
        <v>-0.00780216873842909</v>
      </c>
      <c r="R285" s="32" t="n">
        <f aca="false">Data_Prices!R285/Data_Prices!R284-1</f>
        <v>-0.00739084528911238</v>
      </c>
      <c r="S285" s="32" t="n">
        <f aca="false">Data_Prices!S285/Data_Prices!S284-1</f>
        <v>-0.0117821493817681</v>
      </c>
      <c r="T285" s="32" t="n">
        <f aca="false">AVERAGE(D285:S285)</f>
        <v>-0.00409254859111809</v>
      </c>
      <c r="U285" s="32" t="n">
        <f aca="false">AVERAGE(J285:S285)</f>
        <v>-0.0130606775153882</v>
      </c>
      <c r="V285" s="32" t="n">
        <f aca="false">AVERAGE(D285:I285)</f>
        <v>0.0108543329493321</v>
      </c>
      <c r="W285" s="32" t="n">
        <f aca="false">AVERAGE(K285,Q285,R285)</f>
        <v>-0.0143895875348754</v>
      </c>
      <c r="X285" s="32" t="n">
        <f aca="false">AVERAGE(K285,L285,N285,O285,P285,Q285,R285,S285)</f>
        <v>-0.0143920147168045</v>
      </c>
      <c r="Y285" s="32" t="n">
        <f aca="false">AVERAGE(J285,L285,M285,N285,O285,P285,Q285,R285,S285)</f>
        <v>-0.0114034473974219</v>
      </c>
      <c r="Z285" s="32" t="n">
        <f aca="false">U285-V285</f>
        <v>-0.0239150104647203</v>
      </c>
      <c r="AA285" s="32" t="n">
        <f aca="false">W285-V285</f>
        <v>-0.0252439204842076</v>
      </c>
    </row>
    <row r="286" customFormat="false" ht="15" hidden="false" customHeight="false" outlineLevel="0" collapsed="false">
      <c r="A286" s="28" t="n">
        <f aca="false">Data_Prices!A286</f>
        <v>45218</v>
      </c>
      <c r="B286" s="32" t="n">
        <f aca="false">Data_Prices!B286/Data_Prices!B285-1</f>
        <v>-0.00235879030659181</v>
      </c>
      <c r="C286" s="32" t="n">
        <f aca="false">Data_Prices!C286/Data_Prices!C285-1</f>
        <v>-0.00193150369003692</v>
      </c>
      <c r="D286" s="32" t="n">
        <f aca="false">Data_Prices!D286/Data_Prices!D285-1</f>
        <v>-0.0108858514509373</v>
      </c>
      <c r="E286" s="32" t="n">
        <f aca="false">Data_Prices!E286/Data_Prices!E285-1</f>
        <v>0.00314671561557622</v>
      </c>
      <c r="F286" s="32" t="n">
        <f aca="false">Data_Prices!F286/Data_Prices!F285-1</f>
        <v>0.00188669356951943</v>
      </c>
      <c r="G286" s="32" t="n">
        <f aca="false">Data_Prices!G286/Data_Prices!G285-1</f>
        <v>-0.00711554800339853</v>
      </c>
      <c r="H286" s="32" t="n">
        <f aca="false">Data_Prices!H286/Data_Prices!H285-1</f>
        <v>0.0150371002692231</v>
      </c>
      <c r="I286" s="32" t="n">
        <f aca="false">Data_Prices!I286/Data_Prices!I285-1</f>
        <v>-0.0154223624255169</v>
      </c>
      <c r="J286" s="32" t="n">
        <f aca="false">Data_Prices!J286/Data_Prices!J285-1</f>
        <v>0.00365531859670387</v>
      </c>
      <c r="K286" s="32" t="n">
        <f aca="false">Data_Prices!K286/Data_Prices!K285-1</f>
        <v>-0.00318232156722975</v>
      </c>
      <c r="L286" s="32" t="n">
        <f aca="false">Data_Prices!L286/Data_Prices!L285-1</f>
        <v>-0.0173581189215808</v>
      </c>
      <c r="M286" s="32" t="n">
        <f aca="false">Data_Prices!M286/Data_Prices!M285-1</f>
        <v>0.00438978377593968</v>
      </c>
      <c r="N286" s="32" t="n">
        <f aca="false">Data_Prices!N286/Data_Prices!N285-1</f>
        <v>0.0129649343014664</v>
      </c>
      <c r="O286" s="32" t="n">
        <f aca="false">Data_Prices!O286/Data_Prices!O285-1</f>
        <v>0.00373200639772509</v>
      </c>
      <c r="P286" s="32" t="n">
        <f aca="false">Data_Prices!P286/Data_Prices!P285-1</f>
        <v>0.000559664201479126</v>
      </c>
      <c r="Q286" s="32" t="n">
        <f aca="false">Data_Prices!Q286/Data_Prices!Q285-1</f>
        <v>0.00666400106624021</v>
      </c>
      <c r="R286" s="32" t="n">
        <f aca="false">Data_Prices!R286/Data_Prices!R285-1</f>
        <v>-0.0105743961957202</v>
      </c>
      <c r="S286" s="32" t="n">
        <f aca="false">Data_Prices!S286/Data_Prices!S285-1</f>
        <v>0.00677848033436934</v>
      </c>
      <c r="T286" s="32" t="n">
        <f aca="false">AVERAGE(D286:S286)</f>
        <v>-0.000357743777258814</v>
      </c>
      <c r="U286" s="32" t="n">
        <f aca="false">AVERAGE(J286:S286)</f>
        <v>0.000762935198939296</v>
      </c>
      <c r="V286" s="32" t="n">
        <f aca="false">AVERAGE(D286:I286)</f>
        <v>-0.00222554207092233</v>
      </c>
      <c r="W286" s="32" t="n">
        <f aca="false">AVERAGE(K286,Q286,R286)</f>
        <v>-0.00236423889890325</v>
      </c>
      <c r="X286" s="32" t="n">
        <f aca="false">AVERAGE(K286,L286,N286,O286,P286,Q286,R286,S286)</f>
        <v>-5.19687979063238E-005</v>
      </c>
      <c r="Y286" s="32" t="n">
        <f aca="false">AVERAGE(J286,L286,M286,N286,O286,P286,Q286,R286,S286)</f>
        <v>0.00120129706184697</v>
      </c>
      <c r="Z286" s="32" t="n">
        <f aca="false">U286-V286</f>
        <v>0.00298847726986163</v>
      </c>
      <c r="AA286" s="32" t="n">
        <f aca="false">W286-V286</f>
        <v>-0.000138696827980918</v>
      </c>
    </row>
    <row r="287" customFormat="false" ht="15" hidden="false" customHeight="false" outlineLevel="0" collapsed="false">
      <c r="A287" s="28" t="n">
        <f aca="false">Data_Prices!A287</f>
        <v>45219</v>
      </c>
      <c r="B287" s="32" t="n">
        <f aca="false">Data_Prices!B287/Data_Prices!B286-1</f>
        <v>-0.00418095563244281</v>
      </c>
      <c r="C287" s="32" t="n">
        <f aca="false">Data_Prices!C287/Data_Prices!C286-1</f>
        <v>-0.0058779353571532</v>
      </c>
      <c r="D287" s="32" t="n">
        <f aca="false">Data_Prices!D287/Data_Prices!D286-1</f>
        <v>-0.0162611679599345</v>
      </c>
      <c r="E287" s="32" t="n">
        <f aca="false">Data_Prices!E287/Data_Prices!E286-1</f>
        <v>-0.00437851261273037</v>
      </c>
      <c r="F287" s="32" t="n">
        <f aca="false">Data_Prices!F287/Data_Prices!F286-1</f>
        <v>-0.0107757493330545</v>
      </c>
      <c r="G287" s="32" t="n">
        <f aca="false">Data_Prices!G287/Data_Prices!G286-1</f>
        <v>-0.0167932399187078</v>
      </c>
      <c r="H287" s="32" t="n">
        <f aca="false">Data_Prices!H287/Data_Prices!H286-1</f>
        <v>-0.0332513908655712</v>
      </c>
      <c r="I287" s="32" t="n">
        <f aca="false">Data_Prices!I287/Data_Prices!I286-1</f>
        <v>-0.0110359558561767</v>
      </c>
      <c r="J287" s="32" t="n">
        <f aca="false">Data_Prices!J287/Data_Prices!J286-1</f>
        <v>0.0124345408702022</v>
      </c>
      <c r="K287" s="32" t="n">
        <f aca="false">Data_Prices!K287/Data_Prices!K286-1</f>
        <v>-0.00923265525035444</v>
      </c>
      <c r="L287" s="32" t="n">
        <f aca="false">Data_Prices!L287/Data_Prices!L286-1</f>
        <v>-0.00847740750020865</v>
      </c>
      <c r="M287" s="32" t="n">
        <f aca="false">Data_Prices!M287/Data_Prices!M286-1</f>
        <v>0.00404551201011372</v>
      </c>
      <c r="N287" s="32" t="n">
        <f aca="false">Data_Prices!N287/Data_Prices!N286-1</f>
        <v>-0.0208767939769429</v>
      </c>
      <c r="O287" s="32" t="n">
        <f aca="false">Data_Prices!O287/Data_Prices!O286-1</f>
        <v>-0.016111898016997</v>
      </c>
      <c r="P287" s="32" t="n">
        <f aca="false">Data_Prices!P287/Data_Prices!P286-1</f>
        <v>0.0161013224659394</v>
      </c>
      <c r="Q287" s="32" t="n">
        <f aca="false">Data_Prices!Q287/Data_Prices!Q286-1</f>
        <v>-0.00251555673242421</v>
      </c>
      <c r="R287" s="32" t="n">
        <f aca="false">Data_Prices!R287/Data_Prices!R286-1</f>
        <v>-0.0060077151710618</v>
      </c>
      <c r="S287" s="32" t="n">
        <f aca="false">Data_Prices!S287/Data_Prices!S286-1</f>
        <v>-0.00114431700242168</v>
      </c>
      <c r="T287" s="32" t="n">
        <f aca="false">AVERAGE(D287:S287)</f>
        <v>-0.00776756155314564</v>
      </c>
      <c r="U287" s="32" t="n">
        <f aca="false">AVERAGE(J287:S287)</f>
        <v>-0.00317849683041552</v>
      </c>
      <c r="V287" s="32" t="n">
        <f aca="false">AVERAGE(D287:I287)</f>
        <v>-0.0154160027576958</v>
      </c>
      <c r="W287" s="32" t="n">
        <f aca="false">AVERAGE(K287,Q287,R287)</f>
        <v>-0.00591864238461348</v>
      </c>
      <c r="X287" s="32" t="n">
        <f aca="false">AVERAGE(K287,L287,N287,O287,P287,Q287,R287,S287)</f>
        <v>-0.0060331276480589</v>
      </c>
      <c r="Y287" s="32" t="n">
        <f aca="false">AVERAGE(J287,L287,M287,N287,O287,P287,Q287,R287,S287)</f>
        <v>-0.00250581256153342</v>
      </c>
      <c r="Z287" s="32" t="n">
        <f aca="false">U287-V287</f>
        <v>0.0122375059272803</v>
      </c>
      <c r="AA287" s="32" t="n">
        <f aca="false">W287-V287</f>
        <v>0.00949736037308235</v>
      </c>
    </row>
    <row r="288" customFormat="false" ht="15" hidden="false" customHeight="false" outlineLevel="0" collapsed="false">
      <c r="A288" s="28" t="n">
        <f aca="false">Data_Prices!A288</f>
        <v>45222</v>
      </c>
      <c r="B288" s="32" t="n">
        <f aca="false">Data_Prices!B288/Data_Prices!B287-1</f>
        <v>-0.013350287704073</v>
      </c>
      <c r="C288" s="32" t="n">
        <f aca="false">Data_Prices!C288/Data_Prices!C287-1</f>
        <v>-0.0185980968983801</v>
      </c>
      <c r="D288" s="32" t="n">
        <f aca="false">Data_Prices!D288/Data_Prices!D287-1</f>
        <v>-0.011847522076616</v>
      </c>
      <c r="E288" s="32" t="n">
        <f aca="false">Data_Prices!E288/Data_Prices!E287-1</f>
        <v>-0.0336068263866098</v>
      </c>
      <c r="F288" s="32" t="n">
        <f aca="false">Data_Prices!F288/Data_Prices!F287-1</f>
        <v>-0.0334725820950769</v>
      </c>
      <c r="G288" s="32" t="n">
        <f aca="false">Data_Prices!G288/Data_Prices!G287-1</f>
        <v>-0.0168624891209748</v>
      </c>
      <c r="H288" s="32" t="n">
        <f aca="false">Data_Prices!H288/Data_Prices!H287-1</f>
        <v>-0.043027301927195</v>
      </c>
      <c r="I288" s="32" t="n">
        <f aca="false">Data_Prices!I288/Data_Prices!I287-1</f>
        <v>-0.0538756899448044</v>
      </c>
      <c r="J288" s="32" t="n">
        <f aca="false">Data_Prices!J288/Data_Prices!J287-1</f>
        <v>-0.0355044699872287</v>
      </c>
      <c r="K288" s="32" t="n">
        <f aca="false">Data_Prices!K288/Data_Prices!K287-1</f>
        <v>0.00382801020802726</v>
      </c>
      <c r="L288" s="32" t="n">
        <f aca="false">Data_Prices!L288/Data_Prices!L287-1</f>
        <v>-0.0167628353620015</v>
      </c>
      <c r="M288" s="32" t="n">
        <f aca="false">Data_Prices!M288/Data_Prices!M287-1</f>
        <v>0.0845774723891068</v>
      </c>
      <c r="N288" s="32" t="n">
        <f aca="false">Data_Prices!N288/Data_Prices!N287-1</f>
        <v>-0.0466006664103551</v>
      </c>
      <c r="O288" s="32" t="n">
        <f aca="false">Data_Prices!O288/Data_Prices!O287-1</f>
        <v>-0.0181752744286486</v>
      </c>
      <c r="P288" s="32" t="n">
        <f aca="false">Data_Prices!P288/Data_Prices!P287-1</f>
        <v>0.00684177414281217</v>
      </c>
      <c r="Q288" s="32" t="n">
        <f aca="false">Data_Prices!Q288/Data_Prices!Q287-1</f>
        <v>-0.0696840987523228</v>
      </c>
      <c r="R288" s="32" t="n">
        <f aca="false">Data_Prices!R288/Data_Prices!R287-1</f>
        <v>-0.0139966916910549</v>
      </c>
      <c r="S288" s="32" t="n">
        <f aca="false">Data_Prices!S288/Data_Prices!S287-1</f>
        <v>0.00175840571215447</v>
      </c>
      <c r="T288" s="32" t="n">
        <f aca="false">AVERAGE(D288:S288)</f>
        <v>-0.0185256741081742</v>
      </c>
      <c r="U288" s="32" t="n">
        <f aca="false">AVERAGE(J288:S288)</f>
        <v>-0.0103718374179511</v>
      </c>
      <c r="V288" s="32" t="n">
        <f aca="false">AVERAGE(D288:I288)</f>
        <v>-0.0321154019252128</v>
      </c>
      <c r="W288" s="32" t="n">
        <f aca="false">AVERAGE(K288,Q288,R288)</f>
        <v>-0.0266175934117835</v>
      </c>
      <c r="X288" s="32" t="n">
        <f aca="false">AVERAGE(K288,L288,N288,O288,P288,Q288,R288,S288)</f>
        <v>-0.0190989220726736</v>
      </c>
      <c r="Y288" s="32" t="n">
        <f aca="false">AVERAGE(J288,L288,M288,N288,O288,P288,Q288,R288,S288)</f>
        <v>-0.011949598265282</v>
      </c>
      <c r="Z288" s="32" t="n">
        <f aca="false">U288-V288</f>
        <v>0.0217435645072617</v>
      </c>
      <c r="AA288" s="32" t="n">
        <f aca="false">W288-V288</f>
        <v>0.00549780851342931</v>
      </c>
    </row>
    <row r="289" customFormat="false" ht="15" hidden="false" customHeight="false" outlineLevel="0" collapsed="false">
      <c r="A289" s="28" t="n">
        <f aca="false">Data_Prices!A289</f>
        <v>45224</v>
      </c>
      <c r="B289" s="32" t="n">
        <f aca="false">Data_Prices!B289/Data_Prices!B288-1</f>
        <v>-0.00827725699171489</v>
      </c>
      <c r="C289" s="32" t="n">
        <f aca="false">Data_Prices!C289/Data_Prices!C288-1</f>
        <v>-0.00757311101505753</v>
      </c>
      <c r="D289" s="32" t="n">
        <f aca="false">Data_Prices!D289/Data_Prices!D288-1</f>
        <v>-0.0151380231522706</v>
      </c>
      <c r="E289" s="32" t="n">
        <f aca="false">Data_Prices!E289/Data_Prices!E288-1</f>
        <v>-0.0207158867078721</v>
      </c>
      <c r="F289" s="32" t="n">
        <f aca="false">Data_Prices!F289/Data_Prices!F288-1</f>
        <v>-0.0247838932049458</v>
      </c>
      <c r="G289" s="32" t="n">
        <f aca="false">Data_Prices!G289/Data_Prices!G288-1</f>
        <v>-0.0107336505477482</v>
      </c>
      <c r="H289" s="32" t="n">
        <f aca="false">Data_Prices!H289/Data_Prices!H288-1</f>
        <v>-0.00489476260401367</v>
      </c>
      <c r="I289" s="32" t="n">
        <f aca="false">Data_Prices!I289/Data_Prices!I288-1</f>
        <v>-0.0578313253012048</v>
      </c>
      <c r="J289" s="32" t="n">
        <f aca="false">Data_Prices!J289/Data_Prices!J288-1</f>
        <v>-0.0145877471751411</v>
      </c>
      <c r="K289" s="32" t="n">
        <f aca="false">Data_Prices!K289/Data_Prices!K288-1</f>
        <v>-0.0133918826958387</v>
      </c>
      <c r="L289" s="32" t="n">
        <f aca="false">Data_Prices!L289/Data_Prices!L288-1</f>
        <v>-0.0173056328978368</v>
      </c>
      <c r="M289" s="32" t="n">
        <f aca="false">Data_Prices!M289/Data_Prices!M288-1</f>
        <v>-0.00928751492636326</v>
      </c>
      <c r="N289" s="32" t="n">
        <f aca="false">Data_Prices!N289/Data_Prices!N288-1</f>
        <v>0.011257666134588</v>
      </c>
      <c r="O289" s="32" t="n">
        <f aca="false">Data_Prices!O289/Data_Prices!O288-1</f>
        <v>0.00293255131964809</v>
      </c>
      <c r="P289" s="32" t="n">
        <f aca="false">Data_Prices!P289/Data_Prices!P288-1</f>
        <v>0.000273373428102852</v>
      </c>
      <c r="Q289" s="32" t="n">
        <f aca="false">Data_Prices!Q289/Data_Prices!Q288-1</f>
        <v>0.0142673705236125</v>
      </c>
      <c r="R289" s="32" t="n">
        <f aca="false">Data_Prices!R289/Data_Prices!R288-1</f>
        <v>0.00348432055749126</v>
      </c>
      <c r="S289" s="32" t="n">
        <f aca="false">Data_Prices!S289/Data_Prices!S288-1</f>
        <v>-0.0339627659574467</v>
      </c>
      <c r="T289" s="32" t="n">
        <f aca="false">AVERAGE(D289:S289)</f>
        <v>-0.0119011127004524</v>
      </c>
      <c r="U289" s="32" t="n">
        <f aca="false">AVERAGE(J289:S289)</f>
        <v>-0.00563202616891839</v>
      </c>
      <c r="V289" s="32" t="n">
        <f aca="false">AVERAGE(D289:I289)</f>
        <v>-0.0223495902530092</v>
      </c>
      <c r="W289" s="32" t="n">
        <f aca="false">AVERAGE(K289,Q289,R289)</f>
        <v>0.00145326946175502</v>
      </c>
      <c r="X289" s="32" t="n">
        <f aca="false">AVERAGE(K289,L289,N289,O289,P289,Q289,R289,S289)</f>
        <v>-0.00405562494845994</v>
      </c>
      <c r="Y289" s="32" t="n">
        <f aca="false">AVERAGE(J289,L289,M289,N289,O289,P289,Q289,R289,S289)</f>
        <v>-0.00476981988814947</v>
      </c>
      <c r="Z289" s="32" t="n">
        <f aca="false">U289-V289</f>
        <v>0.0167175640840908</v>
      </c>
      <c r="AA289" s="32" t="n">
        <f aca="false">W289-V289</f>
        <v>0.0238028597147642</v>
      </c>
    </row>
    <row r="290" customFormat="false" ht="15" hidden="false" customHeight="false" outlineLevel="0" collapsed="false">
      <c r="A290" s="28" t="n">
        <f aca="false">Data_Prices!A290</f>
        <v>45225</v>
      </c>
      <c r="B290" s="32" t="n">
        <f aca="false">Data_Prices!B290/Data_Prices!B289-1</f>
        <v>-0.0138530447674556</v>
      </c>
      <c r="C290" s="32" t="n">
        <f aca="false">Data_Prices!C290/Data_Prices!C289-1</f>
        <v>-0.0122518018233019</v>
      </c>
      <c r="D290" s="32" t="n">
        <f aca="false">Data_Prices!D290/Data_Prices!D289-1</f>
        <v>0.00626453112890713</v>
      </c>
      <c r="E290" s="32" t="n">
        <f aca="false">Data_Prices!E290/Data_Prices!E289-1</f>
        <v>-0.00152587043972818</v>
      </c>
      <c r="F290" s="32" t="n">
        <f aca="false">Data_Prices!F290/Data_Prices!F289-1</f>
        <v>0.0181767180925667</v>
      </c>
      <c r="G290" s="32" t="n">
        <f aca="false">Data_Prices!G290/Data_Prices!G289-1</f>
        <v>-0.020469798657718</v>
      </c>
      <c r="H290" s="32" t="n">
        <f aca="false">Data_Prices!H290/Data_Prices!H289-1</f>
        <v>0.00259995783852163</v>
      </c>
      <c r="I290" s="32" t="n">
        <f aca="false">Data_Prices!I290/Data_Prices!I289-1</f>
        <v>0.0290752456589043</v>
      </c>
      <c r="J290" s="32" t="n">
        <f aca="false">Data_Prices!J290/Data_Prices!J289-1</f>
        <v>0.0191037154822959</v>
      </c>
      <c r="K290" s="32" t="n">
        <f aca="false">Data_Prices!K290/Data_Prices!K289-1</f>
        <v>-0.0354372722540344</v>
      </c>
      <c r="L290" s="32" t="n">
        <f aca="false">Data_Prices!L290/Data_Prices!L289-1</f>
        <v>-0.0109411098034087</v>
      </c>
      <c r="M290" s="32" t="n">
        <f aca="false">Data_Prices!M290/Data_Prices!M289-1</f>
        <v>0.0328779965180126</v>
      </c>
      <c r="N290" s="32" t="n">
        <f aca="false">Data_Prices!N290/Data_Prices!N289-1</f>
        <v>-0.0354241089972586</v>
      </c>
      <c r="O290" s="32" t="n">
        <f aca="false">Data_Prices!O290/Data_Prices!O289-1</f>
        <v>-0.013888888888889</v>
      </c>
      <c r="P290" s="32" t="n">
        <f aca="false">Data_Prices!P290/Data_Prices!P289-1</f>
        <v>-0.0138601491430134</v>
      </c>
      <c r="Q290" s="32" t="n">
        <f aca="false">Data_Prices!Q290/Data_Prices!Q289-1</f>
        <v>-0.00956533971022644</v>
      </c>
      <c r="R290" s="32" t="n">
        <f aca="false">Data_Prices!R290/Data_Prices!R289-1</f>
        <v>-0.00655864197530864</v>
      </c>
      <c r="S290" s="32" t="n">
        <f aca="false">Data_Prices!S290/Data_Prices!S289-1</f>
        <v>-0.0102139140489498</v>
      </c>
      <c r="T290" s="32" t="n">
        <f aca="false">AVERAGE(D290:S290)</f>
        <v>-0.00311168307495792</v>
      </c>
      <c r="U290" s="32" t="n">
        <f aca="false">AVERAGE(J290:S290)</f>
        <v>-0.00839077128207802</v>
      </c>
      <c r="V290" s="32" t="n">
        <f aca="false">AVERAGE(D290:I290)</f>
        <v>0.00568679727024226</v>
      </c>
      <c r="W290" s="32" t="n">
        <f aca="false">AVERAGE(K290,Q290,R290)</f>
        <v>-0.0171870846465232</v>
      </c>
      <c r="X290" s="32" t="n">
        <f aca="false">AVERAGE(K290,L290,N290,O290,P290,Q290,R290,S290)</f>
        <v>-0.0169861781026361</v>
      </c>
      <c r="Y290" s="32" t="n">
        <f aca="false">AVERAGE(J290,L290,M290,N290,O290,P290,Q290,R290,S290)</f>
        <v>-0.00538560450741621</v>
      </c>
      <c r="Z290" s="32" t="n">
        <f aca="false">U290-V290</f>
        <v>-0.0140775685523203</v>
      </c>
      <c r="AA290" s="32" t="n">
        <f aca="false">W290-V290</f>
        <v>-0.0228738819167654</v>
      </c>
    </row>
    <row r="291" customFormat="false" ht="15" hidden="false" customHeight="false" outlineLevel="0" collapsed="false">
      <c r="A291" s="28" t="n">
        <f aca="false">Data_Prices!A291</f>
        <v>45226</v>
      </c>
      <c r="B291" s="32" t="n">
        <f aca="false">Data_Prices!B291/Data_Prices!B290-1</f>
        <v>0.0100757003274603</v>
      </c>
      <c r="C291" s="32" t="n">
        <f aca="false">Data_Prices!C291/Data_Prices!C290-1</f>
        <v>0.0126846446336404</v>
      </c>
      <c r="D291" s="32" t="n">
        <f aca="false">Data_Prices!D291/Data_Prices!D290-1</f>
        <v>-0.00689942879147676</v>
      </c>
      <c r="E291" s="32" t="n">
        <f aca="false">Data_Prices!E291/Data_Prices!E290-1</f>
        <v>0.0290358432898028</v>
      </c>
      <c r="F291" s="32" t="n">
        <f aca="false">Data_Prices!F291/Data_Prices!F290-1</f>
        <v>0.0496997079728909</v>
      </c>
      <c r="G291" s="32" t="n">
        <f aca="false">Data_Prices!G291/Data_Prices!G290-1</f>
        <v>0.00502455178714167</v>
      </c>
      <c r="H291" s="32" t="n">
        <f aca="false">Data_Prices!H291/Data_Prices!H290-1</f>
        <v>0.0328707597420803</v>
      </c>
      <c r="I291" s="32" t="n">
        <f aca="false">Data_Prices!I291/Data_Prices!I290-1</f>
        <v>0.00745585349901901</v>
      </c>
      <c r="J291" s="32" t="n">
        <f aca="false">Data_Prices!J291/Data_Prices!J290-1</f>
        <v>0.037996659634318</v>
      </c>
      <c r="K291" s="32" t="n">
        <f aca="false">Data_Prices!K291/Data_Prices!K290-1</f>
        <v>0.0115088306326485</v>
      </c>
      <c r="L291" s="32" t="n">
        <f aca="false">Data_Prices!L291/Data_Prices!L290-1</f>
        <v>0.0295724988981929</v>
      </c>
      <c r="M291" s="32" t="n">
        <f aca="false">Data_Prices!M291/Data_Prices!M290-1</f>
        <v>0.0182820097244734</v>
      </c>
      <c r="N291" s="32" t="n">
        <f aca="false">Data_Prices!N291/Data_Prices!N290-1</f>
        <v>0.0148140492308753</v>
      </c>
      <c r="O291" s="32" t="n">
        <f aca="false">Data_Prices!O291/Data_Prices!O290-1</f>
        <v>0.0277983691623425</v>
      </c>
      <c r="P291" s="32" t="n">
        <f aca="false">Data_Prices!P291/Data_Prices!P290-1</f>
        <v>0.0219732362023912</v>
      </c>
      <c r="Q291" s="32" t="n">
        <f aca="false">Data_Prices!Q291/Data_Prices!Q290-1</f>
        <v>0.0222979690384888</v>
      </c>
      <c r="R291" s="32" t="n">
        <f aca="false">Data_Prices!R291/Data_Prices!R290-1</f>
        <v>0.0231715210355987</v>
      </c>
      <c r="S291" s="32" t="n">
        <f aca="false">Data_Prices!S291/Data_Prices!S290-1</f>
        <v>0.0765465064530486</v>
      </c>
      <c r="T291" s="32" t="n">
        <f aca="false">AVERAGE(D291:S291)</f>
        <v>0.0250718085944897</v>
      </c>
      <c r="U291" s="32" t="n">
        <f aca="false">AVERAGE(J291:S291)</f>
        <v>0.0283961650012378</v>
      </c>
      <c r="V291" s="32" t="n">
        <f aca="false">AVERAGE(D291:I291)</f>
        <v>0.019531214583243</v>
      </c>
      <c r="W291" s="32" t="n">
        <f aca="false">AVERAGE(K291,Q291,R291)</f>
        <v>0.018992773568912</v>
      </c>
      <c r="X291" s="32" t="n">
        <f aca="false">AVERAGE(K291,L291,N291,O291,P291,Q291,R291,S291)</f>
        <v>0.0284603725816983</v>
      </c>
      <c r="Y291" s="32" t="n">
        <f aca="false">AVERAGE(J291,L291,M291,N291,O291,P291,Q291,R291,S291)</f>
        <v>0.0302725354866366</v>
      </c>
      <c r="Z291" s="32" t="n">
        <f aca="false">U291-V291</f>
        <v>0.00886495041799479</v>
      </c>
      <c r="AA291" s="32" t="n">
        <f aca="false">W291-V291</f>
        <v>-0.000538441014330982</v>
      </c>
    </row>
    <row r="292" customFormat="false" ht="15" hidden="false" customHeight="false" outlineLevel="0" collapsed="false">
      <c r="A292" s="28" t="n">
        <f aca="false">Data_Prices!A292</f>
        <v>45229</v>
      </c>
      <c r="B292" s="32" t="n">
        <f aca="false">Data_Prices!B292/Data_Prices!B291-1</f>
        <v>0.00491672026145507</v>
      </c>
      <c r="C292" s="32" t="n">
        <f aca="false">Data_Prices!C292/Data_Prices!C291-1</f>
        <v>0.00361755872941072</v>
      </c>
      <c r="D292" s="32" t="n">
        <f aca="false">Data_Prices!D292/Data_Prices!D291-1</f>
        <v>-0.0570329918893593</v>
      </c>
      <c r="E292" s="32" t="n">
        <f aca="false">Data_Prices!E292/Data_Prices!E291-1</f>
        <v>0.0148508167949237</v>
      </c>
      <c r="F292" s="32" t="n">
        <f aca="false">Data_Prices!F292/Data_Prices!F291-1</f>
        <v>-0.0181092856018057</v>
      </c>
      <c r="G292" s="32" t="n">
        <f aca="false">Data_Prices!G292/Data_Prices!G291-1</f>
        <v>0.0244290421543008</v>
      </c>
      <c r="H292" s="32" t="n">
        <f aca="false">Data_Prices!H292/Data_Prices!H291-1</f>
        <v>-0.0273461355771187</v>
      </c>
      <c r="I292" s="32" t="n">
        <f aca="false">Data_Prices!I292/Data_Prices!I291-1</f>
        <v>-0.0268761360685537</v>
      </c>
      <c r="J292" s="32" t="n">
        <f aca="false">Data_Prices!J292/Data_Prices!J291-1</f>
        <v>0.016513878009019</v>
      </c>
      <c r="K292" s="32" t="n">
        <f aca="false">Data_Prices!K292/Data_Prices!K291-1</f>
        <v>-0.000546885420835142</v>
      </c>
      <c r="L292" s="32" t="n">
        <f aca="false">Data_Prices!L292/Data_Prices!L291-1</f>
        <v>-0.0106159839047985</v>
      </c>
      <c r="M292" s="32" t="n">
        <f aca="false">Data_Prices!M292/Data_Prices!M291-1</f>
        <v>0.0231107149678487</v>
      </c>
      <c r="N292" s="32" t="n">
        <f aca="false">Data_Prices!N292/Data_Prices!N291-1</f>
        <v>-0.0118649534058697</v>
      </c>
      <c r="O292" s="32" t="n">
        <f aca="false">Data_Prices!O292/Data_Prices!O291-1</f>
        <v>-0.114677244861161</v>
      </c>
      <c r="P292" s="32" t="n">
        <f aca="false">Data_Prices!P292/Data_Prices!P291-1</f>
        <v>0.0281253631890908</v>
      </c>
      <c r="Q292" s="32" t="n">
        <f aca="false">Data_Prices!Q292/Data_Prices!Q291-1</f>
        <v>-0.0188941372603499</v>
      </c>
      <c r="R292" s="32" t="n">
        <f aca="false">Data_Prices!R292/Data_Prices!R291-1</f>
        <v>-0.0506705465587044</v>
      </c>
      <c r="S292" s="32" t="n">
        <f aca="false">Data_Prices!S292/Data_Prices!S291-1</f>
        <v>-0.0222199255890865</v>
      </c>
      <c r="T292" s="32" t="n">
        <f aca="false">AVERAGE(D292:S292)</f>
        <v>-0.0157390256889037</v>
      </c>
      <c r="U292" s="32" t="n">
        <f aca="false">AVERAGE(J292:S292)</f>
        <v>-0.0161739720834847</v>
      </c>
      <c r="V292" s="32" t="n">
        <f aca="false">AVERAGE(D292:I292)</f>
        <v>-0.0150141150312688</v>
      </c>
      <c r="W292" s="32" t="n">
        <f aca="false">AVERAGE(K292,Q292,R292)</f>
        <v>-0.0233705230799632</v>
      </c>
      <c r="X292" s="32" t="n">
        <f aca="false">AVERAGE(K292,L292,N292,O292,P292,Q292,R292,S292)</f>
        <v>-0.0251705392264643</v>
      </c>
      <c r="Y292" s="32" t="n">
        <f aca="false">AVERAGE(J292,L292,M292,N292,O292,P292,Q292,R292,S292)</f>
        <v>-0.0179103150460013</v>
      </c>
      <c r="Z292" s="32" t="n">
        <f aca="false">U292-V292</f>
        <v>-0.00115985705221587</v>
      </c>
      <c r="AA292" s="32" t="n">
        <f aca="false">W292-V292</f>
        <v>-0.00835640804869435</v>
      </c>
    </row>
    <row r="293" customFormat="false" ht="15" hidden="false" customHeight="false" outlineLevel="0" collapsed="false">
      <c r="A293" s="28" t="n">
        <f aca="false">Data_Prices!A293</f>
        <v>45230</v>
      </c>
      <c r="B293" s="32" t="n">
        <f aca="false">Data_Prices!B293/Data_Prices!B292-1</f>
        <v>-0.00320256623251791</v>
      </c>
      <c r="C293" s="32" t="n">
        <f aca="false">Data_Prices!C293/Data_Prices!C292-1</f>
        <v>-0.00148578696192225</v>
      </c>
      <c r="D293" s="32" t="n">
        <f aca="false">Data_Prices!D293/Data_Prices!D292-1</f>
        <v>-0.0351586594476047</v>
      </c>
      <c r="E293" s="32" t="n">
        <f aca="false">Data_Prices!E293/Data_Prices!E292-1</f>
        <v>0.0156312358653719</v>
      </c>
      <c r="F293" s="32" t="n">
        <f aca="false">Data_Prices!F293/Data_Prices!F292-1</f>
        <v>-0.0353362557468192</v>
      </c>
      <c r="G293" s="32" t="n">
        <f aca="false">Data_Prices!G293/Data_Prices!G292-1</f>
        <v>0.0186335403726707</v>
      </c>
      <c r="H293" s="32" t="n">
        <f aca="false">Data_Prices!H293/Data_Prices!H292-1</f>
        <v>0.0274870936235523</v>
      </c>
      <c r="I293" s="32" t="n">
        <f aca="false">Data_Prices!I293/Data_Prices!I292-1</f>
        <v>0.0984656437625082</v>
      </c>
      <c r="J293" s="32" t="n">
        <f aca="false">Data_Prices!J293/Data_Prices!J292-1</f>
        <v>-0.00579009851498558</v>
      </c>
      <c r="K293" s="32" t="n">
        <f aca="false">Data_Prices!K293/Data_Prices!K292-1</f>
        <v>-0.00138798062165513</v>
      </c>
      <c r="L293" s="32" t="n">
        <f aca="false">Data_Prices!L293/Data_Prices!L292-1</f>
        <v>-0.015878509929477</v>
      </c>
      <c r="M293" s="32" t="n">
        <f aca="false">Data_Prices!M293/Data_Prices!M292-1</f>
        <v>-0.00609831985065334</v>
      </c>
      <c r="N293" s="32" t="n">
        <f aca="false">Data_Prices!N293/Data_Prices!N292-1</f>
        <v>0.0340296148692756</v>
      </c>
      <c r="O293" s="32" t="n">
        <f aca="false">Data_Prices!O293/Data_Prices!O292-1</f>
        <v>-0.000610997963340187</v>
      </c>
      <c r="P293" s="32" t="n">
        <f aca="false">Data_Prices!P293/Data_Prices!P292-1</f>
        <v>-0.0212894231131542</v>
      </c>
      <c r="Q293" s="32" t="n">
        <f aca="false">Data_Prices!Q293/Data_Prices!Q292-1</f>
        <v>-0.000849617672047609</v>
      </c>
      <c r="R293" s="32" t="n">
        <f aca="false">Data_Prices!R293/Data_Prices!R292-1</f>
        <v>-0.00559738788565345</v>
      </c>
      <c r="S293" s="32" t="n">
        <f aca="false">Data_Prices!S293/Data_Prices!S292-1</f>
        <v>-0.00652679420780034</v>
      </c>
      <c r="T293" s="32" t="n">
        <f aca="false">AVERAGE(D293:S293)</f>
        <v>0.00373269272126175</v>
      </c>
      <c r="U293" s="32" t="n">
        <f aca="false">AVERAGE(J293:S293)</f>
        <v>-0.00299995148894913</v>
      </c>
      <c r="V293" s="32" t="n">
        <f aca="false">AVERAGE(D293:I293)</f>
        <v>0.0149537664049465</v>
      </c>
      <c r="W293" s="32" t="n">
        <f aca="false">AVERAGE(K293,Q293,R293)</f>
        <v>-0.0026116620597854</v>
      </c>
      <c r="X293" s="32" t="n">
        <f aca="false">AVERAGE(K293,L293,N293,O293,P293,Q293,R293,S293)</f>
        <v>-0.00226388706548154</v>
      </c>
      <c r="Y293" s="32" t="n">
        <f aca="false">AVERAGE(J293,L293,M293,N293,O293,P293,Q293,R293,S293)</f>
        <v>-0.0031790593630929</v>
      </c>
      <c r="Z293" s="32" t="n">
        <f aca="false">U293-V293</f>
        <v>-0.0179537178938957</v>
      </c>
      <c r="AA293" s="32" t="n">
        <f aca="false">W293-V293</f>
        <v>-0.0175654284647319</v>
      </c>
    </row>
    <row r="294" customFormat="false" ht="15" hidden="false" customHeight="false" outlineLevel="0" collapsed="false">
      <c r="A294" s="28" t="n">
        <f aca="false">Data_Prices!A294</f>
        <v>45231</v>
      </c>
      <c r="B294" s="32" t="n">
        <f aca="false">Data_Prices!B294/Data_Prices!B293-1</f>
        <v>-0.00474066542275509</v>
      </c>
      <c r="C294" s="32" t="n">
        <f aca="false">Data_Prices!C294/Data_Prices!C293-1</f>
        <v>-0.00405628202915276</v>
      </c>
      <c r="D294" s="32" t="n">
        <f aca="false">Data_Prices!D294/Data_Prices!D293-1</f>
        <v>0.0125372922290099</v>
      </c>
      <c r="E294" s="32" t="n">
        <f aca="false">Data_Prices!E294/Data_Prices!E293-1</f>
        <v>-0.00622175650009826</v>
      </c>
      <c r="F294" s="32" t="n">
        <f aca="false">Data_Prices!F294/Data_Prices!F293-1</f>
        <v>0.0117484067608755</v>
      </c>
      <c r="G294" s="32" t="n">
        <f aca="false">Data_Prices!G294/Data_Prices!G293-1</f>
        <v>-0.00402874564459921</v>
      </c>
      <c r="H294" s="32" t="n">
        <f aca="false">Data_Prices!H294/Data_Prices!H293-1</f>
        <v>-0.0310972297664313</v>
      </c>
      <c r="I294" s="32" t="n">
        <f aca="false">Data_Prices!I294/Data_Prices!I293-1</f>
        <v>-0.0374104214745535</v>
      </c>
      <c r="J294" s="32" t="n">
        <f aca="false">Data_Prices!J294/Data_Prices!J293-1</f>
        <v>-0.00760448308369122</v>
      </c>
      <c r="K294" s="32" t="n">
        <f aca="false">Data_Prices!K294/Data_Prices!K293-1</f>
        <v>-0.00277981957901774</v>
      </c>
      <c r="L294" s="32" t="n">
        <f aca="false">Data_Prices!L294/Data_Prices!L293-1</f>
        <v>0.0102875230809814</v>
      </c>
      <c r="M294" s="32" t="n">
        <f aca="false">Data_Prices!M294/Data_Prices!M293-1</f>
        <v>0.0146506386175806</v>
      </c>
      <c r="N294" s="32" t="n">
        <f aca="false">Data_Prices!N294/Data_Prices!N293-1</f>
        <v>-0.0180745909128666</v>
      </c>
      <c r="O294" s="32" t="n">
        <f aca="false">Data_Prices!O294/Data_Prices!O293-1</f>
        <v>0.00631750560423883</v>
      </c>
      <c r="P294" s="32" t="n">
        <f aca="false">Data_Prices!P294/Data_Prices!P293-1</f>
        <v>0.00146300146300127</v>
      </c>
      <c r="Q294" s="32" t="n">
        <f aca="false">Data_Prices!Q294/Data_Prices!Q293-1</f>
        <v>0.000425170068027114</v>
      </c>
      <c r="R294" s="32" t="n">
        <f aca="false">Data_Prices!R294/Data_Prices!R293-1</f>
        <v>-0.0018092876767406</v>
      </c>
      <c r="S294" s="32" t="n">
        <f aca="false">Data_Prices!S294/Data_Prices!S293-1</f>
        <v>0.0119158443492831</v>
      </c>
      <c r="T294" s="32" t="n">
        <f aca="false">AVERAGE(D294:S294)</f>
        <v>-0.00248005952906254</v>
      </c>
      <c r="U294" s="32" t="n">
        <f aca="false">AVERAGE(J294:S294)</f>
        <v>0.00147915019307961</v>
      </c>
      <c r="V294" s="32" t="n">
        <f aca="false">AVERAGE(D294:I294)</f>
        <v>-0.00907874239929947</v>
      </c>
      <c r="W294" s="32" t="n">
        <f aca="false">AVERAGE(K294,Q294,R294)</f>
        <v>-0.00138797906257708</v>
      </c>
      <c r="X294" s="32" t="n">
        <f aca="false">AVERAGE(K294,L294,N294,O294,P294,Q294,R294,S294)</f>
        <v>0.00096816829961334</v>
      </c>
      <c r="Y294" s="32" t="n">
        <f aca="false">AVERAGE(J294,L294,M294,N294,O294,P294,Q294,R294,S294)</f>
        <v>0.00195236905664599</v>
      </c>
      <c r="Z294" s="32" t="n">
        <f aca="false">U294-V294</f>
        <v>0.0105578925923791</v>
      </c>
      <c r="AA294" s="32" t="n">
        <f aca="false">W294-V294</f>
        <v>0.0076907633367224</v>
      </c>
    </row>
    <row r="295" customFormat="false" ht="15" hidden="false" customHeight="false" outlineLevel="0" collapsed="false">
      <c r="A295" s="28" t="n">
        <f aca="false">Data_Prices!A295</f>
        <v>45232</v>
      </c>
      <c r="B295" s="32" t="n">
        <f aca="false">Data_Prices!B295/Data_Prices!B294-1</f>
        <v>0.00758854398432773</v>
      </c>
      <c r="C295" s="32" t="n">
        <f aca="false">Data_Prices!C295/Data_Prices!C294-1</f>
        <v>0.00943348303795788</v>
      </c>
      <c r="D295" s="32" t="n">
        <f aca="false">Data_Prices!D295/Data_Prices!D294-1</f>
        <v>0.024273036584938</v>
      </c>
      <c r="E295" s="32" t="n">
        <f aca="false">Data_Prices!E295/Data_Prices!E294-1</f>
        <v>0.0134440490312375</v>
      </c>
      <c r="F295" s="32" t="n">
        <f aca="false">Data_Prices!F295/Data_Prices!F294-1</f>
        <v>0.000821602672947286</v>
      </c>
      <c r="G295" s="32" t="n">
        <f aca="false">Data_Prices!G295/Data_Prices!G294-1</f>
        <v>-0.0189133049087133</v>
      </c>
      <c r="H295" s="32" t="n">
        <f aca="false">Data_Prices!H295/Data_Prices!H294-1</f>
        <v>0.024667133847232</v>
      </c>
      <c r="I295" s="32" t="n">
        <f aca="false">Data_Prices!I295/Data_Prices!I294-1</f>
        <v>0.0108517350157729</v>
      </c>
      <c r="J295" s="32" t="n">
        <f aca="false">Data_Prices!J295/Data_Prices!J294-1</f>
        <v>-0.0405935995946973</v>
      </c>
      <c r="K295" s="32" t="n">
        <f aca="false">Data_Prices!K295/Data_Prices!K294-1</f>
        <v>-0.0030422021791281</v>
      </c>
      <c r="L295" s="32" t="n">
        <f aca="false">Data_Prices!L295/Data_Prices!L294-1</f>
        <v>0.0247606614447347</v>
      </c>
      <c r="M295" s="32" t="n">
        <f aca="false">Data_Prices!M295/Data_Prices!M294-1</f>
        <v>0.00558435147476244</v>
      </c>
      <c r="N295" s="32" t="n">
        <f aca="false">Data_Prices!N295/Data_Prices!N294-1</f>
        <v>-6.76738795745147E-005</v>
      </c>
      <c r="O295" s="32" t="n">
        <f aca="false">Data_Prices!O295/Data_Prices!O294-1</f>
        <v>0.0164034021871202</v>
      </c>
      <c r="P295" s="32" t="n">
        <f aca="false">Data_Prices!P295/Data_Prices!P294-1</f>
        <v>0.00941872981700764</v>
      </c>
      <c r="Q295" s="32" t="n">
        <f aca="false">Data_Prices!Q295/Data_Prices!Q294-1</f>
        <v>-0.00934976625584361</v>
      </c>
      <c r="R295" s="32" t="n">
        <f aca="false">Data_Prices!R295/Data_Prices!R294-1</f>
        <v>-0.00100698174006442</v>
      </c>
      <c r="S295" s="32" t="n">
        <f aca="false">Data_Prices!S295/Data_Prices!S294-1</f>
        <v>0.0276514653699567</v>
      </c>
      <c r="T295" s="32" t="n">
        <f aca="false">AVERAGE(D295:S295)</f>
        <v>0.00530641493048049</v>
      </c>
      <c r="U295" s="32" t="n">
        <f aca="false">AVERAGE(J295:S295)</f>
        <v>0.00297583866442737</v>
      </c>
      <c r="V295" s="32" t="n">
        <f aca="false">AVERAGE(D295:I295)</f>
        <v>0.00919070870723571</v>
      </c>
      <c r="W295" s="32" t="n">
        <f aca="false">AVERAGE(K295,Q295,R295)</f>
        <v>-0.00446631672501204</v>
      </c>
      <c r="X295" s="32" t="n">
        <f aca="false">AVERAGE(K295,L295,N295,O295,P295,Q295,R295,S295)</f>
        <v>0.00809595434552607</v>
      </c>
      <c r="Y295" s="32" t="n">
        <f aca="false">AVERAGE(J295,L295,M295,N295,O295,P295,Q295,R295,S295)</f>
        <v>0.00364450986926686</v>
      </c>
      <c r="Z295" s="32" t="n">
        <f aca="false">U295-V295</f>
        <v>-0.00621487004280834</v>
      </c>
      <c r="AA295" s="32" t="n">
        <f aca="false">W295-V295</f>
        <v>-0.0136570254322477</v>
      </c>
    </row>
    <row r="296" customFormat="false" ht="15" hidden="false" customHeight="false" outlineLevel="0" collapsed="false">
      <c r="A296" s="28" t="n">
        <f aca="false">Data_Prices!A296</f>
        <v>45233</v>
      </c>
      <c r="B296" s="32" t="n">
        <f aca="false">Data_Prices!B296/Data_Prices!B295-1</f>
        <v>0.00508800125436082</v>
      </c>
      <c r="C296" s="32" t="n">
        <f aca="false">Data_Prices!C296/Data_Prices!C295-1</f>
        <v>0.00652130153693142</v>
      </c>
      <c r="D296" s="32" t="n">
        <f aca="false">Data_Prices!D296/Data_Prices!D295-1</f>
        <v>-0.00143830690729763</v>
      </c>
      <c r="E296" s="32" t="n">
        <f aca="false">Data_Prices!E296/Data_Prices!E295-1</f>
        <v>0.00409676160749117</v>
      </c>
      <c r="F296" s="32" t="n">
        <f aca="false">Data_Prices!F296/Data_Prices!F295-1</f>
        <v>0.0019154991243433</v>
      </c>
      <c r="G296" s="32" t="n">
        <f aca="false">Data_Prices!G296/Data_Prices!G295-1</f>
        <v>0.0305326498774237</v>
      </c>
      <c r="H296" s="32" t="n">
        <f aca="false">Data_Prices!H296/Data_Prices!H295-1</f>
        <v>-0.001162631650937</v>
      </c>
      <c r="I296" s="32" t="n">
        <f aca="false">Data_Prices!I296/Data_Prices!I295-1</f>
        <v>0.0225939333416552</v>
      </c>
      <c r="J296" s="32" t="n">
        <f aca="false">Data_Prices!J296/Data_Prices!J295-1</f>
        <v>-0.0323659486457346</v>
      </c>
      <c r="K296" s="32" t="n">
        <f aca="false">Data_Prices!K296/Data_Prices!K295-1</f>
        <v>-0.00505444280145184</v>
      </c>
      <c r="L296" s="32" t="n">
        <f aca="false">Data_Prices!L296/Data_Prices!L295-1</f>
        <v>-0.0366469913796765</v>
      </c>
      <c r="M296" s="32" t="n">
        <f aca="false">Data_Prices!M296/Data_Prices!M295-1</f>
        <v>0.0241769705151411</v>
      </c>
      <c r="N296" s="32" t="n">
        <f aca="false">Data_Prices!N296/Data_Prices!N295-1</f>
        <v>0.0152784122633369</v>
      </c>
      <c r="O296" s="32" t="n">
        <f aca="false">Data_Prices!O296/Data_Prices!O295-1</f>
        <v>0.0290894600518032</v>
      </c>
      <c r="P296" s="32" t="n">
        <f aca="false">Data_Prices!P296/Data_Prices!P295-1</f>
        <v>0.0101687169135851</v>
      </c>
      <c r="Q296" s="32" t="n">
        <f aca="false">Data_Prices!Q296/Data_Prices!Q295-1</f>
        <v>-0.00557700557700558</v>
      </c>
      <c r="R296" s="32" t="n">
        <f aca="false">Data_Prices!R296/Data_Prices!R295-1</f>
        <v>0.00423358645252336</v>
      </c>
      <c r="S296" s="32" t="n">
        <f aca="false">Data_Prices!S296/Data_Prices!S295-1</f>
        <v>0.0300278793769342</v>
      </c>
      <c r="T296" s="32" t="n">
        <f aca="false">AVERAGE(D296:S296)</f>
        <v>0.00561678391013338</v>
      </c>
      <c r="U296" s="32" t="n">
        <f aca="false">AVERAGE(J296:S296)</f>
        <v>0.00333306371694554</v>
      </c>
      <c r="V296" s="32" t="n">
        <f aca="false">AVERAGE(D296:I296)</f>
        <v>0.00942298423211311</v>
      </c>
      <c r="W296" s="32" t="n">
        <f aca="false">AVERAGE(K296,Q296,R296)</f>
        <v>-0.00213262064197802</v>
      </c>
      <c r="X296" s="32" t="n">
        <f aca="false">AVERAGE(K296,L296,N296,O296,P296,Q296,R296,S296)</f>
        <v>0.00518995191250611</v>
      </c>
      <c r="Y296" s="32" t="n">
        <f aca="false">AVERAGE(J296,L296,M296,N296,O296,P296,Q296,R296,S296)</f>
        <v>0.00426500888565636</v>
      </c>
      <c r="Z296" s="32" t="n">
        <f aca="false">U296-V296</f>
        <v>-0.00608992051516757</v>
      </c>
      <c r="AA296" s="32" t="n">
        <f aca="false">W296-V296</f>
        <v>-0.0115556048740911</v>
      </c>
    </row>
    <row r="297" customFormat="false" ht="15" hidden="false" customHeight="false" outlineLevel="0" collapsed="false">
      <c r="A297" s="28" t="n">
        <f aca="false">Data_Prices!A297</f>
        <v>45236</v>
      </c>
      <c r="B297" s="32" t="n">
        <f aca="false">Data_Prices!B297/Data_Prices!B296-1</f>
        <v>0.00941988289496964</v>
      </c>
      <c r="C297" s="32" t="n">
        <f aca="false">Data_Prices!C297/Data_Prices!C296-1</f>
        <v>0.00932006740799785</v>
      </c>
      <c r="D297" s="32" t="n">
        <f aca="false">Data_Prices!D297/Data_Prices!D296-1</f>
        <v>0.00792208237593872</v>
      </c>
      <c r="E297" s="32" t="n">
        <f aca="false">Data_Prices!E297/Data_Prices!E296-1</f>
        <v>0.00589340068648414</v>
      </c>
      <c r="F297" s="32" t="n">
        <f aca="false">Data_Prices!F297/Data_Prices!F296-1</f>
        <v>-0.0123996285573824</v>
      </c>
      <c r="G297" s="32" t="n">
        <f aca="false">Data_Prices!G297/Data_Prices!G296-1</f>
        <v>0.00529844290657455</v>
      </c>
      <c r="H297" s="32" t="n">
        <f aca="false">Data_Prices!H297/Data_Prices!H296-1</f>
        <v>0.0226634714138994</v>
      </c>
      <c r="I297" s="32" t="n">
        <f aca="false">Data_Prices!I297/Data_Prices!I296-1</f>
        <v>0.0155029296875</v>
      </c>
      <c r="J297" s="32" t="n">
        <f aca="false">Data_Prices!J297/Data_Prices!J296-1</f>
        <v>-0.0111646732457138</v>
      </c>
      <c r="K297" s="32" t="n">
        <f aca="false">Data_Prices!K297/Data_Prices!K296-1</f>
        <v>0.0203204799092063</v>
      </c>
      <c r="L297" s="32" t="n">
        <f aca="false">Data_Prices!L297/Data_Prices!L296-1</f>
        <v>0.0159128978224454</v>
      </c>
      <c r="M297" s="32" t="n">
        <f aca="false">Data_Prices!M297/Data_Prices!M296-1</f>
        <v>0.0152481950810341</v>
      </c>
      <c r="N297" s="32" t="n">
        <f aca="false">Data_Prices!N297/Data_Prices!N296-1</f>
        <v>-0.00744925507449246</v>
      </c>
      <c r="O297" s="32" t="n">
        <f aca="false">Data_Prices!O297/Data_Prices!O296-1</f>
        <v>0.0172313649564375</v>
      </c>
      <c r="P297" s="32" t="n">
        <f aca="false">Data_Prices!P297/Data_Prices!P296-1</f>
        <v>0.00429799426934108</v>
      </c>
      <c r="Q297" s="32" t="n">
        <f aca="false">Data_Prices!Q297/Data_Prices!Q296-1</f>
        <v>0.00532067874604558</v>
      </c>
      <c r="R297" s="32" t="n">
        <f aca="false">Data_Prices!R297/Data_Prices!R296-1</f>
        <v>0.00896680942184136</v>
      </c>
      <c r="S297" s="32" t="n">
        <f aca="false">Data_Prices!S297/Data_Prices!S296-1</f>
        <v>-0.0109508082739439</v>
      </c>
      <c r="T297" s="32" t="n">
        <f aca="false">AVERAGE(D297:S297)</f>
        <v>0.00641339888282597</v>
      </c>
      <c r="U297" s="32" t="n">
        <f aca="false">AVERAGE(J297:S297)</f>
        <v>0.00577336836122012</v>
      </c>
      <c r="V297" s="32" t="n">
        <f aca="false">AVERAGE(D297:I297)</f>
        <v>0.00748011641883573</v>
      </c>
      <c r="W297" s="32" t="n">
        <f aca="false">AVERAGE(K297,Q297,R297)</f>
        <v>0.0115359893590311</v>
      </c>
      <c r="X297" s="32" t="n">
        <f aca="false">AVERAGE(K297,L297,N297,O297,P297,Q297,R297,S297)</f>
        <v>0.00670627022211011</v>
      </c>
      <c r="Y297" s="32" t="n">
        <f aca="false">AVERAGE(J297,L297,M297,N297,O297,P297,Q297,R297,S297)</f>
        <v>0.00415702263366611</v>
      </c>
      <c r="Z297" s="32" t="n">
        <f aca="false">U297-V297</f>
        <v>-0.0017067480576156</v>
      </c>
      <c r="AA297" s="32" t="n">
        <f aca="false">W297-V297</f>
        <v>0.00405587294019535</v>
      </c>
    </row>
    <row r="298" customFormat="false" ht="15" hidden="false" customHeight="false" outlineLevel="0" collapsed="false">
      <c r="A298" s="28" t="n">
        <f aca="false">Data_Prices!A298</f>
        <v>45237</v>
      </c>
      <c r="B298" s="32" t="n">
        <f aca="false">Data_Prices!B298/Data_Prices!B297-1</f>
        <v>-0.000260151712236145</v>
      </c>
      <c r="C298" s="32" t="n">
        <f aca="false">Data_Prices!C298/Data_Prices!C297-1</f>
        <v>0.00165506952457539</v>
      </c>
      <c r="D298" s="32" t="n">
        <f aca="false">Data_Prices!D298/Data_Prices!D297-1</f>
        <v>-0.00598843143926497</v>
      </c>
      <c r="E298" s="32" t="n">
        <f aca="false">Data_Prices!E298/Data_Prices!E297-1</f>
        <v>-0.0258820499613701</v>
      </c>
      <c r="F298" s="32" t="n">
        <f aca="false">Data_Prices!F298/Data_Prices!F297-1</f>
        <v>0.00271017699115039</v>
      </c>
      <c r="G298" s="32" t="n">
        <f aca="false">Data_Prices!G298/Data_Prices!G297-1</f>
        <v>-0.00828224158330648</v>
      </c>
      <c r="H298" s="32" t="n">
        <f aca="false">Data_Prices!H298/Data_Prices!H297-1</f>
        <v>-0.0160685591858597</v>
      </c>
      <c r="I298" s="32" t="n">
        <f aca="false">Data_Prices!I298/Data_Prices!I297-1</f>
        <v>0.0899146532035102</v>
      </c>
      <c r="J298" s="32" t="n">
        <f aca="false">Data_Prices!J298/Data_Prices!J297-1</f>
        <v>-0.00521995078989124</v>
      </c>
      <c r="K298" s="32" t="n">
        <f aca="false">Data_Prices!K298/Data_Prices!K297-1</f>
        <v>-0.00879260573638074</v>
      </c>
      <c r="L298" s="32" t="n">
        <f aca="false">Data_Prices!L298/Data_Prices!L297-1</f>
        <v>-0.00863452943984022</v>
      </c>
      <c r="M298" s="32" t="n">
        <f aca="false">Data_Prices!M298/Data_Prices!M297-1</f>
        <v>-0.00365889642962525</v>
      </c>
      <c r="N298" s="32" t="n">
        <f aca="false">Data_Prices!N298/Data_Prices!N297-1</f>
        <v>0.00350912540506032</v>
      </c>
      <c r="O298" s="32" t="n">
        <f aca="false">Data_Prices!O298/Data_Prices!O297-1</f>
        <v>0.00475827940616669</v>
      </c>
      <c r="P298" s="32" t="n">
        <f aca="false">Data_Prices!P298/Data_Prices!P297-1</f>
        <v>0.00334109167354901</v>
      </c>
      <c r="Q298" s="32" t="n">
        <f aca="false">Data_Prices!Q298/Data_Prices!Q297-1</f>
        <v>0.0380489200400516</v>
      </c>
      <c r="R298" s="32" t="n">
        <f aca="false">Data_Prices!R298/Data_Prices!R297-1</f>
        <v>-0.000862183313436793</v>
      </c>
      <c r="S298" s="32" t="n">
        <f aca="false">Data_Prices!S298/Data_Prices!S297-1</f>
        <v>-0.00215917650012554</v>
      </c>
      <c r="T298" s="32" t="n">
        <f aca="false">AVERAGE(D298:S298)</f>
        <v>0.0035458513962742</v>
      </c>
      <c r="U298" s="32" t="n">
        <f aca="false">AVERAGE(J298:S298)</f>
        <v>0.00203300743155278</v>
      </c>
      <c r="V298" s="32" t="n">
        <f aca="false">AVERAGE(D298:I298)</f>
        <v>0.00606725800414322</v>
      </c>
      <c r="W298" s="32" t="n">
        <f aca="false">AVERAGE(K298,Q298,R298)</f>
        <v>0.00946471033007801</v>
      </c>
      <c r="X298" s="32" t="n">
        <f aca="false">AVERAGE(K298,L298,N298,O298,P298,Q298,R298,S298)</f>
        <v>0.00365111519188054</v>
      </c>
      <c r="Y298" s="32" t="n">
        <f aca="false">AVERAGE(J298,L298,M298,N298,O298,P298,Q298,R298,S298)</f>
        <v>0.00323585333910095</v>
      </c>
      <c r="Z298" s="32" t="n">
        <f aca="false">U298-V298</f>
        <v>-0.00403425057259044</v>
      </c>
      <c r="AA298" s="32" t="n">
        <f aca="false">W298-V298</f>
        <v>0.00339745232593478</v>
      </c>
    </row>
    <row r="299" customFormat="false" ht="15" hidden="false" customHeight="false" outlineLevel="0" collapsed="false">
      <c r="A299" s="28" t="n">
        <f aca="false">Data_Prices!A299</f>
        <v>45238</v>
      </c>
      <c r="B299" s="32" t="n">
        <f aca="false">Data_Prices!B299/Data_Prices!B298-1</f>
        <v>0.00189625232522794</v>
      </c>
      <c r="C299" s="32" t="n">
        <f aca="false">Data_Prices!C299/Data_Prices!C298-1</f>
        <v>0.00418319971142322</v>
      </c>
      <c r="D299" s="32" t="n">
        <f aca="false">Data_Prices!D299/Data_Prices!D298-1</f>
        <v>-0.0121517080851646</v>
      </c>
      <c r="E299" s="32" t="n">
        <f aca="false">Data_Prices!E299/Data_Prices!E298-1</f>
        <v>0.00647719762062127</v>
      </c>
      <c r="F299" s="32" t="n">
        <f aca="false">Data_Prices!F299/Data_Prices!F298-1</f>
        <v>0.00998400353025541</v>
      </c>
      <c r="G299" s="32" t="n">
        <f aca="false">Data_Prices!G299/Data_Prices!G298-1</f>
        <v>-0.0155097613882863</v>
      </c>
      <c r="H299" s="32" t="n">
        <f aca="false">Data_Prices!H299/Data_Prices!H298-1</f>
        <v>0.00136091453456721</v>
      </c>
      <c r="I299" s="32" t="n">
        <f aca="false">Data_Prices!I299/Data_Prices!I298-1</f>
        <v>-0.0359545604940995</v>
      </c>
      <c r="J299" s="32" t="n">
        <f aca="false">Data_Prices!J299/Data_Prices!J298-1</f>
        <v>-0.00312066574202496</v>
      </c>
      <c r="K299" s="32" t="n">
        <f aca="false">Data_Prices!K299/Data_Prices!K298-1</f>
        <v>-0.00475592486707455</v>
      </c>
      <c r="L299" s="32" t="n">
        <f aca="false">Data_Prices!L299/Data_Prices!L298-1</f>
        <v>0.000656512605041959</v>
      </c>
      <c r="M299" s="32" t="n">
        <f aca="false">Data_Prices!M299/Data_Prices!M298-1</f>
        <v>-0.014511638926731</v>
      </c>
      <c r="N299" s="32" t="n">
        <f aca="false">Data_Prices!N299/Data_Prices!N298-1</f>
        <v>-0.00747891848480775</v>
      </c>
      <c r="O299" s="32" t="n">
        <f aca="false">Data_Prices!O299/Data_Prices!O298-1</f>
        <v>0.0117446486076909</v>
      </c>
      <c r="P299" s="32" t="n">
        <f aca="false">Data_Prices!P299/Data_Prices!P298-1</f>
        <v>-0.00995248250832492</v>
      </c>
      <c r="Q299" s="32" t="n">
        <f aca="false">Data_Prices!Q299/Data_Prices!Q298-1</f>
        <v>0.0719305498139726</v>
      </c>
      <c r="R299" s="32" t="n">
        <f aca="false">Data_Prices!R299/Data_Prices!R298-1</f>
        <v>-0.00637238632592096</v>
      </c>
      <c r="S299" s="32" t="n">
        <f aca="false">Data_Prices!S299/Data_Prices!S298-1</f>
        <v>-0.00379931561996782</v>
      </c>
      <c r="T299" s="32" t="n">
        <f aca="false">AVERAGE(D299:S299)</f>
        <v>-0.000715845983140818</v>
      </c>
      <c r="U299" s="32" t="n">
        <f aca="false">AVERAGE(J299:S299)</f>
        <v>0.00343403785518535</v>
      </c>
      <c r="V299" s="32" t="n">
        <f aca="false">AVERAGE(D299:I299)</f>
        <v>-0.00763231904701776</v>
      </c>
      <c r="W299" s="32" t="n">
        <f aca="false">AVERAGE(K299,Q299,R299)</f>
        <v>0.020267412873659</v>
      </c>
      <c r="X299" s="32" t="n">
        <f aca="false">AVERAGE(K299,L299,N299,O299,P299,Q299,R299,S299)</f>
        <v>0.00649658540257618</v>
      </c>
      <c r="Y299" s="32" t="n">
        <f aca="false">AVERAGE(J299,L299,M299,N299,O299,P299,Q299,R299,S299)</f>
        <v>0.00434403371321422</v>
      </c>
      <c r="Z299" s="32" t="n">
        <f aca="false">U299-V299</f>
        <v>0.0110663569022031</v>
      </c>
      <c r="AA299" s="32" t="n">
        <f aca="false">W299-V299</f>
        <v>0.0278997319206768</v>
      </c>
    </row>
    <row r="300" customFormat="false" ht="15" hidden="false" customHeight="false" outlineLevel="0" collapsed="false">
      <c r="A300" s="28" t="n">
        <f aca="false">Data_Prices!A300</f>
        <v>45239</v>
      </c>
      <c r="B300" s="32" t="n">
        <f aca="false">Data_Prices!B300/Data_Prices!B299-1</f>
        <v>-0.00247897755033821</v>
      </c>
      <c r="C300" s="32" t="n">
        <f aca="false">Data_Prices!C300/Data_Prices!C299-1</f>
        <v>-0.00236388813247035</v>
      </c>
      <c r="D300" s="32" t="n">
        <f aca="false">Data_Prices!D300/Data_Prices!D299-1</f>
        <v>0.0118507224782562</v>
      </c>
      <c r="E300" s="32" t="n">
        <f aca="false">Data_Prices!E300/Data_Prices!E299-1</f>
        <v>-0.00912792224848957</v>
      </c>
      <c r="F300" s="32" t="n">
        <f aca="false">Data_Prices!F300/Data_Prices!F299-1</f>
        <v>0.00726379027853619</v>
      </c>
      <c r="G300" s="32" t="n">
        <f aca="false">Data_Prices!G300/Data_Prices!G299-1</f>
        <v>-0.00947449597884764</v>
      </c>
      <c r="H300" s="32" t="n">
        <f aca="false">Data_Prices!H300/Data_Prices!H299-1</f>
        <v>0.0128431639032347</v>
      </c>
      <c r="I300" s="32" t="n">
        <f aca="false">Data_Prices!I300/Data_Prices!I299-1</f>
        <v>0.0114403386340236</v>
      </c>
      <c r="J300" s="32" t="n">
        <f aca="false">Data_Prices!J300/Data_Prices!J299-1</f>
        <v>-0.0081855072463769</v>
      </c>
      <c r="K300" s="32" t="n">
        <f aca="false">Data_Prices!K300/Data_Prices!K299-1</f>
        <v>-0.00981234395554254</v>
      </c>
      <c r="L300" s="32" t="n">
        <f aca="false">Data_Prices!L300/Data_Prices!L299-1</f>
        <v>0.00778550496435271</v>
      </c>
      <c r="M300" s="32" t="n">
        <f aca="false">Data_Prices!M300/Data_Prices!M299-1</f>
        <v>0.0137937252073568</v>
      </c>
      <c r="N300" s="32" t="n">
        <f aca="false">Data_Prices!N300/Data_Prices!N299-1</f>
        <v>0.0118676354073599</v>
      </c>
      <c r="O300" s="32" t="n">
        <f aca="false">Data_Prices!O300/Data_Prices!O299-1</f>
        <v>0.0181613929975659</v>
      </c>
      <c r="P300" s="32" t="n">
        <f aca="false">Data_Prices!P300/Data_Prices!P299-1</f>
        <v>-0.00740712747061711</v>
      </c>
      <c r="Q300" s="32" t="n">
        <f aca="false">Data_Prices!Q300/Data_Prices!Q299-1</f>
        <v>-0.00887003470883141</v>
      </c>
      <c r="R300" s="32" t="n">
        <f aca="false">Data_Prices!R300/Data_Prices!R299-1</f>
        <v>0.00240497027189512</v>
      </c>
      <c r="S300" s="32" t="n">
        <f aca="false">Data_Prices!S300/Data_Prices!S299-1</f>
        <v>-0.0183113176571617</v>
      </c>
      <c r="T300" s="32" t="n">
        <f aca="false">AVERAGE(D300:S300)</f>
        <v>0.00163890592979465</v>
      </c>
      <c r="U300" s="32" t="n">
        <f aca="false">AVERAGE(J300:S300)</f>
        <v>0.000142689781000083</v>
      </c>
      <c r="V300" s="32" t="n">
        <f aca="false">AVERAGE(D300:I300)</f>
        <v>0.00413259951111892</v>
      </c>
      <c r="W300" s="32" t="n">
        <f aca="false">AVERAGE(K300,Q300,R300)</f>
        <v>-0.00542580279749294</v>
      </c>
      <c r="X300" s="32" t="n">
        <f aca="false">AVERAGE(K300,L300,N300,O300,P300,Q300,R300,S300)</f>
        <v>-0.000522665018872381</v>
      </c>
      <c r="Y300" s="32" t="n">
        <f aca="false">AVERAGE(J300,L300,M300,N300,O300,P300,Q300,R300,S300)</f>
        <v>0.00124880464061593</v>
      </c>
      <c r="Z300" s="32" t="n">
        <f aca="false">U300-V300</f>
        <v>-0.00398990973011884</v>
      </c>
      <c r="AA300" s="32" t="n">
        <f aca="false">W300-V300</f>
        <v>-0.00955840230861186</v>
      </c>
    </row>
    <row r="301" customFormat="false" ht="15" hidden="false" customHeight="false" outlineLevel="0" collapsed="false">
      <c r="A301" s="28" t="n">
        <f aca="false">Data_Prices!A301</f>
        <v>45240</v>
      </c>
      <c r="B301" s="32" t="n">
        <f aca="false">Data_Prices!B301/Data_Prices!B300-1</f>
        <v>0.00154934442880483</v>
      </c>
      <c r="C301" s="32" t="n">
        <f aca="false">Data_Prices!C301/Data_Prices!C300-1</f>
        <v>0.00218945461092157</v>
      </c>
      <c r="D301" s="32" t="n">
        <f aca="false">Data_Prices!D301/Data_Prices!D300-1</f>
        <v>0.00609568165473795</v>
      </c>
      <c r="E301" s="32" t="n">
        <f aca="false">Data_Prices!E301/Data_Prices!E300-1</f>
        <v>-0.00808536019616946</v>
      </c>
      <c r="F301" s="32" t="n">
        <f aca="false">Data_Prices!F301/Data_Prices!F300-1</f>
        <v>0.00943447378409168</v>
      </c>
      <c r="G301" s="32" t="n">
        <f aca="false">Data_Prices!G301/Data_Prices!G300-1</f>
        <v>0.00533867200533855</v>
      </c>
      <c r="H301" s="32" t="n">
        <f aca="false">Data_Prices!H301/Data_Prices!H300-1</f>
        <v>-0.00221402214022137</v>
      </c>
      <c r="I301" s="32" t="n">
        <f aca="false">Data_Prices!I301/Data_Prices!I300-1</f>
        <v>-0.0186630471666102</v>
      </c>
      <c r="J301" s="32" t="n">
        <f aca="false">Data_Prices!J301/Data_Prices!J300-1</f>
        <v>-0.000911811465444612</v>
      </c>
      <c r="K301" s="32" t="n">
        <f aca="false">Data_Prices!K301/Data_Prices!K300-1</f>
        <v>0.00786259438502324</v>
      </c>
      <c r="L301" s="32" t="n">
        <f aca="false">Data_Prices!L301/Data_Prices!L300-1</f>
        <v>-0.00329846794843969</v>
      </c>
      <c r="M301" s="32" t="n">
        <f aca="false">Data_Prices!M301/Data_Prices!M300-1</f>
        <v>0.00767748629020315</v>
      </c>
      <c r="N301" s="32" t="n">
        <f aca="false">Data_Prices!N301/Data_Prices!N300-1</f>
        <v>-0.000649729279466826</v>
      </c>
      <c r="O301" s="32" t="n">
        <f aca="false">Data_Prices!O301/Data_Prices!O300-1</f>
        <v>-0.00128723795513042</v>
      </c>
      <c r="P301" s="32" t="n">
        <f aca="false">Data_Prices!P301/Data_Prices!P300-1</f>
        <v>-0.03045878545593</v>
      </c>
      <c r="Q301" s="32" t="n">
        <f aca="false">Data_Prices!Q301/Data_Prices!Q300-1</f>
        <v>0.0119325551232166</v>
      </c>
      <c r="R301" s="32" t="n">
        <f aca="false">Data_Prices!R301/Data_Prices!R300-1</f>
        <v>0.00426524491836067</v>
      </c>
      <c r="S301" s="32" t="n">
        <f aca="false">Data_Prices!S301/Data_Prices!S300-1</f>
        <v>0.00452814654728817</v>
      </c>
      <c r="T301" s="32" t="n">
        <f aca="false">AVERAGE(D301:S301)</f>
        <v>-0.000527100431197032</v>
      </c>
      <c r="U301" s="32" t="n">
        <f aca="false">AVERAGE(J301:S301)</f>
        <v>-3.40004840319708E-005</v>
      </c>
      <c r="V301" s="32" t="n">
        <f aca="false">AVERAGE(D301:I301)</f>
        <v>-0.00134893367647213</v>
      </c>
      <c r="W301" s="32" t="n">
        <f aca="false">AVERAGE(K301,Q301,R301)</f>
        <v>0.00802013147553349</v>
      </c>
      <c r="X301" s="32" t="n">
        <f aca="false">AVERAGE(K301,L301,N301,O301,P301,Q301,R301,S301)</f>
        <v>-0.000888209958134781</v>
      </c>
      <c r="Y301" s="32" t="n">
        <f aca="false">AVERAGE(J301,L301,M301,N301,O301,P301,Q301,R301,S301)</f>
        <v>-0.000911399913926994</v>
      </c>
      <c r="Z301" s="32" t="n">
        <f aca="false">U301-V301</f>
        <v>0.00131493319244016</v>
      </c>
      <c r="AA301" s="32" t="n">
        <f aca="false">W301-V301</f>
        <v>0.00936906515200562</v>
      </c>
    </row>
    <row r="302" customFormat="false" ht="15" hidden="false" customHeight="false" outlineLevel="0" collapsed="false">
      <c r="A302" s="28" t="n">
        <f aca="false">Data_Prices!A302</f>
        <v>45242</v>
      </c>
      <c r="B302" s="32" t="n">
        <f aca="false">Data_Prices!B302/Data_Prices!B301-1</f>
        <v>0.00515820821761248</v>
      </c>
      <c r="C302" s="32" t="n">
        <f aca="false">Data_Prices!C302/Data_Prices!C301-1</f>
        <v>0.00605565406858832</v>
      </c>
      <c r="D302" s="32" t="n">
        <f aca="false">Data_Prices!D302/Data_Prices!D301-1</f>
        <v>0.0272643725109771</v>
      </c>
      <c r="E302" s="32" t="n">
        <f aca="false">Data_Prices!E302/Data_Prices!E301-1</f>
        <v>0.0108906260439634</v>
      </c>
      <c r="F302" s="32" t="n">
        <f aca="false">Data_Prices!F302/Data_Prices!F301-1</f>
        <v>0.0221303110060698</v>
      </c>
      <c r="G302" s="32" t="n">
        <f aca="false">Data_Prices!G302/Data_Prices!G301-1</f>
        <v>0.00232326584799214</v>
      </c>
      <c r="H302" s="32" t="n">
        <f aca="false">Data_Prices!H302/Data_Prices!H301-1</f>
        <v>0.00571543840774602</v>
      </c>
      <c r="I302" s="32" t="n">
        <f aca="false">Data_Prices!I302/Data_Prices!I301-1</f>
        <v>0.0142923005993545</v>
      </c>
      <c r="J302" s="32" t="n">
        <f aca="false">Data_Prices!J302/Data_Prices!J301-1</f>
        <v>0.00727774787634838</v>
      </c>
      <c r="K302" s="32" t="n">
        <f aca="false">Data_Prices!K302/Data_Prices!K301-1</f>
        <v>0.00162750346348872</v>
      </c>
      <c r="L302" s="32" t="n">
        <f aca="false">Data_Prices!L302/Data_Prices!L301-1</f>
        <v>0.00195950359242336</v>
      </c>
      <c r="M302" s="32" t="n">
        <f aca="false">Data_Prices!M302/Data_Prices!M301-1</f>
        <v>0.00470671294934411</v>
      </c>
      <c r="N302" s="32" t="n">
        <f aca="false">Data_Prices!N302/Data_Prices!N301-1</f>
        <v>0.011819424532391</v>
      </c>
      <c r="O302" s="32" t="n">
        <f aca="false">Data_Prices!O302/Data_Prices!O301-1</f>
        <v>-0.00110476891916778</v>
      </c>
      <c r="P302" s="32" t="n">
        <f aca="false">Data_Prices!P302/Data_Prices!P301-1</f>
        <v>0.00895346554093868</v>
      </c>
      <c r="Q302" s="32" t="n">
        <f aca="false">Data_Prices!Q302/Data_Prices!Q301-1</f>
        <v>0.0130735708792615</v>
      </c>
      <c r="R302" s="32" t="n">
        <f aca="false">Data_Prices!R302/Data_Prices!R301-1</f>
        <v>0.00862698254695071</v>
      </c>
      <c r="S302" s="32" t="n">
        <f aca="false">Data_Prices!S302/Data_Prices!S301-1</f>
        <v>0.00566028070894364</v>
      </c>
      <c r="T302" s="32" t="n">
        <f aca="false">AVERAGE(D302:S302)</f>
        <v>0.00907604609918909</v>
      </c>
      <c r="U302" s="32" t="n">
        <f aca="false">AVERAGE(J302:S302)</f>
        <v>0.00626004231709224</v>
      </c>
      <c r="V302" s="32" t="n">
        <f aca="false">AVERAGE(D302:I302)</f>
        <v>0.0137693857360172</v>
      </c>
      <c r="W302" s="32" t="n">
        <f aca="false">AVERAGE(K302,Q302,R302)</f>
        <v>0.00777601896323366</v>
      </c>
      <c r="X302" s="32" t="n">
        <f aca="false">AVERAGE(K302,L302,N302,O302,P302,Q302,R302,S302)</f>
        <v>0.00632699529315374</v>
      </c>
      <c r="Y302" s="32" t="n">
        <f aca="false">AVERAGE(J302,L302,M302,N302,O302,P302,Q302,R302,S302)</f>
        <v>0.00677476885638152</v>
      </c>
      <c r="Z302" s="32" t="n">
        <f aca="false">U302-V302</f>
        <v>-0.00750934341892492</v>
      </c>
      <c r="AA302" s="32" t="n">
        <f aca="false">W302-V302</f>
        <v>-0.0059933667727835</v>
      </c>
    </row>
    <row r="303" customFormat="false" ht="15" hidden="false" customHeight="false" outlineLevel="0" collapsed="false">
      <c r="A303" s="28" t="n">
        <f aca="false">Data_Prices!A303</f>
        <v>45243</v>
      </c>
      <c r="B303" s="32" t="n">
        <f aca="false">Data_Prices!B303/Data_Prices!B302-1</f>
        <v>-0.00419962561874054</v>
      </c>
      <c r="C303" s="32" t="n">
        <f aca="false">Data_Prices!C303/Data_Prices!C302-1</f>
        <v>-0.00244800156672098</v>
      </c>
      <c r="D303" s="32" t="n">
        <f aca="false">Data_Prices!D303/Data_Prices!D302-1</f>
        <v>0.00742213386348589</v>
      </c>
      <c r="E303" s="32" t="n">
        <f aca="false">Data_Prices!E303/Data_Prices!E302-1</f>
        <v>-0.0103106411103767</v>
      </c>
      <c r="F303" s="32" t="n">
        <f aca="false">Data_Prices!F303/Data_Prices!F302-1</f>
        <v>-0.00210205475852643</v>
      </c>
      <c r="G303" s="32" t="n">
        <f aca="false">Data_Prices!G303/Data_Prices!G302-1</f>
        <v>-0.00496688741721851</v>
      </c>
      <c r="H303" s="32" t="n">
        <f aca="false">Data_Prices!H303/Data_Prices!H302-1</f>
        <v>0.0367720799625593</v>
      </c>
      <c r="I303" s="32" t="n">
        <f aca="false">Data_Prices!I303/Data_Prices!I302-1</f>
        <v>0.000113636363636482</v>
      </c>
      <c r="J303" s="32" t="n">
        <f aca="false">Data_Prices!J303/Data_Prices!J302-1</f>
        <v>-0.00743425332218195</v>
      </c>
      <c r="K303" s="32" t="n">
        <f aca="false">Data_Prices!K303/Data_Prices!K302-1</f>
        <v>-0.0128914433045065</v>
      </c>
      <c r="L303" s="32" t="n">
        <f aca="false">Data_Prices!L303/Data_Prices!L302-1</f>
        <v>-0.00139069969578431</v>
      </c>
      <c r="M303" s="32" t="n">
        <f aca="false">Data_Prices!M303/Data_Prices!M302-1</f>
        <v>0.00951572290214919</v>
      </c>
      <c r="N303" s="32" t="n">
        <f aca="false">Data_Prices!N303/Data_Prices!N302-1</f>
        <v>-0.00224071175549878</v>
      </c>
      <c r="O303" s="32" t="n">
        <f aca="false">Data_Prices!O303/Data_Prices!O302-1</f>
        <v>0.00313364055299537</v>
      </c>
      <c r="P303" s="32" t="n">
        <f aca="false">Data_Prices!P303/Data_Prices!P302-1</f>
        <v>0.00447592729537227</v>
      </c>
      <c r="Q303" s="32" t="n">
        <f aca="false">Data_Prices!Q303/Data_Prices!Q302-1</f>
        <v>-0.0037955465587044</v>
      </c>
      <c r="R303" s="32" t="n">
        <f aca="false">Data_Prices!R303/Data_Prices!R302-1</f>
        <v>-0.0092111323113363</v>
      </c>
      <c r="S303" s="32" t="n">
        <f aca="false">Data_Prices!S303/Data_Prices!S302-1</f>
        <v>0.00231758563606266</v>
      </c>
      <c r="T303" s="32" t="n">
        <f aca="false">AVERAGE(D303:S303)</f>
        <v>0.00058795977138295</v>
      </c>
      <c r="U303" s="32" t="n">
        <f aca="false">AVERAGE(J303:S303)</f>
        <v>-0.00175209105614328</v>
      </c>
      <c r="V303" s="32" t="n">
        <f aca="false">AVERAGE(D303:I303)</f>
        <v>0.00448804448392666</v>
      </c>
      <c r="W303" s="32" t="n">
        <f aca="false">AVERAGE(K303,Q303,R303)</f>
        <v>-0.00863270739151575</v>
      </c>
      <c r="X303" s="32" t="n">
        <f aca="false">AVERAGE(K303,L303,N303,O303,P303,Q303,R303,S303)</f>
        <v>-0.002450297517675</v>
      </c>
      <c r="Y303" s="32" t="n">
        <f aca="false">AVERAGE(J303,L303,M303,N303,O303,P303,Q303,R303,S303)</f>
        <v>-0.000514385250769584</v>
      </c>
      <c r="Z303" s="32" t="n">
        <f aca="false">U303-V303</f>
        <v>-0.00624013554006994</v>
      </c>
      <c r="AA303" s="32" t="n">
        <f aca="false">W303-V303</f>
        <v>-0.0131207518754424</v>
      </c>
    </row>
    <row r="304" customFormat="false" ht="15" hidden="false" customHeight="false" outlineLevel="0" collapsed="false">
      <c r="A304" s="28" t="n">
        <f aca="false">Data_Prices!A304</f>
        <v>45245</v>
      </c>
      <c r="B304" s="32" t="n">
        <f aca="false">Data_Prices!B304/Data_Prices!B303-1</f>
        <v>0.0119268343486658</v>
      </c>
      <c r="C304" s="32" t="n">
        <f aca="false">Data_Prices!C304/Data_Prices!C303-1</f>
        <v>0.0109391059323503</v>
      </c>
      <c r="D304" s="32" t="n">
        <f aca="false">Data_Prices!D304/Data_Prices!D303-1</f>
        <v>-0.0199644783581109</v>
      </c>
      <c r="E304" s="32" t="n">
        <f aca="false">Data_Prices!E304/Data_Prices!E303-1</f>
        <v>0.00480833444637363</v>
      </c>
      <c r="F304" s="32" t="n">
        <f aca="false">Data_Prices!F304/Data_Prices!F303-1</f>
        <v>0.017220496076676</v>
      </c>
      <c r="G304" s="32" t="n">
        <f aca="false">Data_Prices!G304/Data_Prices!G303-1</f>
        <v>0.0341652800887409</v>
      </c>
      <c r="H304" s="32" t="n">
        <f aca="false">Data_Prices!H304/Data_Prices!H303-1</f>
        <v>0.0197975108015735</v>
      </c>
      <c r="I304" s="32" t="n">
        <f aca="false">Data_Prices!I304/Data_Prices!I303-1</f>
        <v>0.00477218497897969</v>
      </c>
      <c r="J304" s="32" t="n">
        <f aca="false">Data_Prices!J304/Data_Prices!J303-1</f>
        <v>0.00353431326654818</v>
      </c>
      <c r="K304" s="32" t="n">
        <f aca="false">Data_Prices!K304/Data_Prices!K303-1</f>
        <v>-0.018542199488491</v>
      </c>
      <c r="L304" s="32" t="n">
        <f aca="false">Data_Prices!L304/Data_Prices!L303-1</f>
        <v>0.0155366002263033</v>
      </c>
      <c r="M304" s="32" t="n">
        <f aca="false">Data_Prices!M304/Data_Prices!M303-1</f>
        <v>-0.028626120247107</v>
      </c>
      <c r="N304" s="32" t="n">
        <f aca="false">Data_Prices!N304/Data_Prices!N303-1</f>
        <v>0.014448719430638</v>
      </c>
      <c r="O304" s="32" t="n">
        <f aca="false">Data_Prices!O304/Data_Prices!O303-1</f>
        <v>0.0158030135979417</v>
      </c>
      <c r="P304" s="32" t="n">
        <f aca="false">Data_Prices!P304/Data_Prices!P303-1</f>
        <v>0.0113918164910103</v>
      </c>
      <c r="Q304" s="32" t="n">
        <f aca="false">Data_Prices!Q304/Data_Prices!Q303-1</f>
        <v>-0.00254000508001018</v>
      </c>
      <c r="R304" s="32" t="n">
        <f aca="false">Data_Prices!R304/Data_Prices!R303-1</f>
        <v>0.0181286938043694</v>
      </c>
      <c r="S304" s="32" t="n">
        <f aca="false">Data_Prices!S304/Data_Prices!S303-1</f>
        <v>0.0345309482671004</v>
      </c>
      <c r="T304" s="32" t="n">
        <f aca="false">AVERAGE(D304:S304)</f>
        <v>0.00777906926890849</v>
      </c>
      <c r="U304" s="32" t="n">
        <f aca="false">AVERAGE(J304:S304)</f>
        <v>0.00636657802683031</v>
      </c>
      <c r="V304" s="32" t="n">
        <f aca="false">AVERAGE(D304:I304)</f>
        <v>0.0101332213390388</v>
      </c>
      <c r="W304" s="32" t="n">
        <f aca="false">AVERAGE(K304,Q304,R304)</f>
        <v>-0.000984503588043917</v>
      </c>
      <c r="X304" s="32" t="n">
        <f aca="false">AVERAGE(K304,L304,N304,O304,P304,Q304,R304,S304)</f>
        <v>0.0110946984061077</v>
      </c>
      <c r="Y304" s="32" t="n">
        <f aca="false">AVERAGE(J304,L304,M304,N304,O304,P304,Q304,R304,S304)</f>
        <v>0.00913421997297712</v>
      </c>
      <c r="Z304" s="32" t="n">
        <f aca="false">U304-V304</f>
        <v>-0.0037666433122085</v>
      </c>
      <c r="AA304" s="32" t="n">
        <f aca="false">W304-V304</f>
        <v>-0.0111177249270827</v>
      </c>
    </row>
    <row r="305" customFormat="false" ht="15" hidden="false" customHeight="false" outlineLevel="0" collapsed="false">
      <c r="A305" s="28" t="n">
        <f aca="false">Data_Prices!A305</f>
        <v>45246</v>
      </c>
      <c r="B305" s="32" t="n">
        <f aca="false">Data_Prices!B305/Data_Prices!B304-1</f>
        <v>0.00456152209987581</v>
      </c>
      <c r="C305" s="32" t="n">
        <f aca="false">Data_Prices!C305/Data_Prices!C304-1</f>
        <v>0.00485776542790317</v>
      </c>
      <c r="D305" s="32" t="n">
        <f aca="false">Data_Prices!D305/Data_Prices!D304-1</f>
        <v>-0.000604087659831443</v>
      </c>
      <c r="E305" s="32" t="n">
        <f aca="false">Data_Prices!E305/Data_Prices!E304-1</f>
        <v>-0.00372191944702904</v>
      </c>
      <c r="F305" s="32" t="n">
        <f aca="false">Data_Prices!F305/Data_Prices!F304-1</f>
        <v>-0.0138745081797473</v>
      </c>
      <c r="G305" s="32" t="n">
        <f aca="false">Data_Prices!G305/Data_Prices!G304-1</f>
        <v>-0.00836640566341307</v>
      </c>
      <c r="H305" s="32" t="n">
        <f aca="false">Data_Prices!H305/Data_Prices!H304-1</f>
        <v>-0.0184646515745542</v>
      </c>
      <c r="I305" s="32" t="n">
        <f aca="false">Data_Prices!I305/Data_Prices!I304-1</f>
        <v>-0.00735044668099061</v>
      </c>
      <c r="J305" s="32" t="n">
        <f aca="false">Data_Prices!J305/Data_Prices!J304-1</f>
        <v>-0.0143906705539358</v>
      </c>
      <c r="K305" s="32" t="n">
        <f aca="false">Data_Prices!K305/Data_Prices!K304-1</f>
        <v>0.0191142837341465</v>
      </c>
      <c r="L305" s="32" t="n">
        <f aca="false">Data_Prices!L305/Data_Prices!L304-1</f>
        <v>-0.00124276837368764</v>
      </c>
      <c r="M305" s="32" t="n">
        <f aca="false">Data_Prices!M305/Data_Prices!M304-1</f>
        <v>-0.00089573629523465</v>
      </c>
      <c r="N305" s="32" t="n">
        <f aca="false">Data_Prices!N305/Data_Prices!N304-1</f>
        <v>0.015577693134095</v>
      </c>
      <c r="O305" s="32" t="n">
        <f aca="false">Data_Prices!O305/Data_Prices!O304-1</f>
        <v>-0.00343704775687403</v>
      </c>
      <c r="P305" s="32" t="n">
        <f aca="false">Data_Prices!P305/Data_Prices!P304-1</f>
        <v>0.0158991648149567</v>
      </c>
      <c r="Q305" s="32" t="n">
        <f aca="false">Data_Prices!Q305/Data_Prices!Q304-1</f>
        <v>-0.0233002291825821</v>
      </c>
      <c r="R305" s="32" t="n">
        <f aca="false">Data_Prices!R305/Data_Prices!R304-1</f>
        <v>0.00776154448212885</v>
      </c>
      <c r="S305" s="32" t="n">
        <f aca="false">Data_Prices!S305/Data_Prices!S304-1</f>
        <v>0</v>
      </c>
      <c r="T305" s="32" t="n">
        <f aca="false">AVERAGE(D305:S305)</f>
        <v>-0.00233098657515957</v>
      </c>
      <c r="U305" s="32" t="n">
        <f aca="false">AVERAGE(J305:S305)</f>
        <v>0.00150862340030127</v>
      </c>
      <c r="V305" s="32" t="n">
        <f aca="false">AVERAGE(D305:I305)</f>
        <v>-0.00873033653426096</v>
      </c>
      <c r="W305" s="32" t="n">
        <f aca="false">AVERAGE(K305,Q305,R305)</f>
        <v>0.0011918663445644</v>
      </c>
      <c r="X305" s="32" t="n">
        <f aca="false">AVERAGE(K305,L305,N305,O305,P305,Q305,R305,S305)</f>
        <v>0.0037965801065229</v>
      </c>
      <c r="Y305" s="32" t="n">
        <f aca="false">AVERAGE(J305,L305,M305,N305,O305,P305,Q305,R305,S305)</f>
        <v>-0.000447561081237089</v>
      </c>
      <c r="Z305" s="32" t="n">
        <f aca="false">U305-V305</f>
        <v>0.0102389599345622</v>
      </c>
      <c r="AA305" s="32" t="n">
        <f aca="false">W305-V305</f>
        <v>0.00992220287882535</v>
      </c>
    </row>
    <row r="306" customFormat="false" ht="15" hidden="false" customHeight="false" outlineLevel="0" collapsed="false">
      <c r="A306" s="28" t="n">
        <f aca="false">Data_Prices!A306</f>
        <v>45247</v>
      </c>
      <c r="B306" s="32" t="n">
        <f aca="false">Data_Prices!B306/Data_Prices!B305-1</f>
        <v>-0.00168983870641337</v>
      </c>
      <c r="C306" s="32" t="n">
        <f aca="false">Data_Prices!C306/Data_Prices!C305-1</f>
        <v>0.000420619447397019</v>
      </c>
      <c r="D306" s="32" t="n">
        <f aca="false">Data_Prices!D306/Data_Prices!D305-1</f>
        <v>-0.0299204137143625</v>
      </c>
      <c r="E306" s="32" t="n">
        <f aca="false">Data_Prices!E306/Data_Prices!E305-1</f>
        <v>0.0226817878585723</v>
      </c>
      <c r="F306" s="32" t="n">
        <f aca="false">Data_Prices!F306/Data_Prices!F305-1</f>
        <v>-0.0173771524569508</v>
      </c>
      <c r="G306" s="32" t="n">
        <f aca="false">Data_Prices!G306/Data_Prices!G305-1</f>
        <v>0.00778799351000536</v>
      </c>
      <c r="H306" s="32" t="n">
        <f aca="false">Data_Prices!H306/Data_Prices!H305-1</f>
        <v>0.0418116222136322</v>
      </c>
      <c r="I306" s="32" t="n">
        <f aca="false">Data_Prices!I306/Data_Prices!I305-1</f>
        <v>-0.0277967646388699</v>
      </c>
      <c r="J306" s="32" t="n">
        <f aca="false">Data_Prices!J306/Data_Prices!J305-1</f>
        <v>-0.0405130389512046</v>
      </c>
      <c r="K306" s="32" t="n">
        <f aca="false">Data_Prices!K306/Data_Prices!K305-1</f>
        <v>-0.0192046134595506</v>
      </c>
      <c r="L306" s="32" t="n">
        <f aca="false">Data_Prices!L306/Data_Prices!L305-1</f>
        <v>-0.0333819617265939</v>
      </c>
      <c r="M306" s="32" t="n">
        <f aca="false">Data_Prices!M306/Data_Prices!M305-1</f>
        <v>-0.0407626561472714</v>
      </c>
      <c r="N306" s="32" t="n">
        <f aca="false">Data_Prices!N306/Data_Prices!N305-1</f>
        <v>-0.0334823932939046</v>
      </c>
      <c r="O306" s="32" t="n">
        <f aca="false">Data_Prices!O306/Data_Prices!O305-1</f>
        <v>-0.00599019785805033</v>
      </c>
      <c r="P306" s="32" t="n">
        <f aca="false">Data_Prices!P306/Data_Prices!P305-1</f>
        <v>0.0101821473017309</v>
      </c>
      <c r="Q306" s="32" t="n">
        <f aca="false">Data_Prices!Q306/Data_Prices!Q305-1</f>
        <v>-0.0323295528614263</v>
      </c>
      <c r="R306" s="32" t="n">
        <f aca="false">Data_Prices!R306/Data_Prices!R305-1</f>
        <v>-0.0513882596595688</v>
      </c>
      <c r="S306" s="32" t="n">
        <f aca="false">Data_Prices!S306/Data_Prices!S305-1</f>
        <v>-0.0201154365712882</v>
      </c>
      <c r="T306" s="32" t="n">
        <f aca="false">AVERAGE(D306:S306)</f>
        <v>-0.0168624306534438</v>
      </c>
      <c r="U306" s="32" t="n">
        <f aca="false">AVERAGE(J306:S306)</f>
        <v>-0.0266985963227128</v>
      </c>
      <c r="V306" s="32" t="n">
        <f aca="false">AVERAGE(D306:I306)</f>
        <v>-0.000468821204662221</v>
      </c>
      <c r="W306" s="32" t="n">
        <f aca="false">AVERAGE(K306,Q306,R306)</f>
        <v>-0.0343074753268486</v>
      </c>
      <c r="X306" s="32" t="n">
        <f aca="false">AVERAGE(K306,L306,N306,O306,P306,Q306,R306,S306)</f>
        <v>-0.0232137835160815</v>
      </c>
      <c r="Y306" s="32" t="n">
        <f aca="false">AVERAGE(J306,L306,M306,N306,O306,P306,Q306,R306,S306)</f>
        <v>-0.0275312610852864</v>
      </c>
      <c r="Z306" s="32" t="n">
        <f aca="false">U306-V306</f>
        <v>-0.0262297751180506</v>
      </c>
      <c r="AA306" s="32" t="n">
        <f aca="false">W306-V306</f>
        <v>-0.0338386541221863</v>
      </c>
    </row>
    <row r="307" customFormat="false" ht="15" hidden="false" customHeight="false" outlineLevel="0" collapsed="false">
      <c r="A307" s="28" t="n">
        <f aca="false">Data_Prices!A307</f>
        <v>45250</v>
      </c>
      <c r="B307" s="32" t="n">
        <f aca="false">Data_Prices!B307/Data_Prices!B306-1</f>
        <v>-0.00191568939478404</v>
      </c>
      <c r="C307" s="32" t="n">
        <f aca="false">Data_Prices!C307/Data_Prices!C306-1</f>
        <v>-0.00152552484304413</v>
      </c>
      <c r="D307" s="32" t="n">
        <f aca="false">Data_Prices!D307/Data_Prices!D306-1</f>
        <v>0.0408127942398227</v>
      </c>
      <c r="E307" s="32" t="n">
        <f aca="false">Data_Prices!E307/Data_Prices!E306-1</f>
        <v>0.00893672537508161</v>
      </c>
      <c r="F307" s="32" t="n">
        <f aca="false">Data_Prices!F307/Data_Prices!F306-1</f>
        <v>0.00764011326601488</v>
      </c>
      <c r="G307" s="32" t="n">
        <f aca="false">Data_Prices!G307/Data_Prices!G306-1</f>
        <v>-0.00268326714607703</v>
      </c>
      <c r="H307" s="32" t="n">
        <f aca="false">Data_Prices!H307/Data_Prices!H306-1</f>
        <v>0.0140993135860492</v>
      </c>
      <c r="I307" s="32" t="n">
        <f aca="false">Data_Prices!I307/Data_Prices!I306-1</f>
        <v>-0.0162877900164049</v>
      </c>
      <c r="J307" s="32" t="n">
        <f aca="false">Data_Prices!J307/Data_Prices!J306-1</f>
        <v>0.0786760716223549</v>
      </c>
      <c r="K307" s="32" t="n">
        <f aca="false">Data_Prices!K307/Data_Prices!K306-1</f>
        <v>-0.0211060572442867</v>
      </c>
      <c r="L307" s="32" t="n">
        <f aca="false">Data_Prices!L307/Data_Prices!L306-1</f>
        <v>0.000221946022727293</v>
      </c>
      <c r="M307" s="32" t="n">
        <f aca="false">Data_Prices!M307/Data_Prices!M306-1</f>
        <v>0.0158576858371238</v>
      </c>
      <c r="N307" s="32" t="n">
        <f aca="false">Data_Prices!N307/Data_Prices!N306-1</f>
        <v>-0.020695830984047</v>
      </c>
      <c r="O307" s="32" t="n">
        <f aca="false">Data_Prices!O307/Data_Prices!O306-1</f>
        <v>0.00602629656683695</v>
      </c>
      <c r="P307" s="32" t="n">
        <f aca="false">Data_Prices!P307/Data_Prices!P306-1</f>
        <v>-0.00933288535483634</v>
      </c>
      <c r="Q307" s="32" t="n">
        <f aca="false">Data_Prices!Q307/Data_Prices!Q306-1</f>
        <v>-0.0220934931968206</v>
      </c>
      <c r="R307" s="32" t="n">
        <f aca="false">Data_Prices!R307/Data_Prices!R306-1</f>
        <v>0.01371358395306</v>
      </c>
      <c r="S307" s="32" t="n">
        <f aca="false">Data_Prices!S307/Data_Prices!S306-1</f>
        <v>-0.00293262482454371</v>
      </c>
      <c r="T307" s="32" t="n">
        <f aca="false">AVERAGE(D307:S307)</f>
        <v>0.00567828635637843</v>
      </c>
      <c r="U307" s="32" t="n">
        <f aca="false">AVERAGE(J307:S307)</f>
        <v>0.00383346923975685</v>
      </c>
      <c r="V307" s="32" t="n">
        <f aca="false">AVERAGE(D307:I307)</f>
        <v>0.00875298155074774</v>
      </c>
      <c r="W307" s="32" t="n">
        <f aca="false">AVERAGE(K307,Q307,R307)</f>
        <v>-0.00982865549601578</v>
      </c>
      <c r="X307" s="32" t="n">
        <f aca="false">AVERAGE(K307,L307,N307,O307,P307,Q307,R307,S307)</f>
        <v>-0.00702488313273877</v>
      </c>
      <c r="Y307" s="32" t="n">
        <f aca="false">AVERAGE(J307,L307,M307,N307,O307,P307,Q307,R307,S307)</f>
        <v>0.00660452773798391</v>
      </c>
      <c r="Z307" s="32" t="n">
        <f aca="false">U307-V307</f>
        <v>-0.00491951231099089</v>
      </c>
      <c r="AA307" s="32" t="n">
        <f aca="false">W307-V307</f>
        <v>-0.0185816370467635</v>
      </c>
    </row>
    <row r="308" customFormat="false" ht="15" hidden="false" customHeight="false" outlineLevel="0" collapsed="false">
      <c r="A308" s="28" t="n">
        <f aca="false">Data_Prices!A308</f>
        <v>45251</v>
      </c>
      <c r="B308" s="32" t="n">
        <f aca="false">Data_Prices!B308/Data_Prices!B307-1</f>
        <v>0.00453945364070285</v>
      </c>
      <c r="C308" s="32" t="n">
        <f aca="false">Data_Prices!C308/Data_Prices!C307-1</f>
        <v>0.00306993709331849</v>
      </c>
      <c r="D308" s="32" t="n">
        <f aca="false">Data_Prices!D308/Data_Prices!D307-1</f>
        <v>0.0150330927595039</v>
      </c>
      <c r="E308" s="32" t="n">
        <f aca="false">Data_Prices!E308/Data_Prices!E307-1</f>
        <v>0.0082110299346998</v>
      </c>
      <c r="F308" s="32" t="n">
        <f aca="false">Data_Prices!F308/Data_Prices!F307-1</f>
        <v>-0.00328738069989398</v>
      </c>
      <c r="G308" s="32" t="n">
        <f aca="false">Data_Prices!G308/Data_Prices!G307-1</f>
        <v>-0.00548859233749466</v>
      </c>
      <c r="H308" s="32" t="n">
        <f aca="false">Data_Prices!H308/Data_Prices!H307-1</f>
        <v>-0.0129276175376548</v>
      </c>
      <c r="I308" s="32" t="n">
        <f aca="false">Data_Prices!I308/Data_Prices!I307-1</f>
        <v>-0.0285884455032758</v>
      </c>
      <c r="J308" s="32" t="n">
        <f aca="false">Data_Prices!J308/Data_Prices!J307-1</f>
        <v>-0.0114779586610574</v>
      </c>
      <c r="K308" s="32" t="n">
        <f aca="false">Data_Prices!K308/Data_Prices!K307-1</f>
        <v>0.00488737781555471</v>
      </c>
      <c r="L308" s="32" t="n">
        <f aca="false">Data_Prices!L308/Data_Prices!L307-1</f>
        <v>-0.0202369857542273</v>
      </c>
      <c r="M308" s="32" t="n">
        <f aca="false">Data_Prices!M308/Data_Prices!M307-1</f>
        <v>0.0628699359033336</v>
      </c>
      <c r="N308" s="32" t="n">
        <f aca="false">Data_Prices!N308/Data_Prices!N307-1</f>
        <v>-0.0166119145189148</v>
      </c>
      <c r="O308" s="32" t="n">
        <f aca="false">Data_Prices!O308/Data_Prices!O307-1</f>
        <v>-0.001089126883282</v>
      </c>
      <c r="P308" s="32" t="n">
        <f aca="false">Data_Prices!P308/Data_Prices!P307-1</f>
        <v>0.00188416173644335</v>
      </c>
      <c r="Q308" s="32" t="n">
        <f aca="false">Data_Prices!Q308/Data_Prices!Q307-1</f>
        <v>-0.00702576112412179</v>
      </c>
      <c r="R308" s="32" t="n">
        <f aca="false">Data_Prices!R308/Data_Prices!R307-1</f>
        <v>-0.0109705209314847</v>
      </c>
      <c r="S308" s="32" t="n">
        <f aca="false">Data_Prices!S308/Data_Prices!S307-1</f>
        <v>0.00548027853892763</v>
      </c>
      <c r="T308" s="32" t="n">
        <f aca="false">AVERAGE(D308:S308)</f>
        <v>-0.00120865170393401</v>
      </c>
      <c r="U308" s="32" t="n">
        <f aca="false">AVERAGE(J308:S308)</f>
        <v>0.000770948612117139</v>
      </c>
      <c r="V308" s="32" t="n">
        <f aca="false">AVERAGE(D308:I308)</f>
        <v>-0.00450798556401925</v>
      </c>
      <c r="W308" s="32" t="n">
        <f aca="false">AVERAGE(K308,Q308,R308)</f>
        <v>-0.00436963474668391</v>
      </c>
      <c r="X308" s="32" t="n">
        <f aca="false">AVERAGE(K308,L308,N308,O308,P308,Q308,R308,S308)</f>
        <v>-0.0054603113901381</v>
      </c>
      <c r="Y308" s="32" t="n">
        <f aca="false">AVERAGE(J308,L308,M308,N308,O308,P308,Q308,R308,S308)</f>
        <v>0.000313567589512965</v>
      </c>
      <c r="Z308" s="32" t="n">
        <f aca="false">U308-V308</f>
        <v>0.00527893417613639</v>
      </c>
      <c r="AA308" s="32" t="n">
        <f aca="false">W308-V308</f>
        <v>0.000138350817335339</v>
      </c>
    </row>
    <row r="309" customFormat="false" ht="15" hidden="false" customHeight="false" outlineLevel="0" collapsed="false">
      <c r="A309" s="28" t="n">
        <f aca="false">Data_Prices!A309</f>
        <v>45252</v>
      </c>
      <c r="B309" s="32" t="n">
        <f aca="false">Data_Prices!B309/Data_Prices!B308-1</f>
        <v>0.00143807434515786</v>
      </c>
      <c r="C309" s="32" t="n">
        <f aca="false">Data_Prices!C309/Data_Prices!C308-1</f>
        <v>5.67292200881475E-006</v>
      </c>
      <c r="D309" s="32" t="n">
        <f aca="false">Data_Prices!D309/Data_Prices!D308-1</f>
        <v>-0.0277204364494249</v>
      </c>
      <c r="E309" s="32" t="n">
        <f aca="false">Data_Prices!E309/Data_Prices!E308-1</f>
        <v>-0.017057842760036</v>
      </c>
      <c r="F309" s="32" t="n">
        <f aca="false">Data_Prices!F309/Data_Prices!F308-1</f>
        <v>-0.0270241515054793</v>
      </c>
      <c r="G309" s="32" t="n">
        <f aca="false">Data_Prices!G309/Data_Prices!G308-1</f>
        <v>-0.0120116870468564</v>
      </c>
      <c r="H309" s="32" t="n">
        <f aca="false">Data_Prices!H309/Data_Prices!H308-1</f>
        <v>-0.000432445789831371</v>
      </c>
      <c r="I309" s="32" t="n">
        <f aca="false">Data_Prices!I309/Data_Prices!I308-1</f>
        <v>-0.0315144083384428</v>
      </c>
      <c r="J309" s="32" t="n">
        <f aca="false">Data_Prices!J309/Data_Prices!J308-1</f>
        <v>0.0182957857241985</v>
      </c>
      <c r="K309" s="32" t="n">
        <f aca="false">Data_Prices!K309/Data_Prices!K308-1</f>
        <v>0.00355254810742234</v>
      </c>
      <c r="L309" s="32" t="n">
        <f aca="false">Data_Prices!L309/Data_Prices!L308-1</f>
        <v>0.015491235222177</v>
      </c>
      <c r="M309" s="32" t="n">
        <f aca="false">Data_Prices!M309/Data_Prices!M308-1</f>
        <v>-0.0251608621634879</v>
      </c>
      <c r="N309" s="32" t="n">
        <f aca="false">Data_Prices!N309/Data_Prices!N308-1</f>
        <v>-0.029359599125239</v>
      </c>
      <c r="O309" s="32" t="n">
        <f aca="false">Data_Prices!O309/Data_Prices!O308-1</f>
        <v>-0.00218062874795555</v>
      </c>
      <c r="P309" s="32" t="n">
        <f aca="false">Data_Prices!P309/Data_Prices!P308-1</f>
        <v>0.00481438296912029</v>
      </c>
      <c r="Q309" s="32" t="n">
        <f aca="false">Data_Prices!Q309/Data_Prices!Q308-1</f>
        <v>0.00416204217536076</v>
      </c>
      <c r="R309" s="32" t="n">
        <f aca="false">Data_Prices!R309/Data_Prices!R308-1</f>
        <v>-0.0041510717931269</v>
      </c>
      <c r="S309" s="32" t="n">
        <f aca="false">Data_Prices!S309/Data_Prices!S308-1</f>
        <v>-0.0113758531889891</v>
      </c>
      <c r="T309" s="32" t="n">
        <f aca="false">AVERAGE(D309:S309)</f>
        <v>-0.00885456204441189</v>
      </c>
      <c r="U309" s="32" t="n">
        <f aca="false">AVERAGE(J309:S309)</f>
        <v>-0.00259120208205196</v>
      </c>
      <c r="V309" s="32" t="n">
        <f aca="false">AVERAGE(D309:I309)</f>
        <v>-0.0192934953150118</v>
      </c>
      <c r="W309" s="32" t="n">
        <f aca="false">AVERAGE(K309,Q309,R309)</f>
        <v>0.00118783949655206</v>
      </c>
      <c r="X309" s="32" t="n">
        <f aca="false">AVERAGE(K309,L309,N309,O309,P309,Q309,R309,S309)</f>
        <v>-0.00238086804765378</v>
      </c>
      <c r="Y309" s="32" t="n">
        <f aca="false">AVERAGE(J309,L309,M309,N309,O309,P309,Q309,R309,S309)</f>
        <v>-0.00327384099199355</v>
      </c>
      <c r="Z309" s="32" t="n">
        <f aca="false">U309-V309</f>
        <v>0.0167022932329598</v>
      </c>
      <c r="AA309" s="32" t="n">
        <f aca="false">W309-V309</f>
        <v>0.0204813348115639</v>
      </c>
    </row>
    <row r="310" customFormat="false" ht="15" hidden="false" customHeight="false" outlineLevel="0" collapsed="false">
      <c r="A310" s="28" t="n">
        <f aca="false">Data_Prices!A310</f>
        <v>45253</v>
      </c>
      <c r="B310" s="32" t="n">
        <f aca="false">Data_Prices!B310/Data_Prices!B309-1</f>
        <v>-0.000497177194456744</v>
      </c>
      <c r="C310" s="32" t="n">
        <f aca="false">Data_Prices!C310/Data_Prices!C309-1</f>
        <v>0.000663728109736361</v>
      </c>
      <c r="D310" s="32" t="n">
        <f aca="false">Data_Prices!D310/Data_Prices!D309-1</f>
        <v>0.00303306035790119</v>
      </c>
      <c r="E310" s="32" t="n">
        <f aca="false">Data_Prices!E310/Data_Prices!E309-1</f>
        <v>-0.00260960334029225</v>
      </c>
      <c r="F310" s="32" t="n">
        <f aca="false">Data_Prices!F310/Data_Prices!F309-1</f>
        <v>-0.040787315472936</v>
      </c>
      <c r="G310" s="32" t="n">
        <f aca="false">Data_Prices!G310/Data_Prices!G309-1</f>
        <v>-0.00339539978094194</v>
      </c>
      <c r="H310" s="32" t="n">
        <f aca="false">Data_Prices!H310/Data_Prices!H309-1</f>
        <v>-0.0126699629171817</v>
      </c>
      <c r="I310" s="32" t="n">
        <f aca="false">Data_Prices!I310/Data_Prices!I309-1</f>
        <v>-0.0224107368954165</v>
      </c>
      <c r="J310" s="32" t="n">
        <f aca="false">Data_Prices!J310/Data_Prices!J309-1</f>
        <v>-0.000272572402044258</v>
      </c>
      <c r="K310" s="32" t="n">
        <f aca="false">Data_Prices!K310/Data_Prices!K309-1</f>
        <v>-0.00768398724486219</v>
      </c>
      <c r="L310" s="32" t="n">
        <f aca="false">Data_Prices!L310/Data_Prices!L309-1</f>
        <v>-0.00530799768053891</v>
      </c>
      <c r="M310" s="32" t="n">
        <f aca="false">Data_Prices!M310/Data_Prices!M309-1</f>
        <v>-0.0228799763208525</v>
      </c>
      <c r="N310" s="32" t="n">
        <f aca="false">Data_Prices!N310/Data_Prices!N309-1</f>
        <v>0.0396324155549248</v>
      </c>
      <c r="O310" s="32" t="n">
        <f aca="false">Data_Prices!O310/Data_Prices!O309-1</f>
        <v>-0.0087415771262066</v>
      </c>
      <c r="P310" s="32" t="n">
        <f aca="false">Data_Prices!P310/Data_Prices!P309-1</f>
        <v>-0.00295714018341764</v>
      </c>
      <c r="Q310" s="32" t="n">
        <f aca="false">Data_Prices!Q310/Data_Prices!Q309-1</f>
        <v>0.0087040618955514</v>
      </c>
      <c r="R310" s="32" t="n">
        <f aca="false">Data_Prices!R310/Data_Prices!R309-1</f>
        <v>0.00990843241765749</v>
      </c>
      <c r="S310" s="32" t="n">
        <f aca="false">Data_Prices!S310/Data_Prices!S309-1</f>
        <v>-0.00113803044863692</v>
      </c>
      <c r="T310" s="32" t="n">
        <f aca="false">AVERAGE(D310:S310)</f>
        <v>-0.00434852059920578</v>
      </c>
      <c r="U310" s="32" t="n">
        <f aca="false">AVERAGE(J310:S310)</f>
        <v>0.000926362846157469</v>
      </c>
      <c r="V310" s="32" t="n">
        <f aca="false">AVERAGE(D310:I310)</f>
        <v>-0.0131399930081445</v>
      </c>
      <c r="W310" s="32" t="n">
        <f aca="false">AVERAGE(K310,Q310,R310)</f>
        <v>0.0036428356894489</v>
      </c>
      <c r="X310" s="32" t="n">
        <f aca="false">AVERAGE(K310,L310,N310,O310,P310,Q310,R310,S310)</f>
        <v>0.00405202214805893</v>
      </c>
      <c r="Y310" s="32" t="n">
        <f aca="false">AVERAGE(J310,L310,M310,N310,O310,P310,Q310,R310,S310)</f>
        <v>0.00188306841182632</v>
      </c>
      <c r="Z310" s="32" t="n">
        <f aca="false">U310-V310</f>
        <v>0.014066355854302</v>
      </c>
      <c r="AA310" s="32" t="n">
        <f aca="false">W310-V310</f>
        <v>0.0167828286975934</v>
      </c>
    </row>
    <row r="311" customFormat="false" ht="15" hidden="false" customHeight="false" outlineLevel="0" collapsed="false">
      <c r="A311" s="28" t="n">
        <f aca="false">Data_Prices!A311</f>
        <v>45254</v>
      </c>
      <c r="B311" s="32" t="n">
        <f aca="false">Data_Prices!B311/Data_Prices!B310-1</f>
        <v>-0.000368649631350304</v>
      </c>
      <c r="C311" s="32" t="n">
        <f aca="false">Data_Prices!C311/Data_Prices!C310-1</f>
        <v>0.000232434209780363</v>
      </c>
      <c r="D311" s="32" t="n">
        <f aca="false">Data_Prices!D311/Data_Prices!D310-1</f>
        <v>-0.00174713570540608</v>
      </c>
      <c r="E311" s="32" t="n">
        <f aca="false">Data_Prices!E311/Data_Prices!E310-1</f>
        <v>-0.0140633176347462</v>
      </c>
      <c r="F311" s="32" t="n">
        <f aca="false">Data_Prices!F311/Data_Prices!F310-1</f>
        <v>0.0103169174646602</v>
      </c>
      <c r="G311" s="32" t="n">
        <f aca="false">Data_Prices!G311/Data_Prices!G310-1</f>
        <v>-0.000659413122321206</v>
      </c>
      <c r="H311" s="32" t="n">
        <f aca="false">Data_Prices!H311/Data_Prices!H310-1</f>
        <v>-0.0194679186228481</v>
      </c>
      <c r="I311" s="32" t="n">
        <f aca="false">Data_Prices!I311/Data_Prices!I310-1</f>
        <v>0.00634632819582959</v>
      </c>
      <c r="J311" s="32" t="n">
        <f aca="false">Data_Prices!J311/Data_Prices!J310-1</f>
        <v>-0.00892918001499565</v>
      </c>
      <c r="K311" s="32" t="n">
        <f aca="false">Data_Prices!K311/Data_Prices!K310-1</f>
        <v>-0.00746036240090597</v>
      </c>
      <c r="L311" s="32" t="n">
        <f aca="false">Data_Prices!L311/Data_Prices!L310-1</f>
        <v>-0.0183856502242152</v>
      </c>
      <c r="M311" s="32" t="n">
        <f aca="false">Data_Prices!M311/Data_Prices!M310-1</f>
        <v>0.0192657215557981</v>
      </c>
      <c r="N311" s="32" t="n">
        <f aca="false">Data_Prices!N311/Data_Prices!N310-1</f>
        <v>0.000750827616804894</v>
      </c>
      <c r="O311" s="32" t="n">
        <f aca="false">Data_Prices!O311/Data_Prices!O310-1</f>
        <v>-0.0303141649825464</v>
      </c>
      <c r="P311" s="32" t="n">
        <f aca="false">Data_Prices!P311/Data_Prices!P310-1</f>
        <v>-0.00514341492716619</v>
      </c>
      <c r="Q311" s="32" t="n">
        <f aca="false">Data_Prices!Q311/Data_Prices!Q310-1</f>
        <v>-0.0194493904944528</v>
      </c>
      <c r="R311" s="32" t="n">
        <f aca="false">Data_Prices!R311/Data_Prices!R310-1</f>
        <v>0.000270654306786522</v>
      </c>
      <c r="S311" s="32" t="n">
        <f aca="false">Data_Prices!S311/Data_Prices!S310-1</f>
        <v>-0.0138491531002355</v>
      </c>
      <c r="T311" s="32" t="n">
        <f aca="false">AVERAGE(D311:S311)</f>
        <v>-0.0064074157556225</v>
      </c>
      <c r="U311" s="32" t="n">
        <f aca="false">AVERAGE(J311:S311)</f>
        <v>-0.00832441126651282</v>
      </c>
      <c r="V311" s="32" t="n">
        <f aca="false">AVERAGE(D311:I311)</f>
        <v>-0.00321242323747197</v>
      </c>
      <c r="W311" s="32" t="n">
        <f aca="false">AVERAGE(K311,Q311,R311)</f>
        <v>-0.00887969952952409</v>
      </c>
      <c r="X311" s="32" t="n">
        <f aca="false">AVERAGE(K311,L311,N311,O311,P311,Q311,R311,S311)</f>
        <v>-0.0116975817757413</v>
      </c>
      <c r="Y311" s="32" t="n">
        <f aca="false">AVERAGE(J311,L311,M311,N311,O311,P311,Q311,R311,S311)</f>
        <v>-0.00842041669602469</v>
      </c>
      <c r="Z311" s="32" t="n">
        <f aca="false">U311-V311</f>
        <v>-0.00511198802904085</v>
      </c>
      <c r="AA311" s="32" t="n">
        <f aca="false">W311-V311</f>
        <v>-0.00566727629205212</v>
      </c>
    </row>
    <row r="312" customFormat="false" ht="15" hidden="false" customHeight="false" outlineLevel="0" collapsed="false">
      <c r="A312" s="28" t="n">
        <f aca="false">Data_Prices!A312</f>
        <v>45258</v>
      </c>
      <c r="B312" s="32" t="n">
        <f aca="false">Data_Prices!B312/Data_Prices!B311-1</f>
        <v>0.0047992644495749</v>
      </c>
      <c r="C312" s="32" t="n">
        <f aca="false">Data_Prices!C312/Data_Prices!C311-1</f>
        <v>0.005571456910477</v>
      </c>
      <c r="D312" s="32" t="n">
        <f aca="false">Data_Prices!D312/Data_Prices!D311-1</f>
        <v>-0.0264211908047525</v>
      </c>
      <c r="E312" s="32" t="n">
        <f aca="false">Data_Prices!E312/Data_Prices!E311-1</f>
        <v>0.00298547070921518</v>
      </c>
      <c r="F312" s="32" t="n">
        <f aca="false">Data_Prices!F312/Data_Prices!F311-1</f>
        <v>-0.0293370944992948</v>
      </c>
      <c r="G312" s="32" t="n">
        <f aca="false">Data_Prices!G312/Data_Prices!G311-1</f>
        <v>0.00670845705487744</v>
      </c>
      <c r="H312" s="32" t="n">
        <f aca="false">Data_Prices!H312/Data_Prices!H311-1</f>
        <v>-0.00242594484167524</v>
      </c>
      <c r="I312" s="32" t="n">
        <f aca="false">Data_Prices!I312/Data_Prices!I311-1</f>
        <v>0.00875160875160863</v>
      </c>
      <c r="J312" s="32" t="n">
        <f aca="false">Data_Prices!J312/Data_Prices!J311-1</f>
        <v>-0.0129527739569005</v>
      </c>
      <c r="K312" s="32" t="n">
        <f aca="false">Data_Prices!K312/Data_Prices!K311-1</f>
        <v>0.0152040277837204</v>
      </c>
      <c r="L312" s="32" t="n">
        <f aca="false">Data_Prices!L312/Data_Prices!L311-1</f>
        <v>0.0107354956601187</v>
      </c>
      <c r="M312" s="32" t="n">
        <f aca="false">Data_Prices!M312/Data_Prices!M311-1</f>
        <v>0.00190204469805022</v>
      </c>
      <c r="N312" s="32" t="n">
        <f aca="false">Data_Prices!N312/Data_Prices!N311-1</f>
        <v>-0.0124305152951609</v>
      </c>
      <c r="O312" s="32" t="n">
        <f aca="false">Data_Prices!O312/Data_Prices!O311-1</f>
        <v>0.0248200075786282</v>
      </c>
      <c r="P312" s="32" t="n">
        <f aca="false">Data_Prices!P312/Data_Prices!P311-1</f>
        <v>0.0134344692252537</v>
      </c>
      <c r="Q312" s="32" t="n">
        <f aca="false">Data_Prices!Q312/Data_Prices!Q311-1</f>
        <v>0.0166224333007403</v>
      </c>
      <c r="R312" s="32" t="n">
        <f aca="false">Data_Prices!R312/Data_Prices!R311-1</f>
        <v>-0.00730568896705675</v>
      </c>
      <c r="S312" s="32" t="n">
        <f aca="false">Data_Prices!S312/Data_Prices!S311-1</f>
        <v>0.00934531450577669</v>
      </c>
      <c r="T312" s="32" t="n">
        <f aca="false">AVERAGE(D312:S312)</f>
        <v>0.0012272575564468</v>
      </c>
      <c r="U312" s="32" t="n">
        <f aca="false">AVERAGE(J312:S312)</f>
        <v>0.00593748145331701</v>
      </c>
      <c r="V312" s="32" t="n">
        <f aca="false">AVERAGE(D312:I312)</f>
        <v>-0.00662311560500354</v>
      </c>
      <c r="W312" s="32" t="n">
        <f aca="false">AVERAGE(K312,Q312,R312)</f>
        <v>0.00817359070580133</v>
      </c>
      <c r="X312" s="32" t="n">
        <f aca="false">AVERAGE(K312,L312,N312,O312,P312,Q312,R312,S312)</f>
        <v>0.00880319297400255</v>
      </c>
      <c r="Y312" s="32" t="n">
        <f aca="false">AVERAGE(J312,L312,M312,N312,O312,P312,Q312,R312,S312)</f>
        <v>0.00490786519438329</v>
      </c>
      <c r="Z312" s="32" t="n">
        <f aca="false">U312-V312</f>
        <v>0.0125605970583205</v>
      </c>
      <c r="AA312" s="32" t="n">
        <f aca="false">W312-V312</f>
        <v>0.0147967063108049</v>
      </c>
    </row>
    <row r="313" customFormat="false" ht="15" hidden="false" customHeight="false" outlineLevel="0" collapsed="false">
      <c r="A313" s="28" t="n">
        <f aca="false">Data_Prices!A313</f>
        <v>45259</v>
      </c>
      <c r="B313" s="32" t="n">
        <f aca="false">Data_Prices!B313/Data_Prices!B312-1</f>
        <v>0.0104023690653956</v>
      </c>
      <c r="C313" s="32" t="n">
        <f aca="false">Data_Prices!C313/Data_Prices!C312-1</f>
        <v>0.00914788803841771</v>
      </c>
      <c r="D313" s="32" t="n">
        <f aca="false">Data_Prices!D313/Data_Prices!D312-1</f>
        <v>-0.00439051372467669</v>
      </c>
      <c r="E313" s="32" t="n">
        <f aca="false">Data_Prices!E313/Data_Prices!E312-1</f>
        <v>0.0177933589099089</v>
      </c>
      <c r="F313" s="32" t="n">
        <f aca="false">Data_Prices!F313/Data_Prices!F312-1</f>
        <v>0.00412670735251375</v>
      </c>
      <c r="G313" s="32" t="n">
        <f aca="false">Data_Prices!G313/Data_Prices!G312-1</f>
        <v>0.0458815818221543</v>
      </c>
      <c r="H313" s="32" t="n">
        <f aca="false">Data_Prices!H313/Data_Prices!H312-1</f>
        <v>0.0226545501087931</v>
      </c>
      <c r="I313" s="32" t="n">
        <f aca="false">Data_Prices!I313/Data_Prices!I312-1</f>
        <v>0.011099770349579</v>
      </c>
      <c r="J313" s="32" t="n">
        <f aca="false">Data_Prices!J313/Data_Prices!J312-1</f>
        <v>-0.00494716060852407</v>
      </c>
      <c r="K313" s="32" t="n">
        <f aca="false">Data_Prices!K313/Data_Prices!K312-1</f>
        <v>0.000351227187794123</v>
      </c>
      <c r="L313" s="32" t="n">
        <f aca="false">Data_Prices!L313/Data_Prices!L312-1</f>
        <v>0.00379661016949151</v>
      </c>
      <c r="M313" s="32" t="n">
        <f aca="false">Data_Prices!M313/Data_Prices!M312-1</f>
        <v>0.00367821547223546</v>
      </c>
      <c r="N313" s="32" t="n">
        <f aca="false">Data_Prices!N313/Data_Prices!N312-1</f>
        <v>0.00587046981024586</v>
      </c>
      <c r="O313" s="32" t="n">
        <f aca="false">Data_Prices!O313/Data_Prices!O312-1</f>
        <v>0.0153447957108523</v>
      </c>
      <c r="P313" s="32" t="n">
        <f aca="false">Data_Prices!P313/Data_Prices!P312-1</f>
        <v>0.0544405138707875</v>
      </c>
      <c r="Q313" s="32" t="n">
        <f aca="false">Data_Prices!Q313/Data_Prices!Q312-1</f>
        <v>0.0570211596592471</v>
      </c>
      <c r="R313" s="32" t="n">
        <f aca="false">Data_Prices!R313/Data_Prices!R312-1</f>
        <v>0.00470187393526422</v>
      </c>
      <c r="S313" s="32" t="n">
        <f aca="false">Data_Prices!S313/Data_Prices!S312-1</f>
        <v>0.00440046802665717</v>
      </c>
      <c r="T313" s="32" t="n">
        <f aca="false">AVERAGE(D313:S313)</f>
        <v>0.0151139767532702</v>
      </c>
      <c r="U313" s="32" t="n">
        <f aca="false">AVERAGE(J313:S313)</f>
        <v>0.0144658173234051</v>
      </c>
      <c r="V313" s="32" t="n">
        <f aca="false">AVERAGE(D313:I313)</f>
        <v>0.0161942424697121</v>
      </c>
      <c r="W313" s="32" t="n">
        <f aca="false">AVERAGE(K313,Q313,R313)</f>
        <v>0.0206914202607685</v>
      </c>
      <c r="X313" s="32" t="n">
        <f aca="false">AVERAGE(K313,L313,N313,O313,P313,Q313,R313,S313)</f>
        <v>0.0182408897962925</v>
      </c>
      <c r="Y313" s="32" t="n">
        <f aca="false">AVERAGE(J313,L313,M313,N313,O313,P313,Q313,R313,S313)</f>
        <v>0.0160341051162508</v>
      </c>
      <c r="Z313" s="32" t="n">
        <f aca="false">U313-V313</f>
        <v>-0.00172842514630693</v>
      </c>
      <c r="AA313" s="32" t="n">
        <f aca="false">W313-V313</f>
        <v>0.00449717779105644</v>
      </c>
    </row>
    <row r="314" customFormat="false" ht="15" hidden="false" customHeight="false" outlineLevel="0" collapsed="false">
      <c r="A314" s="28" t="n">
        <f aca="false">Data_Prices!A314</f>
        <v>45260</v>
      </c>
      <c r="B314" s="32" t="n">
        <f aca="false">Data_Prices!B314/Data_Prices!B313-1</f>
        <v>0.00181871560363467</v>
      </c>
      <c r="C314" s="32" t="n">
        <f aca="false">Data_Prices!C314/Data_Prices!C313-1</f>
        <v>0.00468328483420022</v>
      </c>
      <c r="D314" s="32" t="n">
        <f aca="false">Data_Prices!D314/Data_Prices!D313-1</f>
        <v>-0.000243063995277737</v>
      </c>
      <c r="E314" s="32" t="n">
        <f aca="false">Data_Prices!E314/Data_Prices!E313-1</f>
        <v>0.015272632741925</v>
      </c>
      <c r="F314" s="32" t="n">
        <f aca="false">Data_Prices!F314/Data_Prices!F313-1</f>
        <v>0.0401134521880067</v>
      </c>
      <c r="G314" s="32" t="n">
        <f aca="false">Data_Prices!G314/Data_Prices!G313-1</f>
        <v>0.0260079381658658</v>
      </c>
      <c r="H314" s="32" t="n">
        <f aca="false">Data_Prices!H314/Data_Prices!H313-1</f>
        <v>-0.0317897371714643</v>
      </c>
      <c r="I314" s="32" t="n">
        <f aca="false">Data_Prices!I314/Data_Prices!I313-1</f>
        <v>-0.00290220820189269</v>
      </c>
      <c r="J314" s="32" t="n">
        <f aca="false">Data_Prices!J314/Data_Prices!J313-1</f>
        <v>-0.00366462816861957</v>
      </c>
      <c r="K314" s="32" t="n">
        <f aca="false">Data_Prices!K314/Data_Prices!K313-1</f>
        <v>-0.00115162069546648</v>
      </c>
      <c r="L314" s="32" t="n">
        <f aca="false">Data_Prices!L314/Data_Prices!L313-1</f>
        <v>0.00630375073168543</v>
      </c>
      <c r="M314" s="32" t="n">
        <f aca="false">Data_Prices!M314/Data_Prices!M313-1</f>
        <v>0.00333963825511296</v>
      </c>
      <c r="N314" s="32" t="n">
        <f aca="false">Data_Prices!N314/Data_Prices!N313-1</f>
        <v>0.0145905213107438</v>
      </c>
      <c r="O314" s="32" t="n">
        <f aca="false">Data_Prices!O314/Data_Prices!O313-1</f>
        <v>-0.00109249817916979</v>
      </c>
      <c r="P314" s="32" t="n">
        <f aca="false">Data_Prices!P314/Data_Prices!P313-1</f>
        <v>0.0466504220079813</v>
      </c>
      <c r="Q314" s="32" t="n">
        <f aca="false">Data_Prices!Q314/Data_Prices!Q313-1</f>
        <v>0.0640842324190825</v>
      </c>
      <c r="R314" s="32" t="n">
        <f aca="false">Data_Prices!R314/Data_Prices!R313-1</f>
        <v>0.00264514378730318</v>
      </c>
      <c r="S314" s="32" t="n">
        <f aca="false">Data_Prices!S314/Data_Prices!S313-1</f>
        <v>0.016638387317345</v>
      </c>
      <c r="T314" s="32" t="n">
        <f aca="false">AVERAGE(D314:S314)</f>
        <v>0.0121751476570726</v>
      </c>
      <c r="U314" s="32" t="n">
        <f aca="false">AVERAGE(J314:S314)</f>
        <v>0.0148343348785998</v>
      </c>
      <c r="V314" s="32" t="n">
        <f aca="false">AVERAGE(D314:I314)</f>
        <v>0.00774316895452713</v>
      </c>
      <c r="W314" s="32" t="n">
        <f aca="false">AVERAGE(K314,Q314,R314)</f>
        <v>0.0218592518369731</v>
      </c>
      <c r="X314" s="32" t="n">
        <f aca="false">AVERAGE(K314,L314,N314,O314,P314,Q314,R314,S314)</f>
        <v>0.0185835423374381</v>
      </c>
      <c r="Y314" s="32" t="n">
        <f aca="false">AVERAGE(J314,L314,M314,N314,O314,P314,Q314,R314,S314)</f>
        <v>0.0166105521646072</v>
      </c>
      <c r="Z314" s="32" t="n">
        <f aca="false">U314-V314</f>
        <v>0.0070911659240727</v>
      </c>
      <c r="AA314" s="32" t="n">
        <f aca="false">W314-V314</f>
        <v>0.0141160828824459</v>
      </c>
    </row>
    <row r="315" customFormat="false" ht="15" hidden="false" customHeight="false" outlineLevel="0" collapsed="false">
      <c r="A315" s="28" t="n">
        <f aca="false">Data_Prices!A315</f>
        <v>45261</v>
      </c>
      <c r="B315" s="32" t="n">
        <f aca="false">Data_Prices!B315/Data_Prices!B314-1</f>
        <v>0.00669294174036361</v>
      </c>
      <c r="C315" s="32" t="n">
        <f aca="false">Data_Prices!C315/Data_Prices!C314-1</f>
        <v>0.00708251913086255</v>
      </c>
      <c r="D315" s="32" t="n">
        <f aca="false">Data_Prices!D315/Data_Prices!D314-1</f>
        <v>-0.00962072797999436</v>
      </c>
      <c r="E315" s="32" t="n">
        <f aca="false">Data_Prices!E315/Data_Prices!E314-1</f>
        <v>0.0415439764434771</v>
      </c>
      <c r="F315" s="32" t="n">
        <f aca="false">Data_Prices!F315/Data_Prices!F314-1</f>
        <v>0.023596193444265</v>
      </c>
      <c r="G315" s="32" t="n">
        <f aca="false">Data_Prices!G315/Data_Prices!G314-1</f>
        <v>0.00315585869897173</v>
      </c>
      <c r="H315" s="32" t="n">
        <f aca="false">Data_Prices!H315/Data_Prices!H314-1</f>
        <v>0.00717425025853147</v>
      </c>
      <c r="I315" s="32" t="n">
        <f aca="false">Data_Prices!I315/Data_Prices!I314-1</f>
        <v>0.0198683877499366</v>
      </c>
      <c r="J315" s="32" t="n">
        <f aca="false">Data_Prices!J315/Data_Prices!J314-1</f>
        <v>0.00431064776853685</v>
      </c>
      <c r="K315" s="32" t="n">
        <f aca="false">Data_Prices!K315/Data_Prices!K314-1</f>
        <v>0.0193048564438572</v>
      </c>
      <c r="L315" s="32" t="n">
        <f aca="false">Data_Prices!L315/Data_Prices!L314-1</f>
        <v>0.00962011723119605</v>
      </c>
      <c r="M315" s="32" t="n">
        <f aca="false">Data_Prices!M315/Data_Prices!M314-1</f>
        <v>0.00038292733217471</v>
      </c>
      <c r="N315" s="32" t="n">
        <f aca="false">Data_Prices!N315/Data_Prices!N314-1</f>
        <v>0.00641210008966775</v>
      </c>
      <c r="O315" s="32" t="n">
        <f aca="false">Data_Prices!O315/Data_Prices!O314-1</f>
        <v>-0.00236966824644558</v>
      </c>
      <c r="P315" s="32" t="n">
        <f aca="false">Data_Prices!P315/Data_Prices!P314-1</f>
        <v>-0.0210203117619273</v>
      </c>
      <c r="Q315" s="32" t="n">
        <f aca="false">Data_Prices!Q315/Data_Prices!Q314-1</f>
        <v>0.00134375763498662</v>
      </c>
      <c r="R315" s="32" t="n">
        <f aca="false">Data_Prices!R315/Data_Prices!R314-1</f>
        <v>0.00108232429141597</v>
      </c>
      <c r="S315" s="32" t="n">
        <f aca="false">Data_Prices!S315/Data_Prices!S314-1</f>
        <v>-0.00196791550418496</v>
      </c>
      <c r="T315" s="32" t="n">
        <f aca="false">AVERAGE(D315:S315)</f>
        <v>0.00642604836840405</v>
      </c>
      <c r="U315" s="32" t="n">
        <f aca="false">AVERAGE(J315:S315)</f>
        <v>0.00170988352792772</v>
      </c>
      <c r="V315" s="32" t="n">
        <f aca="false">AVERAGE(D315:I315)</f>
        <v>0.0142863231025313</v>
      </c>
      <c r="W315" s="32" t="n">
        <f aca="false">AVERAGE(K315,Q315,R315)</f>
        <v>0.00724364612341992</v>
      </c>
      <c r="X315" s="32" t="n">
        <f aca="false">AVERAGE(K315,L315,N315,O315,P315,Q315,R315,S315)</f>
        <v>0.00155065752232071</v>
      </c>
      <c r="Y315" s="32" t="n">
        <f aca="false">AVERAGE(J315,L315,M315,N315,O315,P315,Q315,R315,S315)</f>
        <v>-0.000245113462731101</v>
      </c>
      <c r="Z315" s="32" t="n">
        <f aca="false">U315-V315</f>
        <v>-0.0125764395746035</v>
      </c>
      <c r="AA315" s="32" t="n">
        <f aca="false">W315-V315</f>
        <v>-0.00704267697911134</v>
      </c>
    </row>
    <row r="316" customFormat="false" ht="15" hidden="false" customHeight="false" outlineLevel="0" collapsed="false">
      <c r="A316" s="28" t="n">
        <f aca="false">Data_Prices!A316</f>
        <v>45264</v>
      </c>
      <c r="B316" s="32" t="n">
        <f aca="false">Data_Prices!B316/Data_Prices!B315-1</f>
        <v>0.0206681501290216</v>
      </c>
      <c r="C316" s="32" t="n">
        <f aca="false">Data_Prices!C316/Data_Prices!C315-1</f>
        <v>0.0183904810009192</v>
      </c>
      <c r="D316" s="32" t="n">
        <f aca="false">Data_Prices!D316/Data_Prices!D315-1</f>
        <v>0.00999473961073116</v>
      </c>
      <c r="E316" s="32" t="n">
        <f aca="false">Data_Prices!E316/Data_Prices!E315-1</f>
        <v>0.0142584967119415</v>
      </c>
      <c r="F316" s="32" t="n">
        <f aca="false">Data_Prices!F316/Data_Prices!F315-1</f>
        <v>0.0285978361333117</v>
      </c>
      <c r="G316" s="32" t="n">
        <f aca="false">Data_Prices!G316/Data_Prices!G315-1</f>
        <v>0.030140044651918</v>
      </c>
      <c r="H316" s="32" t="n">
        <f aca="false">Data_Prices!H316/Data_Prices!H315-1</f>
        <v>0.02303792594494</v>
      </c>
      <c r="I316" s="32" t="n">
        <f aca="false">Data_Prices!I316/Data_Prices!I315-1</f>
        <v>0.0119121479091699</v>
      </c>
      <c r="J316" s="32" t="n">
        <f aca="false">Data_Prices!J316/Data_Prices!J315-1</f>
        <v>0.00394224264620124</v>
      </c>
      <c r="K316" s="32" t="n">
        <f aca="false">Data_Prices!K316/Data_Prices!K315-1</f>
        <v>0.0204289951031105</v>
      </c>
      <c r="L316" s="32" t="n">
        <f aca="false">Data_Prices!L316/Data_Prices!L315-1</f>
        <v>0.0182148555220705</v>
      </c>
      <c r="M316" s="32" t="n">
        <f aca="false">Data_Prices!M316/Data_Prices!M315-1</f>
        <v>0.00559448795712858</v>
      </c>
      <c r="N316" s="32" t="n">
        <f aca="false">Data_Prices!N316/Data_Prices!N315-1</f>
        <v>0.0327472010220893</v>
      </c>
      <c r="O316" s="32" t="n">
        <f aca="false">Data_Prices!O316/Data_Prices!O315-1</f>
        <v>0.0147999269139412</v>
      </c>
      <c r="P316" s="32" t="n">
        <f aca="false">Data_Prices!P316/Data_Prices!P315-1</f>
        <v>0.00971911080475607</v>
      </c>
      <c r="Q316" s="32" t="n">
        <f aca="false">Data_Prices!Q316/Data_Prices!Q315-1</f>
        <v>0.0231792119067951</v>
      </c>
      <c r="R316" s="32" t="n">
        <f aca="false">Data_Prices!R316/Data_Prices!R315-1</f>
        <v>0.0158794513142779</v>
      </c>
      <c r="S316" s="32" t="n">
        <f aca="false">Data_Prices!S316/Data_Prices!S315-1</f>
        <v>0.0455260202171472</v>
      </c>
      <c r="T316" s="32" t="n">
        <f aca="false">AVERAGE(D316:S316)</f>
        <v>0.0192482933980956</v>
      </c>
      <c r="U316" s="32" t="n">
        <f aca="false">AVERAGE(J316:S316)</f>
        <v>0.0190031503407518</v>
      </c>
      <c r="V316" s="32" t="n">
        <f aca="false">AVERAGE(D316:I316)</f>
        <v>0.0196568651603354</v>
      </c>
      <c r="W316" s="32" t="n">
        <f aca="false">AVERAGE(K316,Q316,R316)</f>
        <v>0.0198292194413945</v>
      </c>
      <c r="X316" s="32" t="n">
        <f aca="false">AVERAGE(K316,L316,N316,O316,P316,Q316,R316,S316)</f>
        <v>0.0225618466005235</v>
      </c>
      <c r="Y316" s="32" t="n">
        <f aca="false">AVERAGE(J316,L316,M316,N316,O316,P316,Q316,R316,S316)</f>
        <v>0.0188447231449341</v>
      </c>
      <c r="Z316" s="32" t="n">
        <f aca="false">U316-V316</f>
        <v>-0.00065371481958363</v>
      </c>
      <c r="AA316" s="32" t="n">
        <f aca="false">W316-V316</f>
        <v>0.000172354281059106</v>
      </c>
    </row>
    <row r="317" customFormat="false" ht="15" hidden="false" customHeight="false" outlineLevel="0" collapsed="false">
      <c r="A317" s="28" t="n">
        <f aca="false">Data_Prices!A317</f>
        <v>45265</v>
      </c>
      <c r="B317" s="32" t="n">
        <f aca="false">Data_Prices!B317/Data_Prices!B316-1</f>
        <v>0.00813562271593482</v>
      </c>
      <c r="C317" s="32" t="n">
        <f aca="false">Data_Prices!C317/Data_Prices!C316-1</f>
        <v>0.00759140309510253</v>
      </c>
      <c r="D317" s="32" t="n">
        <f aca="false">Data_Prices!D317/Data_Prices!D316-1</f>
        <v>0.0353819444444445</v>
      </c>
      <c r="E317" s="32" t="n">
        <f aca="false">Data_Prices!E317/Data_Prices!E316-1</f>
        <v>0.0141792401381569</v>
      </c>
      <c r="F317" s="32" t="n">
        <f aca="false">Data_Prices!F317/Data_Prices!F316-1</f>
        <v>0.0154870764839579</v>
      </c>
      <c r="G317" s="32" t="n">
        <f aca="false">Data_Prices!G317/Data_Prices!G316-1</f>
        <v>-0.0178307555905822</v>
      </c>
      <c r="H317" s="32" t="n">
        <f aca="false">Data_Prices!H317/Data_Prices!H316-1</f>
        <v>-0.00150545728264961</v>
      </c>
      <c r="I317" s="32" t="n">
        <f aca="false">Data_Prices!I317/Data_Prices!I316-1</f>
        <v>-0.018638871857756</v>
      </c>
      <c r="J317" s="32" t="n">
        <f aca="false">Data_Prices!J317/Data_Prices!J316-1</f>
        <v>0.00652911380640342</v>
      </c>
      <c r="K317" s="32" t="n">
        <f aca="false">Data_Prices!K317/Data_Prices!K316-1</f>
        <v>-0.00781334486860597</v>
      </c>
      <c r="L317" s="32" t="n">
        <f aca="false">Data_Prices!L317/Data_Prices!L316-1</f>
        <v>-0.00796517954298159</v>
      </c>
      <c r="M317" s="32" t="n">
        <f aca="false">Data_Prices!M317/Data_Prices!M316-1</f>
        <v>0.0235710939330054</v>
      </c>
      <c r="N317" s="32" t="n">
        <f aca="false">Data_Prices!N317/Data_Prices!N316-1</f>
        <v>-0.0106781261190873</v>
      </c>
      <c r="O317" s="32" t="n">
        <f aca="false">Data_Prices!O317/Data_Prices!O316-1</f>
        <v>-0.0273676629456247</v>
      </c>
      <c r="P317" s="32" t="n">
        <f aca="false">Data_Prices!P317/Data_Prices!P316-1</f>
        <v>-0.0209919104345154</v>
      </c>
      <c r="Q317" s="32" t="n">
        <f aca="false">Data_Prices!Q317/Data_Prices!Q316-1</f>
        <v>-0.0182425181829022</v>
      </c>
      <c r="R317" s="32" t="n">
        <f aca="false">Data_Prices!R317/Data_Prices!R316-1</f>
        <v>-0.00478914460556079</v>
      </c>
      <c r="S317" s="32" t="n">
        <f aca="false">Data_Prices!S317/Data_Prices!S316-1</f>
        <v>-0.0116975817040272</v>
      </c>
      <c r="T317" s="32" t="n">
        <f aca="false">AVERAGE(D317:S317)</f>
        <v>-0.00327325527052031</v>
      </c>
      <c r="U317" s="32" t="n">
        <f aca="false">AVERAGE(J317:S317)</f>
        <v>-0.00794452606638963</v>
      </c>
      <c r="V317" s="32" t="n">
        <f aca="false">AVERAGE(D317:I317)</f>
        <v>0.00451219605592856</v>
      </c>
      <c r="W317" s="32" t="n">
        <f aca="false">AVERAGE(K317,Q317,R317)</f>
        <v>-0.010281669219023</v>
      </c>
      <c r="X317" s="32" t="n">
        <f aca="false">AVERAGE(K317,L317,N317,O317,P317,Q317,R317,S317)</f>
        <v>-0.0136931835504131</v>
      </c>
      <c r="Y317" s="32" t="n">
        <f aca="false">AVERAGE(J317,L317,M317,N317,O317,P317,Q317,R317,S317)</f>
        <v>-0.00795910175503226</v>
      </c>
      <c r="Z317" s="32" t="n">
        <f aca="false">U317-V317</f>
        <v>-0.0124567221223182</v>
      </c>
      <c r="AA317" s="32" t="n">
        <f aca="false">W317-V317</f>
        <v>-0.0147938652749516</v>
      </c>
    </row>
    <row r="318" customFormat="false" ht="15" hidden="false" customHeight="false" outlineLevel="0" collapsed="false">
      <c r="A318" s="28" t="n">
        <f aca="false">Data_Prices!A318</f>
        <v>45266</v>
      </c>
      <c r="B318" s="32" t="n">
        <f aca="false">Data_Prices!B318/Data_Prices!B317-1</f>
        <v>0.00396066190044642</v>
      </c>
      <c r="C318" s="32" t="n">
        <f aca="false">Data_Prices!C318/Data_Prices!C317-1</f>
        <v>0.00491969518870494</v>
      </c>
      <c r="D318" s="32" t="n">
        <f aca="false">Data_Prices!D318/Data_Prices!D317-1</f>
        <v>0.00814916663872012</v>
      </c>
      <c r="E318" s="32" t="n">
        <f aca="false">Data_Prices!E318/Data_Prices!E317-1</f>
        <v>-0.0574774451813348</v>
      </c>
      <c r="F318" s="32" t="n">
        <f aca="false">Data_Prices!F318/Data_Prices!F317-1</f>
        <v>-0.00978555069748077</v>
      </c>
      <c r="G318" s="32" t="n">
        <f aca="false">Data_Prices!G318/Data_Prices!G317-1</f>
        <v>0.0133400200601805</v>
      </c>
      <c r="H318" s="32" t="n">
        <f aca="false">Data_Prices!H318/Data_Prices!H317-1</f>
        <v>-0.0143234074632491</v>
      </c>
      <c r="I318" s="32" t="n">
        <f aca="false">Data_Prices!I318/Data_Prices!I317-1</f>
        <v>0.000124953142571549</v>
      </c>
      <c r="J318" s="32" t="n">
        <f aca="false">Data_Prices!J318/Data_Prices!J317-1</f>
        <v>0.0417599667582356</v>
      </c>
      <c r="K318" s="32" t="n">
        <f aca="false">Data_Prices!K318/Data_Prices!K317-1</f>
        <v>0.0105179977656067</v>
      </c>
      <c r="L318" s="32" t="n">
        <f aca="false">Data_Prices!L318/Data_Prices!L317-1</f>
        <v>0.0128115128115129</v>
      </c>
      <c r="M318" s="32" t="n">
        <f aca="false">Data_Prices!M318/Data_Prices!M317-1</f>
        <v>-0.00986926795777665</v>
      </c>
      <c r="N318" s="32" t="n">
        <f aca="false">Data_Prices!N318/Data_Prices!N317-1</f>
        <v>0.0169469215834679</v>
      </c>
      <c r="O318" s="32" t="n">
        <f aca="false">Data_Prices!O318/Data_Prices!O317-1</f>
        <v>0.00925583117363948</v>
      </c>
      <c r="P318" s="32" t="n">
        <f aca="false">Data_Prices!P318/Data_Prices!P317-1</f>
        <v>-0.00132487274248649</v>
      </c>
      <c r="Q318" s="32" t="n">
        <f aca="false">Data_Prices!Q318/Data_Prices!Q317-1</f>
        <v>-0.00218605780908421</v>
      </c>
      <c r="R318" s="32" t="n">
        <f aca="false">Data_Prices!R318/Data_Prices!R317-1</f>
        <v>0</v>
      </c>
      <c r="S318" s="32" t="n">
        <f aca="false">Data_Prices!S318/Data_Prices!S317-1</f>
        <v>-0.00688422425662461</v>
      </c>
      <c r="T318" s="32" t="n">
        <f aca="false">AVERAGE(D318:S318)</f>
        <v>0.000690971489118633</v>
      </c>
      <c r="U318" s="32" t="n">
        <f aca="false">AVERAGE(J318:S318)</f>
        <v>0.00710278073264906</v>
      </c>
      <c r="V318" s="32" t="n">
        <f aca="false">AVERAGE(D318:I318)</f>
        <v>-0.00999537725009875</v>
      </c>
      <c r="W318" s="32" t="n">
        <f aca="false">AVERAGE(K318,Q318,R318)</f>
        <v>0.00277731331884083</v>
      </c>
      <c r="X318" s="32" t="n">
        <f aca="false">AVERAGE(K318,L318,N318,O318,P318,Q318,R318,S318)</f>
        <v>0.00489213856575396</v>
      </c>
      <c r="Y318" s="32" t="n">
        <f aca="false">AVERAGE(J318,L318,M318,N318,O318,P318,Q318,R318,S318)</f>
        <v>0.00672331217343155</v>
      </c>
      <c r="Z318" s="32" t="n">
        <f aca="false">U318-V318</f>
        <v>0.0170981579827478</v>
      </c>
      <c r="AA318" s="32" t="n">
        <f aca="false">W318-V318</f>
        <v>0.0127726905689396</v>
      </c>
    </row>
    <row r="319" customFormat="false" ht="15" hidden="false" customHeight="false" outlineLevel="0" collapsed="false">
      <c r="A319" s="28" t="n">
        <f aca="false">Data_Prices!A319</f>
        <v>45267</v>
      </c>
      <c r="B319" s="32" t="n">
        <f aca="false">Data_Prices!B319/Data_Prices!B318-1</f>
        <v>-0.00174565496687784</v>
      </c>
      <c r="C319" s="32" t="n">
        <f aca="false">Data_Prices!C319/Data_Prices!C318-1</f>
        <v>0.00127676659528908</v>
      </c>
      <c r="D319" s="32" t="n">
        <f aca="false">Data_Prices!D319/Data_Prices!D318-1</f>
        <v>6.65291730423956E-005</v>
      </c>
      <c r="E319" s="32" t="n">
        <f aca="false">Data_Prices!E319/Data_Prices!E318-1</f>
        <v>0.010459587955626</v>
      </c>
      <c r="F319" s="32" t="n">
        <f aca="false">Data_Prices!F319/Data_Prices!F318-1</f>
        <v>0.0781644238856181</v>
      </c>
      <c r="G319" s="32" t="n">
        <f aca="false">Data_Prices!G319/Data_Prices!G318-1</f>
        <v>0.0268237157280018</v>
      </c>
      <c r="H319" s="32" t="n">
        <f aca="false">Data_Prices!H319/Data_Prices!H318-1</f>
        <v>0.0097514340344167</v>
      </c>
      <c r="I319" s="32" t="n">
        <f aca="false">Data_Prices!I319/Data_Prices!I318-1</f>
        <v>-0.00437281359320341</v>
      </c>
      <c r="J319" s="32" t="n">
        <f aca="false">Data_Prices!J319/Data_Prices!J318-1</f>
        <v>0.0185694025881937</v>
      </c>
      <c r="K319" s="32" t="n">
        <f aca="false">Data_Prices!K319/Data_Prices!K318-1</f>
        <v>-0.00482674935957939</v>
      </c>
      <c r="L319" s="32" t="n">
        <f aca="false">Data_Prices!L319/Data_Prices!L318-1</f>
        <v>-0.0146854964477561</v>
      </c>
      <c r="M319" s="32" t="n">
        <f aca="false">Data_Prices!M319/Data_Prices!M318-1</f>
        <v>-0.00915867329249964</v>
      </c>
      <c r="N319" s="32" t="n">
        <f aca="false">Data_Prices!N319/Data_Prices!N318-1</f>
        <v>-0.00613189231167499</v>
      </c>
      <c r="O319" s="32" t="n">
        <f aca="false">Data_Prices!O319/Data_Prices!O318-1</f>
        <v>0.00568598679383703</v>
      </c>
      <c r="P319" s="32" t="n">
        <f aca="false">Data_Prices!P319/Data_Prices!P318-1</f>
        <v>0.0128124563608434</v>
      </c>
      <c r="Q319" s="32" t="n">
        <f aca="false">Data_Prices!Q319/Data_Prices!Q318-1</f>
        <v>0.0256815968841286</v>
      </c>
      <c r="R319" s="32" t="n">
        <f aca="false">Data_Prices!R319/Data_Prices!R318-1</f>
        <v>0.025932361983692</v>
      </c>
      <c r="S319" s="32" t="n">
        <f aca="false">Data_Prices!S319/Data_Prices!S318-1</f>
        <v>-0.0101668531400496</v>
      </c>
      <c r="T319" s="32" t="n">
        <f aca="false">AVERAGE(D319:S319)</f>
        <v>0.0102878135776648</v>
      </c>
      <c r="U319" s="32" t="n">
        <f aca="false">AVERAGE(J319:S319)</f>
        <v>0.0043712140059135</v>
      </c>
      <c r="V319" s="32" t="n">
        <f aca="false">AVERAGE(D319:I319)</f>
        <v>0.0201488128639169</v>
      </c>
      <c r="W319" s="32" t="n">
        <f aca="false">AVERAGE(K319,Q319,R319)</f>
        <v>0.0155957365027471</v>
      </c>
      <c r="X319" s="32" t="n">
        <f aca="false">AVERAGE(K319,L319,N319,O319,P319,Q319,R319,S319)</f>
        <v>0.00428767634543012</v>
      </c>
      <c r="Y319" s="32" t="n">
        <f aca="false">AVERAGE(J319,L319,M319,N319,O319,P319,Q319,R319,S319)</f>
        <v>0.00539320993541271</v>
      </c>
      <c r="Z319" s="32" t="n">
        <f aca="false">U319-V319</f>
        <v>-0.0157775988580034</v>
      </c>
      <c r="AA319" s="32" t="n">
        <f aca="false">W319-V319</f>
        <v>-0.00455307636116984</v>
      </c>
    </row>
    <row r="320" customFormat="false" ht="15" hidden="false" customHeight="false" outlineLevel="0" collapsed="false">
      <c r="A320" s="28" t="n">
        <f aca="false">Data_Prices!A320</f>
        <v>45268</v>
      </c>
      <c r="B320" s="32" t="n">
        <f aca="false">Data_Prices!B320/Data_Prices!B319-1</f>
        <v>0.00326537056573439</v>
      </c>
      <c r="C320" s="32" t="n">
        <f aca="false">Data_Prices!C320/Data_Prices!C319-1</f>
        <v>-1.87127249201557E-005</v>
      </c>
      <c r="D320" s="32" t="n">
        <f aca="false">Data_Prices!D320/Data_Prices!D319-1</f>
        <v>-0.0081492815327302</v>
      </c>
      <c r="E320" s="32" t="n">
        <f aca="false">Data_Prices!E320/Data_Prices!E319-1</f>
        <v>-0.00821831869510659</v>
      </c>
      <c r="F320" s="32" t="n">
        <f aca="false">Data_Prices!F320/Data_Prices!F319-1</f>
        <v>0.0104821802935011</v>
      </c>
      <c r="G320" s="32" t="n">
        <f aca="false">Data_Prices!G320/Data_Prices!G319-1</f>
        <v>0.0262193946404472</v>
      </c>
      <c r="H320" s="32" t="n">
        <f aca="false">Data_Prices!H320/Data_Prices!H319-1</f>
        <v>-0.014012497633024</v>
      </c>
      <c r="I320" s="32" t="n">
        <f aca="false">Data_Prices!I320/Data_Prices!I319-1</f>
        <v>0.0104153595181329</v>
      </c>
      <c r="J320" s="32" t="n">
        <f aca="false">Data_Prices!J320/Data_Prices!J319-1</f>
        <v>-0.0139015794282732</v>
      </c>
      <c r="K320" s="32" t="n">
        <f aca="false">Data_Prices!K320/Data_Prices!K319-1</f>
        <v>-0.011312523708882</v>
      </c>
      <c r="L320" s="32" t="n">
        <f aca="false">Data_Prices!L320/Data_Prices!L319-1</f>
        <v>0.0258518355682569</v>
      </c>
      <c r="M320" s="32" t="n">
        <f aca="false">Data_Prices!M320/Data_Prices!M319-1</f>
        <v>-0.00580259513048553</v>
      </c>
      <c r="N320" s="32" t="n">
        <f aca="false">Data_Prices!N320/Data_Prices!N319-1</f>
        <v>-0.00126975858307965</v>
      </c>
      <c r="O320" s="32" t="n">
        <f aca="false">Data_Prices!O320/Data_Prices!O319-1</f>
        <v>-0.00328287433886554</v>
      </c>
      <c r="P320" s="32" t="n">
        <f aca="false">Data_Prices!P320/Data_Prices!P319-1</f>
        <v>-0.0068249974147736</v>
      </c>
      <c r="Q320" s="32" t="n">
        <f aca="false">Data_Prices!Q320/Data_Prices!Q319-1</f>
        <v>-0.0068826391361102</v>
      </c>
      <c r="R320" s="32" t="n">
        <f aca="false">Data_Prices!R320/Data_Prices!R319-1</f>
        <v>-0.00983713355048854</v>
      </c>
      <c r="S320" s="32" t="n">
        <f aca="false">Data_Prices!S320/Data_Prices!S319-1</f>
        <v>-0.00157263613131509</v>
      </c>
      <c r="T320" s="32" t="n">
        <f aca="false">AVERAGE(D320:S320)</f>
        <v>-0.00113112907892476</v>
      </c>
      <c r="U320" s="32" t="n">
        <f aca="false">AVERAGE(J320:S320)</f>
        <v>-0.00348349018540165</v>
      </c>
      <c r="V320" s="32" t="n">
        <f aca="false">AVERAGE(D320:I320)</f>
        <v>0.0027894727652034</v>
      </c>
      <c r="W320" s="32" t="n">
        <f aca="false">AVERAGE(K320,Q320,R320)</f>
        <v>-0.00934409879849359</v>
      </c>
      <c r="X320" s="32" t="n">
        <f aca="false">AVERAGE(K320,L320,N320,O320,P320,Q320,R320,S320)</f>
        <v>-0.00189134091190722</v>
      </c>
      <c r="Y320" s="32" t="n">
        <f aca="false">AVERAGE(J320,L320,M320,N320,O320,P320,Q320,R320,S320)</f>
        <v>-0.00261359757168161</v>
      </c>
      <c r="Z320" s="32" t="n">
        <f aca="false">U320-V320</f>
        <v>-0.00627296295060505</v>
      </c>
      <c r="AA320" s="32" t="n">
        <f aca="false">W320-V320</f>
        <v>-0.012133571563697</v>
      </c>
    </row>
    <row r="321" customFormat="false" ht="15" hidden="false" customHeight="false" outlineLevel="0" collapsed="false">
      <c r="A321" s="28" t="n">
        <f aca="false">Data_Prices!A321</f>
        <v>45271</v>
      </c>
      <c r="B321" s="32" t="n">
        <f aca="false">Data_Prices!B321/Data_Prices!B320-1</f>
        <v>0.0013209724646388</v>
      </c>
      <c r="C321" s="32" t="n">
        <f aca="false">Data_Prices!C321/Data_Prices!C320-1</f>
        <v>0.00356617745341792</v>
      </c>
      <c r="D321" s="32" t="n">
        <f aca="false">Data_Prices!D321/Data_Prices!D320-1</f>
        <v>0.0190482578221938</v>
      </c>
      <c r="E321" s="32" t="n">
        <f aca="false">Data_Prices!E321/Data_Prices!E320-1</f>
        <v>-0.0440255550635714</v>
      </c>
      <c r="F321" s="32" t="n">
        <f aca="false">Data_Prices!F321/Data_Prices!F320-1</f>
        <v>-0.0157772845701051</v>
      </c>
      <c r="G321" s="32" t="n">
        <f aca="false">Data_Prices!G321/Data_Prices!G320-1</f>
        <v>-0.00469659966184488</v>
      </c>
      <c r="H321" s="32" t="n">
        <f aca="false">Data_Prices!H321/Data_Prices!H320-1</f>
        <v>0.00704180270149157</v>
      </c>
      <c r="I321" s="32" t="n">
        <f aca="false">Data_Prices!I321/Data_Prices!I320-1</f>
        <v>-0.000869349230005034</v>
      </c>
      <c r="J321" s="32" t="n">
        <f aca="false">Data_Prices!J321/Data_Prices!J320-1</f>
        <v>0.0134136386701085</v>
      </c>
      <c r="K321" s="32" t="n">
        <f aca="false">Data_Prices!K321/Data_Prices!K320-1</f>
        <v>-0.00204173917809725</v>
      </c>
      <c r="L321" s="32" t="n">
        <f aca="false">Data_Prices!L321/Data_Prices!L320-1</f>
        <v>0.00732867612394461</v>
      </c>
      <c r="M321" s="32" t="n">
        <f aca="false">Data_Prices!M321/Data_Prices!M320-1</f>
        <v>0.0202956358517128</v>
      </c>
      <c r="N321" s="32" t="n">
        <f aca="false">Data_Prices!N321/Data_Prices!N320-1</f>
        <v>-0.00466170070577499</v>
      </c>
      <c r="O321" s="32" t="n">
        <f aca="false">Data_Prices!O321/Data_Prices!O320-1</f>
        <v>-0.00914913083257085</v>
      </c>
      <c r="P321" s="32" t="n">
        <f aca="false">Data_Prices!P321/Data_Prices!P320-1</f>
        <v>0.00301947037795425</v>
      </c>
      <c r="Q321" s="32" t="n">
        <f aca="false">Data_Prices!Q321/Data_Prices!Q320-1</f>
        <v>0.0158919823156889</v>
      </c>
      <c r="R321" s="32" t="n">
        <f aca="false">Data_Prices!R321/Data_Prices!R320-1</f>
        <v>-0.00546088558457802</v>
      </c>
      <c r="S321" s="32" t="n">
        <f aca="false">Data_Prices!S321/Data_Prices!S320-1</f>
        <v>0.00762945461705056</v>
      </c>
      <c r="T321" s="32" t="n">
        <f aca="false">AVERAGE(D321:S321)</f>
        <v>0.000436667103349837</v>
      </c>
      <c r="U321" s="32" t="n">
        <f aca="false">AVERAGE(J321:S321)</f>
        <v>0.00462654016554385</v>
      </c>
      <c r="V321" s="32" t="n">
        <f aca="false">AVERAGE(D321:I321)</f>
        <v>-0.00654645466697351</v>
      </c>
      <c r="W321" s="32" t="n">
        <f aca="false">AVERAGE(K321,Q321,R321)</f>
        <v>0.00279645251767121</v>
      </c>
      <c r="X321" s="32" t="n">
        <f aca="false">AVERAGE(K321,L321,N321,O321,P321,Q321,R321,S321)</f>
        <v>0.00156951589170215</v>
      </c>
      <c r="Y321" s="32" t="n">
        <f aca="false">AVERAGE(J321,L321,M321,N321,O321,P321,Q321,R321,S321)</f>
        <v>0.00536746009261508</v>
      </c>
      <c r="Z321" s="32" t="n">
        <f aca="false">U321-V321</f>
        <v>0.0111729948325174</v>
      </c>
      <c r="AA321" s="32" t="n">
        <f aca="false">W321-V321</f>
        <v>0.00934290718464472</v>
      </c>
    </row>
    <row r="322" customFormat="false" ht="15" hidden="false" customHeight="false" outlineLevel="0" collapsed="false">
      <c r="A322" s="28" t="n">
        <f aca="false">Data_Prices!A322</f>
        <v>45272</v>
      </c>
      <c r="B322" s="32" t="n">
        <f aca="false">Data_Prices!B322/Data_Prices!B321-1</f>
        <v>-0.00431964414133368</v>
      </c>
      <c r="C322" s="32" t="n">
        <f aca="false">Data_Prices!C322/Data_Prices!C321-1</f>
        <v>-0.00444321317833596</v>
      </c>
      <c r="D322" s="32" t="n">
        <f aca="false">Data_Prices!D322/Data_Prices!D321-1</f>
        <v>0.0183631158061013</v>
      </c>
      <c r="E322" s="32" t="n">
        <f aca="false">Data_Prices!E322/Data_Prices!E321-1</f>
        <v>0.0197842916694237</v>
      </c>
      <c r="F322" s="32" t="n">
        <f aca="false">Data_Prices!F322/Data_Prices!F321-1</f>
        <v>-0.00171577038090098</v>
      </c>
      <c r="G322" s="32" t="n">
        <f aca="false">Data_Prices!G322/Data_Prices!G321-1</f>
        <v>-0.00292563231408072</v>
      </c>
      <c r="H322" s="32" t="n">
        <f aca="false">Data_Prices!H322/Data_Prices!H321-1</f>
        <v>-0.0111880999300743</v>
      </c>
      <c r="I322" s="32" t="n">
        <f aca="false">Data_Prices!I322/Data_Prices!I321-1</f>
        <v>-0.0283405842137974</v>
      </c>
      <c r="J322" s="32" t="n">
        <f aca="false">Data_Prices!J322/Data_Prices!J321-1</f>
        <v>0.0346576684445412</v>
      </c>
      <c r="K322" s="32" t="n">
        <f aca="false">Data_Prices!K322/Data_Prices!K321-1</f>
        <v>0.00299335420442692</v>
      </c>
      <c r="L322" s="32" t="n">
        <f aca="false">Data_Prices!L322/Data_Prices!L321-1</f>
        <v>0.00174438393464937</v>
      </c>
      <c r="M322" s="32" t="n">
        <f aca="false">Data_Prices!M322/Data_Prices!M321-1</f>
        <v>0.0138553524203748</v>
      </c>
      <c r="N322" s="32" t="n">
        <f aca="false">Data_Prices!N322/Data_Prices!N321-1</f>
        <v>0.0463604356014085</v>
      </c>
      <c r="O322" s="32" t="n">
        <f aca="false">Data_Prices!O322/Data_Prices!O321-1</f>
        <v>0.000184672206832825</v>
      </c>
      <c r="P322" s="32" t="n">
        <f aca="false">Data_Prices!P322/Data_Prices!P321-1</f>
        <v>0.00588235294117645</v>
      </c>
      <c r="Q322" s="32" t="n">
        <f aca="false">Data_Prices!Q322/Data_Prices!Q321-1</f>
        <v>-0.0212891084450718</v>
      </c>
      <c r="R322" s="32" t="n">
        <f aca="false">Data_Prices!R322/Data_Prices!R321-1</f>
        <v>0.000198465202434717</v>
      </c>
      <c r="S322" s="32" t="n">
        <f aca="false">Data_Prices!S322/Data_Prices!S321-1</f>
        <v>-0.0253285135069122</v>
      </c>
      <c r="T322" s="32" t="n">
        <f aca="false">AVERAGE(D322:S322)</f>
        <v>0.00332727397753328</v>
      </c>
      <c r="U322" s="32" t="n">
        <f aca="false">AVERAGE(J322:S322)</f>
        <v>0.00592590630038607</v>
      </c>
      <c r="V322" s="32" t="n">
        <f aca="false">AVERAGE(D322:I322)</f>
        <v>-0.00100377989388806</v>
      </c>
      <c r="W322" s="32" t="n">
        <f aca="false">AVERAGE(K322,Q322,R322)</f>
        <v>-0.00603242967940339</v>
      </c>
      <c r="X322" s="32" t="n">
        <f aca="false">AVERAGE(K322,L322,N322,O322,P322,Q322,R322,S322)</f>
        <v>0.00134325526736809</v>
      </c>
      <c r="Y322" s="32" t="n">
        <f aca="false">AVERAGE(J322,L322,M322,N322,O322,P322,Q322,R322,S322)</f>
        <v>0.00625174542215931</v>
      </c>
      <c r="Z322" s="32" t="n">
        <f aca="false">U322-V322</f>
        <v>0.00692968619427413</v>
      </c>
      <c r="AA322" s="32" t="n">
        <f aca="false">W322-V322</f>
        <v>-0.00502864978551533</v>
      </c>
    </row>
    <row r="323" customFormat="false" ht="15" hidden="false" customHeight="false" outlineLevel="0" collapsed="false">
      <c r="A323" s="28" t="n">
        <f aca="false">Data_Prices!A323</f>
        <v>45273</v>
      </c>
      <c r="B323" s="32" t="n">
        <f aca="false">Data_Prices!B323/Data_Prices!B322-1</f>
        <v>0.000954253243026004</v>
      </c>
      <c r="C323" s="32" t="n">
        <f aca="false">Data_Prices!C323/Data_Prices!C322-1</f>
        <v>0.00345966136524178</v>
      </c>
      <c r="D323" s="32" t="n">
        <f aca="false">Data_Prices!D323/Data_Prices!D322-1</f>
        <v>0.0137340442720957</v>
      </c>
      <c r="E323" s="32" t="n">
        <f aca="false">Data_Prices!E323/Data_Prices!E322-1</f>
        <v>0.0063586815468466</v>
      </c>
      <c r="F323" s="32" t="n">
        <f aca="false">Data_Prices!F323/Data_Prices!F322-1</f>
        <v>-0.0318699666077392</v>
      </c>
      <c r="G323" s="32" t="n">
        <f aca="false">Data_Prices!G323/Data_Prices!G322-1</f>
        <v>0.00605773781353536</v>
      </c>
      <c r="H323" s="32" t="n">
        <f aca="false">Data_Prices!H323/Data_Prices!H322-1</f>
        <v>0.0140147862423659</v>
      </c>
      <c r="I323" s="32" t="n">
        <f aca="false">Data_Prices!I323/Data_Prices!I322-1</f>
        <v>0.0102341051554304</v>
      </c>
      <c r="J323" s="32" t="n">
        <f aca="false">Data_Prices!J323/Data_Prices!J322-1</f>
        <v>0.017947692890357</v>
      </c>
      <c r="K323" s="32" t="n">
        <f aca="false">Data_Prices!K323/Data_Prices!K322-1</f>
        <v>-0.00773485201106161</v>
      </c>
      <c r="L323" s="32" t="n">
        <f aca="false">Data_Prices!L323/Data_Prices!L322-1</f>
        <v>0.00284561478020806</v>
      </c>
      <c r="M323" s="32" t="n">
        <f aca="false">Data_Prices!M323/Data_Prices!M322-1</f>
        <v>-0.00053870144598811</v>
      </c>
      <c r="N323" s="32" t="n">
        <f aca="false">Data_Prices!N323/Data_Prices!N322-1</f>
        <v>0.00965631651433574</v>
      </c>
      <c r="O323" s="32" t="n">
        <f aca="false">Data_Prices!O323/Data_Prices!O322-1</f>
        <v>0.00332348596750354</v>
      </c>
      <c r="P323" s="32" t="n">
        <f aca="false">Data_Prices!P323/Data_Prices!P322-1</f>
        <v>0.00935672514619879</v>
      </c>
      <c r="Q323" s="32" t="n">
        <f aca="false">Data_Prices!Q323/Data_Prices!Q322-1</f>
        <v>0.0137002764090854</v>
      </c>
      <c r="R323" s="32" t="n">
        <f aca="false">Data_Prices!R323/Data_Prices!R322-1</f>
        <v>-0.00793703287254444</v>
      </c>
      <c r="S323" s="32" t="n">
        <f aca="false">Data_Prices!S323/Data_Prices!S322-1</f>
        <v>2.50595163513445E-005</v>
      </c>
      <c r="T323" s="32" t="n">
        <f aca="false">AVERAGE(D323:S323)</f>
        <v>0.00369837333231128</v>
      </c>
      <c r="U323" s="32" t="n">
        <f aca="false">AVERAGE(J323:S323)</f>
        <v>0.00406445848944458</v>
      </c>
      <c r="V323" s="32" t="n">
        <f aca="false">AVERAGE(D323:I323)</f>
        <v>0.00308823140375578</v>
      </c>
      <c r="W323" s="32" t="n">
        <f aca="false">AVERAGE(K323,Q323,R323)</f>
        <v>-0.000657202824840201</v>
      </c>
      <c r="X323" s="32" t="n">
        <f aca="false">AVERAGE(K323,L323,N323,O323,P323,Q323,R323,S323)</f>
        <v>0.00290444918125961</v>
      </c>
      <c r="Y323" s="32" t="n">
        <f aca="false">AVERAGE(J323,L323,M323,N323,O323,P323,Q323,R323,S323)</f>
        <v>0.00537549298950082</v>
      </c>
      <c r="Z323" s="32" t="n">
        <f aca="false">U323-V323</f>
        <v>0.000976227085688793</v>
      </c>
      <c r="AA323" s="32" t="n">
        <f aca="false">W323-V323</f>
        <v>-0.00374543422859599</v>
      </c>
    </row>
    <row r="324" customFormat="false" ht="15" hidden="false" customHeight="false" outlineLevel="0" collapsed="false">
      <c r="A324" s="28" t="n">
        <f aca="false">Data_Prices!A324</f>
        <v>45274</v>
      </c>
      <c r="B324" s="32" t="n">
        <f aca="false">Data_Prices!B324/Data_Prices!B323-1</f>
        <v>0.012250105727946</v>
      </c>
      <c r="C324" s="32" t="n">
        <f aca="false">Data_Prices!C324/Data_Prices!C323-1</f>
        <v>0.0118604161278193</v>
      </c>
      <c r="D324" s="32" t="n">
        <f aca="false">Data_Prices!D324/Data_Prices!D323-1</f>
        <v>-0.0105196047178834</v>
      </c>
      <c r="E324" s="32" t="n">
        <f aca="false">Data_Prices!E324/Data_Prices!E323-1</f>
        <v>0.0199871050934881</v>
      </c>
      <c r="F324" s="32" t="n">
        <f aca="false">Data_Prices!F324/Data_Prices!F323-1</f>
        <v>0.0229267055541467</v>
      </c>
      <c r="G324" s="32" t="n">
        <f aca="false">Data_Prices!G324/Data_Prices!G323-1</f>
        <v>0.00413961802615481</v>
      </c>
      <c r="H324" s="32" t="n">
        <f aca="false">Data_Prices!H324/Data_Prices!H323-1</f>
        <v>-0.0055157547708109</v>
      </c>
      <c r="I324" s="32" t="n">
        <f aca="false">Data_Prices!I324/Data_Prices!I323-1</f>
        <v>0.000886412561732275</v>
      </c>
      <c r="J324" s="32" t="n">
        <f aca="false">Data_Prices!J324/Data_Prices!J323-1</f>
        <v>-0.0242042166184374</v>
      </c>
      <c r="K324" s="32" t="n">
        <f aca="false">Data_Prices!K324/Data_Prices!K323-1</f>
        <v>0.029787116623667</v>
      </c>
      <c r="L324" s="32" t="n">
        <f aca="false">Data_Prices!L324/Data_Prices!L323-1</f>
        <v>0.0409114009825513</v>
      </c>
      <c r="M324" s="32" t="n">
        <f aca="false">Data_Prices!M324/Data_Prices!M323-1</f>
        <v>-0.00459561430881383</v>
      </c>
      <c r="N324" s="32" t="n">
        <f aca="false">Data_Prices!N324/Data_Prices!N323-1</f>
        <v>0.000682033078604372</v>
      </c>
      <c r="O324" s="32" t="n">
        <f aca="false">Data_Prices!O324/Data_Prices!O323-1</f>
        <v>0.0649613544350387</v>
      </c>
      <c r="P324" s="32" t="n">
        <f aca="false">Data_Prices!P324/Data_Prices!P323-1</f>
        <v>0.00947447345102592</v>
      </c>
      <c r="Q324" s="32" t="n">
        <f aca="false">Data_Prices!Q324/Data_Prices!Q323-1</f>
        <v>0.0310610551274453</v>
      </c>
      <c r="R324" s="32" t="n">
        <f aca="false">Data_Prices!R324/Data_Prices!R323-1</f>
        <v>0.0238015867724515</v>
      </c>
      <c r="S324" s="32" t="n">
        <f aca="false">Data_Prices!S324/Data_Prices!S323-1</f>
        <v>0.0616448654337694</v>
      </c>
      <c r="T324" s="32" t="n">
        <f aca="false">AVERAGE(D324:S324)</f>
        <v>0.0165892835452581</v>
      </c>
      <c r="U324" s="32" t="n">
        <f aca="false">AVERAGE(J324:S324)</f>
        <v>0.0233524054977302</v>
      </c>
      <c r="V324" s="32" t="n">
        <f aca="false">AVERAGE(D324:I324)</f>
        <v>0.00531741362447126</v>
      </c>
      <c r="W324" s="32" t="n">
        <f aca="false">AVERAGE(K324,Q324,R324)</f>
        <v>0.0282165861745212</v>
      </c>
      <c r="X324" s="32" t="n">
        <f aca="false">AVERAGE(K324,L324,N324,O324,P324,Q324,R324,S324)</f>
        <v>0.0327904857380692</v>
      </c>
      <c r="Y324" s="32" t="n">
        <f aca="false">AVERAGE(J324,L324,M324,N324,O324,P324,Q324,R324,S324)</f>
        <v>0.0226374375948484</v>
      </c>
      <c r="Z324" s="32" t="n">
        <f aca="false">U324-V324</f>
        <v>0.0180349918732589</v>
      </c>
      <c r="AA324" s="32" t="n">
        <f aca="false">W324-V324</f>
        <v>0.02289917255005</v>
      </c>
    </row>
    <row r="325" customFormat="false" ht="15" hidden="false" customHeight="false" outlineLevel="0" collapsed="false">
      <c r="A325" s="28" t="n">
        <f aca="false">Data_Prices!A325</f>
        <v>45275</v>
      </c>
      <c r="B325" s="32" t="n">
        <f aca="false">Data_Prices!B325/Data_Prices!B324-1</f>
        <v>0.0129327234016439</v>
      </c>
      <c r="C325" s="32" t="n">
        <f aca="false">Data_Prices!C325/Data_Prices!C324-1</f>
        <v>0.00902294473709864</v>
      </c>
      <c r="D325" s="32" t="n">
        <f aca="false">Data_Prices!D325/Data_Prices!D324-1</f>
        <v>-0.00376932989690715</v>
      </c>
      <c r="E325" s="32" t="n">
        <f aca="false">Data_Prices!E325/Data_Prices!E324-1</f>
        <v>-0.0116308470290771</v>
      </c>
      <c r="F325" s="32" t="n">
        <f aca="false">Data_Prices!F325/Data_Prices!F324-1</f>
        <v>0.0280656518074083</v>
      </c>
      <c r="G325" s="32" t="n">
        <f aca="false">Data_Prices!G325/Data_Prices!G324-1</f>
        <v>0.012742434179706</v>
      </c>
      <c r="H325" s="32" t="n">
        <f aca="false">Data_Prices!H325/Data_Prices!H324-1</f>
        <v>0.0243529261762081</v>
      </c>
      <c r="I325" s="32" t="n">
        <f aca="false">Data_Prices!I325/Data_Prices!I324-1</f>
        <v>0.024671052631579</v>
      </c>
      <c r="J325" s="32" t="n">
        <f aca="false">Data_Prices!J325/Data_Prices!J324-1</f>
        <v>0.00156749772289189</v>
      </c>
      <c r="K325" s="32" t="n">
        <f aca="false">Data_Prices!K325/Data_Prices!K324-1</f>
        <v>0.0054662379421222</v>
      </c>
      <c r="L325" s="32" t="n">
        <f aca="false">Data_Prices!L325/Data_Prices!L324-1</f>
        <v>0.012124664333957</v>
      </c>
      <c r="M325" s="32" t="n">
        <f aca="false">Data_Prices!M325/Data_Prices!M324-1</f>
        <v>-0.031804839123372</v>
      </c>
      <c r="N325" s="32" t="n">
        <f aca="false">Data_Prices!N325/Data_Prices!N324-1</f>
        <v>-0.0240097897981628</v>
      </c>
      <c r="O325" s="32" t="n">
        <f aca="false">Data_Prices!O325/Data_Prices!O324-1</f>
        <v>-0.00915845861413522</v>
      </c>
      <c r="P325" s="32" t="n">
        <f aca="false">Data_Prices!P325/Data_Prices!P324-1</f>
        <v>0.00472653612424034</v>
      </c>
      <c r="Q325" s="32" t="n">
        <f aca="false">Data_Prices!Q325/Data_Prices!Q324-1</f>
        <v>0.0110382890651948</v>
      </c>
      <c r="R325" s="32" t="n">
        <f aca="false">Data_Prices!R325/Data_Prices!R324-1</f>
        <v>0.0111357124251108</v>
      </c>
      <c r="S325" s="32" t="n">
        <f aca="false">Data_Prices!S325/Data_Prices!S324-1</f>
        <v>-0.0191663126091678</v>
      </c>
      <c r="T325" s="32" t="n">
        <f aca="false">AVERAGE(D325:S325)</f>
        <v>0.00227196408359977</v>
      </c>
      <c r="U325" s="32" t="n">
        <f aca="false">AVERAGE(J325:S325)</f>
        <v>-0.00380804625313208</v>
      </c>
      <c r="V325" s="32" t="n">
        <f aca="false">AVERAGE(D325:I325)</f>
        <v>0.0124053146448195</v>
      </c>
      <c r="W325" s="32" t="n">
        <f aca="false">AVERAGE(K325,Q325,R325)</f>
        <v>0.00921341314414259</v>
      </c>
      <c r="X325" s="32" t="n">
        <f aca="false">AVERAGE(K325,L325,N325,O325,P325,Q325,R325,S325)</f>
        <v>-0.000980390141355092</v>
      </c>
      <c r="Y325" s="32" t="n">
        <f aca="false">AVERAGE(J325,L325,M325,N325,O325,P325,Q325,R325,S325)</f>
        <v>-0.004838522274827</v>
      </c>
      <c r="Z325" s="32" t="n">
        <f aca="false">U325-V325</f>
        <v>-0.0162133608979516</v>
      </c>
      <c r="AA325" s="32" t="n">
        <f aca="false">W325-V325</f>
        <v>-0.00319190150067692</v>
      </c>
    </row>
    <row r="326" customFormat="false" ht="15" hidden="false" customHeight="false" outlineLevel="0" collapsed="false">
      <c r="A326" s="28" t="n">
        <f aca="false">Data_Prices!A326</f>
        <v>45278</v>
      </c>
      <c r="B326" s="32" t="n">
        <f aca="false">Data_Prices!B326/Data_Prices!B325-1</f>
        <v>-0.00177101271633739</v>
      </c>
      <c r="C326" s="32" t="n">
        <f aca="false">Data_Prices!C326/Data_Prices!C325-1</f>
        <v>0.000548444637125556</v>
      </c>
      <c r="D326" s="32" t="n">
        <f aca="false">Data_Prices!D326/Data_Prices!D325-1</f>
        <v>0.00630598583578568</v>
      </c>
      <c r="E326" s="32" t="n">
        <f aca="false">Data_Prices!E326/Data_Prices!E325-1</f>
        <v>0.0022384241493989</v>
      </c>
      <c r="F326" s="32" t="n">
        <f aca="false">Data_Prices!F326/Data_Prices!F325-1</f>
        <v>-0.0127333236868761</v>
      </c>
      <c r="G326" s="32" t="n">
        <f aca="false">Data_Prices!G326/Data_Prices!G325-1</f>
        <v>-0.0170228513275975</v>
      </c>
      <c r="H326" s="32" t="n">
        <f aca="false">Data_Prices!H326/Data_Prices!H325-1</f>
        <v>0.0118869803335824</v>
      </c>
      <c r="I326" s="32" t="n">
        <f aca="false">Data_Prices!I326/Data_Prices!I325-1</f>
        <v>-0.00493888134337572</v>
      </c>
      <c r="J326" s="32" t="n">
        <f aca="false">Data_Prices!J326/Data_Prices!J325-1</f>
        <v>-0.00395490979844759</v>
      </c>
      <c r="K326" s="32" t="n">
        <f aca="false">Data_Prices!K326/Data_Prices!K325-1</f>
        <v>0.00966048395693431</v>
      </c>
      <c r="L326" s="32" t="n">
        <f aca="false">Data_Prices!L326/Data_Prices!L325-1</f>
        <v>0.003617945007236</v>
      </c>
      <c r="M326" s="32" t="n">
        <f aca="false">Data_Prices!M326/Data_Prices!M325-1</f>
        <v>-0.00553380625791078</v>
      </c>
      <c r="N326" s="32" t="n">
        <f aca="false">Data_Prices!N326/Data_Prices!N325-1</f>
        <v>-0.00855460504388417</v>
      </c>
      <c r="O326" s="32" t="n">
        <f aca="false">Data_Prices!O326/Data_Prices!O325-1</f>
        <v>-0.0160446459713985</v>
      </c>
      <c r="P326" s="32" t="n">
        <f aca="false">Data_Prices!P326/Data_Prices!P325-1</f>
        <v>-0.0063172043010753</v>
      </c>
      <c r="Q326" s="32" t="n">
        <f aca="false">Data_Prices!Q326/Data_Prices!Q325-1</f>
        <v>0.00204708290685773</v>
      </c>
      <c r="R326" s="32" t="n">
        <f aca="false">Data_Prices!R326/Data_Prices!R325-1</f>
        <v>0.0062471823275585</v>
      </c>
      <c r="S326" s="32" t="n">
        <f aca="false">Data_Prices!S326/Data_Prices!S325-1</f>
        <v>-0.0142946527410117</v>
      </c>
      <c r="T326" s="32" t="n">
        <f aca="false">AVERAGE(D326:S326)</f>
        <v>-0.00296192474713899</v>
      </c>
      <c r="U326" s="32" t="n">
        <f aca="false">AVERAGE(J326:S326)</f>
        <v>-0.00331271299151416</v>
      </c>
      <c r="V326" s="32" t="n">
        <f aca="false">AVERAGE(D326:I326)</f>
        <v>-0.00237727767318039</v>
      </c>
      <c r="W326" s="32" t="n">
        <f aca="false">AVERAGE(K326,Q326,R326)</f>
        <v>0.00598491639711685</v>
      </c>
      <c r="X326" s="32" t="n">
        <f aca="false">AVERAGE(K326,L326,N326,O326,P326,Q326,R326,S326)</f>
        <v>-0.0029548017323479</v>
      </c>
      <c r="Y326" s="32" t="n">
        <f aca="false">AVERAGE(J326,L326,M326,N326,O326,P326,Q326,R326,S326)</f>
        <v>-0.00475417931911954</v>
      </c>
      <c r="Z326" s="32" t="n">
        <f aca="false">U326-V326</f>
        <v>-0.000935435318333763</v>
      </c>
      <c r="AA326" s="32" t="n">
        <f aca="false">W326-V326</f>
        <v>0.00836219407029724</v>
      </c>
    </row>
    <row r="327" customFormat="false" ht="15" hidden="false" customHeight="false" outlineLevel="0" collapsed="false">
      <c r="A327" s="28" t="n">
        <f aca="false">Data_Prices!A327</f>
        <v>45279</v>
      </c>
      <c r="B327" s="32" t="n">
        <f aca="false">Data_Prices!B327/Data_Prices!B326-1</f>
        <v>0.00160841136112677</v>
      </c>
      <c r="C327" s="32" t="n">
        <f aca="false">Data_Prices!C327/Data_Prices!C326-1</f>
        <v>0.000715197423201142</v>
      </c>
      <c r="D327" s="32" t="n">
        <f aca="false">Data_Prices!D327/Data_Prices!D326-1</f>
        <v>-0.0172568931165242</v>
      </c>
      <c r="E327" s="32" t="n">
        <f aca="false">Data_Prices!E327/Data_Prices!E326-1</f>
        <v>-0.000510497096547713</v>
      </c>
      <c r="F327" s="32" t="n">
        <f aca="false">Data_Prices!F327/Data_Prices!F326-1</f>
        <v>-0.0224730079632616</v>
      </c>
      <c r="G327" s="32" t="n">
        <f aca="false">Data_Prices!G327/Data_Prices!G326-1</f>
        <v>-0.00301176470588238</v>
      </c>
      <c r="H327" s="32" t="n">
        <f aca="false">Data_Prices!H327/Data_Prices!H326-1</f>
        <v>-0.00664247493695813</v>
      </c>
      <c r="I327" s="32" t="n">
        <f aca="false">Data_Prices!I327/Data_Prices!I326-1</f>
        <v>-0.00868594118376975</v>
      </c>
      <c r="J327" s="32" t="n">
        <f aca="false">Data_Prices!J327/Data_Prices!J326-1</f>
        <v>0.0306395447596397</v>
      </c>
      <c r="K327" s="32" t="n">
        <f aca="false">Data_Prices!K327/Data_Prices!K326-1</f>
        <v>0.00593879086218041</v>
      </c>
      <c r="L327" s="32" t="n">
        <f aca="false">Data_Prices!L327/Data_Prices!L326-1</f>
        <v>0.00108147080028842</v>
      </c>
      <c r="M327" s="32" t="n">
        <f aca="false">Data_Prices!M327/Data_Prices!M326-1</f>
        <v>-0.00420304869024712</v>
      </c>
      <c r="N327" s="32" t="n">
        <f aca="false">Data_Prices!N327/Data_Prices!N326-1</f>
        <v>0.0321924825510662</v>
      </c>
      <c r="O327" s="32" t="n">
        <f aca="false">Data_Prices!O327/Data_Prices!O326-1</f>
        <v>-0.00779865295994342</v>
      </c>
      <c r="P327" s="32" t="n">
        <f aca="false">Data_Prices!P327/Data_Prices!P326-1</f>
        <v>0.00480183957797919</v>
      </c>
      <c r="Q327" s="32" t="n">
        <f aca="false">Data_Prices!Q327/Data_Prices!Q326-1</f>
        <v>0.00896606514584031</v>
      </c>
      <c r="R327" s="32" t="n">
        <f aca="false">Data_Prices!R327/Data_Prices!R326-1</f>
        <v>-0.0056323604710703</v>
      </c>
      <c r="S327" s="32" t="n">
        <f aca="false">Data_Prices!S327/Data_Prices!S326-1</f>
        <v>0.00563964843750009</v>
      </c>
      <c r="T327" s="32" t="n">
        <f aca="false">AVERAGE(D327:S327)</f>
        <v>0.000815325063143108</v>
      </c>
      <c r="U327" s="32" t="n">
        <f aca="false">AVERAGE(J327:S327)</f>
        <v>0.00716257800132335</v>
      </c>
      <c r="V327" s="32" t="n">
        <f aca="false">AVERAGE(D327:I327)</f>
        <v>-0.00976342983382396</v>
      </c>
      <c r="W327" s="32" t="n">
        <f aca="false">AVERAGE(K327,Q327,R327)</f>
        <v>0.00309083184565014</v>
      </c>
      <c r="X327" s="32" t="n">
        <f aca="false">AVERAGE(K327,L327,N327,O327,P327,Q327,R327,S327)</f>
        <v>0.00564866049298012</v>
      </c>
      <c r="Y327" s="32" t="n">
        <f aca="false">AVERAGE(J327,L327,M327,N327,O327,P327,Q327,R327,S327)</f>
        <v>0.00729855435011701</v>
      </c>
      <c r="Z327" s="32" t="n">
        <f aca="false">U327-V327</f>
        <v>0.0169260078351473</v>
      </c>
      <c r="AA327" s="32" t="n">
        <f aca="false">W327-V327</f>
        <v>0.0128542616794741</v>
      </c>
    </row>
    <row r="328" customFormat="false" ht="15" hidden="false" customHeight="false" outlineLevel="0" collapsed="false">
      <c r="A328" s="28" t="n">
        <f aca="false">Data_Prices!A328</f>
        <v>45280</v>
      </c>
      <c r="B328" s="32" t="n">
        <f aca="false">Data_Prices!B328/Data_Prices!B327-1</f>
        <v>-0.0141215022537534</v>
      </c>
      <c r="C328" s="32" t="n">
        <f aca="false">Data_Prices!C328/Data_Prices!C327-1</f>
        <v>-0.0203346505471002</v>
      </c>
      <c r="D328" s="32" t="n">
        <f aca="false">Data_Prices!D328/Data_Prices!D327-1</f>
        <v>-0.021320427716556</v>
      </c>
      <c r="E328" s="32" t="n">
        <f aca="false">Data_Prices!E328/Data_Prices!E327-1</f>
        <v>-0.0374768562855137</v>
      </c>
      <c r="F328" s="32" t="n">
        <f aca="false">Data_Prices!F328/Data_Prices!F327-1</f>
        <v>-0.00889599680143949</v>
      </c>
      <c r="G328" s="32" t="n">
        <f aca="false">Data_Prices!G328/Data_Prices!G327-1</f>
        <v>-0.0303974322665912</v>
      </c>
      <c r="H328" s="32" t="n">
        <f aca="false">Data_Prices!H328/Data_Prices!H327-1</f>
        <v>-0.0316389078075661</v>
      </c>
      <c r="I328" s="32" t="n">
        <f aca="false">Data_Prices!I328/Data_Prices!I327-1</f>
        <v>-0.0439354111903868</v>
      </c>
      <c r="J328" s="32" t="n">
        <f aca="false">Data_Prices!J328/Data_Prices!J327-1</f>
        <v>-0.0470343435175836</v>
      </c>
      <c r="K328" s="32" t="n">
        <f aca="false">Data_Prices!K328/Data_Prices!K327-1</f>
        <v>-0.0181703685239364</v>
      </c>
      <c r="L328" s="32" t="n">
        <f aca="false">Data_Prices!L328/Data_Prices!L327-1</f>
        <v>-0.00840235265874445</v>
      </c>
      <c r="M328" s="32" t="n">
        <f aca="false">Data_Prices!M328/Data_Prices!M327-1</f>
        <v>-0.0157239247391731</v>
      </c>
      <c r="N328" s="32" t="n">
        <f aca="false">Data_Prices!N328/Data_Prices!N327-1</f>
        <v>-0.067107120147645</v>
      </c>
      <c r="O328" s="32" t="n">
        <f aca="false">Data_Prices!O328/Data_Prices!O327-1</f>
        <v>-0.0396570203644158</v>
      </c>
      <c r="P328" s="32" t="n">
        <f aca="false">Data_Prices!P328/Data_Prices!P327-1</f>
        <v>-0.0285387359493842</v>
      </c>
      <c r="Q328" s="32" t="n">
        <f aca="false">Data_Prices!Q328/Data_Prices!Q327-1</f>
        <v>-0.0104611923509561</v>
      </c>
      <c r="R328" s="32" t="n">
        <f aca="false">Data_Prices!R328/Data_Prices!R327-1</f>
        <v>-0.0218846549948507</v>
      </c>
      <c r="S328" s="32" t="n">
        <f aca="false">Data_Prices!S328/Data_Prices!S327-1</f>
        <v>-0.0295210118715253</v>
      </c>
      <c r="T328" s="32" t="n">
        <f aca="false">AVERAGE(D328:S328)</f>
        <v>-0.0287603598241417</v>
      </c>
      <c r="U328" s="32" t="n">
        <f aca="false">AVERAGE(J328:S328)</f>
        <v>-0.0286500725118215</v>
      </c>
      <c r="V328" s="32" t="n">
        <f aca="false">AVERAGE(D328:I328)</f>
        <v>-0.0289441720113422</v>
      </c>
      <c r="W328" s="32" t="n">
        <f aca="false">AVERAGE(K328,Q328,R328)</f>
        <v>-0.0168387386232477</v>
      </c>
      <c r="X328" s="32" t="n">
        <f aca="false">AVERAGE(K328,L328,N328,O328,P328,Q328,R328,S328)</f>
        <v>-0.0279678071076822</v>
      </c>
      <c r="Y328" s="32" t="n">
        <f aca="false">AVERAGE(J328,L328,M328,N328,O328,P328,Q328,R328,S328)</f>
        <v>-0.0298144840660309</v>
      </c>
      <c r="Z328" s="32" t="n">
        <f aca="false">U328-V328</f>
        <v>0.00029409949952074</v>
      </c>
      <c r="AA328" s="32" t="n">
        <f aca="false">W328-V328</f>
        <v>0.0121054333880945</v>
      </c>
    </row>
    <row r="329" customFormat="false" ht="15" hidden="false" customHeight="false" outlineLevel="0" collapsed="false">
      <c r="A329" s="28" t="n">
        <f aca="false">Data_Prices!A329</f>
        <v>45281</v>
      </c>
      <c r="B329" s="32" t="n">
        <f aca="false">Data_Prices!B329/Data_Prices!B328-1</f>
        <v>0.00495977569899031</v>
      </c>
      <c r="C329" s="32" t="n">
        <f aca="false">Data_Prices!C329/Data_Prices!C328-1</f>
        <v>0.00864508811493403</v>
      </c>
      <c r="D329" s="32" t="n">
        <f aca="false">Data_Prices!D329/Data_Prices!D328-1</f>
        <v>-0.00571352200207154</v>
      </c>
      <c r="E329" s="32" t="n">
        <f aca="false">Data_Prices!E329/Data_Prices!E328-1</f>
        <v>0.0079596710002654</v>
      </c>
      <c r="F329" s="32" t="n">
        <f aca="false">Data_Prices!F329/Data_Prices!F328-1</f>
        <v>-0.00216832232363473</v>
      </c>
      <c r="G329" s="32" t="n">
        <f aca="false">Data_Prices!G329/Data_Prices!G328-1</f>
        <v>0.00983351182942283</v>
      </c>
      <c r="H329" s="32" t="n">
        <f aca="false">Data_Prices!H329/Data_Prices!H328-1</f>
        <v>-0.0139386189258311</v>
      </c>
      <c r="I329" s="32" t="n">
        <f aca="false">Data_Prices!I329/Data_Prices!I328-1</f>
        <v>0.040586540979314</v>
      </c>
      <c r="J329" s="32" t="n">
        <f aca="false">Data_Prices!J329/Data_Prices!J328-1</f>
        <v>0.142100484261501</v>
      </c>
      <c r="K329" s="32" t="n">
        <f aca="false">Data_Prices!K329/Data_Prices!K328-1</f>
        <v>-0.0169299019214837</v>
      </c>
      <c r="L329" s="32" t="n">
        <f aca="false">Data_Prices!L329/Data_Prices!L328-1</f>
        <v>-0.00895775329863224</v>
      </c>
      <c r="M329" s="32" t="n">
        <f aca="false">Data_Prices!M329/Data_Prices!M328-1</f>
        <v>-0.0156429304825754</v>
      </c>
      <c r="N329" s="32" t="n">
        <f aca="false">Data_Prices!N329/Data_Prices!N328-1</f>
        <v>-0.0389346987631334</v>
      </c>
      <c r="O329" s="32" t="n">
        <f aca="false">Data_Prices!O329/Data_Prices!O328-1</f>
        <v>0.00409226190476186</v>
      </c>
      <c r="P329" s="32" t="n">
        <f aca="false">Data_Prices!P329/Data_Prices!P328-1</f>
        <v>0.00720570913877916</v>
      </c>
      <c r="Q329" s="32" t="n">
        <f aca="false">Data_Prices!Q329/Data_Prices!Q328-1</f>
        <v>0.00113675116516987</v>
      </c>
      <c r="R329" s="32" t="n">
        <f aca="false">Data_Prices!R329/Data_Prices!R328-1</f>
        <v>0.00710713345617275</v>
      </c>
      <c r="S329" s="32" t="n">
        <f aca="false">Data_Prices!S329/Data_Prices!S328-1</f>
        <v>0.00905565978736722</v>
      </c>
      <c r="T329" s="32" t="n">
        <f aca="false">AVERAGE(D329:S329)</f>
        <v>0.007924498487837</v>
      </c>
      <c r="U329" s="32" t="n">
        <f aca="false">AVERAGE(J329:S329)</f>
        <v>0.00902327152479272</v>
      </c>
      <c r="V329" s="32" t="n">
        <f aca="false">AVERAGE(D329:I329)</f>
        <v>0.00609321009291081</v>
      </c>
      <c r="W329" s="32" t="n">
        <f aca="false">AVERAGE(K329,Q329,R329)</f>
        <v>-0.00289533910004702</v>
      </c>
      <c r="X329" s="32" t="n">
        <f aca="false">AVERAGE(K329,L329,N329,O329,P329,Q329,R329,S329)</f>
        <v>-0.00452810481637481</v>
      </c>
      <c r="Y329" s="32" t="n">
        <f aca="false">AVERAGE(J329,L329,M329,N329,O329,P329,Q329,R329,S329)</f>
        <v>0.0119069574632679</v>
      </c>
      <c r="Z329" s="32" t="n">
        <f aca="false">U329-V329</f>
        <v>0.00293006143188191</v>
      </c>
      <c r="AA329" s="32" t="n">
        <f aca="false">W329-V329</f>
        <v>-0.00898854919295783</v>
      </c>
    </row>
    <row r="330" customFormat="false" ht="15" hidden="false" customHeight="false" outlineLevel="0" collapsed="false">
      <c r="A330" s="28" t="n">
        <f aca="false">Data_Prices!A330</f>
        <v>45282</v>
      </c>
      <c r="B330" s="32" t="n">
        <f aca="false">Data_Prices!B330/Data_Prices!B329-1</f>
        <v>0.00443894509775333</v>
      </c>
      <c r="C330" s="32" t="n">
        <f aca="false">Data_Prices!C330/Data_Prices!C329-1</f>
        <v>0.00596036279551049</v>
      </c>
      <c r="D330" s="32" t="n">
        <f aca="false">Data_Prices!D330/Data_Prices!D329-1</f>
        <v>-0.00534310101485314</v>
      </c>
      <c r="E330" s="32" t="n">
        <f aca="false">Data_Prices!E330/Data_Prices!E329-1</f>
        <v>0.00625164516978161</v>
      </c>
      <c r="F330" s="32" t="n">
        <f aca="false">Data_Prices!F330/Data_Prices!F329-1</f>
        <v>0.00525571053163532</v>
      </c>
      <c r="G330" s="32" t="n">
        <f aca="false">Data_Prices!G330/Data_Prices!G329-1</f>
        <v>-0.00250674893945246</v>
      </c>
      <c r="H330" s="32" t="n">
        <f aca="false">Data_Prices!H330/Data_Prices!H329-1</f>
        <v>0.00551160679548701</v>
      </c>
      <c r="I330" s="32" t="n">
        <f aca="false">Data_Prices!I330/Data_Prices!I329-1</f>
        <v>-0.00163563160543523</v>
      </c>
      <c r="J330" s="32" t="n">
        <f aca="false">Data_Prices!J330/Data_Prices!J329-1</f>
        <v>-0.0120199133051923</v>
      </c>
      <c r="K330" s="32" t="n">
        <f aca="false">Data_Prices!K330/Data_Prices!K329-1</f>
        <v>-0.00974568783895835</v>
      </c>
      <c r="L330" s="32" t="n">
        <f aca="false">Data_Prices!L330/Data_Prices!L329-1</f>
        <v>0.0185253043442857</v>
      </c>
      <c r="M330" s="32" t="n">
        <f aca="false">Data_Prices!M330/Data_Prices!M329-1</f>
        <v>-0.00141121610013495</v>
      </c>
      <c r="N330" s="32" t="n">
        <f aca="false">Data_Prices!N330/Data_Prices!N329-1</f>
        <v>-0.0378827192527244</v>
      </c>
      <c r="O330" s="32" t="n">
        <f aca="false">Data_Prices!O330/Data_Prices!O329-1</f>
        <v>-0.00926268988514267</v>
      </c>
      <c r="P330" s="32" t="n">
        <f aca="false">Data_Prices!P330/Data_Prices!P329-1</f>
        <v>0.0147210566141569</v>
      </c>
      <c r="Q330" s="32" t="n">
        <f aca="false">Data_Prices!Q330/Data_Prices!Q329-1</f>
        <v>0.00454184171681615</v>
      </c>
      <c r="R330" s="32" t="n">
        <f aca="false">Data_Prices!R330/Data_Prices!R329-1</f>
        <v>0.0103894406691061</v>
      </c>
      <c r="S330" s="32" t="n">
        <f aca="false">Data_Prices!S330/Data_Prices!S329-1</f>
        <v>0.0191387559808611</v>
      </c>
      <c r="T330" s="32" t="n">
        <f aca="false">AVERAGE(D330:S330)</f>
        <v>0.000282978367514779</v>
      </c>
      <c r="U330" s="32" t="n">
        <f aca="false">AVERAGE(J330:S330)</f>
        <v>-0.000300582705692665</v>
      </c>
      <c r="V330" s="32" t="n">
        <f aca="false">AVERAGE(D330:I330)</f>
        <v>0.00125558015619385</v>
      </c>
      <c r="W330" s="32" t="n">
        <f aca="false">AVERAGE(K330,Q330,R330)</f>
        <v>0.00172853151565463</v>
      </c>
      <c r="X330" s="32" t="n">
        <f aca="false">AVERAGE(K330,L330,N330,O330,P330,Q330,R330,S330)</f>
        <v>0.00130316279355007</v>
      </c>
      <c r="Y330" s="32" t="n">
        <f aca="false">AVERAGE(J330,L330,M330,N330,O330,P330,Q330,R330,S330)</f>
        <v>0.000748873420225745</v>
      </c>
      <c r="Z330" s="32" t="n">
        <f aca="false">U330-V330</f>
        <v>-0.00155616286188652</v>
      </c>
      <c r="AA330" s="32" t="n">
        <f aca="false">W330-V330</f>
        <v>0.000472951359460775</v>
      </c>
    </row>
    <row r="331" customFormat="false" ht="15" hidden="false" customHeight="false" outlineLevel="0" collapsed="false">
      <c r="A331" s="28" t="n">
        <f aca="false">Data_Prices!A331</f>
        <v>45286</v>
      </c>
      <c r="B331" s="32" t="n">
        <f aca="false">Data_Prices!B331/Data_Prices!B330-1</f>
        <v>0.00430691260644323</v>
      </c>
      <c r="C331" s="32" t="n">
        <f aca="false">Data_Prices!C331/Data_Prices!C330-1</f>
        <v>0.00494103816906044</v>
      </c>
      <c r="D331" s="32" t="n">
        <f aca="false">Data_Prices!D331/Data_Prices!D330-1</f>
        <v>-0.0119598635089023</v>
      </c>
      <c r="E331" s="32" t="n">
        <f aca="false">Data_Prices!E331/Data_Prices!E330-1</f>
        <v>0.0136681708194364</v>
      </c>
      <c r="F331" s="32" t="n">
        <f aca="false">Data_Prices!F331/Data_Prices!F330-1</f>
        <v>-0.0357430122662378</v>
      </c>
      <c r="G331" s="32" t="n">
        <f aca="false">Data_Prices!G331/Data_Prices!G330-1</f>
        <v>-0.00676589986468201</v>
      </c>
      <c r="H331" s="32" t="n">
        <f aca="false">Data_Prices!H331/Data_Prices!H330-1</f>
        <v>0.0138647062616883</v>
      </c>
      <c r="I331" s="32" t="n">
        <f aca="false">Data_Prices!I331/Data_Prices!I330-1</f>
        <v>0</v>
      </c>
      <c r="J331" s="32" t="n">
        <f aca="false">Data_Prices!J331/Data_Prices!J330-1</f>
        <v>-0.0386442886155497</v>
      </c>
      <c r="K331" s="32" t="n">
        <f aca="false">Data_Prices!K331/Data_Prices!K330-1</f>
        <v>-0.0182282372965108</v>
      </c>
      <c r="L331" s="32" t="n">
        <f aca="false">Data_Prices!L331/Data_Prices!L330-1</f>
        <v>-0.00439718580108728</v>
      </c>
      <c r="M331" s="32" t="n">
        <f aca="false">Data_Prices!M331/Data_Prices!M330-1</f>
        <v>-0.00875576036866355</v>
      </c>
      <c r="N331" s="32" t="n">
        <f aca="false">Data_Prices!N331/Data_Prices!N330-1</f>
        <v>0.0345738942826319</v>
      </c>
      <c r="O331" s="32" t="n">
        <f aca="false">Data_Prices!O331/Data_Prices!O330-1</f>
        <v>0.011967090501122</v>
      </c>
      <c r="P331" s="32" t="n">
        <f aca="false">Data_Prices!P331/Data_Prices!P330-1</f>
        <v>-0.0164734594264795</v>
      </c>
      <c r="Q331" s="32" t="n">
        <f aca="false">Data_Prices!Q331/Data_Prices!Q330-1</f>
        <v>-0.00474737199050535</v>
      </c>
      <c r="R331" s="32" t="n">
        <f aca="false">Data_Prices!R331/Data_Prices!R330-1</f>
        <v>-0.00653172088210563</v>
      </c>
      <c r="S331" s="32" t="n">
        <f aca="false">Data_Prices!S331/Data_Prices!S330-1</f>
        <v>-0.00958427594930555</v>
      </c>
      <c r="T331" s="32" t="n">
        <f aca="false">AVERAGE(D331:S331)</f>
        <v>-0.00548482588157193</v>
      </c>
      <c r="U331" s="32" t="n">
        <f aca="false">AVERAGE(J331:S331)</f>
        <v>-0.00608213155464534</v>
      </c>
      <c r="V331" s="32" t="n">
        <f aca="false">AVERAGE(D331:I331)</f>
        <v>-0.00448931642644956</v>
      </c>
      <c r="W331" s="32" t="n">
        <f aca="false">AVERAGE(K331,Q331,R331)</f>
        <v>-0.00983577672304059</v>
      </c>
      <c r="X331" s="32" t="n">
        <f aca="false">AVERAGE(K331,L331,N331,O331,P331,Q331,R331,S331)</f>
        <v>-0.00167765832028002</v>
      </c>
      <c r="Y331" s="32" t="n">
        <f aca="false">AVERAGE(J331,L331,M331,N331,O331,P331,Q331,R331,S331)</f>
        <v>-0.00473256424999363</v>
      </c>
      <c r="Z331" s="32" t="n">
        <f aca="false">U331-V331</f>
        <v>-0.00159281512819578</v>
      </c>
      <c r="AA331" s="32" t="n">
        <f aca="false">W331-V331</f>
        <v>-0.00534646029659103</v>
      </c>
    </row>
    <row r="332" customFormat="false" ht="15" hidden="false" customHeight="false" outlineLevel="0" collapsed="false">
      <c r="A332" s="28" t="n">
        <f aca="false">Data_Prices!A332</f>
        <v>45287</v>
      </c>
      <c r="B332" s="32" t="n">
        <f aca="false">Data_Prices!B332/Data_Prices!B331-1</f>
        <v>0.00995273152110299</v>
      </c>
      <c r="C332" s="32" t="n">
        <f aca="false">Data_Prices!C332/Data_Prices!C331-1</f>
        <v>0.00773414591476773</v>
      </c>
      <c r="D332" s="32" t="n">
        <f aca="false">Data_Prices!D332/Data_Prices!D331-1</f>
        <v>0.01805436826808</v>
      </c>
      <c r="E332" s="32" t="n">
        <f aca="false">Data_Prices!E332/Data_Prices!E331-1</f>
        <v>0.00387096774193552</v>
      </c>
      <c r="F332" s="32" t="n">
        <f aca="false">Data_Prices!F332/Data_Prices!F331-1</f>
        <v>0.00172045253115072</v>
      </c>
      <c r="G332" s="32" t="n">
        <f aca="false">Data_Prices!G332/Data_Prices!G331-1</f>
        <v>0.0197547683923707</v>
      </c>
      <c r="H332" s="32" t="n">
        <f aca="false">Data_Prices!H332/Data_Prices!H331-1</f>
        <v>-0.000318025696476321</v>
      </c>
      <c r="I332" s="32" t="n">
        <f aca="false">Data_Prices!I332/Data_Prices!I331-1</f>
        <v>-0.000630119722747291</v>
      </c>
      <c r="J332" s="32" t="n">
        <f aca="false">Data_Prices!J332/Data_Prices!J331-1</f>
        <v>0.032983239332762</v>
      </c>
      <c r="K332" s="32" t="n">
        <f aca="false">Data_Prices!K332/Data_Prices!K331-1</f>
        <v>0.00984257472807082</v>
      </c>
      <c r="L332" s="32" t="n">
        <f aca="false">Data_Prices!L332/Data_Prices!L331-1</f>
        <v>0.00634385288685468</v>
      </c>
      <c r="M332" s="32" t="n">
        <f aca="false">Data_Prices!M332/Data_Prices!M331-1</f>
        <v>-0.00663257399659079</v>
      </c>
      <c r="N332" s="32" t="n">
        <f aca="false">Data_Prices!N332/Data_Prices!N331-1</f>
        <v>-0.011730358166936</v>
      </c>
      <c r="O332" s="32" t="n">
        <f aca="false">Data_Prices!O332/Data_Prices!O331-1</f>
        <v>0.0229120473022912</v>
      </c>
      <c r="P332" s="32" t="n">
        <f aca="false">Data_Prices!P332/Data_Prices!P331-1</f>
        <v>0.0181968569065345</v>
      </c>
      <c r="Q332" s="32" t="n">
        <f aca="false">Data_Prices!Q332/Data_Prices!Q331-1</f>
        <v>-0.01396933560477</v>
      </c>
      <c r="R332" s="32" t="n">
        <f aca="false">Data_Prices!R332/Data_Prices!R331-1</f>
        <v>-0.00436141127457368</v>
      </c>
      <c r="S332" s="32" t="n">
        <f aca="false">Data_Prices!S332/Data_Prices!S331-1</f>
        <v>0.00695075524990796</v>
      </c>
      <c r="T332" s="32" t="n">
        <f aca="false">AVERAGE(D332:S332)</f>
        <v>0.00643675367986651</v>
      </c>
      <c r="U332" s="32" t="n">
        <f aca="false">AVERAGE(J332:S332)</f>
        <v>0.00605356473635508</v>
      </c>
      <c r="V332" s="32" t="n">
        <f aca="false">AVERAGE(D332:I332)</f>
        <v>0.00707540191905222</v>
      </c>
      <c r="W332" s="32" t="n">
        <f aca="false">AVERAGE(K332,Q332,R332)</f>
        <v>-0.00282939071709095</v>
      </c>
      <c r="X332" s="32" t="n">
        <f aca="false">AVERAGE(K332,L332,N332,O332,P332,Q332,R332,S332)</f>
        <v>0.00427312275342244</v>
      </c>
      <c r="Y332" s="32" t="n">
        <f aca="false">AVERAGE(J332,L332,M332,N332,O332,P332,Q332,R332,S332)</f>
        <v>0.00563256362616444</v>
      </c>
      <c r="Z332" s="32" t="n">
        <f aca="false">U332-V332</f>
        <v>-0.00102183718269715</v>
      </c>
      <c r="AA332" s="32" t="n">
        <f aca="false">W332-V332</f>
        <v>-0.00990479263614317</v>
      </c>
    </row>
    <row r="333" customFormat="false" ht="15" hidden="false" customHeight="false" outlineLevel="0" collapsed="false">
      <c r="A333" s="28" t="n">
        <f aca="false">Data_Prices!A333</f>
        <v>45288</v>
      </c>
      <c r="B333" s="32" t="n">
        <f aca="false">Data_Prices!B333/Data_Prices!B332-1</f>
        <v>0.00572391738533118</v>
      </c>
      <c r="C333" s="32" t="n">
        <f aca="false">Data_Prices!C333/Data_Prices!C332-1</f>
        <v>0.00530135591375824</v>
      </c>
      <c r="D333" s="32" t="n">
        <f aca="false">Data_Prices!D333/Data_Prices!D332-1</f>
        <v>0.00876633191146348</v>
      </c>
      <c r="E333" s="32" t="n">
        <f aca="false">Data_Prices!E333/Data_Prices!E332-1</f>
        <v>-0.00134961439588688</v>
      </c>
      <c r="F333" s="32" t="n">
        <f aca="false">Data_Prices!F333/Data_Prices!F332-1</f>
        <v>-0.0200895180597481</v>
      </c>
      <c r="G333" s="32" t="n">
        <f aca="false">Data_Prices!G333/Data_Prices!G332-1</f>
        <v>0.0062028819543849</v>
      </c>
      <c r="H333" s="32" t="n">
        <f aca="false">Data_Prices!H333/Data_Prices!H332-1</f>
        <v>-0.0102436851816505</v>
      </c>
      <c r="I333" s="32" t="n">
        <f aca="false">Data_Prices!I333/Data_Prices!I332-1</f>
        <v>-0.00920554854981082</v>
      </c>
      <c r="J333" s="32" t="n">
        <f aca="false">Data_Prices!J333/Data_Prices!J332-1</f>
        <v>-0.0526315789473685</v>
      </c>
      <c r="K333" s="32" t="n">
        <f aca="false">Data_Prices!K333/Data_Prices!K332-1</f>
        <v>0.00357192302367437</v>
      </c>
      <c r="L333" s="32" t="n">
        <f aca="false">Data_Prices!L333/Data_Prices!L332-1</f>
        <v>-0.0139642515161187</v>
      </c>
      <c r="M333" s="32" t="n">
        <f aca="false">Data_Prices!M333/Data_Prices!M332-1</f>
        <v>-0.00982808648716105</v>
      </c>
      <c r="N333" s="32" t="n">
        <f aca="false">Data_Prices!N333/Data_Prices!N332-1</f>
        <v>0.0204156995146656</v>
      </c>
      <c r="O333" s="32" t="n">
        <f aca="false">Data_Prices!O333/Data_Prices!O332-1</f>
        <v>-0.0128251445086706</v>
      </c>
      <c r="P333" s="32" t="n">
        <f aca="false">Data_Prices!P333/Data_Prices!P332-1</f>
        <v>0.0100189547793121</v>
      </c>
      <c r="Q333" s="32" t="n">
        <f aca="false">Data_Prices!Q333/Data_Prices!Q332-1</f>
        <v>-0.00898410504492064</v>
      </c>
      <c r="R333" s="32" t="n">
        <f aca="false">Data_Prices!R333/Data_Prices!R332-1</f>
        <v>-0.00588427590715923</v>
      </c>
      <c r="S333" s="32" t="n">
        <f aca="false">Data_Prices!S333/Data_Prices!S332-1</f>
        <v>-0.00207327186692041</v>
      </c>
      <c r="T333" s="32" t="n">
        <f aca="false">AVERAGE(D333:S333)</f>
        <v>-0.00613145558011968</v>
      </c>
      <c r="U333" s="32" t="n">
        <f aca="false">AVERAGE(J333:S333)</f>
        <v>-0.0072184136960667</v>
      </c>
      <c r="V333" s="32" t="n">
        <f aca="false">AVERAGE(D333:I333)</f>
        <v>-0.004319858720208</v>
      </c>
      <c r="W333" s="32" t="n">
        <f aca="false">AVERAGE(K333,Q333,R333)</f>
        <v>-0.00376548597613517</v>
      </c>
      <c r="X333" s="32" t="n">
        <f aca="false">AVERAGE(K333,L333,N333,O333,P333,Q333,R333,S333)</f>
        <v>-0.00121555894076718</v>
      </c>
      <c r="Y333" s="32" t="n">
        <f aca="false">AVERAGE(J333,L333,M333,N333,O333,P333,Q333,R333,S333)</f>
        <v>-0.00841733999826015</v>
      </c>
      <c r="Z333" s="32" t="n">
        <f aca="false">U333-V333</f>
        <v>-0.0028985549758587</v>
      </c>
      <c r="AA333" s="32" t="n">
        <f aca="false">W333-V333</f>
        <v>0.000554372744072829</v>
      </c>
    </row>
    <row r="334" customFormat="false" ht="15" hidden="false" customHeight="false" outlineLevel="0" collapsed="false">
      <c r="A334" s="28" t="n">
        <f aca="false">Data_Prices!A334</f>
        <v>45289</v>
      </c>
      <c r="B334" s="32" t="n">
        <f aca="false">Data_Prices!B334/Data_Prices!B333-1</f>
        <v>-0.00217184680444649</v>
      </c>
      <c r="C334" s="32" t="n">
        <f aca="false">Data_Prices!C334/Data_Prices!C333-1</f>
        <v>0.00154129669961467</v>
      </c>
      <c r="D334" s="32" t="n">
        <f aca="false">Data_Prices!D334/Data_Prices!D333-1</f>
        <v>0.0203436105746819</v>
      </c>
      <c r="E334" s="32" t="n">
        <f aca="false">Data_Prices!E334/Data_Prices!E333-1</f>
        <v>0.000900958877662506</v>
      </c>
      <c r="F334" s="32" t="n">
        <f aca="false">Data_Prices!F334/Data_Prices!F333-1</f>
        <v>-0.0120033991926917</v>
      </c>
      <c r="G334" s="32" t="n">
        <f aca="false">Data_Prices!G334/Data_Prices!G333-1</f>
        <v>0.0168816388467374</v>
      </c>
      <c r="H334" s="32" t="n">
        <f aca="false">Data_Prices!H334/Data_Prices!H333-1</f>
        <v>0.00379274877860647</v>
      </c>
      <c r="I334" s="32" t="n">
        <f aca="false">Data_Prices!I334/Data_Prices!I333-1</f>
        <v>-0.0011454753722796</v>
      </c>
      <c r="J334" s="32" t="n">
        <f aca="false">Data_Prices!J334/Data_Prices!J333-1</f>
        <v>-0.00712772890192248</v>
      </c>
      <c r="K334" s="32" t="n">
        <f aca="false">Data_Prices!K334/Data_Prices!K333-1</f>
        <v>0.00951881690762613</v>
      </c>
      <c r="L334" s="32" t="n">
        <f aca="false">Data_Prices!L334/Data_Prices!L333-1</f>
        <v>0.0195031156429553</v>
      </c>
      <c r="M334" s="32" t="n">
        <f aca="false">Data_Prices!M334/Data_Prices!M333-1</f>
        <v>0.00614444164355943</v>
      </c>
      <c r="N334" s="32" t="n">
        <f aca="false">Data_Prices!N334/Data_Prices!N333-1</f>
        <v>0.00125799169380825</v>
      </c>
      <c r="O334" s="32" t="n">
        <f aca="false">Data_Prices!O334/Data_Prices!O333-1</f>
        <v>0.0126258005489479</v>
      </c>
      <c r="P334" s="32" t="n">
        <f aca="false">Data_Prices!P334/Data_Prices!P333-1</f>
        <v>-0.0105227882037534</v>
      </c>
      <c r="Q334" s="32" t="n">
        <f aca="false">Data_Prices!Q334/Data_Prices!Q333-1</f>
        <v>0.0124360762436078</v>
      </c>
      <c r="R334" s="32" t="n">
        <f aca="false">Data_Prices!R334/Data_Prices!R333-1</f>
        <v>-0.000789214074317646</v>
      </c>
      <c r="S334" s="32" t="n">
        <f aca="false">Data_Prices!S334/Data_Prices!S333-1</f>
        <v>0.0037396426563685</v>
      </c>
      <c r="T334" s="32" t="n">
        <f aca="false">AVERAGE(D334:S334)</f>
        <v>0.0047222647918498</v>
      </c>
      <c r="U334" s="32" t="n">
        <f aca="false">AVERAGE(J334:S334)</f>
        <v>0.00467861541568797</v>
      </c>
      <c r="V334" s="32" t="n">
        <f aca="false">AVERAGE(D334:I334)</f>
        <v>0.00479501375211951</v>
      </c>
      <c r="W334" s="32" t="n">
        <f aca="false">AVERAGE(K334,Q334,R334)</f>
        <v>0.00705522635897208</v>
      </c>
      <c r="X334" s="32" t="n">
        <f aca="false">AVERAGE(K334,L334,N334,O334,P334,Q334,R334,S334)</f>
        <v>0.00597118017690534</v>
      </c>
      <c r="Y334" s="32" t="n">
        <f aca="false">AVERAGE(J334,L334,M334,N334,O334,P334,Q334,R334,S334)</f>
        <v>0.00414081524991706</v>
      </c>
      <c r="Z334" s="32" t="n">
        <f aca="false">U334-V334</f>
        <v>-0.000116398336431541</v>
      </c>
      <c r="AA334" s="32" t="n">
        <f aca="false">W334-V334</f>
        <v>0.00226021260685257</v>
      </c>
    </row>
    <row r="335" customFormat="false" ht="15" hidden="false" customHeight="false" outlineLevel="0" collapsed="false">
      <c r="A335" s="28" t="n">
        <f aca="false">Data_Prices!A335</f>
        <v>45292</v>
      </c>
      <c r="B335" s="32" t="n">
        <f aca="false">Data_Prices!B335/Data_Prices!B334-1</f>
        <v>0.000483171815897743</v>
      </c>
      <c r="C335" s="32" t="n">
        <f aca="false">Data_Prices!C335/Data_Prices!C334-1</f>
        <v>0.00207677639011483</v>
      </c>
      <c r="D335" s="32" t="n">
        <f aca="false">Data_Prices!D335/Data_Prices!D334-1</f>
        <v>0.0188937836514929</v>
      </c>
      <c r="E335" s="32" t="n">
        <f aca="false">Data_Prices!E335/Data_Prices!E334-1</f>
        <v>-0.000964444158683242</v>
      </c>
      <c r="F335" s="32" t="n">
        <f aca="false">Data_Prices!F335/Data_Prices!F334-1</f>
        <v>0.00241909472099766</v>
      </c>
      <c r="G335" s="32" t="n">
        <f aca="false">Data_Prices!G335/Data_Prices!G334-1</f>
        <v>0.0502704719268792</v>
      </c>
      <c r="H335" s="32" t="n">
        <f aca="false">Data_Prices!H335/Data_Prices!H334-1</f>
        <v>0.00582772974703794</v>
      </c>
      <c r="I335" s="32" t="n">
        <f aca="false">Data_Prices!I335/Data_Prices!I334-1</f>
        <v>0.0398827726809379</v>
      </c>
      <c r="J335" s="32" t="n">
        <f aca="false">Data_Prices!J335/Data_Prices!J334-1</f>
        <v>0.040488985519137</v>
      </c>
      <c r="K335" s="32" t="n">
        <f aca="false">Data_Prices!K335/Data_Prices!K334-1</f>
        <v>-0.00392194375358712</v>
      </c>
      <c r="L335" s="32" t="n">
        <f aca="false">Data_Prices!L335/Data_Prices!L334-1</f>
        <v>-0.0273456104143516</v>
      </c>
      <c r="M335" s="32" t="n">
        <f aca="false">Data_Prices!M335/Data_Prices!M334-1</f>
        <v>-0.00150324136419144</v>
      </c>
      <c r="N335" s="32" t="n">
        <f aca="false">Data_Prices!N335/Data_Prices!N334-1</f>
        <v>0.00769336683763044</v>
      </c>
      <c r="O335" s="32" t="n">
        <f aca="false">Data_Prices!O335/Data_Prices!O334-1</f>
        <v>-0.00542103361040835</v>
      </c>
      <c r="P335" s="32" t="n">
        <f aca="false">Data_Prices!P335/Data_Prices!P334-1</f>
        <v>-0.00697690171374377</v>
      </c>
      <c r="Q335" s="32" t="n">
        <f aca="false">Data_Prices!Q335/Data_Prices!Q334-1</f>
        <v>0.00562507174836413</v>
      </c>
      <c r="R335" s="32" t="n">
        <f aca="false">Data_Prices!R335/Data_Prices!R334-1</f>
        <v>0.00881985124728502</v>
      </c>
      <c r="S335" s="32" t="n">
        <f aca="false">Data_Prices!S335/Data_Prices!S334-1</f>
        <v>-0.0021672429747237</v>
      </c>
      <c r="T335" s="32" t="n">
        <f aca="false">AVERAGE(D335:S335)</f>
        <v>0.00822629438062956</v>
      </c>
      <c r="U335" s="32" t="n">
        <f aca="false">AVERAGE(J335:S335)</f>
        <v>0.00152913015214107</v>
      </c>
      <c r="V335" s="32" t="n">
        <f aca="false">AVERAGE(D335:I335)</f>
        <v>0.0193882347614437</v>
      </c>
      <c r="W335" s="32" t="n">
        <f aca="false">AVERAGE(K335,Q335,R335)</f>
        <v>0.00350765974735401</v>
      </c>
      <c r="X335" s="32" t="n">
        <f aca="false">AVERAGE(K335,L335,N335,O335,P335,Q335,R335,S335)</f>
        <v>-0.00296180532919187</v>
      </c>
      <c r="Y335" s="32" t="n">
        <f aca="false">AVERAGE(J335,L335,M335,N335,O335,P335,Q335,R335,S335)</f>
        <v>0.00213480503055531</v>
      </c>
      <c r="Z335" s="32" t="n">
        <f aca="false">U335-V335</f>
        <v>-0.0178591046093026</v>
      </c>
      <c r="AA335" s="32" t="n">
        <f aca="false">W335-V335</f>
        <v>-0.0158805750140897</v>
      </c>
    </row>
    <row r="336" customFormat="false" ht="15" hidden="false" customHeight="false" outlineLevel="0" collapsed="false">
      <c r="A336" s="28" t="n">
        <f aca="false">Data_Prices!A336</f>
        <v>45293</v>
      </c>
      <c r="B336" s="32" t="n">
        <f aca="false">Data_Prices!B336/Data_Prices!B335-1</f>
        <v>-0.0035001540803703</v>
      </c>
      <c r="C336" s="32" t="n">
        <f aca="false">Data_Prices!C336/Data_Prices!C335-1</f>
        <v>-0.00262461799224423</v>
      </c>
      <c r="D336" s="32" t="n">
        <f aca="false">Data_Prices!D336/Data_Prices!D335-1</f>
        <v>0.00912759415833975</v>
      </c>
      <c r="E336" s="32" t="n">
        <f aca="false">Data_Prices!E336/Data_Prices!E335-1</f>
        <v>-0.0139014030119706</v>
      </c>
      <c r="F336" s="32" t="n">
        <f aca="false">Data_Prices!F336/Data_Prices!F335-1</f>
        <v>0.0272966160776531</v>
      </c>
      <c r="G336" s="32" t="n">
        <f aca="false">Data_Prices!G336/Data_Prices!G335-1</f>
        <v>-0.00612734215433786</v>
      </c>
      <c r="H336" s="32" t="n">
        <f aca="false">Data_Prices!H336/Data_Prices!H335-1</f>
        <v>-0.00865911116770657</v>
      </c>
      <c r="I336" s="32" t="n">
        <f aca="false">Data_Prices!I336/Data_Prices!I335-1</f>
        <v>0.00710697218478118</v>
      </c>
      <c r="J336" s="32" t="n">
        <f aca="false">Data_Prices!J336/Data_Prices!J335-1</f>
        <v>0.0104873048415075</v>
      </c>
      <c r="K336" s="32" t="n">
        <f aca="false">Data_Prices!K336/Data_Prices!K335-1</f>
        <v>0.0179583213291079</v>
      </c>
      <c r="L336" s="32" t="n">
        <f aca="false">Data_Prices!L336/Data_Prices!L335-1</f>
        <v>-0.00428449014567267</v>
      </c>
      <c r="M336" s="32" t="n">
        <f aca="false">Data_Prices!M336/Data_Prices!M335-1</f>
        <v>-0.012796788257065</v>
      </c>
      <c r="N336" s="32" t="n">
        <f aca="false">Data_Prices!N336/Data_Prices!N335-1</f>
        <v>0.020820167722762</v>
      </c>
      <c r="O336" s="32" t="n">
        <f aca="false">Data_Prices!O336/Data_Prices!O335-1</f>
        <v>-0.00181686046511631</v>
      </c>
      <c r="P336" s="32" t="n">
        <f aca="false">Data_Prices!P336/Data_Prices!P335-1</f>
        <v>-0.00770804911323331</v>
      </c>
      <c r="Q336" s="32" t="n">
        <f aca="false">Data_Prices!Q336/Data_Prices!Q335-1</f>
        <v>-0.0159817351598174</v>
      </c>
      <c r="R336" s="32" t="n">
        <f aca="false">Data_Prices!R336/Data_Prices!R335-1</f>
        <v>0.00887323024727604</v>
      </c>
      <c r="S336" s="32" t="n">
        <f aca="false">Data_Prices!S336/Data_Prices!S335-1</f>
        <v>-0.00917587915171925</v>
      </c>
      <c r="T336" s="32" t="n">
        <f aca="false">AVERAGE(D336:S336)</f>
        <v>0.00132615924592428</v>
      </c>
      <c r="U336" s="32" t="n">
        <f aca="false">AVERAGE(J336:S336)</f>
        <v>0.000637522184802952</v>
      </c>
      <c r="V336" s="32" t="n">
        <f aca="false">AVERAGE(D336:I336)</f>
        <v>0.0024738876811265</v>
      </c>
      <c r="W336" s="32" t="n">
        <f aca="false">AVERAGE(K336,Q336,R336)</f>
        <v>0.00361660547218886</v>
      </c>
      <c r="X336" s="32" t="n">
        <f aca="false">AVERAGE(K336,L336,N336,O336,P336,Q336,R336,S336)</f>
        <v>0.00108558815794838</v>
      </c>
      <c r="Y336" s="32" t="n">
        <f aca="false">AVERAGE(J336,L336,M336,N336,O336,P336,Q336,R336,S336)</f>
        <v>-0.00128701105345315</v>
      </c>
      <c r="Z336" s="32" t="n">
        <f aca="false">U336-V336</f>
        <v>-0.00183636549632354</v>
      </c>
      <c r="AA336" s="32" t="n">
        <f aca="false">W336-V336</f>
        <v>0.00114271779106236</v>
      </c>
    </row>
    <row r="337" customFormat="false" ht="15" hidden="false" customHeight="false" outlineLevel="0" collapsed="false">
      <c r="A337" s="28" t="n">
        <f aca="false">Data_Prices!A337</f>
        <v>45294</v>
      </c>
      <c r="B337" s="32" t="n">
        <f aca="false">Data_Prices!B337/Data_Prices!B336-1</f>
        <v>-0.00685181253403988</v>
      </c>
      <c r="C337" s="32" t="n">
        <f aca="false">Data_Prices!C337/Data_Prices!C336-1</f>
        <v>-0.00263924937172988</v>
      </c>
      <c r="D337" s="32" t="n">
        <f aca="false">Data_Prices!D337/Data_Prices!D336-1</f>
        <v>-0.00491922942651302</v>
      </c>
      <c r="E337" s="32" t="n">
        <f aca="false">Data_Prices!E337/Data_Prices!E336-1</f>
        <v>-0.000195796893355915</v>
      </c>
      <c r="F337" s="32" t="n">
        <f aca="false">Data_Prices!F337/Data_Prices!F336-1</f>
        <v>-0.0025579452912925</v>
      </c>
      <c r="G337" s="32" t="n">
        <f aca="false">Data_Prices!G337/Data_Prices!G336-1</f>
        <v>-0.00357398141529663</v>
      </c>
      <c r="H337" s="32" t="n">
        <f aca="false">Data_Prices!H337/Data_Prices!H336-1</f>
        <v>0.0123956326268464</v>
      </c>
      <c r="I337" s="32" t="n">
        <f aca="false">Data_Prices!I337/Data_Prices!I336-1</f>
        <v>0.00340674047937717</v>
      </c>
      <c r="J337" s="32" t="n">
        <f aca="false">Data_Prices!J337/Data_Prices!J336-1</f>
        <v>0.0110222395630122</v>
      </c>
      <c r="K337" s="32" t="n">
        <f aca="false">Data_Prices!K337/Data_Prices!K336-1</f>
        <v>-0.00609164420485175</v>
      </c>
      <c r="L337" s="32" t="n">
        <f aca="false">Data_Prices!L337/Data_Prices!L336-1</f>
        <v>0.0167199409884435</v>
      </c>
      <c r="M337" s="32" t="n">
        <f aca="false">Data_Prices!M337/Data_Prices!M336-1</f>
        <v>0.00733915806195395</v>
      </c>
      <c r="N337" s="32" t="n">
        <f aca="false">Data_Prices!N337/Data_Prices!N336-1</f>
        <v>-0.0134854771784232</v>
      </c>
      <c r="O337" s="32" t="n">
        <f aca="false">Data_Prices!O337/Data_Prices!O336-1</f>
        <v>0.0034583181652712</v>
      </c>
      <c r="P337" s="32" t="n">
        <f aca="false">Data_Prices!P337/Data_Prices!P336-1</f>
        <v>0.0145390802227263</v>
      </c>
      <c r="Q337" s="32" t="n">
        <f aca="false">Data_Prices!Q337/Data_Prices!Q336-1</f>
        <v>0.000232018561485026</v>
      </c>
      <c r="R337" s="32" t="n">
        <f aca="false">Data_Prices!R337/Data_Prices!R336-1</f>
        <v>-0.00426825324969271</v>
      </c>
      <c r="S337" s="32" t="n">
        <f aca="false">Data_Prices!S337/Data_Prices!S336-1</f>
        <v>0.0295559222679245</v>
      </c>
      <c r="T337" s="32" t="n">
        <f aca="false">AVERAGE(D337:S337)</f>
        <v>0.00397354520485091</v>
      </c>
      <c r="U337" s="32" t="n">
        <f aca="false">AVERAGE(J337:S337)</f>
        <v>0.0059021303197849</v>
      </c>
      <c r="V337" s="32" t="n">
        <f aca="false">AVERAGE(D337:I337)</f>
        <v>0.000759236679960917</v>
      </c>
      <c r="W337" s="32" t="n">
        <f aca="false">AVERAGE(K337,Q337,R337)</f>
        <v>-0.00337595963101981</v>
      </c>
      <c r="X337" s="32" t="n">
        <f aca="false">AVERAGE(K337,L337,N337,O337,P337,Q337,R337,S337)</f>
        <v>0.00508248819661036</v>
      </c>
      <c r="Y337" s="32" t="n">
        <f aca="false">AVERAGE(J337,L337,M337,N337,O337,P337,Q337,R337,S337)</f>
        <v>0.00723477193363342</v>
      </c>
      <c r="Z337" s="32" t="n">
        <f aca="false">U337-V337</f>
        <v>0.00514289363982399</v>
      </c>
      <c r="AA337" s="32" t="n">
        <f aca="false">W337-V337</f>
        <v>-0.00413519631098073</v>
      </c>
    </row>
    <row r="338" customFormat="false" ht="15" hidden="false" customHeight="false" outlineLevel="0" collapsed="false">
      <c r="A338" s="28" t="n">
        <f aca="false">Data_Prices!A338</f>
        <v>45295</v>
      </c>
      <c r="B338" s="32" t="n">
        <f aca="false">Data_Prices!B338/Data_Prices!B337-1</f>
        <v>0.00656447006717831</v>
      </c>
      <c r="C338" s="32" t="n">
        <f aca="false">Data_Prices!C338/Data_Prices!C337-1</f>
        <v>0.00898944862821827</v>
      </c>
      <c r="D338" s="32" t="n">
        <f aca="false">Data_Prices!D338/Data_Prices!D337-1</f>
        <v>0.00223257000701671</v>
      </c>
      <c r="E338" s="32" t="n">
        <f aca="false">Data_Prices!E338/Data_Prices!E337-1</f>
        <v>0.0258502513218879</v>
      </c>
      <c r="F338" s="32" t="n">
        <f aca="false">Data_Prices!F338/Data_Prices!F337-1</f>
        <v>-0.014235620453237</v>
      </c>
      <c r="G338" s="32" t="n">
        <f aca="false">Data_Prices!G338/Data_Prices!G337-1</f>
        <v>0.0258249641319943</v>
      </c>
      <c r="H338" s="32" t="n">
        <f aca="false">Data_Prices!H338/Data_Prices!H337-1</f>
        <v>0.0105309902937258</v>
      </c>
      <c r="I338" s="32" t="n">
        <f aca="false">Data_Prices!I338/Data_Prices!I337-1</f>
        <v>0.0175821510852432</v>
      </c>
      <c r="J338" s="32" t="n">
        <f aca="false">Data_Prices!J338/Data_Prices!J337-1</f>
        <v>-0.000694645441389308</v>
      </c>
      <c r="K338" s="32" t="n">
        <f aca="false">Data_Prices!K338/Data_Prices!K337-1</f>
        <v>0.0434316862830177</v>
      </c>
      <c r="L338" s="32" t="n">
        <f aca="false">Data_Prices!L338/Data_Prices!L337-1</f>
        <v>0.0457476823861347</v>
      </c>
      <c r="M338" s="32" t="n">
        <f aca="false">Data_Prices!M338/Data_Prices!M337-1</f>
        <v>0.00656027250362712</v>
      </c>
      <c r="N338" s="32" t="n">
        <f aca="false">Data_Prices!N338/Data_Prices!N337-1</f>
        <v>0.0455378040093619</v>
      </c>
      <c r="O338" s="32" t="n">
        <f aca="false">Data_Prices!O338/Data_Prices!O337-1</f>
        <v>0.00852530382731742</v>
      </c>
      <c r="P338" s="32" t="n">
        <f aca="false">Data_Prices!P338/Data_Prices!P337-1</f>
        <v>0.0284242978622489</v>
      </c>
      <c r="Q338" s="32" t="n">
        <f aca="false">Data_Prices!Q338/Data_Prices!Q337-1</f>
        <v>0.0447691950823474</v>
      </c>
      <c r="R338" s="32" t="n">
        <f aca="false">Data_Prices!R338/Data_Prices!R337-1</f>
        <v>0.0003247385854388</v>
      </c>
      <c r="S338" s="32" t="n">
        <f aca="false">Data_Prices!S338/Data_Prices!S337-1</f>
        <v>0.0277983780292337</v>
      </c>
      <c r="T338" s="32" t="n">
        <f aca="false">AVERAGE(D338:S338)</f>
        <v>0.0198881262196231</v>
      </c>
      <c r="U338" s="32" t="n">
        <f aca="false">AVERAGE(J338:S338)</f>
        <v>0.0250424713127338</v>
      </c>
      <c r="V338" s="32" t="n">
        <f aca="false">AVERAGE(D338:I338)</f>
        <v>0.0112975510644385</v>
      </c>
      <c r="W338" s="32" t="n">
        <f aca="false">AVERAGE(K338,Q338,R338)</f>
        <v>0.0295085399836013</v>
      </c>
      <c r="X338" s="32" t="n">
        <f aca="false">AVERAGE(K338,L338,N338,O338,P338,Q338,R338,S338)</f>
        <v>0.0305698857581376</v>
      </c>
      <c r="Y338" s="32" t="n">
        <f aca="false">AVERAGE(J338,L338,M338,N338,O338,P338,Q338,R338,S338)</f>
        <v>0.0229992252049245</v>
      </c>
      <c r="Z338" s="32" t="n">
        <f aca="false">U338-V338</f>
        <v>0.0137449202482953</v>
      </c>
      <c r="AA338" s="32" t="n">
        <f aca="false">W338-V338</f>
        <v>0.0182109889191628</v>
      </c>
    </row>
    <row r="339" customFormat="false" ht="15" hidden="false" customHeight="false" outlineLevel="0" collapsed="false">
      <c r="A339" s="28" t="n">
        <f aca="false">Data_Prices!A339</f>
        <v>45296</v>
      </c>
      <c r="B339" s="32" t="n">
        <f aca="false">Data_Prices!B339/Data_Prices!B338-1</f>
        <v>0.00241012807845387</v>
      </c>
      <c r="C339" s="32" t="n">
        <f aca="false">Data_Prices!C339/Data_Prices!C338-1</f>
        <v>0.00252542698138547</v>
      </c>
      <c r="D339" s="32" t="n">
        <f aca="false">Data_Prices!D339/Data_Prices!D338-1</f>
        <v>-0.00327774949083504</v>
      </c>
      <c r="E339" s="32" t="n">
        <f aca="false">Data_Prices!E339/Data_Prices!E338-1</f>
        <v>-0.00553611199490933</v>
      </c>
      <c r="F339" s="32" t="n">
        <f aca="false">Data_Prices!F339/Data_Prices!F338-1</f>
        <v>0.00833554552694449</v>
      </c>
      <c r="G339" s="32" t="n">
        <f aca="false">Data_Prices!G339/Data_Prices!G338-1</f>
        <v>0.00489510489510492</v>
      </c>
      <c r="H339" s="32" t="n">
        <f aca="false">Data_Prices!H339/Data_Prices!H338-1</f>
        <v>0.00527340071567584</v>
      </c>
      <c r="I339" s="32" t="n">
        <f aca="false">Data_Prices!I339/Data_Prices!I338-1</f>
        <v>-0.0117969494756912</v>
      </c>
      <c r="J339" s="32" t="n">
        <f aca="false">Data_Prices!J339/Data_Prices!J338-1</f>
        <v>-0.00301222267276824</v>
      </c>
      <c r="K339" s="32" t="n">
        <f aca="false">Data_Prices!K339/Data_Prices!K338-1</f>
        <v>0.000727735831893117</v>
      </c>
      <c r="L339" s="32" t="n">
        <f aca="false">Data_Prices!L339/Data_Prices!L338-1</f>
        <v>-0.0303719406436693</v>
      </c>
      <c r="M339" s="32" t="n">
        <f aca="false">Data_Prices!M339/Data_Prices!M338-1</f>
        <v>0.0835996741242087</v>
      </c>
      <c r="N339" s="32" t="n">
        <f aca="false">Data_Prices!N339/Data_Prices!N338-1</f>
        <v>0.011030544876474</v>
      </c>
      <c r="O339" s="32" t="n">
        <f aca="false">Data_Prices!O339/Data_Prices!O338-1</f>
        <v>-0.00341726618705029</v>
      </c>
      <c r="P339" s="32" t="n">
        <f aca="false">Data_Prices!P339/Data_Prices!P338-1</f>
        <v>-0.0120569244959809</v>
      </c>
      <c r="Q339" s="32" t="n">
        <f aca="false">Data_Prices!Q339/Data_Prices!Q338-1</f>
        <v>0.0188721136767318</v>
      </c>
      <c r="R339" s="32" t="n">
        <f aca="false">Data_Prices!R339/Data_Prices!R338-1</f>
        <v>0.00194779898714459</v>
      </c>
      <c r="S339" s="32" t="n">
        <f aca="false">Data_Prices!S339/Data_Prices!S338-1</f>
        <v>0.0112887833717386</v>
      </c>
      <c r="T339" s="32" t="n">
        <f aca="false">AVERAGE(D339:S339)</f>
        <v>0.00478134606531323</v>
      </c>
      <c r="U339" s="32" t="n">
        <f aca="false">AVERAGE(J339:S339)</f>
        <v>0.00786082968687219</v>
      </c>
      <c r="V339" s="32" t="n">
        <f aca="false">AVERAGE(D339:I339)</f>
        <v>-0.000351126637285056</v>
      </c>
      <c r="W339" s="32" t="n">
        <f aca="false">AVERAGE(K339,Q339,R339)</f>
        <v>0.00718254949858984</v>
      </c>
      <c r="X339" s="32" t="n">
        <f aca="false">AVERAGE(K339,L339,N339,O339,P339,Q339,R339,S339)</f>
        <v>-0.000247394322839808</v>
      </c>
      <c r="Y339" s="32" t="n">
        <f aca="false">AVERAGE(J339,L339,M339,N339,O339,P339,Q339,R339,S339)</f>
        <v>0.00865339567075876</v>
      </c>
      <c r="Z339" s="32" t="n">
        <f aca="false">U339-V339</f>
        <v>0.00821195632415725</v>
      </c>
      <c r="AA339" s="32" t="n">
        <f aca="false">W339-V339</f>
        <v>0.00753367613587489</v>
      </c>
    </row>
    <row r="340" customFormat="false" ht="15" hidden="false" customHeight="false" outlineLevel="0" collapsed="false">
      <c r="A340" s="28" t="n">
        <f aca="false">Data_Prices!A340</f>
        <v>45299</v>
      </c>
      <c r="B340" s="32" t="n">
        <f aca="false">Data_Prices!B340/Data_Prices!B339-1</f>
        <v>-0.00911067302909152</v>
      </c>
      <c r="C340" s="32" t="n">
        <f aca="false">Data_Prices!C340/Data_Prices!C339-1</f>
        <v>-0.00882566128653528</v>
      </c>
      <c r="D340" s="32" t="n">
        <f aca="false">Data_Prices!D340/Data_Prices!D339-1</f>
        <v>-0.00868426934005928</v>
      </c>
      <c r="E340" s="32" t="n">
        <f aca="false">Data_Prices!E340/Data_Prices!E339-1</f>
        <v>-0.0132454568722805</v>
      </c>
      <c r="F340" s="32" t="n">
        <f aca="false">Data_Prices!F340/Data_Prices!F339-1</f>
        <v>-0.0141112047177758</v>
      </c>
      <c r="G340" s="32" t="n">
        <f aca="false">Data_Prices!G340/Data_Prices!G339-1</f>
        <v>-0.0226165622825331</v>
      </c>
      <c r="H340" s="32" t="n">
        <f aca="false">Data_Prices!H340/Data_Prices!H339-1</f>
        <v>-0.0149878223943046</v>
      </c>
      <c r="I340" s="32" t="n">
        <f aca="false">Data_Prices!I340/Data_Prices!I339-1</f>
        <v>-0.00844085373206316</v>
      </c>
      <c r="J340" s="32" t="n">
        <f aca="false">Data_Prices!J340/Data_Prices!J339-1</f>
        <v>-0.0321693490597099</v>
      </c>
      <c r="K340" s="32" t="n">
        <f aca="false">Data_Prices!K340/Data_Prices!K339-1</f>
        <v>0.00322048644928374</v>
      </c>
      <c r="L340" s="32" t="n">
        <f aca="false">Data_Prices!L340/Data_Prices!L339-1</f>
        <v>-0.0212266963469411</v>
      </c>
      <c r="M340" s="32" t="n">
        <f aca="false">Data_Prices!M340/Data_Prices!M339-1</f>
        <v>0.00118558787808687</v>
      </c>
      <c r="N340" s="32" t="n">
        <f aca="false">Data_Prices!N340/Data_Prices!N339-1</f>
        <v>-0.0317839780512458</v>
      </c>
      <c r="O340" s="32" t="n">
        <f aca="false">Data_Prices!O340/Data_Prices!O339-1</f>
        <v>-0.00523371232629488</v>
      </c>
      <c r="P340" s="32" t="n">
        <f aca="false">Data_Prices!P340/Data_Prices!P339-1</f>
        <v>-0.00693564521507173</v>
      </c>
      <c r="Q340" s="32" t="n">
        <f aca="false">Data_Prices!Q340/Data_Prices!Q339-1</f>
        <v>0.000871649596862145</v>
      </c>
      <c r="R340" s="32" t="n">
        <f aca="false">Data_Prices!R340/Data_Prices!R339-1</f>
        <v>-0.00511923276308979</v>
      </c>
      <c r="S340" s="32" t="n">
        <f aca="false">Data_Prices!S340/Data_Prices!S339-1</f>
        <v>0.0110246731725281</v>
      </c>
      <c r="T340" s="32" t="n">
        <f aca="false">AVERAGE(D340:S340)</f>
        <v>-0.0105157741252881</v>
      </c>
      <c r="U340" s="32" t="n">
        <f aca="false">AVERAGE(J340:S340)</f>
        <v>-0.00861662166655923</v>
      </c>
      <c r="V340" s="32" t="n">
        <f aca="false">AVERAGE(D340:I340)</f>
        <v>-0.0136810282231694</v>
      </c>
      <c r="W340" s="32" t="n">
        <f aca="false">AVERAGE(K340,Q340,R340)</f>
        <v>-0.000342365572314633</v>
      </c>
      <c r="X340" s="32" t="n">
        <f aca="false">AVERAGE(K340,L340,N340,O340,P340,Q340,R340,S340)</f>
        <v>-0.00689780693549616</v>
      </c>
      <c r="Y340" s="32" t="n">
        <f aca="false">AVERAGE(J340,L340,M340,N340,O340,P340,Q340,R340,S340)</f>
        <v>-0.0099318559016529</v>
      </c>
      <c r="Z340" s="32" t="n">
        <f aca="false">U340-V340</f>
        <v>0.00506440655661018</v>
      </c>
      <c r="AA340" s="32" t="n">
        <f aca="false">W340-V340</f>
        <v>0.0133386626508548</v>
      </c>
    </row>
    <row r="341" customFormat="false" ht="15" hidden="false" customHeight="false" outlineLevel="0" collapsed="false">
      <c r="A341" s="28" t="n">
        <f aca="false">Data_Prices!A341</f>
        <v>45300</v>
      </c>
      <c r="B341" s="32" t="n">
        <f aca="false">Data_Prices!B341/Data_Prices!B340-1</f>
        <v>0.0014805001626923</v>
      </c>
      <c r="C341" s="32" t="n">
        <f aca="false">Data_Prices!C341/Data_Prices!C340-1</f>
        <v>0.00215525010686113</v>
      </c>
      <c r="D341" s="32" t="n">
        <f aca="false">Data_Prices!D341/Data_Prices!D340-1</f>
        <v>0.000193242938580918</v>
      </c>
      <c r="E341" s="32" t="n">
        <f aca="false">Data_Prices!E341/Data_Prices!E340-1</f>
        <v>0.00518773101614678</v>
      </c>
      <c r="F341" s="32" t="n">
        <f aca="false">Data_Prices!F341/Data_Prices!F340-1</f>
        <v>0.000907925656910891</v>
      </c>
      <c r="G341" s="32" t="n">
        <f aca="false">Data_Prices!G341/Data_Prices!G340-1</f>
        <v>0.00106799572801708</v>
      </c>
      <c r="H341" s="32" t="n">
        <f aca="false">Data_Prices!H341/Data_Prices!H340-1</f>
        <v>-0.000824193241615423</v>
      </c>
      <c r="I341" s="32" t="n">
        <f aca="false">Data_Prices!I341/Data_Prices!I340-1</f>
        <v>0.00389152377477808</v>
      </c>
      <c r="J341" s="32" t="n">
        <f aca="false">Data_Prices!J341/Data_Prices!J340-1</f>
        <v>-0.0313175378211799</v>
      </c>
      <c r="K341" s="32" t="n">
        <f aca="false">Data_Prices!K341/Data_Prices!K340-1</f>
        <v>-0.00135913533104648</v>
      </c>
      <c r="L341" s="32" t="n">
        <f aca="false">Data_Prices!L341/Data_Prices!L340-1</f>
        <v>0.000243674613166434</v>
      </c>
      <c r="M341" s="32" t="n">
        <f aca="false">Data_Prices!M341/Data_Prices!M340-1</f>
        <v>0.0152210958033676</v>
      </c>
      <c r="N341" s="32" t="n">
        <f aca="false">Data_Prices!N341/Data_Prices!N340-1</f>
        <v>0.00941238855930782</v>
      </c>
      <c r="O341" s="32" t="n">
        <f aca="false">Data_Prices!O341/Data_Prices!O340-1</f>
        <v>-0.00580551523947759</v>
      </c>
      <c r="P341" s="32" t="n">
        <f aca="false">Data_Prices!P341/Data_Prices!P340-1</f>
        <v>-0.00580887784567852</v>
      </c>
      <c r="Q341" s="32" t="n">
        <f aca="false">Data_Prices!Q341/Data_Prices!Q340-1</f>
        <v>0.033747006313956</v>
      </c>
      <c r="R341" s="32" t="n">
        <f aca="false">Data_Prices!R341/Data_Prices!R340-1</f>
        <v>-0.00729499120693022</v>
      </c>
      <c r="S341" s="32" t="n">
        <f aca="false">Data_Prices!S341/Data_Prices!S340-1</f>
        <v>-0.0129760739408564</v>
      </c>
      <c r="T341" s="32" t="n">
        <f aca="false">AVERAGE(D341:S341)</f>
        <v>0.000280391236090444</v>
      </c>
      <c r="U341" s="32" t="n">
        <f aca="false">AVERAGE(J341:S341)</f>
        <v>-0.000593796609537123</v>
      </c>
      <c r="V341" s="32" t="n">
        <f aca="false">AVERAGE(D341:I341)</f>
        <v>0.00173737097880305</v>
      </c>
      <c r="W341" s="32" t="n">
        <f aca="false">AVERAGE(K341,Q341,R341)</f>
        <v>0.00836429325865976</v>
      </c>
      <c r="X341" s="32" t="n">
        <f aca="false">AVERAGE(K341,L341,N341,O341,P341,Q341,R341,S341)</f>
        <v>0.00126980949030513</v>
      </c>
      <c r="Y341" s="32" t="n">
        <f aca="false">AVERAGE(J341,L341,M341,N341,O341,P341,Q341,R341,S341)</f>
        <v>-0.000508758973813861</v>
      </c>
      <c r="Z341" s="32" t="n">
        <f aca="false">U341-V341</f>
        <v>-0.00233116758834018</v>
      </c>
      <c r="AA341" s="32" t="n">
        <f aca="false">W341-V341</f>
        <v>0.00662692227985671</v>
      </c>
    </row>
    <row r="342" customFormat="false" ht="15" hidden="false" customHeight="false" outlineLevel="0" collapsed="false">
      <c r="A342" s="28" t="n">
        <f aca="false">Data_Prices!A342</f>
        <v>45301</v>
      </c>
      <c r="B342" s="32" t="n">
        <f aca="false">Data_Prices!B342/Data_Prices!B341-1</f>
        <v>0.00342773330981649</v>
      </c>
      <c r="C342" s="32" t="n">
        <f aca="false">Data_Prices!C342/Data_Prices!C341-1</f>
        <v>0.00299595828269417</v>
      </c>
      <c r="D342" s="32" t="n">
        <f aca="false">Data_Prices!D342/Data_Prices!D341-1</f>
        <v>0.0102720978908388</v>
      </c>
      <c r="E342" s="32" t="n">
        <f aca="false">Data_Prices!E342/Data_Prices!E341-1</f>
        <v>-0.0198051738597509</v>
      </c>
      <c r="F342" s="32" t="n">
        <f aca="false">Data_Prices!F342/Data_Prices!F341-1</f>
        <v>0.00586948401899567</v>
      </c>
      <c r="G342" s="32" t="n">
        <f aca="false">Data_Prices!G342/Data_Prices!G341-1</f>
        <v>0.0095128022759603</v>
      </c>
      <c r="H342" s="32" t="n">
        <f aca="false">Data_Prices!H342/Data_Prices!H341-1</f>
        <v>-0.00640862944162435</v>
      </c>
      <c r="I342" s="32" t="n">
        <f aca="false">Data_Prices!I342/Data_Prices!I341-1</f>
        <v>-0.00375529981829192</v>
      </c>
      <c r="J342" s="32" t="n">
        <f aca="false">Data_Prices!J342/Data_Prices!J341-1</f>
        <v>0.0221455574606979</v>
      </c>
      <c r="K342" s="32" t="n">
        <f aca="false">Data_Prices!K342/Data_Prices!K341-1</f>
        <v>-0.00581983149708365</v>
      </c>
      <c r="L342" s="32" t="n">
        <f aca="false">Data_Prices!L342/Data_Prices!L341-1</f>
        <v>-0.01234317268261</v>
      </c>
      <c r="M342" s="32" t="n">
        <f aca="false">Data_Prices!M342/Data_Prices!M341-1</f>
        <v>-0.00256045519203418</v>
      </c>
      <c r="N342" s="32" t="n">
        <f aca="false">Data_Prices!N342/Data_Prices!N341-1</f>
        <v>-0.000311915159076581</v>
      </c>
      <c r="O342" s="32" t="n">
        <f aca="false">Data_Prices!O342/Data_Prices!O341-1</f>
        <v>-0.0175182481751826</v>
      </c>
      <c r="P342" s="32" t="n">
        <f aca="false">Data_Prices!P342/Data_Prices!P341-1</f>
        <v>-0.00344489851058805</v>
      </c>
      <c r="Q342" s="32" t="n">
        <f aca="false">Data_Prices!Q342/Data_Prices!Q341-1</f>
        <v>0.0137952822240943</v>
      </c>
      <c r="R342" s="32" t="n">
        <f aca="false">Data_Prices!R342/Data_Prices!R341-1</f>
        <v>0.00446164949806449</v>
      </c>
      <c r="S342" s="32" t="n">
        <f aca="false">Data_Prices!S342/Data_Prices!S341-1</f>
        <v>-0.00823396452706593</v>
      </c>
      <c r="T342" s="32" t="n">
        <f aca="false">AVERAGE(D342:S342)</f>
        <v>-0.000884044718416036</v>
      </c>
      <c r="U342" s="32" t="n">
        <f aca="false">AVERAGE(J342:S342)</f>
        <v>-0.00098299965607842</v>
      </c>
      <c r="V342" s="32" t="n">
        <f aca="false">AVERAGE(D342:I342)</f>
        <v>-0.000719119822312061</v>
      </c>
      <c r="W342" s="32" t="n">
        <f aca="false">AVERAGE(K342,Q342,R342)</f>
        <v>0.00414570007502505</v>
      </c>
      <c r="X342" s="32" t="n">
        <f aca="false">AVERAGE(K342,L342,N342,O342,P342,Q342,R342,S342)</f>
        <v>-0.00367688735368099</v>
      </c>
      <c r="Y342" s="32" t="n">
        <f aca="false">AVERAGE(J342,L342,M342,N342,O342,P342,Q342,R342,S342)</f>
        <v>-0.000445573895966728</v>
      </c>
      <c r="Z342" s="32" t="n">
        <f aca="false">U342-V342</f>
        <v>-0.00026387983376636</v>
      </c>
      <c r="AA342" s="32" t="n">
        <f aca="false">W342-V342</f>
        <v>0.00486481989733711</v>
      </c>
    </row>
    <row r="343" customFormat="false" ht="15" hidden="false" customHeight="false" outlineLevel="0" collapsed="false">
      <c r="A343" s="28" t="n">
        <f aca="false">Data_Prices!A343</f>
        <v>45302</v>
      </c>
      <c r="B343" s="32" t="n">
        <f aca="false">Data_Prices!B343/Data_Prices!B342-1</f>
        <v>0.00131830313571113</v>
      </c>
      <c r="C343" s="32" t="n">
        <f aca="false">Data_Prices!C343/Data_Prices!C342-1</f>
        <v>0.00340713756894329</v>
      </c>
      <c r="D343" s="32" t="n">
        <f aca="false">Data_Prices!D343/Data_Prices!D342-1</f>
        <v>0.00640657869573524</v>
      </c>
      <c r="E343" s="32" t="n">
        <f aca="false">Data_Prices!E343/Data_Prices!E342-1</f>
        <v>0.0132289061471633</v>
      </c>
      <c r="F343" s="32" t="n">
        <f aca="false">Data_Prices!F343/Data_Prices!F342-1</f>
        <v>0.0308736937032519</v>
      </c>
      <c r="G343" s="32" t="n">
        <f aca="false">Data_Prices!G343/Data_Prices!G342-1</f>
        <v>0.018405988551299</v>
      </c>
      <c r="H343" s="32" t="n">
        <f aca="false">Data_Prices!H343/Data_Prices!H342-1</f>
        <v>-0.00447027268663391</v>
      </c>
      <c r="I343" s="32" t="n">
        <f aca="false">Data_Prices!I343/Data_Prices!I342-1</f>
        <v>0.0119163424124515</v>
      </c>
      <c r="J343" s="32" t="n">
        <f aca="false">Data_Prices!J343/Data_Prices!J342-1</f>
        <v>-0.00802360597425167</v>
      </c>
      <c r="K343" s="32" t="n">
        <f aca="false">Data_Prices!K343/Data_Prices!K342-1</f>
        <v>-0.00140806508389724</v>
      </c>
      <c r="L343" s="32" t="n">
        <f aca="false">Data_Prices!L343/Data_Prices!L342-1</f>
        <v>0.012415210688592</v>
      </c>
      <c r="M343" s="32" t="n">
        <f aca="false">Data_Prices!M343/Data_Prices!M342-1</f>
        <v>-0.0142042213348546</v>
      </c>
      <c r="N343" s="32" t="n">
        <f aca="false">Data_Prices!N343/Data_Prices!N342-1</f>
        <v>0.0426636012808932</v>
      </c>
      <c r="O343" s="32" t="n">
        <f aca="false">Data_Prices!O343/Data_Prices!O342-1</f>
        <v>0.0313893016344724</v>
      </c>
      <c r="P343" s="32" t="n">
        <f aca="false">Data_Prices!P343/Data_Prices!P342-1</f>
        <v>0.00948927373165698</v>
      </c>
      <c r="Q343" s="32" t="n">
        <f aca="false">Data_Prices!Q343/Data_Prices!Q342-1</f>
        <v>0.0208787784356497</v>
      </c>
      <c r="R343" s="32" t="n">
        <f aca="false">Data_Prices!R343/Data_Prices!R342-1</f>
        <v>-0.00404990528447324</v>
      </c>
      <c r="S343" s="32" t="n">
        <f aca="false">Data_Prices!S343/Data_Prices!S342-1</f>
        <v>0.0603488372093024</v>
      </c>
      <c r="T343" s="32" t="n">
        <f aca="false">AVERAGE(D343:S343)</f>
        <v>0.0141162776328973</v>
      </c>
      <c r="U343" s="32" t="n">
        <f aca="false">AVERAGE(J343:S343)</f>
        <v>0.014949920530309</v>
      </c>
      <c r="V343" s="32" t="n">
        <f aca="false">AVERAGE(D343:I343)</f>
        <v>0.0127268728038779</v>
      </c>
      <c r="W343" s="32" t="n">
        <f aca="false">AVERAGE(K343,Q343,R343)</f>
        <v>0.00514026935575973</v>
      </c>
      <c r="X343" s="32" t="n">
        <f aca="false">AVERAGE(K343,L343,N343,O343,P343,Q343,R343,S343)</f>
        <v>0.0214658790765245</v>
      </c>
      <c r="Y343" s="32" t="n">
        <f aca="false">AVERAGE(J343,L343,M343,N343,O343,P343,Q343,R343,S343)</f>
        <v>0.016767474487443</v>
      </c>
      <c r="Z343" s="32" t="n">
        <f aca="false">U343-V343</f>
        <v>0.00222304772643114</v>
      </c>
      <c r="AA343" s="32" t="n">
        <f aca="false">W343-V343</f>
        <v>-0.00758660344811812</v>
      </c>
    </row>
    <row r="344" customFormat="false" ht="15" hidden="false" customHeight="false" outlineLevel="0" collapsed="false">
      <c r="A344" s="28" t="n">
        <f aca="false">Data_Prices!A344</f>
        <v>45303</v>
      </c>
      <c r="B344" s="32" t="n">
        <f aca="false">Data_Prices!B344/Data_Prices!B343-1</f>
        <v>0.0114264200450867</v>
      </c>
      <c r="C344" s="32" t="n">
        <f aca="false">Data_Prices!C344/Data_Prices!C343-1</f>
        <v>0.00823361510593923</v>
      </c>
      <c r="D344" s="32" t="n">
        <f aca="false">Data_Prices!D344/Data_Prices!D343-1</f>
        <v>0.00810768012668239</v>
      </c>
      <c r="E344" s="32" t="n">
        <f aca="false">Data_Prices!E344/Data_Prices!E343-1</f>
        <v>-0.00318285157518683</v>
      </c>
      <c r="F344" s="32" t="n">
        <f aca="false">Data_Prices!F344/Data_Prices!F343-1</f>
        <v>0.00334482581176343</v>
      </c>
      <c r="G344" s="32" t="n">
        <f aca="false">Data_Prices!G344/Data_Prices!G343-1</f>
        <v>-0.00760982359045326</v>
      </c>
      <c r="H344" s="32" t="n">
        <f aca="false">Data_Prices!H344/Data_Prices!H343-1</f>
        <v>0.0256591186092758</v>
      </c>
      <c r="I344" s="32" t="n">
        <f aca="false">Data_Prices!I344/Data_Prices!I343-1</f>
        <v>0.0368901706320595</v>
      </c>
      <c r="J344" s="32" t="n">
        <f aca="false">Data_Prices!J344/Data_Prices!J343-1</f>
        <v>0.0183570351656412</v>
      </c>
      <c r="K344" s="32" t="n">
        <f aca="false">Data_Prices!K344/Data_Prices!K343-1</f>
        <v>-0.00113587403548632</v>
      </c>
      <c r="L344" s="32" t="n">
        <f aca="false">Data_Prices!L344/Data_Prices!L343-1</f>
        <v>0.0123035692532587</v>
      </c>
      <c r="M344" s="32" t="n">
        <f aca="false">Data_Prices!M344/Data_Prices!M343-1</f>
        <v>-0.01420635379897</v>
      </c>
      <c r="N344" s="32" t="n">
        <f aca="false">Data_Prices!N344/Data_Prices!N343-1</f>
        <v>-0.00664640196557087</v>
      </c>
      <c r="O344" s="32" t="n">
        <f aca="false">Data_Prices!O344/Data_Prices!O343-1</f>
        <v>0.00864397622906554</v>
      </c>
      <c r="P344" s="32" t="n">
        <f aca="false">Data_Prices!P344/Data_Prices!P343-1</f>
        <v>-0.0101722227817503</v>
      </c>
      <c r="Q344" s="32" t="n">
        <f aca="false">Data_Prices!Q344/Data_Prices!Q343-1</f>
        <v>0.00986975986975991</v>
      </c>
      <c r="R344" s="32" t="n">
        <f aca="false">Data_Prices!R344/Data_Prices!R343-1</f>
        <v>0.00570604053256374</v>
      </c>
      <c r="S344" s="32" t="n">
        <f aca="false">Data_Prices!S344/Data_Prices!S343-1</f>
        <v>0.00572431187630218</v>
      </c>
      <c r="T344" s="32" t="n">
        <f aca="false">AVERAGE(D344:S344)</f>
        <v>0.00572831002243468</v>
      </c>
      <c r="U344" s="32" t="n">
        <f aca="false">AVERAGE(J344:S344)</f>
        <v>0.00284438403448138</v>
      </c>
      <c r="V344" s="32" t="n">
        <f aca="false">AVERAGE(D344:I344)</f>
        <v>0.0105348533356902</v>
      </c>
      <c r="W344" s="32" t="n">
        <f aca="false">AVERAGE(K344,Q344,R344)</f>
        <v>0.00481330878894578</v>
      </c>
      <c r="X344" s="32" t="n">
        <f aca="false">AVERAGE(K344,L344,N344,O344,P344,Q344,R344,S344)</f>
        <v>0.00303664487226782</v>
      </c>
      <c r="Y344" s="32" t="n">
        <f aca="false">AVERAGE(J344,L344,M344,N344,O344,P344,Q344,R344,S344)</f>
        <v>0.00328663493114446</v>
      </c>
      <c r="Z344" s="32" t="n">
        <f aca="false">U344-V344</f>
        <v>-0.00769046930120879</v>
      </c>
      <c r="AA344" s="32" t="n">
        <f aca="false">W344-V344</f>
        <v>-0.0057215445467444</v>
      </c>
    </row>
    <row r="345" customFormat="false" ht="15" hidden="false" customHeight="false" outlineLevel="0" collapsed="false">
      <c r="A345" s="28" t="n">
        <f aca="false">Data_Prices!A345</f>
        <v>45306</v>
      </c>
      <c r="B345" s="32" t="n">
        <f aca="false">Data_Prices!B345/Data_Prices!B344-1</f>
        <v>0.00926714639031179</v>
      </c>
      <c r="C345" s="32" t="n">
        <f aca="false">Data_Prices!C345/Data_Prices!C344-1</f>
        <v>0.0070876549712342</v>
      </c>
      <c r="D345" s="32" t="n">
        <f aca="false">Data_Prices!D345/Data_Prices!D344-1</f>
        <v>0.013477427664855</v>
      </c>
      <c r="E345" s="32" t="n">
        <f aca="false">Data_Prices!E345/Data_Prices!E344-1</f>
        <v>-0.00443112211651242</v>
      </c>
      <c r="F345" s="32" t="n">
        <f aca="false">Data_Prices!F345/Data_Prices!F344-1</f>
        <v>-0.00938557800800077</v>
      </c>
      <c r="G345" s="32" t="n">
        <f aca="false">Data_Prices!G345/Data_Prices!G344-1</f>
        <v>0.00749390031369823</v>
      </c>
      <c r="H345" s="32" t="n">
        <f aca="false">Data_Prices!H345/Data_Prices!H344-1</f>
        <v>-0.00281443492401023</v>
      </c>
      <c r="I345" s="32" t="n">
        <f aca="false">Data_Prices!I345/Data_Prices!I344-1</f>
        <v>-0.0230617684552091</v>
      </c>
      <c r="J345" s="32" t="n">
        <f aca="false">Data_Prices!J345/Data_Prices!J344-1</f>
        <v>-0.00252085709141114</v>
      </c>
      <c r="K345" s="32" t="n">
        <f aca="false">Data_Prices!K345/Data_Prices!K344-1</f>
        <v>-0.0238935508326144</v>
      </c>
      <c r="L345" s="32" t="n">
        <f aca="false">Data_Prices!L345/Data_Prices!L344-1</f>
        <v>0.0254713196951464</v>
      </c>
      <c r="M345" s="32" t="n">
        <f aca="false">Data_Prices!M345/Data_Prices!M344-1</f>
        <v>-0.0186375509964486</v>
      </c>
      <c r="N345" s="32" t="n">
        <f aca="false">Data_Prices!N345/Data_Prices!N344-1</f>
        <v>0.018312695216502</v>
      </c>
      <c r="O345" s="32" t="n">
        <f aca="false">Data_Prices!O345/Data_Prices!O344-1</f>
        <v>0.00714158186038216</v>
      </c>
      <c r="P345" s="32" t="n">
        <f aca="false">Data_Prices!P345/Data_Prices!P344-1</f>
        <v>-0.0145163478496813</v>
      </c>
      <c r="Q345" s="32" t="n">
        <f aca="false">Data_Prices!Q345/Data_Prices!Q344-1</f>
        <v>0.0106801007556676</v>
      </c>
      <c r="R345" s="32" t="n">
        <f aca="false">Data_Prices!R345/Data_Prices!R344-1</f>
        <v>0.00176079300899956</v>
      </c>
      <c r="S345" s="32" t="n">
        <f aca="false">Data_Prices!S345/Data_Prices!S344-1</f>
        <v>0.011666957431961</v>
      </c>
      <c r="T345" s="32" t="n">
        <f aca="false">AVERAGE(D345:S345)</f>
        <v>-0.000203527145417243</v>
      </c>
      <c r="U345" s="32" t="n">
        <f aca="false">AVERAGE(J345:S345)</f>
        <v>0.00154651411985034</v>
      </c>
      <c r="V345" s="32" t="n">
        <f aca="false">AVERAGE(D345:I345)</f>
        <v>-0.00312026258752988</v>
      </c>
      <c r="W345" s="32" t="n">
        <f aca="false">AVERAGE(K345,Q345,R345)</f>
        <v>-0.00381755235598239</v>
      </c>
      <c r="X345" s="32" t="n">
        <f aca="false">AVERAGE(K345,L345,N345,O345,P345,Q345,R345,S345)</f>
        <v>0.00457794366079539</v>
      </c>
      <c r="Y345" s="32" t="n">
        <f aca="false">AVERAGE(J345,L345,M345,N345,O345,P345,Q345,R345,S345)</f>
        <v>0.00437318800345753</v>
      </c>
      <c r="Z345" s="32" t="n">
        <f aca="false">U345-V345</f>
        <v>0.00466677670738022</v>
      </c>
      <c r="AA345" s="32" t="n">
        <f aca="false">W345-V345</f>
        <v>-0.000697289768452514</v>
      </c>
    </row>
    <row r="346" customFormat="false" ht="15" hidden="false" customHeight="false" outlineLevel="0" collapsed="false">
      <c r="A346" s="28" t="n">
        <f aca="false">Data_Prices!A346</f>
        <v>45307</v>
      </c>
      <c r="B346" s="32" t="n">
        <f aca="false">Data_Prices!B346/Data_Prices!B345-1</f>
        <v>-0.00294830398982693</v>
      </c>
      <c r="C346" s="32" t="n">
        <f aca="false">Data_Prices!C346/Data_Prices!C345-1</f>
        <v>-0.00291669076289069</v>
      </c>
      <c r="D346" s="32" t="n">
        <f aca="false">Data_Prices!D346/Data_Prices!D345-1</f>
        <v>-0.0273713577185369</v>
      </c>
      <c r="E346" s="32" t="n">
        <f aca="false">Data_Prices!E346/Data_Prices!E345-1</f>
        <v>-0.00955622463673245</v>
      </c>
      <c r="F346" s="32" t="n">
        <f aca="false">Data_Prices!F346/Data_Prices!F345-1</f>
        <v>-0.0100440072482527</v>
      </c>
      <c r="G346" s="32" t="n">
        <f aca="false">Data_Prices!G346/Data_Prices!G345-1</f>
        <v>0.010119356512714</v>
      </c>
      <c r="H346" s="32" t="n">
        <f aca="false">Data_Prices!H346/Data_Prices!H345-1</f>
        <v>0.0637230306071248</v>
      </c>
      <c r="I346" s="32" t="n">
        <f aca="false">Data_Prices!I346/Data_Prices!I345-1</f>
        <v>-0.0199288256227758</v>
      </c>
      <c r="J346" s="32" t="n">
        <f aca="false">Data_Prices!J346/Data_Prices!J345-1</f>
        <v>-0.0157851455161763</v>
      </c>
      <c r="K346" s="32" t="n">
        <f aca="false">Data_Prices!K346/Data_Prices!K345-1</f>
        <v>-0.00285224564128661</v>
      </c>
      <c r="L346" s="32" t="n">
        <f aca="false">Data_Prices!L346/Data_Prices!L345-1</f>
        <v>0.0165851750440056</v>
      </c>
      <c r="M346" s="32" t="n">
        <f aca="false">Data_Prices!M346/Data_Prices!M345-1</f>
        <v>0.0194700323005144</v>
      </c>
      <c r="N346" s="32" t="n">
        <f aca="false">Data_Prices!N346/Data_Prices!N345-1</f>
        <v>-0.0262354809578675</v>
      </c>
      <c r="O346" s="32" t="n">
        <f aca="false">Data_Prices!O346/Data_Prices!O345-1</f>
        <v>0.000354547066122812</v>
      </c>
      <c r="P346" s="32" t="n">
        <f aca="false">Data_Prices!P346/Data_Prices!P345-1</f>
        <v>-0.0108755506607929</v>
      </c>
      <c r="Q346" s="32" t="n">
        <f aca="false">Data_Prices!Q346/Data_Prices!Q345-1</f>
        <v>-0.0177449905293591</v>
      </c>
      <c r="R346" s="32" t="n">
        <f aca="false">Data_Prices!R346/Data_Prices!R345-1</f>
        <v>-0.000976498925851166</v>
      </c>
      <c r="S346" s="32" t="n">
        <f aca="false">Data_Prices!S346/Data_Prices!S345-1</f>
        <v>-0.0042465133323274</v>
      </c>
      <c r="T346" s="32" t="n">
        <f aca="false">AVERAGE(D346:S346)</f>
        <v>-0.00221029370371733</v>
      </c>
      <c r="U346" s="32" t="n">
        <f aca="false">AVERAGE(J346:S346)</f>
        <v>-0.00423066711530182</v>
      </c>
      <c r="V346" s="32" t="n">
        <f aca="false">AVERAGE(D346:I346)</f>
        <v>0.00115699531559016</v>
      </c>
      <c r="W346" s="32" t="n">
        <f aca="false">AVERAGE(K346,Q346,R346)</f>
        <v>-0.00719124503216562</v>
      </c>
      <c r="X346" s="32" t="n">
        <f aca="false">AVERAGE(K346,L346,N346,O346,P346,Q346,R346,S346)</f>
        <v>-0.00574894474216954</v>
      </c>
      <c r="Y346" s="32" t="n">
        <f aca="false">AVERAGE(J346,L346,M346,N346,O346,P346,Q346,R346,S346)</f>
        <v>-0.00438382505685907</v>
      </c>
      <c r="Z346" s="32" t="n">
        <f aca="false">U346-V346</f>
        <v>-0.00538766243089198</v>
      </c>
      <c r="AA346" s="32" t="n">
        <f aca="false">W346-V346</f>
        <v>-0.00834824034775578</v>
      </c>
    </row>
    <row r="347" customFormat="false" ht="15" hidden="false" customHeight="false" outlineLevel="0" collapsed="false">
      <c r="A347" s="28" t="n">
        <f aca="false">Data_Prices!A347</f>
        <v>45308</v>
      </c>
      <c r="B347" s="32" t="n">
        <f aca="false">Data_Prices!B347/Data_Prices!B346-1</f>
        <v>-0.0208943233343772</v>
      </c>
      <c r="C347" s="32" t="n">
        <f aca="false">Data_Prices!C347/Data_Prices!C346-1</f>
        <v>-0.0171453356567</v>
      </c>
      <c r="D347" s="32" t="n">
        <f aca="false">Data_Prices!D347/Data_Prices!D346-1</f>
        <v>-0.0249864550466902</v>
      </c>
      <c r="E347" s="32" t="n">
        <f aca="false">Data_Prices!E347/Data_Prices!E346-1</f>
        <v>0.00991276764472637</v>
      </c>
      <c r="F347" s="32" t="n">
        <f aca="false">Data_Prices!F347/Data_Prices!F346-1</f>
        <v>0.00936143507138754</v>
      </c>
      <c r="G347" s="32" t="n">
        <f aca="false">Data_Prices!G347/Data_Prices!G346-1</f>
        <v>-0.0148985358335475</v>
      </c>
      <c r="H347" s="32" t="n">
        <f aca="false">Data_Prices!H347/Data_Prices!H346-1</f>
        <v>-0.0241155660377359</v>
      </c>
      <c r="I347" s="32" t="n">
        <f aca="false">Data_Prices!I347/Data_Prices!I346-1</f>
        <v>-0.0215444202372308</v>
      </c>
      <c r="J347" s="32" t="n">
        <f aca="false">Data_Prices!J347/Data_Prices!J346-1</f>
        <v>-0.0146729162421031</v>
      </c>
      <c r="K347" s="32" t="n">
        <f aca="false">Data_Prices!K347/Data_Prices!K346-1</f>
        <v>-0.0131202578392533</v>
      </c>
      <c r="L347" s="32" t="n">
        <f aca="false">Data_Prices!L347/Data_Prices!L346-1</f>
        <v>-0.00873446458116911</v>
      </c>
      <c r="M347" s="32" t="n">
        <f aca="false">Data_Prices!M347/Data_Prices!M346-1</f>
        <v>-0.0281925660809106</v>
      </c>
      <c r="N347" s="32" t="n">
        <f aca="false">Data_Prices!N347/Data_Prices!N346-1</f>
        <v>0.0102492764746327</v>
      </c>
      <c r="O347" s="32" t="n">
        <f aca="false">Data_Prices!O347/Data_Prices!O346-1</f>
        <v>-0.00992379939748345</v>
      </c>
      <c r="P347" s="32" t="n">
        <f aca="false">Data_Prices!P347/Data_Prices!P346-1</f>
        <v>-0.0139178844815588</v>
      </c>
      <c r="Q347" s="32" t="n">
        <f aca="false">Data_Prices!Q347/Data_Prices!Q346-1</f>
        <v>-0.0184715315132447</v>
      </c>
      <c r="R347" s="32" t="n">
        <f aca="false">Data_Prices!R347/Data_Prices!R346-1</f>
        <v>-0.0196793952821581</v>
      </c>
      <c r="S347" s="32" t="n">
        <f aca="false">Data_Prices!S347/Data_Prices!S346-1</f>
        <v>-0.00939515954452952</v>
      </c>
      <c r="T347" s="32" t="n">
        <f aca="false">AVERAGE(D347:S347)</f>
        <v>-0.0120080920579293</v>
      </c>
      <c r="U347" s="32" t="n">
        <f aca="false">AVERAGE(J347:S347)</f>
        <v>-0.0125858698487778</v>
      </c>
      <c r="V347" s="32" t="n">
        <f aca="false">AVERAGE(D347:I347)</f>
        <v>-0.0110451290731817</v>
      </c>
      <c r="W347" s="32" t="n">
        <f aca="false">AVERAGE(K347,Q347,R347)</f>
        <v>-0.0170903948782187</v>
      </c>
      <c r="X347" s="32" t="n">
        <f aca="false">AVERAGE(K347,L347,N347,O347,P347,Q347,R347,S347)</f>
        <v>-0.0103741520205955</v>
      </c>
      <c r="Y347" s="32" t="n">
        <f aca="false">AVERAGE(J347,L347,M347,N347,O347,P347,Q347,R347,S347)</f>
        <v>-0.0125264934053916</v>
      </c>
      <c r="Z347" s="32" t="n">
        <f aca="false">U347-V347</f>
        <v>-0.00154074077559605</v>
      </c>
      <c r="AA347" s="32" t="n">
        <f aca="false">W347-V347</f>
        <v>-0.00604526580503695</v>
      </c>
    </row>
    <row r="348" customFormat="false" ht="15" hidden="false" customHeight="false" outlineLevel="0" collapsed="false">
      <c r="A348" s="28" t="n">
        <f aca="false">Data_Prices!A348</f>
        <v>45309</v>
      </c>
      <c r="B348" s="32" t="n">
        <f aca="false">Data_Prices!B348/Data_Prices!B347-1</f>
        <v>-0.00508530754057934</v>
      </c>
      <c r="C348" s="32" t="n">
        <f aca="false">Data_Prices!C348/Data_Prices!C347-1</f>
        <v>-0.00373570886101926</v>
      </c>
      <c r="D348" s="32" t="n">
        <f aca="false">Data_Prices!D348/Data_Prices!D347-1</f>
        <v>-0.0186317131369921</v>
      </c>
      <c r="E348" s="32" t="n">
        <f aca="false">Data_Prices!E348/Data_Prices!E347-1</f>
        <v>0.0180604632901451</v>
      </c>
      <c r="F348" s="32" t="n">
        <f aca="false">Data_Prices!F348/Data_Prices!F347-1</f>
        <v>0.0196373056994819</v>
      </c>
      <c r="G348" s="32" t="n">
        <f aca="false">Data_Prices!G348/Data_Prices!G347-1</f>
        <v>0.00156453715775751</v>
      </c>
      <c r="H348" s="32" t="n">
        <f aca="false">Data_Prices!H348/Data_Prices!H347-1</f>
        <v>0.0346202646365779</v>
      </c>
      <c r="I348" s="32" t="n">
        <f aca="false">Data_Prices!I348/Data_Prices!I347-1</f>
        <v>-0.000494804552201855</v>
      </c>
      <c r="J348" s="32" t="n">
        <f aca="false">Data_Prices!J348/Data_Prices!J347-1</f>
        <v>0.0336711478800413</v>
      </c>
      <c r="K348" s="32" t="n">
        <f aca="false">Data_Prices!K348/Data_Prices!K347-1</f>
        <v>-0.0126687350315697</v>
      </c>
      <c r="L348" s="32" t="n">
        <f aca="false">Data_Prices!L348/Data_Prices!L347-1</f>
        <v>0.00275599720518605</v>
      </c>
      <c r="M348" s="32" t="n">
        <f aca="false">Data_Prices!M348/Data_Prices!M347-1</f>
        <v>-0.00458854072329884</v>
      </c>
      <c r="N348" s="32" t="n">
        <f aca="false">Data_Prices!N348/Data_Prices!N347-1</f>
        <v>-0.0179006679117472</v>
      </c>
      <c r="O348" s="32" t="n">
        <f aca="false">Data_Prices!O348/Data_Prices!O347-1</f>
        <v>-0.00554859495256854</v>
      </c>
      <c r="P348" s="32" t="n">
        <f aca="false">Data_Prices!P348/Data_Prices!P347-1</f>
        <v>-0.0258997882851094</v>
      </c>
      <c r="Q348" s="32" t="n">
        <f aca="false">Data_Prices!Q348/Data_Prices!Q347-1</f>
        <v>0.0141660634887808</v>
      </c>
      <c r="R348" s="32" t="n">
        <f aca="false">Data_Prices!R348/Data_Prices!R347-1</f>
        <v>-0.00259239563945768</v>
      </c>
      <c r="S348" s="32" t="n">
        <f aca="false">Data_Prices!S348/Data_Prices!S347-1</f>
        <v>-0.0142482517482518</v>
      </c>
      <c r="T348" s="32" t="n">
        <f aca="false">AVERAGE(D348:S348)</f>
        <v>0.00136889296104833</v>
      </c>
      <c r="U348" s="32" t="n">
        <f aca="false">AVERAGE(J348:S348)</f>
        <v>-0.0032853765717995</v>
      </c>
      <c r="V348" s="32" t="n">
        <f aca="false">AVERAGE(D348:I348)</f>
        <v>0.00912600884912806</v>
      </c>
      <c r="W348" s="32" t="n">
        <f aca="false">AVERAGE(K348,Q348,R348)</f>
        <v>-0.000365022394082204</v>
      </c>
      <c r="X348" s="32" t="n">
        <f aca="false">AVERAGE(K348,L348,N348,O348,P348,Q348,R348,S348)</f>
        <v>-0.00774204660934219</v>
      </c>
      <c r="Y348" s="32" t="n">
        <f aca="false">AVERAGE(J348,L348,M348,N348,O348,P348,Q348,R348,S348)</f>
        <v>-0.00224278118738059</v>
      </c>
      <c r="Z348" s="32" t="n">
        <f aca="false">U348-V348</f>
        <v>-0.0124113854209276</v>
      </c>
      <c r="AA348" s="32" t="n">
        <f aca="false">W348-V348</f>
        <v>-0.00949103124321027</v>
      </c>
    </row>
    <row r="349" customFormat="false" ht="15" hidden="false" customHeight="false" outlineLevel="0" collapsed="false">
      <c r="A349" s="28" t="n">
        <f aca="false">Data_Prices!A349</f>
        <v>45310</v>
      </c>
      <c r="B349" s="32" t="n">
        <f aca="false">Data_Prices!B349/Data_Prices!B348-1</f>
        <v>0.00746193898589387</v>
      </c>
      <c r="C349" s="32" t="n">
        <f aca="false">Data_Prices!C349/Data_Prices!C348-1</f>
        <v>0.00986875991511638</v>
      </c>
      <c r="D349" s="32" t="n">
        <f aca="false">Data_Prices!D349/Data_Prices!D348-1</f>
        <v>-0.00822702594677427</v>
      </c>
      <c r="E349" s="32" t="n">
        <f aca="false">Data_Prices!E349/Data_Prices!E348-1</f>
        <v>0.0208895744954365</v>
      </c>
      <c r="F349" s="32" t="n">
        <f aca="false">Data_Prices!F349/Data_Prices!F348-1</f>
        <v>0.0256110574724324</v>
      </c>
      <c r="G349" s="32" t="n">
        <f aca="false">Data_Prices!G349/Data_Prices!G348-1</f>
        <v>0.0142324047557061</v>
      </c>
      <c r="H349" s="32" t="n">
        <f aca="false">Data_Prices!H349/Data_Prices!H348-1</f>
        <v>0.0241765942536789</v>
      </c>
      <c r="I349" s="32" t="n">
        <f aca="false">Data_Prices!I349/Data_Prices!I348-1</f>
        <v>0.0193069306930693</v>
      </c>
      <c r="J349" s="32" t="n">
        <f aca="false">Data_Prices!J349/Data_Prices!J348-1</f>
        <v>0.00422185761735161</v>
      </c>
      <c r="K349" s="32" t="n">
        <f aca="false">Data_Prices!K349/Data_Prices!K348-1</f>
        <v>0.00737351323786806</v>
      </c>
      <c r="L349" s="32" t="n">
        <f aca="false">Data_Prices!L349/Data_Prices!L348-1</f>
        <v>-0.0202067123446755</v>
      </c>
      <c r="M349" s="32" t="n">
        <f aca="false">Data_Prices!M349/Data_Prices!M348-1</f>
        <v>0.0162249044701885</v>
      </c>
      <c r="N349" s="32" t="n">
        <f aca="false">Data_Prices!N349/Data_Prices!N348-1</f>
        <v>0.0263654090989669</v>
      </c>
      <c r="O349" s="32" t="n">
        <f aca="false">Data_Prices!O349/Data_Prices!O348-1</f>
        <v>0.0163786897048237</v>
      </c>
      <c r="P349" s="32" t="n">
        <f aca="false">Data_Prices!P349/Data_Prices!P348-1</f>
        <v>0.0368035934217199</v>
      </c>
      <c r="Q349" s="32" t="n">
        <f aca="false">Data_Prices!Q349/Data_Prices!Q348-1</f>
        <v>0.0270187601957586</v>
      </c>
      <c r="R349" s="32" t="n">
        <f aca="false">Data_Prices!R349/Data_Prices!R348-1</f>
        <v>-0.00139953348883703</v>
      </c>
      <c r="S349" s="32" t="n">
        <f aca="false">Data_Prices!S349/Data_Prices!S348-1</f>
        <v>0.0205950164050723</v>
      </c>
      <c r="T349" s="32" t="n">
        <f aca="false">AVERAGE(D349:S349)</f>
        <v>0.0143353146276116</v>
      </c>
      <c r="U349" s="32" t="n">
        <f aca="false">AVERAGE(J349:S349)</f>
        <v>0.0133375498318237</v>
      </c>
      <c r="V349" s="32" t="n">
        <f aca="false">AVERAGE(D349:I349)</f>
        <v>0.0159982559539248</v>
      </c>
      <c r="W349" s="32" t="n">
        <f aca="false">AVERAGE(K349,Q349,R349)</f>
        <v>0.0109975799815965</v>
      </c>
      <c r="X349" s="32" t="n">
        <f aca="false">AVERAGE(K349,L349,N349,O349,P349,Q349,R349,S349)</f>
        <v>0.0141160920288371</v>
      </c>
      <c r="Y349" s="32" t="n">
        <f aca="false">AVERAGE(J349,L349,M349,N349,O349,P349,Q349,R349,S349)</f>
        <v>0.0140002205644854</v>
      </c>
      <c r="Z349" s="32" t="n">
        <f aca="false">U349-V349</f>
        <v>-0.00266070612210113</v>
      </c>
      <c r="AA349" s="32" t="n">
        <f aca="false">W349-V349</f>
        <v>-0.0050006759723283</v>
      </c>
    </row>
    <row r="350" customFormat="false" ht="15" hidden="false" customHeight="false" outlineLevel="0" collapsed="false">
      <c r="A350" s="28" t="n">
        <f aca="false">Data_Prices!A350</f>
        <v>45311</v>
      </c>
      <c r="B350" s="32" t="n">
        <f aca="false">Data_Prices!B350/Data_Prices!B349-1</f>
        <v>-0.00234016575403295</v>
      </c>
      <c r="C350" s="32" t="n">
        <f aca="false">Data_Prices!C350/Data_Prices!C349-1</f>
        <v>-0.000229516892443327</v>
      </c>
      <c r="D350" s="32" t="n">
        <f aca="false">Data_Prices!D350/Data_Prices!D349-1</f>
        <v>0.0209564750134337</v>
      </c>
      <c r="E350" s="32" t="n">
        <f aca="false">Data_Prices!E350/Data_Prices!E349-1</f>
        <v>-0.0324875653214127</v>
      </c>
      <c r="F350" s="32" t="n">
        <f aca="false">Data_Prices!F350/Data_Prices!F349-1</f>
        <v>-0.0199672992122083</v>
      </c>
      <c r="G350" s="32" t="n">
        <f aca="false">Data_Prices!G350/Data_Prices!G349-1</f>
        <v>-0.0112946008385386</v>
      </c>
      <c r="H350" s="32" t="n">
        <f aca="false">Data_Prices!H350/Data_Prices!H349-1</f>
        <v>-0.0091230470977306</v>
      </c>
      <c r="I350" s="32" t="n">
        <f aca="false">Data_Prices!I350/Data_Prices!I349-1</f>
        <v>-0.0160271976687713</v>
      </c>
      <c r="J350" s="32" t="n">
        <f aca="false">Data_Prices!J350/Data_Prices!J349-1</f>
        <v>-0.00775070234513531</v>
      </c>
      <c r="K350" s="32" t="n">
        <f aca="false">Data_Prices!K350/Data_Prices!K349-1</f>
        <v>-0.00243528703551688</v>
      </c>
      <c r="L350" s="32" t="n">
        <f aca="false">Data_Prices!L350/Data_Prices!L349-1</f>
        <v>-0.00355576626763066</v>
      </c>
      <c r="M350" s="32" t="n">
        <f aca="false">Data_Prices!M350/Data_Prices!M349-1</f>
        <v>-0.00453609478050676</v>
      </c>
      <c r="N350" s="32" t="n">
        <f aca="false">Data_Prices!N350/Data_Prices!N349-1</f>
        <v>0.00734843845682787</v>
      </c>
      <c r="O350" s="32" t="n">
        <f aca="false">Data_Prices!O350/Data_Prices!O349-1</f>
        <v>-0.002656277669559</v>
      </c>
      <c r="P350" s="32" t="n">
        <f aca="false">Data_Prices!P350/Data_Prices!P349-1</f>
        <v>-0.0159318007127385</v>
      </c>
      <c r="Q350" s="32" t="n">
        <f aca="false">Data_Prices!Q350/Data_Prices!Q349-1</f>
        <v>-0.029186935371786</v>
      </c>
      <c r="R350" s="32" t="n">
        <f aca="false">Data_Prices!R350/Data_Prices!R349-1</f>
        <v>-0.00560597971169252</v>
      </c>
      <c r="S350" s="32" t="n">
        <f aca="false">Data_Prices!S350/Data_Prices!S349-1</f>
        <v>-0.00123813454395372</v>
      </c>
      <c r="T350" s="32" t="n">
        <f aca="false">AVERAGE(D350:S350)</f>
        <v>-0.00834323594418245</v>
      </c>
      <c r="U350" s="32" t="n">
        <f aca="false">AVERAGE(J350:S350)</f>
        <v>-0.00655485399816914</v>
      </c>
      <c r="V350" s="32" t="n">
        <f aca="false">AVERAGE(D350:I350)</f>
        <v>-0.0113238725208713</v>
      </c>
      <c r="W350" s="32" t="n">
        <f aca="false">AVERAGE(K350,Q350,R350)</f>
        <v>-0.0124094007063318</v>
      </c>
      <c r="X350" s="32" t="n">
        <f aca="false">AVERAGE(K350,L350,N350,O350,P350,Q350,R350,S350)</f>
        <v>-0.00665771785700617</v>
      </c>
      <c r="Y350" s="32" t="n">
        <f aca="false">AVERAGE(J350,L350,M350,N350,O350,P350,Q350,R350,S350)</f>
        <v>-0.00701258366068606</v>
      </c>
      <c r="Z350" s="32" t="n">
        <f aca="false">U350-V350</f>
        <v>0.00476901852270216</v>
      </c>
      <c r="AA350" s="32" t="n">
        <f aca="false">W350-V350</f>
        <v>-0.00108552818546048</v>
      </c>
    </row>
    <row r="351" customFormat="false" ht="15" hidden="false" customHeight="false" outlineLevel="0" collapsed="false">
      <c r="A351" s="28" t="n">
        <f aca="false">Data_Prices!A351</f>
        <v>45314</v>
      </c>
      <c r="B351" s="32" t="n">
        <f aca="false">Data_Prices!B351/Data_Prices!B350-1</f>
        <v>-0.0154368202931605</v>
      </c>
      <c r="C351" s="32" t="n">
        <f aca="false">Data_Prices!C351/Data_Prices!C350-1</f>
        <v>-0.0201740647590285</v>
      </c>
      <c r="D351" s="32" t="n">
        <f aca="false">Data_Prices!D351/Data_Prices!D350-1</f>
        <v>-0.0117434210526315</v>
      </c>
      <c r="E351" s="32" t="n">
        <f aca="false">Data_Prices!E351/Data_Prices!E350-1</f>
        <v>-0.0558990043599923</v>
      </c>
      <c r="F351" s="32" t="n">
        <f aca="false">Data_Prices!F351/Data_Prices!F350-1</f>
        <v>0.00136501516683518</v>
      </c>
      <c r="G351" s="32" t="n">
        <f aca="false">Data_Prices!G351/Data_Prices!G350-1</f>
        <v>-0.0294244915620944</v>
      </c>
      <c r="H351" s="32" t="n">
        <f aca="false">Data_Prices!H351/Data_Prices!H350-1</f>
        <v>-0.00609966624467717</v>
      </c>
      <c r="I351" s="32" t="n">
        <f aca="false">Data_Prices!I351/Data_Prices!I350-1</f>
        <v>-0.0113524185587364</v>
      </c>
      <c r="J351" s="32" t="n">
        <f aca="false">Data_Prices!J351/Data_Prices!J350-1</f>
        <v>-0.0382329317269076</v>
      </c>
      <c r="K351" s="32" t="n">
        <f aca="false">Data_Prices!K351/Data_Prices!K350-1</f>
        <v>-0.0315851551142441</v>
      </c>
      <c r="L351" s="32" t="n">
        <f aca="false">Data_Prices!L351/Data_Prices!L350-1</f>
        <v>-0.0323539907220173</v>
      </c>
      <c r="M351" s="32" t="n">
        <f aca="false">Data_Prices!M351/Data_Prices!M350-1</f>
        <v>-0.0259915460023383</v>
      </c>
      <c r="N351" s="32" t="n">
        <f aca="false">Data_Prices!N351/Data_Prices!N350-1</f>
        <v>-0.0539162964694878</v>
      </c>
      <c r="O351" s="32" t="n">
        <f aca="false">Data_Prices!O351/Data_Prices!O350-1</f>
        <v>-0.0392400568181819</v>
      </c>
      <c r="P351" s="32" t="n">
        <f aca="false">Data_Prices!P351/Data_Prices!P350-1</f>
        <v>-0.0314918696300504</v>
      </c>
      <c r="Q351" s="32" t="n">
        <f aca="false">Data_Prices!Q351/Data_Prices!Q350-1</f>
        <v>-0.0126802331526741</v>
      </c>
      <c r="R351" s="32" t="n">
        <f aca="false">Data_Prices!R351/Data_Prices!R350-1</f>
        <v>-0.020268456375839</v>
      </c>
      <c r="S351" s="32" t="n">
        <f aca="false">Data_Prices!S351/Data_Prices!S350-1</f>
        <v>-0.00848194867333629</v>
      </c>
      <c r="T351" s="32" t="n">
        <f aca="false">AVERAGE(D351:S351)</f>
        <v>-0.0254622794560233</v>
      </c>
      <c r="U351" s="32" t="n">
        <f aca="false">AVERAGE(J351:S351)</f>
        <v>-0.0294242484685077</v>
      </c>
      <c r="V351" s="32" t="n">
        <f aca="false">AVERAGE(D351:I351)</f>
        <v>-0.0188589977685494</v>
      </c>
      <c r="W351" s="32" t="n">
        <f aca="false">AVERAGE(K351,Q351,R351)</f>
        <v>-0.0215112815475857</v>
      </c>
      <c r="X351" s="32" t="n">
        <f aca="false">AVERAGE(K351,L351,N351,O351,P351,Q351,R351,S351)</f>
        <v>-0.0287522508694788</v>
      </c>
      <c r="Y351" s="32" t="n">
        <f aca="false">AVERAGE(J351,L351,M351,N351,O351,P351,Q351,R351,S351)</f>
        <v>-0.0291841477300925</v>
      </c>
      <c r="Z351" s="32" t="n">
        <f aca="false">U351-V351</f>
        <v>-0.0105652506999582</v>
      </c>
      <c r="AA351" s="32" t="n">
        <f aca="false">W351-V351</f>
        <v>-0.00265228377903629</v>
      </c>
    </row>
    <row r="352" customFormat="false" ht="15" hidden="false" customHeight="false" outlineLevel="0" collapsed="false">
      <c r="A352" s="28" t="n">
        <f aca="false">Data_Prices!A352</f>
        <v>45315</v>
      </c>
      <c r="B352" s="32" t="n">
        <f aca="false">Data_Prices!B352/Data_Prices!B351-1</f>
        <v>0.0101300450119592</v>
      </c>
      <c r="C352" s="32" t="n">
        <f aca="false">Data_Prices!C352/Data_Prices!C351-1</f>
        <v>0.0127327017746641</v>
      </c>
      <c r="D352" s="32" t="n">
        <f aca="false">Data_Prices!D352/Data_Prices!D351-1</f>
        <v>-0.0056252704456945</v>
      </c>
      <c r="E352" s="32" t="n">
        <f aca="false">Data_Prices!E352/Data_Prices!E351-1</f>
        <v>0.0279156327543424</v>
      </c>
      <c r="F352" s="32" t="n">
        <f aca="false">Data_Prices!F352/Data_Prices!F351-1</f>
        <v>0.00681577220174678</v>
      </c>
      <c r="G352" s="32" t="n">
        <f aca="false">Data_Prices!G352/Data_Prices!G351-1</f>
        <v>0.0296923762817654</v>
      </c>
      <c r="H352" s="32" t="n">
        <f aca="false">Data_Prices!H352/Data_Prices!H351-1</f>
        <v>-0.00440018527095887</v>
      </c>
      <c r="I352" s="32" t="n">
        <f aca="false">Data_Prices!I352/Data_Prices!I351-1</f>
        <v>0.0082376435346978</v>
      </c>
      <c r="J352" s="32" t="n">
        <f aca="false">Data_Prices!J352/Data_Prices!J351-1</f>
        <v>-0.0187489560714883</v>
      </c>
      <c r="K352" s="32" t="n">
        <f aca="false">Data_Prices!K352/Data_Prices!K351-1</f>
        <v>-0.00218096330600048</v>
      </c>
      <c r="L352" s="32" t="n">
        <f aca="false">Data_Prices!L352/Data_Prices!L351-1</f>
        <v>0.0209383323089531</v>
      </c>
      <c r="M352" s="32" t="n">
        <f aca="false">Data_Prices!M352/Data_Prices!M351-1</f>
        <v>-0.0435210834102802</v>
      </c>
      <c r="N352" s="32" t="n">
        <f aca="false">Data_Prices!N352/Data_Prices!N351-1</f>
        <v>-0.0196882825886385</v>
      </c>
      <c r="O352" s="32" t="n">
        <f aca="false">Data_Prices!O352/Data_Prices!O351-1</f>
        <v>0.00739234891886897</v>
      </c>
      <c r="P352" s="32" t="n">
        <f aca="false">Data_Prices!P352/Data_Prices!P351-1</f>
        <v>0.0291799552769529</v>
      </c>
      <c r="Q352" s="32" t="n">
        <f aca="false">Data_Prices!Q352/Data_Prices!Q351-1</f>
        <v>-0.0101501812532366</v>
      </c>
      <c r="R352" s="32" t="n">
        <f aca="false">Data_Prices!R352/Data_Prices!R351-1</f>
        <v>0.0233593642964791</v>
      </c>
      <c r="S352" s="32" t="n">
        <f aca="false">Data_Prices!S352/Data_Prices!S351-1</f>
        <v>0.0100679973678439</v>
      </c>
      <c r="T352" s="32" t="n">
        <f aca="false">AVERAGE(D352:S352)</f>
        <v>0.00370528128720956</v>
      </c>
      <c r="U352" s="32" t="n">
        <f aca="false">AVERAGE(J352:S352)</f>
        <v>-0.000335146846054601</v>
      </c>
      <c r="V352" s="32" t="n">
        <f aca="false">AVERAGE(D352:I352)</f>
        <v>0.0104393281759832</v>
      </c>
      <c r="W352" s="32" t="n">
        <f aca="false">AVERAGE(K352,Q352,R352)</f>
        <v>0.00367607324574733</v>
      </c>
      <c r="X352" s="32" t="n">
        <f aca="false">AVERAGE(K352,L352,N352,O352,P352,Q352,R352,S352)</f>
        <v>0.00736482137765281</v>
      </c>
      <c r="Y352" s="32" t="n">
        <f aca="false">AVERAGE(J352,L352,M352,N352,O352,P352,Q352,R352,S352)</f>
        <v>-0.000130056128282837</v>
      </c>
      <c r="Z352" s="32" t="n">
        <f aca="false">U352-V352</f>
        <v>-0.0107744750220378</v>
      </c>
      <c r="AA352" s="32" t="n">
        <f aca="false">W352-V352</f>
        <v>-0.00676325493023583</v>
      </c>
    </row>
    <row r="353" customFormat="false" ht="15" hidden="false" customHeight="false" outlineLevel="0" collapsed="false">
      <c r="A353" s="28" t="n">
        <f aca="false">Data_Prices!A353</f>
        <v>45316</v>
      </c>
      <c r="B353" s="32" t="n">
        <f aca="false">Data_Prices!B353/Data_Prices!B352-1</f>
        <v>-0.00472407179097567</v>
      </c>
      <c r="C353" s="32" t="n">
        <f aca="false">Data_Prices!C353/Data_Prices!C352-1</f>
        <v>-0.00298185183281063</v>
      </c>
      <c r="D353" s="32" t="n">
        <f aca="false">Data_Prices!D353/Data_Prices!D352-1</f>
        <v>0.00974091182968473</v>
      </c>
      <c r="E353" s="32" t="n">
        <f aca="false">Data_Prices!E353/Data_Prices!E352-1</f>
        <v>0.0333266277744251</v>
      </c>
      <c r="F353" s="32" t="n">
        <f aca="false">Data_Prices!F353/Data_Prices!F352-1</f>
        <v>-0.0326948149633939</v>
      </c>
      <c r="G353" s="32" t="n">
        <f aca="false">Data_Prices!G353/Data_Prices!G352-1</f>
        <v>0.00311742293037764</v>
      </c>
      <c r="H353" s="32" t="n">
        <f aca="false">Data_Prices!H353/Data_Prices!H352-1</f>
        <v>-0.0452430797859967</v>
      </c>
      <c r="I353" s="32" t="n">
        <f aca="false">Data_Prices!I353/Data_Prices!I352-1</f>
        <v>-0.0227779153255756</v>
      </c>
      <c r="J353" s="32" t="n">
        <f aca="false">Data_Prices!J353/Data_Prices!J352-1</f>
        <v>-0.0046597727562876</v>
      </c>
      <c r="K353" s="32" t="n">
        <f aca="false">Data_Prices!K353/Data_Prices!K352-1</f>
        <v>0.00428630228366234</v>
      </c>
      <c r="L353" s="32" t="n">
        <f aca="false">Data_Prices!L353/Data_Prices!L352-1</f>
        <v>-0.000882966768341542</v>
      </c>
      <c r="M353" s="32" t="n">
        <f aca="false">Data_Prices!M353/Data_Prices!M352-1</f>
        <v>0.0241987385763935</v>
      </c>
      <c r="N353" s="32" t="n">
        <f aca="false">Data_Prices!N353/Data_Prices!N352-1</f>
        <v>-0.0176299557990622</v>
      </c>
      <c r="O353" s="32" t="n">
        <f aca="false">Data_Prices!O353/Data_Prices!O352-1</f>
        <v>-0.00880572372041844</v>
      </c>
      <c r="P353" s="32" t="n">
        <f aca="false">Data_Prices!P353/Data_Prices!P352-1</f>
        <v>-0.0111130899376669</v>
      </c>
      <c r="Q353" s="32" t="n">
        <f aca="false">Data_Prices!Q353/Data_Prices!Q352-1</f>
        <v>-0.00031390603745951</v>
      </c>
      <c r="R353" s="32" t="n">
        <f aca="false">Data_Prices!R353/Data_Prices!R352-1</f>
        <v>0.0172702322779301</v>
      </c>
      <c r="S353" s="32" t="n">
        <f aca="false">Data_Prices!S353/Data_Prices!S352-1</f>
        <v>0.00204130382853052</v>
      </c>
      <c r="T353" s="32" t="n">
        <f aca="false">AVERAGE(D353:S353)</f>
        <v>-0.00313373034957491</v>
      </c>
      <c r="U353" s="32" t="n">
        <f aca="false">AVERAGE(J353:S353)</f>
        <v>0.000439116194728029</v>
      </c>
      <c r="V353" s="32" t="n">
        <f aca="false">AVERAGE(D353:I353)</f>
        <v>-0.0090884745900798</v>
      </c>
      <c r="W353" s="32" t="n">
        <f aca="false">AVERAGE(K353,Q353,R353)</f>
        <v>0.00708087617471098</v>
      </c>
      <c r="X353" s="32" t="n">
        <f aca="false">AVERAGE(K353,L353,N353,O353,P353,Q353,R353,S353)</f>
        <v>-0.00189347548410321</v>
      </c>
      <c r="Y353" s="32" t="n">
        <f aca="false">AVERAGE(J353,L353,M353,N353,O353,P353,Q353,R353,S353)</f>
        <v>1.16510737353279E-005</v>
      </c>
      <c r="Z353" s="32" t="n">
        <f aca="false">U353-V353</f>
        <v>0.00952759078480782</v>
      </c>
      <c r="AA353" s="32" t="n">
        <f aca="false">W353-V353</f>
        <v>0.0161693507647908</v>
      </c>
    </row>
    <row r="354" customFormat="false" ht="15" hidden="false" customHeight="false" outlineLevel="0" collapsed="false">
      <c r="A354" s="28" t="n">
        <f aca="false">Data_Prices!A354</f>
        <v>45320</v>
      </c>
      <c r="B354" s="32" t="n">
        <f aca="false">Data_Prices!B354/Data_Prices!B353-1</f>
        <v>0.0180305911223926</v>
      </c>
      <c r="C354" s="32" t="n">
        <f aca="false">Data_Prices!C354/Data_Prices!C353-1</f>
        <v>0.0164311865105966</v>
      </c>
      <c r="D354" s="32" t="n">
        <f aca="false">Data_Prices!D354/Data_Prices!D353-1</f>
        <v>0.00530416045085369</v>
      </c>
      <c r="E354" s="32" t="n">
        <f aca="false">Data_Prices!E354/Data_Prices!E353-1</f>
        <v>-0.0058403634003894</v>
      </c>
      <c r="F354" s="32" t="n">
        <f aca="false">Data_Prices!F354/Data_Prices!F353-1</f>
        <v>0.0226542249870398</v>
      </c>
      <c r="G354" s="32" t="n">
        <f aca="false">Data_Prices!G354/Data_Prices!G353-1</f>
        <v>0.0359116022099446</v>
      </c>
      <c r="H354" s="32" t="n">
        <f aca="false">Data_Prices!H354/Data_Prices!H353-1</f>
        <v>-0.0361188938969423</v>
      </c>
      <c r="I354" s="32" t="n">
        <f aca="false">Data_Prices!I354/Data_Prices!I353-1</f>
        <v>0.0217887002786927</v>
      </c>
      <c r="J354" s="32" t="n">
        <f aca="false">Data_Prices!J354/Data_Prices!J353-1</f>
        <v>-0.00733234998610477</v>
      </c>
      <c r="K354" s="32" t="n">
        <f aca="false">Data_Prices!K354/Data_Prices!K353-1</f>
        <v>0.0149804265181814</v>
      </c>
      <c r="L354" s="32" t="n">
        <f aca="false">Data_Prices!L354/Data_Prices!L353-1</f>
        <v>-0.0111673495621436</v>
      </c>
      <c r="M354" s="32" t="n">
        <f aca="false">Data_Prices!M354/Data_Prices!M353-1</f>
        <v>-0.0207050395877844</v>
      </c>
      <c r="N354" s="32" t="n">
        <f aca="false">Data_Prices!N354/Data_Prices!N353-1</f>
        <v>0.0260897830698692</v>
      </c>
      <c r="O354" s="32" t="n">
        <f aca="false">Data_Prices!O354/Data_Prices!O353-1</f>
        <v>0.0312789191190082</v>
      </c>
      <c r="P354" s="32" t="n">
        <f aca="false">Data_Prices!P354/Data_Prices!P353-1</f>
        <v>0.00417822281453728</v>
      </c>
      <c r="Q354" s="32" t="n">
        <f aca="false">Data_Prices!Q354/Data_Prices!Q353-1</f>
        <v>0.0108854929872304</v>
      </c>
      <c r="R354" s="32" t="n">
        <f aca="false">Data_Prices!R354/Data_Prices!R353-1</f>
        <v>-0.0583009804566692</v>
      </c>
      <c r="S354" s="32" t="n">
        <f aca="false">Data_Prices!S354/Data_Prices!S353-1</f>
        <v>0.0441453741629283</v>
      </c>
      <c r="T354" s="32" t="n">
        <f aca="false">AVERAGE(D354:S354)</f>
        <v>0.00485949560676575</v>
      </c>
      <c r="U354" s="32" t="n">
        <f aca="false">AVERAGE(J354:S354)</f>
        <v>0.00340524990790528</v>
      </c>
      <c r="V354" s="32" t="n">
        <f aca="false">AVERAGE(D354:I354)</f>
        <v>0.00728323843819985</v>
      </c>
      <c r="W354" s="32" t="n">
        <f aca="false">AVERAGE(K354,Q354,R354)</f>
        <v>-0.0108116869837525</v>
      </c>
      <c r="X354" s="32" t="n">
        <f aca="false">AVERAGE(K354,L354,N354,O354,P354,Q354,R354,S354)</f>
        <v>0.00776123608161775</v>
      </c>
      <c r="Y354" s="32" t="n">
        <f aca="false">AVERAGE(J354,L354,M354,N354,O354,P354,Q354,R354,S354)</f>
        <v>0.00211911917343016</v>
      </c>
      <c r="Z354" s="32" t="n">
        <f aca="false">U354-V354</f>
        <v>-0.00387798853029457</v>
      </c>
      <c r="AA354" s="32" t="n">
        <f aca="false">W354-V354</f>
        <v>-0.0180949254219523</v>
      </c>
    </row>
    <row r="355" customFormat="false" ht="15" hidden="false" customHeight="false" outlineLevel="0" collapsed="false">
      <c r="A355" s="28" t="n">
        <f aca="false">Data_Prices!A355</f>
        <v>45321</v>
      </c>
      <c r="B355" s="32" t="n">
        <f aca="false">Data_Prices!B355/Data_Prices!B354-1</f>
        <v>-0.00991369792433383</v>
      </c>
      <c r="C355" s="32" t="n">
        <f aca="false">Data_Prices!C355/Data_Prices!C354-1</f>
        <v>-0.00697303371356539</v>
      </c>
      <c r="D355" s="32" t="n">
        <f aca="false">Data_Prices!D355/Data_Prices!D354-1</f>
        <v>-0.0144765045342127</v>
      </c>
      <c r="E355" s="32" t="n">
        <f aca="false">Data_Prices!E355/Data_Prices!E354-1</f>
        <v>-0.00215404699738897</v>
      </c>
      <c r="F355" s="32" t="n">
        <f aca="false">Data_Prices!F355/Data_Prices!F354-1</f>
        <v>-0.013331981548132</v>
      </c>
      <c r="G355" s="32" t="n">
        <f aca="false">Data_Prices!G355/Data_Prices!G354-1</f>
        <v>0.0289166666666667</v>
      </c>
      <c r="H355" s="32" t="n">
        <f aca="false">Data_Prices!H355/Data_Prices!H354-1</f>
        <v>-0.0355134281200632</v>
      </c>
      <c r="I355" s="32" t="n">
        <f aca="false">Data_Prices!I355/Data_Prices!I354-1</f>
        <v>0.0192164641705925</v>
      </c>
      <c r="J355" s="32" t="n">
        <f aca="false">Data_Prices!J355/Data_Prices!J354-1</f>
        <v>-0.0125118442587648</v>
      </c>
      <c r="K355" s="32" t="n">
        <f aca="false">Data_Prices!K355/Data_Prices!K354-1</f>
        <v>-0.0520753561035382</v>
      </c>
      <c r="L355" s="32" t="n">
        <f aca="false">Data_Prices!L355/Data_Prices!L354-1</f>
        <v>-0.0136090347741307</v>
      </c>
      <c r="M355" s="32" t="n">
        <f aca="false">Data_Prices!M355/Data_Prices!M354-1</f>
        <v>0.000705829510090128</v>
      </c>
      <c r="N355" s="32" t="n">
        <f aca="false">Data_Prices!N355/Data_Prices!N354-1</f>
        <v>-0.00793637561065075</v>
      </c>
      <c r="O355" s="32" t="n">
        <f aca="false">Data_Prices!O355/Data_Prices!O354-1</f>
        <v>0.00340990667623831</v>
      </c>
      <c r="P355" s="32" t="n">
        <f aca="false">Data_Prices!P355/Data_Prices!P354-1</f>
        <v>-0.00294128196850685</v>
      </c>
      <c r="Q355" s="32" t="n">
        <f aca="false">Data_Prices!Q355/Data_Prices!Q354-1</f>
        <v>-0.0183267757299648</v>
      </c>
      <c r="R355" s="32" t="n">
        <f aca="false">Data_Prices!R355/Data_Prices!R354-1</f>
        <v>-0.00419257913493121</v>
      </c>
      <c r="S355" s="32" t="n">
        <f aca="false">Data_Prices!S355/Data_Prices!S354-1</f>
        <v>0.0182440846824408</v>
      </c>
      <c r="T355" s="32" t="n">
        <f aca="false">AVERAGE(D355:S355)</f>
        <v>-0.00666101606714098</v>
      </c>
      <c r="U355" s="32" t="n">
        <f aca="false">AVERAGE(J355:S355)</f>
        <v>-0.00892334267117181</v>
      </c>
      <c r="V355" s="32" t="n">
        <f aca="false">AVERAGE(D355:I355)</f>
        <v>-0.0028904717270896</v>
      </c>
      <c r="W355" s="32" t="n">
        <f aca="false">AVERAGE(K355,Q355,R355)</f>
        <v>-0.0248649036561447</v>
      </c>
      <c r="X355" s="32" t="n">
        <f aca="false">AVERAGE(K355,L355,N355,O355,P355,Q355,R355,S355)</f>
        <v>-0.00967842649538042</v>
      </c>
      <c r="Y355" s="32" t="n">
        <f aca="false">AVERAGE(J355,L355,M355,N355,O355,P355,Q355,R355,S355)</f>
        <v>-0.00412867451201999</v>
      </c>
      <c r="Z355" s="32" t="n">
        <f aca="false">U355-V355</f>
        <v>-0.00603287094408221</v>
      </c>
      <c r="AA355" s="32" t="n">
        <f aca="false">W355-V355</f>
        <v>-0.0219744319290551</v>
      </c>
    </row>
    <row r="356" customFormat="false" ht="15" hidden="false" customHeight="false" outlineLevel="0" collapsed="false">
      <c r="A356" s="28" t="n">
        <f aca="false">Data_Prices!A356</f>
        <v>45322</v>
      </c>
      <c r="B356" s="32" t="n">
        <f aca="false">Data_Prices!B356/Data_Prices!B355-1</f>
        <v>0.00946004339725226</v>
      </c>
      <c r="C356" s="32" t="n">
        <f aca="false">Data_Prices!C356/Data_Prices!C355-1</f>
        <v>0.0116428768480958</v>
      </c>
      <c r="D356" s="32" t="n">
        <f aca="false">Data_Prices!D356/Data_Prices!D355-1</f>
        <v>-0.0118784715251288</v>
      </c>
      <c r="E356" s="32" t="n">
        <f aca="false">Data_Prices!E356/Data_Prices!E355-1</f>
        <v>0.0157650291097009</v>
      </c>
      <c r="F356" s="32" t="n">
        <f aca="false">Data_Prices!F356/Data_Prices!F355-1</f>
        <v>0.011816687217427</v>
      </c>
      <c r="G356" s="32" t="n">
        <f aca="false">Data_Prices!G356/Data_Prices!G355-1</f>
        <v>0.0133635700979995</v>
      </c>
      <c r="H356" s="32" t="n">
        <f aca="false">Data_Prices!H356/Data_Prices!H355-1</f>
        <v>0.0281071873157308</v>
      </c>
      <c r="I356" s="32" t="n">
        <f aca="false">Data_Prices!I356/Data_Prices!I355-1</f>
        <v>-0.00960953655273078</v>
      </c>
      <c r="J356" s="32" t="n">
        <f aca="false">Data_Prices!J356/Data_Prices!J355-1</f>
        <v>0.0174681059862611</v>
      </c>
      <c r="K356" s="32" t="n">
        <f aca="false">Data_Prices!K356/Data_Prices!K355-1</f>
        <v>0.00671278955331323</v>
      </c>
      <c r="L356" s="32" t="n">
        <f aca="false">Data_Prices!L356/Data_Prices!L355-1</f>
        <v>-0.0246283102013919</v>
      </c>
      <c r="M356" s="32" t="n">
        <f aca="false">Data_Prices!M356/Data_Prices!M355-1</f>
        <v>0.0193966208201084</v>
      </c>
      <c r="N356" s="32" t="n">
        <f aca="false">Data_Prices!N356/Data_Prices!N355-1</f>
        <v>0.0177812137611133</v>
      </c>
      <c r="O356" s="32" t="n">
        <f aca="false">Data_Prices!O356/Data_Prices!O355-1</f>
        <v>0.0345197639062778</v>
      </c>
      <c r="P356" s="32" t="n">
        <f aca="false">Data_Prices!P356/Data_Prices!P355-1</f>
        <v>0.00366946073317265</v>
      </c>
      <c r="Q356" s="32" t="n">
        <f aca="false">Data_Prices!Q356/Data_Prices!Q355-1</f>
        <v>0.00896529901909071</v>
      </c>
      <c r="R356" s="32" t="n">
        <f aca="false">Data_Prices!R356/Data_Prices!R355-1</f>
        <v>0.00392954880359286</v>
      </c>
      <c r="S356" s="32" t="n">
        <f aca="false">Data_Prices!S356/Data_Prices!S355-1</f>
        <v>0.0056462626633238</v>
      </c>
      <c r="T356" s="32" t="n">
        <f aca="false">AVERAGE(D356:S356)</f>
        <v>0.00881407629424129</v>
      </c>
      <c r="U356" s="32" t="n">
        <f aca="false">AVERAGE(J356:S356)</f>
        <v>0.0093460755044862</v>
      </c>
      <c r="V356" s="32" t="n">
        <f aca="false">AVERAGE(D356:I356)</f>
        <v>0.00792741094383311</v>
      </c>
      <c r="W356" s="32" t="n">
        <f aca="false">AVERAGE(K356,Q356,R356)</f>
        <v>0.00653587912533227</v>
      </c>
      <c r="X356" s="32" t="n">
        <f aca="false">AVERAGE(K356,L356,N356,O356,P356,Q356,R356,S356)</f>
        <v>0.00707450352981155</v>
      </c>
      <c r="Y356" s="32" t="n">
        <f aca="false">AVERAGE(J356,L356,M356,N356,O356,P356,Q356,R356,S356)</f>
        <v>0.0096386628323943</v>
      </c>
      <c r="Z356" s="32" t="n">
        <f aca="false">U356-V356</f>
        <v>0.00141866456065308</v>
      </c>
      <c r="AA356" s="32" t="n">
        <f aca="false">W356-V356</f>
        <v>-0.00139153181850084</v>
      </c>
    </row>
    <row r="357" customFormat="false" ht="15" hidden="false" customHeight="false" outlineLevel="0" collapsed="false">
      <c r="A357" s="28" t="n">
        <f aca="false">Data_Prices!A357</f>
        <v>45323</v>
      </c>
      <c r="B357" s="32" t="n">
        <f aca="false">Data_Prices!B357/Data_Prices!B356-1</f>
        <v>-0.00130030332739561</v>
      </c>
      <c r="C357" s="32" t="n">
        <f aca="false">Data_Prices!C357/Data_Prices!C356-1</f>
        <v>-0.00124986743830202</v>
      </c>
      <c r="D357" s="32" t="n">
        <f aca="false">Data_Prices!D357/Data_Prices!D356-1</f>
        <v>0.0191662998205275</v>
      </c>
      <c r="E357" s="32" t="n">
        <f aca="false">Data_Prices!E357/Data_Prices!E356-1</f>
        <v>0.0238923235445647</v>
      </c>
      <c r="F357" s="32" t="n">
        <f aca="false">Data_Prices!F357/Data_Prices!F356-1</f>
        <v>0.00538234995430065</v>
      </c>
      <c r="G357" s="32" t="n">
        <f aca="false">Data_Prices!G357/Data_Prices!G356-1</f>
        <v>0.00647378516624042</v>
      </c>
      <c r="H357" s="32" t="n">
        <f aca="false">Data_Prices!H357/Data_Prices!H356-1</f>
        <v>0.0452459852153964</v>
      </c>
      <c r="I357" s="32" t="n">
        <f aca="false">Data_Prices!I357/Data_Prices!I356-1</f>
        <v>0.112625890444608</v>
      </c>
      <c r="J357" s="32" t="n">
        <f aca="false">Data_Prices!J357/Data_Prices!J356-1</f>
        <v>-0.00107167352537718</v>
      </c>
      <c r="K357" s="32" t="n">
        <f aca="false">Data_Prices!K357/Data_Prices!K356-1</f>
        <v>-0.0174360919808568</v>
      </c>
      <c r="L357" s="32" t="n">
        <f aca="false">Data_Prices!L357/Data_Prices!L356-1</f>
        <v>-0.0330194654393448</v>
      </c>
      <c r="M357" s="32" t="n">
        <f aca="false">Data_Prices!M357/Data_Prices!M356-1</f>
        <v>0.00254749025034595</v>
      </c>
      <c r="N357" s="32" t="n">
        <f aca="false">Data_Prices!N357/Data_Prices!N356-1</f>
        <v>-0.0280552849287472</v>
      </c>
      <c r="O357" s="32" t="n">
        <f aca="false">Data_Prices!O357/Data_Prices!O356-1</f>
        <v>-0.0160788381742738</v>
      </c>
      <c r="P357" s="32" t="n">
        <f aca="false">Data_Prices!P357/Data_Prices!P356-1</f>
        <v>-0.0244453206208108</v>
      </c>
      <c r="Q357" s="32" t="n">
        <f aca="false">Data_Prices!Q357/Data_Prices!Q356-1</f>
        <v>-0.0045996236671545</v>
      </c>
      <c r="R357" s="32" t="n">
        <f aca="false">Data_Prices!R357/Data_Prices!R356-1</f>
        <v>-0.00475291815195356</v>
      </c>
      <c r="S357" s="32" t="n">
        <f aca="false">Data_Prices!S357/Data_Prices!S356-1</f>
        <v>-0.0282146910977785</v>
      </c>
      <c r="T357" s="32" t="n">
        <f aca="false">AVERAGE(D357:S357)</f>
        <v>0.0036037635506054</v>
      </c>
      <c r="U357" s="32" t="n">
        <f aca="false">AVERAGE(J357:S357)</f>
        <v>-0.0155126417335951</v>
      </c>
      <c r="V357" s="32" t="n">
        <f aca="false">AVERAGE(D357:I357)</f>
        <v>0.035464439024273</v>
      </c>
      <c r="W357" s="32" t="n">
        <f aca="false">AVERAGE(K357,Q357,R357)</f>
        <v>-0.00892954459998829</v>
      </c>
      <c r="X357" s="32" t="n">
        <f aca="false">AVERAGE(K357,L357,N357,O357,P357,Q357,R357,S357)</f>
        <v>-0.019575279257615</v>
      </c>
      <c r="Y357" s="32" t="n">
        <f aca="false">AVERAGE(J357,L357,M357,N357,O357,P357,Q357,R357,S357)</f>
        <v>-0.0152989250394549</v>
      </c>
      <c r="Z357" s="32" t="n">
        <f aca="false">U357-V357</f>
        <v>-0.0509770807578681</v>
      </c>
      <c r="AA357" s="32" t="n">
        <f aca="false">W357-V357</f>
        <v>-0.0443939836242612</v>
      </c>
    </row>
    <row r="358" customFormat="false" ht="15" hidden="false" customHeight="false" outlineLevel="0" collapsed="false">
      <c r="A358" s="28" t="n">
        <f aca="false">Data_Prices!A358</f>
        <v>45324</v>
      </c>
      <c r="B358" s="32" t="n">
        <f aca="false">Data_Prices!B358/Data_Prices!B357-1</f>
        <v>0.00720591590255992</v>
      </c>
      <c r="C358" s="32" t="n">
        <f aca="false">Data_Prices!C358/Data_Prices!C357-1</f>
        <v>0.00674761785577949</v>
      </c>
      <c r="D358" s="32" t="n">
        <f aca="false">Data_Prices!D358/Data_Prices!D357-1</f>
        <v>-0.0138219756121872</v>
      </c>
      <c r="E358" s="32" t="n">
        <f aca="false">Data_Prices!E358/Data_Prices!E357-1</f>
        <v>0.0426441914585822</v>
      </c>
      <c r="F358" s="32" t="n">
        <f aca="false">Data_Prices!F358/Data_Prices!F357-1</f>
        <v>-0.0083333333333333</v>
      </c>
      <c r="G358" s="32" t="n">
        <f aca="false">Data_Prices!G358/Data_Prices!G357-1</f>
        <v>0.00730564599380612</v>
      </c>
      <c r="H358" s="32" t="n">
        <f aca="false">Data_Prices!H358/Data_Prices!H357-1</f>
        <v>-0.0234117790513353</v>
      </c>
      <c r="I358" s="32" t="n">
        <f aca="false">Data_Prices!I358/Data_Prices!I357-1</f>
        <v>0.00518821061927377</v>
      </c>
      <c r="J358" s="32" t="n">
        <f aca="false">Data_Prices!J358/Data_Prices!J357-1</f>
        <v>0.0453375101918205</v>
      </c>
      <c r="K358" s="32" t="n">
        <f aca="false">Data_Prices!K358/Data_Prices!K357-1</f>
        <v>0.0155774342525357</v>
      </c>
      <c r="L358" s="32" t="n">
        <f aca="false">Data_Prices!L358/Data_Prices!L357-1</f>
        <v>0.0137985240819178</v>
      </c>
      <c r="M358" s="32" t="n">
        <f aca="false">Data_Prices!M358/Data_Prices!M357-1</f>
        <v>0.00890924491012335</v>
      </c>
      <c r="N358" s="32" t="n">
        <f aca="false">Data_Prices!N358/Data_Prices!N357-1</f>
        <v>-0.0127081209650017</v>
      </c>
      <c r="O358" s="32" t="n">
        <f aca="false">Data_Prices!O358/Data_Prices!O357-1</f>
        <v>0.0101915304867333</v>
      </c>
      <c r="P358" s="32" t="n">
        <f aca="false">Data_Prices!P358/Data_Prices!P357-1</f>
        <v>0.0121982584414153</v>
      </c>
      <c r="Q358" s="32" t="n">
        <f aca="false">Data_Prices!Q358/Data_Prices!Q357-1</f>
        <v>-0.017643352236925</v>
      </c>
      <c r="R358" s="32" t="n">
        <f aca="false">Data_Prices!R358/Data_Prices!R357-1</f>
        <v>-0.000983215113420921</v>
      </c>
      <c r="S358" s="32" t="n">
        <f aca="false">Data_Prices!S358/Data_Prices!S357-1</f>
        <v>0.00346237276822969</v>
      </c>
      <c r="T358" s="32" t="n">
        <f aca="false">AVERAGE(D358:S358)</f>
        <v>0.00548194668076464</v>
      </c>
      <c r="U358" s="32" t="n">
        <f aca="false">AVERAGE(J358:S358)</f>
        <v>0.0078140186817428</v>
      </c>
      <c r="V358" s="32" t="n">
        <f aca="false">AVERAGE(D358:I358)</f>
        <v>0.00159516001246772</v>
      </c>
      <c r="W358" s="32" t="n">
        <f aca="false">AVERAGE(K358,Q358,R358)</f>
        <v>-0.0010163776992701</v>
      </c>
      <c r="X358" s="32" t="n">
        <f aca="false">AVERAGE(K358,L358,N358,O358,P358,Q358,R358,S358)</f>
        <v>0.00298667896443551</v>
      </c>
      <c r="Y358" s="32" t="n">
        <f aca="false">AVERAGE(J358,L358,M358,N358,O358,P358,Q358,R358,S358)</f>
        <v>0.0069514169516547</v>
      </c>
      <c r="Z358" s="32" t="n">
        <f aca="false">U358-V358</f>
        <v>0.00621885866927508</v>
      </c>
      <c r="AA358" s="32" t="n">
        <f aca="false">W358-V358</f>
        <v>-0.00261153771173781</v>
      </c>
    </row>
    <row r="359" customFormat="false" ht="15" hidden="false" customHeight="false" outlineLevel="0" collapsed="false">
      <c r="A359" s="28" t="n">
        <f aca="false">Data_Prices!A359</f>
        <v>45327</v>
      </c>
      <c r="B359" s="32" t="n">
        <f aca="false">Data_Prices!B359/Data_Prices!B358-1</f>
        <v>-0.00375678371724819</v>
      </c>
      <c r="C359" s="32" t="n">
        <f aca="false">Data_Prices!C359/Data_Prices!C358-1</f>
        <v>-0.00287783514474549</v>
      </c>
      <c r="D359" s="32" t="n">
        <f aca="false">Data_Prices!D359/Data_Prices!D358-1</f>
        <v>-0.0306930359489235</v>
      </c>
      <c r="E359" s="32" t="n">
        <f aca="false">Data_Prices!E359/Data_Prices!E358-1</f>
        <v>-0.0326959039633227</v>
      </c>
      <c r="F359" s="32" t="n">
        <f aca="false">Data_Prices!F359/Data_Prices!F358-1</f>
        <v>-0.0103386809269161</v>
      </c>
      <c r="G359" s="32" t="n">
        <f aca="false">Data_Prices!G359/Data_Prices!G358-1</f>
        <v>0.0096964919195901</v>
      </c>
      <c r="H359" s="32" t="n">
        <f aca="false">Data_Prices!H359/Data_Prices!H358-1</f>
        <v>-0.0114870770383317</v>
      </c>
      <c r="I359" s="32" t="n">
        <f aca="false">Data_Prices!I359/Data_Prices!I358-1</f>
        <v>-0.0162530199868219</v>
      </c>
      <c r="J359" s="32" t="n">
        <f aca="false">Data_Prices!J359/Data_Prices!J358-1</f>
        <v>-0.0718816067653276</v>
      </c>
      <c r="K359" s="32" t="n">
        <f aca="false">Data_Prices!K359/Data_Prices!K358-1</f>
        <v>-0.0350636057903202</v>
      </c>
      <c r="L359" s="32" t="n">
        <f aca="false">Data_Prices!L359/Data_Prices!L358-1</f>
        <v>-0.0211052246198906</v>
      </c>
      <c r="M359" s="32" t="n">
        <f aca="false">Data_Prices!M359/Data_Prices!M358-1</f>
        <v>-0.0180964522247442</v>
      </c>
      <c r="N359" s="32" t="n">
        <f aca="false">Data_Prices!N359/Data_Prices!N358-1</f>
        <v>-0.00710696585903081</v>
      </c>
      <c r="O359" s="32" t="n">
        <f aca="false">Data_Prices!O359/Data_Prices!O358-1</f>
        <v>-0.00260914941728996</v>
      </c>
      <c r="P359" s="32" t="n">
        <f aca="false">Data_Prices!P359/Data_Prices!P358-1</f>
        <v>-0.00947402809539366</v>
      </c>
      <c r="Q359" s="32" t="n">
        <f aca="false">Data_Prices!Q359/Data_Prices!Q358-1</f>
        <v>0.0265127218302332</v>
      </c>
      <c r="R359" s="32" t="n">
        <f aca="false">Data_Prices!R359/Data_Prices!R358-1</f>
        <v>-0.0113884007029877</v>
      </c>
      <c r="S359" s="32" t="n">
        <f aca="false">Data_Prices!S359/Data_Prices!S358-1</f>
        <v>-0.020120557056745</v>
      </c>
      <c r="T359" s="32" t="n">
        <f aca="false">AVERAGE(D359:S359)</f>
        <v>-0.0163815309153889</v>
      </c>
      <c r="U359" s="32" t="n">
        <f aca="false">AVERAGE(J359:S359)</f>
        <v>-0.0170333268701497</v>
      </c>
      <c r="V359" s="32" t="n">
        <f aca="false">AVERAGE(D359:I359)</f>
        <v>-0.015295204324121</v>
      </c>
      <c r="W359" s="32" t="n">
        <f aca="false">AVERAGE(K359,Q359,R359)</f>
        <v>-0.0066464282210249</v>
      </c>
      <c r="X359" s="32" t="n">
        <f aca="false">AVERAGE(K359,L359,N359,O359,P359,Q359,R359,S359)</f>
        <v>-0.0100444012139281</v>
      </c>
      <c r="Y359" s="32" t="n">
        <f aca="false">AVERAGE(J359,L359,M359,N359,O359,P359,Q359,R359,S359)</f>
        <v>-0.0150299625456863</v>
      </c>
      <c r="Z359" s="32" t="n">
        <f aca="false">U359-V359</f>
        <v>-0.00173812254602868</v>
      </c>
      <c r="AA359" s="32" t="n">
        <f aca="false">W359-V359</f>
        <v>0.00864877610309608</v>
      </c>
    </row>
    <row r="360" customFormat="false" ht="15" hidden="false" customHeight="false" outlineLevel="0" collapsed="false">
      <c r="A360" s="28" t="n">
        <f aca="false">Data_Prices!A360</f>
        <v>45328</v>
      </c>
      <c r="B360" s="32" t="n">
        <f aca="false">Data_Prices!B360/Data_Prices!B359-1</f>
        <v>0.00724334801600235</v>
      </c>
      <c r="C360" s="32" t="n">
        <f aca="false">Data_Prices!C360/Data_Prices!C359-1</f>
        <v>0.00907900370211801</v>
      </c>
      <c r="D360" s="32" t="n">
        <f aca="false">Data_Prices!D360/Data_Prices!D359-1</f>
        <v>0.00590893291623229</v>
      </c>
      <c r="E360" s="32" t="n">
        <f aca="false">Data_Prices!E360/Data_Prices!E359-1</f>
        <v>0.0203928905519177</v>
      </c>
      <c r="F360" s="32" t="n">
        <f aca="false">Data_Prices!F360/Data_Prices!F359-1</f>
        <v>-0.00236722931247435</v>
      </c>
      <c r="G360" s="32" t="n">
        <f aca="false">Data_Prices!G360/Data_Prices!G359-1</f>
        <v>0.0126483447845098</v>
      </c>
      <c r="H360" s="32" t="n">
        <f aca="false">Data_Prices!H360/Data_Prices!H359-1</f>
        <v>0.0187571049640014</v>
      </c>
      <c r="I360" s="32" t="n">
        <f aca="false">Data_Prices!I360/Data_Prices!I359-1</f>
        <v>0.00993525340477786</v>
      </c>
      <c r="J360" s="32" t="n">
        <f aca="false">Data_Prices!J360/Data_Prices!J359-1</f>
        <v>0.036623393856293</v>
      </c>
      <c r="K360" s="32" t="n">
        <f aca="false">Data_Prices!K360/Data_Prices!K359-1</f>
        <v>-0.00151533519214453</v>
      </c>
      <c r="L360" s="32" t="n">
        <f aca="false">Data_Prices!L360/Data_Prices!L359-1</f>
        <v>0.0182162185946231</v>
      </c>
      <c r="M360" s="32" t="n">
        <f aca="false">Data_Prices!M360/Data_Prices!M359-1</f>
        <v>0.0254282909528483</v>
      </c>
      <c r="N360" s="32" t="n">
        <f aca="false">Data_Prices!N360/Data_Prices!N359-1</f>
        <v>0.00109187334269234</v>
      </c>
      <c r="O360" s="32" t="n">
        <f aca="false">Data_Prices!O360/Data_Prices!O359-1</f>
        <v>0.0176142309033833</v>
      </c>
      <c r="P360" s="32" t="n">
        <f aca="false">Data_Prices!P360/Data_Prices!P359-1</f>
        <v>0.0191292875989446</v>
      </c>
      <c r="Q360" s="32" t="n">
        <f aca="false">Data_Prices!Q360/Data_Prices!Q359-1</f>
        <v>0.017600499895855</v>
      </c>
      <c r="R360" s="32" t="n">
        <f aca="false">Data_Prices!R360/Data_Prices!R359-1</f>
        <v>0.00775083552584799</v>
      </c>
      <c r="S360" s="32" t="n">
        <f aca="false">Data_Prices!S360/Data_Prices!S359-1</f>
        <v>0.0166942429256289</v>
      </c>
      <c r="T360" s="32" t="n">
        <f aca="false">AVERAGE(D360:S360)</f>
        <v>0.0139943022320585</v>
      </c>
      <c r="U360" s="32" t="n">
        <f aca="false">AVERAGE(J360:S360)</f>
        <v>0.0158633538403972</v>
      </c>
      <c r="V360" s="32" t="n">
        <f aca="false">AVERAGE(D360:I360)</f>
        <v>0.0108792162181608</v>
      </c>
      <c r="W360" s="32" t="n">
        <f aca="false">AVERAGE(K360,Q360,R360)</f>
        <v>0.00794533340985282</v>
      </c>
      <c r="X360" s="32" t="n">
        <f aca="false">AVERAGE(K360,L360,N360,O360,P360,Q360,R360,S360)</f>
        <v>0.0120727316993538</v>
      </c>
      <c r="Y360" s="32" t="n">
        <f aca="false">AVERAGE(J360,L360,M360,N360,O360,P360,Q360,R360,S360)</f>
        <v>0.0177943192884574</v>
      </c>
      <c r="Z360" s="32" t="n">
        <f aca="false">U360-V360</f>
        <v>0.00498413762223641</v>
      </c>
      <c r="AA360" s="32" t="n">
        <f aca="false">W360-V360</f>
        <v>-0.00293388280830798</v>
      </c>
    </row>
    <row r="361" customFormat="false" ht="15" hidden="false" customHeight="false" outlineLevel="0" collapsed="false">
      <c r="A361" s="28" t="n">
        <f aca="false">Data_Prices!A361</f>
        <v>45329</v>
      </c>
      <c r="B361" s="32" t="n">
        <f aca="false">Data_Prices!B361/Data_Prices!B360-1</f>
        <v>5.01609711163198E-005</v>
      </c>
      <c r="C361" s="32" t="n">
        <f aca="false">Data_Prices!C361/Data_Prices!C360-1</f>
        <v>0.00378361514943526</v>
      </c>
      <c r="D361" s="32" t="n">
        <f aca="false">Data_Prices!D361/Data_Prices!D360-1</f>
        <v>-0.00590877677954382</v>
      </c>
      <c r="E361" s="32" t="n">
        <f aca="false">Data_Prices!E361/Data_Prices!E360-1</f>
        <v>0.0401540154015403</v>
      </c>
      <c r="F361" s="32" t="n">
        <f aca="false">Data_Prices!F361/Data_Prices!F360-1</f>
        <v>0.0268234808624781</v>
      </c>
      <c r="G361" s="32" t="n">
        <f aca="false">Data_Prices!G361/Data_Prices!G360-1</f>
        <v>-0.00385505011565146</v>
      </c>
      <c r="H361" s="32" t="n">
        <f aca="false">Data_Prices!H361/Data_Prices!H360-1</f>
        <v>0.0182877688921952</v>
      </c>
      <c r="I361" s="32" t="n">
        <f aca="false">Data_Prices!I361/Data_Prices!I360-1</f>
        <v>0.0497402453852105</v>
      </c>
      <c r="J361" s="32" t="n">
        <f aca="false">Data_Prices!J361/Data_Prices!J360-1</f>
        <v>-0.0169820579011372</v>
      </c>
      <c r="K361" s="32" t="n">
        <f aca="false">Data_Prices!K361/Data_Prices!K360-1</f>
        <v>0.0168305712377832</v>
      </c>
      <c r="L361" s="32" t="n">
        <f aca="false">Data_Prices!L361/Data_Prices!L360-1</f>
        <v>0.00237673393543925</v>
      </c>
      <c r="M361" s="32" t="n">
        <f aca="false">Data_Prices!M361/Data_Prices!M360-1</f>
        <v>-0.00148230498425039</v>
      </c>
      <c r="N361" s="32" t="n">
        <f aca="false">Data_Prices!N361/Data_Prices!N360-1</f>
        <v>0.0190955991828536</v>
      </c>
      <c r="O361" s="32" t="n">
        <f aca="false">Data_Prices!O361/Data_Prices!O360-1</f>
        <v>0.0173093401885176</v>
      </c>
      <c r="P361" s="32" t="n">
        <f aca="false">Data_Prices!P361/Data_Prices!P360-1</f>
        <v>0.0249190938511328</v>
      </c>
      <c r="Q361" s="32" t="n">
        <f aca="false">Data_Prices!Q361/Data_Prices!Q360-1</f>
        <v>0.0111554600347967</v>
      </c>
      <c r="R361" s="32" t="n">
        <f aca="false">Data_Prices!R361/Data_Prices!R360-1</f>
        <v>0.0233559130680214</v>
      </c>
      <c r="S361" s="32" t="n">
        <f aca="false">Data_Prices!S361/Data_Prices!S360-1</f>
        <v>0.00717728306453291</v>
      </c>
      <c r="T361" s="32" t="n">
        <f aca="false">AVERAGE(D361:S361)</f>
        <v>0.0143123322077449</v>
      </c>
      <c r="U361" s="32" t="n">
        <f aca="false">AVERAGE(J361:S361)</f>
        <v>0.010375563167769</v>
      </c>
      <c r="V361" s="32" t="n">
        <f aca="false">AVERAGE(D361:I361)</f>
        <v>0.0208736139410381</v>
      </c>
      <c r="W361" s="32" t="n">
        <f aca="false">AVERAGE(K361,Q361,R361)</f>
        <v>0.0171139814468671</v>
      </c>
      <c r="X361" s="32" t="n">
        <f aca="false">AVERAGE(K361,L361,N361,O361,P361,Q361,R361,S361)</f>
        <v>0.0152774993203847</v>
      </c>
      <c r="Y361" s="32" t="n">
        <f aca="false">AVERAGE(J361,L361,M361,N361,O361,P361,Q361,R361,S361)</f>
        <v>0.00965834004887853</v>
      </c>
      <c r="Z361" s="32" t="n">
        <f aca="false">U361-V361</f>
        <v>-0.0104980507732691</v>
      </c>
      <c r="AA361" s="32" t="n">
        <f aca="false">W361-V361</f>
        <v>-0.00375963249417102</v>
      </c>
    </row>
    <row r="362" customFormat="false" ht="15" hidden="false" customHeight="false" outlineLevel="0" collapsed="false">
      <c r="A362" s="28" t="n">
        <f aca="false">Data_Prices!A362</f>
        <v>45330</v>
      </c>
      <c r="B362" s="32" t="n">
        <f aca="false">Data_Prices!B362/Data_Prices!B361-1</f>
        <v>-0.00969198148697015</v>
      </c>
      <c r="C362" s="32" t="n">
        <f aca="false">Data_Prices!C362/Data_Prices!C361-1</f>
        <v>-0.00606676927131633</v>
      </c>
      <c r="D362" s="32" t="n">
        <f aca="false">Data_Prices!D362/Data_Prices!D361-1</f>
        <v>-0.0141819319406306</v>
      </c>
      <c r="E362" s="32" t="n">
        <f aca="false">Data_Prices!E362/Data_Prices!E361-1</f>
        <v>-0.0442446677243082</v>
      </c>
      <c r="F362" s="32" t="n">
        <f aca="false">Data_Prices!F362/Data_Prices!F361-1</f>
        <v>0.00361699989952791</v>
      </c>
      <c r="G362" s="32" t="n">
        <f aca="false">Data_Prices!G362/Data_Prices!G361-1</f>
        <v>0.00247678018575859</v>
      </c>
      <c r="H362" s="32" t="n">
        <f aca="false">Data_Prices!H362/Data_Prices!H361-1</f>
        <v>-0.0155241690003652</v>
      </c>
      <c r="I362" s="32" t="n">
        <f aca="false">Data_Prices!I362/Data_Prices!I361-1</f>
        <v>-0.014109718858587</v>
      </c>
      <c r="J362" s="32" t="n">
        <f aca="false">Data_Prices!J362/Data_Prices!J361-1</f>
        <v>-0.0128046530807128</v>
      </c>
      <c r="K362" s="32" t="n">
        <f aca="false">Data_Prices!K362/Data_Prices!K361-1</f>
        <v>-0.0199101505947673</v>
      </c>
      <c r="L362" s="32" t="n">
        <f aca="false">Data_Prices!L362/Data_Prices!L361-1</f>
        <v>-0.0227194343852387</v>
      </c>
      <c r="M362" s="32" t="n">
        <f aca="false">Data_Prices!M362/Data_Prices!M361-1</f>
        <v>-0.0410094637223974</v>
      </c>
      <c r="N362" s="32" t="n">
        <f aca="false">Data_Prices!N362/Data_Prices!N361-1</f>
        <v>-0.0241909453835046</v>
      </c>
      <c r="O362" s="32" t="n">
        <f aca="false">Data_Prices!O362/Data_Prices!O361-1</f>
        <v>-0.016677897574124</v>
      </c>
      <c r="P362" s="32" t="n">
        <f aca="false">Data_Prices!P362/Data_Prices!P361-1</f>
        <v>-0.04588990632565</v>
      </c>
      <c r="Q362" s="32" t="n">
        <f aca="false">Data_Prices!Q362/Data_Prices!Q361-1</f>
        <v>-0.0109311740890687</v>
      </c>
      <c r="R362" s="32" t="n">
        <f aca="false">Data_Prices!R362/Data_Prices!R361-1</f>
        <v>-0.00510239260842571</v>
      </c>
      <c r="S362" s="32" t="n">
        <f aca="false">Data_Prices!S362/Data_Prices!S361-1</f>
        <v>-0.0272201851966939</v>
      </c>
      <c r="T362" s="32" t="n">
        <f aca="false">AVERAGE(D362:S362)</f>
        <v>-0.0192764318999492</v>
      </c>
      <c r="U362" s="32" t="n">
        <f aca="false">AVERAGE(J362:S362)</f>
        <v>-0.0226456202960583</v>
      </c>
      <c r="V362" s="32" t="n">
        <f aca="false">AVERAGE(D362:I362)</f>
        <v>-0.0136611179064341</v>
      </c>
      <c r="W362" s="32" t="n">
        <f aca="false">AVERAGE(K362,Q362,R362)</f>
        <v>-0.0119812390974206</v>
      </c>
      <c r="X362" s="32" t="n">
        <f aca="false">AVERAGE(K362,L362,N362,O362,P362,Q362,R362,S362)</f>
        <v>-0.0215802607696841</v>
      </c>
      <c r="Y362" s="32" t="n">
        <f aca="false">AVERAGE(J362,L362,M362,N362,O362,P362,Q362,R362,S362)</f>
        <v>-0.0229495613739795</v>
      </c>
      <c r="Z362" s="32" t="n">
        <f aca="false">U362-V362</f>
        <v>-0.00898450238962423</v>
      </c>
      <c r="AA362" s="32" t="n">
        <f aca="false">W362-V362</f>
        <v>0.00167987880901351</v>
      </c>
    </row>
    <row r="363" customFormat="false" ht="15" hidden="false" customHeight="false" outlineLevel="0" collapsed="false">
      <c r="A363" s="28" t="n">
        <f aca="false">Data_Prices!A363</f>
        <v>45331</v>
      </c>
      <c r="B363" s="32" t="n">
        <f aca="false">Data_Prices!B363/Data_Prices!B362-1</f>
        <v>0.00297219581037811</v>
      </c>
      <c r="C363" s="32" t="n">
        <f aca="false">Data_Prices!C363/Data_Prices!C362-1</f>
        <v>-0.00130331131129124</v>
      </c>
      <c r="D363" s="32" t="n">
        <f aca="false">Data_Prices!D363/Data_Prices!D362-1</f>
        <v>-0.00673460033144102</v>
      </c>
      <c r="E363" s="32" t="n">
        <f aca="false">Data_Prices!E363/Data_Prices!E362-1</f>
        <v>-0.00510266814213689</v>
      </c>
      <c r="F363" s="32" t="n">
        <f aca="false">Data_Prices!F363/Data_Prices!F362-1</f>
        <v>-0.0153669035939533</v>
      </c>
      <c r="G363" s="32" t="n">
        <f aca="false">Data_Prices!G363/Data_Prices!G362-1</f>
        <v>0.00401482396541075</v>
      </c>
      <c r="H363" s="32" t="n">
        <f aca="false">Data_Prices!H363/Data_Prices!H362-1</f>
        <v>0.0213963267577764</v>
      </c>
      <c r="I363" s="32" t="n">
        <f aca="false">Data_Prices!I363/Data_Prices!I362-1</f>
        <v>-0.02136067499733</v>
      </c>
      <c r="J363" s="32" t="n">
        <f aca="false">Data_Prices!J363/Data_Prices!J362-1</f>
        <v>0.00870578407017408</v>
      </c>
      <c r="K363" s="32" t="n">
        <f aca="false">Data_Prices!K363/Data_Prices!K362-1</f>
        <v>0.0119999390866037</v>
      </c>
      <c r="L363" s="32" t="n">
        <f aca="false">Data_Prices!L363/Data_Prices!L362-1</f>
        <v>-0.00983722263884612</v>
      </c>
      <c r="M363" s="32" t="n">
        <f aca="false">Data_Prices!M363/Data_Prices!M362-1</f>
        <v>0.0294440144478842</v>
      </c>
      <c r="N363" s="32" t="n">
        <f aca="false">Data_Prices!N363/Data_Prices!N362-1</f>
        <v>-0.0147977925175398</v>
      </c>
      <c r="O363" s="32" t="n">
        <f aca="false">Data_Prices!O363/Data_Prices!O362-1</f>
        <v>-0.0102792530409457</v>
      </c>
      <c r="P363" s="32" t="n">
        <f aca="false">Data_Prices!P363/Data_Prices!P362-1</f>
        <v>0.013200956058099</v>
      </c>
      <c r="Q363" s="32" t="n">
        <f aca="false">Data_Prices!Q363/Data_Prices!Q362-1</f>
        <v>-0.015861645517806</v>
      </c>
      <c r="R363" s="32" t="n">
        <f aca="false">Data_Prices!R363/Data_Prices!R362-1</f>
        <v>-0.00422759720008326</v>
      </c>
      <c r="S363" s="32" t="n">
        <f aca="false">Data_Prices!S363/Data_Prices!S362-1</f>
        <v>-0.0058987627504844</v>
      </c>
      <c r="T363" s="32" t="n">
        <f aca="false">AVERAGE(D363:S363)</f>
        <v>-0.00129407977153864</v>
      </c>
      <c r="U363" s="32" t="n">
        <f aca="false">AVERAGE(J363:S363)</f>
        <v>0.000244841999705581</v>
      </c>
      <c r="V363" s="32" t="n">
        <f aca="false">AVERAGE(D363:I363)</f>
        <v>-0.00385894939027901</v>
      </c>
      <c r="W363" s="32" t="n">
        <f aca="false">AVERAGE(K363,Q363,R363)</f>
        <v>-0.00269643454376186</v>
      </c>
      <c r="X363" s="32" t="n">
        <f aca="false">AVERAGE(K363,L363,N363,O363,P363,Q363,R363,S363)</f>
        <v>-0.00446267231512532</v>
      </c>
      <c r="Y363" s="32" t="n">
        <f aca="false">AVERAGE(J363,L363,M363,N363,O363,P363,Q363,R363,S363)</f>
        <v>-0.00106127989883865</v>
      </c>
      <c r="Z363" s="32" t="n">
        <f aca="false">U363-V363</f>
        <v>0.00410379138998459</v>
      </c>
      <c r="AA363" s="32" t="n">
        <f aca="false">W363-V363</f>
        <v>0.00116251484651716</v>
      </c>
    </row>
    <row r="364" customFormat="false" ht="15" hidden="false" customHeight="false" outlineLevel="0" collapsed="false">
      <c r="A364" s="28" t="n">
        <f aca="false">Data_Prices!A364</f>
        <v>45334</v>
      </c>
      <c r="B364" s="32" t="n">
        <f aca="false">Data_Prices!B364/Data_Prices!B363-1</f>
        <v>-0.00764145529668314</v>
      </c>
      <c r="C364" s="32" t="n">
        <f aca="false">Data_Prices!C364/Data_Prices!C363-1</f>
        <v>-0.0143426095233323</v>
      </c>
      <c r="D364" s="32" t="n">
        <f aca="false">Data_Prices!D364/Data_Prices!D363-1</f>
        <v>-0.016364927227547</v>
      </c>
      <c r="E364" s="32" t="n">
        <f aca="false">Data_Prices!E364/Data_Prices!E363-1</f>
        <v>-0.0308966199097819</v>
      </c>
      <c r="F364" s="32" t="n">
        <f aca="false">Data_Prices!F364/Data_Prices!F363-1</f>
        <v>-0.030959280158609</v>
      </c>
      <c r="G364" s="32" t="n">
        <f aca="false">Data_Prices!G364/Data_Prices!G363-1</f>
        <v>-0.0457551522608428</v>
      </c>
      <c r="H364" s="32" t="n">
        <f aca="false">Data_Prices!H364/Data_Prices!H363-1</f>
        <v>-0.0466186353454017</v>
      </c>
      <c r="I364" s="32" t="n">
        <f aca="false">Data_Prices!I364/Data_Prices!I363-1</f>
        <v>-0.0734475608425188</v>
      </c>
      <c r="J364" s="32" t="n">
        <f aca="false">Data_Prices!J364/Data_Prices!J363-1</f>
        <v>-0.0392955996774405</v>
      </c>
      <c r="K364" s="32" t="n">
        <f aca="false">Data_Prices!K364/Data_Prices!K363-1</f>
        <v>-0.0128357535174177</v>
      </c>
      <c r="L364" s="32" t="n">
        <f aca="false">Data_Prices!L364/Data_Prices!L363-1</f>
        <v>-0.0184888176067005</v>
      </c>
      <c r="M364" s="32" t="n">
        <f aca="false">Data_Prices!M364/Data_Prices!M363-1</f>
        <v>0.0180132201372138</v>
      </c>
      <c r="N364" s="32" t="n">
        <f aca="false">Data_Prices!N364/Data_Prices!N363-1</f>
        <v>-0.0172465586400664</v>
      </c>
      <c r="O364" s="32" t="n">
        <f aca="false">Data_Prices!O364/Data_Prices!O363-1</f>
        <v>-0.0287346373550286</v>
      </c>
      <c r="P364" s="32" t="n">
        <f aca="false">Data_Prices!P364/Data_Prices!P363-1</f>
        <v>-0.0192349568120781</v>
      </c>
      <c r="Q364" s="32" t="n">
        <f aca="false">Data_Prices!Q364/Data_Prices!Q363-1</f>
        <v>-0.0214204013725694</v>
      </c>
      <c r="R364" s="32" t="n">
        <f aca="false">Data_Prices!R364/Data_Prices!R363-1</f>
        <v>-0.00772550111358572</v>
      </c>
      <c r="S364" s="32" t="n">
        <f aca="false">Data_Prices!S364/Data_Prices!S363-1</f>
        <v>-0.0307827428130757</v>
      </c>
      <c r="T364" s="32" t="n">
        <f aca="false">AVERAGE(D364:S364)</f>
        <v>-0.0263621202822156</v>
      </c>
      <c r="U364" s="32" t="n">
        <f aca="false">AVERAGE(J364:S364)</f>
        <v>-0.0177751748770749</v>
      </c>
      <c r="V364" s="32" t="n">
        <f aca="false">AVERAGE(D364:I364)</f>
        <v>-0.0406736959574502</v>
      </c>
      <c r="W364" s="32" t="n">
        <f aca="false">AVERAGE(K364,Q364,R364)</f>
        <v>-0.0139938853345243</v>
      </c>
      <c r="X364" s="32" t="n">
        <f aca="false">AVERAGE(K364,L364,N364,O364,P364,Q364,R364,S364)</f>
        <v>-0.0195586711538153</v>
      </c>
      <c r="Y364" s="32" t="n">
        <f aca="false">AVERAGE(J364,L364,M364,N364,O364,P364,Q364,R364,S364)</f>
        <v>-0.0183239994725923</v>
      </c>
      <c r="Z364" s="32" t="n">
        <f aca="false">U364-V364</f>
        <v>0.0228985210803753</v>
      </c>
      <c r="AA364" s="32" t="n">
        <f aca="false">W364-V364</f>
        <v>0.0266798106229259</v>
      </c>
    </row>
    <row r="365" customFormat="false" ht="15" hidden="false" customHeight="false" outlineLevel="0" collapsed="false">
      <c r="A365" s="28" t="n">
        <f aca="false">Data_Prices!A365</f>
        <v>45335</v>
      </c>
      <c r="B365" s="32" t="n">
        <f aca="false">Data_Prices!B365/Data_Prices!B364-1</f>
        <v>0.00588451636631127</v>
      </c>
      <c r="C365" s="32" t="n">
        <f aca="false">Data_Prices!C365/Data_Prices!C364-1</f>
        <v>0.00547389607221271</v>
      </c>
      <c r="D365" s="32" t="n">
        <f aca="false">Data_Prices!D365/Data_Prices!D364-1</f>
        <v>0.0193438954852214</v>
      </c>
      <c r="E365" s="32" t="n">
        <f aca="false">Data_Prices!E365/Data_Prices!E364-1</f>
        <v>0.0170885672384109</v>
      </c>
      <c r="F365" s="32" t="n">
        <f aca="false">Data_Prices!F365/Data_Prices!F364-1</f>
        <v>0.00125904941768962</v>
      </c>
      <c r="G365" s="32" t="n">
        <f aca="false">Data_Prices!G365/Data_Prices!G364-1</f>
        <v>0.0170037875735352</v>
      </c>
      <c r="H365" s="32" t="n">
        <f aca="false">Data_Prices!H365/Data_Prices!H364-1</f>
        <v>-0.0122563027878326</v>
      </c>
      <c r="I365" s="32" t="n">
        <f aca="false">Data_Prices!I365/Data_Prices!I364-1</f>
        <v>0.0746760895170788</v>
      </c>
      <c r="J365" s="32" t="n">
        <f aca="false">Data_Prices!J365/Data_Prices!J364-1</f>
        <v>0.0161297640653357</v>
      </c>
      <c r="K365" s="32" t="n">
        <f aca="false">Data_Prices!K365/Data_Prices!K364-1</f>
        <v>0.00525898600652419</v>
      </c>
      <c r="L365" s="32" t="n">
        <f aca="false">Data_Prices!L365/Data_Prices!L364-1</f>
        <v>0.0364486405519495</v>
      </c>
      <c r="M365" s="32" t="n">
        <f aca="false">Data_Prices!M365/Data_Prices!M364-1</f>
        <v>0.00406203840472674</v>
      </c>
      <c r="N365" s="32" t="n">
        <f aca="false">Data_Prices!N365/Data_Prices!N364-1</f>
        <v>0.00436932482244012</v>
      </c>
      <c r="O365" s="32" t="n">
        <f aca="false">Data_Prices!O365/Data_Prices!O364-1</f>
        <v>0.0213865621101408</v>
      </c>
      <c r="P365" s="32" t="n">
        <f aca="false">Data_Prices!P365/Data_Prices!P364-1</f>
        <v>0.0119893428063944</v>
      </c>
      <c r="Q365" s="32" t="n">
        <f aca="false">Data_Prices!Q365/Data_Prices!Q364-1</f>
        <v>0.0277335033471471</v>
      </c>
      <c r="R365" s="32" t="n">
        <f aca="false">Data_Prices!R365/Data_Prices!R364-1</f>
        <v>0.0114329802903836</v>
      </c>
      <c r="S365" s="32" t="n">
        <f aca="false">Data_Prices!S365/Data_Prices!S364-1</f>
        <v>0.0302353851254282</v>
      </c>
      <c r="T365" s="32" t="n">
        <f aca="false">AVERAGE(D365:S365)</f>
        <v>0.0178851008734109</v>
      </c>
      <c r="U365" s="32" t="n">
        <f aca="false">AVERAGE(J365:S365)</f>
        <v>0.016904652753047</v>
      </c>
      <c r="V365" s="32" t="n">
        <f aca="false">AVERAGE(D365:I365)</f>
        <v>0.0195191810740172</v>
      </c>
      <c r="W365" s="32" t="n">
        <f aca="false">AVERAGE(K365,Q365,R365)</f>
        <v>0.0148084898813516</v>
      </c>
      <c r="X365" s="32" t="n">
        <f aca="false">AVERAGE(K365,L365,N365,O365,P365,Q365,R365,S365)</f>
        <v>0.018606840632551</v>
      </c>
      <c r="Y365" s="32" t="n">
        <f aca="false">AVERAGE(J365,L365,M365,N365,O365,P365,Q365,R365,S365)</f>
        <v>0.0181986157248829</v>
      </c>
      <c r="Z365" s="32" t="n">
        <f aca="false">U365-V365</f>
        <v>-0.00261452832097017</v>
      </c>
      <c r="AA365" s="32" t="n">
        <f aca="false">W365-V365</f>
        <v>-0.00471069119266558</v>
      </c>
    </row>
    <row r="366" customFormat="false" ht="15" hidden="false" customHeight="false" outlineLevel="0" collapsed="false">
      <c r="A366" s="28" t="n">
        <f aca="false">Data_Prices!A366</f>
        <v>45336</v>
      </c>
      <c r="B366" s="32" t="n">
        <f aca="false">Data_Prices!B366/Data_Prices!B365-1</f>
        <v>0.00445195635427087</v>
      </c>
      <c r="C366" s="32" t="n">
        <f aca="false">Data_Prices!C366/Data_Prices!C365-1</f>
        <v>0.00704648964509746</v>
      </c>
      <c r="D366" s="32" t="n">
        <f aca="false">Data_Prices!D366/Data_Prices!D365-1</f>
        <v>0.0174190122145512</v>
      </c>
      <c r="E366" s="32" t="n">
        <f aca="false">Data_Prices!E366/Data_Prices!E365-1</f>
        <v>0.00821265124443626</v>
      </c>
      <c r="F366" s="32" t="n">
        <f aca="false">Data_Prices!F366/Data_Prices!F365-1</f>
        <v>-0.019909881588599</v>
      </c>
      <c r="G366" s="32" t="n">
        <f aca="false">Data_Prices!G366/Data_Prices!G365-1</f>
        <v>0.00887480190174328</v>
      </c>
      <c r="H366" s="32" t="n">
        <f aca="false">Data_Prices!H366/Data_Prices!H365-1</f>
        <v>0.00803651793750793</v>
      </c>
      <c r="I366" s="32" t="n">
        <f aca="false">Data_Prices!I366/Data_Prices!I365-1</f>
        <v>0.0449364313897414</v>
      </c>
      <c r="J366" s="32" t="n">
        <f aca="false">Data_Prices!J366/Data_Prices!J365-1</f>
        <v>0.0268580741666851</v>
      </c>
      <c r="K366" s="32" t="n">
        <f aca="false">Data_Prices!K366/Data_Prices!K365-1</f>
        <v>0.00649006019985743</v>
      </c>
      <c r="L366" s="32" t="n">
        <f aca="false">Data_Prices!L366/Data_Prices!L365-1</f>
        <v>-0.0144521327844442</v>
      </c>
      <c r="M366" s="32" t="n">
        <f aca="false">Data_Prices!M366/Data_Prices!M365-1</f>
        <v>-0.0225266642147849</v>
      </c>
      <c r="N366" s="32" t="n">
        <f aca="false">Data_Prices!N366/Data_Prices!N365-1</f>
        <v>-0.0011278599305381</v>
      </c>
      <c r="O366" s="32" t="n">
        <f aca="false">Data_Prices!O366/Data_Prices!O365-1</f>
        <v>0.00854999127551914</v>
      </c>
      <c r="P366" s="32" t="n">
        <f aca="false">Data_Prices!P366/Data_Prices!P365-1</f>
        <v>0.00866608161474325</v>
      </c>
      <c r="Q366" s="32" t="n">
        <f aca="false">Data_Prices!Q366/Data_Prices!Q365-1</f>
        <v>0.00496277915632759</v>
      </c>
      <c r="R366" s="32" t="n">
        <f aca="false">Data_Prices!R366/Data_Prices!R365-1</f>
        <v>-0.00256588072122055</v>
      </c>
      <c r="S366" s="32" t="n">
        <f aca="false">Data_Prices!S366/Data_Prices!S365-1</f>
        <v>0.0268809130500076</v>
      </c>
      <c r="T366" s="32" t="n">
        <f aca="false">AVERAGE(D366:S366)</f>
        <v>0.00683155593197084</v>
      </c>
      <c r="U366" s="32" t="n">
        <f aca="false">AVERAGE(J366:S366)</f>
        <v>0.00417353618121523</v>
      </c>
      <c r="V366" s="32" t="n">
        <f aca="false">AVERAGE(D366:I366)</f>
        <v>0.0112615888498968</v>
      </c>
      <c r="W366" s="32" t="n">
        <f aca="false">AVERAGE(K366,Q366,R366)</f>
        <v>0.00296231954498816</v>
      </c>
      <c r="X366" s="32" t="n">
        <f aca="false">AVERAGE(K366,L366,N366,O366,P366,Q366,R366,S366)</f>
        <v>0.00467549398253152</v>
      </c>
      <c r="Y366" s="32" t="n">
        <f aca="false">AVERAGE(J366,L366,M366,N366,O366,P366,Q366,R366,S366)</f>
        <v>0.00391614462358832</v>
      </c>
      <c r="Z366" s="32" t="n">
        <f aca="false">U366-V366</f>
        <v>-0.00708805266868161</v>
      </c>
      <c r="AA366" s="32" t="n">
        <f aca="false">W366-V366</f>
        <v>-0.00829926930490869</v>
      </c>
    </row>
    <row r="367" customFormat="false" ht="15" hidden="false" customHeight="false" outlineLevel="0" collapsed="false">
      <c r="A367" s="28" t="n">
        <f aca="false">Data_Prices!A367</f>
        <v>45337</v>
      </c>
      <c r="B367" s="32" t="n">
        <f aca="false">Data_Prices!B367/Data_Prices!B366-1</f>
        <v>0.00323717207607133</v>
      </c>
      <c r="C367" s="32" t="n">
        <f aca="false">Data_Prices!C367/Data_Prices!C366-1</f>
        <v>0.00575736737224108</v>
      </c>
      <c r="D367" s="32" t="n">
        <f aca="false">Data_Prices!D367/Data_Prices!D366-1</f>
        <v>-0.0115878484184152</v>
      </c>
      <c r="E367" s="32" t="n">
        <f aca="false">Data_Prices!E367/Data_Prices!E366-1</f>
        <v>0.0158562367864694</v>
      </c>
      <c r="F367" s="32" t="n">
        <f aca="false">Data_Prices!F367/Data_Prices!F366-1</f>
        <v>-0.0065754303432054</v>
      </c>
      <c r="G367" s="32" t="n">
        <f aca="false">Data_Prices!G367/Data_Prices!G366-1</f>
        <v>0.0021206409048069</v>
      </c>
      <c r="H367" s="32" t="n">
        <f aca="false">Data_Prices!H367/Data_Prices!H366-1</f>
        <v>-0.00267874226672626</v>
      </c>
      <c r="I367" s="32" t="n">
        <f aca="false">Data_Prices!I367/Data_Prices!I366-1</f>
        <v>-0.0140549611915251</v>
      </c>
      <c r="J367" s="32" t="n">
        <f aca="false">Data_Prices!J367/Data_Prices!J366-1</f>
        <v>0.0110014349697787</v>
      </c>
      <c r="K367" s="32" t="n">
        <f aca="false">Data_Prices!K367/Data_Prices!K366-1</f>
        <v>-0.00408286252354051</v>
      </c>
      <c r="L367" s="32" t="n">
        <f aca="false">Data_Prices!L367/Data_Prices!L366-1</f>
        <v>-0.00062211162460013</v>
      </c>
      <c r="M367" s="32" t="n">
        <f aca="false">Data_Prices!M367/Data_Prices!M366-1</f>
        <v>-0.0235474869093533</v>
      </c>
      <c r="N367" s="32" t="n">
        <f aca="false">Data_Prices!N367/Data_Prices!N366-1</f>
        <v>0.00835200286764048</v>
      </c>
      <c r="O367" s="32" t="n">
        <f aca="false">Data_Prices!O367/Data_Prices!O366-1</f>
        <v>-0.00882352941176479</v>
      </c>
      <c r="P367" s="32" t="n">
        <f aca="false">Data_Prices!P367/Data_Prices!P366-1</f>
        <v>-0.0260286387529455</v>
      </c>
      <c r="Q367" s="32" t="n">
        <f aca="false">Data_Prices!Q367/Data_Prices!Q366-1</f>
        <v>0.0125514403292182</v>
      </c>
      <c r="R367" s="32" t="n">
        <f aca="false">Data_Prices!R367/Data_Prices!R366-1</f>
        <v>-0.00778697072933332</v>
      </c>
      <c r="S367" s="32" t="n">
        <f aca="false">Data_Prices!S367/Data_Prices!S366-1</f>
        <v>0.018510007103163</v>
      </c>
      <c r="T367" s="32" t="n">
        <f aca="false">AVERAGE(D367:S367)</f>
        <v>-0.0023373012006458</v>
      </c>
      <c r="U367" s="32" t="n">
        <f aca="false">AVERAGE(J367:S367)</f>
        <v>-0.00204767146817372</v>
      </c>
      <c r="V367" s="32" t="n">
        <f aca="false">AVERAGE(D367:I367)</f>
        <v>-0.0028200174214326</v>
      </c>
      <c r="W367" s="32" t="n">
        <f aca="false">AVERAGE(K367,Q367,R367)</f>
        <v>0.000227202358781449</v>
      </c>
      <c r="X367" s="32" t="n">
        <f aca="false">AVERAGE(K367,L367,N367,O367,P367,Q367,R367,S367)</f>
        <v>-0.000991332842770323</v>
      </c>
      <c r="Y367" s="32" t="n">
        <f aca="false">AVERAGE(J367,L367,M367,N367,O367,P367,Q367,R367,S367)</f>
        <v>-0.00182153912868852</v>
      </c>
      <c r="Z367" s="32" t="n">
        <f aca="false">U367-V367</f>
        <v>0.000772345953258883</v>
      </c>
      <c r="AA367" s="32" t="n">
        <f aca="false">W367-V367</f>
        <v>0.00304721978021405</v>
      </c>
    </row>
    <row r="368" customFormat="false" ht="15" hidden="false" customHeight="false" outlineLevel="0" collapsed="false">
      <c r="A368" s="28" t="n">
        <f aca="false">Data_Prices!A368</f>
        <v>45338</v>
      </c>
      <c r="B368" s="32" t="n">
        <f aca="false">Data_Prices!B368/Data_Prices!B367-1</f>
        <v>0.00593087867827435</v>
      </c>
      <c r="C368" s="32" t="n">
        <f aca="false">Data_Prices!C368/Data_Prices!C367-1</f>
        <v>0.00638319109647156</v>
      </c>
      <c r="D368" s="32" t="n">
        <f aca="false">Data_Prices!D368/Data_Prices!D367-1</f>
        <v>0.00179552175749897</v>
      </c>
      <c r="E368" s="32" t="n">
        <f aca="false">Data_Prices!E368/Data_Prices!E367-1</f>
        <v>-0.0117524637326315</v>
      </c>
      <c r="F368" s="32" t="n">
        <f aca="false">Data_Prices!F368/Data_Prices!F367-1</f>
        <v>0.0106010870150137</v>
      </c>
      <c r="G368" s="32" t="n">
        <f aca="false">Data_Prices!G368/Data_Prices!G367-1</f>
        <v>0.00595657966925312</v>
      </c>
      <c r="H368" s="32" t="n">
        <f aca="false">Data_Prices!H368/Data_Prices!H367-1</f>
        <v>-0.0166911811728593</v>
      </c>
      <c r="I368" s="32" t="n">
        <f aca="false">Data_Prices!I368/Data_Prices!I367-1</f>
        <v>-0.0298936170212766</v>
      </c>
      <c r="J368" s="32" t="n">
        <f aca="false">Data_Prices!J368/Data_Prices!J367-1</f>
        <v>-0.00027956989247313</v>
      </c>
      <c r="K368" s="32" t="n">
        <f aca="false">Data_Prices!K368/Data_Prices!K367-1</f>
        <v>-3.02553551978502E-005</v>
      </c>
      <c r="L368" s="32" t="n">
        <f aca="false">Data_Prices!L368/Data_Prices!L367-1</f>
        <v>0.0173410404624277</v>
      </c>
      <c r="M368" s="32" t="n">
        <f aca="false">Data_Prices!M368/Data_Prices!M367-1</f>
        <v>0.000834885363817373</v>
      </c>
      <c r="N368" s="32" t="n">
        <f aca="false">Data_Prices!N368/Data_Prices!N367-1</f>
        <v>0.0469597056575601</v>
      </c>
      <c r="O368" s="32" t="n">
        <f aca="false">Data_Prices!O368/Data_Prices!O367-1</f>
        <v>0.0106475824751266</v>
      </c>
      <c r="P368" s="32" t="n">
        <f aca="false">Data_Prices!P368/Data_Prices!P367-1</f>
        <v>0.0101611642535453</v>
      </c>
      <c r="Q368" s="32" t="n">
        <f aca="false">Data_Prices!Q368/Data_Prices!Q367-1</f>
        <v>-0.0487705750863645</v>
      </c>
      <c r="R368" s="32" t="n">
        <f aca="false">Data_Prices!R368/Data_Prices!R367-1</f>
        <v>0.00630649569056119</v>
      </c>
      <c r="S368" s="32" t="n">
        <f aca="false">Data_Prices!S368/Data_Prices!S367-1</f>
        <v>0.00484082704299316</v>
      </c>
      <c r="T368" s="32" t="n">
        <f aca="false">AVERAGE(D368:S368)</f>
        <v>0.000501701695437153</v>
      </c>
      <c r="U368" s="32" t="n">
        <f aca="false">AVERAGE(J368:S368)</f>
        <v>0.0048011300611996</v>
      </c>
      <c r="V368" s="32" t="n">
        <f aca="false">AVERAGE(D368:I368)</f>
        <v>-0.00666401224750026</v>
      </c>
      <c r="W368" s="32" t="n">
        <f aca="false">AVERAGE(K368,Q368,R368)</f>
        <v>-0.0141647782503337</v>
      </c>
      <c r="X368" s="32" t="n">
        <f aca="false">AVERAGE(K368,L368,N368,O368,P368,Q368,R368,S368)</f>
        <v>0.00593199814258147</v>
      </c>
      <c r="Y368" s="32" t="n">
        <f aca="false">AVERAGE(J368,L368,M368,N368,O368,P368,Q368,R368,S368)</f>
        <v>0.00533795066302154</v>
      </c>
      <c r="Z368" s="32" t="n">
        <f aca="false">U368-V368</f>
        <v>0.0114651423086999</v>
      </c>
      <c r="AA368" s="32" t="n">
        <f aca="false">W368-V368</f>
        <v>-0.00750076600283347</v>
      </c>
    </row>
    <row r="369" customFormat="false" ht="15" hidden="false" customHeight="false" outlineLevel="0" collapsed="false">
      <c r="A369" s="28" t="n">
        <f aca="false">Data_Prices!A369</f>
        <v>45341</v>
      </c>
      <c r="B369" s="32" t="n">
        <f aca="false">Data_Prices!B369/Data_Prices!B368-1</f>
        <v>0.00369997323134008</v>
      </c>
      <c r="C369" s="32" t="n">
        <f aca="false">Data_Prices!C369/Data_Prices!C368-1</f>
        <v>0.0037788434358712</v>
      </c>
      <c r="D369" s="32" t="n">
        <f aca="false">Data_Prices!D369/Data_Prices!D368-1</f>
        <v>0.0137058513442276</v>
      </c>
      <c r="E369" s="32" t="n">
        <f aca="false">Data_Prices!E369/Data_Prices!E368-1</f>
        <v>-0.00718488696190767</v>
      </c>
      <c r="F369" s="32" t="n">
        <f aca="false">Data_Prices!F369/Data_Prices!F368-1</f>
        <v>-0.0597444089456869</v>
      </c>
      <c r="G369" s="32" t="n">
        <f aca="false">Data_Prices!G369/Data_Prices!G368-1</f>
        <v>-0.0107518504090377</v>
      </c>
      <c r="H369" s="32" t="n">
        <f aca="false">Data_Prices!H369/Data_Prices!H368-1</f>
        <v>-0.028095733610822</v>
      </c>
      <c r="I369" s="32" t="n">
        <f aca="false">Data_Prices!I369/Data_Prices!I368-1</f>
        <v>0.0595460028511898</v>
      </c>
      <c r="J369" s="32" t="n">
        <f aca="false">Data_Prices!J369/Data_Prices!J368-1</f>
        <v>0.0239421773829243</v>
      </c>
      <c r="K369" s="32" t="n">
        <f aca="false">Data_Prices!K369/Data_Prices!K368-1</f>
        <v>0.0141448065111496</v>
      </c>
      <c r="L369" s="32" t="n">
        <f aca="false">Data_Prices!L369/Data_Prices!L368-1</f>
        <v>-0.00930944055944061</v>
      </c>
      <c r="M369" s="32" t="n">
        <f aca="false">Data_Prices!M369/Data_Prices!M368-1</f>
        <v>-0.0176463039014374</v>
      </c>
      <c r="N369" s="32" t="n">
        <f aca="false">Data_Prices!N369/Data_Prices!N368-1</f>
        <v>0.0121216236863997</v>
      </c>
      <c r="O369" s="32" t="n">
        <f aca="false">Data_Prices!O369/Data_Prices!O368-1</f>
        <v>-0.00293609671848016</v>
      </c>
      <c r="P369" s="32" t="n">
        <f aca="false">Data_Prices!P369/Data_Prices!P368-1</f>
        <v>-0.00151068533529841</v>
      </c>
      <c r="Q369" s="32" t="n">
        <f aca="false">Data_Prices!Q369/Data_Prices!Q368-1</f>
        <v>0.0108951078829309</v>
      </c>
      <c r="R369" s="32" t="n">
        <f aca="false">Data_Prices!R369/Data_Prices!R368-1</f>
        <v>0.0144140380196365</v>
      </c>
      <c r="S369" s="32" t="n">
        <f aca="false">Data_Prices!S369/Data_Prices!S368-1</f>
        <v>-0.00387850085735275</v>
      </c>
      <c r="T369" s="32" t="n">
        <f aca="false">AVERAGE(D369:S369)</f>
        <v>0.000481981273687176</v>
      </c>
      <c r="U369" s="32" t="n">
        <f aca="false">AVERAGE(J369:S369)</f>
        <v>0.00402367261110316</v>
      </c>
      <c r="V369" s="32" t="n">
        <f aca="false">AVERAGE(D369:I369)</f>
        <v>-0.00542083762200613</v>
      </c>
      <c r="W369" s="32" t="n">
        <f aca="false">AVERAGE(K369,Q369,R369)</f>
        <v>0.013151317471239</v>
      </c>
      <c r="X369" s="32" t="n">
        <f aca="false">AVERAGE(K369,L369,N369,O369,P369,Q369,R369,S369)</f>
        <v>0.00424260657869309</v>
      </c>
      <c r="Y369" s="32" t="n">
        <f aca="false">AVERAGE(J369,L369,M369,N369,O369,P369,Q369,R369,S369)</f>
        <v>0.00289910217776467</v>
      </c>
      <c r="Z369" s="32" t="n">
        <f aca="false">U369-V369</f>
        <v>0.00944451023310928</v>
      </c>
      <c r="AA369" s="32" t="n">
        <f aca="false">W369-V369</f>
        <v>0.0185721550932451</v>
      </c>
    </row>
    <row r="370" customFormat="false" ht="15" hidden="false" customHeight="false" outlineLevel="0" collapsed="false">
      <c r="A370" s="28" t="n">
        <f aca="false">Data_Prices!A370</f>
        <v>45342</v>
      </c>
      <c r="B370" s="32" t="n">
        <f aca="false">Data_Prices!B370/Data_Prices!B369-1</f>
        <v>0.00337669088813297</v>
      </c>
      <c r="C370" s="32" t="n">
        <f aca="false">Data_Prices!C370/Data_Prices!C369-1</f>
        <v>0.00152165643171576</v>
      </c>
      <c r="D370" s="32" t="n">
        <f aca="false">Data_Prices!D370/Data_Prices!D369-1</f>
        <v>-0.00325879701854748</v>
      </c>
      <c r="E370" s="32" t="n">
        <f aca="false">Data_Prices!E370/Data_Prices!E369-1</f>
        <v>-0.00436708465905544</v>
      </c>
      <c r="F370" s="32" t="n">
        <f aca="false">Data_Prices!F370/Data_Prices!F369-1</f>
        <v>0.0521010306943028</v>
      </c>
      <c r="G370" s="32" t="n">
        <f aca="false">Data_Prices!G370/Data_Prices!G369-1</f>
        <v>0.00645821847680561</v>
      </c>
      <c r="H370" s="32" t="n">
        <f aca="false">Data_Prices!H370/Data_Prices!H369-1</f>
        <v>-0.00602248394004279</v>
      </c>
      <c r="I370" s="32" t="n">
        <f aca="false">Data_Prices!I370/Data_Prices!I369-1</f>
        <v>-0.00289795073483756</v>
      </c>
      <c r="J370" s="32" t="n">
        <f aca="false">Data_Prices!J370/Data_Prices!J369-1</f>
        <v>-0.0258403361344538</v>
      </c>
      <c r="K370" s="32" t="n">
        <f aca="false">Data_Prices!K370/Data_Prices!K369-1</f>
        <v>0.00756298760386054</v>
      </c>
      <c r="L370" s="32" t="n">
        <f aca="false">Data_Prices!L370/Data_Prices!L369-1</f>
        <v>-0.0295142718489433</v>
      </c>
      <c r="M370" s="32" t="n">
        <f aca="false">Data_Prices!M370/Data_Prices!M369-1</f>
        <v>-0.0206741132667059</v>
      </c>
      <c r="N370" s="32" t="n">
        <f aca="false">Data_Prices!N370/Data_Prices!N369-1</f>
        <v>-0.0228122850864685</v>
      </c>
      <c r="O370" s="32" t="n">
        <f aca="false">Data_Prices!O370/Data_Prices!O369-1</f>
        <v>0.00519660488480866</v>
      </c>
      <c r="P370" s="32" t="n">
        <f aca="false">Data_Prices!P370/Data_Prices!P369-1</f>
        <v>-0.0121406693973948</v>
      </c>
      <c r="Q370" s="32" t="n">
        <f aca="false">Data_Prices!Q370/Data_Prices!Q369-1</f>
        <v>-0.00919273034657642</v>
      </c>
      <c r="R370" s="32" t="n">
        <f aca="false">Data_Prices!R370/Data_Prices!R369-1</f>
        <v>0.01558209774849</v>
      </c>
      <c r="S370" s="32" t="n">
        <f aca="false">Data_Prices!S370/Data_Prices!S369-1</f>
        <v>-0.00952907906061729</v>
      </c>
      <c r="T370" s="32" t="n">
        <f aca="false">AVERAGE(D370:S370)</f>
        <v>-0.00370930388033598</v>
      </c>
      <c r="U370" s="32" t="n">
        <f aca="false">AVERAGE(J370:S370)</f>
        <v>-0.0101361794904001</v>
      </c>
      <c r="V370" s="32" t="n">
        <f aca="false">AVERAGE(D370:I370)</f>
        <v>0.00700215546977086</v>
      </c>
      <c r="W370" s="32" t="n">
        <f aca="false">AVERAGE(K370,Q370,R370)</f>
        <v>0.00465078500192469</v>
      </c>
      <c r="X370" s="32" t="n">
        <f aca="false">AVERAGE(K370,L370,N370,O370,P370,Q370,R370,S370)</f>
        <v>-0.00685591818785514</v>
      </c>
      <c r="Y370" s="32" t="n">
        <f aca="false">AVERAGE(J370,L370,M370,N370,O370,P370,Q370,R370,S370)</f>
        <v>-0.0121027536119846</v>
      </c>
      <c r="Z370" s="32" t="n">
        <f aca="false">U370-V370</f>
        <v>-0.0171383349601709</v>
      </c>
      <c r="AA370" s="32" t="n">
        <f aca="false">W370-V370</f>
        <v>-0.00235137046784617</v>
      </c>
    </row>
    <row r="371" customFormat="false" ht="15" hidden="false" customHeight="false" outlineLevel="0" collapsed="false">
      <c r="A371" s="28" t="n">
        <f aca="false">Data_Prices!A371</f>
        <v>45343</v>
      </c>
      <c r="B371" s="32" t="n">
        <f aca="false">Data_Prices!B371/Data_Prices!B370-1</f>
        <v>-0.00639277017788487</v>
      </c>
      <c r="C371" s="32" t="n">
        <f aca="false">Data_Prices!C371/Data_Prices!C370-1</f>
        <v>-0.00708369713741697</v>
      </c>
      <c r="D371" s="32" t="n">
        <f aca="false">Data_Prices!D371/Data_Prices!D370-1</f>
        <v>0.00389551667768084</v>
      </c>
      <c r="E371" s="32" t="n">
        <f aca="false">Data_Prices!E371/Data_Prices!E370-1</f>
        <v>-0.0148505545460242</v>
      </c>
      <c r="F371" s="32" t="n">
        <f aca="false">Data_Prices!F371/Data_Prices!F370-1</f>
        <v>-0.014533318979438</v>
      </c>
      <c r="G371" s="32" t="n">
        <f aca="false">Data_Prices!G371/Data_Prices!G370-1</f>
        <v>0.00305188199389606</v>
      </c>
      <c r="H371" s="32" t="n">
        <f aca="false">Data_Prices!H371/Data_Prices!H370-1</f>
        <v>-0.0214756967820117</v>
      </c>
      <c r="I371" s="32" t="n">
        <f aca="false">Data_Prices!I371/Data_Prices!I370-1</f>
        <v>-0.0381980485779531</v>
      </c>
      <c r="J371" s="32" t="n">
        <f aca="false">Data_Prices!J371/Data_Prices!J370-1</f>
        <v>-0.0254043562648264</v>
      </c>
      <c r="K371" s="32" t="n">
        <f aca="false">Data_Prices!K371/Data_Prices!K370-1</f>
        <v>-0.0110594575387896</v>
      </c>
      <c r="L371" s="32" t="n">
        <f aca="false">Data_Prices!L371/Data_Prices!L370-1</f>
        <v>-0.0130466406036913</v>
      </c>
      <c r="M371" s="32" t="n">
        <f aca="false">Data_Prices!M371/Data_Prices!M370-1</f>
        <v>-0.0209771552442889</v>
      </c>
      <c r="N371" s="32" t="n">
        <f aca="false">Data_Prices!N371/Data_Prices!N370-1</f>
        <v>0.00451447894673596</v>
      </c>
      <c r="O371" s="32" t="n">
        <f aca="false">Data_Prices!O371/Data_Prices!O370-1</f>
        <v>-0.00396346717215224</v>
      </c>
      <c r="P371" s="32" t="n">
        <f aca="false">Data_Prices!P371/Data_Prices!P370-1</f>
        <v>-0.0106836010459469</v>
      </c>
      <c r="Q371" s="32" t="n">
        <f aca="false">Data_Prices!Q371/Data_Prices!Q370-1</f>
        <v>-0.0206889196971314</v>
      </c>
      <c r="R371" s="32" t="n">
        <f aca="false">Data_Prices!R371/Data_Prices!R370-1</f>
        <v>-0.000675904021628981</v>
      </c>
      <c r="S371" s="32" t="n">
        <f aca="false">Data_Prices!S371/Data_Prices!S370-1</f>
        <v>-0.0251174146028593</v>
      </c>
      <c r="T371" s="32" t="n">
        <f aca="false">AVERAGE(D371:S371)</f>
        <v>-0.0130757910911518</v>
      </c>
      <c r="U371" s="32" t="n">
        <f aca="false">AVERAGE(J371:S371)</f>
        <v>-0.0127102437244579</v>
      </c>
      <c r="V371" s="32" t="n">
        <f aca="false">AVERAGE(D371:I371)</f>
        <v>-0.0136850367023083</v>
      </c>
      <c r="W371" s="32" t="n">
        <f aca="false">AVERAGE(K371,Q371,R371)</f>
        <v>-0.0108080937525166</v>
      </c>
      <c r="X371" s="32" t="n">
        <f aca="false">AVERAGE(K371,L371,N371,O371,P371,Q371,R371,S371)</f>
        <v>-0.010090115716933</v>
      </c>
      <c r="Y371" s="32" t="n">
        <f aca="false">AVERAGE(J371,L371,M371,N371,O371,P371,Q371,R371,S371)</f>
        <v>-0.0128936644117544</v>
      </c>
      <c r="Z371" s="32" t="n">
        <f aca="false">U371-V371</f>
        <v>0.00097479297785044</v>
      </c>
      <c r="AA371" s="32" t="n">
        <f aca="false">W371-V371</f>
        <v>0.0028769429497917</v>
      </c>
    </row>
    <row r="372" customFormat="false" ht="15" hidden="false" customHeight="false" outlineLevel="0" collapsed="false">
      <c r="A372" s="28" t="n">
        <f aca="false">Data_Prices!A372</f>
        <v>45344</v>
      </c>
      <c r="B372" s="32" t="n">
        <f aca="false">Data_Prices!B372/Data_Prices!B371-1</f>
        <v>0.00736339296442323</v>
      </c>
      <c r="C372" s="32" t="n">
        <f aca="false">Data_Prices!C372/Data_Prices!C371-1</f>
        <v>0.00773289348827277</v>
      </c>
      <c r="D372" s="32" t="n">
        <f aca="false">Data_Prices!D372/Data_Prices!D371-1</f>
        <v>0.0117451408377507</v>
      </c>
      <c r="E372" s="32" t="n">
        <f aca="false">Data_Prices!E372/Data_Prices!E371-1</f>
        <v>0.0111308993766697</v>
      </c>
      <c r="F372" s="32" t="n">
        <f aca="false">Data_Prices!F372/Data_Prices!F371-1</f>
        <v>0.0344111863666157</v>
      </c>
      <c r="G372" s="32" t="n">
        <f aca="false">Data_Prices!G372/Data_Prices!G371-1</f>
        <v>0.00210641285691993</v>
      </c>
      <c r="H372" s="32" t="n">
        <f aca="false">Data_Prices!H372/Data_Prices!H371-1</f>
        <v>-0.0137598899208806</v>
      </c>
      <c r="I372" s="32" t="n">
        <f aca="false">Data_Prices!I372/Data_Prices!I371-1</f>
        <v>-0.00528815022663498</v>
      </c>
      <c r="J372" s="32" t="n">
        <f aca="false">Data_Prices!J372/Data_Prices!J371-1</f>
        <v>-0.00232342007434949</v>
      </c>
      <c r="K372" s="32" t="n">
        <f aca="false">Data_Prices!K372/Data_Prices!K371-1</f>
        <v>-0.00206596104615475</v>
      </c>
      <c r="L372" s="32" t="n">
        <f aca="false">Data_Prices!L372/Data_Prices!L371-1</f>
        <v>-0.00285569526967888</v>
      </c>
      <c r="M372" s="32" t="n">
        <f aca="false">Data_Prices!M372/Data_Prices!M371-1</f>
        <v>-0.00105600218013346</v>
      </c>
      <c r="N372" s="32" t="n">
        <f aca="false">Data_Prices!N372/Data_Prices!N371-1</f>
        <v>-0.00557074504442923</v>
      </c>
      <c r="O372" s="32" t="n">
        <f aca="false">Data_Prices!O372/Data_Prices!O371-1</f>
        <v>0.00570934256055367</v>
      </c>
      <c r="P372" s="32" t="n">
        <f aca="false">Data_Prices!P372/Data_Prices!P371-1</f>
        <v>0.00921310980214463</v>
      </c>
      <c r="Q372" s="32" t="n">
        <f aca="false">Data_Prices!Q372/Data_Prices!Q371-1</f>
        <v>0.0150277687030382</v>
      </c>
      <c r="R372" s="32" t="n">
        <f aca="false">Data_Prices!R372/Data_Prices!R371-1</f>
        <v>0.00202908353060538</v>
      </c>
      <c r="S372" s="32" t="n">
        <f aca="false">Data_Prices!S372/Data_Prices!S371-1</f>
        <v>0.0166599460939325</v>
      </c>
      <c r="T372" s="32" t="n">
        <f aca="false">AVERAGE(D372:S372)</f>
        <v>0.00469456414787306</v>
      </c>
      <c r="U372" s="32" t="n">
        <f aca="false">AVERAGE(J372:S372)</f>
        <v>0.00347674270755286</v>
      </c>
      <c r="V372" s="32" t="n">
        <f aca="false">AVERAGE(D372:I372)</f>
        <v>0.00672426654840673</v>
      </c>
      <c r="W372" s="32" t="n">
        <f aca="false">AVERAGE(K372,Q372,R372)</f>
        <v>0.00499696372916296</v>
      </c>
      <c r="X372" s="32" t="n">
        <f aca="false">AVERAGE(K372,L372,N372,O372,P372,Q372,R372,S372)</f>
        <v>0.00476835616625144</v>
      </c>
      <c r="Y372" s="32" t="n">
        <f aca="false">AVERAGE(J372,L372,M372,N372,O372,P372,Q372,R372,S372)</f>
        <v>0.00409259868018704</v>
      </c>
      <c r="Z372" s="32" t="n">
        <f aca="false">U372-V372</f>
        <v>-0.00324752384085387</v>
      </c>
      <c r="AA372" s="32" t="n">
        <f aca="false">W372-V372</f>
        <v>-0.00172730281924377</v>
      </c>
    </row>
    <row r="373" customFormat="false" ht="15" hidden="false" customHeight="false" outlineLevel="0" collapsed="false">
      <c r="A373" s="28" t="n">
        <f aca="false">Data_Prices!A373</f>
        <v>45345</v>
      </c>
      <c r="B373" s="32" t="n">
        <f aca="false">Data_Prices!B373/Data_Prices!B372-1</f>
        <v>-0.000213795912672232</v>
      </c>
      <c r="C373" s="32" t="n">
        <f aca="false">Data_Prices!C373/Data_Prices!C372-1</f>
        <v>0.00145681684287324</v>
      </c>
      <c r="D373" s="32" t="n">
        <f aca="false">Data_Prices!D373/Data_Prices!D372-1</f>
        <v>0.00520512293678532</v>
      </c>
      <c r="E373" s="32" t="n">
        <f aca="false">Data_Prices!E373/Data_Prices!E372-1</f>
        <v>0.00603887525948288</v>
      </c>
      <c r="F373" s="32" t="n">
        <f aca="false">Data_Prices!F373/Data_Prices!F372-1</f>
        <v>0.0128841482733129</v>
      </c>
      <c r="G373" s="32" t="n">
        <f aca="false">Data_Prices!G373/Data_Prices!G372-1</f>
        <v>7.78513040091688E-005</v>
      </c>
      <c r="H373" s="32" t="n">
        <f aca="false">Data_Prices!H373/Data_Prices!H372-1</f>
        <v>-0.0195326124869202</v>
      </c>
      <c r="I373" s="32" t="n">
        <f aca="false">Data_Prices!I373/Data_Prices!I372-1</f>
        <v>-0.020614082673321</v>
      </c>
      <c r="J373" s="32" t="n">
        <f aca="false">Data_Prices!J373/Data_Prices!J372-1</f>
        <v>0.0130414531904983</v>
      </c>
      <c r="K373" s="32" t="n">
        <f aca="false">Data_Prices!K373/Data_Prices!K372-1</f>
        <v>0.00342039334523458</v>
      </c>
      <c r="L373" s="32" t="n">
        <f aca="false">Data_Prices!L373/Data_Prices!L372-1</f>
        <v>0.021201903090212</v>
      </c>
      <c r="M373" s="32" t="n">
        <f aca="false">Data_Prices!M373/Data_Prices!M372-1</f>
        <v>0.00272804774083557</v>
      </c>
      <c r="N373" s="32" t="n">
        <f aca="false">Data_Prices!N373/Data_Prices!N372-1</f>
        <v>0.00317902189229113</v>
      </c>
      <c r="O373" s="32" t="n">
        <f aca="false">Data_Prices!O373/Data_Prices!O372-1</f>
        <v>0.00791329778083605</v>
      </c>
      <c r="P373" s="32" t="n">
        <f aca="false">Data_Prices!P373/Data_Prices!P372-1</f>
        <v>-0.0121595330739299</v>
      </c>
      <c r="Q373" s="32" t="n">
        <f aca="false">Data_Prices!Q373/Data_Prices!Q372-1</f>
        <v>-0.0134105782641347</v>
      </c>
      <c r="R373" s="32" t="n">
        <f aca="false">Data_Prices!R373/Data_Prices!R372-1</f>
        <v>-0.00229497131285861</v>
      </c>
      <c r="S373" s="32" t="n">
        <f aca="false">Data_Prices!S373/Data_Prices!S372-1</f>
        <v>0.0209794589178356</v>
      </c>
      <c r="T373" s="32" t="n">
        <f aca="false">AVERAGE(D373:S373)</f>
        <v>0.00179111224501056</v>
      </c>
      <c r="U373" s="32" t="n">
        <f aca="false">AVERAGE(J373:S373)</f>
        <v>0.004459849330682</v>
      </c>
      <c r="V373" s="32" t="n">
        <f aca="false">AVERAGE(D373:I373)</f>
        <v>-0.00265678289777516</v>
      </c>
      <c r="W373" s="32" t="n">
        <f aca="false">AVERAGE(K373,Q373,R373)</f>
        <v>-0.00409505207725291</v>
      </c>
      <c r="X373" s="32" t="n">
        <f aca="false">AVERAGE(K373,L373,N373,O373,P373,Q373,R373,S373)</f>
        <v>0.00360362404693576</v>
      </c>
      <c r="Y373" s="32" t="n">
        <f aca="false">AVERAGE(J373,L373,M373,N373,O373,P373,Q373,R373,S373)</f>
        <v>0.00457534444017615</v>
      </c>
      <c r="Z373" s="32" t="n">
        <f aca="false">U373-V373</f>
        <v>0.00711663222845715</v>
      </c>
      <c r="AA373" s="32" t="n">
        <f aca="false">W373-V373</f>
        <v>-0.00143826917947776</v>
      </c>
    </row>
    <row r="374" customFormat="false" ht="15" hidden="false" customHeight="false" outlineLevel="0" collapsed="false">
      <c r="A374" s="28" t="n">
        <f aca="false">Data_Prices!A374</f>
        <v>45348</v>
      </c>
      <c r="B374" s="32" t="n">
        <f aca="false">Data_Prices!B374/Data_Prices!B373-1</f>
        <v>-0.00408099870794643</v>
      </c>
      <c r="C374" s="32" t="n">
        <f aca="false">Data_Prices!C374/Data_Prices!C373-1</f>
        <v>-0.00284047554581934</v>
      </c>
      <c r="D374" s="32" t="n">
        <f aca="false">Data_Prices!D374/Data_Prices!D373-1</f>
        <v>-0.000783538870341438</v>
      </c>
      <c r="E374" s="32" t="n">
        <f aca="false">Data_Prices!E374/Data_Prices!E373-1</f>
        <v>-0.000437691490026926</v>
      </c>
      <c r="F374" s="32" t="n">
        <f aca="false">Data_Prices!F374/Data_Prices!F373-1</f>
        <v>-0.0321655718903139</v>
      </c>
      <c r="G374" s="32" t="n">
        <f aca="false">Data_Prices!G374/Data_Prices!G373-1</f>
        <v>0.0262338471119414</v>
      </c>
      <c r="H374" s="32" t="n">
        <f aca="false">Data_Prices!H374/Data_Prices!H373-1</f>
        <v>0.0301672002845963</v>
      </c>
      <c r="I374" s="32" t="n">
        <f aca="false">Data_Prices!I374/Data_Prices!I373-1</f>
        <v>0.0109670987038883</v>
      </c>
      <c r="J374" s="32" t="n">
        <f aca="false">Data_Prices!J374/Data_Prices!J373-1</f>
        <v>0.00105090311986866</v>
      </c>
      <c r="K374" s="32" t="n">
        <f aca="false">Data_Prices!K374/Data_Prices!K373-1</f>
        <v>-0.00814807062657919</v>
      </c>
      <c r="L374" s="32" t="n">
        <f aca="false">Data_Prices!L374/Data_Prices!L373-1</f>
        <v>0.00493034195766229</v>
      </c>
      <c r="M374" s="32" t="n">
        <f aca="false">Data_Prices!M374/Data_Prices!M373-1</f>
        <v>-0.00122428158476451</v>
      </c>
      <c r="N374" s="32" t="n">
        <f aca="false">Data_Prices!N374/Data_Prices!N373-1</f>
        <v>0.013720687233423</v>
      </c>
      <c r="O374" s="32" t="n">
        <f aca="false">Data_Prices!O374/Data_Prices!O373-1</f>
        <v>-0.0075098139614268</v>
      </c>
      <c r="P374" s="32" t="n">
        <f aca="false">Data_Prices!P374/Data_Prices!P373-1</f>
        <v>-0.010188236185282</v>
      </c>
      <c r="Q374" s="32" t="n">
        <f aca="false">Data_Prices!Q374/Data_Prices!Q373-1</f>
        <v>0.0283819051761636</v>
      </c>
      <c r="R374" s="32" t="n">
        <f aca="false">Data_Prices!R374/Data_Prices!R373-1</f>
        <v>-0.0123807590826061</v>
      </c>
      <c r="S374" s="32" t="n">
        <f aca="false">Data_Prices!S374/Data_Prices!S373-1</f>
        <v>0.0162342309186447</v>
      </c>
      <c r="T374" s="32" t="n">
        <f aca="false">AVERAGE(D374:S374)</f>
        <v>0.00367801567592797</v>
      </c>
      <c r="U374" s="32" t="n">
        <f aca="false">AVERAGE(J374:S374)</f>
        <v>0.00248669069651037</v>
      </c>
      <c r="V374" s="32" t="n">
        <f aca="false">AVERAGE(D374:I374)</f>
        <v>0.00566355730829064</v>
      </c>
      <c r="W374" s="32" t="n">
        <f aca="false">AVERAGE(K374,Q374,R374)</f>
        <v>0.00261769182232611</v>
      </c>
      <c r="X374" s="32" t="n">
        <f aca="false">AVERAGE(K374,L374,N374,O374,P374,Q374,R374,S374)</f>
        <v>0.00313003567874995</v>
      </c>
      <c r="Y374" s="32" t="n">
        <f aca="false">AVERAGE(J374,L374,M374,N374,O374,P374,Q374,R374,S374)</f>
        <v>0.00366833084352033</v>
      </c>
      <c r="Z374" s="32" t="n">
        <f aca="false">U374-V374</f>
        <v>-0.00317686661178026</v>
      </c>
      <c r="AA374" s="32" t="n">
        <f aca="false">W374-V374</f>
        <v>-0.00304586548596453</v>
      </c>
    </row>
    <row r="375" customFormat="false" ht="15" hidden="false" customHeight="false" outlineLevel="0" collapsed="false">
      <c r="A375" s="28" t="n">
        <f aca="false">Data_Prices!A375</f>
        <v>45349</v>
      </c>
      <c r="B375" s="32" t="n">
        <f aca="false">Data_Prices!B375/Data_Prices!B374-1</f>
        <v>0.00344904744361396</v>
      </c>
      <c r="C375" s="32" t="n">
        <f aca="false">Data_Prices!C375/Data_Prices!C374-1</f>
        <v>0.00182910573761585</v>
      </c>
      <c r="D375" s="32" t="n">
        <f aca="false">Data_Prices!D375/Data_Prices!D374-1</f>
        <v>-0.00470491970952225</v>
      </c>
      <c r="E375" s="32" t="n">
        <f aca="false">Data_Prices!E375/Data_Prices!E374-1</f>
        <v>-0.0096959839859877</v>
      </c>
      <c r="F375" s="32" t="n">
        <f aca="false">Data_Prices!F375/Data_Prices!F374-1</f>
        <v>-0.0287099380554807</v>
      </c>
      <c r="G375" s="32" t="n">
        <f aca="false">Data_Prices!G375/Data_Prices!G374-1</f>
        <v>-0.0145642114844876</v>
      </c>
      <c r="H375" s="32" t="n">
        <f aca="false">Data_Prices!H375/Data_Prices!H374-1</f>
        <v>-0.012224601146488</v>
      </c>
      <c r="I375" s="32" t="n">
        <f aca="false">Data_Prices!I375/Data_Prices!I374-1</f>
        <v>-0.0305719921104536</v>
      </c>
      <c r="J375" s="32" t="n">
        <f aca="false">Data_Prices!J375/Data_Prices!J374-1</f>
        <v>-0.00251514555037946</v>
      </c>
      <c r="K375" s="32" t="n">
        <f aca="false">Data_Prices!K375/Data_Prices!K374-1</f>
        <v>-0.0130987911127188</v>
      </c>
      <c r="L375" s="32" t="n">
        <f aca="false">Data_Prices!L375/Data_Prices!L374-1</f>
        <v>-0.0109825809065128</v>
      </c>
      <c r="M375" s="32" t="n">
        <f aca="false">Data_Prices!M375/Data_Prices!M374-1</f>
        <v>0.0126664169702748</v>
      </c>
      <c r="N375" s="32" t="n">
        <f aca="false">Data_Prices!N375/Data_Prices!N374-1</f>
        <v>-0.00221358567083463</v>
      </c>
      <c r="O375" s="32" t="n">
        <f aca="false">Data_Prices!O375/Data_Prices!O374-1</f>
        <v>-0.00601891659501286</v>
      </c>
      <c r="P375" s="32" t="n">
        <f aca="false">Data_Prices!P375/Data_Prices!P374-1</f>
        <v>-0.00948955383791239</v>
      </c>
      <c r="Q375" s="32" t="n">
        <f aca="false">Data_Prices!Q375/Data_Prices!Q374-1</f>
        <v>0.000845934228613787</v>
      </c>
      <c r="R375" s="32" t="n">
        <f aca="false">Data_Prices!R375/Data_Prices!R374-1</f>
        <v>0.00260309631456357</v>
      </c>
      <c r="S375" s="32" t="n">
        <f aca="false">Data_Prices!S375/Data_Prices!S374-1</f>
        <v>-0.0453694947991066</v>
      </c>
      <c r="T375" s="32" t="n">
        <f aca="false">AVERAGE(D375:S375)</f>
        <v>-0.0108777667157153</v>
      </c>
      <c r="U375" s="32" t="n">
        <f aca="false">AVERAGE(J375:S375)</f>
        <v>-0.00735726209590254</v>
      </c>
      <c r="V375" s="32" t="n">
        <f aca="false">AVERAGE(D375:I375)</f>
        <v>-0.0167452744154033</v>
      </c>
      <c r="W375" s="32" t="n">
        <f aca="false">AVERAGE(K375,Q375,R375)</f>
        <v>-0.00321658685651383</v>
      </c>
      <c r="X375" s="32" t="n">
        <f aca="false">AVERAGE(K375,L375,N375,O375,P375,Q375,R375,S375)</f>
        <v>-0.0104654865473651</v>
      </c>
      <c r="Y375" s="32" t="n">
        <f aca="false">AVERAGE(J375,L375,M375,N375,O375,P375,Q375,R375,S375)</f>
        <v>-0.0067193144273674</v>
      </c>
      <c r="Z375" s="32" t="n">
        <f aca="false">U375-V375</f>
        <v>0.00938801231950078</v>
      </c>
      <c r="AA375" s="32" t="n">
        <f aca="false">W375-V375</f>
        <v>0.0135286875588895</v>
      </c>
    </row>
    <row r="376" customFormat="false" ht="15" hidden="false" customHeight="false" outlineLevel="0" collapsed="false">
      <c r="A376" s="28" t="n">
        <f aca="false">Data_Prices!A376</f>
        <v>45350</v>
      </c>
      <c r="B376" s="32" t="n">
        <f aca="false">Data_Prices!B376/Data_Prices!B375-1</f>
        <v>-0.0111359628080464</v>
      </c>
      <c r="C376" s="32" t="n">
        <f aca="false">Data_Prices!C376/Data_Prices!C375-1</f>
        <v>-0.0134259110967655</v>
      </c>
      <c r="D376" s="32" t="n">
        <f aca="false">Data_Prices!D376/Data_Prices!D375-1</f>
        <v>0.0101736717706298</v>
      </c>
      <c r="E376" s="32" t="n">
        <f aca="false">Data_Prices!E376/Data_Prices!E375-1</f>
        <v>-0.0301307561114268</v>
      </c>
      <c r="F376" s="32" t="n">
        <f aca="false">Data_Prices!F376/Data_Prices!F375-1</f>
        <v>-0.0148070097604259</v>
      </c>
      <c r="G376" s="32" t="n">
        <f aca="false">Data_Prices!G376/Data_Prices!G375-1</f>
        <v>-0.0175506119621276</v>
      </c>
      <c r="H376" s="32" t="n">
        <f aca="false">Data_Prices!H376/Data_Prices!H375-1</f>
        <v>-0.0186687176618655</v>
      </c>
      <c r="I376" s="32" t="n">
        <f aca="false">Data_Prices!I376/Data_Prices!I375-1</f>
        <v>-0.0129987566406692</v>
      </c>
      <c r="J376" s="32" t="n">
        <f aca="false">Data_Prices!J376/Data_Prices!J375-1</f>
        <v>-0.0350815646377829</v>
      </c>
      <c r="K376" s="32" t="n">
        <f aca="false">Data_Prices!K376/Data_Prices!K375-1</f>
        <v>-0.00876697264521253</v>
      </c>
      <c r="L376" s="32" t="n">
        <f aca="false">Data_Prices!L376/Data_Prices!L375-1</f>
        <v>-0.02635052109407</v>
      </c>
      <c r="M376" s="32" t="n">
        <f aca="false">Data_Prices!M376/Data_Prices!M375-1</f>
        <v>-0.0110621700682559</v>
      </c>
      <c r="N376" s="32" t="n">
        <f aca="false">Data_Prices!N376/Data_Prices!N375-1</f>
        <v>-0.043844942336026</v>
      </c>
      <c r="O376" s="32" t="n">
        <f aca="false">Data_Prices!O376/Data_Prices!O375-1</f>
        <v>-0.0261245674740485</v>
      </c>
      <c r="P376" s="32" t="n">
        <f aca="false">Data_Prices!P376/Data_Prices!P375-1</f>
        <v>-0.0151433207138993</v>
      </c>
      <c r="Q376" s="32" t="n">
        <f aca="false">Data_Prices!Q376/Data_Prices!Q375-1</f>
        <v>-0.0364500792393027</v>
      </c>
      <c r="R376" s="32" t="n">
        <f aca="false">Data_Prices!R376/Data_Prices!R375-1</f>
        <v>-0.00321125990707827</v>
      </c>
      <c r="S376" s="32" t="n">
        <f aca="false">Data_Prices!S376/Data_Prices!S375-1</f>
        <v>-0.00994773225425738</v>
      </c>
      <c r="T376" s="32" t="n">
        <f aca="false">AVERAGE(D376:S376)</f>
        <v>-0.0187478319209887</v>
      </c>
      <c r="U376" s="32" t="n">
        <f aca="false">AVERAGE(J376:S376)</f>
        <v>-0.0215983130369933</v>
      </c>
      <c r="V376" s="32" t="n">
        <f aca="false">AVERAGE(D376:I376)</f>
        <v>-0.0139970300609809</v>
      </c>
      <c r="W376" s="32" t="n">
        <f aca="false">AVERAGE(K376,Q376,R376)</f>
        <v>-0.0161427705971978</v>
      </c>
      <c r="X376" s="32" t="n">
        <f aca="false">AVERAGE(K376,L376,N376,O376,P376,Q376,R376,S376)</f>
        <v>-0.0212299244579868</v>
      </c>
      <c r="Y376" s="32" t="n">
        <f aca="false">AVERAGE(J376,L376,M376,N376,O376,P376,Q376,R376,S376)</f>
        <v>-0.023024017524969</v>
      </c>
      <c r="Z376" s="32" t="n">
        <f aca="false">U376-V376</f>
        <v>-0.00760128297601247</v>
      </c>
      <c r="AA376" s="32" t="n">
        <f aca="false">W376-V376</f>
        <v>-0.00214574053621695</v>
      </c>
    </row>
    <row r="377" customFormat="false" ht="15" hidden="false" customHeight="false" outlineLevel="0" collapsed="false">
      <c r="A377" s="28" t="n">
        <f aca="false">Data_Prices!A377</f>
        <v>45351</v>
      </c>
      <c r="B377" s="32" t="n">
        <f aca="false">Data_Prices!B377/Data_Prices!B376-1</f>
        <v>0.0014418378991532</v>
      </c>
      <c r="C377" s="32" t="n">
        <f aca="false">Data_Prices!C377/Data_Prices!C376-1</f>
        <v>0.00347895146950106</v>
      </c>
      <c r="D377" s="32" t="n">
        <f aca="false">Data_Prices!D377/Data_Prices!D376-1</f>
        <v>-0.0132926415734147</v>
      </c>
      <c r="E377" s="32" t="n">
        <f aca="false">Data_Prices!E377/Data_Prices!E376-1</f>
        <v>0.00879249706916774</v>
      </c>
      <c r="F377" s="32" t="n">
        <f aca="false">Data_Prices!F377/Data_Prices!F376-1</f>
        <v>-0.0225724739656628</v>
      </c>
      <c r="G377" s="32" t="n">
        <f aca="false">Data_Prices!G377/Data_Prices!G376-1</f>
        <v>0.0153568910130848</v>
      </c>
      <c r="H377" s="32" t="n">
        <f aca="false">Data_Prices!H377/Data_Prices!H376-1</f>
        <v>-0.0106875667972924</v>
      </c>
      <c r="I377" s="32" t="n">
        <f aca="false">Data_Prices!I377/Data_Prices!I376-1</f>
        <v>0.000458085203847825</v>
      </c>
      <c r="J377" s="32" t="n">
        <f aca="false">Data_Prices!J377/Data_Prices!J376-1</f>
        <v>-0.0575804399200147</v>
      </c>
      <c r="K377" s="32" t="n">
        <f aca="false">Data_Prices!K377/Data_Prices!K376-1</f>
        <v>-0.000523890969044261</v>
      </c>
      <c r="L377" s="32" t="n">
        <f aca="false">Data_Prices!L377/Data_Prices!L376-1</f>
        <v>0.0182294101149856</v>
      </c>
      <c r="M377" s="32" t="n">
        <f aca="false">Data_Prices!M377/Data_Prices!M376-1</f>
        <v>-0.000339997280021764</v>
      </c>
      <c r="N377" s="32" t="n">
        <f aca="false">Data_Prices!N377/Data_Prices!N376-1</f>
        <v>0.0156571023733618</v>
      </c>
      <c r="O377" s="32" t="n">
        <f aca="false">Data_Prices!O377/Data_Prices!O376-1</f>
        <v>0.00692840646651272</v>
      </c>
      <c r="P377" s="32" t="n">
        <f aca="false">Data_Prices!P377/Data_Prices!P376-1</f>
        <v>0.0227896760021966</v>
      </c>
      <c r="Q377" s="32" t="n">
        <f aca="false">Data_Prices!Q377/Data_Prices!Q376-1</f>
        <v>0.0241228070175439</v>
      </c>
      <c r="R377" s="32" t="n">
        <f aca="false">Data_Prices!R377/Data_Prices!R376-1</f>
        <v>-0.0134347796284873</v>
      </c>
      <c r="S377" s="32" t="n">
        <f aca="false">Data_Prices!S377/Data_Prices!S376-1</f>
        <v>0.038232288828338</v>
      </c>
      <c r="T377" s="32" t="n">
        <f aca="false">AVERAGE(D377:S377)</f>
        <v>0.00200846087219381</v>
      </c>
      <c r="U377" s="32" t="n">
        <f aca="false">AVERAGE(J377:S377)</f>
        <v>0.00540805830053706</v>
      </c>
      <c r="V377" s="32" t="n">
        <f aca="false">AVERAGE(D377:I377)</f>
        <v>-0.00365753484171159</v>
      </c>
      <c r="W377" s="32" t="n">
        <f aca="false">AVERAGE(K377,Q377,R377)</f>
        <v>0.00338804547333745</v>
      </c>
      <c r="X377" s="32" t="n">
        <f aca="false">AVERAGE(K377,L377,N377,O377,P377,Q377,R377,S377)</f>
        <v>0.0140001275256759</v>
      </c>
      <c r="Y377" s="32" t="n">
        <f aca="false">AVERAGE(J377,L377,M377,N377,O377,P377,Q377,R377,S377)</f>
        <v>0.00606716377493498</v>
      </c>
      <c r="Z377" s="32" t="n">
        <f aca="false">U377-V377</f>
        <v>0.00906559314224864</v>
      </c>
      <c r="AA377" s="32" t="n">
        <f aca="false">W377-V377</f>
        <v>0.00704558031504904</v>
      </c>
    </row>
    <row r="378" customFormat="false" ht="15" hidden="false" customHeight="false" outlineLevel="0" collapsed="false">
      <c r="A378" s="28" t="n">
        <f aca="false">Data_Prices!A378</f>
        <v>45352</v>
      </c>
      <c r="B378" s="32" t="n">
        <f aca="false">Data_Prices!B378/Data_Prices!B377-1</f>
        <v>0.0161922048146734</v>
      </c>
      <c r="C378" s="32" t="n">
        <f aca="false">Data_Prices!C378/Data_Prices!C377-1</f>
        <v>0.012929285890279</v>
      </c>
      <c r="D378" s="32" t="n">
        <f aca="false">Data_Prices!D378/Data_Prices!D377-1</f>
        <v>-0.0123719843288198</v>
      </c>
      <c r="E378" s="32" t="n">
        <f aca="false">Data_Prices!E378/Data_Prices!E377-1</f>
        <v>0.0233714248821744</v>
      </c>
      <c r="F378" s="32" t="n">
        <f aca="false">Data_Prices!F378/Data_Prices!F377-1</f>
        <v>0.0443446210550564</v>
      </c>
      <c r="G378" s="32" t="n">
        <f aca="false">Data_Prices!G378/Data_Prices!G377-1</f>
        <v>0.00123466316845433</v>
      </c>
      <c r="H378" s="32" t="n">
        <f aca="false">Data_Prices!H378/Data_Prices!H377-1</f>
        <v>0.0449405833633418</v>
      </c>
      <c r="I378" s="32" t="n">
        <f aca="false">Data_Prices!I378/Data_Prices!I377-1</f>
        <v>-0.00492216117216127</v>
      </c>
      <c r="J378" s="32" t="n">
        <f aca="false">Data_Prices!J378/Data_Prices!J377-1</f>
        <v>-0.00925881275015661</v>
      </c>
      <c r="K378" s="32" t="n">
        <f aca="false">Data_Prices!K378/Data_Prices!K377-1</f>
        <v>0.0117166422569954</v>
      </c>
      <c r="L378" s="32" t="n">
        <f aca="false">Data_Prices!L378/Data_Prices!L377-1</f>
        <v>0.0061053984575834</v>
      </c>
      <c r="M378" s="32" t="n">
        <f aca="false">Data_Prices!M378/Data_Prices!M377-1</f>
        <v>0.00948915039793219</v>
      </c>
      <c r="N378" s="32" t="n">
        <f aca="false">Data_Prices!N378/Data_Prices!N377-1</f>
        <v>0.0541294642857142</v>
      </c>
      <c r="O378" s="32" t="n">
        <f aca="false">Data_Prices!O378/Data_Prices!O377-1</f>
        <v>0.0153493295695131</v>
      </c>
      <c r="P378" s="32" t="n">
        <f aca="false">Data_Prices!P378/Data_Prices!P377-1</f>
        <v>0.0134995206136146</v>
      </c>
      <c r="Q378" s="32" t="n">
        <f aca="false">Data_Prices!Q378/Data_Prices!Q377-1</f>
        <v>-0.0091006423982869</v>
      </c>
      <c r="R378" s="32" t="n">
        <f aca="false">Data_Prices!R378/Data_Prices!R377-1</f>
        <v>-0.00243173765024662</v>
      </c>
      <c r="S378" s="32" t="n">
        <f aca="false">Data_Prices!S378/Data_Prices!S377-1</f>
        <v>0.00485934552612144</v>
      </c>
      <c r="T378" s="32" t="n">
        <f aca="false">AVERAGE(D378:S378)</f>
        <v>0.0119346753298019</v>
      </c>
      <c r="U378" s="32" t="n">
        <f aca="false">AVERAGE(J378:S378)</f>
        <v>0.00943576583087842</v>
      </c>
      <c r="V378" s="32" t="n">
        <f aca="false">AVERAGE(D378:I378)</f>
        <v>0.0160995244946743</v>
      </c>
      <c r="W378" s="32" t="n">
        <f aca="false">AVERAGE(K378,Q378,R378)</f>
        <v>6.14207361539683E-005</v>
      </c>
      <c r="X378" s="32" t="n">
        <f aca="false">AVERAGE(K378,L378,N378,O378,P378,Q378,R378,S378)</f>
        <v>0.0117659150826261</v>
      </c>
      <c r="Y378" s="32" t="n">
        <f aca="false">AVERAGE(J378,L378,M378,N378,O378,P378,Q378,R378,S378)</f>
        <v>0.00918233511686542</v>
      </c>
      <c r="Z378" s="32" t="n">
        <f aca="false">U378-V378</f>
        <v>-0.0066637586637959</v>
      </c>
      <c r="AA378" s="32" t="n">
        <f aca="false">W378-V378</f>
        <v>-0.0160381037585204</v>
      </c>
    </row>
    <row r="379" customFormat="false" ht="15" hidden="false" customHeight="false" outlineLevel="0" collapsed="false">
      <c r="A379" s="28" t="n">
        <f aca="false">Data_Prices!A379</f>
        <v>45353</v>
      </c>
      <c r="B379" s="32" t="n">
        <f aca="false">Data_Prices!B379/Data_Prices!B378-1</f>
        <v>0.00177494264450795</v>
      </c>
      <c r="C379" s="32" t="n">
        <f aca="false">Data_Prices!C379/Data_Prices!C378-1</f>
        <v>0.00351600507130279</v>
      </c>
      <c r="D379" s="32" t="n">
        <f aca="false">Data_Prices!D379/Data_Prices!D378-1</f>
        <v>0.0121441993179761</v>
      </c>
      <c r="E379" s="32" t="n">
        <f aca="false">Data_Prices!E379/Data_Prices!E378-1</f>
        <v>-0.00264967509936265</v>
      </c>
      <c r="F379" s="32" t="n">
        <f aca="false">Data_Prices!F379/Data_Prices!F378-1</f>
        <v>0.00474247270320949</v>
      </c>
      <c r="G379" s="32" t="n">
        <f aca="false">Data_Prices!G379/Data_Prices!G378-1</f>
        <v>-0.000539499036608881</v>
      </c>
      <c r="H379" s="32" t="n">
        <f aca="false">Data_Prices!H379/Data_Prices!H378-1</f>
        <v>0.00978702874078152</v>
      </c>
      <c r="I379" s="32" t="n">
        <f aca="false">Data_Prices!I379/Data_Prices!I378-1</f>
        <v>0.0192108593120903</v>
      </c>
      <c r="J379" s="32" t="n">
        <f aca="false">Data_Prices!J379/Data_Prices!J378-1</f>
        <v>0.010951569724994</v>
      </c>
      <c r="K379" s="32" t="n">
        <f aca="false">Data_Prices!K379/Data_Prices!K378-1</f>
        <v>0.00196571428571413</v>
      </c>
      <c r="L379" s="32" t="n">
        <f aca="false">Data_Prices!L379/Data_Prices!L378-1</f>
        <v>0.00232696080667982</v>
      </c>
      <c r="M379" s="32" t="n">
        <f aca="false">Data_Prices!M379/Data_Prices!M378-1</f>
        <v>0.00670462585492415</v>
      </c>
      <c r="N379" s="32" t="n">
        <f aca="false">Data_Prices!N379/Data_Prices!N378-1</f>
        <v>0.0298934621492852</v>
      </c>
      <c r="O379" s="32" t="n">
        <f aca="false">Data_Prices!O379/Data_Prices!O378-1</f>
        <v>-0.000347523892267665</v>
      </c>
      <c r="P379" s="32" t="n">
        <f aca="false">Data_Prices!P379/Data_Prices!P378-1</f>
        <v>0.00200552465281723</v>
      </c>
      <c r="Q379" s="32" t="n">
        <f aca="false">Data_Prices!Q379/Data_Prices!Q378-1</f>
        <v>0.00572663425175568</v>
      </c>
      <c r="R379" s="32" t="n">
        <f aca="false">Data_Prices!R379/Data_Prices!R378-1</f>
        <v>0.00473603565956249</v>
      </c>
      <c r="S379" s="32" t="n">
        <f aca="false">Data_Prices!S379/Data_Prices!S378-1</f>
        <v>0.00273419167907951</v>
      </c>
      <c r="T379" s="32" t="n">
        <f aca="false">AVERAGE(D379:S379)</f>
        <v>0.0068370363194144</v>
      </c>
      <c r="U379" s="32" t="n">
        <f aca="false">AVERAGE(J379:S379)</f>
        <v>0.00666971951725446</v>
      </c>
      <c r="V379" s="32" t="n">
        <f aca="false">AVERAGE(D379:I379)</f>
        <v>0.00711589765634764</v>
      </c>
      <c r="W379" s="32" t="n">
        <f aca="false">AVERAGE(K379,Q379,R379)</f>
        <v>0.0041427947323441</v>
      </c>
      <c r="X379" s="32" t="n">
        <f aca="false">AVERAGE(K379,L379,N379,O379,P379,Q379,R379,S379)</f>
        <v>0.0061301249490783</v>
      </c>
      <c r="Y379" s="32" t="n">
        <f aca="false">AVERAGE(J379,L379,M379,N379,O379,P379,Q379,R379,S379)</f>
        <v>0.00719238676520338</v>
      </c>
      <c r="Z379" s="32" t="n">
        <f aca="false">U379-V379</f>
        <v>-0.000446178139093186</v>
      </c>
      <c r="AA379" s="32" t="n">
        <f aca="false">W379-V379</f>
        <v>-0.00297310292400355</v>
      </c>
    </row>
    <row r="380" customFormat="false" ht="15" hidden="false" customHeight="false" outlineLevel="0" collapsed="false">
      <c r="A380" s="28" t="n">
        <f aca="false">Data_Prices!A380</f>
        <v>45355</v>
      </c>
      <c r="B380" s="32" t="n">
        <f aca="false">Data_Prices!B380/Data_Prices!B379-1</f>
        <v>0.00121545776284271</v>
      </c>
      <c r="C380" s="32" t="n">
        <f aca="false">Data_Prices!C380/Data_Prices!C379-1</f>
        <v>0.000523961442314036</v>
      </c>
      <c r="D380" s="32" t="n">
        <f aca="false">Data_Prices!D380/Data_Prices!D379-1</f>
        <v>-0.0155739677519166</v>
      </c>
      <c r="E380" s="32" t="n">
        <f aca="false">Data_Prices!E380/Data_Prices!E379-1</f>
        <v>0.000442785754949604</v>
      </c>
      <c r="F380" s="32" t="n">
        <f aca="false">Data_Prices!F380/Data_Prices!F379-1</f>
        <v>-0.0187156970362239</v>
      </c>
      <c r="G380" s="32" t="n">
        <f aca="false">Data_Prices!G380/Data_Prices!G379-1</f>
        <v>0.0144201110425664</v>
      </c>
      <c r="H380" s="32" t="n">
        <f aca="false">Data_Prices!H380/Data_Prices!H379-1</f>
        <v>-0.0173367005665142</v>
      </c>
      <c r="I380" s="32" t="n">
        <f aca="false">Data_Prices!I380/Data_Prices!I379-1</f>
        <v>-0.00451467268623029</v>
      </c>
      <c r="J380" s="32" t="n">
        <f aca="false">Data_Prices!J380/Data_Prices!J379-1</f>
        <v>-0.018175252768416</v>
      </c>
      <c r="K380" s="32" t="n">
        <f aca="false">Data_Prices!K380/Data_Prices!K379-1</f>
        <v>0.0027526842473462</v>
      </c>
      <c r="L380" s="32" t="n">
        <f aca="false">Data_Prices!L380/Data_Prices!L379-1</f>
        <v>-0.0208029861616899</v>
      </c>
      <c r="M380" s="32" t="n">
        <f aca="false">Data_Prices!M380/Data_Prices!M379-1</f>
        <v>-0.0328982597054887</v>
      </c>
      <c r="N380" s="32" t="n">
        <f aca="false">Data_Prices!N380/Data_Prices!N379-1</f>
        <v>-0.0682676090273874</v>
      </c>
      <c r="O380" s="32" t="n">
        <f aca="false">Data_Prices!O380/Data_Prices!O379-1</f>
        <v>-0.000521467060663916</v>
      </c>
      <c r="P380" s="32" t="n">
        <f aca="false">Data_Prices!P380/Data_Prices!P379-1</f>
        <v>0.0104984894259819</v>
      </c>
      <c r="Q380" s="32" t="n">
        <f aca="false">Data_Prices!Q380/Data_Prices!Q379-1</f>
        <v>-0.00988397077782544</v>
      </c>
      <c r="R380" s="32" t="n">
        <f aca="false">Data_Prices!R380/Data_Prices!R379-1</f>
        <v>-0.00610009704699843</v>
      </c>
      <c r="S380" s="32" t="n">
        <f aca="false">Data_Prices!S380/Data_Prices!S379-1</f>
        <v>-0.004334289725902</v>
      </c>
      <c r="T380" s="32" t="n">
        <f aca="false">AVERAGE(D380:S380)</f>
        <v>-0.0118131812402758</v>
      </c>
      <c r="U380" s="32" t="n">
        <f aca="false">AVERAGE(J380:S380)</f>
        <v>-0.0147732758601044</v>
      </c>
      <c r="V380" s="32" t="n">
        <f aca="false">AVERAGE(D380:I380)</f>
        <v>-0.00687969020722816</v>
      </c>
      <c r="W380" s="32" t="n">
        <f aca="false">AVERAGE(K380,Q380,R380)</f>
        <v>-0.00441046119249255</v>
      </c>
      <c r="X380" s="32" t="n">
        <f aca="false">AVERAGE(K380,L380,N380,O380,P380,Q380,R380,S380)</f>
        <v>-0.0120824057658924</v>
      </c>
      <c r="Y380" s="32" t="n">
        <f aca="false">AVERAGE(J380,L380,M380,N380,O380,P380,Q380,R380,S380)</f>
        <v>-0.0167206047609322</v>
      </c>
      <c r="Z380" s="32" t="n">
        <f aca="false">U380-V380</f>
        <v>-0.00789358565287621</v>
      </c>
      <c r="AA380" s="32" t="n">
        <f aca="false">W380-V380</f>
        <v>0.0024692290147356</v>
      </c>
    </row>
    <row r="381" customFormat="false" ht="15" hidden="false" customHeight="false" outlineLevel="0" collapsed="false">
      <c r="A381" s="28" t="n">
        <f aca="false">Data_Prices!A381</f>
        <v>45356</v>
      </c>
      <c r="B381" s="32" t="n">
        <f aca="false">Data_Prices!B381/Data_Prices!B380-1</f>
        <v>-0.00220034277144998</v>
      </c>
      <c r="C381" s="32" t="n">
        <f aca="false">Data_Prices!C381/Data_Prices!C380-1</f>
        <v>-0.0024495828857114</v>
      </c>
      <c r="D381" s="32" t="n">
        <f aca="false">Data_Prices!D381/Data_Prices!D380-1</f>
        <v>-0.0514074177551164</v>
      </c>
      <c r="E381" s="32" t="n">
        <f aca="false">Data_Prices!E381/Data_Prices!E380-1</f>
        <v>0.00145422357106728</v>
      </c>
      <c r="F381" s="32" t="n">
        <f aca="false">Data_Prices!F381/Data_Prices!F380-1</f>
        <v>-0.0308182784272052</v>
      </c>
      <c r="G381" s="32" t="n">
        <f aca="false">Data_Prices!G381/Data_Prices!G380-1</f>
        <v>-0.00266058532877234</v>
      </c>
      <c r="H381" s="32" t="n">
        <f aca="false">Data_Prices!H381/Data_Prices!H380-1</f>
        <v>-0.0370910606376329</v>
      </c>
      <c r="I381" s="32" t="n">
        <f aca="false">Data_Prices!I381/Data_Prices!I380-1</f>
        <v>-0.021655328798186</v>
      </c>
      <c r="J381" s="32" t="n">
        <f aca="false">Data_Prices!J381/Data_Prices!J380-1</f>
        <v>-0.0295696947407135</v>
      </c>
      <c r="K381" s="32" t="n">
        <f aca="false">Data_Prices!K381/Data_Prices!K380-1</f>
        <v>-0.042132403124289</v>
      </c>
      <c r="L381" s="32" t="n">
        <f aca="false">Data_Prices!L381/Data_Prices!L380-1</f>
        <v>-0.0266375342847844</v>
      </c>
      <c r="M381" s="32" t="n">
        <f aca="false">Data_Prices!M381/Data_Prices!M380-1</f>
        <v>-0.00692113368169711</v>
      </c>
      <c r="N381" s="32" t="n">
        <f aca="false">Data_Prices!N381/Data_Prices!N380-1</f>
        <v>-0.199948280320662</v>
      </c>
      <c r="O381" s="32" t="n">
        <f aca="false">Data_Prices!O381/Data_Prices!O380-1</f>
        <v>0.0114782608695652</v>
      </c>
      <c r="P381" s="32" t="n">
        <f aca="false">Data_Prices!P381/Data_Prices!P380-1</f>
        <v>0.0183122804394946</v>
      </c>
      <c r="Q381" s="32" t="n">
        <f aca="false">Data_Prices!Q381/Data_Prices!Q380-1</f>
        <v>-0.00651041666666663</v>
      </c>
      <c r="R381" s="32" t="n">
        <f aca="false">Data_Prices!R381/Data_Prices!R380-1</f>
        <v>-0.00118566048263358</v>
      </c>
      <c r="S381" s="32" t="n">
        <f aca="false">Data_Prices!S381/Data_Prices!S380-1</f>
        <v>-0.00613120784794607</v>
      </c>
      <c r="T381" s="32" t="n">
        <f aca="false">AVERAGE(D381:S381)</f>
        <v>-0.0269640148260111</v>
      </c>
      <c r="U381" s="32" t="n">
        <f aca="false">AVERAGE(J381:S381)</f>
        <v>-0.0289245789840332</v>
      </c>
      <c r="V381" s="32" t="n">
        <f aca="false">AVERAGE(D381:I381)</f>
        <v>-0.0236964078959743</v>
      </c>
      <c r="W381" s="32" t="n">
        <f aca="false">AVERAGE(K381,Q381,R381)</f>
        <v>-0.0166094934245297</v>
      </c>
      <c r="X381" s="32" t="n">
        <f aca="false">AVERAGE(K381,L381,N381,O381,P381,Q381,R381,S381)</f>
        <v>-0.0315943701772402</v>
      </c>
      <c r="Y381" s="32" t="n">
        <f aca="false">AVERAGE(J381,L381,M381,N381,O381,P381,Q381,R381,S381)</f>
        <v>-0.0274570429684493</v>
      </c>
      <c r="Z381" s="32" t="n">
        <f aca="false">U381-V381</f>
        <v>-0.00522817108805899</v>
      </c>
      <c r="AA381" s="32" t="n">
        <f aca="false">W381-V381</f>
        <v>0.00708691447144452</v>
      </c>
    </row>
    <row r="382" customFormat="false" ht="15" hidden="false" customHeight="false" outlineLevel="0" collapsed="false">
      <c r="A382" s="28" t="n">
        <f aca="false">Data_Prices!A382</f>
        <v>45357</v>
      </c>
      <c r="B382" s="32" t="n">
        <f aca="false">Data_Prices!B382/Data_Prices!B381-1</f>
        <v>0.0052669717260907</v>
      </c>
      <c r="C382" s="32" t="n">
        <f aca="false">Data_Prices!C382/Data_Prices!C381-1</f>
        <v>-0.000120204101658361</v>
      </c>
      <c r="D382" s="32" t="n">
        <f aca="false">Data_Prices!D382/Data_Prices!D381-1</f>
        <v>0.0215006258743833</v>
      </c>
      <c r="E382" s="32" t="n">
        <f aca="false">Data_Prices!E382/Data_Prices!E381-1</f>
        <v>-0.00902834774922667</v>
      </c>
      <c r="F382" s="32" t="n">
        <f aca="false">Data_Prices!F382/Data_Prices!F381-1</f>
        <v>-0.0418975069252077</v>
      </c>
      <c r="G382" s="32" t="n">
        <f aca="false">Data_Prices!G382/Data_Prices!G381-1</f>
        <v>-0.0241615853658537</v>
      </c>
      <c r="H382" s="32" t="n">
        <f aca="false">Data_Prices!H382/Data_Prices!H381-1</f>
        <v>-0.0245257159345019</v>
      </c>
      <c r="I382" s="32" t="n">
        <f aca="false">Data_Prices!I382/Data_Prices!I381-1</f>
        <v>-0.0559740410244524</v>
      </c>
      <c r="J382" s="32" t="n">
        <f aca="false">Data_Prices!J382/Data_Prices!J381-1</f>
        <v>-0.0379746835443039</v>
      </c>
      <c r="K382" s="32" t="n">
        <f aca="false">Data_Prices!K382/Data_Prices!K381-1</f>
        <v>-0.0020583624934688</v>
      </c>
      <c r="L382" s="32" t="n">
        <f aca="false">Data_Prices!L382/Data_Prices!L381-1</f>
        <v>-0.0260769892062279</v>
      </c>
      <c r="M382" s="32" t="n">
        <f aca="false">Data_Prices!M382/Data_Prices!M381-1</f>
        <v>-0.0372164337735651</v>
      </c>
      <c r="N382" s="32" t="n">
        <f aca="false">Data_Prices!N382/Data_Prices!N381-1</f>
        <v>-0.200012929083974</v>
      </c>
      <c r="O382" s="32" t="n">
        <f aca="false">Data_Prices!O382/Data_Prices!O381-1</f>
        <v>-0.0226960110041267</v>
      </c>
      <c r="P382" s="32" t="n">
        <f aca="false">Data_Prices!P382/Data_Prices!P381-1</f>
        <v>0.0222401644157368</v>
      </c>
      <c r="Q382" s="32" t="n">
        <f aca="false">Data_Prices!Q382/Data_Prices!Q381-1</f>
        <v>-0.0336391437308869</v>
      </c>
      <c r="R382" s="32" t="n">
        <f aca="false">Data_Prices!R382/Data_Prices!R381-1</f>
        <v>-0.0193422247049786</v>
      </c>
      <c r="S382" s="32" t="n">
        <f aca="false">Data_Prices!S382/Data_Prices!S381-1</f>
        <v>-0.023401192679416</v>
      </c>
      <c r="T382" s="32" t="n">
        <f aca="false">AVERAGE(D382:S382)</f>
        <v>-0.0321415235581294</v>
      </c>
      <c r="U382" s="32" t="n">
        <f aca="false">AVERAGE(J382:S382)</f>
        <v>-0.0380177805805211</v>
      </c>
      <c r="V382" s="32" t="n">
        <f aca="false">AVERAGE(D382:I382)</f>
        <v>-0.0223477618541432</v>
      </c>
      <c r="W382" s="32" t="n">
        <f aca="false">AVERAGE(K382,Q382,R382)</f>
        <v>-0.0183465769764448</v>
      </c>
      <c r="X382" s="32" t="n">
        <f aca="false">AVERAGE(K382,L382,N382,O382,P382,Q382,R382,S382)</f>
        <v>-0.0381233360609178</v>
      </c>
      <c r="Y382" s="32" t="n">
        <f aca="false">AVERAGE(J382,L382,M382,N382,O382,P382,Q382,R382,S382)</f>
        <v>-0.0420132714790825</v>
      </c>
      <c r="Z382" s="32" t="n">
        <f aca="false">U382-V382</f>
        <v>-0.015670018726378</v>
      </c>
      <c r="AA382" s="32" t="n">
        <f aca="false">W382-V382</f>
        <v>0.00400118487769839</v>
      </c>
    </row>
    <row r="383" customFormat="false" ht="15" hidden="false" customHeight="false" outlineLevel="0" collapsed="false">
      <c r="A383" s="28" t="n">
        <f aca="false">Data_Prices!A383</f>
        <v>45358</v>
      </c>
      <c r="B383" s="32" t="n">
        <f aca="false">Data_Prices!B383/Data_Prices!B382-1</f>
        <v>0.000867667376374115</v>
      </c>
      <c r="C383" s="32" t="n">
        <f aca="false">Data_Prices!C383/Data_Prices!C382-1</f>
        <v>0.0027110510290953</v>
      </c>
      <c r="D383" s="32" t="n">
        <f aca="false">Data_Prices!D383/Data_Prices!D382-1</f>
        <v>0.0198226771426513</v>
      </c>
      <c r="E383" s="32" t="n">
        <f aca="false">Data_Prices!E383/Data_Prices!E382-1</f>
        <v>0.00229357798165153</v>
      </c>
      <c r="F383" s="32" t="n">
        <f aca="false">Data_Prices!F383/Data_Prices!F382-1</f>
        <v>0.0466208890495121</v>
      </c>
      <c r="G383" s="32" t="n">
        <f aca="false">Data_Prices!G383/Data_Prices!G382-1</f>
        <v>-0.00398344138092632</v>
      </c>
      <c r="H383" s="32" t="n">
        <f aca="false">Data_Prices!H383/Data_Prices!H382-1</f>
        <v>0.0394143311395401</v>
      </c>
      <c r="I383" s="32" t="n">
        <f aca="false">Data_Prices!I383/Data_Prices!I382-1</f>
        <v>0.0206236189540878</v>
      </c>
      <c r="J383" s="32" t="n">
        <f aca="false">Data_Prices!J383/Data_Prices!J382-1</f>
        <v>-0.00780018909549318</v>
      </c>
      <c r="K383" s="32" t="n">
        <f aca="false">Data_Prices!K383/Data_Prices!K382-1</f>
        <v>0.0173893728084789</v>
      </c>
      <c r="L383" s="32" t="n">
        <f aca="false">Data_Prices!L383/Data_Prices!L382-1</f>
        <v>0.0624264417418596</v>
      </c>
      <c r="M383" s="32" t="n">
        <f aca="false">Data_Prices!M383/Data_Prices!M382-1</f>
        <v>0.0109305439936298</v>
      </c>
      <c r="N383" s="32" t="n">
        <f aca="false">Data_Prices!N383/Data_Prices!N382-1</f>
        <v>0.0995555555555554</v>
      </c>
      <c r="O383" s="32" t="n">
        <f aca="false">Data_Prices!O383/Data_Prices!O382-1</f>
        <v>0.0096762843068261</v>
      </c>
      <c r="P383" s="32" t="n">
        <f aca="false">Data_Prices!P383/Data_Prices!P382-1</f>
        <v>-0.011165362245997</v>
      </c>
      <c r="Q383" s="32" t="n">
        <f aca="false">Data_Prices!Q383/Data_Prices!Q382-1</f>
        <v>-0.0219258589511754</v>
      </c>
      <c r="R383" s="32" t="n">
        <f aca="false">Data_Prices!R383/Data_Prices!R382-1</f>
        <v>0.00754770720592424</v>
      </c>
      <c r="S383" s="32" t="n">
        <f aca="false">Data_Prices!S383/Data_Prices!S382-1</f>
        <v>0.0315632106460035</v>
      </c>
      <c r="T383" s="32" t="n">
        <f aca="false">AVERAGE(D383:S383)</f>
        <v>0.020186834928258</v>
      </c>
      <c r="U383" s="32" t="n">
        <f aca="false">AVERAGE(J383:S383)</f>
        <v>0.0198197705965612</v>
      </c>
      <c r="V383" s="32" t="n">
        <f aca="false">AVERAGE(D383:I383)</f>
        <v>0.0207986088144194</v>
      </c>
      <c r="W383" s="32" t="n">
        <f aca="false">AVERAGE(K383,Q383,R383)</f>
        <v>0.00100374035440924</v>
      </c>
      <c r="X383" s="32" t="n">
        <f aca="false">AVERAGE(K383,L383,N383,O383,P383,Q383,R383,S383)</f>
        <v>0.0243834188834344</v>
      </c>
      <c r="Y383" s="32" t="n">
        <f aca="false">AVERAGE(J383,L383,M383,N383,O383,P383,Q383,R383,S383)</f>
        <v>0.020089814795237</v>
      </c>
      <c r="Z383" s="32" t="n">
        <f aca="false">U383-V383</f>
        <v>-0.000978838217858213</v>
      </c>
      <c r="AA383" s="32" t="n">
        <f aca="false">W383-V383</f>
        <v>-0.0197948684600102</v>
      </c>
    </row>
    <row r="384" customFormat="false" ht="15" hidden="false" customHeight="false" outlineLevel="0" collapsed="false">
      <c r="A384" s="28" t="n">
        <f aca="false">Data_Prices!A384</f>
        <v>45362</v>
      </c>
      <c r="B384" s="32" t="n">
        <f aca="false">Data_Prices!B384/Data_Prices!B383-1</f>
        <v>-0.00715316168412716</v>
      </c>
      <c r="C384" s="32" t="n">
        <f aca="false">Data_Prices!C384/Data_Prices!C383-1</f>
        <v>-0.00714712157691777</v>
      </c>
      <c r="D384" s="32" t="n">
        <f aca="false">Data_Prices!D384/Data_Prices!D383-1</f>
        <v>-0.0174582979926492</v>
      </c>
      <c r="E384" s="32" t="n">
        <f aca="false">Data_Prices!E384/Data_Prices!E383-1</f>
        <v>-0.0198321891685737</v>
      </c>
      <c r="F384" s="32" t="n">
        <f aca="false">Data_Prices!F384/Data_Prices!F383-1</f>
        <v>-0.0179558011049723</v>
      </c>
      <c r="G384" s="32" t="n">
        <f aca="false">Data_Prices!G384/Data_Prices!G383-1</f>
        <v>-0.00470514429109159</v>
      </c>
      <c r="H384" s="32" t="n">
        <f aca="false">Data_Prices!H384/Data_Prices!H383-1</f>
        <v>-0.0352162777461582</v>
      </c>
      <c r="I384" s="32" t="n">
        <f aca="false">Data_Prices!I384/Data_Prices!I383-1</f>
        <v>0.0150348809237431</v>
      </c>
      <c r="J384" s="32" t="n">
        <f aca="false">Data_Prices!J384/Data_Prices!J383-1</f>
        <v>-0.0139495486910718</v>
      </c>
      <c r="K384" s="32" t="n">
        <f aca="false">Data_Prices!K384/Data_Prices!K383-1</f>
        <v>0.00198056859473206</v>
      </c>
      <c r="L384" s="32" t="n">
        <f aca="false">Data_Prices!L384/Data_Prices!L383-1</f>
        <v>0.0112624048003693</v>
      </c>
      <c r="M384" s="32" t="n">
        <f aca="false">Data_Prices!M384/Data_Prices!M383-1</f>
        <v>-0.0532383373312806</v>
      </c>
      <c r="N384" s="32" t="n">
        <f aca="false">Data_Prices!N384/Data_Prices!N383-1</f>
        <v>-0.0715073124127288</v>
      </c>
      <c r="O384" s="32" t="n">
        <f aca="false">Data_Prices!O384/Data_Prices!O383-1</f>
        <v>-0.00313643491897531</v>
      </c>
      <c r="P384" s="32" t="n">
        <f aca="false">Data_Prices!P384/Data_Prices!P383-1</f>
        <v>0.0177903641578623</v>
      </c>
      <c r="Q384" s="32" t="n">
        <f aca="false">Data_Prices!Q384/Data_Prices!Q383-1</f>
        <v>0.048070256528773</v>
      </c>
      <c r="R384" s="32" t="n">
        <f aca="false">Data_Prices!R384/Data_Prices!R383-1</f>
        <v>-0.00381625441696121</v>
      </c>
      <c r="S384" s="32" t="n">
        <f aca="false">Data_Prices!S384/Data_Prices!S383-1</f>
        <v>0.0128186809822213</v>
      </c>
      <c r="T384" s="32" t="n">
        <f aca="false">AVERAGE(D384:S384)</f>
        <v>-0.00836615263042261</v>
      </c>
      <c r="U384" s="32" t="n">
        <f aca="false">AVERAGE(J384:S384)</f>
        <v>-0.00537256127070598</v>
      </c>
      <c r="V384" s="32" t="n">
        <f aca="false">AVERAGE(D384:I384)</f>
        <v>-0.0133554715632837</v>
      </c>
      <c r="W384" s="32" t="n">
        <f aca="false">AVERAGE(K384,Q384,R384)</f>
        <v>0.0154115235688479</v>
      </c>
      <c r="X384" s="32" t="n">
        <f aca="false">AVERAGE(K384,L384,N384,O384,P384,Q384,R384,S384)</f>
        <v>0.00168278416441157</v>
      </c>
      <c r="Y384" s="32" t="n">
        <f aca="false">AVERAGE(J384,L384,M384,N384,O384,P384,Q384,R384,S384)</f>
        <v>-0.00618957570019909</v>
      </c>
      <c r="Z384" s="32" t="n">
        <f aca="false">U384-V384</f>
        <v>0.00798291029257767</v>
      </c>
      <c r="AA384" s="32" t="n">
        <f aca="false">W384-V384</f>
        <v>0.0287669951321316</v>
      </c>
    </row>
    <row r="385" customFormat="false" ht="15" hidden="false" customHeight="false" outlineLevel="0" collapsed="false">
      <c r="A385" s="28" t="n">
        <f aca="false">Data_Prices!A385</f>
        <v>45363</v>
      </c>
      <c r="B385" s="32" t="n">
        <f aca="false">Data_Prices!B385/Data_Prices!B384-1</f>
        <v>0.000136571342854497</v>
      </c>
      <c r="C385" s="32" t="n">
        <f aca="false">Data_Prices!C385/Data_Prices!C384-1</f>
        <v>-0.00578399359250814</v>
      </c>
      <c r="D385" s="32" t="n">
        <f aca="false">Data_Prices!D385/Data_Prices!D384-1</f>
        <v>-0.00794906841234444</v>
      </c>
      <c r="E385" s="32" t="n">
        <f aca="false">Data_Prices!E385/Data_Prices!E384-1</f>
        <v>-0.0138780804150455</v>
      </c>
      <c r="F385" s="32" t="n">
        <f aca="false">Data_Prices!F385/Data_Prices!F384-1</f>
        <v>-0.010138302859822</v>
      </c>
      <c r="G385" s="32" t="n">
        <f aca="false">Data_Prices!G385/Data_Prices!G384-1</f>
        <v>-0.0165458556571069</v>
      </c>
      <c r="H385" s="32" t="n">
        <f aca="false">Data_Prices!H385/Data_Prices!H384-1</f>
        <v>-0.0249981564781357</v>
      </c>
      <c r="I385" s="32" t="n">
        <f aca="false">Data_Prices!I385/Data_Prices!I384-1</f>
        <v>-0.0414741083066714</v>
      </c>
      <c r="J385" s="32" t="n">
        <f aca="false">Data_Prices!J385/Data_Prices!J384-1</f>
        <v>-0.00982497584022335</v>
      </c>
      <c r="K385" s="32" t="n">
        <f aca="false">Data_Prices!K385/Data_Prices!K384-1</f>
        <v>0.000357976653696523</v>
      </c>
      <c r="L385" s="32" t="n">
        <f aca="false">Data_Prices!L385/Data_Prices!L384-1</f>
        <v>-0.0264731388926925</v>
      </c>
      <c r="M385" s="32" t="n">
        <f aca="false">Data_Prices!M385/Data_Prices!M384-1</f>
        <v>0.00344123430645893</v>
      </c>
      <c r="N385" s="32" t="n">
        <f aca="false">Data_Prices!N385/Data_Prices!N384-1</f>
        <v>0.0180729249116143</v>
      </c>
      <c r="O385" s="32" t="n">
        <f aca="false">Data_Prices!O385/Data_Prices!O384-1</f>
        <v>-0.0160811047019752</v>
      </c>
      <c r="P385" s="32" t="n">
        <f aca="false">Data_Prices!P385/Data_Prices!P384-1</f>
        <v>-0.00107016730282172</v>
      </c>
      <c r="Q385" s="32" t="n">
        <f aca="false">Data_Prices!Q385/Data_Prices!Q384-1</f>
        <v>0.040683572216097</v>
      </c>
      <c r="R385" s="32" t="n">
        <f aca="false">Data_Prices!R385/Data_Prices!R384-1</f>
        <v>-0.00603007945516454</v>
      </c>
      <c r="S385" s="32" t="n">
        <f aca="false">Data_Prices!S385/Data_Prices!S384-1</f>
        <v>-0.0238618271226747</v>
      </c>
      <c r="T385" s="32" t="n">
        <f aca="false">AVERAGE(D385:S385)</f>
        <v>-0.00848557233480071</v>
      </c>
      <c r="U385" s="32" t="n">
        <f aca="false">AVERAGE(J385:S385)</f>
        <v>-0.00207855852276854</v>
      </c>
      <c r="V385" s="32" t="n">
        <f aca="false">AVERAGE(D385:I385)</f>
        <v>-0.0191639286881877</v>
      </c>
      <c r="W385" s="32" t="n">
        <f aca="false">AVERAGE(K385,Q385,R385)</f>
        <v>0.0116704898048763</v>
      </c>
      <c r="X385" s="32" t="n">
        <f aca="false">AVERAGE(K385,L385,N385,O385,P385,Q385,R385,S385)</f>
        <v>-0.00180023046174012</v>
      </c>
      <c r="Y385" s="32" t="n">
        <f aca="false">AVERAGE(J385,L385,M385,N385,O385,P385,Q385,R385,S385)</f>
        <v>-0.00234928465348688</v>
      </c>
      <c r="Z385" s="32" t="n">
        <f aca="false">U385-V385</f>
        <v>0.0170853701654191</v>
      </c>
      <c r="AA385" s="32" t="n">
        <f aca="false">W385-V385</f>
        <v>0.030834418493064</v>
      </c>
    </row>
    <row r="386" customFormat="false" ht="15" hidden="false" customHeight="false" outlineLevel="0" collapsed="false">
      <c r="A386" s="28" t="n">
        <f aca="false">Data_Prices!A386</f>
        <v>45364</v>
      </c>
      <c r="B386" s="32" t="n">
        <f aca="false">Data_Prices!B386/Data_Prices!B385-1</f>
        <v>-0.0151327247411095</v>
      </c>
      <c r="C386" s="32" t="n">
        <f aca="false">Data_Prices!C386/Data_Prices!C385-1</f>
        <v>-0.0260319065607743</v>
      </c>
      <c r="D386" s="32" t="n">
        <f aca="false">Data_Prices!D386/Data_Prices!D385-1</f>
        <v>-0.0285703926616148</v>
      </c>
      <c r="E386" s="32" t="n">
        <f aca="false">Data_Prices!E386/Data_Prices!E385-1</f>
        <v>-0.0510982506905168</v>
      </c>
      <c r="F386" s="32" t="n">
        <f aca="false">Data_Prices!F386/Data_Prices!F385-1</f>
        <v>-0.0314368598662009</v>
      </c>
      <c r="G386" s="32" t="n">
        <f aca="false">Data_Prices!G386/Data_Prices!G385-1</f>
        <v>-0.0539176414036212</v>
      </c>
      <c r="H386" s="32" t="n">
        <f aca="false">Data_Prices!H386/Data_Prices!H385-1</f>
        <v>-0.0744970503705945</v>
      </c>
      <c r="I386" s="32" t="n">
        <f aca="false">Data_Prices!I386/Data_Prices!I385-1</f>
        <v>-0.0718259364569168</v>
      </c>
      <c r="J386" s="32" t="n">
        <f aca="false">Data_Prices!J386/Data_Prices!J385-1</f>
        <v>-0.0304180447866399</v>
      </c>
      <c r="K386" s="32" t="n">
        <f aca="false">Data_Prices!K386/Data_Prices!K385-1</f>
        <v>0.00312728517417882</v>
      </c>
      <c r="L386" s="32" t="n">
        <f aca="false">Data_Prices!L386/Data_Prices!L385-1</f>
        <v>-0.0170190820010315</v>
      </c>
      <c r="M386" s="32" t="n">
        <f aca="false">Data_Prices!M386/Data_Prices!M385-1</f>
        <v>-0.0117580553985301</v>
      </c>
      <c r="N386" s="32" t="n">
        <f aca="false">Data_Prices!N386/Data_Prices!N385-1</f>
        <v>-0.0329644698991889</v>
      </c>
      <c r="O386" s="32" t="n">
        <f aca="false">Data_Prices!O386/Data_Prices!O385-1</f>
        <v>-0.0605791437200214</v>
      </c>
      <c r="P386" s="32" t="n">
        <f aca="false">Data_Prices!P386/Data_Prices!P385-1</f>
        <v>-0.0354604863764597</v>
      </c>
      <c r="Q386" s="32" t="n">
        <f aca="false">Data_Prices!Q386/Data_Prices!Q385-1</f>
        <v>-0.0139845322597733</v>
      </c>
      <c r="R386" s="32" t="n">
        <f aca="false">Data_Prices!R386/Data_Prices!R385-1</f>
        <v>-0.0217686103775605</v>
      </c>
      <c r="S386" s="32" t="n">
        <f aca="false">Data_Prices!S386/Data_Prices!S385-1</f>
        <v>-0.0414369773923816</v>
      </c>
      <c r="T386" s="32" t="n">
        <f aca="false">AVERAGE(D386:S386)</f>
        <v>-0.0358505155304296</v>
      </c>
      <c r="U386" s="32" t="n">
        <f aca="false">AVERAGE(J386:S386)</f>
        <v>-0.0262262117037408</v>
      </c>
      <c r="V386" s="32" t="n">
        <f aca="false">AVERAGE(D386:I386)</f>
        <v>-0.0518910219082442</v>
      </c>
      <c r="W386" s="32" t="n">
        <f aca="false">AVERAGE(K386,Q386,R386)</f>
        <v>-0.0108752858210516</v>
      </c>
      <c r="X386" s="32" t="n">
        <f aca="false">AVERAGE(K386,L386,N386,O386,P386,Q386,R386,S386)</f>
        <v>-0.0275107521065298</v>
      </c>
      <c r="Y386" s="32" t="n">
        <f aca="false">AVERAGE(J386,L386,M386,N386,O386,P386,Q386,R386,S386)</f>
        <v>-0.029487711356843</v>
      </c>
      <c r="Z386" s="32" t="n">
        <f aca="false">U386-V386</f>
        <v>0.0256648102045034</v>
      </c>
      <c r="AA386" s="32" t="n">
        <f aca="false">W386-V386</f>
        <v>0.0410157360871925</v>
      </c>
    </row>
    <row r="387" customFormat="false" ht="15" hidden="false" customHeight="false" outlineLevel="0" collapsed="false">
      <c r="A387" s="28" t="n">
        <f aca="false">Data_Prices!A387</f>
        <v>45365</v>
      </c>
      <c r="B387" s="32" t="n">
        <f aca="false">Data_Prices!B387/Data_Prices!B386-1</f>
        <v>0.00677116243970954</v>
      </c>
      <c r="C387" s="32" t="n">
        <f aca="false">Data_Prices!C387/Data_Prices!C386-1</f>
        <v>0.0137455907728172</v>
      </c>
      <c r="D387" s="32" t="n">
        <f aca="false">Data_Prices!D387/Data_Prices!D386-1</f>
        <v>0.0292986974209681</v>
      </c>
      <c r="E387" s="32" t="n">
        <f aca="false">Data_Prices!E387/Data_Prices!E386-1</f>
        <v>0.0110887795412018</v>
      </c>
      <c r="F387" s="32" t="n">
        <f aca="false">Data_Prices!F387/Data_Prices!F386-1</f>
        <v>-0.00317848410757948</v>
      </c>
      <c r="G387" s="32" t="n">
        <f aca="false">Data_Prices!G387/Data_Prices!G386-1</f>
        <v>0.00228639173511702</v>
      </c>
      <c r="H387" s="32" t="n">
        <f aca="false">Data_Prices!H387/Data_Prices!H386-1</f>
        <v>0.0569584048377871</v>
      </c>
      <c r="I387" s="32" t="n">
        <f aca="false">Data_Prices!I387/Data_Prices!I386-1</f>
        <v>0.0811134789557806</v>
      </c>
      <c r="J387" s="32" t="n">
        <f aca="false">Data_Prices!J387/Data_Prices!J386-1</f>
        <v>0.0539089587294486</v>
      </c>
      <c r="K387" s="32" t="n">
        <f aca="false">Data_Prices!K387/Data_Prices!K386-1</f>
        <v>-0.00908893507460373</v>
      </c>
      <c r="L387" s="32" t="n">
        <f aca="false">Data_Prices!L387/Data_Prices!L386-1</f>
        <v>0.021511017838405</v>
      </c>
      <c r="M387" s="32" t="n">
        <f aca="false">Data_Prices!M387/Data_Prices!M386-1</f>
        <v>0.0546085497464057</v>
      </c>
      <c r="N387" s="32" t="n">
        <f aca="false">Data_Prices!N387/Data_Prices!N386-1</f>
        <v>-0.0354013131448478</v>
      </c>
      <c r="O387" s="32" t="n">
        <f aca="false">Data_Prices!O387/Data_Prices!O386-1</f>
        <v>0.00945537065052959</v>
      </c>
      <c r="P387" s="32" t="n">
        <f aca="false">Data_Prices!P387/Data_Prices!P386-1</f>
        <v>0.0120696038504258</v>
      </c>
      <c r="Q387" s="32" t="n">
        <f aca="false">Data_Prices!Q387/Data_Prices!Q386-1</f>
        <v>-0.0123562909637907</v>
      </c>
      <c r="R387" s="32" t="n">
        <f aca="false">Data_Prices!R387/Data_Prices!R386-1</f>
        <v>0.0248796147672554</v>
      </c>
      <c r="S387" s="32" t="n">
        <f aca="false">Data_Prices!S387/Data_Prices!S386-1</f>
        <v>-0.0128801585250279</v>
      </c>
      <c r="T387" s="32" t="n">
        <f aca="false">AVERAGE(D387:S387)</f>
        <v>0.0177671053910922</v>
      </c>
      <c r="U387" s="32" t="n">
        <f aca="false">AVERAGE(J387:S387)</f>
        <v>0.01067064178742</v>
      </c>
      <c r="V387" s="32" t="n">
        <f aca="false">AVERAGE(D387:I387)</f>
        <v>0.0295945447305459</v>
      </c>
      <c r="W387" s="32" t="n">
        <f aca="false">AVERAGE(K387,Q387,R387)</f>
        <v>0.00114479624295368</v>
      </c>
      <c r="X387" s="32" t="n">
        <f aca="false">AVERAGE(K387,L387,N387,O387,P387,Q387,R387,S387)</f>
        <v>-0.000226386325206787</v>
      </c>
      <c r="Y387" s="32" t="n">
        <f aca="false">AVERAGE(J387,L387,M387,N387,O387,P387,Q387,R387,S387)</f>
        <v>0.0128661503276449</v>
      </c>
      <c r="Z387" s="32" t="n">
        <f aca="false">U387-V387</f>
        <v>-0.0189239029431259</v>
      </c>
      <c r="AA387" s="32" t="n">
        <f aca="false">W387-V387</f>
        <v>-0.0284497484875922</v>
      </c>
    </row>
    <row r="388" customFormat="false" ht="15" hidden="false" customHeight="false" outlineLevel="0" collapsed="false">
      <c r="A388" s="28" t="n">
        <f aca="false">Data_Prices!A388</f>
        <v>45366</v>
      </c>
      <c r="B388" s="32" t="n">
        <f aca="false">Data_Prices!B388/Data_Prices!B387-1</f>
        <v>-0.00556743344930288</v>
      </c>
      <c r="C388" s="32" t="n">
        <f aca="false">Data_Prices!C388/Data_Prices!C387-1</f>
        <v>-0.00457664180434658</v>
      </c>
      <c r="D388" s="32" t="n">
        <f aca="false">Data_Prices!D388/Data_Prices!D387-1</f>
        <v>-0.0104793676118645</v>
      </c>
      <c r="E388" s="32" t="n">
        <f aca="false">Data_Prices!E388/Data_Prices!E387-1</f>
        <v>-0.00685447940228945</v>
      </c>
      <c r="F388" s="32" t="n">
        <f aca="false">Data_Prices!F388/Data_Prices!F387-1</f>
        <v>0.0096271768457199</v>
      </c>
      <c r="G388" s="32" t="n">
        <f aca="false">Data_Prices!G388/Data_Prices!G387-1</f>
        <v>-0.0121662723893206</v>
      </c>
      <c r="H388" s="32" t="n">
        <f aca="false">Data_Prices!H388/Data_Prices!H387-1</f>
        <v>-0.0301530848925313</v>
      </c>
      <c r="I388" s="32" t="n">
        <f aca="false">Data_Prices!I388/Data_Prices!I387-1</f>
        <v>-0.014414192435629</v>
      </c>
      <c r="J388" s="32" t="n">
        <f aca="false">Data_Prices!J388/Data_Prices!J387-1</f>
        <v>-0.0141674625915312</v>
      </c>
      <c r="K388" s="32" t="n">
        <f aca="false">Data_Prices!K388/Data_Prices!K387-1</f>
        <v>0.0182663410969195</v>
      </c>
      <c r="L388" s="32" t="n">
        <f aca="false">Data_Prices!L388/Data_Prices!L387-1</f>
        <v>-0.00280151281692109</v>
      </c>
      <c r="M388" s="32" t="n">
        <f aca="false">Data_Prices!M388/Data_Prices!M387-1</f>
        <v>0.0278430663532816</v>
      </c>
      <c r="N388" s="32" t="n">
        <f aca="false">Data_Prices!N388/Data_Prices!N387-1</f>
        <v>-0.00769572706562205</v>
      </c>
      <c r="O388" s="32" t="n">
        <f aca="false">Data_Prices!O388/Data_Prices!O387-1</f>
        <v>-0.0196702884975646</v>
      </c>
      <c r="P388" s="32" t="n">
        <f aca="false">Data_Prices!P388/Data_Prices!P387-1</f>
        <v>-0.0186567164179104</v>
      </c>
      <c r="Q388" s="32" t="n">
        <f aca="false">Data_Prices!Q388/Data_Prices!Q387-1</f>
        <v>0.00718015665796346</v>
      </c>
      <c r="R388" s="32" t="n">
        <f aca="false">Data_Prices!R388/Data_Prices!R387-1</f>
        <v>-0.00434256424859414</v>
      </c>
      <c r="S388" s="32" t="n">
        <f aca="false">Data_Prices!S388/Data_Prices!S387-1</f>
        <v>-0.0107789657429631</v>
      </c>
      <c r="T388" s="32" t="n">
        <f aca="false">AVERAGE(D388:S388)</f>
        <v>-0.00557899332242857</v>
      </c>
      <c r="U388" s="32" t="n">
        <f aca="false">AVERAGE(J388:S388)</f>
        <v>-0.00248236732729421</v>
      </c>
      <c r="V388" s="32" t="n">
        <f aca="false">AVERAGE(D388:I388)</f>
        <v>-0.0107400366476525</v>
      </c>
      <c r="W388" s="32" t="n">
        <f aca="false">AVERAGE(K388,Q388,R388)</f>
        <v>0.00703464450209627</v>
      </c>
      <c r="X388" s="32" t="n">
        <f aca="false">AVERAGE(K388,L388,N388,O388,P388,Q388,R388,S388)</f>
        <v>-0.00481240962933656</v>
      </c>
      <c r="Y388" s="32" t="n">
        <f aca="false">AVERAGE(J388,L388,M388,N388,O388,P388,Q388,R388,S388)</f>
        <v>-0.00478777937442907</v>
      </c>
      <c r="Z388" s="32" t="n">
        <f aca="false">U388-V388</f>
        <v>0.00825766932035829</v>
      </c>
      <c r="AA388" s="32" t="n">
        <f aca="false">W388-V388</f>
        <v>0.0177746811497488</v>
      </c>
    </row>
    <row r="389" customFormat="false" ht="15" hidden="false" customHeight="false" outlineLevel="0" collapsed="false">
      <c r="A389" s="28" t="n">
        <f aca="false">Data_Prices!A389</f>
        <v>45369</v>
      </c>
      <c r="B389" s="32" t="n">
        <f aca="false">Data_Prices!B389/Data_Prices!B388-1</f>
        <v>0.00146889551317142</v>
      </c>
      <c r="C389" s="32" t="n">
        <f aca="false">Data_Prices!C389/Data_Prices!C388-1</f>
        <v>0.000902891269697115</v>
      </c>
      <c r="D389" s="32" t="n">
        <f aca="false">Data_Prices!D389/Data_Prices!D388-1</f>
        <v>0.0101506101359521</v>
      </c>
      <c r="E389" s="32" t="n">
        <f aca="false">Data_Prices!E389/Data_Prices!E388-1</f>
        <v>-0.0067637518117194</v>
      </c>
      <c r="F389" s="32" t="n">
        <f aca="false">Data_Prices!F389/Data_Prices!F388-1</f>
        <v>0.0254479198299424</v>
      </c>
      <c r="G389" s="32" t="n">
        <f aca="false">Data_Prices!G389/Data_Prices!G388-1</f>
        <v>-0.0162504276428327</v>
      </c>
      <c r="H389" s="32" t="n">
        <f aca="false">Data_Prices!H389/Data_Prices!H388-1</f>
        <v>-0.00398596938775508</v>
      </c>
      <c r="I389" s="32" t="n">
        <f aca="false">Data_Prices!I389/Data_Prices!I388-1</f>
        <v>-0.0217499999999999</v>
      </c>
      <c r="J389" s="32" t="n">
        <f aca="false">Data_Prices!J389/Data_Prices!J388-1</f>
        <v>0.00328327681791274</v>
      </c>
      <c r="K389" s="32" t="n">
        <f aca="false">Data_Prices!K389/Data_Prices!K388-1</f>
        <v>-0.00149104603796779</v>
      </c>
      <c r="L389" s="32" t="n">
        <f aca="false">Data_Prices!L389/Data_Prices!L388-1</f>
        <v>-0.0107224797490283</v>
      </c>
      <c r="M389" s="32" t="n">
        <f aca="false">Data_Prices!M389/Data_Prices!M388-1</f>
        <v>-0.0148109058927001</v>
      </c>
      <c r="N389" s="32" t="n">
        <f aca="false">Data_Prices!N389/Data_Prices!N388-1</f>
        <v>0.000419968082425726</v>
      </c>
      <c r="O389" s="32" t="n">
        <f aca="false">Data_Prices!O389/Data_Prices!O388-1</f>
        <v>-0.0034397095356391</v>
      </c>
      <c r="P389" s="32" t="n">
        <f aca="false">Data_Prices!P389/Data_Prices!P388-1</f>
        <v>-0.00141653619622739</v>
      </c>
      <c r="Q389" s="32" t="n">
        <f aca="false">Data_Prices!Q389/Data_Prices!Q388-1</f>
        <v>0.0186865413696264</v>
      </c>
      <c r="R389" s="32" t="n">
        <f aca="false">Data_Prices!R389/Data_Prices!R388-1</f>
        <v>0.00314600314600311</v>
      </c>
      <c r="S389" s="32" t="n">
        <f aca="false">Data_Prices!S389/Data_Prices!S388-1</f>
        <v>0.0185944944415035</v>
      </c>
      <c r="T389" s="32" t="n">
        <f aca="false">AVERAGE(D389:S389)</f>
        <v>-5.6375776906481E-005</v>
      </c>
      <c r="U389" s="32" t="n">
        <f aca="false">AVERAGE(J389:S389)</f>
        <v>0.00122496064459089</v>
      </c>
      <c r="V389" s="32" t="n">
        <f aca="false">AVERAGE(D389:I389)</f>
        <v>-0.0021919364794021</v>
      </c>
      <c r="W389" s="32" t="n">
        <f aca="false">AVERAGE(K389,Q389,R389)</f>
        <v>0.00678049949255392</v>
      </c>
      <c r="X389" s="32" t="n">
        <f aca="false">AVERAGE(K389,L389,N389,O389,P389,Q389,R389,S389)</f>
        <v>0.00297215444008703</v>
      </c>
      <c r="Y389" s="32" t="n">
        <f aca="false">AVERAGE(J389,L389,M389,N389,O389,P389,Q389,R389,S389)</f>
        <v>0.00152673916487519</v>
      </c>
      <c r="Z389" s="32" t="n">
        <f aca="false">U389-V389</f>
        <v>0.00341689712399299</v>
      </c>
      <c r="AA389" s="32" t="n">
        <f aca="false">W389-V389</f>
        <v>0.00897243597195602</v>
      </c>
    </row>
    <row r="390" customFormat="false" ht="15" hidden="false" customHeight="false" outlineLevel="0" collapsed="false">
      <c r="A390" s="28" t="n">
        <f aca="false">Data_Prices!A390</f>
        <v>45370</v>
      </c>
      <c r="B390" s="32" t="n">
        <f aca="false">Data_Prices!B390/Data_Prices!B389-1</f>
        <v>-0.0108021962576568</v>
      </c>
      <c r="C390" s="32" t="n">
        <f aca="false">Data_Prices!C390/Data_Prices!C389-1</f>
        <v>-0.0117194389989467</v>
      </c>
      <c r="D390" s="32" t="n">
        <f aca="false">Data_Prices!D390/Data_Prices!D389-1</f>
        <v>-0.00529637959805551</v>
      </c>
      <c r="E390" s="32" t="n">
        <f aca="false">Data_Prices!E390/Data_Prices!E389-1</f>
        <v>-0.0146619414912097</v>
      </c>
      <c r="F390" s="32" t="n">
        <f aca="false">Data_Prices!F390/Data_Prices!F389-1</f>
        <v>0.00349443259891014</v>
      </c>
      <c r="G390" s="32" t="n">
        <f aca="false">Data_Prices!G390/Data_Prices!G389-1</f>
        <v>-0.00756390193009915</v>
      </c>
      <c r="H390" s="32" t="n">
        <f aca="false">Data_Prices!H390/Data_Prices!H389-1</f>
        <v>0.00336161357451559</v>
      </c>
      <c r="I390" s="32" t="n">
        <f aca="false">Data_Prices!I390/Data_Prices!I389-1</f>
        <v>0.0111167901865576</v>
      </c>
      <c r="J390" s="32" t="n">
        <f aca="false">Data_Prices!J390/Data_Prices!J389-1</f>
        <v>0.026475321888412</v>
      </c>
      <c r="K390" s="32" t="n">
        <f aca="false">Data_Prices!K390/Data_Prices!K389-1</f>
        <v>0.014086024816035</v>
      </c>
      <c r="L390" s="32" t="n">
        <f aca="false">Data_Prices!L390/Data_Prices!L389-1</f>
        <v>-0.00913479742521783</v>
      </c>
      <c r="M390" s="32" t="n">
        <f aca="false">Data_Prices!M390/Data_Prices!M389-1</f>
        <v>0.00842736751892592</v>
      </c>
      <c r="N390" s="32" t="n">
        <f aca="false">Data_Prices!N390/Data_Prices!N389-1</f>
        <v>-0.0228366730101869</v>
      </c>
      <c r="O390" s="32" t="n">
        <f aca="false">Data_Prices!O390/Data_Prices!O389-1</f>
        <v>-0.00824544582933839</v>
      </c>
      <c r="P390" s="32" t="n">
        <f aca="false">Data_Prices!P390/Data_Prices!P389-1</f>
        <v>-0.0107137524264597</v>
      </c>
      <c r="Q390" s="32" t="n">
        <f aca="false">Data_Prices!Q390/Data_Prices!Q389-1</f>
        <v>-0.0147386279291697</v>
      </c>
      <c r="R390" s="32" t="n">
        <f aca="false">Data_Prices!R390/Data_Prices!R389-1</f>
        <v>-0.00427655024946538</v>
      </c>
      <c r="S390" s="32" t="n">
        <f aca="false">Data_Prices!S390/Data_Prices!S389-1</f>
        <v>-0.0095064856319973</v>
      </c>
      <c r="T390" s="32" t="n">
        <f aca="false">AVERAGE(D390:S390)</f>
        <v>-0.0025008128086152</v>
      </c>
      <c r="U390" s="32" t="n">
        <f aca="false">AVERAGE(J390:S390)</f>
        <v>-0.00304636182784622</v>
      </c>
      <c r="V390" s="32" t="n">
        <f aca="false">AVERAGE(D390:I390)</f>
        <v>-0.00159156444323016</v>
      </c>
      <c r="W390" s="32" t="n">
        <f aca="false">AVERAGE(K390,Q390,R390)</f>
        <v>-0.00164305112086668</v>
      </c>
      <c r="X390" s="32" t="n">
        <f aca="false">AVERAGE(K390,L390,N390,O390,P390,Q390,R390,S390)</f>
        <v>-0.00817078846072501</v>
      </c>
      <c r="Y390" s="32" t="n">
        <f aca="false">AVERAGE(J390,L390,M390,N390,O390,P390,Q390,R390,S390)</f>
        <v>-0.00494996034383303</v>
      </c>
      <c r="Z390" s="32" t="n">
        <f aca="false">U390-V390</f>
        <v>-0.00145479738461606</v>
      </c>
      <c r="AA390" s="32" t="n">
        <f aca="false">W390-V390</f>
        <v>-5.14866776365104E-005</v>
      </c>
    </row>
    <row r="391" customFormat="false" ht="15" hidden="false" customHeight="false" outlineLevel="0" collapsed="false">
      <c r="A391" s="28" t="n">
        <f aca="false">Data_Prices!A391</f>
        <v>45371</v>
      </c>
      <c r="B391" s="32" t="n">
        <f aca="false">Data_Prices!B391/Data_Prices!B390-1</f>
        <v>0.000992324950899404</v>
      </c>
      <c r="C391" s="32" t="n">
        <f aca="false">Data_Prices!C391/Data_Prices!C390-1</f>
        <v>0.00109634864906893</v>
      </c>
      <c r="D391" s="32" t="n">
        <f aca="false">Data_Prices!D391/Data_Prices!D390-1</f>
        <v>-0.0144055433989788</v>
      </c>
      <c r="E391" s="32" t="n">
        <f aca="false">Data_Prices!E391/Data_Prices!E390-1</f>
        <v>0.0127644569816643</v>
      </c>
      <c r="F391" s="32" t="n">
        <f aca="false">Data_Prices!F391/Data_Prices!F390-1</f>
        <v>0.0307501623089181</v>
      </c>
      <c r="G391" s="32" t="n">
        <f aca="false">Data_Prices!G391/Data_Prices!G390-1</f>
        <v>-0.00122645641699526</v>
      </c>
      <c r="H391" s="32" t="n">
        <f aca="false">Data_Prices!H391/Data_Prices!H390-1</f>
        <v>-0.0216177409061901</v>
      </c>
      <c r="I391" s="32" t="n">
        <f aca="false">Data_Prices!I391/Data_Prices!I390-1</f>
        <v>-0.0216100088462023</v>
      </c>
      <c r="J391" s="32" t="n">
        <f aca="false">Data_Prices!J391/Data_Prices!J390-1</f>
        <v>-0.0213238560639716</v>
      </c>
      <c r="K391" s="32" t="n">
        <f aca="false">Data_Prices!K391/Data_Prices!K390-1</f>
        <v>0.00807614652437261</v>
      </c>
      <c r="L391" s="32" t="n">
        <f aca="false">Data_Prices!L391/Data_Prices!L390-1</f>
        <v>-0.00186290900406028</v>
      </c>
      <c r="M391" s="32" t="n">
        <f aca="false">Data_Prices!M391/Data_Prices!M390-1</f>
        <v>-0.0204320113314447</v>
      </c>
      <c r="N391" s="32" t="n">
        <f aca="false">Data_Prices!N391/Data_Prices!N390-1</f>
        <v>-0.0637243670523542</v>
      </c>
      <c r="O391" s="32" t="n">
        <f aca="false">Data_Prices!O391/Data_Prices!O390-1</f>
        <v>0.0102474864655839</v>
      </c>
      <c r="P391" s="32" t="n">
        <f aca="false">Data_Prices!P391/Data_Prices!P390-1</f>
        <v>0.0104147013320253</v>
      </c>
      <c r="Q391" s="32" t="n">
        <f aca="false">Data_Prices!Q391/Data_Prices!Q390-1</f>
        <v>0.00193715023676266</v>
      </c>
      <c r="R391" s="32" t="n">
        <f aca="false">Data_Prices!R391/Data_Prices!R390-1</f>
        <v>-0.0088761632068719</v>
      </c>
      <c r="S391" s="32" t="n">
        <f aca="false">Data_Prices!S391/Data_Prices!S390-1</f>
        <v>0.0118933100131176</v>
      </c>
      <c r="T391" s="32" t="n">
        <f aca="false">AVERAGE(D391:S391)</f>
        <v>-0.00556222764778904</v>
      </c>
      <c r="U391" s="32" t="n">
        <f aca="false">AVERAGE(J391:S391)</f>
        <v>-0.00736505120868406</v>
      </c>
      <c r="V391" s="32" t="n">
        <f aca="false">AVERAGE(D391:I391)</f>
        <v>-0.00255752171296401</v>
      </c>
      <c r="W391" s="32" t="n">
        <f aca="false">AVERAGE(K391,Q391,R391)</f>
        <v>0.00037904451808779</v>
      </c>
      <c r="X391" s="32" t="n">
        <f aca="false">AVERAGE(K391,L391,N391,O391,P391,Q391,R391,S391)</f>
        <v>-0.00398683058642804</v>
      </c>
      <c r="Y391" s="32" t="n">
        <f aca="false">AVERAGE(J391,L391,M391,N391,O391,P391,Q391,R391,S391)</f>
        <v>-0.00908073984569036</v>
      </c>
      <c r="Z391" s="32" t="n">
        <f aca="false">U391-V391</f>
        <v>-0.00480752949572005</v>
      </c>
      <c r="AA391" s="32" t="n">
        <f aca="false">W391-V391</f>
        <v>0.0029365662310518</v>
      </c>
    </row>
    <row r="392" customFormat="false" ht="15" hidden="false" customHeight="false" outlineLevel="0" collapsed="false">
      <c r="A392" s="28" t="n">
        <f aca="false">Data_Prices!A392</f>
        <v>45372</v>
      </c>
      <c r="B392" s="32" t="n">
        <f aca="false">Data_Prices!B392/Data_Prices!B391-1</f>
        <v>0.0079147034447391</v>
      </c>
      <c r="C392" s="32" t="n">
        <f aca="false">Data_Prices!C392/Data_Prices!C391-1</f>
        <v>0.0135161636202028</v>
      </c>
      <c r="D392" s="32" t="n">
        <f aca="false">Data_Prices!D392/Data_Prices!D391-1</f>
        <v>-0.0015171137835337</v>
      </c>
      <c r="E392" s="32" t="n">
        <f aca="false">Data_Prices!E392/Data_Prices!E391-1</f>
        <v>0.028062112666249</v>
      </c>
      <c r="F392" s="32" t="n">
        <f aca="false">Data_Prices!F392/Data_Prices!F391-1</f>
        <v>-0.00761566651397172</v>
      </c>
      <c r="G392" s="32" t="n">
        <f aca="false">Data_Prices!G392/Data_Prices!G391-1</f>
        <v>0.037365143408473</v>
      </c>
      <c r="H392" s="32" t="n">
        <f aca="false">Data_Prices!H392/Data_Prices!H391-1</f>
        <v>0.0476966979209132</v>
      </c>
      <c r="I392" s="32" t="n">
        <f aca="false">Data_Prices!I392/Data_Prices!I391-1</f>
        <v>0.0351330405579953</v>
      </c>
      <c r="J392" s="32" t="n">
        <f aca="false">Data_Prices!J392/Data_Prices!J391-1</f>
        <v>0.0303329684120583</v>
      </c>
      <c r="K392" s="32" t="n">
        <f aca="false">Data_Prices!K392/Data_Prices!K391-1</f>
        <v>0.0099540697236653</v>
      </c>
      <c r="L392" s="32" t="n">
        <f aca="false">Data_Prices!L392/Data_Prices!L391-1</f>
        <v>0.0281393568147015</v>
      </c>
      <c r="M392" s="32" t="n">
        <f aca="false">Data_Prices!M392/Data_Prices!M391-1</f>
        <v>0.0117846943570834</v>
      </c>
      <c r="N392" s="32" t="n">
        <f aca="false">Data_Prices!N392/Data_Prices!N391-1</f>
        <v>-0.00073414701293939</v>
      </c>
      <c r="O392" s="32" t="n">
        <f aca="false">Data_Prices!O392/Data_Prices!O391-1</f>
        <v>0.0266028708133972</v>
      </c>
      <c r="P392" s="32" t="n">
        <f aca="false">Data_Prices!P392/Data_Prices!P391-1</f>
        <v>0.0714045636180305</v>
      </c>
      <c r="Q392" s="32" t="n">
        <f aca="false">Data_Prices!Q392/Data_Prices!Q391-1</f>
        <v>0.00762620837808803</v>
      </c>
      <c r="R392" s="32" t="n">
        <f aca="false">Data_Prices!R392/Data_Prices!R391-1</f>
        <v>0.0149501661129567</v>
      </c>
      <c r="S392" s="32" t="n">
        <f aca="false">Data_Prices!S392/Data_Prices!S391-1</f>
        <v>-0.00146919021692149</v>
      </c>
      <c r="T392" s="32" t="n">
        <f aca="false">AVERAGE(D392:S392)</f>
        <v>0.0211072359535153</v>
      </c>
      <c r="U392" s="32" t="n">
        <f aca="false">AVERAGE(J392:S392)</f>
        <v>0.019859156100012</v>
      </c>
      <c r="V392" s="32" t="n">
        <f aca="false">AVERAGE(D392:I392)</f>
        <v>0.0231873690426875</v>
      </c>
      <c r="W392" s="32" t="n">
        <f aca="false">AVERAGE(K392,Q392,R392)</f>
        <v>0.0108434814049034</v>
      </c>
      <c r="X392" s="32" t="n">
        <f aca="false">AVERAGE(K392,L392,N392,O392,P392,Q392,R392,S392)</f>
        <v>0.0195592372788723</v>
      </c>
      <c r="Y392" s="32" t="n">
        <f aca="false">AVERAGE(J392,L392,M392,N392,O392,P392,Q392,R392,S392)</f>
        <v>0.0209597212529394</v>
      </c>
      <c r="Z392" s="32" t="n">
        <f aca="false">U392-V392</f>
        <v>-0.00332821294267551</v>
      </c>
      <c r="AA392" s="32" t="n">
        <f aca="false">W392-V392</f>
        <v>-0.0123438876377842</v>
      </c>
    </row>
    <row r="393" customFormat="false" ht="15" hidden="false" customHeight="false" outlineLevel="0" collapsed="false">
      <c r="A393" s="28" t="n">
        <f aca="false">Data_Prices!A393</f>
        <v>45373</v>
      </c>
      <c r="B393" s="32" t="n">
        <f aca="false">Data_Prices!B393/Data_Prices!B392-1</f>
        <v>0.00385245287218994</v>
      </c>
      <c r="C393" s="32" t="n">
        <f aca="false">Data_Prices!C393/Data_Prices!C392-1</f>
        <v>0.00488506035964487</v>
      </c>
      <c r="D393" s="32" t="n">
        <f aca="false">Data_Prices!D393/Data_Prices!D392-1</f>
        <v>0.00511414171360802</v>
      </c>
      <c r="E393" s="32" t="n">
        <f aca="false">Data_Prices!E393/Data_Prices!E392-1</f>
        <v>0.0120563532917908</v>
      </c>
      <c r="F393" s="32" t="n">
        <f aca="false">Data_Prices!F393/Data_Prices!F392-1</f>
        <v>0.0161560210028273</v>
      </c>
      <c r="G393" s="32" t="n">
        <f aca="false">Data_Prices!G393/Data_Prices!G392-1</f>
        <v>0.00701784053437038</v>
      </c>
      <c r="H393" s="32" t="n">
        <f aca="false">Data_Prices!H393/Data_Prices!H392-1</f>
        <v>-0.00365758754863821</v>
      </c>
      <c r="I393" s="32" t="n">
        <f aca="false">Data_Prices!I393/Data_Prices!I392-1</f>
        <v>0.01098078362865</v>
      </c>
      <c r="J393" s="32" t="n">
        <f aca="false">Data_Prices!J393/Data_Prices!J392-1</f>
        <v>-0.0126208308497681</v>
      </c>
      <c r="K393" s="32" t="n">
        <f aca="false">Data_Prices!K393/Data_Prices!K392-1</f>
        <v>0.00672471893358773</v>
      </c>
      <c r="L393" s="32" t="n">
        <f aca="false">Data_Prices!L393/Data_Prices!L392-1</f>
        <v>0.0141500651647739</v>
      </c>
      <c r="M393" s="32" t="n">
        <f aca="false">Data_Prices!M393/Data_Prices!M392-1</f>
        <v>-0.0129693808281826</v>
      </c>
      <c r="N393" s="32" t="n">
        <f aca="false">Data_Prices!N393/Data_Prices!N392-1</f>
        <v>-0.00609177457372889</v>
      </c>
      <c r="O393" s="32" t="n">
        <f aca="false">Data_Prices!O393/Data_Prices!O392-1</f>
        <v>0.0201342281879195</v>
      </c>
      <c r="P393" s="32" t="n">
        <f aca="false">Data_Prices!P393/Data_Prices!P392-1</f>
        <v>-0.00704102617728064</v>
      </c>
      <c r="Q393" s="32" t="n">
        <f aca="false">Data_Prices!Q393/Data_Prices!Q392-1</f>
        <v>-0.0128984116831895</v>
      </c>
      <c r="R393" s="32" t="n">
        <f aca="false">Data_Prices!R393/Data_Prices!R392-1</f>
        <v>0.00206361630968477</v>
      </c>
      <c r="S393" s="32" t="n">
        <f aca="false">Data_Prices!S393/Data_Prices!S392-1</f>
        <v>0.0086117361952569</v>
      </c>
      <c r="T393" s="32" t="n">
        <f aca="false">AVERAGE(D393:S393)</f>
        <v>0.00298315583135509</v>
      </c>
      <c r="U393" s="32" t="n">
        <f aca="false">AVERAGE(J393:S393)</f>
        <v>6.29406790731979E-006</v>
      </c>
      <c r="V393" s="32" t="n">
        <f aca="false">AVERAGE(D393:I393)</f>
        <v>0.00794459210376804</v>
      </c>
      <c r="W393" s="32" t="n">
        <f aca="false">AVERAGE(K393,Q393,R393)</f>
        <v>-0.00137002547997234</v>
      </c>
      <c r="X393" s="32" t="n">
        <f aca="false">AVERAGE(K393,L393,N393,O393,P393,Q393,R393,S393)</f>
        <v>0.00320664404462798</v>
      </c>
      <c r="Y393" s="32" t="n">
        <f aca="false">AVERAGE(J393,L393,M393,N393,O393,P393,Q393,R393,S393)</f>
        <v>-0.000740197583834948</v>
      </c>
      <c r="Z393" s="32" t="n">
        <f aca="false">U393-V393</f>
        <v>-0.00793829803586072</v>
      </c>
      <c r="AA393" s="32" t="n">
        <f aca="false">W393-V393</f>
        <v>-0.00931461758374038</v>
      </c>
    </row>
    <row r="394" customFormat="false" ht="15" hidden="false" customHeight="false" outlineLevel="0" collapsed="false">
      <c r="A394" s="28" t="n">
        <f aca="false">Data_Prices!A394</f>
        <v>45377</v>
      </c>
      <c r="B394" s="32" t="n">
        <f aca="false">Data_Prices!B394/Data_Prices!B393-1</f>
        <v>-0.00416577098442073</v>
      </c>
      <c r="C394" s="32" t="n">
        <f aca="false">Data_Prices!C394/Data_Prices!C393-1</f>
        <v>0.000532643813829781</v>
      </c>
      <c r="D394" s="32" t="n">
        <f aca="false">Data_Prices!D394/Data_Prices!D393-1</f>
        <v>-0.0228228006784159</v>
      </c>
      <c r="E394" s="32" t="n">
        <f aca="false">Data_Prices!E394/Data_Prices!E393-1</f>
        <v>0.00983804042296876</v>
      </c>
      <c r="F394" s="32" t="n">
        <f aca="false">Data_Prices!F394/Data_Prices!F393-1</f>
        <v>0.0178297654874795</v>
      </c>
      <c r="G394" s="32" t="n">
        <f aca="false">Data_Prices!G394/Data_Prices!G393-1</f>
        <v>-0.00461796809403858</v>
      </c>
      <c r="H394" s="32" t="n">
        <f aca="false">Data_Prices!H394/Data_Prices!H393-1</f>
        <v>-0.0180426462547839</v>
      </c>
      <c r="I394" s="32" t="n">
        <f aca="false">Data_Prices!I394/Data_Prices!I393-1</f>
        <v>0.00740557886941495</v>
      </c>
      <c r="J394" s="32" t="n">
        <f aca="false">Data_Prices!J394/Data_Prices!J393-1</f>
        <v>-0.0346719160104987</v>
      </c>
      <c r="K394" s="32" t="n">
        <f aca="false">Data_Prices!K394/Data_Prices!K393-1</f>
        <v>0.0220685160774325</v>
      </c>
      <c r="L394" s="32" t="n">
        <f aca="false">Data_Prices!L394/Data_Prices!L393-1</f>
        <v>0.0236827611529282</v>
      </c>
      <c r="M394" s="32" t="n">
        <f aca="false">Data_Prices!M394/Data_Prices!M393-1</f>
        <v>0.0141895316006662</v>
      </c>
      <c r="N394" s="32" t="n">
        <f aca="false">Data_Prices!N394/Data_Prices!N393-1</f>
        <v>-0.0384378464950105</v>
      </c>
      <c r="O394" s="32" t="n">
        <f aca="false">Data_Prices!O394/Data_Prices!O393-1</f>
        <v>0.000913742690058506</v>
      </c>
      <c r="P394" s="32" t="n">
        <f aca="false">Data_Prices!P394/Data_Prices!P393-1</f>
        <v>0.0412819882753539</v>
      </c>
      <c r="Q394" s="32" t="n">
        <f aca="false">Data_Prices!Q394/Data_Prices!Q393-1</f>
        <v>0.0330453563714903</v>
      </c>
      <c r="R394" s="32" t="n">
        <f aca="false">Data_Prices!R394/Data_Prices!R393-1</f>
        <v>-0.0102968328362448</v>
      </c>
      <c r="S394" s="32" t="n">
        <f aca="false">Data_Prices!S394/Data_Prices!S393-1</f>
        <v>0.0179559788904622</v>
      </c>
      <c r="T394" s="32" t="n">
        <f aca="false">AVERAGE(D394:S394)</f>
        <v>0.00370757809182892</v>
      </c>
      <c r="U394" s="32" t="n">
        <f aca="false">AVERAGE(J394:S394)</f>
        <v>0.00697312797166378</v>
      </c>
      <c r="V394" s="32" t="n">
        <f aca="false">AVERAGE(D394:I394)</f>
        <v>-0.0017350050412292</v>
      </c>
      <c r="W394" s="32" t="n">
        <f aca="false">AVERAGE(K394,Q394,R394)</f>
        <v>0.014939013204226</v>
      </c>
      <c r="X394" s="32" t="n">
        <f aca="false">AVERAGE(K394,L394,N394,O394,P394,Q394,R394,S394)</f>
        <v>0.0112767080158088</v>
      </c>
      <c r="Y394" s="32" t="n">
        <f aca="false">AVERAGE(J394,L394,M394,N394,O394,P394,Q394,R394,S394)</f>
        <v>0.00529586262657837</v>
      </c>
      <c r="Z394" s="32" t="n">
        <f aca="false">U394-V394</f>
        <v>0.00870813301289298</v>
      </c>
      <c r="AA394" s="32" t="n">
        <f aca="false">W394-V394</f>
        <v>0.0166740182454552</v>
      </c>
    </row>
    <row r="395" customFormat="false" ht="15" hidden="false" customHeight="false" outlineLevel="0" collapsed="false">
      <c r="A395" s="28" t="n">
        <f aca="false">Data_Prices!A395</f>
        <v>45378</v>
      </c>
      <c r="B395" s="32" t="n">
        <f aca="false">Data_Prices!B395/Data_Prices!B394-1</f>
        <v>0.00540566333556014</v>
      </c>
      <c r="C395" s="32" t="n">
        <f aca="false">Data_Prices!C395/Data_Prices!C394-1</f>
        <v>0.0041264168155859</v>
      </c>
      <c r="D395" s="32" t="n">
        <f aca="false">Data_Prices!D395/Data_Prices!D394-1</f>
        <v>-0.00132060521450406</v>
      </c>
      <c r="E395" s="32" t="n">
        <f aca="false">Data_Prices!E395/Data_Prices!E394-1</f>
        <v>0.00357876598846829</v>
      </c>
      <c r="F395" s="32" t="n">
        <f aca="false">Data_Prices!F395/Data_Prices!F394-1</f>
        <v>0.0215341701534169</v>
      </c>
      <c r="G395" s="32" t="n">
        <f aca="false">Data_Prices!G395/Data_Prices!G394-1</f>
        <v>-0.00227752003374104</v>
      </c>
      <c r="H395" s="32" t="n">
        <f aca="false">Data_Prices!H395/Data_Prices!H394-1</f>
        <v>0.00278396436525608</v>
      </c>
      <c r="I395" s="32" t="n">
        <f aca="false">Data_Prices!I395/Data_Prices!I394-1</f>
        <v>-0.0154373927958834</v>
      </c>
      <c r="J395" s="32" t="n">
        <f aca="false">Data_Prices!J395/Data_Prices!J394-1</f>
        <v>0.0107398243562902</v>
      </c>
      <c r="K395" s="32" t="n">
        <f aca="false">Data_Prices!K395/Data_Prices!K394-1</f>
        <v>0.0163026939296014</v>
      </c>
      <c r="L395" s="32" t="n">
        <f aca="false">Data_Prices!L395/Data_Prices!L394-1</f>
        <v>0.0134505021520803</v>
      </c>
      <c r="M395" s="32" t="n">
        <f aca="false">Data_Prices!M395/Data_Prices!M394-1</f>
        <v>0.015454350774502</v>
      </c>
      <c r="N395" s="32" t="n">
        <f aca="false">Data_Prices!N395/Data_Prices!N394-1</f>
        <v>0.0950352338244715</v>
      </c>
      <c r="O395" s="32" t="n">
        <f aca="false">Data_Prices!O395/Data_Prices!O394-1</f>
        <v>0.00219098046375743</v>
      </c>
      <c r="P395" s="32" t="n">
        <f aca="false">Data_Prices!P395/Data_Prices!P394-1</f>
        <v>-0.00333749115059168</v>
      </c>
      <c r="Q395" s="32" t="n">
        <f aca="false">Data_Prices!Q395/Data_Prices!Q394-1</f>
        <v>-0.00637675099310053</v>
      </c>
      <c r="R395" s="32" t="n">
        <f aca="false">Data_Prices!R395/Data_Prices!R394-1</f>
        <v>-0.00617062495515541</v>
      </c>
      <c r="S395" s="32" t="n">
        <f aca="false">Data_Prices!S395/Data_Prices!S394-1</f>
        <v>0.00581652652209641</v>
      </c>
      <c r="T395" s="32" t="n">
        <f aca="false">AVERAGE(D395:S395)</f>
        <v>0.00949791421168527</v>
      </c>
      <c r="U395" s="32" t="n">
        <f aca="false">AVERAGE(J395:S395)</f>
        <v>0.0143105244923952</v>
      </c>
      <c r="V395" s="32" t="n">
        <f aca="false">AVERAGE(D395:I395)</f>
        <v>0.00147689707716879</v>
      </c>
      <c r="W395" s="32" t="n">
        <f aca="false">AVERAGE(K395,Q395,R395)</f>
        <v>0.00125177266044848</v>
      </c>
      <c r="X395" s="32" t="n">
        <f aca="false">AVERAGE(K395,L395,N395,O395,P395,Q395,R395,S395)</f>
        <v>0.0146138837241449</v>
      </c>
      <c r="Y395" s="32" t="n">
        <f aca="false">AVERAGE(J395,L395,M395,N395,O395,P395,Q395,R395,S395)</f>
        <v>0.0140891723327056</v>
      </c>
      <c r="Z395" s="32" t="n">
        <f aca="false">U395-V395</f>
        <v>0.0128336274152264</v>
      </c>
      <c r="AA395" s="32" t="n">
        <f aca="false">W395-V395</f>
        <v>-0.000225124416720309</v>
      </c>
    </row>
    <row r="396" customFormat="false" ht="15" hidden="false" customHeight="false" outlineLevel="0" collapsed="false">
      <c r="A396" s="28" t="n">
        <f aca="false">Data_Prices!A396</f>
        <v>45379</v>
      </c>
      <c r="B396" s="32" t="n">
        <f aca="false">Data_Prices!B396/Data_Prices!B395-1</f>
        <v>0.00918700124075378</v>
      </c>
      <c r="C396" s="32" t="n">
        <f aca="false">Data_Prices!C396/Data_Prices!C395-1</f>
        <v>0.00833092722946272</v>
      </c>
      <c r="D396" s="32" t="n">
        <f aca="false">Data_Prices!D396/Data_Prices!D395-1</f>
        <v>-0.00585612815475289</v>
      </c>
      <c r="E396" s="32" t="n">
        <f aca="false">Data_Prices!E396/Data_Prices!E395-1</f>
        <v>-0.00554711748002368</v>
      </c>
      <c r="F396" s="32" t="n">
        <f aca="false">Data_Prices!F396/Data_Prices!F395-1</f>
        <v>-0.0193872535634319</v>
      </c>
      <c r="G396" s="32" t="n">
        <f aca="false">Data_Prices!G396/Data_Prices!G395-1</f>
        <v>0.0330571525194454</v>
      </c>
      <c r="H396" s="32" t="n">
        <f aca="false">Data_Prices!H396/Data_Prices!H395-1</f>
        <v>-0.000793210121361132</v>
      </c>
      <c r="I396" s="32" t="n">
        <f aca="false">Data_Prices!I396/Data_Prices!I395-1</f>
        <v>-0.00273768043802891</v>
      </c>
      <c r="J396" s="32" t="n">
        <f aca="false">Data_Prices!J396/Data_Prices!J395-1</f>
        <v>-0.0129122504976597</v>
      </c>
      <c r="K396" s="32" t="n">
        <f aca="false">Data_Prices!K396/Data_Prices!K395-1</f>
        <v>0.0316831118462326</v>
      </c>
      <c r="L396" s="32" t="n">
        <f aca="false">Data_Prices!L396/Data_Prices!L395-1</f>
        <v>0.0233586975756501</v>
      </c>
      <c r="M396" s="32" t="n">
        <f aca="false">Data_Prices!M396/Data_Prices!M395-1</f>
        <v>0.0132508523426242</v>
      </c>
      <c r="N396" s="32" t="n">
        <f aca="false">Data_Prices!N396/Data_Prices!N395-1</f>
        <v>-0.0336677684499956</v>
      </c>
      <c r="O396" s="32" t="n">
        <f aca="false">Data_Prices!O396/Data_Prices!O395-1</f>
        <v>0.0158498815813446</v>
      </c>
      <c r="P396" s="32" t="n">
        <f aca="false">Data_Prices!P396/Data_Prices!P395-1</f>
        <v>0.00152212149912057</v>
      </c>
      <c r="Q396" s="32" t="n">
        <f aca="false">Data_Prices!Q396/Data_Prices!Q395-1</f>
        <v>-0.0203051025775907</v>
      </c>
      <c r="R396" s="32" t="n">
        <f aca="false">Data_Prices!R396/Data_Prices!R395-1</f>
        <v>-0.0144393906577143</v>
      </c>
      <c r="S396" s="32" t="n">
        <f aca="false">Data_Prices!S396/Data_Prices!S395-1</f>
        <v>-0.0111257778615877</v>
      </c>
      <c r="T396" s="32" t="n">
        <f aca="false">AVERAGE(D396:S396)</f>
        <v>-0.000503116402358055</v>
      </c>
      <c r="U396" s="32" t="n">
        <f aca="false">AVERAGE(J396:S396)</f>
        <v>-0.000678562519957582</v>
      </c>
      <c r="V396" s="32" t="n">
        <f aca="false">AVERAGE(D396:I396)</f>
        <v>-0.000210706206358842</v>
      </c>
      <c r="W396" s="32" t="n">
        <f aca="false">AVERAGE(K396,Q396,R396)</f>
        <v>-0.0010204604630241</v>
      </c>
      <c r="X396" s="32" t="n">
        <f aca="false">AVERAGE(K396,L396,N396,O396,P396,Q396,R396,S396)</f>
        <v>-0.000890528380567551</v>
      </c>
      <c r="Y396" s="32" t="n">
        <f aca="false">AVERAGE(J396,L396,M396,N396,O396,P396,Q396,R396,S396)</f>
        <v>-0.00427430411620094</v>
      </c>
      <c r="Z396" s="32" t="n">
        <f aca="false">U396-V396</f>
        <v>-0.000467856313598739</v>
      </c>
      <c r="AA396" s="32" t="n">
        <f aca="false">W396-V396</f>
        <v>-0.000809754256665259</v>
      </c>
    </row>
    <row r="397" customFormat="false" ht="15" hidden="false" customHeight="false" outlineLevel="0" collapsed="false">
      <c r="A397" s="28" t="n">
        <f aca="false">Data_Prices!A397</f>
        <v>45383</v>
      </c>
      <c r="B397" s="32" t="n">
        <f aca="false">Data_Prices!B397/Data_Prices!B396-1</f>
        <v>0.00605099677966936</v>
      </c>
      <c r="C397" s="32" t="n">
        <f aca="false">Data_Prices!C397/Data_Prices!C396-1</f>
        <v>0.0117204760270844</v>
      </c>
      <c r="D397" s="32" t="n">
        <f aca="false">Data_Prices!D397/Data_Prices!D396-1</f>
        <v>0.0782122905027931</v>
      </c>
      <c r="E397" s="32" t="n">
        <f aca="false">Data_Prices!E397/Data_Prices!E396-1</f>
        <v>0.0521947008433494</v>
      </c>
      <c r="F397" s="32" t="n">
        <f aca="false">Data_Prices!F397/Data_Prices!F396-1</f>
        <v>0.0244486522610827</v>
      </c>
      <c r="G397" s="32" t="n">
        <f aca="false">Data_Prices!G397/Data_Prices!G396-1</f>
        <v>0.0413290776659301</v>
      </c>
      <c r="H397" s="32" t="n">
        <f aca="false">Data_Prices!H397/Data_Prices!H396-1</f>
        <v>0.189648328967214</v>
      </c>
      <c r="I397" s="32" t="n">
        <f aca="false">Data_Prices!I397/Data_Prices!I396-1</f>
        <v>0.107062640379336</v>
      </c>
      <c r="J397" s="32" t="n">
        <f aca="false">Data_Prices!J397/Data_Prices!J396-1</f>
        <v>0.0631710906415217</v>
      </c>
      <c r="K397" s="32" t="n">
        <f aca="false">Data_Prices!K397/Data_Prices!K396-1</f>
        <v>0.000787793349365629</v>
      </c>
      <c r="L397" s="32" t="n">
        <f aca="false">Data_Prices!L397/Data_Prices!L396-1</f>
        <v>0.0249005706380774</v>
      </c>
      <c r="M397" s="32" t="n">
        <f aca="false">Data_Prices!M397/Data_Prices!M396-1</f>
        <v>-0.0226862772304705</v>
      </c>
      <c r="N397" s="32" t="n">
        <f aca="false">Data_Prices!N397/Data_Prices!N396-1</f>
        <v>0.0157404044073133</v>
      </c>
      <c r="O397" s="32" t="n">
        <f aca="false">Data_Prices!O397/Data_Prices!O396-1</f>
        <v>0.0292324246771878</v>
      </c>
      <c r="P397" s="32" t="n">
        <f aca="false">Data_Prices!P397/Data_Prices!P396-1</f>
        <v>0.0562329021581276</v>
      </c>
      <c r="Q397" s="32" t="n">
        <f aca="false">Data_Prices!Q397/Data_Prices!Q396-1</f>
        <v>0.020189003436426</v>
      </c>
      <c r="R397" s="32" t="n">
        <f aca="false">Data_Prices!R397/Data_Prices!R396-1</f>
        <v>0.00805801772763903</v>
      </c>
      <c r="S397" s="32" t="n">
        <f aca="false">Data_Prices!S397/Data_Prices!S396-1</f>
        <v>0.0304898720230529</v>
      </c>
      <c r="T397" s="32" t="n">
        <f aca="false">AVERAGE(D397:S397)</f>
        <v>0.0449382182779967</v>
      </c>
      <c r="U397" s="32" t="n">
        <f aca="false">AVERAGE(J397:S397)</f>
        <v>0.0226115801828241</v>
      </c>
      <c r="V397" s="32" t="n">
        <f aca="false">AVERAGE(D397:I397)</f>
        <v>0.082149281769951</v>
      </c>
      <c r="W397" s="32" t="n">
        <f aca="false">AVERAGE(K397,Q397,R397)</f>
        <v>0.0096782715044769</v>
      </c>
      <c r="X397" s="32" t="n">
        <f aca="false">AVERAGE(K397,L397,N397,O397,P397,Q397,R397,S397)</f>
        <v>0.0232038735521487</v>
      </c>
      <c r="Y397" s="32" t="n">
        <f aca="false">AVERAGE(J397,L397,M397,N397,O397,P397,Q397,R397,S397)</f>
        <v>0.0250364453865417</v>
      </c>
      <c r="Z397" s="32" t="n">
        <f aca="false">U397-V397</f>
        <v>-0.0595377015871269</v>
      </c>
      <c r="AA397" s="32" t="n">
        <f aca="false">W397-V397</f>
        <v>-0.0724710102654741</v>
      </c>
    </row>
    <row r="398" customFormat="false" ht="15" hidden="false" customHeight="false" outlineLevel="0" collapsed="false">
      <c r="A398" s="28" t="n">
        <f aca="false">Data_Prices!A398</f>
        <v>45384</v>
      </c>
      <c r="B398" s="32" t="n">
        <f aca="false">Data_Prices!B398/Data_Prices!B397-1</f>
        <v>-0.000387320808476588</v>
      </c>
      <c r="C398" s="32" t="n">
        <f aca="false">Data_Prices!C398/Data_Prices!C397-1</f>
        <v>0.00376722272240393</v>
      </c>
      <c r="D398" s="32" t="n">
        <f aca="false">Data_Prices!D398/Data_Prices!D397-1</f>
        <v>-0.00218533009058541</v>
      </c>
      <c r="E398" s="32" t="n">
        <f aca="false">Data_Prices!E398/Data_Prices!E397-1</f>
        <v>0.00100978226569892</v>
      </c>
      <c r="F398" s="32" t="n">
        <f aca="false">Data_Prices!F398/Data_Prices!F397-1</f>
        <v>0.0279423756455559</v>
      </c>
      <c r="G398" s="32" t="n">
        <f aca="false">Data_Prices!G398/Data_Prices!G397-1</f>
        <v>0.00455831499528436</v>
      </c>
      <c r="H398" s="32" t="n">
        <f aca="false">Data_Prices!H398/Data_Prices!H397-1</f>
        <v>-0.0336981182436941</v>
      </c>
      <c r="I398" s="32" t="n">
        <f aca="false">Data_Prices!I398/Data_Prices!I397-1</f>
        <v>0.00597385031559949</v>
      </c>
      <c r="J398" s="32" t="n">
        <f aca="false">Data_Prices!J398/Data_Prices!J397-1</f>
        <v>0.00940736183738333</v>
      </c>
      <c r="K398" s="32" t="n">
        <f aca="false">Data_Prices!K398/Data_Prices!K397-1</f>
        <v>-0.00600737457016198</v>
      </c>
      <c r="L398" s="32" t="n">
        <f aca="false">Data_Prices!L398/Data_Prices!L397-1</f>
        <v>0.00999662561160775</v>
      </c>
      <c r="M398" s="32" t="n">
        <f aca="false">Data_Prices!M398/Data_Prices!M397-1</f>
        <v>-0.00472066444239372</v>
      </c>
      <c r="N398" s="32" t="n">
        <f aca="false">Data_Prices!N398/Data_Prices!N397-1</f>
        <v>0.0121587793539157</v>
      </c>
      <c r="O398" s="32" t="n">
        <f aca="false">Data_Prices!O398/Data_Prices!O397-1</f>
        <v>0.0317128419585295</v>
      </c>
      <c r="P398" s="32" t="n">
        <f aca="false">Data_Prices!P398/Data_Prices!P397-1</f>
        <v>-0.000607533414337835</v>
      </c>
      <c r="Q398" s="32" t="n">
        <f aca="false">Data_Prices!Q398/Data_Prices!Q397-1</f>
        <v>-0.000947368421052586</v>
      </c>
      <c r="R398" s="32" t="n">
        <f aca="false">Data_Prices!R398/Data_Prices!R397-1</f>
        <v>0.00624954581789128</v>
      </c>
      <c r="S398" s="32" t="n">
        <f aca="false">Data_Prices!S398/Data_Prices!S397-1</f>
        <v>0.0140639457181042</v>
      </c>
      <c r="T398" s="32" t="n">
        <f aca="false">AVERAGE(D398:S398)</f>
        <v>0.00468168964608406</v>
      </c>
      <c r="U398" s="32" t="n">
        <f aca="false">AVERAGE(J398:S398)</f>
        <v>0.00713061594494857</v>
      </c>
      <c r="V398" s="32" t="n">
        <f aca="false">AVERAGE(D398:I398)</f>
        <v>0.000600145814643201</v>
      </c>
      <c r="W398" s="32" t="n">
        <f aca="false">AVERAGE(K398,Q398,R398)</f>
        <v>-0.000235065724441097</v>
      </c>
      <c r="X398" s="32" t="n">
        <f aca="false">AVERAGE(K398,L398,N398,O398,P398,Q398,R398,S398)</f>
        <v>0.00832743275681201</v>
      </c>
      <c r="Y398" s="32" t="n">
        <f aca="false">AVERAGE(J398,L398,M398,N398,O398,P398,Q398,R398,S398)</f>
        <v>0.00859039266884974</v>
      </c>
      <c r="Z398" s="32" t="n">
        <f aca="false">U398-V398</f>
        <v>0.00653047013030537</v>
      </c>
      <c r="AA398" s="32" t="n">
        <f aca="false">W398-V398</f>
        <v>-0.000835211539084298</v>
      </c>
    </row>
    <row r="399" customFormat="false" ht="15" hidden="false" customHeight="false" outlineLevel="0" collapsed="false">
      <c r="A399" s="28" t="n">
        <f aca="false">Data_Prices!A399</f>
        <v>45385</v>
      </c>
      <c r="B399" s="32" t="n">
        <f aca="false">Data_Prices!B399/Data_Prices!B398-1</f>
        <v>-0.000830612872049885</v>
      </c>
      <c r="C399" s="32" t="n">
        <f aca="false">Data_Prices!C399/Data_Prices!C398-1</f>
        <v>0.00174771205289326</v>
      </c>
      <c r="D399" s="32" t="n">
        <f aca="false">Data_Prices!D399/Data_Prices!D398-1</f>
        <v>-0.0140591331378714</v>
      </c>
      <c r="E399" s="32" t="n">
        <f aca="false">Data_Prices!E399/Data_Prices!E398-1</f>
        <v>0.0153205976924533</v>
      </c>
      <c r="F399" s="32" t="n">
        <f aca="false">Data_Prices!F399/Data_Prices!F398-1</f>
        <v>-0.0163414247183881</v>
      </c>
      <c r="G399" s="32" t="n">
        <f aca="false">Data_Prices!G399/Data_Prices!G398-1</f>
        <v>0.00359881082772651</v>
      </c>
      <c r="H399" s="32" t="n">
        <f aca="false">Data_Prices!H399/Data_Prices!H398-1</f>
        <v>0.015123264967889</v>
      </c>
      <c r="I399" s="32" t="n">
        <f aca="false">Data_Prices!I399/Data_Prices!I398-1</f>
        <v>0.015126050420168</v>
      </c>
      <c r="J399" s="32" t="n">
        <f aca="false">Data_Prices!J399/Data_Prices!J398-1</f>
        <v>0.0299652098834404</v>
      </c>
      <c r="K399" s="32" t="n">
        <f aca="false">Data_Prices!K399/Data_Prices!K398-1</f>
        <v>0.0141297099033011</v>
      </c>
      <c r="L399" s="32" t="n">
        <f aca="false">Data_Prices!L399/Data_Prices!L398-1</f>
        <v>-0.0020881186051368</v>
      </c>
      <c r="M399" s="32" t="n">
        <f aca="false">Data_Prices!M399/Data_Prices!M398-1</f>
        <v>0.0139438679077066</v>
      </c>
      <c r="N399" s="32" t="n">
        <f aca="false">Data_Prices!N399/Data_Prices!N398-1</f>
        <v>0.00585914497703444</v>
      </c>
      <c r="O399" s="32" t="n">
        <f aca="false">Data_Prices!O399/Data_Prices!O398-1</f>
        <v>-0.00219557507177848</v>
      </c>
      <c r="P399" s="32" t="n">
        <f aca="false">Data_Prices!P399/Data_Prices!P398-1</f>
        <v>0.0431610942249241</v>
      </c>
      <c r="Q399" s="32" t="n">
        <f aca="false">Data_Prices!Q399/Data_Prices!Q398-1</f>
        <v>0.0422505531556212</v>
      </c>
      <c r="R399" s="32" t="n">
        <f aca="false">Data_Prices!R399/Data_Prices!R398-1</f>
        <v>0.00411641510796557</v>
      </c>
      <c r="S399" s="32" t="n">
        <f aca="false">Data_Prices!S399/Data_Prices!S398-1</f>
        <v>0.0366998519840225</v>
      </c>
      <c r="T399" s="32" t="n">
        <f aca="false">AVERAGE(D399:S399)</f>
        <v>0.0127881449699424</v>
      </c>
      <c r="U399" s="32" t="n">
        <f aca="false">AVERAGE(J399:S399)</f>
        <v>0.0185842153467101</v>
      </c>
      <c r="V399" s="32" t="n">
        <f aca="false">AVERAGE(D399:I399)</f>
        <v>0.00312802767532955</v>
      </c>
      <c r="W399" s="32" t="n">
        <f aca="false">AVERAGE(K399,Q399,R399)</f>
        <v>0.0201655593889626</v>
      </c>
      <c r="X399" s="32" t="n">
        <f aca="false">AVERAGE(K399,L399,N399,O399,P399,Q399,R399,S399)</f>
        <v>0.0177416344594942</v>
      </c>
      <c r="Y399" s="32" t="n">
        <f aca="false">AVERAGE(J399,L399,M399,N399,O399,P399,Q399,R399,S399)</f>
        <v>0.0190791603959777</v>
      </c>
      <c r="Z399" s="32" t="n">
        <f aca="false">U399-V399</f>
        <v>0.0154561876713805</v>
      </c>
      <c r="AA399" s="32" t="n">
        <f aca="false">W399-V399</f>
        <v>0.0170375317136331</v>
      </c>
    </row>
    <row r="400" customFormat="false" ht="15" hidden="false" customHeight="false" outlineLevel="0" collapsed="false">
      <c r="A400" s="28" t="n">
        <f aca="false">Data_Prices!A400</f>
        <v>45386</v>
      </c>
      <c r="B400" s="32" t="n">
        <f aca="false">Data_Prices!B400/Data_Prices!B399-1</f>
        <v>0.00356591255045213</v>
      </c>
      <c r="C400" s="32" t="n">
        <f aca="false">Data_Prices!C400/Data_Prices!C399-1</f>
        <v>0.00286085888855991</v>
      </c>
      <c r="D400" s="32" t="n">
        <f aca="false">Data_Prices!D400/Data_Prices!D399-1</f>
        <v>0.0405574862957259</v>
      </c>
      <c r="E400" s="32" t="n">
        <f aca="false">Data_Prices!E400/Data_Prices!E399-1</f>
        <v>0.00434674615002484</v>
      </c>
      <c r="F400" s="32" t="n">
        <f aca="false">Data_Prices!F400/Data_Prices!F399-1</f>
        <v>0.0249999999999999</v>
      </c>
      <c r="G400" s="32" t="n">
        <f aca="false">Data_Prices!G400/Data_Prices!G399-1</f>
        <v>0.00381976925475525</v>
      </c>
      <c r="H400" s="32" t="n">
        <f aca="false">Data_Prices!H400/Data_Prices!H399-1</f>
        <v>0.0471428571428572</v>
      </c>
      <c r="I400" s="32" t="n">
        <f aca="false">Data_Prices!I400/Data_Prices!I399-1</f>
        <v>-0.0186534216335541</v>
      </c>
      <c r="J400" s="32" t="n">
        <f aca="false">Data_Prices!J400/Data_Prices!J399-1</f>
        <v>0.0271702951256196</v>
      </c>
      <c r="K400" s="32" t="n">
        <f aca="false">Data_Prices!K400/Data_Prices!K399-1</f>
        <v>-0.0035345855081993</v>
      </c>
      <c r="L400" s="32" t="n">
        <f aca="false">Data_Prices!L400/Data_Prices!L399-1</f>
        <v>0.00133919229964419</v>
      </c>
      <c r="M400" s="32" t="n">
        <f aca="false">Data_Prices!M400/Data_Prices!M399-1</f>
        <v>0.0397791221159258</v>
      </c>
      <c r="N400" s="32" t="n">
        <f aca="false">Data_Prices!N400/Data_Prices!N399-1</f>
        <v>0.00965957322249222</v>
      </c>
      <c r="O400" s="32" t="n">
        <f aca="false">Data_Prices!O400/Data_Prices!O399-1</f>
        <v>-0.00440081245768431</v>
      </c>
      <c r="P400" s="32" t="n">
        <f aca="false">Data_Prices!P400/Data_Prices!P399-1</f>
        <v>0.0222978775610354</v>
      </c>
      <c r="Q400" s="32" t="n">
        <f aca="false">Data_Prices!Q400/Data_Prices!Q399-1</f>
        <v>-0.00181965224423786</v>
      </c>
      <c r="R400" s="32" t="n">
        <f aca="false">Data_Prices!R400/Data_Prices!R399-1</f>
        <v>-0.00151035673187583</v>
      </c>
      <c r="S400" s="32" t="n">
        <f aca="false">Data_Prices!S400/Data_Prices!S399-1</f>
        <v>-0.0223552191515578</v>
      </c>
      <c r="T400" s="32" t="n">
        <f aca="false">AVERAGE(D400:S400)</f>
        <v>0.0105524294650607</v>
      </c>
      <c r="U400" s="32" t="n">
        <f aca="false">AVERAGE(J400:S400)</f>
        <v>0.00666254342311622</v>
      </c>
      <c r="V400" s="32" t="n">
        <f aca="false">AVERAGE(D400:I400)</f>
        <v>0.0170355728683015</v>
      </c>
      <c r="W400" s="32" t="n">
        <f aca="false">AVERAGE(K400,Q400,R400)</f>
        <v>-0.00228819816143766</v>
      </c>
      <c r="X400" s="32" t="n">
        <f aca="false">AVERAGE(K400,L400,N400,O400,P400,Q400,R400,S400)</f>
        <v>-4.04978762979097E-005</v>
      </c>
      <c r="Y400" s="32" t="n">
        <f aca="false">AVERAGE(J400,L400,M400,N400,O400,P400,Q400,R400,S400)</f>
        <v>0.00779555774881794</v>
      </c>
      <c r="Z400" s="32" t="n">
        <f aca="false">U400-V400</f>
        <v>-0.0103730294451853</v>
      </c>
      <c r="AA400" s="32" t="n">
        <f aca="false">W400-V400</f>
        <v>-0.0193237710297391</v>
      </c>
    </row>
    <row r="401" customFormat="false" ht="15" hidden="false" customHeight="false" outlineLevel="0" collapsed="false">
      <c r="A401" s="28" t="n">
        <f aca="false">Data_Prices!A401</f>
        <v>45387</v>
      </c>
      <c r="B401" s="32" t="n">
        <f aca="false">Data_Prices!B401/Data_Prices!B400-1</f>
        <v>-4.21947487525554E-005</v>
      </c>
      <c r="C401" s="32" t="n">
        <f aca="false">Data_Prices!C401/Data_Prices!C400-1</f>
        <v>0.00244136726245037</v>
      </c>
      <c r="D401" s="32" t="n">
        <f aca="false">Data_Prices!D401/Data_Prices!D400-1</f>
        <v>0.100816031401715</v>
      </c>
      <c r="E401" s="32" t="n">
        <f aca="false">Data_Prices!E401/Data_Prices!E400-1</f>
        <v>-0.0121800420427848</v>
      </c>
      <c r="F401" s="32" t="n">
        <f aca="false">Data_Prices!F401/Data_Prices!F400-1</f>
        <v>0.00713349068974556</v>
      </c>
      <c r="G401" s="32" t="n">
        <f aca="false">Data_Prices!G401/Data_Prices!G400-1</f>
        <v>0.000698920556029936</v>
      </c>
      <c r="H401" s="32" t="n">
        <f aca="false">Data_Prices!H401/Data_Prices!H400-1</f>
        <v>0.00344312349769371</v>
      </c>
      <c r="I401" s="32" t="n">
        <f aca="false">Data_Prices!I401/Data_Prices!I400-1</f>
        <v>-0.00731076369362271</v>
      </c>
      <c r="J401" s="32" t="n">
        <f aca="false">Data_Prices!J401/Data_Prices!J400-1</f>
        <v>0.0170423177552148</v>
      </c>
      <c r="K401" s="32" t="n">
        <f aca="false">Data_Prices!K401/Data_Prices!K400-1</f>
        <v>-0.0147934281982539</v>
      </c>
      <c r="L401" s="32" t="n">
        <f aca="false">Data_Prices!L401/Data_Prices!L400-1</f>
        <v>0.0178041543026708</v>
      </c>
      <c r="M401" s="32" t="n">
        <f aca="false">Data_Prices!M401/Data_Prices!M400-1</f>
        <v>0.00219869431383835</v>
      </c>
      <c r="N401" s="32" t="n">
        <f aca="false">Data_Prices!N401/Data_Prices!N400-1</f>
        <v>0.129968399385382</v>
      </c>
      <c r="O401" s="32" t="n">
        <f aca="false">Data_Prices!O401/Data_Prices!O400-1</f>
        <v>0.0149608976538591</v>
      </c>
      <c r="P401" s="32" t="n">
        <f aca="false">Data_Prices!P401/Data_Prices!P400-1</f>
        <v>-0.00708049563469437</v>
      </c>
      <c r="Q401" s="32" t="n">
        <f aca="false">Data_Prices!Q401/Data_Prices!Q400-1</f>
        <v>0.00749442981567761</v>
      </c>
      <c r="R401" s="32" t="n">
        <f aca="false">Data_Prices!R401/Data_Prices!R400-1</f>
        <v>0.0521501116473386</v>
      </c>
      <c r="S401" s="32" t="n">
        <f aca="false">Data_Prices!S401/Data_Prices!S400-1</f>
        <v>0.00782219021325958</v>
      </c>
      <c r="T401" s="32" t="n">
        <f aca="false">AVERAGE(D401:S401)</f>
        <v>0.0200105019789418</v>
      </c>
      <c r="U401" s="32" t="n">
        <f aca="false">AVERAGE(J401:S401)</f>
        <v>0.0227567271254293</v>
      </c>
      <c r="V401" s="32" t="n">
        <f aca="false">AVERAGE(D401:I401)</f>
        <v>0.0154334600681294</v>
      </c>
      <c r="W401" s="32" t="n">
        <f aca="false">AVERAGE(K401,Q401,R401)</f>
        <v>0.0149503710882541</v>
      </c>
      <c r="X401" s="32" t="n">
        <f aca="false">AVERAGE(K401,L401,N401,O401,P401,Q401,R401,S401)</f>
        <v>0.026040782398155</v>
      </c>
      <c r="Y401" s="32" t="n">
        <f aca="false">AVERAGE(J401,L401,M401,N401,O401,P401,Q401,R401,S401)</f>
        <v>0.0269289666058385</v>
      </c>
      <c r="Z401" s="32" t="n">
        <f aca="false">U401-V401</f>
        <v>0.00732326705729992</v>
      </c>
      <c r="AA401" s="32" t="n">
        <f aca="false">W401-V401</f>
        <v>-0.000483088979875274</v>
      </c>
    </row>
    <row r="402" customFormat="false" ht="15" hidden="false" customHeight="false" outlineLevel="0" collapsed="false">
      <c r="A402" s="28" t="n">
        <f aca="false">Data_Prices!A402</f>
        <v>45390</v>
      </c>
      <c r="B402" s="32" t="n">
        <f aca="false">Data_Prices!B402/Data_Prices!B401-1</f>
        <v>0.0067780951154186</v>
      </c>
      <c r="C402" s="32" t="n">
        <f aca="false">Data_Prices!C402/Data_Prices!C401-1</f>
        <v>0.00502049229788892</v>
      </c>
      <c r="D402" s="32" t="n">
        <f aca="false">Data_Prices!D402/Data_Prices!D401-1</f>
        <v>0.0171718119545838</v>
      </c>
      <c r="E402" s="32" t="n">
        <f aca="false">Data_Prices!E402/Data_Prices!E401-1</f>
        <v>0.00012517994617256</v>
      </c>
      <c r="F402" s="32" t="n">
        <f aca="false">Data_Prices!F402/Data_Prices!F401-1</f>
        <v>-0.00937451174418003</v>
      </c>
      <c r="G402" s="32" t="n">
        <f aca="false">Data_Prices!G402/Data_Prices!G401-1</f>
        <v>0.00388018004035384</v>
      </c>
      <c r="H402" s="32" t="n">
        <f aca="false">Data_Prices!H402/Data_Prices!H401-1</f>
        <v>-0.0108766023565972</v>
      </c>
      <c r="I402" s="32" t="n">
        <f aca="false">Data_Prices!I402/Data_Prices!I401-1</f>
        <v>0.0163154316791299</v>
      </c>
      <c r="J402" s="32" t="n">
        <f aca="false">Data_Prices!J402/Data_Prices!J401-1</f>
        <v>-0.0308701706355763</v>
      </c>
      <c r="K402" s="32" t="n">
        <f aca="false">Data_Prices!K402/Data_Prices!K401-1</f>
        <v>0.000404694455685917</v>
      </c>
      <c r="L402" s="32" t="n">
        <f aca="false">Data_Prices!L402/Data_Prices!L401-1</f>
        <v>-0.0119903092021518</v>
      </c>
      <c r="M402" s="32" t="n">
        <f aca="false">Data_Prices!M402/Data_Prices!M401-1</f>
        <v>-0.00637910085054683</v>
      </c>
      <c r="N402" s="32" t="n">
        <f aca="false">Data_Prices!N402/Data_Prices!N401-1</f>
        <v>0.058805418719212</v>
      </c>
      <c r="O402" s="32" t="n">
        <f aca="false">Data_Prices!O402/Data_Prices!O401-1</f>
        <v>0.00134003350083733</v>
      </c>
      <c r="P402" s="32" t="n">
        <f aca="false">Data_Prices!P402/Data_Prices!P401-1</f>
        <v>0.0117540413959814</v>
      </c>
      <c r="Q402" s="32" t="n">
        <f aca="false">Data_Prices!Q402/Data_Prices!Q401-1</f>
        <v>-0.0174909529553678</v>
      </c>
      <c r="R402" s="32" t="n">
        <f aca="false">Data_Prices!R402/Data_Prices!R401-1</f>
        <v>-0.00965290614089143</v>
      </c>
      <c r="S402" s="32" t="n">
        <f aca="false">Data_Prices!S402/Data_Prices!S401-1</f>
        <v>0.0199892808225977</v>
      </c>
      <c r="T402" s="32" t="n">
        <f aca="false">AVERAGE(D402:S402)</f>
        <v>0.00207196991432768</v>
      </c>
      <c r="U402" s="32" t="n">
        <f aca="false">AVERAGE(J402:S402)</f>
        <v>0.001591002910978</v>
      </c>
      <c r="V402" s="32" t="n">
        <f aca="false">AVERAGE(D402:I402)</f>
        <v>0.00287358158657715</v>
      </c>
      <c r="W402" s="32" t="n">
        <f aca="false">AVERAGE(K402,Q402,R402)</f>
        <v>-0.00891305488019112</v>
      </c>
      <c r="X402" s="32" t="n">
        <f aca="false">AVERAGE(K402,L402,N402,O402,P402,Q402,R402,S402)</f>
        <v>0.00664491257448789</v>
      </c>
      <c r="Y402" s="32" t="n">
        <f aca="false">AVERAGE(J402,L402,M402,N402,O402,P402,Q402,R402,S402)</f>
        <v>0.00172281496156601</v>
      </c>
      <c r="Z402" s="32" t="n">
        <f aca="false">U402-V402</f>
        <v>-0.00128257867559915</v>
      </c>
      <c r="AA402" s="32" t="n">
        <f aca="false">W402-V402</f>
        <v>-0.0117866364667683</v>
      </c>
    </row>
    <row r="403" customFormat="false" ht="15" hidden="false" customHeight="false" outlineLevel="0" collapsed="false">
      <c r="A403" s="28" t="n">
        <f aca="false">Data_Prices!A403</f>
        <v>45391</v>
      </c>
      <c r="B403" s="32" t="n">
        <f aca="false">Data_Prices!B403/Data_Prices!B402-1</f>
        <v>-0.00103898739538433</v>
      </c>
      <c r="C403" s="32" t="n">
        <f aca="false">Data_Prices!C403/Data_Prices!C402-1</f>
        <v>-0.00136413197496521</v>
      </c>
      <c r="D403" s="32" t="n">
        <f aca="false">Data_Prices!D403/Data_Prices!D402-1</f>
        <v>-0.025830258302583</v>
      </c>
      <c r="E403" s="32" t="n">
        <f aca="false">Data_Prices!E403/Data_Prices!E402-1</f>
        <v>0.0145190562613429</v>
      </c>
      <c r="F403" s="32" t="n">
        <f aca="false">Data_Prices!F403/Data_Prices!F402-1</f>
        <v>-0.0153514536564848</v>
      </c>
      <c r="G403" s="32" t="n">
        <f aca="false">Data_Prices!G403/Data_Prices!G402-1</f>
        <v>0.00703463203463217</v>
      </c>
      <c r="H403" s="32" t="n">
        <f aca="false">Data_Prices!H403/Data_Prices!H402-1</f>
        <v>0.0007854431208274</v>
      </c>
      <c r="I403" s="32" t="n">
        <f aca="false">Data_Prices!I403/Data_Prices!I402-1</f>
        <v>-0.021850613154961</v>
      </c>
      <c r="J403" s="32" t="n">
        <f aca="false">Data_Prices!J403/Data_Prices!J402-1</f>
        <v>-0.00601514745634768</v>
      </c>
      <c r="K403" s="32" t="n">
        <f aca="false">Data_Prices!K403/Data_Prices!K402-1</f>
        <v>0.00209240040174086</v>
      </c>
      <c r="L403" s="32" t="n">
        <f aca="false">Data_Prices!L403/Data_Prices!L402-1</f>
        <v>0.00586010556502226</v>
      </c>
      <c r="M403" s="32" t="n">
        <f aca="false">Data_Prices!M403/Data_Prices!M402-1</f>
        <v>-0.0133836067801216</v>
      </c>
      <c r="N403" s="32" t="n">
        <f aca="false">Data_Prices!N403/Data_Prices!N402-1</f>
        <v>0.0446108364834739</v>
      </c>
      <c r="O403" s="32" t="n">
        <f aca="false">Data_Prices!O403/Data_Prices!O402-1</f>
        <v>0.00217464034794257</v>
      </c>
      <c r="P403" s="32" t="n">
        <f aca="false">Data_Prices!P403/Data_Prices!P402-1</f>
        <v>0.00092581531477709</v>
      </c>
      <c r="Q403" s="32" t="n">
        <f aca="false">Data_Prices!Q403/Data_Prices!Q402-1</f>
        <v>0.00532023736443632</v>
      </c>
      <c r="R403" s="32" t="n">
        <f aca="false">Data_Prices!R403/Data_Prices!R402-1</f>
        <v>0.0398175031107426</v>
      </c>
      <c r="S403" s="32" t="n">
        <f aca="false">Data_Prices!S403/Data_Prices!S402-1</f>
        <v>-0.00731745290362773</v>
      </c>
      <c r="T403" s="32" t="n">
        <f aca="false">AVERAGE(D403:S403)</f>
        <v>0.00208700860942576</v>
      </c>
      <c r="U403" s="32" t="n">
        <f aca="false">AVERAGE(J403:S403)</f>
        <v>0.00740853314480385</v>
      </c>
      <c r="V403" s="32" t="n">
        <f aca="false">AVERAGE(D403:I403)</f>
        <v>-0.00678219894953773</v>
      </c>
      <c r="W403" s="32" t="n">
        <f aca="false">AVERAGE(K403,Q403,R403)</f>
        <v>0.0157433802923066</v>
      </c>
      <c r="X403" s="32" t="n">
        <f aca="false">AVERAGE(K403,L403,N403,O403,P403,Q403,R403,S403)</f>
        <v>0.0116855107105635</v>
      </c>
      <c r="Y403" s="32" t="n">
        <f aca="false">AVERAGE(J403,L403,M403,N403,O403,P403,Q403,R403,S403)</f>
        <v>0.00799921456069974</v>
      </c>
      <c r="Z403" s="32" t="n">
        <f aca="false">U403-V403</f>
        <v>0.0141907320943416</v>
      </c>
      <c r="AA403" s="32" t="n">
        <f aca="false">W403-V403</f>
        <v>0.0225255792418443</v>
      </c>
    </row>
    <row r="404" customFormat="false" ht="15" hidden="false" customHeight="false" outlineLevel="0" collapsed="false">
      <c r="A404" s="28" t="n">
        <f aca="false">Data_Prices!A404</f>
        <v>45392</v>
      </c>
      <c r="B404" s="32" t="n">
        <f aca="false">Data_Prices!B404/Data_Prices!B403-1</f>
        <v>0.00490443961091303</v>
      </c>
      <c r="C404" s="32" t="n">
        <f aca="false">Data_Prices!C404/Data_Prices!C403-1</f>
        <v>0.00598825436372996</v>
      </c>
      <c r="D404" s="32" t="n">
        <f aca="false">Data_Prices!D404/Data_Prices!D403-1</f>
        <v>-0.00284090909090906</v>
      </c>
      <c r="E404" s="32" t="n">
        <f aca="false">Data_Prices!E404/Data_Prices!E403-1</f>
        <v>-0.00308432545802229</v>
      </c>
      <c r="F404" s="32" t="n">
        <f aca="false">Data_Prices!F404/Data_Prices!F403-1</f>
        <v>-0.039137166960329</v>
      </c>
      <c r="G404" s="32" t="n">
        <f aca="false">Data_Prices!G404/Data_Prices!G403-1</f>
        <v>-0.00353112765794128</v>
      </c>
      <c r="H404" s="32" t="n">
        <f aca="false">Data_Prices!H404/Data_Prices!H403-1</f>
        <v>0.00588620013080443</v>
      </c>
      <c r="I404" s="32" t="n">
        <f aca="false">Data_Prices!I404/Data_Prices!I403-1</f>
        <v>-0.00182356963756558</v>
      </c>
      <c r="J404" s="32" t="n">
        <f aca="false">Data_Prices!J404/Data_Prices!J403-1</f>
        <v>0.019575656605253</v>
      </c>
      <c r="K404" s="32" t="n">
        <f aca="false">Data_Prices!K404/Data_Prices!K403-1</f>
        <v>0.00509479662574131</v>
      </c>
      <c r="L404" s="32" t="n">
        <f aca="false">Data_Prices!L404/Data_Prices!L403-1</f>
        <v>-0.0151227171308156</v>
      </c>
      <c r="M404" s="32" t="n">
        <f aca="false">Data_Prices!M404/Data_Prices!M403-1</f>
        <v>-0.016457221552763</v>
      </c>
      <c r="N404" s="32" t="n">
        <f aca="false">Data_Prices!N404/Data_Prices!N403-1</f>
        <v>-0.0172353800830452</v>
      </c>
      <c r="O404" s="32" t="n">
        <f aca="false">Data_Prices!O404/Data_Prices!O403-1</f>
        <v>0.00851276915373056</v>
      </c>
      <c r="P404" s="32" t="n">
        <f aca="false">Data_Prices!P404/Data_Prices!P403-1</f>
        <v>-0.0156944651648515</v>
      </c>
      <c r="Q404" s="32" t="n">
        <f aca="false">Data_Prices!Q404/Data_Prices!Q403-1</f>
        <v>0.00692041522491338</v>
      </c>
      <c r="R404" s="32" t="n">
        <f aca="false">Data_Prices!R404/Data_Prices!R403-1</f>
        <v>-0.00545140273899747</v>
      </c>
      <c r="S404" s="32" t="n">
        <f aca="false">Data_Prices!S404/Data_Prices!S403-1</f>
        <v>-0.008763331242158</v>
      </c>
      <c r="T404" s="32" t="n">
        <f aca="false">AVERAGE(D404:S404)</f>
        <v>-0.0051969861860597</v>
      </c>
      <c r="U404" s="32" t="n">
        <f aca="false">AVERAGE(J404:S404)</f>
        <v>-0.00386208803029925</v>
      </c>
      <c r="V404" s="32" t="n">
        <f aca="false">AVERAGE(D404:I404)</f>
        <v>-0.00742181644566046</v>
      </c>
      <c r="W404" s="32" t="n">
        <f aca="false">AVERAGE(K404,Q404,R404)</f>
        <v>0.00218793637055241</v>
      </c>
      <c r="X404" s="32" t="n">
        <f aca="false">AVERAGE(K404,L404,N404,O404,P404,Q404,R404,S404)</f>
        <v>-0.00521741441943531</v>
      </c>
      <c r="Y404" s="32" t="n">
        <f aca="false">AVERAGE(J404,L404,M404,N404,O404,P404,Q404,R404,S404)</f>
        <v>-0.00485729743652598</v>
      </c>
      <c r="Z404" s="32" t="n">
        <f aca="false">U404-V404</f>
        <v>0.00355972841536121</v>
      </c>
      <c r="AA404" s="32" t="n">
        <f aca="false">W404-V404</f>
        <v>0.00960975281621287</v>
      </c>
    </row>
    <row r="405" customFormat="false" ht="15" hidden="false" customHeight="false" outlineLevel="0" collapsed="false">
      <c r="A405" s="28" t="n">
        <f aca="false">Data_Prices!A405</f>
        <v>45394</v>
      </c>
      <c r="B405" s="32" t="n">
        <f aca="false">Data_Prices!B405/Data_Prices!B404-1</f>
        <v>-0.0103015760004921</v>
      </c>
      <c r="C405" s="32" t="n">
        <f aca="false">Data_Prices!C405/Data_Prices!C404-1</f>
        <v>-0.00811371634026936</v>
      </c>
      <c r="D405" s="32" t="n">
        <f aca="false">Data_Prices!D405/Data_Prices!D404-1</f>
        <v>-0.0066793289015511</v>
      </c>
      <c r="E405" s="32" t="n">
        <f aca="false">Data_Prices!E405/Data_Prices!E404-1</f>
        <v>-0.0275973021471443</v>
      </c>
      <c r="F405" s="32" t="n">
        <f aca="false">Data_Prices!F405/Data_Prices!F404-1</f>
        <v>-0.00116692598355184</v>
      </c>
      <c r="G405" s="32" t="n">
        <f aca="false">Data_Prices!G405/Data_Prices!G404-1</f>
        <v>-0.000847392342654629</v>
      </c>
      <c r="H405" s="32" t="n">
        <f aca="false">Data_Prices!H405/Data_Prices!H404-1</f>
        <v>-0.00799739921976594</v>
      </c>
      <c r="I405" s="32" t="n">
        <f aca="false">Data_Prices!I405/Data_Prices!I404-1</f>
        <v>0.0534368577300755</v>
      </c>
      <c r="J405" s="32" t="n">
        <f aca="false">Data_Prices!J405/Data_Prices!J404-1</f>
        <v>-0.0417397572990508</v>
      </c>
      <c r="K405" s="32" t="n">
        <f aca="false">Data_Prices!K405/Data_Prices!K404-1</f>
        <v>-9.69475375324214E-005</v>
      </c>
      <c r="L405" s="32" t="n">
        <f aca="false">Data_Prices!L405/Data_Prices!L404-1</f>
        <v>-0.0119147507971137</v>
      </c>
      <c r="M405" s="32" t="n">
        <f aca="false">Data_Prices!M405/Data_Prices!M404-1</f>
        <v>0.0301396716491058</v>
      </c>
      <c r="N405" s="32" t="n">
        <f aca="false">Data_Prices!N405/Data_Prices!N404-1</f>
        <v>-0.0359958457253458</v>
      </c>
      <c r="O405" s="32" t="n">
        <f aca="false">Data_Prices!O405/Data_Prices!O404-1</f>
        <v>0.00446871896722922</v>
      </c>
      <c r="P405" s="32" t="n">
        <f aca="false">Data_Prices!P405/Data_Prices!P404-1</f>
        <v>0.0108521022158901</v>
      </c>
      <c r="Q405" s="32" t="n">
        <f aca="false">Data_Prices!Q405/Data_Prices!Q404-1</f>
        <v>-0.00293106933495046</v>
      </c>
      <c r="R405" s="32" t="n">
        <f aca="false">Data_Prices!R405/Data_Prices!R404-1</f>
        <v>-0.013836898395722</v>
      </c>
      <c r="S405" s="32" t="n">
        <f aca="false">Data_Prices!S405/Data_Prices!S404-1</f>
        <v>-0.0167915982674394</v>
      </c>
      <c r="T405" s="32" t="n">
        <f aca="false">AVERAGE(D405:S405)</f>
        <v>-0.00429361658684511</v>
      </c>
      <c r="U405" s="32" t="n">
        <f aca="false">AVERAGE(J405:S405)</f>
        <v>-0.00778463745249294</v>
      </c>
      <c r="V405" s="32" t="n">
        <f aca="false">AVERAGE(D405:I405)</f>
        <v>0.00152475152256794</v>
      </c>
      <c r="W405" s="32" t="n">
        <f aca="false">AVERAGE(K405,Q405,R405)</f>
        <v>-0.00562163842273496</v>
      </c>
      <c r="X405" s="32" t="n">
        <f aca="false">AVERAGE(K405,L405,N405,O405,P405,Q405,R405,S405)</f>
        <v>-0.00828078610937305</v>
      </c>
      <c r="Y405" s="32" t="n">
        <f aca="false">AVERAGE(J405,L405,M405,N405,O405,P405,Q405,R405,S405)</f>
        <v>-0.00863882522082188</v>
      </c>
      <c r="Z405" s="32" t="n">
        <f aca="false">U405-V405</f>
        <v>-0.00930938897506088</v>
      </c>
      <c r="AA405" s="32" t="n">
        <f aca="false">W405-V405</f>
        <v>-0.0071463899453029</v>
      </c>
    </row>
    <row r="406" customFormat="false" ht="15" hidden="false" customHeight="false" outlineLevel="0" collapsed="false">
      <c r="A406" s="28" t="n">
        <f aca="false">Data_Prices!A406</f>
        <v>45397</v>
      </c>
      <c r="B406" s="32" t="n">
        <f aca="false">Data_Prices!B406/Data_Prices!B405-1</f>
        <v>-0.0109638800323277</v>
      </c>
      <c r="C406" s="32" t="n">
        <f aca="false">Data_Prices!C406/Data_Prices!C405-1</f>
        <v>-0.0128582102142634</v>
      </c>
      <c r="D406" s="32" t="n">
        <f aca="false">Data_Prices!D406/Data_Prices!D405-1</f>
        <v>-0.0121100098792186</v>
      </c>
      <c r="E406" s="32" t="n">
        <f aca="false">Data_Prices!E406/Data_Prices!E405-1</f>
        <v>-0.012663060769965</v>
      </c>
      <c r="F406" s="32" t="n">
        <f aca="false">Data_Prices!F406/Data_Prices!F405-1</f>
        <v>-0.00183588317107086</v>
      </c>
      <c r="G406" s="32" t="n">
        <f aca="false">Data_Prices!G406/Data_Prices!G405-1</f>
        <v>-0.015497301464919</v>
      </c>
      <c r="H406" s="32" t="n">
        <f aca="false">Data_Prices!H406/Data_Prices!H405-1</f>
        <v>-0.0323785803237858</v>
      </c>
      <c r="I406" s="32" t="n">
        <f aca="false">Data_Prices!I406/Data_Prices!I405-1</f>
        <v>-0.0363104270539779</v>
      </c>
      <c r="J406" s="32" t="n">
        <f aca="false">Data_Prices!J406/Data_Prices!J405-1</f>
        <v>-0.021039169466874</v>
      </c>
      <c r="K406" s="32" t="n">
        <f aca="false">Data_Prices!K406/Data_Prices!K405-1</f>
        <v>-0.021205867279804</v>
      </c>
      <c r="L406" s="32" t="n">
        <f aca="false">Data_Prices!L406/Data_Prices!L405-1</f>
        <v>-0.0135020380434782</v>
      </c>
      <c r="M406" s="32" t="n">
        <f aca="false">Data_Prices!M406/Data_Prices!M405-1</f>
        <v>-0.000679624847084392</v>
      </c>
      <c r="N406" s="32" t="n">
        <f aca="false">Data_Prices!N406/Data_Prices!N405-1</f>
        <v>0.0255625474400725</v>
      </c>
      <c r="O406" s="32" t="n">
        <f aca="false">Data_Prices!O406/Data_Prices!O405-1</f>
        <v>-0.0416872631405503</v>
      </c>
      <c r="P406" s="32" t="n">
        <f aca="false">Data_Prices!P406/Data_Prices!P405-1</f>
        <v>-0.0117851680810867</v>
      </c>
      <c r="Q406" s="32" t="n">
        <f aca="false">Data_Prices!Q406/Data_Prices!Q405-1</f>
        <v>-0.0246325392802838</v>
      </c>
      <c r="R406" s="32" t="n">
        <f aca="false">Data_Prices!R406/Data_Prices!R405-1</f>
        <v>-0.0220294177455432</v>
      </c>
      <c r="S406" s="32" t="n">
        <f aca="false">Data_Prices!S406/Data_Prices!S405-1</f>
        <v>-0.0285444158352108</v>
      </c>
      <c r="T406" s="32" t="n">
        <f aca="false">AVERAGE(D406:S406)</f>
        <v>-0.0168961386839238</v>
      </c>
      <c r="U406" s="32" t="n">
        <f aca="false">AVERAGE(J406:S406)</f>
        <v>-0.0159542956279843</v>
      </c>
      <c r="V406" s="32" t="n">
        <f aca="false">AVERAGE(D406:I406)</f>
        <v>-0.0184658771104895</v>
      </c>
      <c r="W406" s="32" t="n">
        <f aca="false">AVERAGE(K406,Q406,R406)</f>
        <v>-0.022622608101877</v>
      </c>
      <c r="X406" s="32" t="n">
        <f aca="false">AVERAGE(K406,L406,N406,O406,P406,Q406,R406,S406)</f>
        <v>-0.0172280202457356</v>
      </c>
      <c r="Y406" s="32" t="n">
        <f aca="false">AVERAGE(J406,L406,M406,N406,O406,P406,Q406,R406,S406)</f>
        <v>-0.015370787666671</v>
      </c>
      <c r="Z406" s="32" t="n">
        <f aca="false">U406-V406</f>
        <v>0.00251158148250526</v>
      </c>
      <c r="AA406" s="32" t="n">
        <f aca="false">W406-V406</f>
        <v>-0.00415673099138745</v>
      </c>
    </row>
    <row r="407" customFormat="false" ht="15" hidden="false" customHeight="false" outlineLevel="0" collapsed="false">
      <c r="A407" s="28" t="n">
        <f aca="false">Data_Prices!A407</f>
        <v>45398</v>
      </c>
      <c r="B407" s="32" t="n">
        <f aca="false">Data_Prices!B407/Data_Prices!B406-1</f>
        <v>-0.00559434279941629</v>
      </c>
      <c r="C407" s="32" t="n">
        <f aca="false">Data_Prices!C407/Data_Prices!C406-1</f>
        <v>-0.00272233412683875</v>
      </c>
      <c r="D407" s="32" t="n">
        <f aca="false">Data_Prices!D407/Data_Prices!D406-1</f>
        <v>-0.00516145682118774</v>
      </c>
      <c r="E407" s="32" t="n">
        <f aca="false">Data_Prices!E407/Data_Prices!E406-1</f>
        <v>-0.0136633152874451</v>
      </c>
      <c r="F407" s="32" t="n">
        <f aca="false">Data_Prices!F407/Data_Prices!F406-1</f>
        <v>-0.0120387916620222</v>
      </c>
      <c r="G407" s="32" t="n">
        <f aca="false">Data_Prices!G407/Data_Prices!G406-1</f>
        <v>0.0244341765212623</v>
      </c>
      <c r="H407" s="32" t="n">
        <f aca="false">Data_Prices!H407/Data_Prices!H406-1</f>
        <v>0.0139538034274878</v>
      </c>
      <c r="I407" s="32" t="n">
        <f aca="false">Data_Prices!I407/Data_Prices!I406-1</f>
        <v>0.0426273759982003</v>
      </c>
      <c r="J407" s="32" t="n">
        <f aca="false">Data_Prices!J407/Data_Prices!J406-1</f>
        <v>0.025359256128487</v>
      </c>
      <c r="K407" s="32" t="n">
        <f aca="false">Data_Prices!K407/Data_Prices!K406-1</f>
        <v>-0.0172360116604873</v>
      </c>
      <c r="L407" s="32" t="n">
        <f aca="false">Data_Prices!L407/Data_Prices!L406-1</f>
        <v>-0.0272875957648274</v>
      </c>
      <c r="M407" s="32" t="n">
        <f aca="false">Data_Prices!M407/Data_Prices!M406-1</f>
        <v>-0.0151999455930359</v>
      </c>
      <c r="N407" s="32" t="n">
        <f aca="false">Data_Prices!N407/Data_Prices!N406-1</f>
        <v>-0.0212247821415782</v>
      </c>
      <c r="O407" s="32" t="n">
        <f aca="false">Data_Prices!O407/Data_Prices!O406-1</f>
        <v>-0.00962861072902344</v>
      </c>
      <c r="P407" s="32" t="n">
        <f aca="false">Data_Prices!P407/Data_Prices!P406-1</f>
        <v>-0.00876980032772956</v>
      </c>
      <c r="Q407" s="32" t="n">
        <f aca="false">Data_Prices!Q407/Data_Prices!Q406-1</f>
        <v>0.0169403450426107</v>
      </c>
      <c r="R407" s="32" t="n">
        <f aca="false">Data_Prices!R407/Data_Prices!R406-1</f>
        <v>0.00609925145550316</v>
      </c>
      <c r="S407" s="32" t="n">
        <f aca="false">Data_Prices!S407/Data_Prices!S406-1</f>
        <v>-0.00575652786118075</v>
      </c>
      <c r="T407" s="32" t="n">
        <f aca="false">AVERAGE(D407:S407)</f>
        <v>-0.000409539329685397</v>
      </c>
      <c r="U407" s="32" t="n">
        <f aca="false">AVERAGE(J407:S407)</f>
        <v>-0.00567044214512618</v>
      </c>
      <c r="V407" s="32" t="n">
        <f aca="false">AVERAGE(D407:I407)</f>
        <v>0.00835863202938257</v>
      </c>
      <c r="W407" s="32" t="n">
        <f aca="false">AVERAGE(K407,Q407,R407)</f>
        <v>0.00193452827920885</v>
      </c>
      <c r="X407" s="32" t="n">
        <f aca="false">AVERAGE(K407,L407,N407,O407,P407,Q407,R407,S407)</f>
        <v>-0.0083579664983391</v>
      </c>
      <c r="Y407" s="32" t="n">
        <f aca="false">AVERAGE(J407,L407,M407,N407,O407,P407,Q407,R407,S407)</f>
        <v>-0.00438537886564161</v>
      </c>
      <c r="Z407" s="32" t="n">
        <f aca="false">U407-V407</f>
        <v>-0.0140290741745087</v>
      </c>
      <c r="AA407" s="32" t="n">
        <f aca="false">W407-V407</f>
        <v>-0.00642410375017371</v>
      </c>
    </row>
    <row r="408" customFormat="false" ht="15" hidden="false" customHeight="false" outlineLevel="0" collapsed="false">
      <c r="A408" s="28" t="n">
        <f aca="false">Data_Prices!A408</f>
        <v>45400</v>
      </c>
      <c r="B408" s="32" t="n">
        <f aca="false">Data_Prices!B408/Data_Prices!B407-1</f>
        <v>-0.00686521069717683</v>
      </c>
      <c r="C408" s="32" t="n">
        <f aca="false">Data_Prices!C408/Data_Prices!C407-1</f>
        <v>-0.00481320080301617</v>
      </c>
      <c r="D408" s="32" t="n">
        <f aca="false">Data_Prices!D408/Data_Prices!D407-1</f>
        <v>-0.00839845649988658</v>
      </c>
      <c r="E408" s="32" t="n">
        <f aca="false">Data_Prices!E408/Data_Prices!E407-1</f>
        <v>-0.00405122843701</v>
      </c>
      <c r="F408" s="32" t="n">
        <f aca="false">Data_Prices!F408/Data_Prices!F407-1</f>
        <v>-0.0056414306668171</v>
      </c>
      <c r="G408" s="32" t="n">
        <f aca="false">Data_Prices!G408/Data_Prices!G407-1</f>
        <v>-0.0178120938766149</v>
      </c>
      <c r="H408" s="32" t="n">
        <f aca="false">Data_Prices!H408/Data_Prices!H407-1</f>
        <v>0.00487674527356541</v>
      </c>
      <c r="I408" s="32" t="n">
        <f aca="false">Data_Prices!I408/Data_Prices!I407-1</f>
        <v>0.0120819848975189</v>
      </c>
      <c r="J408" s="32" t="n">
        <f aca="false">Data_Prices!J408/Data_Prices!J407-1</f>
        <v>-0.00312273601638813</v>
      </c>
      <c r="K408" s="32" t="n">
        <f aca="false">Data_Prices!K408/Data_Prices!K407-1</f>
        <v>-0.00878355028222555</v>
      </c>
      <c r="L408" s="32" t="n">
        <f aca="false">Data_Prices!L408/Data_Prices!L407-1</f>
        <v>-0.00991150442477884</v>
      </c>
      <c r="M408" s="32" t="n">
        <f aca="false">Data_Prices!M408/Data_Prices!M407-1</f>
        <v>-0.0154690791063844</v>
      </c>
      <c r="N408" s="32" t="n">
        <f aca="false">Data_Prices!N408/Data_Prices!N407-1</f>
        <v>-0.00568348131525021</v>
      </c>
      <c r="O408" s="32" t="n">
        <f aca="false">Data_Prices!O408/Data_Prices!O407-1</f>
        <v>0.010763888888889</v>
      </c>
      <c r="P408" s="32" t="n">
        <f aca="false">Data_Prices!P408/Data_Prices!P407-1</f>
        <v>0.0137455992652686</v>
      </c>
      <c r="Q408" s="32" t="n">
        <f aca="false">Data_Prices!Q408/Data_Prices!Q407-1</f>
        <v>0.0229943791517628</v>
      </c>
      <c r="R408" s="32" t="n">
        <f aca="false">Data_Prices!R408/Data_Prices!R407-1</f>
        <v>0.000275558004960041</v>
      </c>
      <c r="S408" s="32" t="n">
        <f aca="false">Data_Prices!S408/Data_Prices!S407-1</f>
        <v>-0.0122045194210142</v>
      </c>
      <c r="T408" s="32" t="n">
        <f aca="false">AVERAGE(D408:S408)</f>
        <v>-0.00164624528527531</v>
      </c>
      <c r="U408" s="32" t="n">
        <f aca="false">AVERAGE(J408:S408)</f>
        <v>-0.000739544525516078</v>
      </c>
      <c r="V408" s="32" t="n">
        <f aca="false">AVERAGE(D408:I408)</f>
        <v>-0.00315741321820738</v>
      </c>
      <c r="W408" s="32" t="n">
        <f aca="false">AVERAGE(K408,Q408,R408)</f>
        <v>0.00482879562483244</v>
      </c>
      <c r="X408" s="32" t="n">
        <f aca="false">AVERAGE(K408,L408,N408,O408,P408,Q408,R408,S408)</f>
        <v>0.00139954623345147</v>
      </c>
      <c r="Y408" s="32" t="n">
        <f aca="false">AVERAGE(J408,L408,M408,N408,O408,P408,Q408,R408,S408)</f>
        <v>0.000154233891896085</v>
      </c>
      <c r="Z408" s="32" t="n">
        <f aca="false">U408-V408</f>
        <v>0.0024178686926913</v>
      </c>
      <c r="AA408" s="32" t="n">
        <f aca="false">W408-V408</f>
        <v>0.00798620884303982</v>
      </c>
    </row>
    <row r="409" customFormat="false" ht="15" hidden="false" customHeight="false" outlineLevel="0" collapsed="false">
      <c r="A409" s="28" t="n">
        <f aca="false">Data_Prices!A409</f>
        <v>45401</v>
      </c>
      <c r="B409" s="32" t="n">
        <f aca="false">Data_Prices!B409/Data_Prices!B408-1</f>
        <v>0.00687175080753866</v>
      </c>
      <c r="C409" s="32" t="n">
        <f aca="false">Data_Prices!C409/Data_Prices!C408-1</f>
        <v>0.00297667370244081</v>
      </c>
      <c r="D409" s="32" t="n">
        <f aca="false">Data_Prices!D409/Data_Prices!D408-1</f>
        <v>0.0126553302812296</v>
      </c>
      <c r="E409" s="32" t="n">
        <f aca="false">Data_Prices!E409/Data_Prices!E408-1</f>
        <v>-0.00957879543367024</v>
      </c>
      <c r="F409" s="32" t="n">
        <f aca="false">Data_Prices!F409/Data_Prices!F408-1</f>
        <v>-0.00119142176330411</v>
      </c>
      <c r="G409" s="32" t="n">
        <f aca="false">Data_Prices!G409/Data_Prices!G408-1</f>
        <v>0.000856164383561842</v>
      </c>
      <c r="H409" s="32" t="n">
        <f aca="false">Data_Prices!H409/Data_Prices!H408-1</f>
        <v>0.0262598058768782</v>
      </c>
      <c r="I409" s="32" t="n">
        <f aca="false">Data_Prices!I409/Data_Prices!I408-1</f>
        <v>0.0674696226817309</v>
      </c>
      <c r="J409" s="32" t="n">
        <f aca="false">Data_Prices!J409/Data_Prices!J408-1</f>
        <v>-0.0164143945469126</v>
      </c>
      <c r="K409" s="32" t="n">
        <f aca="false">Data_Prices!K409/Data_Prices!K408-1</f>
        <v>0.0328307039716436</v>
      </c>
      <c r="L409" s="32" t="n">
        <f aca="false">Data_Prices!L409/Data_Prices!L408-1</f>
        <v>0.00835716839470879</v>
      </c>
      <c r="M409" s="32" t="n">
        <f aca="false">Data_Prices!M409/Data_Prices!M408-1</f>
        <v>0.00813663942762943</v>
      </c>
      <c r="N409" s="32" t="n">
        <f aca="false">Data_Prices!N409/Data_Prices!N408-1</f>
        <v>-0.0322841792802295</v>
      </c>
      <c r="O409" s="32" t="n">
        <f aca="false">Data_Prices!O409/Data_Prices!O408-1</f>
        <v>-0.0273102026794917</v>
      </c>
      <c r="P409" s="32" t="n">
        <f aca="false">Data_Prices!P409/Data_Prices!P408-1</f>
        <v>-0.00238569789213028</v>
      </c>
      <c r="Q409" s="32" t="n">
        <f aca="false">Data_Prices!Q409/Data_Prices!Q408-1</f>
        <v>-0.00339660339660342</v>
      </c>
      <c r="R409" s="32" t="n">
        <f aca="false">Data_Prices!R409/Data_Prices!R408-1</f>
        <v>0.00840220385674928</v>
      </c>
      <c r="S409" s="32" t="n">
        <f aca="false">Data_Prices!S409/Data_Prices!S408-1</f>
        <v>-0.00206624638933994</v>
      </c>
      <c r="T409" s="32" t="n">
        <f aca="false">AVERAGE(D409:S409)</f>
        <v>0.0043962560932781</v>
      </c>
      <c r="U409" s="32" t="n">
        <f aca="false">AVERAGE(J409:S409)</f>
        <v>-0.00261306085339764</v>
      </c>
      <c r="V409" s="32" t="n">
        <f aca="false">AVERAGE(D409:I409)</f>
        <v>0.0160784510044043</v>
      </c>
      <c r="W409" s="32" t="n">
        <f aca="false">AVERAGE(K409,Q409,R409)</f>
        <v>0.0126121014772631</v>
      </c>
      <c r="X409" s="32" t="n">
        <f aca="false">AVERAGE(K409,L409,N409,O409,P409,Q409,R409,S409)</f>
        <v>-0.00223160667683665</v>
      </c>
      <c r="Y409" s="32" t="n">
        <f aca="false">AVERAGE(J409,L409,M409,N409,O409,P409,Q409,R409,S409)</f>
        <v>-0.00655125694506889</v>
      </c>
      <c r="Z409" s="32" t="n">
        <f aca="false">U409-V409</f>
        <v>-0.018691511857802</v>
      </c>
      <c r="AA409" s="32" t="n">
        <f aca="false">W409-V409</f>
        <v>-0.0034663495271412</v>
      </c>
    </row>
    <row r="410" customFormat="false" ht="15" hidden="false" customHeight="false" outlineLevel="0" collapsed="false">
      <c r="A410" s="28" t="n">
        <f aca="false">Data_Prices!A410</f>
        <v>45404</v>
      </c>
      <c r="B410" s="32" t="n">
        <f aca="false">Data_Prices!B410/Data_Prices!B409-1</f>
        <v>0.00855194834514839</v>
      </c>
      <c r="C410" s="32" t="n">
        <f aca="false">Data_Prices!C410/Data_Prices!C409-1</f>
        <v>0.0093033180935187</v>
      </c>
      <c r="D410" s="32" t="n">
        <f aca="false">Data_Prices!D410/Data_Prices!D409-1</f>
        <v>0.000452094164756112</v>
      </c>
      <c r="E410" s="32" t="n">
        <f aca="false">Data_Prices!E410/Data_Prices!E409-1</f>
        <v>-0.0025834658187599</v>
      </c>
      <c r="F410" s="32" t="n">
        <f aca="false">Data_Prices!F410/Data_Prices!F409-1</f>
        <v>-0.0163589889236012</v>
      </c>
      <c r="G410" s="32" t="n">
        <f aca="false">Data_Prices!G410/Data_Prices!G409-1</f>
        <v>0.0314954506571272</v>
      </c>
      <c r="H410" s="32" t="n">
        <f aca="false">Data_Prices!H410/Data_Prices!H409-1</f>
        <v>-0.00252639761611717</v>
      </c>
      <c r="I410" s="32" t="n">
        <f aca="false">Data_Prices!I410/Data_Prices!I409-1</f>
        <v>0.0263604593110336</v>
      </c>
      <c r="J410" s="32" t="n">
        <f aca="false">Data_Prices!J410/Data_Prices!J409-1</f>
        <v>0.0216566027159928</v>
      </c>
      <c r="K410" s="32" t="n">
        <f aca="false">Data_Prices!K410/Data_Prices!K409-1</f>
        <v>0.0242622858589552</v>
      </c>
      <c r="L410" s="32" t="n">
        <f aca="false">Data_Prices!L410/Data_Prices!L409-1</f>
        <v>0.010503922350751</v>
      </c>
      <c r="M410" s="32" t="n">
        <f aca="false">Data_Prices!M410/Data_Prices!M409-1</f>
        <v>0.0312402156896852</v>
      </c>
      <c r="N410" s="32" t="n">
        <f aca="false">Data_Prices!N410/Data_Prices!N409-1</f>
        <v>0.035211803178949</v>
      </c>
      <c r="O410" s="32" t="n">
        <f aca="false">Data_Prices!O410/Data_Prices!O409-1</f>
        <v>-0.0151862970157159</v>
      </c>
      <c r="P410" s="32" t="n">
        <f aca="false">Data_Prices!P410/Data_Prices!P409-1</f>
        <v>-0.00641743605267131</v>
      </c>
      <c r="Q410" s="32" t="n">
        <f aca="false">Data_Prices!Q410/Data_Prices!Q409-1</f>
        <v>-0.0103247794707299</v>
      </c>
      <c r="R410" s="32" t="n">
        <f aca="false">Data_Prices!R410/Data_Prices!R409-1</f>
        <v>0.0103810954787598</v>
      </c>
      <c r="S410" s="32" t="n">
        <f aca="false">Data_Prices!S410/Data_Prices!S409-1</f>
        <v>0.0245505060108597</v>
      </c>
      <c r="T410" s="32" t="n">
        <f aca="false">AVERAGE(D410:S410)</f>
        <v>0.0101698169074546</v>
      </c>
      <c r="U410" s="32" t="n">
        <f aca="false">AVERAGE(J410:S410)</f>
        <v>0.0125877918744836</v>
      </c>
      <c r="V410" s="32" t="n">
        <f aca="false">AVERAGE(D410:I410)</f>
        <v>0.00613985862907311</v>
      </c>
      <c r="W410" s="32" t="n">
        <f aca="false">AVERAGE(K410,Q410,R410)</f>
        <v>0.00810620062232836</v>
      </c>
      <c r="X410" s="32" t="n">
        <f aca="false">AVERAGE(K410,L410,N410,O410,P410,Q410,R410,S410)</f>
        <v>0.0091226375423947</v>
      </c>
      <c r="Y410" s="32" t="n">
        <f aca="false">AVERAGE(J410,L410,M410,N410,O410,P410,Q410,R410,S410)</f>
        <v>0.0112906258762089</v>
      </c>
      <c r="Z410" s="32" t="n">
        <f aca="false">U410-V410</f>
        <v>0.00644793324541045</v>
      </c>
      <c r="AA410" s="32" t="n">
        <f aca="false">W410-V410</f>
        <v>0.00196634199325526</v>
      </c>
    </row>
    <row r="411" customFormat="false" ht="15" hidden="false" customHeight="false" outlineLevel="0" collapsed="false">
      <c r="A411" s="28" t="n">
        <f aca="false">Data_Prices!A411</f>
        <v>45405</v>
      </c>
      <c r="B411" s="32" t="n">
        <f aca="false">Data_Prices!B411/Data_Prices!B410-1</f>
        <v>0.00141473111154888</v>
      </c>
      <c r="C411" s="32" t="n">
        <f aca="false">Data_Prices!C411/Data_Prices!C410-1</f>
        <v>0.00378131553814498</v>
      </c>
      <c r="D411" s="32" t="n">
        <f aca="false">Data_Prices!D411/Data_Prices!D410-1</f>
        <v>0.0375714147380652</v>
      </c>
      <c r="E411" s="32" t="n">
        <f aca="false">Data_Prices!E411/Data_Prices!E410-1</f>
        <v>-0.0114896725775386</v>
      </c>
      <c r="F411" s="32" t="n">
        <f aca="false">Data_Prices!F411/Data_Prices!F410-1</f>
        <v>-0.00970144944274409</v>
      </c>
      <c r="G411" s="32" t="n">
        <f aca="false">Data_Prices!G411/Data_Prices!G410-1</f>
        <v>0.0120627261761157</v>
      </c>
      <c r="H411" s="32" t="n">
        <f aca="false">Data_Prices!H411/Data_Prices!H410-1</f>
        <v>0.00285751396285239</v>
      </c>
      <c r="I411" s="32" t="n">
        <f aca="false">Data_Prices!I411/Data_Prices!I410-1</f>
        <v>-0.00515614359373484</v>
      </c>
      <c r="J411" s="32" t="n">
        <f aca="false">Data_Prices!J411/Data_Prices!J410-1</f>
        <v>0.0170079054340506</v>
      </c>
      <c r="K411" s="32" t="n">
        <f aca="false">Data_Prices!K411/Data_Prices!K410-1</f>
        <v>-0.00443541188910102</v>
      </c>
      <c r="L411" s="32" t="n">
        <f aca="false">Data_Prices!L411/Data_Prices!L410-1</f>
        <v>0.00285087719298249</v>
      </c>
      <c r="M411" s="32" t="n">
        <f aca="false">Data_Prices!M411/Data_Prices!M410-1</f>
        <v>0.0151469149546266</v>
      </c>
      <c r="N411" s="32" t="n">
        <f aca="false">Data_Prices!N411/Data_Prices!N410-1</f>
        <v>0.00450582819081191</v>
      </c>
      <c r="O411" s="32" t="n">
        <f aca="false">Data_Prices!O411/Data_Prices!O410-1</f>
        <v>-0.0552268244575939</v>
      </c>
      <c r="P411" s="32" t="n">
        <f aca="false">Data_Prices!P411/Data_Prices!P410-1</f>
        <v>-0.0144106266946958</v>
      </c>
      <c r="Q411" s="32" t="n">
        <f aca="false">Data_Prices!Q411/Data_Prices!Q410-1</f>
        <v>0.00101286336473216</v>
      </c>
      <c r="R411" s="32" t="n">
        <f aca="false">Data_Prices!R411/Data_Prices!R410-1</f>
        <v>0.0106800054075977</v>
      </c>
      <c r="S411" s="32" t="n">
        <f aca="false">Data_Prices!S411/Data_Prices!S410-1</f>
        <v>0.000948590518219161</v>
      </c>
      <c r="T411" s="32" t="n">
        <f aca="false">AVERAGE(D411:S411)</f>
        <v>0.000264031955290359</v>
      </c>
      <c r="U411" s="32" t="n">
        <f aca="false">AVERAGE(J411:S411)</f>
        <v>-0.002191987797837</v>
      </c>
      <c r="V411" s="32" t="n">
        <f aca="false">AVERAGE(D411:I411)</f>
        <v>0.00435739821050263</v>
      </c>
      <c r="W411" s="32" t="n">
        <f aca="false">AVERAGE(K411,Q411,R411)</f>
        <v>0.00241915229440962</v>
      </c>
      <c r="X411" s="32" t="n">
        <f aca="false">AVERAGE(K411,L411,N411,O411,P411,Q411,R411,S411)</f>
        <v>-0.00675933729588091</v>
      </c>
      <c r="Y411" s="32" t="n">
        <f aca="false">AVERAGE(J411,L411,M411,N411,O411,P411,Q411,R411,S411)</f>
        <v>-0.00194271845436322</v>
      </c>
      <c r="Z411" s="32" t="n">
        <f aca="false">U411-V411</f>
        <v>-0.00654938600833963</v>
      </c>
      <c r="AA411" s="32" t="n">
        <f aca="false">W411-V411</f>
        <v>-0.001938245916093</v>
      </c>
    </row>
    <row r="412" customFormat="false" ht="15" hidden="false" customHeight="false" outlineLevel="0" collapsed="false">
      <c r="A412" s="28" t="n">
        <f aca="false">Data_Prices!A412</f>
        <v>45406</v>
      </c>
      <c r="B412" s="32" t="n">
        <f aca="false">Data_Prices!B412/Data_Prices!B411-1</f>
        <v>0.00153791130185987</v>
      </c>
      <c r="C412" s="32" t="n">
        <f aca="false">Data_Prices!C412/Data_Prices!C411-1</f>
        <v>0.00377675504112074</v>
      </c>
      <c r="D412" s="32" t="n">
        <f aca="false">Data_Prices!D412/Data_Prices!D411-1</f>
        <v>0.0192564940115103</v>
      </c>
      <c r="E412" s="32" t="n">
        <f aca="false">Data_Prices!E412/Data_Prices!E411-1</f>
        <v>-0.000470303681806006</v>
      </c>
      <c r="F412" s="32" t="n">
        <f aca="false">Data_Prices!F412/Data_Prices!F411-1</f>
        <v>0.0218671642661379</v>
      </c>
      <c r="G412" s="32" t="n">
        <f aca="false">Data_Prices!G412/Data_Prices!G411-1</f>
        <v>0.00335220500595956</v>
      </c>
      <c r="H412" s="32" t="n">
        <f aca="false">Data_Prices!H412/Data_Prices!H411-1</f>
        <v>0.00589301903898454</v>
      </c>
      <c r="I412" s="32" t="n">
        <f aca="false">Data_Prices!I412/Data_Prices!I411-1</f>
        <v>0.00655192646195957</v>
      </c>
      <c r="J412" s="32" t="n">
        <f aca="false">Data_Prices!J412/Data_Prices!J411-1</f>
        <v>-0.0038988744758589</v>
      </c>
      <c r="K412" s="32" t="n">
        <f aca="false">Data_Prices!K412/Data_Prices!K411-1</f>
        <v>0.00954482758620689</v>
      </c>
      <c r="L412" s="32" t="n">
        <f aca="false">Data_Prices!L412/Data_Prices!L411-1</f>
        <v>0.02234856767986</v>
      </c>
      <c r="M412" s="32" t="n">
        <f aca="false">Data_Prices!M412/Data_Prices!M411-1</f>
        <v>-0.0017280340289777</v>
      </c>
      <c r="N412" s="32" t="n">
        <f aca="false">Data_Prices!N412/Data_Prices!N411-1</f>
        <v>0.000853242320819181</v>
      </c>
      <c r="O412" s="32" t="n">
        <f aca="false">Data_Prices!O412/Data_Prices!O411-1</f>
        <v>-0.0208768267223383</v>
      </c>
      <c r="P412" s="32" t="n">
        <f aca="false">Data_Prices!P412/Data_Prices!P411-1</f>
        <v>0.0157032457496136</v>
      </c>
      <c r="Q412" s="32" t="n">
        <f aca="false">Data_Prices!Q412/Data_Prices!Q411-1</f>
        <v>-0.000809470808458945</v>
      </c>
      <c r="R412" s="32" t="n">
        <f aca="false">Data_Prices!R412/Data_Prices!R411-1</f>
        <v>0.00247458533975387</v>
      </c>
      <c r="S412" s="32" t="n">
        <f aca="false">Data_Prices!S412/Data_Prices!S411-1</f>
        <v>0.0140505572838336</v>
      </c>
      <c r="T412" s="32" t="n">
        <f aca="false">AVERAGE(D412:S412)</f>
        <v>0.00588202031419995</v>
      </c>
      <c r="U412" s="32" t="n">
        <f aca="false">AVERAGE(J412:S412)</f>
        <v>0.00376618199244534</v>
      </c>
      <c r="V412" s="32" t="n">
        <f aca="false">AVERAGE(D412:I412)</f>
        <v>0.00940841751712431</v>
      </c>
      <c r="W412" s="32" t="n">
        <f aca="false">AVERAGE(K412,Q412,R412)</f>
        <v>0.0037366473725006</v>
      </c>
      <c r="X412" s="32" t="n">
        <f aca="false">AVERAGE(K412,L412,N412,O412,P412,Q412,R412,S412)</f>
        <v>0.00541109105366125</v>
      </c>
      <c r="Y412" s="32" t="n">
        <f aca="false">AVERAGE(J412,L412,M412,N412,O412,P412,Q412,R412,S412)</f>
        <v>0.00312411025980517</v>
      </c>
      <c r="Z412" s="32" t="n">
        <f aca="false">U412-V412</f>
        <v>-0.00564223552467897</v>
      </c>
      <c r="AA412" s="32" t="n">
        <f aca="false">W412-V412</f>
        <v>-0.00567177014462371</v>
      </c>
    </row>
    <row r="413" customFormat="false" ht="15" hidden="false" customHeight="false" outlineLevel="0" collapsed="false">
      <c r="A413" s="28" t="n">
        <f aca="false">Data_Prices!A413</f>
        <v>45407</v>
      </c>
      <c r="B413" s="32" t="n">
        <f aca="false">Data_Prices!B413/Data_Prices!B412-1</f>
        <v>0.00749696461093441</v>
      </c>
      <c r="C413" s="32" t="n">
        <f aca="false">Data_Prices!C413/Data_Prices!C412-1</f>
        <v>0.00662063176986738</v>
      </c>
      <c r="D413" s="32" t="n">
        <f aca="false">Data_Prices!D413/Data_Prices!D412-1</f>
        <v>-0.0200219753387865</v>
      </c>
      <c r="E413" s="32" t="n">
        <f aca="false">Data_Prices!E413/Data_Prices!E412-1</f>
        <v>0.00208375344491496</v>
      </c>
      <c r="F413" s="32" t="n">
        <f aca="false">Data_Prices!F413/Data_Prices!F412-1</f>
        <v>-0.0111846610362931</v>
      </c>
      <c r="G413" s="32" t="n">
        <f aca="false">Data_Prices!G413/Data_Prices!G412-1</f>
        <v>-0.0181156730269508</v>
      </c>
      <c r="H413" s="32" t="n">
        <f aca="false">Data_Prices!H413/Data_Prices!H412-1</f>
        <v>0.00849803643855029</v>
      </c>
      <c r="I413" s="32" t="n">
        <f aca="false">Data_Prices!I413/Data_Prices!I412-1</f>
        <v>0.0120470222481299</v>
      </c>
      <c r="J413" s="32" t="n">
        <f aca="false">Data_Prices!J413/Data_Prices!J412-1</f>
        <v>-0.0188075427108463</v>
      </c>
      <c r="K413" s="32" t="n">
        <f aca="false">Data_Prices!K413/Data_Prices!K412-1</f>
        <v>-0.00467264181877791</v>
      </c>
      <c r="L413" s="32" t="n">
        <f aca="false">Data_Prices!L413/Data_Prices!L412-1</f>
        <v>-0.0115075290896647</v>
      </c>
      <c r="M413" s="32" t="n">
        <f aca="false">Data_Prices!M413/Data_Prices!M412-1</f>
        <v>-0.0160119840213049</v>
      </c>
      <c r="N413" s="32" t="n">
        <f aca="false">Data_Prices!N413/Data_Prices!N412-1</f>
        <v>0.0185117525270977</v>
      </c>
      <c r="O413" s="32" t="n">
        <f aca="false">Data_Prices!O413/Data_Prices!O412-1</f>
        <v>-0.000775344058926097</v>
      </c>
      <c r="P413" s="32" t="n">
        <f aca="false">Data_Prices!P413/Data_Prices!P412-1</f>
        <v>0.00739545924888918</v>
      </c>
      <c r="Q413" s="32" t="n">
        <f aca="false">Data_Prices!Q413/Data_Prices!Q412-1</f>
        <v>-0.00151898734177214</v>
      </c>
      <c r="R413" s="32" t="n">
        <f aca="false">Data_Prices!R413/Data_Prices!R412-1</f>
        <v>0.0119420908666354</v>
      </c>
      <c r="S413" s="32" t="n">
        <f aca="false">Data_Prices!S413/Data_Prices!S412-1</f>
        <v>0.0125149834420268</v>
      </c>
      <c r="T413" s="32" t="n">
        <f aca="false">AVERAGE(D413:S413)</f>
        <v>-0.00185145251419238</v>
      </c>
      <c r="U413" s="32" t="n">
        <f aca="false">AVERAGE(J413:S413)</f>
        <v>-0.000292974295664283</v>
      </c>
      <c r="V413" s="32" t="n">
        <f aca="false">AVERAGE(D413:I413)</f>
        <v>-0.00444891621173921</v>
      </c>
      <c r="W413" s="32" t="n">
        <f aca="false">AVERAGE(K413,Q413,R413)</f>
        <v>0.00191682056869513</v>
      </c>
      <c r="X413" s="32" t="n">
        <f aca="false">AVERAGE(K413,L413,N413,O413,P413,Q413,R413,S413)</f>
        <v>0.00398622297193854</v>
      </c>
      <c r="Y413" s="32" t="n">
        <f aca="false">AVERAGE(J413,L413,M413,N413,O413,P413,Q413,R413,S413)</f>
        <v>0.00019365542912612</v>
      </c>
      <c r="Z413" s="32" t="n">
        <f aca="false">U413-V413</f>
        <v>0.00415594191607492</v>
      </c>
      <c r="AA413" s="32" t="n">
        <f aca="false">W413-V413</f>
        <v>0.00636573678043434</v>
      </c>
    </row>
    <row r="414" customFormat="false" ht="15" hidden="false" customHeight="false" outlineLevel="0" collapsed="false">
      <c r="A414" s="28" t="n">
        <f aca="false">Data_Prices!A414</f>
        <v>45408</v>
      </c>
      <c r="B414" s="32" t="n">
        <f aca="false">Data_Prices!B414/Data_Prices!B413-1</f>
        <v>-0.00666360955855794</v>
      </c>
      <c r="C414" s="32" t="n">
        <f aca="false">Data_Prices!C414/Data_Prices!C413-1</f>
        <v>-0.00136812999870628</v>
      </c>
      <c r="D414" s="32" t="n">
        <f aca="false">Data_Prices!D414/Data_Prices!D413-1</f>
        <v>0.00289647439890373</v>
      </c>
      <c r="E414" s="32" t="n">
        <f aca="false">Data_Prices!E414/Data_Prices!E413-1</f>
        <v>0.00207942044539844</v>
      </c>
      <c r="F414" s="32" t="n">
        <f aca="false">Data_Prices!F414/Data_Prices!F413-1</f>
        <v>0.0073868882733148</v>
      </c>
      <c r="G414" s="32" t="n">
        <f aca="false">Data_Prices!G414/Data_Prices!G413-1</f>
        <v>0.000151228733459297</v>
      </c>
      <c r="H414" s="32" t="n">
        <f aca="false">Data_Prices!H414/Data_Prices!H413-1</f>
        <v>0.00191509735078199</v>
      </c>
      <c r="I414" s="32" t="n">
        <f aca="false">Data_Prices!I414/Data_Prices!I413-1</f>
        <v>0.0177594316981857</v>
      </c>
      <c r="J414" s="32" t="n">
        <f aca="false">Data_Prices!J414/Data_Prices!J413-1</f>
        <v>-0.00408951778814792</v>
      </c>
      <c r="K414" s="32" t="n">
        <f aca="false">Data_Prices!K414/Data_Prices!K413-1</f>
        <v>-0.0772683596431022</v>
      </c>
      <c r="L414" s="32" t="n">
        <f aca="false">Data_Prices!L414/Data_Prices!L413-1</f>
        <v>0.0141515558056002</v>
      </c>
      <c r="M414" s="32" t="n">
        <f aca="false">Data_Prices!M414/Data_Prices!M413-1</f>
        <v>-0.00679995940322742</v>
      </c>
      <c r="N414" s="32" t="n">
        <f aca="false">Data_Prices!N414/Data_Prices!N413-1</f>
        <v>-0.00765275618797079</v>
      </c>
      <c r="O414" s="32" t="n">
        <f aca="false">Data_Prices!O414/Data_Prices!O413-1</f>
        <v>0.00349175557710946</v>
      </c>
      <c r="P414" s="32" t="n">
        <f aca="false">Data_Prices!P414/Data_Prices!P413-1</f>
        <v>0.0198785535180206</v>
      </c>
      <c r="Q414" s="32" t="n">
        <f aca="false">Data_Prices!Q414/Data_Prices!Q413-1</f>
        <v>-0.0163286004056795</v>
      </c>
      <c r="R414" s="32" t="n">
        <f aca="false">Data_Prices!R414/Data_Prices!R413-1</f>
        <v>-0.0104825949367088</v>
      </c>
      <c r="S414" s="32" t="n">
        <f aca="false">Data_Prices!S414/Data_Prices!S413-1</f>
        <v>0.00270883078837003</v>
      </c>
      <c r="T414" s="32" t="n">
        <f aca="false">AVERAGE(D414:S414)</f>
        <v>-0.00313765948598077</v>
      </c>
      <c r="U414" s="32" t="n">
        <f aca="false">AVERAGE(J414:S414)</f>
        <v>-0.00823910926757363</v>
      </c>
      <c r="V414" s="32" t="n">
        <f aca="false">AVERAGE(D414:I414)</f>
        <v>0.005364756816674</v>
      </c>
      <c r="W414" s="32" t="n">
        <f aca="false">AVERAGE(K414,Q414,R414)</f>
        <v>-0.0346931849951635</v>
      </c>
      <c r="X414" s="32" t="n">
        <f aca="false">AVERAGE(K414,L414,N414,O414,P414,Q414,R414,S414)</f>
        <v>-0.00893770193554512</v>
      </c>
      <c r="Y414" s="32" t="n">
        <f aca="false">AVERAGE(J414,L414,M414,N414,O414,P414,Q414,R414,S414)</f>
        <v>-0.000569192559181568</v>
      </c>
      <c r="Z414" s="32" t="n">
        <f aca="false">U414-V414</f>
        <v>-0.0136038660842476</v>
      </c>
      <c r="AA414" s="32" t="n">
        <f aca="false">W414-V414</f>
        <v>-0.0400579418118375</v>
      </c>
    </row>
    <row r="415" customFormat="false" ht="15" hidden="false" customHeight="false" outlineLevel="0" collapsed="false">
      <c r="A415" s="28" t="n">
        <f aca="false">Data_Prices!A415</f>
        <v>45411</v>
      </c>
      <c r="B415" s="32" t="n">
        <f aca="false">Data_Prices!B415/Data_Prices!B414-1</f>
        <v>0.00996656995220779</v>
      </c>
      <c r="C415" s="32" t="n">
        <f aca="false">Data_Prices!C415/Data_Prices!C414-1</f>
        <v>0.00733468174391239</v>
      </c>
      <c r="D415" s="32" t="n">
        <f aca="false">Data_Prices!D415/Data_Prices!D414-1</f>
        <v>0.00599360268314664</v>
      </c>
      <c r="E415" s="32" t="n">
        <f aca="false">Data_Prices!E415/Data_Prices!E414-1</f>
        <v>-0.000870205502376487</v>
      </c>
      <c r="F415" s="32" t="n">
        <f aca="false">Data_Prices!F415/Data_Prices!F414-1</f>
        <v>0.0142071494042164</v>
      </c>
      <c r="G415" s="32" t="n">
        <f aca="false">Data_Prices!G415/Data_Prices!G414-1</f>
        <v>0.00831632267331983</v>
      </c>
      <c r="H415" s="32" t="n">
        <f aca="false">Data_Prices!H415/Data_Prices!H414-1</f>
        <v>0.0227460974832749</v>
      </c>
      <c r="I415" s="32" t="n">
        <f aca="false">Data_Prices!I415/Data_Prices!I414-1</f>
        <v>-0.0247123184304848</v>
      </c>
      <c r="J415" s="32" t="n">
        <f aca="false">Data_Prices!J415/Data_Prices!J414-1</f>
        <v>0.0145106436578915</v>
      </c>
      <c r="K415" s="32" t="n">
        <f aca="false">Data_Prices!K415/Data_Prices!K414-1</f>
        <v>0.0141622409663646</v>
      </c>
      <c r="L415" s="32" t="n">
        <f aca="false">Data_Prices!L415/Data_Prices!L414-1</f>
        <v>-0.000682768626781516</v>
      </c>
      <c r="M415" s="32" t="n">
        <f aca="false">Data_Prices!M415/Data_Prices!M414-1</f>
        <v>0.0103549288098643</v>
      </c>
      <c r="N415" s="32" t="n">
        <f aca="false">Data_Prices!N415/Data_Prices!N414-1</f>
        <v>-0.00578382937703337</v>
      </c>
      <c r="O415" s="32" t="n">
        <f aca="false">Data_Prices!O415/Data_Prices!O414-1</f>
        <v>0.0110187512081965</v>
      </c>
      <c r="P415" s="32" t="n">
        <f aca="false">Data_Prices!P415/Data_Prices!P414-1</f>
        <v>0.0058354809087946</v>
      </c>
      <c r="Q415" s="32" t="n">
        <f aca="false">Data_Prices!Q415/Data_Prices!Q414-1</f>
        <v>0.00824827301783682</v>
      </c>
      <c r="R415" s="32" t="n">
        <f aca="false">Data_Prices!R415/Data_Prices!R414-1</f>
        <v>-0.0351122659737491</v>
      </c>
      <c r="S415" s="32" t="n">
        <f aca="false">Data_Prices!S415/Data_Prices!S414-1</f>
        <v>-0.00256143440326584</v>
      </c>
      <c r="T415" s="32" t="n">
        <f aca="false">AVERAGE(D415:S415)</f>
        <v>0.00285441678120094</v>
      </c>
      <c r="U415" s="32" t="n">
        <f aca="false">AVERAGE(J415:S415)</f>
        <v>0.00199900201881186</v>
      </c>
      <c r="V415" s="32" t="n">
        <f aca="false">AVERAGE(D415:I415)</f>
        <v>0.00428010805184942</v>
      </c>
      <c r="W415" s="32" t="n">
        <f aca="false">AVERAGE(K415,Q415,R415)</f>
        <v>-0.0042339173298492</v>
      </c>
      <c r="X415" s="32" t="n">
        <f aca="false">AVERAGE(K415,L415,N415,O415,P415,Q415,R415,S415)</f>
        <v>-0.000609444034954651</v>
      </c>
      <c r="Y415" s="32" t="n">
        <f aca="false">AVERAGE(J415,L415,M415,N415,O415,P415,Q415,R415,S415)</f>
        <v>0.000647531024639325</v>
      </c>
      <c r="Z415" s="32" t="n">
        <f aca="false">U415-V415</f>
        <v>-0.00228110603303756</v>
      </c>
      <c r="AA415" s="32" t="n">
        <f aca="false">W415-V415</f>
        <v>-0.00851402538169862</v>
      </c>
    </row>
    <row r="416" customFormat="false" ht="15" hidden="false" customHeight="false" outlineLevel="0" collapsed="false">
      <c r="A416" s="28" t="n">
        <f aca="false">Data_Prices!A416</f>
        <v>45412</v>
      </c>
      <c r="B416" s="32" t="n">
        <f aca="false">Data_Prices!B416/Data_Prices!B415-1</f>
        <v>-0.00170248284268282</v>
      </c>
      <c r="C416" s="32" t="n">
        <f aca="false">Data_Prices!C416/Data_Prices!C415-1</f>
        <v>0.000238183706328998</v>
      </c>
      <c r="D416" s="32" t="n">
        <f aca="false">Data_Prices!D416/Data_Prices!D415-1</f>
        <v>0.00271655244798419</v>
      </c>
      <c r="E416" s="32" t="n">
        <f aca="false">Data_Prices!E416/Data_Prices!E415-1</f>
        <v>0.0219080798606459</v>
      </c>
      <c r="F416" s="32" t="n">
        <f aca="false">Data_Prices!F416/Data_Prices!F415-1</f>
        <v>0.0308969724356076</v>
      </c>
      <c r="G416" s="32" t="n">
        <f aca="false">Data_Prices!G416/Data_Prices!G415-1</f>
        <v>0.0104971132938443</v>
      </c>
      <c r="H416" s="32" t="n">
        <f aca="false">Data_Prices!H416/Data_Prices!H415-1</f>
        <v>-0.00847246449040628</v>
      </c>
      <c r="I416" s="32" t="n">
        <f aca="false">Data_Prices!I416/Data_Prices!I415-1</f>
        <v>0.00618955512572539</v>
      </c>
      <c r="J416" s="32" t="n">
        <f aca="false">Data_Prices!J416/Data_Prices!J415-1</f>
        <v>0.00193687765389483</v>
      </c>
      <c r="K416" s="32" t="n">
        <f aca="false">Data_Prices!K416/Data_Prices!K415-1</f>
        <v>0.0141991697592887</v>
      </c>
      <c r="L416" s="32" t="n">
        <f aca="false">Data_Prices!L416/Data_Prices!L415-1</f>
        <v>0.0191305833119821</v>
      </c>
      <c r="M416" s="32" t="n">
        <f aca="false">Data_Prices!M416/Data_Prices!M415-1</f>
        <v>0.0170925763603265</v>
      </c>
      <c r="N416" s="32" t="n">
        <f aca="false">Data_Prices!N416/Data_Prices!N415-1</f>
        <v>-0.0158768634104958</v>
      </c>
      <c r="O416" s="32" t="n">
        <f aca="false">Data_Prices!O416/Data_Prices!O415-1</f>
        <v>-0.00133843212237106</v>
      </c>
      <c r="P416" s="32" t="n">
        <f aca="false">Data_Prices!P416/Data_Prices!P415-1</f>
        <v>0.0134585934739075</v>
      </c>
      <c r="Q416" s="32" t="n">
        <f aca="false">Data_Prices!Q416/Data_Prices!Q415-1</f>
        <v>0.00347683812250743</v>
      </c>
      <c r="R416" s="32" t="n">
        <f aca="false">Data_Prices!R416/Data_Prices!R415-1</f>
        <v>0.00580030382543839</v>
      </c>
      <c r="S416" s="32" t="n">
        <f aca="false">Data_Prices!S416/Data_Prices!S415-1</f>
        <v>0.0238744884038198</v>
      </c>
      <c r="T416" s="32" t="n">
        <f aca="false">AVERAGE(D416:S416)</f>
        <v>0.00909312150323122</v>
      </c>
      <c r="U416" s="32" t="n">
        <f aca="false">AVERAGE(J416:S416)</f>
        <v>0.00817541353782985</v>
      </c>
      <c r="V416" s="32" t="n">
        <f aca="false">AVERAGE(D416:I416)</f>
        <v>0.0106226347789002</v>
      </c>
      <c r="W416" s="32" t="n">
        <f aca="false">AVERAGE(K416,Q416,R416)</f>
        <v>0.00782543723574484</v>
      </c>
      <c r="X416" s="32" t="n">
        <f aca="false">AVERAGE(K416,L416,N416,O416,P416,Q416,R416,S416)</f>
        <v>0.00784058517050965</v>
      </c>
      <c r="Y416" s="32" t="n">
        <f aca="false">AVERAGE(J416,L416,M416,N416,O416,P416,Q416,R416,S416)</f>
        <v>0.00750610729100108</v>
      </c>
      <c r="Z416" s="32" t="n">
        <f aca="false">U416-V416</f>
        <v>-0.00244722124107034</v>
      </c>
      <c r="AA416" s="32" t="n">
        <f aca="false">W416-V416</f>
        <v>-0.00279719754315535</v>
      </c>
    </row>
    <row r="417" customFormat="false" ht="15" hidden="false" customHeight="false" outlineLevel="0" collapsed="false">
      <c r="A417" s="28" t="n">
        <f aca="false">Data_Prices!A417</f>
        <v>45414</v>
      </c>
      <c r="B417" s="32" t="n">
        <f aca="false">Data_Prices!B417/Data_Prices!B416-1</f>
        <v>0.00191773004465867</v>
      </c>
      <c r="C417" s="32" t="n">
        <f aca="false">Data_Prices!C417/Data_Prices!C416-1</f>
        <v>0.00411483435886684</v>
      </c>
      <c r="D417" s="32" t="n">
        <f aca="false">Data_Prices!D417/Data_Prices!D416-1</f>
        <v>-0.0164706606736038</v>
      </c>
      <c r="E417" s="32" t="n">
        <f aca="false">Data_Prices!E417/Data_Prices!E416-1</f>
        <v>0.0174391922900414</v>
      </c>
      <c r="F417" s="32" t="n">
        <f aca="false">Data_Prices!F417/Data_Prices!F416-1</f>
        <v>-0.0243822256314723</v>
      </c>
      <c r="G417" s="32" t="n">
        <f aca="false">Data_Prices!G417/Data_Prices!G416-1</f>
        <v>-0.00704904652370708</v>
      </c>
      <c r="H417" s="32" t="n">
        <f aca="false">Data_Prices!H417/Data_Prices!H416-1</f>
        <v>0.00150791656195026</v>
      </c>
      <c r="I417" s="32" t="n">
        <f aca="false">Data_Prices!I417/Data_Prices!I416-1</f>
        <v>0.00394079200307562</v>
      </c>
      <c r="J417" s="32" t="n">
        <f aca="false">Data_Prices!J417/Data_Prices!J416-1</f>
        <v>0.0146472031524945</v>
      </c>
      <c r="K417" s="32" t="n">
        <f aca="false">Data_Prices!K417/Data_Prices!K416-1</f>
        <v>-0.00590098494381042</v>
      </c>
      <c r="L417" s="32" t="n">
        <f aca="false">Data_Prices!L417/Data_Prices!L416-1</f>
        <v>0.0907567250481858</v>
      </c>
      <c r="M417" s="32" t="n">
        <f aca="false">Data_Prices!M417/Data_Prices!M416-1</f>
        <v>-0.0275116841791243</v>
      </c>
      <c r="N417" s="32" t="n">
        <f aca="false">Data_Prices!N417/Data_Prices!N416-1</f>
        <v>-0.0201970443349754</v>
      </c>
      <c r="O417" s="32" t="n">
        <f aca="false">Data_Prices!O417/Data_Prices!O416-1</f>
        <v>0.0135937200842429</v>
      </c>
      <c r="P417" s="32" t="n">
        <f aca="false">Data_Prices!P417/Data_Prices!P416-1</f>
        <v>-0.00220846773021832</v>
      </c>
      <c r="Q417" s="32" t="n">
        <f aca="false">Data_Prices!Q417/Data_Prices!Q416-1</f>
        <v>0.00326098033221234</v>
      </c>
      <c r="R417" s="32" t="n">
        <f aca="false">Data_Prices!R417/Data_Prices!R416-1</f>
        <v>0.00151036660716741</v>
      </c>
      <c r="S417" s="32" t="n">
        <f aca="false">Data_Prices!S417/Data_Prices!S416-1</f>
        <v>0.0119136262099777</v>
      </c>
      <c r="T417" s="32" t="n">
        <f aca="false">AVERAGE(D417:S417)</f>
        <v>0.00342815051702727</v>
      </c>
      <c r="U417" s="32" t="n">
        <f aca="false">AVERAGE(J417:S417)</f>
        <v>0.00798644402461521</v>
      </c>
      <c r="V417" s="32" t="n">
        <f aca="false">AVERAGE(D417:I417)</f>
        <v>-0.00416900532895265</v>
      </c>
      <c r="W417" s="32" t="n">
        <f aca="false">AVERAGE(K417,Q417,R417)</f>
        <v>-0.000376546001476889</v>
      </c>
      <c r="X417" s="32" t="n">
        <f aca="false">AVERAGE(K417,L417,N417,O417,P417,Q417,R417,S417)</f>
        <v>0.0115911151590977</v>
      </c>
      <c r="Y417" s="32" t="n">
        <f aca="false">AVERAGE(J417,L417,M417,N417,O417,P417,Q417,R417,S417)</f>
        <v>0.00952949168777362</v>
      </c>
      <c r="Z417" s="32" t="n">
        <f aca="false">U417-V417</f>
        <v>0.0121554493535679</v>
      </c>
      <c r="AA417" s="32" t="n">
        <f aca="false">W417-V417</f>
        <v>0.00379245932747576</v>
      </c>
    </row>
    <row r="418" customFormat="false" ht="15" hidden="false" customHeight="false" outlineLevel="0" collapsed="false">
      <c r="A418" s="28" t="n">
        <f aca="false">Data_Prices!A418</f>
        <v>45415</v>
      </c>
      <c r="B418" s="32" t="n">
        <f aca="false">Data_Prices!B418/Data_Prices!B417-1</f>
        <v>-0.00760987628155885</v>
      </c>
      <c r="C418" s="32" t="n">
        <f aca="false">Data_Prices!C418/Data_Prices!C417-1</f>
        <v>-0.00588372004780968</v>
      </c>
      <c r="D418" s="32" t="n">
        <f aca="false">Data_Prices!D418/Data_Prices!D417-1</f>
        <v>-0.00707421667136188</v>
      </c>
      <c r="E418" s="32" t="n">
        <f aca="false">Data_Prices!E418/Data_Prices!E417-1</f>
        <v>-0.00915007410271285</v>
      </c>
      <c r="F418" s="32" t="n">
        <f aca="false">Data_Prices!F418/Data_Prices!F417-1</f>
        <v>0.0126923508929575</v>
      </c>
      <c r="G418" s="32" t="n">
        <f aca="false">Data_Prices!G418/Data_Prices!G417-1</f>
        <v>-0.0224929009116724</v>
      </c>
      <c r="H418" s="32" t="n">
        <f aca="false">Data_Prices!H418/Data_Prices!H417-1</f>
        <v>-0.000878293601003777</v>
      </c>
      <c r="I418" s="32" t="n">
        <f aca="false">Data_Prices!I418/Data_Prices!I417-1</f>
        <v>-0.00890378171373862</v>
      </c>
      <c r="J418" s="32" t="n">
        <f aca="false">Data_Prices!J418/Data_Prices!J417-1</f>
        <v>-0.0104787493893503</v>
      </c>
      <c r="K418" s="32" t="n">
        <f aca="false">Data_Prices!K418/Data_Prices!K417-1</f>
        <v>0.00709993743907589</v>
      </c>
      <c r="L418" s="32" t="n">
        <f aca="false">Data_Prices!L418/Data_Prices!L417-1</f>
        <v>0.00622311001843889</v>
      </c>
      <c r="M418" s="32" t="n">
        <f aca="false">Data_Prices!M418/Data_Prices!M417-1</f>
        <v>3.40843246191547E-005</v>
      </c>
      <c r="N418" s="32" t="n">
        <f aca="false">Data_Prices!N418/Data_Prices!N417-1</f>
        <v>0.00892408245349419</v>
      </c>
      <c r="O418" s="32" t="n">
        <f aca="false">Data_Prices!O418/Data_Prices!O417-1</f>
        <v>0.00906686815262581</v>
      </c>
      <c r="P418" s="32" t="n">
        <f aca="false">Data_Prices!P418/Data_Prices!P417-1</f>
        <v>-0.0092611468678101</v>
      </c>
      <c r="Q418" s="32" t="n">
        <f aca="false">Data_Prices!Q418/Data_Prices!Q417-1</f>
        <v>-0.0173692229558151</v>
      </c>
      <c r="R418" s="32" t="n">
        <f aca="false">Data_Prices!R418/Data_Prices!R417-1</f>
        <v>-0.00980257746092672</v>
      </c>
      <c r="S418" s="32" t="n">
        <f aca="false">Data_Prices!S418/Data_Prices!S417-1</f>
        <v>0.00249796677123282</v>
      </c>
      <c r="T418" s="32" t="n">
        <f aca="false">AVERAGE(D418:S418)</f>
        <v>-0.00305453522637172</v>
      </c>
      <c r="U418" s="32" t="n">
        <f aca="false">AVERAGE(J418:S418)</f>
        <v>-0.00130656475144155</v>
      </c>
      <c r="V418" s="32" t="n">
        <f aca="false">AVERAGE(D418:I418)</f>
        <v>-0.00596781935125534</v>
      </c>
      <c r="W418" s="32" t="n">
        <f aca="false">AVERAGE(K418,Q418,R418)</f>
        <v>-0.00669062099255531</v>
      </c>
      <c r="X418" s="32" t="n">
        <f aca="false">AVERAGE(K418,L418,N418,O418,P418,Q418,R418,S418)</f>
        <v>-0.000327622806210542</v>
      </c>
      <c r="Y418" s="32" t="n">
        <f aca="false">AVERAGE(J418,L418,M418,N418,O418,P418,Q418,R418,S418)</f>
        <v>-0.00224062055038793</v>
      </c>
      <c r="Z418" s="32" t="n">
        <f aca="false">U418-V418</f>
        <v>0.00466125459981379</v>
      </c>
      <c r="AA418" s="32" t="n">
        <f aca="false">W418-V418</f>
        <v>-0.000722801641299971</v>
      </c>
    </row>
    <row r="419" customFormat="false" ht="15" hidden="false" customHeight="false" outlineLevel="0" collapsed="false">
      <c r="A419" s="28" t="n">
        <f aca="false">Data_Prices!A419</f>
        <v>45418</v>
      </c>
      <c r="B419" s="32" t="n">
        <f aca="false">Data_Prices!B419/Data_Prices!B418-1</f>
        <v>-0.0014749164102803</v>
      </c>
      <c r="C419" s="32" t="n">
        <f aca="false">Data_Prices!C419/Data_Prices!C418-1</f>
        <v>-0.00451345568010753</v>
      </c>
      <c r="D419" s="32" t="n">
        <f aca="false">Data_Prices!D419/Data_Prices!D418-1</f>
        <v>-0.0136502632325588</v>
      </c>
      <c r="E419" s="32" t="n">
        <f aca="false">Data_Prices!E419/Data_Prices!E418-1</f>
        <v>-0.0120959875138195</v>
      </c>
      <c r="F419" s="32" t="n">
        <f aca="false">Data_Prices!F419/Data_Prices!F418-1</f>
        <v>-0.00366015971606037</v>
      </c>
      <c r="G419" s="32" t="n">
        <f aca="false">Data_Prices!G419/Data_Prices!G418-1</f>
        <v>-0.0305787019341029</v>
      </c>
      <c r="H419" s="32" t="n">
        <f aca="false">Data_Prices!H419/Data_Prices!H418-1</f>
        <v>-0.0285696345598393</v>
      </c>
      <c r="I419" s="32" t="n">
        <f aca="false">Data_Prices!I419/Data_Prices!I418-1</f>
        <v>-0.00753477588871709</v>
      </c>
      <c r="J419" s="32" t="n">
        <f aca="false">Data_Prices!J419/Data_Prices!J418-1</f>
        <v>-0.00488756140307567</v>
      </c>
      <c r="K419" s="32" t="n">
        <f aca="false">Data_Prices!K419/Data_Prices!K418-1</f>
        <v>-0.0103436818306585</v>
      </c>
      <c r="L419" s="32" t="n">
        <f aca="false">Data_Prices!L419/Data_Prices!L418-1</f>
        <v>0.012445598228602</v>
      </c>
      <c r="M419" s="32" t="n">
        <f aca="false">Data_Prices!M419/Data_Prices!M418-1</f>
        <v>-0.0221199727334697</v>
      </c>
      <c r="N419" s="32" t="n">
        <f aca="false">Data_Prices!N419/Data_Prices!N418-1</f>
        <v>-0.0507038744238196</v>
      </c>
      <c r="O419" s="32" t="n">
        <f aca="false">Data_Prices!O419/Data_Prices!O418-1</f>
        <v>-0.0269561961812057</v>
      </c>
      <c r="P419" s="32" t="n">
        <f aca="false">Data_Prices!P419/Data_Prices!P418-1</f>
        <v>-0.0155795290866868</v>
      </c>
      <c r="Q419" s="32" t="n">
        <f aca="false">Data_Prices!Q419/Data_Prices!Q418-1</f>
        <v>-0.0114740541658053</v>
      </c>
      <c r="R419" s="32" t="n">
        <f aca="false">Data_Prices!R419/Data_Prices!R418-1</f>
        <v>-0.00588438906195921</v>
      </c>
      <c r="S419" s="32" t="n">
        <f aca="false">Data_Prices!S419/Data_Prices!S418-1</f>
        <v>-0.015838983214541</v>
      </c>
      <c r="T419" s="32" t="n">
        <f aca="false">AVERAGE(D419:S419)</f>
        <v>-0.0154645104198573</v>
      </c>
      <c r="U419" s="32" t="n">
        <f aca="false">AVERAGE(J419:S419)</f>
        <v>-0.0151342643872619</v>
      </c>
      <c r="V419" s="32" t="n">
        <f aca="false">AVERAGE(D419:I419)</f>
        <v>-0.016014920474183</v>
      </c>
      <c r="W419" s="32" t="n">
        <f aca="false">AVERAGE(K419,Q419,R419)</f>
        <v>-0.00923404168614098</v>
      </c>
      <c r="X419" s="32" t="n">
        <f aca="false">AVERAGE(K419,L419,N419,O419,P419,Q419,R419,S419)</f>
        <v>-0.0155418887170093</v>
      </c>
      <c r="Y419" s="32" t="n">
        <f aca="false">AVERAGE(J419,L419,M419,N419,O419,P419,Q419,R419,S419)</f>
        <v>-0.0156665513379957</v>
      </c>
      <c r="Z419" s="32" t="n">
        <f aca="false">U419-V419</f>
        <v>0.000880656086921054</v>
      </c>
      <c r="AA419" s="32" t="n">
        <f aca="false">W419-V419</f>
        <v>0.00678087878804201</v>
      </c>
    </row>
    <row r="420" customFormat="false" ht="15" hidden="false" customHeight="false" outlineLevel="0" collapsed="false">
      <c r="A420" s="28" t="n">
        <f aca="false">Data_Prices!A420</f>
        <v>45419</v>
      </c>
      <c r="B420" s="32" t="n">
        <f aca="false">Data_Prices!B420/Data_Prices!B419-1</f>
        <v>-0.00624702018919299</v>
      </c>
      <c r="C420" s="32" t="n">
        <f aca="false">Data_Prices!C420/Data_Prices!C419-1</f>
        <v>-0.0109705510916633</v>
      </c>
      <c r="D420" s="32" t="n">
        <f aca="false">Data_Prices!D420/Data_Prices!D419-1</f>
        <v>0.0186653029915622</v>
      </c>
      <c r="E420" s="32" t="n">
        <f aca="false">Data_Prices!E420/Data_Prices!E419-1</f>
        <v>-0.0265288657757883</v>
      </c>
      <c r="F420" s="32" t="n">
        <f aca="false">Data_Prices!F420/Data_Prices!F419-1</f>
        <v>-0.0225425804297006</v>
      </c>
      <c r="G420" s="32" t="n">
        <f aca="false">Data_Prices!G420/Data_Prices!G419-1</f>
        <v>-0.0171910732592067</v>
      </c>
      <c r="H420" s="32" t="n">
        <f aca="false">Data_Prices!H420/Data_Prices!H419-1</f>
        <v>-0.0177751922952621</v>
      </c>
      <c r="I420" s="32" t="n">
        <f aca="false">Data_Prices!I420/Data_Prices!I419-1</f>
        <v>-0.0331905781584584</v>
      </c>
      <c r="J420" s="32" t="n">
        <f aca="false">Data_Prices!J420/Data_Prices!J419-1</f>
        <v>0.00518443182100059</v>
      </c>
      <c r="K420" s="32" t="n">
        <f aca="false">Data_Prices!K420/Data_Prices!K419-1</f>
        <v>0.00185387927888492</v>
      </c>
      <c r="L420" s="32" t="n">
        <f aca="false">Data_Prices!L420/Data_Prices!L419-1</f>
        <v>-0.0148190045248869</v>
      </c>
      <c r="M420" s="32" t="n">
        <f aca="false">Data_Prices!M420/Data_Prices!M419-1</f>
        <v>-0.00961974138231503</v>
      </c>
      <c r="N420" s="32" t="n">
        <f aca="false">Data_Prices!N420/Data_Prices!N419-1</f>
        <v>0.0209973753280841</v>
      </c>
      <c r="O420" s="32" t="n">
        <f aca="false">Data_Prices!O420/Data_Prices!O419-1</f>
        <v>-0.0115429011158138</v>
      </c>
      <c r="P420" s="32" t="n">
        <f aca="false">Data_Prices!P420/Data_Prices!P419-1</f>
        <v>0.000865955985547506</v>
      </c>
      <c r="Q420" s="32" t="n">
        <f aca="false">Data_Prices!Q420/Data_Prices!Q419-1</f>
        <v>-0.0138031998326884</v>
      </c>
      <c r="R420" s="32" t="n">
        <f aca="false">Data_Prices!R420/Data_Prices!R419-1</f>
        <v>-0.00341225626740949</v>
      </c>
      <c r="S420" s="32" t="n">
        <f aca="false">Data_Prices!S420/Data_Prices!S419-1</f>
        <v>-0.0242389747011834</v>
      </c>
      <c r="T420" s="32" t="n">
        <f aca="false">AVERAGE(D420:S420)</f>
        <v>-0.00919358889610211</v>
      </c>
      <c r="U420" s="32" t="n">
        <f aca="false">AVERAGE(J420:S420)</f>
        <v>-0.004853443541078</v>
      </c>
      <c r="V420" s="32" t="n">
        <f aca="false">AVERAGE(D420:I420)</f>
        <v>-0.016427164487809</v>
      </c>
      <c r="W420" s="32" t="n">
        <f aca="false">AVERAGE(K420,Q420,R420)</f>
        <v>-0.00512052560707099</v>
      </c>
      <c r="X420" s="32" t="n">
        <f aca="false">AVERAGE(K420,L420,N420,O420,P420,Q420,R420,S420)</f>
        <v>-0.00551239073118319</v>
      </c>
      <c r="Y420" s="32" t="n">
        <f aca="false">AVERAGE(J420,L420,M420,N420,O420,P420,Q420,R420,S420)</f>
        <v>-0.00559870163218499</v>
      </c>
      <c r="Z420" s="32" t="n">
        <f aca="false">U420-V420</f>
        <v>0.011573720946731</v>
      </c>
      <c r="AA420" s="32" t="n">
        <f aca="false">W420-V420</f>
        <v>0.011306638880738</v>
      </c>
    </row>
    <row r="421" customFormat="false" ht="15" hidden="false" customHeight="false" outlineLevel="0" collapsed="false">
      <c r="A421" s="28" t="n">
        <f aca="false">Data_Prices!A421</f>
        <v>45420</v>
      </c>
      <c r="B421" s="32" t="n">
        <f aca="false">Data_Prices!B421/Data_Prices!B420-1</f>
        <v>0</v>
      </c>
      <c r="C421" s="32" t="n">
        <f aca="false">Data_Prices!C421/Data_Prices!C420-1</f>
        <v>0.00333639431964938</v>
      </c>
      <c r="D421" s="32" t="n">
        <f aca="false">Data_Prices!D421/Data_Prices!D420-1</f>
        <v>-0.000564759036144502</v>
      </c>
      <c r="E421" s="32" t="n">
        <f aca="false">Data_Prices!E421/Data_Prices!E420-1</f>
        <v>0.00385447660265092</v>
      </c>
      <c r="F421" s="32" t="n">
        <f aca="false">Data_Prices!F421/Data_Prices!F420-1</f>
        <v>0.0157166448379933</v>
      </c>
      <c r="G421" s="32" t="n">
        <f aca="false">Data_Prices!G421/Data_Prices!G420-1</f>
        <v>0.0199791382492178</v>
      </c>
      <c r="H421" s="32" t="n">
        <f aca="false">Data_Prices!H421/Data_Prices!H420-1</f>
        <v>-0.00381679389312972</v>
      </c>
      <c r="I421" s="32" t="n">
        <f aca="false">Data_Prices!I421/Data_Prices!I420-1</f>
        <v>0.0175173663545758</v>
      </c>
      <c r="J421" s="32" t="n">
        <f aca="false">Data_Prices!J421/Data_Prices!J420-1</f>
        <v>0.0118700952568975</v>
      </c>
      <c r="K421" s="32" t="n">
        <f aca="false">Data_Prices!K421/Data_Prices!K420-1</f>
        <v>-0.0106364378132651</v>
      </c>
      <c r="L421" s="32" t="n">
        <f aca="false">Data_Prices!L421/Data_Prices!L420-1</f>
        <v>-0.0324568454089638</v>
      </c>
      <c r="M421" s="32" t="n">
        <f aca="false">Data_Prices!M421/Data_Prices!M420-1</f>
        <v>0.00556044342776718</v>
      </c>
      <c r="N421" s="32" t="n">
        <f aca="false">Data_Prices!N421/Data_Prices!N420-1</f>
        <v>0.00192802056555275</v>
      </c>
      <c r="O421" s="32" t="n">
        <f aca="false">Data_Prices!O421/Data_Prices!O420-1</f>
        <v>-0.00797975866095746</v>
      </c>
      <c r="P421" s="32" t="n">
        <f aca="false">Data_Prices!P421/Data_Prices!P420-1</f>
        <v>-0.00990512560415302</v>
      </c>
      <c r="Q421" s="32" t="n">
        <f aca="false">Data_Prices!Q421/Data_Prices!Q420-1</f>
        <v>-0.0058318311949952</v>
      </c>
      <c r="R421" s="32" t="n">
        <f aca="false">Data_Prices!R421/Data_Prices!R420-1</f>
        <v>-0.00510097128083287</v>
      </c>
      <c r="S421" s="32" t="n">
        <f aca="false">Data_Prices!S421/Data_Prices!S420-1</f>
        <v>-0.0152063721940623</v>
      </c>
      <c r="T421" s="32" t="n">
        <f aca="false">AVERAGE(D421:S421)</f>
        <v>-0.000942044361990538</v>
      </c>
      <c r="U421" s="32" t="n">
        <f aca="false">AVERAGE(J421:S421)</f>
        <v>-0.00677587829070122</v>
      </c>
      <c r="V421" s="32" t="n">
        <f aca="false">AVERAGE(D421:I421)</f>
        <v>0.0087810121858606</v>
      </c>
      <c r="W421" s="32" t="n">
        <f aca="false">AVERAGE(K421,Q421,R421)</f>
        <v>-0.00718974676303104</v>
      </c>
      <c r="X421" s="32" t="n">
        <f aca="false">AVERAGE(K421,L421,N421,O421,P421,Q421,R421,S421)</f>
        <v>-0.0106486651989596</v>
      </c>
      <c r="Y421" s="32" t="n">
        <f aca="false">AVERAGE(J421,L421,M421,N421,O421,P421,Q421,R421,S421)</f>
        <v>-0.00634692723263857</v>
      </c>
      <c r="Z421" s="32" t="n">
        <f aca="false">U421-V421</f>
        <v>-0.0155568904765618</v>
      </c>
      <c r="AA421" s="32" t="n">
        <f aca="false">W421-V421</f>
        <v>-0.0159707589488916</v>
      </c>
    </row>
    <row r="422" customFormat="false" ht="15" hidden="false" customHeight="false" outlineLevel="0" collapsed="false">
      <c r="A422" s="28" t="n">
        <f aca="false">Data_Prices!A422</f>
        <v>45421</v>
      </c>
      <c r="B422" s="32" t="n">
        <f aca="false">Data_Prices!B422/Data_Prices!B421-1</f>
        <v>-0.0154691178119045</v>
      </c>
      <c r="C422" s="32" t="n">
        <f aca="false">Data_Prices!C422/Data_Prices!C421-1</f>
        <v>-0.0173920183145053</v>
      </c>
      <c r="D422" s="32" t="n">
        <f aca="false">Data_Prices!D422/Data_Prices!D421-1</f>
        <v>-0.0263075280969424</v>
      </c>
      <c r="E422" s="32" t="n">
        <f aca="false">Data_Prices!E422/Data_Prices!E421-1</f>
        <v>-0.030515325025261</v>
      </c>
      <c r="F422" s="32" t="n">
        <f aca="false">Data_Prices!F422/Data_Prices!F421-1</f>
        <v>-0.0478780063912093</v>
      </c>
      <c r="G422" s="32" t="n">
        <f aca="false">Data_Prices!G422/Data_Prices!G421-1</f>
        <v>-0.0243864065449968</v>
      </c>
      <c r="H422" s="32" t="n">
        <f aca="false">Data_Prices!H422/Data_Prices!H421-1</f>
        <v>-0.00125511956665336</v>
      </c>
      <c r="I422" s="32" t="n">
        <f aca="false">Data_Prices!I422/Data_Prices!I421-1</f>
        <v>-0.0427426536064115</v>
      </c>
      <c r="J422" s="32" t="n">
        <f aca="false">Data_Prices!J422/Data_Prices!J421-1</f>
        <v>-0.017340194619906</v>
      </c>
      <c r="K422" s="32" t="n">
        <f aca="false">Data_Prices!K422/Data_Prices!K421-1</f>
        <v>-0.0285705870224735</v>
      </c>
      <c r="L422" s="32" t="n">
        <f aca="false">Data_Prices!L422/Data_Prices!L421-1</f>
        <v>-0.0327940187507417</v>
      </c>
      <c r="M422" s="32" t="n">
        <f aca="false">Data_Prices!M422/Data_Prices!M421-1</f>
        <v>-0.00584467854268023</v>
      </c>
      <c r="N422" s="32" t="n">
        <f aca="false">Data_Prices!N422/Data_Prices!N421-1</f>
        <v>-0.0342527261064786</v>
      </c>
      <c r="O422" s="32" t="n">
        <f aca="false">Data_Prices!O422/Data_Prices!O421-1</f>
        <v>-0.00745536590151075</v>
      </c>
      <c r="P422" s="32" t="n">
        <f aca="false">Data_Prices!P422/Data_Prices!P421-1</f>
        <v>-0.0367022238293255</v>
      </c>
      <c r="Q422" s="32" t="n">
        <f aca="false">Data_Prices!Q422/Data_Prices!Q421-1</f>
        <v>-0.0354095563139932</v>
      </c>
      <c r="R422" s="32" t="n">
        <f aca="false">Data_Prices!R422/Data_Prices!R421-1</f>
        <v>-0.00210703750526764</v>
      </c>
      <c r="S422" s="32" t="n">
        <f aca="false">Data_Prices!S422/Data_Prices!S421-1</f>
        <v>-0.0355800653594771</v>
      </c>
      <c r="T422" s="32" t="n">
        <f aca="false">AVERAGE(D422:S422)</f>
        <v>-0.025571343323958</v>
      </c>
      <c r="U422" s="32" t="n">
        <f aca="false">AVERAGE(J422:S422)</f>
        <v>-0.0236056453951854</v>
      </c>
      <c r="V422" s="32" t="n">
        <f aca="false">AVERAGE(D422:I422)</f>
        <v>-0.0288475065385791</v>
      </c>
      <c r="W422" s="32" t="n">
        <f aca="false">AVERAGE(K422,Q422,R422)</f>
        <v>-0.0220290602805781</v>
      </c>
      <c r="X422" s="32" t="n">
        <f aca="false">AVERAGE(K422,L422,N422,O422,P422,Q422,R422,S422)</f>
        <v>-0.0266089475986585</v>
      </c>
      <c r="Y422" s="32" t="n">
        <f aca="false">AVERAGE(J422,L422,M422,N422,O422,P422,Q422,R422,S422)</f>
        <v>-0.0230539852143756</v>
      </c>
      <c r="Z422" s="32" t="n">
        <f aca="false">U422-V422</f>
        <v>0.00524186114339363</v>
      </c>
      <c r="AA422" s="32" t="n">
        <f aca="false">W422-V422</f>
        <v>0.00681844625800093</v>
      </c>
    </row>
    <row r="423" customFormat="false" ht="15" hidden="false" customHeight="false" outlineLevel="0" collapsed="false">
      <c r="A423" s="28" t="n">
        <f aca="false">Data_Prices!A423</f>
        <v>45422</v>
      </c>
      <c r="B423" s="32" t="n">
        <f aca="false">Data_Prices!B423/Data_Prices!B422-1</f>
        <v>0.00444950472503702</v>
      </c>
      <c r="C423" s="32" t="n">
        <f aca="false">Data_Prices!C423/Data_Prices!C422-1</f>
        <v>0.00610966930124657</v>
      </c>
      <c r="D423" s="32" t="n">
        <f aca="false">Data_Prices!D423/Data_Prices!D422-1</f>
        <v>0.0314998710343051</v>
      </c>
      <c r="E423" s="32" t="n">
        <f aca="false">Data_Prices!E423/Data_Prices!E422-1</f>
        <v>0.0213312951639799</v>
      </c>
      <c r="F423" s="32" t="n">
        <f aca="false">Data_Prices!F423/Data_Prices!F422-1</f>
        <v>-0.037037037037037</v>
      </c>
      <c r="G423" s="32" t="n">
        <f aca="false">Data_Prices!G423/Data_Prices!G422-1</f>
        <v>0.0103209159812934</v>
      </c>
      <c r="H423" s="32" t="n">
        <f aca="false">Data_Prices!H423/Data_Prices!H422-1</f>
        <v>-0.0216284145776837</v>
      </c>
      <c r="I423" s="32" t="n">
        <f aca="false">Data_Prices!I423/Data_Prices!I422-1</f>
        <v>-0.00568475452196382</v>
      </c>
      <c r="J423" s="32" t="n">
        <f aca="false">Data_Prices!J423/Data_Prices!J422-1</f>
        <v>0.00821503027896364</v>
      </c>
      <c r="K423" s="32" t="n">
        <f aca="false">Data_Prices!K423/Data_Prices!K422-1</f>
        <v>0.011961432339832</v>
      </c>
      <c r="L423" s="32" t="n">
        <f aca="false">Data_Prices!L423/Data_Prices!L422-1</f>
        <v>0.0410224948875257</v>
      </c>
      <c r="M423" s="32" t="n">
        <f aca="false">Data_Prices!M423/Data_Prices!M422-1</f>
        <v>-0.00457649792297399</v>
      </c>
      <c r="N423" s="32" t="n">
        <f aca="false">Data_Prices!N423/Data_Prices!N422-1</f>
        <v>0.0621679064824656</v>
      </c>
      <c r="O423" s="32" t="n">
        <f aca="false">Data_Prices!O423/Data_Prices!O422-1</f>
        <v>-0.00948804111484469</v>
      </c>
      <c r="P423" s="32" t="n">
        <f aca="false">Data_Prices!P423/Data_Prices!P422-1</f>
        <v>0.0405718218218218</v>
      </c>
      <c r="Q423" s="32" t="n">
        <f aca="false">Data_Prices!Q423/Data_Prices!Q422-1</f>
        <v>0.0235515258735073</v>
      </c>
      <c r="R423" s="32" t="n">
        <f aca="false">Data_Prices!R423/Data_Prices!R422-1</f>
        <v>0.0140765765765767</v>
      </c>
      <c r="S423" s="32" t="n">
        <f aca="false">Data_Prices!S423/Data_Prices!S422-1</f>
        <v>-0.00701003854462279</v>
      </c>
      <c r="T423" s="32" t="n">
        <f aca="false">AVERAGE(D423:S423)</f>
        <v>0.0112058804200716</v>
      </c>
      <c r="U423" s="32" t="n">
        <f aca="false">AVERAGE(J423:S423)</f>
        <v>0.0180492210678251</v>
      </c>
      <c r="V423" s="32" t="n">
        <f aca="false">AVERAGE(D423:I423)</f>
        <v>-0.000199687326184361</v>
      </c>
      <c r="W423" s="32" t="n">
        <f aca="false">AVERAGE(K423,Q423,R423)</f>
        <v>0.016529844929972</v>
      </c>
      <c r="X423" s="32" t="n">
        <f aca="false">AVERAGE(K423,L423,N423,O423,P423,Q423,R423,S423)</f>
        <v>0.0221067097902827</v>
      </c>
      <c r="Y423" s="32" t="n">
        <f aca="false">AVERAGE(J423,L423,M423,N423,O423,P423,Q423,R423,S423)</f>
        <v>0.0187256420376021</v>
      </c>
      <c r="Z423" s="32" t="n">
        <f aca="false">U423-V423</f>
        <v>0.0182489083940095</v>
      </c>
      <c r="AA423" s="32" t="n">
        <f aca="false">W423-V423</f>
        <v>0.0167295322561564</v>
      </c>
    </row>
    <row r="424" customFormat="false" ht="15" hidden="false" customHeight="false" outlineLevel="0" collapsed="false">
      <c r="A424" s="28" t="n">
        <f aca="false">Data_Prices!A424</f>
        <v>45425</v>
      </c>
      <c r="B424" s="32" t="n">
        <f aca="false">Data_Prices!B424/Data_Prices!B423-1</f>
        <v>0.00221489716710788</v>
      </c>
      <c r="C424" s="32" t="n">
        <f aca="false">Data_Prices!C424/Data_Prices!C423-1</f>
        <v>0.00204698789883295</v>
      </c>
      <c r="D424" s="32" t="n">
        <f aca="false">Data_Prices!D424/Data_Prices!D423-1</f>
        <v>-0.011752570874879</v>
      </c>
      <c r="E424" s="32" t="n">
        <f aca="false">Data_Prices!E424/Data_Prices!E423-1</f>
        <v>0.00517041975644594</v>
      </c>
      <c r="F424" s="32" t="n">
        <f aca="false">Data_Prices!F424/Data_Prices!F423-1</f>
        <v>-0.0325302678243855</v>
      </c>
      <c r="G424" s="32" t="n">
        <f aca="false">Data_Prices!G424/Data_Prices!G423-1</f>
        <v>-0.00231444533120517</v>
      </c>
      <c r="H424" s="32" t="n">
        <f aca="false">Data_Prices!H424/Data_Prices!H423-1</f>
        <v>-0.0160221741481883</v>
      </c>
      <c r="I424" s="32" t="n">
        <f aca="false">Data_Prices!I424/Data_Prices!I423-1</f>
        <v>-0.00405405405405401</v>
      </c>
      <c r="J424" s="32" t="n">
        <f aca="false">Data_Prices!J424/Data_Prices!J423-1</f>
        <v>-0.0144007089579795</v>
      </c>
      <c r="K424" s="32" t="n">
        <f aca="false">Data_Prices!K424/Data_Prices!K423-1</f>
        <v>0.00516846189570197</v>
      </c>
      <c r="L424" s="32" t="n">
        <f aca="false">Data_Prices!L424/Data_Prices!L423-1</f>
        <v>0.0078183318272893</v>
      </c>
      <c r="M424" s="32" t="n">
        <f aca="false">Data_Prices!M424/Data_Prices!M423-1</f>
        <v>-0.00813410666289438</v>
      </c>
      <c r="N424" s="32" t="n">
        <f aca="false">Data_Prices!N424/Data_Prices!N423-1</f>
        <v>-0.00912956478239124</v>
      </c>
      <c r="O424" s="32" t="n">
        <f aca="false">Data_Prices!O424/Data_Prices!O423-1</f>
        <v>0.0526840949910197</v>
      </c>
      <c r="P424" s="32" t="n">
        <f aca="false">Data_Prices!P424/Data_Prices!P423-1</f>
        <v>0.0171050653840372</v>
      </c>
      <c r="Q424" s="32" t="n">
        <f aca="false">Data_Prices!Q424/Data_Prices!Q423-1</f>
        <v>-0.0132872420870693</v>
      </c>
      <c r="R424" s="32" t="n">
        <f aca="false">Data_Prices!R424/Data_Prices!R423-1</f>
        <v>0.000485841199333814</v>
      </c>
      <c r="S424" s="32" t="n">
        <f aca="false">Data_Prices!S424/Data_Prices!S423-1</f>
        <v>-0.0181500202614797</v>
      </c>
      <c r="T424" s="32" t="n">
        <f aca="false">AVERAGE(D424:S424)</f>
        <v>-0.00258393374566864</v>
      </c>
      <c r="U424" s="32" t="n">
        <f aca="false">AVERAGE(J424:S424)</f>
        <v>0.00201601525455678</v>
      </c>
      <c r="V424" s="32" t="n">
        <f aca="false">AVERAGE(D424:I424)</f>
        <v>-0.010250515412711</v>
      </c>
      <c r="W424" s="32" t="n">
        <f aca="false">AVERAGE(K424,Q424,R424)</f>
        <v>-0.00254431299734451</v>
      </c>
      <c r="X424" s="32" t="n">
        <f aca="false">AVERAGE(K424,L424,N424,O424,P424,Q424,R424,S424)</f>
        <v>0.00533687102080521</v>
      </c>
      <c r="Y424" s="32" t="n">
        <f aca="false">AVERAGE(J424,L424,M424,N424,O424,P424,Q424,R424,S424)</f>
        <v>0.00166574340554065</v>
      </c>
      <c r="Z424" s="32" t="n">
        <f aca="false">U424-V424</f>
        <v>0.0122665306672678</v>
      </c>
      <c r="AA424" s="32" t="n">
        <f aca="false">W424-V424</f>
        <v>0.0077062024153665</v>
      </c>
    </row>
    <row r="425" customFormat="false" ht="15" hidden="false" customHeight="false" outlineLevel="0" collapsed="false">
      <c r="A425" s="28" t="n">
        <f aca="false">Data_Prices!A425</f>
        <v>45426</v>
      </c>
      <c r="B425" s="32" t="n">
        <f aca="false">Data_Prices!B425/Data_Prices!B424-1</f>
        <v>0.00514837778597133</v>
      </c>
      <c r="C425" s="32" t="n">
        <f aca="false">Data_Prices!C425/Data_Prices!C424-1</f>
        <v>0.00842474769635793</v>
      </c>
      <c r="D425" s="32" t="n">
        <f aca="false">Data_Prices!D425/Data_Prices!D424-1</f>
        <v>-0.013062592908878</v>
      </c>
      <c r="E425" s="32" t="n">
        <f aca="false">Data_Prices!E425/Data_Prices!E424-1</f>
        <v>0.015228426395939</v>
      </c>
      <c r="F425" s="32" t="n">
        <f aca="false">Data_Prices!F425/Data_Prices!F424-1</f>
        <v>0.046201491593983</v>
      </c>
      <c r="G425" s="32" t="n">
        <f aca="false">Data_Prices!G425/Data_Prices!G424-1</f>
        <v>0.0139188864890809</v>
      </c>
      <c r="H425" s="32" t="n">
        <f aca="false">Data_Prices!H425/Data_Prices!H424-1</f>
        <v>0.0062521470285124</v>
      </c>
      <c r="I425" s="32" t="n">
        <f aca="false">Data_Prices!I425/Data_Prices!I424-1</f>
        <v>0.00918484500574057</v>
      </c>
      <c r="J425" s="32" t="n">
        <f aca="false">Data_Prices!J425/Data_Prices!J424-1</f>
        <v>0.0314201508566863</v>
      </c>
      <c r="K425" s="32" t="n">
        <f aca="false">Data_Prices!K425/Data_Prices!K424-1</f>
        <v>-0.00640872779301305</v>
      </c>
      <c r="L425" s="32" t="n">
        <f aca="false">Data_Prices!L425/Data_Prices!L424-1</f>
        <v>-0.0238188055512241</v>
      </c>
      <c r="M425" s="32" t="n">
        <f aca="false">Data_Prices!M425/Data_Prices!M424-1</f>
        <v>-0.0158311345646438</v>
      </c>
      <c r="N425" s="32" t="n">
        <f aca="false">Data_Prices!N425/Data_Prices!N424-1</f>
        <v>0.0118641928562415</v>
      </c>
      <c r="O425" s="32" t="n">
        <f aca="false">Data_Prices!O425/Data_Prices!O424-1</f>
        <v>0</v>
      </c>
      <c r="P425" s="32" t="n">
        <f aca="false">Data_Prices!P425/Data_Prices!P424-1</f>
        <v>-0.00851214754389085</v>
      </c>
      <c r="Q425" s="32" t="n">
        <f aca="false">Data_Prices!Q425/Data_Prices!Q424-1</f>
        <v>0.0261659732866213</v>
      </c>
      <c r="R425" s="32" t="n">
        <f aca="false">Data_Prices!R425/Data_Prices!R424-1</f>
        <v>-0.0032604925424905</v>
      </c>
      <c r="S425" s="32" t="n">
        <f aca="false">Data_Prices!S425/Data_Prices!S424-1</f>
        <v>0.0124033365192457</v>
      </c>
      <c r="T425" s="32" t="n">
        <f aca="false">AVERAGE(D425:S425)</f>
        <v>0.0063590968204944</v>
      </c>
      <c r="U425" s="32" t="n">
        <f aca="false">AVERAGE(J425:S425)</f>
        <v>0.00240223455235326</v>
      </c>
      <c r="V425" s="32" t="n">
        <f aca="false">AVERAGE(D425:I425)</f>
        <v>0.0129538672673963</v>
      </c>
      <c r="W425" s="32" t="n">
        <f aca="false">AVERAGE(K425,Q425,R425)</f>
        <v>0.00549891765037258</v>
      </c>
      <c r="X425" s="32" t="n">
        <f aca="false">AVERAGE(K425,L425,N425,O425,P425,Q425,R425,S425)</f>
        <v>0.00105416615393626</v>
      </c>
      <c r="Y425" s="32" t="n">
        <f aca="false">AVERAGE(J425,L425,M425,N425,O425,P425,Q425,R425,S425)</f>
        <v>0.00338123036850507</v>
      </c>
      <c r="Z425" s="32" t="n">
        <f aca="false">U425-V425</f>
        <v>-0.0105516327150431</v>
      </c>
      <c r="AA425" s="32" t="n">
        <f aca="false">W425-V425</f>
        <v>-0.00745494961702374</v>
      </c>
    </row>
    <row r="426" customFormat="false" ht="15" hidden="false" customHeight="false" outlineLevel="0" collapsed="false">
      <c r="A426" s="28" t="n">
        <f aca="false">Data_Prices!A426</f>
        <v>45427</v>
      </c>
      <c r="B426" s="32" t="n">
        <f aca="false">Data_Prices!B426/Data_Prices!B425-1</f>
        <v>-0.000778653200017021</v>
      </c>
      <c r="C426" s="32" t="n">
        <f aca="false">Data_Prices!C426/Data_Prices!C425-1</f>
        <v>0.00280654425202331</v>
      </c>
      <c r="D426" s="32" t="n">
        <f aca="false">Data_Prices!D426/Data_Prices!D425-1</f>
        <v>0.0109601333162415</v>
      </c>
      <c r="E426" s="32" t="n">
        <f aca="false">Data_Prices!E426/Data_Prices!E425-1</f>
        <v>0.004</v>
      </c>
      <c r="F426" s="32" t="n">
        <f aca="false">Data_Prices!F426/Data_Prices!F425-1</f>
        <v>0.00235606838639524</v>
      </c>
      <c r="G426" s="32" t="n">
        <f aca="false">Data_Prices!G426/Data_Prices!G425-1</f>
        <v>-0.00433925049309669</v>
      </c>
      <c r="H426" s="32" t="n">
        <f aca="false">Data_Prices!H426/Data_Prices!H425-1</f>
        <v>0.00607674450361873</v>
      </c>
      <c r="I426" s="32" t="n">
        <f aca="false">Data_Prices!I426/Data_Prices!I425-1</f>
        <v>0.0516082324956044</v>
      </c>
      <c r="J426" s="32" t="n">
        <f aca="false">Data_Prices!J426/Data_Prices!J425-1</f>
        <v>-0.00295428128632336</v>
      </c>
      <c r="K426" s="32" t="n">
        <f aca="false">Data_Prices!K426/Data_Prices!K425-1</f>
        <v>0.000645006450064489</v>
      </c>
      <c r="L426" s="32" t="n">
        <f aca="false">Data_Prices!L426/Data_Prices!L425-1</f>
        <v>-0.0165328860668504</v>
      </c>
      <c r="M426" s="32" t="n">
        <f aca="false">Data_Prices!M426/Data_Prices!M425-1</f>
        <v>0.0243460618795741</v>
      </c>
      <c r="N426" s="32" t="n">
        <f aca="false">Data_Prices!N426/Data_Prices!N425-1</f>
        <v>-0.0125982287638768</v>
      </c>
      <c r="O426" s="32" t="n">
        <f aca="false">Data_Prices!O426/Data_Prices!O425-1</f>
        <v>0.0119431279620852</v>
      </c>
      <c r="P426" s="32" t="n">
        <f aca="false">Data_Prices!P426/Data_Prices!P425-1</f>
        <v>-0.00345793835330588</v>
      </c>
      <c r="Q426" s="32" t="n">
        <f aca="false">Data_Prices!Q426/Data_Prices!Q425-1</f>
        <v>-0.00576122906219989</v>
      </c>
      <c r="R426" s="32" t="n">
        <f aca="false">Data_Prices!R426/Data_Prices!R425-1</f>
        <v>-0.00689031180400879</v>
      </c>
      <c r="S426" s="32" t="n">
        <f aca="false">Data_Prices!S426/Data_Prices!S425-1</f>
        <v>-0.00444139292380974</v>
      </c>
      <c r="T426" s="32" t="n">
        <f aca="false">AVERAGE(D426:S426)</f>
        <v>0.003434991015007</v>
      </c>
      <c r="U426" s="32" t="n">
        <f aca="false">AVERAGE(J426:S426)</f>
        <v>-0.00157020719686511</v>
      </c>
      <c r="V426" s="32" t="n">
        <f aca="false">AVERAGE(D426:I426)</f>
        <v>0.0117769880347939</v>
      </c>
      <c r="W426" s="32" t="n">
        <f aca="false">AVERAGE(K426,Q426,R426)</f>
        <v>-0.00400217813871473</v>
      </c>
      <c r="X426" s="32" t="n">
        <f aca="false">AVERAGE(K426,L426,N426,O426,P426,Q426,R426,S426)</f>
        <v>-0.00463673157023774</v>
      </c>
      <c r="Y426" s="32" t="n">
        <f aca="false">AVERAGE(J426,L426,M426,N426,O426,P426,Q426,R426,S426)</f>
        <v>-0.00181634204652396</v>
      </c>
      <c r="Z426" s="32" t="n">
        <f aca="false">U426-V426</f>
        <v>-0.013347195231659</v>
      </c>
      <c r="AA426" s="32" t="n">
        <f aca="false">W426-V426</f>
        <v>-0.0157791661735086</v>
      </c>
    </row>
    <row r="427" customFormat="false" ht="15" hidden="false" customHeight="false" outlineLevel="0" collapsed="false">
      <c r="A427" s="28" t="n">
        <f aca="false">Data_Prices!A427</f>
        <v>45428</v>
      </c>
      <c r="B427" s="32" t="n">
        <f aca="false">Data_Prices!B427/Data_Prices!B426-1</f>
        <v>0.00915743078437248</v>
      </c>
      <c r="C427" s="32" t="n">
        <f aca="false">Data_Prices!C427/Data_Prices!C426-1</f>
        <v>0.00902523159698876</v>
      </c>
      <c r="D427" s="32" t="n">
        <f aca="false">Data_Prices!D427/Data_Prices!D426-1</f>
        <v>0.00792493501553282</v>
      </c>
      <c r="E427" s="32" t="n">
        <f aca="false">Data_Prices!E427/Data_Prices!E426-1</f>
        <v>0.0096281540504648</v>
      </c>
      <c r="F427" s="32" t="n">
        <f aca="false">Data_Prices!F427/Data_Prices!F426-1</f>
        <v>-0.00174783027965286</v>
      </c>
      <c r="G427" s="32" t="n">
        <f aca="false">Data_Prices!G427/Data_Prices!G426-1</f>
        <v>0.0351030110935024</v>
      </c>
      <c r="H427" s="32" t="n">
        <f aca="false">Data_Prices!H427/Data_Prices!H426-1</f>
        <v>0.00943332202239566</v>
      </c>
      <c r="I427" s="32" t="n">
        <f aca="false">Data_Prices!I427/Data_Prices!I426-1</f>
        <v>-0.0108182533438238</v>
      </c>
      <c r="J427" s="32" t="n">
        <f aca="false">Data_Prices!J427/Data_Prices!J426-1</f>
        <v>-0.0039830961286248</v>
      </c>
      <c r="K427" s="32" t="n">
        <f aca="false">Data_Prices!K427/Data_Prices!K426-1</f>
        <v>0.0100586127808839</v>
      </c>
      <c r="L427" s="32" t="n">
        <f aca="false">Data_Prices!L427/Data_Prices!L426-1</f>
        <v>0.0248913793803549</v>
      </c>
      <c r="M427" s="32" t="n">
        <f aca="false">Data_Prices!M427/Data_Prices!M426-1</f>
        <v>0.00413807738558392</v>
      </c>
      <c r="N427" s="32" t="n">
        <f aca="false">Data_Prices!N427/Data_Prices!N426-1</f>
        <v>-0.00530570995452251</v>
      </c>
      <c r="O427" s="32" t="n">
        <f aca="false">Data_Prices!O427/Data_Prices!O426-1</f>
        <v>-0.000936680404645895</v>
      </c>
      <c r="P427" s="32" t="n">
        <f aca="false">Data_Prices!P427/Data_Prices!P426-1</f>
        <v>0.0151061920430751</v>
      </c>
      <c r="Q427" s="32" t="n">
        <f aca="false">Data_Prices!Q427/Data_Prices!Q426-1</f>
        <v>0.00429230604142084</v>
      </c>
      <c r="R427" s="32" t="n">
        <f aca="false">Data_Prices!R427/Data_Prices!R426-1</f>
        <v>0.000420491975611448</v>
      </c>
      <c r="S427" s="32" t="n">
        <f aca="false">Data_Prices!S427/Data_Prices!S426-1</f>
        <v>0.00806034482758622</v>
      </c>
      <c r="T427" s="32" t="n">
        <f aca="false">AVERAGE(D427:S427)</f>
        <v>0.00664157853157139</v>
      </c>
      <c r="U427" s="32" t="n">
        <f aca="false">AVERAGE(J427:S427)</f>
        <v>0.00567419179467231</v>
      </c>
      <c r="V427" s="32" t="n">
        <f aca="false">AVERAGE(D427:I427)</f>
        <v>0.00825388975973651</v>
      </c>
      <c r="W427" s="32" t="n">
        <f aca="false">AVERAGE(K427,Q427,R427)</f>
        <v>0.00492380359930541</v>
      </c>
      <c r="X427" s="32" t="n">
        <f aca="false">AVERAGE(K427,L427,N427,O427,P427,Q427,R427,S427)</f>
        <v>0.0070733670862205</v>
      </c>
      <c r="Y427" s="32" t="n">
        <f aca="false">AVERAGE(J427,L427,M427,N427,O427,P427,Q427,R427,S427)</f>
        <v>0.00518703390731547</v>
      </c>
      <c r="Z427" s="32" t="n">
        <f aca="false">U427-V427</f>
        <v>-0.0025796979650642</v>
      </c>
      <c r="AA427" s="32" t="n">
        <f aca="false">W427-V427</f>
        <v>-0.0033300861604311</v>
      </c>
    </row>
    <row r="428" customFormat="false" ht="15" hidden="false" customHeight="false" outlineLevel="0" collapsed="false">
      <c r="A428" s="28" t="n">
        <f aca="false">Data_Prices!A428</f>
        <v>45429</v>
      </c>
      <c r="B428" s="32" t="n">
        <f aca="false">Data_Prices!B428/Data_Prices!B427-1</f>
        <v>0.0027785402955296</v>
      </c>
      <c r="C428" s="32" t="n">
        <f aca="false">Data_Prices!C428/Data_Prices!C427-1</f>
        <v>0.00647425468427865</v>
      </c>
      <c r="D428" s="32" t="n">
        <f aca="false">Data_Prices!D428/Data_Prices!D427-1</f>
        <v>0.00456032205308854</v>
      </c>
      <c r="E428" s="32" t="n">
        <f aca="false">Data_Prices!E428/Data_Prices!E427-1</f>
        <v>-0.00328839197632358</v>
      </c>
      <c r="F428" s="32" t="n">
        <f aca="false">Data_Prices!F428/Data_Prices!F427-1</f>
        <v>0.0156976393165489</v>
      </c>
      <c r="G428" s="32" t="n">
        <f aca="false">Data_Prices!G428/Data_Prices!G427-1</f>
        <v>-0.0017606981550945</v>
      </c>
      <c r="H428" s="32" t="n">
        <f aca="false">Data_Prices!H428/Data_Prices!H427-1</f>
        <v>-0.0112948769665189</v>
      </c>
      <c r="I428" s="32" t="n">
        <f aca="false">Data_Prices!I428/Data_Prices!I427-1</f>
        <v>-0.00517001391926819</v>
      </c>
      <c r="J428" s="32" t="n">
        <f aca="false">Data_Prices!J428/Data_Prices!J427-1</f>
        <v>0.00614484272128735</v>
      </c>
      <c r="K428" s="32" t="n">
        <f aca="false">Data_Prices!K428/Data_Prices!K427-1</f>
        <v>-0.00292371623627175</v>
      </c>
      <c r="L428" s="32" t="n">
        <f aca="false">Data_Prices!L428/Data_Prices!L427-1</f>
        <v>0.0182250396196513</v>
      </c>
      <c r="M428" s="32" t="n">
        <f aca="false">Data_Prices!M428/Data_Prices!M427-1</f>
        <v>-0.00588214575041379</v>
      </c>
      <c r="N428" s="32" t="n">
        <f aca="false">Data_Prices!N428/Data_Prices!N427-1</f>
        <v>0.0152400304800611</v>
      </c>
      <c r="O428" s="32" t="n">
        <f aca="false">Data_Prices!O428/Data_Prices!O427-1</f>
        <v>-0.0106881680105005</v>
      </c>
      <c r="P428" s="32" t="n">
        <f aca="false">Data_Prices!P428/Data_Prices!P427-1</f>
        <v>-0.0101370266686313</v>
      </c>
      <c r="Q428" s="32" t="n">
        <f aca="false">Data_Prices!Q428/Data_Prices!Q427-1</f>
        <v>-0.00950956298749861</v>
      </c>
      <c r="R428" s="32" t="n">
        <f aca="false">Data_Prices!R428/Data_Prices!R427-1</f>
        <v>0.00161120840630469</v>
      </c>
      <c r="S428" s="32" t="n">
        <f aca="false">Data_Prices!S428/Data_Prices!S427-1</f>
        <v>0.0140676444178389</v>
      </c>
      <c r="T428" s="32" t="n">
        <f aca="false">AVERAGE(D428:S428)</f>
        <v>0.000930757896516227</v>
      </c>
      <c r="U428" s="32" t="n">
        <f aca="false">AVERAGE(J428:S428)</f>
        <v>0.00161481459918273</v>
      </c>
      <c r="V428" s="32" t="n">
        <f aca="false">AVERAGE(D428:I428)</f>
        <v>-0.000209336607927953</v>
      </c>
      <c r="W428" s="32" t="n">
        <f aca="false">AVERAGE(K428,Q428,R428)</f>
        <v>-0.00360735693915522</v>
      </c>
      <c r="X428" s="32" t="n">
        <f aca="false">AVERAGE(K428,L428,N428,O428,P428,Q428,R428,S428)</f>
        <v>0.00198568112761922</v>
      </c>
      <c r="Y428" s="32" t="n">
        <f aca="false">AVERAGE(J428,L428,M428,N428,O428,P428,Q428,R428,S428)</f>
        <v>0.00211909580312212</v>
      </c>
      <c r="Z428" s="32" t="n">
        <f aca="false">U428-V428</f>
        <v>0.00182415120711069</v>
      </c>
      <c r="AA428" s="32" t="n">
        <f aca="false">W428-V428</f>
        <v>-0.00339802033122727</v>
      </c>
    </row>
    <row r="429" customFormat="false" ht="15" hidden="false" customHeight="false" outlineLevel="0" collapsed="false">
      <c r="A429" s="28" t="n">
        <f aca="false">Data_Prices!A429</f>
        <v>45430</v>
      </c>
      <c r="B429" s="32" t="n">
        <f aca="false">Data_Prices!B429/Data_Prices!B428-1</f>
        <v>0.00159796315337335</v>
      </c>
      <c r="C429" s="32" t="n">
        <f aca="false">Data_Prices!C429/Data_Prices!C428-1</f>
        <v>0.00379310262977373</v>
      </c>
      <c r="D429" s="32" t="n">
        <f aca="false">Data_Prices!D429/Data_Prices!D428-1</f>
        <v>-0.00992454838608681</v>
      </c>
      <c r="E429" s="32" t="n">
        <f aca="false">Data_Prices!E429/Data_Prices!E428-1</f>
        <v>0.000791817881887091</v>
      </c>
      <c r="F429" s="32" t="n">
        <f aca="false">Data_Prices!F429/Data_Prices!F428-1</f>
        <v>0.00422041253046435</v>
      </c>
      <c r="G429" s="32" t="n">
        <f aca="false">Data_Prices!G429/Data_Prices!G428-1</f>
        <v>-0.0109662576687116</v>
      </c>
      <c r="H429" s="32" t="n">
        <f aca="false">Data_Prices!H429/Data_Prices!H428-1</f>
        <v>0.0163198694410445</v>
      </c>
      <c r="I429" s="32" t="n">
        <f aca="false">Data_Prices!I429/Data_Prices!I428-1</f>
        <v>0.0200879472316611</v>
      </c>
      <c r="J429" s="32" t="n">
        <f aca="false">Data_Prices!J429/Data_Prices!J428-1</f>
        <v>0.00620425573166594</v>
      </c>
      <c r="K429" s="32" t="n">
        <f aca="false">Data_Prices!K429/Data_Prices!K428-1</f>
        <v>0.00156289537531817</v>
      </c>
      <c r="L429" s="32" t="n">
        <f aca="false">Data_Prices!L429/Data_Prices!L428-1</f>
        <v>-0.00245136186770434</v>
      </c>
      <c r="M429" s="32" t="n">
        <f aca="false">Data_Prices!M429/Data_Prices!M428-1</f>
        <v>0.0126133786848073</v>
      </c>
      <c r="N429" s="32" t="n">
        <f aca="false">Data_Prices!N429/Data_Prices!N428-1</f>
        <v>0.00450337753315</v>
      </c>
      <c r="O429" s="32" t="n">
        <f aca="false">Data_Prices!O429/Data_Prices!O428-1</f>
        <v>0.00265352539802866</v>
      </c>
      <c r="P429" s="32" t="n">
        <f aca="false">Data_Prices!P429/Data_Prices!P428-1</f>
        <v>0.014200232205055</v>
      </c>
      <c r="Q429" s="32" t="n">
        <f aca="false">Data_Prices!Q429/Data_Prices!Q428-1</f>
        <v>0.00366774541531822</v>
      </c>
      <c r="R429" s="32" t="n">
        <f aca="false">Data_Prices!R429/Data_Prices!R428-1</f>
        <v>-0.000209819555182511</v>
      </c>
      <c r="S429" s="32" t="n">
        <f aca="false">Data_Prices!S429/Data_Prices!S428-1</f>
        <v>-0.000484904705683964</v>
      </c>
      <c r="T429" s="32" t="n">
        <f aca="false">AVERAGE(D429:S429)</f>
        <v>0.00392428532781444</v>
      </c>
      <c r="U429" s="32" t="n">
        <f aca="false">AVERAGE(J429:S429)</f>
        <v>0.00422593242147724</v>
      </c>
      <c r="V429" s="32" t="n">
        <f aca="false">AVERAGE(D429:I429)</f>
        <v>0.00342154017170976</v>
      </c>
      <c r="W429" s="32" t="n">
        <f aca="false">AVERAGE(K429,Q429,R429)</f>
        <v>0.00167360707848463</v>
      </c>
      <c r="X429" s="32" t="n">
        <f aca="false">AVERAGE(K429,L429,N429,O429,P429,Q429,R429,S429)</f>
        <v>0.0029302112247874</v>
      </c>
      <c r="Y429" s="32" t="n">
        <f aca="false">AVERAGE(J429,L429,M429,N429,O429,P429,Q429,R429,S429)</f>
        <v>0.00452182542660603</v>
      </c>
      <c r="Z429" s="32" t="n">
        <f aca="false">U429-V429</f>
        <v>0.000804392249767483</v>
      </c>
      <c r="AA429" s="32" t="n">
        <f aca="false">W429-V429</f>
        <v>-0.00174793309322513</v>
      </c>
    </row>
    <row r="430" customFormat="false" ht="15" hidden="false" customHeight="false" outlineLevel="0" collapsed="false">
      <c r="A430" s="28" t="n">
        <f aca="false">Data_Prices!A430</f>
        <v>45433</v>
      </c>
      <c r="B430" s="32" t="n">
        <f aca="false">Data_Prices!B430/Data_Prices!B429-1</f>
        <v>0.00120211536752279</v>
      </c>
      <c r="C430" s="32" t="n">
        <f aca="false">Data_Prices!C430/Data_Prices!C429-1</f>
        <v>0.00204308932131125</v>
      </c>
      <c r="D430" s="32" t="n">
        <f aca="false">Data_Prices!D430/Data_Prices!D429-1</f>
        <v>0.0191626612699216</v>
      </c>
      <c r="E430" s="32" t="n">
        <f aca="false">Data_Prices!E430/Data_Prices!E429-1</f>
        <v>-0.0177358739368366</v>
      </c>
      <c r="F430" s="32" t="n">
        <f aca="false">Data_Prices!F430/Data_Prices!F429-1</f>
        <v>-0.0298922694447733</v>
      </c>
      <c r="G430" s="32" t="n">
        <f aca="false">Data_Prices!G430/Data_Prices!G429-1</f>
        <v>0.0105450880049622</v>
      </c>
      <c r="H430" s="32" t="n">
        <f aca="false">Data_Prices!H430/Data_Prices!H429-1</f>
        <v>-0.00903251706142116</v>
      </c>
      <c r="I430" s="32" t="n">
        <f aca="false">Data_Prices!I430/Data_Prices!I429-1</f>
        <v>-0.0292936220241012</v>
      </c>
      <c r="J430" s="32" t="n">
        <f aca="false">Data_Prices!J430/Data_Prices!J429-1</f>
        <v>-0.0183775711739487</v>
      </c>
      <c r="K430" s="32" t="n">
        <f aca="false">Data_Prices!K430/Data_Prices!K429-1</f>
        <v>0.000728213054333571</v>
      </c>
      <c r="L430" s="32" t="n">
        <f aca="false">Data_Prices!L430/Data_Prices!L429-1</f>
        <v>0.00826929827983003</v>
      </c>
      <c r="M430" s="32" t="n">
        <f aca="false">Data_Prices!M430/Data_Prices!M429-1</f>
        <v>-0.0094121763470959</v>
      </c>
      <c r="N430" s="32" t="n">
        <f aca="false">Data_Prices!N430/Data_Prices!N429-1</f>
        <v>-0.00859277708592776</v>
      </c>
      <c r="O430" s="32" t="n">
        <f aca="false">Data_Prices!O430/Data_Prices!O429-1</f>
        <v>-0.00415879017013243</v>
      </c>
      <c r="P430" s="32" t="n">
        <f aca="false">Data_Prices!P430/Data_Prices!P429-1</f>
        <v>0</v>
      </c>
      <c r="Q430" s="32" t="n">
        <f aca="false">Data_Prices!Q430/Data_Prices!Q429-1</f>
        <v>-0.014079965606191</v>
      </c>
      <c r="R430" s="32" t="n">
        <f aca="false">Data_Prices!R430/Data_Prices!R429-1</f>
        <v>-0.00685554389646725</v>
      </c>
      <c r="S430" s="32" t="n">
        <f aca="false">Data_Prices!S430/Data_Prices!S429-1</f>
        <v>0.00118121031871588</v>
      </c>
      <c r="T430" s="32" t="n">
        <f aca="false">AVERAGE(D430:S430)</f>
        <v>-0.00672153973869575</v>
      </c>
      <c r="U430" s="32" t="n">
        <f aca="false">AVERAGE(J430:S430)</f>
        <v>-0.00512981026268835</v>
      </c>
      <c r="V430" s="32" t="n">
        <f aca="false">AVERAGE(D430:I430)</f>
        <v>-0.00937442219870808</v>
      </c>
      <c r="W430" s="32" t="n">
        <f aca="false">AVERAGE(K430,Q430,R430)</f>
        <v>-0.00673576548277488</v>
      </c>
      <c r="X430" s="32" t="n">
        <f aca="false">AVERAGE(K430,L430,N430,O430,P430,Q430,R430,S430)</f>
        <v>-0.00293854438822987</v>
      </c>
      <c r="Y430" s="32" t="n">
        <f aca="false">AVERAGE(J430,L430,M430,N430,O430,P430,Q430,R430,S430)</f>
        <v>-0.00578070174235745</v>
      </c>
      <c r="Z430" s="32" t="n">
        <f aca="false">U430-V430</f>
        <v>0.00424461193601973</v>
      </c>
      <c r="AA430" s="32" t="n">
        <f aca="false">W430-V430</f>
        <v>0.0026386567159332</v>
      </c>
    </row>
    <row r="431" customFormat="false" ht="15" hidden="false" customHeight="false" outlineLevel="0" collapsed="false">
      <c r="A431" s="28" t="n">
        <f aca="false">Data_Prices!A431</f>
        <v>45434</v>
      </c>
      <c r="B431" s="32" t="n">
        <f aca="false">Data_Prices!B431/Data_Prices!B430-1</f>
        <v>0.00305161558077227</v>
      </c>
      <c r="C431" s="32" t="n">
        <f aca="false">Data_Prices!C431/Data_Prices!C430-1</f>
        <v>0.00236458502948644</v>
      </c>
      <c r="D431" s="32" t="n">
        <f aca="false">Data_Prices!D431/Data_Prices!D430-1</f>
        <v>-0.00586410176853869</v>
      </c>
      <c r="E431" s="32" t="n">
        <f aca="false">Data_Prices!E431/Data_Prices!E430-1</f>
        <v>-0.00724929520741036</v>
      </c>
      <c r="F431" s="32" t="n">
        <f aca="false">Data_Prices!F431/Data_Prices!F430-1</f>
        <v>0.00115931417414106</v>
      </c>
      <c r="G431" s="32" t="n">
        <f aca="false">Data_Prices!G431/Data_Prices!G430-1</f>
        <v>0.00598480779559574</v>
      </c>
      <c r="H431" s="32" t="n">
        <f aca="false">Data_Prices!H431/Data_Prices!H430-1</f>
        <v>0.00648166902977532</v>
      </c>
      <c r="I431" s="32" t="n">
        <f aca="false">Data_Prices!I431/Data_Prices!I430-1</f>
        <v>0.0116067823980621</v>
      </c>
      <c r="J431" s="32" t="n">
        <f aca="false">Data_Prices!J431/Data_Prices!J430-1</f>
        <v>0.0261072261072259</v>
      </c>
      <c r="K431" s="32" t="n">
        <f aca="false">Data_Prices!K431/Data_Prices!K430-1</f>
        <v>0.000252461499621326</v>
      </c>
      <c r="L431" s="32" t="n">
        <f aca="false">Data_Prices!L431/Data_Prices!L430-1</f>
        <v>-0.0175635421099463</v>
      </c>
      <c r="M431" s="32" t="n">
        <f aca="false">Data_Prices!M431/Data_Prices!M430-1</f>
        <v>-0.00483910847373803</v>
      </c>
      <c r="N431" s="32" t="n">
        <f aca="false">Data_Prices!N431/Data_Prices!N430-1</f>
        <v>0.00414520788845607</v>
      </c>
      <c r="O431" s="32" t="n">
        <f aca="false">Data_Prices!O431/Data_Prices!O430-1</f>
        <v>0.0100607441154139</v>
      </c>
      <c r="P431" s="32" t="n">
        <f aca="false">Data_Prices!P431/Data_Prices!P430-1</f>
        <v>0.00278854056592692</v>
      </c>
      <c r="Q431" s="32" t="n">
        <f aca="false">Data_Prices!Q431/Data_Prices!Q430-1</f>
        <v>-0.00708601329990188</v>
      </c>
      <c r="R431" s="32" t="n">
        <f aca="false">Data_Prices!R431/Data_Prices!R430-1</f>
        <v>-0.00253574698880055</v>
      </c>
      <c r="S431" s="32" t="n">
        <f aca="false">Data_Prices!S431/Data_Prices!S430-1</f>
        <v>-0.0153797535025808</v>
      </c>
      <c r="T431" s="32" t="n">
        <f aca="false">AVERAGE(D431:S431)</f>
        <v>0.000504324513956364</v>
      </c>
      <c r="U431" s="32" t="n">
        <f aca="false">AVERAGE(J431:S431)</f>
        <v>-0.000404998419832336</v>
      </c>
      <c r="V431" s="32" t="n">
        <f aca="false">AVERAGE(D431:I431)</f>
        <v>0.00201986273693753</v>
      </c>
      <c r="W431" s="32" t="n">
        <f aca="false">AVERAGE(K431,Q431,R431)</f>
        <v>-0.00312309959636037</v>
      </c>
      <c r="X431" s="32" t="n">
        <f aca="false">AVERAGE(K431,L431,N431,O431,P431,Q431,R431,S431)</f>
        <v>-0.00316476272897641</v>
      </c>
      <c r="Y431" s="32" t="n">
        <f aca="false">AVERAGE(J431,L431,M431,N431,O431,P431,Q431,R431,S431)</f>
        <v>-0.000478049521993855</v>
      </c>
      <c r="Z431" s="32" t="n">
        <f aca="false">U431-V431</f>
        <v>-0.00242486115676987</v>
      </c>
      <c r="AA431" s="32" t="n">
        <f aca="false">W431-V431</f>
        <v>-0.0051429623332979</v>
      </c>
    </row>
    <row r="432" customFormat="false" ht="15" hidden="false" customHeight="false" outlineLevel="0" collapsed="false">
      <c r="A432" s="28" t="n">
        <f aca="false">Data_Prices!A432</f>
        <v>45435</v>
      </c>
      <c r="B432" s="32" t="n">
        <f aca="false">Data_Prices!B432/Data_Prices!B431-1</f>
        <v>0.0163666374602838</v>
      </c>
      <c r="C432" s="32" t="n">
        <f aca="false">Data_Prices!C432/Data_Prices!C431-1</f>
        <v>0.0118562465421244</v>
      </c>
      <c r="D432" s="32" t="n">
        <f aca="false">Data_Prices!D432/Data_Prices!D431-1</f>
        <v>0.00471271183795752</v>
      </c>
      <c r="E432" s="32" t="n">
        <f aca="false">Data_Prices!E432/Data_Prices!E431-1</f>
        <v>0.00689655172413795</v>
      </c>
      <c r="F432" s="32" t="n">
        <f aca="false">Data_Prices!F432/Data_Prices!F431-1</f>
        <v>-0.0029863481228668</v>
      </c>
      <c r="G432" s="32" t="n">
        <f aca="false">Data_Prices!G432/Data_Prices!G431-1</f>
        <v>-0.00221188315155207</v>
      </c>
      <c r="H432" s="32" t="n">
        <f aca="false">Data_Prices!H432/Data_Prices!H431-1</f>
        <v>0.0715100288455088</v>
      </c>
      <c r="I432" s="32" t="n">
        <f aca="false">Data_Prices!I432/Data_Prices!I431-1</f>
        <v>0.029132994113539</v>
      </c>
      <c r="J432" s="32" t="n">
        <f aca="false">Data_Prices!J432/Data_Prices!J431-1</f>
        <v>0.00389774982663393</v>
      </c>
      <c r="K432" s="32" t="n">
        <f aca="false">Data_Prices!K432/Data_Prices!K431-1</f>
        <v>0.0121744810998605</v>
      </c>
      <c r="L432" s="32" t="n">
        <f aca="false">Data_Prices!L432/Data_Prices!L431-1</f>
        <v>0.00748178775349473</v>
      </c>
      <c r="M432" s="32" t="n">
        <f aca="false">Data_Prices!M432/Data_Prices!M431-1</f>
        <v>-0.00159721729253925</v>
      </c>
      <c r="N432" s="32" t="n">
        <f aca="false">Data_Prices!N432/Data_Prices!N431-1</f>
        <v>-0.00600450337753311</v>
      </c>
      <c r="O432" s="32" t="n">
        <f aca="false">Data_Prices!O432/Data_Prices!O431-1</f>
        <v>0.0112760759255779</v>
      </c>
      <c r="P432" s="32" t="n">
        <f aca="false">Data_Prices!P432/Data_Prices!P431-1</f>
        <v>0.00608845827357074</v>
      </c>
      <c r="Q432" s="32" t="n">
        <f aca="false">Data_Prices!Q432/Data_Prices!Q431-1</f>
        <v>0.0119675010979359</v>
      </c>
      <c r="R432" s="32" t="n">
        <f aca="false">Data_Prices!R432/Data_Prices!R431-1</f>
        <v>0.00360144057623057</v>
      </c>
      <c r="S432" s="32" t="n">
        <f aca="false">Data_Prices!S432/Data_Prices!S431-1</f>
        <v>0.0272600834492349</v>
      </c>
      <c r="T432" s="32" t="n">
        <f aca="false">AVERAGE(D432:S432)</f>
        <v>0.0114499945361995</v>
      </c>
      <c r="U432" s="32" t="n">
        <f aca="false">AVERAGE(J432:S432)</f>
        <v>0.00761458573324668</v>
      </c>
      <c r="V432" s="32" t="n">
        <f aca="false">AVERAGE(D432:I432)</f>
        <v>0.0178423425411207</v>
      </c>
      <c r="W432" s="32" t="n">
        <f aca="false">AVERAGE(K432,Q432,R432)</f>
        <v>0.00924780759134232</v>
      </c>
      <c r="X432" s="32" t="n">
        <f aca="false">AVERAGE(K432,L432,N432,O432,P432,Q432,R432,S432)</f>
        <v>0.00923066559979652</v>
      </c>
      <c r="Y432" s="32" t="n">
        <f aca="false">AVERAGE(J432,L432,M432,N432,O432,P432,Q432,R432,S432)</f>
        <v>0.00710793069251181</v>
      </c>
      <c r="Z432" s="32" t="n">
        <f aca="false">U432-V432</f>
        <v>-0.0102277568078741</v>
      </c>
      <c r="AA432" s="32" t="n">
        <f aca="false">W432-V432</f>
        <v>-0.00859453494977841</v>
      </c>
    </row>
    <row r="433" customFormat="false" ht="15" hidden="false" customHeight="false" outlineLevel="0" collapsed="false">
      <c r="A433" s="28" t="n">
        <f aca="false">Data_Prices!A433</f>
        <v>45436</v>
      </c>
      <c r="B433" s="32" t="n">
        <f aca="false">Data_Prices!B433/Data_Prices!B432-1</f>
        <v>-0.000459341726297802</v>
      </c>
      <c r="C433" s="32" t="n">
        <f aca="false">Data_Prices!C433/Data_Prices!C432-1</f>
        <v>-0.000269898625145704</v>
      </c>
      <c r="D433" s="32" t="n">
        <f aca="false">Data_Prices!D433/Data_Prices!D432-1</f>
        <v>0.00599527833001989</v>
      </c>
      <c r="E433" s="32" t="n">
        <f aca="false">Data_Prices!E433/Data_Prices!E432-1</f>
        <v>-0.00812516787536943</v>
      </c>
      <c r="F433" s="32" t="n">
        <f aca="false">Data_Prices!F433/Data_Prices!F432-1</f>
        <v>-0.0178495018032887</v>
      </c>
      <c r="G433" s="32" t="n">
        <f aca="false">Data_Prices!G433/Data_Prices!G432-1</f>
        <v>-0.00764409111756614</v>
      </c>
      <c r="H433" s="32" t="n">
        <f aca="false">Data_Prices!H433/Data_Prices!H432-1</f>
        <v>-0.00275464846929185</v>
      </c>
      <c r="I433" s="32" t="n">
        <f aca="false">Data_Prices!I433/Data_Prices!I432-1</f>
        <v>-0.024818225884634</v>
      </c>
      <c r="J433" s="32" t="n">
        <f aca="false">Data_Prices!J433/Data_Prices!J432-1</f>
        <v>-0.0136248868562717</v>
      </c>
      <c r="K433" s="32" t="n">
        <f aca="false">Data_Prices!K433/Data_Prices!K432-1</f>
        <v>0.00149617156100557</v>
      </c>
      <c r="L433" s="32" t="n">
        <f aca="false">Data_Prices!L433/Data_Prices!L432-1</f>
        <v>-0.0143052569865155</v>
      </c>
      <c r="M433" s="32" t="n">
        <f aca="false">Data_Prices!M433/Data_Prices!M432-1</f>
        <v>-0.00831881687937719</v>
      </c>
      <c r="N433" s="32" t="n">
        <f aca="false">Data_Prices!N433/Data_Prices!N432-1</f>
        <v>-0.00981625975333511</v>
      </c>
      <c r="O433" s="32" t="n">
        <f aca="false">Data_Prices!O433/Data_Prices!O432-1</f>
        <v>0.00873443597844248</v>
      </c>
      <c r="P433" s="32" t="n">
        <f aca="false">Data_Prices!P433/Data_Prices!P432-1</f>
        <v>-0.0137325070553664</v>
      </c>
      <c r="Q433" s="32" t="n">
        <f aca="false">Data_Prices!Q433/Data_Prices!Q432-1</f>
        <v>-0.00564174894217218</v>
      </c>
      <c r="R433" s="32" t="n">
        <f aca="false">Data_Prices!R433/Data_Prices!R432-1</f>
        <v>-0.00147762454264011</v>
      </c>
      <c r="S433" s="32" t="n">
        <f aca="false">Data_Prices!S433/Data_Prices!S432-1</f>
        <v>-0.00122893624112141</v>
      </c>
      <c r="T433" s="32" t="n">
        <f aca="false">AVERAGE(D433:S433)</f>
        <v>-0.00706948665859262</v>
      </c>
      <c r="U433" s="32" t="n">
        <f aca="false">AVERAGE(J433:S433)</f>
        <v>-0.00579154297173516</v>
      </c>
      <c r="V433" s="32" t="n">
        <f aca="false">AVERAGE(D433:I433)</f>
        <v>-0.00919939280335504</v>
      </c>
      <c r="W433" s="32" t="n">
        <f aca="false">AVERAGE(K433,Q433,R433)</f>
        <v>-0.00187440064126891</v>
      </c>
      <c r="X433" s="32" t="n">
        <f aca="false">AVERAGE(K433,L433,N433,O433,P433,Q433,R433,S433)</f>
        <v>-0.00449646574771284</v>
      </c>
      <c r="Y433" s="32" t="n">
        <f aca="false">AVERAGE(J433,L433,M433,N433,O433,P433,Q433,R433,S433)</f>
        <v>-0.00660128903092858</v>
      </c>
      <c r="Z433" s="32" t="n">
        <f aca="false">U433-V433</f>
        <v>0.00340784983161988</v>
      </c>
      <c r="AA433" s="32" t="n">
        <f aca="false">W433-V433</f>
        <v>0.00732499216208613</v>
      </c>
    </row>
    <row r="434" customFormat="false" ht="15" hidden="false" customHeight="false" outlineLevel="0" collapsed="false">
      <c r="A434" s="28" t="n">
        <f aca="false">Data_Prices!A434</f>
        <v>45439</v>
      </c>
      <c r="B434" s="32" t="n">
        <f aca="false">Data_Prices!B434/Data_Prices!B433-1</f>
        <v>-0.00107374189248632</v>
      </c>
      <c r="C434" s="32" t="n">
        <f aca="false">Data_Prices!C434/Data_Prices!C433-1</f>
        <v>0.000430557979868462</v>
      </c>
      <c r="D434" s="32" t="n">
        <f aca="false">Data_Prices!D434/Data_Prices!D433-1</f>
        <v>0.00549637177705731</v>
      </c>
      <c r="E434" s="32" t="n">
        <f aca="false">Data_Prices!E434/Data_Prices!E433-1</f>
        <v>0.00467131541534083</v>
      </c>
      <c r="F434" s="32" t="n">
        <f aca="false">Data_Prices!F434/Data_Prices!F433-1</f>
        <v>0.0188585299060184</v>
      </c>
      <c r="G434" s="32" t="n">
        <f aca="false">Data_Prices!G434/Data_Prices!G433-1</f>
        <v>-0.0129409952241565</v>
      </c>
      <c r="H434" s="32" t="n">
        <f aca="false">Data_Prices!H434/Data_Prices!H433-1</f>
        <v>0.00301337183752892</v>
      </c>
      <c r="I434" s="32" t="n">
        <f aca="false">Data_Prices!I434/Data_Prices!I433-1</f>
        <v>-0.0122278556516552</v>
      </c>
      <c r="J434" s="32" t="n">
        <f aca="false">Data_Prices!J434/Data_Prices!J433-1</f>
        <v>0.00927312243419465</v>
      </c>
      <c r="K434" s="32" t="n">
        <f aca="false">Data_Prices!K434/Data_Prices!K433-1</f>
        <v>0.00856816450875853</v>
      </c>
      <c r="L434" s="32" t="n">
        <f aca="false">Data_Prices!L434/Data_Prices!L433-1</f>
        <v>0.0071771283556048</v>
      </c>
      <c r="M434" s="32" t="n">
        <f aca="false">Data_Prices!M434/Data_Prices!M433-1</f>
        <v>-0.0124036565692777</v>
      </c>
      <c r="N434" s="32" t="n">
        <f aca="false">Data_Prices!N434/Data_Prices!N433-1</f>
        <v>0.0132180986273513</v>
      </c>
      <c r="O434" s="32" t="n">
        <f aca="false">Data_Prices!O434/Data_Prices!O433-1</f>
        <v>-0.00792188651436987</v>
      </c>
      <c r="P434" s="32" t="n">
        <f aca="false">Data_Prices!P434/Data_Prices!P433-1</f>
        <v>0.00784683913979767</v>
      </c>
      <c r="Q434" s="32" t="n">
        <f aca="false">Data_Prices!Q434/Data_Prices!Q433-1</f>
        <v>-0.020076377523186</v>
      </c>
      <c r="R434" s="32" t="n">
        <f aca="false">Data_Prices!R434/Data_Prices!R433-1</f>
        <v>-0.00951307166513993</v>
      </c>
      <c r="S434" s="32" t="n">
        <f aca="false">Data_Prices!S434/Data_Prices!S433-1</f>
        <v>-0.00729927007299269</v>
      </c>
      <c r="T434" s="32" t="n">
        <f aca="false">AVERAGE(D434:S434)</f>
        <v>-0.000266260701195335</v>
      </c>
      <c r="U434" s="32" t="n">
        <f aca="false">AVERAGE(J434:S434)</f>
        <v>-0.00111309092792592</v>
      </c>
      <c r="V434" s="32" t="n">
        <f aca="false">AVERAGE(D434:I434)</f>
        <v>0.0011451230100223</v>
      </c>
      <c r="W434" s="32" t="n">
        <f aca="false">AVERAGE(K434,Q434,R434)</f>
        <v>-0.00700709489318914</v>
      </c>
      <c r="X434" s="32" t="n">
        <f aca="false">AVERAGE(K434,L434,N434,O434,P434,Q434,R434,S434)</f>
        <v>-0.00100004689302202</v>
      </c>
      <c r="Y434" s="32" t="n">
        <f aca="false">AVERAGE(J434,L434,M434,N434,O434,P434,Q434,R434,S434)</f>
        <v>-0.00218878597644641</v>
      </c>
      <c r="Z434" s="32" t="n">
        <f aca="false">U434-V434</f>
        <v>-0.00225821393794822</v>
      </c>
      <c r="AA434" s="32" t="n">
        <f aca="false">W434-V434</f>
        <v>-0.00815221790321145</v>
      </c>
    </row>
    <row r="435" customFormat="false" ht="15" hidden="false" customHeight="false" outlineLevel="0" collapsed="false">
      <c r="A435" s="28" t="n">
        <f aca="false">Data_Prices!A435</f>
        <v>45440</v>
      </c>
      <c r="B435" s="32" t="n">
        <f aca="false">Data_Prices!B435/Data_Prices!B434-1</f>
        <v>-0.00193176045298249</v>
      </c>
      <c r="C435" s="32" t="n">
        <f aca="false">Data_Prices!C435/Data_Prices!C434-1</f>
        <v>-0.0049155539012703</v>
      </c>
      <c r="D435" s="32" t="n">
        <f aca="false">Data_Prices!D435/Data_Prices!D434-1</f>
        <v>-0.0242606639437398</v>
      </c>
      <c r="E435" s="32" t="n">
        <f aca="false">Data_Prices!E435/Data_Prices!E434-1</f>
        <v>0.00397574123989219</v>
      </c>
      <c r="F435" s="32" t="n">
        <f aca="false">Data_Prices!F435/Data_Prices!F434-1</f>
        <v>-0.012156383628589</v>
      </c>
      <c r="G435" s="32" t="n">
        <f aca="false">Data_Prices!G435/Data_Prices!G434-1</f>
        <v>0.00733572654908676</v>
      </c>
      <c r="H435" s="32" t="n">
        <f aca="false">Data_Prices!H435/Data_Prices!H434-1</f>
        <v>-0.013832384052075</v>
      </c>
      <c r="I435" s="32" t="n">
        <f aca="false">Data_Prices!I435/Data_Prices!I434-1</f>
        <v>-0.0241545893719807</v>
      </c>
      <c r="J435" s="32" t="n">
        <f aca="false">Data_Prices!J435/Data_Prices!J434-1</f>
        <v>-0.00748911326984714</v>
      </c>
      <c r="K435" s="32" t="n">
        <f aca="false">Data_Prices!K435/Data_Prices!K434-1</f>
        <v>-0.00325292981513481</v>
      </c>
      <c r="L435" s="32" t="n">
        <f aca="false">Data_Prices!L435/Data_Prices!L434-1</f>
        <v>-0.00811023622047236</v>
      </c>
      <c r="M435" s="32" t="n">
        <f aca="false">Data_Prices!M435/Data_Prices!M434-1</f>
        <v>-0.0212711895168608</v>
      </c>
      <c r="N435" s="32" t="n">
        <f aca="false">Data_Prices!N435/Data_Prices!N434-1</f>
        <v>0.00137982940291015</v>
      </c>
      <c r="O435" s="32" t="n">
        <f aca="false">Data_Prices!O435/Data_Prices!O434-1</f>
        <v>0.00185701021355622</v>
      </c>
      <c r="P435" s="32" t="n">
        <f aca="false">Data_Prices!P435/Data_Prices!P434-1</f>
        <v>0.0217474023123079</v>
      </c>
      <c r="Q435" s="32" t="n">
        <f aca="false">Data_Prices!Q435/Data_Prices!Q434-1</f>
        <v>-0.00924173254648708</v>
      </c>
      <c r="R435" s="32" t="n">
        <f aca="false">Data_Prices!R435/Data_Prices!R434-1</f>
        <v>0.00377063175867964</v>
      </c>
      <c r="S435" s="32" t="n">
        <f aca="false">Data_Prices!S435/Data_Prices!S434-1</f>
        <v>0.00575630252100834</v>
      </c>
      <c r="T435" s="32" t="n">
        <f aca="false">AVERAGE(D435:S435)</f>
        <v>-0.00487166114798409</v>
      </c>
      <c r="U435" s="32" t="n">
        <f aca="false">AVERAGE(J435:S435)</f>
        <v>-0.001485402516034</v>
      </c>
      <c r="V435" s="32" t="n">
        <f aca="false">AVERAGE(D435:I435)</f>
        <v>-0.0105154255345676</v>
      </c>
      <c r="W435" s="32" t="n">
        <f aca="false">AVERAGE(K435,Q435,R435)</f>
        <v>-0.00290801020098075</v>
      </c>
      <c r="X435" s="32" t="n">
        <f aca="false">AVERAGE(K435,L435,N435,O435,P435,Q435,R435,S435)</f>
        <v>0.001738284703296</v>
      </c>
      <c r="Y435" s="32" t="n">
        <f aca="false">AVERAGE(J435,L435,M435,N435,O435,P435,Q435,R435,S435)</f>
        <v>-0.00128901059391168</v>
      </c>
      <c r="Z435" s="32" t="n">
        <f aca="false">U435-V435</f>
        <v>0.00903002301853358</v>
      </c>
      <c r="AA435" s="32" t="n">
        <f aca="false">W435-V435</f>
        <v>0.00760741533358683</v>
      </c>
    </row>
    <row r="436" customFormat="false" ht="15" hidden="false" customHeight="false" outlineLevel="0" collapsed="false">
      <c r="A436" s="28" t="n">
        <f aca="false">Data_Prices!A436</f>
        <v>45441</v>
      </c>
      <c r="B436" s="32" t="n">
        <f aca="false">Data_Prices!B436/Data_Prices!B435-1</f>
        <v>-0.00801506456397749</v>
      </c>
      <c r="C436" s="32" t="n">
        <f aca="false">Data_Prices!C436/Data_Prices!C435-1</f>
        <v>-0.00612745384538049</v>
      </c>
      <c r="D436" s="32" t="n">
        <f aca="false">Data_Prices!D436/Data_Prices!D435-1</f>
        <v>-0.00919019293110512</v>
      </c>
      <c r="E436" s="32" t="n">
        <f aca="false">Data_Prices!E436/Data_Prices!E435-1</f>
        <v>-0.0305389623464662</v>
      </c>
      <c r="F436" s="32" t="n">
        <f aca="false">Data_Prices!F436/Data_Prices!F435-1</f>
        <v>0.00785356502380807</v>
      </c>
      <c r="G436" s="32" t="n">
        <f aca="false">Data_Prices!G436/Data_Prices!G435-1</f>
        <v>0.00216919739696309</v>
      </c>
      <c r="H436" s="32" t="n">
        <f aca="false">Data_Prices!H436/Data_Prices!H435-1</f>
        <v>-0.0660700685453161</v>
      </c>
      <c r="I436" s="32" t="n">
        <f aca="false">Data_Prices!I436/Data_Prices!I435-1</f>
        <v>-0.00103135313531355</v>
      </c>
      <c r="J436" s="32" t="n">
        <f aca="false">Data_Prices!J436/Data_Prices!J435-1</f>
        <v>-0.00870277958583454</v>
      </c>
      <c r="K436" s="32" t="n">
        <f aca="false">Data_Prices!K436/Data_Prices!K435-1</f>
        <v>-0.00965951309060709</v>
      </c>
      <c r="L436" s="32" t="n">
        <f aca="false">Data_Prices!L436/Data_Prices!L435-1</f>
        <v>-0.0153211082003651</v>
      </c>
      <c r="M436" s="32" t="n">
        <f aca="false">Data_Prices!M436/Data_Prices!M435-1</f>
        <v>-0.0185068427103809</v>
      </c>
      <c r="N436" s="32" t="n">
        <f aca="false">Data_Prices!N436/Data_Prices!N435-1</f>
        <v>0.0300638857572342</v>
      </c>
      <c r="O436" s="32" t="n">
        <f aca="false">Data_Prices!O436/Data_Prices!O435-1</f>
        <v>-0.00481927710843377</v>
      </c>
      <c r="P436" s="32" t="n">
        <f aca="false">Data_Prices!P436/Data_Prices!P435-1</f>
        <v>-0.00372407471066805</v>
      </c>
      <c r="Q436" s="32" t="n">
        <f aca="false">Data_Prices!Q436/Data_Prices!Q435-1</f>
        <v>0.0103394021128345</v>
      </c>
      <c r="R436" s="32" t="n">
        <f aca="false">Data_Prices!R436/Data_Prices!R435-1</f>
        <v>-0.0115529094903963</v>
      </c>
      <c r="S436" s="32" t="n">
        <f aca="false">Data_Prices!S436/Data_Prices!S435-1</f>
        <v>-0.00795839077578642</v>
      </c>
      <c r="T436" s="32" t="n">
        <f aca="false">AVERAGE(D436:S436)</f>
        <v>-0.00854058889623959</v>
      </c>
      <c r="U436" s="32" t="n">
        <f aca="false">AVERAGE(J436:S436)</f>
        <v>-0.00398416078024036</v>
      </c>
      <c r="V436" s="32" t="n">
        <f aca="false">AVERAGE(D436:I436)</f>
        <v>-0.0161346357562383</v>
      </c>
      <c r="W436" s="32" t="n">
        <f aca="false">AVERAGE(K436,Q436,R436)</f>
        <v>-0.00362434015605632</v>
      </c>
      <c r="X436" s="32" t="n">
        <f aca="false">AVERAGE(K436,L436,N436,O436,P436,Q436,R436,S436)</f>
        <v>-0.00157899818827352</v>
      </c>
      <c r="Y436" s="32" t="n">
        <f aca="false">AVERAGE(J436,L436,M436,N436,O436,P436,Q436,R436,S436)</f>
        <v>-0.00335356607908851</v>
      </c>
      <c r="Z436" s="32" t="n">
        <f aca="false">U436-V436</f>
        <v>0.0121504749759979</v>
      </c>
      <c r="AA436" s="32" t="n">
        <f aca="false">W436-V436</f>
        <v>0.012510295600182</v>
      </c>
    </row>
    <row r="437" customFormat="false" ht="15" hidden="false" customHeight="false" outlineLevel="0" collapsed="false">
      <c r="A437" s="28" t="n">
        <f aca="false">Data_Prices!A437</f>
        <v>45442</v>
      </c>
      <c r="B437" s="32" t="n">
        <f aca="false">Data_Prices!B437/Data_Prices!B436-1</f>
        <v>-0.00951565094451812</v>
      </c>
      <c r="C437" s="32" t="n">
        <f aca="false">Data_Prices!C437/Data_Prices!C436-1</f>
        <v>-0.0102440217723687</v>
      </c>
      <c r="D437" s="32" t="n">
        <f aca="false">Data_Prices!D437/Data_Prices!D436-1</f>
        <v>-0.00587656046504237</v>
      </c>
      <c r="E437" s="32" t="n">
        <f aca="false">Data_Prices!E437/Data_Prices!E436-1</f>
        <v>-0.00214621988368879</v>
      </c>
      <c r="F437" s="32" t="n">
        <f aca="false">Data_Prices!F437/Data_Prices!F436-1</f>
        <v>-0.00184071665234997</v>
      </c>
      <c r="G437" s="32" t="n">
        <f aca="false">Data_Prices!G437/Data_Prices!G436-1</f>
        <v>-0.0239641311069883</v>
      </c>
      <c r="H437" s="32" t="n">
        <f aca="false">Data_Prices!H437/Data_Prices!H436-1</f>
        <v>0.0131158681617396</v>
      </c>
      <c r="I437" s="32" t="n">
        <f aca="false">Data_Prices!I437/Data_Prices!I436-1</f>
        <v>-0.0300433615527566</v>
      </c>
      <c r="J437" s="32" t="n">
        <f aca="false">Data_Prices!J437/Data_Prices!J436-1</f>
        <v>-0.019455252918288</v>
      </c>
      <c r="K437" s="32" t="n">
        <f aca="false">Data_Prices!K437/Data_Prices!K436-1</f>
        <v>-0.0279371524406391</v>
      </c>
      <c r="L437" s="32" t="n">
        <f aca="false">Data_Prices!L437/Data_Prices!L436-1</f>
        <v>-0.0222105772331508</v>
      </c>
      <c r="M437" s="32" t="n">
        <f aca="false">Data_Prices!M437/Data_Prices!M436-1</f>
        <v>-0.00449667472793236</v>
      </c>
      <c r="N437" s="32" t="n">
        <f aca="false">Data_Prices!N437/Data_Prices!N436-1</f>
        <v>-0.0122826219141432</v>
      </c>
      <c r="O437" s="32" t="n">
        <f aca="false">Data_Prices!O437/Data_Prices!O436-1</f>
        <v>-0.0197429688955113</v>
      </c>
      <c r="P437" s="32" t="n">
        <f aca="false">Data_Prices!P437/Data_Prices!P436-1</f>
        <v>-0.0373224452239922</v>
      </c>
      <c r="Q437" s="32" t="n">
        <f aca="false">Data_Prices!Q437/Data_Prices!Q436-1</f>
        <v>-0.00211345939933261</v>
      </c>
      <c r="R437" s="32" t="n">
        <f aca="false">Data_Prices!R437/Data_Prices!R436-1</f>
        <v>-0.00466083464792777</v>
      </c>
      <c r="S437" s="32" t="n">
        <f aca="false">Data_Prices!S437/Data_Prices!S436-1</f>
        <v>-0.0302992019876613</v>
      </c>
      <c r="T437" s="32" t="n">
        <f aca="false">AVERAGE(D437:S437)</f>
        <v>-0.0144547694304791</v>
      </c>
      <c r="U437" s="32" t="n">
        <f aca="false">AVERAGE(J437:S437)</f>
        <v>-0.0180521189388579</v>
      </c>
      <c r="V437" s="32" t="n">
        <f aca="false">AVERAGE(D437:I437)</f>
        <v>-0.00845918691651439</v>
      </c>
      <c r="W437" s="32" t="n">
        <f aca="false">AVERAGE(K437,Q437,R437)</f>
        <v>-0.0115704821626332</v>
      </c>
      <c r="X437" s="32" t="n">
        <f aca="false">AVERAGE(K437,L437,N437,O437,P437,Q437,R437,S437)</f>
        <v>-0.0195711577177948</v>
      </c>
      <c r="Y437" s="32" t="n">
        <f aca="false">AVERAGE(J437,L437,M437,N437,O437,P437,Q437,R437,S437)</f>
        <v>-0.0169537818831044</v>
      </c>
      <c r="Z437" s="32" t="n">
        <f aca="false">U437-V437</f>
        <v>-0.00959293202234347</v>
      </c>
      <c r="AA437" s="32" t="n">
        <f aca="false">W437-V437</f>
        <v>-0.00311129524611877</v>
      </c>
    </row>
    <row r="438" customFormat="false" ht="15" hidden="false" customHeight="false" outlineLevel="0" collapsed="false">
      <c r="A438" s="28" t="n">
        <f aca="false">Data_Prices!A438</f>
        <v>45443</v>
      </c>
      <c r="B438" s="32" t="n">
        <f aca="false">Data_Prices!B438/Data_Prices!B437-1</f>
        <v>0.00186983211531144</v>
      </c>
      <c r="C438" s="32" t="n">
        <f aca="false">Data_Prices!C438/Data_Prices!C437-1</f>
        <v>0.00307768358560834</v>
      </c>
      <c r="D438" s="32" t="n">
        <f aca="false">Data_Prices!D438/Data_Prices!D437-1</f>
        <v>0.0204498977505112</v>
      </c>
      <c r="E438" s="32" t="n">
        <f aca="false">Data_Prices!E438/Data_Prices!E437-1</f>
        <v>0.00908901685977948</v>
      </c>
      <c r="F438" s="32" t="n">
        <f aca="false">Data_Prices!F438/Data_Prices!F437-1</f>
        <v>0.00559380378657504</v>
      </c>
      <c r="G438" s="32" t="n">
        <f aca="false">Data_Prices!G438/Data_Prices!G437-1</f>
        <v>0.00221764612703956</v>
      </c>
      <c r="H438" s="32" t="n">
        <f aca="false">Data_Prices!H438/Data_Prices!H437-1</f>
        <v>-0.0301851354977194</v>
      </c>
      <c r="I438" s="32" t="n">
        <f aca="false">Data_Prices!I438/Data_Prices!I437-1</f>
        <v>0.00031931878658864</v>
      </c>
      <c r="J438" s="32" t="n">
        <f aca="false">Data_Prices!J438/Data_Prices!J437-1</f>
        <v>-0.00493551587301588</v>
      </c>
      <c r="K438" s="32" t="n">
        <f aca="false">Data_Prices!K438/Data_Prices!K437-1</f>
        <v>0.0122739311388573</v>
      </c>
      <c r="L438" s="32" t="n">
        <f aca="false">Data_Prices!L438/Data_Prices!L437-1</f>
        <v>0.0232922455373707</v>
      </c>
      <c r="M438" s="32" t="n">
        <f aca="false">Data_Prices!M438/Data_Prices!M437-1</f>
        <v>0.00501043841336113</v>
      </c>
      <c r="N438" s="32" t="n">
        <f aca="false">Data_Prices!N438/Data_Prices!N437-1</f>
        <v>-0.0168677665599607</v>
      </c>
      <c r="O438" s="32" t="n">
        <f aca="false">Data_Prices!O438/Data_Prices!O437-1</f>
        <v>0.0169105073152196</v>
      </c>
      <c r="P438" s="32" t="n">
        <f aca="false">Data_Prices!P438/Data_Prices!P437-1</f>
        <v>0.00564516129032255</v>
      </c>
      <c r="Q438" s="32" t="n">
        <f aca="false">Data_Prices!Q438/Data_Prices!Q437-1</f>
        <v>0.00122617322483554</v>
      </c>
      <c r="R438" s="32" t="n">
        <f aca="false">Data_Prices!R438/Data_Prices!R437-1</f>
        <v>-0.00280959585044294</v>
      </c>
      <c r="S438" s="32" t="n">
        <f aca="false">Data_Prices!S438/Data_Prices!S437-1</f>
        <v>0.0222999088027098</v>
      </c>
      <c r="T438" s="32" t="n">
        <f aca="false">AVERAGE(D438:S438)</f>
        <v>0.00434562720325198</v>
      </c>
      <c r="U438" s="32" t="n">
        <f aca="false">AVERAGE(J438:S438)</f>
        <v>0.00620454874392572</v>
      </c>
      <c r="V438" s="32" t="n">
        <f aca="false">AVERAGE(D438:I438)</f>
        <v>0.00124742463546242</v>
      </c>
      <c r="W438" s="32" t="n">
        <f aca="false">AVERAGE(K438,Q438,R438)</f>
        <v>0.00356350283774998</v>
      </c>
      <c r="X438" s="32" t="n">
        <f aca="false">AVERAGE(K438,L438,N438,O438,P438,Q438,R438,S438)</f>
        <v>0.00774632061236399</v>
      </c>
      <c r="Y438" s="32" t="n">
        <f aca="false">AVERAGE(J438,L438,M438,N438,O438,P438,Q438,R438,S438)</f>
        <v>0.00553017292226665</v>
      </c>
      <c r="Z438" s="32" t="n">
        <f aca="false">U438-V438</f>
        <v>0.0049571241084633</v>
      </c>
      <c r="AA438" s="32" t="n">
        <f aca="false">W438-V438</f>
        <v>0.00231607820228756</v>
      </c>
    </row>
    <row r="439" customFormat="false" ht="15" hidden="false" customHeight="false" outlineLevel="0" collapsed="false">
      <c r="A439" s="28" t="n">
        <f aca="false">Data_Prices!A439</f>
        <v>45446</v>
      </c>
      <c r="B439" s="32" t="n">
        <f aca="false">Data_Prices!B439/Data_Prices!B438-1</f>
        <v>0.0325422645545856</v>
      </c>
      <c r="C439" s="32" t="n">
        <f aca="false">Data_Prices!C439/Data_Prices!C438-1</f>
        <v>0.032890590571143</v>
      </c>
      <c r="D439" s="32" t="n">
        <f aca="false">Data_Prices!D439/Data_Prices!D438-1</f>
        <v>0.0177855711422845</v>
      </c>
      <c r="E439" s="32" t="n">
        <f aca="false">Data_Prices!E439/Data_Prices!E438-1</f>
        <v>0.0343096809680967</v>
      </c>
      <c r="F439" s="32" t="n">
        <f aca="false">Data_Prices!F439/Data_Prices!F438-1</f>
        <v>-0.00122256861666359</v>
      </c>
      <c r="G439" s="32" t="n">
        <f aca="false">Data_Prices!G439/Data_Prices!G438-1</f>
        <v>0.0762604709973132</v>
      </c>
      <c r="H439" s="32" t="n">
        <f aca="false">Data_Prices!H439/Data_Prices!H438-1</f>
        <v>0.00864573246645461</v>
      </c>
      <c r="I439" s="32" t="n">
        <f aca="false">Data_Prices!I439/Data_Prices!I438-1</f>
        <v>0.0222387742072783</v>
      </c>
      <c r="J439" s="32" t="n">
        <f aca="false">Data_Prices!J439/Data_Prices!J438-1</f>
        <v>-0.00229306348296399</v>
      </c>
      <c r="K439" s="32" t="n">
        <f aca="false">Data_Prices!K439/Data_Prices!K438-1</f>
        <v>0.0325329665400831</v>
      </c>
      <c r="L439" s="32" t="n">
        <f aca="false">Data_Prices!L439/Data_Prices!L438-1</f>
        <v>0.0383127870437516</v>
      </c>
      <c r="M439" s="32" t="n">
        <f aca="false">Data_Prices!M439/Data_Prices!M438-1</f>
        <v>-0.003436945273256</v>
      </c>
      <c r="N439" s="32" t="n">
        <f aca="false">Data_Prices!N439/Data_Prices!N438-1</f>
        <v>0.00388227927363816</v>
      </c>
      <c r="O439" s="32" t="n">
        <f aca="false">Data_Prices!O439/Data_Prices!O438-1</f>
        <v>0.0213004484304933</v>
      </c>
      <c r="P439" s="32" t="n">
        <f aca="false">Data_Prices!P439/Data_Prices!P438-1</f>
        <v>0.0132169057590068</v>
      </c>
      <c r="Q439" s="32" t="n">
        <f aca="false">Data_Prices!Q439/Data_Prices!Q438-1</f>
        <v>0.00411934981073259</v>
      </c>
      <c r="R439" s="32" t="n">
        <f aca="false">Data_Prices!R439/Data_Prices!R438-1</f>
        <v>0.0189279005923999</v>
      </c>
      <c r="S439" s="32" t="n">
        <f aca="false">Data_Prices!S439/Data_Prices!S438-1</f>
        <v>0.0658864510099615</v>
      </c>
      <c r="T439" s="32" t="n">
        <f aca="false">AVERAGE(D439:S439)</f>
        <v>0.0219041713042882</v>
      </c>
      <c r="U439" s="32" t="n">
        <f aca="false">AVERAGE(J439:S439)</f>
        <v>0.0192449079703847</v>
      </c>
      <c r="V439" s="32" t="n">
        <f aca="false">AVERAGE(D439:I439)</f>
        <v>0.0263362768607939</v>
      </c>
      <c r="W439" s="32" t="n">
        <f aca="false">AVERAGE(K439,Q439,R439)</f>
        <v>0.0185267389810719</v>
      </c>
      <c r="X439" s="32" t="n">
        <f aca="false">AVERAGE(K439,L439,N439,O439,P439,Q439,R439,S439)</f>
        <v>0.0247723860575084</v>
      </c>
      <c r="Y439" s="32" t="n">
        <f aca="false">AVERAGE(J439,L439,M439,N439,O439,P439,Q439,R439,S439)</f>
        <v>0.017768457018196</v>
      </c>
      <c r="Z439" s="32" t="n">
        <f aca="false">U439-V439</f>
        <v>-0.00709136889040925</v>
      </c>
      <c r="AA439" s="32" t="n">
        <f aca="false">W439-V439</f>
        <v>-0.00780953787972209</v>
      </c>
    </row>
    <row r="440" customFormat="false" ht="15" hidden="false" customHeight="false" outlineLevel="0" collapsed="false">
      <c r="A440" s="28" t="n">
        <f aca="false">Data_Prices!A440</f>
        <v>45447</v>
      </c>
      <c r="B440" s="32" t="n">
        <f aca="false">Data_Prices!B440/Data_Prices!B439-1</f>
        <v>-0.059293583620975</v>
      </c>
      <c r="C440" s="32" t="n">
        <f aca="false">Data_Prices!C440/Data_Prices!C439-1</f>
        <v>-0.0676020993329481</v>
      </c>
      <c r="D440" s="32" t="n">
        <f aca="false">Data_Prices!D440/Data_Prices!D439-1</f>
        <v>-0.0615308885060301</v>
      </c>
      <c r="E440" s="32" t="n">
        <f aca="false">Data_Prices!E440/Data_Prices!E439-1</f>
        <v>-0.0707305723592367</v>
      </c>
      <c r="F440" s="32" t="n">
        <f aca="false">Data_Prices!F440/Data_Prices!F439-1</f>
        <v>-0.00165248791235695</v>
      </c>
      <c r="G440" s="32" t="n">
        <f aca="false">Data_Prices!G440/Data_Prices!G439-1</f>
        <v>-0.152654379910419</v>
      </c>
      <c r="H440" s="32" t="n">
        <f aca="false">Data_Prices!H440/Data_Prices!H439-1</f>
        <v>-0.078447507371597</v>
      </c>
      <c r="I440" s="32" t="n">
        <f aca="false">Data_Prices!I440/Data_Prices!I439-1</f>
        <v>-0.0812948891433331</v>
      </c>
      <c r="J440" s="32" t="n">
        <f aca="false">Data_Prices!J440/Data_Prices!J439-1</f>
        <v>-0.0386719628269505</v>
      </c>
      <c r="K440" s="32" t="n">
        <f aca="false">Data_Prices!K440/Data_Prices!K439-1</f>
        <v>-0.0587153572152558</v>
      </c>
      <c r="L440" s="32" t="n">
        <f aca="false">Data_Prices!L440/Data_Prices!L439-1</f>
        <v>-0.044426337640166</v>
      </c>
      <c r="M440" s="32" t="n">
        <f aca="false">Data_Prices!M440/Data_Prices!M439-1</f>
        <v>-0.0407034033199424</v>
      </c>
      <c r="N440" s="32" t="n">
        <f aca="false">Data_Prices!N440/Data_Prices!N439-1</f>
        <v>-0.0454091816367265</v>
      </c>
      <c r="O440" s="32" t="n">
        <f aca="false">Data_Prices!O440/Data_Prices!O439-1</f>
        <v>-0.0504939626783755</v>
      </c>
      <c r="P440" s="32" t="n">
        <f aca="false">Data_Prices!P440/Data_Prices!P439-1</f>
        <v>-0.0345899044380607</v>
      </c>
      <c r="Q440" s="32" t="n">
        <f aca="false">Data_Prices!Q440/Data_Prices!Q439-1</f>
        <v>-0.0618693868499833</v>
      </c>
      <c r="R440" s="32" t="n">
        <f aca="false">Data_Prices!R440/Data_Prices!R439-1</f>
        <v>-0.0394214407260353</v>
      </c>
      <c r="S440" s="32" t="n">
        <f aca="false">Data_Prices!S440/Data_Prices!S439-1</f>
        <v>-0.0990175956001036</v>
      </c>
      <c r="T440" s="32" t="n">
        <f aca="false">AVERAGE(D440:S440)</f>
        <v>-0.0599768286334108</v>
      </c>
      <c r="U440" s="32" t="n">
        <f aca="false">AVERAGE(J440:S440)</f>
        <v>-0.0513318532931599</v>
      </c>
      <c r="V440" s="32" t="n">
        <f aca="false">AVERAGE(D440:I440)</f>
        <v>-0.0743851208671622</v>
      </c>
      <c r="W440" s="32" t="n">
        <f aca="false">AVERAGE(K440,Q440,R440)</f>
        <v>-0.0533353949304248</v>
      </c>
      <c r="X440" s="32" t="n">
        <f aca="false">AVERAGE(K440,L440,N440,O440,P440,Q440,R440,S440)</f>
        <v>-0.0542428958480883</v>
      </c>
      <c r="Y440" s="32" t="n">
        <f aca="false">AVERAGE(J440,L440,M440,N440,O440,P440,Q440,R440,S440)</f>
        <v>-0.0505114639684826</v>
      </c>
      <c r="Z440" s="32" t="n">
        <f aca="false">U440-V440</f>
        <v>0.0230532675740022</v>
      </c>
      <c r="AA440" s="32" t="n">
        <f aca="false">W440-V440</f>
        <v>0.0210497259367374</v>
      </c>
    </row>
    <row r="441" customFormat="false" ht="15" hidden="false" customHeight="false" outlineLevel="0" collapsed="false">
      <c r="A441" s="28" t="n">
        <f aca="false">Data_Prices!A441</f>
        <v>45448</v>
      </c>
      <c r="B441" s="32" t="n">
        <f aca="false">Data_Prices!B441/Data_Prices!B440-1</f>
        <v>0.0336242546094268</v>
      </c>
      <c r="C441" s="32" t="n">
        <f aca="false">Data_Prices!C441/Data_Prices!C440-1</f>
        <v>0.0359454532482775</v>
      </c>
      <c r="D441" s="32" t="n">
        <f aca="false">Data_Prices!D441/Data_Prices!D440-1</f>
        <v>0.0164896407028585</v>
      </c>
      <c r="E441" s="32" t="n">
        <f aca="false">Data_Prices!E441/Data_Prices!E440-1</f>
        <v>0.0662422204735673</v>
      </c>
      <c r="F441" s="32" t="n">
        <f aca="false">Data_Prices!F441/Data_Prices!F440-1</f>
        <v>-0.00533349681216289</v>
      </c>
      <c r="G441" s="32" t="n">
        <f aca="false">Data_Prices!G441/Data_Prices!G440-1</f>
        <v>0.0785095320623916</v>
      </c>
      <c r="H441" s="32" t="n">
        <f aca="false">Data_Prices!H441/Data_Prices!H440-1</f>
        <v>0.0612396755710991</v>
      </c>
      <c r="I441" s="32" t="n">
        <f aca="false">Data_Prices!I441/Data_Prices!I440-1</f>
        <v>0.0443009290731928</v>
      </c>
      <c r="J441" s="32" t="n">
        <f aca="false">Data_Prices!J441/Data_Prices!J440-1</f>
        <v>0.0807411449806399</v>
      </c>
      <c r="K441" s="32" t="n">
        <f aca="false">Data_Prices!K441/Data_Prices!K440-1</f>
        <v>0.0502561262633254</v>
      </c>
      <c r="L441" s="32" t="n">
        <f aca="false">Data_Prices!L441/Data_Prices!L440-1</f>
        <v>0.0463699853824915</v>
      </c>
      <c r="M441" s="32" t="n">
        <f aca="false">Data_Prices!M441/Data_Prices!M440-1</f>
        <v>0.109592288242731</v>
      </c>
      <c r="N441" s="32" t="n">
        <f aca="false">Data_Prices!N441/Data_Prices!N440-1</f>
        <v>0.0517511761630944</v>
      </c>
      <c r="O441" s="32" t="n">
        <f aca="false">Data_Prices!O441/Data_Prices!O440-1</f>
        <v>0.0570327552986514</v>
      </c>
      <c r="P441" s="32" t="n">
        <f aca="false">Data_Prices!P441/Data_Prices!P440-1</f>
        <v>0.0611222444889779</v>
      </c>
      <c r="Q441" s="32" t="n">
        <f aca="false">Data_Prices!Q441/Data_Prices!Q440-1</f>
        <v>0.028483630776504</v>
      </c>
      <c r="R441" s="32" t="n">
        <f aca="false">Data_Prices!R441/Data_Prices!R440-1</f>
        <v>0.0328461765574255</v>
      </c>
      <c r="S441" s="32" t="n">
        <f aca="false">Data_Prices!S441/Data_Prices!S440-1</f>
        <v>0.0560667050028754</v>
      </c>
      <c r="T441" s="32" t="n">
        <f aca="false">AVERAGE(D441:S441)</f>
        <v>0.0522319208892289</v>
      </c>
      <c r="U441" s="32" t="n">
        <f aca="false">AVERAGE(J441:S441)</f>
        <v>0.0574262233156716</v>
      </c>
      <c r="V441" s="32" t="n">
        <f aca="false">AVERAGE(D441:I441)</f>
        <v>0.0435747501784911</v>
      </c>
      <c r="W441" s="32" t="n">
        <f aca="false">AVERAGE(K441,Q441,R441)</f>
        <v>0.037195311199085</v>
      </c>
      <c r="X441" s="32" t="n">
        <f aca="false">AVERAGE(K441,L441,N441,O441,P441,Q441,R441,S441)</f>
        <v>0.0479910999916682</v>
      </c>
      <c r="Y441" s="32" t="n">
        <f aca="false">AVERAGE(J441,L441,M441,N441,O441,P441,Q441,R441,S441)</f>
        <v>0.0582229007659323</v>
      </c>
      <c r="Z441" s="32" t="n">
        <f aca="false">U441-V441</f>
        <v>0.0138514731371805</v>
      </c>
      <c r="AA441" s="32" t="n">
        <f aca="false">W441-V441</f>
        <v>-0.00637943897940613</v>
      </c>
    </row>
    <row r="442" customFormat="false" ht="15" hidden="false" customHeight="false" outlineLevel="0" collapsed="false">
      <c r="A442" s="28" t="n">
        <f aca="false">Data_Prices!A442</f>
        <v>45449</v>
      </c>
      <c r="B442" s="32" t="n">
        <f aca="false">Data_Prices!B442/Data_Prices!B441-1</f>
        <v>0.00888801455326749</v>
      </c>
      <c r="C442" s="32" t="n">
        <f aca="false">Data_Prices!C442/Data_Prices!C441-1</f>
        <v>0.0147522608100918</v>
      </c>
      <c r="D442" s="32" t="n">
        <f aca="false">Data_Prices!D442/Data_Prices!D441-1</f>
        <v>0.0528590318315219</v>
      </c>
      <c r="E442" s="32" t="n">
        <f aca="false">Data_Prices!E442/Data_Prices!E441-1</f>
        <v>0.0250922509225093</v>
      </c>
      <c r="F442" s="32" t="n">
        <f aca="false">Data_Prices!F442/Data_Prices!F441-1</f>
        <v>0.0685362095531588</v>
      </c>
      <c r="G442" s="32" t="n">
        <f aca="false">Data_Prices!G442/Data_Prices!G441-1</f>
        <v>0.0461995821950827</v>
      </c>
      <c r="H442" s="32" t="n">
        <f aca="false">Data_Prices!H442/Data_Prices!H441-1</f>
        <v>0.0368812228298976</v>
      </c>
      <c r="I442" s="32" t="n">
        <f aca="false">Data_Prices!I442/Data_Prices!I441-1</f>
        <v>0.0609742866442442</v>
      </c>
      <c r="J442" s="32" t="n">
        <f aca="false">Data_Prices!J442/Data_Prices!J441-1</f>
        <v>0.100197172261229</v>
      </c>
      <c r="K442" s="32" t="n">
        <f aca="false">Data_Prices!K442/Data_Prices!K441-1</f>
        <v>0.0130357090546913</v>
      </c>
      <c r="L442" s="32" t="n">
        <f aca="false">Data_Prices!L442/Data_Prices!L441-1</f>
        <v>0.0366317423360496</v>
      </c>
      <c r="M442" s="32" t="n">
        <f aca="false">Data_Prices!M442/Data_Prices!M441-1</f>
        <v>0.0683614612262338</v>
      </c>
      <c r="N442" s="32" t="n">
        <f aca="false">Data_Prices!N442/Data_Prices!N441-1</f>
        <v>0.0293240556660039</v>
      </c>
      <c r="O442" s="32" t="n">
        <f aca="false">Data_Prices!O442/Data_Prices!O441-1</f>
        <v>0.0140357273058693</v>
      </c>
      <c r="P442" s="32" t="n">
        <f aca="false">Data_Prices!P442/Data_Prices!P441-1</f>
        <v>0.00337654162016765</v>
      </c>
      <c r="Q442" s="32" t="n">
        <f aca="false">Data_Prices!Q442/Data_Prices!Q441-1</f>
        <v>0.038267065042519</v>
      </c>
      <c r="R442" s="32" t="n">
        <f aca="false">Data_Prices!R442/Data_Prices!R441-1</f>
        <v>0.0057886085900094</v>
      </c>
      <c r="S442" s="32" t="n">
        <f aca="false">Data_Prices!S442/Data_Prices!S441-1</f>
        <v>0.0365871536576681</v>
      </c>
      <c r="T442" s="32" t="n">
        <f aca="false">AVERAGE(D442:S442)</f>
        <v>0.0397592387960535</v>
      </c>
      <c r="U442" s="32" t="n">
        <f aca="false">AVERAGE(J442:S442)</f>
        <v>0.0345605236760441</v>
      </c>
      <c r="V442" s="32" t="n">
        <f aca="false">AVERAGE(D442:I442)</f>
        <v>0.0484237639960691</v>
      </c>
      <c r="W442" s="32" t="n">
        <f aca="false">AVERAGE(K442,Q442,R442)</f>
        <v>0.0190304608957399</v>
      </c>
      <c r="X442" s="32" t="n">
        <f aca="false">AVERAGE(K442,L442,N442,O442,P442,Q442,R442,S442)</f>
        <v>0.0221308254091223</v>
      </c>
      <c r="Y442" s="32" t="n">
        <f aca="false">AVERAGE(J442,L442,M442,N442,O442,P442,Q442,R442,S442)</f>
        <v>0.0369521697450833</v>
      </c>
      <c r="Z442" s="32" t="n">
        <f aca="false">U442-V442</f>
        <v>-0.013863240320025</v>
      </c>
      <c r="AA442" s="32" t="n">
        <f aca="false">W442-V442</f>
        <v>-0.0293933031003292</v>
      </c>
    </row>
    <row r="443" customFormat="false" ht="15" hidden="false" customHeight="false" outlineLevel="0" collapsed="false">
      <c r="A443" s="28" t="n">
        <f aca="false">Data_Prices!A443</f>
        <v>45450</v>
      </c>
      <c r="B443" s="32" t="n">
        <f aca="false">Data_Prices!B443/Data_Prices!B442-1</f>
        <v>0.020539931818381</v>
      </c>
      <c r="C443" s="32" t="n">
        <f aca="false">Data_Prices!C443/Data_Prices!C442-1</f>
        <v>0.0186824245260941</v>
      </c>
      <c r="D443" s="32" t="n">
        <f aca="false">Data_Prices!D443/Data_Prices!D442-1</f>
        <v>0.0261287753476689</v>
      </c>
      <c r="E443" s="32" t="n">
        <f aca="false">Data_Prices!E443/Data_Prices!E442-1</f>
        <v>0.0135480070685252</v>
      </c>
      <c r="F443" s="32" t="n">
        <f aca="false">Data_Prices!F443/Data_Prices!F442-1</f>
        <v>-0.0144200265328488</v>
      </c>
      <c r="G443" s="32" t="n">
        <f aca="false">Data_Prices!G443/Data_Prices!G442-1</f>
        <v>0.0169725827509408</v>
      </c>
      <c r="H443" s="32" t="n">
        <f aca="false">Data_Prices!H443/Data_Prices!H442-1</f>
        <v>0.00960238030835825</v>
      </c>
      <c r="I443" s="32" t="n">
        <f aca="false">Data_Prices!I443/Data_Prices!I442-1</f>
        <v>0.0132937928213519</v>
      </c>
      <c r="J443" s="32" t="n">
        <f aca="false">Data_Prices!J443/Data_Prices!J442-1</f>
        <v>-0.0207190470986778</v>
      </c>
      <c r="K443" s="32" t="n">
        <f aca="false">Data_Prices!K443/Data_Prices!K442-1</f>
        <v>0.0383436469839802</v>
      </c>
      <c r="L443" s="32" t="n">
        <f aca="false">Data_Prices!L443/Data_Prices!L442-1</f>
        <v>0.00160964288388099</v>
      </c>
      <c r="M443" s="32" t="n">
        <f aca="false">Data_Prices!M443/Data_Prices!M442-1</f>
        <v>-3.33266679997113E-005</v>
      </c>
      <c r="N443" s="32" t="n">
        <f aca="false">Data_Prices!N443/Data_Prices!N442-1</f>
        <v>0.135924674070497</v>
      </c>
      <c r="O443" s="32" t="n">
        <f aca="false">Data_Prices!O443/Data_Prices!O442-1</f>
        <v>0.0154592845586914</v>
      </c>
      <c r="P443" s="32" t="n">
        <f aca="false">Data_Prices!P443/Data_Prices!P442-1</f>
        <v>0.011350349351205</v>
      </c>
      <c r="Q443" s="32" t="n">
        <f aca="false">Data_Prices!Q443/Data_Prices!Q442-1</f>
        <v>0.0304371887105701</v>
      </c>
      <c r="R443" s="32" t="n">
        <f aca="false">Data_Prices!R443/Data_Prices!R442-1</f>
        <v>0.0168395623134858</v>
      </c>
      <c r="S443" s="32" t="n">
        <f aca="false">Data_Prices!S443/Data_Prices!S442-1</f>
        <v>0.00935429125585907</v>
      </c>
      <c r="T443" s="32" t="n">
        <f aca="false">AVERAGE(D443:S443)</f>
        <v>0.018980736132843</v>
      </c>
      <c r="U443" s="32" t="n">
        <f aca="false">AVERAGE(J443:S443)</f>
        <v>0.0238566266361492</v>
      </c>
      <c r="V443" s="32" t="n">
        <f aca="false">AVERAGE(D443:I443)</f>
        <v>0.010854251960666</v>
      </c>
      <c r="W443" s="32" t="n">
        <f aca="false">AVERAGE(K443,Q443,R443)</f>
        <v>0.0285401326693454</v>
      </c>
      <c r="X443" s="32" t="n">
        <f aca="false">AVERAGE(K443,L443,N443,O443,P443,Q443,R443,S443)</f>
        <v>0.0324148300160212</v>
      </c>
      <c r="Y443" s="32" t="n">
        <f aca="false">AVERAGE(J443,L443,M443,N443,O443,P443,Q443,R443,S443)</f>
        <v>0.0222469577086125</v>
      </c>
      <c r="Z443" s="32" t="n">
        <f aca="false">U443-V443</f>
        <v>0.0130023746754832</v>
      </c>
      <c r="AA443" s="32" t="n">
        <f aca="false">W443-V443</f>
        <v>0.0176858807086793</v>
      </c>
    </row>
    <row r="444" customFormat="false" ht="15" hidden="false" customHeight="false" outlineLevel="0" collapsed="false">
      <c r="A444" s="28" t="n">
        <f aca="false">Data_Prices!A444</f>
        <v>45453</v>
      </c>
      <c r="B444" s="32" t="n">
        <f aca="false">Data_Prices!B444/Data_Prices!B443-1</f>
        <v>-0.0013288879633665</v>
      </c>
      <c r="C444" s="32" t="n">
        <f aca="false">Data_Prices!C444/Data_Prices!C443-1</f>
        <v>0.00202626796819527</v>
      </c>
      <c r="D444" s="32" t="n">
        <f aca="false">Data_Prices!D444/Data_Prices!D443-1</f>
        <v>0.0360309262963072</v>
      </c>
      <c r="E444" s="32" t="n">
        <f aca="false">Data_Prices!E444/Data_Prices!E443-1</f>
        <v>-0.0012269146325713</v>
      </c>
      <c r="F444" s="32" t="n">
        <f aca="false">Data_Prices!F444/Data_Prices!F443-1</f>
        <v>0.0119974249429391</v>
      </c>
      <c r="G444" s="32" t="n">
        <f aca="false">Data_Prices!G444/Data_Prices!G443-1</f>
        <v>0.0185772541912097</v>
      </c>
      <c r="H444" s="32" t="n">
        <f aca="false">Data_Prices!H444/Data_Prices!H443-1</f>
        <v>0.02357669122572</v>
      </c>
      <c r="I444" s="32" t="n">
        <f aca="false">Data_Prices!I444/Data_Prices!I443-1</f>
        <v>0.0913311131294783</v>
      </c>
      <c r="J444" s="32" t="n">
        <f aca="false">Data_Prices!J444/Data_Prices!J443-1</f>
        <v>-0.00303524002945954</v>
      </c>
      <c r="K444" s="32" t="n">
        <f aca="false">Data_Prices!K444/Data_Prices!K443-1</f>
        <v>-0.0142586610226133</v>
      </c>
      <c r="L444" s="32" t="n">
        <f aca="false">Data_Prices!L444/Data_Prices!L443-1</f>
        <v>0.0165190417460852</v>
      </c>
      <c r="M444" s="32" t="n">
        <f aca="false">Data_Prices!M444/Data_Prices!M443-1</f>
        <v>0.00356607232127981</v>
      </c>
      <c r="N444" s="32" t="n">
        <f aca="false">Data_Prices!N444/Data_Prices!N443-1</f>
        <v>0.0413390010626993</v>
      </c>
      <c r="O444" s="32" t="n">
        <f aca="false">Data_Prices!O444/Data_Prices!O443-1</f>
        <v>0.00566471941936642</v>
      </c>
      <c r="P444" s="32" t="n">
        <f aca="false">Data_Prices!P444/Data_Prices!P443-1</f>
        <v>-0.00775456109184225</v>
      </c>
      <c r="Q444" s="32" t="n">
        <f aca="false">Data_Prices!Q444/Data_Prices!Q443-1</f>
        <v>-0.0841031149301825</v>
      </c>
      <c r="R444" s="32" t="n">
        <f aca="false">Data_Prices!R444/Data_Prices!R443-1</f>
        <v>0.00216616588638119</v>
      </c>
      <c r="S444" s="32" t="n">
        <f aca="false">Data_Prices!S444/Data_Prices!S443-1</f>
        <v>0.00846694289317251</v>
      </c>
      <c r="T444" s="32" t="n">
        <f aca="false">AVERAGE(D444:S444)</f>
        <v>0.00930355383799811</v>
      </c>
      <c r="U444" s="32" t="n">
        <f aca="false">AVERAGE(J444:S444)</f>
        <v>-0.00314296337451132</v>
      </c>
      <c r="V444" s="32" t="n">
        <f aca="false">AVERAGE(D444:I444)</f>
        <v>0.0300477491921805</v>
      </c>
      <c r="W444" s="32" t="n">
        <f aca="false">AVERAGE(K444,Q444,R444)</f>
        <v>-0.0320652033554716</v>
      </c>
      <c r="X444" s="32" t="n">
        <f aca="false">AVERAGE(K444,L444,N444,O444,P444,Q444,R444,S444)</f>
        <v>-0.00399505825461669</v>
      </c>
      <c r="Y444" s="32" t="n">
        <f aca="false">AVERAGE(J444,L444,M444,N444,O444,P444,Q444,R444,S444)</f>
        <v>-0.00190788585805554</v>
      </c>
      <c r="Z444" s="32" t="n">
        <f aca="false">U444-V444</f>
        <v>-0.0331907125666918</v>
      </c>
      <c r="AA444" s="32" t="n">
        <f aca="false">W444-V444</f>
        <v>-0.0621129525476521</v>
      </c>
    </row>
    <row r="445" customFormat="false" ht="15" hidden="false" customHeight="false" outlineLevel="0" collapsed="false">
      <c r="A445" s="28" t="n">
        <f aca="false">Data_Prices!A445</f>
        <v>45454</v>
      </c>
      <c r="B445" s="32" t="n">
        <f aca="false">Data_Prices!B445/Data_Prices!B444-1</f>
        <v>0.00024291463162962</v>
      </c>
      <c r="C445" s="32" t="n">
        <f aca="false">Data_Prices!C445/Data_Prices!C444-1</f>
        <v>0.00200612153657453</v>
      </c>
      <c r="D445" s="32" t="n">
        <f aca="false">Data_Prices!D445/Data_Prices!D444-1</f>
        <v>0.0647726617875872</v>
      </c>
      <c r="E445" s="32" t="n">
        <f aca="false">Data_Prices!E445/Data_Prices!E444-1</f>
        <v>0.0224348613176439</v>
      </c>
      <c r="F445" s="32" t="n">
        <f aca="false">Data_Prices!F445/Data_Prices!F444-1</f>
        <v>0.0692805921813555</v>
      </c>
      <c r="G445" s="32" t="n">
        <f aca="false">Data_Prices!G445/Data_Prices!G444-1</f>
        <v>0.00845195729537362</v>
      </c>
      <c r="H445" s="32" t="n">
        <f aca="false">Data_Prices!H445/Data_Prices!H444-1</f>
        <v>0.0576495223138331</v>
      </c>
      <c r="I445" s="32" t="n">
        <f aca="false">Data_Prices!I445/Data_Prices!I444-1</f>
        <v>-0.00850749029036435</v>
      </c>
      <c r="J445" s="32" t="n">
        <f aca="false">Data_Prices!J445/Data_Prices!J444-1</f>
        <v>0.0270421526269837</v>
      </c>
      <c r="K445" s="32" t="n">
        <f aca="false">Data_Prices!K445/Data_Prices!K444-1</f>
        <v>0.00694993784608444</v>
      </c>
      <c r="L445" s="32" t="n">
        <f aca="false">Data_Prices!L445/Data_Prices!L444-1</f>
        <v>-0.0203316298393323</v>
      </c>
      <c r="M445" s="32" t="n">
        <f aca="false">Data_Prices!M445/Data_Prices!M444-1</f>
        <v>-0.00607731137088197</v>
      </c>
      <c r="N445" s="32" t="n">
        <f aca="false">Data_Prices!N445/Data_Prices!N444-1</f>
        <v>-0.0364322890090825</v>
      </c>
      <c r="O445" s="32" t="n">
        <f aca="false">Data_Prices!O445/Data_Prices!O444-1</f>
        <v>0.0234113712374582</v>
      </c>
      <c r="P445" s="32" t="n">
        <f aca="false">Data_Prices!P445/Data_Prices!P444-1</f>
        <v>-0.00147777651472103</v>
      </c>
      <c r="Q445" s="32" t="n">
        <f aca="false">Data_Prices!Q445/Data_Prices!Q444-1</f>
        <v>0.0310777530198194</v>
      </c>
      <c r="R445" s="32" t="n">
        <f aca="false">Data_Prices!R445/Data_Prices!R444-1</f>
        <v>-0.00599637428531596</v>
      </c>
      <c r="S445" s="32" t="n">
        <f aca="false">Data_Prices!S445/Data_Prices!S444-1</f>
        <v>0.00551784367432817</v>
      </c>
      <c r="T445" s="32" t="n">
        <f aca="false">AVERAGE(D445:S445)</f>
        <v>0.0148603613744231</v>
      </c>
      <c r="U445" s="32" t="n">
        <f aca="false">AVERAGE(J445:S445)</f>
        <v>0.00236836773853402</v>
      </c>
      <c r="V445" s="32" t="n">
        <f aca="false">AVERAGE(D445:I445)</f>
        <v>0.0356803507675715</v>
      </c>
      <c r="W445" s="32" t="n">
        <f aca="false">AVERAGE(K445,Q445,R445)</f>
        <v>0.0106771055268626</v>
      </c>
      <c r="X445" s="32" t="n">
        <f aca="false">AVERAGE(K445,L445,N445,O445,P445,Q445,R445,S445)</f>
        <v>0.0003398545161548</v>
      </c>
      <c r="Y445" s="32" t="n">
        <f aca="false">AVERAGE(J445,L445,M445,N445,O445,P445,Q445,R445,S445)</f>
        <v>0.00185930439325064</v>
      </c>
      <c r="Z445" s="32" t="n">
        <f aca="false">U445-V445</f>
        <v>-0.0333119830290375</v>
      </c>
      <c r="AA445" s="32" t="n">
        <f aca="false">W445-V445</f>
        <v>-0.0250032452407089</v>
      </c>
    </row>
    <row r="446" customFormat="false" ht="15" hidden="false" customHeight="false" outlineLevel="0" collapsed="false">
      <c r="A446" s="28" t="n">
        <f aca="false">Data_Prices!A446</f>
        <v>45455</v>
      </c>
      <c r="B446" s="32" t="n">
        <f aca="false">Data_Prices!B446/Data_Prices!B445-1</f>
        <v>0.00249732966255967</v>
      </c>
      <c r="C446" s="32" t="n">
        <f aca="false">Data_Prices!C446/Data_Prices!C445-1</f>
        <v>0.00498581365550077</v>
      </c>
      <c r="D446" s="32" t="n">
        <f aca="false">Data_Prices!D446/Data_Prices!D445-1</f>
        <v>0.0323375006765168</v>
      </c>
      <c r="E446" s="32" t="n">
        <f aca="false">Data_Prices!E446/Data_Prices!E445-1</f>
        <v>0.0174528898444415</v>
      </c>
      <c r="F446" s="32" t="n">
        <f aca="false">Data_Prices!F446/Data_Prices!F445-1</f>
        <v>0.0453758788534344</v>
      </c>
      <c r="G446" s="32" t="n">
        <f aca="false">Data_Prices!G446/Data_Prices!G445-1</f>
        <v>0.0519041317453315</v>
      </c>
      <c r="H446" s="32" t="n">
        <f aca="false">Data_Prices!H446/Data_Prices!H445-1</f>
        <v>0.0106415888139579</v>
      </c>
      <c r="I446" s="32" t="n">
        <f aca="false">Data_Prices!I446/Data_Prices!I445-1</f>
        <v>0.00923335198656949</v>
      </c>
      <c r="J446" s="32" t="n">
        <f aca="false">Data_Prices!J446/Data_Prices!J445-1</f>
        <v>0.0696832973691668</v>
      </c>
      <c r="K446" s="32" t="n">
        <f aca="false">Data_Prices!K446/Data_Prices!K445-1</f>
        <v>0.011152572807362</v>
      </c>
      <c r="L446" s="32" t="n">
        <f aca="false">Data_Prices!L446/Data_Prices!L445-1</f>
        <v>0.0200780604968851</v>
      </c>
      <c r="M446" s="32" t="n">
        <f aca="false">Data_Prices!M446/Data_Prices!M445-1</f>
        <v>-0.0127301279695279</v>
      </c>
      <c r="N446" s="32" t="n">
        <f aca="false">Data_Prices!N446/Data_Prices!N445-1</f>
        <v>0.00222410506248671</v>
      </c>
      <c r="O446" s="32" t="n">
        <f aca="false">Data_Prices!O446/Data_Prices!O445-1</f>
        <v>-0.00189198486412112</v>
      </c>
      <c r="P446" s="32" t="n">
        <f aca="false">Data_Prices!P446/Data_Prices!P445-1</f>
        <v>0.0126081511839709</v>
      </c>
      <c r="Q446" s="32" t="n">
        <f aca="false">Data_Prices!Q446/Data_Prices!Q445-1</f>
        <v>0.00591446769790704</v>
      </c>
      <c r="R446" s="32" t="n">
        <f aca="false">Data_Prices!R446/Data_Prices!R445-1</f>
        <v>0.00652356902356921</v>
      </c>
      <c r="S446" s="32" t="n">
        <f aca="false">Data_Prices!S446/Data_Prices!S445-1</f>
        <v>0.0134030793525464</v>
      </c>
      <c r="T446" s="32" t="n">
        <f aca="false">AVERAGE(D446:S446)</f>
        <v>0.018369408255031</v>
      </c>
      <c r="U446" s="32" t="n">
        <f aca="false">AVERAGE(J446:S446)</f>
        <v>0.0126965190160245</v>
      </c>
      <c r="V446" s="32" t="n">
        <f aca="false">AVERAGE(D446:I446)</f>
        <v>0.0278242236533753</v>
      </c>
      <c r="W446" s="32" t="n">
        <f aca="false">AVERAGE(K446,Q446,R446)</f>
        <v>0.00786353650961276</v>
      </c>
      <c r="X446" s="32" t="n">
        <f aca="false">AVERAGE(K446,L446,N446,O446,P446,Q446,R446,S446)</f>
        <v>0.00875150259507578</v>
      </c>
      <c r="Y446" s="32" t="n">
        <f aca="false">AVERAGE(J446,L446,M446,N446,O446,P446,Q446,R446,S446)</f>
        <v>0.0128680685947648</v>
      </c>
      <c r="Z446" s="32" t="n">
        <f aca="false">U446-V446</f>
        <v>-0.0151277046373508</v>
      </c>
      <c r="AA446" s="32" t="n">
        <f aca="false">W446-V446</f>
        <v>-0.0199606871437625</v>
      </c>
    </row>
    <row r="447" customFormat="false" ht="15" hidden="false" customHeight="false" outlineLevel="0" collapsed="false">
      <c r="A447" s="28" t="n">
        <f aca="false">Data_Prices!A447</f>
        <v>45456</v>
      </c>
      <c r="B447" s="32" t="n">
        <f aca="false">Data_Prices!B447/Data_Prices!B446-1</f>
        <v>0.00325644911985834</v>
      </c>
      <c r="C447" s="32" t="n">
        <f aca="false">Data_Prices!C447/Data_Prices!C446-1</f>
        <v>0.00516143427310745</v>
      </c>
      <c r="D447" s="32" t="n">
        <f aca="false">Data_Prices!D447/Data_Prices!D446-1</f>
        <v>-0.0366195706309471</v>
      </c>
      <c r="E447" s="32" t="n">
        <f aca="false">Data_Prices!E447/Data_Prices!E446-1</f>
        <v>0.0159726538222498</v>
      </c>
      <c r="F447" s="32" t="n">
        <f aca="false">Data_Prices!F447/Data_Prices!F446-1</f>
        <v>0.0575818717988514</v>
      </c>
      <c r="G447" s="32" t="n">
        <f aca="false">Data_Prices!G447/Data_Prices!G446-1</f>
        <v>0.00545149566675973</v>
      </c>
      <c r="H447" s="32" t="n">
        <f aca="false">Data_Prices!H447/Data_Prices!H446-1</f>
        <v>0.0190388735843281</v>
      </c>
      <c r="I447" s="32" t="n">
        <f aca="false">Data_Prices!I447/Data_Prices!I446-1</f>
        <v>-0.00711579336475354</v>
      </c>
      <c r="J447" s="32" t="n">
        <f aca="false">Data_Prices!J447/Data_Prices!J446-1</f>
        <v>-0.00804874072866579</v>
      </c>
      <c r="K447" s="32" t="n">
        <f aca="false">Data_Prices!K447/Data_Prices!K446-1</f>
        <v>0.0106965967896338</v>
      </c>
      <c r="L447" s="32" t="n">
        <f aca="false">Data_Prices!L447/Data_Prices!L446-1</f>
        <v>0.0566940142010963</v>
      </c>
      <c r="M447" s="32" t="n">
        <f aca="false">Data_Prices!M447/Data_Prices!M446-1</f>
        <v>0.00355354000270736</v>
      </c>
      <c r="N447" s="32" t="n">
        <f aca="false">Data_Prices!N447/Data_Prices!N446-1</f>
        <v>-0.00169079573074071</v>
      </c>
      <c r="O447" s="32" t="n">
        <f aca="false">Data_Prices!O447/Data_Prices!O446-1</f>
        <v>0.0108564535585043</v>
      </c>
      <c r="P447" s="32" t="n">
        <f aca="false">Data_Prices!P447/Data_Prices!P446-1</f>
        <v>0.00772927850698446</v>
      </c>
      <c r="Q447" s="32" t="n">
        <f aca="false">Data_Prices!Q447/Data_Prices!Q446-1</f>
        <v>-0.0137946630483943</v>
      </c>
      <c r="R447" s="32" t="n">
        <f aca="false">Data_Prices!R447/Data_Prices!R446-1</f>
        <v>0.0133807233953585</v>
      </c>
      <c r="S447" s="32" t="n">
        <f aca="false">Data_Prices!S447/Data_Prices!S446-1</f>
        <v>0.0457157326788602</v>
      </c>
      <c r="T447" s="32" t="n">
        <f aca="false">AVERAGE(D447:S447)</f>
        <v>0.0112126044063645</v>
      </c>
      <c r="U447" s="32" t="n">
        <f aca="false">AVERAGE(J447:S447)</f>
        <v>0.0125092139625344</v>
      </c>
      <c r="V447" s="32" t="n">
        <f aca="false">AVERAGE(D447:I447)</f>
        <v>0.00905158847941473</v>
      </c>
      <c r="W447" s="32" t="n">
        <f aca="false">AVERAGE(K447,Q447,R447)</f>
        <v>0.00342755237886598</v>
      </c>
      <c r="X447" s="32" t="n">
        <f aca="false">AVERAGE(K447,L447,N447,O447,P447,Q447,R447,S447)</f>
        <v>0.0161984175439128</v>
      </c>
      <c r="Y447" s="32" t="n">
        <f aca="false">AVERAGE(J447,L447,M447,N447,O447,P447,Q447,R447,S447)</f>
        <v>0.0127106158706345</v>
      </c>
      <c r="Z447" s="32" t="n">
        <f aca="false">U447-V447</f>
        <v>0.00345762548311968</v>
      </c>
      <c r="AA447" s="32" t="n">
        <f aca="false">W447-V447</f>
        <v>-0.00562403610054875</v>
      </c>
    </row>
    <row r="448" customFormat="false" ht="15" hidden="false" customHeight="false" outlineLevel="0" collapsed="false">
      <c r="A448" s="28" t="n">
        <f aca="false">Data_Prices!A448</f>
        <v>45457</v>
      </c>
      <c r="B448" s="32" t="n">
        <f aca="false">Data_Prices!B448/Data_Prices!B447-1</f>
        <v>0.00285056135117445</v>
      </c>
      <c r="C448" s="32" t="n">
        <f aca="false">Data_Prices!C448/Data_Prices!C447-1</f>
        <v>0.00634221696724246</v>
      </c>
      <c r="D448" s="32" t="n">
        <f aca="false">Data_Prices!D448/Data_Prices!D447-1</f>
        <v>0.00881584675663905</v>
      </c>
      <c r="E448" s="32" t="n">
        <f aca="false">Data_Prices!E448/Data_Prices!E447-1</f>
        <v>0.0214718296935217</v>
      </c>
      <c r="F448" s="32" t="n">
        <f aca="false">Data_Prices!F448/Data_Prices!F447-1</f>
        <v>0.0491145680461793</v>
      </c>
      <c r="G448" s="32" t="n">
        <f aca="false">Data_Prices!G448/Data_Prices!G447-1</f>
        <v>0.0171694703183651</v>
      </c>
      <c r="H448" s="32" t="n">
        <f aca="false">Data_Prices!H448/Data_Prices!H447-1</f>
        <v>0.000780968400817095</v>
      </c>
      <c r="I448" s="32" t="n">
        <f aca="false">Data_Prices!I448/Data_Prices!I447-1</f>
        <v>-0.00195457930007459</v>
      </c>
      <c r="J448" s="32" t="n">
        <f aca="false">Data_Prices!J448/Data_Prices!J447-1</f>
        <v>0.00907951767630078</v>
      </c>
      <c r="K448" s="32" t="n">
        <f aca="false">Data_Prices!K448/Data_Prices!K447-1</f>
        <v>0.00639670555936855</v>
      </c>
      <c r="L448" s="32" t="n">
        <f aca="false">Data_Prices!L448/Data_Prices!L447-1</f>
        <v>0.00759000069633031</v>
      </c>
      <c r="M448" s="32" t="n">
        <f aca="false">Data_Prices!M448/Data_Prices!M447-1</f>
        <v>-0.0050247866994908</v>
      </c>
      <c r="N448" s="32" t="n">
        <f aca="false">Data_Prices!N448/Data_Prices!N447-1</f>
        <v>-0.00359902614586649</v>
      </c>
      <c r="O448" s="32" t="n">
        <f aca="false">Data_Prices!O448/Data_Prices!O447-1</f>
        <v>0.0192635526764404</v>
      </c>
      <c r="P448" s="32" t="n">
        <f aca="false">Data_Prices!P448/Data_Prices!P447-1</f>
        <v>-0.0126624644391142</v>
      </c>
      <c r="Q448" s="32" t="n">
        <f aca="false">Data_Prices!Q448/Data_Prices!Q447-1</f>
        <v>0.00286631506535207</v>
      </c>
      <c r="R448" s="32" t="n">
        <f aca="false">Data_Prices!R448/Data_Prices!R447-1</f>
        <v>0.0017880475895744</v>
      </c>
      <c r="S448" s="32" t="n">
        <f aca="false">Data_Prices!S448/Data_Prices!S447-1</f>
        <v>0.0178258763923553</v>
      </c>
      <c r="T448" s="32" t="n">
        <f aca="false">AVERAGE(D448:S448)</f>
        <v>0.00868261514291863</v>
      </c>
      <c r="U448" s="32" t="n">
        <f aca="false">AVERAGE(J448:S448)</f>
        <v>0.00435237383712503</v>
      </c>
      <c r="V448" s="32" t="n">
        <f aca="false">AVERAGE(D448:I448)</f>
        <v>0.0158996839859079</v>
      </c>
      <c r="W448" s="32" t="n">
        <f aca="false">AVERAGE(K448,Q448,R448)</f>
        <v>0.00368368940476501</v>
      </c>
      <c r="X448" s="32" t="n">
        <f aca="false">AVERAGE(K448,L448,N448,O448,P448,Q448,R448,S448)</f>
        <v>0.00493362592430505</v>
      </c>
      <c r="Y448" s="32" t="n">
        <f aca="false">AVERAGE(J448,L448,M448,N448,O448,P448,Q448,R448,S448)</f>
        <v>0.00412522586798687</v>
      </c>
      <c r="Z448" s="32" t="n">
        <f aca="false">U448-V448</f>
        <v>-0.0115473101487829</v>
      </c>
      <c r="AA448" s="32" t="n">
        <f aca="false">W448-V448</f>
        <v>-0.0122159945811429</v>
      </c>
    </row>
    <row r="449" customFormat="false" ht="15" hidden="false" customHeight="false" outlineLevel="0" collapsed="false">
      <c r="A449" s="28" t="n">
        <f aca="false">Data_Prices!A449</f>
        <v>45461</v>
      </c>
      <c r="B449" s="32" t="n">
        <f aca="false">Data_Prices!B449/Data_Prices!B448-1</f>
        <v>0.00393341742806497</v>
      </c>
      <c r="C449" s="32" t="n">
        <f aca="false">Data_Prices!C449/Data_Prices!C448-1</f>
        <v>0.00519035035990334</v>
      </c>
      <c r="D449" s="32" t="n">
        <f aca="false">Data_Prices!D449/Data_Prices!D448-1</f>
        <v>0.0251645269176826</v>
      </c>
      <c r="E449" s="32" t="n">
        <f aca="false">Data_Prices!E449/Data_Prices!E448-1</f>
        <v>0.0650976164810158</v>
      </c>
      <c r="F449" s="32" t="n">
        <f aca="false">Data_Prices!F449/Data_Prices!F448-1</f>
        <v>-0.00289098200130555</v>
      </c>
      <c r="G449" s="32" t="n">
        <f aca="false">Data_Prices!G449/Data_Prices!G448-1</f>
        <v>0.0235085081664732</v>
      </c>
      <c r="H449" s="32" t="n">
        <f aca="false">Data_Prices!H449/Data_Prices!H448-1</f>
        <v>0.0382375892910738</v>
      </c>
      <c r="I449" s="32" t="n">
        <f aca="false">Data_Prices!I449/Data_Prices!I448-1</f>
        <v>-0.0253660356243589</v>
      </c>
      <c r="J449" s="32" t="n">
        <f aca="false">Data_Prices!J449/Data_Prices!J448-1</f>
        <v>-0.0161635079290761</v>
      </c>
      <c r="K449" s="32" t="n">
        <f aca="false">Data_Prices!K449/Data_Prices!K448-1</f>
        <v>-0.000941131540182161</v>
      </c>
      <c r="L449" s="32" t="n">
        <f aca="false">Data_Prices!L449/Data_Prices!L448-1</f>
        <v>0.00494125777470633</v>
      </c>
      <c r="M449" s="32" t="n">
        <f aca="false">Data_Prices!M449/Data_Prices!M448-1</f>
        <v>0.0141336767895879</v>
      </c>
      <c r="N449" s="32" t="n">
        <f aca="false">Data_Prices!N449/Data_Prices!N448-1</f>
        <v>0.0235844045469034</v>
      </c>
      <c r="O449" s="32" t="n">
        <f aca="false">Data_Prices!O449/Data_Prices!O448-1</f>
        <v>0.0292691085465797</v>
      </c>
      <c r="P449" s="32" t="n">
        <f aca="false">Data_Prices!P449/Data_Prices!P448-1</f>
        <v>-0.0120338983050847</v>
      </c>
      <c r="Q449" s="32" t="n">
        <f aca="false">Data_Prices!Q449/Data_Prices!Q448-1</f>
        <v>-0.00868869326626276</v>
      </c>
      <c r="R449" s="32" t="n">
        <f aca="false">Data_Prices!R449/Data_Prices!R448-1</f>
        <v>-0.002745932587355</v>
      </c>
      <c r="S449" s="32" t="n">
        <f aca="false">Data_Prices!S449/Data_Prices!S448-1</f>
        <v>0.0357227824240984</v>
      </c>
      <c r="T449" s="32" t="n">
        <f aca="false">AVERAGE(D449:S449)</f>
        <v>0.011926830605281</v>
      </c>
      <c r="U449" s="32" t="n">
        <f aca="false">AVERAGE(J449:S449)</f>
        <v>0.0067078066453915</v>
      </c>
      <c r="V449" s="32" t="n">
        <f aca="false">AVERAGE(D449:I449)</f>
        <v>0.0206252038717635</v>
      </c>
      <c r="W449" s="32" t="n">
        <f aca="false">AVERAGE(K449,Q449,R449)</f>
        <v>-0.00412525246459998</v>
      </c>
      <c r="X449" s="32" t="n">
        <f aca="false">AVERAGE(K449,L449,N449,O449,P449,Q449,R449,S449)</f>
        <v>0.0086384871991754</v>
      </c>
      <c r="Y449" s="32" t="n">
        <f aca="false">AVERAGE(J449,L449,M449,N449,O449,P449,Q449,R449,S449)</f>
        <v>0.0075576886660108</v>
      </c>
      <c r="Z449" s="32" t="n">
        <f aca="false">U449-V449</f>
        <v>-0.013917397226372</v>
      </c>
      <c r="AA449" s="32" t="n">
        <f aca="false">W449-V449</f>
        <v>-0.0247504563363635</v>
      </c>
    </row>
    <row r="450" customFormat="false" ht="15" hidden="false" customHeight="false" outlineLevel="0" collapsed="false">
      <c r="A450" s="28" t="n">
        <f aca="false">Data_Prices!A450</f>
        <v>45462</v>
      </c>
      <c r="B450" s="32" t="n">
        <f aca="false">Data_Prices!B450/Data_Prices!B449-1</f>
        <v>-0.00177859656420998</v>
      </c>
      <c r="C450" s="32" t="n">
        <f aca="false">Data_Prices!C450/Data_Prices!C449-1</f>
        <v>-0.00468884350816845</v>
      </c>
      <c r="D450" s="32" t="n">
        <f aca="false">Data_Prices!D450/Data_Prices!D449-1</f>
        <v>0.0185745481333368</v>
      </c>
      <c r="E450" s="32" t="n">
        <f aca="false">Data_Prices!E450/Data_Prices!E449-1</f>
        <v>-0.0258644925499016</v>
      </c>
      <c r="F450" s="32" t="n">
        <f aca="false">Data_Prices!F450/Data_Prices!F449-1</f>
        <v>0.00509726898615792</v>
      </c>
      <c r="G450" s="32" t="n">
        <f aca="false">Data_Prices!G450/Data_Prices!G449-1</f>
        <v>-0.0166254924217134</v>
      </c>
      <c r="H450" s="32" t="n">
        <f aca="false">Data_Prices!H450/Data_Prices!H449-1</f>
        <v>-0.0286771507863089</v>
      </c>
      <c r="I450" s="32" t="n">
        <f aca="false">Data_Prices!I450/Data_Prices!I449-1</f>
        <v>0.00851593148980978</v>
      </c>
      <c r="J450" s="32" t="n">
        <f aca="false">Data_Prices!J450/Data_Prices!J449-1</f>
        <v>0.0265472076806887</v>
      </c>
      <c r="K450" s="32" t="n">
        <f aca="false">Data_Prices!K450/Data_Prices!K449-1</f>
        <v>-0.0137343508949173</v>
      </c>
      <c r="L450" s="32" t="n">
        <f aca="false">Data_Prices!L450/Data_Prices!L449-1</f>
        <v>-0.00240690437712754</v>
      </c>
      <c r="M450" s="32" t="n">
        <f aca="false">Data_Prices!M450/Data_Prices!M449-1</f>
        <v>-0.0142374920624311</v>
      </c>
      <c r="N450" s="32" t="n">
        <f aca="false">Data_Prices!N450/Data_Prices!N449-1</f>
        <v>-0.0177477944992216</v>
      </c>
      <c r="O450" s="32" t="n">
        <f aca="false">Data_Prices!O450/Data_Prices!O449-1</f>
        <v>-0.00406239844003897</v>
      </c>
      <c r="P450" s="32" t="n">
        <f aca="false">Data_Prices!P450/Data_Prices!P449-1</f>
        <v>-0.00471779035855202</v>
      </c>
      <c r="Q450" s="32" t="n">
        <f aca="false">Data_Prices!Q450/Data_Prices!Q449-1</f>
        <v>-0.0222581017183716</v>
      </c>
      <c r="R450" s="32" t="n">
        <f aca="false">Data_Prices!R450/Data_Prices!R449-1</f>
        <v>0.00502512562814061</v>
      </c>
      <c r="S450" s="32" t="n">
        <f aca="false">Data_Prices!S450/Data_Prices!S449-1</f>
        <v>-0.0136054421768709</v>
      </c>
      <c r="T450" s="32" t="n">
        <f aca="false">AVERAGE(D450:S450)</f>
        <v>-0.00626108302295757</v>
      </c>
      <c r="U450" s="32" t="n">
        <f aca="false">AVERAGE(J450:S450)</f>
        <v>-0.00611979412187016</v>
      </c>
      <c r="V450" s="32" t="n">
        <f aca="false">AVERAGE(D450:I450)</f>
        <v>-0.00649656452476991</v>
      </c>
      <c r="W450" s="32" t="n">
        <f aca="false">AVERAGE(K450,Q450,R450)</f>
        <v>-0.0103224423283828</v>
      </c>
      <c r="X450" s="32" t="n">
        <f aca="false">AVERAGE(K450,L450,N450,O450,P450,Q450,R450,S450)</f>
        <v>-0.00918845710461991</v>
      </c>
      <c r="Y450" s="32" t="n">
        <f aca="false">AVERAGE(J450,L450,M450,N450,O450,P450,Q450,R450,S450)</f>
        <v>-0.00527373225819826</v>
      </c>
      <c r="Z450" s="32" t="n">
        <f aca="false">U450-V450</f>
        <v>0.000376770402899755</v>
      </c>
      <c r="AA450" s="32" t="n">
        <f aca="false">W450-V450</f>
        <v>-0.00382587780361284</v>
      </c>
    </row>
    <row r="451" customFormat="false" ht="15" hidden="false" customHeight="false" outlineLevel="0" collapsed="false">
      <c r="A451" s="28" t="n">
        <f aca="false">Data_Prices!A451</f>
        <v>45463</v>
      </c>
      <c r="B451" s="32" t="n">
        <f aca="false">Data_Prices!B451/Data_Prices!B450-1</f>
        <v>0.00216873617962232</v>
      </c>
      <c r="C451" s="32" t="n">
        <f aca="false">Data_Prices!C451/Data_Prices!C450-1</f>
        <v>0.0036085651678972</v>
      </c>
      <c r="D451" s="32" t="n">
        <f aca="false">Data_Prices!D451/Data_Prices!D450-1</f>
        <v>-0.0230918248740798</v>
      </c>
      <c r="E451" s="32" t="n">
        <f aca="false">Data_Prices!E451/Data_Prices!E450-1</f>
        <v>-0.00432900432900429</v>
      </c>
      <c r="F451" s="32" t="n">
        <f aca="false">Data_Prices!F451/Data_Prices!F450-1</f>
        <v>-0.0299632438468339</v>
      </c>
      <c r="G451" s="32" t="n">
        <f aca="false">Data_Prices!G451/Data_Prices!G450-1</f>
        <v>0.00448126018468242</v>
      </c>
      <c r="H451" s="32" t="n">
        <f aca="false">Data_Prices!H451/Data_Prices!H450-1</f>
        <v>-0.0573809523809524</v>
      </c>
      <c r="I451" s="32" t="n">
        <f aca="false">Data_Prices!I451/Data_Prices!I450-1</f>
        <v>-0.000569259962049262</v>
      </c>
      <c r="J451" s="32" t="n">
        <f aca="false">Data_Prices!J451/Data_Prices!J450-1</f>
        <v>-0.0251552043860357</v>
      </c>
      <c r="K451" s="32" t="n">
        <f aca="false">Data_Prices!K451/Data_Prices!K450-1</f>
        <v>-0.00370980468155191</v>
      </c>
      <c r="L451" s="32" t="n">
        <f aca="false">Data_Prices!L451/Data_Prices!L450-1</f>
        <v>-0.00823768655430324</v>
      </c>
      <c r="M451" s="32" t="n">
        <f aca="false">Data_Prices!M451/Data_Prices!M450-1</f>
        <v>0.00437362264790653</v>
      </c>
      <c r="N451" s="32" t="n">
        <f aca="false">Data_Prices!N451/Data_Prices!N450-1</f>
        <v>0.00581149619611154</v>
      </c>
      <c r="O451" s="32" t="n">
        <f aca="false">Data_Prices!O451/Data_Prices!O450-1</f>
        <v>0.00228422254853977</v>
      </c>
      <c r="P451" s="32" t="n">
        <f aca="false">Data_Prices!P451/Data_Prices!P450-1</f>
        <v>0.00103421528914938</v>
      </c>
      <c r="Q451" s="32" t="n">
        <f aca="false">Data_Prices!Q451/Data_Prices!Q450-1</f>
        <v>-0.00353857041755135</v>
      </c>
      <c r="R451" s="32" t="n">
        <f aca="false">Data_Prices!R451/Data_Prices!R450-1</f>
        <v>0.00342465753424648</v>
      </c>
      <c r="S451" s="32" t="n">
        <f aca="false">Data_Prices!S451/Data_Prices!S450-1</f>
        <v>0.00499776085982973</v>
      </c>
      <c r="T451" s="32" t="n">
        <f aca="false">AVERAGE(D451:S451)</f>
        <v>-0.0080980197607435</v>
      </c>
      <c r="U451" s="32" t="n">
        <f aca="false">AVERAGE(J451:S451)</f>
        <v>-0.00187152909636588</v>
      </c>
      <c r="V451" s="32" t="n">
        <f aca="false">AVERAGE(D451:I451)</f>
        <v>-0.0184755042013729</v>
      </c>
      <c r="W451" s="32" t="n">
        <f aca="false">AVERAGE(K451,Q451,R451)</f>
        <v>-0.00127457252161893</v>
      </c>
      <c r="X451" s="32" t="n">
        <f aca="false">AVERAGE(K451,L451,N451,O451,P451,Q451,R451,S451)</f>
        <v>0.0002582863468088</v>
      </c>
      <c r="Y451" s="32" t="n">
        <f aca="false">AVERAGE(J451,L451,M451,N451,O451,P451,Q451,R451,S451)</f>
        <v>-0.00166727625356743</v>
      </c>
      <c r="Z451" s="32" t="n">
        <f aca="false">U451-V451</f>
        <v>0.016603975105007</v>
      </c>
      <c r="AA451" s="32" t="n">
        <f aca="false">W451-V451</f>
        <v>0.017200931679754</v>
      </c>
    </row>
    <row r="452" customFormat="false" ht="15" hidden="false" customHeight="false" outlineLevel="0" collapsed="false">
      <c r="A452" s="28" t="n">
        <f aca="false">Data_Prices!A452</f>
        <v>45464</v>
      </c>
      <c r="B452" s="32" t="n">
        <f aca="false">Data_Prices!B452/Data_Prices!B451-1</f>
        <v>-0.0027962829380066</v>
      </c>
      <c r="C452" s="32" t="n">
        <f aca="false">Data_Prices!C452/Data_Prices!C451-1</f>
        <v>-0.00308897965039379</v>
      </c>
      <c r="D452" s="32" t="n">
        <f aca="false">Data_Prices!D452/Data_Prices!D451-1</f>
        <v>0.0125062795801274</v>
      </c>
      <c r="E452" s="32" t="n">
        <f aca="false">Data_Prices!E452/Data_Prices!E451-1</f>
        <v>-0.00191304347826082</v>
      </c>
      <c r="F452" s="32" t="n">
        <f aca="false">Data_Prices!F452/Data_Prices!F451-1</f>
        <v>0.00729051753081667</v>
      </c>
      <c r="G452" s="32" t="n">
        <f aca="false">Data_Prices!G452/Data_Prices!G451-1</f>
        <v>-0.010747600378532</v>
      </c>
      <c r="H452" s="32" t="n">
        <f aca="false">Data_Prices!H452/Data_Prices!H451-1</f>
        <v>-0.0104824450618842</v>
      </c>
      <c r="I452" s="32" t="n">
        <f aca="false">Data_Prices!I452/Data_Prices!I451-1</f>
        <v>-0.022118853237137</v>
      </c>
      <c r="J452" s="32" t="n">
        <f aca="false">Data_Prices!J452/Data_Prices!J451-1</f>
        <v>0.0160243156066495</v>
      </c>
      <c r="K452" s="32" t="n">
        <f aca="false">Data_Prices!K452/Data_Prices!K451-1</f>
        <v>-0.0101010101010101</v>
      </c>
      <c r="L452" s="32" t="n">
        <f aca="false">Data_Prices!L452/Data_Prices!L451-1</f>
        <v>-0.025821922568986</v>
      </c>
      <c r="M452" s="32" t="n">
        <f aca="false">Data_Prices!M452/Data_Prices!M451-1</f>
        <v>-0.0058061031596004</v>
      </c>
      <c r="N452" s="32" t="n">
        <f aca="false">Data_Prices!N452/Data_Prices!N451-1</f>
        <v>-0.000840424414329188</v>
      </c>
      <c r="O452" s="32" t="n">
        <f aca="false">Data_Prices!O452/Data_Prices!O451-1</f>
        <v>-0.00358131206251011</v>
      </c>
      <c r="P452" s="32" t="n">
        <f aca="false">Data_Prices!P452/Data_Prices!P451-1</f>
        <v>-0.0142918639690056</v>
      </c>
      <c r="Q452" s="32" t="n">
        <f aca="false">Data_Prices!Q452/Data_Prices!Q451-1</f>
        <v>-0.00295928030303028</v>
      </c>
      <c r="R452" s="32" t="n">
        <f aca="false">Data_Prices!R452/Data_Prices!R451-1</f>
        <v>-0.00976109215017063</v>
      </c>
      <c r="S452" s="32" t="n">
        <f aca="false">Data_Prices!S452/Data_Prices!S451-1</f>
        <v>0.00586410951090843</v>
      </c>
      <c r="T452" s="32" t="n">
        <f aca="false">AVERAGE(D452:S452)</f>
        <v>-0.00479623304099714</v>
      </c>
      <c r="U452" s="32" t="n">
        <f aca="false">AVERAGE(J452:S452)</f>
        <v>-0.00512745836110843</v>
      </c>
      <c r="V452" s="32" t="n">
        <f aca="false">AVERAGE(D452:I452)</f>
        <v>-0.00424419084081166</v>
      </c>
      <c r="W452" s="32" t="n">
        <f aca="false">AVERAGE(K452,Q452,R452)</f>
        <v>-0.00760712751807032</v>
      </c>
      <c r="X452" s="32" t="n">
        <f aca="false">AVERAGE(K452,L452,N452,O452,P452,Q452,R452,S452)</f>
        <v>-0.00768659950726668</v>
      </c>
      <c r="Y452" s="32" t="n">
        <f aca="false">AVERAGE(J452,L452,M452,N452,O452,P452,Q452,R452,S452)</f>
        <v>-0.00457484150111936</v>
      </c>
      <c r="Z452" s="32" t="n">
        <f aca="false">U452-V452</f>
        <v>-0.000883267520296767</v>
      </c>
      <c r="AA452" s="32" t="n">
        <f aca="false">W452-V452</f>
        <v>-0.00336293667725866</v>
      </c>
    </row>
    <row r="453" customFormat="false" ht="15" hidden="false" customHeight="false" outlineLevel="0" collapsed="false">
      <c r="A453" s="28" t="n">
        <f aca="false">Data_Prices!A453</f>
        <v>45467</v>
      </c>
      <c r="B453" s="32" t="n">
        <f aca="false">Data_Prices!B453/Data_Prices!B452-1</f>
        <v>0.00156375659011698</v>
      </c>
      <c r="C453" s="32" t="n">
        <f aca="false">Data_Prices!C453/Data_Prices!C452-1</f>
        <v>0.00237900360673127</v>
      </c>
      <c r="D453" s="32" t="n">
        <f aca="false">Data_Prices!D453/Data_Prices!D452-1</f>
        <v>-0.0184363085600877</v>
      </c>
      <c r="E453" s="32" t="n">
        <f aca="false">Data_Prices!E453/Data_Prices!E452-1</f>
        <v>0.0253238078643201</v>
      </c>
      <c r="F453" s="32" t="n">
        <f aca="false">Data_Prices!F453/Data_Prices!F452-1</f>
        <v>-0.0362839864768344</v>
      </c>
      <c r="G453" s="32" t="n">
        <f aca="false">Data_Prices!G453/Data_Prices!G452-1</f>
        <v>0.00293816194055352</v>
      </c>
      <c r="H453" s="32" t="n">
        <f aca="false">Data_Prices!H453/Data_Prices!H452-1</f>
        <v>-0.0192724952137844</v>
      </c>
      <c r="I453" s="32" t="n">
        <f aca="false">Data_Prices!I453/Data_Prices!I452-1</f>
        <v>0.027473060867877</v>
      </c>
      <c r="J453" s="32" t="n">
        <f aca="false">Data_Prices!J453/Data_Prices!J452-1</f>
        <v>-0.0589145078247421</v>
      </c>
      <c r="K453" s="32" t="n">
        <f aca="false">Data_Prices!K453/Data_Prices!K452-1</f>
        <v>-0.00735479886590129</v>
      </c>
      <c r="L453" s="32" t="n">
        <f aca="false">Data_Prices!L453/Data_Prices!L452-1</f>
        <v>0.0236880596482467</v>
      </c>
      <c r="M453" s="32" t="n">
        <f aca="false">Data_Prices!M453/Data_Prices!M452-1</f>
        <v>-0.0440717099008555</v>
      </c>
      <c r="N453" s="32" t="n">
        <f aca="false">Data_Prices!N453/Data_Prices!N452-1</f>
        <v>-0.010303858689938</v>
      </c>
      <c r="O453" s="32" t="n">
        <f aca="false">Data_Prices!O453/Data_Prices!O452-1</f>
        <v>-0.00228720797255344</v>
      </c>
      <c r="P453" s="32" t="n">
        <f aca="false">Data_Prices!P453/Data_Prices!P452-1</f>
        <v>0.00829766791859554</v>
      </c>
      <c r="Q453" s="32" t="n">
        <f aca="false">Data_Prices!Q453/Data_Prices!Q452-1</f>
        <v>-0.00926035854208707</v>
      </c>
      <c r="R453" s="32" t="n">
        <f aca="false">Data_Prices!R453/Data_Prices!R452-1</f>
        <v>0.00634176604397885</v>
      </c>
      <c r="S453" s="32" t="n">
        <f aca="false">Data_Prices!S453/Data_Prices!S452-1</f>
        <v>0.0214767954919994</v>
      </c>
      <c r="T453" s="32" t="n">
        <f aca="false">AVERAGE(D453:S453)</f>
        <v>-0.00566536951695079</v>
      </c>
      <c r="U453" s="32" t="n">
        <f aca="false">AVERAGE(J453:S453)</f>
        <v>-0.00723881526932568</v>
      </c>
      <c r="V453" s="32" t="n">
        <f aca="false">AVERAGE(D453:I453)</f>
        <v>-0.00304295992965931</v>
      </c>
      <c r="W453" s="32" t="n">
        <f aca="false">AVERAGE(K453,Q453,R453)</f>
        <v>-0.00342446378800317</v>
      </c>
      <c r="X453" s="32" t="n">
        <f aca="false">AVERAGE(K453,L453,N453,O453,P453,Q453,R453,S453)</f>
        <v>0.00382475812904259</v>
      </c>
      <c r="Y453" s="32" t="n">
        <f aca="false">AVERAGE(J453,L453,M453,N453,O453,P453,Q453,R453,S453)</f>
        <v>-0.0072259282030395</v>
      </c>
      <c r="Z453" s="32" t="n">
        <f aca="false">U453-V453</f>
        <v>-0.00419585533966638</v>
      </c>
      <c r="AA453" s="32" t="n">
        <f aca="false">W453-V453</f>
        <v>-0.000381503858343864</v>
      </c>
    </row>
    <row r="454" customFormat="false" ht="15" hidden="false" customHeight="false" outlineLevel="0" collapsed="false">
      <c r="A454" s="28" t="n">
        <f aca="false">Data_Prices!A454</f>
        <v>45468</v>
      </c>
      <c r="B454" s="32" t="n">
        <f aca="false">Data_Prices!B454/Data_Prices!B453-1</f>
        <v>0.00779382993773869</v>
      </c>
      <c r="C454" s="32" t="n">
        <f aca="false">Data_Prices!C454/Data_Prices!C453-1</f>
        <v>0.00365873902490477</v>
      </c>
      <c r="D454" s="32" t="n">
        <f aca="false">Data_Prices!D454/Data_Prices!D453-1</f>
        <v>-0.0129030541662233</v>
      </c>
      <c r="E454" s="32" t="n">
        <f aca="false">Data_Prices!E454/Data_Prices!E453-1</f>
        <v>0.0192035348099473</v>
      </c>
      <c r="F454" s="32" t="n">
        <f aca="false">Data_Prices!F454/Data_Prices!F453-1</f>
        <v>0.00059291466969702</v>
      </c>
      <c r="G454" s="32" t="n">
        <f aca="false">Data_Prices!G454/Data_Prices!G453-1</f>
        <v>0.0489848753236137</v>
      </c>
      <c r="H454" s="32" t="n">
        <f aca="false">Data_Prices!H454/Data_Prices!H453-1</f>
        <v>0.017178552837064</v>
      </c>
      <c r="I454" s="32" t="n">
        <f aca="false">Data_Prices!I454/Data_Prices!I453-1</f>
        <v>0.00746409674981097</v>
      </c>
      <c r="J454" s="32" t="n">
        <f aca="false">Data_Prices!J454/Data_Prices!J453-1</f>
        <v>-0.0587319436034944</v>
      </c>
      <c r="K454" s="32" t="n">
        <f aca="false">Data_Prices!K454/Data_Prices!K453-1</f>
        <v>-0.00104635049913748</v>
      </c>
      <c r="L454" s="32" t="n">
        <f aca="false">Data_Prices!L454/Data_Prices!L453-1</f>
        <v>-0.00236975082767044</v>
      </c>
      <c r="M454" s="32" t="n">
        <f aca="false">Data_Prices!M454/Data_Prices!M453-1</f>
        <v>-0.0345244015060028</v>
      </c>
      <c r="N454" s="32" t="n">
        <f aca="false">Data_Prices!N454/Data_Prices!N453-1</f>
        <v>-0.0224158079252097</v>
      </c>
      <c r="O454" s="32" t="n">
        <f aca="false">Data_Prices!O454/Data_Prices!O453-1</f>
        <v>0.00229245128541011</v>
      </c>
      <c r="P454" s="32" t="n">
        <f aca="false">Data_Prices!P454/Data_Prices!P453-1</f>
        <v>0.0284130284130284</v>
      </c>
      <c r="Q454" s="32" t="n">
        <f aca="false">Data_Prices!Q454/Data_Prices!Q453-1</f>
        <v>0.0178550029958058</v>
      </c>
      <c r="R454" s="32" t="n">
        <f aca="false">Data_Prices!R454/Data_Prices!R453-1</f>
        <v>0.00280841153503664</v>
      </c>
      <c r="S454" s="32" t="n">
        <f aca="false">Data_Prices!S454/Data_Prices!S453-1</f>
        <v>0.0373319455286667</v>
      </c>
      <c r="T454" s="32" t="n">
        <f aca="false">AVERAGE(D454:S454)</f>
        <v>0.00313334410127141</v>
      </c>
      <c r="U454" s="32" t="n">
        <f aca="false">AVERAGE(J454:S454)</f>
        <v>-0.00303874146035672</v>
      </c>
      <c r="V454" s="32" t="n">
        <f aca="false">AVERAGE(D454:I454)</f>
        <v>0.0134201533706516</v>
      </c>
      <c r="W454" s="32" t="n">
        <f aca="false">AVERAGE(K454,Q454,R454)</f>
        <v>0.00653902134390165</v>
      </c>
      <c r="X454" s="32" t="n">
        <f aca="false">AVERAGE(K454,L454,N454,O454,P454,Q454,R454,S454)</f>
        <v>0.00785861631324125</v>
      </c>
      <c r="Y454" s="32" t="n">
        <f aca="false">AVERAGE(J454,L454,M454,N454,O454,P454,Q454,R454,S454)</f>
        <v>-0.00326011823382552</v>
      </c>
      <c r="Z454" s="32" t="n">
        <f aca="false">U454-V454</f>
        <v>-0.0164588948310084</v>
      </c>
      <c r="AA454" s="32" t="n">
        <f aca="false">W454-V454</f>
        <v>-0.00688113202674999</v>
      </c>
    </row>
    <row r="455" customFormat="false" ht="15" hidden="false" customHeight="false" outlineLevel="0" collapsed="false">
      <c r="A455" s="28" t="n">
        <f aca="false">Data_Prices!A455</f>
        <v>45469</v>
      </c>
      <c r="B455" s="32" t="n">
        <f aca="false">Data_Prices!B455/Data_Prices!B454-1</f>
        <v>0.00621804032662632</v>
      </c>
      <c r="C455" s="32" t="n">
        <f aca="false">Data_Prices!C455/Data_Prices!C454-1</f>
        <v>0.00295699946134764</v>
      </c>
      <c r="D455" s="32" t="n">
        <f aca="false">Data_Prices!D455/Data_Prices!D454-1</f>
        <v>0.00773522356682732</v>
      </c>
      <c r="E455" s="32" t="n">
        <f aca="false">Data_Prices!E455/Data_Prices!E454-1</f>
        <v>0.00183414851044916</v>
      </c>
      <c r="F455" s="32" t="n">
        <f aca="false">Data_Prices!F455/Data_Prices!F454-1</f>
        <v>0.034368673151943</v>
      </c>
      <c r="G455" s="32" t="n">
        <f aca="false">Data_Prices!G455/Data_Prices!G454-1</f>
        <v>0.0116256413587061</v>
      </c>
      <c r="H455" s="32" t="n">
        <f aca="false">Data_Prices!H455/Data_Prices!H454-1</f>
        <v>0.0131141248720572</v>
      </c>
      <c r="I455" s="32" t="n">
        <f aca="false">Data_Prices!I455/Data_Prices!I454-1</f>
        <v>-0.00984713495264</v>
      </c>
      <c r="J455" s="32" t="n">
        <f aca="false">Data_Prices!J455/Data_Prices!J454-1</f>
        <v>-0.0280738834773019</v>
      </c>
      <c r="K455" s="32" t="n">
        <f aca="false">Data_Prices!K455/Data_Prices!K454-1</f>
        <v>0.0118474691427923</v>
      </c>
      <c r="L455" s="32" t="n">
        <f aca="false">Data_Prices!L455/Data_Prices!L454-1</f>
        <v>-0.000768505257274565</v>
      </c>
      <c r="M455" s="32" t="n">
        <f aca="false">Data_Prices!M455/Data_Prices!M454-1</f>
        <v>-3.67890515782232E-005</v>
      </c>
      <c r="N455" s="32" t="n">
        <f aca="false">Data_Prices!N455/Data_Prices!N454-1</f>
        <v>0.0727015866116061</v>
      </c>
      <c r="O455" s="32" t="n">
        <f aca="false">Data_Prices!O455/Data_Prices!O454-1</f>
        <v>0.00669825191962103</v>
      </c>
      <c r="P455" s="32" t="n">
        <f aca="false">Data_Prices!P455/Data_Prices!P454-1</f>
        <v>-0.00303234501347704</v>
      </c>
      <c r="Q455" s="32" t="n">
        <f aca="false">Data_Prices!Q455/Data_Prices!Q454-1</f>
        <v>-0.019072286319755</v>
      </c>
      <c r="R455" s="32" t="n">
        <f aca="false">Data_Prices!R455/Data_Prices!R454-1</f>
        <v>0</v>
      </c>
      <c r="S455" s="32" t="n">
        <f aca="false">Data_Prices!S455/Data_Prices!S454-1</f>
        <v>-0.000267571951770296</v>
      </c>
      <c r="T455" s="32" t="n">
        <f aca="false">AVERAGE(D455:S455)</f>
        <v>0.00617666269438783</v>
      </c>
      <c r="U455" s="32" t="n">
        <f aca="false">AVERAGE(J455:S455)</f>
        <v>0.00399959266028624</v>
      </c>
      <c r="V455" s="32" t="n">
        <f aca="false">AVERAGE(D455:I455)</f>
        <v>0.00980511275122381</v>
      </c>
      <c r="W455" s="32" t="n">
        <f aca="false">AVERAGE(K455,Q455,R455)</f>
        <v>-0.00240827239232089</v>
      </c>
      <c r="X455" s="32" t="n">
        <f aca="false">AVERAGE(K455,L455,N455,O455,P455,Q455,R455,S455)</f>
        <v>0.00851332489146782</v>
      </c>
      <c r="Y455" s="32" t="n">
        <f aca="false">AVERAGE(J455,L455,M455,N455,O455,P455,Q455,R455,S455)</f>
        <v>0.00312760638445223</v>
      </c>
      <c r="Z455" s="32" t="n">
        <f aca="false">U455-V455</f>
        <v>-0.00580552009093757</v>
      </c>
      <c r="AA455" s="32" t="n">
        <f aca="false">W455-V455</f>
        <v>-0.0122133851435447</v>
      </c>
    </row>
    <row r="456" customFormat="false" ht="15" hidden="false" customHeight="false" outlineLevel="0" collapsed="false">
      <c r="A456" s="28" t="n">
        <f aca="false">Data_Prices!A456</f>
        <v>45470</v>
      </c>
      <c r="B456" s="32" t="n">
        <f aca="false">Data_Prices!B456/Data_Prices!B455-1</f>
        <v>0.00736107387049212</v>
      </c>
      <c r="C456" s="32" t="n">
        <f aca="false">Data_Prices!C456/Data_Prices!C455-1</f>
        <v>0.00448370534122522</v>
      </c>
      <c r="D456" s="32" t="n">
        <f aca="false">Data_Prices!D456/Data_Prices!D455-1</f>
        <v>0.00160470714094685</v>
      </c>
      <c r="E456" s="32" t="n">
        <f aca="false">Data_Prices!E456/Data_Prices!E455-1</f>
        <v>0.0106518723994453</v>
      </c>
      <c r="F456" s="32" t="n">
        <f aca="false">Data_Prices!F456/Data_Prices!F455-1</f>
        <v>-0.0260657850766219</v>
      </c>
      <c r="G456" s="32" t="n">
        <f aca="false">Data_Prices!G456/Data_Prices!G455-1</f>
        <v>0.0112994350282487</v>
      </c>
      <c r="H456" s="32" t="n">
        <f aca="false">Data_Prices!H456/Data_Prices!H455-1</f>
        <v>-0.00814548209888244</v>
      </c>
      <c r="I456" s="32" t="n">
        <f aca="false">Data_Prices!I456/Data_Prices!I455-1</f>
        <v>0.0342867967418072</v>
      </c>
      <c r="J456" s="32" t="n">
        <f aca="false">Data_Prices!J456/Data_Prices!J455-1</f>
        <v>-0.034605020564459</v>
      </c>
      <c r="K456" s="32" t="n">
        <f aca="false">Data_Prices!K456/Data_Prices!K455-1</f>
        <v>0.00118906064209279</v>
      </c>
      <c r="L456" s="32" t="n">
        <f aca="false">Data_Prices!L456/Data_Prices!L455-1</f>
        <v>0.00548855095263057</v>
      </c>
      <c r="M456" s="32" t="n">
        <f aca="false">Data_Prices!M456/Data_Prices!M455-1</f>
        <v>-0.0215591773665428</v>
      </c>
      <c r="N456" s="32" t="n">
        <f aca="false">Data_Prices!N456/Data_Prices!N455-1</f>
        <v>-0.0277580792219633</v>
      </c>
      <c r="O456" s="32" t="n">
        <f aca="false">Data_Prices!O456/Data_Prices!O455-1</f>
        <v>-0.0241804608893218</v>
      </c>
      <c r="P456" s="32" t="n">
        <f aca="false">Data_Prices!P456/Data_Prices!P455-1</f>
        <v>0.0303593556381661</v>
      </c>
      <c r="Q456" s="32" t="n">
        <f aca="false">Data_Prices!Q456/Data_Prices!Q455-1</f>
        <v>-0.0246039366298608</v>
      </c>
      <c r="R456" s="32" t="n">
        <f aca="false">Data_Prices!R456/Data_Prices!R455-1</f>
        <v>-0.00225409836065571</v>
      </c>
      <c r="S456" s="32" t="n">
        <f aca="false">Data_Prices!S456/Data_Prices!S455-1</f>
        <v>-0.0127130693698665</v>
      </c>
      <c r="T456" s="32" t="n">
        <f aca="false">AVERAGE(D456:S456)</f>
        <v>-0.0054378331896773</v>
      </c>
      <c r="U456" s="32" t="n">
        <f aca="false">AVERAGE(J456:S456)</f>
        <v>-0.0110636875169781</v>
      </c>
      <c r="V456" s="32" t="n">
        <f aca="false">AVERAGE(D456:I456)</f>
        <v>0.00393859068915729</v>
      </c>
      <c r="W456" s="32" t="n">
        <f aca="false">AVERAGE(K456,Q456,R456)</f>
        <v>-0.00855632478280792</v>
      </c>
      <c r="X456" s="32" t="n">
        <f aca="false">AVERAGE(K456,L456,N456,O456,P456,Q456,R456,S456)</f>
        <v>-0.00680908465484734</v>
      </c>
      <c r="Y456" s="32" t="n">
        <f aca="false">AVERAGE(J456,L456,M456,N456,O456,P456,Q456,R456,S456)</f>
        <v>-0.012425103979097</v>
      </c>
      <c r="Z456" s="32" t="n">
        <f aca="false">U456-V456</f>
        <v>-0.0150022782061353</v>
      </c>
      <c r="AA456" s="32" t="n">
        <f aca="false">W456-V456</f>
        <v>-0.0124949154719652</v>
      </c>
    </row>
    <row r="457" customFormat="false" ht="15" hidden="false" customHeight="false" outlineLevel="0" collapsed="false">
      <c r="A457" s="28" t="n">
        <f aca="false">Data_Prices!A457</f>
        <v>45471</v>
      </c>
      <c r="B457" s="32" t="n">
        <f aca="false">Data_Prices!B457/Data_Prices!B456-1</f>
        <v>-0.00140988583667789</v>
      </c>
      <c r="C457" s="32" t="n">
        <f aca="false">Data_Prices!C457/Data_Prices!C456-1</f>
        <v>0.000989466398076067</v>
      </c>
      <c r="D457" s="32" t="n">
        <f aca="false">Data_Prices!D457/Data_Prices!D456-1</f>
        <v>-0.0103604806408545</v>
      </c>
      <c r="E457" s="32" t="n">
        <f aca="false">Data_Prices!E457/Data_Prices!E456-1</f>
        <v>0.00477575890651583</v>
      </c>
      <c r="F457" s="32" t="n">
        <f aca="false">Data_Prices!F457/Data_Prices!F456-1</f>
        <v>0.0151463163570413</v>
      </c>
      <c r="G457" s="32" t="n">
        <f aca="false">Data_Prices!G457/Data_Prices!G456-1</f>
        <v>0.0116810563737937</v>
      </c>
      <c r="H457" s="32" t="n">
        <f aca="false">Data_Prices!H457/Data_Prices!H456-1</f>
        <v>-0.000763941940412516</v>
      </c>
      <c r="I457" s="32" t="n">
        <f aca="false">Data_Prices!I457/Data_Prices!I456-1</f>
        <v>0.00576923076923075</v>
      </c>
      <c r="J457" s="32" t="n">
        <f aca="false">Data_Prices!J457/Data_Prices!J456-1</f>
        <v>0.0228931002399491</v>
      </c>
      <c r="K457" s="32" t="n">
        <f aca="false">Data_Prices!K457/Data_Prices!K456-1</f>
        <v>-0.00713986307111925</v>
      </c>
      <c r="L457" s="32" t="n">
        <f aca="false">Data_Prices!L457/Data_Prices!L456-1</f>
        <v>-0.0101522842639593</v>
      </c>
      <c r="M457" s="32" t="n">
        <f aca="false">Data_Prices!M457/Data_Prices!M456-1</f>
        <v>-0.00575296108291035</v>
      </c>
      <c r="N457" s="32" t="n">
        <f aca="false">Data_Prices!N457/Data_Prices!N456-1</f>
        <v>0.0786704178389079</v>
      </c>
      <c r="O457" s="32" t="n">
        <f aca="false">Data_Prices!O457/Data_Prices!O456-1</f>
        <v>-0.000166306336271238</v>
      </c>
      <c r="P457" s="32" t="n">
        <f aca="false">Data_Prices!P457/Data_Prices!P456-1</f>
        <v>-0.0182856830481605</v>
      </c>
      <c r="Q457" s="32" t="n">
        <f aca="false">Data_Prices!Q457/Data_Prices!Q456-1</f>
        <v>0.00676756490709973</v>
      </c>
      <c r="R457" s="32" t="n">
        <f aca="false">Data_Prices!R457/Data_Prices!R456-1</f>
        <v>-0.00787293763264185</v>
      </c>
      <c r="S457" s="32" t="n">
        <f aca="false">Data_Prices!S457/Data_Prices!S456-1</f>
        <v>-0.0134020094542622</v>
      </c>
      <c r="T457" s="32" t="n">
        <f aca="false">AVERAGE(D457:S457)</f>
        <v>0.00448793612012167</v>
      </c>
      <c r="U457" s="32" t="n">
        <f aca="false">AVERAGE(J457:S457)</f>
        <v>0.00455590380966321</v>
      </c>
      <c r="V457" s="32" t="n">
        <f aca="false">AVERAGE(D457:I457)</f>
        <v>0.00437465663755243</v>
      </c>
      <c r="W457" s="32" t="n">
        <f aca="false">AVERAGE(K457,Q457,R457)</f>
        <v>-0.00274841193222046</v>
      </c>
      <c r="X457" s="32" t="n">
        <f aca="false">AVERAGE(K457,L457,N457,O457,P457,Q457,R457,S457)</f>
        <v>0.00355236236744917</v>
      </c>
      <c r="Y457" s="32" t="n">
        <f aca="false">AVERAGE(J457,L457,M457,N457,O457,P457,Q457,R457,S457)</f>
        <v>0.00585543346308348</v>
      </c>
      <c r="Z457" s="32" t="n">
        <f aca="false">U457-V457</f>
        <v>0.000181247172110777</v>
      </c>
      <c r="AA457" s="32" t="n">
        <f aca="false">W457-V457</f>
        <v>-0.00712306856977289</v>
      </c>
    </row>
    <row r="458" customFormat="false" ht="15" hidden="false" customHeight="false" outlineLevel="0" collapsed="false">
      <c r="A458" s="28" t="n">
        <f aca="false">Data_Prices!A458</f>
        <v>45474</v>
      </c>
      <c r="B458" s="32" t="n">
        <f aca="false">Data_Prices!B458/Data_Prices!B457-1</f>
        <v>0.00547050052893305</v>
      </c>
      <c r="C458" s="32" t="n">
        <f aca="false">Data_Prices!C458/Data_Prices!C457-1</f>
        <v>0.00744247485560523</v>
      </c>
      <c r="D458" s="32" t="n">
        <f aca="false">Data_Prices!D458/Data_Prices!D457-1</f>
        <v>0.00105229075603042</v>
      </c>
      <c r="E458" s="32" t="n">
        <f aca="false">Data_Prices!E458/Data_Prices!E457-1</f>
        <v>0.00901442307692313</v>
      </c>
      <c r="F458" s="32" t="n">
        <f aca="false">Data_Prices!F458/Data_Prices!F457-1</f>
        <v>0.0876871076774504</v>
      </c>
      <c r="G458" s="32" t="n">
        <f aca="false">Data_Prices!G458/Data_Prices!G457-1</f>
        <v>0.0245356425702812</v>
      </c>
      <c r="H458" s="32" t="n">
        <f aca="false">Data_Prices!H458/Data_Prices!H457-1</f>
        <v>0.0196865443425076</v>
      </c>
      <c r="I458" s="32" t="n">
        <f aca="false">Data_Prices!I458/Data_Prices!I457-1</f>
        <v>0.0180278612400984</v>
      </c>
      <c r="J458" s="32" t="n">
        <f aca="false">Data_Prices!J458/Data_Prices!J457-1</f>
        <v>0.0207530459343657</v>
      </c>
      <c r="K458" s="32" t="n">
        <f aca="false">Data_Prices!K458/Data_Prices!K457-1</f>
        <v>0.0226572285002604</v>
      </c>
      <c r="L458" s="32" t="n">
        <f aca="false">Data_Prices!L458/Data_Prices!L457-1</f>
        <v>0.0077976817702845</v>
      </c>
      <c r="M458" s="32" t="n">
        <f aca="false">Data_Prices!M458/Data_Prices!M457-1</f>
        <v>0.0395582784963318</v>
      </c>
      <c r="N458" s="32" t="n">
        <f aca="false">Data_Prices!N458/Data_Prices!N457-1</f>
        <v>-0.0130409582689336</v>
      </c>
      <c r="O458" s="32" t="n">
        <f aca="false">Data_Prices!O458/Data_Prices!O457-1</f>
        <v>0.0199600798403194</v>
      </c>
      <c r="P458" s="32" t="n">
        <f aca="false">Data_Prices!P458/Data_Prices!P457-1</f>
        <v>-0.00403708550268678</v>
      </c>
      <c r="Q458" s="32" t="n">
        <f aca="false">Data_Prices!Q458/Data_Prices!Q457-1</f>
        <v>0.0315326326081642</v>
      </c>
      <c r="R458" s="32" t="n">
        <f aca="false">Data_Prices!R458/Data_Prices!R457-1</f>
        <v>-0.00220811482197081</v>
      </c>
      <c r="S458" s="32" t="n">
        <f aca="false">Data_Prices!S458/Data_Prices!S457-1</f>
        <v>0.00437918598660492</v>
      </c>
      <c r="T458" s="32" t="n">
        <f aca="false">AVERAGE(D458:S458)</f>
        <v>0.0179597402628769</v>
      </c>
      <c r="U458" s="32" t="n">
        <f aca="false">AVERAGE(J458:S458)</f>
        <v>0.012735197454274</v>
      </c>
      <c r="V458" s="32" t="n">
        <f aca="false">AVERAGE(D458:I458)</f>
        <v>0.0266673116105485</v>
      </c>
      <c r="W458" s="32" t="n">
        <f aca="false">AVERAGE(K458,Q458,R458)</f>
        <v>0.0173272487621513</v>
      </c>
      <c r="X458" s="32" t="n">
        <f aca="false">AVERAGE(K458,L458,N458,O458,P458,Q458,R458,S458)</f>
        <v>0.00838008126400529</v>
      </c>
      <c r="Y458" s="32" t="n">
        <f aca="false">AVERAGE(J458,L458,M458,N458,O458,P458,Q458,R458,S458)</f>
        <v>0.0116327495602755</v>
      </c>
      <c r="Z458" s="32" t="n">
        <f aca="false">U458-V458</f>
        <v>-0.0139321141562745</v>
      </c>
      <c r="AA458" s="32" t="n">
        <f aca="false">W458-V458</f>
        <v>-0.00934006284839724</v>
      </c>
    </row>
    <row r="459" customFormat="false" ht="15" hidden="false" customHeight="false" outlineLevel="0" collapsed="false">
      <c r="A459" s="28" t="n">
        <f aca="false">Data_Prices!A459</f>
        <v>45475</v>
      </c>
      <c r="B459" s="32" t="n">
        <f aca="false">Data_Prices!B459/Data_Prices!B458-1</f>
        <v>-0.000749732312427254</v>
      </c>
      <c r="C459" s="32" t="n">
        <f aca="false">Data_Prices!C459/Data_Prices!C458-1</f>
        <v>-0.00219116844717437</v>
      </c>
      <c r="D459" s="32" t="n">
        <f aca="false">Data_Prices!D459/Data_Prices!D458-1</f>
        <v>0.00242581062505054</v>
      </c>
      <c r="E459" s="32" t="n">
        <f aca="false">Data_Prices!E459/Data_Prices!E458-1</f>
        <v>-0.0364394390600467</v>
      </c>
      <c r="F459" s="32" t="n">
        <f aca="false">Data_Prices!F459/Data_Prices!F458-1</f>
        <v>-0.024682589008257</v>
      </c>
      <c r="G459" s="32" t="n">
        <f aca="false">Data_Prices!G459/Data_Prices!G458-1</f>
        <v>-0.0256017639492865</v>
      </c>
      <c r="H459" s="32" t="n">
        <f aca="false">Data_Prices!H459/Data_Prices!H458-1</f>
        <v>-0.00481099656357387</v>
      </c>
      <c r="I459" s="32" t="n">
        <f aca="false">Data_Prices!I459/Data_Prices!I458-1</f>
        <v>-0.0135050532152758</v>
      </c>
      <c r="J459" s="32" t="n">
        <f aca="false">Data_Prices!J459/Data_Prices!J458-1</f>
        <v>0.00082074852265257</v>
      </c>
      <c r="K459" s="32" t="n">
        <f aca="false">Data_Prices!K459/Data_Prices!K458-1</f>
        <v>-0.0152747388845312</v>
      </c>
      <c r="L459" s="32" t="n">
        <f aca="false">Data_Prices!L459/Data_Prices!L458-1</f>
        <v>-0.023943956503555</v>
      </c>
      <c r="M459" s="32" t="n">
        <f aca="false">Data_Prices!M459/Data_Prices!M458-1</f>
        <v>-0.0238285797438882</v>
      </c>
      <c r="N459" s="32" t="n">
        <f aca="false">Data_Prices!N459/Data_Prices!N458-1</f>
        <v>0.0173240677302535</v>
      </c>
      <c r="O459" s="32" t="n">
        <f aca="false">Data_Prices!O459/Data_Prices!O458-1</f>
        <v>-0.0135355512067842</v>
      </c>
      <c r="P459" s="32" t="n">
        <f aca="false">Data_Prices!P459/Data_Prices!P458-1</f>
        <v>0.00469641060046966</v>
      </c>
      <c r="Q459" s="32" t="n">
        <f aca="false">Data_Prices!Q459/Data_Prices!Q458-1</f>
        <v>-0.00556872037914702</v>
      </c>
      <c r="R459" s="32" t="n">
        <f aca="false">Data_Prices!R459/Data_Prices!R458-1</f>
        <v>-0.016390041493776</v>
      </c>
      <c r="S459" s="32" t="n">
        <f aca="false">Data_Prices!S459/Data_Prices!S458-1</f>
        <v>-0.0339745233820638</v>
      </c>
      <c r="T459" s="32" t="n">
        <f aca="false">AVERAGE(D459:S459)</f>
        <v>-0.0132680572444849</v>
      </c>
      <c r="U459" s="32" t="n">
        <f aca="false">AVERAGE(J459:S459)</f>
        <v>-0.010967488474037</v>
      </c>
      <c r="V459" s="32" t="n">
        <f aca="false">AVERAGE(D459:I459)</f>
        <v>-0.0171023385285649</v>
      </c>
      <c r="W459" s="32" t="n">
        <f aca="false">AVERAGE(K459,Q459,R459)</f>
        <v>-0.0124111669191514</v>
      </c>
      <c r="X459" s="32" t="n">
        <f aca="false">AVERAGE(K459,L459,N459,O459,P459,Q459,R459,S459)</f>
        <v>-0.0108333816898917</v>
      </c>
      <c r="Y459" s="32" t="n">
        <f aca="false">AVERAGE(J459,L459,M459,N459,O459,P459,Q459,R459,S459)</f>
        <v>-0.0104889050950931</v>
      </c>
      <c r="Z459" s="32" t="n">
        <f aca="false">U459-V459</f>
        <v>0.00613485005452794</v>
      </c>
      <c r="AA459" s="32" t="n">
        <f aca="false">W459-V459</f>
        <v>0.00469117160941348</v>
      </c>
    </row>
    <row r="460" customFormat="false" ht="15" hidden="false" customHeight="false" outlineLevel="0" collapsed="false">
      <c r="A460" s="28" t="n">
        <f aca="false">Data_Prices!A460</f>
        <v>45476</v>
      </c>
      <c r="B460" s="32" t="n">
        <f aca="false">Data_Prices!B460/Data_Prices!B459-1</f>
        <v>0.00674229030606655</v>
      </c>
      <c r="C460" s="32" t="n">
        <f aca="false">Data_Prices!C460/Data_Prices!C459-1</f>
        <v>0.00764624434468963</v>
      </c>
      <c r="D460" s="32" t="n">
        <f aca="false">Data_Prices!D460/Data_Prices!D459-1</f>
        <v>-0.000295770482105828</v>
      </c>
      <c r="E460" s="32" t="n">
        <f aca="false">Data_Prices!E460/Data_Prices!E459-1</f>
        <v>0.0146662171274445</v>
      </c>
      <c r="F460" s="32" t="n">
        <f aca="false">Data_Prices!F460/Data_Prices!F459-1</f>
        <v>0.0209376422394174</v>
      </c>
      <c r="G460" s="32" t="n">
        <f aca="false">Data_Prices!G460/Data_Prices!G459-1</f>
        <v>0.00515431516751508</v>
      </c>
      <c r="H460" s="32" t="n">
        <f aca="false">Data_Prices!H460/Data_Prices!H459-1</f>
        <v>0.00521094927172272</v>
      </c>
      <c r="I460" s="32" t="n">
        <f aca="false">Data_Prices!I460/Data_Prices!I459-1</f>
        <v>0.0111514052583861</v>
      </c>
      <c r="J460" s="32" t="n">
        <f aca="false">Data_Prices!J460/Data_Prices!J459-1</f>
        <v>-0.00965345954684971</v>
      </c>
      <c r="K460" s="32" t="n">
        <f aca="false">Data_Prices!K460/Data_Prices!K459-1</f>
        <v>0.0129962688131471</v>
      </c>
      <c r="L460" s="32" t="n">
        <f aca="false">Data_Prices!L460/Data_Prices!L459-1</f>
        <v>0.0250312444206391</v>
      </c>
      <c r="M460" s="32" t="n">
        <f aca="false">Data_Prices!M460/Data_Prices!M459-1</f>
        <v>-0.0122982894197443</v>
      </c>
      <c r="N460" s="32" t="n">
        <f aca="false">Data_Prices!N460/Data_Prices!N459-1</f>
        <v>0.00817779488166259</v>
      </c>
      <c r="O460" s="32" t="n">
        <f aca="false">Data_Prices!O460/Data_Prices!O459-1</f>
        <v>0.00314101504380893</v>
      </c>
      <c r="P460" s="32" t="n">
        <f aca="false">Data_Prices!P460/Data_Prices!P459-1</f>
        <v>-0.00317195325542574</v>
      </c>
      <c r="Q460" s="32" t="n">
        <f aca="false">Data_Prices!Q460/Data_Prices!Q459-1</f>
        <v>-0.006672226855713</v>
      </c>
      <c r="R460" s="32" t="n">
        <f aca="false">Data_Prices!R460/Data_Prices!R459-1</f>
        <v>0.0057653097096253</v>
      </c>
      <c r="S460" s="32" t="n">
        <f aca="false">Data_Prices!S460/Data_Prices!S459-1</f>
        <v>0.00904456794930786</v>
      </c>
      <c r="T460" s="32" t="n">
        <f aca="false">AVERAGE(D460:S460)</f>
        <v>0.00557406439517738</v>
      </c>
      <c r="U460" s="32" t="n">
        <f aca="false">AVERAGE(J460:S460)</f>
        <v>0.00323602717404581</v>
      </c>
      <c r="V460" s="32" t="n">
        <f aca="false">AVERAGE(D460:I460)</f>
        <v>0.00947079309706334</v>
      </c>
      <c r="W460" s="32" t="n">
        <f aca="false">AVERAGE(K460,Q460,R460)</f>
        <v>0.00402978388901979</v>
      </c>
      <c r="X460" s="32" t="n">
        <f aca="false">AVERAGE(K460,L460,N460,O460,P460,Q460,R460,S460)</f>
        <v>0.00678900258838151</v>
      </c>
      <c r="Y460" s="32" t="n">
        <f aca="false">AVERAGE(J460,L460,M460,N460,O460,P460,Q460,R460,S460)</f>
        <v>0.00215155588081233</v>
      </c>
      <c r="Z460" s="32" t="n">
        <f aca="false">U460-V460</f>
        <v>-0.00623476592301753</v>
      </c>
      <c r="AA460" s="32" t="n">
        <f aca="false">W460-V460</f>
        <v>-0.00544100920804354</v>
      </c>
    </row>
    <row r="461" customFormat="false" ht="15" hidden="false" customHeight="false" outlineLevel="0" collapsed="false">
      <c r="A461" s="28" t="n">
        <f aca="false">Data_Prices!A461</f>
        <v>45477</v>
      </c>
      <c r="B461" s="32" t="n">
        <f aca="false">Data_Prices!B461/Data_Prices!B460-1</f>
        <v>0.000644390916764603</v>
      </c>
      <c r="C461" s="32" t="n">
        <f aca="false">Data_Prices!C461/Data_Prices!C460-1</f>
        <v>0.00275696681137094</v>
      </c>
      <c r="D461" s="32" t="n">
        <f aca="false">Data_Prices!D461/Data_Prices!D460-1</f>
        <v>-0.0345077998924154</v>
      </c>
      <c r="E461" s="32" t="n">
        <f aca="false">Data_Prices!E461/Data_Prices!E460-1</f>
        <v>-0.0135681453176053</v>
      </c>
      <c r="F461" s="32" t="n">
        <f aca="false">Data_Prices!F461/Data_Prices!F460-1</f>
        <v>-0.0470798038341507</v>
      </c>
      <c r="G461" s="32" t="n">
        <f aca="false">Data_Prices!G461/Data_Prices!G460-1</f>
        <v>-0.00819210806078419</v>
      </c>
      <c r="H461" s="32" t="n">
        <f aca="false">Data_Prices!H461/Data_Prices!H460-1</f>
        <v>0.0103678720879397</v>
      </c>
      <c r="I461" s="32" t="n">
        <f aca="false">Data_Prices!I461/Data_Prices!I460-1</f>
        <v>-0.00385546489733701</v>
      </c>
      <c r="J461" s="32" t="n">
        <f aca="false">Data_Prices!J461/Data_Prices!J460-1</f>
        <v>-0.00771287292686951</v>
      </c>
      <c r="K461" s="32" t="n">
        <f aca="false">Data_Prices!K461/Data_Prices!K460-1</f>
        <v>-0.0208997227165501</v>
      </c>
      <c r="L461" s="32" t="n">
        <f aca="false">Data_Prices!L461/Data_Prices!L460-1</f>
        <v>-0.00947537100257778</v>
      </c>
      <c r="M461" s="32" t="n">
        <f aca="false">Data_Prices!M461/Data_Prices!M460-1</f>
        <v>0.00309398935969507</v>
      </c>
      <c r="N461" s="32" t="n">
        <f aca="false">Data_Prices!N461/Data_Prices!N460-1</f>
        <v>-0.00658459776696263</v>
      </c>
      <c r="O461" s="32" t="n">
        <f aca="false">Data_Prices!O461/Data_Prices!O460-1</f>
        <v>-0.017139090309822</v>
      </c>
      <c r="P461" s="32" t="n">
        <f aca="false">Data_Prices!P461/Data_Prices!P460-1</f>
        <v>0.00717356110087652</v>
      </c>
      <c r="Q461" s="32" t="n">
        <f aca="false">Data_Prices!Q461/Data_Prices!Q460-1</f>
        <v>0.00575746671464561</v>
      </c>
      <c r="R461" s="32" t="n">
        <f aca="false">Data_Prices!R461/Data_Prices!R460-1</f>
        <v>0.00510311080041936</v>
      </c>
      <c r="S461" s="32" t="n">
        <f aca="false">Data_Prices!S461/Data_Prices!S460-1</f>
        <v>-0.00585872406111321</v>
      </c>
      <c r="T461" s="32" t="n">
        <f aca="false">AVERAGE(D461:S461)</f>
        <v>-0.00896110629516322</v>
      </c>
      <c r="U461" s="32" t="n">
        <f aca="false">AVERAGE(J461:S461)</f>
        <v>-0.00465422508082586</v>
      </c>
      <c r="V461" s="32" t="n">
        <f aca="false">AVERAGE(D461:I461)</f>
        <v>-0.0161392416523922</v>
      </c>
      <c r="W461" s="32" t="n">
        <f aca="false">AVERAGE(K461,Q461,R461)</f>
        <v>-0.00334638173382836</v>
      </c>
      <c r="X461" s="32" t="n">
        <f aca="false">AVERAGE(K461,L461,N461,O461,P461,Q461,R461,S461)</f>
        <v>-0.00524042090513552</v>
      </c>
      <c r="Y461" s="32" t="n">
        <f aca="false">AVERAGE(J461,L461,M461,N461,O461,P461,Q461,R461,S461)</f>
        <v>-0.00284916978796761</v>
      </c>
      <c r="Z461" s="32" t="n">
        <f aca="false">U461-V461</f>
        <v>0.0114850165715663</v>
      </c>
      <c r="AA461" s="32" t="n">
        <f aca="false">W461-V461</f>
        <v>0.0127928599185638</v>
      </c>
    </row>
    <row r="462" customFormat="false" ht="15" hidden="false" customHeight="false" outlineLevel="0" collapsed="false">
      <c r="A462" s="28" t="n">
        <f aca="false">Data_Prices!A462</f>
        <v>45478</v>
      </c>
      <c r="B462" s="32" t="n">
        <f aca="false">Data_Prices!B462/Data_Prices!B461-1</f>
        <v>0.000892925111564136</v>
      </c>
      <c r="C462" s="32" t="n">
        <f aca="false">Data_Prices!C462/Data_Prices!C461-1</f>
        <v>0.00320543593055844</v>
      </c>
      <c r="D462" s="32" t="n">
        <f aca="false">Data_Prices!D462/Data_Prices!D461-1</f>
        <v>-0.00880296403599179</v>
      </c>
      <c r="E462" s="32" t="n">
        <f aca="false">Data_Prices!E462/Data_Prices!E461-1</f>
        <v>-0.0041545025825287</v>
      </c>
      <c r="F462" s="32" t="n">
        <f aca="false">Data_Prices!F462/Data_Prices!F461-1</f>
        <v>-0.0121643117806681</v>
      </c>
      <c r="G462" s="32" t="n">
        <f aca="false">Data_Prices!G462/Data_Prices!G461-1</f>
        <v>0.00340479192938226</v>
      </c>
      <c r="H462" s="32" t="n">
        <f aca="false">Data_Prices!H462/Data_Prices!H461-1</f>
        <v>-0.0200902515917661</v>
      </c>
      <c r="I462" s="32" t="n">
        <f aca="false">Data_Prices!I462/Data_Prices!I461-1</f>
        <v>0.0234923492349235</v>
      </c>
      <c r="J462" s="32" t="n">
        <f aca="false">Data_Prices!J462/Data_Prices!J461-1</f>
        <v>-0.0029565341789658</v>
      </c>
      <c r="K462" s="32" t="n">
        <f aca="false">Data_Prices!K462/Data_Prices!K461-1</f>
        <v>0.00435370699129267</v>
      </c>
      <c r="L462" s="32" t="n">
        <f aca="false">Data_Prices!L462/Data_Prices!L461-1</f>
        <v>0.00696349440810296</v>
      </c>
      <c r="M462" s="32" t="n">
        <f aca="false">Data_Prices!M462/Data_Prices!M461-1</f>
        <v>0.000451382358472863</v>
      </c>
      <c r="N462" s="32" t="n">
        <f aca="false">Data_Prices!N462/Data_Prices!N461-1</f>
        <v>0.00499519692603267</v>
      </c>
      <c r="O462" s="32" t="n">
        <f aca="false">Data_Prices!O462/Data_Prices!O461-1</f>
        <v>0.00771294433266267</v>
      </c>
      <c r="P462" s="32" t="n">
        <f aca="false">Data_Prices!P462/Data_Prices!P461-1</f>
        <v>0.00357509076296303</v>
      </c>
      <c r="Q462" s="32" t="n">
        <f aca="false">Data_Prices!Q462/Data_Prices!Q461-1</f>
        <v>0.0225402504472272</v>
      </c>
      <c r="R462" s="32" t="n">
        <f aca="false">Data_Prices!R462/Data_Prices!R461-1</f>
        <v>0.00424259285018791</v>
      </c>
      <c r="S462" s="32" t="n">
        <f aca="false">Data_Prices!S462/Data_Prices!S461-1</f>
        <v>0.0113277459197176</v>
      </c>
      <c r="T462" s="32" t="n">
        <f aca="false">AVERAGE(D462:S462)</f>
        <v>0.0028056863744403</v>
      </c>
      <c r="U462" s="32" t="n">
        <f aca="false">AVERAGE(J462:S462)</f>
        <v>0.00632058708176938</v>
      </c>
      <c r="V462" s="32" t="n">
        <f aca="false">AVERAGE(D462:I462)</f>
        <v>-0.00305248147110817</v>
      </c>
      <c r="W462" s="32" t="n">
        <f aca="false">AVERAGE(K462,Q462,R462)</f>
        <v>0.0103788500962359</v>
      </c>
      <c r="X462" s="32" t="n">
        <f aca="false">AVERAGE(K462,L462,N462,O462,P462,Q462,R462,S462)</f>
        <v>0.00821387782977334</v>
      </c>
      <c r="Y462" s="32" t="n">
        <f aca="false">AVERAGE(J462,L462,M462,N462,O462,P462,Q462,R462,S462)</f>
        <v>0.00653912931404457</v>
      </c>
      <c r="Z462" s="32" t="n">
        <f aca="false">U462-V462</f>
        <v>0.00937306855287755</v>
      </c>
      <c r="AA462" s="32" t="n">
        <f aca="false">W462-V462</f>
        <v>0.0134313315673441</v>
      </c>
    </row>
    <row r="463" customFormat="false" ht="15" hidden="false" customHeight="false" outlineLevel="0" collapsed="false">
      <c r="A463" s="28" t="n">
        <f aca="false">Data_Prices!A463</f>
        <v>45481</v>
      </c>
      <c r="B463" s="32" t="n">
        <f aca="false">Data_Prices!B463/Data_Prices!B462-1</f>
        <v>-0.000135669312218201</v>
      </c>
      <c r="C463" s="32" t="n">
        <f aca="false">Data_Prices!C463/Data_Prices!C462-1</f>
        <v>-0.000717776719238339</v>
      </c>
      <c r="D463" s="32" t="n">
        <f aca="false">Data_Prices!D463/Data_Prices!D462-1</f>
        <v>0.0101739692532532</v>
      </c>
      <c r="E463" s="32" t="n">
        <f aca="false">Data_Prices!E463/Data_Prices!E462-1</f>
        <v>-5.63761416167985E-005</v>
      </c>
      <c r="F463" s="32" t="n">
        <f aca="false">Data_Prices!F463/Data_Prices!F462-1</f>
        <v>-0.00610969025291275</v>
      </c>
      <c r="G463" s="32" t="n">
        <f aca="false">Data_Prices!G463/Data_Prices!G462-1</f>
        <v>-0.0170290310418501</v>
      </c>
      <c r="H463" s="32" t="n">
        <f aca="false">Data_Prices!H463/Data_Prices!H462-1</f>
        <v>0.000630835225839066</v>
      </c>
      <c r="I463" s="32" t="n">
        <f aca="false">Data_Prices!I463/Data_Prices!I462-1</f>
        <v>-0.00888224430568985</v>
      </c>
      <c r="J463" s="32" t="n">
        <f aca="false">Data_Prices!J463/Data_Prices!J462-1</f>
        <v>-0.00416098715833269</v>
      </c>
      <c r="K463" s="32" t="n">
        <f aca="false">Data_Prices!K463/Data_Prices!K462-1</f>
        <v>-0.00556935033598482</v>
      </c>
      <c r="L463" s="32" t="n">
        <f aca="false">Data_Prices!L463/Data_Prices!L462-1</f>
        <v>-0.0135861972618049</v>
      </c>
      <c r="M463" s="32" t="n">
        <f aca="false">Data_Prices!M463/Data_Prices!M462-1</f>
        <v>-0.0146633078918675</v>
      </c>
      <c r="N463" s="32" t="n">
        <f aca="false">Data_Prices!N463/Data_Prices!N462-1</f>
        <v>-0.0219843242209903</v>
      </c>
      <c r="O463" s="32" t="n">
        <f aca="false">Data_Prices!O463/Data_Prices!O462-1</f>
        <v>0.00765391014975037</v>
      </c>
      <c r="P463" s="32" t="n">
        <f aca="false">Data_Prices!P463/Data_Prices!P462-1</f>
        <v>-0.0144703413233181</v>
      </c>
      <c r="Q463" s="32" t="n">
        <f aca="false">Data_Prices!Q463/Data_Prices!Q462-1</f>
        <v>-0.0131793795194775</v>
      </c>
      <c r="R463" s="32" t="n">
        <f aca="false">Data_Prices!R463/Data_Prices!R462-1</f>
        <v>0.018976383406053</v>
      </c>
      <c r="S463" s="32" t="n">
        <f aca="false">Data_Prices!S463/Data_Prices!S462-1</f>
        <v>-0.0201510895545823</v>
      </c>
      <c r="T463" s="32" t="n">
        <f aca="false">AVERAGE(D463:S463)</f>
        <v>-0.00640045131084575</v>
      </c>
      <c r="U463" s="32" t="n">
        <f aca="false">AVERAGE(J463:S463)</f>
        <v>-0.00811346837105548</v>
      </c>
      <c r="V463" s="32" t="n">
        <f aca="false">AVERAGE(D463:I463)</f>
        <v>-0.00354542287716286</v>
      </c>
      <c r="W463" s="32" t="n">
        <f aca="false">AVERAGE(K463,Q463,R463)</f>
        <v>7.5884516863578E-005</v>
      </c>
      <c r="X463" s="32" t="n">
        <f aca="false">AVERAGE(K463,L463,N463,O463,P463,Q463,R463,S463)</f>
        <v>-0.00778879858254432</v>
      </c>
      <c r="Y463" s="32" t="n">
        <f aca="false">AVERAGE(J463,L463,M463,N463,O463,P463,Q463,R463,S463)</f>
        <v>-0.00839614815272999</v>
      </c>
      <c r="Z463" s="32" t="n">
        <f aca="false">U463-V463</f>
        <v>-0.00456804549389261</v>
      </c>
      <c r="AA463" s="32" t="n">
        <f aca="false">W463-V463</f>
        <v>0.00362130739402644</v>
      </c>
    </row>
    <row r="464" customFormat="false" ht="15" hidden="false" customHeight="false" outlineLevel="0" collapsed="false">
      <c r="A464" s="28" t="n">
        <f aca="false">Data_Prices!A464</f>
        <v>45482</v>
      </c>
      <c r="B464" s="32" t="n">
        <f aca="false">Data_Prices!B464/Data_Prices!B463-1</f>
        <v>0.00463188538088155</v>
      </c>
      <c r="C464" s="32" t="n">
        <f aca="false">Data_Prices!C464/Data_Prices!C463-1</f>
        <v>0.00418786173091013</v>
      </c>
      <c r="D464" s="32" t="n">
        <f aca="false">Data_Prices!D464/Data_Prices!D463-1</f>
        <v>0.00180841888545746</v>
      </c>
      <c r="E464" s="32" t="n">
        <f aca="false">Data_Prices!E464/Data_Prices!E463-1</f>
        <v>-0.0085132773298755</v>
      </c>
      <c r="F464" s="32" t="n">
        <f aca="false">Data_Prices!F464/Data_Prices!F463-1</f>
        <v>-0.00914939242315926</v>
      </c>
      <c r="G464" s="32" t="n">
        <f aca="false">Data_Prices!G464/Data_Prices!G463-1</f>
        <v>-0.0136802403631017</v>
      </c>
      <c r="H464" s="32" t="n">
        <f aca="false">Data_Prices!H464/Data_Prices!H463-1</f>
        <v>0.000252175009456401</v>
      </c>
      <c r="I464" s="32" t="n">
        <f aca="false">Data_Prices!I464/Data_Prices!I463-1</f>
        <v>-0.00496894409937876</v>
      </c>
      <c r="J464" s="32" t="n">
        <f aca="false">Data_Prices!J464/Data_Prices!J463-1</f>
        <v>-0.00237735033499042</v>
      </c>
      <c r="K464" s="32" t="n">
        <f aca="false">Data_Prices!K464/Data_Prices!K463-1</f>
        <v>-0.00426036170753041</v>
      </c>
      <c r="L464" s="32" t="n">
        <f aca="false">Data_Prices!L464/Data_Prices!L463-1</f>
        <v>-0.00612541160641578</v>
      </c>
      <c r="M464" s="32" t="n">
        <f aca="false">Data_Prices!M464/Data_Prices!M463-1</f>
        <v>-0.020910443774564</v>
      </c>
      <c r="N464" s="32" t="n">
        <f aca="false">Data_Prices!N464/Data_Prices!N463-1</f>
        <v>-0.0201329163408913</v>
      </c>
      <c r="O464" s="32" t="n">
        <f aca="false">Data_Prices!O464/Data_Prices!O463-1</f>
        <v>-0.00181638044914134</v>
      </c>
      <c r="P464" s="32" t="n">
        <f aca="false">Data_Prices!P464/Data_Prices!P463-1</f>
        <v>0.012665321676754</v>
      </c>
      <c r="Q464" s="32" t="n">
        <f aca="false">Data_Prices!Q464/Data_Prices!Q463-1</f>
        <v>-0.0138281527006264</v>
      </c>
      <c r="R464" s="32" t="n">
        <f aca="false">Data_Prices!R464/Data_Prices!R463-1</f>
        <v>-0.00781621695099577</v>
      </c>
      <c r="S464" s="32" t="n">
        <f aca="false">Data_Prices!S464/Data_Prices!S463-1</f>
        <v>-0.00573341405220618</v>
      </c>
      <c r="T464" s="32" t="n">
        <f aca="false">AVERAGE(D464:S464)</f>
        <v>-0.00653666166007556</v>
      </c>
      <c r="U464" s="32" t="n">
        <f aca="false">AVERAGE(J464:S464)</f>
        <v>-0.00703353262406076</v>
      </c>
      <c r="V464" s="32" t="n">
        <f aca="false">AVERAGE(D464:I464)</f>
        <v>-0.00570854338676689</v>
      </c>
      <c r="W464" s="32" t="n">
        <f aca="false">AVERAGE(K464,Q464,R464)</f>
        <v>-0.00863491045305087</v>
      </c>
      <c r="X464" s="32" t="n">
        <f aca="false">AVERAGE(K464,L464,N464,O464,P464,Q464,R464,S464)</f>
        <v>-0.00588094151638165</v>
      </c>
      <c r="Y464" s="32" t="n">
        <f aca="false">AVERAGE(J464,L464,M464,N464,O464,P464,Q464,R464,S464)</f>
        <v>-0.00734166272589746</v>
      </c>
      <c r="Z464" s="32" t="n">
        <f aca="false">U464-V464</f>
        <v>-0.00132498923729387</v>
      </c>
      <c r="AA464" s="32" t="n">
        <f aca="false">W464-V464</f>
        <v>-0.00292636706628398</v>
      </c>
    </row>
    <row r="465" customFormat="false" ht="15" hidden="false" customHeight="false" outlineLevel="0" collapsed="false">
      <c r="A465" s="28" t="n">
        <f aca="false">Data_Prices!A465</f>
        <v>45483</v>
      </c>
      <c r="B465" s="32" t="n">
        <f aca="false">Data_Prices!B465/Data_Prices!B464-1</f>
        <v>-0.00445091105544915</v>
      </c>
      <c r="C465" s="32" t="n">
        <f aca="false">Data_Prices!C465/Data_Prices!C464-1</f>
        <v>-0.00388861312634514</v>
      </c>
      <c r="D465" s="32" t="n">
        <f aca="false">Data_Prices!D465/Data_Prices!D464-1</f>
        <v>0.000610975338813491</v>
      </c>
      <c r="E465" s="32" t="n">
        <f aca="false">Data_Prices!E465/Data_Prices!E464-1</f>
        <v>0.00449220971227127</v>
      </c>
      <c r="F465" s="32" t="n">
        <f aca="false">Data_Prices!F465/Data_Prices!F464-1</f>
        <v>0.0146203049103062</v>
      </c>
      <c r="G465" s="32" t="n">
        <f aca="false">Data_Prices!G465/Data_Prices!G464-1</f>
        <v>0.0108885864281547</v>
      </c>
      <c r="H465" s="32" t="n">
        <f aca="false">Data_Prices!H465/Data_Prices!H464-1</f>
        <v>0.0174587167528049</v>
      </c>
      <c r="I465" s="32" t="n">
        <f aca="false">Data_Prices!I465/Data_Prices!I464-1</f>
        <v>-0.0252363117531659</v>
      </c>
      <c r="J465" s="32" t="n">
        <f aca="false">Data_Prices!J465/Data_Prices!J464-1</f>
        <v>0.0027440785673023</v>
      </c>
      <c r="K465" s="32" t="n">
        <f aca="false">Data_Prices!K465/Data_Prices!K464-1</f>
        <v>-0.00184177717329714</v>
      </c>
      <c r="L465" s="32" t="n">
        <f aca="false">Data_Prices!L465/Data_Prices!L464-1</f>
        <v>0.0125044531528322</v>
      </c>
      <c r="M465" s="32" t="n">
        <f aca="false">Data_Prices!M465/Data_Prices!M464-1</f>
        <v>-0.0224872364472506</v>
      </c>
      <c r="N465" s="32" t="n">
        <f aca="false">Data_Prices!N465/Data_Prices!N464-1</f>
        <v>-0.0361061240773988</v>
      </c>
      <c r="O465" s="32" t="n">
        <f aca="false">Data_Prices!O465/Data_Prices!O464-1</f>
        <v>-0.0104218362282877</v>
      </c>
      <c r="P465" s="32" t="n">
        <f aca="false">Data_Prices!P465/Data_Prices!P464-1</f>
        <v>0.00924183729939121</v>
      </c>
      <c r="Q465" s="32" t="n">
        <f aca="false">Data_Prices!Q465/Data_Prices!Q464-1</f>
        <v>-0.0268456375838926</v>
      </c>
      <c r="R465" s="32" t="n">
        <f aca="false">Data_Prices!R465/Data_Prices!R464-1</f>
        <v>0.0210987806548841</v>
      </c>
      <c r="S465" s="32" t="n">
        <f aca="false">Data_Prices!S465/Data_Prices!S464-1</f>
        <v>-0.0107091690544413</v>
      </c>
      <c r="T465" s="32" t="n">
        <f aca="false">AVERAGE(D465:S465)</f>
        <v>-0.00249925934381085</v>
      </c>
      <c r="U465" s="32" t="n">
        <f aca="false">AVERAGE(J465:S465)</f>
        <v>-0.00628226308901583</v>
      </c>
      <c r="V465" s="32" t="n">
        <f aca="false">AVERAGE(D465:I465)</f>
        <v>0.00380574689819744</v>
      </c>
      <c r="W465" s="32" t="n">
        <f aca="false">AVERAGE(K465,Q465,R465)</f>
        <v>-0.00252954470076853</v>
      </c>
      <c r="X465" s="32" t="n">
        <f aca="false">AVERAGE(K465,L465,N465,O465,P465,Q465,R465,S465)</f>
        <v>-0.00538493412627625</v>
      </c>
      <c r="Y465" s="32" t="n">
        <f aca="false">AVERAGE(J465,L465,M465,N465,O465,P465,Q465,R465,S465)</f>
        <v>-0.00677565041298457</v>
      </c>
      <c r="Z465" s="32" t="n">
        <f aca="false">U465-V465</f>
        <v>-0.0100880099872133</v>
      </c>
      <c r="AA465" s="32" t="n">
        <f aca="false">W465-V465</f>
        <v>-0.00633529159896597</v>
      </c>
    </row>
    <row r="466" customFormat="false" ht="15" hidden="false" customHeight="false" outlineLevel="0" collapsed="false">
      <c r="A466" s="28" t="n">
        <f aca="false">Data_Prices!A466</f>
        <v>45484</v>
      </c>
      <c r="B466" s="32" t="n">
        <f aca="false">Data_Prices!B466/Data_Prices!B465-1</f>
        <v>-0.000349442638990838</v>
      </c>
      <c r="C466" s="32" t="n">
        <f aca="false">Data_Prices!C466/Data_Prices!C465-1</f>
        <v>0.0012011672211909</v>
      </c>
      <c r="D466" s="32" t="n">
        <f aca="false">Data_Prices!D466/Data_Prices!D465-1</f>
        <v>-0.0064390785456564</v>
      </c>
      <c r="E466" s="32" t="n">
        <f aca="false">Data_Prices!E466/Data_Prices!E465-1</f>
        <v>-0.00566091140673652</v>
      </c>
      <c r="F466" s="32" t="n">
        <f aca="false">Data_Prices!F466/Data_Prices!F465-1</f>
        <v>-0.000284400625681358</v>
      </c>
      <c r="G466" s="32" t="n">
        <f aca="false">Data_Prices!G466/Data_Prices!G465-1</f>
        <v>0.0139770468679874</v>
      </c>
      <c r="H466" s="32" t="n">
        <f aca="false">Data_Prices!H466/Data_Prices!H465-1</f>
        <v>-0.00916806045964191</v>
      </c>
      <c r="I466" s="32" t="n">
        <f aca="false">Data_Prices!I466/Data_Prices!I465-1</f>
        <v>0.0240600128076116</v>
      </c>
      <c r="J466" s="32" t="n">
        <f aca="false">Data_Prices!J466/Data_Prices!J465-1</f>
        <v>-0.0168275001200251</v>
      </c>
      <c r="K466" s="32" t="n">
        <f aca="false">Data_Prices!K466/Data_Prices!K465-1</f>
        <v>-0.0148323728957901</v>
      </c>
      <c r="L466" s="32" t="n">
        <f aca="false">Data_Prices!L466/Data_Prices!L465-1</f>
        <v>-0.0114352063614933</v>
      </c>
      <c r="M466" s="32" t="n">
        <f aca="false">Data_Prices!M466/Data_Prices!M465-1</f>
        <v>0.0164659915477234</v>
      </c>
      <c r="N466" s="32" t="n">
        <f aca="false">Data_Prices!N466/Data_Prices!N465-1</f>
        <v>0.0313534768211921</v>
      </c>
      <c r="O466" s="32" t="n">
        <f aca="false">Data_Prices!O466/Data_Prices!O465-1</f>
        <v>0.00685389501838829</v>
      </c>
      <c r="P466" s="32" t="n">
        <f aca="false">Data_Prices!P466/Data_Prices!P465-1</f>
        <v>0.00449635356692446</v>
      </c>
      <c r="Q466" s="32" t="n">
        <f aca="false">Data_Prices!Q466/Data_Prices!Q465-1</f>
        <v>-0.00246305418719217</v>
      </c>
      <c r="R466" s="32" t="n">
        <f aca="false">Data_Prices!R466/Data_Prices!R465-1</f>
        <v>-0.00550114048034334</v>
      </c>
      <c r="S466" s="32" t="n">
        <f aca="false">Data_Prices!S466/Data_Prices!S465-1</f>
        <v>-0.00836320191158901</v>
      </c>
      <c r="T466" s="32" t="n">
        <f aca="false">AVERAGE(D466:S466)</f>
        <v>0.00101449060222988</v>
      </c>
      <c r="U466" s="32" t="n">
        <f aca="false">AVERAGE(J466:S466)</f>
        <v>-2.52759002204783E-005</v>
      </c>
      <c r="V466" s="32" t="n">
        <f aca="false">AVERAGE(D466:I466)</f>
        <v>0.00274743477298047</v>
      </c>
      <c r="W466" s="32" t="n">
        <f aca="false">AVERAGE(K466,Q466,R466)</f>
        <v>-0.00759885585444187</v>
      </c>
      <c r="X466" s="32" t="n">
        <f aca="false">AVERAGE(K466,L466,N466,O466,P466,Q466,R466,S466)</f>
        <v>1.35936962621097E-005</v>
      </c>
      <c r="Y466" s="32" t="n">
        <f aca="false">AVERAGE(J466,L466,M466,N466,O466,P466,Q466,R466,S466)</f>
        <v>0.00161995709928726</v>
      </c>
      <c r="Z466" s="32" t="n">
        <f aca="false">U466-V466</f>
        <v>-0.00277271067320095</v>
      </c>
      <c r="AA466" s="32" t="n">
        <f aca="false">W466-V466</f>
        <v>-0.0103462906274223</v>
      </c>
    </row>
    <row r="467" customFormat="false" ht="15" hidden="false" customHeight="false" outlineLevel="0" collapsed="false">
      <c r="A467" s="28" t="n">
        <f aca="false">Data_Prices!A467</f>
        <v>45485</v>
      </c>
      <c r="B467" s="32" t="n">
        <f aca="false">Data_Prices!B467/Data_Prices!B466-1</f>
        <v>0.00765752520464957</v>
      </c>
      <c r="C467" s="32" t="n">
        <f aca="false">Data_Prices!C467/Data_Prices!C466-1</f>
        <v>0.0039208441551386</v>
      </c>
      <c r="D467" s="32" t="n">
        <f aca="false">Data_Prices!D467/Data_Prices!D466-1</f>
        <v>-0.00664841611263201</v>
      </c>
      <c r="E467" s="32" t="n">
        <f aca="false">Data_Prices!E467/Data_Prices!E466-1</f>
        <v>-0.0113862795331625</v>
      </c>
      <c r="F467" s="32" t="n">
        <f aca="false">Data_Prices!F467/Data_Prices!F466-1</f>
        <v>0.00540514911573653</v>
      </c>
      <c r="G467" s="32" t="n">
        <f aca="false">Data_Prices!G467/Data_Prices!G466-1</f>
        <v>-0.0139740752450205</v>
      </c>
      <c r="H467" s="32" t="n">
        <f aca="false">Data_Prices!H467/Data_Prices!H466-1</f>
        <v>0.0126289465457956</v>
      </c>
      <c r="I467" s="32" t="n">
        <f aca="false">Data_Prices!I467/Data_Prices!I466-1</f>
        <v>-0.00142933714489912</v>
      </c>
      <c r="J467" s="32" t="n">
        <f aca="false">Data_Prices!J467/Data_Prices!J466-1</f>
        <v>0.00825255756036825</v>
      </c>
      <c r="K467" s="32" t="n">
        <f aca="false">Data_Prices!K467/Data_Prices!K466-1</f>
        <v>0.00776556354363267</v>
      </c>
      <c r="L467" s="32" t="n">
        <f aca="false">Data_Prices!L467/Data_Prices!L466-1</f>
        <v>-0.0171554669703872</v>
      </c>
      <c r="M467" s="32" t="n">
        <f aca="false">Data_Prices!M467/Data_Prices!M466-1</f>
        <v>0.0140027456363991</v>
      </c>
      <c r="N467" s="32" t="n">
        <f aca="false">Data_Prices!N467/Data_Prices!N466-1</f>
        <v>-0.015250326076051</v>
      </c>
      <c r="O467" s="32" t="n">
        <f aca="false">Data_Prices!O467/Data_Prices!O466-1</f>
        <v>-0.00979578283247551</v>
      </c>
      <c r="P467" s="32" t="n">
        <f aca="false">Data_Prices!P467/Data_Prices!P466-1</f>
        <v>0.00810633768218794</v>
      </c>
      <c r="Q467" s="32" t="n">
        <f aca="false">Data_Prices!Q467/Data_Prices!Q466-1</f>
        <v>-0.00160493827160491</v>
      </c>
      <c r="R467" s="32" t="n">
        <f aca="false">Data_Prices!R467/Data_Prices!R466-1</f>
        <v>-0.00344036697247718</v>
      </c>
      <c r="S467" s="32" t="n">
        <f aca="false">Data_Prices!S467/Data_Prices!S466-1</f>
        <v>0.0202263599853962</v>
      </c>
      <c r="T467" s="32" t="n">
        <f aca="false">AVERAGE(D467:S467)</f>
        <v>-0.000268583068074597</v>
      </c>
      <c r="U467" s="32" t="n">
        <f aca="false">AVERAGE(J467:S467)</f>
        <v>0.00111066832849884</v>
      </c>
      <c r="V467" s="32" t="n">
        <f aca="false">AVERAGE(D467:I467)</f>
        <v>-0.002567335395697</v>
      </c>
      <c r="W467" s="32" t="n">
        <f aca="false">AVERAGE(K467,Q467,R467)</f>
        <v>0.000906752766516861</v>
      </c>
      <c r="X467" s="32" t="n">
        <f aca="false">AVERAGE(K467,L467,N467,O467,P467,Q467,R467,S467)</f>
        <v>-0.00139357748897237</v>
      </c>
      <c r="Y467" s="32" t="n">
        <f aca="false">AVERAGE(J467,L467,M467,N467,O467,P467,Q467,R467,S467)</f>
        <v>0.000371235526817306</v>
      </c>
      <c r="Z467" s="32" t="n">
        <f aca="false">U467-V467</f>
        <v>0.00367800372419584</v>
      </c>
      <c r="AA467" s="32" t="n">
        <f aca="false">W467-V467</f>
        <v>0.00347408816221386</v>
      </c>
    </row>
    <row r="468" customFormat="false" ht="15" hidden="false" customHeight="false" outlineLevel="0" collapsed="false">
      <c r="A468" s="28" t="n">
        <f aca="false">Data_Prices!A468</f>
        <v>45488</v>
      </c>
      <c r="B468" s="32" t="n">
        <f aca="false">Data_Prices!B468/Data_Prices!B467-1</f>
        <v>0.00345071759008908</v>
      </c>
      <c r="C468" s="32" t="n">
        <f aca="false">Data_Prices!C468/Data_Prices!C467-1</f>
        <v>0.00495335661353202</v>
      </c>
      <c r="D468" s="32" t="n">
        <f aca="false">Data_Prices!D468/Data_Prices!D467-1</f>
        <v>0.00269966254218224</v>
      </c>
      <c r="E468" s="32" t="n">
        <f aca="false">Data_Prices!E468/Data_Prices!E467-1</f>
        <v>0.0117477684998561</v>
      </c>
      <c r="F468" s="32" t="n">
        <f aca="false">Data_Prices!F468/Data_Prices!F467-1</f>
        <v>0.0361707144541381</v>
      </c>
      <c r="G468" s="32" t="n">
        <f aca="false">Data_Prices!G468/Data_Prices!G467-1</f>
        <v>0.0302680518148004</v>
      </c>
      <c r="H468" s="32" t="n">
        <f aca="false">Data_Prices!H468/Data_Prices!H467-1</f>
        <v>-0.0114218682472063</v>
      </c>
      <c r="I468" s="32" t="n">
        <f aca="false">Data_Prices!I468/Data_Prices!I467-1</f>
        <v>-0.0239756664877437</v>
      </c>
      <c r="J468" s="32" t="n">
        <f aca="false">Data_Prices!J468/Data_Prices!J467-1</f>
        <v>-0.0027606247729749</v>
      </c>
      <c r="K468" s="32" t="n">
        <f aca="false">Data_Prices!K468/Data_Prices!K467-1</f>
        <v>0.00849202264539373</v>
      </c>
      <c r="L468" s="32" t="n">
        <f aca="false">Data_Prices!L468/Data_Prices!L467-1</f>
        <v>0.023756065763743</v>
      </c>
      <c r="M468" s="32" t="n">
        <f aca="false">Data_Prices!M468/Data_Prices!M467-1</f>
        <v>-0.00750425498994256</v>
      </c>
      <c r="N468" s="32" t="n">
        <f aca="false">Data_Prices!N468/Data_Prices!N467-1</f>
        <v>-0.00662251655629142</v>
      </c>
      <c r="O468" s="32" t="n">
        <f aca="false">Data_Prices!O468/Data_Prices!O467-1</f>
        <v>0.0162642521797451</v>
      </c>
      <c r="P468" s="32" t="n">
        <f aca="false">Data_Prices!P468/Data_Prices!P467-1</f>
        <v>-0.00573981318532557</v>
      </c>
      <c r="Q468" s="32" t="n">
        <f aca="false">Data_Prices!Q468/Data_Prices!Q467-1</f>
        <v>-0.00927414368739954</v>
      </c>
      <c r="R468" s="32" t="n">
        <f aca="false">Data_Prices!R468/Data_Prices!R467-1</f>
        <v>-0.000135382116022487</v>
      </c>
      <c r="S468" s="32" t="n">
        <f aca="false">Data_Prices!S468/Data_Prices!S467-1</f>
        <v>0.0314557686802177</v>
      </c>
      <c r="T468" s="32" t="n">
        <f aca="false">AVERAGE(D468:S468)</f>
        <v>0.00583875228357313</v>
      </c>
      <c r="U468" s="32" t="n">
        <f aca="false">AVERAGE(J468:S468)</f>
        <v>0.00479313739611431</v>
      </c>
      <c r="V468" s="32" t="n">
        <f aca="false">AVERAGE(D468:I468)</f>
        <v>0.00758144376267115</v>
      </c>
      <c r="W468" s="32" t="n">
        <f aca="false">AVERAGE(K468,Q468,R468)</f>
        <v>-0.000305834386009433</v>
      </c>
      <c r="X468" s="32" t="n">
        <f aca="false">AVERAGE(K468,L468,N468,O468,P468,Q468,R468,S468)</f>
        <v>0.00727453171550757</v>
      </c>
      <c r="Y468" s="32" t="n">
        <f aca="false">AVERAGE(J468,L468,M468,N468,O468,P468,Q468,R468,S468)</f>
        <v>0.00438215014619438</v>
      </c>
      <c r="Z468" s="32" t="n">
        <f aca="false">U468-V468</f>
        <v>-0.00278830636655684</v>
      </c>
      <c r="AA468" s="32" t="n">
        <f aca="false">W468-V468</f>
        <v>-0.00788727814868059</v>
      </c>
    </row>
    <row r="469" customFormat="false" ht="15" hidden="false" customHeight="false" outlineLevel="0" collapsed="false">
      <c r="A469" s="28" t="n">
        <f aca="false">Data_Prices!A469</f>
        <v>45489</v>
      </c>
      <c r="B469" s="32" t="n">
        <f aca="false">Data_Prices!B469/Data_Prices!B468-1</f>
        <v>0.00106968401615504</v>
      </c>
      <c r="C469" s="32" t="n">
        <f aca="false">Data_Prices!C469/Data_Prices!C468-1</f>
        <v>-0.000241276871672969</v>
      </c>
      <c r="D469" s="32" t="n">
        <f aca="false">Data_Prices!D469/Data_Prices!D468-1</f>
        <v>0.0030850347767557</v>
      </c>
      <c r="E469" s="32" t="n">
        <f aca="false">Data_Prices!E469/Data_Prices!E468-1</f>
        <v>0.0105299106380556</v>
      </c>
      <c r="F469" s="32" t="n">
        <f aca="false">Data_Prices!F469/Data_Prices!F468-1</f>
        <v>-0.0219825232113597</v>
      </c>
      <c r="G469" s="32" t="n">
        <f aca="false">Data_Prices!G469/Data_Prices!G468-1</f>
        <v>0.00460600024897295</v>
      </c>
      <c r="H469" s="32" t="n">
        <f aca="false">Data_Prices!H469/Data_Prices!H468-1</f>
        <v>-0.00162378216337755</v>
      </c>
      <c r="I469" s="32" t="n">
        <f aca="false">Data_Prices!I469/Data_Prices!I468-1</f>
        <v>0.00815765352887277</v>
      </c>
      <c r="J469" s="32" t="n">
        <f aca="false">Data_Prices!J469/Data_Prices!J468-1</f>
        <v>-0.0190864719166607</v>
      </c>
      <c r="K469" s="32" t="n">
        <f aca="false">Data_Prices!K469/Data_Prices!K468-1</f>
        <v>-0.000666269740012937</v>
      </c>
      <c r="L469" s="32" t="n">
        <f aca="false">Data_Prices!L469/Data_Prices!L468-1</f>
        <v>-0.00374955783516096</v>
      </c>
      <c r="M469" s="32" t="n">
        <f aca="false">Data_Prices!M469/Data_Prices!M468-1</f>
        <v>-0.00397536830618139</v>
      </c>
      <c r="N469" s="32" t="n">
        <f aca="false">Data_Prices!N469/Data_Prices!N468-1</f>
        <v>-0.00605128205128203</v>
      </c>
      <c r="O469" s="32" t="n">
        <f aca="false">Data_Prices!O469/Data_Prices!O468-1</f>
        <v>-0.0189737667051642</v>
      </c>
      <c r="P469" s="32" t="n">
        <f aca="false">Data_Prices!P469/Data_Prices!P468-1</f>
        <v>-0.000816926721673106</v>
      </c>
      <c r="Q469" s="32" t="n">
        <f aca="false">Data_Prices!Q469/Data_Prices!Q468-1</f>
        <v>0.037443834248627</v>
      </c>
      <c r="R469" s="32" t="n">
        <f aca="false">Data_Prices!R469/Data_Prices!R468-1</f>
        <v>-0.0103581341818427</v>
      </c>
      <c r="S469" s="32" t="n">
        <f aca="false">Data_Prices!S469/Data_Prices!S468-1</f>
        <v>-0.0238698261804808</v>
      </c>
      <c r="T469" s="32" t="n">
        <f aca="false">AVERAGE(D469:S469)</f>
        <v>-0.00295821722324451</v>
      </c>
      <c r="U469" s="32" t="n">
        <f aca="false">AVERAGE(J469:S469)</f>
        <v>-0.00501037693898319</v>
      </c>
      <c r="V469" s="32" t="n">
        <f aca="false">AVERAGE(D469:I469)</f>
        <v>0.000462048969653295</v>
      </c>
      <c r="W469" s="32" t="n">
        <f aca="false">AVERAGE(K469,Q469,R469)</f>
        <v>0.00880647677559043</v>
      </c>
      <c r="X469" s="32" t="n">
        <f aca="false">AVERAGE(K469,L469,N469,O469,P469,Q469,R469,S469)</f>
        <v>-0.00338024114587372</v>
      </c>
      <c r="Y469" s="32" t="n">
        <f aca="false">AVERAGE(J469,L469,M469,N469,O469,P469,Q469,R469,S469)</f>
        <v>-0.00549305551664655</v>
      </c>
      <c r="Z469" s="32" t="n">
        <f aca="false">U469-V469</f>
        <v>-0.00547242590863648</v>
      </c>
      <c r="AA469" s="32" t="n">
        <f aca="false">W469-V469</f>
        <v>0.00834442780593714</v>
      </c>
    </row>
    <row r="470" customFormat="false" ht="15" hidden="false" customHeight="false" outlineLevel="0" collapsed="false">
      <c r="A470" s="28" t="n">
        <f aca="false">Data_Prices!A470</f>
        <v>45491</v>
      </c>
      <c r="B470" s="32" t="n">
        <f aca="false">Data_Prices!B470/Data_Prices!B469-1</f>
        <v>0.00763214561410641</v>
      </c>
      <c r="C470" s="32" t="n">
        <f aca="false">Data_Prices!C470/Data_Prices!C469-1</f>
        <v>0.000249954210974179</v>
      </c>
      <c r="D470" s="32" t="n">
        <f aca="false">Data_Prices!D470/Data_Prices!D469-1</f>
        <v>-0.00726947380193477</v>
      </c>
      <c r="E470" s="32" t="n">
        <f aca="false">Data_Prices!E470/Data_Prices!E469-1</f>
        <v>-0.0119409710487778</v>
      </c>
      <c r="F470" s="32" t="n">
        <f aca="false">Data_Prices!F470/Data_Prices!F469-1</f>
        <v>0.0232677183675369</v>
      </c>
      <c r="G470" s="32" t="n">
        <f aca="false">Data_Prices!G470/Data_Prices!G469-1</f>
        <v>-0.0140024783147459</v>
      </c>
      <c r="H470" s="32" t="n">
        <f aca="false">Data_Prices!H470/Data_Prices!H469-1</f>
        <v>-0.0126360565494806</v>
      </c>
      <c r="I470" s="32" t="n">
        <f aca="false">Data_Prices!I470/Data_Prices!I469-1</f>
        <v>0.00481861987453391</v>
      </c>
      <c r="J470" s="32" t="n">
        <f aca="false">Data_Prices!J470/Data_Prices!J469-1</f>
        <v>-0.00911003837108559</v>
      </c>
      <c r="K470" s="32" t="n">
        <f aca="false">Data_Prices!K470/Data_Prices!K469-1</f>
        <v>0.00720618483580382</v>
      </c>
      <c r="L470" s="32" t="n">
        <f aca="false">Data_Prices!L470/Data_Prices!L469-1</f>
        <v>0.0295767646641101</v>
      </c>
      <c r="M470" s="32" t="n">
        <f aca="false">Data_Prices!M470/Data_Prices!M469-1</f>
        <v>0.0151432149006105</v>
      </c>
      <c r="N470" s="32" t="n">
        <f aca="false">Data_Prices!N470/Data_Prices!N469-1</f>
        <v>-0.0260035084098649</v>
      </c>
      <c r="O470" s="32" t="n">
        <f aca="false">Data_Prices!O470/Data_Prices!O469-1</f>
        <v>-0.00706357214934417</v>
      </c>
      <c r="P470" s="32" t="n">
        <f aca="false">Data_Prices!P470/Data_Prices!P469-1</f>
        <v>0.00735835172921262</v>
      </c>
      <c r="Q470" s="32" t="n">
        <f aca="false">Data_Prices!Q470/Data_Prices!Q469-1</f>
        <v>-0.00565447545717046</v>
      </c>
      <c r="R470" s="32" t="n">
        <f aca="false">Data_Prices!R470/Data_Prices!R469-1</f>
        <v>0.00355725817485286</v>
      </c>
      <c r="S470" s="32" t="n">
        <f aca="false">Data_Prices!S470/Data_Prices!S469-1</f>
        <v>0.0191220899235827</v>
      </c>
      <c r="T470" s="32" t="n">
        <f aca="false">AVERAGE(D470:S470)</f>
        <v>0.00102310177298996</v>
      </c>
      <c r="U470" s="32" t="n">
        <f aca="false">AVERAGE(J470:S470)</f>
        <v>0.00341322698407075</v>
      </c>
      <c r="V470" s="32" t="n">
        <f aca="false">AVERAGE(D470:I470)</f>
        <v>-0.00296044024547804</v>
      </c>
      <c r="W470" s="32" t="n">
        <f aca="false">AVERAGE(K470,Q470,R470)</f>
        <v>0.00170298918449541</v>
      </c>
      <c r="X470" s="32" t="n">
        <f aca="false">AVERAGE(K470,L470,N470,O470,P470,Q470,R470,S470)</f>
        <v>0.00351238666389782</v>
      </c>
      <c r="Y470" s="32" t="n">
        <f aca="false">AVERAGE(J470,L470,M470,N470,O470,P470,Q470,R470,S470)</f>
        <v>0.00299178722276708</v>
      </c>
      <c r="Z470" s="32" t="n">
        <f aca="false">U470-V470</f>
        <v>0.00637366722954879</v>
      </c>
      <c r="AA470" s="32" t="n">
        <f aca="false">W470-V470</f>
        <v>0.00466342942997344</v>
      </c>
    </row>
    <row r="471" customFormat="false" ht="15" hidden="false" customHeight="false" outlineLevel="0" collapsed="false">
      <c r="A471" s="28" t="n">
        <f aca="false">Data_Prices!A471</f>
        <v>45492</v>
      </c>
      <c r="B471" s="32" t="n">
        <f aca="false">Data_Prices!B471/Data_Prices!B470-1</f>
        <v>-0.0108847075805868</v>
      </c>
      <c r="C471" s="32" t="n">
        <f aca="false">Data_Prices!C471/Data_Prices!C470-1</f>
        <v>-0.0153575713968733</v>
      </c>
      <c r="D471" s="32" t="n">
        <f aca="false">Data_Prices!D471/Data_Prices!D470-1</f>
        <v>-0.020785219399538</v>
      </c>
      <c r="E471" s="32" t="n">
        <f aca="false">Data_Prices!E471/Data_Prices!E470-1</f>
        <v>-0.0316953597081291</v>
      </c>
      <c r="F471" s="32" t="n">
        <f aca="false">Data_Prices!F471/Data_Prices!F470-1</f>
        <v>-0.0194188003092457</v>
      </c>
      <c r="G471" s="32" t="n">
        <f aca="false">Data_Prices!G471/Data_Prices!G470-1</f>
        <v>-0.0302877969083826</v>
      </c>
      <c r="H471" s="32" t="n">
        <f aca="false">Data_Prices!H471/Data_Prices!H470-1</f>
        <v>-0.0106436898124684</v>
      </c>
      <c r="I471" s="32" t="n">
        <f aca="false">Data_Prices!I471/Data_Prices!I470-1</f>
        <v>-0.0381831342743395</v>
      </c>
      <c r="J471" s="32" t="n">
        <f aca="false">Data_Prices!J471/Data_Prices!J470-1</f>
        <v>0.00094935918255179</v>
      </c>
      <c r="K471" s="32" t="n">
        <f aca="false">Data_Prices!K471/Data_Prices!K470-1</f>
        <v>-0.0249848597946566</v>
      </c>
      <c r="L471" s="32" t="n">
        <f aca="false">Data_Prices!L471/Data_Prices!L470-1</f>
        <v>-0.0159671690174845</v>
      </c>
      <c r="M471" s="32" t="n">
        <f aca="false">Data_Prices!M471/Data_Prices!M470-1</f>
        <v>-0.00975214894191123</v>
      </c>
      <c r="N471" s="32" t="n">
        <f aca="false">Data_Prices!N471/Data_Prices!N470-1</f>
        <v>-0.0140904756859837</v>
      </c>
      <c r="O471" s="32" t="n">
        <f aca="false">Data_Prices!O471/Data_Prices!O470-1</f>
        <v>-0.0167682926829268</v>
      </c>
      <c r="P471" s="32" t="n">
        <f aca="false">Data_Prices!P471/Data_Prices!P470-1</f>
        <v>-0.00373346319292267</v>
      </c>
      <c r="Q471" s="32" t="n">
        <f aca="false">Data_Prices!Q471/Data_Prices!Q470-1</f>
        <v>-0.00350877192982457</v>
      </c>
      <c r="R471" s="32" t="n">
        <f aca="false">Data_Prices!R471/Data_Prices!R470-1</f>
        <v>-0.0203135650988412</v>
      </c>
      <c r="S471" s="32" t="n">
        <f aca="false">Data_Prices!S471/Data_Prices!S470-1</f>
        <v>-0.0196875108987551</v>
      </c>
      <c r="T471" s="32" t="n">
        <f aca="false">AVERAGE(D471:S471)</f>
        <v>-0.0174294311545536</v>
      </c>
      <c r="U471" s="32" t="n">
        <f aca="false">AVERAGE(J471:S471)</f>
        <v>-0.0127856898060755</v>
      </c>
      <c r="V471" s="32" t="n">
        <f aca="false">AVERAGE(D471:I471)</f>
        <v>-0.0251690000686839</v>
      </c>
      <c r="W471" s="32" t="n">
        <f aca="false">AVERAGE(K471,Q471,R471)</f>
        <v>-0.0162690656077741</v>
      </c>
      <c r="X471" s="32" t="n">
        <f aca="false">AVERAGE(K471,L471,N471,O471,P471,Q471,R471,S471)</f>
        <v>-0.0148817635376744</v>
      </c>
      <c r="Y471" s="32" t="n">
        <f aca="false">AVERAGE(J471,L471,M471,N471,O471,P471,Q471,R471,S471)</f>
        <v>-0.0114302264740109</v>
      </c>
      <c r="Z471" s="32" t="n">
        <f aca="false">U471-V471</f>
        <v>0.0123833102626084</v>
      </c>
      <c r="AA471" s="32" t="n">
        <f aca="false">W471-V471</f>
        <v>0.00889993446090977</v>
      </c>
    </row>
    <row r="472" customFormat="false" ht="15" hidden="false" customHeight="false" outlineLevel="0" collapsed="false">
      <c r="A472" s="28" t="n">
        <f aca="false">Data_Prices!A472</f>
        <v>45495</v>
      </c>
      <c r="B472" s="32" t="n">
        <f aca="false">Data_Prices!B472/Data_Prices!B471-1</f>
        <v>-0.000882560362644669</v>
      </c>
      <c r="C472" s="32" t="n">
        <f aca="false">Data_Prices!C472/Data_Prices!C471-1</f>
        <v>0.00389654146392693</v>
      </c>
      <c r="D472" s="32" t="n">
        <f aca="false">Data_Prices!D472/Data_Prices!D471-1</f>
        <v>0.0302577082374598</v>
      </c>
      <c r="E472" s="32" t="n">
        <f aca="false">Data_Prices!E472/Data_Prices!E471-1</f>
        <v>-0.00476863299187558</v>
      </c>
      <c r="F472" s="32" t="n">
        <f aca="false">Data_Prices!F472/Data_Prices!F471-1</f>
        <v>0.0198497356460441</v>
      </c>
      <c r="G472" s="32" t="n">
        <f aca="false">Data_Prices!G472/Data_Prices!G471-1</f>
        <v>0.0288361845515812</v>
      </c>
      <c r="H472" s="32" t="n">
        <f aca="false">Data_Prices!H472/Data_Prices!H471-1</f>
        <v>0.0142161885245902</v>
      </c>
      <c r="I472" s="32" t="n">
        <f aca="false">Data_Prices!I472/Data_Prices!I471-1</f>
        <v>0.0121354656632173</v>
      </c>
      <c r="J472" s="32" t="n">
        <f aca="false">Data_Prices!J472/Data_Prices!J471-1</f>
        <v>-0.0262323723948583</v>
      </c>
      <c r="K472" s="32" t="n">
        <f aca="false">Data_Prices!K472/Data_Prices!K471-1</f>
        <v>-0.00693351052304658</v>
      </c>
      <c r="L472" s="32" t="n">
        <f aca="false">Data_Prices!L472/Data_Prices!L471-1</f>
        <v>-0.0163664400364478</v>
      </c>
      <c r="M472" s="32" t="n">
        <f aca="false">Data_Prices!M472/Data_Prices!M471-1</f>
        <v>-0.0135072012456208</v>
      </c>
      <c r="N472" s="32" t="n">
        <f aca="false">Data_Prices!N472/Data_Prices!N471-1</f>
        <v>0.00053728777133033</v>
      </c>
      <c r="O472" s="32" t="n">
        <f aca="false">Data_Prices!O472/Data_Prices!O471-1</f>
        <v>0.00740740740740731</v>
      </c>
      <c r="P472" s="32" t="n">
        <f aca="false">Data_Prices!P472/Data_Prices!P471-1</f>
        <v>-0.0158587915818058</v>
      </c>
      <c r="Q472" s="32" t="n">
        <f aca="false">Data_Prices!Q472/Data_Prices!Q471-1</f>
        <v>-0.0188198154443905</v>
      </c>
      <c r="R472" s="32" t="n">
        <f aca="false">Data_Prices!R472/Data_Prices!R471-1</f>
        <v>0.0127330921235735</v>
      </c>
      <c r="S472" s="32" t="n">
        <f aca="false">Data_Prices!S472/Data_Prices!S471-1</f>
        <v>0.00588789867833595</v>
      </c>
      <c r="T472" s="32" t="n">
        <f aca="false">AVERAGE(D472:S472)</f>
        <v>0.00183588777409339</v>
      </c>
      <c r="U472" s="32" t="n">
        <f aca="false">AVERAGE(J472:S472)</f>
        <v>-0.00711524452455227</v>
      </c>
      <c r="V472" s="32" t="n">
        <f aca="false">AVERAGE(D472:I472)</f>
        <v>0.0167544416051695</v>
      </c>
      <c r="W472" s="32" t="n">
        <f aca="false">AVERAGE(K472,Q472,R472)</f>
        <v>-0.00434007794795451</v>
      </c>
      <c r="X472" s="32" t="n">
        <f aca="false">AVERAGE(K472,L472,N472,O472,P472,Q472,R472,S472)</f>
        <v>-0.00392660895063045</v>
      </c>
      <c r="Y472" s="32" t="n">
        <f aca="false">AVERAGE(J472,L472,M472,N472,O472,P472,Q472,R472,S472)</f>
        <v>-0.00713543719138623</v>
      </c>
      <c r="Z472" s="32" t="n">
        <f aca="false">U472-V472</f>
        <v>-0.0238696861297218</v>
      </c>
      <c r="AA472" s="32" t="n">
        <f aca="false">W472-V472</f>
        <v>-0.021094519553124</v>
      </c>
    </row>
    <row r="473" customFormat="false" ht="15" hidden="false" customHeight="false" outlineLevel="0" collapsed="false">
      <c r="A473" s="28" t="n">
        <f aca="false">Data_Prices!A473</f>
        <v>45496</v>
      </c>
      <c r="B473" s="32" t="n">
        <f aca="false">Data_Prices!B473/Data_Prices!B472-1</f>
        <v>-0.00123218784744539</v>
      </c>
      <c r="C473" s="32" t="n">
        <f aca="false">Data_Prices!C473/Data_Prices!C472-1</f>
        <v>-0.00337580881022903</v>
      </c>
      <c r="D473" s="32" t="n">
        <f aca="false">Data_Prices!D473/Data_Prices!D472-1</f>
        <v>-0.00770519262981573</v>
      </c>
      <c r="E473" s="32" t="n">
        <f aca="false">Data_Prices!E473/Data_Prices!E472-1</f>
        <v>-0.00289855072463774</v>
      </c>
      <c r="F473" s="32" t="n">
        <f aca="false">Data_Prices!F473/Data_Prices!F472-1</f>
        <v>-0.0332878581173259</v>
      </c>
      <c r="G473" s="32" t="n">
        <f aca="false">Data_Prices!G473/Data_Prices!G472-1</f>
        <v>-0.0297915223278956</v>
      </c>
      <c r="H473" s="32" t="n">
        <f aca="false">Data_Prices!H473/Data_Prices!H472-1</f>
        <v>-0.0435661068316706</v>
      </c>
      <c r="I473" s="32" t="n">
        <f aca="false">Data_Prices!I473/Data_Prices!I472-1</f>
        <v>-0.00687796263593277</v>
      </c>
      <c r="J473" s="32" t="n">
        <f aca="false">Data_Prices!J473/Data_Prices!J472-1</f>
        <v>0.00481878300097405</v>
      </c>
      <c r="K473" s="32" t="n">
        <f aca="false">Data_Prices!K473/Data_Prices!K472-1</f>
        <v>-0.0228221501403657</v>
      </c>
      <c r="L473" s="32" t="n">
        <f aca="false">Data_Prices!L473/Data_Prices!L472-1</f>
        <v>-0.00548687070224807</v>
      </c>
      <c r="M473" s="32" t="n">
        <f aca="false">Data_Prices!M473/Data_Prices!M472-1</f>
        <v>0.0283707532652013</v>
      </c>
      <c r="N473" s="32" t="n">
        <f aca="false">Data_Prices!N473/Data_Prices!N472-1</f>
        <v>-0.032649554290624</v>
      </c>
      <c r="O473" s="32" t="n">
        <f aca="false">Data_Prices!O473/Data_Prices!O472-1</f>
        <v>0.0117989056087553</v>
      </c>
      <c r="P473" s="32" t="n">
        <f aca="false">Data_Prices!P473/Data_Prices!P472-1</f>
        <v>-0.0431003559504428</v>
      </c>
      <c r="Q473" s="32" t="n">
        <f aca="false">Data_Prices!Q473/Data_Prices!Q472-1</f>
        <v>-0.0316792476178691</v>
      </c>
      <c r="R473" s="32" t="n">
        <f aca="false">Data_Prices!R473/Data_Prices!R472-1</f>
        <v>0.00425970456887681</v>
      </c>
      <c r="S473" s="32" t="n">
        <f aca="false">Data_Prices!S473/Data_Prices!S472-1</f>
        <v>-0.0311947372144019</v>
      </c>
      <c r="T473" s="32" t="n">
        <f aca="false">AVERAGE(D473:S473)</f>
        <v>-0.0151132476712139</v>
      </c>
      <c r="U473" s="32" t="n">
        <f aca="false">AVERAGE(J473:S473)</f>
        <v>-0.0117684769472144</v>
      </c>
      <c r="V473" s="32" t="n">
        <f aca="false">AVERAGE(D473:I473)</f>
        <v>-0.0206878655445464</v>
      </c>
      <c r="W473" s="32" t="n">
        <f aca="false">AVERAGE(K473,Q473,R473)</f>
        <v>-0.0167472310631193</v>
      </c>
      <c r="X473" s="32" t="n">
        <f aca="false">AVERAGE(K473,L473,N473,O473,P473,Q473,R473,S473)</f>
        <v>-0.0188592882172899</v>
      </c>
      <c r="Y473" s="32" t="n">
        <f aca="false">AVERAGE(J473,L473,M473,N473,O473,P473,Q473,R473,S473)</f>
        <v>-0.0105402910368643</v>
      </c>
      <c r="Z473" s="32" t="n">
        <f aca="false">U473-V473</f>
        <v>0.00891938859733199</v>
      </c>
      <c r="AA473" s="32" t="n">
        <f aca="false">W473-V473</f>
        <v>0.00394063448142706</v>
      </c>
    </row>
    <row r="474" customFormat="false" ht="15" hidden="false" customHeight="false" outlineLevel="0" collapsed="false">
      <c r="A474" s="28" t="n">
        <f aca="false">Data_Prices!A474</f>
        <v>45497</v>
      </c>
      <c r="B474" s="32" t="n">
        <f aca="false">Data_Prices!B474/Data_Prices!B473-1</f>
        <v>-0.00267779999632334</v>
      </c>
      <c r="C474" s="32" t="n">
        <f aca="false">Data_Prices!C474/Data_Prices!C473-1</f>
        <v>0.00246007032521045</v>
      </c>
      <c r="D474" s="32" t="n">
        <f aca="false">Data_Prices!D474/Data_Prices!D473-1</f>
        <v>-0.0101001575512042</v>
      </c>
      <c r="E474" s="32" t="n">
        <f aca="false">Data_Prices!E474/Data_Prices!E473-1</f>
        <v>0.00883958234456572</v>
      </c>
      <c r="F474" s="32" t="n">
        <f aca="false">Data_Prices!F474/Data_Prices!F473-1</f>
        <v>-0.0200395145357044</v>
      </c>
      <c r="G474" s="32" t="n">
        <f aca="false">Data_Prices!G474/Data_Prices!G473-1</f>
        <v>0.0153856141262008</v>
      </c>
      <c r="H474" s="32" t="n">
        <f aca="false">Data_Prices!H474/Data_Prices!H473-1</f>
        <v>0.0244916820702403</v>
      </c>
      <c r="I474" s="32" t="n">
        <f aca="false">Data_Prices!I474/Data_Prices!I473-1</f>
        <v>0.0039307440336922</v>
      </c>
      <c r="J474" s="32" t="n">
        <f aca="false">Data_Prices!J474/Data_Prices!J473-1</f>
        <v>0.0196673639100047</v>
      </c>
      <c r="K474" s="32" t="n">
        <f aca="false">Data_Prices!K474/Data_Prices!K473-1</f>
        <v>-0.0178326883000892</v>
      </c>
      <c r="L474" s="32" t="n">
        <f aca="false">Data_Prices!L474/Data_Prices!L473-1</f>
        <v>-0.00483645613155159</v>
      </c>
      <c r="M474" s="32" t="n">
        <f aca="false">Data_Prices!M474/Data_Prices!M473-1</f>
        <v>-0.00280101296907365</v>
      </c>
      <c r="N474" s="32" t="n">
        <f aca="false">Data_Prices!N474/Data_Prices!N473-1</f>
        <v>0.0311979571444432</v>
      </c>
      <c r="O474" s="32" t="n">
        <f aca="false">Data_Prices!O474/Data_Prices!O473-1</f>
        <v>0.00963326009802246</v>
      </c>
      <c r="P474" s="32" t="n">
        <f aca="false">Data_Prices!P474/Data_Prices!P473-1</f>
        <v>0.00501744571642782</v>
      </c>
      <c r="Q474" s="32" t="n">
        <f aca="false">Data_Prices!Q474/Data_Prices!Q473-1</f>
        <v>-0.0273482428115016</v>
      </c>
      <c r="R474" s="32" t="n">
        <f aca="false">Data_Prices!R474/Data_Prices!R473-1</f>
        <v>0.0174454402408155</v>
      </c>
      <c r="S474" s="32" t="n">
        <f aca="false">Data_Prices!S474/Data_Prices!S473-1</f>
        <v>-0.00545779789719625</v>
      </c>
      <c r="T474" s="32" t="n">
        <f aca="false">AVERAGE(D474:S474)</f>
        <v>0.00294957621800573</v>
      </c>
      <c r="U474" s="32" t="n">
        <f aca="false">AVERAGE(J474:S474)</f>
        <v>0.00246852690003013</v>
      </c>
      <c r="V474" s="32" t="n">
        <f aca="false">AVERAGE(D474:I474)</f>
        <v>0.0037513250812984</v>
      </c>
      <c r="W474" s="32" t="n">
        <f aca="false">AVERAGE(K474,Q474,R474)</f>
        <v>-0.00924516362359177</v>
      </c>
      <c r="X474" s="32" t="n">
        <f aca="false">AVERAGE(K474,L474,N474,O474,P474,Q474,R474,S474)</f>
        <v>0.000977364757421287</v>
      </c>
      <c r="Y474" s="32" t="n">
        <f aca="false">AVERAGE(J474,L474,M474,N474,O474,P474,Q474,R474,S474)</f>
        <v>0.00472421747782117</v>
      </c>
      <c r="Z474" s="32" t="n">
        <f aca="false">U474-V474</f>
        <v>-0.00128279818126827</v>
      </c>
      <c r="AA474" s="32" t="n">
        <f aca="false">W474-V474</f>
        <v>-0.0129964887048902</v>
      </c>
    </row>
    <row r="475" customFormat="false" ht="15" hidden="false" customHeight="false" outlineLevel="0" collapsed="false">
      <c r="A475" s="28" t="n">
        <f aca="false">Data_Prices!A475</f>
        <v>45498</v>
      </c>
      <c r="B475" s="32" t="n">
        <f aca="false">Data_Prices!B475/Data_Prices!B474-1</f>
        <v>-0.00030311098367708</v>
      </c>
      <c r="C475" s="32" t="n">
        <f aca="false">Data_Prices!C475/Data_Prices!C474-1</f>
        <v>-0.000183234481239247</v>
      </c>
      <c r="D475" s="32" t="n">
        <f aca="false">Data_Prices!D475/Data_Prices!D474-1</f>
        <v>0.0107716356401877</v>
      </c>
      <c r="E475" s="32" t="n">
        <f aca="false">Data_Prices!E475/Data_Prices!E474-1</f>
        <v>-0.0264039988238753</v>
      </c>
      <c r="F475" s="32" t="n">
        <f aca="false">Data_Prices!F475/Data_Prices!F474-1</f>
        <v>-0.0110407066052227</v>
      </c>
      <c r="G475" s="32" t="n">
        <f aca="false">Data_Prices!G475/Data_Prices!G474-1</f>
        <v>-0.0193721629051851</v>
      </c>
      <c r="H475" s="32" t="n">
        <f aca="false">Data_Prices!H475/Data_Prices!H474-1</f>
        <v>0.00683033700625035</v>
      </c>
      <c r="I475" s="32" t="n">
        <f aca="false">Data_Prices!I475/Data_Prices!I474-1</f>
        <v>-0.00727137130605016</v>
      </c>
      <c r="J475" s="32" t="n">
        <f aca="false">Data_Prices!J475/Data_Prices!J474-1</f>
        <v>-0.0451554799489655</v>
      </c>
      <c r="K475" s="32" t="n">
        <f aca="false">Data_Prices!K475/Data_Prices!K474-1</f>
        <v>0.0061380376466309</v>
      </c>
      <c r="L475" s="32" t="n">
        <f aca="false">Data_Prices!L475/Data_Prices!L474-1</f>
        <v>-0.0181798545611636</v>
      </c>
      <c r="M475" s="32" t="n">
        <f aca="false">Data_Prices!M475/Data_Prices!M474-1</f>
        <v>-0.0218169225441534</v>
      </c>
      <c r="N475" s="32" t="n">
        <f aca="false">Data_Prices!N475/Data_Prices!N474-1</f>
        <v>-0.024547803617571</v>
      </c>
      <c r="O475" s="32" t="n">
        <f aca="false">Data_Prices!O475/Data_Prices!O474-1</f>
        <v>-0.0296283896886507</v>
      </c>
      <c r="P475" s="32" t="n">
        <f aca="false">Data_Prices!P475/Data_Prices!P474-1</f>
        <v>-8.60758040914789E-005</v>
      </c>
      <c r="Q475" s="32" t="n">
        <f aca="false">Data_Prices!Q475/Data_Prices!Q474-1</f>
        <v>-0.0391538562606755</v>
      </c>
      <c r="R475" s="32" t="n">
        <f aca="false">Data_Prices!R475/Data_Prices!R474-1</f>
        <v>-0.0176169983862292</v>
      </c>
      <c r="S475" s="32" t="n">
        <f aca="false">Data_Prices!S475/Data_Prices!S474-1</f>
        <v>-0.0166100761677527</v>
      </c>
      <c r="T475" s="32" t="n">
        <f aca="false">AVERAGE(D475:S475)</f>
        <v>-0.0158214803954073</v>
      </c>
      <c r="U475" s="32" t="n">
        <f aca="false">AVERAGE(J475:S475)</f>
        <v>-0.0206657419332622</v>
      </c>
      <c r="V475" s="32" t="n">
        <f aca="false">AVERAGE(D475:I475)</f>
        <v>-0.00774771116564921</v>
      </c>
      <c r="W475" s="32" t="n">
        <f aca="false">AVERAGE(K475,Q475,R475)</f>
        <v>-0.0168776056667579</v>
      </c>
      <c r="X475" s="32" t="n">
        <f aca="false">AVERAGE(K475,L475,N475,O475,P475,Q475,R475,S475)</f>
        <v>-0.0174606271049379</v>
      </c>
      <c r="Y475" s="32" t="n">
        <f aca="false">AVERAGE(J475,L475,M475,N475,O475,P475,Q475,R475,S475)</f>
        <v>-0.0236439396643614</v>
      </c>
      <c r="Z475" s="32" t="n">
        <f aca="false">U475-V475</f>
        <v>-0.012918030767613</v>
      </c>
      <c r="AA475" s="32" t="n">
        <f aca="false">W475-V475</f>
        <v>-0.00912989450110872</v>
      </c>
    </row>
    <row r="476" customFormat="false" ht="15" hidden="false" customHeight="false" outlineLevel="0" collapsed="false">
      <c r="A476" s="28" t="n">
        <f aca="false">Data_Prices!A476</f>
        <v>45499</v>
      </c>
      <c r="B476" s="32" t="n">
        <f aca="false">Data_Prices!B476/Data_Prices!B475-1</f>
        <v>0.0175673294791057</v>
      </c>
      <c r="C476" s="32" t="n">
        <f aca="false">Data_Prices!C476/Data_Prices!C475-1</f>
        <v>0.0163544927947288</v>
      </c>
      <c r="D476" s="32" t="n">
        <f aca="false">Data_Prices!D476/Data_Prices!D475-1</f>
        <v>-0.0175739511865932</v>
      </c>
      <c r="E476" s="32" t="n">
        <f aca="false">Data_Prices!E476/Data_Prices!E475-1</f>
        <v>0.0351534187001692</v>
      </c>
      <c r="F476" s="32" t="n">
        <f aca="false">Data_Prices!F476/Data_Prices!F475-1</f>
        <v>0.0304824774293759</v>
      </c>
      <c r="G476" s="32" t="n">
        <f aca="false">Data_Prices!G476/Data_Prices!G475-1</f>
        <v>0.0318164037032207</v>
      </c>
      <c r="H476" s="32" t="n">
        <f aca="false">Data_Prices!H476/Data_Prices!H475-1</f>
        <v>0.0161279999999999</v>
      </c>
      <c r="I476" s="32" t="n">
        <f aca="false">Data_Prices!I476/Data_Prices!I475-1</f>
        <v>0.0173725232416189</v>
      </c>
      <c r="J476" s="32" t="n">
        <f aca="false">Data_Prices!J476/Data_Prices!J475-1</f>
        <v>-0.00390379375393002</v>
      </c>
      <c r="K476" s="32" t="n">
        <f aca="false">Data_Prices!K476/Data_Prices!K475-1</f>
        <v>0.0213596035368369</v>
      </c>
      <c r="L476" s="32" t="n">
        <f aca="false">Data_Prices!L476/Data_Prices!L475-1</f>
        <v>0.0346863198034686</v>
      </c>
      <c r="M476" s="32" t="n">
        <f aca="false">Data_Prices!M476/Data_Prices!M475-1</f>
        <v>0.032137518684604</v>
      </c>
      <c r="N476" s="32" t="n">
        <f aca="false">Data_Prices!N476/Data_Prices!N475-1</f>
        <v>-0.00408388520971303</v>
      </c>
      <c r="O476" s="32" t="n">
        <f aca="false">Data_Prices!O476/Data_Prices!O475-1</f>
        <v>0.0131102294290149</v>
      </c>
      <c r="P476" s="32" t="n">
        <f aca="false">Data_Prices!P476/Data_Prices!P475-1</f>
        <v>0.0233572453371593</v>
      </c>
      <c r="Q476" s="32" t="n">
        <f aca="false">Data_Prices!Q476/Data_Prices!Q475-1</f>
        <v>0.0274853001504172</v>
      </c>
      <c r="R476" s="32" t="n">
        <f aca="false">Data_Prices!R476/Data_Prices!R475-1</f>
        <v>-0.0120465434633812</v>
      </c>
      <c r="S476" s="32" t="n">
        <f aca="false">Data_Prices!S476/Data_Prices!S475-1</f>
        <v>0.0918253079507281</v>
      </c>
      <c r="T476" s="32" t="n">
        <f aca="false">AVERAGE(D476:S476)</f>
        <v>0.0210816358970623</v>
      </c>
      <c r="U476" s="32" t="n">
        <f aca="false">AVERAGE(J476:S476)</f>
        <v>0.0223927302465205</v>
      </c>
      <c r="V476" s="32" t="n">
        <f aca="false">AVERAGE(D476:I476)</f>
        <v>0.0188964786479652</v>
      </c>
      <c r="W476" s="32" t="n">
        <f aca="false">AVERAGE(K476,Q476,R476)</f>
        <v>0.0122661200746243</v>
      </c>
      <c r="X476" s="32" t="n">
        <f aca="false">AVERAGE(K476,L476,N476,O476,P476,Q476,R476,S476)</f>
        <v>0.0244616971918163</v>
      </c>
      <c r="Y476" s="32" t="n">
        <f aca="false">AVERAGE(J476,L476,M476,N476,O476,P476,Q476,R476,S476)</f>
        <v>0.022507522103152</v>
      </c>
      <c r="Z476" s="32" t="n">
        <f aca="false">U476-V476</f>
        <v>0.00349625159855523</v>
      </c>
      <c r="AA476" s="32" t="n">
        <f aca="false">W476-V476</f>
        <v>-0.00663035857334095</v>
      </c>
    </row>
    <row r="477" customFormat="false" ht="15" hidden="false" customHeight="false" outlineLevel="0" collapsed="false">
      <c r="A477" s="28" t="n">
        <f aca="false">Data_Prices!A477</f>
        <v>45502</v>
      </c>
      <c r="B477" s="32" t="n">
        <f aca="false">Data_Prices!B477/Data_Prices!B476-1</f>
        <v>5.03324964717944E-005</v>
      </c>
      <c r="C477" s="32" t="n">
        <f aca="false">Data_Prices!C477/Data_Prices!C476-1</f>
        <v>0.00438561655157033</v>
      </c>
      <c r="D477" s="32" t="n">
        <f aca="false">Data_Prices!D477/Data_Prices!D476-1</f>
        <v>-0.00947365408283007</v>
      </c>
      <c r="E477" s="32" t="n">
        <f aca="false">Data_Prices!E477/Data_Prices!E476-1</f>
        <v>-0.00134204691329209</v>
      </c>
      <c r="F477" s="32" t="n">
        <f aca="false">Data_Prices!F477/Data_Prices!F476-1</f>
        <v>0.0148374941121054</v>
      </c>
      <c r="G477" s="32" t="n">
        <f aca="false">Data_Prices!G477/Data_Prices!G476-1</f>
        <v>0.000315935801844969</v>
      </c>
      <c r="H477" s="32" t="n">
        <f aca="false">Data_Prices!H477/Data_Prices!H476-1</f>
        <v>0.00132266801032932</v>
      </c>
      <c r="I477" s="32" t="n">
        <f aca="false">Data_Prices!I477/Data_Prices!I476-1</f>
        <v>-0.00636883884068684</v>
      </c>
      <c r="J477" s="32" t="n">
        <f aca="false">Data_Prices!J477/Data_Prices!J476-1</f>
        <v>0.00168336884189491</v>
      </c>
      <c r="K477" s="32" t="n">
        <f aca="false">Data_Prices!K477/Data_Prices!K476-1</f>
        <v>0.00334783570533159</v>
      </c>
      <c r="L477" s="32" t="n">
        <f aca="false">Data_Prices!L477/Data_Prices!L476-1</f>
        <v>0.0159112654594422</v>
      </c>
      <c r="M477" s="32" t="n">
        <f aca="false">Data_Prices!M477/Data_Prices!M476-1</f>
        <v>0.00262967338694309</v>
      </c>
      <c r="N477" s="32" t="n">
        <f aca="false">Data_Prices!N477/Data_Prices!N476-1</f>
        <v>-0.0128560345782998</v>
      </c>
      <c r="O477" s="32" t="n">
        <f aca="false">Data_Prices!O477/Data_Prices!O476-1</f>
        <v>0.0323514387876724</v>
      </c>
      <c r="P477" s="32" t="n">
        <f aca="false">Data_Prices!P477/Data_Prices!P476-1</f>
        <v>-0.0012056976222522</v>
      </c>
      <c r="Q477" s="32" t="n">
        <f aca="false">Data_Prices!Q477/Data_Prices!Q476-1</f>
        <v>0.0142400851743414</v>
      </c>
      <c r="R477" s="32" t="n">
        <f aca="false">Data_Prices!R477/Data_Prices!R476-1</f>
        <v>-0.0191215186365526</v>
      </c>
      <c r="S477" s="32" t="n">
        <f aca="false">Data_Prices!S477/Data_Prices!S476-1</f>
        <v>0.00615384615384618</v>
      </c>
      <c r="T477" s="32" t="n">
        <f aca="false">AVERAGE(D477:S477)</f>
        <v>0.00265161379748987</v>
      </c>
      <c r="U477" s="32" t="n">
        <f aca="false">AVERAGE(J477:S477)</f>
        <v>0.00431342626723672</v>
      </c>
      <c r="V477" s="32" t="n">
        <f aca="false">AVERAGE(D477:I477)</f>
        <v>-0.000118073652088213</v>
      </c>
      <c r="W477" s="32" t="n">
        <f aca="false">AVERAGE(K477,Q477,R477)</f>
        <v>-0.000511199252293223</v>
      </c>
      <c r="X477" s="32" t="n">
        <f aca="false">AVERAGE(K477,L477,N477,O477,P477,Q477,R477,S477)</f>
        <v>0.00485265255544115</v>
      </c>
      <c r="Y477" s="32" t="n">
        <f aca="false">AVERAGE(J477,L477,M477,N477,O477,P477,Q477,R477,S477)</f>
        <v>0.0044207141074484</v>
      </c>
      <c r="Z477" s="32" t="n">
        <f aca="false">U477-V477</f>
        <v>0.00443149991932493</v>
      </c>
      <c r="AA477" s="32" t="n">
        <f aca="false">W477-V477</f>
        <v>-0.00039312560020501</v>
      </c>
    </row>
    <row r="478" customFormat="false" ht="15" hidden="false" customHeight="false" outlineLevel="0" collapsed="false">
      <c r="A478" s="28" t="n">
        <f aca="false">Data_Prices!A478</f>
        <v>45503</v>
      </c>
      <c r="B478" s="32" t="n">
        <f aca="false">Data_Prices!B478/Data_Prices!B477-1</f>
        <v>0.000853596176533467</v>
      </c>
      <c r="C478" s="32" t="n">
        <f aca="false">Data_Prices!C478/Data_Prices!C477-1</f>
        <v>0.00199622128561794</v>
      </c>
      <c r="D478" s="32" t="n">
        <f aca="false">Data_Prices!D478/Data_Prices!D477-1</f>
        <v>-0.00757050392972736</v>
      </c>
      <c r="E478" s="32" t="n">
        <f aca="false">Data_Prices!E478/Data_Prices!E477-1</f>
        <v>-0.00490797546012278</v>
      </c>
      <c r="F478" s="32" t="n">
        <f aca="false">Data_Prices!F478/Data_Prices!F477-1</f>
        <v>-0.0212578324437225</v>
      </c>
      <c r="G478" s="32" t="n">
        <f aca="false">Data_Prices!G478/Data_Prices!G477-1</f>
        <v>-0.0221716884593518</v>
      </c>
      <c r="H478" s="32" t="n">
        <f aca="false">Data_Prices!H478/Data_Prices!H477-1</f>
        <v>-0.018807397156875</v>
      </c>
      <c r="I478" s="32" t="n">
        <f aca="false">Data_Prices!I478/Data_Prices!I477-1</f>
        <v>-0.00575940548072462</v>
      </c>
      <c r="J478" s="32" t="n">
        <f aca="false">Data_Prices!J478/Data_Prices!J477-1</f>
        <v>0.00338733818239101</v>
      </c>
      <c r="K478" s="32" t="n">
        <f aca="false">Data_Prices!K478/Data_Prices!K477-1</f>
        <v>0.00163158513640616</v>
      </c>
      <c r="L478" s="32" t="n">
        <f aca="false">Data_Prices!L478/Data_Prices!L477-1</f>
        <v>-0.0108483326356915</v>
      </c>
      <c r="M478" s="32" t="n">
        <f aca="false">Data_Prices!M478/Data_Prices!M477-1</f>
        <v>0.00798236277938269</v>
      </c>
      <c r="N478" s="32" t="n">
        <f aca="false">Data_Prices!N478/Data_Prices!N477-1</f>
        <v>-0.015493432132031</v>
      </c>
      <c r="O478" s="32" t="n">
        <f aca="false">Data_Prices!O478/Data_Prices!O477-1</f>
        <v>0.00280389246247736</v>
      </c>
      <c r="P478" s="32" t="n">
        <f aca="false">Data_Prices!P478/Data_Prices!P477-1</f>
        <v>0.0153561101597373</v>
      </c>
      <c r="Q478" s="32" t="n">
        <f aca="false">Data_Prices!Q478/Data_Prices!Q477-1</f>
        <v>-0.0267681406639548</v>
      </c>
      <c r="R478" s="32" t="n">
        <f aca="false">Data_Prices!R478/Data_Prices!R477-1</f>
        <v>0.0156801808164995</v>
      </c>
      <c r="S478" s="32" t="n">
        <f aca="false">Data_Prices!S478/Data_Prices!S477-1</f>
        <v>-0.0105164797825349</v>
      </c>
      <c r="T478" s="32" t="n">
        <f aca="false">AVERAGE(D478:S478)</f>
        <v>-0.00607873241299015</v>
      </c>
      <c r="U478" s="32" t="n">
        <f aca="false">AVERAGE(J478:S478)</f>
        <v>-0.00167849156773183</v>
      </c>
      <c r="V478" s="32" t="n">
        <f aca="false">AVERAGE(D478:I478)</f>
        <v>-0.0134124671550873</v>
      </c>
      <c r="W478" s="32" t="n">
        <f aca="false">AVERAGE(K478,Q478,R478)</f>
        <v>-0.00315212490368307</v>
      </c>
      <c r="X478" s="32" t="n">
        <f aca="false">AVERAGE(K478,L478,N478,O478,P478,Q478,R478,S478)</f>
        <v>-0.0035193270798865</v>
      </c>
      <c r="Y478" s="32" t="n">
        <f aca="false">AVERAGE(J478,L478,M478,N478,O478,P478,Q478,R478,S478)</f>
        <v>-0.00204627786819161</v>
      </c>
      <c r="Z478" s="32" t="n">
        <f aca="false">U478-V478</f>
        <v>0.0117339755873555</v>
      </c>
      <c r="AA478" s="32" t="n">
        <f aca="false">W478-V478</f>
        <v>0.0102603422514043</v>
      </c>
    </row>
    <row r="479" customFormat="false" ht="15" hidden="false" customHeight="false" outlineLevel="0" collapsed="false">
      <c r="A479" s="28" t="n">
        <f aca="false">Data_Prices!A479</f>
        <v>45504</v>
      </c>
      <c r="B479" s="32" t="n">
        <f aca="false">Data_Prices!B479/Data_Prices!B478-1</f>
        <v>0.00377555084421899</v>
      </c>
      <c r="C479" s="32" t="n">
        <f aca="false">Data_Prices!C479/Data_Prices!C478-1</f>
        <v>0.00383517697699309</v>
      </c>
      <c r="D479" s="32" t="n">
        <f aca="false">Data_Prices!D479/Data_Prices!D478-1</f>
        <v>-0.0242531881441798</v>
      </c>
      <c r="E479" s="32" t="n">
        <f aca="false">Data_Prices!E479/Data_Prices!E478-1</f>
        <v>-0.00340555457694791</v>
      </c>
      <c r="F479" s="32" t="n">
        <f aca="false">Data_Prices!F479/Data_Prices!F478-1</f>
        <v>-0.0135154360506473</v>
      </c>
      <c r="G479" s="32" t="n">
        <f aca="false">Data_Prices!G479/Data_Prices!G478-1</f>
        <v>-0.00872093023255816</v>
      </c>
      <c r="H479" s="32" t="n">
        <f aca="false">Data_Prices!H479/Data_Prices!H478-1</f>
        <v>0.0327585101609076</v>
      </c>
      <c r="I479" s="32" t="n">
        <f aca="false">Data_Prices!I479/Data_Prices!I478-1</f>
        <v>0.0408296739231993</v>
      </c>
      <c r="J479" s="32" t="n">
        <f aca="false">Data_Prices!J479/Data_Prices!J478-1</f>
        <v>-0.0191301161938657</v>
      </c>
      <c r="K479" s="32" t="n">
        <f aca="false">Data_Prices!K479/Data_Prices!K478-1</f>
        <v>-0.002436053593179</v>
      </c>
      <c r="L479" s="32" t="n">
        <f aca="false">Data_Prices!L479/Data_Prices!L478-1</f>
        <v>-0.000881616532073193</v>
      </c>
      <c r="M479" s="32" t="n">
        <f aca="false">Data_Prices!M479/Data_Prices!M478-1</f>
        <v>0.00131985820951797</v>
      </c>
      <c r="N479" s="32" t="n">
        <f aca="false">Data_Prices!N479/Data_Prices!N478-1</f>
        <v>0.0082107423879576</v>
      </c>
      <c r="O479" s="32" t="n">
        <f aca="false">Data_Prices!O479/Data_Prices!O478-1</f>
        <v>-0.00246710526315785</v>
      </c>
      <c r="P479" s="32" t="n">
        <f aca="false">Data_Prices!P479/Data_Prices!P478-1</f>
        <v>0.0164233576642334</v>
      </c>
      <c r="Q479" s="32" t="n">
        <f aca="false">Data_Prices!Q479/Data_Prices!Q478-1</f>
        <v>-0.00485371443980054</v>
      </c>
      <c r="R479" s="32" t="n">
        <f aca="false">Data_Prices!R479/Data_Prices!R478-1</f>
        <v>0.0109179415855356</v>
      </c>
      <c r="S479" s="32" t="n">
        <f aca="false">Data_Prices!S479/Data_Prices!S478-1</f>
        <v>0.006833673872358</v>
      </c>
      <c r="T479" s="32" t="n">
        <f aca="false">AVERAGE(D479:S479)</f>
        <v>0.00235187767358125</v>
      </c>
      <c r="U479" s="32" t="n">
        <f aca="false">AVERAGE(J479:S479)</f>
        <v>0.00139369676975263</v>
      </c>
      <c r="V479" s="32" t="n">
        <f aca="false">AVERAGE(D479:I479)</f>
        <v>0.00394884584662895</v>
      </c>
      <c r="W479" s="32" t="n">
        <f aca="false">AVERAGE(K479,Q479,R479)</f>
        <v>0.00120939118418536</v>
      </c>
      <c r="X479" s="32" t="n">
        <f aca="false">AVERAGE(K479,L479,N479,O479,P479,Q479,R479,S479)</f>
        <v>0.00396840321023426</v>
      </c>
      <c r="Y479" s="32" t="n">
        <f aca="false">AVERAGE(J479,L479,M479,N479,O479,P479,Q479,R479,S479)</f>
        <v>0.00181922458785614</v>
      </c>
      <c r="Z479" s="32" t="n">
        <f aca="false">U479-V479</f>
        <v>-0.00255514907687632</v>
      </c>
      <c r="AA479" s="32" t="n">
        <f aca="false">W479-V479</f>
        <v>-0.00273945466244359</v>
      </c>
    </row>
    <row r="480" customFormat="false" ht="15" hidden="false" customHeight="false" outlineLevel="0" collapsed="false">
      <c r="A480" s="28" t="n">
        <f aca="false">Data_Prices!A480</f>
        <v>45505</v>
      </c>
      <c r="B480" s="32" t="n">
        <f aca="false">Data_Prices!B480/Data_Prices!B479-1</f>
        <v>0.00239467920316305</v>
      </c>
      <c r="C480" s="32" t="n">
        <f aca="false">Data_Prices!C480/Data_Prices!C479-1</f>
        <v>-0.00102843932208008</v>
      </c>
      <c r="D480" s="32" t="n">
        <f aca="false">Data_Prices!D480/Data_Prices!D479-1</f>
        <v>-0.0068928475516965</v>
      </c>
      <c r="E480" s="32" t="n">
        <f aca="false">Data_Prices!E480/Data_Prices!E479-1</f>
        <v>-0.0160843692924055</v>
      </c>
      <c r="F480" s="32" t="n">
        <f aca="false">Data_Prices!F480/Data_Prices!F479-1</f>
        <v>-0.0141813287183925</v>
      </c>
      <c r="G480" s="32" t="n">
        <f aca="false">Data_Prices!G480/Data_Prices!G479-1</f>
        <v>-0.0126425545780385</v>
      </c>
      <c r="H480" s="32" t="n">
        <f aca="false">Data_Prices!H480/Data_Prices!H479-1</f>
        <v>0.00502793296089377</v>
      </c>
      <c r="I480" s="32" t="n">
        <f aca="false">Data_Prices!I480/Data_Prices!I479-1</f>
        <v>-0.0259425493716339</v>
      </c>
      <c r="J480" s="32" t="n">
        <f aca="false">Data_Prices!J480/Data_Prices!J479-1</f>
        <v>-0.050345508390918</v>
      </c>
      <c r="K480" s="32" t="n">
        <f aca="false">Data_Prices!K480/Data_Prices!K479-1</f>
        <v>-0.0051929329037762</v>
      </c>
      <c r="L480" s="32" t="n">
        <f aca="false">Data_Prices!L480/Data_Prices!L479-1</f>
        <v>-0.0183185091063107</v>
      </c>
      <c r="M480" s="32" t="n">
        <f aca="false">Data_Prices!M480/Data_Prices!M479-1</f>
        <v>-0.00384137385606154</v>
      </c>
      <c r="N480" s="32" t="n">
        <f aca="false">Data_Prices!N480/Data_Prices!N479-1</f>
        <v>0.0333672661463635</v>
      </c>
      <c r="O480" s="32" t="n">
        <f aca="false">Data_Prices!O480/Data_Prices!O479-1</f>
        <v>0.0105523495465787</v>
      </c>
      <c r="P480" s="32" t="n">
        <f aca="false">Data_Prices!P480/Data_Prices!P479-1</f>
        <v>0.0142810510853599</v>
      </c>
      <c r="Q480" s="32" t="n">
        <f aca="false">Data_Prices!Q480/Data_Prices!Q479-1</f>
        <v>-0.0250643544235198</v>
      </c>
      <c r="R480" s="32" t="n">
        <f aca="false">Data_Prices!R480/Data_Prices!R479-1</f>
        <v>-0.00880511797482286</v>
      </c>
      <c r="S480" s="32" t="n">
        <f aca="false">Data_Prices!S480/Data_Prices!S479-1</f>
        <v>0.0195433073551732</v>
      </c>
      <c r="T480" s="32" t="n">
        <f aca="false">AVERAGE(D480:S480)</f>
        <v>-0.00653372119207544</v>
      </c>
      <c r="U480" s="32" t="n">
        <f aca="false">AVERAGE(J480:S480)</f>
        <v>-0.00338238225219338</v>
      </c>
      <c r="V480" s="32" t="n">
        <f aca="false">AVERAGE(D480:I480)</f>
        <v>-0.0117859527585455</v>
      </c>
      <c r="W480" s="32" t="n">
        <f aca="false">AVERAGE(K480,Q480,R480)</f>
        <v>-0.013020801767373</v>
      </c>
      <c r="X480" s="32" t="n">
        <f aca="false">AVERAGE(K480,L480,N480,O480,P480,Q480,R480,S480)</f>
        <v>0.00254538246563071</v>
      </c>
      <c r="Y480" s="32" t="n">
        <f aca="false">AVERAGE(J480,L480,M480,N480,O480,P480,Q480,R480,S480)</f>
        <v>-0.00318120995757307</v>
      </c>
      <c r="Z480" s="32" t="n">
        <f aca="false">U480-V480</f>
        <v>0.00840357050635215</v>
      </c>
      <c r="AA480" s="32" t="n">
        <f aca="false">W480-V480</f>
        <v>-0.00123484900882744</v>
      </c>
    </row>
    <row r="481" customFormat="false" ht="15" hidden="false" customHeight="false" outlineLevel="0" collapsed="false">
      <c r="A481" s="28" t="n">
        <f aca="false">Data_Prices!A481</f>
        <v>45506</v>
      </c>
      <c r="B481" s="32" t="n">
        <f aca="false">Data_Prices!B481/Data_Prices!B480-1</f>
        <v>-0.0117228888204743</v>
      </c>
      <c r="C481" s="32" t="n">
        <f aca="false">Data_Prices!C481/Data_Prices!C480-1</f>
        <v>-0.0105140683893034</v>
      </c>
      <c r="D481" s="32" t="n">
        <f aca="false">Data_Prices!D481/Data_Prices!D480-1</f>
        <v>0.00558860645393922</v>
      </c>
      <c r="E481" s="32" t="n">
        <f aca="false">Data_Prices!E481/Data_Prices!E480-1</f>
        <v>0.00191616766467062</v>
      </c>
      <c r="F481" s="32" t="n">
        <f aca="false">Data_Prices!F481/Data_Prices!F480-1</f>
        <v>0.000731457551080172</v>
      </c>
      <c r="G481" s="32" t="n">
        <f aca="false">Data_Prices!G481/Data_Prices!G480-1</f>
        <v>-0.0118144016896573</v>
      </c>
      <c r="H481" s="32" t="n">
        <f aca="false">Data_Prices!H481/Data_Prices!H480-1</f>
        <v>0.00123525415354209</v>
      </c>
      <c r="I481" s="32" t="n">
        <f aca="false">Data_Prices!I481/Data_Prices!I480-1</f>
        <v>-0.0698553128743894</v>
      </c>
      <c r="J481" s="32" t="n">
        <f aca="false">Data_Prices!J481/Data_Prices!J480-1</f>
        <v>0.0457099511153565</v>
      </c>
      <c r="K481" s="32" t="n">
        <f aca="false">Data_Prices!K481/Data_Prices!K480-1</f>
        <v>-0.00687625695019511</v>
      </c>
      <c r="L481" s="32" t="n">
        <f aca="false">Data_Prices!L481/Data_Prices!L480-1</f>
        <v>-0.00399093948872842</v>
      </c>
      <c r="M481" s="32" t="n">
        <f aca="false">Data_Prices!M481/Data_Prices!M480-1</f>
        <v>-0.00812823711768929</v>
      </c>
      <c r="N481" s="32" t="n">
        <f aca="false">Data_Prices!N481/Data_Prices!N480-1</f>
        <v>-0.0136821366024519</v>
      </c>
      <c r="O481" s="32" t="n">
        <f aca="false">Data_Prices!O481/Data_Prices!O480-1</f>
        <v>-0.00326317506934248</v>
      </c>
      <c r="P481" s="32" t="n">
        <f aca="false">Data_Prices!P481/Data_Prices!P480-1</f>
        <v>0.00713385362190588</v>
      </c>
      <c r="Q481" s="32" t="n">
        <f aca="false">Data_Prices!Q481/Data_Prices!Q480-1</f>
        <v>0.00750416898276818</v>
      </c>
      <c r="R481" s="32" t="n">
        <f aca="false">Data_Prices!R481/Data_Prices!R480-1</f>
        <v>-0.00818932611562229</v>
      </c>
      <c r="S481" s="32" t="n">
        <f aca="false">Data_Prices!S481/Data_Prices!S480-1</f>
        <v>0.000953416408798091</v>
      </c>
      <c r="T481" s="32" t="n">
        <f aca="false">AVERAGE(D481:S481)</f>
        <v>-0.00343918187225097</v>
      </c>
      <c r="U481" s="32" t="n">
        <f aca="false">AVERAGE(J481:S481)</f>
        <v>0.00171713187847992</v>
      </c>
      <c r="V481" s="32" t="n">
        <f aca="false">AVERAGE(D481:I481)</f>
        <v>-0.0120330381234691</v>
      </c>
      <c r="W481" s="32" t="n">
        <f aca="false">AVERAGE(K481,Q481,R481)</f>
        <v>-0.00252047136101641</v>
      </c>
      <c r="X481" s="32" t="n">
        <f aca="false">AVERAGE(K481,L481,N481,O481,P481,Q481,R481,S481)</f>
        <v>-0.0025512994016085</v>
      </c>
      <c r="Y481" s="32" t="n">
        <f aca="false">AVERAGE(J481,L481,M481,N481,O481,P481,Q481,R481,S481)</f>
        <v>0.00267195285944381</v>
      </c>
      <c r="Z481" s="32" t="n">
        <f aca="false">U481-V481</f>
        <v>0.013750170001949</v>
      </c>
      <c r="AA481" s="32" t="n">
        <f aca="false">W481-V481</f>
        <v>0.00951256676245269</v>
      </c>
    </row>
    <row r="482" customFormat="false" ht="15" hidden="false" customHeight="false" outlineLevel="0" collapsed="false">
      <c r="A482" s="28" t="n">
        <f aca="false">Data_Prices!A482</f>
        <v>45509</v>
      </c>
      <c r="B482" s="32" t="n">
        <f aca="false">Data_Prices!B482/Data_Prices!B481-1</f>
        <v>-0.0267864728514385</v>
      </c>
      <c r="C482" s="32" t="n">
        <f aca="false">Data_Prices!C482/Data_Prices!C481-1</f>
        <v>-0.0308261803267059</v>
      </c>
      <c r="D482" s="32" t="n">
        <f aca="false">Data_Prices!D482/Data_Prices!D481-1</f>
        <v>-0.0263834110194814</v>
      </c>
      <c r="E482" s="32" t="n">
        <f aca="false">Data_Prices!E482/Data_Prices!E481-1</f>
        <v>-0.0652641644752571</v>
      </c>
      <c r="F482" s="32" t="n">
        <f aca="false">Data_Prices!F482/Data_Prices!F481-1</f>
        <v>-0.0437579183315465</v>
      </c>
      <c r="G482" s="32" t="n">
        <f aca="false">Data_Prices!G482/Data_Prices!G481-1</f>
        <v>-0.0834223884584558</v>
      </c>
      <c r="H482" s="32" t="n">
        <f aca="false">Data_Prices!H482/Data_Prices!H481-1</f>
        <v>-0.0439824810313985</v>
      </c>
      <c r="I482" s="32" t="n">
        <f aca="false">Data_Prices!I482/Data_Prices!I481-1</f>
        <v>-0.0268502922817794</v>
      </c>
      <c r="J482" s="32" t="n">
        <f aca="false">Data_Prices!J482/Data_Prices!J481-1</f>
        <v>-0.0380430402192311</v>
      </c>
      <c r="K482" s="32" t="n">
        <f aca="false">Data_Prices!K482/Data_Prices!K481-1</f>
        <v>-0.0190890275316786</v>
      </c>
      <c r="L482" s="32" t="n">
        <f aca="false">Data_Prices!L482/Data_Prices!L481-1</f>
        <v>-0.0276153346328785</v>
      </c>
      <c r="M482" s="32" t="n">
        <f aca="false">Data_Prices!M482/Data_Prices!M481-1</f>
        <v>-0.0251943893886263</v>
      </c>
      <c r="N482" s="32" t="n">
        <f aca="false">Data_Prices!N482/Data_Prices!N481-1</f>
        <v>-0.0569304183775387</v>
      </c>
      <c r="O482" s="32" t="n">
        <f aca="false">Data_Prices!O482/Data_Prices!O481-1</f>
        <v>-0.0420690784089048</v>
      </c>
      <c r="P482" s="32" t="n">
        <f aca="false">Data_Prices!P482/Data_Prices!P481-1</f>
        <v>-0.0284930631374324</v>
      </c>
      <c r="Q482" s="32" t="n">
        <f aca="false">Data_Prices!Q482/Data_Prices!Q481-1</f>
        <v>-0.0462068965517242</v>
      </c>
      <c r="R482" s="32" t="n">
        <f aca="false">Data_Prices!R482/Data_Prices!R481-1</f>
        <v>-0.0170736827373871</v>
      </c>
      <c r="S482" s="32" t="n">
        <f aca="false">Data_Prices!S482/Data_Prices!S481-1</f>
        <v>-0.0336385815982087</v>
      </c>
      <c r="T482" s="32" t="n">
        <f aca="false">AVERAGE(D482:S482)</f>
        <v>-0.0390008855113456</v>
      </c>
      <c r="U482" s="32" t="n">
        <f aca="false">AVERAGE(J482:S482)</f>
        <v>-0.033435351258361</v>
      </c>
      <c r="V482" s="32" t="n">
        <f aca="false">AVERAGE(D482:I482)</f>
        <v>-0.0482767759329864</v>
      </c>
      <c r="W482" s="32" t="n">
        <f aca="false">AVERAGE(K482,Q482,R482)</f>
        <v>-0.02745653560693</v>
      </c>
      <c r="X482" s="32" t="n">
        <f aca="false">AVERAGE(K482,L482,N482,O482,P482,Q482,R482,S482)</f>
        <v>-0.0338895103719691</v>
      </c>
      <c r="Y482" s="32" t="n">
        <f aca="false">AVERAGE(J482,L482,M482,N482,O482,P482,Q482,R482,S482)</f>
        <v>-0.0350293872279924</v>
      </c>
      <c r="Z482" s="32" t="n">
        <f aca="false">U482-V482</f>
        <v>0.0148414246746254</v>
      </c>
      <c r="AA482" s="32" t="n">
        <f aca="false">W482-V482</f>
        <v>0.0208202403260565</v>
      </c>
    </row>
    <row r="483" customFormat="false" ht="15" hidden="false" customHeight="false" outlineLevel="0" collapsed="false">
      <c r="A483" s="28" t="n">
        <f aca="false">Data_Prices!A483</f>
        <v>45510</v>
      </c>
      <c r="B483" s="32" t="n">
        <f aca="false">Data_Prices!B483/Data_Prices!B482-1</f>
        <v>-0.00262101132376658</v>
      </c>
      <c r="C483" s="32" t="n">
        <f aca="false">Data_Prices!C483/Data_Prices!C482-1</f>
        <v>-0.0043983684115968</v>
      </c>
      <c r="D483" s="32" t="n">
        <f aca="false">Data_Prices!D483/Data_Prices!D482-1</f>
        <v>0.000460334509743809</v>
      </c>
      <c r="E483" s="32" t="n">
        <f aca="false">Data_Prices!E483/Data_Prices!E482-1</f>
        <v>-0.0122762148337596</v>
      </c>
      <c r="F483" s="32" t="n">
        <f aca="false">Data_Prices!F483/Data_Prices!F482-1</f>
        <v>0.0606909906237261</v>
      </c>
      <c r="G483" s="32" t="n">
        <f aca="false">Data_Prices!G483/Data_Prices!G482-1</f>
        <v>-0.0499890694454565</v>
      </c>
      <c r="H483" s="32" t="n">
        <f aca="false">Data_Prices!H483/Data_Prices!H482-1</f>
        <v>0.0205833010711061</v>
      </c>
      <c r="I483" s="32" t="n">
        <f aca="false">Data_Prices!I483/Data_Prices!I482-1</f>
        <v>-0.0507025045815517</v>
      </c>
      <c r="J483" s="32" t="n">
        <f aca="false">Data_Prices!J483/Data_Prices!J482-1</f>
        <v>-0.012763580505516</v>
      </c>
      <c r="K483" s="32" t="n">
        <f aca="false">Data_Prices!K483/Data_Prices!K482-1</f>
        <v>-0.00883464638644738</v>
      </c>
      <c r="L483" s="32" t="n">
        <f aca="false">Data_Prices!L483/Data_Prices!L482-1</f>
        <v>-0.00853844154879901</v>
      </c>
      <c r="M483" s="32" t="n">
        <f aca="false">Data_Prices!M483/Data_Prices!M482-1</f>
        <v>0.0233431085043987</v>
      </c>
      <c r="N483" s="32" t="n">
        <f aca="false">Data_Prices!N483/Data_Prices!N482-1</f>
        <v>0.0140032948929161</v>
      </c>
      <c r="O483" s="32" t="n">
        <f aca="false">Data_Prices!O483/Data_Prices!O482-1</f>
        <v>0.00187969924812004</v>
      </c>
      <c r="P483" s="32" t="n">
        <f aca="false">Data_Prices!P483/Data_Prices!P482-1</f>
        <v>-0.0198448592495135</v>
      </c>
      <c r="Q483" s="32" t="n">
        <f aca="false">Data_Prices!Q483/Data_Prices!Q482-1</f>
        <v>-0.00939985538684018</v>
      </c>
      <c r="R483" s="32" t="n">
        <f aca="false">Data_Prices!R483/Data_Prices!R482-1</f>
        <v>-0.00526802876058952</v>
      </c>
      <c r="S483" s="32" t="n">
        <f aca="false">Data_Prices!S483/Data_Prices!S482-1</f>
        <v>-0.0189005516263465</v>
      </c>
      <c r="T483" s="32" t="n">
        <f aca="false">AVERAGE(D483:S483)</f>
        <v>-0.00472231396717557</v>
      </c>
      <c r="U483" s="32" t="n">
        <f aca="false">AVERAGE(J483:S483)</f>
        <v>-0.00443238608186173</v>
      </c>
      <c r="V483" s="32" t="n">
        <f aca="false">AVERAGE(D483:I483)</f>
        <v>-0.0052055271093653</v>
      </c>
      <c r="W483" s="32" t="n">
        <f aca="false">AVERAGE(K483,Q483,R483)</f>
        <v>-0.00783417684462569</v>
      </c>
      <c r="X483" s="32" t="n">
        <f aca="false">AVERAGE(K483,L483,N483,O483,P483,Q483,R483,S483)</f>
        <v>-0.0068629236021875</v>
      </c>
      <c r="Y483" s="32" t="n">
        <f aca="false">AVERAGE(J483,L483,M483,N483,O483,P483,Q483,R483,S483)</f>
        <v>-0.00394324604801888</v>
      </c>
      <c r="Z483" s="32" t="n">
        <f aca="false">U483-V483</f>
        <v>0.000773141027503573</v>
      </c>
      <c r="AA483" s="32" t="n">
        <f aca="false">W483-V483</f>
        <v>-0.00262864973526039</v>
      </c>
    </row>
    <row r="484" customFormat="false" ht="15" hidden="false" customHeight="false" outlineLevel="0" collapsed="false">
      <c r="A484" s="28" t="n">
        <f aca="false">Data_Prices!A484</f>
        <v>45511</v>
      </c>
      <c r="B484" s="32" t="n">
        <f aca="false">Data_Prices!B484/Data_Prices!B483-1</f>
        <v>0.0127101954565063</v>
      </c>
      <c r="C484" s="32" t="n">
        <f aca="false">Data_Prices!C484/Data_Prices!C483-1</f>
        <v>0.0180722086324205</v>
      </c>
      <c r="D484" s="32" t="n">
        <f aca="false">Data_Prices!D484/Data_Prices!D483-1</f>
        <v>0.00168711656441722</v>
      </c>
      <c r="E484" s="32" t="n">
        <f aca="false">Data_Prices!E484/Data_Prices!E483-1</f>
        <v>0.0196141895390989</v>
      </c>
      <c r="F484" s="32" t="n">
        <f aca="false">Data_Prices!F484/Data_Prices!F483-1</f>
        <v>-0.0280566898871006</v>
      </c>
      <c r="G484" s="32" t="n">
        <f aca="false">Data_Prices!G484/Data_Prices!G483-1</f>
        <v>-0.0225512004295467</v>
      </c>
      <c r="H484" s="32" t="n">
        <f aca="false">Data_Prices!H484/Data_Prices!H483-1</f>
        <v>0.0233925523171272</v>
      </c>
      <c r="I484" s="32" t="n">
        <f aca="false">Data_Prices!I484/Data_Prices!I483-1</f>
        <v>0.0203775203775203</v>
      </c>
      <c r="J484" s="32" t="n">
        <f aca="false">Data_Prices!J484/Data_Prices!J483-1</f>
        <v>-0.0147108747312437</v>
      </c>
      <c r="K484" s="32" t="n">
        <f aca="false">Data_Prices!K484/Data_Prices!K483-1</f>
        <v>0.0151006968374299</v>
      </c>
      <c r="L484" s="32" t="n">
        <f aca="false">Data_Prices!L484/Data_Prices!L483-1</f>
        <v>0.0317145317706968</v>
      </c>
      <c r="M484" s="32" t="n">
        <f aca="false">Data_Prices!M484/Data_Prices!M483-1</f>
        <v>-0.0177288705486779</v>
      </c>
      <c r="N484" s="32" t="n">
        <f aca="false">Data_Prices!N484/Data_Prices!N483-1</f>
        <v>0.0225136358361377</v>
      </c>
      <c r="O484" s="32" t="n">
        <f aca="false">Data_Prices!O484/Data_Prices!O483-1</f>
        <v>0.0363295241344024</v>
      </c>
      <c r="P484" s="32" t="n">
        <f aca="false">Data_Prices!P484/Data_Prices!P483-1</f>
        <v>0.0377247685897257</v>
      </c>
      <c r="Q484" s="32" t="n">
        <f aca="false">Data_Prices!Q484/Data_Prices!Q483-1</f>
        <v>0.0272992700729928</v>
      </c>
      <c r="R484" s="32" t="n">
        <f aca="false">Data_Prices!R484/Data_Prices!R483-1</f>
        <v>0.0218278107779288</v>
      </c>
      <c r="S484" s="32" t="n">
        <f aca="false">Data_Prices!S484/Data_Prices!S483-1</f>
        <v>0.0311089960518893</v>
      </c>
      <c r="T484" s="32" t="n">
        <f aca="false">AVERAGE(D484:S484)</f>
        <v>0.0128526860795499</v>
      </c>
      <c r="U484" s="32" t="n">
        <f aca="false">AVERAGE(J484:S484)</f>
        <v>0.0191179488791282</v>
      </c>
      <c r="V484" s="32" t="n">
        <f aca="false">AVERAGE(D484:I484)</f>
        <v>0.00241058141358604</v>
      </c>
      <c r="W484" s="32" t="n">
        <f aca="false">AVERAGE(K484,Q484,R484)</f>
        <v>0.0214092592294505</v>
      </c>
      <c r="X484" s="32" t="n">
        <f aca="false">AVERAGE(K484,L484,N484,O484,P484,Q484,R484,S484)</f>
        <v>0.0279524042589004</v>
      </c>
      <c r="Y484" s="32" t="n">
        <f aca="false">AVERAGE(J484,L484,M484,N484,O484,P484,Q484,R484,S484)</f>
        <v>0.0195643102170947</v>
      </c>
      <c r="Z484" s="32" t="n">
        <f aca="false">U484-V484</f>
        <v>0.0167073674655422</v>
      </c>
      <c r="AA484" s="32" t="n">
        <f aca="false">W484-V484</f>
        <v>0.0189986778158645</v>
      </c>
    </row>
    <row r="485" customFormat="false" ht="15" hidden="false" customHeight="false" outlineLevel="0" collapsed="false">
      <c r="A485" s="28" t="n">
        <f aca="false">Data_Prices!A485</f>
        <v>45512</v>
      </c>
      <c r="B485" s="32" t="n">
        <f aca="false">Data_Prices!B485/Data_Prices!B484-1</f>
        <v>-0.00742874781356107</v>
      </c>
      <c r="C485" s="32" t="n">
        <f aca="false">Data_Prices!C485/Data_Prices!C484-1</f>
        <v>-0.00626726013068468</v>
      </c>
      <c r="D485" s="32" t="n">
        <f aca="false">Data_Prices!D485/Data_Prices!D484-1</f>
        <v>0.00943193997856384</v>
      </c>
      <c r="E485" s="32" t="n">
        <f aca="false">Data_Prices!E485/Data_Prices!E484-1</f>
        <v>-0.00184115294267018</v>
      </c>
      <c r="F485" s="32" t="n">
        <f aca="false">Data_Prices!F485/Data_Prices!F484-1</f>
        <v>0.0156195936928476</v>
      </c>
      <c r="G485" s="32" t="n">
        <f aca="false">Data_Prices!G485/Data_Prices!G484-1</f>
        <v>0.00447304402417026</v>
      </c>
      <c r="H485" s="32" t="n">
        <f aca="false">Data_Prices!H485/Data_Prices!H484-1</f>
        <v>-0.00636313090751839</v>
      </c>
      <c r="I485" s="32" t="n">
        <f aca="false">Data_Prices!I485/Data_Prices!I484-1</f>
        <v>-0.0497162076939247</v>
      </c>
      <c r="J485" s="32" t="n">
        <f aca="false">Data_Prices!J485/Data_Prices!J484-1</f>
        <v>-0.0162800045940049</v>
      </c>
      <c r="K485" s="32" t="n">
        <f aca="false">Data_Prices!K485/Data_Prices!K484-1</f>
        <v>-0.00826782939303861</v>
      </c>
      <c r="L485" s="32" t="n">
        <f aca="false">Data_Prices!L485/Data_Prices!L484-1</f>
        <v>-0.0199245118676055</v>
      </c>
      <c r="M485" s="32" t="n">
        <f aca="false">Data_Prices!M485/Data_Prices!M484-1</f>
        <v>-0.0253228566983041</v>
      </c>
      <c r="N485" s="32" t="n">
        <f aca="false">Data_Prices!N485/Data_Prices!N484-1</f>
        <v>-0.0251957780047668</v>
      </c>
      <c r="O485" s="32" t="n">
        <f aca="false">Data_Prices!O485/Data_Prices!O484-1</f>
        <v>-0.0260039499670838</v>
      </c>
      <c r="P485" s="32" t="n">
        <f aca="false">Data_Prices!P485/Data_Prices!P484-1</f>
        <v>-0.00396140993855776</v>
      </c>
      <c r="Q485" s="32" t="n">
        <f aca="false">Data_Prices!Q485/Data_Prices!Q484-1</f>
        <v>0.0481739377575672</v>
      </c>
      <c r="R485" s="32" t="n">
        <f aca="false">Data_Prices!R485/Data_Prices!R484-1</f>
        <v>0.00238128589438302</v>
      </c>
      <c r="S485" s="32" t="n">
        <f aca="false">Data_Prices!S485/Data_Prices!S484-1</f>
        <v>-0.0180680672125262</v>
      </c>
      <c r="T485" s="32" t="n">
        <f aca="false">AVERAGE(D485:S485)</f>
        <v>-0.00755406861702931</v>
      </c>
      <c r="U485" s="32" t="n">
        <f aca="false">AVERAGE(J485:S485)</f>
        <v>-0.00924691840239375</v>
      </c>
      <c r="V485" s="32" t="n">
        <f aca="false">AVERAGE(D485:I485)</f>
        <v>-0.0047326523080886</v>
      </c>
      <c r="W485" s="32" t="n">
        <f aca="false">AVERAGE(K485,Q485,R485)</f>
        <v>0.0140957980863039</v>
      </c>
      <c r="X485" s="32" t="n">
        <f aca="false">AVERAGE(K485,L485,N485,O485,P485,Q485,R485,S485)</f>
        <v>-0.00635829034145355</v>
      </c>
      <c r="Y485" s="32" t="n">
        <f aca="false">AVERAGE(J485,L485,M485,N485,O485,P485,Q485,R485,S485)</f>
        <v>-0.00935570607009987</v>
      </c>
      <c r="Z485" s="32" t="n">
        <f aca="false">U485-V485</f>
        <v>-0.00451426609430515</v>
      </c>
      <c r="AA485" s="32" t="n">
        <f aca="false">W485-V485</f>
        <v>0.0188284503943925</v>
      </c>
    </row>
    <row r="486" customFormat="false" ht="15" hidden="false" customHeight="false" outlineLevel="0" collapsed="false">
      <c r="A486" s="28" t="n">
        <f aca="false">Data_Prices!A486</f>
        <v>45513</v>
      </c>
      <c r="B486" s="32" t="n">
        <f aca="false">Data_Prices!B486/Data_Prices!B485-1</f>
        <v>0.0103868640378157</v>
      </c>
      <c r="C486" s="32" t="n">
        <f aca="false">Data_Prices!C486/Data_Prices!C485-1</f>
        <v>0.00959230501592101</v>
      </c>
      <c r="D486" s="32" t="n">
        <f aca="false">Data_Prices!D486/Data_Prices!D485-1</f>
        <v>-0.00194157085216762</v>
      </c>
      <c r="E486" s="32" t="n">
        <f aca="false">Data_Prices!E486/Data_Prices!E485-1</f>
        <v>0.021689352499682</v>
      </c>
      <c r="F486" s="32" t="n">
        <f aca="false">Data_Prices!F486/Data_Prices!F485-1</f>
        <v>0.0164014211320389</v>
      </c>
      <c r="G486" s="32" t="n">
        <f aca="false">Data_Prices!G486/Data_Prices!G485-1</f>
        <v>-0.00289062500000004</v>
      </c>
      <c r="H486" s="32" t="n">
        <f aca="false">Data_Prices!H486/Data_Prices!H485-1</f>
        <v>0.0208903257896045</v>
      </c>
      <c r="I486" s="32" t="n">
        <f aca="false">Data_Prices!I486/Data_Prices!I485-1</f>
        <v>0.0568521181285255</v>
      </c>
      <c r="J486" s="32" t="n">
        <f aca="false">Data_Prices!J486/Data_Prices!J485-1</f>
        <v>0.0252765535156592</v>
      </c>
      <c r="K486" s="32" t="n">
        <f aca="false">Data_Prices!K486/Data_Prices!K485-1</f>
        <v>0.00546148814142056</v>
      </c>
      <c r="L486" s="32" t="n">
        <f aca="false">Data_Prices!L486/Data_Prices!L485-1</f>
        <v>-0.00118496574708382</v>
      </c>
      <c r="M486" s="32" t="n">
        <f aca="false">Data_Prices!M486/Data_Prices!M485-1</f>
        <v>-0.000518817097018731</v>
      </c>
      <c r="N486" s="32" t="n">
        <f aca="false">Data_Prices!N486/Data_Prices!N485-1</f>
        <v>-0.0150192106182326</v>
      </c>
      <c r="O486" s="32" t="n">
        <f aca="false">Data_Prices!O486/Data_Prices!O485-1</f>
        <v>0.0141939844542076</v>
      </c>
      <c r="P486" s="32" t="n">
        <f aca="false">Data_Prices!P486/Data_Prices!P485-1</f>
        <v>0.0168556045561539</v>
      </c>
      <c r="Q486" s="32" t="n">
        <f aca="false">Data_Prices!Q486/Data_Prices!Q485-1</f>
        <v>-0.00813449023861168</v>
      </c>
      <c r="R486" s="32" t="n">
        <f aca="false">Data_Prices!R486/Data_Prices!R485-1</f>
        <v>-0.00810508664058141</v>
      </c>
      <c r="S486" s="32" t="n">
        <f aca="false">Data_Prices!S486/Data_Prices!S485-1</f>
        <v>0.0299073880648979</v>
      </c>
      <c r="T486" s="32" t="n">
        <f aca="false">AVERAGE(D486:S486)</f>
        <v>0.0106083418805309</v>
      </c>
      <c r="U486" s="32" t="n">
        <f aca="false">AVERAGE(J486:S486)</f>
        <v>0.00587324483908108</v>
      </c>
      <c r="V486" s="32" t="n">
        <f aca="false">AVERAGE(D486:I486)</f>
        <v>0.0185001702829472</v>
      </c>
      <c r="W486" s="32" t="n">
        <f aca="false">AVERAGE(K486,Q486,R486)</f>
        <v>-0.00359269624592418</v>
      </c>
      <c r="X486" s="32" t="n">
        <f aca="false">AVERAGE(K486,L486,N486,O486,P486,Q486,R486,S486)</f>
        <v>0.0042468389965213</v>
      </c>
      <c r="Y486" s="32" t="n">
        <f aca="false">AVERAGE(J486,L486,M486,N486,O486,P486,Q486,R486,S486)</f>
        <v>0.00591899558326559</v>
      </c>
      <c r="Z486" s="32" t="n">
        <f aca="false">U486-V486</f>
        <v>-0.0126269254438661</v>
      </c>
      <c r="AA486" s="32" t="n">
        <f aca="false">W486-V486</f>
        <v>-0.0220928665288714</v>
      </c>
    </row>
    <row r="487" customFormat="false" ht="15" hidden="false" customHeight="false" outlineLevel="0" collapsed="false">
      <c r="A487" s="28" t="n">
        <f aca="false">Data_Prices!A487</f>
        <v>45516</v>
      </c>
      <c r="B487" s="32" t="n">
        <f aca="false">Data_Prices!B487/Data_Prices!B486-1</f>
        <v>-0.000841284497794193</v>
      </c>
      <c r="C487" s="32" t="n">
        <f aca="false">Data_Prices!C487/Data_Prices!C486-1</f>
        <v>-0.000333718672977601</v>
      </c>
      <c r="D487" s="32" t="n">
        <f aca="false">Data_Prices!D487/Data_Prices!D486-1</f>
        <v>0.0433447825161859</v>
      </c>
      <c r="E487" s="32" t="n">
        <f aca="false">Data_Prices!E487/Data_Prices!E486-1</f>
        <v>0.0187387163045509</v>
      </c>
      <c r="F487" s="32" t="n">
        <f aca="false">Data_Prices!F487/Data_Prices!F486-1</f>
        <v>-0.0274372725531509</v>
      </c>
      <c r="G487" s="32" t="n">
        <f aca="false">Data_Prices!G487/Data_Prices!G486-1</f>
        <v>0.0133197524093081</v>
      </c>
      <c r="H487" s="32" t="n">
        <f aca="false">Data_Prices!H487/Data_Prices!H486-1</f>
        <v>0.0183922046285019</v>
      </c>
      <c r="I487" s="32" t="n">
        <f aca="false">Data_Prices!I487/Data_Prices!I486-1</f>
        <v>0.0217687074829931</v>
      </c>
      <c r="J487" s="32" t="n">
        <f aca="false">Data_Prices!J487/Data_Prices!J486-1</f>
        <v>-0.00865431149827756</v>
      </c>
      <c r="K487" s="32" t="n">
        <f aca="false">Data_Prices!K487/Data_Prices!K486-1</f>
        <v>-0.0015130424257096</v>
      </c>
      <c r="L487" s="32" t="n">
        <f aca="false">Data_Prices!L487/Data_Prices!L486-1</f>
        <v>7.41482222963441E-005</v>
      </c>
      <c r="M487" s="32" t="n">
        <f aca="false">Data_Prices!M487/Data_Prices!M486-1</f>
        <v>-0.00570995048714273</v>
      </c>
      <c r="N487" s="32" t="n">
        <f aca="false">Data_Prices!N487/Data_Prices!N486-1</f>
        <v>-0.00910165484633574</v>
      </c>
      <c r="O487" s="32" t="n">
        <f aca="false">Data_Prices!O487/Data_Prices!O486-1</f>
        <v>-0.00449850049983347</v>
      </c>
      <c r="P487" s="32" t="n">
        <f aca="false">Data_Prices!P487/Data_Prices!P486-1</f>
        <v>0.00580034057045542</v>
      </c>
      <c r="Q487" s="32" t="n">
        <f aca="false">Data_Prices!Q487/Data_Prices!Q486-1</f>
        <v>-0.0071077091306726</v>
      </c>
      <c r="R487" s="32" t="n">
        <f aca="false">Data_Prices!R487/Data_Prices!R486-1</f>
        <v>-0.013877148492533</v>
      </c>
      <c r="S487" s="32" t="n">
        <f aca="false">Data_Prices!S487/Data_Prices!S486-1</f>
        <v>0.00608498698488891</v>
      </c>
      <c r="T487" s="32" t="n">
        <f aca="false">AVERAGE(D487:S487)</f>
        <v>0.00310150307409531</v>
      </c>
      <c r="U487" s="32" t="n">
        <f aca="false">AVERAGE(J487:S487)</f>
        <v>-0.0038502841602864</v>
      </c>
      <c r="V487" s="32" t="n">
        <f aca="false">AVERAGE(D487:I487)</f>
        <v>0.0146878151313982</v>
      </c>
      <c r="W487" s="32" t="n">
        <f aca="false">AVERAGE(K487,Q487,R487)</f>
        <v>-0.00749930001630506</v>
      </c>
      <c r="X487" s="32" t="n">
        <f aca="false">AVERAGE(K487,L487,N487,O487,P487,Q487,R487,S487)</f>
        <v>-0.00301732245218046</v>
      </c>
      <c r="Y487" s="32" t="n">
        <f aca="false">AVERAGE(J487,L487,M487,N487,O487,P487,Q487,R487,S487)</f>
        <v>-0.00410997768635049</v>
      </c>
      <c r="Z487" s="32" t="n">
        <f aca="false">U487-V487</f>
        <v>-0.0185380992916846</v>
      </c>
      <c r="AA487" s="32" t="n">
        <f aca="false">W487-V487</f>
        <v>-0.0221871151477032</v>
      </c>
    </row>
    <row r="488" customFormat="false" ht="15" hidden="false" customHeight="false" outlineLevel="0" collapsed="false">
      <c r="A488" s="28" t="n">
        <f aca="false">Data_Prices!A488</f>
        <v>45517</v>
      </c>
      <c r="B488" s="32" t="n">
        <f aca="false">Data_Prices!B488/Data_Prices!B487-1</f>
        <v>-0.00854314699963032</v>
      </c>
      <c r="C488" s="32" t="n">
        <f aca="false">Data_Prices!C488/Data_Prices!C487-1</f>
        <v>-0.00916614482988842</v>
      </c>
      <c r="D488" s="32" t="n">
        <f aca="false">Data_Prices!D488/Data_Prices!D487-1</f>
        <v>-0.00757465404224322</v>
      </c>
      <c r="E488" s="32" t="n">
        <f aca="false">Data_Prices!E488/Data_Prices!E487-1</f>
        <v>-0.0187606942067954</v>
      </c>
      <c r="F488" s="32" t="n">
        <f aca="false">Data_Prices!F488/Data_Prices!F487-1</f>
        <v>-0.00344640835015508</v>
      </c>
      <c r="G488" s="32" t="n">
        <f aca="false">Data_Prices!G488/Data_Prices!G487-1</f>
        <v>-0.00765483646485721</v>
      </c>
      <c r="H488" s="32" t="n">
        <f aca="false">Data_Prices!H488/Data_Prices!H487-1</f>
        <v>-0.0388709484511423</v>
      </c>
      <c r="I488" s="32" t="n">
        <f aca="false">Data_Prices!I488/Data_Prices!I487-1</f>
        <v>-0.0257093106627061</v>
      </c>
      <c r="J488" s="32" t="n">
        <f aca="false">Data_Prices!J488/Data_Prices!J487-1</f>
        <v>0.00522643080722496</v>
      </c>
      <c r="K488" s="32" t="n">
        <f aca="false">Data_Prices!K488/Data_Prices!K487-1</f>
        <v>-0.0216541398957449</v>
      </c>
      <c r="L488" s="32" t="n">
        <f aca="false">Data_Prices!L488/Data_Prices!L487-1</f>
        <v>-0.0250973123262279</v>
      </c>
      <c r="M488" s="32" t="n">
        <f aca="false">Data_Prices!M488/Data_Prices!M487-1</f>
        <v>-0.0338139030561021</v>
      </c>
      <c r="N488" s="32" t="n">
        <f aca="false">Data_Prices!N488/Data_Prices!N487-1</f>
        <v>-0.0322080400811166</v>
      </c>
      <c r="O488" s="32" t="n">
        <f aca="false">Data_Prices!O488/Data_Prices!O487-1</f>
        <v>-0.0292887029288703</v>
      </c>
      <c r="P488" s="32" t="n">
        <f aca="false">Data_Prices!P488/Data_Prices!P487-1</f>
        <v>-0.0195756838262526</v>
      </c>
      <c r="Q488" s="32" t="n">
        <f aca="false">Data_Prices!Q488/Data_Prices!Q487-1</f>
        <v>-0.0194107929515419</v>
      </c>
      <c r="R488" s="32" t="n">
        <f aca="false">Data_Prices!R488/Data_Prices!R487-1</f>
        <v>-0.0115008214872492</v>
      </c>
      <c r="S488" s="32" t="n">
        <f aca="false">Data_Prices!S488/Data_Prices!S487-1</f>
        <v>-0.0284768656967173</v>
      </c>
      <c r="T488" s="32" t="n">
        <f aca="false">AVERAGE(D488:S488)</f>
        <v>-0.0198635427262811</v>
      </c>
      <c r="U488" s="32" t="n">
        <f aca="false">AVERAGE(J488:S488)</f>
        <v>-0.0215799831442598</v>
      </c>
      <c r="V488" s="32" t="n">
        <f aca="false">AVERAGE(D488:I488)</f>
        <v>-0.0170028086963165</v>
      </c>
      <c r="W488" s="32" t="n">
        <f aca="false">AVERAGE(K488,Q488,R488)</f>
        <v>-0.017521918111512</v>
      </c>
      <c r="X488" s="32" t="n">
        <f aca="false">AVERAGE(K488,L488,N488,O488,P488,Q488,R488,S488)</f>
        <v>-0.0234015448992151</v>
      </c>
      <c r="Y488" s="32" t="n">
        <f aca="false">AVERAGE(J488,L488,M488,N488,O488,P488,Q488,R488,S488)</f>
        <v>-0.0215717435052059</v>
      </c>
      <c r="Z488" s="32" t="n">
        <f aca="false">U488-V488</f>
        <v>-0.00457717444794325</v>
      </c>
      <c r="AA488" s="32" t="n">
        <f aca="false">W488-V488</f>
        <v>-0.000519109415195469</v>
      </c>
    </row>
    <row r="489" customFormat="false" ht="15" hidden="false" customHeight="false" outlineLevel="0" collapsed="false">
      <c r="A489" s="28" t="n">
        <f aca="false">Data_Prices!A489</f>
        <v>45518</v>
      </c>
      <c r="B489" s="32" t="n">
        <f aca="false">Data_Prices!B489/Data_Prices!B488-1</f>
        <v>0.000196776999875636</v>
      </c>
      <c r="C489" s="32" t="n">
        <f aca="false">Data_Prices!C489/Data_Prices!C488-1</f>
        <v>-0.00145997938852616</v>
      </c>
      <c r="D489" s="32" t="n">
        <f aca="false">Data_Prices!D489/Data_Prices!D488-1</f>
        <v>-0.0162630265668575</v>
      </c>
      <c r="E489" s="32" t="n">
        <f aca="false">Data_Prices!E489/Data_Prices!E488-1</f>
        <v>0.00317618484150217</v>
      </c>
      <c r="F489" s="32" t="n">
        <f aca="false">Data_Prices!F489/Data_Prices!F488-1</f>
        <v>-0.0191690133886665</v>
      </c>
      <c r="G489" s="32" t="n">
        <f aca="false">Data_Prices!G489/Data_Prices!G488-1</f>
        <v>0.00288296711859104</v>
      </c>
      <c r="H489" s="32" t="n">
        <f aca="false">Data_Prices!H489/Data_Prices!H488-1</f>
        <v>0.0333499253359879</v>
      </c>
      <c r="I489" s="32" t="n">
        <f aca="false">Data_Prices!I489/Data_Prices!I488-1</f>
        <v>-0.0121951219512195</v>
      </c>
      <c r="J489" s="32" t="n">
        <f aca="false">Data_Prices!J489/Data_Prices!J488-1</f>
        <v>0.0275103556634766</v>
      </c>
      <c r="K489" s="32" t="n">
        <f aca="false">Data_Prices!K489/Data_Prices!K488-1</f>
        <v>-0.00102225733004968</v>
      </c>
      <c r="L489" s="32" t="n">
        <f aca="false">Data_Prices!L489/Data_Prices!L488-1</f>
        <v>0.0221309605293178</v>
      </c>
      <c r="M489" s="32" t="n">
        <f aca="false">Data_Prices!M489/Data_Prices!M488-1</f>
        <v>-0.0210316305748368</v>
      </c>
      <c r="N489" s="32" t="n">
        <f aca="false">Data_Prices!N489/Data_Prices!N488-1</f>
        <v>-0.0107235301368174</v>
      </c>
      <c r="O489" s="32" t="n">
        <f aca="false">Data_Prices!O489/Data_Prices!O488-1</f>
        <v>-0.00724137931034485</v>
      </c>
      <c r="P489" s="32" t="n">
        <f aca="false">Data_Prices!P489/Data_Prices!P488-1</f>
        <v>-0.0197776698505207</v>
      </c>
      <c r="Q489" s="32" t="n">
        <f aca="false">Data_Prices!Q489/Data_Prices!Q488-1</f>
        <v>-0.00505405025972194</v>
      </c>
      <c r="R489" s="32" t="n">
        <f aca="false">Data_Prices!R489/Data_Prices!R488-1</f>
        <v>-0.00325191501662092</v>
      </c>
      <c r="S489" s="32" t="n">
        <f aca="false">Data_Prices!S489/Data_Prices!S488-1</f>
        <v>0.00129697200269763</v>
      </c>
      <c r="T489" s="32" t="n">
        <f aca="false">AVERAGE(D489:S489)</f>
        <v>-0.00158638930588016</v>
      </c>
      <c r="U489" s="32" t="n">
        <f aca="false">AVERAGE(J489:S489)</f>
        <v>-0.00171641442834202</v>
      </c>
      <c r="V489" s="32" t="n">
        <f aca="false">AVERAGE(D489:I489)</f>
        <v>-0.00136968076844374</v>
      </c>
      <c r="W489" s="32" t="n">
        <f aca="false">AVERAGE(K489,Q489,R489)</f>
        <v>-0.00310940753546418</v>
      </c>
      <c r="X489" s="32" t="n">
        <f aca="false">AVERAGE(K489,L489,N489,O489,P489,Q489,R489,S489)</f>
        <v>-0.00295535867150749</v>
      </c>
      <c r="Y489" s="32" t="n">
        <f aca="false">AVERAGE(J489,L489,M489,N489,O489,P489,Q489,R489,S489)</f>
        <v>-0.00179354299481894</v>
      </c>
      <c r="Z489" s="32" t="n">
        <f aca="false">U489-V489</f>
        <v>-0.00034673365989828</v>
      </c>
      <c r="AA489" s="32" t="n">
        <f aca="false">W489-V489</f>
        <v>-0.00173972676702044</v>
      </c>
    </row>
    <row r="490" customFormat="false" ht="15" hidden="false" customHeight="false" outlineLevel="0" collapsed="false">
      <c r="A490" s="28" t="n">
        <f aca="false">Data_Prices!A490</f>
        <v>45520</v>
      </c>
      <c r="B490" s="32" t="n">
        <f aca="false">Data_Prices!B490/Data_Prices!B489-1</f>
        <v>0.0164597463111571</v>
      </c>
      <c r="C490" s="32" t="n">
        <f aca="false">Data_Prices!C490/Data_Prices!C489-1</f>
        <v>0.0169300897777718</v>
      </c>
      <c r="D490" s="32" t="n">
        <f aca="false">Data_Prices!D490/Data_Prices!D489-1</f>
        <v>0.00271552624511351</v>
      </c>
      <c r="E490" s="32" t="n">
        <f aca="false">Data_Prices!E490/Data_Prices!E489-1</f>
        <v>0.0361931959274895</v>
      </c>
      <c r="F490" s="32" t="n">
        <f aca="false">Data_Prices!F490/Data_Prices!F489-1</f>
        <v>0.0139021810305748</v>
      </c>
      <c r="G490" s="32" t="n">
        <f aca="false">Data_Prices!G490/Data_Prices!G489-1</f>
        <v>0.0228420480149174</v>
      </c>
      <c r="H490" s="32" t="n">
        <f aca="false">Data_Prices!H490/Data_Prices!H489-1</f>
        <v>-0.00698458574181116</v>
      </c>
      <c r="I490" s="32" t="n">
        <f aca="false">Data_Prices!I490/Data_Prices!I489-1</f>
        <v>0.0218177948063005</v>
      </c>
      <c r="J490" s="32" t="n">
        <f aca="false">Data_Prices!J490/Data_Prices!J489-1</f>
        <v>-0.0587466637010676</v>
      </c>
      <c r="K490" s="32" t="n">
        <f aca="false">Data_Prices!K490/Data_Prices!K489-1</f>
        <v>0.0204970773834443</v>
      </c>
      <c r="L490" s="32" t="n">
        <f aca="false">Data_Prices!L490/Data_Prices!L489-1</f>
        <v>0.0187127976190478</v>
      </c>
      <c r="M490" s="32" t="n">
        <f aca="false">Data_Prices!M490/Data_Prices!M489-1</f>
        <v>0.0287436844563325</v>
      </c>
      <c r="N490" s="32" t="n">
        <f aca="false">Data_Prices!N490/Data_Prices!N489-1</f>
        <v>0.00909543982058314</v>
      </c>
      <c r="O490" s="32" t="n">
        <f aca="false">Data_Prices!O490/Data_Prices!O489-1</f>
        <v>0.0276137547759641</v>
      </c>
      <c r="P490" s="32" t="n">
        <f aca="false">Data_Prices!P490/Data_Prices!P489-1</f>
        <v>0.0096341765531669</v>
      </c>
      <c r="Q490" s="32" t="n">
        <f aca="false">Data_Prices!Q490/Data_Prices!Q489-1</f>
        <v>0.0225765486101313</v>
      </c>
      <c r="R490" s="32" t="n">
        <f aca="false">Data_Prices!R490/Data_Prices!R489-1</f>
        <v>0.013050097875734</v>
      </c>
      <c r="S490" s="32" t="n">
        <f aca="false">Data_Prices!S490/Data_Prices!S489-1</f>
        <v>0.0298435287209422</v>
      </c>
      <c r="T490" s="32" t="n">
        <f aca="false">AVERAGE(D490:S490)</f>
        <v>0.0132191626498039</v>
      </c>
      <c r="U490" s="32" t="n">
        <f aca="false">AVERAGE(J490:S490)</f>
        <v>0.0121020442114278</v>
      </c>
      <c r="V490" s="32" t="n">
        <f aca="false">AVERAGE(D490:I490)</f>
        <v>0.0150810267137641</v>
      </c>
      <c r="W490" s="32" t="n">
        <f aca="false">AVERAGE(K490,Q490,R490)</f>
        <v>0.0187079079564365</v>
      </c>
      <c r="X490" s="32" t="n">
        <f aca="false">AVERAGE(K490,L490,N490,O490,P490,Q490,R490,S490)</f>
        <v>0.0188779276698767</v>
      </c>
      <c r="Y490" s="32" t="n">
        <f aca="false">AVERAGE(J490,L490,M490,N490,O490,P490,Q490,R490,S490)</f>
        <v>0.0111692627478705</v>
      </c>
      <c r="Z490" s="32" t="n">
        <f aca="false">U490-V490</f>
        <v>-0.00297898250233626</v>
      </c>
      <c r="AA490" s="32" t="n">
        <f aca="false">W490-V490</f>
        <v>0.00362688124267241</v>
      </c>
    </row>
    <row r="491" customFormat="false" ht="15" hidden="false" customHeight="false" outlineLevel="0" collapsed="false">
      <c r="A491" s="28" t="n">
        <f aca="false">Data_Prices!A491</f>
        <v>45523</v>
      </c>
      <c r="B491" s="32" t="n">
        <f aca="false">Data_Prices!B491/Data_Prices!B490-1</f>
        <v>0.00128355843145078</v>
      </c>
      <c r="C491" s="32" t="n">
        <f aca="false">Data_Prices!C491/Data_Prices!C490-1</f>
        <v>0.00361069546548687</v>
      </c>
      <c r="D491" s="32" t="n">
        <f aca="false">Data_Prices!D491/Data_Prices!D490-1</f>
        <v>-0.0108624486637701</v>
      </c>
      <c r="E491" s="32" t="n">
        <f aca="false">Data_Prices!E491/Data_Prices!E490-1</f>
        <v>0.0110239050985561</v>
      </c>
      <c r="F491" s="32" t="n">
        <f aca="false">Data_Prices!F491/Data_Prices!F490-1</f>
        <v>0.0126186099657211</v>
      </c>
      <c r="G491" s="32" t="n">
        <f aca="false">Data_Prices!G491/Data_Prices!G490-1</f>
        <v>0.014963919483479</v>
      </c>
      <c r="H491" s="32" t="n">
        <f aca="false">Data_Prices!H491/Data_Prices!H490-1</f>
        <v>-0.00266796022313853</v>
      </c>
      <c r="I491" s="32" t="n">
        <f aca="false">Data_Prices!I491/Data_Prices!I490-1</f>
        <v>0.001354025622331</v>
      </c>
      <c r="J491" s="32" t="n">
        <f aca="false">Data_Prices!J491/Data_Prices!J490-1</f>
        <v>-0.0355929700191995</v>
      </c>
      <c r="K491" s="32" t="n">
        <f aca="false">Data_Prices!K491/Data_Prices!K490-1</f>
        <v>0.00387426123155921</v>
      </c>
      <c r="L491" s="32" t="n">
        <f aca="false">Data_Prices!L491/Data_Prices!L490-1</f>
        <v>-0.0142058941679144</v>
      </c>
      <c r="M491" s="32" t="n">
        <f aca="false">Data_Prices!M491/Data_Prices!M490-1</f>
        <v>0.0123400742880726</v>
      </c>
      <c r="N491" s="32" t="n">
        <f aca="false">Data_Prices!N491/Data_Prices!N490-1</f>
        <v>0.121249536979874</v>
      </c>
      <c r="O491" s="32" t="n">
        <f aca="false">Data_Prices!O491/Data_Prices!O490-1</f>
        <v>0.00185905019435517</v>
      </c>
      <c r="P491" s="32" t="n">
        <f aca="false">Data_Prices!P491/Data_Prices!P490-1</f>
        <v>0.00348973527086338</v>
      </c>
      <c r="Q491" s="32" t="n">
        <f aca="false">Data_Prices!Q491/Data_Prices!Q490-1</f>
        <v>0.0238719470125568</v>
      </c>
      <c r="R491" s="32" t="n">
        <f aca="false">Data_Prices!R491/Data_Prices!R490-1</f>
        <v>0.00178916481786295</v>
      </c>
      <c r="S491" s="32" t="n">
        <f aca="false">Data_Prices!S491/Data_Prices!S490-1</f>
        <v>0.0315612946503439</v>
      </c>
      <c r="T491" s="32" t="n">
        <f aca="false">AVERAGE(D491:S491)</f>
        <v>0.011041640721347</v>
      </c>
      <c r="U491" s="32" t="n">
        <f aca="false">AVERAGE(J491:S491)</f>
        <v>0.0150236200258374</v>
      </c>
      <c r="V491" s="32" t="n">
        <f aca="false">AVERAGE(D491:I491)</f>
        <v>0.00440500854719643</v>
      </c>
      <c r="W491" s="32" t="n">
        <f aca="false">AVERAGE(K491,Q491,R491)</f>
        <v>0.00984512435399298</v>
      </c>
      <c r="X491" s="32" t="n">
        <f aca="false">AVERAGE(K491,L491,N491,O491,P491,Q491,R491,S491)</f>
        <v>0.0216861369986876</v>
      </c>
      <c r="Y491" s="32" t="n">
        <f aca="false">AVERAGE(J491,L491,M491,N491,O491,P491,Q491,R491,S491)</f>
        <v>0.0162624376696461</v>
      </c>
      <c r="Z491" s="32" t="n">
        <f aca="false">U491-V491</f>
        <v>0.010618611478641</v>
      </c>
      <c r="AA491" s="32" t="n">
        <f aca="false">W491-V491</f>
        <v>0.00544011580679656</v>
      </c>
    </row>
    <row r="492" customFormat="false" ht="15" hidden="false" customHeight="false" outlineLevel="0" collapsed="false">
      <c r="A492" s="28" t="n">
        <f aca="false">Data_Prices!A492</f>
        <v>45524</v>
      </c>
      <c r="B492" s="32" t="n">
        <f aca="false">Data_Prices!B492/Data_Prices!B491-1</f>
        <v>0.00513579121502961</v>
      </c>
      <c r="C492" s="32" t="n">
        <f aca="false">Data_Prices!C492/Data_Prices!C491-1</f>
        <v>0.00607612441793881</v>
      </c>
      <c r="D492" s="32" t="n">
        <f aca="false">Data_Prices!D492/Data_Prices!D491-1</f>
        <v>0.0068899118452328</v>
      </c>
      <c r="E492" s="32" t="n">
        <f aca="false">Data_Prices!E492/Data_Prices!E491-1</f>
        <v>0.00462222222222231</v>
      </c>
      <c r="F492" s="32" t="n">
        <f aca="false">Data_Prices!F492/Data_Prices!F491-1</f>
        <v>0.0135406956777708</v>
      </c>
      <c r="G492" s="32" t="n">
        <f aca="false">Data_Prices!G492/Data_Prices!G491-1</f>
        <v>0.00987876066457116</v>
      </c>
      <c r="H492" s="32" t="n">
        <f aca="false">Data_Prices!H492/Data_Prices!H491-1</f>
        <v>-0.0139834630350194</v>
      </c>
      <c r="I492" s="32" t="n">
        <f aca="false">Data_Prices!I492/Data_Prices!I491-1</f>
        <v>0.0197628458498025</v>
      </c>
      <c r="J492" s="32" t="n">
        <f aca="false">Data_Prices!J492/Data_Prices!J491-1</f>
        <v>-0.00986217457886673</v>
      </c>
      <c r="K492" s="32" t="n">
        <f aca="false">Data_Prices!K492/Data_Prices!K491-1</f>
        <v>0.0159972152435148</v>
      </c>
      <c r="L492" s="32" t="n">
        <f aca="false">Data_Prices!L492/Data_Prices!L491-1</f>
        <v>0.0282655404904792</v>
      </c>
      <c r="M492" s="32" t="n">
        <f aca="false">Data_Prices!M492/Data_Prices!M491-1</f>
        <v>0.00179379509967803</v>
      </c>
      <c r="N492" s="32" t="n">
        <f aca="false">Data_Prices!N492/Data_Prices!N491-1</f>
        <v>0.0128840436075321</v>
      </c>
      <c r="O492" s="32" t="n">
        <f aca="false">Data_Prices!O492/Data_Prices!O491-1</f>
        <v>0.0244601889338731</v>
      </c>
      <c r="P492" s="32" t="n">
        <f aca="false">Data_Prices!P492/Data_Prices!P491-1</f>
        <v>0.0189909528078898</v>
      </c>
      <c r="Q492" s="32" t="n">
        <f aca="false">Data_Prices!Q492/Data_Prices!Q491-1</f>
        <v>0.0774932614555257</v>
      </c>
      <c r="R492" s="32" t="n">
        <f aca="false">Data_Prices!R492/Data_Prices!R491-1</f>
        <v>0.015430775825118</v>
      </c>
      <c r="S492" s="32" t="n">
        <f aca="false">Data_Prices!S492/Data_Prices!S491-1</f>
        <v>0.0273930290024711</v>
      </c>
      <c r="T492" s="32" t="n">
        <f aca="false">AVERAGE(D492:S492)</f>
        <v>0.0158473500694872</v>
      </c>
      <c r="U492" s="32" t="n">
        <f aca="false">AVERAGE(J492:S492)</f>
        <v>0.0212846627887215</v>
      </c>
      <c r="V492" s="32" t="n">
        <f aca="false">AVERAGE(D492:I492)</f>
        <v>0.0067851622040967</v>
      </c>
      <c r="W492" s="32" t="n">
        <f aca="false">AVERAGE(K492,Q492,R492)</f>
        <v>0.0363070841747195</v>
      </c>
      <c r="X492" s="32" t="n">
        <f aca="false">AVERAGE(K492,L492,N492,O492,P492,Q492,R492,S492)</f>
        <v>0.0276143759208005</v>
      </c>
      <c r="Y492" s="32" t="n">
        <f aca="false">AVERAGE(J492,L492,M492,N492,O492,P492,Q492,R492,S492)</f>
        <v>0.0218721569604112</v>
      </c>
      <c r="Z492" s="32" t="n">
        <f aca="false">U492-V492</f>
        <v>0.0144995005846248</v>
      </c>
      <c r="AA492" s="32" t="n">
        <f aca="false">W492-V492</f>
        <v>0.0295219219706228</v>
      </c>
    </row>
    <row r="493" customFormat="false" ht="15" hidden="false" customHeight="false" outlineLevel="0" collapsed="false">
      <c r="A493" s="28" t="n">
        <f aca="false">Data_Prices!A493</f>
        <v>45525</v>
      </c>
      <c r="B493" s="32" t="n">
        <f aca="false">Data_Prices!B493/Data_Prices!B492-1</f>
        <v>0.0028887984663255</v>
      </c>
      <c r="C493" s="32" t="n">
        <f aca="false">Data_Prices!C493/Data_Prices!C492-1</f>
        <v>0.00379289830264584</v>
      </c>
      <c r="D493" s="32" t="n">
        <f aca="false">Data_Prices!D493/Data_Prices!D492-1</f>
        <v>0.0159863742305624</v>
      </c>
      <c r="E493" s="32" t="n">
        <f aca="false">Data_Prices!E493/Data_Prices!E492-1</f>
        <v>-0.000766825930513693</v>
      </c>
      <c r="F493" s="32" t="n">
        <f aca="false">Data_Prices!F493/Data_Prices!F492-1</f>
        <v>0.0115688077835328</v>
      </c>
      <c r="G493" s="32" t="n">
        <f aca="false">Data_Prices!G493/Data_Prices!G492-1</f>
        <v>0.00622498888394829</v>
      </c>
      <c r="H493" s="32" t="n">
        <f aca="false">Data_Prices!H493/Data_Prices!H492-1</f>
        <v>0.101060550006166</v>
      </c>
      <c r="I493" s="32" t="n">
        <f aca="false">Data_Prices!I493/Data_Prices!I492-1</f>
        <v>0.00805793553651579</v>
      </c>
      <c r="J493" s="32" t="n">
        <f aca="false">Data_Prices!J493/Data_Prices!J492-1</f>
        <v>-0.00182504330611233</v>
      </c>
      <c r="K493" s="32" t="n">
        <f aca="false">Data_Prices!K493/Data_Prices!K492-1</f>
        <v>0.00195140844021391</v>
      </c>
      <c r="L493" s="32" t="n">
        <f aca="false">Data_Prices!L493/Data_Prices!L492-1</f>
        <v>0.00904276398746284</v>
      </c>
      <c r="M493" s="32" t="n">
        <f aca="false">Data_Prices!M493/Data_Prices!M492-1</f>
        <v>-0.00508688397835022</v>
      </c>
      <c r="N493" s="32" t="n">
        <f aca="false">Data_Prices!N493/Data_Prices!N492-1</f>
        <v>0.0101108936725376</v>
      </c>
      <c r="O493" s="32" t="n">
        <f aca="false">Data_Prices!O493/Data_Prices!O492-1</f>
        <v>0.0135023876173226</v>
      </c>
      <c r="P493" s="32" t="n">
        <f aca="false">Data_Prices!P493/Data_Prices!P492-1</f>
        <v>0.0214632325494588</v>
      </c>
      <c r="Q493" s="32" t="n">
        <f aca="false">Data_Prices!Q493/Data_Prices!Q492-1</f>
        <v>0.000500312695434602</v>
      </c>
      <c r="R493" s="32" t="n">
        <f aca="false">Data_Prices!R493/Data_Prices!R492-1</f>
        <v>-0.00161812297734643</v>
      </c>
      <c r="S493" s="32" t="n">
        <f aca="false">Data_Prices!S493/Data_Prices!S492-1</f>
        <v>-0.000253176574837588</v>
      </c>
      <c r="T493" s="32" t="n">
        <f aca="false">AVERAGE(D493:S493)</f>
        <v>0.0118699751647497</v>
      </c>
      <c r="U493" s="32" t="n">
        <f aca="false">AVERAGE(J493:S493)</f>
        <v>0.00477877721257838</v>
      </c>
      <c r="V493" s="32" t="n">
        <f aca="false">AVERAGE(D493:I493)</f>
        <v>0.0236886384183686</v>
      </c>
      <c r="W493" s="32" t="n">
        <f aca="false">AVERAGE(K493,Q493,R493)</f>
        <v>0.000277866052767362</v>
      </c>
      <c r="X493" s="32" t="n">
        <f aca="false">AVERAGE(K493,L493,N493,O493,P493,Q493,R493,S493)</f>
        <v>0.00683746242628079</v>
      </c>
      <c r="Y493" s="32" t="n">
        <f aca="false">AVERAGE(J493,L493,M493,N493,O493,P493,Q493,R493,S493)</f>
        <v>0.00509292929839665</v>
      </c>
      <c r="Z493" s="32" t="n">
        <f aca="false">U493-V493</f>
        <v>-0.0189098612057902</v>
      </c>
      <c r="AA493" s="32" t="n">
        <f aca="false">W493-V493</f>
        <v>-0.0234107723656012</v>
      </c>
    </row>
    <row r="494" customFormat="false" ht="15" hidden="false" customHeight="false" outlineLevel="0" collapsed="false">
      <c r="A494" s="28" t="n">
        <f aca="false">Data_Prices!A494</f>
        <v>45526</v>
      </c>
      <c r="B494" s="32" t="n">
        <f aca="false">Data_Prices!B494/Data_Prices!B493-1</f>
        <v>0.00166732606115416</v>
      </c>
      <c r="C494" s="32" t="n">
        <f aca="false">Data_Prices!C494/Data_Prices!C493-1</f>
        <v>0.00308319051378669</v>
      </c>
      <c r="D494" s="32" t="n">
        <f aca="false">Data_Prices!D494/Data_Prices!D493-1</f>
        <v>-0.0034704861621716</v>
      </c>
      <c r="E494" s="32" t="n">
        <f aca="false">Data_Prices!E494/Data_Prices!E493-1</f>
        <v>0.00306965761511213</v>
      </c>
      <c r="F494" s="32" t="n">
        <f aca="false">Data_Prices!F494/Data_Prices!F493-1</f>
        <v>0.00315819695664654</v>
      </c>
      <c r="G494" s="32" t="n">
        <f aca="false">Data_Prices!G494/Data_Prices!G493-1</f>
        <v>0.00508174988952725</v>
      </c>
      <c r="H494" s="32" t="n">
        <f aca="false">Data_Prices!H494/Data_Prices!H493-1</f>
        <v>-0.0287842302738423</v>
      </c>
      <c r="I494" s="32" t="n">
        <f aca="false">Data_Prices!I494/Data_Prices!I493-1</f>
        <v>-0.00172012546797529</v>
      </c>
      <c r="J494" s="32" t="n">
        <f aca="false">Data_Prices!J494/Data_Prices!J493-1</f>
        <v>0.0351110973380024</v>
      </c>
      <c r="K494" s="32" t="n">
        <f aca="false">Data_Prices!K494/Data_Prices!K493-1</f>
        <v>0.00121911331806968</v>
      </c>
      <c r="L494" s="32" t="n">
        <f aca="false">Data_Prices!L494/Data_Prices!L493-1</f>
        <v>-0.0248143387603542</v>
      </c>
      <c r="M494" s="32" t="n">
        <f aca="false">Data_Prices!M494/Data_Prices!M493-1</f>
        <v>-0.00155431937172779</v>
      </c>
      <c r="N494" s="32" t="n">
        <f aca="false">Data_Prices!N494/Data_Prices!N493-1</f>
        <v>0.00688838661069857</v>
      </c>
      <c r="O494" s="32" t="n">
        <f aca="false">Data_Prices!O494/Data_Prices!O493-1</f>
        <v>0.0193338748984564</v>
      </c>
      <c r="P494" s="32" t="n">
        <f aca="false">Data_Prices!P494/Data_Prices!P493-1</f>
        <v>0.00660384745895448</v>
      </c>
      <c r="Q494" s="32" t="n">
        <f aca="false">Data_Prices!Q494/Data_Prices!Q493-1</f>
        <v>0.0076259532441556</v>
      </c>
      <c r="R494" s="32" t="n">
        <f aca="false">Data_Prices!R494/Data_Prices!R493-1</f>
        <v>0.00690578535691655</v>
      </c>
      <c r="S494" s="32" t="n">
        <f aca="false">Data_Prices!S494/Data_Prices!S493-1</f>
        <v>-0.00489071081496006</v>
      </c>
      <c r="T494" s="32" t="n">
        <f aca="false">AVERAGE(D494:S494)</f>
        <v>0.00186021573971928</v>
      </c>
      <c r="U494" s="32" t="n">
        <f aca="false">AVERAGE(J494:S494)</f>
        <v>0.00524286892782117</v>
      </c>
      <c r="V494" s="32" t="n">
        <f aca="false">AVERAGE(D494:I494)</f>
        <v>-0.00377753957378387</v>
      </c>
      <c r="W494" s="32" t="n">
        <f aca="false">AVERAGE(K494,Q494,R494)</f>
        <v>0.00525028397304728</v>
      </c>
      <c r="X494" s="32" t="n">
        <f aca="false">AVERAGE(K494,L494,N494,O494,P494,Q494,R494,S494)</f>
        <v>0.00235898891399212</v>
      </c>
      <c r="Y494" s="32" t="n">
        <f aca="false">AVERAGE(J494,L494,M494,N494,O494,P494,Q494,R494,S494)</f>
        <v>0.00568995288446022</v>
      </c>
      <c r="Z494" s="32" t="n">
        <f aca="false">U494-V494</f>
        <v>0.00902040850160503</v>
      </c>
      <c r="AA494" s="32" t="n">
        <f aca="false">W494-V494</f>
        <v>0.00902782354683115</v>
      </c>
    </row>
    <row r="495" customFormat="false" ht="15" hidden="false" customHeight="false" outlineLevel="0" collapsed="false">
      <c r="A495" s="28" t="n">
        <f aca="false">Data_Prices!A495</f>
        <v>45527</v>
      </c>
      <c r="B495" s="32" t="n">
        <f aca="false">Data_Prices!B495/Data_Prices!B494-1</f>
        <v>0.000469540334119278</v>
      </c>
      <c r="C495" s="32" t="n">
        <f aca="false">Data_Prices!C495/Data_Prices!C494-1</f>
        <v>-0.000940671566975304</v>
      </c>
      <c r="D495" s="32" t="n">
        <f aca="false">Data_Prices!D495/Data_Prices!D494-1</f>
        <v>-0.00690611811232778</v>
      </c>
      <c r="E495" s="32" t="n">
        <f aca="false">Data_Prices!E495/Data_Prices!E494-1</f>
        <v>0.000588512241054717</v>
      </c>
      <c r="F495" s="32" t="n">
        <f aca="false">Data_Prices!F495/Data_Prices!F494-1</f>
        <v>0.005580995993131</v>
      </c>
      <c r="G495" s="32" t="n">
        <f aca="false">Data_Prices!G495/Data_Prices!G494-1</f>
        <v>-0.0142888546933392</v>
      </c>
      <c r="H495" s="32" t="n">
        <f aca="false">Data_Prices!H495/Data_Prices!H494-1</f>
        <v>-0.000634261661765501</v>
      </c>
      <c r="I495" s="32" t="n">
        <f aca="false">Data_Prices!I495/Data_Prices!I494-1</f>
        <v>0.0184471923778633</v>
      </c>
      <c r="J495" s="32" t="n">
        <f aca="false">Data_Prices!J495/Data_Prices!J494-1</f>
        <v>0.00937069636548715</v>
      </c>
      <c r="K495" s="32" t="n">
        <f aca="false">Data_Prices!K495/Data_Prices!K494-1</f>
        <v>-0.00114338322641971</v>
      </c>
      <c r="L495" s="32" t="n">
        <f aca="false">Data_Prices!L495/Data_Prices!L494-1</f>
        <v>-0.0123384468934208</v>
      </c>
      <c r="M495" s="32" t="n">
        <f aca="false">Data_Prices!M495/Data_Prices!M494-1</f>
        <v>-0.0138467841048752</v>
      </c>
      <c r="N495" s="32" t="n">
        <f aca="false">Data_Prices!N495/Data_Prices!N494-1</f>
        <v>-0.0193479422768573</v>
      </c>
      <c r="O495" s="32" t="n">
        <f aca="false">Data_Prices!O495/Data_Prices!O494-1</f>
        <v>-0.027733503347147</v>
      </c>
      <c r="P495" s="32" t="n">
        <f aca="false">Data_Prices!P495/Data_Prices!P494-1</f>
        <v>-0.0142101441759154</v>
      </c>
      <c r="Q495" s="32" t="n">
        <f aca="false">Data_Prices!Q495/Data_Prices!Q494-1</f>
        <v>-0.00645161290322582</v>
      </c>
      <c r="R495" s="32" t="n">
        <f aca="false">Data_Prices!R495/Data_Prices!R494-1</f>
        <v>0.00307929176289434</v>
      </c>
      <c r="S495" s="32" t="n">
        <f aca="false">Data_Prices!S495/Data_Prices!S494-1</f>
        <v>-0.00542371803028385</v>
      </c>
      <c r="T495" s="32" t="n">
        <f aca="false">AVERAGE(D495:S495)</f>
        <v>-0.00532863004282168</v>
      </c>
      <c r="U495" s="32" t="n">
        <f aca="false">AVERAGE(J495:S495)</f>
        <v>-0.00880455468297635</v>
      </c>
      <c r="V495" s="32" t="n">
        <f aca="false">AVERAGE(D495:I495)</f>
        <v>0.000464577690769426</v>
      </c>
      <c r="W495" s="32" t="n">
        <f aca="false">AVERAGE(K495,Q495,R495)</f>
        <v>-0.00150523478891706</v>
      </c>
      <c r="X495" s="32" t="n">
        <f aca="false">AVERAGE(K495,L495,N495,O495,P495,Q495,R495,S495)</f>
        <v>-0.0104461823862969</v>
      </c>
      <c r="Y495" s="32" t="n">
        <f aca="false">AVERAGE(J495,L495,M495,N495,O495,P495,Q495,R495,S495)</f>
        <v>-0.00965579595592709</v>
      </c>
      <c r="Z495" s="32" t="n">
        <f aca="false">U495-V495</f>
        <v>-0.00926913237374578</v>
      </c>
      <c r="AA495" s="32" t="n">
        <f aca="false">W495-V495</f>
        <v>-0.00196981247968649</v>
      </c>
    </row>
    <row r="496" customFormat="false" ht="15" hidden="false" customHeight="false" outlineLevel="0" collapsed="false">
      <c r="A496" s="28" t="n">
        <f aca="false">Data_Prices!A496</f>
        <v>45530</v>
      </c>
      <c r="B496" s="32" t="n">
        <f aca="false">Data_Prices!B496/Data_Prices!B495-1</f>
        <v>0.0075514187361394</v>
      </c>
      <c r="C496" s="32" t="n">
        <f aca="false">Data_Prices!C496/Data_Prices!C495-1</f>
        <v>0.00611051448311484</v>
      </c>
      <c r="D496" s="32" t="n">
        <f aca="false">Data_Prices!D496/Data_Prices!D495-1</f>
        <v>0.00267467086689055</v>
      </c>
      <c r="E496" s="32" t="n">
        <f aca="false">Data_Prices!E496/Data_Prices!E495-1</f>
        <v>0.00264674744147753</v>
      </c>
      <c r="F496" s="32" t="n">
        <f aca="false">Data_Prices!F496/Data_Prices!F495-1</f>
        <v>0.0367155258289456</v>
      </c>
      <c r="G496" s="32" t="n">
        <f aca="false">Data_Prices!G496/Data_Prices!G495-1</f>
        <v>-0.010035682426405</v>
      </c>
      <c r="H496" s="32" t="n">
        <f aca="false">Data_Prices!H496/Data_Prices!H495-1</f>
        <v>0.013270251557812</v>
      </c>
      <c r="I496" s="32" t="n">
        <f aca="false">Data_Prices!I496/Data_Prices!I495-1</f>
        <v>0.000895700636942776</v>
      </c>
      <c r="J496" s="32" t="n">
        <f aca="false">Data_Prices!J496/Data_Prices!J495-1</f>
        <v>0.00898709773098028</v>
      </c>
      <c r="K496" s="32" t="n">
        <f aca="false">Data_Prices!K496/Data_Prices!K495-1</f>
        <v>0.00630323932983479</v>
      </c>
      <c r="L496" s="32" t="n">
        <f aca="false">Data_Prices!L496/Data_Prices!L495-1</f>
        <v>0.0342897390272836</v>
      </c>
      <c r="M496" s="32" t="n">
        <f aca="false">Data_Prices!M496/Data_Prices!M495-1</f>
        <v>0.00664672648720499</v>
      </c>
      <c r="N496" s="32" t="n">
        <f aca="false">Data_Prices!N496/Data_Prices!N495-1</f>
        <v>0.00305210377152831</v>
      </c>
      <c r="O496" s="32" t="n">
        <f aca="false">Data_Prices!O496/Data_Prices!O495-1</f>
        <v>0.0339344262295083</v>
      </c>
      <c r="P496" s="32" t="n">
        <f aca="false">Data_Prices!P496/Data_Prices!P495-1</f>
        <v>0.0186500420875422</v>
      </c>
      <c r="Q496" s="32" t="n">
        <f aca="false">Data_Prices!Q496/Data_Prices!Q495-1</f>
        <v>0.0151098901098901</v>
      </c>
      <c r="R496" s="32" t="n">
        <f aca="false">Data_Prices!R496/Data_Prices!R495-1</f>
        <v>0.00516291076536679</v>
      </c>
      <c r="S496" s="32" t="n">
        <f aca="false">Data_Prices!S496/Data_Prices!S495-1</f>
        <v>0.0113863523692248</v>
      </c>
      <c r="T496" s="32" t="n">
        <f aca="false">AVERAGE(D496:S496)</f>
        <v>0.0118556088633767</v>
      </c>
      <c r="U496" s="32" t="n">
        <f aca="false">AVERAGE(J496:S496)</f>
        <v>0.0143522527908364</v>
      </c>
      <c r="V496" s="32" t="n">
        <f aca="false">AVERAGE(D496:I496)</f>
        <v>0.00769453565094391</v>
      </c>
      <c r="W496" s="32" t="n">
        <f aca="false">AVERAGE(K496,Q496,R496)</f>
        <v>0.00885868006836388</v>
      </c>
      <c r="X496" s="32" t="n">
        <f aca="false">AVERAGE(K496,L496,N496,O496,P496,Q496,R496,S496)</f>
        <v>0.0159860879612724</v>
      </c>
      <c r="Y496" s="32" t="n">
        <f aca="false">AVERAGE(J496,L496,M496,N496,O496,P496,Q496,R496,S496)</f>
        <v>0.0152465876198366</v>
      </c>
      <c r="Z496" s="32" t="n">
        <f aca="false">U496-V496</f>
        <v>0.00665771713989249</v>
      </c>
      <c r="AA496" s="32" t="n">
        <f aca="false">W496-V496</f>
        <v>0.00116414441741997</v>
      </c>
    </row>
    <row r="497" customFormat="false" ht="15" hidden="false" customHeight="false" outlineLevel="0" collapsed="false">
      <c r="A497" s="28" t="n">
        <f aca="false">Data_Prices!A497</f>
        <v>45531</v>
      </c>
      <c r="B497" s="32" t="n">
        <f aca="false">Data_Prices!B497/Data_Prices!B496-1</f>
        <v>0.000285878787394278</v>
      </c>
      <c r="C497" s="32" t="n">
        <f aca="false">Data_Prices!C497/Data_Prices!C496-1</f>
        <v>0.00182923594384965</v>
      </c>
      <c r="D497" s="32" t="n">
        <f aca="false">Data_Prices!D497/Data_Prices!D496-1</f>
        <v>0.00201547170929772</v>
      </c>
      <c r="E497" s="32" t="n">
        <f aca="false">Data_Prices!E497/Data_Prices!E496-1</f>
        <v>0.0105003812987621</v>
      </c>
      <c r="F497" s="32" t="n">
        <f aca="false">Data_Prices!F497/Data_Prices!F496-1</f>
        <v>0.00599405170441547</v>
      </c>
      <c r="G497" s="32" t="n">
        <f aca="false">Data_Prices!G497/Data_Prices!G496-1</f>
        <v>0.0274085755049935</v>
      </c>
      <c r="H497" s="32" t="n">
        <f aca="false">Data_Prices!H497/Data_Prices!H496-1</f>
        <v>0.00301787951258392</v>
      </c>
      <c r="I497" s="32" t="n">
        <f aca="false">Data_Prices!I497/Data_Prices!I496-1</f>
        <v>-0.00169036491995633</v>
      </c>
      <c r="J497" s="32" t="n">
        <f aca="false">Data_Prices!J497/Data_Prices!J496-1</f>
        <v>0.0176083250044092</v>
      </c>
      <c r="K497" s="32" t="n">
        <f aca="false">Data_Prices!K497/Data_Prices!K496-1</f>
        <v>0.012586606786722</v>
      </c>
      <c r="L497" s="32" t="n">
        <f aca="false">Data_Prices!L497/Data_Prices!L496-1</f>
        <v>0.034944984050751</v>
      </c>
      <c r="M497" s="32" t="n">
        <f aca="false">Data_Prices!M497/Data_Prices!M496-1</f>
        <v>0.000247606470782591</v>
      </c>
      <c r="N497" s="32" t="n">
        <f aca="false">Data_Prices!N497/Data_Prices!N496-1</f>
        <v>0.00597696153010219</v>
      </c>
      <c r="O497" s="32" t="n">
        <f aca="false">Data_Prices!O497/Data_Prices!O496-1</f>
        <v>0.0158553987632788</v>
      </c>
      <c r="P497" s="32" t="n">
        <f aca="false">Data_Prices!P497/Data_Prices!P496-1</f>
        <v>0.0258231116849581</v>
      </c>
      <c r="Q497" s="32" t="n">
        <f aca="false">Data_Prices!Q497/Data_Prices!Q496-1</f>
        <v>-0.00959527617173084</v>
      </c>
      <c r="R497" s="32" t="n">
        <f aca="false">Data_Prices!R497/Data_Prices!R496-1</f>
        <v>0.0227667106267786</v>
      </c>
      <c r="S497" s="32" t="n">
        <f aca="false">Data_Prices!S497/Data_Prices!S496-1</f>
        <v>0.0212829878405516</v>
      </c>
      <c r="T497" s="32" t="n">
        <f aca="false">AVERAGE(D497:S497)</f>
        <v>0.0121714632122937</v>
      </c>
      <c r="U497" s="32" t="n">
        <f aca="false">AVERAGE(J497:S497)</f>
        <v>0.0147497416586603</v>
      </c>
      <c r="V497" s="32" t="n">
        <f aca="false">AVERAGE(D497:I497)</f>
        <v>0.0078743324683494</v>
      </c>
      <c r="W497" s="32" t="n">
        <f aca="false">AVERAGE(K497,Q497,R497)</f>
        <v>0.00858601374725657</v>
      </c>
      <c r="X497" s="32" t="n">
        <f aca="false">AVERAGE(K497,L497,N497,O497,P497,Q497,R497,S497)</f>
        <v>0.0162051856389264</v>
      </c>
      <c r="Y497" s="32" t="n">
        <f aca="false">AVERAGE(J497,L497,M497,N497,O497,P497,Q497,R497,S497)</f>
        <v>0.0149900899777646</v>
      </c>
      <c r="Z497" s="32" t="n">
        <f aca="false">U497-V497</f>
        <v>0.00687540919031092</v>
      </c>
      <c r="AA497" s="32" t="n">
        <f aca="false">W497-V497</f>
        <v>0.000711681278907176</v>
      </c>
    </row>
    <row r="498" customFormat="false" ht="15" hidden="false" customHeight="false" outlineLevel="0" collapsed="false">
      <c r="A498" s="28" t="n">
        <f aca="false">Data_Prices!A498</f>
        <v>45532</v>
      </c>
      <c r="B498" s="32" t="n">
        <f aca="false">Data_Prices!B498/Data_Prices!B497-1</f>
        <v>0.00138301805717944</v>
      </c>
      <c r="C498" s="32" t="n">
        <f aca="false">Data_Prices!C498/Data_Prices!C497-1</f>
        <v>0.000470242344264182</v>
      </c>
      <c r="D498" s="32" t="n">
        <f aca="false">Data_Prices!D498/Data_Prices!D497-1</f>
        <v>0.0175999053450469</v>
      </c>
      <c r="E498" s="32" t="n">
        <f aca="false">Data_Prices!E498/Data_Prices!E497-1</f>
        <v>0.0143968419830489</v>
      </c>
      <c r="F498" s="32" t="n">
        <f aca="false">Data_Prices!F498/Data_Prices!F497-1</f>
        <v>-0.00322932775402529</v>
      </c>
      <c r="G498" s="32" t="n">
        <f aca="false">Data_Prices!G498/Data_Prices!G497-1</f>
        <v>-0.0134483262680896</v>
      </c>
      <c r="H498" s="32" t="n">
        <f aca="false">Data_Prices!H498/Data_Prices!H497-1</f>
        <v>0.0246948623332388</v>
      </c>
      <c r="I498" s="32" t="n">
        <f aca="false">Data_Prices!I498/Data_Prices!I497-1</f>
        <v>0.0538844621513943</v>
      </c>
      <c r="J498" s="32" t="n">
        <f aca="false">Data_Prices!J498/Data_Prices!J497-1</f>
        <v>-0.00248432850911395</v>
      </c>
      <c r="K498" s="32" t="n">
        <f aca="false">Data_Prices!K498/Data_Prices!K497-1</f>
        <v>0.00529594561078439</v>
      </c>
      <c r="L498" s="32" t="n">
        <f aca="false">Data_Prices!L498/Data_Prices!L497-1</f>
        <v>0.00477905527081313</v>
      </c>
      <c r="M498" s="32" t="n">
        <f aca="false">Data_Prices!M498/Data_Prices!M497-1</f>
        <v>-0.0083752784883242</v>
      </c>
      <c r="N498" s="32" t="n">
        <f aca="false">Data_Prices!N498/Data_Prices!N497-1</f>
        <v>-0.015339742897267</v>
      </c>
      <c r="O498" s="32" t="n">
        <f aca="false">Data_Prices!O498/Data_Prices!O497-1</f>
        <v>-0.0159200874044015</v>
      </c>
      <c r="P498" s="32" t="n">
        <f aca="false">Data_Prices!P498/Data_Prices!P497-1</f>
        <v>-0.0139962240402769</v>
      </c>
      <c r="Q498" s="32" t="n">
        <f aca="false">Data_Prices!Q498/Data_Prices!Q497-1</f>
        <v>-0.00707986585517328</v>
      </c>
      <c r="R498" s="32" t="n">
        <f aca="false">Data_Prices!R498/Data_Prices!R497-1</f>
        <v>-0.00739735324058366</v>
      </c>
      <c r="S498" s="32" t="n">
        <f aca="false">Data_Prices!S498/Data_Prices!S497-1</f>
        <v>-0.00854634690117506</v>
      </c>
      <c r="T498" s="32" t="n">
        <f aca="false">AVERAGE(D498:S498)</f>
        <v>0.0015521369584935</v>
      </c>
      <c r="U498" s="32" t="n">
        <f aca="false">AVERAGE(J498:S498)</f>
        <v>-0.00690642264547181</v>
      </c>
      <c r="V498" s="32" t="n">
        <f aca="false">AVERAGE(D498:I498)</f>
        <v>0.0156497362984357</v>
      </c>
      <c r="W498" s="32" t="n">
        <f aca="false">AVERAGE(K498,Q498,R498)</f>
        <v>-0.00306042449499085</v>
      </c>
      <c r="X498" s="32" t="n">
        <f aca="false">AVERAGE(K498,L498,N498,O498,P498,Q498,R498,S498)</f>
        <v>-0.00727557743215999</v>
      </c>
      <c r="Y498" s="32" t="n">
        <f aca="false">AVERAGE(J498,L498,M498,N498,O498,P498,Q498,R498,S498)</f>
        <v>-0.00826224134061139</v>
      </c>
      <c r="Z498" s="32" t="n">
        <f aca="false">U498-V498</f>
        <v>-0.0225561589439075</v>
      </c>
      <c r="AA498" s="32" t="n">
        <f aca="false">W498-V498</f>
        <v>-0.0187101607934265</v>
      </c>
    </row>
    <row r="499" customFormat="false" ht="15" hidden="false" customHeight="false" outlineLevel="0" collapsed="false">
      <c r="A499" s="28" t="n">
        <f aca="false">Data_Prices!A499</f>
        <v>45533</v>
      </c>
      <c r="B499" s="32" t="n">
        <f aca="false">Data_Prices!B499/Data_Prices!B498-1</f>
        <v>0.00397567493668261</v>
      </c>
      <c r="C499" s="32" t="n">
        <f aca="false">Data_Prices!C499/Data_Prices!C498-1</f>
        <v>0.000654218864792666</v>
      </c>
      <c r="D499" s="32" t="n">
        <f aca="false">Data_Prices!D499/Data_Prices!D498-1</f>
        <v>-0.00549386663566065</v>
      </c>
      <c r="E499" s="32" t="n">
        <f aca="false">Data_Prices!E499/Data_Prices!E498-1</f>
        <v>0.0105299301819846</v>
      </c>
      <c r="F499" s="32" t="n">
        <f aca="false">Data_Prices!F499/Data_Prices!F498-1</f>
        <v>0.0121834360027377</v>
      </c>
      <c r="G499" s="32" t="n">
        <f aca="false">Data_Prices!G499/Data_Prices!G498-1</f>
        <v>0.00155578604237672</v>
      </c>
      <c r="H499" s="32" t="n">
        <f aca="false">Data_Prices!H499/Data_Prices!H498-1</f>
        <v>0.0491966759002769</v>
      </c>
      <c r="I499" s="32" t="n">
        <f aca="false">Data_Prices!I499/Data_Prices!I498-1</f>
        <v>-0.0148379170210754</v>
      </c>
      <c r="J499" s="32" t="n">
        <f aca="false">Data_Prices!J499/Data_Prices!J498-1</f>
        <v>-0.0141611884972923</v>
      </c>
      <c r="K499" s="32" t="n">
        <f aca="false">Data_Prices!K499/Data_Prices!K498-1</f>
        <v>0.0237134647200534</v>
      </c>
      <c r="L499" s="32" t="n">
        <f aca="false">Data_Prices!L499/Data_Prices!L498-1</f>
        <v>0.00337767974081471</v>
      </c>
      <c r="M499" s="32" t="n">
        <f aca="false">Data_Prices!M499/Data_Prices!M498-1</f>
        <v>-0.00748907842729352</v>
      </c>
      <c r="N499" s="32" t="n">
        <f aca="false">Data_Prices!N499/Data_Prices!N498-1</f>
        <v>-0.0106417992320351</v>
      </c>
      <c r="O499" s="32" t="n">
        <f aca="false">Data_Prices!O499/Data_Prices!O498-1</f>
        <v>-0.00586835844567812</v>
      </c>
      <c r="P499" s="32" t="n">
        <f aca="false">Data_Prices!P499/Data_Prices!P498-1</f>
        <v>0.00781230054379734</v>
      </c>
      <c r="Q499" s="32" t="n">
        <f aca="false">Data_Prices!Q499/Data_Prices!Q498-1</f>
        <v>-0.0178884163122341</v>
      </c>
      <c r="R499" s="32" t="n">
        <f aca="false">Data_Prices!R499/Data_Prices!R498-1</f>
        <v>-0.0138110214686175</v>
      </c>
      <c r="S499" s="32" t="n">
        <f aca="false">Data_Prices!S499/Data_Prices!S498-1</f>
        <v>-0.000421631244436727</v>
      </c>
      <c r="T499" s="32" t="n">
        <f aca="false">AVERAGE(D499:S499)</f>
        <v>0.00110974974048237</v>
      </c>
      <c r="U499" s="32" t="n">
        <f aca="false">AVERAGE(J499:S499)</f>
        <v>-0.00353780486229219</v>
      </c>
      <c r="V499" s="32" t="n">
        <f aca="false">AVERAGE(D499:I499)</f>
        <v>0.00885567407843998</v>
      </c>
      <c r="W499" s="32" t="n">
        <f aca="false">AVERAGE(K499,Q499,R499)</f>
        <v>-0.00266199102026606</v>
      </c>
      <c r="X499" s="32" t="n">
        <f aca="false">AVERAGE(K499,L499,N499,O499,P499,Q499,R499,S499)</f>
        <v>-0.00171597271229201</v>
      </c>
      <c r="Y499" s="32" t="n">
        <f aca="false">AVERAGE(J499,L499,M499,N499,O499,P499,Q499,R499,S499)</f>
        <v>-0.00656572370477504</v>
      </c>
      <c r="Z499" s="32" t="n">
        <f aca="false">U499-V499</f>
        <v>-0.0123934789407322</v>
      </c>
      <c r="AA499" s="32" t="n">
        <f aca="false">W499-V499</f>
        <v>-0.011517665098706</v>
      </c>
    </row>
    <row r="500" customFormat="false" ht="15" hidden="false" customHeight="false" outlineLevel="0" collapsed="false">
      <c r="A500" s="28" t="n">
        <f aca="false">Data_Prices!A500</f>
        <v>45534</v>
      </c>
      <c r="B500" s="32" t="n">
        <f aca="false">Data_Prices!B500/Data_Prices!B499-1</f>
        <v>0.00333771337808808</v>
      </c>
      <c r="C500" s="32" t="n">
        <f aca="false">Data_Prices!C500/Data_Prices!C499-1</f>
        <v>0.00436495510210988</v>
      </c>
      <c r="D500" s="32" t="n">
        <f aca="false">Data_Prices!D500/Data_Prices!D499-1</f>
        <v>0.00590418846637242</v>
      </c>
      <c r="E500" s="32" t="n">
        <f aca="false">Data_Prices!E500/Data_Prices!E499-1</f>
        <v>-0.0219164118246687</v>
      </c>
      <c r="F500" s="32" t="n">
        <f aca="false">Data_Prices!F500/Data_Prices!F499-1</f>
        <v>0.0395816427734199</v>
      </c>
      <c r="G500" s="32" t="n">
        <f aca="false">Data_Prices!G500/Data_Prices!G499-1</f>
        <v>-0.00229306901398041</v>
      </c>
      <c r="H500" s="32" t="n">
        <f aca="false">Data_Prices!H500/Data_Prices!H499-1</f>
        <v>0.0322631745696484</v>
      </c>
      <c r="I500" s="32" t="n">
        <f aca="false">Data_Prices!I500/Data_Prices!I499-1</f>
        <v>0.00364543361473513</v>
      </c>
      <c r="J500" s="32" t="n">
        <f aca="false">Data_Prices!J500/Data_Prices!J499-1</f>
        <v>0.0288760942365314</v>
      </c>
      <c r="K500" s="32" t="n">
        <f aca="false">Data_Prices!K500/Data_Prices!K499-1</f>
        <v>0.019336546640204</v>
      </c>
      <c r="L500" s="32" t="n">
        <f aca="false">Data_Prices!L500/Data_Prices!L499-1</f>
        <v>0</v>
      </c>
      <c r="M500" s="32" t="n">
        <f aca="false">Data_Prices!M500/Data_Prices!M499-1</f>
        <v>0.0237266820373088</v>
      </c>
      <c r="N500" s="32" t="n">
        <f aca="false">Data_Prices!N500/Data_Prices!N499-1</f>
        <v>0.0119760479041917</v>
      </c>
      <c r="O500" s="32" t="n">
        <f aca="false">Data_Prices!O500/Data_Prices!O499-1</f>
        <v>0.00303126994256564</v>
      </c>
      <c r="P500" s="32" t="n">
        <f aca="false">Data_Prices!P500/Data_Prices!P499-1</f>
        <v>-0.00400253324889177</v>
      </c>
      <c r="Q500" s="32" t="n">
        <f aca="false">Data_Prices!Q500/Data_Prices!Q499-1</f>
        <v>-0.0133740924722965</v>
      </c>
      <c r="R500" s="32" t="n">
        <f aca="false">Data_Prices!R500/Data_Prices!R499-1</f>
        <v>0.00277315585135884</v>
      </c>
      <c r="S500" s="32" t="n">
        <f aca="false">Data_Prices!S500/Data_Prices!S499-1</f>
        <v>0.00124980471801273</v>
      </c>
      <c r="T500" s="32" t="n">
        <f aca="false">AVERAGE(D500:S500)</f>
        <v>0.00817362088715697</v>
      </c>
      <c r="U500" s="32" t="n">
        <f aca="false">AVERAGE(J500:S500)</f>
        <v>0.00735929756089848</v>
      </c>
      <c r="V500" s="32" t="n">
        <f aca="false">AVERAGE(D500:I500)</f>
        <v>0.00953082643092112</v>
      </c>
      <c r="W500" s="32" t="n">
        <f aca="false">AVERAGE(K500,Q500,R500)</f>
        <v>0.00291187000642212</v>
      </c>
      <c r="X500" s="32" t="n">
        <f aca="false">AVERAGE(K500,L500,N500,O500,P500,Q500,R500,S500)</f>
        <v>0.00262377491689308</v>
      </c>
      <c r="Y500" s="32" t="n">
        <f aca="false">AVERAGE(J500,L500,M500,N500,O500,P500,Q500,R500,S500)</f>
        <v>0.00602849210764231</v>
      </c>
      <c r="Z500" s="32" t="n">
        <f aca="false">U500-V500</f>
        <v>-0.00217152887002264</v>
      </c>
      <c r="AA500" s="32" t="n">
        <f aca="false">W500-V500</f>
        <v>-0.006618956424499</v>
      </c>
    </row>
    <row r="501" customFormat="false" ht="15" hidden="false" customHeight="false" outlineLevel="0" collapsed="false">
      <c r="A501" s="28" t="n">
        <f aca="false">Data_Prices!A501</f>
        <v>45537</v>
      </c>
      <c r="B501" s="32" t="n">
        <f aca="false">Data_Prices!B501/Data_Prices!B500-1</f>
        <v>0.00169599657630592</v>
      </c>
      <c r="C501" s="32" t="n">
        <f aca="false">Data_Prices!C501/Data_Prices!C500-1</f>
        <v>0.00110176936154271</v>
      </c>
      <c r="D501" s="32" t="n">
        <f aca="false">Data_Prices!D501/Data_Prices!D500-1</f>
        <v>-0.00647973267470581</v>
      </c>
      <c r="E501" s="32" t="n">
        <f aca="false">Data_Prices!E501/Data_Prices!E500-1</f>
        <v>0.018933472294598</v>
      </c>
      <c r="F501" s="32" t="n">
        <f aca="false">Data_Prices!F501/Data_Prices!F500-1</f>
        <v>-0.00932350390286207</v>
      </c>
      <c r="G501" s="32" t="n">
        <f aca="false">Data_Prices!G501/Data_Prices!G500-1</f>
        <v>0.00177935943060503</v>
      </c>
      <c r="H501" s="32" t="n">
        <f aca="false">Data_Prices!H501/Data_Prices!H500-1</f>
        <v>-0.0028134431428718</v>
      </c>
      <c r="I501" s="32" t="n">
        <f aca="false">Data_Prices!I501/Data_Prices!I500-1</f>
        <v>-0.0124259223857771</v>
      </c>
      <c r="J501" s="32" t="n">
        <f aca="false">Data_Prices!J501/Data_Prices!J500-1</f>
        <v>-0.0117344753747323</v>
      </c>
      <c r="K501" s="32" t="n">
        <f aca="false">Data_Prices!K501/Data_Prices!K500-1</f>
        <v>0.0333082999554963</v>
      </c>
      <c r="L501" s="32" t="n">
        <f aca="false">Data_Prices!L501/Data_Prices!L500-1</f>
        <v>0.0210909590546853</v>
      </c>
      <c r="M501" s="32" t="n">
        <f aca="false">Data_Prices!M501/Data_Prices!M500-1</f>
        <v>-0.0108922648540191</v>
      </c>
      <c r="N501" s="32" t="n">
        <f aca="false">Data_Prices!N501/Data_Prices!N500-1</f>
        <v>0.00306815691431073</v>
      </c>
      <c r="O501" s="32" t="n">
        <f aca="false">Data_Prices!O501/Data_Prices!O500-1</f>
        <v>0.0249721647844758</v>
      </c>
      <c r="P501" s="32" t="n">
        <f aca="false">Data_Prices!P501/Data_Prices!P500-1</f>
        <v>-0.000432382938677867</v>
      </c>
      <c r="Q501" s="32" t="n">
        <f aca="false">Data_Prices!Q501/Data_Prices!Q500-1</f>
        <v>0.00232378001549183</v>
      </c>
      <c r="R501" s="32" t="n">
        <f aca="false">Data_Prices!R501/Data_Prices!R500-1</f>
        <v>0.0292450221238938</v>
      </c>
      <c r="S501" s="32" t="n">
        <f aca="false">Data_Prices!S501/Data_Prices!S500-1</f>
        <v>0.00647526915275387</v>
      </c>
      <c r="T501" s="32" t="n">
        <f aca="false">AVERAGE(D501:S501)</f>
        <v>0.00544342240329154</v>
      </c>
      <c r="U501" s="32" t="n">
        <f aca="false">AVERAGE(J501:S501)</f>
        <v>0.00974245288336785</v>
      </c>
      <c r="V501" s="32" t="n">
        <f aca="false">AVERAGE(D501:I501)</f>
        <v>-0.00172162839683563</v>
      </c>
      <c r="W501" s="32" t="n">
        <f aca="false">AVERAGE(K501,Q501,R501)</f>
        <v>0.021625700698294</v>
      </c>
      <c r="X501" s="32" t="n">
        <f aca="false">AVERAGE(K501,L501,N501,O501,P501,Q501,R501,S501)</f>
        <v>0.0150064086328037</v>
      </c>
      <c r="Y501" s="32" t="n">
        <f aca="false">AVERAGE(J501,L501,M501,N501,O501,P501,Q501,R501,S501)</f>
        <v>0.00712402543090913</v>
      </c>
      <c r="Z501" s="32" t="n">
        <f aca="false">U501-V501</f>
        <v>0.0114640812802035</v>
      </c>
      <c r="AA501" s="32" t="n">
        <f aca="false">W501-V501</f>
        <v>0.0233473290951296</v>
      </c>
    </row>
    <row r="502" customFormat="false" ht="15" hidden="false" customHeight="false" outlineLevel="0" collapsed="false">
      <c r="A502" s="28" t="n">
        <f aca="false">Data_Prices!A502</f>
        <v>45538</v>
      </c>
      <c r="B502" s="32" t="n">
        <f aca="false">Data_Prices!B502/Data_Prices!B501-1</f>
        <v>4.54928457553905E-005</v>
      </c>
      <c r="C502" s="32" t="n">
        <f aca="false">Data_Prices!C502/Data_Prices!C501-1</f>
        <v>0.0011678948852516</v>
      </c>
      <c r="D502" s="32" t="n">
        <f aca="false">Data_Prices!D502/Data_Prices!D501-1</f>
        <v>0.00944665418811419</v>
      </c>
      <c r="E502" s="32" t="n">
        <f aca="false">Data_Prices!E502/Data_Prices!E501-1</f>
        <v>0.00340947834981242</v>
      </c>
      <c r="F502" s="32" t="n">
        <f aca="false">Data_Prices!F502/Data_Prices!F501-1</f>
        <v>-0.0115561391989495</v>
      </c>
      <c r="G502" s="32" t="n">
        <f aca="false">Data_Prices!G502/Data_Prices!G501-1</f>
        <v>0.0273090586145648</v>
      </c>
      <c r="H502" s="32" t="n">
        <f aca="false">Data_Prices!H502/Data_Prices!H501-1</f>
        <v>0.0288293834000204</v>
      </c>
      <c r="I502" s="32" t="n">
        <f aca="false">Data_Prices!I502/Data_Prices!I501-1</f>
        <v>0.0107433217189314</v>
      </c>
      <c r="J502" s="32" t="n">
        <f aca="false">Data_Prices!J502/Data_Prices!J501-1</f>
        <v>0.00161784249147745</v>
      </c>
      <c r="K502" s="32" t="n">
        <f aca="false">Data_Prices!K502/Data_Prices!K501-1</f>
        <v>-0.0115883120903377</v>
      </c>
      <c r="L502" s="32" t="n">
        <f aca="false">Data_Prices!L502/Data_Prices!L501-1</f>
        <v>0.00921752001614751</v>
      </c>
      <c r="M502" s="32" t="n">
        <f aca="false">Data_Prices!M502/Data_Prices!M501-1</f>
        <v>0.00161457255226671</v>
      </c>
      <c r="N502" s="32" t="n">
        <f aca="false">Data_Prices!N502/Data_Prices!N501-1</f>
        <v>0.0270919816473674</v>
      </c>
      <c r="O502" s="32" t="n">
        <f aca="false">Data_Prices!O502/Data_Prices!O501-1</f>
        <v>0.00900062073246444</v>
      </c>
      <c r="P502" s="32" t="n">
        <f aca="false">Data_Prices!P502/Data_Prices!P501-1</f>
        <v>0.0068956743002544</v>
      </c>
      <c r="Q502" s="32" t="n">
        <f aca="false">Data_Prices!Q502/Data_Prices!Q501-1</f>
        <v>-0.00978876867594025</v>
      </c>
      <c r="R502" s="32" t="n">
        <f aca="false">Data_Prices!R502/Data_Prices!R501-1</f>
        <v>0.0291529522402094</v>
      </c>
      <c r="S502" s="32" t="n">
        <f aca="false">Data_Prices!S502/Data_Prices!S501-1</f>
        <v>0.0143709789938766</v>
      </c>
      <c r="T502" s="32" t="n">
        <f aca="false">AVERAGE(D502:S502)</f>
        <v>0.00911042620501748</v>
      </c>
      <c r="U502" s="32" t="n">
        <f aca="false">AVERAGE(J502:S502)</f>
        <v>0.00775850622077859</v>
      </c>
      <c r="V502" s="32" t="n">
        <f aca="false">AVERAGE(D502:I502)</f>
        <v>0.011363626178749</v>
      </c>
      <c r="W502" s="32" t="n">
        <f aca="false">AVERAGE(K502,Q502,R502)</f>
        <v>0.00259195715797715</v>
      </c>
      <c r="X502" s="32" t="n">
        <f aca="false">AVERAGE(K502,L502,N502,O502,P502,Q502,R502,S502)</f>
        <v>0.00929408089550522</v>
      </c>
      <c r="Y502" s="32" t="n">
        <f aca="false">AVERAGE(J502,L502,M502,N502,O502,P502,Q502,R502,S502)</f>
        <v>0.00990815269979152</v>
      </c>
      <c r="Z502" s="32" t="n">
        <f aca="false">U502-V502</f>
        <v>-0.00360511995797036</v>
      </c>
      <c r="AA502" s="32" t="n">
        <f aca="false">W502-V502</f>
        <v>-0.00877166902077181</v>
      </c>
    </row>
    <row r="503" customFormat="false" ht="15" hidden="false" customHeight="false" outlineLevel="0" collapsed="false">
      <c r="A503" s="28" t="n">
        <f aca="false">Data_Prices!A503</f>
        <v>45539</v>
      </c>
      <c r="B503" s="32" t="n">
        <f aca="false">Data_Prices!B503/Data_Prices!B502-1</f>
        <v>-0.00321006651542621</v>
      </c>
      <c r="C503" s="32" t="n">
        <f aca="false">Data_Prices!C503/Data_Prices!C502-1</f>
        <v>-0.00166257154207183</v>
      </c>
      <c r="D503" s="32" t="n">
        <f aca="false">Data_Prices!D503/Data_Prices!D502-1</f>
        <v>0.00909749384325664</v>
      </c>
      <c r="E503" s="32" t="n">
        <f aca="false">Data_Prices!E503/Data_Prices!E502-1</f>
        <v>-0.00113263110205009</v>
      </c>
      <c r="F503" s="32" t="n">
        <f aca="false">Data_Prices!F503/Data_Prices!F502-1</f>
        <v>-0.00668703777512059</v>
      </c>
      <c r="G503" s="32" t="n">
        <f aca="false">Data_Prices!G503/Data_Prices!G502-1</f>
        <v>-0.00410633239680125</v>
      </c>
      <c r="H503" s="32" t="n">
        <f aca="false">Data_Prices!H503/Data_Prices!H502-1</f>
        <v>0.0499102512963701</v>
      </c>
      <c r="I503" s="32" t="n">
        <f aca="false">Data_Prices!I503/Data_Prices!I502-1</f>
        <v>-0.00268122187110975</v>
      </c>
      <c r="J503" s="32" t="n">
        <f aca="false">Data_Prices!J503/Data_Prices!J502-1</f>
        <v>-0.0195846553216037</v>
      </c>
      <c r="K503" s="32" t="n">
        <f aca="false">Data_Prices!K503/Data_Prices!K502-1</f>
        <v>-0.0073803752825512</v>
      </c>
      <c r="L503" s="32" t="n">
        <f aca="false">Data_Prices!L503/Data_Prices!L502-1</f>
        <v>-0.00846666666666673</v>
      </c>
      <c r="M503" s="32" t="n">
        <f aca="false">Data_Prices!M503/Data_Prices!M502-1</f>
        <v>-0.0197156319748699</v>
      </c>
      <c r="N503" s="32" t="n">
        <f aca="false">Data_Prices!N503/Data_Prices!N502-1</f>
        <v>-0.0197830248883216</v>
      </c>
      <c r="O503" s="32" t="n">
        <f aca="false">Data_Prices!O503/Data_Prices!O502-1</f>
        <v>-0.00199938480467554</v>
      </c>
      <c r="P503" s="32" t="n">
        <f aca="false">Data_Prices!P503/Data_Prices!P502-1</f>
        <v>-0.0103863940764701</v>
      </c>
      <c r="Q503" s="32" t="n">
        <f aca="false">Data_Prices!Q503/Data_Prices!Q502-1</f>
        <v>0.0022112382934445</v>
      </c>
      <c r="R503" s="32" t="n">
        <f aca="false">Data_Prices!R503/Data_Prices!R502-1</f>
        <v>0.00326349454996411</v>
      </c>
      <c r="S503" s="32" t="n">
        <f aca="false">Data_Prices!S503/Data_Prices!S502-1</f>
        <v>-0.008451522190977</v>
      </c>
      <c r="T503" s="32" t="n">
        <f aca="false">AVERAGE(D503:S503)</f>
        <v>-0.00286827502301139</v>
      </c>
      <c r="U503" s="32" t="n">
        <f aca="false">AVERAGE(J503:S503)</f>
        <v>-0.00902929223627272</v>
      </c>
      <c r="V503" s="32" t="n">
        <f aca="false">AVERAGE(D503:I503)</f>
        <v>0.00740008699909084</v>
      </c>
      <c r="W503" s="32" t="n">
        <f aca="false">AVERAGE(K503,Q503,R503)</f>
        <v>-0.000635214146380866</v>
      </c>
      <c r="X503" s="32" t="n">
        <f aca="false">AVERAGE(K503,L503,N503,O503,P503,Q503,R503,S503)</f>
        <v>-0.0063740793832817</v>
      </c>
      <c r="Y503" s="32" t="n">
        <f aca="false">AVERAGE(J503,L503,M503,N503,O503,P503,Q503,R503,S503)</f>
        <v>-0.00921250523113067</v>
      </c>
      <c r="Z503" s="32" t="n">
        <f aca="false">U503-V503</f>
        <v>-0.0164293792353636</v>
      </c>
      <c r="AA503" s="32" t="n">
        <f aca="false">W503-V503</f>
        <v>-0.0080353011454717</v>
      </c>
    </row>
    <row r="504" customFormat="false" ht="15" hidden="false" customHeight="false" outlineLevel="0" collapsed="false">
      <c r="A504" s="28" t="n">
        <f aca="false">Data_Prices!A504</f>
        <v>45540</v>
      </c>
      <c r="B504" s="32" t="n">
        <f aca="false">Data_Prices!B504/Data_Prices!B503-1</f>
        <v>-0.00212709385801657</v>
      </c>
      <c r="C504" s="32" t="n">
        <f aca="false">Data_Prices!C504/Data_Prices!C503-1</f>
        <v>0.000585290266075456</v>
      </c>
      <c r="D504" s="32" t="n">
        <f aca="false">Data_Prices!D504/Data_Prices!D503-1</f>
        <v>0.0426655947629848</v>
      </c>
      <c r="E504" s="32" t="n">
        <f aca="false">Data_Prices!E504/Data_Prices!E503-1</f>
        <v>0.0041954870166685</v>
      </c>
      <c r="F504" s="32" t="n">
        <f aca="false">Data_Prices!F504/Data_Prices!F503-1</f>
        <v>0.0506910387873383</v>
      </c>
      <c r="G504" s="32" t="n">
        <f aca="false">Data_Prices!G504/Data_Prices!G503-1</f>
        <v>0.0234375</v>
      </c>
      <c r="H504" s="32" t="n">
        <f aca="false">Data_Prices!H504/Data_Prices!H503-1</f>
        <v>-0.0140095930094506</v>
      </c>
      <c r="I504" s="32" t="n">
        <f aca="false">Data_Prices!I504/Data_Prices!I503-1</f>
        <v>0.0278444551128181</v>
      </c>
      <c r="J504" s="32" t="n">
        <f aca="false">Data_Prices!J504/Data_Prices!J503-1</f>
        <v>-0.0172986967138359</v>
      </c>
      <c r="K504" s="32" t="n">
        <f aca="false">Data_Prices!K504/Data_Prices!K503-1</f>
        <v>-0.00747640474100098</v>
      </c>
      <c r="L504" s="32" t="n">
        <f aca="false">Data_Prices!L504/Data_Prices!L503-1</f>
        <v>0.0311302359981174</v>
      </c>
      <c r="M504" s="32" t="n">
        <f aca="false">Data_Prices!M504/Data_Prices!M503-1</f>
        <v>-0.00556562803052652</v>
      </c>
      <c r="N504" s="32" t="n">
        <f aca="false">Data_Prices!N504/Data_Prices!N503-1</f>
        <v>0.017578125</v>
      </c>
      <c r="O504" s="32" t="n">
        <f aca="false">Data_Prices!O504/Data_Prices!O503-1</f>
        <v>0.0143319463707814</v>
      </c>
      <c r="P504" s="32" t="n">
        <f aca="false">Data_Prices!P504/Data_Prices!P503-1</f>
        <v>0.0159601634320736</v>
      </c>
      <c r="Q504" s="32" t="n">
        <f aca="false">Data_Prices!Q504/Data_Prices!Q503-1</f>
        <v>0.0125892277741726</v>
      </c>
      <c r="R504" s="32" t="n">
        <f aca="false">Data_Prices!R504/Data_Prices!R503-1</f>
        <v>-0.00110597879123009</v>
      </c>
      <c r="S504" s="32" t="n">
        <f aca="false">Data_Prices!S504/Data_Prices!S503-1</f>
        <v>0.000477812543349998</v>
      </c>
      <c r="T504" s="32" t="n">
        <f aca="false">AVERAGE(D504:S504)</f>
        <v>0.0122153303445163</v>
      </c>
      <c r="U504" s="32" t="n">
        <f aca="false">AVERAGE(J504:S504)</f>
        <v>0.00606208028419015</v>
      </c>
      <c r="V504" s="32" t="n">
        <f aca="false">AVERAGE(D504:I504)</f>
        <v>0.0224707471117265</v>
      </c>
      <c r="W504" s="32" t="n">
        <f aca="false">AVERAGE(K504,Q504,R504)</f>
        <v>0.00133561474731384</v>
      </c>
      <c r="X504" s="32" t="n">
        <f aca="false">AVERAGE(K504,L504,N504,O504,P504,Q504,R504,S504)</f>
        <v>0.010435640948283</v>
      </c>
      <c r="Y504" s="32" t="n">
        <f aca="false">AVERAGE(J504,L504,M504,N504,O504,P504,Q504,R504,S504)</f>
        <v>0.00756635639810028</v>
      </c>
      <c r="Z504" s="32" t="n">
        <f aca="false">U504-V504</f>
        <v>-0.0164086668275364</v>
      </c>
      <c r="AA504" s="32" t="n">
        <f aca="false">W504-V504</f>
        <v>-0.0211351323644127</v>
      </c>
    </row>
    <row r="505" customFormat="false" ht="15" hidden="false" customHeight="false" outlineLevel="0" collapsed="false">
      <c r="A505" s="28" t="n">
        <f aca="false">Data_Prices!A505</f>
        <v>45541</v>
      </c>
      <c r="B505" s="32" t="n">
        <f aca="false">Data_Prices!B505/Data_Prices!B504-1</f>
        <v>-0.0116503811875871</v>
      </c>
      <c r="C505" s="32" t="n">
        <f aca="false">Data_Prices!C505/Data_Prices!C504-1</f>
        <v>-0.0119977443735586</v>
      </c>
      <c r="D505" s="32" t="n">
        <f aca="false">Data_Prices!D505/Data_Prices!D504-1</f>
        <v>0.0330992702739914</v>
      </c>
      <c r="E505" s="32" t="n">
        <f aca="false">Data_Prices!E505/Data_Prices!E504-1</f>
        <v>-0.0167682926829269</v>
      </c>
      <c r="F505" s="32" t="n">
        <f aca="false">Data_Prices!F505/Data_Prices!F504-1</f>
        <v>-0.0277506683073788</v>
      </c>
      <c r="G505" s="32" t="n">
        <f aca="false">Data_Prices!G505/Data_Prices!G504-1</f>
        <v>-0.0180944303081707</v>
      </c>
      <c r="H505" s="32" t="n">
        <f aca="false">Data_Prices!H505/Data_Prices!H504-1</f>
        <v>-0.01416048550236</v>
      </c>
      <c r="I505" s="32" t="n">
        <f aca="false">Data_Prices!I505/Data_Prices!I504-1</f>
        <v>-0.00597851471275113</v>
      </c>
      <c r="J505" s="32" t="n">
        <f aca="false">Data_Prices!J505/Data_Prices!J504-1</f>
        <v>0.0137712181540579</v>
      </c>
      <c r="K505" s="32" t="n">
        <f aca="false">Data_Prices!K505/Data_Prices!K504-1</f>
        <v>0.00996530801232876</v>
      </c>
      <c r="L505" s="32" t="n">
        <f aca="false">Data_Prices!L505/Data_Prices!L504-1</f>
        <v>-0.0145083463745436</v>
      </c>
      <c r="M505" s="32" t="n">
        <f aca="false">Data_Prices!M505/Data_Prices!M504-1</f>
        <v>0.0251006995972016</v>
      </c>
      <c r="N505" s="32" t="n">
        <f aca="false">Data_Prices!N505/Data_Prices!N504-1</f>
        <v>-0.00501172957986773</v>
      </c>
      <c r="O505" s="32" t="n">
        <f aca="false">Data_Prices!O505/Data_Prices!O504-1</f>
        <v>-0.00577332117897311</v>
      </c>
      <c r="P505" s="32" t="n">
        <f aca="false">Data_Prices!P505/Data_Prices!P504-1</f>
        <v>-0.0063843156968707</v>
      </c>
      <c r="Q505" s="32" t="n">
        <f aca="false">Data_Prices!Q505/Data_Prices!Q504-1</f>
        <v>-0.0123045372981287</v>
      </c>
      <c r="R505" s="32" t="n">
        <f aca="false">Data_Prices!R505/Data_Prices!R504-1</f>
        <v>0.042920411619122</v>
      </c>
      <c r="S505" s="32" t="n">
        <f aca="false">Data_Prices!S505/Data_Prices!S504-1</f>
        <v>-0.00303497149899867</v>
      </c>
      <c r="T505" s="32" t="n">
        <f aca="false">AVERAGE(D505:S505)</f>
        <v>-0.00030704409276678</v>
      </c>
      <c r="U505" s="32" t="n">
        <f aca="false">AVERAGE(J505:S505)</f>
        <v>0.00447404157553277</v>
      </c>
      <c r="V505" s="32" t="n">
        <f aca="false">AVERAGE(D505:I505)</f>
        <v>-0.00827552020659937</v>
      </c>
      <c r="W505" s="32" t="n">
        <f aca="false">AVERAGE(K505,Q505,R505)</f>
        <v>0.013527060777774</v>
      </c>
      <c r="X505" s="32" t="n">
        <f aca="false">AVERAGE(K505,L505,N505,O505,P505,Q505,R505,S505)</f>
        <v>0.000733562250508524</v>
      </c>
      <c r="Y505" s="32" t="n">
        <f aca="false">AVERAGE(J505,L505,M505,N505,O505,P505,Q505,R505,S505)</f>
        <v>0.00386390086033322</v>
      </c>
      <c r="Z505" s="32" t="n">
        <f aca="false">U505-V505</f>
        <v>0.0127495617821321</v>
      </c>
      <c r="AA505" s="32" t="n">
        <f aca="false">W505-V505</f>
        <v>0.0218025809843734</v>
      </c>
    </row>
    <row r="506" customFormat="false" ht="15" hidden="false" customHeight="false" outlineLevel="0" collapsed="false">
      <c r="A506" s="28" t="n">
        <f aca="false">Data_Prices!A506</f>
        <v>45544</v>
      </c>
      <c r="B506" s="32" t="n">
        <f aca="false">Data_Prices!B506/Data_Prices!B505-1</f>
        <v>0.0033900487482974</v>
      </c>
      <c r="C506" s="32" t="n">
        <f aca="false">Data_Prices!C506/Data_Prices!C505-1</f>
        <v>0.00104141376710665</v>
      </c>
      <c r="D506" s="32" t="n">
        <f aca="false">Data_Prices!D506/Data_Prices!D505-1</f>
        <v>-0.0193512274435589</v>
      </c>
      <c r="E506" s="32" t="n">
        <f aca="false">Data_Prices!E506/Data_Prices!E505-1</f>
        <v>-0.0017226528854436</v>
      </c>
      <c r="F506" s="32" t="n">
        <f aca="false">Data_Prices!F506/Data_Prices!F505-1</f>
        <v>-0.0535503862436173</v>
      </c>
      <c r="G506" s="32" t="n">
        <f aca="false">Data_Prices!G506/Data_Prices!G505-1</f>
        <v>0.00763029081485733</v>
      </c>
      <c r="H506" s="32" t="n">
        <f aca="false">Data_Prices!H506/Data_Prices!H505-1</f>
        <v>0.053547000195427</v>
      </c>
      <c r="I506" s="32" t="n">
        <f aca="false">Data_Prices!I506/Data_Prices!I505-1</f>
        <v>0.00300723616201481</v>
      </c>
      <c r="J506" s="32" t="n">
        <f aca="false">Data_Prices!J506/Data_Prices!J505-1</f>
        <v>-0.0220299441868708</v>
      </c>
      <c r="K506" s="32" t="n">
        <f aca="false">Data_Prices!K506/Data_Prices!K505-1</f>
        <v>0.00414659513904092</v>
      </c>
      <c r="L506" s="32" t="n">
        <f aca="false">Data_Prices!L506/Data_Prices!L505-1</f>
        <v>0.0177986568299866</v>
      </c>
      <c r="M506" s="32" t="n">
        <f aca="false">Data_Prices!M506/Data_Prices!M505-1</f>
        <v>-0.00248169748107707</v>
      </c>
      <c r="N506" s="32" t="n">
        <f aca="false">Data_Prices!N506/Data_Prices!N505-1</f>
        <v>0.000964526845997238</v>
      </c>
      <c r="O506" s="32" t="n">
        <f aca="false">Data_Prices!O506/Data_Prices!O505-1</f>
        <v>-0.00825183374083127</v>
      </c>
      <c r="P506" s="32" t="n">
        <f aca="false">Data_Prices!P506/Data_Prices!P505-1</f>
        <v>0.00645063367989684</v>
      </c>
      <c r="Q506" s="32" t="n">
        <f aca="false">Data_Prices!Q506/Data_Prices!Q505-1</f>
        <v>-0.0131066701271737</v>
      </c>
      <c r="R506" s="32" t="n">
        <f aca="false">Data_Prices!R506/Data_Prices!R505-1</f>
        <v>0.00212327483919328</v>
      </c>
      <c r="S506" s="32" t="n">
        <f aca="false">Data_Prices!S506/Data_Prices!S505-1</f>
        <v>0.0247400058720813</v>
      </c>
      <c r="T506" s="32" t="n">
        <f aca="false">AVERAGE(D506:S506)</f>
        <v>-5.3869831298306E-006</v>
      </c>
      <c r="U506" s="32" t="n">
        <f aca="false">AVERAGE(J506:S506)</f>
        <v>0.00103535476702433</v>
      </c>
      <c r="V506" s="32" t="n">
        <f aca="false">AVERAGE(D506:I506)</f>
        <v>-0.0017399565667201</v>
      </c>
      <c r="W506" s="32" t="n">
        <f aca="false">AVERAGE(K506,Q506,R506)</f>
        <v>-0.00227893338297983</v>
      </c>
      <c r="X506" s="32" t="n">
        <f aca="false">AVERAGE(K506,L506,N506,O506,P506,Q506,R506,S506)</f>
        <v>0.0043581486672739</v>
      </c>
      <c r="Y506" s="32" t="n">
        <f aca="false">AVERAGE(J506,L506,M506,N506,O506,P506,Q506,R506,S506)</f>
        <v>0.000689661392355823</v>
      </c>
      <c r="Z506" s="32" t="n">
        <f aca="false">U506-V506</f>
        <v>0.00277531133374444</v>
      </c>
      <c r="AA506" s="32" t="n">
        <f aca="false">W506-V506</f>
        <v>-0.000538976816259732</v>
      </c>
    </row>
    <row r="507" customFormat="false" ht="15" hidden="false" customHeight="false" outlineLevel="0" collapsed="false">
      <c r="A507" s="28" t="n">
        <f aca="false">Data_Prices!A507</f>
        <v>45545</v>
      </c>
      <c r="B507" s="32" t="n">
        <f aca="false">Data_Prices!B507/Data_Prices!B506-1</f>
        <v>0.00419868144559743</v>
      </c>
      <c r="C507" s="32" t="n">
        <f aca="false">Data_Prices!C507/Data_Prices!C506-1</f>
        <v>0.00602072576338752</v>
      </c>
      <c r="D507" s="32" t="n">
        <f aca="false">Data_Prices!D507/Data_Prices!D506-1</f>
        <v>-0.0035878339811366</v>
      </c>
      <c r="E507" s="32" t="n">
        <f aca="false">Data_Prices!E507/Data_Prices!E506-1</f>
        <v>-0.0236410698878343</v>
      </c>
      <c r="F507" s="32" t="n">
        <f aca="false">Data_Prices!F507/Data_Prices!F506-1</f>
        <v>-0.0172922622890344</v>
      </c>
      <c r="G507" s="32" t="n">
        <f aca="false">Data_Prices!G507/Data_Prices!G506-1</f>
        <v>-0.0189312758965566</v>
      </c>
      <c r="H507" s="32" t="n">
        <f aca="false">Data_Prices!H507/Data_Prices!H506-1</f>
        <v>-0.0253199777406788</v>
      </c>
      <c r="I507" s="32" t="n">
        <f aca="false">Data_Prices!I507/Data_Prices!I506-1</f>
        <v>0.0218307879696429</v>
      </c>
      <c r="J507" s="32" t="n">
        <f aca="false">Data_Prices!J507/Data_Prices!J506-1</f>
        <v>0.00908898752906384</v>
      </c>
      <c r="K507" s="32" t="n">
        <f aca="false">Data_Prices!K507/Data_Prices!K506-1</f>
        <v>-0.0143781942078364</v>
      </c>
      <c r="L507" s="32" t="n">
        <f aca="false">Data_Prices!L507/Data_Prices!L506-1</f>
        <v>-0.0199252397204617</v>
      </c>
      <c r="M507" s="32" t="n">
        <f aca="false">Data_Prices!M507/Data_Prices!M506-1</f>
        <v>0.00650993075423978</v>
      </c>
      <c r="N507" s="32" t="n">
        <f aca="false">Data_Prices!N507/Data_Prices!N506-1</f>
        <v>0.00695931477516054</v>
      </c>
      <c r="O507" s="32" t="n">
        <f aca="false">Data_Prices!O507/Data_Prices!O506-1</f>
        <v>0.00354391371340523</v>
      </c>
      <c r="P507" s="32" t="n">
        <f aca="false">Data_Prices!P507/Data_Prices!P506-1</f>
        <v>-0.0148544714221083</v>
      </c>
      <c r="Q507" s="32" t="n">
        <f aca="false">Data_Prices!Q507/Data_Prices!Q506-1</f>
        <v>0.0314266929651545</v>
      </c>
      <c r="R507" s="32" t="n">
        <f aca="false">Data_Prices!R507/Data_Prices!R506-1</f>
        <v>-0.0105315635321245</v>
      </c>
      <c r="S507" s="32" t="n">
        <f aca="false">Data_Prices!S507/Data_Prices!S506-1</f>
        <v>-0.0167837862291522</v>
      </c>
      <c r="T507" s="32" t="n">
        <f aca="false">AVERAGE(D507:S507)</f>
        <v>-0.00536787795001606</v>
      </c>
      <c r="U507" s="32" t="n">
        <f aca="false">AVERAGE(J507:S507)</f>
        <v>-0.00189444153746591</v>
      </c>
      <c r="V507" s="32" t="n">
        <f aca="false">AVERAGE(D507:I507)</f>
        <v>-0.0111569386375996</v>
      </c>
      <c r="W507" s="32" t="n">
        <f aca="false">AVERAGE(K507,Q507,R507)</f>
        <v>0.00217231174173123</v>
      </c>
      <c r="X507" s="32" t="n">
        <f aca="false">AVERAGE(K507,L507,N507,O507,P507,Q507,R507,S507)</f>
        <v>-0.00431791670724534</v>
      </c>
      <c r="Y507" s="32" t="n">
        <f aca="false">AVERAGE(J507,L507,M507,N507,O507,P507,Q507,R507,S507)</f>
        <v>-0.000507357907424745</v>
      </c>
      <c r="Z507" s="32" t="n">
        <f aca="false">U507-V507</f>
        <v>0.00926249710013374</v>
      </c>
      <c r="AA507" s="32" t="n">
        <f aca="false">W507-V507</f>
        <v>0.0133292503793309</v>
      </c>
    </row>
    <row r="508" customFormat="false" ht="15" hidden="false" customHeight="false" outlineLevel="0" collapsed="false">
      <c r="A508" s="28" t="n">
        <f aca="false">Data_Prices!A508</f>
        <v>45546</v>
      </c>
      <c r="B508" s="32" t="n">
        <f aca="false">Data_Prices!B508/Data_Prices!B507-1</f>
        <v>-0.00489794777385966</v>
      </c>
      <c r="C508" s="32" t="n">
        <f aca="false">Data_Prices!C508/Data_Prices!C507-1</f>
        <v>-0.00475391912839185</v>
      </c>
      <c r="D508" s="32" t="n">
        <f aca="false">Data_Prices!D508/Data_Prices!D507-1</f>
        <v>-0.0304972857961211</v>
      </c>
      <c r="E508" s="32" t="n">
        <f aca="false">Data_Prices!E508/Data_Prices!E507-1</f>
        <v>0.0197949805585012</v>
      </c>
      <c r="F508" s="32" t="n">
        <f aca="false">Data_Prices!F508/Data_Prices!F507-1</f>
        <v>0.0404485946224955</v>
      </c>
      <c r="G508" s="32" t="n">
        <f aca="false">Data_Prices!G508/Data_Prices!G507-1</f>
        <v>-0.0150731813878978</v>
      </c>
      <c r="H508" s="32" t="n">
        <f aca="false">Data_Prices!H508/Data_Prices!H507-1</f>
        <v>0.0546674279189265</v>
      </c>
      <c r="I508" s="32" t="n">
        <f aca="false">Data_Prices!I508/Data_Prices!I507-1</f>
        <v>-0.000916926462497747</v>
      </c>
      <c r="J508" s="32" t="n">
        <f aca="false">Data_Prices!J508/Data_Prices!J507-1</f>
        <v>-0.015769944341373</v>
      </c>
      <c r="K508" s="32" t="n">
        <f aca="false">Data_Prices!K508/Data_Prices!K507-1</f>
        <v>0.014325221238938</v>
      </c>
      <c r="L508" s="32" t="n">
        <f aca="false">Data_Prices!L508/Data_Prices!L507-1</f>
        <v>0.00918678694613972</v>
      </c>
      <c r="M508" s="32" t="n">
        <f aca="false">Data_Prices!M508/Data_Prices!M507-1</f>
        <v>-0.0018538353794183</v>
      </c>
      <c r="N508" s="32" t="n">
        <f aca="false">Data_Prices!N508/Data_Prices!N507-1</f>
        <v>-0.00499734183944711</v>
      </c>
      <c r="O508" s="32" t="n">
        <f aca="false">Data_Prices!O508/Data_Prices!O507-1</f>
        <v>-0.00998003992015972</v>
      </c>
      <c r="P508" s="32" t="n">
        <f aca="false">Data_Prices!P508/Data_Prices!P507-1</f>
        <v>-0.00568950121188927</v>
      </c>
      <c r="Q508" s="32" t="n">
        <f aca="false">Data_Prices!Q508/Data_Prices!Q507-1</f>
        <v>0.00458949515553297</v>
      </c>
      <c r="R508" s="32" t="n">
        <f aca="false">Data_Prices!R508/Data_Prices!R507-1</f>
        <v>0.00371583322836644</v>
      </c>
      <c r="S508" s="32" t="n">
        <f aca="false">Data_Prices!S508/Data_Prices!S507-1</f>
        <v>0.0060888636677352</v>
      </c>
      <c r="T508" s="32" t="n">
        <f aca="false">AVERAGE(D508:S508)</f>
        <v>0.00425244668736446</v>
      </c>
      <c r="U508" s="32" t="n">
        <f aca="false">AVERAGE(J508:S508)</f>
        <v>-3.84462455575108E-005</v>
      </c>
      <c r="V508" s="32" t="n">
        <f aca="false">AVERAGE(D508:I508)</f>
        <v>0.0114039349089011</v>
      </c>
      <c r="W508" s="32" t="n">
        <f aca="false">AVERAGE(K508,Q508,R508)</f>
        <v>0.0075435165409458</v>
      </c>
      <c r="X508" s="32" t="n">
        <f aca="false">AVERAGE(K508,L508,N508,O508,P508,Q508,R508,S508)</f>
        <v>0.00215491465815203</v>
      </c>
      <c r="Y508" s="32" t="n">
        <f aca="false">AVERAGE(J508,L508,M508,N508,O508,P508,Q508,R508,S508)</f>
        <v>-0.00163440929939034</v>
      </c>
      <c r="Z508" s="32" t="n">
        <f aca="false">U508-V508</f>
        <v>-0.0114423811544586</v>
      </c>
      <c r="AA508" s="32" t="n">
        <f aca="false">W508-V508</f>
        <v>-0.00386041836795529</v>
      </c>
    </row>
    <row r="509" customFormat="false" ht="15" hidden="false" customHeight="false" outlineLevel="0" collapsed="false">
      <c r="A509" s="28" t="n">
        <f aca="false">Data_Prices!A509</f>
        <v>45547</v>
      </c>
      <c r="B509" s="32" t="n">
        <f aca="false">Data_Prices!B509/Data_Prices!B508-1</f>
        <v>0.018879585206945</v>
      </c>
      <c r="C509" s="32" t="n">
        <f aca="false">Data_Prices!C509/Data_Prices!C508-1</f>
        <v>0.0159830013280211</v>
      </c>
      <c r="D509" s="32" t="n">
        <f aca="false">Data_Prices!D509/Data_Prices!D508-1</f>
        <v>0.0123519315719873</v>
      </c>
      <c r="E509" s="32" t="n">
        <f aca="false">Data_Prices!E509/Data_Prices!E508-1</f>
        <v>0.0495089543616407</v>
      </c>
      <c r="F509" s="32" t="n">
        <f aca="false">Data_Prices!F509/Data_Prices!F508-1</f>
        <v>0.018355657781987</v>
      </c>
      <c r="G509" s="32" t="n">
        <f aca="false">Data_Prices!G509/Data_Prices!G508-1</f>
        <v>0.040514564542363</v>
      </c>
      <c r="H509" s="32" t="n">
        <f aca="false">Data_Prices!H509/Data_Prices!H508-1</f>
        <v>0.000586457346506197</v>
      </c>
      <c r="I509" s="32" t="n">
        <f aca="false">Data_Prices!I509/Data_Prices!I508-1</f>
        <v>-0.00385462555066063</v>
      </c>
      <c r="J509" s="32" t="n">
        <f aca="false">Data_Prices!J509/Data_Prices!J508-1</f>
        <v>-0.0229546076434283</v>
      </c>
      <c r="K509" s="32" t="n">
        <f aca="false">Data_Prices!K509/Data_Prices!K508-1</f>
        <v>0.0112601559517969</v>
      </c>
      <c r="L509" s="32" t="n">
        <f aca="false">Data_Prices!L509/Data_Prices!L508-1</f>
        <v>0.0355581846265076</v>
      </c>
      <c r="M509" s="32" t="n">
        <f aca="false">Data_Prices!M509/Data_Prices!M508-1</f>
        <v>0.034834289487804</v>
      </c>
      <c r="N509" s="32" t="n">
        <f aca="false">Data_Prices!N509/Data_Prices!N508-1</f>
        <v>0.0397520837785852</v>
      </c>
      <c r="O509" s="32" t="n">
        <f aca="false">Data_Prices!O509/Data_Prices!O508-1</f>
        <v>0.0280707196029777</v>
      </c>
      <c r="P509" s="32" t="n">
        <f aca="false">Data_Prices!P509/Data_Prices!P508-1</f>
        <v>0.0193985425433645</v>
      </c>
      <c r="Q509" s="32" t="n">
        <f aca="false">Data_Prices!Q509/Data_Prices!Q508-1</f>
        <v>0.00697969543147203</v>
      </c>
      <c r="R509" s="32" t="n">
        <f aca="false">Data_Prices!R509/Data_Prices!R508-1</f>
        <v>0.00677668319006086</v>
      </c>
      <c r="S509" s="32" t="n">
        <f aca="false">Data_Prices!S509/Data_Prices!S508-1</f>
        <v>0.0368456355376687</v>
      </c>
      <c r="T509" s="32" t="n">
        <f aca="false">AVERAGE(D509:S509)</f>
        <v>0.0196240201600396</v>
      </c>
      <c r="U509" s="32" t="n">
        <f aca="false">AVERAGE(J509:S509)</f>
        <v>0.0196521382506809</v>
      </c>
      <c r="V509" s="32" t="n">
        <f aca="false">AVERAGE(D509:I509)</f>
        <v>0.0195771566756373</v>
      </c>
      <c r="W509" s="32" t="n">
        <f aca="false">AVERAGE(K509,Q509,R509)</f>
        <v>0.00833884485777658</v>
      </c>
      <c r="X509" s="32" t="n">
        <f aca="false">AVERAGE(K509,L509,N509,O509,P509,Q509,R509,S509)</f>
        <v>0.0230802125828042</v>
      </c>
      <c r="Y509" s="32" t="n">
        <f aca="false">AVERAGE(J509,L509,M509,N509,O509,P509,Q509,R509,S509)</f>
        <v>0.0205845807283347</v>
      </c>
      <c r="Z509" s="32" t="n">
        <f aca="false">U509-V509</f>
        <v>7.49815750436464E-005</v>
      </c>
      <c r="AA509" s="32" t="n">
        <f aca="false">W509-V509</f>
        <v>-0.0112383118178607</v>
      </c>
    </row>
    <row r="510" customFormat="false" ht="15" hidden="false" customHeight="false" outlineLevel="0" collapsed="false">
      <c r="A510" s="28" t="n">
        <f aca="false">Data_Prices!A510</f>
        <v>45548</v>
      </c>
      <c r="B510" s="32" t="n">
        <f aca="false">Data_Prices!B510/Data_Prices!B509-1</f>
        <v>-0.00127614823800959</v>
      </c>
      <c r="C510" s="32" t="n">
        <f aca="false">Data_Prices!C510/Data_Prices!C509-1</f>
        <v>0.000872116733975137</v>
      </c>
      <c r="D510" s="32" t="n">
        <f aca="false">Data_Prices!D510/Data_Prices!D509-1</f>
        <v>0.0264035575319621</v>
      </c>
      <c r="E510" s="32" t="n">
        <f aca="false">Data_Prices!E510/Data_Prices!E509-1</f>
        <v>0.0251555017339131</v>
      </c>
      <c r="F510" s="32" t="n">
        <f aca="false">Data_Prices!F510/Data_Prices!F509-1</f>
        <v>0.0656775907883083</v>
      </c>
      <c r="G510" s="32" t="n">
        <f aca="false">Data_Prices!G510/Data_Prices!G509-1</f>
        <v>0.0278527781725166</v>
      </c>
      <c r="H510" s="32" t="n">
        <f aca="false">Data_Prices!H510/Data_Prices!H509-1</f>
        <v>0.025293056807935</v>
      </c>
      <c r="I510" s="32" t="n">
        <f aca="false">Data_Prices!I510/Data_Prices!I509-1</f>
        <v>0.0284687672747372</v>
      </c>
      <c r="J510" s="32" t="n">
        <f aca="false">Data_Prices!J510/Data_Prices!J509-1</f>
        <v>0.0566343042071198</v>
      </c>
      <c r="K510" s="32" t="n">
        <f aca="false">Data_Prices!K510/Data_Prices!K509-1</f>
        <v>0.0229166104985037</v>
      </c>
      <c r="L510" s="32" t="n">
        <f aca="false">Data_Prices!L510/Data_Prices!L509-1</f>
        <v>-0.000666433943702138</v>
      </c>
      <c r="M510" s="32" t="n">
        <f aca="false">Data_Prices!M510/Data_Prices!M509-1</f>
        <v>0.00582299684920029</v>
      </c>
      <c r="N510" s="32" t="n">
        <f aca="false">Data_Prices!N510/Data_Prices!N509-1</f>
        <v>0.0718396711202467</v>
      </c>
      <c r="O510" s="32" t="n">
        <f aca="false">Data_Prices!O510/Data_Prices!O509-1</f>
        <v>0.00452556946749128</v>
      </c>
      <c r="P510" s="32" t="n">
        <f aca="false">Data_Prices!P510/Data_Prices!P509-1</f>
        <v>0.013416230366492</v>
      </c>
      <c r="Q510" s="32" t="n">
        <f aca="false">Data_Prices!Q510/Data_Prices!Q509-1</f>
        <v>0.00970384373030875</v>
      </c>
      <c r="R510" s="32" t="n">
        <f aca="false">Data_Prices!R510/Data_Prices!R509-1</f>
        <v>0.00367715799314428</v>
      </c>
      <c r="S510" s="32" t="n">
        <f aca="false">Data_Prices!S510/Data_Prices!S509-1</f>
        <v>-0.0095567154304198</v>
      </c>
      <c r="T510" s="32" t="n">
        <f aca="false">AVERAGE(D510:S510)</f>
        <v>0.0235727804479848</v>
      </c>
      <c r="U510" s="32" t="n">
        <f aca="false">AVERAGE(J510:S510)</f>
        <v>0.0178313234858385</v>
      </c>
      <c r="V510" s="32" t="n">
        <f aca="false">AVERAGE(D510:I510)</f>
        <v>0.0331418753848954</v>
      </c>
      <c r="W510" s="32" t="n">
        <f aca="false">AVERAGE(K510,Q510,R510)</f>
        <v>0.0120992040739856</v>
      </c>
      <c r="X510" s="32" t="n">
        <f aca="false">AVERAGE(K510,L510,N510,O510,P510,Q510,R510,S510)</f>
        <v>0.0144819917252581</v>
      </c>
      <c r="Y510" s="32" t="n">
        <f aca="false">AVERAGE(J510,L510,M510,N510,O510,P510,Q510,R510,S510)</f>
        <v>0.0172662915955423</v>
      </c>
      <c r="Z510" s="32" t="n">
        <f aca="false">U510-V510</f>
        <v>-0.0153105518990569</v>
      </c>
      <c r="AA510" s="32" t="n">
        <f aca="false">W510-V510</f>
        <v>-0.0210426713109098</v>
      </c>
    </row>
    <row r="511" customFormat="false" ht="15" hidden="false" customHeight="false" outlineLevel="0" collapsed="false">
      <c r="A511" s="28" t="n">
        <f aca="false">Data_Prices!A511</f>
        <v>45551</v>
      </c>
      <c r="B511" s="32" t="n">
        <f aca="false">Data_Prices!B511/Data_Prices!B510-1</f>
        <v>0.00107467513260895</v>
      </c>
      <c r="C511" s="32" t="n">
        <f aca="false">Data_Prices!C511/Data_Prices!C510-1</f>
        <v>0.00167166773932004</v>
      </c>
      <c r="D511" s="32" t="n">
        <f aca="false">Data_Prices!D511/Data_Prices!D510-1</f>
        <v>-0.0236122393717844</v>
      </c>
      <c r="E511" s="32" t="n">
        <f aca="false">Data_Prices!E511/Data_Prices!E510-1</f>
        <v>-0.0297465635738832</v>
      </c>
      <c r="F511" s="32" t="n">
        <f aca="false">Data_Prices!F511/Data_Prices!F510-1</f>
        <v>-0.0130906370776711</v>
      </c>
      <c r="G511" s="32" t="n">
        <f aca="false">Data_Prices!G511/Data_Prices!G510-1</f>
        <v>-0.0588275957417392</v>
      </c>
      <c r="H511" s="32" t="n">
        <f aca="false">Data_Prices!H511/Data_Prices!H510-1</f>
        <v>-0.0664438679037861</v>
      </c>
      <c r="I511" s="32" t="n">
        <f aca="false">Data_Prices!I511/Data_Prices!I510-1</f>
        <v>-0.0165726059303055</v>
      </c>
      <c r="J511" s="32" t="n">
        <f aca="false">Data_Prices!J511/Data_Prices!J510-1</f>
        <v>0.0505948875014726</v>
      </c>
      <c r="K511" s="32" t="n">
        <f aca="false">Data_Prices!K511/Data_Prices!K510-1</f>
        <v>-0.0332621702116445</v>
      </c>
      <c r="L511" s="32" t="n">
        <f aca="false">Data_Prices!L511/Data_Prices!L510-1</f>
        <v>-0.00619244204509373</v>
      </c>
      <c r="M511" s="32" t="n">
        <f aca="false">Data_Prices!M511/Data_Prices!M510-1</f>
        <v>0.0024188112137673</v>
      </c>
      <c r="N511" s="32" t="n">
        <f aca="false">Data_Prices!N511/Data_Prices!N510-1</f>
        <v>-0.0283823952440312</v>
      </c>
      <c r="O511" s="32" t="n">
        <f aca="false">Data_Prices!O511/Data_Prices!O510-1</f>
        <v>-0.00585673524553232</v>
      </c>
      <c r="P511" s="32" t="n">
        <f aca="false">Data_Prices!P511/Data_Prices!P510-1</f>
        <v>0.000273217257395375</v>
      </c>
      <c r="Q511" s="32" t="n">
        <f aca="false">Data_Prices!Q511/Data_Prices!Q510-1</f>
        <v>-0.0164752870693959</v>
      </c>
      <c r="R511" s="32" t="n">
        <f aca="false">Data_Prices!R511/Data_Prices!R510-1</f>
        <v>-0.00583705911574772</v>
      </c>
      <c r="S511" s="32" t="n">
        <f aca="false">Data_Prices!S511/Data_Prices!S510-1</f>
        <v>0.0150523268759741</v>
      </c>
      <c r="T511" s="32" t="n">
        <f aca="false">AVERAGE(D511:S511)</f>
        <v>-0.0147475222301253</v>
      </c>
      <c r="U511" s="32" t="n">
        <f aca="false">AVERAGE(J511:S511)</f>
        <v>-0.0027666846082836</v>
      </c>
      <c r="V511" s="32" t="n">
        <f aca="false">AVERAGE(D511:I511)</f>
        <v>-0.0347155849331949</v>
      </c>
      <c r="W511" s="32" t="n">
        <f aca="false">AVERAGE(K511,Q511,R511)</f>
        <v>-0.0185248387989294</v>
      </c>
      <c r="X511" s="32" t="n">
        <f aca="false">AVERAGE(K511,L511,N511,O511,P511,Q511,R511,S511)</f>
        <v>-0.0100850680997595</v>
      </c>
      <c r="Y511" s="32" t="n">
        <f aca="false">AVERAGE(J511,L511,M511,N511,O511,P511,Q511,R511,S511)</f>
        <v>0.00062170268097872</v>
      </c>
      <c r="Z511" s="32" t="n">
        <f aca="false">U511-V511</f>
        <v>0.0319489003249113</v>
      </c>
      <c r="AA511" s="32" t="n">
        <f aca="false">W511-V511</f>
        <v>0.0161907461342655</v>
      </c>
    </row>
    <row r="512" customFormat="false" ht="15" hidden="false" customHeight="false" outlineLevel="0" collapsed="false">
      <c r="A512" s="28" t="n">
        <f aca="false">Data_Prices!A512</f>
        <v>45552</v>
      </c>
      <c r="B512" s="32" t="n">
        <f aca="false">Data_Prices!B512/Data_Prices!B511-1</f>
        <v>0.00137095582803948</v>
      </c>
      <c r="C512" s="32" t="n">
        <f aca="false">Data_Prices!C512/Data_Prices!C511-1</f>
        <v>7.09273120218512E-005</v>
      </c>
      <c r="D512" s="32" t="n">
        <f aca="false">Data_Prices!D512/Data_Prices!D511-1</f>
        <v>0.0138388152421098</v>
      </c>
      <c r="E512" s="32" t="n">
        <f aca="false">Data_Prices!E512/Data_Prices!E511-1</f>
        <v>-0.0245157719977863</v>
      </c>
      <c r="F512" s="32" t="n">
        <f aca="false">Data_Prices!F512/Data_Prices!F511-1</f>
        <v>-0.0104429846723936</v>
      </c>
      <c r="G512" s="32" t="n">
        <f aca="false">Data_Prices!G512/Data_Prices!G511-1</f>
        <v>-0.00859346309217779</v>
      </c>
      <c r="H512" s="32" t="n">
        <f aca="false">Data_Prices!H512/Data_Prices!H511-1</f>
        <v>-0.010880829015544</v>
      </c>
      <c r="I512" s="32" t="n">
        <f aca="false">Data_Prices!I512/Data_Prices!I511-1</f>
        <v>0.0153944252140645</v>
      </c>
      <c r="J512" s="32" t="n">
        <f aca="false">Data_Prices!J512/Data_Prices!J511-1</f>
        <v>0.00574648203173189</v>
      </c>
      <c r="K512" s="32" t="n">
        <f aca="false">Data_Prices!K512/Data_Prices!K511-1</f>
        <v>0.00268546034515649</v>
      </c>
      <c r="L512" s="32" t="n">
        <f aca="false">Data_Prices!L512/Data_Prices!L511-1</f>
        <v>0.0058795334718007</v>
      </c>
      <c r="M512" s="32" t="n">
        <f aca="false">Data_Prices!M512/Data_Prices!M511-1</f>
        <v>-0.00878164556962013</v>
      </c>
      <c r="N512" s="32" t="n">
        <f aca="false">Data_Prices!N512/Data_Prices!N511-1</f>
        <v>0.0178624296851873</v>
      </c>
      <c r="O512" s="32" t="n">
        <f aca="false">Data_Prices!O512/Data_Prices!O511-1</f>
        <v>-0.0102719033232628</v>
      </c>
      <c r="P512" s="32" t="n">
        <f aca="false">Data_Prices!P512/Data_Prices!P511-1</f>
        <v>0.00509038537941997</v>
      </c>
      <c r="Q512" s="32" t="n">
        <f aca="false">Data_Prices!Q512/Data_Prices!Q511-1</f>
        <v>0.0157360406091371</v>
      </c>
      <c r="R512" s="32" t="n">
        <f aca="false">Data_Prices!R512/Data_Prices!R511-1</f>
        <v>-0.0100562148657088</v>
      </c>
      <c r="S512" s="32" t="n">
        <f aca="false">Data_Prices!S512/Data_Prices!S511-1</f>
        <v>0.00165255414674093</v>
      </c>
      <c r="T512" s="32" t="n">
        <f aca="false">AVERAGE(D512:S512)</f>
        <v>2.14570993034569E-005</v>
      </c>
      <c r="U512" s="32" t="n">
        <f aca="false">AVERAGE(J512:S512)</f>
        <v>0.00255431219105826</v>
      </c>
      <c r="V512" s="32" t="n">
        <f aca="false">AVERAGE(D512:I512)</f>
        <v>-0.00419996805362122</v>
      </c>
      <c r="W512" s="32" t="n">
        <f aca="false">AVERAGE(K512,Q512,R512)</f>
        <v>0.00278842869619493</v>
      </c>
      <c r="X512" s="32" t="n">
        <f aca="false">AVERAGE(K512,L512,N512,O512,P512,Q512,R512,S512)</f>
        <v>0.00357228568105886</v>
      </c>
      <c r="Y512" s="32" t="n">
        <f aca="false">AVERAGE(J512,L512,M512,N512,O512,P512,Q512,R512,S512)</f>
        <v>0.00253974017393624</v>
      </c>
      <c r="Z512" s="32" t="n">
        <f aca="false">U512-V512</f>
        <v>0.00675428024467948</v>
      </c>
      <c r="AA512" s="32" t="n">
        <f aca="false">W512-V512</f>
        <v>0.00698839674981614</v>
      </c>
    </row>
    <row r="513" customFormat="false" ht="15" hidden="false" customHeight="false" outlineLevel="0" collapsed="false">
      <c r="A513" s="28" t="n">
        <f aca="false">Data_Prices!A513</f>
        <v>45553</v>
      </c>
      <c r="B513" s="32" t="n">
        <f aca="false">Data_Prices!B513/Data_Prices!B512-1</f>
        <v>-0.00161299523379577</v>
      </c>
      <c r="C513" s="32" t="n">
        <f aca="false">Data_Prices!C513/Data_Prices!C512-1</f>
        <v>-0.00297247798280342</v>
      </c>
      <c r="D513" s="32" t="n">
        <f aca="false">Data_Prices!D513/Data_Prices!D512-1</f>
        <v>-0.0045408540088081</v>
      </c>
      <c r="E513" s="32" t="n">
        <f aca="false">Data_Prices!E513/Data_Prices!E512-1</f>
        <v>-0.00448176093492947</v>
      </c>
      <c r="F513" s="32" t="n">
        <f aca="false">Data_Prices!F513/Data_Prices!F512-1</f>
        <v>0.0468510638297872</v>
      </c>
      <c r="G513" s="32" t="n">
        <f aca="false">Data_Prices!G513/Data_Prices!G512-1</f>
        <v>-0.000444510297821887</v>
      </c>
      <c r="H513" s="32" t="n">
        <f aca="false">Data_Prices!H513/Data_Prices!H512-1</f>
        <v>0.0239535215962663</v>
      </c>
      <c r="I513" s="32" t="n">
        <f aca="false">Data_Prices!I513/Data_Prices!I512-1</f>
        <v>-0.0311294518704585</v>
      </c>
      <c r="J513" s="32" t="n">
        <f aca="false">Data_Prices!J513/Data_Prices!J512-1</f>
        <v>-0.00518409097243511</v>
      </c>
      <c r="K513" s="32" t="n">
        <f aca="false">Data_Prices!K513/Data_Prices!K512-1</f>
        <v>0.0360546529807628</v>
      </c>
      <c r="L513" s="32" t="n">
        <f aca="false">Data_Prices!L513/Data_Prices!L512-1</f>
        <v>0.0102925760030497</v>
      </c>
      <c r="M513" s="32" t="n">
        <f aca="false">Data_Prices!M513/Data_Prices!M512-1</f>
        <v>-0.00997685369941737</v>
      </c>
      <c r="N513" s="32" t="n">
        <f aca="false">Data_Prices!N513/Data_Prices!N512-1</f>
        <v>0.0254993213108397</v>
      </c>
      <c r="O513" s="32" t="n">
        <f aca="false">Data_Prices!O513/Data_Prices!O512-1</f>
        <v>-0.000305250305250415</v>
      </c>
      <c r="P513" s="32" t="n">
        <f aca="false">Data_Prices!P513/Data_Prices!P512-1</f>
        <v>-0.00338463818958912</v>
      </c>
      <c r="Q513" s="32" t="n">
        <f aca="false">Data_Prices!Q513/Data_Prices!Q512-1</f>
        <v>-0.00962018990504743</v>
      </c>
      <c r="R513" s="32" t="n">
        <f aca="false">Data_Prices!R513/Data_Prices!R512-1</f>
        <v>-0.0159000567859171</v>
      </c>
      <c r="S513" s="32" t="n">
        <f aca="false">Data_Prices!S513/Data_Prices!S512-1</f>
        <v>0.0438299363429306</v>
      </c>
      <c r="T513" s="32" t="n">
        <f aca="false">AVERAGE(D513:S513)</f>
        <v>0.00634458844337262</v>
      </c>
      <c r="U513" s="32" t="n">
        <f aca="false">AVERAGE(J513:S513)</f>
        <v>0.00713054067799263</v>
      </c>
      <c r="V513" s="32" t="n">
        <f aca="false">AVERAGE(D513:I513)</f>
        <v>0.00503466805233926</v>
      </c>
      <c r="W513" s="32" t="n">
        <f aca="false">AVERAGE(K513,Q513,R513)</f>
        <v>0.0035114687632661</v>
      </c>
      <c r="X513" s="32" t="n">
        <f aca="false">AVERAGE(K513,L513,N513,O513,P513,Q513,R513,S513)</f>
        <v>0.0108082939314723</v>
      </c>
      <c r="Y513" s="32" t="n">
        <f aca="false">AVERAGE(J513,L513,M513,N513,O513,P513,Q513,R513,S513)</f>
        <v>0.00391675042212927</v>
      </c>
      <c r="Z513" s="32" t="n">
        <f aca="false">U513-V513</f>
        <v>0.00209587262565336</v>
      </c>
      <c r="AA513" s="32" t="n">
        <f aca="false">W513-V513</f>
        <v>-0.00152319928907317</v>
      </c>
    </row>
    <row r="514" customFormat="false" ht="15" hidden="false" customHeight="false" outlineLevel="0" collapsed="false">
      <c r="A514" s="28" t="n">
        <f aca="false">Data_Prices!A514</f>
        <v>45554</v>
      </c>
      <c r="B514" s="32" t="n">
        <f aca="false">Data_Prices!B514/Data_Prices!B513-1</f>
        <v>0.00150723769631034</v>
      </c>
      <c r="C514" s="32" t="n">
        <f aca="false">Data_Prices!C514/Data_Prices!C513-1</f>
        <v>-0.00187039853715587</v>
      </c>
      <c r="D514" s="32" t="n">
        <f aca="false">Data_Prices!D514/Data_Prices!D513-1</f>
        <v>0.0273419252012861</v>
      </c>
      <c r="E514" s="32" t="n">
        <f aca="false">Data_Prices!E514/Data_Prices!E513-1</f>
        <v>-0.0291201276498746</v>
      </c>
      <c r="F514" s="32" t="n">
        <f aca="false">Data_Prices!F514/Data_Prices!F513-1</f>
        <v>-0.0135766838746393</v>
      </c>
      <c r="G514" s="32" t="n">
        <f aca="false">Data_Prices!G514/Data_Prices!G513-1</f>
        <v>-0.0162318410910169</v>
      </c>
      <c r="H514" s="32" t="n">
        <f aca="false">Data_Prices!H514/Data_Prices!H513-1</f>
        <v>-0.0556227327690447</v>
      </c>
      <c r="I514" s="32" t="n">
        <f aca="false">Data_Prices!I514/Data_Prices!I513-1</f>
        <v>0.005462962962963</v>
      </c>
      <c r="J514" s="32" t="n">
        <f aca="false">Data_Prices!J514/Data_Prices!J513-1</f>
        <v>-0.00322192026447765</v>
      </c>
      <c r="K514" s="32" t="n">
        <f aca="false">Data_Prices!K514/Data_Prices!K513-1</f>
        <v>-0.00534071673205883</v>
      </c>
      <c r="L514" s="32" t="n">
        <f aca="false">Data_Prices!L514/Data_Prices!L513-1</f>
        <v>0.00386755966418262</v>
      </c>
      <c r="M514" s="32" t="n">
        <f aca="false">Data_Prices!M514/Data_Prices!M513-1</f>
        <v>0.0236617220251532</v>
      </c>
      <c r="N514" s="32" t="n">
        <f aca="false">Data_Prices!N514/Data_Prices!N513-1</f>
        <v>-0.0622104566512244</v>
      </c>
      <c r="O514" s="32" t="n">
        <f aca="false">Data_Prices!O514/Data_Prices!O513-1</f>
        <v>-0.0117557251908398</v>
      </c>
      <c r="P514" s="32" t="n">
        <f aca="false">Data_Prices!P514/Data_Prices!P513-1</f>
        <v>0.00914724838869607</v>
      </c>
      <c r="Q514" s="32" t="n">
        <f aca="false">Data_Prices!Q514/Data_Prices!Q513-1</f>
        <v>0.00264917371010465</v>
      </c>
      <c r="R514" s="32" t="n">
        <f aca="false">Data_Prices!R514/Data_Prices!R513-1</f>
        <v>0.0196191575302942</v>
      </c>
      <c r="S514" s="32" t="n">
        <f aca="false">Data_Prices!S514/Data_Prices!S513-1</f>
        <v>-0.0138053542954654</v>
      </c>
      <c r="T514" s="32" t="n">
        <f aca="false">AVERAGE(D514:S514)</f>
        <v>-0.00744598806474761</v>
      </c>
      <c r="U514" s="32" t="n">
        <f aca="false">AVERAGE(J514:S514)</f>
        <v>-0.00373893118156353</v>
      </c>
      <c r="V514" s="32" t="n">
        <f aca="false">AVERAGE(D514:I514)</f>
        <v>-0.0136244162033877</v>
      </c>
      <c r="W514" s="32" t="n">
        <f aca="false">AVERAGE(K514,Q514,R514)</f>
        <v>0.00564253816944667</v>
      </c>
      <c r="X514" s="32" t="n">
        <f aca="false">AVERAGE(K514,L514,N514,O514,P514,Q514,R514,S514)</f>
        <v>-0.00722863919703885</v>
      </c>
      <c r="Y514" s="32" t="n">
        <f aca="false">AVERAGE(J514,L514,M514,N514,O514,P514,Q514,R514,S514)</f>
        <v>-0.00356095500928628</v>
      </c>
      <c r="Z514" s="32" t="n">
        <f aca="false">U514-V514</f>
        <v>0.00988548502182421</v>
      </c>
      <c r="AA514" s="32" t="n">
        <f aca="false">W514-V514</f>
        <v>0.0192669543728344</v>
      </c>
    </row>
    <row r="515" customFormat="false" ht="15" hidden="false" customHeight="false" outlineLevel="0" collapsed="false">
      <c r="A515" s="28" t="n">
        <f aca="false">Data_Prices!A515</f>
        <v>45555</v>
      </c>
      <c r="B515" s="32" t="n">
        <f aca="false">Data_Prices!B515/Data_Prices!B514-1</f>
        <v>0.0147605033089653</v>
      </c>
      <c r="C515" s="32" t="n">
        <f aca="false">Data_Prices!C515/Data_Prices!C514-1</f>
        <v>0.0142471163056852</v>
      </c>
      <c r="D515" s="32" t="n">
        <f aca="false">Data_Prices!D515/Data_Prices!D514-1</f>
        <v>-0.00347723746857109</v>
      </c>
      <c r="E515" s="32" t="n">
        <f aca="false">Data_Prices!E515/Data_Prices!E514-1</f>
        <v>0.0126782884310617</v>
      </c>
      <c r="F515" s="32" t="n">
        <f aca="false">Data_Prices!F515/Data_Prices!F514-1</f>
        <v>0.0454526723534019</v>
      </c>
      <c r="G515" s="32" t="n">
        <f aca="false">Data_Prices!G515/Data_Prices!G514-1</f>
        <v>0.00625329616514736</v>
      </c>
      <c r="H515" s="32" t="n">
        <f aca="false">Data_Prices!H515/Data_Prices!H514-1</f>
        <v>-0.00650054171180925</v>
      </c>
      <c r="I515" s="32" t="n">
        <f aca="false">Data_Prices!I515/Data_Prices!I514-1</f>
        <v>-0.00884059305645102</v>
      </c>
      <c r="J515" s="32" t="n">
        <f aca="false">Data_Prices!J515/Data_Prices!J514-1</f>
        <v>0.0253808533363313</v>
      </c>
      <c r="K515" s="32" t="n">
        <f aca="false">Data_Prices!K515/Data_Prices!K514-1</f>
        <v>-0.00104221635883905</v>
      </c>
      <c r="L515" s="32" t="n">
        <f aca="false">Data_Prices!L515/Data_Prices!L514-1</f>
        <v>0.00501158930025691</v>
      </c>
      <c r="M515" s="32" t="n">
        <f aca="false">Data_Prices!M515/Data_Prices!M514-1</f>
        <v>0.00354400472533967</v>
      </c>
      <c r="N515" s="32" t="n">
        <f aca="false">Data_Prices!N515/Data_Prices!N514-1</f>
        <v>0.0693618308297208</v>
      </c>
      <c r="O515" s="32" t="n">
        <f aca="false">Data_Prices!O515/Data_Prices!O514-1</f>
        <v>-0.00896029661671549</v>
      </c>
      <c r="P515" s="32" t="n">
        <f aca="false">Data_Prices!P515/Data_Prices!P514-1</f>
        <v>-0.0225011668181483</v>
      </c>
      <c r="Q515" s="32" t="n">
        <f aca="false">Data_Prices!Q515/Data_Prices!Q514-1</f>
        <v>0.0195017614494213</v>
      </c>
      <c r="R515" s="32" t="n">
        <f aca="false">Data_Prices!R515/Data_Prices!R514-1</f>
        <v>-0.0103125196503804</v>
      </c>
      <c r="S515" s="32" t="n">
        <f aca="false">Data_Prices!S515/Data_Prices!S514-1</f>
        <v>0.00191470350461653</v>
      </c>
      <c r="T515" s="32" t="n">
        <f aca="false">AVERAGE(D515:S515)</f>
        <v>0.00796652677589893</v>
      </c>
      <c r="U515" s="32" t="n">
        <f aca="false">AVERAGE(J515:S515)</f>
        <v>0.00818985437016033</v>
      </c>
      <c r="V515" s="32" t="n">
        <f aca="false">AVERAGE(D515:I515)</f>
        <v>0.00759431411879659</v>
      </c>
      <c r="W515" s="32" t="n">
        <f aca="false">AVERAGE(K515,Q515,R515)</f>
        <v>0.00271567514673395</v>
      </c>
      <c r="X515" s="32" t="n">
        <f aca="false">AVERAGE(K515,L515,N515,O515,P515,Q515,R515,S515)</f>
        <v>0.00662171070499154</v>
      </c>
      <c r="Y515" s="32" t="n">
        <f aca="false">AVERAGE(J515,L515,M515,N515,O515,P515,Q515,R515,S515)</f>
        <v>0.00921564000671582</v>
      </c>
      <c r="Z515" s="32" t="n">
        <f aca="false">U515-V515</f>
        <v>0.00059554025136374</v>
      </c>
      <c r="AA515" s="32" t="n">
        <f aca="false">W515-V515</f>
        <v>-0.00487863897206264</v>
      </c>
    </row>
    <row r="516" customFormat="false" ht="15" hidden="false" customHeight="false" outlineLevel="0" collapsed="false">
      <c r="A516" s="28" t="n">
        <f aca="false">Data_Prices!A516</f>
        <v>45558</v>
      </c>
      <c r="B516" s="32" t="n">
        <f aca="false">Data_Prices!B516/Data_Prices!B515-1</f>
        <v>0.00574232434245348</v>
      </c>
      <c r="C516" s="32" t="n">
        <f aca="false">Data_Prices!C516/Data_Prices!C515-1</f>
        <v>0.00766312030354888</v>
      </c>
      <c r="D516" s="32" t="n">
        <f aca="false">Data_Prices!D516/Data_Prices!D515-1</f>
        <v>0.0193525875026841</v>
      </c>
      <c r="E516" s="32" t="n">
        <f aca="false">Data_Prices!E516/Data_Prices!E515-1</f>
        <v>0.0201124442126008</v>
      </c>
      <c r="F516" s="32" t="n">
        <f aca="false">Data_Prices!F516/Data_Prices!F515-1</f>
        <v>0.0220338983050847</v>
      </c>
      <c r="G516" s="32" t="n">
        <f aca="false">Data_Prices!G516/Data_Prices!G515-1</f>
        <v>0.0193920335429769</v>
      </c>
      <c r="H516" s="32" t="n">
        <f aca="false">Data_Prices!H516/Data_Prices!H515-1</f>
        <v>0.00460989392287092</v>
      </c>
      <c r="I516" s="32" t="n">
        <f aca="false">Data_Prices!I516/Data_Prices!I515-1</f>
        <v>0.00743287187587094</v>
      </c>
      <c r="J516" s="32" t="n">
        <f aca="false">Data_Prices!J516/Data_Prices!J515-1</f>
        <v>-0.018886543680272</v>
      </c>
      <c r="K516" s="32" t="n">
        <f aca="false">Data_Prices!K516/Data_Prices!K515-1</f>
        <v>0.00167720975687069</v>
      </c>
      <c r="L516" s="32" t="n">
        <f aca="false">Data_Prices!L516/Data_Prices!L515-1</f>
        <v>0.0184192482702736</v>
      </c>
      <c r="M516" s="32" t="n">
        <f aca="false">Data_Prices!M516/Data_Prices!M515-1</f>
        <v>-0.0241710810280557</v>
      </c>
      <c r="N516" s="32" t="n">
        <f aca="false">Data_Prices!N516/Data_Prices!N515-1</f>
        <v>-0.0361082304138777</v>
      </c>
      <c r="O516" s="32" t="n">
        <f aca="false">Data_Prices!O516/Data_Prices!O515-1</f>
        <v>0.0350740452065472</v>
      </c>
      <c r="P516" s="32" t="n">
        <f aca="false">Data_Prices!P516/Data_Prices!P515-1</f>
        <v>0.017716683838866</v>
      </c>
      <c r="Q516" s="32" t="n">
        <f aca="false">Data_Prices!Q516/Data_Prices!Q515-1</f>
        <v>-0.0104899419967913</v>
      </c>
      <c r="R516" s="32" t="n">
        <f aca="false">Data_Prices!R516/Data_Prices!R515-1</f>
        <v>0.0102929029798589</v>
      </c>
      <c r="S516" s="32" t="n">
        <f aca="false">Data_Prices!S516/Data_Prices!S515-1</f>
        <v>0.0100789898360749</v>
      </c>
      <c r="T516" s="32" t="n">
        <f aca="false">AVERAGE(D516:S516)</f>
        <v>0.00603356325822395</v>
      </c>
      <c r="U516" s="32" t="n">
        <f aca="false">AVERAGE(J516:S516)</f>
        <v>0.000360328276949473</v>
      </c>
      <c r="V516" s="32" t="n">
        <f aca="false">AVERAGE(D516:I516)</f>
        <v>0.0154889548936814</v>
      </c>
      <c r="W516" s="32" t="n">
        <f aca="false">AVERAGE(K516,Q516,R516)</f>
        <v>0.000493390246646075</v>
      </c>
      <c r="X516" s="32" t="n">
        <f aca="false">AVERAGE(K516,L516,N516,O516,P516,Q516,R516,S516)</f>
        <v>0.0058326134347278</v>
      </c>
      <c r="Y516" s="32" t="n">
        <f aca="false">AVERAGE(J516,L516,M516,N516,O516,P516,Q516,R516,S516)</f>
        <v>0.000214008112513782</v>
      </c>
      <c r="Z516" s="32" t="n">
        <f aca="false">U516-V516</f>
        <v>-0.0151286266167319</v>
      </c>
      <c r="AA516" s="32" t="n">
        <f aca="false">W516-V516</f>
        <v>-0.0149955646470353</v>
      </c>
    </row>
    <row r="517" customFormat="false" ht="15" hidden="false" customHeight="false" outlineLevel="0" collapsed="false">
      <c r="A517" s="28" t="n">
        <f aca="false">Data_Prices!A517</f>
        <v>45559</v>
      </c>
      <c r="B517" s="32" t="n">
        <f aca="false">Data_Prices!B517/Data_Prices!B516-1</f>
        <v>5.20450826071439E-005</v>
      </c>
      <c r="C517" s="32" t="n">
        <f aca="false">Data_Prices!C517/Data_Prices!C516-1</f>
        <v>0.000430695018704519</v>
      </c>
      <c r="D517" s="32" t="n">
        <f aca="false">Data_Prices!D517/Data_Prices!D516-1</f>
        <v>-0.00192221607815246</v>
      </c>
      <c r="E517" s="32" t="n">
        <f aca="false">Data_Prices!E517/Data_Prices!E516-1</f>
        <v>-0.0211363636363636</v>
      </c>
      <c r="F517" s="32" t="n">
        <f aca="false">Data_Prices!F517/Data_Prices!F516-1</f>
        <v>0.0341702341008137</v>
      </c>
      <c r="G517" s="32" t="n">
        <f aca="false">Data_Prices!G517/Data_Prices!G516-1</f>
        <v>0.00763863385971364</v>
      </c>
      <c r="H517" s="32" t="n">
        <f aca="false">Data_Prices!H517/Data_Prices!H516-1</f>
        <v>-0.0174174766862387</v>
      </c>
      <c r="I517" s="32" t="n">
        <f aca="false">Data_Prices!I517/Data_Prices!I516-1</f>
        <v>-0.00405791755049323</v>
      </c>
      <c r="J517" s="32" t="n">
        <f aca="false">Data_Prices!J517/Data_Prices!J516-1</f>
        <v>-0.0142769333929369</v>
      </c>
      <c r="K517" s="32" t="n">
        <f aca="false">Data_Prices!K517/Data_Prices!K516-1</f>
        <v>-0.00539236367471785</v>
      </c>
      <c r="L517" s="32" t="n">
        <f aca="false">Data_Prices!L517/Data_Prices!L516-1</f>
        <v>-0.0119656027175077</v>
      </c>
      <c r="M517" s="32" t="n">
        <f aca="false">Data_Prices!M517/Data_Prices!M516-1</f>
        <v>-0.0226788371064378</v>
      </c>
      <c r="N517" s="32" t="n">
        <f aca="false">Data_Prices!N517/Data_Prices!N516-1</f>
        <v>0.0051838810641629</v>
      </c>
      <c r="O517" s="32" t="n">
        <f aca="false">Data_Prices!O517/Data_Prices!O516-1</f>
        <v>-0.0102409638554216</v>
      </c>
      <c r="P517" s="32" t="n">
        <f aca="false">Data_Prices!P517/Data_Prices!P516-1</f>
        <v>-0.0167415674848141</v>
      </c>
      <c r="Q517" s="32" t="n">
        <f aca="false">Data_Prices!Q517/Data_Prices!Q516-1</f>
        <v>-0.00860563731603892</v>
      </c>
      <c r="R517" s="32" t="n">
        <f aca="false">Data_Prices!R517/Data_Prices!R516-1</f>
        <v>-0.0189925161939499</v>
      </c>
      <c r="S517" s="32" t="n">
        <f aca="false">Data_Prices!S517/Data_Prices!S516-1</f>
        <v>-0.0144070409507525</v>
      </c>
      <c r="T517" s="32" t="n">
        <f aca="false">AVERAGE(D517:S517)</f>
        <v>-0.00755266797619595</v>
      </c>
      <c r="U517" s="32" t="n">
        <f aca="false">AVERAGE(J517:S517)</f>
        <v>-0.0118117581628414</v>
      </c>
      <c r="V517" s="32" t="n">
        <f aca="false">AVERAGE(D517:I517)</f>
        <v>-0.000454184331786789</v>
      </c>
      <c r="W517" s="32" t="n">
        <f aca="false">AVERAGE(K517,Q517,R517)</f>
        <v>-0.0109968390615689</v>
      </c>
      <c r="X517" s="32" t="n">
        <f aca="false">AVERAGE(K517,L517,N517,O517,P517,Q517,R517,S517)</f>
        <v>-0.01014522639113</v>
      </c>
      <c r="Y517" s="32" t="n">
        <f aca="false">AVERAGE(J517,L517,M517,N517,O517,P517,Q517,R517,S517)</f>
        <v>-0.0125250242170774</v>
      </c>
      <c r="Z517" s="32" t="n">
        <f aca="false">U517-V517</f>
        <v>-0.0113575738310547</v>
      </c>
      <c r="AA517" s="32" t="n">
        <f aca="false">W517-V517</f>
        <v>-0.0105426547297821</v>
      </c>
    </row>
    <row r="518" customFormat="false" ht="15" hidden="false" customHeight="false" outlineLevel="0" collapsed="false">
      <c r="A518" s="28" t="n">
        <f aca="false">Data_Prices!A518</f>
        <v>45560</v>
      </c>
      <c r="B518" s="32" t="n">
        <f aca="false">Data_Prices!B518/Data_Prices!B517-1</f>
        <v>0.00245755655271318</v>
      </c>
      <c r="C518" s="32" t="n">
        <f aca="false">Data_Prices!C518/Data_Prices!C517-1</f>
        <v>-0.000756466869211159</v>
      </c>
      <c r="D518" s="32" t="n">
        <f aca="false">Data_Prices!D518/Data_Prices!D517-1</f>
        <v>-0.00366715913887716</v>
      </c>
      <c r="E518" s="32" t="n">
        <f aca="false">Data_Prices!E518/Data_Prices!E517-1</f>
        <v>0.00771999071279317</v>
      </c>
      <c r="F518" s="32" t="n">
        <f aca="false">Data_Prices!F518/Data_Prices!F517-1</f>
        <v>-0.0282304680216297</v>
      </c>
      <c r="G518" s="32" t="n">
        <f aca="false">Data_Prices!G518/Data_Prices!G517-1</f>
        <v>-0.0303958014432539</v>
      </c>
      <c r="H518" s="32" t="n">
        <f aca="false">Data_Prices!H518/Data_Prices!H517-1</f>
        <v>0.00205885306819309</v>
      </c>
      <c r="I518" s="32" t="n">
        <f aca="false">Data_Prices!I518/Data_Prices!I517-1</f>
        <v>0.00287063617001571</v>
      </c>
      <c r="J518" s="32" t="n">
        <f aca="false">Data_Prices!J518/Data_Prices!J517-1</f>
        <v>-0.0469657889515602</v>
      </c>
      <c r="K518" s="32" t="n">
        <f aca="false">Data_Prices!K518/Data_Prices!K517-1</f>
        <v>0.00922599716327111</v>
      </c>
      <c r="L518" s="32" t="n">
        <f aca="false">Data_Prices!L518/Data_Prices!L517-1</f>
        <v>0.0024778541782815</v>
      </c>
      <c r="M518" s="32" t="n">
        <f aca="false">Data_Prices!M518/Data_Prices!M517-1</f>
        <v>0.002962353425221</v>
      </c>
      <c r="N518" s="32" t="n">
        <f aca="false">Data_Prices!N518/Data_Prices!N517-1</f>
        <v>-0.0286075703026176</v>
      </c>
      <c r="O518" s="32" t="n">
        <f aca="false">Data_Prices!O518/Data_Prices!O517-1</f>
        <v>0.0108034083992694</v>
      </c>
      <c r="P518" s="32" t="n">
        <f aca="false">Data_Prices!P518/Data_Prices!P517-1</f>
        <v>0.0259166248116525</v>
      </c>
      <c r="Q518" s="32" t="n">
        <f aca="false">Data_Prices!Q518/Data_Prices!Q517-1</f>
        <v>0.0167316643602971</v>
      </c>
      <c r="R518" s="32" t="n">
        <f aca="false">Data_Prices!R518/Data_Prices!R517-1</f>
        <v>-0.0103852811077634</v>
      </c>
      <c r="S518" s="32" t="n">
        <f aca="false">Data_Prices!S518/Data_Prices!S517-1</f>
        <v>0.00220402127236019</v>
      </c>
      <c r="T518" s="32" t="n">
        <f aca="false">AVERAGE(D518:S518)</f>
        <v>-0.00408004158777171</v>
      </c>
      <c r="U518" s="32" t="n">
        <f aca="false">AVERAGE(J518:S518)</f>
        <v>-0.00156367167515885</v>
      </c>
      <c r="V518" s="32" t="n">
        <f aca="false">AVERAGE(D518:I518)</f>
        <v>-0.00827399144212646</v>
      </c>
      <c r="W518" s="32" t="n">
        <f aca="false">AVERAGE(K518,Q518,R518)</f>
        <v>0.00519079347193493</v>
      </c>
      <c r="X518" s="32" t="n">
        <f aca="false">AVERAGE(K518,L518,N518,O518,P518,Q518,R518,S518)</f>
        <v>0.00354583984684384</v>
      </c>
      <c r="Y518" s="32" t="n">
        <f aca="false">AVERAGE(J518,L518,M518,N518,O518,P518,Q518,R518,S518)</f>
        <v>-0.00276252376831773</v>
      </c>
      <c r="Z518" s="32" t="n">
        <f aca="false">U518-V518</f>
        <v>0.00671031976696761</v>
      </c>
      <c r="AA518" s="32" t="n">
        <f aca="false">W518-V518</f>
        <v>0.0134647849140614</v>
      </c>
    </row>
    <row r="519" customFormat="false" ht="15" hidden="false" customHeight="false" outlineLevel="0" collapsed="false">
      <c r="A519" s="28" t="n">
        <f aca="false">Data_Prices!A519</f>
        <v>45561</v>
      </c>
      <c r="B519" s="32" t="n">
        <f aca="false">Data_Prices!B519/Data_Prices!B518-1</f>
        <v>0.0081486993422204</v>
      </c>
      <c r="C519" s="32" t="n">
        <f aca="false">Data_Prices!C519/Data_Prices!C518-1</f>
        <v>0.0051556649740987</v>
      </c>
      <c r="D519" s="32" t="n">
        <f aca="false">Data_Prices!D519/Data_Prices!D518-1</f>
        <v>-0.00169469085131735</v>
      </c>
      <c r="E519" s="32" t="n">
        <f aca="false">Data_Prices!E519/Data_Prices!E518-1</f>
        <v>0.0198145268129717</v>
      </c>
      <c r="F519" s="32" t="n">
        <f aca="false">Data_Prices!F519/Data_Prices!F518-1</f>
        <v>-0.00445160795149291</v>
      </c>
      <c r="G519" s="32" t="n">
        <f aca="false">Data_Prices!G519/Data_Prices!G518-1</f>
        <v>0.00202976995940474</v>
      </c>
      <c r="H519" s="32" t="n">
        <f aca="false">Data_Prices!H519/Data_Prices!H518-1</f>
        <v>5.0112753695819E-005</v>
      </c>
      <c r="I519" s="32" t="n">
        <f aca="false">Data_Prices!I519/Data_Prices!I518-1</f>
        <v>-0.0110803324099723</v>
      </c>
      <c r="J519" s="32" t="n">
        <f aca="false">Data_Prices!J519/Data_Prices!J518-1</f>
        <v>-0.00627527956221741</v>
      </c>
      <c r="K519" s="32" t="n">
        <f aca="false">Data_Prices!K519/Data_Prices!K518-1</f>
        <v>0.0189531752807512</v>
      </c>
      <c r="L519" s="32" t="n">
        <f aca="false">Data_Prices!L519/Data_Prices!L518-1</f>
        <v>0.0144905147376877</v>
      </c>
      <c r="M519" s="32" t="n">
        <f aca="false">Data_Prices!M519/Data_Prices!M518-1</f>
        <v>-0.000615334126430667</v>
      </c>
      <c r="N519" s="32" t="n">
        <f aca="false">Data_Prices!N519/Data_Prices!N518-1</f>
        <v>-0.0203345687669037</v>
      </c>
      <c r="O519" s="32" t="n">
        <f aca="false">Data_Prices!O519/Data_Prices!O518-1</f>
        <v>0.0251392443173266</v>
      </c>
      <c r="P519" s="32" t="n">
        <f aca="false">Data_Prices!P519/Data_Prices!P518-1</f>
        <v>0.00239890335846482</v>
      </c>
      <c r="Q519" s="32" t="n">
        <f aca="false">Data_Prices!Q519/Data_Prices!Q518-1</f>
        <v>-0.0111358574610245</v>
      </c>
      <c r="R519" s="32" t="n">
        <f aca="false">Data_Prices!R519/Data_Prices!R518-1</f>
        <v>0.0121785320982055</v>
      </c>
      <c r="S519" s="32" t="n">
        <f aca="false">Data_Prices!S519/Data_Prices!S518-1</f>
        <v>0.0296250053205831</v>
      </c>
      <c r="T519" s="32" t="n">
        <f aca="false">AVERAGE(D519:S519)</f>
        <v>0.00431825709435828</v>
      </c>
      <c r="U519" s="32" t="n">
        <f aca="false">AVERAGE(J519:S519)</f>
        <v>0.00644243351964428</v>
      </c>
      <c r="V519" s="32" t="n">
        <f aca="false">AVERAGE(D519:I519)</f>
        <v>0.000777963052214947</v>
      </c>
      <c r="W519" s="32" t="n">
        <f aca="false">AVERAGE(K519,Q519,R519)</f>
        <v>0.00666528330597741</v>
      </c>
      <c r="X519" s="32" t="n">
        <f aca="false">AVERAGE(K519,L519,N519,O519,P519,Q519,R519,S519)</f>
        <v>0.00891436861063635</v>
      </c>
      <c r="Y519" s="32" t="n">
        <f aca="false">AVERAGE(J519,L519,M519,N519,O519,P519,Q519,R519,S519)</f>
        <v>0.0050523511017435</v>
      </c>
      <c r="Z519" s="32" t="n">
        <f aca="false">U519-V519</f>
        <v>0.00566447046742933</v>
      </c>
      <c r="AA519" s="32" t="n">
        <f aca="false">W519-V519</f>
        <v>0.00588732025376247</v>
      </c>
    </row>
    <row r="520" customFormat="false" ht="15" hidden="false" customHeight="false" outlineLevel="0" collapsed="false">
      <c r="A520" s="28" t="n">
        <f aca="false">Data_Prices!A520</f>
        <v>45562</v>
      </c>
      <c r="B520" s="32" t="n">
        <f aca="false">Data_Prices!B520/Data_Prices!B519-1</f>
        <v>-0.00141516361160432</v>
      </c>
      <c r="C520" s="32" t="n">
        <f aca="false">Data_Prices!C520/Data_Prices!C519-1</f>
        <v>-0.000300037963987365</v>
      </c>
      <c r="D520" s="32" t="n">
        <f aca="false">Data_Prices!D520/Data_Prices!D519-1</f>
        <v>-0.0345879419644042</v>
      </c>
      <c r="E520" s="32" t="n">
        <f aca="false">Data_Prices!E520/Data_Prices!E519-1</f>
        <v>-0.00107314317989271</v>
      </c>
      <c r="F520" s="32" t="n">
        <f aca="false">Data_Prices!F520/Data_Prices!F519-1</f>
        <v>-0.0704263356718834</v>
      </c>
      <c r="G520" s="32" t="n">
        <f aca="false">Data_Prices!G520/Data_Prices!G519-1</f>
        <v>-0.00367619476329817</v>
      </c>
      <c r="H520" s="32" t="n">
        <f aca="false">Data_Prices!H520/Data_Prices!H519-1</f>
        <v>-0.0259069953898576</v>
      </c>
      <c r="I520" s="32" t="n">
        <f aca="false">Data_Prices!I520/Data_Prices!I519-1</f>
        <v>-0.00364145658263315</v>
      </c>
      <c r="J520" s="32" t="n">
        <f aca="false">Data_Prices!J520/Data_Prices!J519-1</f>
        <v>-0.0102654655373657</v>
      </c>
      <c r="K520" s="32" t="n">
        <f aca="false">Data_Prices!K520/Data_Prices!K519-1</f>
        <v>-0.00158550104411048</v>
      </c>
      <c r="L520" s="32" t="n">
        <f aca="false">Data_Prices!L520/Data_Prices!L519-1</f>
        <v>-0.0199482259783768</v>
      </c>
      <c r="M520" s="32" t="n">
        <f aca="false">Data_Prices!M520/Data_Prices!M519-1</f>
        <v>-0.0113291191199408</v>
      </c>
      <c r="N520" s="32" t="n">
        <f aca="false">Data_Prices!N520/Data_Prices!N519-1</f>
        <v>-0.0229038854805725</v>
      </c>
      <c r="O520" s="32" t="n">
        <f aca="false">Data_Prices!O520/Data_Prices!O519-1</f>
        <v>-0.0205580029368576</v>
      </c>
      <c r="P520" s="32" t="n">
        <f aca="false">Data_Prices!P520/Data_Prices!P519-1</f>
        <v>0.00500610500610499</v>
      </c>
      <c r="Q520" s="32" t="n">
        <f aca="false">Data_Prices!Q520/Data_Prices!Q519-1</f>
        <v>-0.00950950950950957</v>
      </c>
      <c r="R520" s="32" t="n">
        <f aca="false">Data_Prices!R520/Data_Prices!R519-1</f>
        <v>0.00646400000000003</v>
      </c>
      <c r="S520" s="32" t="n">
        <f aca="false">Data_Prices!S520/Data_Prices!S519-1</f>
        <v>-0.00203943832766063</v>
      </c>
      <c r="T520" s="32" t="n">
        <f aca="false">AVERAGE(D520:S520)</f>
        <v>-0.0141238194050161</v>
      </c>
      <c r="U520" s="32" t="n">
        <f aca="false">AVERAGE(J520:S520)</f>
        <v>-0.00866690429282891</v>
      </c>
      <c r="V520" s="32" t="n">
        <f aca="false">AVERAGE(D520:I520)</f>
        <v>-0.0232186779253282</v>
      </c>
      <c r="W520" s="32" t="n">
        <f aca="false">AVERAGE(K520,Q520,R520)</f>
        <v>-0.00154367018454001</v>
      </c>
      <c r="X520" s="32" t="n">
        <f aca="false">AVERAGE(K520,L520,N520,O520,P520,Q520,R520,S520)</f>
        <v>-0.00813430728387282</v>
      </c>
      <c r="Y520" s="32" t="n">
        <f aca="false">AVERAGE(J520,L520,M520,N520,O520,P520,Q520,R520,S520)</f>
        <v>-0.00945372687601985</v>
      </c>
      <c r="Z520" s="32" t="n">
        <f aca="false">U520-V520</f>
        <v>0.0145517736324993</v>
      </c>
      <c r="AA520" s="32" t="n">
        <f aca="false">W520-V520</f>
        <v>0.0216750077407882</v>
      </c>
    </row>
    <row r="521" customFormat="false" ht="15" hidden="false" customHeight="false" outlineLevel="0" collapsed="false">
      <c r="A521" s="28" t="n">
        <f aca="false">Data_Prices!A521</f>
        <v>45565</v>
      </c>
      <c r="B521" s="32" t="n">
        <f aca="false">Data_Prices!B521/Data_Prices!B520-1</f>
        <v>-0.014060915353748</v>
      </c>
      <c r="C521" s="32" t="n">
        <f aca="false">Data_Prices!C521/Data_Prices!C520-1</f>
        <v>-0.00997772519299045</v>
      </c>
      <c r="D521" s="32" t="n">
        <f aca="false">Data_Prices!D521/Data_Prices!D520-1</f>
        <v>-0.00186828584773457</v>
      </c>
      <c r="E521" s="32" t="n">
        <f aca="false">Data_Prices!E521/Data_Prices!E520-1</f>
        <v>0.00899016170982714</v>
      </c>
      <c r="F521" s="32" t="n">
        <f aca="false">Data_Prices!F521/Data_Prices!F520-1</f>
        <v>-0.0160481028405556</v>
      </c>
      <c r="G521" s="32" t="n">
        <f aca="false">Data_Prices!G521/Data_Prices!G520-1</f>
        <v>-0.00233433734939748</v>
      </c>
      <c r="H521" s="32" t="n">
        <f aca="false">Data_Prices!H521/Data_Prices!H520-1</f>
        <v>0.0113174546015742</v>
      </c>
      <c r="I521" s="32" t="n">
        <f aca="false">Data_Prices!I521/Data_Prices!I520-1</f>
        <v>-0.0107768718957924</v>
      </c>
      <c r="J521" s="32" t="n">
        <f aca="false">Data_Prices!J521/Data_Prices!J520-1</f>
        <v>0.0240096764439068</v>
      </c>
      <c r="K521" s="32" t="n">
        <f aca="false">Data_Prices!K521/Data_Prices!K520-1</f>
        <v>-0.0068426828481053</v>
      </c>
      <c r="L521" s="32" t="n">
        <f aca="false">Data_Prices!L521/Data_Prices!L520-1</f>
        <v>-0.000621504039776233</v>
      </c>
      <c r="M521" s="32" t="n">
        <f aca="false">Data_Prices!M521/Data_Prices!M520-1</f>
        <v>-0.00556339782446236</v>
      </c>
      <c r="N521" s="32" t="n">
        <f aca="false">Data_Prices!N521/Data_Prices!N520-1</f>
        <v>-0.0313938886563415</v>
      </c>
      <c r="O521" s="32" t="n">
        <f aca="false">Data_Prices!O521/Data_Prices!O520-1</f>
        <v>0.0145427286356823</v>
      </c>
      <c r="P521" s="32" t="n">
        <f aca="false">Data_Prices!P521/Data_Prices!P520-1</f>
        <v>-0.012586562993561</v>
      </c>
      <c r="Q521" s="32" t="n">
        <f aca="false">Data_Prices!Q521/Data_Prices!Q520-1</f>
        <v>-0.00341081354219308</v>
      </c>
      <c r="R521" s="32" t="n">
        <f aca="false">Data_Prices!R521/Data_Prices!R520-1</f>
        <v>-0.0160244181610071</v>
      </c>
      <c r="S521" s="32" t="n">
        <f aca="false">Data_Prices!S521/Data_Prices!S520-1</f>
        <v>-0.0121787879206309</v>
      </c>
      <c r="T521" s="32" t="n">
        <f aca="false">AVERAGE(D521:S521)</f>
        <v>-0.00379935203303543</v>
      </c>
      <c r="U521" s="32" t="n">
        <f aca="false">AVERAGE(J521:S521)</f>
        <v>-0.00500696509064883</v>
      </c>
      <c r="V521" s="32" t="n">
        <f aca="false">AVERAGE(D521:I521)</f>
        <v>-0.00178666360367978</v>
      </c>
      <c r="W521" s="32" t="n">
        <f aca="false">AVERAGE(K521,Q521,R521)</f>
        <v>-0.00875930485043515</v>
      </c>
      <c r="X521" s="32" t="n">
        <f aca="false">AVERAGE(K521,L521,N521,O521,P521,Q521,R521,S521)</f>
        <v>-0.0085644911907416</v>
      </c>
      <c r="Y521" s="32" t="n">
        <f aca="false">AVERAGE(J521,L521,M521,N521,O521,P521,Q521,R521,S521)</f>
        <v>-0.00480299645093144</v>
      </c>
      <c r="Z521" s="32" t="n">
        <f aca="false">U521-V521</f>
        <v>-0.00322030148696905</v>
      </c>
      <c r="AA521" s="32" t="n">
        <f aca="false">W521-V521</f>
        <v>-0.00697264124675538</v>
      </c>
    </row>
    <row r="522" customFormat="false" ht="15" hidden="false" customHeight="false" outlineLevel="0" collapsed="false">
      <c r="A522" s="28" t="n">
        <f aca="false">Data_Prices!A522</f>
        <v>45566</v>
      </c>
      <c r="B522" s="32" t="n">
        <f aca="false">Data_Prices!B522/Data_Prices!B521-1</f>
        <v>-0.000540470383578851</v>
      </c>
      <c r="C522" s="32" t="n">
        <f aca="false">Data_Prices!C522/Data_Prices!C521-1</f>
        <v>0.00107650174055074</v>
      </c>
      <c r="D522" s="32" t="n">
        <f aca="false">Data_Prices!D522/Data_Prices!D521-1</f>
        <v>0.018800407388037</v>
      </c>
      <c r="E522" s="32" t="n">
        <f aca="false">Data_Prices!E522/Data_Prices!E521-1</f>
        <v>0.0108713925469319</v>
      </c>
      <c r="F522" s="32" t="n">
        <f aca="false">Data_Prices!F522/Data_Prices!F521-1</f>
        <v>-0.00164362778152394</v>
      </c>
      <c r="G522" s="32" t="n">
        <f aca="false">Data_Prices!G522/Data_Prices!G521-1</f>
        <v>-0.00483055324930193</v>
      </c>
      <c r="H522" s="32" t="n">
        <f aca="false">Data_Prices!H522/Data_Prices!H521-1</f>
        <v>-0.0113434050562085</v>
      </c>
      <c r="I522" s="32" t="n">
        <f aca="false">Data_Prices!I522/Data_Prices!I521-1</f>
        <v>0.0135467980295567</v>
      </c>
      <c r="J522" s="32" t="n">
        <f aca="false">Data_Prices!J522/Data_Prices!J521-1</f>
        <v>-0.00623080557524214</v>
      </c>
      <c r="K522" s="32" t="n">
        <f aca="false">Data_Prices!K522/Data_Prices!K521-1</f>
        <v>0</v>
      </c>
      <c r="L522" s="32" t="n">
        <f aca="false">Data_Prices!L522/Data_Prices!L521-1</f>
        <v>-0.0162624378109454</v>
      </c>
      <c r="M522" s="32" t="n">
        <f aca="false">Data_Prices!M522/Data_Prices!M521-1</f>
        <v>-0.0007515030060119</v>
      </c>
      <c r="N522" s="32" t="n">
        <f aca="false">Data_Prices!N522/Data_Prices!N521-1</f>
        <v>0.00961538461538458</v>
      </c>
      <c r="O522" s="32" t="n">
        <f aca="false">Data_Prices!O522/Data_Prices!O521-1</f>
        <v>-0.0243830353184572</v>
      </c>
      <c r="P522" s="32" t="n">
        <f aca="false">Data_Prices!P522/Data_Prices!P521-1</f>
        <v>-0.0373797278342396</v>
      </c>
      <c r="Q522" s="32" t="n">
        <f aca="false">Data_Prices!Q522/Data_Prices!Q521-1</f>
        <v>0.0163518823678539</v>
      </c>
      <c r="R522" s="32" t="n">
        <f aca="false">Data_Prices!R522/Data_Prices!R521-1</f>
        <v>-0.00452371720305023</v>
      </c>
      <c r="S522" s="32" t="n">
        <f aca="false">Data_Prices!S522/Data_Prices!S521-1</f>
        <v>-0.0018311690127063</v>
      </c>
      <c r="T522" s="32" t="n">
        <f aca="false">AVERAGE(D522:S522)</f>
        <v>-0.00249963230624518</v>
      </c>
      <c r="U522" s="32" t="n">
        <f aca="false">AVERAGE(J522:S522)</f>
        <v>-0.00653951287774143</v>
      </c>
      <c r="V522" s="32" t="n">
        <f aca="false">AVERAGE(D522:I522)</f>
        <v>0.00423350197958189</v>
      </c>
      <c r="W522" s="32" t="n">
        <f aca="false">AVERAGE(K522,Q522,R522)</f>
        <v>0.00394272172160122</v>
      </c>
      <c r="X522" s="32" t="n">
        <f aca="false">AVERAGE(K522,L522,N522,O522,P522,Q522,R522,S522)</f>
        <v>-0.00730160252452003</v>
      </c>
      <c r="Y522" s="32" t="n">
        <f aca="false">AVERAGE(J522,L522,M522,N522,O522,P522,Q522,R522,S522)</f>
        <v>-0.0072661254197127</v>
      </c>
      <c r="Z522" s="32" t="n">
        <f aca="false">U522-V522</f>
        <v>-0.0107730148573233</v>
      </c>
      <c r="AA522" s="32" t="n">
        <f aca="false">W522-V522</f>
        <v>-0.000290780257980665</v>
      </c>
    </row>
    <row r="523" customFormat="false" ht="15" hidden="false" customHeight="false" outlineLevel="0" collapsed="false">
      <c r="A523" s="28" t="n">
        <f aca="false">Data_Prices!A523</f>
        <v>45568</v>
      </c>
      <c r="B523" s="32" t="n">
        <f aca="false">Data_Prices!B523/Data_Prices!B522-1</f>
        <v>-0.0211963452973033</v>
      </c>
      <c r="C523" s="32" t="n">
        <f aca="false">Data_Prices!C523/Data_Prices!C522-1</f>
        <v>-0.021253496928471</v>
      </c>
      <c r="D523" s="32" t="n">
        <f aca="false">Data_Prices!D523/Data_Prices!D522-1</f>
        <v>-0.0390143737166323</v>
      </c>
      <c r="E523" s="32" t="n">
        <f aca="false">Data_Prices!E523/Data_Prices!E522-1</f>
        <v>-0.0200121957979933</v>
      </c>
      <c r="F523" s="32" t="n">
        <f aca="false">Data_Prices!F523/Data_Prices!F522-1</f>
        <v>-0.00202625691249114</v>
      </c>
      <c r="G523" s="32" t="n">
        <f aca="false">Data_Prices!G523/Data_Prices!G522-1</f>
        <v>-0.0343572241183162</v>
      </c>
      <c r="H523" s="32" t="n">
        <f aca="false">Data_Prices!H523/Data_Prices!H522-1</f>
        <v>-0.0340090553611854</v>
      </c>
      <c r="I523" s="32" t="n">
        <f aca="false">Data_Prices!I523/Data_Prices!I522-1</f>
        <v>-0.0184129357883914</v>
      </c>
      <c r="J523" s="32" t="n">
        <f aca="false">Data_Prices!J523/Data_Prices!J522-1</f>
        <v>-0.0366980655513625</v>
      </c>
      <c r="K523" s="32" t="n">
        <f aca="false">Data_Prices!K523/Data_Prices!K522-1</f>
        <v>-0.0349431264218395</v>
      </c>
      <c r="L523" s="32" t="n">
        <f aca="false">Data_Prices!L523/Data_Prices!L522-1</f>
        <v>-0.0414704301924961</v>
      </c>
      <c r="M523" s="32" t="n">
        <f aca="false">Data_Prices!M523/Data_Prices!M522-1</f>
        <v>-0.0218935405699006</v>
      </c>
      <c r="N523" s="32" t="n">
        <f aca="false">Data_Prices!N523/Data_Prices!N522-1</f>
        <v>-0.0248261102193686</v>
      </c>
      <c r="O523" s="32" t="n">
        <f aca="false">Data_Prices!O523/Data_Prices!O522-1</f>
        <v>-0.0237806725234778</v>
      </c>
      <c r="P523" s="32" t="n">
        <f aca="false">Data_Prices!P523/Data_Prices!P522-1</f>
        <v>0.00416687969732599</v>
      </c>
      <c r="Q523" s="32" t="n">
        <f aca="false">Data_Prices!Q523/Data_Prices!Q522-1</f>
        <v>-0.018832626590172</v>
      </c>
      <c r="R523" s="32" t="n">
        <f aca="false">Data_Prices!R523/Data_Prices!R522-1</f>
        <v>-0.026551545053233</v>
      </c>
      <c r="S523" s="32" t="n">
        <f aca="false">Data_Prices!S523/Data_Prices!S522-1</f>
        <v>-0.0450649787138697</v>
      </c>
      <c r="T523" s="32" t="n">
        <f aca="false">AVERAGE(D523:S523)</f>
        <v>-0.0261078911145877</v>
      </c>
      <c r="U523" s="32" t="n">
        <f aca="false">AVERAGE(J523:S523)</f>
        <v>-0.0269894216138394</v>
      </c>
      <c r="V523" s="32" t="n">
        <f aca="false">AVERAGE(D523:I523)</f>
        <v>-0.024638673615835</v>
      </c>
      <c r="W523" s="32" t="n">
        <f aca="false">AVERAGE(K523,Q523,R523)</f>
        <v>-0.0267757660217482</v>
      </c>
      <c r="X523" s="32" t="n">
        <f aca="false">AVERAGE(K523,L523,N523,O523,P523,Q523,R523,S523)</f>
        <v>-0.0264128262521414</v>
      </c>
      <c r="Y523" s="32" t="n">
        <f aca="false">AVERAGE(J523,L523,M523,N523,O523,P523,Q523,R523,S523)</f>
        <v>-0.0261056766351727</v>
      </c>
      <c r="Z523" s="32" t="n">
        <f aca="false">U523-V523</f>
        <v>-0.00235074799800443</v>
      </c>
      <c r="AA523" s="32" t="n">
        <f aca="false">W523-V523</f>
        <v>-0.00213709240591322</v>
      </c>
    </row>
    <row r="524" customFormat="false" ht="15" hidden="false" customHeight="false" outlineLevel="0" collapsed="false">
      <c r="A524" s="28" t="n">
        <f aca="false">Data_Prices!A524</f>
        <v>45569</v>
      </c>
      <c r="B524" s="32" t="n">
        <f aca="false">Data_Prices!B524/Data_Prices!B523-1</f>
        <v>-0.00932669573585843</v>
      </c>
      <c r="C524" s="32" t="n">
        <f aca="false">Data_Prices!C524/Data_Prices!C523-1</f>
        <v>-0.00928208053309876</v>
      </c>
      <c r="D524" s="32" t="n">
        <f aca="false">Data_Prices!D524/Data_Prices!D523-1</f>
        <v>-0.000843454790823262</v>
      </c>
      <c r="E524" s="32" t="n">
        <f aca="false">Data_Prices!E524/Data_Prices!E523-1</f>
        <v>-0.0415771014820681</v>
      </c>
      <c r="F524" s="32" t="n">
        <f aca="false">Data_Prices!F524/Data_Prices!F523-1</f>
        <v>0.0556660039761432</v>
      </c>
      <c r="G524" s="32" t="n">
        <f aca="false">Data_Prices!G524/Data_Prices!G523-1</f>
        <v>-0.0027489789506755</v>
      </c>
      <c r="H524" s="32" t="n">
        <f aca="false">Data_Prices!H524/Data_Prices!H523-1</f>
        <v>0.00649800266311584</v>
      </c>
      <c r="I524" s="32" t="n">
        <f aca="false">Data_Prices!I524/Data_Prices!I523-1</f>
        <v>-0.0165682727099601</v>
      </c>
      <c r="J524" s="32" t="n">
        <f aca="false">Data_Prices!J524/Data_Prices!J523-1</f>
        <v>-0.000802023567154198</v>
      </c>
      <c r="K524" s="32" t="n">
        <f aca="false">Data_Prices!K524/Data_Prices!K523-1</f>
        <v>-0.0299311663995043</v>
      </c>
      <c r="L524" s="32" t="n">
        <f aca="false">Data_Prices!L524/Data_Prices!L523-1</f>
        <v>-0.012431986809563</v>
      </c>
      <c r="M524" s="32" t="n">
        <f aca="false">Data_Prices!M524/Data_Prices!M523-1</f>
        <v>-0.017385732592909</v>
      </c>
      <c r="N524" s="32" t="n">
        <f aca="false">Data_Prices!N524/Data_Prices!N523-1</f>
        <v>0.0117414682321959</v>
      </c>
      <c r="O524" s="32" t="n">
        <f aca="false">Data_Prices!O524/Data_Prices!O523-1</f>
        <v>-0.0676493405740885</v>
      </c>
      <c r="P524" s="32" t="n">
        <f aca="false">Data_Prices!P524/Data_Prices!P523-1</f>
        <v>-0.0171584226470813</v>
      </c>
      <c r="Q524" s="32" t="n">
        <f aca="false">Data_Prices!Q524/Data_Prices!Q523-1</f>
        <v>0.00406762425320961</v>
      </c>
      <c r="R524" s="32" t="n">
        <f aca="false">Data_Prices!R524/Data_Prices!R523-1</f>
        <v>-0.00880293431143719</v>
      </c>
      <c r="S524" s="32" t="n">
        <f aca="false">Data_Prices!S524/Data_Prices!S523-1</f>
        <v>-0.0214694236691597</v>
      </c>
      <c r="T524" s="32" t="n">
        <f aca="false">AVERAGE(D524:S524)</f>
        <v>-0.00996223371123498</v>
      </c>
      <c r="U524" s="32" t="n">
        <f aca="false">AVERAGE(J524:S524)</f>
        <v>-0.0159821938085492</v>
      </c>
      <c r="V524" s="32" t="n">
        <f aca="false">AVERAGE(D524:I524)</f>
        <v>7.10331176220214E-005</v>
      </c>
      <c r="W524" s="32" t="n">
        <f aca="false">AVERAGE(K524,Q524,R524)</f>
        <v>-0.0115554921525773</v>
      </c>
      <c r="X524" s="32" t="n">
        <f aca="false">AVERAGE(K524,L524,N524,O524,P524,Q524,R524,S524)</f>
        <v>-0.0177042727406786</v>
      </c>
      <c r="Y524" s="32" t="n">
        <f aca="false">AVERAGE(J524,L524,M524,N524,O524,P524,Q524,R524,S524)</f>
        <v>-0.0144323079651097</v>
      </c>
      <c r="Z524" s="32" t="n">
        <f aca="false">U524-V524</f>
        <v>-0.0160532269261712</v>
      </c>
      <c r="AA524" s="32" t="n">
        <f aca="false">W524-V524</f>
        <v>-0.0116265252701993</v>
      </c>
    </row>
    <row r="525" customFormat="false" ht="15" hidden="false" customHeight="false" outlineLevel="0" collapsed="false">
      <c r="A525" s="28" t="n">
        <f aca="false">Data_Prices!A525</f>
        <v>45572</v>
      </c>
      <c r="B525" s="32" t="n">
        <f aca="false">Data_Prices!B525/Data_Prices!B524-1</f>
        <v>-0.00874889064786155</v>
      </c>
      <c r="C525" s="32" t="n">
        <f aca="false">Data_Prices!C525/Data_Prices!C524-1</f>
        <v>-0.0149989696175262</v>
      </c>
      <c r="D525" s="32" t="n">
        <f aca="false">Data_Prices!D525/Data_Prices!D524-1</f>
        <v>-0.0279137824300749</v>
      </c>
      <c r="E525" s="32" t="n">
        <f aca="false">Data_Prices!E525/Data_Prices!E524-1</f>
        <v>-0.0272088768222865</v>
      </c>
      <c r="F525" s="32" t="n">
        <f aca="false">Data_Prices!F525/Data_Prices!F524-1</f>
        <v>-0.00629082021076244</v>
      </c>
      <c r="G525" s="32" t="n">
        <f aca="false">Data_Prices!G525/Data_Prices!G524-1</f>
        <v>-0.0430810427660078</v>
      </c>
      <c r="H525" s="32" t="n">
        <f aca="false">Data_Prices!H525/Data_Prices!H524-1</f>
        <v>-0.0105836905328888</v>
      </c>
      <c r="I525" s="32" t="n">
        <f aca="false">Data_Prices!I525/Data_Prices!I524-1</f>
        <v>-0.0337916343919442</v>
      </c>
      <c r="J525" s="32" t="n">
        <f aca="false">Data_Prices!J525/Data_Prices!J524-1</f>
        <v>-0.0254383798468757</v>
      </c>
      <c r="K525" s="32" t="n">
        <f aca="false">Data_Prices!K525/Data_Prices!K524-1</f>
        <v>0.00805387766437549</v>
      </c>
      <c r="L525" s="32" t="n">
        <f aca="false">Data_Prices!L525/Data_Prices!L524-1</f>
        <v>-0.0126552691331642</v>
      </c>
      <c r="M525" s="32" t="n">
        <f aca="false">Data_Prices!M525/Data_Prices!M524-1</f>
        <v>-0.00452114941529369</v>
      </c>
      <c r="N525" s="32" t="n">
        <f aca="false">Data_Prices!N525/Data_Prices!N524-1</f>
        <v>-0.0531453362255966</v>
      </c>
      <c r="O525" s="32" t="n">
        <f aca="false">Data_Prices!O525/Data_Prices!O524-1</f>
        <v>-0.0282908969878516</v>
      </c>
      <c r="P525" s="32" t="n">
        <f aca="false">Data_Prices!P525/Data_Prices!P524-1</f>
        <v>-0.025047271220245</v>
      </c>
      <c r="Q525" s="32" t="n">
        <f aca="false">Data_Prices!Q525/Data_Prices!Q524-1</f>
        <v>-0.0379794910748196</v>
      </c>
      <c r="R525" s="32" t="n">
        <f aca="false">Data_Prices!R525/Data_Prices!R524-1</f>
        <v>-0.0164166049922626</v>
      </c>
      <c r="S525" s="32" t="n">
        <f aca="false">Data_Prices!S525/Data_Prices!S524-1</f>
        <v>-0.0110751431226208</v>
      </c>
      <c r="T525" s="32" t="n">
        <f aca="false">AVERAGE(D525:S525)</f>
        <v>-0.0222115944692699</v>
      </c>
      <c r="U525" s="32" t="n">
        <f aca="false">AVERAGE(J525:S525)</f>
        <v>-0.0206515664354354</v>
      </c>
      <c r="V525" s="32" t="n">
        <f aca="false">AVERAGE(D525:I525)</f>
        <v>-0.0248116411923274</v>
      </c>
      <c r="W525" s="32" t="n">
        <f aca="false">AVERAGE(K525,Q525,R525)</f>
        <v>-0.0154474061342356</v>
      </c>
      <c r="X525" s="32" t="n">
        <f aca="false">AVERAGE(K525,L525,N525,O525,P525,Q525,R525,S525)</f>
        <v>-0.0220695168865231</v>
      </c>
      <c r="Y525" s="32" t="n">
        <f aca="false">AVERAGE(J525,L525,M525,N525,O525,P525,Q525,R525,S525)</f>
        <v>-0.0238410602243033</v>
      </c>
      <c r="Z525" s="32" t="n">
        <f aca="false">U525-V525</f>
        <v>0.00416007475689201</v>
      </c>
      <c r="AA525" s="32" t="n">
        <f aca="false">W525-V525</f>
        <v>0.00936423505809186</v>
      </c>
    </row>
    <row r="526" customFormat="false" ht="15" hidden="false" customHeight="false" outlineLevel="0" collapsed="false">
      <c r="A526" s="28" t="n">
        <f aca="false">Data_Prices!A526</f>
        <v>45573</v>
      </c>
      <c r="B526" s="32" t="n">
        <f aca="false">Data_Prices!B526/Data_Prices!B525-1</f>
        <v>0.00876763154976157</v>
      </c>
      <c r="C526" s="32" t="n">
        <f aca="false">Data_Prices!C526/Data_Prices!C525-1</f>
        <v>0.0142610953780851</v>
      </c>
      <c r="D526" s="32" t="n">
        <f aca="false">Data_Prices!D526/Data_Prices!D525-1</f>
        <v>0.0083946042957217</v>
      </c>
      <c r="E526" s="32" t="n">
        <f aca="false">Data_Prices!E526/Data_Prices!E525-1</f>
        <v>0.0368280548477127</v>
      </c>
      <c r="F526" s="32" t="n">
        <f aca="false">Data_Prices!F526/Data_Prices!F525-1</f>
        <v>0.0353629032258065</v>
      </c>
      <c r="G526" s="32" t="n">
        <f aca="false">Data_Prices!G526/Data_Prices!G525-1</f>
        <v>0.0127572016460906</v>
      </c>
      <c r="H526" s="32" t="n">
        <f aca="false">Data_Prices!H526/Data_Prices!H525-1</f>
        <v>0.00454618387976691</v>
      </c>
      <c r="I526" s="32" t="n">
        <f aca="false">Data_Prices!I526/Data_Prices!I525-1</f>
        <v>0.00891872933159643</v>
      </c>
      <c r="J526" s="32" t="n">
        <f aca="false">Data_Prices!J526/Data_Prices!J525-1</f>
        <v>0.00668398378104396</v>
      </c>
      <c r="K526" s="32" t="n">
        <f aca="false">Data_Prices!K526/Data_Prices!K525-1</f>
        <v>-0.0113368689303671</v>
      </c>
      <c r="L526" s="32" t="n">
        <f aca="false">Data_Prices!L526/Data_Prices!L525-1</f>
        <v>0.0355101626703642</v>
      </c>
      <c r="M526" s="32" t="n">
        <f aca="false">Data_Prices!M526/Data_Prices!M525-1</f>
        <v>-0.00227084152146395</v>
      </c>
      <c r="N526" s="32" t="n">
        <f aca="false">Data_Prices!N526/Data_Prices!N525-1</f>
        <v>0.0505154639175258</v>
      </c>
      <c r="O526" s="32" t="n">
        <f aca="false">Data_Prices!O526/Data_Prices!O525-1</f>
        <v>-0.0104469943483474</v>
      </c>
      <c r="P526" s="32" t="n">
        <f aca="false">Data_Prices!P526/Data_Prices!P525-1</f>
        <v>0.00108926673751331</v>
      </c>
      <c r="Q526" s="32" t="n">
        <f aca="false">Data_Prices!Q526/Data_Prices!Q525-1</f>
        <v>-0.01500197394394</v>
      </c>
      <c r="R526" s="32" t="n">
        <f aca="false">Data_Prices!R526/Data_Prices!R525-1</f>
        <v>0.00177850742184815</v>
      </c>
      <c r="S526" s="32" t="n">
        <f aca="false">Data_Prices!S526/Data_Prices!S525-1</f>
        <v>0.00907754557715923</v>
      </c>
      <c r="T526" s="32" t="n">
        <f aca="false">AVERAGE(D526:S526)</f>
        <v>0.0107753705367519</v>
      </c>
      <c r="U526" s="32" t="n">
        <f aca="false">AVERAGE(J526:S526)</f>
        <v>0.00655982513613362</v>
      </c>
      <c r="V526" s="32" t="n">
        <f aca="false">AVERAGE(D526:I526)</f>
        <v>0.0178012795377825</v>
      </c>
      <c r="W526" s="32" t="n">
        <f aca="false">AVERAGE(K526,Q526,R526)</f>
        <v>-0.00818677848415298</v>
      </c>
      <c r="X526" s="32" t="n">
        <f aca="false">AVERAGE(K526,L526,N526,O526,P526,Q526,R526,S526)</f>
        <v>0.00764813863771953</v>
      </c>
      <c r="Y526" s="32" t="n">
        <f aca="false">AVERAGE(J526,L526,M526,N526,O526,P526,Q526,R526,S526)</f>
        <v>0.00854834669907815</v>
      </c>
      <c r="Z526" s="32" t="n">
        <f aca="false">U526-V526</f>
        <v>-0.0112414544016488</v>
      </c>
      <c r="AA526" s="32" t="n">
        <f aca="false">W526-V526</f>
        <v>-0.0259880580219355</v>
      </c>
    </row>
    <row r="527" customFormat="false" ht="15" hidden="false" customHeight="false" outlineLevel="0" collapsed="false">
      <c r="A527" s="28" t="n">
        <f aca="false">Data_Prices!A527</f>
        <v>45574</v>
      </c>
      <c r="B527" s="32" t="n">
        <f aca="false">Data_Prices!B527/Data_Prices!B526-1</f>
        <v>-0.00124734389711012</v>
      </c>
      <c r="C527" s="32" t="n">
        <f aca="false">Data_Prices!C527/Data_Prices!C526-1</f>
        <v>0.00370227814507573</v>
      </c>
      <c r="D527" s="32" t="n">
        <f aca="false">Data_Prices!D527/Data_Prices!D526-1</f>
        <v>-0.0110517855092434</v>
      </c>
      <c r="E527" s="32" t="n">
        <f aca="false">Data_Prices!E527/Data_Prices!E526-1</f>
        <v>0.0184329100591023</v>
      </c>
      <c r="F527" s="32" t="n">
        <f aca="false">Data_Prices!F527/Data_Prices!F526-1</f>
        <v>0.0198621334268021</v>
      </c>
      <c r="G527" s="32" t="n">
        <f aca="false">Data_Prices!G527/Data_Prices!G526-1</f>
        <v>0.00316944331572544</v>
      </c>
      <c r="H527" s="32" t="n">
        <f aca="false">Data_Prices!H527/Data_Prices!H526-1</f>
        <v>0.00740070280055361</v>
      </c>
      <c r="I527" s="32" t="n">
        <f aca="false">Data_Prices!I527/Data_Prices!I526-1</f>
        <v>-0.00556217719507346</v>
      </c>
      <c r="J527" s="32" t="n">
        <f aca="false">Data_Prices!J527/Data_Prices!J526-1</f>
        <v>-0.00220271248308634</v>
      </c>
      <c r="K527" s="32" t="n">
        <f aca="false">Data_Prices!K527/Data_Prices!K526-1</f>
        <v>0.0157861004291366</v>
      </c>
      <c r="L527" s="32" t="n">
        <f aca="false">Data_Prices!L527/Data_Prices!L526-1</f>
        <v>0.0199875894052712</v>
      </c>
      <c r="M527" s="32" t="n">
        <f aca="false">Data_Prices!M527/Data_Prices!M526-1</f>
        <v>0.00827242088676861</v>
      </c>
      <c r="N527" s="32" t="n">
        <f aca="false">Data_Prices!N527/Data_Prices!N526-1</f>
        <v>-0.011012975684222</v>
      </c>
      <c r="O527" s="32" t="n">
        <f aca="false">Data_Prices!O527/Data_Prices!O526-1</f>
        <v>-0.0109034267912772</v>
      </c>
      <c r="P527" s="32" t="n">
        <f aca="false">Data_Prices!P527/Data_Prices!P526-1</f>
        <v>0.0263528038003238</v>
      </c>
      <c r="Q527" s="32" t="n">
        <f aca="false">Data_Prices!Q527/Data_Prices!Q526-1</f>
        <v>0.042752171008684</v>
      </c>
      <c r="R527" s="32" t="n">
        <f aca="false">Data_Prices!R527/Data_Prices!R526-1</f>
        <v>0.00949129395698201</v>
      </c>
      <c r="S527" s="32" t="n">
        <f aca="false">Data_Prices!S527/Data_Prices!S526-1</f>
        <v>0.0176163157420479</v>
      </c>
      <c r="T527" s="32" t="n">
        <f aca="false">AVERAGE(D527:S527)</f>
        <v>0.00927442544803096</v>
      </c>
      <c r="U527" s="32" t="n">
        <f aca="false">AVERAGE(J527:S527)</f>
        <v>0.0116139580270629</v>
      </c>
      <c r="V527" s="32" t="n">
        <f aca="false">AVERAGE(D527:I527)</f>
        <v>0.00537520448297777</v>
      </c>
      <c r="W527" s="32" t="n">
        <f aca="false">AVERAGE(K527,Q527,R527)</f>
        <v>0.0226765217982676</v>
      </c>
      <c r="X527" s="32" t="n">
        <f aca="false">AVERAGE(K527,L527,N527,O527,P527,Q527,R527,S527)</f>
        <v>0.0137587339833683</v>
      </c>
      <c r="Y527" s="32" t="n">
        <f aca="false">AVERAGE(J527,L527,M527,N527,O527,P527,Q527,R527,S527)</f>
        <v>0.0111503866490547</v>
      </c>
      <c r="Z527" s="32" t="n">
        <f aca="false">U527-V527</f>
        <v>0.00623875354408509</v>
      </c>
      <c r="AA527" s="32" t="n">
        <f aca="false">W527-V527</f>
        <v>0.0173013173152898</v>
      </c>
    </row>
    <row r="528" customFormat="false" ht="15" hidden="false" customHeight="false" outlineLevel="0" collapsed="false">
      <c r="A528" s="28" t="n">
        <f aca="false">Data_Prices!A528</f>
        <v>45575</v>
      </c>
      <c r="B528" s="32" t="n">
        <f aca="false">Data_Prices!B528/Data_Prices!B527-1</f>
        <v>0.000660476864295934</v>
      </c>
      <c r="C528" s="32" t="n">
        <f aca="false">Data_Prices!C528/Data_Prices!C527-1</f>
        <v>-6.14417193510741E-005</v>
      </c>
      <c r="D528" s="32" t="n">
        <f aca="false">Data_Prices!D528/Data_Prices!D527-1</f>
        <v>-0.000609561406054948</v>
      </c>
      <c r="E528" s="32" t="n">
        <f aca="false">Data_Prices!E528/Data_Prices!E527-1</f>
        <v>-0.0139048494598943</v>
      </c>
      <c r="F528" s="32" t="n">
        <f aca="false">Data_Prices!F528/Data_Prices!F527-1</f>
        <v>-0.0517050444877227</v>
      </c>
      <c r="G528" s="32" t="n">
        <f aca="false">Data_Prices!G528/Data_Prices!G527-1</f>
        <v>-0.00178224238496438</v>
      </c>
      <c r="H528" s="32" t="n">
        <f aca="false">Data_Prices!H528/Data_Prices!H527-1</f>
        <v>0.00443951165371814</v>
      </c>
      <c r="I528" s="32" t="n">
        <f aca="false">Data_Prices!I528/Data_Prices!I527-1</f>
        <v>-0.000599280862964458</v>
      </c>
      <c r="J528" s="32" t="n">
        <f aca="false">Data_Prices!J528/Data_Prices!J527-1</f>
        <v>-0.0142230912359267</v>
      </c>
      <c r="K528" s="32" t="n">
        <f aca="false">Data_Prices!K528/Data_Prices!K527-1</f>
        <v>0.00264728070777043</v>
      </c>
      <c r="L528" s="32" t="n">
        <f aca="false">Data_Prices!L528/Data_Prices!L527-1</f>
        <v>-0.0284653069065992</v>
      </c>
      <c r="M528" s="32" t="n">
        <f aca="false">Data_Prices!M528/Data_Prices!M527-1</f>
        <v>-0.0283035249175203</v>
      </c>
      <c r="N528" s="32" t="n">
        <f aca="false">Data_Prices!N528/Data_Prices!N527-1</f>
        <v>0.00242557883131211</v>
      </c>
      <c r="O528" s="32" t="n">
        <f aca="false">Data_Prices!O528/Data_Prices!O527-1</f>
        <v>-0.00454943132108487</v>
      </c>
      <c r="P528" s="32" t="n">
        <f aca="false">Data_Prices!P528/Data_Prices!P527-1</f>
        <v>0.00501629001396298</v>
      </c>
      <c r="Q528" s="32" t="n">
        <f aca="false">Data_Prices!Q528/Data_Prices!Q527-1</f>
        <v>-0.00550928891736058</v>
      </c>
      <c r="R528" s="32" t="n">
        <f aca="false">Data_Prices!R528/Data_Prices!R527-1</f>
        <v>-0.00257034632034647</v>
      </c>
      <c r="S528" s="32" t="n">
        <f aca="false">Data_Prices!S528/Data_Prices!S527-1</f>
        <v>-0.014846736226922</v>
      </c>
      <c r="T528" s="32" t="n">
        <f aca="false">AVERAGE(D528:S528)</f>
        <v>-0.00953375270253733</v>
      </c>
      <c r="U528" s="32" t="n">
        <f aca="false">AVERAGE(J528:S528)</f>
        <v>-0.00883785762927146</v>
      </c>
      <c r="V528" s="32" t="n">
        <f aca="false">AVERAGE(D528:I528)</f>
        <v>-0.0106935778246471</v>
      </c>
      <c r="W528" s="32" t="n">
        <f aca="false">AVERAGE(K528,Q528,R528)</f>
        <v>-0.00181078484331221</v>
      </c>
      <c r="X528" s="32" t="n">
        <f aca="false">AVERAGE(K528,L528,N528,O528,P528,Q528,R528,S528)</f>
        <v>-0.00573149501740845</v>
      </c>
      <c r="Y528" s="32" t="n">
        <f aca="false">AVERAGE(J528,L528,M528,N528,O528,P528,Q528,R528,S528)</f>
        <v>-0.010113984111165</v>
      </c>
      <c r="Z528" s="32" t="n">
        <f aca="false">U528-V528</f>
        <v>0.00185572019537566</v>
      </c>
      <c r="AA528" s="32" t="n">
        <f aca="false">W528-V528</f>
        <v>0.00888279298133491</v>
      </c>
    </row>
    <row r="529" customFormat="false" ht="15" hidden="false" customHeight="false" outlineLevel="0" collapsed="false">
      <c r="A529" s="28" t="n">
        <f aca="false">Data_Prices!A529</f>
        <v>45576</v>
      </c>
      <c r="B529" s="32" t="n">
        <f aca="false">Data_Prices!B529/Data_Prices!B528-1</f>
        <v>-0.00136808482125894</v>
      </c>
      <c r="C529" s="32" t="n">
        <f aca="false">Data_Prices!C529/Data_Prices!C528-1</f>
        <v>0.000555128262172966</v>
      </c>
      <c r="D529" s="32" t="n">
        <f aca="false">Data_Prices!D529/Data_Prices!D528-1</f>
        <v>-0.0015393552134767</v>
      </c>
      <c r="E529" s="32" t="n">
        <f aca="false">Data_Prices!E529/Data_Prices!E528-1</f>
        <v>0.011245775550635</v>
      </c>
      <c r="F529" s="32" t="n">
        <f aca="false">Data_Prices!F529/Data_Prices!F528-1</f>
        <v>-0.0201344984496437</v>
      </c>
      <c r="G529" s="32" t="n">
        <f aca="false">Data_Prices!G529/Data_Prices!G528-1</f>
        <v>0.00551858464534982</v>
      </c>
      <c r="H529" s="32" t="n">
        <f aca="false">Data_Prices!H529/Data_Prices!H528-1</f>
        <v>0.0249408050513023</v>
      </c>
      <c r="I529" s="32" t="n">
        <f aca="false">Data_Prices!I529/Data_Prices!I528-1</f>
        <v>-0.00549670197881269</v>
      </c>
      <c r="J529" s="32" t="n">
        <f aca="false">Data_Prices!J529/Data_Prices!J528-1</f>
        <v>-0.0137564783415446</v>
      </c>
      <c r="K529" s="32" t="n">
        <f aca="false">Data_Prices!K529/Data_Prices!K528-1</f>
        <v>-0.00242140687843717</v>
      </c>
      <c r="L529" s="32" t="n">
        <f aca="false">Data_Prices!L529/Data_Prices!L528-1</f>
        <v>-0.010579394898161</v>
      </c>
      <c r="M529" s="32" t="n">
        <f aca="false">Data_Prices!M529/Data_Prices!M528-1</f>
        <v>-0.0392691208005719</v>
      </c>
      <c r="N529" s="32" t="n">
        <f aca="false">Data_Prices!N529/Data_Prices!N528-1</f>
        <v>0.0328860536735591</v>
      </c>
      <c r="O529" s="32" t="n">
        <f aca="false">Data_Prices!O529/Data_Prices!O528-1</f>
        <v>-0.00140622253471601</v>
      </c>
      <c r="P529" s="32" t="n">
        <f aca="false">Data_Prices!P529/Data_Prices!P528-1</f>
        <v>0.00105485232067504</v>
      </c>
      <c r="Q529" s="32" t="n">
        <f aca="false">Data_Prices!Q529/Data_Prices!Q528-1</f>
        <v>-0.0190672507085804</v>
      </c>
      <c r="R529" s="32" t="n">
        <f aca="false">Data_Prices!R529/Data_Prices!R528-1</f>
        <v>-0.00481486504814854</v>
      </c>
      <c r="S529" s="32" t="n">
        <f aca="false">Data_Prices!S529/Data_Prices!S528-1</f>
        <v>0.00106362260872173</v>
      </c>
      <c r="T529" s="32" t="n">
        <f aca="false">AVERAGE(D529:S529)</f>
        <v>-0.0026109750626156</v>
      </c>
      <c r="U529" s="32" t="n">
        <f aca="false">AVERAGE(J529:S529)</f>
        <v>-0.00563102106072036</v>
      </c>
      <c r="V529" s="32" t="n">
        <f aca="false">AVERAGE(D529:I529)</f>
        <v>0.00242243493422567</v>
      </c>
      <c r="W529" s="32" t="n">
        <f aca="false">AVERAGE(K529,Q529,R529)</f>
        <v>-0.0087678408783887</v>
      </c>
      <c r="X529" s="32" t="n">
        <f aca="false">AVERAGE(K529,L529,N529,O529,P529,Q529,R529,S529)</f>
        <v>-0.000410576433135898</v>
      </c>
      <c r="Y529" s="32" t="n">
        <f aca="false">AVERAGE(J529,L529,M529,N529,O529,P529,Q529,R529,S529)</f>
        <v>-0.00598764485875183</v>
      </c>
      <c r="Z529" s="32" t="n">
        <f aca="false">U529-V529</f>
        <v>-0.00805345599494604</v>
      </c>
      <c r="AA529" s="32" t="n">
        <f aca="false">W529-V529</f>
        <v>-0.0111902758126144</v>
      </c>
    </row>
    <row r="530" customFormat="false" ht="15" hidden="false" customHeight="false" outlineLevel="0" collapsed="false">
      <c r="A530" s="28" t="n">
        <f aca="false">Data_Prices!A530</f>
        <v>45579</v>
      </c>
      <c r="B530" s="32" t="n">
        <f aca="false">Data_Prices!B530/Data_Prices!B529-1</f>
        <v>0.00655737704918025</v>
      </c>
      <c r="C530" s="32" t="n">
        <f aca="false">Data_Prices!C530/Data_Prices!C529-1</f>
        <v>0.00490444173857796</v>
      </c>
      <c r="D530" s="32" t="n">
        <f aca="false">Data_Prices!D530/Data_Prices!D529-1</f>
        <v>0.00535241585944091</v>
      </c>
      <c r="E530" s="32" t="n">
        <f aca="false">Data_Prices!E530/Data_Prices!E529-1</f>
        <v>0.00478248343416876</v>
      </c>
      <c r="F530" s="32" t="n">
        <f aca="false">Data_Prices!F530/Data_Prices!F529-1</f>
        <v>-0.00172605104179524</v>
      </c>
      <c r="G530" s="32" t="n">
        <f aca="false">Data_Prices!G530/Data_Prices!G529-1</f>
        <v>-0.00282485875706218</v>
      </c>
      <c r="H530" s="32" t="n">
        <f aca="false">Data_Prices!H530/Data_Prices!H529-1</f>
        <v>0.0159659120078033</v>
      </c>
      <c r="I530" s="32" t="n">
        <f aca="false">Data_Prices!I530/Data_Prices!I529-1</f>
        <v>0.0230127625364285</v>
      </c>
      <c r="J530" s="32" t="n">
        <f aca="false">Data_Prices!J530/Data_Prices!J529-1</f>
        <v>-0.00217334890359422</v>
      </c>
      <c r="K530" s="32" t="n">
        <f aca="false">Data_Prices!K530/Data_Prices!K529-1</f>
        <v>-0.0127672412610909</v>
      </c>
      <c r="L530" s="32" t="n">
        <f aca="false">Data_Prices!L530/Data_Prices!L529-1</f>
        <v>0.00789447386829223</v>
      </c>
      <c r="M530" s="32" t="n">
        <f aca="false">Data_Prices!M530/Data_Prices!M529-1</f>
        <v>-0.0189258312020459</v>
      </c>
      <c r="N530" s="32" t="n">
        <f aca="false">Data_Prices!N530/Data_Prices!N529-1</f>
        <v>0.00404642743051853</v>
      </c>
      <c r="O530" s="32" t="n">
        <f aca="false">Data_Prices!O530/Data_Prices!O529-1</f>
        <v>-0.00281640556240104</v>
      </c>
      <c r="P530" s="32" t="n">
        <f aca="false">Data_Prices!P530/Data_Prices!P529-1</f>
        <v>0.00231308951656439</v>
      </c>
      <c r="Q530" s="32" t="n">
        <f aca="false">Data_Prices!Q530/Data_Prices!Q529-1</f>
        <v>-0.00105069608615704</v>
      </c>
      <c r="R530" s="32" t="n">
        <f aca="false">Data_Prices!R530/Data_Prices!R529-1</f>
        <v>0.00517887563884156</v>
      </c>
      <c r="S530" s="32" t="n">
        <f aca="false">Data_Prices!S530/Data_Prices!S529-1</f>
        <v>0.016191787381779</v>
      </c>
      <c r="T530" s="32" t="n">
        <f aca="false">AVERAGE(D530:S530)</f>
        <v>0.00265336217873066</v>
      </c>
      <c r="U530" s="32" t="n">
        <f aca="false">AVERAGE(J530:S530)</f>
        <v>-0.000210886917929343</v>
      </c>
      <c r="V530" s="32" t="n">
        <f aca="false">AVERAGE(D530:I530)</f>
        <v>0.007427110673164</v>
      </c>
      <c r="W530" s="32" t="n">
        <f aca="false">AVERAGE(K530,Q530,R530)</f>
        <v>-0.00287968723613545</v>
      </c>
      <c r="X530" s="32" t="n">
        <f aca="false">AVERAGE(K530,L530,N530,O530,P530,Q530,R530,S530)</f>
        <v>0.00237378886579334</v>
      </c>
      <c r="Y530" s="32" t="n">
        <f aca="false">AVERAGE(J530,L530,M530,N530,O530,P530,Q530,R530,S530)</f>
        <v>0.00118426356464416</v>
      </c>
      <c r="Z530" s="32" t="n">
        <f aca="false">U530-V530</f>
        <v>-0.00763799759109334</v>
      </c>
      <c r="AA530" s="32" t="n">
        <f aca="false">W530-V530</f>
        <v>-0.0103067979092994</v>
      </c>
    </row>
    <row r="531" customFormat="false" ht="15" hidden="false" customHeight="false" outlineLevel="0" collapsed="false">
      <c r="A531" s="28" t="n">
        <f aca="false">Data_Prices!A531</f>
        <v>45580</v>
      </c>
      <c r="B531" s="32" t="n">
        <f aca="false">Data_Prices!B531/Data_Prices!B530-1</f>
        <v>-0.00280962036298238</v>
      </c>
      <c r="C531" s="32" t="n">
        <f aca="false">Data_Prices!C531/Data_Prices!C530-1</f>
        <v>0.000364562809114455</v>
      </c>
      <c r="D531" s="32" t="n">
        <f aca="false">Data_Prices!D531/Data_Prices!D530-1</f>
        <v>0.0279505801336766</v>
      </c>
      <c r="E531" s="32" t="n">
        <f aca="false">Data_Prices!E531/Data_Prices!E530-1</f>
        <v>0.0216767977979127</v>
      </c>
      <c r="F531" s="32" t="n">
        <f aca="false">Data_Prices!F531/Data_Prices!F530-1</f>
        <v>-0.0118150755423819</v>
      </c>
      <c r="G531" s="32" t="n">
        <f aca="false">Data_Prices!G531/Data_Prices!G530-1</f>
        <v>0.0132739781464994</v>
      </c>
      <c r="H531" s="32" t="n">
        <f aca="false">Data_Prices!H531/Data_Prices!H530-1</f>
        <v>-0.00773117736230422</v>
      </c>
      <c r="I531" s="32" t="n">
        <f aca="false">Data_Prices!I531/Data_Prices!I530-1</f>
        <v>-0.000392927308447866</v>
      </c>
      <c r="J531" s="32" t="n">
        <f aca="false">Data_Prices!J531/Data_Prices!J530-1</f>
        <v>-0.00867982185234539</v>
      </c>
      <c r="K531" s="32" t="n">
        <f aca="false">Data_Prices!K531/Data_Prices!K530-1</f>
        <v>-0.0266148076121683</v>
      </c>
      <c r="L531" s="32" t="n">
        <f aca="false">Data_Prices!L531/Data_Prices!L530-1</f>
        <v>-0.00651067486284629</v>
      </c>
      <c r="M531" s="32" t="n">
        <f aca="false">Data_Prices!M531/Data_Prices!M530-1</f>
        <v>-0.000142193572850613</v>
      </c>
      <c r="N531" s="32" t="n">
        <f aca="false">Data_Prices!N531/Data_Prices!N530-1</f>
        <v>0.0125145826704847</v>
      </c>
      <c r="O531" s="32" t="n">
        <f aca="false">Data_Prices!O531/Data_Prices!O530-1</f>
        <v>0.0111209179170344</v>
      </c>
      <c r="P531" s="32" t="n">
        <f aca="false">Data_Prices!P531/Data_Prices!P530-1</f>
        <v>0.00358983563681115</v>
      </c>
      <c r="Q531" s="32" t="n">
        <f aca="false">Data_Prices!Q531/Data_Prices!Q530-1</f>
        <v>-0.00105180120957149</v>
      </c>
      <c r="R531" s="32" t="n">
        <f aca="false">Data_Prices!R531/Data_Prices!R530-1</f>
        <v>0.00203376042302206</v>
      </c>
      <c r="S531" s="32" t="n">
        <f aca="false">Data_Prices!S531/Data_Prices!S530-1</f>
        <v>0.00172296998792465</v>
      </c>
      <c r="T531" s="32" t="n">
        <f aca="false">AVERAGE(D531:S531)</f>
        <v>0.00193405896190309</v>
      </c>
      <c r="U531" s="32" t="n">
        <f aca="false">AVERAGE(J531:S531)</f>
        <v>-0.00120172324745051</v>
      </c>
      <c r="V531" s="32" t="n">
        <f aca="false">AVERAGE(D531:I531)</f>
        <v>0.00716036264415911</v>
      </c>
      <c r="W531" s="32" t="n">
        <f aca="false">AVERAGE(K531,Q531,R531)</f>
        <v>-0.00854428279957257</v>
      </c>
      <c r="X531" s="32" t="n">
        <f aca="false">AVERAGE(K531,L531,N531,O531,P531,Q531,R531,S531)</f>
        <v>-0.000399402131163643</v>
      </c>
      <c r="Y531" s="32" t="n">
        <f aca="false">AVERAGE(J531,L531,M531,N531,O531,P531,Q531,R531,S531)</f>
        <v>0.00162195279307368</v>
      </c>
      <c r="Z531" s="32" t="n">
        <f aca="false">U531-V531</f>
        <v>-0.00836208589160962</v>
      </c>
      <c r="AA531" s="32" t="n">
        <f aca="false">W531-V531</f>
        <v>-0.0157046454437317</v>
      </c>
    </row>
    <row r="532" customFormat="false" ht="15" hidden="false" customHeight="false" outlineLevel="0" collapsed="false">
      <c r="A532" s="28" t="n">
        <f aca="false">Data_Prices!A532</f>
        <v>45581</v>
      </c>
      <c r="B532" s="32" t="n">
        <f aca="false">Data_Prices!B532/Data_Prices!B531-1</f>
        <v>-0.00343412212384786</v>
      </c>
      <c r="C532" s="32" t="n">
        <f aca="false">Data_Prices!C532/Data_Prices!C531-1</f>
        <v>-0.00263527092101767</v>
      </c>
      <c r="D532" s="32" t="n">
        <f aca="false">Data_Prices!D532/Data_Prices!D531-1</f>
        <v>-0.0167478255974329</v>
      </c>
      <c r="E532" s="32" t="n">
        <f aca="false">Data_Prices!E532/Data_Prices!E531-1</f>
        <v>-0.00948585541086655</v>
      </c>
      <c r="F532" s="32" t="n">
        <f aca="false">Data_Prices!F532/Data_Prices!F531-1</f>
        <v>0.00795700716547243</v>
      </c>
      <c r="G532" s="32" t="n">
        <f aca="false">Data_Prices!G532/Data_Prices!G531-1</f>
        <v>0.000239635753654488</v>
      </c>
      <c r="H532" s="32" t="n">
        <f aca="false">Data_Prices!H532/Data_Prices!H531-1</f>
        <v>-0.0228140754697764</v>
      </c>
      <c r="I532" s="32" t="n">
        <f aca="false">Data_Prices!I532/Data_Prices!I531-1</f>
        <v>-0.00992531446540879</v>
      </c>
      <c r="J532" s="32" t="n">
        <f aca="false">Data_Prices!J532/Data_Prices!J531-1</f>
        <v>0.004394307076802</v>
      </c>
      <c r="K532" s="32" t="n">
        <f aca="false">Data_Prices!K532/Data_Prices!K531-1</f>
        <v>-0.00863373005679702</v>
      </c>
      <c r="L532" s="32" t="n">
        <f aca="false">Data_Prices!L532/Data_Prices!L531-1</f>
        <v>-0.0118758524333854</v>
      </c>
      <c r="M532" s="32" t="n">
        <f aca="false">Data_Prices!M532/Data_Prices!M531-1</f>
        <v>-0.0290590187248164</v>
      </c>
      <c r="N532" s="32" t="n">
        <f aca="false">Data_Prices!N532/Data_Prices!N531-1</f>
        <v>-0.0175971509374674</v>
      </c>
      <c r="O532" s="32" t="n">
        <f aca="false">Data_Prices!O532/Data_Prices!O531-1</f>
        <v>0.0125698324022347</v>
      </c>
      <c r="P532" s="32" t="n">
        <f aca="false">Data_Prices!P532/Data_Prices!P531-1</f>
        <v>-7.66498888576939E-005</v>
      </c>
      <c r="Q532" s="32" t="n">
        <f aca="false">Data_Prices!Q532/Data_Prices!Q531-1</f>
        <v>0.0028954988154779</v>
      </c>
      <c r="R532" s="32" t="n">
        <f aca="false">Data_Prices!R532/Data_Prices!R531-1</f>
        <v>0.00236790474257487</v>
      </c>
      <c r="S532" s="32" t="n">
        <f aca="false">Data_Prices!S532/Data_Prices!S531-1</f>
        <v>-0.00316069564706056</v>
      </c>
      <c r="T532" s="32" t="n">
        <f aca="false">AVERAGE(D532:S532)</f>
        <v>-0.0061844989172283</v>
      </c>
      <c r="U532" s="32" t="n">
        <f aca="false">AVERAGE(J532:S532)</f>
        <v>-0.0048175554651295</v>
      </c>
      <c r="V532" s="32" t="n">
        <f aca="false">AVERAGE(D532:I532)</f>
        <v>-0.00846273800405963</v>
      </c>
      <c r="W532" s="32" t="n">
        <f aca="false">AVERAGE(K532,Q532,R532)</f>
        <v>-0.00112344216624808</v>
      </c>
      <c r="X532" s="32" t="n">
        <f aca="false">AVERAGE(K532,L532,N532,O532,P532,Q532,R532,S532)</f>
        <v>-0.00293885537541007</v>
      </c>
      <c r="Y532" s="32" t="n">
        <f aca="false">AVERAGE(J532,L532,M532,N532,O532,P532,Q532,R532,S532)</f>
        <v>-0.00439353606605533</v>
      </c>
      <c r="Z532" s="32" t="n">
        <f aca="false">U532-V532</f>
        <v>0.00364518253893013</v>
      </c>
      <c r="AA532" s="32" t="n">
        <f aca="false">W532-V532</f>
        <v>0.00733929583781155</v>
      </c>
    </row>
    <row r="533" customFormat="false" ht="15" hidden="false" customHeight="false" outlineLevel="0" collapsed="false">
      <c r="A533" s="28" t="n">
        <f aca="false">Data_Prices!A533</f>
        <v>45582</v>
      </c>
      <c r="B533" s="32" t="n">
        <f aca="false">Data_Prices!B533/Data_Prices!B532-1</f>
        <v>-0.00886818067141082</v>
      </c>
      <c r="C533" s="32" t="n">
        <f aca="false">Data_Prices!C533/Data_Prices!C532-1</f>
        <v>-0.0125099532592833</v>
      </c>
      <c r="D533" s="32" t="n">
        <f aca="false">Data_Prices!D533/Data_Prices!D532-1</f>
        <v>-0.0106492614221916</v>
      </c>
      <c r="E533" s="32" t="n">
        <f aca="false">Data_Prices!E533/Data_Prices!E532-1</f>
        <v>-0.0280500935003116</v>
      </c>
      <c r="F533" s="32" t="n">
        <f aca="false">Data_Prices!F533/Data_Prices!F532-1</f>
        <v>-0.00735689191981825</v>
      </c>
      <c r="G533" s="32" t="n">
        <f aca="false">Data_Prices!G533/Data_Prices!G532-1</f>
        <v>-0.0228398019485706</v>
      </c>
      <c r="H533" s="32" t="n">
        <f aca="false">Data_Prices!H533/Data_Prices!H532-1</f>
        <v>-0.026890405961749</v>
      </c>
      <c r="I533" s="32" t="n">
        <f aca="false">Data_Prices!I533/Data_Prices!I532-1</f>
        <v>-0.0134987593052109</v>
      </c>
      <c r="J533" s="32" t="n">
        <f aca="false">Data_Prices!J533/Data_Prices!J532-1</f>
        <v>-0.00244873971529325</v>
      </c>
      <c r="K533" s="32" t="n">
        <f aca="false">Data_Prices!K533/Data_Prices!K532-1</f>
        <v>-0.00817630885718823</v>
      </c>
      <c r="L533" s="32" t="n">
        <f aca="false">Data_Prices!L533/Data_Prices!L532-1</f>
        <v>-0.0192903312685161</v>
      </c>
      <c r="M533" s="32" t="n">
        <f aca="false">Data_Prices!M533/Data_Prices!M532-1</f>
        <v>0.0227028610487257</v>
      </c>
      <c r="N533" s="32" t="n">
        <f aca="false">Data_Prices!N533/Data_Prices!N532-1</f>
        <v>-0.0190851903187973</v>
      </c>
      <c r="O533" s="32" t="n">
        <f aca="false">Data_Prices!O533/Data_Prices!O532-1</f>
        <v>-0.0270689655172415</v>
      </c>
      <c r="P533" s="32" t="n">
        <f aca="false">Data_Prices!P533/Data_Prices!P532-1</f>
        <v>-0.000689901880621346</v>
      </c>
      <c r="Q533" s="32" t="n">
        <f aca="false">Data_Prices!Q533/Data_Prices!Q532-1</f>
        <v>-0.0119422572178478</v>
      </c>
      <c r="R533" s="32" t="n">
        <f aca="false">Data_Prices!R533/Data_Prices!R532-1</f>
        <v>-0.0010799136069114</v>
      </c>
      <c r="S533" s="32" t="n">
        <f aca="false">Data_Prices!S533/Data_Prices!S532-1</f>
        <v>-0.038874469089193</v>
      </c>
      <c r="T533" s="32" t="n">
        <f aca="false">AVERAGE(D533:S533)</f>
        <v>-0.013452401905046</v>
      </c>
      <c r="U533" s="32" t="n">
        <f aca="false">AVERAGE(J533:S533)</f>
        <v>-0.0105953216422884</v>
      </c>
      <c r="V533" s="32" t="n">
        <f aca="false">AVERAGE(D533:I533)</f>
        <v>-0.0182142023429753</v>
      </c>
      <c r="W533" s="32" t="n">
        <f aca="false">AVERAGE(K533,Q533,R533)</f>
        <v>-0.00706615989398248</v>
      </c>
      <c r="X533" s="32" t="n">
        <f aca="false">AVERAGE(K533,L533,N533,O533,P533,Q533,R533,S533)</f>
        <v>-0.0157759172195396</v>
      </c>
      <c r="Y533" s="32" t="n">
        <f aca="false">AVERAGE(J533,L533,M533,N533,O533,P533,Q533,R533,S533)</f>
        <v>-0.0108641008406329</v>
      </c>
      <c r="Z533" s="32" t="n">
        <f aca="false">U533-V533</f>
        <v>0.0076188807006869</v>
      </c>
      <c r="AA533" s="32" t="n">
        <f aca="false">W533-V533</f>
        <v>0.0111480424489929</v>
      </c>
    </row>
    <row r="534" customFormat="false" ht="15" hidden="false" customHeight="false" outlineLevel="0" collapsed="false">
      <c r="A534" s="28" t="n">
        <f aca="false">Data_Prices!A534</f>
        <v>45583</v>
      </c>
      <c r="B534" s="32" t="n">
        <f aca="false">Data_Prices!B534/Data_Prices!B533-1</f>
        <v>0.00421012652601949</v>
      </c>
      <c r="C534" s="32" t="n">
        <f aca="false">Data_Prices!C534/Data_Prices!C533-1</f>
        <v>0.00272490054326902</v>
      </c>
      <c r="D534" s="32" t="n">
        <f aca="false">Data_Prices!D534/Data_Prices!D533-1</f>
        <v>0.00182291666666679</v>
      </c>
      <c r="E534" s="32" t="n">
        <f aca="false">Data_Prices!E534/Data_Prices!E533-1</f>
        <v>0.00408115671641784</v>
      </c>
      <c r="F534" s="32" t="n">
        <f aca="false">Data_Prices!F534/Data_Prices!F533-1</f>
        <v>-0.0248573926801848</v>
      </c>
      <c r="G534" s="32" t="n">
        <f aca="false">Data_Prices!G534/Data_Prices!G533-1</f>
        <v>0.0111147433801897</v>
      </c>
      <c r="H534" s="32" t="n">
        <f aca="false">Data_Prices!H534/Data_Prices!H533-1</f>
        <v>-0.000963958656884256</v>
      </c>
      <c r="I534" s="32" t="n">
        <f aca="false">Data_Prices!I534/Data_Prices!I533-1</f>
        <v>0.00120736492604889</v>
      </c>
      <c r="J534" s="32" t="n">
        <f aca="false">Data_Prices!J534/Data_Prices!J533-1</f>
        <v>-0.00222564068994868</v>
      </c>
      <c r="K534" s="32" t="n">
        <f aca="false">Data_Prices!K534/Data_Prices!K533-1</f>
        <v>1.45135774516358E-005</v>
      </c>
      <c r="L534" s="32" t="n">
        <f aca="false">Data_Prices!L534/Data_Prices!L533-1</f>
        <v>0.00257457691119423</v>
      </c>
      <c r="M534" s="32" t="n">
        <f aca="false">Data_Prices!M534/Data_Prices!M533-1</f>
        <v>-0.0203847806368452</v>
      </c>
      <c r="N534" s="32" t="n">
        <f aca="false">Data_Prices!N534/Data_Prices!N533-1</f>
        <v>-0.0207608695652174</v>
      </c>
      <c r="O534" s="32" t="n">
        <f aca="false">Data_Prices!O534/Data_Prices!O533-1</f>
        <v>0.0313662945241893</v>
      </c>
      <c r="P534" s="32" t="n">
        <f aca="false">Data_Prices!P534/Data_Prices!P533-1</f>
        <v>0.00680150349024511</v>
      </c>
      <c r="Q534" s="32" t="n">
        <f aca="false">Data_Prices!Q534/Data_Prices!Q533-1</f>
        <v>-0.00119537787222734</v>
      </c>
      <c r="R534" s="32" t="n">
        <f aca="false">Data_Prices!R534/Data_Prices!R533-1</f>
        <v>0.000202702702702728</v>
      </c>
      <c r="S534" s="32" t="n">
        <f aca="false">Data_Prices!S534/Data_Prices!S533-1</f>
        <v>0.0264070459706622</v>
      </c>
      <c r="T534" s="32" t="n">
        <f aca="false">AVERAGE(D534:S534)</f>
        <v>0.000950299922778793</v>
      </c>
      <c r="U534" s="32" t="n">
        <f aca="false">AVERAGE(J534:S534)</f>
        <v>0.00227999684122066</v>
      </c>
      <c r="V534" s="32" t="n">
        <f aca="false">AVERAGE(D534:I534)</f>
        <v>-0.00126586160795765</v>
      </c>
      <c r="W534" s="32" t="n">
        <f aca="false">AVERAGE(K534,Q534,R534)</f>
        <v>-0.000326053864024326</v>
      </c>
      <c r="X534" s="32" t="n">
        <f aca="false">AVERAGE(K534,L534,N534,O534,P534,Q534,R534,S534)</f>
        <v>0.00567629871737506</v>
      </c>
      <c r="Y534" s="32" t="n">
        <f aca="false">AVERAGE(J534,L534,M534,N534,O534,P534,Q534,R534,S534)</f>
        <v>0.00253171720386166</v>
      </c>
      <c r="Z534" s="32" t="n">
        <f aca="false">U534-V534</f>
        <v>0.0035458584491783</v>
      </c>
      <c r="AA534" s="32" t="n">
        <f aca="false">W534-V534</f>
        <v>0.000939807743933319</v>
      </c>
    </row>
    <row r="535" customFormat="false" ht="15" hidden="false" customHeight="false" outlineLevel="0" collapsed="false">
      <c r="A535" s="28" t="n">
        <f aca="false">Data_Prices!A535</f>
        <v>45586</v>
      </c>
      <c r="B535" s="32" t="n">
        <f aca="false">Data_Prices!B535/Data_Prices!B534-1</f>
        <v>-0.00293513531999823</v>
      </c>
      <c r="C535" s="32" t="n">
        <f aca="false">Data_Prices!C535/Data_Prices!C534-1</f>
        <v>-0.00757016641994479</v>
      </c>
      <c r="D535" s="32" t="n">
        <f aca="false">Data_Prices!D535/Data_Prices!D534-1</f>
        <v>-0.0143546197614304</v>
      </c>
      <c r="E535" s="32" t="n">
        <f aca="false">Data_Prices!E535/Data_Prices!E534-1</f>
        <v>-0.00191615375682264</v>
      </c>
      <c r="F535" s="32" t="n">
        <f aca="false">Data_Prices!F535/Data_Prices!F534-1</f>
        <v>-0.0397096498719044</v>
      </c>
      <c r="G535" s="32" t="n">
        <f aca="false">Data_Prices!G535/Data_Prices!G534-1</f>
        <v>-0.0175396055609441</v>
      </c>
      <c r="H535" s="32" t="n">
        <f aca="false">Data_Prices!H535/Data_Prices!H534-1</f>
        <v>-0.0189225408737603</v>
      </c>
      <c r="I535" s="32" t="n">
        <f aca="false">Data_Prices!I535/Data_Prices!I534-1</f>
        <v>0.00844136267711781</v>
      </c>
      <c r="J535" s="32" t="n">
        <f aca="false">Data_Prices!J535/Data_Prices!J534-1</f>
        <v>-0.024831884533377</v>
      </c>
      <c r="K535" s="32" t="n">
        <f aca="false">Data_Prices!K535/Data_Prices!K534-1</f>
        <v>-0.0171983396708368</v>
      </c>
      <c r="L535" s="32" t="n">
        <f aca="false">Data_Prices!L535/Data_Prices!L534-1</f>
        <v>-0.0147914812024926</v>
      </c>
      <c r="M535" s="32" t="n">
        <f aca="false">Data_Prices!M535/Data_Prices!M534-1</f>
        <v>-0.01135477582846</v>
      </c>
      <c r="N535" s="32" t="n">
        <f aca="false">Data_Prices!N535/Data_Prices!N534-1</f>
        <v>-0.0306360306360307</v>
      </c>
      <c r="O535" s="32" t="n">
        <f aca="false">Data_Prices!O535/Data_Prices!O534-1</f>
        <v>-0.00635738831615129</v>
      </c>
      <c r="P535" s="32" t="n">
        <f aca="false">Data_Prices!P535/Data_Prices!P534-1</f>
        <v>-0.0120634920634921</v>
      </c>
      <c r="Q535" s="32" t="n">
        <f aca="false">Data_Prices!Q535/Data_Prices!Q534-1</f>
        <v>0.00186170212765946</v>
      </c>
      <c r="R535" s="32" t="n">
        <f aca="false">Data_Prices!R535/Data_Prices!R534-1</f>
        <v>-0.0286428426670269</v>
      </c>
      <c r="S535" s="32" t="n">
        <f aca="false">Data_Prices!S535/Data_Prices!S534-1</f>
        <v>-0.00937317806048466</v>
      </c>
      <c r="T535" s="32" t="n">
        <f aca="false">AVERAGE(D535:S535)</f>
        <v>-0.0148368073749023</v>
      </c>
      <c r="U535" s="32" t="n">
        <f aca="false">AVERAGE(J535:S535)</f>
        <v>-0.0153387710850693</v>
      </c>
      <c r="V535" s="32" t="n">
        <f aca="false">AVERAGE(D535:I535)</f>
        <v>-0.0140002011912907</v>
      </c>
      <c r="W535" s="32" t="n">
        <f aca="false">AVERAGE(K535,Q535,R535)</f>
        <v>-0.0146598267367348</v>
      </c>
      <c r="X535" s="32" t="n">
        <f aca="false">AVERAGE(K535,L535,N535,O535,P535,Q535,R535,S535)</f>
        <v>-0.014650131311107</v>
      </c>
      <c r="Y535" s="32" t="n">
        <f aca="false">AVERAGE(J535,L535,M535,N535,O535,P535,Q535,R535,S535)</f>
        <v>-0.0151321523533173</v>
      </c>
      <c r="Z535" s="32" t="n">
        <f aca="false">U535-V535</f>
        <v>-0.00133856989377859</v>
      </c>
      <c r="AA535" s="32" t="n">
        <f aca="false">W535-V535</f>
        <v>-0.000659625545444076</v>
      </c>
    </row>
    <row r="536" customFormat="false" ht="15" hidden="false" customHeight="false" outlineLevel="0" collapsed="false">
      <c r="A536" s="28" t="n">
        <f aca="false">Data_Prices!A536</f>
        <v>45587</v>
      </c>
      <c r="B536" s="32" t="n">
        <f aca="false">Data_Prices!B536/Data_Prices!B535-1</f>
        <v>-0.0124691801413174</v>
      </c>
      <c r="C536" s="32" t="n">
        <f aca="false">Data_Prices!C536/Data_Prices!C535-1</f>
        <v>-0.0192922313090389</v>
      </c>
      <c r="D536" s="32" t="n">
        <f aca="false">Data_Prices!D536/Data_Prices!D535-1</f>
        <v>-0.0146515853015297</v>
      </c>
      <c r="E536" s="32" t="n">
        <f aca="false">Data_Prices!E536/Data_Prices!E535-1</f>
        <v>-0.0308918494385946</v>
      </c>
      <c r="F536" s="32" t="n">
        <f aca="false">Data_Prices!F536/Data_Prices!F535-1</f>
        <v>-0.0196976433970655</v>
      </c>
      <c r="G536" s="32" t="n">
        <f aca="false">Data_Prices!G536/Data_Prices!G535-1</f>
        <v>-0.0332373508844098</v>
      </c>
      <c r="H536" s="32" t="n">
        <f aca="false">Data_Prices!H536/Data_Prices!H535-1</f>
        <v>-0.0444760135504317</v>
      </c>
      <c r="I536" s="32" t="n">
        <f aca="false">Data_Prices!I536/Data_Prices!I535-1</f>
        <v>-0.00448430493273544</v>
      </c>
      <c r="J536" s="32" t="n">
        <f aca="false">Data_Prices!J536/Data_Prices!J535-1</f>
        <v>0.00097551130247564</v>
      </c>
      <c r="K536" s="32" t="n">
        <f aca="false">Data_Prices!K536/Data_Prices!K535-1</f>
        <v>-0.01519559342558</v>
      </c>
      <c r="L536" s="32" t="n">
        <f aca="false">Data_Prices!L536/Data_Prices!L535-1</f>
        <v>-0.0191144783485091</v>
      </c>
      <c r="M536" s="32" t="n">
        <f aca="false">Data_Prices!M536/Data_Prices!M535-1</f>
        <v>-0.0140484053827574</v>
      </c>
      <c r="N536" s="32" t="n">
        <f aca="false">Data_Prices!N536/Data_Prices!N535-1</f>
        <v>-0.0428260620634375</v>
      </c>
      <c r="O536" s="32" t="n">
        <f aca="false">Data_Prices!O536/Data_Prices!O535-1</f>
        <v>-0.0259380944146637</v>
      </c>
      <c r="P536" s="32" t="n">
        <f aca="false">Data_Prices!P536/Data_Prices!P535-1</f>
        <v>-0.0177377892030849</v>
      </c>
      <c r="Q536" s="32" t="n">
        <f aca="false">Data_Prices!Q536/Data_Prices!Q535-1</f>
        <v>-0.0355720732678524</v>
      </c>
      <c r="R536" s="32" t="n">
        <f aca="false">Data_Prices!R536/Data_Prices!R535-1</f>
        <v>-0.0208637596494888</v>
      </c>
      <c r="S536" s="32" t="n">
        <f aca="false">Data_Prices!S536/Data_Prices!S535-1</f>
        <v>-0.0177466574110403</v>
      </c>
      <c r="T536" s="32" t="n">
        <f aca="false">AVERAGE(D536:S536)</f>
        <v>-0.0222191343355441</v>
      </c>
      <c r="U536" s="32" t="n">
        <f aca="false">AVERAGE(J536:S536)</f>
        <v>-0.0208067401863938</v>
      </c>
      <c r="V536" s="32" t="n">
        <f aca="false">AVERAGE(D536:I536)</f>
        <v>-0.0245731245841278</v>
      </c>
      <c r="W536" s="32" t="n">
        <f aca="false">AVERAGE(K536,Q536,R536)</f>
        <v>-0.0238771421143071</v>
      </c>
      <c r="X536" s="32" t="n">
        <f aca="false">AVERAGE(K536,L536,N536,O536,P536,Q536,R536,S536)</f>
        <v>-0.0243743134729571</v>
      </c>
      <c r="Y536" s="32" t="n">
        <f aca="false">AVERAGE(J536,L536,M536,N536,O536,P536,Q536,R536,S536)</f>
        <v>-0.0214302009375954</v>
      </c>
      <c r="Z536" s="32" t="n">
        <f aca="false">U536-V536</f>
        <v>0.00376638439773394</v>
      </c>
      <c r="AA536" s="32" t="n">
        <f aca="false">W536-V536</f>
        <v>0.000695982469820722</v>
      </c>
    </row>
    <row r="537" customFormat="false" ht="15" hidden="false" customHeight="false" outlineLevel="0" collapsed="false">
      <c r="A537" s="28" t="n">
        <f aca="false">Data_Prices!A537</f>
        <v>45588</v>
      </c>
      <c r="B537" s="32" t="n">
        <f aca="false">Data_Prices!B537/Data_Prices!B536-1</f>
        <v>-0.00149558068167421</v>
      </c>
      <c r="C537" s="32" t="n">
        <f aca="false">Data_Prices!C537/Data_Prices!C536-1</f>
        <v>0.00116811932788208</v>
      </c>
      <c r="D537" s="32" t="n">
        <f aca="false">Data_Prices!D537/Data_Prices!D536-1</f>
        <v>0.00211146136917861</v>
      </c>
      <c r="E537" s="32" t="n">
        <f aca="false">Data_Prices!E537/Data_Prices!E536-1</f>
        <v>0.0461039740665146</v>
      </c>
      <c r="F537" s="32" t="n">
        <f aca="false">Data_Prices!F537/Data_Prices!F536-1</f>
        <v>0.0117022724180162</v>
      </c>
      <c r="G537" s="32" t="n">
        <f aca="false">Data_Prices!G537/Data_Prices!G536-1</f>
        <v>0.0222108756701558</v>
      </c>
      <c r="H537" s="32" t="n">
        <f aca="false">Data_Prices!H537/Data_Prices!H536-1</f>
        <v>0.0837717291857274</v>
      </c>
      <c r="I537" s="32" t="n">
        <f aca="false">Data_Prices!I537/Data_Prices!I536-1</f>
        <v>0.00450450450450446</v>
      </c>
      <c r="J537" s="32" t="n">
        <f aca="false">Data_Prices!J537/Data_Prices!J536-1</f>
        <v>0.0117283328292503</v>
      </c>
      <c r="K537" s="32" t="n">
        <f aca="false">Data_Prices!K537/Data_Prices!K536-1</f>
        <v>0.0476097648752398</v>
      </c>
      <c r="L537" s="32" t="n">
        <f aca="false">Data_Prices!L537/Data_Prices!L536-1</f>
        <v>-0.00318877551020413</v>
      </c>
      <c r="M537" s="32" t="n">
        <f aca="false">Data_Prices!M537/Data_Prices!M536-1</f>
        <v>-0.00699930006999305</v>
      </c>
      <c r="N537" s="32" t="n">
        <f aca="false">Data_Prices!N537/Data_Prices!N536-1</f>
        <v>0.00502452446464896</v>
      </c>
      <c r="O537" s="32" t="n">
        <f aca="false">Data_Prices!O537/Data_Prices!O536-1</f>
        <v>-0.0500621338540741</v>
      </c>
      <c r="P537" s="32" t="n">
        <f aca="false">Data_Prices!P537/Data_Prices!P536-1</f>
        <v>0.00761580738026701</v>
      </c>
      <c r="Q537" s="32" t="n">
        <f aca="false">Data_Prices!Q537/Data_Prices!Q536-1</f>
        <v>-0.00729424717864036</v>
      </c>
      <c r="R537" s="32" t="n">
        <f aca="false">Data_Prices!R537/Data_Prices!R536-1</f>
        <v>0.00277008310249305</v>
      </c>
      <c r="S537" s="32" t="n">
        <f aca="false">Data_Prices!S537/Data_Prices!S536-1</f>
        <v>-0.0174373943770165</v>
      </c>
      <c r="T537" s="32" t="n">
        <f aca="false">AVERAGE(D537:S537)</f>
        <v>0.0100107174297543</v>
      </c>
      <c r="U537" s="32" t="n">
        <f aca="false">AVERAGE(J537:S537)</f>
        <v>-0.0010233338338029</v>
      </c>
      <c r="V537" s="32" t="n">
        <f aca="false">AVERAGE(D537:I537)</f>
        <v>0.0284008028690162</v>
      </c>
      <c r="W537" s="32" t="n">
        <f aca="false">AVERAGE(K537,Q537,R537)</f>
        <v>0.0143618669330308</v>
      </c>
      <c r="X537" s="32" t="n">
        <f aca="false">AVERAGE(K537,L537,N537,O537,P537,Q537,R537,S537)</f>
        <v>-0.00187029638716078</v>
      </c>
      <c r="Y537" s="32" t="n">
        <f aca="false">AVERAGE(J537,L537,M537,N537,O537,P537,Q537,R537,S537)</f>
        <v>-0.00642701146814098</v>
      </c>
      <c r="Z537" s="32" t="n">
        <f aca="false">U537-V537</f>
        <v>-0.0294241367028191</v>
      </c>
      <c r="AA537" s="32" t="n">
        <f aca="false">W537-V537</f>
        <v>-0.0140389359359853</v>
      </c>
    </row>
    <row r="538" customFormat="false" ht="15" hidden="false" customHeight="false" outlineLevel="0" collapsed="false">
      <c r="A538" s="28" t="n">
        <f aca="false">Data_Prices!A538</f>
        <v>45589</v>
      </c>
      <c r="B538" s="32" t="n">
        <f aca="false">Data_Prices!B538/Data_Prices!B537-1</f>
        <v>-0.00147735876081923</v>
      </c>
      <c r="C538" s="32" t="n">
        <f aca="false">Data_Prices!C538/Data_Prices!C537-1</f>
        <v>-0.00233132379789069</v>
      </c>
      <c r="D538" s="32" t="n">
        <f aca="false">Data_Prices!D538/Data_Prices!D537-1</f>
        <v>-0.00943704187316374</v>
      </c>
      <c r="E538" s="32" t="n">
        <f aca="false">Data_Prices!E538/Data_Prices!E537-1</f>
        <v>-0.0296683117181222</v>
      </c>
      <c r="F538" s="32" t="n">
        <f aca="false">Data_Prices!F538/Data_Prices!F537-1</f>
        <v>-0.00201748486886344</v>
      </c>
      <c r="G538" s="32" t="n">
        <f aca="false">Data_Prices!G538/Data_Prices!G537-1</f>
        <v>-0.000582750582750591</v>
      </c>
      <c r="H538" s="32" t="n">
        <f aca="false">Data_Prices!H538/Data_Prices!H537-1</f>
        <v>-0.0139291932675565</v>
      </c>
      <c r="I538" s="32" t="n">
        <f aca="false">Data_Prices!I538/Data_Prices!I537-1</f>
        <v>-0.00019930244145494</v>
      </c>
      <c r="J538" s="32" t="n">
        <f aca="false">Data_Prices!J538/Data_Prices!J537-1</f>
        <v>-0.0196638543811865</v>
      </c>
      <c r="K538" s="32" t="n">
        <f aca="false">Data_Prices!K538/Data_Prices!K537-1</f>
        <v>0.00644117773356423</v>
      </c>
      <c r="L538" s="32" t="n">
        <f aca="false">Data_Prices!L538/Data_Prices!L537-1</f>
        <v>-0.0146086585625933</v>
      </c>
      <c r="M538" s="32" t="n">
        <f aca="false">Data_Prices!M538/Data_Prices!M537-1</f>
        <v>-0.00941496324640023</v>
      </c>
      <c r="N538" s="32" t="n">
        <f aca="false">Data_Prices!N538/Data_Prices!N537-1</f>
        <v>-0.0307106296869422</v>
      </c>
      <c r="O538" s="32" t="n">
        <f aca="false">Data_Prices!O538/Data_Prices!O537-1</f>
        <v>0.00504578583442328</v>
      </c>
      <c r="P538" s="32" t="n">
        <f aca="false">Data_Prices!P538/Data_Prices!P537-1</f>
        <v>0.00264928183683555</v>
      </c>
      <c r="Q538" s="32" t="n">
        <f aca="false">Data_Prices!Q538/Data_Prices!Q537-1</f>
        <v>-0.00540690420074863</v>
      </c>
      <c r="R538" s="32" t="n">
        <f aca="false">Data_Prices!R538/Data_Prices!R537-1</f>
        <v>0.00892477688057802</v>
      </c>
      <c r="S538" s="32" t="n">
        <f aca="false">Data_Prices!S538/Data_Prices!S537-1</f>
        <v>0.0148072863732311</v>
      </c>
      <c r="T538" s="32" t="n">
        <f aca="false">AVERAGE(D538:S538)</f>
        <v>-0.00611067413569687</v>
      </c>
      <c r="U538" s="32" t="n">
        <f aca="false">AVERAGE(J538:S538)</f>
        <v>-0.00419367014192386</v>
      </c>
      <c r="V538" s="32" t="n">
        <f aca="false">AVERAGE(D538:I538)</f>
        <v>-0.00930568079198524</v>
      </c>
      <c r="W538" s="32" t="n">
        <f aca="false">AVERAGE(K538,Q538,R538)</f>
        <v>0.00331968347113121</v>
      </c>
      <c r="X538" s="32" t="n">
        <f aca="false">AVERAGE(K538,L538,N538,O538,P538,Q538,R538,S538)</f>
        <v>-0.00160723547395648</v>
      </c>
      <c r="Y538" s="32" t="n">
        <f aca="false">AVERAGE(J538,L538,M538,N538,O538,P538,Q538,R538,S538)</f>
        <v>-0.00537531990586698</v>
      </c>
      <c r="Z538" s="32" t="n">
        <f aca="false">U538-V538</f>
        <v>0.00511201065006138</v>
      </c>
      <c r="AA538" s="32" t="n">
        <f aca="false">W538-V538</f>
        <v>0.0126253642631164</v>
      </c>
    </row>
    <row r="539" customFormat="false" ht="15" hidden="false" customHeight="false" outlineLevel="0" collapsed="false">
      <c r="A539" s="28" t="n">
        <f aca="false">Data_Prices!A539</f>
        <v>45590</v>
      </c>
      <c r="B539" s="32" t="n">
        <f aca="false">Data_Prices!B539/Data_Prices!B538-1</f>
        <v>-0.00895923670254195</v>
      </c>
      <c r="C539" s="32" t="n">
        <f aca="false">Data_Prices!C539/Data_Prices!C538-1</f>
        <v>-0.012673420265624</v>
      </c>
      <c r="D539" s="32" t="n">
        <f aca="false">Data_Prices!D539/Data_Prices!D538-1</f>
        <v>0.00299589562299651</v>
      </c>
      <c r="E539" s="32" t="n">
        <f aca="false">Data_Prices!E539/Data_Prices!E538-1</f>
        <v>0.00615057070199288</v>
      </c>
      <c r="F539" s="32" t="n">
        <f aca="false">Data_Prices!F539/Data_Prices!F538-1</f>
        <v>-0.0098831985624438</v>
      </c>
      <c r="G539" s="32" t="n">
        <f aca="false">Data_Prices!G539/Data_Prices!G538-1</f>
        <v>-0.00333194502290712</v>
      </c>
      <c r="H539" s="32" t="n">
        <f aca="false">Data_Prices!H539/Data_Prices!H538-1</f>
        <v>0.0142329712665203</v>
      </c>
      <c r="I539" s="32" t="n">
        <f aca="false">Data_Prices!I539/Data_Prices!I538-1</f>
        <v>-0.01166151699392</v>
      </c>
      <c r="J539" s="32" t="n">
        <f aca="false">Data_Prices!J539/Data_Prices!J538-1</f>
        <v>-0.00660703394998985</v>
      </c>
      <c r="K539" s="32" t="n">
        <f aca="false">Data_Prices!K539/Data_Prices!K538-1</f>
        <v>-0.0185598680187162</v>
      </c>
      <c r="L539" s="32" t="n">
        <f aca="false">Data_Prices!L539/Data_Prices!L538-1</f>
        <v>-0.010063845904123</v>
      </c>
      <c r="M539" s="32" t="n">
        <f aca="false">Data_Prices!M539/Data_Prices!M538-1</f>
        <v>-0.00228716645489202</v>
      </c>
      <c r="N539" s="32" t="n">
        <f aca="false">Data_Prices!N539/Data_Prices!N538-1</f>
        <v>-0.0238241434360801</v>
      </c>
      <c r="O539" s="32" t="n">
        <f aca="false">Data_Prices!O539/Data_Prices!O538-1</f>
        <v>-0.00241725548531047</v>
      </c>
      <c r="P539" s="32" t="n">
        <f aca="false">Data_Prices!P539/Data_Prices!P538-1</f>
        <v>-0.00341942336087875</v>
      </c>
      <c r="Q539" s="32" t="n">
        <f aca="false">Data_Prices!Q539/Data_Prices!Q538-1</f>
        <v>-0.171870643992194</v>
      </c>
      <c r="R539" s="32" t="n">
        <f aca="false">Data_Prices!R539/Data_Prices!R538-1</f>
        <v>-0.0291350744172985</v>
      </c>
      <c r="S539" s="32" t="n">
        <f aca="false">Data_Prices!S539/Data_Prices!S538-1</f>
        <v>-0.0469785214631291</v>
      </c>
      <c r="T539" s="32" t="n">
        <f aca="false">AVERAGE(D539:S539)</f>
        <v>-0.0197912624668983</v>
      </c>
      <c r="U539" s="32" t="n">
        <f aca="false">AVERAGE(J539:S539)</f>
        <v>-0.0315162976482612</v>
      </c>
      <c r="V539" s="32" t="n">
        <f aca="false">AVERAGE(D539:I539)</f>
        <v>-0.000249537164626871</v>
      </c>
      <c r="W539" s="32" t="n">
        <f aca="false">AVERAGE(K539,Q539,R539)</f>
        <v>-0.0731885288094029</v>
      </c>
      <c r="X539" s="32" t="n">
        <f aca="false">AVERAGE(K539,L539,N539,O539,P539,Q539,R539,S539)</f>
        <v>-0.0382835970097163</v>
      </c>
      <c r="Y539" s="32" t="n">
        <f aca="false">AVERAGE(J539,L539,M539,N539,O539,P539,Q539,R539,S539)</f>
        <v>-0.0329559009404329</v>
      </c>
      <c r="Z539" s="32" t="n">
        <f aca="false">U539-V539</f>
        <v>-0.0312667604836343</v>
      </c>
      <c r="AA539" s="32" t="n">
        <f aca="false">W539-V539</f>
        <v>-0.072938991644776</v>
      </c>
    </row>
    <row r="540" customFormat="false" ht="15" hidden="false" customHeight="false" outlineLevel="0" collapsed="false">
      <c r="A540" s="28" t="n">
        <f aca="false">Data_Prices!A540</f>
        <v>45593</v>
      </c>
      <c r="B540" s="32" t="n">
        <f aca="false">Data_Prices!B540/Data_Prices!B539-1</f>
        <v>0.00654858400052949</v>
      </c>
      <c r="C540" s="32" t="n">
        <f aca="false">Data_Prices!C540/Data_Prices!C539-1</f>
        <v>0.00670694984899378</v>
      </c>
      <c r="D540" s="32" t="n">
        <f aca="false">Data_Prices!D540/Data_Prices!D539-1</f>
        <v>-0.0150243436183877</v>
      </c>
      <c r="E540" s="32" t="n">
        <f aca="false">Data_Prices!E540/Data_Prices!E539-1</f>
        <v>-0.00340915770293304</v>
      </c>
      <c r="F540" s="32" t="n">
        <f aca="false">Data_Prices!F540/Data_Prices!F539-1</f>
        <v>0.00095281306715056</v>
      </c>
      <c r="G540" s="32" t="n">
        <f aca="false">Data_Prices!G540/Data_Prices!G539-1</f>
        <v>0.0337651483493524</v>
      </c>
      <c r="H540" s="32" t="n">
        <f aca="false">Data_Prices!H540/Data_Prices!H539-1</f>
        <v>-0.0465840147718279</v>
      </c>
      <c r="I540" s="32" t="n">
        <f aca="false">Data_Prices!I540/Data_Prices!I539-1</f>
        <v>-0.0358007260992336</v>
      </c>
      <c r="J540" s="32" t="n">
        <f aca="false">Data_Prices!J540/Data_Prices!J539-1</f>
        <v>-0.011630683174733</v>
      </c>
      <c r="K540" s="32" t="n">
        <f aca="false">Data_Prices!K540/Data_Prices!K539-1</f>
        <v>0.000173892881984772</v>
      </c>
      <c r="L540" s="32" t="n">
        <f aca="false">Data_Prices!L540/Data_Prices!L539-1</f>
        <v>-0.0669363066608367</v>
      </c>
      <c r="M540" s="32" t="n">
        <f aca="false">Data_Prices!M540/Data_Prices!M539-1</f>
        <v>-0.0245033112582781</v>
      </c>
      <c r="N540" s="32" t="n">
        <f aca="false">Data_Prices!N540/Data_Prices!N539-1</f>
        <v>0.0265442193986665</v>
      </c>
      <c r="O540" s="32" t="n">
        <f aca="false">Data_Prices!O540/Data_Prices!O539-1</f>
        <v>0.0180801491146319</v>
      </c>
      <c r="P540" s="32" t="n">
        <f aca="false">Data_Prices!P540/Data_Prices!P539-1</f>
        <v>0.00132567388422444</v>
      </c>
      <c r="Q540" s="32" t="n">
        <f aca="false">Data_Prices!Q540/Data_Prices!Q539-1</f>
        <v>0.0760814677663693</v>
      </c>
      <c r="R540" s="32" t="n">
        <f aca="false">Data_Prices!R540/Data_Prices!R539-1</f>
        <v>-0.0345650444717623</v>
      </c>
      <c r="S540" s="32" t="n">
        <f aca="false">Data_Prices!S540/Data_Prices!S539-1</f>
        <v>0.0538858260714921</v>
      </c>
      <c r="T540" s="32" t="n">
        <f aca="false">AVERAGE(D540:S540)</f>
        <v>-0.00172777482650754</v>
      </c>
      <c r="U540" s="32" t="n">
        <f aca="false">AVERAGE(J540:S540)</f>
        <v>0.00384558835517587</v>
      </c>
      <c r="V540" s="32" t="n">
        <f aca="false">AVERAGE(D540:I540)</f>
        <v>-0.0110167134626465</v>
      </c>
      <c r="W540" s="32" t="n">
        <f aca="false">AVERAGE(K540,Q540,R540)</f>
        <v>0.0138967720588639</v>
      </c>
      <c r="X540" s="32" t="n">
        <f aca="false">AVERAGE(K540,L540,N540,O540,P540,Q540,R540,S540)</f>
        <v>0.00932373474809622</v>
      </c>
      <c r="Y540" s="32" t="n">
        <f aca="false">AVERAGE(J540,L540,M540,N540,O540,P540,Q540,R540,S540)</f>
        <v>0.00425355451886377</v>
      </c>
      <c r="Z540" s="32" t="n">
        <f aca="false">U540-V540</f>
        <v>0.0148623018178224</v>
      </c>
      <c r="AA540" s="32" t="n">
        <f aca="false">W540-V540</f>
        <v>0.0249134855215104</v>
      </c>
    </row>
    <row r="541" customFormat="false" ht="15" hidden="false" customHeight="false" outlineLevel="0" collapsed="false">
      <c r="A541" s="28" t="n">
        <f aca="false">Data_Prices!A541</f>
        <v>45594</v>
      </c>
      <c r="B541" s="32" t="n">
        <f aca="false">Data_Prices!B541/Data_Prices!B540-1</f>
        <v>0.00524669103070563</v>
      </c>
      <c r="C541" s="32" t="n">
        <f aca="false">Data_Prices!C541/Data_Prices!C540-1</f>
        <v>0.00640619515716367</v>
      </c>
      <c r="D541" s="32" t="n">
        <f aca="false">Data_Prices!D541/Data_Prices!D540-1</f>
        <v>0.00436681222707436</v>
      </c>
      <c r="E541" s="32" t="n">
        <f aca="false">Data_Prices!E541/Data_Prices!E540-1</f>
        <v>0.0175169566499558</v>
      </c>
      <c r="F541" s="32" t="n">
        <f aca="false">Data_Prices!F541/Data_Prices!F540-1</f>
        <v>0.0745659761570192</v>
      </c>
      <c r="G541" s="32" t="n">
        <f aca="false">Data_Prices!G541/Data_Prices!G540-1</f>
        <v>0.0307219662058371</v>
      </c>
      <c r="H541" s="32" t="n">
        <f aca="false">Data_Prices!H541/Data_Prices!H540-1</f>
        <v>0.0196989818503763</v>
      </c>
      <c r="I541" s="32" t="n">
        <f aca="false">Data_Prices!I541/Data_Prices!I540-1</f>
        <v>-0.0121326221106579</v>
      </c>
      <c r="J541" s="32" t="n">
        <f aca="false">Data_Prices!J541/Data_Prices!J540-1</f>
        <v>0.00672924287390431</v>
      </c>
      <c r="K541" s="32" t="n">
        <f aca="false">Data_Prices!K541/Data_Prices!K540-1</f>
        <v>0.0160822949869601</v>
      </c>
      <c r="L541" s="32" t="n">
        <f aca="false">Data_Prices!L541/Data_Prices!L540-1</f>
        <v>0.00941148904596423</v>
      </c>
      <c r="M541" s="32" t="n">
        <f aca="false">Data_Prices!M541/Data_Prices!M540-1</f>
        <v>-0.019635490103922</v>
      </c>
      <c r="N541" s="32" t="n">
        <f aca="false">Data_Prices!N541/Data_Prices!N540-1</f>
        <v>0.038970588235294</v>
      </c>
      <c r="O541" s="32" t="n">
        <f aca="false">Data_Prices!O541/Data_Prices!O540-1</f>
        <v>0.0212376418894176</v>
      </c>
      <c r="P541" s="32" t="n">
        <f aca="false">Data_Prices!P541/Data_Prices!P540-1</f>
        <v>0.017782046622709</v>
      </c>
      <c r="Q541" s="32" t="n">
        <f aca="false">Data_Prices!Q541/Data_Prices!Q540-1</f>
        <v>0.062255592053809</v>
      </c>
      <c r="R541" s="32" t="n">
        <f aca="false">Data_Prices!R541/Data_Prices!R540-1</f>
        <v>0.0264399670436672</v>
      </c>
      <c r="S541" s="32" t="n">
        <f aca="false">Data_Prices!S541/Data_Prices!S540-1</f>
        <v>0.00199429325315248</v>
      </c>
      <c r="T541" s="32" t="n">
        <f aca="false">AVERAGE(D541:S541)</f>
        <v>0.0197503585550351</v>
      </c>
      <c r="U541" s="32" t="n">
        <f aca="false">AVERAGE(J541:S541)</f>
        <v>0.0181267665900956</v>
      </c>
      <c r="V541" s="32" t="n">
        <f aca="false">AVERAGE(D541:I541)</f>
        <v>0.0224563451632675</v>
      </c>
      <c r="W541" s="32" t="n">
        <f aca="false">AVERAGE(K541,Q541,R541)</f>
        <v>0.0349259513614788</v>
      </c>
      <c r="X541" s="32" t="n">
        <f aca="false">AVERAGE(K541,L541,N541,O541,P541,Q541,R541,S541)</f>
        <v>0.0242717391413717</v>
      </c>
      <c r="Y541" s="32" t="n">
        <f aca="false">AVERAGE(J541,L541,M541,N541,O541,P541,Q541,R541,S541)</f>
        <v>0.0183539301015551</v>
      </c>
      <c r="Z541" s="32" t="n">
        <f aca="false">U541-V541</f>
        <v>-0.00432957857317188</v>
      </c>
      <c r="AA541" s="32" t="n">
        <f aca="false">W541-V541</f>
        <v>0.0124696061982113</v>
      </c>
    </row>
    <row r="542" customFormat="false" ht="15" hidden="false" customHeight="false" outlineLevel="0" collapsed="false">
      <c r="A542" s="28" t="n">
        <f aca="false">Data_Prices!A542</f>
        <v>45595</v>
      </c>
      <c r="B542" s="32" t="n">
        <f aca="false">Data_Prices!B542/Data_Prices!B541-1</f>
        <v>-0.00514982517160978</v>
      </c>
      <c r="C542" s="32" t="n">
        <f aca="false">Data_Prices!C542/Data_Prices!C541-1</f>
        <v>-0.00198508009414322</v>
      </c>
      <c r="D542" s="32" t="n">
        <f aca="false">Data_Prices!D542/Data_Prices!D541-1</f>
        <v>0.00769927536231885</v>
      </c>
      <c r="E542" s="32" t="n">
        <f aca="false">Data_Prices!E542/Data_Prices!E541-1</f>
        <v>0.0257361465337351</v>
      </c>
      <c r="F542" s="32" t="n">
        <f aca="false">Data_Prices!F542/Data_Prices!F541-1</f>
        <v>0.0213869906352824</v>
      </c>
      <c r="G542" s="32" t="n">
        <f aca="false">Data_Prices!G542/Data_Prices!G541-1</f>
        <v>-0.00698093968154367</v>
      </c>
      <c r="H542" s="32" t="n">
        <f aca="false">Data_Prices!H542/Data_Prices!H541-1</f>
        <v>0.00173648795311476</v>
      </c>
      <c r="I542" s="32" t="n">
        <f aca="false">Data_Prices!I542/Data_Prices!I541-1</f>
        <v>0.012916887241927</v>
      </c>
      <c r="J542" s="32" t="n">
        <f aca="false">Data_Prices!J542/Data_Prices!J541-1</f>
        <v>-0.00438761868851345</v>
      </c>
      <c r="K542" s="32" t="n">
        <f aca="false">Data_Prices!K542/Data_Prices!K541-1</f>
        <v>-0.00962498217595897</v>
      </c>
      <c r="L542" s="32" t="n">
        <f aca="false">Data_Prices!L542/Data_Prices!L541-1</f>
        <v>-0.0138502011761066</v>
      </c>
      <c r="M542" s="32" t="n">
        <f aca="false">Data_Prices!M542/Data_Prices!M541-1</f>
        <v>0.0477813881638525</v>
      </c>
      <c r="N542" s="32" t="n">
        <f aca="false">Data_Prices!N542/Data_Prices!N541-1</f>
        <v>-0.00554376032083026</v>
      </c>
      <c r="O542" s="32" t="n">
        <f aca="false">Data_Prices!O542/Data_Prices!O541-1</f>
        <v>-0.0170311939763356</v>
      </c>
      <c r="P542" s="32" t="n">
        <f aca="false">Data_Prices!P542/Data_Prices!P541-1</f>
        <v>0.00415742086872251</v>
      </c>
      <c r="Q542" s="32" t="n">
        <f aca="false">Data_Prices!Q542/Data_Prices!Q541-1</f>
        <v>0.107347960536003</v>
      </c>
      <c r="R542" s="32" t="n">
        <f aca="false">Data_Prices!R542/Data_Prices!R541-1</f>
        <v>-0.00175131348511393</v>
      </c>
      <c r="S542" s="32" t="n">
        <f aca="false">Data_Prices!S542/Data_Prices!S541-1</f>
        <v>-0.0244962949353911</v>
      </c>
      <c r="T542" s="32" t="n">
        <f aca="false">AVERAGE(D542:S542)</f>
        <v>0.00906851580344769</v>
      </c>
      <c r="U542" s="32" t="n">
        <f aca="false">AVERAGE(J542:S542)</f>
        <v>0.00826014048103286</v>
      </c>
      <c r="V542" s="32" t="n">
        <f aca="false">AVERAGE(D542:I542)</f>
        <v>0.0104158080074724</v>
      </c>
      <c r="W542" s="32" t="n">
        <f aca="false">AVERAGE(K542,Q542,R542)</f>
        <v>0.0319905549583102</v>
      </c>
      <c r="X542" s="32" t="n">
        <f aca="false">AVERAGE(K542,L542,N542,O542,P542,Q542,R542,S542)</f>
        <v>0.0049009544168737</v>
      </c>
      <c r="Y542" s="32" t="n">
        <f aca="false">AVERAGE(J542,L542,M542,N542,O542,P542,Q542,R542,S542)</f>
        <v>0.0102473763318097</v>
      </c>
      <c r="Z542" s="32" t="n">
        <f aca="false">U542-V542</f>
        <v>-0.00215566752643954</v>
      </c>
      <c r="AA542" s="32" t="n">
        <f aca="false">W542-V542</f>
        <v>0.0215747469508378</v>
      </c>
    </row>
    <row r="543" customFormat="false" ht="15" hidden="false" customHeight="false" outlineLevel="0" collapsed="false">
      <c r="A543" s="28" t="n">
        <f aca="false">Data_Prices!A543</f>
        <v>45596</v>
      </c>
      <c r="B543" s="32" t="n">
        <f aca="false">Data_Prices!B543/Data_Prices!B542-1</f>
        <v>-0.00556677355145774</v>
      </c>
      <c r="C543" s="32" t="n">
        <f aca="false">Data_Prices!C543/Data_Prices!C542-1</f>
        <v>-0.00265716621684586</v>
      </c>
      <c r="D543" s="32" t="n">
        <f aca="false">Data_Prices!D543/Data_Prices!D542-1</f>
        <v>0.00233707865168542</v>
      </c>
      <c r="E543" s="32" t="n">
        <f aca="false">Data_Prices!E543/Data_Prices!E542-1</f>
        <v>-0.0190438517179022</v>
      </c>
      <c r="F543" s="32" t="n">
        <f aca="false">Data_Prices!F543/Data_Prices!F542-1</f>
        <v>-0.025482178994755</v>
      </c>
      <c r="G543" s="32" t="n">
        <f aca="false">Data_Prices!G543/Data_Prices!G542-1</f>
        <v>-0.00308056872037921</v>
      </c>
      <c r="H543" s="32" t="n">
        <f aca="false">Data_Prices!H543/Data_Prices!H542-1</f>
        <v>0.0477248104008667</v>
      </c>
      <c r="I543" s="32" t="n">
        <f aca="false">Data_Prices!I543/Data_Prices!I542-1</f>
        <v>-0.0166196299780497</v>
      </c>
      <c r="J543" s="32" t="n">
        <f aca="false">Data_Prices!J543/Data_Prices!J542-1</f>
        <v>0.0200723016009641</v>
      </c>
      <c r="K543" s="32" t="n">
        <f aca="false">Data_Prices!K543/Data_Prices!K542-1</f>
        <v>-0.00937297530775316</v>
      </c>
      <c r="L543" s="32" t="n">
        <f aca="false">Data_Prices!L543/Data_Prices!L542-1</f>
        <v>-0.0013730874852883</v>
      </c>
      <c r="M543" s="32" t="n">
        <f aca="false">Data_Prices!M543/Data_Prices!M542-1</f>
        <v>-0.00157600406710723</v>
      </c>
      <c r="N543" s="32" t="n">
        <f aca="false">Data_Prices!N543/Data_Prices!N542-1</f>
        <v>0.0361760170798244</v>
      </c>
      <c r="O543" s="32" t="n">
        <f aca="false">Data_Prices!O543/Data_Prices!O542-1</f>
        <v>-0.0129491154477475</v>
      </c>
      <c r="P543" s="32" t="n">
        <f aca="false">Data_Prices!P543/Data_Prices!P542-1</f>
        <v>-0.0193294386588773</v>
      </c>
      <c r="Q543" s="32" t="n">
        <f aca="false">Data_Prices!Q543/Data_Prices!Q542-1</f>
        <v>-0.00398936170212771</v>
      </c>
      <c r="R543" s="32" t="n">
        <f aca="false">Data_Prices!R543/Data_Prices!R542-1</f>
        <v>0.00643274853801157</v>
      </c>
      <c r="S543" s="32" t="n">
        <f aca="false">Data_Prices!S543/Data_Prices!S542-1</f>
        <v>-0.0147215769979283</v>
      </c>
      <c r="T543" s="32" t="n">
        <f aca="false">AVERAGE(D543:S543)</f>
        <v>-0.00092467705041021</v>
      </c>
      <c r="U543" s="32" t="n">
        <f aca="false">AVERAGE(J543:S543)</f>
        <v>-6.30492448029374E-005</v>
      </c>
      <c r="V543" s="32" t="n">
        <f aca="false">AVERAGE(D543:I543)</f>
        <v>-0.002360723393089</v>
      </c>
      <c r="W543" s="32" t="n">
        <f aca="false">AVERAGE(K543,Q543,R543)</f>
        <v>-0.00230986282395644</v>
      </c>
      <c r="X543" s="32" t="n">
        <f aca="false">AVERAGE(K543,L543,N543,O543,P543,Q543,R543,S543)</f>
        <v>-0.00239084874773578</v>
      </c>
      <c r="Y543" s="32" t="n">
        <f aca="false">AVERAGE(J543,L543,M543,N543,O543,P543,Q543,R543,S543)</f>
        <v>0.000971386984413754</v>
      </c>
      <c r="Z543" s="32" t="n">
        <f aca="false">U543-V543</f>
        <v>0.00229767414828606</v>
      </c>
      <c r="AA543" s="32" t="n">
        <f aca="false">W543-V543</f>
        <v>5.08605691325603E-005</v>
      </c>
    </row>
    <row r="544" customFormat="false" ht="15" hidden="false" customHeight="false" outlineLevel="0" collapsed="false">
      <c r="A544" s="28" t="n">
        <f aca="false">Data_Prices!A544</f>
        <v>45597</v>
      </c>
      <c r="B544" s="32" t="n">
        <f aca="false">Data_Prices!B544/Data_Prices!B543-1</f>
        <v>0.00409000489561184</v>
      </c>
      <c r="C544" s="32" t="n">
        <f aca="false">Data_Prices!C544/Data_Prices!C543-1</f>
        <v>0.00591466921705552</v>
      </c>
      <c r="D544" s="32" t="n">
        <f aca="false">Data_Prices!D544/Data_Prices!D543-1</f>
        <v>0.00606821510776312</v>
      </c>
      <c r="E544" s="32" t="n">
        <f aca="false">Data_Prices!E544/Data_Prices!E543-1</f>
        <v>0.00933233481191298</v>
      </c>
      <c r="F544" s="32" t="n">
        <f aca="false">Data_Prices!F544/Data_Prices!F543-1</f>
        <v>0.0100016952025768</v>
      </c>
      <c r="G544" s="32" t="n">
        <f aca="false">Data_Prices!G544/Data_Prices!G543-1</f>
        <v>0.00475398145947237</v>
      </c>
      <c r="H544" s="32" t="n">
        <f aca="false">Data_Prices!H544/Data_Prices!H543-1</f>
        <v>0.00113747996484159</v>
      </c>
      <c r="I544" s="32" t="n">
        <f aca="false">Data_Prices!I544/Data_Prices!I543-1</f>
        <v>0.0169005102040818</v>
      </c>
      <c r="J544" s="32" t="n">
        <f aca="false">Data_Prices!J544/Data_Prices!J543-1</f>
        <v>0.0158971243418389</v>
      </c>
      <c r="K544" s="32" t="n">
        <f aca="false">Data_Prices!K544/Data_Prices!K543-1</f>
        <v>0.00491250508691365</v>
      </c>
      <c r="L544" s="32" t="n">
        <f aca="false">Data_Prices!L544/Data_Prices!L543-1</f>
        <v>0.00821056766843453</v>
      </c>
      <c r="M544" s="32" t="n">
        <f aca="false">Data_Prices!M544/Data_Prices!M543-1</f>
        <v>0.0157849177656704</v>
      </c>
      <c r="N544" s="32" t="n">
        <f aca="false">Data_Prices!N544/Data_Prices!N543-1</f>
        <v>0.0378891941391941</v>
      </c>
      <c r="O544" s="32" t="n">
        <f aca="false">Data_Prices!O544/Data_Prices!O543-1</f>
        <v>0.0103473762010347</v>
      </c>
      <c r="P544" s="32" t="n">
        <f aca="false">Data_Prices!P544/Data_Prices!P543-1</f>
        <v>0.000518013934574846</v>
      </c>
      <c r="Q544" s="32" t="n">
        <f aca="false">Data_Prices!Q544/Data_Prices!Q543-1</f>
        <v>0.0100133511348464</v>
      </c>
      <c r="R544" s="32" t="n">
        <f aca="false">Data_Prices!R544/Data_Prices!R543-1</f>
        <v>0.00929692039511898</v>
      </c>
      <c r="S544" s="32" t="n">
        <f aca="false">Data_Prices!S544/Data_Prices!S543-1</f>
        <v>0.00383892446398426</v>
      </c>
      <c r="T544" s="32" t="n">
        <f aca="false">AVERAGE(D544:S544)</f>
        <v>0.0103064444926412</v>
      </c>
      <c r="U544" s="32" t="n">
        <f aca="false">AVERAGE(J544:S544)</f>
        <v>0.0116708895131611</v>
      </c>
      <c r="V544" s="32" t="n">
        <f aca="false">AVERAGE(D544:I544)</f>
        <v>0.00803236945844144</v>
      </c>
      <c r="W544" s="32" t="n">
        <f aca="false">AVERAGE(K544,Q544,R544)</f>
        <v>0.008074258872293</v>
      </c>
      <c r="X544" s="32" t="n">
        <f aca="false">AVERAGE(K544,L544,N544,O544,P544,Q544,R544,S544)</f>
        <v>0.0106283566280127</v>
      </c>
      <c r="Y544" s="32" t="n">
        <f aca="false">AVERAGE(J544,L544,M544,N544,O544,P544,Q544,R544,S544)</f>
        <v>0.0124218211160774</v>
      </c>
      <c r="Z544" s="32" t="n">
        <f aca="false">U544-V544</f>
        <v>0.00363852005471963</v>
      </c>
      <c r="AA544" s="32" t="n">
        <f aca="false">W544-V544</f>
        <v>4.18894138515622E-005</v>
      </c>
    </row>
    <row r="545" customFormat="false" ht="15" hidden="false" customHeight="false" outlineLevel="0" collapsed="false">
      <c r="A545" s="28" t="n">
        <f aca="false">Data_Prices!A545</f>
        <v>45600</v>
      </c>
      <c r="B545" s="32" t="n">
        <f aca="false">Data_Prices!B545/Data_Prices!B544-1</f>
        <v>-0.0127137734603064</v>
      </c>
      <c r="C545" s="32" t="n">
        <f aca="false">Data_Prices!C545/Data_Prices!C544-1</f>
        <v>-0.0133743436056178</v>
      </c>
      <c r="D545" s="32" t="n">
        <f aca="false">Data_Prices!D545/Data_Prices!D544-1</f>
        <v>0.00350606132636089</v>
      </c>
      <c r="E545" s="32" t="n">
        <f aca="false">Data_Prices!E545/Data_Prices!E544-1</f>
        <v>-0.0224873009531419</v>
      </c>
      <c r="F545" s="32" t="n">
        <f aca="false">Data_Prices!F545/Data_Prices!F544-1</f>
        <v>-0.0364635783820072</v>
      </c>
      <c r="G545" s="32" t="n">
        <f aca="false">Data_Prices!G545/Data_Prices!G544-1</f>
        <v>-0.0176642220645058</v>
      </c>
      <c r="H545" s="32" t="n">
        <f aca="false">Data_Prices!H545/Data_Prices!H544-1</f>
        <v>-0.0176109074007127</v>
      </c>
      <c r="I545" s="32" t="n">
        <f aca="false">Data_Prices!I545/Data_Prices!I544-1</f>
        <v>-0.00324030521584617</v>
      </c>
      <c r="J545" s="32" t="n">
        <f aca="false">Data_Prices!J545/Data_Prices!J544-1</f>
        <v>-0.0194026379613941</v>
      </c>
      <c r="K545" s="32" t="n">
        <f aca="false">Data_Prices!K545/Data_Prices!K544-1</f>
        <v>-0.0115414653900667</v>
      </c>
      <c r="L545" s="32" t="n">
        <f aca="false">Data_Prices!L545/Data_Prices!L544-1</f>
        <v>-0.0248986907730674</v>
      </c>
      <c r="M545" s="32" t="n">
        <f aca="false">Data_Prices!M545/Data_Prices!M544-1</f>
        <v>-0.0425585242368038</v>
      </c>
      <c r="N545" s="32" t="n">
        <f aca="false">Data_Prices!N545/Data_Prices!N544-1</f>
        <v>-0.0110290062865336</v>
      </c>
      <c r="O545" s="32" t="n">
        <f aca="false">Data_Prices!O545/Data_Prices!O544-1</f>
        <v>0.00109729334308706</v>
      </c>
      <c r="P545" s="32" t="n">
        <f aca="false">Data_Prices!P545/Data_Prices!P544-1</f>
        <v>-0.0157394703461131</v>
      </c>
      <c r="Q545" s="32" t="n">
        <f aca="false">Data_Prices!Q545/Data_Prices!Q544-1</f>
        <v>-0.00647719762062127</v>
      </c>
      <c r="R545" s="32" t="n">
        <f aca="false">Data_Prices!R545/Data_Prices!R544-1</f>
        <v>-0.00913932066781797</v>
      </c>
      <c r="S545" s="32" t="n">
        <f aca="false">Data_Prices!S545/Data_Prices!S544-1</f>
        <v>-0.000967962043193382</v>
      </c>
      <c r="T545" s="32" t="n">
        <f aca="false">AVERAGE(D545:S545)</f>
        <v>-0.0146635771670236</v>
      </c>
      <c r="U545" s="32" t="n">
        <f aca="false">AVERAGE(J545:S545)</f>
        <v>-0.0140656981982524</v>
      </c>
      <c r="V545" s="32" t="n">
        <f aca="false">AVERAGE(D545:I545)</f>
        <v>-0.0156600421149755</v>
      </c>
      <c r="W545" s="32" t="n">
        <f aca="false">AVERAGE(K545,Q545,R545)</f>
        <v>-0.00905266122616866</v>
      </c>
      <c r="X545" s="32" t="n">
        <f aca="false">AVERAGE(K545,L545,N545,O545,P545,Q545,R545,S545)</f>
        <v>-0.0098369774730408</v>
      </c>
      <c r="Y545" s="32" t="n">
        <f aca="false">AVERAGE(J545,L545,M545,N545,O545,P545,Q545,R545,S545)</f>
        <v>-0.0143461685102731</v>
      </c>
      <c r="Z545" s="32" t="n">
        <f aca="false">U545-V545</f>
        <v>0.00159434391672305</v>
      </c>
      <c r="AA545" s="32" t="n">
        <f aca="false">W545-V545</f>
        <v>0.00660738088880682</v>
      </c>
    </row>
    <row r="546" customFormat="false" ht="15" hidden="false" customHeight="false" outlineLevel="0" collapsed="false">
      <c r="A546" s="28" t="n">
        <f aca="false">Data_Prices!A546</f>
        <v>45601</v>
      </c>
      <c r="B546" s="32" t="n">
        <f aca="false">Data_Prices!B546/Data_Prices!B545-1</f>
        <v>0.00908300983315513</v>
      </c>
      <c r="C546" s="32" t="n">
        <f aca="false">Data_Prices!C546/Data_Prices!C545-1</f>
        <v>0.0071741650124566</v>
      </c>
      <c r="D546" s="32" t="n">
        <f aca="false">Data_Prices!D546/Data_Prices!D545-1</f>
        <v>-0.00556641203292474</v>
      </c>
      <c r="E546" s="32" t="n">
        <f aca="false">Data_Prices!E546/Data_Prices!E545-1</f>
        <v>0.0110352075669995</v>
      </c>
      <c r="F546" s="32" t="n">
        <f aca="false">Data_Prices!F546/Data_Prices!F545-1</f>
        <v>-0.000696773069721046</v>
      </c>
      <c r="G546" s="32" t="n">
        <f aca="false">Data_Prices!G546/Data_Prices!G545-1</f>
        <v>0.014851087741832</v>
      </c>
      <c r="H546" s="32" t="n">
        <f aca="false">Data_Prices!H546/Data_Prices!H545-1</f>
        <v>0.0363789296603934</v>
      </c>
      <c r="I546" s="32" t="n">
        <f aca="false">Data_Prices!I546/Data_Prices!I545-1</f>
        <v>-0.00115352348993292</v>
      </c>
      <c r="J546" s="32" t="n">
        <f aca="false">Data_Prices!J546/Data_Prices!J545-1</f>
        <v>-0.0140606471285787</v>
      </c>
      <c r="K546" s="32" t="n">
        <f aca="false">Data_Prices!K546/Data_Prices!K545-1</f>
        <v>0.0126565609270748</v>
      </c>
      <c r="L546" s="32" t="n">
        <f aca="false">Data_Prices!L546/Data_Prices!L545-1</f>
        <v>0.0253746253746254</v>
      </c>
      <c r="M546" s="32" t="n">
        <f aca="false">Data_Prices!M546/Data_Prices!M545-1</f>
        <v>-0.0294240837696336</v>
      </c>
      <c r="N546" s="32" t="n">
        <f aca="false">Data_Prices!N546/Data_Prices!N545-1</f>
        <v>-0.000223040035686406</v>
      </c>
      <c r="O546" s="32" t="n">
        <f aca="false">Data_Prices!O546/Data_Prices!O545-1</f>
        <v>0.011691633175009</v>
      </c>
      <c r="P546" s="32" t="n">
        <f aca="false">Data_Prices!P546/Data_Prices!P545-1</f>
        <v>0.0064701086241814</v>
      </c>
      <c r="Q546" s="32" t="n">
        <f aca="false">Data_Prices!Q546/Data_Prices!Q545-1</f>
        <v>-0.0158328898350186</v>
      </c>
      <c r="R546" s="32" t="n">
        <f aca="false">Data_Prices!R546/Data_Prices!R545-1</f>
        <v>0.00944149901953661</v>
      </c>
      <c r="S546" s="32" t="n">
        <f aca="false">Data_Prices!S546/Data_Prices!S545-1</f>
        <v>0.00457447822357771</v>
      </c>
      <c r="T546" s="32" t="n">
        <f aca="false">AVERAGE(D546:S546)</f>
        <v>0.00409479755948336</v>
      </c>
      <c r="U546" s="32" t="n">
        <f aca="false">AVERAGE(J546:S546)</f>
        <v>0.00106682445750876</v>
      </c>
      <c r="V546" s="32" t="n">
        <f aca="false">AVERAGE(D546:I546)</f>
        <v>0.00914141939610769</v>
      </c>
      <c r="W546" s="32" t="n">
        <f aca="false">AVERAGE(K546,Q546,R546)</f>
        <v>0.00208839003719759</v>
      </c>
      <c r="X546" s="32" t="n">
        <f aca="false">AVERAGE(K546,L546,N546,O546,P546,Q546,R546,S546)</f>
        <v>0.00676912193416249</v>
      </c>
      <c r="Y546" s="32" t="n">
        <f aca="false">AVERAGE(J546,L546,M546,N546,O546,P546,Q546,R546,S546)</f>
        <v>-0.000220924039109684</v>
      </c>
      <c r="Z546" s="32" t="n">
        <f aca="false">U546-V546</f>
        <v>-0.00807459493859892</v>
      </c>
      <c r="AA546" s="32" t="n">
        <f aca="false">W546-V546</f>
        <v>-0.00705302935891009</v>
      </c>
    </row>
    <row r="547" customFormat="false" ht="15" hidden="false" customHeight="false" outlineLevel="0" collapsed="false">
      <c r="A547" s="28" t="n">
        <f aca="false">Data_Prices!A547</f>
        <v>45602</v>
      </c>
      <c r="B547" s="32" t="n">
        <f aca="false">Data_Prices!B547/Data_Prices!B546-1</f>
        <v>0.0111818711204172</v>
      </c>
      <c r="C547" s="32" t="n">
        <f aca="false">Data_Prices!C547/Data_Prices!C546-1</f>
        <v>0.015491725033455</v>
      </c>
      <c r="D547" s="32" t="n">
        <f aca="false">Data_Prices!D547/Data_Prices!D546-1</f>
        <v>0.00321562555826849</v>
      </c>
      <c r="E547" s="32" t="n">
        <f aca="false">Data_Prices!E547/Data_Prices!E546-1</f>
        <v>0.00462000462000467</v>
      </c>
      <c r="F547" s="32" t="n">
        <f aca="false">Data_Prices!F547/Data_Prices!F546-1</f>
        <v>0.0166470562600778</v>
      </c>
      <c r="G547" s="32" t="n">
        <f aca="false">Data_Prices!G547/Data_Prices!G546-1</f>
        <v>0.00371776617623798</v>
      </c>
      <c r="H547" s="32" t="n">
        <f aca="false">Data_Prices!H547/Data_Prices!H546-1</f>
        <v>0.0137465760373339</v>
      </c>
      <c r="I547" s="32" t="n">
        <f aca="false">Data_Prices!I547/Data_Prices!I546-1</f>
        <v>0.0253018372703413</v>
      </c>
      <c r="J547" s="32" t="n">
        <f aca="false">Data_Prices!J547/Data_Prices!J546-1</f>
        <v>-0.00718213058419248</v>
      </c>
      <c r="K547" s="32" t="n">
        <f aca="false">Data_Prices!K547/Data_Prices!K546-1</f>
        <v>0.0109523327890879</v>
      </c>
      <c r="L547" s="32" t="n">
        <f aca="false">Data_Prices!L547/Data_Prices!L546-1</f>
        <v>0.0167965705378019</v>
      </c>
      <c r="M547" s="32" t="n">
        <f aca="false">Data_Prices!M547/Data_Prices!M546-1</f>
        <v>0.0240586902578488</v>
      </c>
      <c r="N547" s="32" t="n">
        <f aca="false">Data_Prices!N547/Data_Prices!N546-1</f>
        <v>0.0196319018404909</v>
      </c>
      <c r="O547" s="32" t="n">
        <f aca="false">Data_Prices!O547/Data_Prices!O546-1</f>
        <v>0.00126399422174073</v>
      </c>
      <c r="P547" s="32" t="n">
        <f aca="false">Data_Prices!P547/Data_Prices!P546-1</f>
        <v>-0.010165416677555</v>
      </c>
      <c r="Q547" s="32" t="n">
        <f aca="false">Data_Prices!Q547/Data_Prices!Q546-1</f>
        <v>0.0258212788968499</v>
      </c>
      <c r="R547" s="32" t="n">
        <f aca="false">Data_Prices!R547/Data_Prices!R546-1</f>
        <v>0.00733865745737083</v>
      </c>
      <c r="S547" s="32" t="n">
        <f aca="false">Data_Prices!S547/Data_Prices!S546-1</f>
        <v>0.00771590298200686</v>
      </c>
      <c r="T547" s="32" t="n">
        <f aca="false">AVERAGE(D547:S547)</f>
        <v>0.0102175404777322</v>
      </c>
      <c r="U547" s="32" t="n">
        <f aca="false">AVERAGE(J547:S547)</f>
        <v>0.00962317817214504</v>
      </c>
      <c r="V547" s="32" t="n">
        <f aca="false">AVERAGE(D547:I547)</f>
        <v>0.0112081443203773</v>
      </c>
      <c r="W547" s="32" t="n">
        <f aca="false">AVERAGE(K547,Q547,R547)</f>
        <v>0.0147040897144362</v>
      </c>
      <c r="X547" s="32" t="n">
        <f aca="false">AVERAGE(K547,L547,N547,O547,P547,Q547,R547,S547)</f>
        <v>0.00991940275597426</v>
      </c>
      <c r="Y547" s="32" t="n">
        <f aca="false">AVERAGE(J547,L547,M547,N547,O547,P547,Q547,R547,S547)</f>
        <v>0.00947549432581806</v>
      </c>
      <c r="Z547" s="32" t="n">
        <f aca="false">U547-V547</f>
        <v>-0.00158496614823231</v>
      </c>
      <c r="AA547" s="32" t="n">
        <f aca="false">W547-V547</f>
        <v>0.00349594539405888</v>
      </c>
    </row>
    <row r="548" customFormat="false" ht="15" hidden="false" customHeight="false" outlineLevel="0" collapsed="false">
      <c r="A548" s="28" t="n">
        <f aca="false">Data_Prices!A548</f>
        <v>45603</v>
      </c>
      <c r="B548" s="32" t="n">
        <f aca="false">Data_Prices!B548/Data_Prices!B547-1</f>
        <v>-0.0116279782143885</v>
      </c>
      <c r="C548" s="32" t="n">
        <f aca="false">Data_Prices!C548/Data_Prices!C547-1</f>
        <v>-0.00976718538330612</v>
      </c>
      <c r="D548" s="32" t="n">
        <f aca="false">Data_Prices!D548/Data_Prices!D547-1</f>
        <v>0.0125838428206804</v>
      </c>
      <c r="E548" s="32" t="n">
        <f aca="false">Data_Prices!E548/Data_Prices!E547-1</f>
        <v>-0.0129340078178892</v>
      </c>
      <c r="F548" s="32" t="n">
        <f aca="false">Data_Prices!F548/Data_Prices!F547-1</f>
        <v>-0.0201465986540358</v>
      </c>
      <c r="G548" s="32" t="n">
        <f aca="false">Data_Prices!G548/Data_Prices!G547-1</f>
        <v>0.00669871542280709</v>
      </c>
      <c r="H548" s="32" t="n">
        <f aca="false">Data_Prices!H548/Data_Prices!H547-1</f>
        <v>-0.0289717287965975</v>
      </c>
      <c r="I548" s="32" t="n">
        <f aca="false">Data_Prices!I548/Data_Prices!I547-1</f>
        <v>0.00122875281589185</v>
      </c>
      <c r="J548" s="32" t="n">
        <f aca="false">Data_Prices!J548/Data_Prices!J547-1</f>
        <v>-0.00681873247724196</v>
      </c>
      <c r="K548" s="32" t="n">
        <f aca="false">Data_Prices!K548/Data_Prices!K547-1</f>
        <v>-0.0145211313905126</v>
      </c>
      <c r="L548" s="32" t="n">
        <f aca="false">Data_Prices!L548/Data_Prices!L547-1</f>
        <v>-0.0165191062052048</v>
      </c>
      <c r="M548" s="32" t="n">
        <f aca="false">Data_Prices!M548/Data_Prices!M547-1</f>
        <v>-0.00194900969237255</v>
      </c>
      <c r="N548" s="32" t="n">
        <f aca="false">Data_Prices!N548/Data_Prices!N547-1</f>
        <v>-0.00667323049994528</v>
      </c>
      <c r="O548" s="32" t="n">
        <f aca="false">Data_Prices!O548/Data_Prices!O547-1</f>
        <v>-0.0169522091974752</v>
      </c>
      <c r="P548" s="32" t="n">
        <f aca="false">Data_Prices!P548/Data_Prices!P547-1</f>
        <v>-0.0369871693331222</v>
      </c>
      <c r="Q548" s="32" t="n">
        <f aca="false">Data_Prices!Q548/Data_Prices!Q547-1</f>
        <v>-0.00882973115445429</v>
      </c>
      <c r="R548" s="32" t="n">
        <f aca="false">Data_Prices!R548/Data_Prices!R547-1</f>
        <v>0.000428540818512957</v>
      </c>
      <c r="S548" s="32" t="n">
        <f aca="false">Data_Prices!S548/Data_Prices!S547-1</f>
        <v>-0.0365738852104058</v>
      </c>
      <c r="T548" s="32" t="n">
        <f aca="false">AVERAGE(D548:S548)</f>
        <v>-0.0116835430344603</v>
      </c>
      <c r="U548" s="32" t="n">
        <f aca="false">AVERAGE(J548:S548)</f>
        <v>-0.0145395664342222</v>
      </c>
      <c r="V548" s="32" t="n">
        <f aca="false">AVERAGE(D548:I548)</f>
        <v>-0.0069235040348572</v>
      </c>
      <c r="W548" s="32" t="n">
        <f aca="false">AVERAGE(K548,Q548,R548)</f>
        <v>-0.00764077390881797</v>
      </c>
      <c r="X548" s="32" t="n">
        <f aca="false">AVERAGE(K548,L548,N548,O548,P548,Q548,R548,S548)</f>
        <v>-0.0170784902715759</v>
      </c>
      <c r="Y548" s="32" t="n">
        <f aca="false">AVERAGE(J548,L548,M548,N548,O548,P548,Q548,R548,S548)</f>
        <v>-0.0145416147724121</v>
      </c>
      <c r="Z548" s="32" t="n">
        <f aca="false">U548-V548</f>
        <v>-0.00761606239936498</v>
      </c>
      <c r="AA548" s="32" t="n">
        <f aca="false">W548-V548</f>
        <v>-0.000717269873960776</v>
      </c>
    </row>
    <row r="549" customFormat="false" ht="15" hidden="false" customHeight="false" outlineLevel="0" collapsed="false">
      <c r="A549" s="28" t="n">
        <f aca="false">Data_Prices!A549</f>
        <v>45604</v>
      </c>
      <c r="B549" s="32" t="n">
        <f aca="false">Data_Prices!B549/Data_Prices!B548-1</f>
        <v>-0.00211369313638576</v>
      </c>
      <c r="C549" s="32" t="n">
        <f aca="false">Data_Prices!C549/Data_Prices!C548-1</f>
        <v>-0.00704192929569736</v>
      </c>
      <c r="D549" s="32" t="n">
        <f aca="false">Data_Prices!D549/Data_Prices!D548-1</f>
        <v>-0.0254997362096254</v>
      </c>
      <c r="E549" s="32" t="n">
        <f aca="false">Data_Prices!E549/Data_Prices!E548-1</f>
        <v>-0.0104245530254498</v>
      </c>
      <c r="F549" s="32" t="n">
        <f aca="false">Data_Prices!F549/Data_Prices!F548-1</f>
        <v>-0.0444463887309156</v>
      </c>
      <c r="G549" s="32" t="n">
        <f aca="false">Data_Prices!G549/Data_Prices!G548-1</f>
        <v>-0.00579301706591517</v>
      </c>
      <c r="H549" s="32" t="n">
        <f aca="false">Data_Prices!H549/Data_Prices!H548-1</f>
        <v>-0.0238070699783571</v>
      </c>
      <c r="I549" s="32" t="n">
        <f aca="false">Data_Prices!I549/Data_Prices!I548-1</f>
        <v>-0.0189200245448967</v>
      </c>
      <c r="J549" s="32" t="n">
        <f aca="false">Data_Prices!J549/Data_Prices!J548-1</f>
        <v>-0.00519272321739739</v>
      </c>
      <c r="K549" s="32" t="n">
        <f aca="false">Data_Prices!K549/Data_Prices!K548-1</f>
        <v>-0.00123275949587387</v>
      </c>
      <c r="L549" s="32" t="n">
        <f aca="false">Data_Prices!L549/Data_Prices!L548-1</f>
        <v>-0.0173811379579111</v>
      </c>
      <c r="M549" s="32" t="n">
        <f aca="false">Data_Prices!M549/Data_Prices!M548-1</f>
        <v>-0.0283422177653455</v>
      </c>
      <c r="N549" s="32" t="n">
        <f aca="false">Data_Prices!N549/Data_Prices!N548-1</f>
        <v>-0.0244493392070485</v>
      </c>
      <c r="O549" s="32" t="n">
        <f aca="false">Data_Prices!O549/Data_Prices!O548-1</f>
        <v>0.0132085855806272</v>
      </c>
      <c r="P549" s="32" t="n">
        <f aca="false">Data_Prices!P549/Data_Prices!P548-1</f>
        <v>-0.0105820105820106</v>
      </c>
      <c r="Q549" s="32" t="n">
        <f aca="false">Data_Prices!Q549/Data_Prices!Q548-1</f>
        <v>-0.0269910916101583</v>
      </c>
      <c r="R549" s="32" t="n">
        <f aca="false">Data_Prices!R549/Data_Prices!R548-1</f>
        <v>-0.00135646462483052</v>
      </c>
      <c r="S549" s="32" t="n">
        <f aca="false">Data_Prices!S549/Data_Prices!S548-1</f>
        <v>-0.0202595964366561</v>
      </c>
      <c r="T549" s="32" t="n">
        <f aca="false">AVERAGE(D549:S549)</f>
        <v>-0.0157168465544853</v>
      </c>
      <c r="U549" s="32" t="n">
        <f aca="false">AVERAGE(J549:S549)</f>
        <v>-0.0122578755316605</v>
      </c>
      <c r="V549" s="32" t="n">
        <f aca="false">AVERAGE(D549:I549)</f>
        <v>-0.0214817982591933</v>
      </c>
      <c r="W549" s="32" t="n">
        <f aca="false">AVERAGE(K549,Q549,R549)</f>
        <v>-0.00986010524362091</v>
      </c>
      <c r="X549" s="32" t="n">
        <f aca="false">AVERAGE(K549,L549,N549,O549,P549,Q549,R549,S549)</f>
        <v>-0.0111304767917327</v>
      </c>
      <c r="Y549" s="32" t="n">
        <f aca="false">AVERAGE(J549,L549,M549,N549,O549,P549,Q549,R549,S549)</f>
        <v>-0.0134828884245256</v>
      </c>
      <c r="Z549" s="32" t="n">
        <f aca="false">U549-V549</f>
        <v>0.00922392272753283</v>
      </c>
      <c r="AA549" s="32" t="n">
        <f aca="false">W549-V549</f>
        <v>0.0116216930155724</v>
      </c>
    </row>
    <row r="550" customFormat="false" ht="15" hidden="false" customHeight="false" outlineLevel="0" collapsed="false">
      <c r="A550" s="28" t="n">
        <f aca="false">Data_Prices!A550</f>
        <v>45607</v>
      </c>
      <c r="B550" s="32" t="n">
        <f aca="false">Data_Prices!B550/Data_Prices!B549-1</f>
        <v>-0.000285735582776447</v>
      </c>
      <c r="C550" s="32" t="n">
        <f aca="false">Data_Prices!C550/Data_Prices!C549-1</f>
        <v>-0.00239560357066371</v>
      </c>
      <c r="D550" s="32" t="n">
        <f aca="false">Data_Prices!D550/Data_Prices!D549-1</f>
        <v>-0.00366939364773833</v>
      </c>
      <c r="E550" s="32" t="n">
        <f aca="false">Data_Prices!E550/Data_Prices!E549-1</f>
        <v>-0.0128884180790961</v>
      </c>
      <c r="F550" s="32" t="n">
        <f aca="false">Data_Prices!F550/Data_Prices!F549-1</f>
        <v>-0.0282470356635994</v>
      </c>
      <c r="G550" s="32" t="n">
        <f aca="false">Data_Prices!G550/Data_Prices!G549-1</f>
        <v>-0.014251968503937</v>
      </c>
      <c r="H550" s="32" t="n">
        <f aca="false">Data_Prices!H550/Data_Prices!H549-1</f>
        <v>0.0207453547297296</v>
      </c>
      <c r="I550" s="32" t="n">
        <f aca="false">Data_Prices!I550/Data_Prices!I549-1</f>
        <v>-0.00781820077139583</v>
      </c>
      <c r="J550" s="32" t="n">
        <f aca="false">Data_Prices!J550/Data_Prices!J549-1</f>
        <v>-0.0198984060255737</v>
      </c>
      <c r="K550" s="32" t="n">
        <f aca="false">Data_Prices!K550/Data_Prices!K549-1</f>
        <v>-0.0169895158714023</v>
      </c>
      <c r="L550" s="32" t="n">
        <f aca="false">Data_Prices!L550/Data_Prices!L549-1</f>
        <v>0.00146743872451816</v>
      </c>
      <c r="M550" s="32" t="n">
        <f aca="false">Data_Prices!M550/Data_Prices!M549-1</f>
        <v>-0.00342205323193912</v>
      </c>
      <c r="N550" s="32" t="n">
        <f aca="false">Data_Prices!N550/Data_Prices!N549-1</f>
        <v>-0.00349966132309765</v>
      </c>
      <c r="O550" s="32" t="n">
        <f aca="false">Data_Prices!O550/Data_Prices!O549-1</f>
        <v>-0.0237189933007422</v>
      </c>
      <c r="P550" s="32" t="n">
        <f aca="false">Data_Prices!P550/Data_Prices!P549-1</f>
        <v>0.00698235017040272</v>
      </c>
      <c r="Q550" s="32" t="n">
        <f aca="false">Data_Prices!Q550/Data_Prices!Q549-1</f>
        <v>-0.0135282864170538</v>
      </c>
      <c r="R550" s="32" t="n">
        <f aca="false">Data_Prices!R550/Data_Prices!R549-1</f>
        <v>-0.00979410923648849</v>
      </c>
      <c r="S550" s="32" t="n">
        <f aca="false">Data_Prices!S550/Data_Prices!S549-1</f>
        <v>-0.00282584484449555</v>
      </c>
      <c r="T550" s="32" t="n">
        <f aca="false">AVERAGE(D550:S550)</f>
        <v>-0.00820979645574432</v>
      </c>
      <c r="U550" s="32" t="n">
        <f aca="false">AVERAGE(J550:S550)</f>
        <v>-0.0085227081355872</v>
      </c>
      <c r="V550" s="32" t="n">
        <f aca="false">AVERAGE(D550:I550)</f>
        <v>-0.00768827698933951</v>
      </c>
      <c r="W550" s="32" t="n">
        <f aca="false">AVERAGE(K550,Q550,R550)</f>
        <v>-0.0134373038416482</v>
      </c>
      <c r="X550" s="32" t="n">
        <f aca="false">AVERAGE(K550,L550,N550,O550,P550,Q550,R550,S550)</f>
        <v>-0.0077383277622949</v>
      </c>
      <c r="Y550" s="32" t="n">
        <f aca="false">AVERAGE(J550,L550,M550,N550,O550,P550,Q550,R550,S550)</f>
        <v>-0.00758195172049663</v>
      </c>
      <c r="Z550" s="32" t="n">
        <f aca="false">U550-V550</f>
        <v>-0.000834431146247687</v>
      </c>
      <c r="AA550" s="32" t="n">
        <f aca="false">W550-V550</f>
        <v>-0.0057490268523087</v>
      </c>
    </row>
    <row r="551" customFormat="false" ht="15" hidden="false" customHeight="false" outlineLevel="0" collapsed="false">
      <c r="A551" s="28" t="n">
        <f aca="false">Data_Prices!A551</f>
        <v>45608</v>
      </c>
      <c r="B551" s="32" t="n">
        <f aca="false">Data_Prices!B551/Data_Prices!B550-1</f>
        <v>-0.0106808663990754</v>
      </c>
      <c r="C551" s="32" t="n">
        <f aca="false">Data_Prices!C551/Data_Prices!C550-1</f>
        <v>-0.0115242968563259</v>
      </c>
      <c r="D551" s="32" t="n">
        <f aca="false">Data_Prices!D551/Data_Prices!D550-1</f>
        <v>-0.00105657187707542</v>
      </c>
      <c r="E551" s="32" t="n">
        <f aca="false">Data_Prices!E551/Data_Prices!E550-1</f>
        <v>-0.0116854468491027</v>
      </c>
      <c r="F551" s="32" t="n">
        <f aca="false">Data_Prices!F551/Data_Prices!F550-1</f>
        <v>-0.0123904645246394</v>
      </c>
      <c r="G551" s="32" t="n">
        <f aca="false">Data_Prices!G551/Data_Prices!G550-1</f>
        <v>-0.0143781452192667</v>
      </c>
      <c r="H551" s="32" t="n">
        <f aca="false">Data_Prices!H551/Data_Prices!H550-1</f>
        <v>0.0168588715933184</v>
      </c>
      <c r="I551" s="32" t="n">
        <f aca="false">Data_Prices!I551/Data_Prices!I550-1</f>
        <v>-0.0294179449464174</v>
      </c>
      <c r="J551" s="32" t="n">
        <f aca="false">Data_Prices!J551/Data_Prices!J550-1</f>
        <v>-0.0262358365800478</v>
      </c>
      <c r="K551" s="32" t="n">
        <f aca="false">Data_Prices!K551/Data_Prices!K550-1</f>
        <v>-0.0207397778303002</v>
      </c>
      <c r="L551" s="32" t="n">
        <f aca="false">Data_Prices!L551/Data_Prices!L550-1</f>
        <v>-0.0180586907449209</v>
      </c>
      <c r="M551" s="32" t="n">
        <f aca="false">Data_Prices!M551/Data_Prices!M550-1</f>
        <v>-0.00376083283370587</v>
      </c>
      <c r="N551" s="32" t="n">
        <f aca="false">Data_Prices!N551/Data_Prices!N550-1</f>
        <v>-0.018692647558627</v>
      </c>
      <c r="O551" s="32" t="n">
        <f aca="false">Data_Prices!O551/Data_Prices!O550-1</f>
        <v>-0.0155786350148369</v>
      </c>
      <c r="P551" s="32" t="n">
        <f aca="false">Data_Prices!P551/Data_Prices!P550-1</f>
        <v>-0.0134551357895606</v>
      </c>
      <c r="Q551" s="32" t="n">
        <f aca="false">Data_Prices!Q551/Data_Prices!Q550-1</f>
        <v>0.00193932677656172</v>
      </c>
      <c r="R551" s="32" t="n">
        <f aca="false">Data_Prices!R551/Data_Prices!R550-1</f>
        <v>-0.0192043895747599</v>
      </c>
      <c r="S551" s="32" t="n">
        <f aca="false">Data_Prices!S551/Data_Prices!S550-1</f>
        <v>-0.0227541715981263</v>
      </c>
      <c r="T551" s="32" t="n">
        <f aca="false">AVERAGE(D551:S551)</f>
        <v>-0.0130381557857192</v>
      </c>
      <c r="U551" s="32" t="n">
        <f aca="false">AVERAGE(J551:S551)</f>
        <v>-0.0156540790748324</v>
      </c>
      <c r="V551" s="32" t="n">
        <f aca="false">AVERAGE(D551:I551)</f>
        <v>-0.00867828363719719</v>
      </c>
      <c r="W551" s="32" t="n">
        <f aca="false">AVERAGE(K551,Q551,R551)</f>
        <v>-0.0126682802094995</v>
      </c>
      <c r="X551" s="32" t="n">
        <f aca="false">AVERAGE(K551,L551,N551,O551,P551,Q551,R551,S551)</f>
        <v>-0.0158180151668213</v>
      </c>
      <c r="Y551" s="32" t="n">
        <f aca="false">AVERAGE(J551,L551,M551,N551,O551,P551,Q551,R551,S551)</f>
        <v>-0.015089001435336</v>
      </c>
      <c r="Z551" s="32" t="n">
        <f aca="false">U551-V551</f>
        <v>-0.00697579543763519</v>
      </c>
      <c r="AA551" s="32" t="n">
        <f aca="false">W551-V551</f>
        <v>-0.00398999657230228</v>
      </c>
    </row>
    <row r="552" customFormat="false" ht="15" hidden="false" customHeight="false" outlineLevel="0" collapsed="false">
      <c r="A552" s="28" t="n">
        <f aca="false">Data_Prices!A552</f>
        <v>45609</v>
      </c>
      <c r="B552" s="32" t="n">
        <f aca="false">Data_Prices!B552/Data_Prices!B551-1</f>
        <v>-0.0135826273004948</v>
      </c>
      <c r="C552" s="32" t="n">
        <f aca="false">Data_Prices!C552/Data_Prices!C551-1</f>
        <v>-0.0186332483246421</v>
      </c>
      <c r="D552" s="32" t="n">
        <f aca="false">Data_Prices!D552/Data_Prices!D551-1</f>
        <v>0.00284065153667168</v>
      </c>
      <c r="E552" s="32" t="n">
        <f aca="false">Data_Prices!E552/Data_Prices!E551-1</f>
        <v>-0.0159860047053146</v>
      </c>
      <c r="F552" s="32" t="n">
        <f aca="false">Data_Prices!F552/Data_Prices!F551-1</f>
        <v>-0.0192720507560941</v>
      </c>
      <c r="G552" s="32" t="n">
        <f aca="false">Data_Prices!G552/Data_Prices!G551-1</f>
        <v>-0.0163708566334387</v>
      </c>
      <c r="H552" s="32" t="n">
        <f aca="false">Data_Prices!H552/Data_Prices!H551-1</f>
        <v>-0.0595026191323806</v>
      </c>
      <c r="I552" s="32" t="n">
        <f aca="false">Data_Prices!I552/Data_Prices!I551-1</f>
        <v>0.00205672223425002</v>
      </c>
      <c r="J552" s="32" t="n">
        <f aca="false">Data_Prices!J552/Data_Prices!J551-1</f>
        <v>-0.0470946665198401</v>
      </c>
      <c r="K552" s="32" t="n">
        <f aca="false">Data_Prices!K552/Data_Prices!K551-1</f>
        <v>-0.0108761238158449</v>
      </c>
      <c r="L552" s="32" t="n">
        <f aca="false">Data_Prices!L552/Data_Prices!L551-1</f>
        <v>-0.0279895140149224</v>
      </c>
      <c r="M552" s="32" t="n">
        <f aca="false">Data_Prices!M552/Data_Prices!M551-1</f>
        <v>-0.0184921763869133</v>
      </c>
      <c r="N552" s="32" t="n">
        <f aca="false">Data_Prices!N552/Data_Prices!N551-1</f>
        <v>-0.0296698222119604</v>
      </c>
      <c r="O552" s="32" t="n">
        <f aca="false">Data_Prices!O552/Data_Prices!O551-1</f>
        <v>-0.0269404672192916</v>
      </c>
      <c r="P552" s="32" t="n">
        <f aca="false">Data_Prices!P552/Data_Prices!P551-1</f>
        <v>-0.0124951190941039</v>
      </c>
      <c r="Q552" s="32" t="n">
        <f aca="false">Data_Prices!Q552/Data_Prices!Q551-1</f>
        <v>-0.0392644822342043</v>
      </c>
      <c r="R552" s="32" t="n">
        <f aca="false">Data_Prices!R552/Data_Prices!R551-1</f>
        <v>0.00154582259845415</v>
      </c>
      <c r="S552" s="32" t="n">
        <f aca="false">Data_Prices!S552/Data_Prices!S551-1</f>
        <v>-0.0263885098253276</v>
      </c>
      <c r="T552" s="32" t="n">
        <f aca="false">AVERAGE(D552:S552)</f>
        <v>-0.0214937010112663</v>
      </c>
      <c r="U552" s="32" t="n">
        <f aca="false">AVERAGE(J552:S552)</f>
        <v>-0.0237665058723954</v>
      </c>
      <c r="V552" s="32" t="n">
        <f aca="false">AVERAGE(D552:I552)</f>
        <v>-0.0177056929093844</v>
      </c>
      <c r="W552" s="32" t="n">
        <f aca="false">AVERAGE(K552,Q552,R552)</f>
        <v>-0.0161982611505317</v>
      </c>
      <c r="X552" s="32" t="n">
        <f aca="false">AVERAGE(K552,L552,N552,O552,P552,Q552,R552,S552)</f>
        <v>-0.0215097769771501</v>
      </c>
      <c r="Y552" s="32" t="n">
        <f aca="false">AVERAGE(J552,L552,M552,N552,O552,P552,Q552,R552,S552)</f>
        <v>-0.0251987705453455</v>
      </c>
      <c r="Z552" s="32" t="n">
        <f aca="false">U552-V552</f>
        <v>-0.00606081296301103</v>
      </c>
      <c r="AA552" s="32" t="n">
        <f aca="false">W552-V552</f>
        <v>0.00150743175885271</v>
      </c>
    </row>
    <row r="553" customFormat="false" ht="15" hidden="false" customHeight="false" outlineLevel="0" collapsed="false">
      <c r="A553" s="28" t="n">
        <f aca="false">Data_Prices!A553</f>
        <v>45610</v>
      </c>
      <c r="B553" s="32" t="n">
        <f aca="false">Data_Prices!B553/Data_Prices!B552-1</f>
        <v>-0.00111846615207312</v>
      </c>
      <c r="C553" s="32" t="n">
        <f aca="false">Data_Prices!C553/Data_Prices!C552-1</f>
        <v>0.00219713026951918</v>
      </c>
      <c r="D553" s="32" t="n">
        <f aca="false">Data_Prices!D553/Data_Prices!D552-1</f>
        <v>-0.00545427150821154</v>
      </c>
      <c r="E553" s="32" t="n">
        <f aca="false">Data_Prices!E553/Data_Prices!E552-1</f>
        <v>0.00901177047572332</v>
      </c>
      <c r="F553" s="32" t="n">
        <f aca="false">Data_Prices!F553/Data_Prices!F552-1</f>
        <v>0.0206722116834477</v>
      </c>
      <c r="G553" s="32" t="n">
        <f aca="false">Data_Prices!G553/Data_Prices!G552-1</f>
        <v>0.00214220977177226</v>
      </c>
      <c r="H553" s="32" t="n">
        <f aca="false">Data_Prices!H553/Data_Prices!H552-1</f>
        <v>-0.0223327745633483</v>
      </c>
      <c r="I553" s="32" t="n">
        <f aca="false">Data_Prices!I553/Data_Prices!I552-1</f>
        <v>-0.00766987144863351</v>
      </c>
      <c r="J553" s="32" t="n">
        <f aca="false">Data_Prices!J553/Data_Prices!J552-1</f>
        <v>-0.0173343605546995</v>
      </c>
      <c r="K553" s="32" t="n">
        <f aca="false">Data_Prices!K553/Data_Prices!K552-1</f>
        <v>-0.00257735889341337</v>
      </c>
      <c r="L553" s="32" t="n">
        <f aca="false">Data_Prices!L553/Data_Prices!L552-1</f>
        <v>0.000539396705530937</v>
      </c>
      <c r="M553" s="32" t="n">
        <f aca="false">Data_Prices!M553/Data_Prices!M552-1</f>
        <v>-0.0137123745819397</v>
      </c>
      <c r="N553" s="32" t="n">
        <f aca="false">Data_Prices!N553/Data_Prices!N552-1</f>
        <v>0.00452111838191538</v>
      </c>
      <c r="O553" s="32" t="n">
        <f aca="false">Data_Prices!O553/Data_Prices!O552-1</f>
        <v>-0.00542110358180048</v>
      </c>
      <c r="P553" s="32" t="n">
        <f aca="false">Data_Prices!P553/Data_Prices!P552-1</f>
        <v>0.00313506185392298</v>
      </c>
      <c r="Q553" s="32" t="n">
        <f aca="false">Data_Prices!Q553/Data_Prices!Q552-1</f>
        <v>0.0244639516477192</v>
      </c>
      <c r="R553" s="32" t="n">
        <f aca="false">Data_Prices!R553/Data_Prices!R552-1</f>
        <v>0.00448331618403652</v>
      </c>
      <c r="S553" s="32" t="n">
        <f aca="false">Data_Prices!S553/Data_Prices!S552-1</f>
        <v>-0.0109501200133153</v>
      </c>
      <c r="T553" s="32" t="n">
        <f aca="false">AVERAGE(D553:S553)</f>
        <v>-0.00103019990258084</v>
      </c>
      <c r="U553" s="32" t="n">
        <f aca="false">AVERAGE(J553:S553)</f>
        <v>-0.00128524728520434</v>
      </c>
      <c r="V553" s="32" t="n">
        <f aca="false">AVERAGE(D553:I553)</f>
        <v>-0.000605120931541673</v>
      </c>
      <c r="W553" s="32" t="n">
        <f aca="false">AVERAGE(K553,Q553,R553)</f>
        <v>0.00878996964611412</v>
      </c>
      <c r="X553" s="32" t="n">
        <f aca="false">AVERAGE(K553,L553,N553,O553,P553,Q553,R553,S553)</f>
        <v>0.00227428278557448</v>
      </c>
      <c r="Y553" s="32" t="n">
        <f aca="false">AVERAGE(J553,L553,M553,N553,O553,P553,Q553,R553,S553)</f>
        <v>-0.00114167932873667</v>
      </c>
      <c r="Z553" s="32" t="n">
        <f aca="false">U553-V553</f>
        <v>-0.000680126353662665</v>
      </c>
      <c r="AA553" s="32" t="n">
        <f aca="false">W553-V553</f>
        <v>0.00939509057765579</v>
      </c>
    </row>
    <row r="554" customFormat="false" ht="15" hidden="false" customHeight="false" outlineLevel="0" collapsed="false">
      <c r="A554" s="28" t="n">
        <f aca="false">Data_Prices!A554</f>
        <v>45614</v>
      </c>
      <c r="B554" s="32" t="n">
        <f aca="false">Data_Prices!B554/Data_Prices!B553-1</f>
        <v>-0.00335278144879259</v>
      </c>
      <c r="C554" s="32" t="n">
        <f aca="false">Data_Prices!C554/Data_Prices!C553-1</f>
        <v>-0.00290031917170153</v>
      </c>
      <c r="D554" s="32" t="n">
        <f aca="false">Data_Prices!D554/Data_Prices!D553-1</f>
        <v>-0.00545388437765115</v>
      </c>
      <c r="E554" s="32" t="n">
        <f aca="false">Data_Prices!E554/Data_Prices!E553-1</f>
        <v>0.00795917127407497</v>
      </c>
      <c r="F554" s="32" t="n">
        <f aca="false">Data_Prices!F554/Data_Prices!F553-1</f>
        <v>0</v>
      </c>
      <c r="G554" s="32" t="n">
        <f aca="false">Data_Prices!G554/Data_Prices!G553-1</f>
        <v>0.00493299350489185</v>
      </c>
      <c r="H554" s="32" t="n">
        <f aca="false">Data_Prices!H554/Data_Prices!H553-1</f>
        <v>-0.0363384955752213</v>
      </c>
      <c r="I554" s="32" t="n">
        <f aca="false">Data_Prices!I554/Data_Prices!I553-1</f>
        <v>-0.0182887001959504</v>
      </c>
      <c r="J554" s="32" t="n">
        <f aca="false">Data_Prices!J554/Data_Prices!J553-1</f>
        <v>0.00160721285770293</v>
      </c>
      <c r="K554" s="32" t="n">
        <f aca="false">Data_Prices!K554/Data_Prices!K553-1</f>
        <v>0.00287452983089209</v>
      </c>
      <c r="L554" s="32" t="n">
        <f aca="false">Data_Prices!L554/Data_Prices!L553-1</f>
        <v>0.0307705067595587</v>
      </c>
      <c r="M554" s="32" t="n">
        <f aca="false">Data_Prices!M554/Data_Prices!M553-1</f>
        <v>-0.00491692099016616</v>
      </c>
      <c r="N554" s="32" t="n">
        <f aca="false">Data_Prices!N554/Data_Prices!N553-1</f>
        <v>-0.0107781594220063</v>
      </c>
      <c r="O554" s="32" t="n">
        <f aca="false">Data_Prices!O554/Data_Prices!O553-1</f>
        <v>0.00525598598403732</v>
      </c>
      <c r="P554" s="32" t="n">
        <f aca="false">Data_Prices!P554/Data_Prices!P553-1</f>
        <v>0.0618295464143932</v>
      </c>
      <c r="Q554" s="32" t="n">
        <f aca="false">Data_Prices!Q554/Data_Prices!Q553-1</f>
        <v>0.000983284169124854</v>
      </c>
      <c r="R554" s="32" t="n">
        <f aca="false">Data_Prices!R554/Data_Prices!R553-1</f>
        <v>-0.00921928733445532</v>
      </c>
      <c r="S554" s="32" t="n">
        <f aca="false">Data_Prices!S554/Data_Prices!S553-1</f>
        <v>0.0090519379295686</v>
      </c>
      <c r="T554" s="32" t="n">
        <f aca="false">AVERAGE(D554:S554)</f>
        <v>0.00251685755179962</v>
      </c>
      <c r="U554" s="32" t="n">
        <f aca="false">AVERAGE(J554:S554)</f>
        <v>0.00874586361986499</v>
      </c>
      <c r="V554" s="32" t="n">
        <f aca="false">AVERAGE(D554:I554)</f>
        <v>-0.00786481922830934</v>
      </c>
      <c r="W554" s="32" t="n">
        <f aca="false">AVERAGE(K554,Q554,R554)</f>
        <v>-0.00178715777814612</v>
      </c>
      <c r="X554" s="32" t="n">
        <f aca="false">AVERAGE(K554,L554,N554,O554,P554,Q554,R554,S554)</f>
        <v>0.0113460430413891</v>
      </c>
      <c r="Y554" s="32" t="n">
        <f aca="false">AVERAGE(J554,L554,M554,N554,O554,P554,Q554,R554,S554)</f>
        <v>0.00939823404086198</v>
      </c>
      <c r="Z554" s="32" t="n">
        <f aca="false">U554-V554</f>
        <v>0.0166106828481743</v>
      </c>
      <c r="AA554" s="32" t="n">
        <f aca="false">W554-V554</f>
        <v>0.00607766145016322</v>
      </c>
    </row>
    <row r="555" customFormat="false" ht="15" hidden="false" customHeight="false" outlineLevel="0" collapsed="false">
      <c r="A555" s="28" t="n">
        <f aca="false">Data_Prices!A555</f>
        <v>45615</v>
      </c>
      <c r="B555" s="32" t="n">
        <f aca="false">Data_Prices!B555/Data_Prices!B554-1</f>
        <v>0.00275861480868778</v>
      </c>
      <c r="C555" s="32" t="n">
        <f aca="false">Data_Prices!C555/Data_Prices!C554-1</f>
        <v>0.00479236874069589</v>
      </c>
      <c r="D555" s="32" t="n">
        <f aca="false">Data_Prices!D555/Data_Prices!D554-1</f>
        <v>-0.000396051669510178</v>
      </c>
      <c r="E555" s="32" t="n">
        <f aca="false">Data_Prices!E555/Data_Prices!E554-1</f>
        <v>0.0037974683544304</v>
      </c>
      <c r="F555" s="32" t="n">
        <f aca="false">Data_Prices!F555/Data_Prices!F554-1</f>
        <v>0.00266869996187569</v>
      </c>
      <c r="G555" s="32" t="n">
        <f aca="false">Data_Prices!G555/Data_Prices!G554-1</f>
        <v>0.00867217540701959</v>
      </c>
      <c r="H555" s="32" t="n">
        <f aca="false">Data_Prices!H555/Data_Prices!H554-1</f>
        <v>-0.00688744762670035</v>
      </c>
      <c r="I555" s="32" t="n">
        <f aca="false">Data_Prices!I555/Data_Prices!I554-1</f>
        <v>-0.00377023730317139</v>
      </c>
      <c r="J555" s="32" t="n">
        <f aca="false">Data_Prices!J555/Data_Prices!J554-1</f>
        <v>-0.00273961880161244</v>
      </c>
      <c r="K555" s="32" t="n">
        <f aca="false">Data_Prices!K555/Data_Prices!K554-1</f>
        <v>0.00416221985058707</v>
      </c>
      <c r="L555" s="32" t="n">
        <f aca="false">Data_Prices!L555/Data_Prices!L554-1</f>
        <v>-0.00547151593176698</v>
      </c>
      <c r="M555" s="32" t="n">
        <f aca="false">Data_Prices!M555/Data_Prices!M554-1</f>
        <v>0.00482762537627091</v>
      </c>
      <c r="N555" s="32" t="n">
        <f aca="false">Data_Prices!N555/Data_Prices!N554-1</f>
        <v>-0.00311302681992343</v>
      </c>
      <c r="O555" s="32" t="n">
        <f aca="false">Data_Prices!O555/Data_Prices!O554-1</f>
        <v>0.00619674670797843</v>
      </c>
      <c r="P555" s="32" t="n">
        <f aca="false">Data_Prices!P555/Data_Prices!P554-1</f>
        <v>0.00572746798186308</v>
      </c>
      <c r="Q555" s="32" t="n">
        <f aca="false">Data_Prices!Q555/Data_Prices!Q554-1</f>
        <v>0.00561324726354195</v>
      </c>
      <c r="R555" s="32" t="n">
        <f aca="false">Data_Prices!R555/Data_Prices!R554-1</f>
        <v>0.011077468429215</v>
      </c>
      <c r="S555" s="32" t="n">
        <f aca="false">Data_Prices!S555/Data_Prices!S554-1</f>
        <v>-0.00821585941751657</v>
      </c>
      <c r="T555" s="32" t="n">
        <f aca="false">AVERAGE(D555:S555)</f>
        <v>0.0013843351101613</v>
      </c>
      <c r="U555" s="32" t="n">
        <f aca="false">AVERAGE(J555:S555)</f>
        <v>0.0018064754638637</v>
      </c>
      <c r="V555" s="32" t="n">
        <f aca="false">AVERAGE(D555:I555)</f>
        <v>0.000680767853990627</v>
      </c>
      <c r="W555" s="32" t="n">
        <f aca="false">AVERAGE(K555,Q555,R555)</f>
        <v>0.006950978514448</v>
      </c>
      <c r="X555" s="32" t="n">
        <f aca="false">AVERAGE(K555,L555,N555,O555,P555,Q555,R555,S555)</f>
        <v>0.00199709350799732</v>
      </c>
      <c r="Y555" s="32" t="n">
        <f aca="false">AVERAGE(J555,L555,M555,N555,O555,P555,Q555,R555,S555)</f>
        <v>0.0015447260875611</v>
      </c>
      <c r="Z555" s="32" t="n">
        <f aca="false">U555-V555</f>
        <v>0.00112570760987307</v>
      </c>
      <c r="AA555" s="32" t="n">
        <f aca="false">W555-V555</f>
        <v>0.00627021066045737</v>
      </c>
    </row>
    <row r="556" customFormat="false" ht="15" hidden="false" customHeight="false" outlineLevel="0" collapsed="false">
      <c r="A556" s="28" t="n">
        <f aca="false">Data_Prices!A556</f>
        <v>45617</v>
      </c>
      <c r="B556" s="32" t="n">
        <f aca="false">Data_Prices!B556/Data_Prices!B555-1</f>
        <v>-0.00716882454238144</v>
      </c>
      <c r="C556" s="32" t="n">
        <f aca="false">Data_Prices!C556/Data_Prices!C555-1</f>
        <v>-0.00833926019173481</v>
      </c>
      <c r="D556" s="32" t="n">
        <f aca="false">Data_Prices!D556/Data_Prices!D555-1</f>
        <v>0.000457163756057311</v>
      </c>
      <c r="E556" s="32" t="n">
        <f aca="false">Data_Prices!E556/Data_Prices!E555-1</f>
        <v>-0.0120098480754218</v>
      </c>
      <c r="F556" s="32" t="n">
        <f aca="false">Data_Prices!F556/Data_Prices!F555-1</f>
        <v>0.0167300380228137</v>
      </c>
      <c r="G556" s="32" t="n">
        <f aca="false">Data_Prices!G556/Data_Prices!G555-1</f>
        <v>-0.00843539622029366</v>
      </c>
      <c r="H556" s="32" t="n">
        <f aca="false">Data_Prices!H556/Data_Prices!H555-1</f>
        <v>0.00104028203201745</v>
      </c>
      <c r="I556" s="32" t="n">
        <f aca="false">Data_Prices!I556/Data_Prices!I555-1</f>
        <v>-0.0179207479964382</v>
      </c>
      <c r="J556" s="32" t="n">
        <f aca="false">Data_Prices!J556/Data_Prices!J555-1</f>
        <v>-0.0136179898748086</v>
      </c>
      <c r="K556" s="32" t="n">
        <f aca="false">Data_Prices!K556/Data_Prices!K555-1</f>
        <v>-0.0196468426886112</v>
      </c>
      <c r="L556" s="32" t="n">
        <f aca="false">Data_Prices!L556/Data_Prices!L555-1</f>
        <v>-0.0251618122977345</v>
      </c>
      <c r="M556" s="32" t="n">
        <f aca="false">Data_Prices!M556/Data_Prices!M555-1</f>
        <v>-0.0261700203481799</v>
      </c>
      <c r="N556" s="32" t="n">
        <f aca="false">Data_Prices!N556/Data_Prices!N555-1</f>
        <v>-0.0194571222675956</v>
      </c>
      <c r="O556" s="32" t="n">
        <f aca="false">Data_Prices!O556/Data_Prices!O555-1</f>
        <v>-0.0136643571978445</v>
      </c>
      <c r="P556" s="32" t="n">
        <f aca="false">Data_Prices!P556/Data_Prices!P555-1</f>
        <v>0.00163463313032231</v>
      </c>
      <c r="Q556" s="32" t="n">
        <f aca="false">Data_Prices!Q556/Data_Prices!Q555-1</f>
        <v>0.00530281886687134</v>
      </c>
      <c r="R556" s="32" t="n">
        <f aca="false">Data_Prices!R556/Data_Prices!R555-1</f>
        <v>-0.0138777298955518</v>
      </c>
      <c r="S556" s="32" t="n">
        <f aca="false">Data_Prices!S556/Data_Prices!S555-1</f>
        <v>-0.00798300734578283</v>
      </c>
      <c r="T556" s="32" t="n">
        <f aca="false">AVERAGE(D556:S556)</f>
        <v>-0.00954874615001128</v>
      </c>
      <c r="U556" s="32" t="n">
        <f aca="false">AVERAGE(J556:S556)</f>
        <v>-0.0132641429918915</v>
      </c>
      <c r="V556" s="32" t="n">
        <f aca="false">AVERAGE(D556:I556)</f>
        <v>-0.00335641808021087</v>
      </c>
      <c r="W556" s="32" t="n">
        <f aca="false">AVERAGE(K556,Q556,R556)</f>
        <v>-0.00940725123909721</v>
      </c>
      <c r="X556" s="32" t="n">
        <f aca="false">AVERAGE(K556,L556,N556,O556,P556,Q556,R556,S556)</f>
        <v>-0.0116066774619908</v>
      </c>
      <c r="Y556" s="32" t="n">
        <f aca="false">AVERAGE(J556,L556,M556,N556,O556,P556,Q556,R556,S556)</f>
        <v>-0.0125549541367005</v>
      </c>
      <c r="Z556" s="32" t="n">
        <f aca="false">U556-V556</f>
        <v>-0.00990772491168066</v>
      </c>
      <c r="AA556" s="32" t="n">
        <f aca="false">W556-V556</f>
        <v>-0.00605083315888635</v>
      </c>
    </row>
    <row r="557" customFormat="false" ht="15" hidden="false" customHeight="false" outlineLevel="0" collapsed="false">
      <c r="A557" s="28" t="n">
        <f aca="false">Data_Prices!A557</f>
        <v>45618</v>
      </c>
      <c r="B557" s="32" t="n">
        <f aca="false">Data_Prices!B557/Data_Prices!B556-1</f>
        <v>0.0238694812397482</v>
      </c>
      <c r="C557" s="32" t="n">
        <f aca="false">Data_Prices!C557/Data_Prices!C556-1</f>
        <v>0.0185464819198153</v>
      </c>
      <c r="D557" s="32" t="n">
        <f aca="false">Data_Prices!D557/Data_Prices!D556-1</f>
        <v>-0.00237616523487472</v>
      </c>
      <c r="E557" s="32" t="n">
        <f aca="false">Data_Prices!E557/Data_Prices!E556-1</f>
        <v>0.0244940132498632</v>
      </c>
      <c r="F557" s="32" t="n">
        <f aca="false">Data_Prices!F557/Data_Prices!F556-1</f>
        <v>0.0159872849663427</v>
      </c>
      <c r="G557" s="32" t="n">
        <f aca="false">Data_Prices!G557/Data_Prices!G556-1</f>
        <v>0.0101431492842536</v>
      </c>
      <c r="H557" s="32" t="n">
        <f aca="false">Data_Prices!H557/Data_Prices!H556-1</f>
        <v>-0.0132209456728826</v>
      </c>
      <c r="I557" s="32" t="n">
        <f aca="false">Data_Prices!I557/Data_Prices!I556-1</f>
        <v>0.016434319392497</v>
      </c>
      <c r="J557" s="32" t="n">
        <f aca="false">Data_Prices!J557/Data_Prices!J556-1</f>
        <v>-0.0099068990212462</v>
      </c>
      <c r="K557" s="32" t="n">
        <f aca="false">Data_Prices!K557/Data_Prices!K556-1</f>
        <v>0.0337623317691151</v>
      </c>
      <c r="L557" s="32" t="n">
        <f aca="false">Data_Prices!L557/Data_Prices!L556-1</f>
        <v>0.00290480537803961</v>
      </c>
      <c r="M557" s="32" t="n">
        <f aca="false">Data_Prices!M557/Data_Prices!M556-1</f>
        <v>0.0337802542225316</v>
      </c>
      <c r="N557" s="32" t="n">
        <f aca="false">Data_Prices!N557/Data_Prices!N556-1</f>
        <v>0.000734933855953024</v>
      </c>
      <c r="O557" s="32" t="n">
        <f aca="false">Data_Prices!O557/Data_Prices!O556-1</f>
        <v>0.0294634146341464</v>
      </c>
      <c r="P557" s="32" t="n">
        <f aca="false">Data_Prices!P557/Data_Prices!P556-1</f>
        <v>0.0146350451422705</v>
      </c>
      <c r="Q557" s="32" t="n">
        <f aca="false">Data_Prices!Q557/Data_Prices!Q556-1</f>
        <v>-0.0126318711826763</v>
      </c>
      <c r="R557" s="32" t="n">
        <f aca="false">Data_Prices!R557/Data_Prices!R556-1</f>
        <v>0.00688837863861957</v>
      </c>
      <c r="S557" s="32" t="n">
        <f aca="false">Data_Prices!S557/Data_Prices!S556-1</f>
        <v>0.0170758689601027</v>
      </c>
      <c r="T557" s="32" t="n">
        <f aca="false">AVERAGE(D557:S557)</f>
        <v>0.0105104948988785</v>
      </c>
      <c r="U557" s="32" t="n">
        <f aca="false">AVERAGE(J557:S557)</f>
        <v>0.0116706262396856</v>
      </c>
      <c r="V557" s="32" t="n">
        <f aca="false">AVERAGE(D557:I557)</f>
        <v>0.00857694266419988</v>
      </c>
      <c r="W557" s="32" t="n">
        <f aca="false">AVERAGE(K557,Q557,R557)</f>
        <v>0.00933961307501948</v>
      </c>
      <c r="X557" s="32" t="n">
        <f aca="false">AVERAGE(K557,L557,N557,O557,P557,Q557,R557,S557)</f>
        <v>0.0116041133994463</v>
      </c>
      <c r="Y557" s="32" t="n">
        <f aca="false">AVERAGE(J557,L557,M557,N557,O557,P557,Q557,R557,S557)</f>
        <v>0.00921599229197122</v>
      </c>
      <c r="Z557" s="32" t="n">
        <f aca="false">U557-V557</f>
        <v>0.00309368357548574</v>
      </c>
      <c r="AA557" s="32" t="n">
        <f aca="false">W557-V557</f>
        <v>0.000762670410819604</v>
      </c>
    </row>
    <row r="558" customFormat="false" ht="15" hidden="false" customHeight="false" outlineLevel="0" collapsed="false">
      <c r="A558" s="28" t="n">
        <f aca="false">Data_Prices!A558</f>
        <v>45621</v>
      </c>
      <c r="B558" s="32" t="n">
        <f aca="false">Data_Prices!B558/Data_Prices!B557-1</f>
        <v>0.0131612795281766</v>
      </c>
      <c r="C558" s="32" t="n">
        <f aca="false">Data_Prices!C558/Data_Prices!C557-1</f>
        <v>0.0147555403578314</v>
      </c>
      <c r="D558" s="32" t="n">
        <f aca="false">Data_Prices!D558/Data_Prices!D557-1</f>
        <v>0.00952729937706121</v>
      </c>
      <c r="E558" s="32" t="n">
        <f aca="false">Data_Prices!E558/Data_Prices!E557-1</f>
        <v>0.00172045562411016</v>
      </c>
      <c r="F558" s="32" t="n">
        <f aca="false">Data_Prices!F558/Data_Prices!F557-1</f>
        <v>0.0522683353271372</v>
      </c>
      <c r="G558" s="32" t="n">
        <f aca="false">Data_Prices!G558/Data_Prices!G557-1</f>
        <v>0.0162766215887926</v>
      </c>
      <c r="H558" s="32" t="n">
        <f aca="false">Data_Prices!H558/Data_Prices!H557-1</f>
        <v>0.013690615492628</v>
      </c>
      <c r="I558" s="32" t="n">
        <f aca="false">Data_Prices!I558/Data_Prices!I557-1</f>
        <v>0.063113291703836</v>
      </c>
      <c r="J558" s="32" t="n">
        <f aca="false">Data_Prices!J558/Data_Prices!J557-1</f>
        <v>0.0139039582077556</v>
      </c>
      <c r="K558" s="32" t="n">
        <f aca="false">Data_Prices!K558/Data_Prices!K557-1</f>
        <v>0.000209740969902228</v>
      </c>
      <c r="L558" s="32" t="n">
        <f aca="false">Data_Prices!L558/Data_Prices!L557-1</f>
        <v>0.0260675273088382</v>
      </c>
      <c r="M558" s="32" t="n">
        <f aca="false">Data_Prices!M558/Data_Prices!M557-1</f>
        <v>0.0436808713716244</v>
      </c>
      <c r="N558" s="32" t="n">
        <f aca="false">Data_Prices!N558/Data_Prices!N557-1</f>
        <v>0.0121175030599754</v>
      </c>
      <c r="O558" s="32" t="n">
        <f aca="false">Data_Prices!O558/Data_Prices!O557-1</f>
        <v>0.0335481425322213</v>
      </c>
      <c r="P558" s="32" t="n">
        <f aca="false">Data_Prices!P558/Data_Prices!P557-1</f>
        <v>0.00256829325239316</v>
      </c>
      <c r="Q558" s="32" t="n">
        <f aca="false">Data_Prices!Q558/Data_Prices!Q557-1</f>
        <v>0.0123717137635317</v>
      </c>
      <c r="R558" s="32" t="n">
        <f aca="false">Data_Prices!R558/Data_Prices!R557-1</f>
        <v>0.0221421215242017</v>
      </c>
      <c r="S558" s="32" t="n">
        <f aca="false">Data_Prices!S558/Data_Prices!S557-1</f>
        <v>0.0342976439009841</v>
      </c>
      <c r="T558" s="32" t="n">
        <f aca="false">AVERAGE(D558:S558)</f>
        <v>0.0223440084378121</v>
      </c>
      <c r="U558" s="32" t="n">
        <f aca="false">AVERAGE(J558:S558)</f>
        <v>0.0200907515891428</v>
      </c>
      <c r="V558" s="32" t="n">
        <f aca="false">AVERAGE(D558:I558)</f>
        <v>0.0260994365189275</v>
      </c>
      <c r="W558" s="32" t="n">
        <f aca="false">AVERAGE(K558,Q558,R558)</f>
        <v>0.0115745254192119</v>
      </c>
      <c r="X558" s="32" t="n">
        <f aca="false">AVERAGE(K558,L558,N558,O558,P558,Q558,R558,S558)</f>
        <v>0.017915335789006</v>
      </c>
      <c r="Y558" s="32" t="n">
        <f aca="false">AVERAGE(J558,L558,M558,N558,O558,P558,Q558,R558,S558)</f>
        <v>0.0222997527690584</v>
      </c>
      <c r="Z558" s="32" t="n">
        <f aca="false">U558-V558</f>
        <v>-0.00600868492978473</v>
      </c>
      <c r="AA558" s="32" t="n">
        <f aca="false">W558-V558</f>
        <v>-0.0145249110997156</v>
      </c>
    </row>
    <row r="559" customFormat="false" ht="15" hidden="false" customHeight="false" outlineLevel="0" collapsed="false">
      <c r="A559" s="28" t="n">
        <f aca="false">Data_Prices!A559</f>
        <v>45622</v>
      </c>
      <c r="B559" s="32" t="n">
        <f aca="false">Data_Prices!B559/Data_Prices!B558-1</f>
        <v>-0.00113120770872643</v>
      </c>
      <c r="C559" s="32" t="n">
        <f aca="false">Data_Prices!C559/Data_Prices!C558-1</f>
        <v>0.000396834194249296</v>
      </c>
      <c r="D559" s="32" t="n">
        <f aca="false">Data_Prices!D559/Data_Prices!D558-1</f>
        <v>0.00278281911675737</v>
      </c>
      <c r="E559" s="32" t="n">
        <f aca="false">Data_Prices!E559/Data_Prices!E558-1</f>
        <v>-0.0274800118448327</v>
      </c>
      <c r="F559" s="32" t="n">
        <f aca="false">Data_Prices!F559/Data_Prices!F558-1</f>
        <v>-0.0302142544818539</v>
      </c>
      <c r="G559" s="32" t="n">
        <f aca="false">Data_Prices!G559/Data_Prices!G558-1</f>
        <v>-0.00956175298804785</v>
      </c>
      <c r="H559" s="32" t="n">
        <f aca="false">Data_Prices!H559/Data_Prices!H558-1</f>
        <v>-0.00779175805148336</v>
      </c>
      <c r="I559" s="32" t="n">
        <f aca="false">Data_Prices!I559/Data_Prices!I558-1</f>
        <v>-0.025173064820642</v>
      </c>
      <c r="J559" s="32" t="n">
        <f aca="false">Data_Prices!J559/Data_Prices!J558-1</f>
        <v>0.0427252189766558</v>
      </c>
      <c r="K559" s="32" t="n">
        <f aca="false">Data_Prices!K559/Data_Prices!K558-1</f>
        <v>-0.0100804337731978</v>
      </c>
      <c r="L559" s="32" t="n">
        <f aca="false">Data_Prices!L559/Data_Prices!L558-1</f>
        <v>0.0206065005242357</v>
      </c>
      <c r="M559" s="32" t="n">
        <f aca="false">Data_Prices!M559/Data_Prices!M558-1</f>
        <v>0.0470170530959169</v>
      </c>
      <c r="N559" s="32" t="n">
        <f aca="false">Data_Prices!N559/Data_Prices!N558-1</f>
        <v>-0.00495827790542991</v>
      </c>
      <c r="O559" s="32" t="n">
        <f aca="false">Data_Prices!O559/Data_Prices!O558-1</f>
        <v>-0.00861910874747829</v>
      </c>
      <c r="P559" s="32" t="n">
        <f aca="false">Data_Prices!P559/Data_Prices!P558-1</f>
        <v>0.0100916006831238</v>
      </c>
      <c r="Q559" s="32" t="n">
        <f aca="false">Data_Prices!Q559/Data_Prices!Q558-1</f>
        <v>0.00985974170254145</v>
      </c>
      <c r="R559" s="32" t="n">
        <f aca="false">Data_Prices!R559/Data_Prices!R558-1</f>
        <v>0.0061173083843109</v>
      </c>
      <c r="S559" s="32" t="n">
        <f aca="false">Data_Prices!S559/Data_Prices!S558-1</f>
        <v>0.0334317117850602</v>
      </c>
      <c r="T559" s="32" t="n">
        <f aca="false">AVERAGE(D559:S559)</f>
        <v>0.00304708072847727</v>
      </c>
      <c r="U559" s="32" t="n">
        <f aca="false">AVERAGE(J559:S559)</f>
        <v>0.0146191314725739</v>
      </c>
      <c r="V559" s="32" t="n">
        <f aca="false">AVERAGE(D559:I559)</f>
        <v>-0.0162396705116837</v>
      </c>
      <c r="W559" s="32" t="n">
        <f aca="false">AVERAGE(K559,Q559,R559)</f>
        <v>0.00196553877121819</v>
      </c>
      <c r="X559" s="32" t="n">
        <f aca="false">AVERAGE(K559,L559,N559,O559,P559,Q559,R559,S559)</f>
        <v>0.00705613033164576</v>
      </c>
      <c r="Y559" s="32" t="n">
        <f aca="false">AVERAGE(J559,L559,M559,N559,O559,P559,Q559,R559,S559)</f>
        <v>0.017363527610993</v>
      </c>
      <c r="Z559" s="32" t="n">
        <f aca="false">U559-V559</f>
        <v>0.0308588019842576</v>
      </c>
      <c r="AA559" s="32" t="n">
        <f aca="false">W559-V559</f>
        <v>0.0182052092829019</v>
      </c>
    </row>
    <row r="560" customFormat="false" ht="15" hidden="false" customHeight="false" outlineLevel="0" collapsed="false">
      <c r="A560" s="28" t="n">
        <f aca="false">Data_Prices!A560</f>
        <v>45623</v>
      </c>
      <c r="B560" s="32" t="n">
        <f aca="false">Data_Prices!B560/Data_Prices!B559-1</f>
        <v>0.00332306929260784</v>
      </c>
      <c r="C560" s="32" t="n">
        <f aca="false">Data_Prices!C560/Data_Prices!C559-1</f>
        <v>0.0057285445507913</v>
      </c>
      <c r="D560" s="32" t="n">
        <f aca="false">Data_Prices!D560/Data_Prices!D559-1</f>
        <v>0.00850627413127425</v>
      </c>
      <c r="E560" s="32" t="n">
        <f aca="false">Data_Prices!E560/Data_Prices!E559-1</f>
        <v>0.00633335363254384</v>
      </c>
      <c r="F560" s="32" t="n">
        <f aca="false">Data_Prices!F560/Data_Prices!F559-1</f>
        <v>-0.0130303440191172</v>
      </c>
      <c r="G560" s="32" t="n">
        <f aca="false">Data_Prices!G560/Data_Prices!G559-1</f>
        <v>0.00973451327433628</v>
      </c>
      <c r="H560" s="32" t="n">
        <f aca="false">Data_Prices!H560/Data_Prices!H559-1</f>
        <v>0.0196614507591182</v>
      </c>
      <c r="I560" s="32" t="n">
        <f aca="false">Data_Prices!I560/Data_Prices!I559-1</f>
        <v>0.000107596298687396</v>
      </c>
      <c r="J560" s="32" t="n">
        <f aca="false">Data_Prices!J560/Data_Prices!J559-1</f>
        <v>-0.00197650993956455</v>
      </c>
      <c r="K560" s="32" t="n">
        <f aca="false">Data_Prices!K560/Data_Prices!K559-1</f>
        <v>0.013178998335603</v>
      </c>
      <c r="L560" s="32" t="n">
        <f aca="false">Data_Prices!L560/Data_Prices!L559-1</f>
        <v>0.0108261883124581</v>
      </c>
      <c r="M560" s="32" t="n">
        <f aca="false">Data_Prices!M560/Data_Prices!M559-1</f>
        <v>0.0102245285927145</v>
      </c>
      <c r="N560" s="32" t="n">
        <f aca="false">Data_Prices!N560/Data_Prices!N559-1</f>
        <v>0.0215119105493438</v>
      </c>
      <c r="O560" s="32" t="n">
        <f aca="false">Data_Prices!O560/Data_Prices!O559-1</f>
        <v>0.00758416574176835</v>
      </c>
      <c r="P560" s="32" t="n">
        <f aca="false">Data_Prices!P560/Data_Prices!P559-1</f>
        <v>-0.00584076237319386</v>
      </c>
      <c r="Q560" s="32" t="n">
        <f aca="false">Data_Prices!Q560/Data_Prices!Q559-1</f>
        <v>-0.00261276127612775</v>
      </c>
      <c r="R560" s="32" t="n">
        <f aca="false">Data_Prices!R560/Data_Prices!R559-1</f>
        <v>0.00929899856938476</v>
      </c>
      <c r="S560" s="32" t="n">
        <f aca="false">Data_Prices!S560/Data_Prices!S559-1</f>
        <v>-0.00897795722750183</v>
      </c>
      <c r="T560" s="32" t="n">
        <f aca="false">AVERAGE(D560:S560)</f>
        <v>0.00528310271010795</v>
      </c>
      <c r="U560" s="32" t="n">
        <f aca="false">AVERAGE(J560:S560)</f>
        <v>0.00532167992848844</v>
      </c>
      <c r="V560" s="32" t="n">
        <f aca="false">AVERAGE(D560:I560)</f>
        <v>0.00521880734614046</v>
      </c>
      <c r="W560" s="32" t="n">
        <f aca="false">AVERAGE(K560,Q560,R560)</f>
        <v>0.00662174520962</v>
      </c>
      <c r="X560" s="32" t="n">
        <f aca="false">AVERAGE(K560,L560,N560,O560,P560,Q560,R560,S560)</f>
        <v>0.00562109757896681</v>
      </c>
      <c r="Y560" s="32" t="n">
        <f aca="false">AVERAGE(J560,L560,M560,N560,O560,P560,Q560,R560,S560)</f>
        <v>0.00444864454992016</v>
      </c>
      <c r="Z560" s="32" t="n">
        <f aca="false">U560-V560</f>
        <v>0.000102872582347984</v>
      </c>
      <c r="AA560" s="32" t="n">
        <f aca="false">W560-V560</f>
        <v>0.00140293786347954</v>
      </c>
    </row>
    <row r="561" customFormat="false" ht="15" hidden="false" customHeight="false" outlineLevel="0" collapsed="false">
      <c r="A561" s="28" t="n">
        <f aca="false">Data_Prices!A561</f>
        <v>45624</v>
      </c>
      <c r="B561" s="32" t="n">
        <f aca="false">Data_Prices!B561/Data_Prices!B560-1</f>
        <v>-0.0148610292936325</v>
      </c>
      <c r="C561" s="32" t="n">
        <f aca="false">Data_Prices!C561/Data_Prices!C560-1</f>
        <v>-0.00781563302881683</v>
      </c>
      <c r="D561" s="32" t="n">
        <f aca="false">Data_Prices!D561/Data_Prices!D560-1</f>
        <v>-0.000807561165280912</v>
      </c>
      <c r="E561" s="32" t="n">
        <f aca="false">Data_Prices!E561/Data_Prices!E560-1</f>
        <v>-0.0053252647503782</v>
      </c>
      <c r="F561" s="32" t="n">
        <f aca="false">Data_Prices!F561/Data_Prices!F560-1</f>
        <v>-0.00187300137048874</v>
      </c>
      <c r="G561" s="32" t="n">
        <f aca="false">Data_Prices!G561/Data_Prices!G560-1</f>
        <v>0.0113935144609993</v>
      </c>
      <c r="H561" s="32" t="n">
        <f aca="false">Data_Prices!H561/Data_Prices!H560-1</f>
        <v>0.00792971646984997</v>
      </c>
      <c r="I561" s="32" t="n">
        <f aca="false">Data_Prices!I561/Data_Prices!I560-1</f>
        <v>0.0875739644970415</v>
      </c>
      <c r="J561" s="32" t="n">
        <f aca="false">Data_Prices!J561/Data_Prices!J560-1</f>
        <v>0.021746581863884</v>
      </c>
      <c r="K561" s="32" t="n">
        <f aca="false">Data_Prices!K561/Data_Prices!K560-1</f>
        <v>-0.0291960992219352</v>
      </c>
      <c r="L561" s="32" t="n">
        <f aca="false">Data_Prices!L561/Data_Prices!L560-1</f>
        <v>-0.00844310675057669</v>
      </c>
      <c r="M561" s="32" t="n">
        <f aca="false">Data_Prices!M561/Data_Prices!M560-1</f>
        <v>0.00325500966330994</v>
      </c>
      <c r="N561" s="32" t="n">
        <f aca="false">Data_Prices!N561/Data_Prices!N560-1</f>
        <v>0.00285544318857811</v>
      </c>
      <c r="O561" s="32" t="n">
        <f aca="false">Data_Prices!O561/Data_Prices!O560-1</f>
        <v>-0.00128511107031404</v>
      </c>
      <c r="P561" s="32" t="n">
        <f aca="false">Data_Prices!P561/Data_Prices!P560-1</f>
        <v>-0.0146619253762111</v>
      </c>
      <c r="Q561" s="32" t="n">
        <f aca="false">Data_Prices!Q561/Data_Prices!Q560-1</f>
        <v>0.0277126706190542</v>
      </c>
      <c r="R561" s="32" t="n">
        <f aca="false">Data_Prices!R561/Data_Prices!R560-1</f>
        <v>0.00907158043940459</v>
      </c>
      <c r="S561" s="32" t="n">
        <f aca="false">Data_Prices!S561/Data_Prices!S560-1</f>
        <v>0.0081815170586288</v>
      </c>
      <c r="T561" s="32" t="n">
        <f aca="false">AVERAGE(D561:S561)</f>
        <v>0.00738299553472285</v>
      </c>
      <c r="U561" s="32" t="n">
        <f aca="false">AVERAGE(J561:S561)</f>
        <v>0.00192365604138226</v>
      </c>
      <c r="V561" s="32" t="n">
        <f aca="false">AVERAGE(D561:I561)</f>
        <v>0.0164818946902905</v>
      </c>
      <c r="W561" s="32" t="n">
        <f aca="false">AVERAGE(K561,Q561,R561)</f>
        <v>0.00252938394550787</v>
      </c>
      <c r="X561" s="32" t="n">
        <f aca="false">AVERAGE(K561,L561,N561,O561,P561,Q561,R561,S561)</f>
        <v>-0.000720628889171418</v>
      </c>
      <c r="Y561" s="32" t="n">
        <f aca="false">AVERAGE(J561,L561,M561,N561,O561,P561,Q561,R561,S561)</f>
        <v>0.00538140662619531</v>
      </c>
      <c r="Z561" s="32" t="n">
        <f aca="false">U561-V561</f>
        <v>-0.0145582386489082</v>
      </c>
      <c r="AA561" s="32" t="n">
        <f aca="false">W561-V561</f>
        <v>-0.0139525107447826</v>
      </c>
    </row>
    <row r="562" customFormat="false" ht="15" hidden="false" customHeight="false" outlineLevel="0" collapsed="false">
      <c r="A562" s="28" t="n">
        <f aca="false">Data_Prices!A562</f>
        <v>45625</v>
      </c>
      <c r="B562" s="32" t="n">
        <f aca="false">Data_Prices!B562/Data_Prices!B561-1</f>
        <v>0.00907203475766427</v>
      </c>
      <c r="C562" s="32" t="n">
        <f aca="false">Data_Prices!C562/Data_Prices!C561-1</f>
        <v>0.00766844257107135</v>
      </c>
      <c r="D562" s="32" t="n">
        <f aca="false">Data_Prices!D562/Data_Prices!D561-1</f>
        <v>0.00167629538719449</v>
      </c>
      <c r="E562" s="32" t="n">
        <f aca="false">Data_Prices!E562/Data_Prices!E561-1</f>
        <v>0.00255521080489141</v>
      </c>
      <c r="F562" s="32" t="n">
        <f aca="false">Data_Prices!F562/Data_Prices!F561-1</f>
        <v>-0.0368895601629364</v>
      </c>
      <c r="G562" s="32" t="n">
        <f aca="false">Data_Prices!G562/Data_Prices!G561-1</f>
        <v>0.0064597447613044</v>
      </c>
      <c r="H562" s="32" t="n">
        <f aca="false">Data_Prices!H562/Data_Prices!H561-1</f>
        <v>0.00939551731944777</v>
      </c>
      <c r="I562" s="32" t="n">
        <f aca="false">Data_Prices!I562/Data_Prices!I561-1</f>
        <v>-0.0246315164704718</v>
      </c>
      <c r="J562" s="32" t="n">
        <f aca="false">Data_Prices!J562/Data_Prices!J561-1</f>
        <v>-0.0141643059490085</v>
      </c>
      <c r="K562" s="32" t="n">
        <f aca="false">Data_Prices!K562/Data_Prices!K561-1</f>
        <v>0.0102144417438392</v>
      </c>
      <c r="L562" s="32" t="n">
        <f aca="false">Data_Prices!L562/Data_Prices!L561-1</f>
        <v>-0.0271218512240311</v>
      </c>
      <c r="M562" s="32" t="n">
        <f aca="false">Data_Prices!M562/Data_Prices!M561-1</f>
        <v>-0.0854709520429889</v>
      </c>
      <c r="N562" s="32" t="n">
        <f aca="false">Data_Prices!N562/Data_Prices!N561-1</f>
        <v>-0.00249139874243687</v>
      </c>
      <c r="O562" s="32" t="n">
        <f aca="false">Data_Prices!O562/Data_Prices!O561-1</f>
        <v>0.00514705882352939</v>
      </c>
      <c r="P562" s="32" t="n">
        <f aca="false">Data_Prices!P562/Data_Prices!P561-1</f>
        <v>0.00266743377180356</v>
      </c>
      <c r="Q562" s="32" t="n">
        <f aca="false">Data_Prices!Q562/Data_Prices!Q561-1</f>
        <v>-0.0489669975851892</v>
      </c>
      <c r="R562" s="32" t="n">
        <f aca="false">Data_Prices!R562/Data_Prices!R561-1</f>
        <v>-0.0158730158730158</v>
      </c>
      <c r="S562" s="32" t="n">
        <f aca="false">Data_Prices!S562/Data_Prices!S561-1</f>
        <v>-0.00790156717153479</v>
      </c>
      <c r="T562" s="32" t="n">
        <f aca="false">AVERAGE(D562:S562)</f>
        <v>-0.0140872164131002</v>
      </c>
      <c r="U562" s="32" t="n">
        <f aca="false">AVERAGE(J562:S562)</f>
        <v>-0.0183961154249033</v>
      </c>
      <c r="V562" s="32" t="n">
        <f aca="false">AVERAGE(D562:I562)</f>
        <v>-0.00690571806009503</v>
      </c>
      <c r="W562" s="32" t="n">
        <f aca="false">AVERAGE(K562,Q562,R562)</f>
        <v>-0.0182085239047886</v>
      </c>
      <c r="X562" s="32" t="n">
        <f aca="false">AVERAGE(K562,L562,N562,O562,P562,Q562,R562,S562)</f>
        <v>-0.0105407370321294</v>
      </c>
      <c r="Y562" s="32" t="n">
        <f aca="false">AVERAGE(J562,L562,M562,N562,O562,P562,Q562,R562,S562)</f>
        <v>-0.0215750662214303</v>
      </c>
      <c r="Z562" s="32" t="n">
        <f aca="false">U562-V562</f>
        <v>-0.0114903973648083</v>
      </c>
      <c r="AA562" s="32" t="n">
        <f aca="false">W562-V562</f>
        <v>-0.0113028058446936</v>
      </c>
    </row>
    <row r="563" customFormat="false" ht="15" hidden="false" customHeight="false" outlineLevel="0" collapsed="false">
      <c r="A563" s="28" t="n">
        <f aca="false">Data_Prices!A563</f>
        <v>45628</v>
      </c>
      <c r="B563" s="32" t="n">
        <f aca="false">Data_Prices!B563/Data_Prices!B562-1</f>
        <v>0.00600677134486216</v>
      </c>
      <c r="C563" s="32" t="n">
        <f aca="false">Data_Prices!C563/Data_Prices!C562-1</f>
        <v>0.00656102613831711</v>
      </c>
      <c r="D563" s="32" t="n">
        <f aca="false">Data_Prices!D563/Data_Prices!D562-1</f>
        <v>-0.00579744792756176</v>
      </c>
      <c r="E563" s="32" t="n">
        <f aca="false">Data_Prices!E563/Data_Prices!E562-1</f>
        <v>-0.0114084592511683</v>
      </c>
      <c r="F563" s="32" t="n">
        <f aca="false">Data_Prices!F563/Data_Prices!F562-1</f>
        <v>0.021479827020862</v>
      </c>
      <c r="G563" s="32" t="n">
        <f aca="false">Data_Prices!G563/Data_Prices!G562-1</f>
        <v>-0.0187069505322479</v>
      </c>
      <c r="H563" s="32" t="n">
        <f aca="false">Data_Prices!H563/Data_Prices!H562-1</f>
        <v>-0.00863519120780532</v>
      </c>
      <c r="I563" s="32" t="n">
        <f aca="false">Data_Prices!I563/Data_Prices!I562-1</f>
        <v>-0.0218052738336714</v>
      </c>
      <c r="J563" s="32" t="n">
        <f aca="false">Data_Prices!J563/Data_Prices!J562-1</f>
        <v>0.000794010889292096</v>
      </c>
      <c r="K563" s="32" t="n">
        <f aca="false">Data_Prices!K563/Data_Prices!K562-1</f>
        <v>0.0113598294502817</v>
      </c>
      <c r="L563" s="32" t="n">
        <f aca="false">Data_Prices!L563/Data_Prices!L562-1</f>
        <v>0.0123586855221038</v>
      </c>
      <c r="M563" s="32" t="n">
        <f aca="false">Data_Prices!M563/Data_Prices!M562-1</f>
        <v>-0.0274944567627494</v>
      </c>
      <c r="N563" s="32" t="n">
        <f aca="false">Data_Prices!N563/Data_Prices!N562-1</f>
        <v>0.0203377735490009</v>
      </c>
      <c r="O563" s="32" t="n">
        <f aca="false">Data_Prices!O563/Data_Prices!O562-1</f>
        <v>0.0146305779078273</v>
      </c>
      <c r="P563" s="32" t="n">
        <f aca="false">Data_Prices!P563/Data_Prices!P562-1</f>
        <v>0.00965024386427071</v>
      </c>
      <c r="Q563" s="32" t="n">
        <f aca="false">Data_Prices!Q563/Data_Prices!Q562-1</f>
        <v>-0.0286359147975737</v>
      </c>
      <c r="R563" s="32" t="n">
        <f aca="false">Data_Prices!R563/Data_Prices!R562-1</f>
        <v>0.00349700256922625</v>
      </c>
      <c r="S563" s="32" t="n">
        <f aca="false">Data_Prices!S563/Data_Prices!S562-1</f>
        <v>0.0246882916894344</v>
      </c>
      <c r="T563" s="32" t="n">
        <f aca="false">AVERAGE(D563:S563)</f>
        <v>-0.000230465740654905</v>
      </c>
      <c r="U563" s="32" t="n">
        <f aca="false">AVERAGE(J563:S563)</f>
        <v>0.00411860438811141</v>
      </c>
      <c r="V563" s="32" t="n">
        <f aca="false">AVERAGE(D563:I563)</f>
        <v>-0.00747891595526543</v>
      </c>
      <c r="W563" s="32" t="n">
        <f aca="false">AVERAGE(K563,Q563,R563)</f>
        <v>-0.00459302759268857</v>
      </c>
      <c r="X563" s="32" t="n">
        <f aca="false">AVERAGE(K563,L563,N563,O563,P563,Q563,R563,S563)</f>
        <v>0.00848581121932143</v>
      </c>
      <c r="Y563" s="32" t="n">
        <f aca="false">AVERAGE(J563,L563,M563,N563,O563,P563,Q563,R563,S563)</f>
        <v>0.00331402382564805</v>
      </c>
      <c r="Z563" s="32" t="n">
        <f aca="false">U563-V563</f>
        <v>0.0115975203433768</v>
      </c>
      <c r="AA563" s="32" t="n">
        <f aca="false">W563-V563</f>
        <v>0.00288588836257686</v>
      </c>
    </row>
    <row r="564" customFormat="false" ht="15" hidden="false" customHeight="false" outlineLevel="0" collapsed="false">
      <c r="A564" s="28" t="n">
        <f aca="false">Data_Prices!A564</f>
        <v>45629</v>
      </c>
      <c r="B564" s="32" t="n">
        <f aca="false">Data_Prices!B564/Data_Prices!B563-1</f>
        <v>0.00746002747563956</v>
      </c>
      <c r="C564" s="32" t="n">
        <f aca="false">Data_Prices!C564/Data_Prices!C563-1</f>
        <v>0.00810129686436012</v>
      </c>
      <c r="D564" s="32" t="n">
        <f aca="false">Data_Prices!D564/Data_Prices!D563-1</f>
        <v>0.00856653340948022</v>
      </c>
      <c r="E564" s="32" t="n">
        <f aca="false">Data_Prices!E564/Data_Prices!E563-1</f>
        <v>0.0246148179976675</v>
      </c>
      <c r="F564" s="32" t="n">
        <f aca="false">Data_Prices!F564/Data_Prices!F563-1</f>
        <v>-0.0223772970458246</v>
      </c>
      <c r="G564" s="32" t="n">
        <f aca="false">Data_Prices!G564/Data_Prices!G563-1</f>
        <v>0.013559862806094</v>
      </c>
      <c r="H564" s="32" t="n">
        <f aca="false">Data_Prices!H564/Data_Prices!H563-1</f>
        <v>0.00107466063348416</v>
      </c>
      <c r="I564" s="32" t="n">
        <f aca="false">Data_Prices!I564/Data_Prices!I563-1</f>
        <v>0.0152410575427684</v>
      </c>
      <c r="J564" s="32" t="n">
        <f aca="false">Data_Prices!J564/Data_Prices!J563-1</f>
        <v>0.00921833087763058</v>
      </c>
      <c r="K564" s="32" t="n">
        <f aca="false">Data_Prices!K564/Data_Prices!K563-1</f>
        <v>0.00373403999036381</v>
      </c>
      <c r="L564" s="32" t="n">
        <f aca="false">Data_Prices!L564/Data_Prices!L563-1</f>
        <v>0.00356227985910995</v>
      </c>
      <c r="M564" s="32" t="n">
        <f aca="false">Data_Prices!M564/Data_Prices!M563-1</f>
        <v>0.0105449156406749</v>
      </c>
      <c r="N564" s="32" t="n">
        <f aca="false">Data_Prices!N564/Data_Prices!N563-1</f>
        <v>0.0113066791001282</v>
      </c>
      <c r="O564" s="32" t="n">
        <f aca="false">Data_Prices!O564/Data_Prices!O563-1</f>
        <v>0.0284787310742611</v>
      </c>
      <c r="P564" s="32" t="n">
        <f aca="false">Data_Prices!P564/Data_Prices!P563-1</f>
        <v>-0.00142078478985297</v>
      </c>
      <c r="Q564" s="32" t="n">
        <f aca="false">Data_Prices!Q564/Data_Prices!Q563-1</f>
        <v>0.0123438861458032</v>
      </c>
      <c r="R564" s="32" t="n">
        <f aca="false">Data_Prices!R564/Data_Prices!R563-1</f>
        <v>0.00192020482184763</v>
      </c>
      <c r="S564" s="32" t="n">
        <f aca="false">Data_Prices!S564/Data_Prices!S563-1</f>
        <v>0.0198274190420786</v>
      </c>
      <c r="T564" s="32" t="n">
        <f aca="false">AVERAGE(D564:S564)</f>
        <v>0.00876220856910717</v>
      </c>
      <c r="U564" s="32" t="n">
        <f aca="false">AVERAGE(J564:S564)</f>
        <v>0.00995157017620451</v>
      </c>
      <c r="V564" s="32" t="n">
        <f aca="false">AVERAGE(D564:I564)</f>
        <v>0.00677993922394495</v>
      </c>
      <c r="W564" s="32" t="n">
        <f aca="false">AVERAGE(K564,Q564,R564)</f>
        <v>0.00599937698600487</v>
      </c>
      <c r="X564" s="32" t="n">
        <f aca="false">AVERAGE(K564,L564,N564,O564,P564,Q564,R564,S564)</f>
        <v>0.00996905690546744</v>
      </c>
      <c r="Y564" s="32" t="n">
        <f aca="false">AVERAGE(J564,L564,M564,N564,O564,P564,Q564,R564,S564)</f>
        <v>0.0106424068635201</v>
      </c>
      <c r="Z564" s="32" t="n">
        <f aca="false">U564-V564</f>
        <v>0.00317163095225956</v>
      </c>
      <c r="AA564" s="32" t="n">
        <f aca="false">W564-V564</f>
        <v>-0.000780562237940078</v>
      </c>
    </row>
    <row r="565" customFormat="false" ht="15" hidden="false" customHeight="false" outlineLevel="0" collapsed="false">
      <c r="A565" s="28" t="n">
        <f aca="false">Data_Prices!A565</f>
        <v>45630</v>
      </c>
      <c r="B565" s="32" t="n">
        <f aca="false">Data_Prices!B565/Data_Prices!B564-1</f>
        <v>0.000421144736815204</v>
      </c>
      <c r="C565" s="32" t="n">
        <f aca="false">Data_Prices!C565/Data_Prices!C564-1</f>
        <v>0.00341646811477436</v>
      </c>
      <c r="D565" s="32" t="n">
        <f aca="false">Data_Prices!D565/Data_Prices!D564-1</f>
        <v>-0.010788579603028</v>
      </c>
      <c r="E565" s="32" t="n">
        <f aca="false">Data_Prices!E565/Data_Prices!E564-1</f>
        <v>0.0114426072369997</v>
      </c>
      <c r="F565" s="32" t="n">
        <f aca="false">Data_Prices!F565/Data_Prices!F564-1</f>
        <v>0.0074712096697438</v>
      </c>
      <c r="G565" s="32" t="n">
        <f aca="false">Data_Prices!G565/Data_Prices!G564-1</f>
        <v>0.0045644133154954</v>
      </c>
      <c r="H565" s="32" t="n">
        <f aca="false">Data_Prices!H565/Data_Prices!H564-1</f>
        <v>0.0331092152098988</v>
      </c>
      <c r="I565" s="32" t="n">
        <f aca="false">Data_Prices!I565/Data_Prices!I564-1</f>
        <v>-0.00571895424836599</v>
      </c>
      <c r="J565" s="32" t="n">
        <f aca="false">Data_Prices!J565/Data_Prices!J564-1</f>
        <v>0.0058398532549695</v>
      </c>
      <c r="K565" s="32" t="n">
        <f aca="false">Data_Prices!K565/Data_Prices!K564-1</f>
        <v>0.00966038641545675</v>
      </c>
      <c r="L565" s="32" t="n">
        <f aca="false">Data_Prices!L565/Data_Prices!L564-1</f>
        <v>0.0307900929286482</v>
      </c>
      <c r="M565" s="32" t="n">
        <f aca="false">Data_Prices!M565/Data_Prices!M564-1</f>
        <v>-0.00186135709853918</v>
      </c>
      <c r="N565" s="32" t="n">
        <f aca="false">Data_Prices!N565/Data_Prices!N564-1</f>
        <v>0.00922083909635774</v>
      </c>
      <c r="O565" s="32" t="n">
        <f aca="false">Data_Prices!O565/Data_Prices!O564-1</f>
        <v>0.000175254118471857</v>
      </c>
      <c r="P565" s="32" t="n">
        <f aca="false">Data_Prices!P565/Data_Prices!P564-1</f>
        <v>0.00776076158940398</v>
      </c>
      <c r="Q565" s="32" t="n">
        <f aca="false">Data_Prices!Q565/Data_Prices!Q564-1</f>
        <v>0.0288337397790848</v>
      </c>
      <c r="R565" s="32" t="n">
        <f aca="false">Data_Prices!R565/Data_Prices!R564-1</f>
        <v>0.0146223736513347</v>
      </c>
      <c r="S565" s="32" t="n">
        <f aca="false">Data_Prices!S565/Data_Prices!S564-1</f>
        <v>-0.00736797071825823</v>
      </c>
      <c r="T565" s="32" t="n">
        <f aca="false">AVERAGE(D565:S565)</f>
        <v>0.00860961778735461</v>
      </c>
      <c r="U565" s="32" t="n">
        <f aca="false">AVERAGE(J565:S565)</f>
        <v>0.009767397301693</v>
      </c>
      <c r="V565" s="32" t="n">
        <f aca="false">AVERAGE(D565:I565)</f>
        <v>0.00667998526345729</v>
      </c>
      <c r="W565" s="32" t="n">
        <f aca="false">AVERAGE(K565,Q565,R565)</f>
        <v>0.0177054999486254</v>
      </c>
      <c r="X565" s="32" t="n">
        <f aca="false">AVERAGE(K565,L565,N565,O565,P565,Q565,R565,S565)</f>
        <v>0.0117119346075625</v>
      </c>
      <c r="Y565" s="32" t="n">
        <f aca="false">AVERAGE(J565,L565,M565,N565,O565,P565,Q565,R565,S565)</f>
        <v>0.0097792874001637</v>
      </c>
      <c r="Z565" s="32" t="n">
        <f aca="false">U565-V565</f>
        <v>0.00308741203823571</v>
      </c>
      <c r="AA565" s="32" t="n">
        <f aca="false">W565-V565</f>
        <v>0.0110255146851681</v>
      </c>
    </row>
    <row r="566" customFormat="false" ht="15" hidden="false" customHeight="false" outlineLevel="0" collapsed="false">
      <c r="A566" s="28" t="n">
        <f aca="false">Data_Prices!A566</f>
        <v>45631</v>
      </c>
      <c r="B566" s="32" t="n">
        <f aca="false">Data_Prices!B566/Data_Prices!B565-1</f>
        <v>0.00984777735317732</v>
      </c>
      <c r="C566" s="32" t="n">
        <f aca="false">Data_Prices!C566/Data_Prices!C565-1</f>
        <v>0.00772527543886237</v>
      </c>
      <c r="D566" s="32" t="n">
        <f aca="false">Data_Prices!D566/Data_Prices!D565-1</f>
        <v>0.00274162448782844</v>
      </c>
      <c r="E566" s="32" t="n">
        <f aca="false">Data_Prices!E566/Data_Prices!E565-1</f>
        <v>-0.0101877628383581</v>
      </c>
      <c r="F566" s="32" t="n">
        <f aca="false">Data_Prices!F566/Data_Prices!F565-1</f>
        <v>-0.00533748996268468</v>
      </c>
      <c r="G566" s="32" t="n">
        <f aca="false">Data_Prices!G566/Data_Prices!G565-1</f>
        <v>0.00070505287896605</v>
      </c>
      <c r="H566" s="32" t="n">
        <f aca="false">Data_Prices!H566/Data_Prices!H565-1</f>
        <v>0.031555920153131</v>
      </c>
      <c r="I566" s="32" t="n">
        <f aca="false">Data_Prices!I566/Data_Prices!I565-1</f>
        <v>-0.0220829909613804</v>
      </c>
      <c r="J566" s="32" t="n">
        <f aca="false">Data_Prices!J566/Data_Prices!J565-1</f>
        <v>-0.00230749190516966</v>
      </c>
      <c r="K566" s="32" t="n">
        <f aca="false">Data_Prices!K566/Data_Prices!K565-1</f>
        <v>0.0163873536578119</v>
      </c>
      <c r="L566" s="32" t="n">
        <f aca="false">Data_Prices!L566/Data_Prices!L565-1</f>
        <v>-0.000619075256335866</v>
      </c>
      <c r="M566" s="32" t="n">
        <f aca="false">Data_Prices!M566/Data_Prices!M565-1</f>
        <v>0.0601265822784811</v>
      </c>
      <c r="N566" s="32" t="n">
        <f aca="false">Data_Prices!N566/Data_Prices!N565-1</f>
        <v>-0.00696665143901332</v>
      </c>
      <c r="O566" s="32" t="n">
        <f aca="false">Data_Prices!O566/Data_Prices!O565-1</f>
        <v>0.00315402137725584</v>
      </c>
      <c r="P566" s="32" t="n">
        <f aca="false">Data_Prices!P566/Data_Prices!P565-1</f>
        <v>-0.00526234726357944</v>
      </c>
      <c r="Q566" s="32" t="n">
        <f aca="false">Data_Prices!Q566/Data_Prices!Q565-1</f>
        <v>-0.000418293363078748</v>
      </c>
      <c r="R566" s="32" t="n">
        <f aca="false">Data_Prices!R566/Data_Prices!R565-1</f>
        <v>0.0135721281656638</v>
      </c>
      <c r="S566" s="32" t="n">
        <f aca="false">Data_Prices!S566/Data_Prices!S565-1</f>
        <v>-0.00191552533282258</v>
      </c>
      <c r="T566" s="32" t="n">
        <f aca="false">AVERAGE(D566:S566)</f>
        <v>0.00457156591729471</v>
      </c>
      <c r="U566" s="32" t="n">
        <f aca="false">AVERAGE(J566:S566)</f>
        <v>0.0075750700919213</v>
      </c>
      <c r="V566" s="32" t="n">
        <f aca="false">AVERAGE(D566:I566)</f>
        <v>-0.000434274373749618</v>
      </c>
      <c r="W566" s="32" t="n">
        <f aca="false">AVERAGE(K566,Q566,R566)</f>
        <v>0.00984706282013229</v>
      </c>
      <c r="X566" s="32" t="n">
        <f aca="false">AVERAGE(K566,L566,N566,O566,P566,Q566,R566,S566)</f>
        <v>0.00224145131823769</v>
      </c>
      <c r="Y566" s="32" t="n">
        <f aca="false">AVERAGE(J566,L566,M566,N566,O566,P566,Q566,R566,S566)</f>
        <v>0.00659592747348902</v>
      </c>
      <c r="Z566" s="32" t="n">
        <f aca="false">U566-V566</f>
        <v>0.00800934446567092</v>
      </c>
      <c r="AA566" s="32" t="n">
        <f aca="false">W566-V566</f>
        <v>0.0102813371938819</v>
      </c>
    </row>
    <row r="567" customFormat="false" ht="15" hidden="false" customHeight="false" outlineLevel="0" collapsed="false">
      <c r="A567" s="28" t="n">
        <f aca="false">Data_Prices!A567</f>
        <v>45632</v>
      </c>
      <c r="B567" s="32" t="n">
        <f aca="false">Data_Prices!B567/Data_Prices!B566-1</f>
        <v>-0.00123844522510574</v>
      </c>
      <c r="C567" s="32" t="n">
        <f aca="false">Data_Prices!C567/Data_Prices!C566-1</f>
        <v>0.00146705358504495</v>
      </c>
      <c r="D567" s="32" t="n">
        <f aca="false">Data_Prices!D567/Data_Prices!D566-1</f>
        <v>-0.00660998107141786</v>
      </c>
      <c r="E567" s="32" t="n">
        <f aca="false">Data_Prices!E567/Data_Prices!E566-1</f>
        <v>-0.0390162168631439</v>
      </c>
      <c r="F567" s="32" t="n">
        <f aca="false">Data_Prices!F567/Data_Prices!F566-1</f>
        <v>-0.00683825624465761</v>
      </c>
      <c r="G567" s="32" t="n">
        <f aca="false">Data_Prices!G567/Data_Prices!G566-1</f>
        <v>0.00399248473461711</v>
      </c>
      <c r="H567" s="32" t="n">
        <f aca="false">Data_Prices!H567/Data_Prices!H566-1</f>
        <v>0.0212596755381189</v>
      </c>
      <c r="I567" s="32" t="n">
        <f aca="false">Data_Prices!I567/Data_Prices!I566-1</f>
        <v>-0.00315092952420959</v>
      </c>
      <c r="J567" s="32" t="n">
        <f aca="false">Data_Prices!J567/Data_Prices!J566-1</f>
        <v>0.0163390159286754</v>
      </c>
      <c r="K567" s="32" t="n">
        <f aca="false">Data_Prices!K567/Data_Prices!K566-1</f>
        <v>-1.46175322681685E-005</v>
      </c>
      <c r="L567" s="32" t="n">
        <f aca="false">Data_Prices!L567/Data_Prices!L566-1</f>
        <v>-0.0126601881605948</v>
      </c>
      <c r="M567" s="32" t="n">
        <f aca="false">Data_Prices!M567/Data_Prices!M566-1</f>
        <v>-0.00501066098081027</v>
      </c>
      <c r="N567" s="32" t="n">
        <f aca="false">Data_Prices!N567/Data_Prices!N566-1</f>
        <v>-0.000345025876940741</v>
      </c>
      <c r="O567" s="32" t="n">
        <f aca="false">Data_Prices!O567/Data_Prices!O566-1</f>
        <v>-0.02882096069869</v>
      </c>
      <c r="P567" s="32" t="n">
        <f aca="false">Data_Prices!P567/Data_Prices!P566-1</f>
        <v>0.0072256199840004</v>
      </c>
      <c r="Q567" s="32" t="n">
        <f aca="false">Data_Prices!Q567/Data_Prices!Q566-1</f>
        <v>-0.0143674152601478</v>
      </c>
      <c r="R567" s="32" t="n">
        <f aca="false">Data_Prices!R567/Data_Prices!R566-1</f>
        <v>-0.00966316951960244</v>
      </c>
      <c r="S567" s="32" t="n">
        <f aca="false">Data_Prices!S567/Data_Prices!S566-1</f>
        <v>1.59933467678286E-005</v>
      </c>
      <c r="T567" s="32" t="n">
        <f aca="false">AVERAGE(D567:S567)</f>
        <v>-0.00485403951251898</v>
      </c>
      <c r="U567" s="32" t="n">
        <f aca="false">AVERAGE(J567:S567)</f>
        <v>-0.00473014087696106</v>
      </c>
      <c r="V567" s="32" t="n">
        <f aca="false">AVERAGE(D567:I567)</f>
        <v>-0.00506053723844883</v>
      </c>
      <c r="W567" s="32" t="n">
        <f aca="false">AVERAGE(K567,Q567,R567)</f>
        <v>-0.00801506743733949</v>
      </c>
      <c r="X567" s="32" t="n">
        <f aca="false">AVERAGE(K567,L567,N567,O567,P567,Q567,R567,S567)</f>
        <v>-0.00732872046468447</v>
      </c>
      <c r="Y567" s="32" t="n">
        <f aca="false">AVERAGE(J567,L567,M567,N567,O567,P567,Q567,R567,S567)</f>
        <v>-0.00525408791526028</v>
      </c>
      <c r="Z567" s="32" t="n">
        <f aca="false">U567-V567</f>
        <v>0.000330396361487765</v>
      </c>
      <c r="AA567" s="32" t="n">
        <f aca="false">W567-V567</f>
        <v>-0.00295453019889066</v>
      </c>
    </row>
    <row r="568" customFormat="false" ht="15" hidden="false" customHeight="false" outlineLevel="0" collapsed="false">
      <c r="A568" s="28" t="n">
        <f aca="false">Data_Prices!A568</f>
        <v>45635</v>
      </c>
      <c r="B568" s="32" t="n">
        <f aca="false">Data_Prices!B568/Data_Prices!B567-1</f>
        <v>-0.00238270834515231</v>
      </c>
      <c r="C568" s="32" t="n">
        <f aca="false">Data_Prices!C568/Data_Prices!C567-1</f>
        <v>-0.00086221318542723</v>
      </c>
      <c r="D568" s="32" t="n">
        <f aca="false">Data_Prices!D568/Data_Prices!D567-1</f>
        <v>0.00426458579076305</v>
      </c>
      <c r="E568" s="32" t="n">
        <f aca="false">Data_Prices!E568/Data_Prices!E567-1</f>
        <v>0.001930381717417</v>
      </c>
      <c r="F568" s="32" t="n">
        <f aca="false">Data_Prices!F568/Data_Prices!F567-1</f>
        <v>-0.00903700870230473</v>
      </c>
      <c r="G568" s="32" t="n">
        <f aca="false">Data_Prices!G568/Data_Prices!G567-1</f>
        <v>-0.0173099415204678</v>
      </c>
      <c r="H568" s="32" t="n">
        <f aca="false">Data_Prices!H568/Data_Prices!H567-1</f>
        <v>-0.00399730052432123</v>
      </c>
      <c r="I568" s="32" t="n">
        <f aca="false">Data_Prices!I568/Data_Prices!I567-1</f>
        <v>0.00021072595090077</v>
      </c>
      <c r="J568" s="32" t="n">
        <f aca="false">Data_Prices!J568/Data_Prices!J567-1</f>
        <v>0.00172508717195807</v>
      </c>
      <c r="K568" s="32" t="n">
        <f aca="false">Data_Prices!K568/Data_Prices!K567-1</f>
        <v>0.0026311942698436</v>
      </c>
      <c r="L568" s="32" t="n">
        <f aca="false">Data_Prices!L568/Data_Prices!L567-1</f>
        <v>0.00560740334091459</v>
      </c>
      <c r="M568" s="32" t="n">
        <f aca="false">Data_Prices!M568/Data_Prices!M567-1</f>
        <v>0.00551805421622209</v>
      </c>
      <c r="N568" s="32" t="n">
        <f aca="false">Data_Prices!N568/Data_Prices!N567-1</f>
        <v>-0.0046019328117809</v>
      </c>
      <c r="O568" s="32" t="n">
        <f aca="false">Data_Prices!O568/Data_Prices!O567-1</f>
        <v>0.00413669064748201</v>
      </c>
      <c r="P568" s="32" t="n">
        <f aca="false">Data_Prices!P568/Data_Prices!P567-1</f>
        <v>0.020368425097999</v>
      </c>
      <c r="Q568" s="32" t="n">
        <f aca="false">Data_Prices!Q568/Data_Prices!Q567-1</f>
        <v>0.0185394848570619</v>
      </c>
      <c r="R568" s="32" t="n">
        <f aca="false">Data_Prices!R568/Data_Prices!R567-1</f>
        <v>0.00313632562029542</v>
      </c>
      <c r="S568" s="32" t="n">
        <f aca="false">Data_Prices!S568/Data_Prices!S567-1</f>
        <v>-0.00622131239304613</v>
      </c>
      <c r="T568" s="32" t="n">
        <f aca="false">AVERAGE(D568:S568)</f>
        <v>0.00168130392055854</v>
      </c>
      <c r="U568" s="32" t="n">
        <f aca="false">AVERAGE(J568:S568)</f>
        <v>0.00508394200169496</v>
      </c>
      <c r="V568" s="32" t="n">
        <f aca="false">AVERAGE(D568:I568)</f>
        <v>-0.00398975954800216</v>
      </c>
      <c r="W568" s="32" t="n">
        <f aca="false">AVERAGE(K568,Q568,R568)</f>
        <v>0.00810233491573364</v>
      </c>
      <c r="X568" s="32" t="n">
        <f aca="false">AVERAGE(K568,L568,N568,O568,P568,Q568,R568,S568)</f>
        <v>0.00544953482859618</v>
      </c>
      <c r="Y568" s="32" t="n">
        <f aca="false">AVERAGE(J568,L568,M568,N568,O568,P568,Q568,R568,S568)</f>
        <v>0.00535646952745623</v>
      </c>
      <c r="Z568" s="32" t="n">
        <f aca="false">U568-V568</f>
        <v>0.00907370154969713</v>
      </c>
      <c r="AA568" s="32" t="n">
        <f aca="false">W568-V568</f>
        <v>0.0120920944637358</v>
      </c>
    </row>
    <row r="569" customFormat="false" ht="15" hidden="false" customHeight="false" outlineLevel="0" collapsed="false">
      <c r="A569" s="28" t="n">
        <f aca="false">Data_Prices!A569</f>
        <v>45636</v>
      </c>
      <c r="B569" s="32" t="n">
        <f aca="false">Data_Prices!B569/Data_Prices!B568-1</f>
        <v>-0.000363540355010406</v>
      </c>
      <c r="C569" s="32" t="n">
        <f aca="false">Data_Prices!C569/Data_Prices!C568-1</f>
        <v>0.000983170187188742</v>
      </c>
      <c r="D569" s="32" t="n">
        <f aca="false">Data_Prices!D569/Data_Prices!D568-1</f>
        <v>0.0140645705336706</v>
      </c>
      <c r="E569" s="32" t="n">
        <f aca="false">Data_Prices!E569/Data_Prices!E568-1</f>
        <v>0.0178371659415786</v>
      </c>
      <c r="F569" s="32" t="n">
        <f aca="false">Data_Prices!F569/Data_Prices!F568-1</f>
        <v>-0.0135102533172496</v>
      </c>
      <c r="G569" s="32" t="n">
        <f aca="false">Data_Prices!G569/Data_Prices!G568-1</f>
        <v>0.000476077124494267</v>
      </c>
      <c r="H569" s="32" t="n">
        <f aca="false">Data_Prices!H569/Data_Prices!H568-1</f>
        <v>0.00542061920150116</v>
      </c>
      <c r="I569" s="32" t="n">
        <f aca="false">Data_Prices!I569/Data_Prices!I568-1</f>
        <v>-0.00747919519646045</v>
      </c>
      <c r="J569" s="32" t="n">
        <f aca="false">Data_Prices!J569/Data_Prices!J568-1</f>
        <v>0.0215814157995018</v>
      </c>
      <c r="K569" s="32" t="n">
        <f aca="false">Data_Prices!K569/Data_Prices!K568-1</f>
        <v>0.00988482286047532</v>
      </c>
      <c r="L569" s="32" t="n">
        <f aca="false">Data_Prices!L569/Data_Prices!L568-1</f>
        <v>0.0421524663677129</v>
      </c>
      <c r="M569" s="32" t="n">
        <f aca="false">Data_Prices!M569/Data_Prices!M568-1</f>
        <v>-0.0232830731525387</v>
      </c>
      <c r="N569" s="32" t="n">
        <f aca="false">Data_Prices!N569/Data_Prices!N568-1</f>
        <v>0.0234627831715211</v>
      </c>
      <c r="O569" s="32" t="n">
        <f aca="false">Data_Prices!O569/Data_Prices!O568-1</f>
        <v>0.019344438473939</v>
      </c>
      <c r="P569" s="32" t="n">
        <f aca="false">Data_Prices!P569/Data_Prices!P568-1</f>
        <v>0.0210666398834931</v>
      </c>
      <c r="Q569" s="32" t="n">
        <f aca="false">Data_Prices!Q569/Data_Prices!Q568-1</f>
        <v>-0.00263998888425743</v>
      </c>
      <c r="R569" s="32" t="n">
        <f aca="false">Data_Prices!R569/Data_Prices!R568-1</f>
        <v>0.0136872090599598</v>
      </c>
      <c r="S569" s="32" t="n">
        <f aca="false">Data_Prices!S569/Data_Prices!S568-1</f>
        <v>0.0256203933180983</v>
      </c>
      <c r="T569" s="32" t="n">
        <f aca="false">AVERAGE(D569:S569)</f>
        <v>0.01048038069909</v>
      </c>
      <c r="U569" s="32" t="n">
        <f aca="false">AVERAGE(J569:S569)</f>
        <v>0.0150877106897905</v>
      </c>
      <c r="V569" s="32" t="n">
        <f aca="false">AVERAGE(D569:I569)</f>
        <v>0.00280149738125575</v>
      </c>
      <c r="W569" s="32" t="n">
        <f aca="false">AVERAGE(K569,Q569,R569)</f>
        <v>0.00697734767872589</v>
      </c>
      <c r="X569" s="32" t="n">
        <f aca="false">AVERAGE(K569,L569,N569,O569,P569,Q569,R569,S569)</f>
        <v>0.0190723455313677</v>
      </c>
      <c r="Y569" s="32" t="n">
        <f aca="false">AVERAGE(J569,L569,M569,N569,O569,P569,Q569,R569,S569)</f>
        <v>0.0156658093374922</v>
      </c>
      <c r="Z569" s="32" t="n">
        <f aca="false">U569-V569</f>
        <v>0.0122862133085347</v>
      </c>
      <c r="AA569" s="32" t="n">
        <f aca="false">W569-V569</f>
        <v>0.00417585029747014</v>
      </c>
    </row>
    <row r="570" customFormat="false" ht="15" hidden="false" customHeight="false" outlineLevel="0" collapsed="false">
      <c r="A570" s="28" t="n">
        <f aca="false">Data_Prices!A570</f>
        <v>45637</v>
      </c>
      <c r="B570" s="32" t="n">
        <f aca="false">Data_Prices!B570/Data_Prices!B569-1</f>
        <v>0.00129012334391843</v>
      </c>
      <c r="C570" s="32" t="n">
        <f aca="false">Data_Prices!C570/Data_Prices!C569-1</f>
        <v>0.00185503690772859</v>
      </c>
      <c r="D570" s="32" t="n">
        <f aca="false">Data_Prices!D570/Data_Prices!D569-1</f>
        <v>-0.00579133378872021</v>
      </c>
      <c r="E570" s="32" t="n">
        <f aca="false">Data_Prices!E570/Data_Prices!E569-1</f>
        <v>0.00134334737741959</v>
      </c>
      <c r="F570" s="32" t="n">
        <f aca="false">Data_Prices!F570/Data_Prices!F569-1</f>
        <v>0.00743458058204927</v>
      </c>
      <c r="G570" s="32" t="n">
        <f aca="false">Data_Prices!G570/Data_Prices!G569-1</f>
        <v>0.0101514791022286</v>
      </c>
      <c r="H570" s="32" t="n">
        <f aca="false">Data_Prices!H570/Data_Prices!H569-1</f>
        <v>-0.0255054432348367</v>
      </c>
      <c r="I570" s="32" t="n">
        <f aca="false">Data_Prices!I570/Data_Prices!I569-1</f>
        <v>-0.00106134578645722</v>
      </c>
      <c r="J570" s="32" t="n">
        <f aca="false">Data_Prices!J570/Data_Prices!J569-1</f>
        <v>-0.0315268462393745</v>
      </c>
      <c r="K570" s="32" t="n">
        <f aca="false">Data_Prices!K570/Data_Prices!K569-1</f>
        <v>0.0257839117630074</v>
      </c>
      <c r="L570" s="32" t="n">
        <f aca="false">Data_Prices!L570/Data_Prices!L569-1</f>
        <v>0.00946643717728057</v>
      </c>
      <c r="M570" s="32" t="n">
        <f aca="false">Data_Prices!M570/Data_Prices!M569-1</f>
        <v>-0.0144010473488981</v>
      </c>
      <c r="N570" s="32" t="n">
        <f aca="false">Data_Prices!N570/Data_Prices!N569-1</f>
        <v>0.00530773574251842</v>
      </c>
      <c r="O570" s="32" t="n">
        <f aca="false">Data_Prices!O570/Data_Prices!O569-1</f>
        <v>-0.00527148128624144</v>
      </c>
      <c r="P570" s="32" t="n">
        <f aca="false">Data_Prices!P570/Data_Prices!P569-1</f>
        <v>0.0153694823558344</v>
      </c>
      <c r="Q570" s="32" t="n">
        <f aca="false">Data_Prices!Q570/Data_Prices!Q569-1</f>
        <v>0.0151852883811647</v>
      </c>
      <c r="R570" s="32" t="n">
        <f aca="false">Data_Prices!R570/Data_Prices!R569-1</f>
        <v>0.00171350239890344</v>
      </c>
      <c r="S570" s="32" t="n">
        <f aca="false">Data_Prices!S570/Data_Prices!S569-1</f>
        <v>0.0193786285893613</v>
      </c>
      <c r="T570" s="32" t="n">
        <f aca="false">AVERAGE(D570:S570)</f>
        <v>0.00172355598657747</v>
      </c>
      <c r="U570" s="32" t="n">
        <f aca="false">AVERAGE(J570:S570)</f>
        <v>0.00410056115335562</v>
      </c>
      <c r="V570" s="32" t="n">
        <f aca="false">AVERAGE(D570:I570)</f>
        <v>-0.00223811929138612</v>
      </c>
      <c r="W570" s="32" t="n">
        <f aca="false">AVERAGE(K570,Q570,R570)</f>
        <v>0.0142275675143585</v>
      </c>
      <c r="X570" s="32" t="n">
        <f aca="false">AVERAGE(K570,L570,N570,O570,P570,Q570,R570,S570)</f>
        <v>0.0108666881402286</v>
      </c>
      <c r="Y570" s="32" t="n">
        <f aca="false">AVERAGE(J570,L570,M570,N570,O570,P570,Q570,R570,S570)</f>
        <v>0.00169129997450542</v>
      </c>
      <c r="Z570" s="32" t="n">
        <f aca="false">U570-V570</f>
        <v>0.00633868044474174</v>
      </c>
      <c r="AA570" s="32" t="n">
        <f aca="false">W570-V570</f>
        <v>0.0164656868057447</v>
      </c>
    </row>
    <row r="571" customFormat="false" ht="15" hidden="false" customHeight="false" outlineLevel="0" collapsed="false">
      <c r="A571" s="28" t="n">
        <f aca="false">Data_Prices!A571</f>
        <v>45638</v>
      </c>
      <c r="B571" s="32" t="n">
        <f aca="false">Data_Prices!B571/Data_Prices!B570-1</f>
        <v>-0.00377813309092678</v>
      </c>
      <c r="C571" s="32" t="n">
        <f aca="false">Data_Prices!C571/Data_Prices!C570-1</f>
        <v>-0.00435608128212206</v>
      </c>
      <c r="D571" s="32" t="n">
        <f aca="false">Data_Prices!D571/Data_Prices!D570-1</f>
        <v>0.00253913251284499</v>
      </c>
      <c r="E571" s="32" t="n">
        <f aca="false">Data_Prices!E571/Data_Prices!E570-1</f>
        <v>-0.0110982376974206</v>
      </c>
      <c r="F571" s="32" t="n">
        <f aca="false">Data_Prices!F571/Data_Prices!F570-1</f>
        <v>0.00995290576297525</v>
      </c>
      <c r="G571" s="32" t="n">
        <f aca="false">Data_Prices!G571/Data_Prices!G570-1</f>
        <v>-0.00714453953050176</v>
      </c>
      <c r="H571" s="32" t="n">
        <f aca="false">Data_Prices!H571/Data_Prices!H570-1</f>
        <v>-0.0127141185232471</v>
      </c>
      <c r="I571" s="32" t="n">
        <f aca="false">Data_Prices!I571/Data_Prices!I570-1</f>
        <v>-0.0254993625159371</v>
      </c>
      <c r="J571" s="32" t="n">
        <f aca="false">Data_Prices!J571/Data_Prices!J570-1</f>
        <v>-0.0150729575586993</v>
      </c>
      <c r="K571" s="32" t="n">
        <f aca="false">Data_Prices!K571/Data_Prices!K570-1</f>
        <v>0.0015058969234667</v>
      </c>
      <c r="L571" s="32" t="n">
        <f aca="false">Data_Prices!L571/Data_Prices!L570-1</f>
        <v>-0.00437377219318735</v>
      </c>
      <c r="M571" s="32" t="n">
        <f aca="false">Data_Prices!M571/Data_Prices!M570-1</f>
        <v>-0.0106265220278946</v>
      </c>
      <c r="N571" s="32" t="n">
        <f aca="false">Data_Prices!N571/Data_Prices!N570-1</f>
        <v>-0.0259492248932824</v>
      </c>
      <c r="O571" s="32" t="n">
        <f aca="false">Data_Prices!O571/Data_Prices!O570-1</f>
        <v>-0.0111287758346583</v>
      </c>
      <c r="P571" s="32" t="n">
        <f aca="false">Data_Prices!P571/Data_Prices!P570-1</f>
        <v>0.0304432065875515</v>
      </c>
      <c r="Q571" s="32" t="n">
        <f aca="false">Data_Prices!Q571/Data_Prices!Q570-1</f>
        <v>-0.0167421435432964</v>
      </c>
      <c r="R571" s="32" t="n">
        <f aca="false">Data_Prices!R571/Data_Prices!R570-1</f>
        <v>-0.00540540540540546</v>
      </c>
      <c r="S571" s="32" t="n">
        <f aca="false">Data_Prices!S571/Data_Prices!S570-1</f>
        <v>-4.61787116139423E-005</v>
      </c>
      <c r="T571" s="32" t="n">
        <f aca="false">AVERAGE(D571:S571)</f>
        <v>-0.00633500604051912</v>
      </c>
      <c r="U571" s="32" t="n">
        <f aca="false">AVERAGE(J571:S571)</f>
        <v>-0.00573958766570196</v>
      </c>
      <c r="V571" s="32" t="n">
        <f aca="false">AVERAGE(D571:I571)</f>
        <v>-0.00732736999854772</v>
      </c>
      <c r="W571" s="32" t="n">
        <f aca="false">AVERAGE(K571,Q571,R571)</f>
        <v>-0.00688055067507839</v>
      </c>
      <c r="X571" s="32" t="n">
        <f aca="false">AVERAGE(K571,L571,N571,O571,P571,Q571,R571,S571)</f>
        <v>-0.00396204963380321</v>
      </c>
      <c r="Y571" s="32" t="n">
        <f aca="false">AVERAGE(J571,L571,M571,N571,O571,P571,Q571,R571,S571)</f>
        <v>-0.00654464150894292</v>
      </c>
      <c r="Z571" s="32" t="n">
        <f aca="false">U571-V571</f>
        <v>0.00158778233284576</v>
      </c>
      <c r="AA571" s="32" t="n">
        <f aca="false">W571-V571</f>
        <v>0.000446819323469331</v>
      </c>
    </row>
    <row r="572" customFormat="false" ht="15" hidden="false" customHeight="false" outlineLevel="0" collapsed="false">
      <c r="A572" s="28" t="n">
        <f aca="false">Data_Prices!A572</f>
        <v>45639</v>
      </c>
      <c r="B572" s="32" t="n">
        <f aca="false">Data_Prices!B572/Data_Prices!B571-1</f>
        <v>0.0089454838749099</v>
      </c>
      <c r="C572" s="32" t="n">
        <f aca="false">Data_Prices!C572/Data_Prices!C571-1</f>
        <v>0.00440953887962015</v>
      </c>
      <c r="D572" s="32" t="n">
        <f aca="false">Data_Prices!D572/Data_Prices!D571-1</f>
        <v>-0.00846220315246871</v>
      </c>
      <c r="E572" s="32" t="n">
        <f aca="false">Data_Prices!E572/Data_Prices!E571-1</f>
        <v>-0.00955787136955044</v>
      </c>
      <c r="F572" s="32" t="n">
        <f aca="false">Data_Prices!F572/Data_Prices!F571-1</f>
        <v>0.0127872319969236</v>
      </c>
      <c r="G572" s="32" t="n">
        <f aca="false">Data_Prices!G572/Data_Prices!G571-1</f>
        <v>-0.0125731456587062</v>
      </c>
      <c r="H572" s="32" t="n">
        <f aca="false">Data_Prices!H572/Data_Prices!H571-1</f>
        <v>0.00662751225820357</v>
      </c>
      <c r="I572" s="32" t="n">
        <f aca="false">Data_Prices!I572/Data_Prices!I571-1</f>
        <v>0.00218054949847368</v>
      </c>
      <c r="J572" s="32" t="n">
        <f aca="false">Data_Prices!J572/Data_Prices!J571-1</f>
        <v>-0.00533934950178594</v>
      </c>
      <c r="K572" s="32" t="n">
        <f aca="false">Data_Prices!K572/Data_Prices!K571-1</f>
        <v>0.00799595283933607</v>
      </c>
      <c r="L572" s="32" t="n">
        <f aca="false">Data_Prices!L572/Data_Prices!L571-1</f>
        <v>-0.0284427236513906</v>
      </c>
      <c r="M572" s="32" t="n">
        <f aca="false">Data_Prices!M572/Data_Prices!M571-1</f>
        <v>0.004531215036921</v>
      </c>
      <c r="N572" s="32" t="n">
        <f aca="false">Data_Prices!N572/Data_Prices!N571-1</f>
        <v>0.00599700149925031</v>
      </c>
      <c r="O572" s="32" t="n">
        <f aca="false">Data_Prices!O572/Data_Prices!O571-1</f>
        <v>-0.0183994283672739</v>
      </c>
      <c r="P572" s="32" t="n">
        <f aca="false">Data_Prices!P572/Data_Prices!P571-1</f>
        <v>-0.0162173596258256</v>
      </c>
      <c r="Q572" s="32" t="n">
        <f aca="false">Data_Prices!Q572/Data_Prices!Q571-1</f>
        <v>-0.0231681786461968</v>
      </c>
      <c r="R572" s="32" t="n">
        <f aca="false">Data_Prices!R572/Data_Prices!R571-1</f>
        <v>-0.0018574573472756</v>
      </c>
      <c r="S572" s="32" t="n">
        <f aca="false">Data_Prices!S572/Data_Prices!S571-1</f>
        <v>-0.0263384748006527</v>
      </c>
      <c r="T572" s="32" t="n">
        <f aca="false">AVERAGE(D572:S572)</f>
        <v>-0.00688979556200114</v>
      </c>
      <c r="U572" s="32" t="n">
        <f aca="false">AVERAGE(J572:S572)</f>
        <v>-0.0101238802564894</v>
      </c>
      <c r="V572" s="32" t="n">
        <f aca="false">AVERAGE(D572:I572)</f>
        <v>-0.00149965440452075</v>
      </c>
      <c r="W572" s="32" t="n">
        <f aca="false">AVERAGE(K572,Q572,R572)</f>
        <v>-0.00567656105137878</v>
      </c>
      <c r="X572" s="32" t="n">
        <f aca="false">AVERAGE(K572,L572,N572,O572,P572,Q572,R572,S572)</f>
        <v>-0.0125538335125036</v>
      </c>
      <c r="Y572" s="32" t="n">
        <f aca="false">AVERAGE(J572,L572,M572,N572,O572,P572,Q572,R572,S572)</f>
        <v>-0.0121371950449144</v>
      </c>
      <c r="Z572" s="32" t="n">
        <f aca="false">U572-V572</f>
        <v>-0.00862422585196862</v>
      </c>
      <c r="AA572" s="32" t="n">
        <f aca="false">W572-V572</f>
        <v>-0.00417690664685803</v>
      </c>
    </row>
    <row r="573" customFormat="false" ht="15" hidden="false" customHeight="false" outlineLevel="0" collapsed="false">
      <c r="A573" s="28" t="n">
        <f aca="false">Data_Prices!A573</f>
        <v>45642</v>
      </c>
      <c r="B573" s="32" t="n">
        <f aca="false">Data_Prices!B573/Data_Prices!B572-1</f>
        <v>-0.00403943750681313</v>
      </c>
      <c r="C573" s="32" t="n">
        <f aca="false">Data_Prices!C573/Data_Prices!C572-1</f>
        <v>-0.000278265932330046</v>
      </c>
      <c r="D573" s="32" t="n">
        <f aca="false">Data_Prices!D573/Data_Prices!D572-1</f>
        <v>0.00339573879856969</v>
      </c>
      <c r="E573" s="32" t="n">
        <f aca="false">Data_Prices!E573/Data_Prices!E572-1</f>
        <v>-0.00143195118914208</v>
      </c>
      <c r="F573" s="32" t="n">
        <f aca="false">Data_Prices!F573/Data_Prices!F572-1</f>
        <v>-0.00246819821530297</v>
      </c>
      <c r="G573" s="32" t="n">
        <f aca="false">Data_Prices!G573/Data_Prices!G572-1</f>
        <v>0.00256266517177872</v>
      </c>
      <c r="H573" s="32" t="n">
        <f aca="false">Data_Prices!H573/Data_Prices!H572-1</f>
        <v>-0.0132212825179318</v>
      </c>
      <c r="I573" s="32" t="n">
        <f aca="false">Data_Prices!I573/Data_Prices!I572-1</f>
        <v>-0.000435161009573637</v>
      </c>
      <c r="J573" s="32" t="n">
        <f aca="false">Data_Prices!J573/Data_Prices!J572-1</f>
        <v>0.00234377953351217</v>
      </c>
      <c r="K573" s="32" t="n">
        <f aca="false">Data_Prices!K573/Data_Prices!K572-1</f>
        <v>0.00356893907709477</v>
      </c>
      <c r="L573" s="32" t="n">
        <f aca="false">Data_Prices!L573/Data_Prices!L572-1</f>
        <v>-0.0146760164003524</v>
      </c>
      <c r="M573" s="32" t="n">
        <f aca="false">Data_Prices!M573/Data_Prices!M572-1</f>
        <v>-0.0037311354903381</v>
      </c>
      <c r="N573" s="32" t="n">
        <f aca="false">Data_Prices!N573/Data_Prices!N572-1</f>
        <v>-0.0212082998968245</v>
      </c>
      <c r="O573" s="32" t="n">
        <f aca="false">Data_Prices!O573/Data_Prices!O572-1</f>
        <v>0.00727934485896276</v>
      </c>
      <c r="P573" s="32" t="n">
        <f aca="false">Data_Prices!P573/Data_Prices!P572-1</f>
        <v>0.0125904866569511</v>
      </c>
      <c r="Q573" s="32" t="n">
        <f aca="false">Data_Prices!Q573/Data_Prices!Q572-1</f>
        <v>-0.0142877553936277</v>
      </c>
      <c r="R573" s="32" t="n">
        <f aca="false">Data_Prices!R573/Data_Prices!R572-1</f>
        <v>0.00399751878144605</v>
      </c>
      <c r="S573" s="32" t="n">
        <f aca="false">Data_Prices!S573/Data_Prices!S572-1</f>
        <v>-0.0079366334129104</v>
      </c>
      <c r="T573" s="32" t="n">
        <f aca="false">AVERAGE(D573:S573)</f>
        <v>-0.00272862254048052</v>
      </c>
      <c r="U573" s="32" t="n">
        <f aca="false">AVERAGE(J573:S573)</f>
        <v>-0.00320597716860863</v>
      </c>
      <c r="V573" s="32" t="n">
        <f aca="false">AVERAGE(D573:I573)</f>
        <v>-0.00193303149360034</v>
      </c>
      <c r="W573" s="32" t="n">
        <f aca="false">AVERAGE(K573,Q573,R573)</f>
        <v>-0.00224043251169563</v>
      </c>
      <c r="X573" s="32" t="n">
        <f aca="false">AVERAGE(K573,L573,N573,O573,P573,Q573,R573,S573)</f>
        <v>-0.00383405196615755</v>
      </c>
      <c r="Y573" s="32" t="n">
        <f aca="false">AVERAGE(J573,L573,M573,N573,O573,P573,Q573,R573,S573)</f>
        <v>-0.00395874564035345</v>
      </c>
      <c r="Z573" s="32" t="n">
        <f aca="false">U573-V573</f>
        <v>-0.00127294567500829</v>
      </c>
      <c r="AA573" s="32" t="n">
        <f aca="false">W573-V573</f>
        <v>-0.000307401018095288</v>
      </c>
    </row>
    <row r="574" customFormat="false" ht="15" hidden="false" customHeight="false" outlineLevel="0" collapsed="false">
      <c r="A574" s="28" t="n">
        <f aca="false">Data_Prices!A574</f>
        <v>45643</v>
      </c>
      <c r="B574" s="32" t="n">
        <f aca="false">Data_Prices!B574/Data_Prices!B573-1</f>
        <v>-0.0134687300477334</v>
      </c>
      <c r="C574" s="32" t="n">
        <f aca="false">Data_Prices!C574/Data_Prices!C573-1</f>
        <v>-0.0109924226365971</v>
      </c>
      <c r="D574" s="32" t="n">
        <f aca="false">Data_Prices!D574/Data_Prices!D573-1</f>
        <v>-0.00323450134770897</v>
      </c>
      <c r="E574" s="32" t="n">
        <f aca="false">Data_Prices!E574/Data_Prices!E573-1</f>
        <v>-0.0255626909408317</v>
      </c>
      <c r="F574" s="32" t="n">
        <f aca="false">Data_Prices!F574/Data_Prices!F573-1</f>
        <v>-0.0117529501332317</v>
      </c>
      <c r="G574" s="32" t="n">
        <f aca="false">Data_Prices!G574/Data_Prices!G573-1</f>
        <v>-0.0337087626807253</v>
      </c>
      <c r="H574" s="32" t="n">
        <f aca="false">Data_Prices!H574/Data_Prices!H573-1</f>
        <v>-0.0350962842419311</v>
      </c>
      <c r="I574" s="32" t="n">
        <f aca="false">Data_Prices!I574/Data_Prices!I573-1</f>
        <v>-0.0249238136700043</v>
      </c>
      <c r="J574" s="32" t="n">
        <f aca="false">Data_Prices!J574/Data_Prices!J573-1</f>
        <v>-0.00305487459928344</v>
      </c>
      <c r="K574" s="32" t="n">
        <f aca="false">Data_Prices!K574/Data_Prices!K573-1</f>
        <v>-0.00770983246742429</v>
      </c>
      <c r="L574" s="32" t="n">
        <f aca="false">Data_Prices!L574/Data_Prices!L573-1</f>
        <v>-0.0302558917321304</v>
      </c>
      <c r="M574" s="32" t="n">
        <f aca="false">Data_Prices!M574/Data_Prices!M573-1</f>
        <v>-0.0240357741755171</v>
      </c>
      <c r="N574" s="32" t="n">
        <f aca="false">Data_Prices!N574/Data_Prices!N573-1</f>
        <v>-0.0245959241040056</v>
      </c>
      <c r="O574" s="32" t="n">
        <f aca="false">Data_Prices!O574/Data_Prices!O573-1</f>
        <v>-0.026196928635953</v>
      </c>
      <c r="P574" s="32" t="n">
        <f aca="false">Data_Prices!P574/Data_Prices!P573-1</f>
        <v>-0.0067478293695733</v>
      </c>
      <c r="Q574" s="32" t="n">
        <f aca="false">Data_Prices!Q574/Data_Prices!Q573-1</f>
        <v>-0.0120307290911725</v>
      </c>
      <c r="R574" s="32" t="n">
        <f aca="false">Data_Prices!R574/Data_Prices!R573-1</f>
        <v>-0.0178485618178074</v>
      </c>
      <c r="S574" s="32" t="n">
        <f aca="false">Data_Prices!S574/Data_Prices!S573-1</f>
        <v>-0.0511721302331512</v>
      </c>
      <c r="T574" s="32" t="n">
        <f aca="false">AVERAGE(D574:S574)</f>
        <v>-0.0211204674525282</v>
      </c>
      <c r="U574" s="32" t="n">
        <f aca="false">AVERAGE(J574:S574)</f>
        <v>-0.0203648476226018</v>
      </c>
      <c r="V574" s="32" t="n">
        <f aca="false">AVERAGE(D574:I574)</f>
        <v>-0.0223798338357389</v>
      </c>
      <c r="W574" s="32" t="n">
        <f aca="false">AVERAGE(K574,Q574,R574)</f>
        <v>-0.0125297077921347</v>
      </c>
      <c r="X574" s="32" t="n">
        <f aca="false">AVERAGE(K574,L574,N574,O574,P574,Q574,R574,S574)</f>
        <v>-0.0220697284314022</v>
      </c>
      <c r="Y574" s="32" t="n">
        <f aca="false">AVERAGE(J574,L574,M574,N574,O574,P574,Q574,R574,S574)</f>
        <v>-0.0217709604176215</v>
      </c>
      <c r="Z574" s="32" t="n">
        <f aca="false">U574-V574</f>
        <v>0.00201498621313705</v>
      </c>
      <c r="AA574" s="32" t="n">
        <f aca="false">W574-V574</f>
        <v>0.00985012604360414</v>
      </c>
    </row>
    <row r="575" customFormat="false" ht="15" hidden="false" customHeight="false" outlineLevel="0" collapsed="false">
      <c r="A575" s="28" t="n">
        <f aca="false">Data_Prices!A575</f>
        <v>45644</v>
      </c>
      <c r="B575" s="32" t="n">
        <f aca="false">Data_Prices!B575/Data_Prices!B574-1</f>
        <v>-0.0056356837606838</v>
      </c>
      <c r="C575" s="32" t="n">
        <f aca="false">Data_Prices!C575/Data_Prices!C574-1</f>
        <v>-0.00698613381249791</v>
      </c>
      <c r="D575" s="32" t="n">
        <f aca="false">Data_Prices!D575/Data_Prices!D574-1</f>
        <v>0.0109668890090739</v>
      </c>
      <c r="E575" s="32" t="n">
        <f aca="false">Data_Prices!E575/Data_Prices!E574-1</f>
        <v>-0.0108772154328491</v>
      </c>
      <c r="F575" s="32" t="n">
        <f aca="false">Data_Prices!F575/Data_Prices!F574-1</f>
        <v>-0.0325966584813906</v>
      </c>
      <c r="G575" s="32" t="n">
        <f aca="false">Data_Prices!G575/Data_Prices!G574-1</f>
        <v>-0.00975448458295436</v>
      </c>
      <c r="H575" s="32" t="n">
        <f aca="false">Data_Prices!H575/Data_Prices!H574-1</f>
        <v>-0.0184393973465258</v>
      </c>
      <c r="I575" s="32" t="n">
        <f aca="false">Data_Prices!I575/Data_Prices!I574-1</f>
        <v>-0.0169661792610781</v>
      </c>
      <c r="J575" s="32" t="n">
        <f aca="false">Data_Prices!J575/Data_Prices!J574-1</f>
        <v>-0.0162669289551335</v>
      </c>
      <c r="K575" s="32" t="n">
        <f aca="false">Data_Prices!K575/Data_Prices!K574-1</f>
        <v>-0.0109616273046715</v>
      </c>
      <c r="L575" s="32" t="n">
        <f aca="false">Data_Prices!L575/Data_Prices!L574-1</f>
        <v>-0.00324831568816164</v>
      </c>
      <c r="M575" s="32" t="n">
        <f aca="false">Data_Prices!M575/Data_Prices!M574-1</f>
        <v>-0.0150630011454753</v>
      </c>
      <c r="N575" s="32" t="n">
        <f aca="false">Data_Prices!N575/Data_Prices!N574-1</f>
        <v>0.0246157540826129</v>
      </c>
      <c r="O575" s="32" t="n">
        <f aca="false">Data_Prices!O575/Data_Prices!O574-1</f>
        <v>-0.000742115027829282</v>
      </c>
      <c r="P575" s="32" t="n">
        <f aca="false">Data_Prices!P575/Data_Prices!P574-1</f>
        <v>0.00465580312603908</v>
      </c>
      <c r="Q575" s="32" t="n">
        <f aca="false">Data_Prices!Q575/Data_Prices!Q574-1</f>
        <v>-0.0321302816901408</v>
      </c>
      <c r="R575" s="32" t="n">
        <f aca="false">Data_Prices!R575/Data_Prices!R574-1</f>
        <v>-0.00671000209687578</v>
      </c>
      <c r="S575" s="32" t="n">
        <f aca="false">Data_Prices!S575/Data_Prices!S574-1</f>
        <v>-0.0152843562094797</v>
      </c>
      <c r="T575" s="32" t="n">
        <f aca="false">AVERAGE(D575:S575)</f>
        <v>-0.00930013231280247</v>
      </c>
      <c r="U575" s="32" t="n">
        <f aca="false">AVERAGE(J575:S575)</f>
        <v>-0.00711350709091155</v>
      </c>
      <c r="V575" s="32" t="n">
        <f aca="false">AVERAGE(D575:I575)</f>
        <v>-0.0129445076826207</v>
      </c>
      <c r="W575" s="32" t="n">
        <f aca="false">AVERAGE(K575,Q575,R575)</f>
        <v>-0.0166006370305627</v>
      </c>
      <c r="X575" s="32" t="n">
        <f aca="false">AVERAGE(K575,L575,N575,O575,P575,Q575,R575,S575)</f>
        <v>-0.00497564260106334</v>
      </c>
      <c r="Y575" s="32" t="n">
        <f aca="false">AVERAGE(J575,L575,M575,N575,O575,P575,Q575,R575,S575)</f>
        <v>-0.00668593817827155</v>
      </c>
      <c r="Z575" s="32" t="n">
        <f aca="false">U575-V575</f>
        <v>0.00583100059170912</v>
      </c>
      <c r="AA575" s="32" t="n">
        <f aca="false">W575-V575</f>
        <v>-0.00365612934794202</v>
      </c>
    </row>
    <row r="576" customFormat="false" ht="15" hidden="false" customHeight="false" outlineLevel="0" collapsed="false">
      <c r="A576" s="28" t="n">
        <f aca="false">Data_Prices!A576</f>
        <v>45645</v>
      </c>
      <c r="B576" s="32" t="n">
        <f aca="false">Data_Prices!B576/Data_Prices!B575-1</f>
        <v>-0.0102132952598987</v>
      </c>
      <c r="C576" s="32" t="n">
        <f aca="false">Data_Prices!C576/Data_Prices!C575-1</f>
        <v>-0.00794657806613641</v>
      </c>
      <c r="D576" s="32" t="n">
        <f aca="false">Data_Prices!D576/Data_Prices!D575-1</f>
        <v>-0.00181294023241296</v>
      </c>
      <c r="E576" s="32" t="n">
        <f aca="false">Data_Prices!E576/Data_Prices!E575-1</f>
        <v>-0.00310498738598886</v>
      </c>
      <c r="F576" s="32" t="n">
        <f aca="false">Data_Prices!F576/Data_Prices!F575-1</f>
        <v>0.0270256818634282</v>
      </c>
      <c r="G576" s="32" t="n">
        <f aca="false">Data_Prices!G576/Data_Prices!G575-1</f>
        <v>-0.0118540779697804</v>
      </c>
      <c r="H576" s="32" t="n">
        <f aca="false">Data_Prices!H576/Data_Prices!H575-1</f>
        <v>-0.00103092783505154</v>
      </c>
      <c r="I576" s="32" t="n">
        <f aca="false">Data_Prices!I576/Data_Prices!I575-1</f>
        <v>-0.00272510503008983</v>
      </c>
      <c r="J576" s="32" t="n">
        <f aca="false">Data_Prices!J576/Data_Prices!J575-1</f>
        <v>-0.0266497461928935</v>
      </c>
      <c r="K576" s="32" t="n">
        <f aca="false">Data_Prices!K576/Data_Prices!K575-1</f>
        <v>-0.0220388404484204</v>
      </c>
      <c r="L576" s="32" t="n">
        <f aca="false">Data_Prices!L576/Data_Prices!L575-1</f>
        <v>-0.0233353450010059</v>
      </c>
      <c r="M576" s="32" t="n">
        <f aca="false">Data_Prices!M576/Data_Prices!M575-1</f>
        <v>-0.0216898296214456</v>
      </c>
      <c r="N576" s="32" t="n">
        <f aca="false">Data_Prices!N576/Data_Prices!N575-1</f>
        <v>-0.0164068908941756</v>
      </c>
      <c r="O576" s="32" t="n">
        <f aca="false">Data_Prices!O576/Data_Prices!O575-1</f>
        <v>0.0102116598588935</v>
      </c>
      <c r="P576" s="32" t="n">
        <f aca="false">Data_Prices!P576/Data_Prices!P575-1</f>
        <v>0.0104742989549345</v>
      </c>
      <c r="Q576" s="32" t="n">
        <f aca="false">Data_Prices!Q576/Data_Prices!Q575-1</f>
        <v>-0.0165226618159771</v>
      </c>
      <c r="R576" s="32" t="n">
        <f aca="false">Data_Prices!R576/Data_Prices!R575-1</f>
        <v>-0.0100626275420449</v>
      </c>
      <c r="S576" s="32" t="n">
        <f aca="false">Data_Prices!S576/Data_Prices!S575-1</f>
        <v>0.00479293170498751</v>
      </c>
      <c r="T576" s="32" t="n">
        <f aca="false">AVERAGE(D576:S576)</f>
        <v>-0.00654558797419018</v>
      </c>
      <c r="U576" s="32" t="n">
        <f aca="false">AVERAGE(J576:S576)</f>
        <v>-0.0111227050997147</v>
      </c>
      <c r="V576" s="32" t="n">
        <f aca="false">AVERAGE(D576:I576)</f>
        <v>0.00108294056835077</v>
      </c>
      <c r="W576" s="32" t="n">
        <f aca="false">AVERAGE(K576,Q576,R576)</f>
        <v>-0.0162080432688141</v>
      </c>
      <c r="X576" s="32" t="n">
        <f aca="false">AVERAGE(K576,L576,N576,O576,P576,Q576,R576,S576)</f>
        <v>-0.00786093439785104</v>
      </c>
      <c r="Y576" s="32" t="n">
        <f aca="false">AVERAGE(J576,L576,M576,N576,O576,P576,Q576,R576,S576)</f>
        <v>-0.00990980117208078</v>
      </c>
      <c r="Z576" s="32" t="n">
        <f aca="false">U576-V576</f>
        <v>-0.0122056456680655</v>
      </c>
      <c r="AA576" s="32" t="n">
        <f aca="false">W576-V576</f>
        <v>-0.0172909838371649</v>
      </c>
    </row>
    <row r="577" customFormat="false" ht="15" hidden="false" customHeight="false" outlineLevel="0" collapsed="false">
      <c r="A577" s="28" t="n">
        <f aca="false">Data_Prices!A577</f>
        <v>45646</v>
      </c>
      <c r="B577" s="32" t="n">
        <f aca="false">Data_Prices!B577/Data_Prices!B576-1</f>
        <v>-0.0152056012725611</v>
      </c>
      <c r="C577" s="32" t="n">
        <f aca="false">Data_Prices!C577/Data_Prices!C576-1</f>
        <v>-0.0190201805104133</v>
      </c>
      <c r="D577" s="32" t="n">
        <f aca="false">Data_Prices!D577/Data_Prices!D576-1</f>
        <v>-0.00833680700291783</v>
      </c>
      <c r="E577" s="32" t="n">
        <f aca="false">Data_Prices!E577/Data_Prices!E576-1</f>
        <v>-0.0296541431445071</v>
      </c>
      <c r="F577" s="32" t="n">
        <f aca="false">Data_Prices!F577/Data_Prices!F576-1</f>
        <v>-0.0306760358614006</v>
      </c>
      <c r="G577" s="32" t="n">
        <f aca="false">Data_Prices!G577/Data_Prices!G576-1</f>
        <v>-0.0162203260961392</v>
      </c>
      <c r="H577" s="32" t="n">
        <f aca="false">Data_Prices!H577/Data_Prices!H576-1</f>
        <v>-0.00372663685357189</v>
      </c>
      <c r="I577" s="32" t="n">
        <f aca="false">Data_Prices!I577/Data_Prices!I576-1</f>
        <v>-0.0440623932597062</v>
      </c>
      <c r="J577" s="32" t="n">
        <f aca="false">Data_Prices!J577/Data_Prices!J576-1</f>
        <v>-0.0092054837817549</v>
      </c>
      <c r="K577" s="32" t="n">
        <f aca="false">Data_Prices!K577/Data_Prices!K576-1</f>
        <v>-0.0101605129466935</v>
      </c>
      <c r="L577" s="32" t="n">
        <f aca="false">Data_Prices!L577/Data_Prices!L576-1</f>
        <v>-0.0199382080329558</v>
      </c>
      <c r="M577" s="32" t="n">
        <f aca="false">Data_Prices!M577/Data_Prices!M576-1</f>
        <v>-0.0324536376604851</v>
      </c>
      <c r="N577" s="32" t="n">
        <f aca="false">Data_Prices!N577/Data_Prices!N576-1</f>
        <v>-0.0295484332181579</v>
      </c>
      <c r="O577" s="32" t="n">
        <f aca="false">Data_Prices!O577/Data_Prices!O576-1</f>
        <v>-0.0220547693438706</v>
      </c>
      <c r="P577" s="32" t="n">
        <f aca="false">Data_Prices!P577/Data_Prices!P576-1</f>
        <v>-0.0286402882747969</v>
      </c>
      <c r="Q577" s="32" t="n">
        <f aca="false">Data_Prices!Q577/Data_Prices!Q576-1</f>
        <v>-0.0171085080147964</v>
      </c>
      <c r="R577" s="32" t="n">
        <f aca="false">Data_Prices!R577/Data_Prices!R576-1</f>
        <v>-0.0233153255615581</v>
      </c>
      <c r="S577" s="32" t="n">
        <f aca="false">Data_Prices!S577/Data_Prices!S576-1</f>
        <v>-0.0231543567196862</v>
      </c>
      <c r="T577" s="32" t="n">
        <f aca="false">AVERAGE(D577:S577)</f>
        <v>-0.0217659916108124</v>
      </c>
      <c r="U577" s="32" t="n">
        <f aca="false">AVERAGE(J577:S577)</f>
        <v>-0.0215579523554756</v>
      </c>
      <c r="V577" s="32" t="n">
        <f aca="false">AVERAGE(D577:I577)</f>
        <v>-0.0221127237030405</v>
      </c>
      <c r="W577" s="32" t="n">
        <f aca="false">AVERAGE(K577,Q577,R577)</f>
        <v>-0.016861448841016</v>
      </c>
      <c r="X577" s="32" t="n">
        <f aca="false">AVERAGE(K577,L577,N577,O577,P577,Q577,R577,S577)</f>
        <v>-0.0217400502640644</v>
      </c>
      <c r="Y577" s="32" t="n">
        <f aca="false">AVERAGE(J577,L577,M577,N577,O577,P577,Q577,R577,S577)</f>
        <v>-0.0228243345120069</v>
      </c>
      <c r="Z577" s="32" t="n">
        <f aca="false">U577-V577</f>
        <v>0.00055477134756491</v>
      </c>
      <c r="AA577" s="32" t="n">
        <f aca="false">W577-V577</f>
        <v>0.00525127486202446</v>
      </c>
    </row>
    <row r="578" customFormat="false" ht="15" hidden="false" customHeight="false" outlineLevel="0" collapsed="false">
      <c r="A578" s="28" t="n">
        <f aca="false">Data_Prices!A578</f>
        <v>45649</v>
      </c>
      <c r="B578" s="32" t="n">
        <f aca="false">Data_Prices!B578/Data_Prices!B577-1</f>
        <v>0.00703550609432968</v>
      </c>
      <c r="C578" s="32" t="n">
        <f aca="false">Data_Prices!C578/Data_Prices!C577-1</f>
        <v>0.00416229826966674</v>
      </c>
      <c r="D578" s="32" t="n">
        <f aca="false">Data_Prices!D578/Data_Prices!D577-1</f>
        <v>0.00435356992734048</v>
      </c>
      <c r="E578" s="32" t="n">
        <f aca="false">Data_Prices!E578/Data_Prices!E577-1</f>
        <v>-0.0282867460211316</v>
      </c>
      <c r="F578" s="32" t="n">
        <f aca="false">Data_Prices!F578/Data_Prices!F577-1</f>
        <v>0.000149985001499875</v>
      </c>
      <c r="G578" s="32" t="n">
        <f aca="false">Data_Prices!G578/Data_Prices!G577-1</f>
        <v>0.00171747531129229</v>
      </c>
      <c r="H578" s="32" t="n">
        <f aca="false">Data_Prices!H578/Data_Prices!H577-1</f>
        <v>-0.0298095183288254</v>
      </c>
      <c r="I578" s="32" t="n">
        <f aca="false">Data_Prices!I578/Data_Prices!I577-1</f>
        <v>-0.00678894711767519</v>
      </c>
      <c r="J578" s="32" t="n">
        <f aca="false">Data_Prices!J578/Data_Prices!J577-1</f>
        <v>-0.0402743440465747</v>
      </c>
      <c r="K578" s="32" t="n">
        <f aca="false">Data_Prices!K578/Data_Prices!K577-1</f>
        <v>0.00270511339542923</v>
      </c>
      <c r="L578" s="32" t="n">
        <f aca="false">Data_Prices!L578/Data_Prices!L577-1</f>
        <v>-0.0155100668319953</v>
      </c>
      <c r="M578" s="32" t="n">
        <f aca="false">Data_Prices!M578/Data_Prices!M577-1</f>
        <v>0.0150509890649957</v>
      </c>
      <c r="N578" s="32" t="n">
        <f aca="false">Data_Prices!N578/Data_Prices!N577-1</f>
        <v>0.00208717004297121</v>
      </c>
      <c r="O578" s="32" t="n">
        <f aca="false">Data_Prices!O578/Data_Prices!O577-1</f>
        <v>-0.00338282277767354</v>
      </c>
      <c r="P578" s="32" t="n">
        <f aca="false">Data_Prices!P578/Data_Prices!P577-1</f>
        <v>-0.00390239202177622</v>
      </c>
      <c r="Q578" s="32" t="n">
        <f aca="false">Data_Prices!Q578/Data_Prices!Q577-1</f>
        <v>-0.00172494903559672</v>
      </c>
      <c r="R578" s="32" t="n">
        <f aca="false">Data_Prices!R578/Data_Prices!R577-1</f>
        <v>0.00625909752547305</v>
      </c>
      <c r="S578" s="32" t="n">
        <f aca="false">Data_Prices!S578/Data_Prices!S577-1</f>
        <v>0.00196368059779295</v>
      </c>
      <c r="T578" s="32" t="n">
        <f aca="false">AVERAGE(D578:S578)</f>
        <v>-0.00596204408215337</v>
      </c>
      <c r="U578" s="32" t="n">
        <f aca="false">AVERAGE(J578:S578)</f>
        <v>-0.00367285240869544</v>
      </c>
      <c r="V578" s="32" t="n">
        <f aca="false">AVERAGE(D578:I578)</f>
        <v>-0.00977736353791658</v>
      </c>
      <c r="W578" s="32" t="n">
        <f aca="false">AVERAGE(K578,Q578,R578)</f>
        <v>0.00241308729510185</v>
      </c>
      <c r="X578" s="32" t="n">
        <f aca="false">AVERAGE(K578,L578,N578,O578,P578,Q578,R578,S578)</f>
        <v>-0.00143814613817192</v>
      </c>
      <c r="Y578" s="32" t="n">
        <f aca="false">AVERAGE(J578,L578,M578,N578,O578,P578,Q578,R578,S578)</f>
        <v>-0.0043815152758204</v>
      </c>
      <c r="Z578" s="32" t="n">
        <f aca="false">U578-V578</f>
        <v>0.00610451112922115</v>
      </c>
      <c r="AA578" s="32" t="n">
        <f aca="false">W578-V578</f>
        <v>0.0121904508330184</v>
      </c>
    </row>
    <row r="579" customFormat="false" ht="15" hidden="false" customHeight="false" outlineLevel="0" collapsed="false">
      <c r="A579" s="28" t="n">
        <f aca="false">Data_Prices!A579</f>
        <v>45650</v>
      </c>
      <c r="B579" s="32" t="n">
        <f aca="false">Data_Prices!B579/Data_Prices!B578-1</f>
        <v>-0.00108615801073109</v>
      </c>
      <c r="C579" s="32" t="n">
        <f aca="false">Data_Prices!C579/Data_Prices!C578-1</f>
        <v>-0.000428336226090065</v>
      </c>
      <c r="D579" s="32" t="n">
        <f aca="false">Data_Prices!D579/Data_Prices!D578-1</f>
        <v>-0.0020926130758423</v>
      </c>
      <c r="E579" s="32" t="n">
        <f aca="false">Data_Prices!E579/Data_Prices!E578-1</f>
        <v>-0.000481728717913299</v>
      </c>
      <c r="F579" s="32" t="n">
        <f aca="false">Data_Prices!F579/Data_Prices!F578-1</f>
        <v>0.00354911272181946</v>
      </c>
      <c r="G579" s="32" t="n">
        <f aca="false">Data_Prices!G579/Data_Prices!G578-1</f>
        <v>0.00308615516502342</v>
      </c>
      <c r="H579" s="32" t="n">
        <f aca="false">Data_Prices!H579/Data_Prices!H578-1</f>
        <v>0.0045079779346342</v>
      </c>
      <c r="I579" s="32" t="n">
        <f aca="false">Data_Prices!I579/Data_Prices!I578-1</f>
        <v>-0.00539633049526322</v>
      </c>
      <c r="J579" s="32" t="n">
        <f aca="false">Data_Prices!J579/Data_Prices!J578-1</f>
        <v>-0.00540136280538472</v>
      </c>
      <c r="K579" s="32" t="n">
        <f aca="false">Data_Prices!K579/Data_Prices!K578-1</f>
        <v>-0.00853093009012163</v>
      </c>
      <c r="L579" s="32" t="n">
        <f aca="false">Data_Prices!L579/Data_Prices!L578-1</f>
        <v>0.0122534369396294</v>
      </c>
      <c r="M579" s="32" t="n">
        <f aca="false">Data_Prices!M579/Data_Prices!M578-1</f>
        <v>0.000544695273255513</v>
      </c>
      <c r="N579" s="32" t="n">
        <f aca="false">Data_Prices!N579/Data_Prices!N578-1</f>
        <v>0.0159274687576574</v>
      </c>
      <c r="O579" s="32" t="n">
        <f aca="false">Data_Prices!O579/Data_Prices!O578-1</f>
        <v>-0.00414859513482924</v>
      </c>
      <c r="P579" s="32" t="n">
        <f aca="false">Data_Prices!P579/Data_Prices!P578-1</f>
        <v>-0.0157432710212572</v>
      </c>
      <c r="Q579" s="32" t="n">
        <f aca="false">Data_Prices!Q579/Data_Prices!Q578-1</f>
        <v>0.0114671693371033</v>
      </c>
      <c r="R579" s="32" t="n">
        <f aca="false">Data_Prices!R579/Data_Prices!R578-1</f>
        <v>0.0066541299001881</v>
      </c>
      <c r="S579" s="32" t="n">
        <f aca="false">Data_Prices!S579/Data_Prices!S578-1</f>
        <v>1.73436470221056E-005</v>
      </c>
      <c r="T579" s="32" t="n">
        <f aca="false">AVERAGE(D579:S579)</f>
        <v>0.00101329114598259</v>
      </c>
      <c r="U579" s="32" t="n">
        <f aca="false">AVERAGE(J579:S579)</f>
        <v>0.00130400848032631</v>
      </c>
      <c r="V579" s="32" t="n">
        <f aca="false">AVERAGE(D579:I579)</f>
        <v>0.000528762255409709</v>
      </c>
      <c r="W579" s="32" t="n">
        <f aca="false">AVERAGE(K579,Q579,R579)</f>
        <v>0.00319678971572327</v>
      </c>
      <c r="X579" s="32" t="n">
        <f aca="false">AVERAGE(K579,L579,N579,O579,P579,Q579,R579,S579)</f>
        <v>0.00223709404192404</v>
      </c>
      <c r="Y579" s="32" t="n">
        <f aca="false">AVERAGE(J579,L579,M579,N579,O579,P579,Q579,R579,S579)</f>
        <v>0.00239677943259831</v>
      </c>
      <c r="Z579" s="32" t="n">
        <f aca="false">U579-V579</f>
        <v>0.000775246224916604</v>
      </c>
      <c r="AA579" s="32" t="n">
        <f aca="false">W579-V579</f>
        <v>0.00266802746031356</v>
      </c>
    </row>
    <row r="580" customFormat="false" ht="15" hidden="false" customHeight="false" outlineLevel="0" collapsed="false">
      <c r="A580" s="28" t="n">
        <f aca="false">Data_Prices!A580</f>
        <v>45652</v>
      </c>
      <c r="B580" s="32" t="n">
        <f aca="false">Data_Prices!B580/Data_Prices!B579-1</f>
        <v>0.000950368030546711</v>
      </c>
      <c r="C580" s="32" t="n">
        <f aca="false">Data_Prices!C580/Data_Prices!C579-1</f>
        <v>0.00123422623165959</v>
      </c>
      <c r="D580" s="32" t="n">
        <f aca="false">Data_Prices!D580/Data_Prices!D579-1</f>
        <v>-0.003085587609718</v>
      </c>
      <c r="E580" s="32" t="n">
        <f aca="false">Data_Prices!E580/Data_Prices!E579-1</f>
        <v>-0.00309832002203247</v>
      </c>
      <c r="F580" s="32" t="n">
        <f aca="false">Data_Prices!F580/Data_Prices!F579-1</f>
        <v>-0.00124526798166968</v>
      </c>
      <c r="G580" s="32" t="n">
        <f aca="false">Data_Prices!G580/Data_Prices!G579-1</f>
        <v>0.00538415520041036</v>
      </c>
      <c r="H580" s="32" t="n">
        <f aca="false">Data_Prices!H580/Data_Prices!H579-1</f>
        <v>0.00431059935045752</v>
      </c>
      <c r="I580" s="32" t="n">
        <f aca="false">Data_Prices!I580/Data_Prices!I579-1</f>
        <v>0.00204967446346771</v>
      </c>
      <c r="J580" s="32" t="n">
        <f aca="false">Data_Prices!J580/Data_Prices!J579-1</f>
        <v>-0.0120310802907512</v>
      </c>
      <c r="K580" s="32" t="n">
        <f aca="false">Data_Prices!K580/Data_Prices!K579-1</f>
        <v>0.00111782788392234</v>
      </c>
      <c r="L580" s="32" t="n">
        <f aca="false">Data_Prices!L580/Data_Prices!L579-1</f>
        <v>0.00328988991522206</v>
      </c>
      <c r="M580" s="32" t="n">
        <f aca="false">Data_Prices!M580/Data_Prices!M579-1</f>
        <v>0.0101016210984757</v>
      </c>
      <c r="N580" s="32" t="n">
        <f aca="false">Data_Prices!N580/Data_Prices!N579-1</f>
        <v>-0.011456825856247</v>
      </c>
      <c r="O580" s="32" t="n">
        <f aca="false">Data_Prices!O580/Data_Prices!O579-1</f>
        <v>0.00587010035978031</v>
      </c>
      <c r="P580" s="32" t="n">
        <f aca="false">Data_Prices!P580/Data_Prices!P579-1</f>
        <v>0.0135135135135136</v>
      </c>
      <c r="Q580" s="32" t="n">
        <f aca="false">Data_Prices!Q580/Data_Prices!Q579-1</f>
        <v>-0.0046591085572294</v>
      </c>
      <c r="R580" s="32" t="n">
        <f aca="false">Data_Prices!R580/Data_Prices!R579-1</f>
        <v>-0.0239977008190831</v>
      </c>
      <c r="S580" s="32" t="n">
        <f aca="false">Data_Prices!S580/Data_Prices!S579-1</f>
        <v>0.0152448013319688</v>
      </c>
      <c r="T580" s="32" t="n">
        <f aca="false">AVERAGE(D580:S580)</f>
        <v>8.17682487804713E-005</v>
      </c>
      <c r="U580" s="32" t="n">
        <f aca="false">AVERAGE(J580:S580)</f>
        <v>-0.000300696142042789</v>
      </c>
      <c r="V580" s="32" t="n">
        <f aca="false">AVERAGE(D580:I580)</f>
        <v>0.000719208900152572</v>
      </c>
      <c r="W580" s="32" t="n">
        <f aca="false">AVERAGE(K580,Q580,R580)</f>
        <v>-0.0091796604974634</v>
      </c>
      <c r="X580" s="32" t="n">
        <f aca="false">AVERAGE(K580,L580,N580,O580,P580,Q580,R580,S580)</f>
        <v>-0.000134687778519049</v>
      </c>
      <c r="Y580" s="32" t="n">
        <f aca="false">AVERAGE(J580,L580,M580,N580,O580,P580,Q580,R580,S580)</f>
        <v>-0.000458309922705581</v>
      </c>
      <c r="Z580" s="32" t="n">
        <f aca="false">U580-V580</f>
        <v>-0.00101990504219536</v>
      </c>
      <c r="AA580" s="32" t="n">
        <f aca="false">W580-V580</f>
        <v>-0.00989886939761597</v>
      </c>
    </row>
    <row r="581" customFormat="false" ht="15" hidden="false" customHeight="false" outlineLevel="0" collapsed="false">
      <c r="A581" s="28" t="n">
        <f aca="false">Data_Prices!A581</f>
        <v>45653</v>
      </c>
      <c r="B581" s="32" t="n">
        <f aca="false">Data_Prices!B581/Data_Prices!B580-1</f>
        <v>0.00266103022290332</v>
      </c>
      <c r="C581" s="32" t="n">
        <f aca="false">Data_Prices!C581/Data_Prices!C580-1</f>
        <v>0.000662049410731447</v>
      </c>
      <c r="D581" s="32" t="n">
        <f aca="false">Data_Prices!D581/Data_Prices!D580-1</f>
        <v>-0.00141234449185657</v>
      </c>
      <c r="E581" s="32" t="n">
        <f aca="false">Data_Prices!E581/Data_Prices!E580-1</f>
        <v>0.0367428689826643</v>
      </c>
      <c r="F581" s="32" t="n">
        <f aca="false">Data_Prices!F581/Data_Prices!F580-1</f>
        <v>0.0272804348910281</v>
      </c>
      <c r="G581" s="32" t="n">
        <f aca="false">Data_Prices!G581/Data_Prices!G580-1</f>
        <v>0.014280856851411</v>
      </c>
      <c r="H581" s="32" t="n">
        <f aca="false">Data_Prices!H581/Data_Prices!H580-1</f>
        <v>0.000705550329256788</v>
      </c>
      <c r="I581" s="32" t="n">
        <f aca="false">Data_Prices!I581/Data_Prices!I580-1</f>
        <v>-0.00878353988689695</v>
      </c>
      <c r="J581" s="32" t="n">
        <f aca="false">Data_Prices!J581/Data_Prices!J580-1</f>
        <v>0.0881606765327696</v>
      </c>
      <c r="K581" s="32" t="n">
        <f aca="false">Data_Prices!K581/Data_Prices!K580-1</f>
        <v>0.0135017997502389</v>
      </c>
      <c r="L581" s="32" t="n">
        <f aca="false">Data_Prices!L581/Data_Prices!L580-1</f>
        <v>0.00378357926598572</v>
      </c>
      <c r="M581" s="32" t="n">
        <f aca="false">Data_Prices!M581/Data_Prices!M580-1</f>
        <v>0.00562907958560377</v>
      </c>
      <c r="N581" s="32" t="n">
        <f aca="false">Data_Prices!N581/Data_Prices!N580-1</f>
        <v>0.00573380505062815</v>
      </c>
      <c r="O581" s="32" t="n">
        <f aca="false">Data_Prices!O581/Data_Prices!O580-1</f>
        <v>0.00527108433734935</v>
      </c>
      <c r="P581" s="32" t="n">
        <f aca="false">Data_Prices!P581/Data_Prices!P580-1</f>
        <v>0.00344242424242425</v>
      </c>
      <c r="Q581" s="32" t="n">
        <f aca="false">Data_Prices!Q581/Data_Prices!Q580-1</f>
        <v>0.000624122327976151</v>
      </c>
      <c r="R581" s="32" t="n">
        <f aca="false">Data_Prices!R581/Data_Prices!R580-1</f>
        <v>-0.00574204946996482</v>
      </c>
      <c r="S581" s="32" t="n">
        <f aca="false">Data_Prices!S581/Data_Prices!S580-1</f>
        <v>-0.00956643547780933</v>
      </c>
      <c r="T581" s="32" t="n">
        <f aca="false">AVERAGE(D581:S581)</f>
        <v>0.0112282445513005</v>
      </c>
      <c r="U581" s="32" t="n">
        <f aca="false">AVERAGE(J581:S581)</f>
        <v>0.0110838086145202</v>
      </c>
      <c r="V581" s="32" t="n">
        <f aca="false">AVERAGE(D581:I581)</f>
        <v>0.0114689711126011</v>
      </c>
      <c r="W581" s="32" t="n">
        <f aca="false">AVERAGE(K581,Q581,R581)</f>
        <v>0.00279462420275008</v>
      </c>
      <c r="X581" s="32" t="n">
        <f aca="false">AVERAGE(K581,L581,N581,O581,P581,Q581,R581,S581)</f>
        <v>0.00213104125335355</v>
      </c>
      <c r="Y581" s="32" t="n">
        <f aca="false">AVERAGE(J581,L581,M581,N581,O581,P581,Q581,R581,S581)</f>
        <v>0.0108151429327736</v>
      </c>
      <c r="Z581" s="32" t="n">
        <f aca="false">U581-V581</f>
        <v>-0.000385162498080934</v>
      </c>
      <c r="AA581" s="32" t="n">
        <f aca="false">W581-V581</f>
        <v>-0.00867434690985103</v>
      </c>
    </row>
    <row r="582" customFormat="false" ht="15" hidden="false" customHeight="false" outlineLevel="0" collapsed="false">
      <c r="A582" s="28" t="n">
        <f aca="false">Data_Prices!A582</f>
        <v>45656</v>
      </c>
      <c r="B582" s="32" t="n">
        <f aca="false">Data_Prices!B582/Data_Prices!B581-1</f>
        <v>-0.00707584805193717</v>
      </c>
      <c r="C582" s="32" t="n">
        <f aca="false">Data_Prices!C582/Data_Prices!C581-1</f>
        <v>-0.00392288774437288</v>
      </c>
      <c r="D582" s="32" t="n">
        <f aca="false">Data_Prices!D582/Data_Prices!D581-1</f>
        <v>-0.00147452679726767</v>
      </c>
      <c r="E582" s="32" t="n">
        <f aca="false">Data_Prices!E582/Data_Prices!E581-1</f>
        <v>0.00499633602025185</v>
      </c>
      <c r="F582" s="32" t="n">
        <f aca="false">Data_Prices!F582/Data_Prices!F581-1</f>
        <v>0.0207301679774734</v>
      </c>
      <c r="G582" s="32" t="n">
        <f aca="false">Data_Prices!G582/Data_Prices!G581-1</f>
        <v>-0.00972175662085162</v>
      </c>
      <c r="H582" s="32" t="n">
        <f aca="false">Data_Prices!H582/Data_Prices!H581-1</f>
        <v>0.0219741480611046</v>
      </c>
      <c r="I582" s="32" t="n">
        <f aca="false">Data_Prices!I582/Data_Prices!I581-1</f>
        <v>-0.00194221898519042</v>
      </c>
      <c r="J582" s="32" t="n">
        <f aca="false">Data_Prices!J582/Data_Prices!J581-1</f>
        <v>-0.0616669904798911</v>
      </c>
      <c r="K582" s="32" t="n">
        <f aca="false">Data_Prices!K582/Data_Prices!K581-1</f>
        <v>-0.00282674243302805</v>
      </c>
      <c r="L582" s="32" t="n">
        <f aca="false">Data_Prices!L582/Data_Prices!L581-1</f>
        <v>0.0155379654060395</v>
      </c>
      <c r="M582" s="32" t="n">
        <f aca="false">Data_Prices!M582/Data_Prices!M581-1</f>
        <v>0.0828916810575835</v>
      </c>
      <c r="N582" s="32" t="n">
        <f aca="false">Data_Prices!N582/Data_Prices!N581-1</f>
        <v>0.00194080543425534</v>
      </c>
      <c r="O582" s="32" t="n">
        <f aca="false">Data_Prices!O582/Data_Prices!O581-1</f>
        <v>-0.0108614232209737</v>
      </c>
      <c r="P582" s="32" t="n">
        <f aca="false">Data_Prices!P582/Data_Prices!P581-1</f>
        <v>0.0154136064940085</v>
      </c>
      <c r="Q582" s="32" t="n">
        <f aca="false">Data_Prices!Q582/Data_Prices!Q581-1</f>
        <v>-0.0165289256198345</v>
      </c>
      <c r="R582" s="32" t="n">
        <f aca="false">Data_Prices!R582/Data_Prices!R581-1</f>
        <v>-0.00858877535909963</v>
      </c>
      <c r="S582" s="32" t="n">
        <f aca="false">Data_Prices!S582/Data_Prices!S581-1</f>
        <v>0.00693366449342858</v>
      </c>
      <c r="T582" s="32" t="n">
        <f aca="false">AVERAGE(D582:S582)</f>
        <v>0.00355043846425053</v>
      </c>
      <c r="U582" s="32" t="n">
        <f aca="false">AVERAGE(J582:S582)</f>
        <v>0.00222448657724883</v>
      </c>
      <c r="V582" s="32" t="n">
        <f aca="false">AVERAGE(D582:I582)</f>
        <v>0.00576035827592003</v>
      </c>
      <c r="W582" s="32" t="n">
        <f aca="false">AVERAGE(K582,Q582,R582)</f>
        <v>-0.00931481447065408</v>
      </c>
      <c r="X582" s="32" t="n">
        <f aca="false">AVERAGE(K582,L582,N582,O582,P582,Q582,R582,S582)</f>
        <v>0.000127521899349489</v>
      </c>
      <c r="Y582" s="32" t="n">
        <f aca="false">AVERAGE(J582,L582,M582,N582,O582,P582,Q582,R582,S582)</f>
        <v>0.00278573424505737</v>
      </c>
      <c r="Z582" s="32" t="n">
        <f aca="false">U582-V582</f>
        <v>-0.0035358716986712</v>
      </c>
      <c r="AA582" s="32" t="n">
        <f aca="false">W582-V582</f>
        <v>-0.0150751727465741</v>
      </c>
    </row>
    <row r="583" customFormat="false" ht="15" hidden="false" customHeight="false" outlineLevel="0" collapsed="false">
      <c r="A583" s="28" t="n">
        <f aca="false">Data_Prices!A583</f>
        <v>45657</v>
      </c>
      <c r="B583" s="32" t="n">
        <f aca="false">Data_Prices!B583/Data_Prices!B582-1</f>
        <v>-4.22924182386097E-006</v>
      </c>
      <c r="C583" s="32" t="n">
        <f aca="false">Data_Prices!C583/Data_Prices!C582-1</f>
        <v>0.00081629366891578</v>
      </c>
      <c r="D583" s="32" t="n">
        <f aca="false">Data_Prices!D583/Data_Prices!D582-1</f>
        <v>0.0123259598577543</v>
      </c>
      <c r="E583" s="32" t="n">
        <f aca="false">Data_Prices!E583/Data_Prices!E582-1</f>
        <v>0.00662866233594062</v>
      </c>
      <c r="F583" s="32" t="n">
        <f aca="false">Data_Prices!F583/Data_Prices!F582-1</f>
        <v>0.00409036860879897</v>
      </c>
      <c r="G583" s="32" t="n">
        <f aca="false">Data_Prices!G583/Data_Prices!G582-1</f>
        <v>0.0122714962762356</v>
      </c>
      <c r="H583" s="32" t="n">
        <f aca="false">Data_Prices!H583/Data_Prices!H582-1</f>
        <v>0.00919857422099568</v>
      </c>
      <c r="I583" s="32" t="n">
        <f aca="false">Data_Prices!I583/Data_Prices!I582-1</f>
        <v>-0.00814886888834843</v>
      </c>
      <c r="J583" s="32" t="n">
        <f aca="false">Data_Prices!J583/Data_Prices!J582-1</f>
        <v>0.0250538346861025</v>
      </c>
      <c r="K583" s="32" t="n">
        <f aca="false">Data_Prices!K583/Data_Prices!K582-1</f>
        <v>-0.00947825960546012</v>
      </c>
      <c r="L583" s="32" t="n">
        <f aca="false">Data_Prices!L583/Data_Prices!L582-1</f>
        <v>-0.0218162322665787</v>
      </c>
      <c r="M583" s="32" t="n">
        <f aca="false">Data_Prices!M583/Data_Prices!M582-1</f>
        <v>-0.0249656310145725</v>
      </c>
      <c r="N583" s="32" t="n">
        <f aca="false">Data_Prices!N583/Data_Prices!N582-1</f>
        <v>0.00121065375302654</v>
      </c>
      <c r="O583" s="32" t="n">
        <f aca="false">Data_Prices!O583/Data_Prices!O582-1</f>
        <v>0.00321847784929941</v>
      </c>
      <c r="P583" s="32" t="n">
        <f aca="false">Data_Prices!P583/Data_Prices!P582-1</f>
        <v>0.0164882226980729</v>
      </c>
      <c r="Q583" s="32" t="n">
        <f aca="false">Data_Prices!Q583/Data_Prices!Q582-1</f>
        <v>-0.00317107975265574</v>
      </c>
      <c r="R583" s="32" t="n">
        <f aca="false">Data_Prices!R583/Data_Prices!R582-1</f>
        <v>-0.00843913368185212</v>
      </c>
      <c r="S583" s="32" t="n">
        <f aca="false">Data_Prices!S583/Data_Prices!S582-1</f>
        <v>-0.0102261048304212</v>
      </c>
      <c r="T583" s="32" t="n">
        <f aca="false">AVERAGE(D583:S583)</f>
        <v>0.000265058765396106</v>
      </c>
      <c r="U583" s="32" t="n">
        <f aca="false">AVERAGE(J583:S583)</f>
        <v>-0.0032125252165039</v>
      </c>
      <c r="V583" s="32" t="n">
        <f aca="false">AVERAGE(D583:I583)</f>
        <v>0.00606103206856279</v>
      </c>
      <c r="W583" s="32" t="n">
        <f aca="false">AVERAGE(K583,Q583,R583)</f>
        <v>-0.00702949101332266</v>
      </c>
      <c r="X583" s="32" t="n">
        <f aca="false">AVERAGE(K583,L583,N583,O583,P583,Q583,R583,S583)</f>
        <v>-0.00402668197957112</v>
      </c>
      <c r="Y583" s="32" t="n">
        <f aca="false">AVERAGE(J583,L583,M583,N583,O583,P583,Q583,R583,S583)</f>
        <v>-0.00251633250661988</v>
      </c>
      <c r="Z583" s="32" t="n">
        <f aca="false">U583-V583</f>
        <v>-0.00927355728506669</v>
      </c>
      <c r="AA583" s="32" t="n">
        <f aca="false">W583-V583</f>
        <v>-0.0130905230818854</v>
      </c>
    </row>
    <row r="584" customFormat="false" ht="15" hidden="false" customHeight="false" outlineLevel="0" collapsed="false">
      <c r="A584" s="28" t="n">
        <f aca="false">Data_Prices!A584</f>
        <v>45658</v>
      </c>
      <c r="B584" s="32" t="n">
        <f aca="false">Data_Prices!B584/Data_Prices!B583-1</f>
        <v>0.00414890377588306</v>
      </c>
      <c r="C584" s="32" t="n">
        <f aca="false">Data_Prices!C584/Data_Prices!C583-1</f>
        <v>0.00475522225300984</v>
      </c>
      <c r="D584" s="32" t="n">
        <f aca="false">Data_Prices!D584/Data_Prices!D583-1</f>
        <v>-0.00101217588044422</v>
      </c>
      <c r="E584" s="32" t="n">
        <f aca="false">Data_Prices!E584/Data_Prices!E583-1</f>
        <v>-0.0381272224417225</v>
      </c>
      <c r="F584" s="32" t="n">
        <f aca="false">Data_Prices!F584/Data_Prices!F583-1</f>
        <v>-0.0099947894462602</v>
      </c>
      <c r="G584" s="32" t="n">
        <f aca="false">Data_Prices!G584/Data_Prices!G583-1</f>
        <v>0.00376222723852515</v>
      </c>
      <c r="H584" s="32" t="n">
        <f aca="false">Data_Prices!H584/Data_Prices!H583-1</f>
        <v>0.0346359804033269</v>
      </c>
      <c r="I584" s="32" t="n">
        <f aca="false">Data_Prices!I584/Data_Prices!I583-1</f>
        <v>0.0608215818516249</v>
      </c>
      <c r="J584" s="32" t="n">
        <f aca="false">Data_Prices!J584/Data_Prices!J583-1</f>
        <v>0.0452470407627359</v>
      </c>
      <c r="K584" s="32" t="n">
        <f aca="false">Data_Prices!K584/Data_Prices!K583-1</f>
        <v>0.0164668241924359</v>
      </c>
      <c r="L584" s="32" t="n">
        <f aca="false">Data_Prices!L584/Data_Prices!L583-1</f>
        <v>-0.0013491293899407</v>
      </c>
      <c r="M584" s="32" t="n">
        <f aca="false">Data_Prices!M584/Data_Prices!M583-1</f>
        <v>0.00490666065083745</v>
      </c>
      <c r="N584" s="32" t="n">
        <f aca="false">Data_Prices!N584/Data_Prices!N583-1</f>
        <v>0.0114873035066505</v>
      </c>
      <c r="O584" s="32" t="n">
        <f aca="false">Data_Prices!O584/Data_Prices!O583-1</f>
        <v>0.00226457822230608</v>
      </c>
      <c r="P584" s="32" t="n">
        <f aca="false">Data_Prices!P584/Data_Prices!P583-1</f>
        <v>0.0369356084544625</v>
      </c>
      <c r="Q584" s="32" t="n">
        <f aca="false">Data_Prices!Q584/Data_Prices!Q583-1</f>
        <v>-0.000795291872117021</v>
      </c>
      <c r="R584" s="32" t="n">
        <f aca="false">Data_Prices!R584/Data_Prices!R583-1</f>
        <v>0.0210137832341641</v>
      </c>
      <c r="S584" s="32" t="n">
        <f aca="false">Data_Prices!S584/Data_Prices!S583-1</f>
        <v>0.0102106155789765</v>
      </c>
      <c r="T584" s="32" t="n">
        <f aca="false">AVERAGE(D584:S584)</f>
        <v>0.0122795996915976</v>
      </c>
      <c r="U584" s="32" t="n">
        <f aca="false">AVERAGE(J584:S584)</f>
        <v>0.0146387993340511</v>
      </c>
      <c r="V584" s="32" t="n">
        <f aca="false">AVERAGE(D584:I584)</f>
        <v>0.00834760028750834</v>
      </c>
      <c r="W584" s="32" t="n">
        <f aca="false">AVERAGE(K584,Q584,R584)</f>
        <v>0.012228438518161</v>
      </c>
      <c r="X584" s="32" t="n">
        <f aca="false">AVERAGE(K584,L584,N584,O584,P584,Q584,R584,S584)</f>
        <v>0.0120292864908673</v>
      </c>
      <c r="Y584" s="32" t="n">
        <f aca="false">AVERAGE(J584,L584,M584,N584,O584,P584,Q584,R584,S584)</f>
        <v>0.0144356854608973</v>
      </c>
      <c r="Z584" s="32" t="n">
        <f aca="false">U584-V584</f>
        <v>0.00629119904654279</v>
      </c>
      <c r="AA584" s="32" t="n">
        <f aca="false">W584-V584</f>
        <v>0.00388083823065268</v>
      </c>
    </row>
    <row r="585" customFormat="false" ht="15" hidden="false" customHeight="false" outlineLevel="0" collapsed="false">
      <c r="A585" s="28" t="n">
        <f aca="false">Data_Prices!A585</f>
        <v>45659</v>
      </c>
      <c r="B585" s="32" t="n">
        <f aca="false">Data_Prices!B585/Data_Prices!B584-1</f>
        <v>0.0187740335005413</v>
      </c>
      <c r="C585" s="32" t="n">
        <f aca="false">Data_Prices!C585/Data_Prices!C584-1</f>
        <v>0.0150321593466716</v>
      </c>
      <c r="D585" s="32" t="n">
        <f aca="false">Data_Prices!D585/Data_Prices!D584-1</f>
        <v>0.0106088148523409</v>
      </c>
      <c r="E585" s="32" t="n">
        <f aca="false">Data_Prices!E585/Data_Prices!E584-1</f>
        <v>-0.00123228589032653</v>
      </c>
      <c r="F585" s="32" t="n">
        <f aca="false">Data_Prices!F585/Data_Prices!F584-1</f>
        <v>0.0298086124401915</v>
      </c>
      <c r="G585" s="32" t="n">
        <f aca="false">Data_Prices!G585/Data_Prices!G584-1</f>
        <v>0.00957854406130276</v>
      </c>
      <c r="H585" s="32" t="n">
        <f aca="false">Data_Prices!H585/Data_Prices!H584-1</f>
        <v>0.0183900451492125</v>
      </c>
      <c r="I585" s="32" t="n">
        <f aca="false">Data_Prices!I585/Data_Prices!I584-1</f>
        <v>0.015951913073633</v>
      </c>
      <c r="J585" s="32" t="n">
        <f aca="false">Data_Prices!J585/Data_Prices!J584-1</f>
        <v>-0.00405828469833414</v>
      </c>
      <c r="K585" s="32" t="n">
        <f aca="false">Data_Prices!K585/Data_Prices!K584-1</f>
        <v>0.0654499776202371</v>
      </c>
      <c r="L585" s="32" t="n">
        <f aca="false">Data_Prices!L585/Data_Prices!L584-1</f>
        <v>0.0735846666948117</v>
      </c>
      <c r="M585" s="32" t="n">
        <f aca="false">Data_Prices!M585/Data_Prices!M584-1</f>
        <v>0.0715568526209451</v>
      </c>
      <c r="N585" s="32" t="n">
        <f aca="false">Data_Prices!N585/Data_Prices!N584-1</f>
        <v>0.031679617453676</v>
      </c>
      <c r="O585" s="32" t="n">
        <f aca="false">Data_Prices!O585/Data_Prices!O584-1</f>
        <v>0.0382225569572585</v>
      </c>
      <c r="P585" s="32" t="n">
        <f aca="false">Data_Prices!P585/Data_Prices!P584-1</f>
        <v>0.0188934787025123</v>
      </c>
      <c r="Q585" s="32" t="n">
        <f aca="false">Data_Prices!Q585/Data_Prices!Q584-1</f>
        <v>0.0234001910219674</v>
      </c>
      <c r="R585" s="32" t="n">
        <f aca="false">Data_Prices!R585/Data_Prices!R584-1</f>
        <v>0.0367365004426086</v>
      </c>
      <c r="S585" s="32" t="n">
        <f aca="false">Data_Prices!S585/Data_Prices!S584-1</f>
        <v>0.0484470560019186</v>
      </c>
      <c r="T585" s="32" t="n">
        <f aca="false">AVERAGE(D585:S585)</f>
        <v>0.0304386410314972</v>
      </c>
      <c r="U585" s="32" t="n">
        <f aca="false">AVERAGE(J585:S585)</f>
        <v>0.0403912612817601</v>
      </c>
      <c r="V585" s="32" t="n">
        <f aca="false">AVERAGE(D585:I585)</f>
        <v>0.0138509406143923</v>
      </c>
      <c r="W585" s="32" t="n">
        <f aca="false">AVERAGE(K585,Q585,R585)</f>
        <v>0.041862223028271</v>
      </c>
      <c r="X585" s="32" t="n">
        <f aca="false">AVERAGE(K585,L585,N585,O585,P585,Q585,R585,S585)</f>
        <v>0.0420517556118738</v>
      </c>
      <c r="Y585" s="32" t="n">
        <f aca="false">AVERAGE(J585,L585,M585,N585,O585,P585,Q585,R585,S585)</f>
        <v>0.0376069594663738</v>
      </c>
      <c r="Z585" s="32" t="n">
        <f aca="false">U585-V585</f>
        <v>0.0265403206673678</v>
      </c>
      <c r="AA585" s="32" t="n">
        <f aca="false">W585-V585</f>
        <v>0.0280112824138787</v>
      </c>
    </row>
    <row r="586" customFormat="false" ht="15" hidden="false" customHeight="false" outlineLevel="0" collapsed="false">
      <c r="A586" s="28" t="n">
        <f aca="false">Data_Prices!A586</f>
        <v>45660</v>
      </c>
      <c r="B586" s="32" t="n">
        <f aca="false">Data_Prices!B586/Data_Prices!B585-1</f>
        <v>-0.00760273930128397</v>
      </c>
      <c r="C586" s="32" t="n">
        <f aca="false">Data_Prices!C586/Data_Prices!C585-1</f>
        <v>-0.0048905005532488</v>
      </c>
      <c r="D586" s="32" t="n">
        <f aca="false">Data_Prices!D586/Data_Prices!D585-1</f>
        <v>0.00336154277120859</v>
      </c>
      <c r="E586" s="32" t="n">
        <f aca="false">Data_Prices!E586/Data_Prices!E585-1</f>
        <v>-0.0113784358078005</v>
      </c>
      <c r="F586" s="32" t="n">
        <f aca="false">Data_Prices!F586/Data_Prices!F585-1</f>
        <v>-0.0075268317613717</v>
      </c>
      <c r="G586" s="32" t="n">
        <f aca="false">Data_Prices!G586/Data_Prices!G585-1</f>
        <v>0.0056100981767182</v>
      </c>
      <c r="H586" s="32" t="n">
        <f aca="false">Data_Prices!H586/Data_Prices!H585-1</f>
        <v>0.0020004325259515</v>
      </c>
      <c r="I586" s="32" t="n">
        <f aca="false">Data_Prices!I586/Data_Prices!I585-1</f>
        <v>-0.00830583684150643</v>
      </c>
      <c r="J586" s="32" t="n">
        <f aca="false">Data_Prices!J586/Data_Prices!J585-1</f>
        <v>-0.0285237503880782</v>
      </c>
      <c r="K586" s="32" t="n">
        <f aca="false">Data_Prices!K586/Data_Prices!K585-1</f>
        <v>0.00243928881179545</v>
      </c>
      <c r="L586" s="32" t="n">
        <f aca="false">Data_Prices!L586/Data_Prices!L585-1</f>
        <v>0.0383405426661423</v>
      </c>
      <c r="M586" s="32" t="n">
        <f aca="false">Data_Prices!M586/Data_Prices!M585-1</f>
        <v>-0.021054836851202</v>
      </c>
      <c r="N586" s="32" t="n">
        <f aca="false">Data_Prices!N586/Data_Prices!N585-1</f>
        <v>-0.0243337195828505</v>
      </c>
      <c r="O586" s="32" t="n">
        <f aca="false">Data_Prices!O586/Data_Prices!O585-1</f>
        <v>0.00272034820457012</v>
      </c>
      <c r="P586" s="32" t="n">
        <f aca="false">Data_Prices!P586/Data_Prices!P585-1</f>
        <v>-0.00870663299215746</v>
      </c>
      <c r="Q586" s="32" t="n">
        <f aca="false">Data_Prices!Q586/Data_Prices!Q585-1</f>
        <v>-0.00575517187743024</v>
      </c>
      <c r="R586" s="32" t="n">
        <f aca="false">Data_Prices!R586/Data_Prices!R585-1</f>
        <v>0.0296712679664151</v>
      </c>
      <c r="S586" s="32" t="n">
        <f aca="false">Data_Prices!S586/Data_Prices!S585-1</f>
        <v>-0.00382346693681479</v>
      </c>
      <c r="T586" s="32" t="n">
        <f aca="false">AVERAGE(D586:S586)</f>
        <v>-0.00220407261977566</v>
      </c>
      <c r="U586" s="32" t="n">
        <f aca="false">AVERAGE(J586:S586)</f>
        <v>-0.00190261309796103</v>
      </c>
      <c r="V586" s="32" t="n">
        <f aca="false">AVERAGE(D586:I586)</f>
        <v>-0.00270650515613339</v>
      </c>
      <c r="W586" s="32" t="n">
        <f aca="false">AVERAGE(K586,Q586,R586)</f>
        <v>0.00878512830026009</v>
      </c>
      <c r="X586" s="32" t="n">
        <f aca="false">AVERAGE(K586,L586,N586,O586,P586,Q586,R586,S586)</f>
        <v>0.00381905703245874</v>
      </c>
      <c r="Y586" s="32" t="n">
        <f aca="false">AVERAGE(J586,L586,M586,N586,O586,P586,Q586,R586,S586)</f>
        <v>-0.00238504664348952</v>
      </c>
      <c r="Z586" s="32" t="n">
        <f aca="false">U586-V586</f>
        <v>0.000803892058172365</v>
      </c>
      <c r="AA586" s="32" t="n">
        <f aca="false">W586-V586</f>
        <v>0.0114916334563935</v>
      </c>
    </row>
    <row r="587" customFormat="false" ht="15" hidden="false" customHeight="false" outlineLevel="0" collapsed="false">
      <c r="A587" s="28" t="n">
        <f aca="false">Data_Prices!A587</f>
        <v>45663</v>
      </c>
      <c r="B587" s="32" t="n">
        <f aca="false">Data_Prices!B587/Data_Prices!B586-1</f>
        <v>-0.0161926285422677</v>
      </c>
      <c r="C587" s="32" t="n">
        <f aca="false">Data_Prices!C587/Data_Prices!C586-1</f>
        <v>-0.0212588872277134</v>
      </c>
      <c r="D587" s="32" t="n">
        <f aca="false">Data_Prices!D587/Data_Prices!D586-1</f>
        <v>-0.00608340435536481</v>
      </c>
      <c r="E587" s="32" t="n">
        <f aca="false">Data_Prices!E587/Data_Prices!E586-1</f>
        <v>-0.0324481730569229</v>
      </c>
      <c r="F587" s="32" t="n">
        <f aca="false">Data_Prices!F587/Data_Prices!F586-1</f>
        <v>-0.0293993726885444</v>
      </c>
      <c r="G587" s="32" t="n">
        <f aca="false">Data_Prices!G587/Data_Prices!G586-1</f>
        <v>-0.0248584789564362</v>
      </c>
      <c r="H587" s="32" t="n">
        <f aca="false">Data_Prices!H587/Data_Prices!H586-1</f>
        <v>-0.0318351049479307</v>
      </c>
      <c r="I587" s="32" t="n">
        <f aca="false">Data_Prices!I587/Data_Prices!I586-1</f>
        <v>-0.049678751720973</v>
      </c>
      <c r="J587" s="32" t="n">
        <f aca="false">Data_Prices!J587/Data_Prices!J586-1</f>
        <v>-0.0316382375264652</v>
      </c>
      <c r="K587" s="32" t="n">
        <f aca="false">Data_Prices!K587/Data_Prices!K586-1</f>
        <v>-0.0078137673714378</v>
      </c>
      <c r="L587" s="32" t="n">
        <f aca="false">Data_Prices!L587/Data_Prices!L586-1</f>
        <v>-0.0197311115319068</v>
      </c>
      <c r="M587" s="32" t="n">
        <f aca="false">Data_Prices!M587/Data_Prices!M586-1</f>
        <v>-0.0249317853512385</v>
      </c>
      <c r="N587" s="32" t="n">
        <f aca="false">Data_Prices!N587/Data_Prices!N586-1</f>
        <v>-0.0393111638954869</v>
      </c>
      <c r="O587" s="32" t="n">
        <f aca="false">Data_Prices!O587/Data_Prices!O586-1</f>
        <v>-0.019714234038705</v>
      </c>
      <c r="P587" s="32" t="n">
        <f aca="false">Data_Prices!P587/Data_Prices!P586-1</f>
        <v>-0.0229969829031176</v>
      </c>
      <c r="Q587" s="32" t="n">
        <f aca="false">Data_Prices!Q587/Data_Prices!Q586-1</f>
        <v>-0.0197121401752191</v>
      </c>
      <c r="R587" s="32" t="n">
        <f aca="false">Data_Prices!R587/Data_Prices!R586-1</f>
        <v>0.00960541773201573</v>
      </c>
      <c r="S587" s="32" t="n">
        <f aca="false">Data_Prices!S587/Data_Prices!S586-1</f>
        <v>-0.0258500500270638</v>
      </c>
      <c r="T587" s="32" t="n">
        <f aca="false">AVERAGE(D587:S587)</f>
        <v>-0.0235248338009248</v>
      </c>
      <c r="U587" s="32" t="n">
        <f aca="false">AVERAGE(J587:S587)</f>
        <v>-0.0202094055088625</v>
      </c>
      <c r="V587" s="32" t="n">
        <f aca="false">AVERAGE(D587:I587)</f>
        <v>-0.0290505476210287</v>
      </c>
      <c r="W587" s="32" t="n">
        <f aca="false">AVERAGE(K587,Q587,R587)</f>
        <v>-0.00597349660488037</v>
      </c>
      <c r="X587" s="32" t="n">
        <f aca="false">AVERAGE(K587,L587,N587,O587,P587,Q587,R587,S587)</f>
        <v>-0.0181905040263651</v>
      </c>
      <c r="Y587" s="32" t="n">
        <f aca="false">AVERAGE(J587,L587,M587,N587,O587,P587,Q587,R587,S587)</f>
        <v>-0.021586698635243</v>
      </c>
      <c r="Z587" s="32" t="n">
        <f aca="false">U587-V587</f>
        <v>0.00884114211216621</v>
      </c>
      <c r="AA587" s="32" t="n">
        <f aca="false">W587-V587</f>
        <v>0.0230770510161483</v>
      </c>
    </row>
    <row r="588" customFormat="false" ht="15" hidden="false" customHeight="false" outlineLevel="0" collapsed="false">
      <c r="A588" s="28" t="n">
        <f aca="false">Data_Prices!A588</f>
        <v>45664</v>
      </c>
      <c r="B588" s="32" t="n">
        <f aca="false">Data_Prices!B588/Data_Prices!B587-1</f>
        <v>0.00388930409615496</v>
      </c>
      <c r="C588" s="32" t="n">
        <f aca="false">Data_Prices!C588/Data_Prices!C587-1</f>
        <v>0.00523050203820863</v>
      </c>
      <c r="D588" s="32" t="n">
        <f aca="false">Data_Prices!D588/Data_Prices!D587-1</f>
        <v>0.00499704316972216</v>
      </c>
      <c r="E588" s="32" t="n">
        <f aca="false">Data_Prices!E588/Data_Prices!E587-1</f>
        <v>0.024435686134002</v>
      </c>
      <c r="F588" s="32" t="n">
        <f aca="false">Data_Prices!F588/Data_Prices!F587-1</f>
        <v>0.0237785173395069</v>
      </c>
      <c r="G588" s="32" t="n">
        <f aca="false">Data_Prices!G588/Data_Prices!G587-1</f>
        <v>-0.0153962645128722</v>
      </c>
      <c r="H588" s="32" t="n">
        <f aca="false">Data_Prices!H588/Data_Prices!H587-1</f>
        <v>-0.0128741013208493</v>
      </c>
      <c r="I588" s="32" t="n">
        <f aca="false">Data_Prices!I588/Data_Prices!I587-1</f>
        <v>0.00724375226367258</v>
      </c>
      <c r="J588" s="32" t="n">
        <f aca="false">Data_Prices!J588/Data_Prices!J587-1</f>
        <v>0.0224000660038779</v>
      </c>
      <c r="K588" s="32" t="n">
        <f aca="false">Data_Prices!K588/Data_Prices!K587-1</f>
        <v>0.000626754230590887</v>
      </c>
      <c r="L588" s="32" t="n">
        <f aca="false">Data_Prices!L588/Data_Prices!L587-1</f>
        <v>-0.014062741461907</v>
      </c>
      <c r="M588" s="32" t="n">
        <f aca="false">Data_Prices!M588/Data_Prices!M587-1</f>
        <v>-0.000164609053497911</v>
      </c>
      <c r="N588" s="32" t="n">
        <f aca="false">Data_Prices!N588/Data_Prices!N587-1</f>
        <v>0.0419087649894918</v>
      </c>
      <c r="O588" s="32" t="n">
        <f aca="false">Data_Prices!O588/Data_Prices!O587-1</f>
        <v>0.0226937269372693</v>
      </c>
      <c r="P588" s="32" t="n">
        <f aca="false">Data_Prices!P588/Data_Prices!P587-1</f>
        <v>0.0106825876109433</v>
      </c>
      <c r="Q588" s="32" t="n">
        <f aca="false">Data_Prices!Q588/Data_Prices!Q587-1</f>
        <v>0.010533035429301</v>
      </c>
      <c r="R588" s="32" t="n">
        <f aca="false">Data_Prices!R588/Data_Prices!R587-1</f>
        <v>0.00335386721423681</v>
      </c>
      <c r="S588" s="32" t="n">
        <f aca="false">Data_Prices!S588/Data_Prices!S587-1</f>
        <v>-0.00375477765991483</v>
      </c>
      <c r="T588" s="32" t="n">
        <f aca="false">AVERAGE(D588:S588)</f>
        <v>0.00790008170709834</v>
      </c>
      <c r="U588" s="32" t="n">
        <f aca="false">AVERAGE(J588:S588)</f>
        <v>0.00942166742403913</v>
      </c>
      <c r="V588" s="32" t="n">
        <f aca="false">AVERAGE(D588:I588)</f>
        <v>0.00536410551219702</v>
      </c>
      <c r="W588" s="32" t="n">
        <f aca="false">AVERAGE(K588,Q588,R588)</f>
        <v>0.00483788562470955</v>
      </c>
      <c r="X588" s="32" t="n">
        <f aca="false">AVERAGE(K588,L588,N588,O588,P588,Q588,R588,S588)</f>
        <v>0.00899765216125141</v>
      </c>
      <c r="Y588" s="32" t="n">
        <f aca="false">AVERAGE(J588,L588,M588,N588,O588,P588,Q588,R588,S588)</f>
        <v>0.0103988800010889</v>
      </c>
      <c r="Z588" s="32" t="n">
        <f aca="false">U588-V588</f>
        <v>0.00405756191184211</v>
      </c>
      <c r="AA588" s="32" t="n">
        <f aca="false">W588-V588</f>
        <v>-0.000526219887487467</v>
      </c>
    </row>
    <row r="589" customFormat="false" ht="15" hidden="false" customHeight="false" outlineLevel="0" collapsed="false">
      <c r="A589" s="28" t="n">
        <f aca="false">Data_Prices!A589</f>
        <v>45665</v>
      </c>
      <c r="B589" s="32" t="n">
        <f aca="false">Data_Prices!B589/Data_Prices!B588-1</f>
        <v>-0.000799311621864418</v>
      </c>
      <c r="C589" s="32" t="n">
        <f aca="false">Data_Prices!C589/Data_Prices!C588-1</f>
        <v>-0.00491682574921737</v>
      </c>
      <c r="D589" s="32" t="n">
        <f aca="false">Data_Prices!D589/Data_Prices!D588-1</f>
        <v>-0.0110035599752861</v>
      </c>
      <c r="E589" s="32" t="n">
        <f aca="false">Data_Prices!E589/Data_Prices!E588-1</f>
        <v>-0.0131505316172356</v>
      </c>
      <c r="F589" s="32" t="n">
        <f aca="false">Data_Prices!F589/Data_Prices!F588-1</f>
        <v>-0.00621878827852629</v>
      </c>
      <c r="G589" s="32" t="n">
        <f aca="false">Data_Prices!G589/Data_Prices!G588-1</f>
        <v>-0.00393061608134659</v>
      </c>
      <c r="H589" s="32" t="n">
        <f aca="false">Data_Prices!H589/Data_Prices!H588-1</f>
        <v>-0.0132113821138212</v>
      </c>
      <c r="I589" s="32" t="n">
        <f aca="false">Data_Prices!I589/Data_Prices!I588-1</f>
        <v>-0.0152223420831834</v>
      </c>
      <c r="J589" s="32" t="n">
        <f aca="false">Data_Prices!J589/Data_Prices!J588-1</f>
        <v>0.0514444803098773</v>
      </c>
      <c r="K589" s="32" t="n">
        <f aca="false">Data_Prices!K589/Data_Prices!K588-1</f>
        <v>0.00019063180827894</v>
      </c>
      <c r="L589" s="32" t="n">
        <f aca="false">Data_Prices!L589/Data_Prices!L588-1</f>
        <v>-0.000587774294670829</v>
      </c>
      <c r="M589" s="32" t="n">
        <f aca="false">Data_Prices!M589/Data_Prices!M588-1</f>
        <v>0.129513774558226</v>
      </c>
      <c r="N589" s="32" t="n">
        <f aca="false">Data_Prices!N589/Data_Prices!N588-1</f>
        <v>0.031324157570005</v>
      </c>
      <c r="O589" s="32" t="n">
        <f aca="false">Data_Prices!O589/Data_Prices!O588-1</f>
        <v>0.00577304708641546</v>
      </c>
      <c r="P589" s="32" t="n">
        <f aca="false">Data_Prices!P589/Data_Prices!P588-1</f>
        <v>-0.0135572505262206</v>
      </c>
      <c r="Q589" s="32" t="n">
        <f aca="false">Data_Prices!Q589/Data_Prices!Q588-1</f>
        <v>0.016424510423247</v>
      </c>
      <c r="R589" s="32" t="n">
        <f aca="false">Data_Prices!R589/Data_Prices!R588-1</f>
        <v>0.00586670304932113</v>
      </c>
      <c r="S589" s="32" t="n">
        <f aca="false">Data_Prices!S589/Data_Prices!S588-1</f>
        <v>-0.020162925905895</v>
      </c>
      <c r="T589" s="32" t="n">
        <f aca="false">AVERAGE(D589:S589)</f>
        <v>0.00896825837057409</v>
      </c>
      <c r="U589" s="32" t="n">
        <f aca="false">AVERAGE(J589:S589)</f>
        <v>0.0206229354078585</v>
      </c>
      <c r="V589" s="32" t="n">
        <f aca="false">AVERAGE(D589:I589)</f>
        <v>-0.0104562033582332</v>
      </c>
      <c r="W589" s="32" t="n">
        <f aca="false">AVERAGE(K589,Q589,R589)</f>
        <v>0.00749394842694902</v>
      </c>
      <c r="X589" s="32" t="n">
        <f aca="false">AVERAGE(K589,L589,N589,O589,P589,Q589,R589,S589)</f>
        <v>0.00315888740131014</v>
      </c>
      <c r="Y589" s="32" t="n">
        <f aca="false">AVERAGE(J589,L589,M589,N589,O589,P589,Q589,R589,S589)</f>
        <v>0.0228931913633673</v>
      </c>
      <c r="Z589" s="32" t="n">
        <f aca="false">U589-V589</f>
        <v>0.0310791387660917</v>
      </c>
      <c r="AA589" s="32" t="n">
        <f aca="false">W589-V589</f>
        <v>0.0179501517851822</v>
      </c>
    </row>
    <row r="590" customFormat="false" ht="15" hidden="false" customHeight="false" outlineLevel="0" collapsed="false">
      <c r="A590" s="28" t="n">
        <f aca="false">Data_Prices!A590</f>
        <v>45666</v>
      </c>
      <c r="B590" s="32" t="n">
        <f aca="false">Data_Prices!B590/Data_Prices!B589-1</f>
        <v>-0.00685762771249887</v>
      </c>
      <c r="C590" s="32" t="n">
        <f aca="false">Data_Prices!C590/Data_Prices!C589-1</f>
        <v>-0.00833265862413302</v>
      </c>
      <c r="D590" s="32" t="n">
        <f aca="false">Data_Prices!D590/Data_Prices!D589-1</f>
        <v>-0.000594972482522715</v>
      </c>
      <c r="E590" s="32" t="n">
        <f aca="false">Data_Prices!E590/Data_Prices!E589-1</f>
        <v>-0.0174369152254039</v>
      </c>
      <c r="F590" s="32" t="n">
        <f aca="false">Data_Prices!F590/Data_Prices!F589-1</f>
        <v>-0.0129894756802883</v>
      </c>
      <c r="G590" s="32" t="n">
        <f aca="false">Data_Prices!G590/Data_Prices!G589-1</f>
        <v>-0.0161276486231449</v>
      </c>
      <c r="H590" s="32" t="n">
        <f aca="false">Data_Prices!H590/Data_Prices!H589-1</f>
        <v>0.0192813823091886</v>
      </c>
      <c r="I590" s="32" t="n">
        <f aca="false">Data_Prices!I590/Data_Prices!I589-1</f>
        <v>-0.00523369036027277</v>
      </c>
      <c r="J590" s="32" t="n">
        <f aca="false">Data_Prices!J590/Data_Prices!J589-1</f>
        <v>-0.00222571856172538</v>
      </c>
      <c r="K590" s="32" t="n">
        <f aca="false">Data_Prices!K590/Data_Prices!K589-1</f>
        <v>-0.0105916628093773</v>
      </c>
      <c r="L590" s="32" t="n">
        <f aca="false">Data_Prices!L590/Data_Prices!L589-1</f>
        <v>0.0101548715938051</v>
      </c>
      <c r="M590" s="32" t="n">
        <f aca="false">Data_Prices!M590/Data_Prices!M589-1</f>
        <v>-0.0287144106500825</v>
      </c>
      <c r="N590" s="32" t="n">
        <f aca="false">Data_Prices!N590/Data_Prices!N589-1</f>
        <v>-0.0121951219512195</v>
      </c>
      <c r="O590" s="32" t="n">
        <f aca="false">Data_Prices!O590/Data_Prices!O589-1</f>
        <v>0.00358744394618826</v>
      </c>
      <c r="P590" s="32" t="n">
        <f aca="false">Data_Prices!P590/Data_Prices!P589-1</f>
        <v>-0.0202367841409691</v>
      </c>
      <c r="Q590" s="32" t="n">
        <f aca="false">Data_Prices!Q590/Data_Prices!Q589-1</f>
        <v>-0.0259477936606589</v>
      </c>
      <c r="R590" s="32" t="n">
        <f aca="false">Data_Prices!R590/Data_Prices!R589-1</f>
        <v>-0.00888436758223121</v>
      </c>
      <c r="S590" s="32" t="n">
        <f aca="false">Data_Prices!S590/Data_Prices!S589-1</f>
        <v>-0.030668391548081</v>
      </c>
      <c r="T590" s="32" t="n">
        <f aca="false">AVERAGE(D590:S590)</f>
        <v>-0.00992645346417471</v>
      </c>
      <c r="U590" s="32" t="n">
        <f aca="false">AVERAGE(J590:S590)</f>
        <v>-0.0125721935364352</v>
      </c>
      <c r="V590" s="32" t="n">
        <f aca="false">AVERAGE(D590:I590)</f>
        <v>-0.00551688667707399</v>
      </c>
      <c r="W590" s="32" t="n">
        <f aca="false">AVERAGE(K590,Q590,R590)</f>
        <v>-0.0151412746840891</v>
      </c>
      <c r="X590" s="32" t="n">
        <f aca="false">AVERAGE(K590,L590,N590,O590,P590,Q590,R590,S590)</f>
        <v>-0.011847725769068</v>
      </c>
      <c r="Y590" s="32" t="n">
        <f aca="false">AVERAGE(J590,L590,M590,N590,O590,P590,Q590,R590,S590)</f>
        <v>-0.0127922525061082</v>
      </c>
      <c r="Z590" s="32" t="n">
        <f aca="false">U590-V590</f>
        <v>-0.00705530685936116</v>
      </c>
      <c r="AA590" s="32" t="n">
        <f aca="false">W590-V590</f>
        <v>-0.00962438800701515</v>
      </c>
    </row>
    <row r="591" customFormat="false" ht="15" hidden="false" customHeight="false" outlineLevel="0" collapsed="false">
      <c r="A591" s="28" t="n">
        <f aca="false">Data_Prices!A591</f>
        <v>45667</v>
      </c>
      <c r="B591" s="32" t="n">
        <f aca="false">Data_Prices!B591/Data_Prices!B590-1</f>
        <v>-0.00403799970246321</v>
      </c>
      <c r="C591" s="32" t="n">
        <f aca="false">Data_Prices!C591/Data_Prices!C590-1</f>
        <v>-0.0112285142119741</v>
      </c>
      <c r="D591" s="32" t="n">
        <f aca="false">Data_Prices!D591/Data_Prices!D590-1</f>
        <v>-0.00726298556332794</v>
      </c>
      <c r="E591" s="32" t="n">
        <f aca="false">Data_Prices!E591/Data_Prices!E590-1</f>
        <v>-0.0198384071562545</v>
      </c>
      <c r="F591" s="32" t="n">
        <f aca="false">Data_Prices!F591/Data_Prices!F590-1</f>
        <v>-0.00413064361191162</v>
      </c>
      <c r="G591" s="32" t="n">
        <f aca="false">Data_Prices!G591/Data_Prices!G590-1</f>
        <v>-0.0323480687069493</v>
      </c>
      <c r="H591" s="32" t="n">
        <f aca="false">Data_Prices!H591/Data_Prices!H590-1</f>
        <v>-0.0397979230985125</v>
      </c>
      <c r="I591" s="32" t="n">
        <f aca="false">Data_Prices!I591/Data_Prices!I590-1</f>
        <v>-0.0152942615930503</v>
      </c>
      <c r="J591" s="32" t="n">
        <f aca="false">Data_Prices!J591/Data_Prices!J590-1</f>
        <v>-0.000461520710741792</v>
      </c>
      <c r="K591" s="32" t="n">
        <f aca="false">Data_Prices!K591/Data_Prices!K590-1</f>
        <v>0.00144476856183595</v>
      </c>
      <c r="L591" s="32" t="n">
        <f aca="false">Data_Prices!L591/Data_Prices!L590-1</f>
        <v>-0.0257335817419656</v>
      </c>
      <c r="M591" s="32" t="n">
        <f aca="false">Data_Prices!M591/Data_Prices!M590-1</f>
        <v>-0.0233605122305036</v>
      </c>
      <c r="N591" s="32" t="n">
        <f aca="false">Data_Prices!N591/Data_Prices!N590-1</f>
        <v>-0.0324947589098532</v>
      </c>
      <c r="O591" s="32" t="n">
        <f aca="false">Data_Prices!O591/Data_Prices!O590-1</f>
        <v>-0.0150134048257372</v>
      </c>
      <c r="P591" s="32" t="n">
        <f aca="false">Data_Prices!P591/Data_Prices!P590-1</f>
        <v>0.000679125099527056</v>
      </c>
      <c r="Q591" s="32" t="n">
        <f aca="false">Data_Prices!Q591/Data_Prices!Q590-1</f>
        <v>-0.016589567714149</v>
      </c>
      <c r="R591" s="32" t="n">
        <f aca="false">Data_Prices!R591/Data_Prices!R590-1</f>
        <v>-0.0111536882441495</v>
      </c>
      <c r="S591" s="32" t="n">
        <f aca="false">Data_Prices!S591/Data_Prices!S590-1</f>
        <v>-0.0533302489456733</v>
      </c>
      <c r="T591" s="32" t="n">
        <f aca="false">AVERAGE(D591:S591)</f>
        <v>-0.0184178549619635</v>
      </c>
      <c r="U591" s="32" t="n">
        <f aca="false">AVERAGE(J591:S591)</f>
        <v>-0.017601338966141</v>
      </c>
      <c r="V591" s="32" t="n">
        <f aca="false">AVERAGE(D591:I591)</f>
        <v>-0.019778714955001</v>
      </c>
      <c r="W591" s="32" t="n">
        <f aca="false">AVERAGE(K591,Q591,R591)</f>
        <v>-0.00876616246548752</v>
      </c>
      <c r="X591" s="32" t="n">
        <f aca="false">AVERAGE(K591,L591,N591,O591,P591,Q591,R591,S591)</f>
        <v>-0.0190239195900206</v>
      </c>
      <c r="Y591" s="32" t="n">
        <f aca="false">AVERAGE(J591,L591,M591,N591,O591,P591,Q591,R591,S591)</f>
        <v>-0.0197175731359162</v>
      </c>
      <c r="Z591" s="32" t="n">
        <f aca="false">U591-V591</f>
        <v>0.00217737598885999</v>
      </c>
      <c r="AA591" s="32" t="n">
        <f aca="false">W591-V591</f>
        <v>0.0110125524895135</v>
      </c>
    </row>
    <row r="592" customFormat="false" ht="15" hidden="false" customHeight="false" outlineLevel="0" collapsed="false">
      <c r="A592" s="28" t="n">
        <f aca="false">Data_Prices!A592</f>
        <v>45670</v>
      </c>
      <c r="B592" s="32" t="n">
        <f aca="false">Data_Prices!B592/Data_Prices!B591-1</f>
        <v>-0.0147472419606085</v>
      </c>
      <c r="C592" s="32" t="n">
        <f aca="false">Data_Prices!C592/Data_Prices!C591-1</f>
        <v>-0.0254851139960548</v>
      </c>
      <c r="D592" s="32" t="n">
        <f aca="false">Data_Prices!D592/Data_Prices!D591-1</f>
        <v>-0.0183202902461695</v>
      </c>
      <c r="E592" s="32" t="n">
        <f aca="false">Data_Prices!E592/Data_Prices!E591-1</f>
        <v>-0.0406270699933761</v>
      </c>
      <c r="F592" s="32" t="n">
        <f aca="false">Data_Prices!F592/Data_Prices!F591-1</f>
        <v>-0.0176521655252243</v>
      </c>
      <c r="G592" s="32" t="n">
        <f aca="false">Data_Prices!G592/Data_Prices!G591-1</f>
        <v>-0.0383852946476841</v>
      </c>
      <c r="H592" s="32" t="n">
        <f aca="false">Data_Prices!H592/Data_Prices!H591-1</f>
        <v>-0.0536653805682217</v>
      </c>
      <c r="I592" s="32" t="n">
        <f aca="false">Data_Prices!I592/Data_Prices!I591-1</f>
        <v>-0.00807654075546715</v>
      </c>
      <c r="J592" s="32" t="n">
        <f aca="false">Data_Prices!J592/Data_Prices!J591-1</f>
        <v>-0.0521759205817846</v>
      </c>
      <c r="K592" s="32" t="n">
        <f aca="false">Data_Prices!K592/Data_Prices!K591-1</f>
        <v>-0.0188098542201948</v>
      </c>
      <c r="L592" s="32" t="n">
        <f aca="false">Data_Prices!L592/Data_Prices!L591-1</f>
        <v>-0.0258953826540775</v>
      </c>
      <c r="M592" s="32" t="n">
        <f aca="false">Data_Prices!M592/Data_Prices!M591-1</f>
        <v>-0.062640852284368</v>
      </c>
      <c r="N592" s="32" t="n">
        <f aca="false">Data_Prices!N592/Data_Prices!N591-1</f>
        <v>-0.054773082942097</v>
      </c>
      <c r="O592" s="32" t="n">
        <f aca="false">Data_Prices!O592/Data_Prices!O591-1</f>
        <v>-0.0448194520050809</v>
      </c>
      <c r="P592" s="32" t="n">
        <f aca="false">Data_Prices!P592/Data_Prices!P591-1</f>
        <v>-0.0187451732933936</v>
      </c>
      <c r="Q592" s="32" t="n">
        <f aca="false">Data_Prices!Q592/Data_Prices!Q591-1</f>
        <v>-0.0194647201946472</v>
      </c>
      <c r="R592" s="32" t="n">
        <f aca="false">Data_Prices!R592/Data_Prices!R591-1</f>
        <v>-0.0124558854058543</v>
      </c>
      <c r="S592" s="32" t="n">
        <f aca="false">Data_Prices!S592/Data_Prices!S591-1</f>
        <v>-0.0204887218045112</v>
      </c>
      <c r="T592" s="32" t="n">
        <f aca="false">AVERAGE(D592:S592)</f>
        <v>-0.0316872366951345</v>
      </c>
      <c r="U592" s="32" t="n">
        <f aca="false">AVERAGE(J592:S592)</f>
        <v>-0.0330269045386009</v>
      </c>
      <c r="V592" s="32" t="n">
        <f aca="false">AVERAGE(D592:I592)</f>
        <v>-0.0294544569560238</v>
      </c>
      <c r="W592" s="32" t="n">
        <f aca="false">AVERAGE(K592,Q592,R592)</f>
        <v>-0.0169101532735654</v>
      </c>
      <c r="X592" s="32" t="n">
        <f aca="false">AVERAGE(K592,L592,N592,O592,P592,Q592,R592,S592)</f>
        <v>-0.0269315340649821</v>
      </c>
      <c r="Y592" s="32" t="n">
        <f aca="false">AVERAGE(J592,L592,M592,N592,O592,P592,Q592,R592,S592)</f>
        <v>-0.0346065767962016</v>
      </c>
      <c r="Z592" s="32" t="n">
        <f aca="false">U592-V592</f>
        <v>-0.00357244758257709</v>
      </c>
      <c r="AA592" s="32" t="n">
        <f aca="false">W592-V592</f>
        <v>0.0125443036824584</v>
      </c>
    </row>
    <row r="593" customFormat="false" ht="15" hidden="false" customHeight="false" outlineLevel="0" collapsed="false">
      <c r="A593" s="28" t="n">
        <f aca="false">Data_Prices!A593</f>
        <v>45671</v>
      </c>
      <c r="B593" s="32" t="n">
        <f aca="false">Data_Prices!B593/Data_Prices!B592-1</f>
        <v>0.0039028066854514</v>
      </c>
      <c r="C593" s="32" t="n">
        <f aca="false">Data_Prices!C593/Data_Prices!C592-1</f>
        <v>0.0111846239664462</v>
      </c>
      <c r="D593" s="32" t="n">
        <f aca="false">Data_Prices!D593/Data_Prices!D592-1</f>
        <v>0.000733048259010438</v>
      </c>
      <c r="E593" s="32" t="n">
        <f aca="false">Data_Prices!E593/Data_Prices!E592-1</f>
        <v>0.029228998849252</v>
      </c>
      <c r="F593" s="32" t="n">
        <f aca="false">Data_Prices!F593/Data_Prices!F592-1</f>
        <v>0.0223389630793402</v>
      </c>
      <c r="G593" s="32" t="n">
        <f aca="false">Data_Prices!G593/Data_Prices!G592-1</f>
        <v>0.0352323838080959</v>
      </c>
      <c r="H593" s="32" t="n">
        <f aca="false">Data_Prices!H593/Data_Prices!H592-1</f>
        <v>0.0389794909809738</v>
      </c>
      <c r="I593" s="32" t="n">
        <f aca="false">Data_Prices!I593/Data_Prices!I592-1</f>
        <v>0.0423399724414382</v>
      </c>
      <c r="J593" s="32" t="n">
        <f aca="false">Data_Prices!J593/Data_Prices!J592-1</f>
        <v>0.0430317054357976</v>
      </c>
      <c r="K593" s="32" t="n">
        <f aca="false">Data_Prices!K593/Data_Prices!K592-1</f>
        <v>0.0257379712093206</v>
      </c>
      <c r="L593" s="32" t="n">
        <f aca="false">Data_Prices!L593/Data_Prices!L592-1</f>
        <v>0.0393848922334465</v>
      </c>
      <c r="M593" s="32" t="n">
        <f aca="false">Data_Prices!M593/Data_Prices!M592-1</f>
        <v>0.0480848041090651</v>
      </c>
      <c r="N593" s="32" t="n">
        <f aca="false">Data_Prices!N593/Data_Prices!N592-1</f>
        <v>0.0240703005603669</v>
      </c>
      <c r="O593" s="32" t="n">
        <f aca="false">Data_Prices!O593/Data_Prices!O592-1</f>
        <v>0.0136778115501521</v>
      </c>
      <c r="P593" s="32" t="n">
        <f aca="false">Data_Prices!P593/Data_Prices!P592-1</f>
        <v>0.0130455521106605</v>
      </c>
      <c r="Q593" s="32" t="n">
        <f aca="false">Data_Prices!Q593/Data_Prices!Q592-1</f>
        <v>0.0218362282878413</v>
      </c>
      <c r="R593" s="32" t="n">
        <f aca="false">Data_Prices!R593/Data_Prices!R592-1</f>
        <v>0.0296405297456381</v>
      </c>
      <c r="S593" s="32" t="n">
        <f aca="false">Data_Prices!S593/Data_Prices!S592-1</f>
        <v>0.0441374016503551</v>
      </c>
      <c r="T593" s="32" t="n">
        <f aca="false">AVERAGE(D593:S593)</f>
        <v>0.0294687533944221</v>
      </c>
      <c r="U593" s="32" t="n">
        <f aca="false">AVERAGE(J593:S593)</f>
        <v>0.0302647196892644</v>
      </c>
      <c r="V593" s="32" t="n">
        <f aca="false">AVERAGE(D593:I593)</f>
        <v>0.0281421429030184</v>
      </c>
      <c r="W593" s="32" t="n">
        <f aca="false">AVERAGE(K593,Q593,R593)</f>
        <v>0.0257382430809333</v>
      </c>
      <c r="X593" s="32" t="n">
        <f aca="false">AVERAGE(K593,L593,N593,O593,P593,Q593,R593,S593)</f>
        <v>0.0264413359184726</v>
      </c>
      <c r="Y593" s="32" t="n">
        <f aca="false">AVERAGE(J593,L593,M593,N593,O593,P593,Q593,R593,S593)</f>
        <v>0.0307676917425915</v>
      </c>
      <c r="Z593" s="32" t="n">
        <f aca="false">U593-V593</f>
        <v>0.00212257678624597</v>
      </c>
      <c r="AA593" s="32" t="n">
        <f aca="false">W593-V593</f>
        <v>-0.00240389982208507</v>
      </c>
    </row>
    <row r="594" customFormat="false" ht="15" hidden="false" customHeight="false" outlineLevel="0" collapsed="false">
      <c r="A594" s="28" t="n">
        <f aca="false">Data_Prices!A594</f>
        <v>45672</v>
      </c>
      <c r="B594" s="32" t="n">
        <f aca="false">Data_Prices!B594/Data_Prices!B593-1</f>
        <v>0.00160294787075466</v>
      </c>
      <c r="C594" s="32" t="n">
        <f aca="false">Data_Prices!C594/Data_Prices!C593-1</f>
        <v>0.00326566904318004</v>
      </c>
      <c r="D594" s="32" t="n">
        <f aca="false">Data_Prices!D594/Data_Prices!D593-1</f>
        <v>0.000122085215480405</v>
      </c>
      <c r="E594" s="32" t="n">
        <f aca="false">Data_Prices!E594/Data_Prices!E593-1</f>
        <v>0.00350327966607034</v>
      </c>
      <c r="F594" s="32" t="n">
        <f aca="false">Data_Prices!F594/Data_Prices!F593-1</f>
        <v>-0.0133506219084667</v>
      </c>
      <c r="G594" s="32" t="n">
        <f aca="false">Data_Prices!G594/Data_Prices!G593-1</f>
        <v>0.000995655322230338</v>
      </c>
      <c r="H594" s="32" t="n">
        <f aca="false">Data_Prices!H594/Data_Prices!H593-1</f>
        <v>0.0186099054640585</v>
      </c>
      <c r="I594" s="32" t="n">
        <f aca="false">Data_Prices!I594/Data_Prices!I593-1</f>
        <v>-0.00372551376036534</v>
      </c>
      <c r="J594" s="32" t="n">
        <f aca="false">Data_Prices!J594/Data_Prices!J593-1</f>
        <v>0.00548787607519552</v>
      </c>
      <c r="K594" s="32" t="n">
        <f aca="false">Data_Prices!K594/Data_Prices!K593-1</f>
        <v>-0.0214880546075086</v>
      </c>
      <c r="L594" s="32" t="n">
        <f aca="false">Data_Prices!L594/Data_Prices!L593-1</f>
        <v>-0.0132604076493272</v>
      </c>
      <c r="M594" s="32" t="n">
        <f aca="false">Data_Prices!M594/Data_Prices!M593-1</f>
        <v>-0.0609457275428809</v>
      </c>
      <c r="N594" s="32" t="n">
        <f aca="false">Data_Prices!N594/Data_Prices!N593-1</f>
        <v>-0.0218878248974008</v>
      </c>
      <c r="O594" s="32" t="n">
        <f aca="false">Data_Prices!O594/Data_Prices!O593-1</f>
        <v>0.00393553223388321</v>
      </c>
      <c r="P594" s="32" t="n">
        <f aca="false">Data_Prices!P594/Data_Prices!P593-1</f>
        <v>0.0262259575770418</v>
      </c>
      <c r="Q594" s="32" t="n">
        <f aca="false">Data_Prices!Q594/Data_Prices!Q593-1</f>
        <v>0.00453294479520805</v>
      </c>
      <c r="R594" s="32" t="n">
        <f aca="false">Data_Prices!R594/Data_Prices!R593-1</f>
        <v>0.000680549884306547</v>
      </c>
      <c r="S594" s="32" t="n">
        <f aca="false">Data_Prices!S594/Data_Prices!S593-1</f>
        <v>-0.0200330821540158</v>
      </c>
      <c r="T594" s="32" t="n">
        <f aca="false">AVERAGE(D594:S594)</f>
        <v>-0.00566234039290566</v>
      </c>
      <c r="U594" s="32" t="n">
        <f aca="false">AVERAGE(J594:S594)</f>
        <v>-0.00967522362854981</v>
      </c>
      <c r="V594" s="32" t="n">
        <f aca="false">AVERAGE(D594:I594)</f>
        <v>0.00102579833316792</v>
      </c>
      <c r="W594" s="32" t="n">
        <f aca="false">AVERAGE(K594,Q594,R594)</f>
        <v>-0.00542485330933133</v>
      </c>
      <c r="X594" s="32" t="n">
        <f aca="false">AVERAGE(K594,L594,N594,O594,P594,Q594,R594,S594)</f>
        <v>-0.0051617981022266</v>
      </c>
      <c r="Y594" s="32" t="n">
        <f aca="false">AVERAGE(J594,L594,M594,N594,O594,P594,Q594,R594,S594)</f>
        <v>-0.00836268685310995</v>
      </c>
      <c r="Z594" s="32" t="n">
        <f aca="false">U594-V594</f>
        <v>-0.0107010219617177</v>
      </c>
      <c r="AA594" s="32" t="n">
        <f aca="false">W594-V594</f>
        <v>-0.00645065164249925</v>
      </c>
    </row>
    <row r="595" customFormat="false" ht="15" hidden="false" customHeight="false" outlineLevel="0" collapsed="false">
      <c r="A595" s="28" t="n">
        <f aca="false">Data_Prices!A595</f>
        <v>45673</v>
      </c>
      <c r="B595" s="32" t="n">
        <f aca="false">Data_Prices!B595/Data_Prices!B594-1</f>
        <v>0.0042475832715867</v>
      </c>
      <c r="C595" s="32" t="n">
        <f aca="false">Data_Prices!C595/Data_Prices!C594-1</f>
        <v>0.00757962433646386</v>
      </c>
      <c r="D595" s="32" t="n">
        <f aca="false">Data_Prices!D595/Data_Prices!D594-1</f>
        <v>0.000457763671875</v>
      </c>
      <c r="E595" s="32" t="n">
        <f aca="false">Data_Prices!E595/Data_Prices!E594-1</f>
        <v>0.021466240808141</v>
      </c>
      <c r="F595" s="32" t="n">
        <f aca="false">Data_Prices!F595/Data_Prices!F594-1</f>
        <v>0.0206376247262108</v>
      </c>
      <c r="G595" s="32" t="n">
        <f aca="false">Data_Prices!G595/Data_Prices!G594-1</f>
        <v>0.0226060222443258</v>
      </c>
      <c r="H595" s="32" t="n">
        <f aca="false">Data_Prices!H595/Data_Prices!H594-1</f>
        <v>0.0455288349287883</v>
      </c>
      <c r="I595" s="32" t="n">
        <f aca="false">Data_Prices!I595/Data_Prices!I594-1</f>
        <v>-0.00229191797346195</v>
      </c>
      <c r="J595" s="32" t="n">
        <f aca="false">Data_Prices!J595/Data_Prices!J594-1</f>
        <v>0.0108771386544864</v>
      </c>
      <c r="K595" s="32" t="n">
        <f aca="false">Data_Prices!K595/Data_Prices!K594-1</f>
        <v>0.0114822255706233</v>
      </c>
      <c r="L595" s="32" t="n">
        <f aca="false">Data_Prices!L595/Data_Prices!L594-1</f>
        <v>0.0225306057343382</v>
      </c>
      <c r="M595" s="32" t="n">
        <f aca="false">Data_Prices!M595/Data_Prices!M594-1</f>
        <v>0.00605152120808339</v>
      </c>
      <c r="N595" s="32" t="n">
        <f aca="false">Data_Prices!N595/Data_Prices!N594-1</f>
        <v>0.0147488874761603</v>
      </c>
      <c r="O595" s="32" t="n">
        <f aca="false">Data_Prices!O595/Data_Prices!O594-1</f>
        <v>0.00746686578308764</v>
      </c>
      <c r="P595" s="32" t="n">
        <f aca="false">Data_Prices!P595/Data_Prices!P594-1</f>
        <v>0.000206464637195758</v>
      </c>
      <c r="Q595" s="32" t="n">
        <f aca="false">Data_Prices!Q595/Data_Prices!Q594-1</f>
        <v>0.00322320709105561</v>
      </c>
      <c r="R595" s="32" t="n">
        <f aca="false">Data_Prices!R595/Data_Prices!R594-1</f>
        <v>0.0238710554951034</v>
      </c>
      <c r="S595" s="32" t="n">
        <f aca="false">Data_Prices!S595/Data_Prices!S594-1</f>
        <v>0.0255063765941483</v>
      </c>
      <c r="T595" s="32" t="n">
        <f aca="false">AVERAGE(D595:S595)</f>
        <v>0.0146480572906351</v>
      </c>
      <c r="U595" s="32" t="n">
        <f aca="false">AVERAGE(J595:S595)</f>
        <v>0.0125964348244282</v>
      </c>
      <c r="V595" s="32" t="n">
        <f aca="false">AVERAGE(D595:I595)</f>
        <v>0.0180674280676465</v>
      </c>
      <c r="W595" s="32" t="n">
        <f aca="false">AVERAGE(K595,Q595,R595)</f>
        <v>0.0128588293855941</v>
      </c>
      <c r="X595" s="32" t="n">
        <f aca="false">AVERAGE(K595,L595,N595,O595,P595,Q595,R595,S595)</f>
        <v>0.0136294610477141</v>
      </c>
      <c r="Y595" s="32" t="n">
        <f aca="false">AVERAGE(J595,L595,M595,N595,O595,P595,Q595,R595,S595)</f>
        <v>0.0127202358526288</v>
      </c>
      <c r="Z595" s="32" t="n">
        <f aca="false">U595-V595</f>
        <v>-0.00547099324321827</v>
      </c>
      <c r="AA595" s="32" t="n">
        <f aca="false">W595-V595</f>
        <v>-0.0052085986820524</v>
      </c>
    </row>
    <row r="596" customFormat="false" ht="15" hidden="false" customHeight="false" outlineLevel="0" collapsed="false">
      <c r="A596" s="28" t="n">
        <f aca="false">Data_Prices!A596</f>
        <v>45674</v>
      </c>
      <c r="B596" s="32" t="n">
        <f aca="false">Data_Prices!B596/Data_Prices!B595-1</f>
        <v>-0.00465858492265714</v>
      </c>
      <c r="C596" s="32" t="n">
        <f aca="false">Data_Prices!C596/Data_Prices!C595-1</f>
        <v>-0.00157958603793307</v>
      </c>
      <c r="D596" s="32" t="n">
        <f aca="false">Data_Prices!D596/Data_Prices!D595-1</f>
        <v>-0.000549065064210152</v>
      </c>
      <c r="E596" s="32" t="n">
        <f aca="false">Data_Prices!E596/Data_Prices!E595-1</f>
        <v>0.0056719022687608</v>
      </c>
      <c r="F596" s="32" t="n">
        <f aca="false">Data_Prices!F596/Data_Prices!F595-1</f>
        <v>-0.0174066479088177</v>
      </c>
      <c r="G596" s="32" t="n">
        <f aca="false">Data_Prices!G596/Data_Prices!G595-1</f>
        <v>-0.00486338314616674</v>
      </c>
      <c r="H596" s="32" t="n">
        <f aca="false">Data_Prices!H596/Data_Prices!H595-1</f>
        <v>0.00926753014738724</v>
      </c>
      <c r="I596" s="32" t="n">
        <f aca="false">Data_Prices!I596/Data_Prices!I595-1</f>
        <v>-0.0102768709950429</v>
      </c>
      <c r="J596" s="32" t="n">
        <f aca="false">Data_Prices!J596/Data_Prices!J595-1</f>
        <v>0.024966494351905</v>
      </c>
      <c r="K596" s="32" t="n">
        <f aca="false">Data_Prices!K596/Data_Prices!K595-1</f>
        <v>-0.0107035959116677</v>
      </c>
      <c r="L596" s="32" t="n">
        <f aca="false">Data_Prices!L596/Data_Prices!L595-1</f>
        <v>-0.0192652679198189</v>
      </c>
      <c r="M596" s="32" t="n">
        <f aca="false">Data_Prices!M596/Data_Prices!M595-1</f>
        <v>0.00540809006125498</v>
      </c>
      <c r="N596" s="32" t="n">
        <f aca="false">Data_Prices!N596/Data_Prices!N595-1</f>
        <v>0.000250595163513223</v>
      </c>
      <c r="O596" s="32" t="n">
        <f aca="false">Data_Prices!O596/Data_Prices!O595-1</f>
        <v>-0.00481749119881425</v>
      </c>
      <c r="P596" s="32" t="n">
        <f aca="false">Data_Prices!P596/Data_Prices!P595-1</f>
        <v>-0.0139449541284404</v>
      </c>
      <c r="Q596" s="32" t="n">
        <f aca="false">Data_Prices!Q596/Data_Prices!Q595-1</f>
        <v>0.00899598393574297</v>
      </c>
      <c r="R596" s="32" t="n">
        <f aca="false">Data_Prices!R596/Data_Prices!R595-1</f>
        <v>-0.015808701428097</v>
      </c>
      <c r="S596" s="32" t="n">
        <f aca="false">Data_Prices!S596/Data_Prices!S595-1</f>
        <v>-0.0371250914411119</v>
      </c>
      <c r="T596" s="32" t="n">
        <f aca="false">AVERAGE(D596:S596)</f>
        <v>-0.00501252957585147</v>
      </c>
      <c r="U596" s="32" t="n">
        <f aca="false">AVERAGE(J596:S596)</f>
        <v>-0.00620439385155339</v>
      </c>
      <c r="V596" s="32" t="n">
        <f aca="false">AVERAGE(D596:I596)</f>
        <v>-0.00302608911634826</v>
      </c>
      <c r="W596" s="32" t="n">
        <f aca="false">AVERAGE(K596,Q596,R596)</f>
        <v>-0.0058387711346739</v>
      </c>
      <c r="X596" s="32" t="n">
        <f aca="false">AVERAGE(K596,L596,N596,O596,P596,Q596,R596,S596)</f>
        <v>-0.0115523153660867</v>
      </c>
      <c r="Y596" s="32" t="n">
        <f aca="false">AVERAGE(J596,L596,M596,N596,O596,P596,Q596,R596,S596)</f>
        <v>-0.00570448251154069</v>
      </c>
      <c r="Z596" s="32" t="n">
        <f aca="false">U596-V596</f>
        <v>-0.00317830473520514</v>
      </c>
      <c r="AA596" s="32" t="n">
        <f aca="false">W596-V596</f>
        <v>-0.00281268201832565</v>
      </c>
    </row>
    <row r="597" customFormat="false" ht="15" hidden="false" customHeight="false" outlineLevel="0" collapsed="false">
      <c r="A597" s="28" t="n">
        <f aca="false">Data_Prices!A597</f>
        <v>45677</v>
      </c>
      <c r="B597" s="32" t="n">
        <f aca="false">Data_Prices!B597/Data_Prices!B596-1</f>
        <v>0.0061004516618397</v>
      </c>
      <c r="C597" s="32" t="n">
        <f aca="false">Data_Prices!C597/Data_Prices!C596-1</f>
        <v>0.00593858465654229</v>
      </c>
      <c r="D597" s="32" t="n">
        <f aca="false">Data_Prices!D597/Data_Prices!D596-1</f>
        <v>0.0169998473981383</v>
      </c>
      <c r="E597" s="32" t="n">
        <f aca="false">Data_Prices!E597/Data_Prices!E596-1</f>
        <v>0.0238611713665944</v>
      </c>
      <c r="F597" s="32" t="n">
        <f aca="false">Data_Prices!F597/Data_Prices!F596-1</f>
        <v>0.00776548243059594</v>
      </c>
      <c r="G597" s="32" t="n">
        <f aca="false">Data_Prices!G597/Data_Prices!G596-1</f>
        <v>0.0127954505064865</v>
      </c>
      <c r="H597" s="32" t="n">
        <f aca="false">Data_Prices!H597/Data_Prices!H596-1</f>
        <v>0.00945901095253898</v>
      </c>
      <c r="I597" s="32" t="n">
        <f aca="false">Data_Prices!I597/Data_Prices!I596-1</f>
        <v>0.00952846322990464</v>
      </c>
      <c r="J597" s="32" t="n">
        <f aca="false">Data_Prices!J597/Data_Prices!J596-1</f>
        <v>0.0601113311166737</v>
      </c>
      <c r="K597" s="32" t="n">
        <f aca="false">Data_Prices!K597/Data_Prices!K596-1</f>
        <v>0.0359298969647115</v>
      </c>
      <c r="L597" s="32" t="n">
        <f aca="false">Data_Prices!L597/Data_Prices!L596-1</f>
        <v>-0.00835056465722917</v>
      </c>
      <c r="M597" s="32" t="n">
        <f aca="false">Data_Prices!M597/Data_Prices!M596-1</f>
        <v>0.0972062132938141</v>
      </c>
      <c r="N597" s="32" t="n">
        <f aca="false">Data_Prices!N597/Data_Prices!N596-1</f>
        <v>0.00714017286734325</v>
      </c>
      <c r="O597" s="32" t="n">
        <f aca="false">Data_Prices!O597/Data_Prices!O596-1</f>
        <v>-0.00335133122323605</v>
      </c>
      <c r="P597" s="32" t="n">
        <f aca="false">Data_Prices!P597/Data_Prices!P596-1</f>
        <v>-0.00344250093040566</v>
      </c>
      <c r="Q597" s="32" t="n">
        <f aca="false">Data_Prices!Q597/Data_Prices!Q596-1</f>
        <v>0.0165578729501672</v>
      </c>
      <c r="R597" s="32" t="n">
        <f aca="false">Data_Prices!R597/Data_Prices!R596-1</f>
        <v>0.0278733886751703</v>
      </c>
      <c r="S597" s="32" t="n">
        <f aca="false">Data_Prices!S597/Data_Prices!S596-1</f>
        <v>-0.0186134852801518</v>
      </c>
      <c r="T597" s="32" t="n">
        <f aca="false">AVERAGE(D597:S597)</f>
        <v>0.0182169012288198</v>
      </c>
      <c r="U597" s="32" t="n">
        <f aca="false">AVERAGE(J597:S597)</f>
        <v>0.0211060993776857</v>
      </c>
      <c r="V597" s="32" t="n">
        <f aca="false">AVERAGE(D597:I597)</f>
        <v>0.0134015709807098</v>
      </c>
      <c r="W597" s="32" t="n">
        <f aca="false">AVERAGE(K597,Q597,R597)</f>
        <v>0.0267870528633497</v>
      </c>
      <c r="X597" s="32" t="n">
        <f aca="false">AVERAGE(K597,L597,N597,O597,P597,Q597,R597,S597)</f>
        <v>0.00671793117079619</v>
      </c>
      <c r="Y597" s="32" t="n">
        <f aca="false">AVERAGE(J597,L597,M597,N597,O597,P597,Q597,R597,S597)</f>
        <v>0.0194590107569051</v>
      </c>
      <c r="Z597" s="32" t="n">
        <f aca="false">U597-V597</f>
        <v>0.00770452839697594</v>
      </c>
      <c r="AA597" s="32" t="n">
        <f aca="false">W597-V597</f>
        <v>0.0133854818826399</v>
      </c>
    </row>
    <row r="598" customFormat="false" ht="15" hidden="false" customHeight="false" outlineLevel="0" collapsed="false">
      <c r="A598" s="28" t="n">
        <f aca="false">Data_Prices!A598</f>
        <v>45678</v>
      </c>
      <c r="B598" s="32" t="n">
        <f aca="false">Data_Prices!B598/Data_Prices!B597-1</f>
        <v>-0.0137118624101779</v>
      </c>
      <c r="C598" s="32" t="n">
        <f aca="false">Data_Prices!C598/Data_Prices!C597-1</f>
        <v>-0.0172314182218349</v>
      </c>
      <c r="D598" s="32" t="n">
        <f aca="false">Data_Prices!D598/Data_Prices!D597-1</f>
        <v>0.0207670608006723</v>
      </c>
      <c r="E598" s="32" t="n">
        <f aca="false">Data_Prices!E598/Data_Prices!E597-1</f>
        <v>-0.0228813559322034</v>
      </c>
      <c r="F598" s="32" t="n">
        <f aca="false">Data_Prices!F598/Data_Prices!F597-1</f>
        <v>-0.0171450587555385</v>
      </c>
      <c r="G598" s="32" t="n">
        <f aca="false">Data_Prices!G598/Data_Prices!G597-1</f>
        <v>-0.0166695911563433</v>
      </c>
      <c r="H598" s="32" t="n">
        <f aca="false">Data_Prices!H598/Data_Prices!H597-1</f>
        <v>-0.015288508959395</v>
      </c>
      <c r="I598" s="32" t="n">
        <f aca="false">Data_Prices!I598/Data_Prices!I597-1</f>
        <v>-0.0323088092933204</v>
      </c>
      <c r="J598" s="32" t="n">
        <f aca="false">Data_Prices!J598/Data_Prices!J597-1</f>
        <v>-0.0035241048773611</v>
      </c>
      <c r="K598" s="32" t="n">
        <f aca="false">Data_Prices!K598/Data_Prices!K597-1</f>
        <v>-0.0199596231493944</v>
      </c>
      <c r="L598" s="32" t="n">
        <f aca="false">Data_Prices!L598/Data_Prices!L597-1</f>
        <v>-0.00513272916833751</v>
      </c>
      <c r="M598" s="32" t="n">
        <f aca="false">Data_Prices!M598/Data_Prices!M597-1</f>
        <v>-0.0400200100050026</v>
      </c>
      <c r="N598" s="32" t="n">
        <f aca="false">Data_Prices!N598/Data_Prices!N597-1</f>
        <v>-0.027363184079602</v>
      </c>
      <c r="O598" s="32" t="n">
        <f aca="false">Data_Prices!O598/Data_Prices!O597-1</f>
        <v>-0.00896693442929186</v>
      </c>
      <c r="P598" s="32" t="n">
        <f aca="false">Data_Prices!P598/Data_Prices!P597-1</f>
        <v>0.0106666044253574</v>
      </c>
      <c r="Q598" s="32" t="n">
        <f aca="false">Data_Prices!Q598/Data_Prices!Q597-1</f>
        <v>0.0144087705559908</v>
      </c>
      <c r="R598" s="32" t="n">
        <f aca="false">Data_Prices!R598/Data_Prices!R597-1</f>
        <v>0.00144451739986873</v>
      </c>
      <c r="S598" s="32" t="n">
        <f aca="false">Data_Prices!S598/Data_Prices!S597-1</f>
        <v>0.00696729243274619</v>
      </c>
      <c r="T598" s="32" t="n">
        <f aca="false">AVERAGE(D598:S598)</f>
        <v>-0.00968785401194717</v>
      </c>
      <c r="U598" s="32" t="n">
        <f aca="false">AVERAGE(J598:S598)</f>
        <v>-0.00714794008950264</v>
      </c>
      <c r="V598" s="32" t="n">
        <f aca="false">AVERAGE(D598:I598)</f>
        <v>-0.0139210438826881</v>
      </c>
      <c r="W598" s="32" t="n">
        <f aca="false">AVERAGE(K598,Q598,R598)</f>
        <v>-0.00136877839784496</v>
      </c>
      <c r="X598" s="32" t="n">
        <f aca="false">AVERAGE(K598,L598,N598,O598,P598,Q598,R598,S598)</f>
        <v>-0.00349191075158284</v>
      </c>
      <c r="Y598" s="32" t="n">
        <f aca="false">AVERAGE(J598,L598,M598,N598,O598,P598,Q598,R598,S598)</f>
        <v>-0.00572441974951467</v>
      </c>
      <c r="Z598" s="32" t="n">
        <f aca="false">U598-V598</f>
        <v>0.00677310379318542</v>
      </c>
      <c r="AA598" s="32" t="n">
        <f aca="false">W598-V598</f>
        <v>0.0125522654848431</v>
      </c>
    </row>
    <row r="599" customFormat="false" ht="15" hidden="false" customHeight="false" outlineLevel="0" collapsed="false">
      <c r="A599" s="28" t="n">
        <f aca="false">Data_Prices!A599</f>
        <v>45679</v>
      </c>
      <c r="B599" s="32" t="n">
        <f aca="false">Data_Prices!B599/Data_Prices!B598-1</f>
        <v>0.0056765249417472</v>
      </c>
      <c r="C599" s="32" t="n">
        <f aca="false">Data_Prices!C599/Data_Prices!C598-1</f>
        <v>-0.00170996398111345</v>
      </c>
      <c r="D599" s="32" t="n">
        <f aca="false">Data_Prices!D599/Data_Prices!D598-1</f>
        <v>-0.008672899394367</v>
      </c>
      <c r="E599" s="32" t="n">
        <f aca="false">Data_Prices!E599/Data_Prices!E598-1</f>
        <v>-0.00838392599017046</v>
      </c>
      <c r="F599" s="32" t="n">
        <f aca="false">Data_Prices!F599/Data_Prices!F598-1</f>
        <v>-0.0322912583300665</v>
      </c>
      <c r="G599" s="32" t="n">
        <f aca="false">Data_Prices!G599/Data_Prices!G598-1</f>
        <v>-0.00999286224125628</v>
      </c>
      <c r="H599" s="32" t="n">
        <f aca="false">Data_Prices!H599/Data_Prices!H598-1</f>
        <v>0.0144129104062327</v>
      </c>
      <c r="I599" s="32" t="n">
        <f aca="false">Data_Prices!I599/Data_Prices!I598-1</f>
        <v>-0.0131299237213955</v>
      </c>
      <c r="J599" s="32" t="n">
        <f aca="false">Data_Prices!J599/Data_Prices!J598-1</f>
        <v>-0.0325010609704344</v>
      </c>
      <c r="K599" s="32" t="n">
        <f aca="false">Data_Prices!K599/Data_Prices!K598-1</f>
        <v>0.014474641910543</v>
      </c>
      <c r="L599" s="32" t="n">
        <f aca="false">Data_Prices!L599/Data_Prices!L598-1</f>
        <v>0.0133817009270454</v>
      </c>
      <c r="M599" s="32" t="n">
        <f aca="false">Data_Prices!M599/Data_Prices!M598-1</f>
        <v>0.000208441896821343</v>
      </c>
      <c r="N599" s="32" t="n">
        <f aca="false">Data_Prices!N599/Data_Prices!N598-1</f>
        <v>-0.0140664961636828</v>
      </c>
      <c r="O599" s="32" t="n">
        <f aca="false">Data_Prices!O599/Data_Prices!O598-1</f>
        <v>0.00226201696512729</v>
      </c>
      <c r="P599" s="32" t="n">
        <f aca="false">Data_Prices!P599/Data_Prices!P598-1</f>
        <v>0.0149650123553726</v>
      </c>
      <c r="Q599" s="32" t="n">
        <f aca="false">Data_Prices!Q599/Data_Prices!Q598-1</f>
        <v>0.010035510267099</v>
      </c>
      <c r="R599" s="32" t="n">
        <f aca="false">Data_Prices!R599/Data_Prices!R598-1</f>
        <v>-0.00793338578547087</v>
      </c>
      <c r="S599" s="32" t="n">
        <f aca="false">Data_Prices!S599/Data_Prices!S598-1</f>
        <v>-0.00317124735729379</v>
      </c>
      <c r="T599" s="32" t="n">
        <f aca="false">AVERAGE(D599:S599)</f>
        <v>-0.00377517657661852</v>
      </c>
      <c r="U599" s="32" t="n">
        <f aca="false">AVERAGE(J599:S599)</f>
        <v>-0.000234486595487315</v>
      </c>
      <c r="V599" s="32" t="n">
        <f aca="false">AVERAGE(D599:I599)</f>
        <v>-0.00967632654517051</v>
      </c>
      <c r="W599" s="32" t="n">
        <f aca="false">AVERAGE(K599,Q599,R599)</f>
        <v>0.0055255887973904</v>
      </c>
      <c r="X599" s="32" t="n">
        <f aca="false">AVERAGE(K599,L599,N599,O599,P599,Q599,R599,S599)</f>
        <v>0.00374346913984248</v>
      </c>
      <c r="Y599" s="32" t="n">
        <f aca="false">AVERAGE(J599,L599,M599,N599,O599,P599,Q599,R599,S599)</f>
        <v>-0.00186883420726847</v>
      </c>
      <c r="Z599" s="32" t="n">
        <f aca="false">U599-V599</f>
        <v>0.0094418399496832</v>
      </c>
      <c r="AA599" s="32" t="n">
        <f aca="false">W599-V599</f>
        <v>0.0152019153425609</v>
      </c>
    </row>
    <row r="600" customFormat="false" ht="15" hidden="false" customHeight="false" outlineLevel="0" collapsed="false">
      <c r="A600" s="28" t="n">
        <f aca="false">Data_Prices!A600</f>
        <v>45680</v>
      </c>
      <c r="B600" s="32" t="n">
        <f aca="false">Data_Prices!B600/Data_Prices!B599-1</f>
        <v>0.00215932818981357</v>
      </c>
      <c r="C600" s="32" t="n">
        <f aca="false">Data_Prices!C600/Data_Prices!C599-1</f>
        <v>0.00661321568196738</v>
      </c>
      <c r="D600" s="32" t="n">
        <f aca="false">Data_Prices!D600/Data_Prices!D599-1</f>
        <v>0.0248524570716806</v>
      </c>
      <c r="E600" s="32" t="n">
        <f aca="false">Data_Prices!E600/Data_Prices!E599-1</f>
        <v>0.00721574344023335</v>
      </c>
      <c r="F600" s="32" t="n">
        <f aca="false">Data_Prices!F600/Data_Prices!F599-1</f>
        <v>0.00632943440174194</v>
      </c>
      <c r="G600" s="32" t="n">
        <f aca="false">Data_Prices!G600/Data_Prices!G599-1</f>
        <v>0.045331651045422</v>
      </c>
      <c r="H600" s="32" t="n">
        <f aca="false">Data_Prices!H600/Data_Prices!H599-1</f>
        <v>-0.030391135004663</v>
      </c>
      <c r="I600" s="32" t="n">
        <f aca="false">Data_Prices!I600/Data_Prices!I599-1</f>
        <v>0.00658895083628974</v>
      </c>
      <c r="J600" s="32" t="n">
        <f aca="false">Data_Prices!J600/Data_Prices!J599-1</f>
        <v>0.0509924333808531</v>
      </c>
      <c r="K600" s="32" t="n">
        <f aca="false">Data_Prices!K600/Data_Prices!K599-1</f>
        <v>0.00622707151656243</v>
      </c>
      <c r="L600" s="32" t="n">
        <f aca="false">Data_Prices!L600/Data_Prices!L599-1</f>
        <v>-0.00879007238883145</v>
      </c>
      <c r="M600" s="32" t="n">
        <f aca="false">Data_Prices!M600/Data_Prices!M599-1</f>
        <v>0.0120871105553817</v>
      </c>
      <c r="N600" s="32" t="n">
        <f aca="false">Data_Prices!N600/Data_Prices!N599-1</f>
        <v>0.00246433203631646</v>
      </c>
      <c r="O600" s="32" t="n">
        <f aca="false">Data_Prices!O600/Data_Prices!O599-1</f>
        <v>0.0361105886778257</v>
      </c>
      <c r="P600" s="32" t="n">
        <f aca="false">Data_Prices!P600/Data_Prices!P599-1</f>
        <v>-0.00106942137477528</v>
      </c>
      <c r="Q600" s="32" t="n">
        <f aca="false">Data_Prices!Q600/Data_Prices!Q599-1</f>
        <v>0.0174258636502598</v>
      </c>
      <c r="R600" s="32" t="n">
        <f aca="false">Data_Prices!R600/Data_Prices!R599-1</f>
        <v>0.00456017447624091</v>
      </c>
      <c r="S600" s="32" t="n">
        <f aca="false">Data_Prices!S600/Data_Prices!S599-1</f>
        <v>0.021498120119541</v>
      </c>
      <c r="T600" s="32" t="n">
        <f aca="false">AVERAGE(D600:S600)</f>
        <v>0.0125895814025049</v>
      </c>
      <c r="U600" s="32" t="n">
        <f aca="false">AVERAGE(J600:S600)</f>
        <v>0.0141506200649374</v>
      </c>
      <c r="V600" s="32" t="n">
        <f aca="false">AVERAGE(D600:I600)</f>
        <v>0.00998785029845078</v>
      </c>
      <c r="W600" s="32" t="n">
        <f aca="false">AVERAGE(K600,Q600,R600)</f>
        <v>0.00940436988102104</v>
      </c>
      <c r="X600" s="32" t="n">
        <f aca="false">AVERAGE(K600,L600,N600,O600,P600,Q600,R600,S600)</f>
        <v>0.00980333208914244</v>
      </c>
      <c r="Y600" s="32" t="n">
        <f aca="false">AVERAGE(J600,L600,M600,N600,O600,P600,Q600,R600,S600)</f>
        <v>0.0150310143480902</v>
      </c>
      <c r="Z600" s="32" t="n">
        <f aca="false">U600-V600</f>
        <v>0.00416276976648665</v>
      </c>
      <c r="AA600" s="32" t="n">
        <f aca="false">W600-V600</f>
        <v>-0.000583480417429746</v>
      </c>
    </row>
    <row r="601" customFormat="false" ht="15" hidden="false" customHeight="false" outlineLevel="0" collapsed="false">
      <c r="A601" s="28" t="n">
        <f aca="false">Data_Prices!A601</f>
        <v>45681</v>
      </c>
      <c r="B601" s="32" t="n">
        <f aca="false">Data_Prices!B601/Data_Prices!B600-1</f>
        <v>-0.00487603074291043</v>
      </c>
      <c r="C601" s="32" t="n">
        <f aca="false">Data_Prices!C601/Data_Prices!C600-1</f>
        <v>-0.0101750158440527</v>
      </c>
      <c r="D601" s="32" t="n">
        <f aca="false">Data_Prices!D601/Data_Prices!D600-1</f>
        <v>-0.00162051103973149</v>
      </c>
      <c r="E601" s="32" t="n">
        <f aca="false">Data_Prices!E601/Data_Prices!E600-1</f>
        <v>-0.0119400824951155</v>
      </c>
      <c r="F601" s="32" t="n">
        <f aca="false">Data_Prices!F601/Data_Prices!F600-1</f>
        <v>0.00221394787159102</v>
      </c>
      <c r="G601" s="32" t="n">
        <f aca="false">Data_Prices!G601/Data_Prices!G600-1</f>
        <v>-0.011466505733253</v>
      </c>
      <c r="H601" s="32" t="n">
        <f aca="false">Data_Prices!H601/Data_Prices!H600-1</f>
        <v>-0.023026874115983</v>
      </c>
      <c r="I601" s="32" t="n">
        <f aca="false">Data_Prices!I601/Data_Prices!I600-1</f>
        <v>-0.0232880161127895</v>
      </c>
      <c r="J601" s="32" t="n">
        <f aca="false">Data_Prices!J601/Data_Prices!J600-1</f>
        <v>-0.0665345019476905</v>
      </c>
      <c r="K601" s="32" t="n">
        <f aca="false">Data_Prices!K601/Data_Prices!K600-1</f>
        <v>-0.000618853506612171</v>
      </c>
      <c r="L601" s="32" t="n">
        <f aca="false">Data_Prices!L601/Data_Prices!L600-1</f>
        <v>-0.0184583283174833</v>
      </c>
      <c r="M601" s="32" t="n">
        <f aca="false">Data_Prices!M601/Data_Prices!M600-1</f>
        <v>-0.0563162771543292</v>
      </c>
      <c r="N601" s="32" t="n">
        <f aca="false">Data_Prices!N601/Data_Prices!N600-1</f>
        <v>-0.0272997800491656</v>
      </c>
      <c r="O601" s="32" t="n">
        <f aca="false">Data_Prices!O601/Data_Prices!O600-1</f>
        <v>-0.0268651297876201</v>
      </c>
      <c r="P601" s="32" t="n">
        <f aca="false">Data_Prices!P601/Data_Prices!P600-1</f>
        <v>-0.00988565441209954</v>
      </c>
      <c r="Q601" s="32" t="n">
        <f aca="false">Data_Prices!Q601/Data_Prices!Q600-1</f>
        <v>-0.0474759615384616</v>
      </c>
      <c r="R601" s="32" t="n">
        <f aca="false">Data_Prices!R601/Data_Prices!R600-1</f>
        <v>-0.0022368421052632</v>
      </c>
      <c r="S601" s="32" t="n">
        <f aca="false">Data_Prices!S601/Data_Prices!S600-1</f>
        <v>-0.00443563608909003</v>
      </c>
      <c r="T601" s="32" t="n">
        <f aca="false">AVERAGE(D601:S601)</f>
        <v>-0.0205784379083185</v>
      </c>
      <c r="U601" s="32" t="n">
        <f aca="false">AVERAGE(J601:S601)</f>
        <v>-0.0260126964907815</v>
      </c>
      <c r="V601" s="32" t="n">
        <f aca="false">AVERAGE(D601:I601)</f>
        <v>-0.0115213402708803</v>
      </c>
      <c r="W601" s="32" t="n">
        <f aca="false">AVERAGE(K601,Q601,R601)</f>
        <v>-0.0167772190501123</v>
      </c>
      <c r="X601" s="32" t="n">
        <f aca="false">AVERAGE(K601,L601,N601,O601,P601,Q601,R601,S601)</f>
        <v>-0.0171595232257244</v>
      </c>
      <c r="Y601" s="32" t="n">
        <f aca="false">AVERAGE(J601,L601,M601,N601,O601,P601,Q601,R601,S601)</f>
        <v>-0.0288342346001337</v>
      </c>
      <c r="Z601" s="32" t="n">
        <f aca="false">U601-V601</f>
        <v>-0.0144913562199013</v>
      </c>
      <c r="AA601" s="32" t="n">
        <f aca="false">W601-V601</f>
        <v>-0.00525587877923206</v>
      </c>
    </row>
    <row r="602" customFormat="false" ht="15" hidden="false" customHeight="false" outlineLevel="0" collapsed="false">
      <c r="A602" s="28" t="n">
        <f aca="false">Data_Prices!A602</f>
        <v>45684</v>
      </c>
      <c r="B602" s="32" t="n">
        <f aca="false">Data_Prices!B602/Data_Prices!B601-1</f>
        <v>-0.0113912922978321</v>
      </c>
      <c r="C602" s="32" t="n">
        <f aca="false">Data_Prices!C602/Data_Prices!C601-1</f>
        <v>-0.0191356026811891</v>
      </c>
      <c r="D602" s="32" t="n">
        <f aca="false">Data_Prices!D602/Data_Prices!D601-1</f>
        <v>-0.0334483058462074</v>
      </c>
      <c r="E602" s="32" t="n">
        <f aca="false">Data_Prices!E602/Data_Prices!E601-1</f>
        <v>-0.0126702797714957</v>
      </c>
      <c r="F602" s="32" t="n">
        <f aca="false">Data_Prices!F602/Data_Prices!F601-1</f>
        <v>-0.018877397329049</v>
      </c>
      <c r="G602" s="32" t="n">
        <f aca="false">Data_Prices!G602/Data_Prices!G601-1</f>
        <v>-0.0163963021105877</v>
      </c>
      <c r="H602" s="32" t="n">
        <f aca="false">Data_Prices!H602/Data_Prices!H601-1</f>
        <v>-0.0580264072272412</v>
      </c>
      <c r="I602" s="32" t="n">
        <f aca="false">Data_Prices!I602/Data_Prices!I601-1</f>
        <v>-0.04575331872664</v>
      </c>
      <c r="J602" s="32" t="n">
        <f aca="false">Data_Prices!J602/Data_Prices!J601-1</f>
        <v>-0.0322292186743173</v>
      </c>
      <c r="K602" s="32" t="n">
        <f aca="false">Data_Prices!K602/Data_Prices!K601-1</f>
        <v>-0.0192501850979337</v>
      </c>
      <c r="L602" s="32" t="n">
        <f aca="false">Data_Prices!L602/Data_Prices!L601-1</f>
        <v>-0.0390008585094641</v>
      </c>
      <c r="M602" s="32" t="n">
        <f aca="false">Data_Prices!M602/Data_Prices!M601-1</f>
        <v>0.00785511673576256</v>
      </c>
      <c r="N602" s="32" t="n">
        <f aca="false">Data_Prices!N602/Data_Prices!N601-1</f>
        <v>-0.0480180899175311</v>
      </c>
      <c r="O602" s="32" t="n">
        <f aca="false">Data_Prices!O602/Data_Prices!O601-1</f>
        <v>-0.0309643723185973</v>
      </c>
      <c r="P602" s="32" t="n">
        <f aca="false">Data_Prices!P602/Data_Prices!P601-1</f>
        <v>-0.0158277353455416</v>
      </c>
      <c r="Q602" s="32" t="n">
        <f aca="false">Data_Prices!Q602/Data_Prices!Q601-1</f>
        <v>-0.0235015772870663</v>
      </c>
      <c r="R602" s="32" t="n">
        <f aca="false">Data_Prices!R602/Data_Prices!R601-1</f>
        <v>-0.00606620071211905</v>
      </c>
      <c r="S602" s="32" t="n">
        <f aca="false">Data_Prices!S602/Data_Prices!S601-1</f>
        <v>-0.0299554460138403</v>
      </c>
      <c r="T602" s="32" t="n">
        <f aca="false">AVERAGE(D602:S602)</f>
        <v>-0.0263831611344918</v>
      </c>
      <c r="U602" s="32" t="n">
        <f aca="false">AVERAGE(J602:S602)</f>
        <v>-0.0236958567140648</v>
      </c>
      <c r="V602" s="32" t="n">
        <f aca="false">AVERAGE(D602:I602)</f>
        <v>-0.0308620018352035</v>
      </c>
      <c r="W602" s="32" t="n">
        <f aca="false">AVERAGE(K602,Q602,R602)</f>
        <v>-0.0162726543657064</v>
      </c>
      <c r="X602" s="32" t="n">
        <f aca="false">AVERAGE(K602,L602,N602,O602,P602,Q602,R602,S602)</f>
        <v>-0.0265730581502617</v>
      </c>
      <c r="Y602" s="32" t="n">
        <f aca="false">AVERAGE(J602,L602,M602,N602,O602,P602,Q602,R602,S602)</f>
        <v>-0.0241898202269683</v>
      </c>
      <c r="Z602" s="32" t="n">
        <f aca="false">U602-V602</f>
        <v>0.0071661451211387</v>
      </c>
      <c r="AA602" s="32" t="n">
        <f aca="false">W602-V602</f>
        <v>0.0145893474694972</v>
      </c>
    </row>
    <row r="603" customFormat="false" ht="15" hidden="false" customHeight="false" outlineLevel="0" collapsed="false">
      <c r="A603" s="28" t="n">
        <f aca="false">Data_Prices!A603</f>
        <v>45685</v>
      </c>
      <c r="B603" s="32" t="n">
        <f aca="false">Data_Prices!B603/Data_Prices!B602-1</f>
        <v>0.00561124702408966</v>
      </c>
      <c r="C603" s="32" t="n">
        <f aca="false">Data_Prices!C603/Data_Prices!C602-1</f>
        <v>0.000659941322608493</v>
      </c>
      <c r="D603" s="32" t="n">
        <f aca="false">Data_Prices!D603/Data_Prices!D602-1</f>
        <v>0.00314870902929809</v>
      </c>
      <c r="E603" s="32" t="n">
        <f aca="false">Data_Prices!E603/Data_Prices!E602-1</f>
        <v>-0.0164676210963577</v>
      </c>
      <c r="F603" s="32" t="n">
        <f aca="false">Data_Prices!F603/Data_Prices!F602-1</f>
        <v>-0.0155050660116671</v>
      </c>
      <c r="G603" s="32" t="n">
        <f aca="false">Data_Prices!G603/Data_Prices!G602-1</f>
        <v>0.0117042028728498</v>
      </c>
      <c r="H603" s="32" t="n">
        <f aca="false">Data_Prices!H603/Data_Prices!H602-1</f>
        <v>0.0365793680068856</v>
      </c>
      <c r="I603" s="32" t="n">
        <f aca="false">Data_Prices!I603/Data_Prices!I602-1</f>
        <v>-0.015667206915181</v>
      </c>
      <c r="J603" s="32" t="n">
        <f aca="false">Data_Prices!J603/Data_Prices!J602-1</f>
        <v>0.00188650188650197</v>
      </c>
      <c r="K603" s="32" t="n">
        <f aca="false">Data_Prices!K603/Data_Prices!K602-1</f>
        <v>0.0426600782375952</v>
      </c>
      <c r="L603" s="32" t="n">
        <f aca="false">Data_Prices!L603/Data_Prices!L602-1</f>
        <v>0.0564512698345174</v>
      </c>
      <c r="M603" s="32" t="n">
        <f aca="false">Data_Prices!M603/Data_Prices!M602-1</f>
        <v>0.0402684563758389</v>
      </c>
      <c r="N603" s="32" t="n">
        <f aca="false">Data_Prices!N603/Data_Prices!N602-1</f>
        <v>-0.0217968422523404</v>
      </c>
      <c r="O603" s="32" t="n">
        <f aca="false">Data_Prices!O603/Data_Prices!O602-1</f>
        <v>0.0471607314725697</v>
      </c>
      <c r="P603" s="32" t="n">
        <f aca="false">Data_Prices!P603/Data_Prices!P602-1</f>
        <v>-0.00144927536231876</v>
      </c>
      <c r="Q603" s="32" t="n">
        <f aca="false">Data_Prices!Q603/Data_Prices!Q602-1</f>
        <v>-0.00274592149895014</v>
      </c>
      <c r="R603" s="32" t="n">
        <f aca="false">Data_Prices!R603/Data_Prices!R602-1</f>
        <v>0.00716465437176583</v>
      </c>
      <c r="S603" s="32" t="n">
        <f aca="false">Data_Prices!S603/Data_Prices!S602-1</f>
        <v>0.0360598065083555</v>
      </c>
      <c r="T603" s="32" t="n">
        <f aca="false">AVERAGE(D603:S603)</f>
        <v>0.0130907403412102</v>
      </c>
      <c r="U603" s="32" t="n">
        <f aca="false">AVERAGE(J603:S603)</f>
        <v>0.0205659459573535</v>
      </c>
      <c r="V603" s="32" t="n">
        <f aca="false">AVERAGE(D603:I603)</f>
        <v>0.000632064314304607</v>
      </c>
      <c r="W603" s="32" t="n">
        <f aca="false">AVERAGE(K603,Q603,R603)</f>
        <v>0.0156929370368036</v>
      </c>
      <c r="X603" s="32" t="n">
        <f aca="false">AVERAGE(K603,L603,N603,O603,P603,Q603,R603,S603)</f>
        <v>0.0204380626638993</v>
      </c>
      <c r="Y603" s="32" t="n">
        <f aca="false">AVERAGE(J603,L603,M603,N603,O603,P603,Q603,R603,S603)</f>
        <v>0.01811104237066</v>
      </c>
      <c r="Z603" s="32" t="n">
        <f aca="false">U603-V603</f>
        <v>0.0199338816430489</v>
      </c>
      <c r="AA603" s="32" t="n">
        <f aca="false">W603-V603</f>
        <v>0.015060872722499</v>
      </c>
    </row>
    <row r="604" customFormat="false" ht="15" hidden="false" customHeight="false" outlineLevel="0" collapsed="false">
      <c r="A604" s="28" t="n">
        <f aca="false">Data_Prices!A604</f>
        <v>45686</v>
      </c>
      <c r="B604" s="32" t="n">
        <f aca="false">Data_Prices!B604/Data_Prices!B603-1</f>
        <v>0.00896666630367315</v>
      </c>
      <c r="C604" s="32" t="n">
        <f aca="false">Data_Prices!C604/Data_Prices!C603-1</f>
        <v>0.0153287374998508</v>
      </c>
      <c r="D604" s="32" t="n">
        <f aca="false">Data_Prices!D604/Data_Prices!D603-1</f>
        <v>0.0102236039698673</v>
      </c>
      <c r="E604" s="32" t="n">
        <f aca="false">Data_Prices!E604/Data_Prices!E603-1</f>
        <v>0.00678784222037865</v>
      </c>
      <c r="F604" s="32" t="n">
        <f aca="false">Data_Prices!F604/Data_Prices!F603-1</f>
        <v>0.00826446280991733</v>
      </c>
      <c r="G604" s="32" t="n">
        <f aca="false">Data_Prices!G604/Data_Prices!G603-1</f>
        <v>0.00718667835232267</v>
      </c>
      <c r="H604" s="32" t="n">
        <f aca="false">Data_Prices!H604/Data_Prices!H603-1</f>
        <v>0.0333313563845561</v>
      </c>
      <c r="I604" s="32" t="n">
        <f aca="false">Data_Prices!I604/Data_Prices!I603-1</f>
        <v>0.0514544456641053</v>
      </c>
      <c r="J604" s="32" t="n">
        <f aca="false">Data_Prices!J604/Data_Prices!J603-1</f>
        <v>0.0635975867501826</v>
      </c>
      <c r="K604" s="32" t="n">
        <f aca="false">Data_Prices!K604/Data_Prices!K603-1</f>
        <v>0.0201150560141121</v>
      </c>
      <c r="L604" s="32" t="n">
        <f aca="false">Data_Prices!L604/Data_Prices!L603-1</f>
        <v>0.0441733107836031</v>
      </c>
      <c r="M604" s="32" t="n">
        <f aca="false">Data_Prices!M604/Data_Prices!M603-1</f>
        <v>0.112591050988554</v>
      </c>
      <c r="N604" s="32" t="n">
        <f aca="false">Data_Prices!N604/Data_Prices!N603-1</f>
        <v>-0.00614197971718333</v>
      </c>
      <c r="O604" s="32" t="n">
        <f aca="false">Data_Prices!O604/Data_Prices!O603-1</f>
        <v>-0.00735294117647056</v>
      </c>
      <c r="P604" s="32" t="n">
        <f aca="false">Data_Prices!P604/Data_Prices!P603-1</f>
        <v>0.0349735474507233</v>
      </c>
      <c r="Q604" s="32" t="n">
        <f aca="false">Data_Prices!Q604/Data_Prices!Q603-1</f>
        <v>0.0200842241658568</v>
      </c>
      <c r="R604" s="32" t="n">
        <f aca="false">Data_Prices!R604/Data_Prices!R603-1</f>
        <v>0.00302990383348689</v>
      </c>
      <c r="S604" s="32" t="n">
        <f aca="false">Data_Prices!S604/Data_Prices!S603-1</f>
        <v>0.0441426146010187</v>
      </c>
      <c r="T604" s="32" t="n">
        <f aca="false">AVERAGE(D604:S604)</f>
        <v>0.0279037976934394</v>
      </c>
      <c r="U604" s="32" t="n">
        <f aca="false">AVERAGE(J604:S604)</f>
        <v>0.0329212373693883</v>
      </c>
      <c r="V604" s="32" t="n">
        <f aca="false">AVERAGE(D604:I604)</f>
        <v>0.0195413982335246</v>
      </c>
      <c r="W604" s="32" t="n">
        <f aca="false">AVERAGE(K604,Q604,R604)</f>
        <v>0.0144097280044853</v>
      </c>
      <c r="X604" s="32" t="n">
        <f aca="false">AVERAGE(K604,L604,N604,O604,P604,Q604,R604,S604)</f>
        <v>0.0191279669943934</v>
      </c>
      <c r="Y604" s="32" t="n">
        <f aca="false">AVERAGE(J604,L604,M604,N604,O604,P604,Q604,R604,S604)</f>
        <v>0.0343441464088635</v>
      </c>
      <c r="Z604" s="32" t="n">
        <f aca="false">U604-V604</f>
        <v>0.0133798391358638</v>
      </c>
      <c r="AA604" s="32" t="n">
        <f aca="false">W604-V604</f>
        <v>-0.0051316702290393</v>
      </c>
    </row>
    <row r="605" customFormat="false" ht="15" hidden="false" customHeight="false" outlineLevel="0" collapsed="false">
      <c r="A605" s="28" t="n">
        <f aca="false">Data_Prices!A605</f>
        <v>45687</v>
      </c>
      <c r="B605" s="32" t="n">
        <f aca="false">Data_Prices!B605/Data_Prices!B604-1</f>
        <v>0.00373007067275122</v>
      </c>
      <c r="C605" s="32" t="n">
        <f aca="false">Data_Prices!C605/Data_Prices!C604-1</f>
        <v>0.00244757713398136</v>
      </c>
      <c r="D605" s="32" t="n">
        <f aca="false">Data_Prices!D605/Data_Prices!D604-1</f>
        <v>0.00837426762147109</v>
      </c>
      <c r="E605" s="32" t="n">
        <f aca="false">Data_Prices!E605/Data_Prices!E604-1</f>
        <v>-0.0206007940669714</v>
      </c>
      <c r="F605" s="32" t="n">
        <f aca="false">Data_Prices!F605/Data_Prices!F604-1</f>
        <v>-0.0255696463552944</v>
      </c>
      <c r="G605" s="32" t="n">
        <f aca="false">Data_Prices!G605/Data_Prices!G604-1</f>
        <v>0.0169683257918551</v>
      </c>
      <c r="H605" s="32" t="n">
        <f aca="false">Data_Prices!H605/Data_Prices!H604-1</f>
        <v>-0.010847730012053</v>
      </c>
      <c r="I605" s="32" t="n">
        <f aca="false">Data_Prices!I605/Data_Prices!I604-1</f>
        <v>0.0262299360563749</v>
      </c>
      <c r="J605" s="32" t="n">
        <f aca="false">Data_Prices!J605/Data_Prices!J604-1</f>
        <v>0.0148132090468964</v>
      </c>
      <c r="K605" s="32" t="n">
        <f aca="false">Data_Prices!K605/Data_Prices!K604-1</f>
        <v>0.018298899227007</v>
      </c>
      <c r="L605" s="32" t="n">
        <f aca="false">Data_Prices!L605/Data_Prices!L604-1</f>
        <v>-0.0132274112066637</v>
      </c>
      <c r="M605" s="32" t="n">
        <f aca="false">Data_Prices!M605/Data_Prices!M604-1</f>
        <v>-0.00144968200523754</v>
      </c>
      <c r="N605" s="32" t="n">
        <f aca="false">Data_Prices!N605/Data_Prices!N604-1</f>
        <v>0.0158091405576315</v>
      </c>
      <c r="O605" s="32" t="n">
        <f aca="false">Data_Prices!O605/Data_Prices!O604-1</f>
        <v>0.0246296296296296</v>
      </c>
      <c r="P605" s="32" t="n">
        <f aca="false">Data_Prices!P605/Data_Prices!P604-1</f>
        <v>-0.000429747579842488</v>
      </c>
      <c r="Q605" s="32" t="n">
        <f aca="false">Data_Prices!Q605/Data_Prices!Q604-1</f>
        <v>-0.0200063512226102</v>
      </c>
      <c r="R605" s="32" t="n">
        <f aca="false">Data_Prices!R605/Data_Prices!R604-1</f>
        <v>0.0175991594431311</v>
      </c>
      <c r="S605" s="32" t="n">
        <f aca="false">Data_Prices!S605/Data_Prices!S604-1</f>
        <v>-0.0274616079494129</v>
      </c>
      <c r="T605" s="32" t="n">
        <f aca="false">AVERAGE(D605:S605)</f>
        <v>0.00144559981099445</v>
      </c>
      <c r="U605" s="32" t="n">
        <f aca="false">AVERAGE(J605:S605)</f>
        <v>0.00285752379405287</v>
      </c>
      <c r="V605" s="32" t="n">
        <f aca="false">AVERAGE(D605:I605)</f>
        <v>-0.000907606827436254</v>
      </c>
      <c r="W605" s="32" t="n">
        <f aca="false">AVERAGE(K605,Q605,R605)</f>
        <v>0.00529723581584263</v>
      </c>
      <c r="X605" s="32" t="n">
        <f aca="false">AVERAGE(K605,L605,N605,O605,P605,Q605,R605,S605)</f>
        <v>0.00190146386235873</v>
      </c>
      <c r="Y605" s="32" t="n">
        <f aca="false">AVERAGE(J605,L605,M605,N605,O605,P605,Q605,R605,S605)</f>
        <v>0.00114181541261353</v>
      </c>
      <c r="Z605" s="32" t="n">
        <f aca="false">U605-V605</f>
        <v>0.00376513062148913</v>
      </c>
      <c r="AA605" s="32" t="n">
        <f aca="false">W605-V605</f>
        <v>0.00620484264327888</v>
      </c>
    </row>
    <row r="606" customFormat="false" ht="15" hidden="false" customHeight="false" outlineLevel="0" collapsed="false">
      <c r="A606" s="28" t="n">
        <f aca="false">Data_Prices!A606</f>
        <v>45688</v>
      </c>
      <c r="B606" s="32" t="n">
        <f aca="false">Data_Prices!B606/Data_Prices!B605-1</f>
        <v>0.0111357233488893</v>
      </c>
      <c r="C606" s="32" t="n">
        <f aca="false">Data_Prices!C606/Data_Prices!C605-1</f>
        <v>0.013306726141566</v>
      </c>
      <c r="D606" s="32" t="n">
        <f aca="false">Data_Prices!D606/Data_Prices!D605-1</f>
        <v>0.00525280981307041</v>
      </c>
      <c r="E606" s="32" t="n">
        <f aca="false">Data_Prices!E606/Data_Prices!E605-1</f>
        <v>0.0214165519351384</v>
      </c>
      <c r="F606" s="32" t="n">
        <f aca="false">Data_Prices!F606/Data_Prices!F605-1</f>
        <v>0.0538038302825099</v>
      </c>
      <c r="G606" s="32" t="n">
        <f aca="false">Data_Prices!G606/Data_Prices!G605-1</f>
        <v>0.023530418413622</v>
      </c>
      <c r="H606" s="32" t="n">
        <f aca="false">Data_Prices!H606/Data_Prices!H605-1</f>
        <v>0.0191481954276431</v>
      </c>
      <c r="I606" s="32" t="n">
        <f aca="false">Data_Prices!I606/Data_Prices!I605-1</f>
        <v>0</v>
      </c>
      <c r="J606" s="32" t="n">
        <f aca="false">Data_Prices!J606/Data_Prices!J605-1</f>
        <v>-0.000925662204500299</v>
      </c>
      <c r="K606" s="32" t="n">
        <f aca="false">Data_Prices!K606/Data_Prices!K605-1</f>
        <v>-0.00209101623388963</v>
      </c>
      <c r="L606" s="32" t="n">
        <f aca="false">Data_Prices!L606/Data_Prices!L605-1</f>
        <v>0.00504142566828181</v>
      </c>
      <c r="M606" s="32" t="n">
        <f aca="false">Data_Prices!M606/Data_Prices!M605-1</f>
        <v>0.0142368753805084</v>
      </c>
      <c r="N606" s="32" t="n">
        <f aca="false">Data_Prices!N606/Data_Prices!N605-1</f>
        <v>0.00863044708545568</v>
      </c>
      <c r="O606" s="32" t="n">
        <f aca="false">Data_Prices!O606/Data_Prices!O605-1</f>
        <v>0.0300018073377915</v>
      </c>
      <c r="P606" s="32" t="n">
        <f aca="false">Data_Prices!P606/Data_Prices!P605-1</f>
        <v>0.0222433417057</v>
      </c>
      <c r="Q606" s="32" t="n">
        <f aca="false">Data_Prices!Q606/Data_Prices!Q605-1</f>
        <v>0.00583279325988317</v>
      </c>
      <c r="R606" s="32" t="n">
        <f aca="false">Data_Prices!R606/Data_Prices!R605-1</f>
        <v>0.00438822922044402</v>
      </c>
      <c r="S606" s="32" t="n">
        <f aca="false">Data_Prices!S606/Data_Prices!S605-1</f>
        <v>0.0101244659112021</v>
      </c>
      <c r="T606" s="32" t="n">
        <f aca="false">AVERAGE(D606:S606)</f>
        <v>0.0137896570626788</v>
      </c>
      <c r="U606" s="32" t="n">
        <f aca="false">AVERAGE(J606:S606)</f>
        <v>0.00974827071308767</v>
      </c>
      <c r="V606" s="32" t="n">
        <f aca="false">AVERAGE(D606:I606)</f>
        <v>0.020525300978664</v>
      </c>
      <c r="W606" s="32" t="n">
        <f aca="false">AVERAGE(K606,Q606,R606)</f>
        <v>0.00271000208214585</v>
      </c>
      <c r="X606" s="32" t="n">
        <f aca="false">AVERAGE(K606,L606,N606,O606,P606,Q606,R606,S606)</f>
        <v>0.0105214367443586</v>
      </c>
      <c r="Y606" s="32" t="n">
        <f aca="false">AVERAGE(J606,L606,M606,N606,O606,P606,Q606,R606,S606)</f>
        <v>0.0110637470405296</v>
      </c>
      <c r="Z606" s="32" t="n">
        <f aca="false">U606-V606</f>
        <v>-0.0107770302655763</v>
      </c>
      <c r="AA606" s="32" t="n">
        <f aca="false">W606-V606</f>
        <v>-0.0178152988965181</v>
      </c>
    </row>
    <row r="607" customFormat="false" ht="15" hidden="false" customHeight="false" outlineLevel="0" collapsed="false">
      <c r="A607" s="28" t="n">
        <f aca="false">Data_Prices!A607</f>
        <v>45689</v>
      </c>
      <c r="B607" s="32" t="n">
        <f aca="false">Data_Prices!B607/Data_Prices!B606-1</f>
        <v>-0.00111662214357422</v>
      </c>
      <c r="C607" s="32" t="n">
        <f aca="false">Data_Prices!C607/Data_Prices!C606-1</f>
        <v>3.93866798882314E-005</v>
      </c>
      <c r="D607" s="32" t="n">
        <f aca="false">Data_Prices!D607/Data_Prices!D606-1</f>
        <v>-0.0141289117234937</v>
      </c>
      <c r="E607" s="32" t="n">
        <f aca="false">Data_Prices!E607/Data_Prices!E606-1</f>
        <v>-0.0104837501872098</v>
      </c>
      <c r="F607" s="32" t="n">
        <f aca="false">Data_Prices!F607/Data_Prices!F606-1</f>
        <v>-0.0334856167478287</v>
      </c>
      <c r="G607" s="32" t="n">
        <f aca="false">Data_Prices!G607/Data_Prices!G606-1</f>
        <v>-0.0224042802206988</v>
      </c>
      <c r="H607" s="32" t="n">
        <f aca="false">Data_Prices!H607/Data_Prices!H606-1</f>
        <v>0.0179344112958324</v>
      </c>
      <c r="I607" s="32" t="n">
        <f aca="false">Data_Prices!I607/Data_Prices!I606-1</f>
        <v>0.0111902339776195</v>
      </c>
      <c r="J607" s="32" t="n">
        <f aca="false">Data_Prices!J607/Data_Prices!J606-1</f>
        <v>0.0192431045542014</v>
      </c>
      <c r="K607" s="32" t="n">
        <f aca="false">Data_Prices!K607/Data_Prices!K606-1</f>
        <v>0.0145788885502387</v>
      </c>
      <c r="L607" s="32" t="n">
        <f aca="false">Data_Prices!L607/Data_Prices!L606-1</f>
        <v>-0.0158261072442353</v>
      </c>
      <c r="M607" s="32" t="n">
        <f aca="false">Data_Prices!M607/Data_Prices!M606-1</f>
        <v>-0.0537470563789997</v>
      </c>
      <c r="N607" s="32" t="n">
        <f aca="false">Data_Prices!N607/Data_Prices!N606-1</f>
        <v>0.00406789170991728</v>
      </c>
      <c r="O607" s="32" t="n">
        <f aca="false">Data_Prices!O607/Data_Prices!O606-1</f>
        <v>-0.00596595894016494</v>
      </c>
      <c r="P607" s="32" t="n">
        <f aca="false">Data_Prices!P607/Data_Prices!P606-1</f>
        <v>-0.0338011333451391</v>
      </c>
      <c r="Q607" s="32" t="n">
        <f aca="false">Data_Prices!Q607/Data_Prices!Q606-1</f>
        <v>-0.00579896907216482</v>
      </c>
      <c r="R607" s="32" t="n">
        <f aca="false">Data_Prices!R607/Data_Prices!R606-1</f>
        <v>0.0600745309689026</v>
      </c>
      <c r="S607" s="32" t="n">
        <f aca="false">Data_Prices!S607/Data_Prices!S606-1</f>
        <v>-0.0219770114942529</v>
      </c>
      <c r="T607" s="32" t="n">
        <f aca="false">AVERAGE(D607:S607)</f>
        <v>-0.00565810839359224</v>
      </c>
      <c r="U607" s="32" t="n">
        <f aca="false">AVERAGE(J607:S607)</f>
        <v>-0.00391518206916968</v>
      </c>
      <c r="V607" s="32" t="n">
        <f aca="false">AVERAGE(D607:I607)</f>
        <v>-0.00856298560096319</v>
      </c>
      <c r="W607" s="32" t="n">
        <f aca="false">AVERAGE(K607,Q607,R607)</f>
        <v>0.0229514834823255</v>
      </c>
      <c r="X607" s="32" t="n">
        <f aca="false">AVERAGE(K607,L607,N607,O607,P607,Q607,R607,S607)</f>
        <v>-0.000580983608362312</v>
      </c>
      <c r="Y607" s="32" t="n">
        <f aca="false">AVERAGE(J607,L607,M607,N607,O607,P607,Q607,R607,S607)</f>
        <v>-0.0059700788046595</v>
      </c>
      <c r="Z607" s="32" t="n">
        <f aca="false">U607-V607</f>
        <v>0.00464780353179352</v>
      </c>
      <c r="AA607" s="32" t="n">
        <f aca="false">W607-V607</f>
        <v>0.0315144690832887</v>
      </c>
    </row>
    <row r="608" customFormat="false" ht="15" hidden="false" customHeight="false" outlineLevel="0" collapsed="false">
      <c r="A608" s="28" t="n">
        <f aca="false">Data_Prices!A608</f>
        <v>45691</v>
      </c>
      <c r="B608" s="32" t="n">
        <f aca="false">Data_Prices!B608/Data_Prices!B607-1</f>
        <v>-0.00515710869745756</v>
      </c>
      <c r="C608" s="32" t="n">
        <f aca="false">Data_Prices!C608/Data_Prices!C607-1</f>
        <v>-0.00830331182596411</v>
      </c>
      <c r="D608" s="32" t="n">
        <f aca="false">Data_Prices!D608/Data_Prices!D607-1</f>
        <v>0.0177069761932962</v>
      </c>
      <c r="E608" s="32" t="n">
        <f aca="false">Data_Prices!E608/Data_Prices!E607-1</f>
        <v>-0.0187679733615863</v>
      </c>
      <c r="F608" s="32" t="n">
        <f aca="false">Data_Prices!F608/Data_Prices!F607-1</f>
        <v>0.0314253064616663</v>
      </c>
      <c r="G608" s="32" t="n">
        <f aca="false">Data_Prices!G608/Data_Prices!G607-1</f>
        <v>-0.0463485548144348</v>
      </c>
      <c r="H608" s="32" t="n">
        <f aca="false">Data_Prices!H608/Data_Prices!H607-1</f>
        <v>-0.0157167626824767</v>
      </c>
      <c r="I608" s="32" t="n">
        <f aca="false">Data_Prices!I608/Data_Prices!I607-1</f>
        <v>-0.0469064386317908</v>
      </c>
      <c r="J608" s="32" t="n">
        <f aca="false">Data_Prices!J608/Data_Prices!J607-1</f>
        <v>-0.00996433815817077</v>
      </c>
      <c r="K608" s="32" t="n">
        <f aca="false">Data_Prices!K608/Data_Prices!K607-1</f>
        <v>0.0532093325990086</v>
      </c>
      <c r="L608" s="32" t="n">
        <f aca="false">Data_Prices!L608/Data_Prices!L607-1</f>
        <v>0.0570130383247729</v>
      </c>
      <c r="M608" s="32" t="n">
        <f aca="false">Data_Prices!M608/Data_Prices!M607-1</f>
        <v>-0.00775874688918177</v>
      </c>
      <c r="N608" s="32" t="n">
        <f aca="false">Data_Prices!N608/Data_Prices!N607-1</f>
        <v>-0.0318524727577535</v>
      </c>
      <c r="O608" s="32" t="n">
        <f aca="false">Data_Prices!O608/Data_Prices!O607-1</f>
        <v>0.0303618711385703</v>
      </c>
      <c r="P608" s="32" t="n">
        <f aca="false">Data_Prices!P608/Data_Prices!P607-1</f>
        <v>-0.00458200646062912</v>
      </c>
      <c r="Q608" s="32" t="n">
        <f aca="false">Data_Prices!Q608/Data_Prices!Q607-1</f>
        <v>-0.00194426441996121</v>
      </c>
      <c r="R608" s="32" t="n">
        <f aca="false">Data_Prices!R608/Data_Prices!R607-1</f>
        <v>0.000424268137462658</v>
      </c>
      <c r="S608" s="32" t="n">
        <f aca="false">Data_Prices!S608/Data_Prices!S607-1</f>
        <v>0.0269838285069575</v>
      </c>
      <c r="T608" s="32" t="n">
        <f aca="false">AVERAGE(D608:S608)</f>
        <v>0.00208019144910934</v>
      </c>
      <c r="U608" s="32" t="n">
        <f aca="false">AVERAGE(J608:S608)</f>
        <v>0.0111890510021076</v>
      </c>
      <c r="V608" s="32" t="n">
        <f aca="false">AVERAGE(D608:I608)</f>
        <v>-0.013101241139221</v>
      </c>
      <c r="W608" s="32" t="n">
        <f aca="false">AVERAGE(K608,Q608,R608)</f>
        <v>0.01722977877217</v>
      </c>
      <c r="X608" s="32" t="n">
        <f aca="false">AVERAGE(K608,L608,N608,O608,P608,Q608,R608,S608)</f>
        <v>0.0162016993835535</v>
      </c>
      <c r="Y608" s="32" t="n">
        <f aca="false">AVERAGE(J608,L608,M608,N608,O608,P608,Q608,R608,S608)</f>
        <v>0.0065201308246741</v>
      </c>
      <c r="Z608" s="32" t="n">
        <f aca="false">U608-V608</f>
        <v>0.0242902921413286</v>
      </c>
      <c r="AA608" s="32" t="n">
        <f aca="false">W608-V608</f>
        <v>0.030331019911391</v>
      </c>
    </row>
    <row r="609" customFormat="false" ht="15" hidden="false" customHeight="false" outlineLevel="0" collapsed="false">
      <c r="A609" s="28" t="n">
        <f aca="false">Data_Prices!A609</f>
        <v>45692</v>
      </c>
      <c r="B609" s="32" t="n">
        <f aca="false">Data_Prices!B609/Data_Prices!B608-1</f>
        <v>0.0161893408044587</v>
      </c>
      <c r="C609" s="32" t="n">
        <f aca="false">Data_Prices!C609/Data_Prices!C608-1</f>
        <v>0.0151804341071509</v>
      </c>
      <c r="D609" s="32" t="n">
        <f aca="false">Data_Prices!D609/Data_Prices!D608-1</f>
        <v>-0.00544079138783815</v>
      </c>
      <c r="E609" s="32" t="n">
        <f aca="false">Data_Prices!E609/Data_Prices!E608-1</f>
        <v>0.0236001850994911</v>
      </c>
      <c r="F609" s="32" t="n">
        <f aca="false">Data_Prices!F609/Data_Prices!F608-1</f>
        <v>0.00589212872035061</v>
      </c>
      <c r="G609" s="32" t="n">
        <f aca="false">Data_Prices!G609/Data_Prices!G608-1</f>
        <v>0.0338952654232425</v>
      </c>
      <c r="H609" s="32" t="n">
        <f aca="false">Data_Prices!H609/Data_Prices!H608-1</f>
        <v>-0.0125582452551426</v>
      </c>
      <c r="I609" s="32" t="n">
        <f aca="false">Data_Prices!I609/Data_Prices!I608-1</f>
        <v>0.0403747196200026</v>
      </c>
      <c r="J609" s="32" t="n">
        <f aca="false">Data_Prices!J609/Data_Prices!J608-1</f>
        <v>-0.00173040929476975</v>
      </c>
      <c r="K609" s="32" t="n">
        <f aca="false">Data_Prices!K609/Data_Prices!K608-1</f>
        <v>0.0058828423041728</v>
      </c>
      <c r="L609" s="32" t="n">
        <f aca="false">Data_Prices!L609/Data_Prices!L608-1</f>
        <v>0.0427989384368108</v>
      </c>
      <c r="M609" s="32" t="n">
        <f aca="false">Data_Prices!M609/Data_Prices!M608-1</f>
        <v>-0.0142618274810662</v>
      </c>
      <c r="N609" s="32" t="n">
        <f aca="false">Data_Prices!N609/Data_Prices!N608-1</f>
        <v>0.0164502164502165</v>
      </c>
      <c r="O609" s="32" t="n">
        <f aca="false">Data_Prices!O609/Data_Prices!O608-1</f>
        <v>0.0203871851978756</v>
      </c>
      <c r="P609" s="32" t="n">
        <f aca="false">Data_Prices!P609/Data_Prices!P608-1</f>
        <v>0.0306336164238534</v>
      </c>
      <c r="Q609" s="32" t="n">
        <f aca="false">Data_Prices!Q609/Data_Prices!Q608-1</f>
        <v>0.0160714285714285</v>
      </c>
      <c r="R609" s="32" t="n">
        <f aca="false">Data_Prices!R609/Data_Prices!R608-1</f>
        <v>0.012662062280383</v>
      </c>
      <c r="S609" s="32" t="n">
        <f aca="false">Data_Prices!S609/Data_Prices!S608-1</f>
        <v>0.0560285635814337</v>
      </c>
      <c r="T609" s="32" t="n">
        <f aca="false">AVERAGE(D609:S609)</f>
        <v>0.0169178674181528</v>
      </c>
      <c r="U609" s="32" t="n">
        <f aca="false">AVERAGE(J609:S609)</f>
        <v>0.0184922616470338</v>
      </c>
      <c r="V609" s="32" t="n">
        <f aca="false">AVERAGE(D609:I609)</f>
        <v>0.0142938770366844</v>
      </c>
      <c r="W609" s="32" t="n">
        <f aca="false">AVERAGE(K609,Q609,R609)</f>
        <v>0.0115387777186614</v>
      </c>
      <c r="X609" s="32" t="n">
        <f aca="false">AVERAGE(K609,L609,N609,O609,P609,Q609,R609,S609)</f>
        <v>0.0251143566557718</v>
      </c>
      <c r="Y609" s="32" t="n">
        <f aca="false">AVERAGE(J609,L609,M609,N609,O609,P609,Q609,R609,S609)</f>
        <v>0.0198933082406851</v>
      </c>
      <c r="Z609" s="32" t="n">
        <f aca="false">U609-V609</f>
        <v>0.00419838461034949</v>
      </c>
      <c r="AA609" s="32" t="n">
        <f aca="false">W609-V609</f>
        <v>-0.00275509931802291</v>
      </c>
    </row>
    <row r="610" customFormat="false" ht="15" hidden="false" customHeight="false" outlineLevel="0" collapsed="false">
      <c r="A610" s="28" t="n">
        <f aca="false">Data_Prices!A610</f>
        <v>45693</v>
      </c>
      <c r="B610" s="32" t="n">
        <f aca="false">Data_Prices!B610/Data_Prices!B609-1</f>
        <v>-0.00180923997177673</v>
      </c>
      <c r="C610" s="32" t="n">
        <f aca="false">Data_Prices!C610/Data_Prices!C609-1</f>
        <v>0.00261420461213802</v>
      </c>
      <c r="D610" s="32" t="n">
        <f aca="false">Data_Prices!D610/Data_Prices!D609-1</f>
        <v>0.00421262030834035</v>
      </c>
      <c r="E610" s="32" t="n">
        <f aca="false">Data_Prices!E610/Data_Prices!E609-1</f>
        <v>0.0148432790837854</v>
      </c>
      <c r="F610" s="32" t="n">
        <f aca="false">Data_Prices!F610/Data_Prices!F609-1</f>
        <v>0.00225292880744976</v>
      </c>
      <c r="G610" s="32" t="n">
        <f aca="false">Data_Prices!G610/Data_Prices!G609-1</f>
        <v>-0.00416305290546393</v>
      </c>
      <c r="H610" s="32" t="n">
        <f aca="false">Data_Prices!H610/Data_Prices!H609-1</f>
        <v>0.0368302929159234</v>
      </c>
      <c r="I610" s="32" t="n">
        <f aca="false">Data_Prices!I610/Data_Prices!I609-1</f>
        <v>0.00291693088142031</v>
      </c>
      <c r="J610" s="32" t="n">
        <f aca="false">Data_Prices!J610/Data_Prices!J609-1</f>
        <v>0.0407527946794961</v>
      </c>
      <c r="K610" s="32" t="n">
        <f aca="false">Data_Prices!K610/Data_Prices!K609-1</f>
        <v>0.00402892317871406</v>
      </c>
      <c r="L610" s="32" t="n">
        <f aca="false">Data_Prices!L610/Data_Prices!L609-1</f>
        <v>-0.00494659115348772</v>
      </c>
      <c r="M610" s="32" t="n">
        <f aca="false">Data_Prices!M610/Data_Prices!M609-1</f>
        <v>0.0653562163240871</v>
      </c>
      <c r="N610" s="32" t="n">
        <f aca="false">Data_Prices!N610/Data_Prices!N609-1</f>
        <v>0.0275411697898922</v>
      </c>
      <c r="O610" s="32" t="n">
        <f aca="false">Data_Prices!O610/Data_Prices!O609-1</f>
        <v>0.00218267293485552</v>
      </c>
      <c r="P610" s="32" t="n">
        <f aca="false">Data_Prices!P610/Data_Prices!P609-1</f>
        <v>0.0121259490844128</v>
      </c>
      <c r="Q610" s="32" t="n">
        <f aca="false">Data_Prices!Q610/Data_Prices!Q609-1</f>
        <v>0.013580444160409</v>
      </c>
      <c r="R610" s="32" t="n">
        <f aca="false">Data_Prices!R610/Data_Prices!R609-1</f>
        <v>-0.0172300329045767</v>
      </c>
      <c r="S610" s="32" t="n">
        <f aca="false">Data_Prices!S610/Data_Prices!S609-1</f>
        <v>-0.00944950151712187</v>
      </c>
      <c r="T610" s="32" t="n">
        <f aca="false">AVERAGE(D610:S610)</f>
        <v>0.0119271902292585</v>
      </c>
      <c r="U610" s="32" t="n">
        <f aca="false">AVERAGE(J610:S610)</f>
        <v>0.013394204457668</v>
      </c>
      <c r="V610" s="32" t="n">
        <f aca="false">AVERAGE(D610:I610)</f>
        <v>0.00948216651524255</v>
      </c>
      <c r="W610" s="32" t="n">
        <f aca="false">AVERAGE(K610,Q610,R610)</f>
        <v>0.000126444811515469</v>
      </c>
      <c r="X610" s="32" t="n">
        <f aca="false">AVERAGE(K610,L610,N610,O610,P610,Q610,R610,S610)</f>
        <v>0.00347912919663716</v>
      </c>
      <c r="Y610" s="32" t="n">
        <f aca="false">AVERAGE(J610,L610,M610,N610,O610,P610,Q610,R610,S610)</f>
        <v>0.0144347912664407</v>
      </c>
      <c r="Z610" s="32" t="n">
        <f aca="false">U610-V610</f>
        <v>0.0039120379424255</v>
      </c>
      <c r="AA610" s="32" t="n">
        <f aca="false">W610-V610</f>
        <v>-0.00935572170372708</v>
      </c>
    </row>
    <row r="611" customFormat="false" ht="15" hidden="false" customHeight="false" outlineLevel="0" collapsed="false">
      <c r="A611" s="28" t="n">
        <f aca="false">Data_Prices!A611</f>
        <v>45694</v>
      </c>
      <c r="B611" s="32" t="n">
        <f aca="false">Data_Prices!B611/Data_Prices!B610-1</f>
        <v>-0.00392255331001046</v>
      </c>
      <c r="C611" s="32" t="n">
        <f aca="false">Data_Prices!C611/Data_Prices!C610-1</f>
        <v>-0.00513214822635622</v>
      </c>
      <c r="D611" s="32" t="n">
        <f aca="false">Data_Prices!D611/Data_Prices!D610-1</f>
        <v>0.00466105398083139</v>
      </c>
      <c r="E611" s="32" t="n">
        <f aca="false">Data_Prices!E611/Data_Prices!E610-1</f>
        <v>-0.0095033038829907</v>
      </c>
      <c r="F611" s="32" t="n">
        <f aca="false">Data_Prices!F611/Data_Prices!F610-1</f>
        <v>0.0149857635246515</v>
      </c>
      <c r="G611" s="32" t="n">
        <f aca="false">Data_Prices!G611/Data_Prices!G610-1</f>
        <v>0.00365789932067595</v>
      </c>
      <c r="H611" s="32" t="n">
        <f aca="false">Data_Prices!H611/Data_Prices!H610-1</f>
        <v>0.006826885719043</v>
      </c>
      <c r="I611" s="32" t="n">
        <f aca="false">Data_Prices!I611/Data_Prices!I610-1</f>
        <v>0.00455235204855842</v>
      </c>
      <c r="J611" s="32" t="n">
        <f aca="false">Data_Prices!J611/Data_Prices!J610-1</f>
        <v>0.0247110808973487</v>
      </c>
      <c r="K611" s="32" t="n">
        <f aca="false">Data_Prices!K611/Data_Prices!K610-1</f>
        <v>-0.000258887489850368</v>
      </c>
      <c r="L611" s="32" t="n">
        <f aca="false">Data_Prices!L611/Data_Prices!L610-1</f>
        <v>-0.00439481268011521</v>
      </c>
      <c r="M611" s="32" t="n">
        <f aca="false">Data_Prices!M611/Data_Prices!M610-1</f>
        <v>0.00871031188536109</v>
      </c>
      <c r="N611" s="32" t="n">
        <f aca="false">Data_Prices!N611/Data_Prices!N610-1</f>
        <v>-0.0066316662061342</v>
      </c>
      <c r="O611" s="32" t="n">
        <f aca="false">Data_Prices!O611/Data_Prices!O610-1</f>
        <v>-0.00469090299882724</v>
      </c>
      <c r="P611" s="32" t="n">
        <f aca="false">Data_Prices!P611/Data_Prices!P610-1</f>
        <v>-0.0143635681662733</v>
      </c>
      <c r="Q611" s="32" t="n">
        <f aca="false">Data_Prices!Q611/Data_Prices!Q610-1</f>
        <v>0.00472887767969743</v>
      </c>
      <c r="R611" s="32" t="n">
        <f aca="false">Data_Prices!R611/Data_Prices!R610-1</f>
        <v>-0.0129664576611676</v>
      </c>
      <c r="S611" s="32" t="n">
        <f aca="false">Data_Prices!S611/Data_Prices!S610-1</f>
        <v>-0.00866444950113765</v>
      </c>
      <c r="T611" s="32" t="n">
        <f aca="false">AVERAGE(D611:S611)</f>
        <v>0.00071001102935446</v>
      </c>
      <c r="U611" s="32" t="n">
        <f aca="false">AVERAGE(J611:S611)</f>
        <v>-0.00138204742410982</v>
      </c>
      <c r="V611" s="32" t="n">
        <f aca="false">AVERAGE(D611:I611)</f>
        <v>0.0041967751184616</v>
      </c>
      <c r="W611" s="32" t="n">
        <f aca="false">AVERAGE(K611,Q611,R611)</f>
        <v>-0.0028321558237735</v>
      </c>
      <c r="X611" s="32" t="n">
        <f aca="false">AVERAGE(K611,L611,N611,O611,P611,Q611,R611,S611)</f>
        <v>-0.00590523337797601</v>
      </c>
      <c r="Y611" s="32" t="n">
        <f aca="false">AVERAGE(J611,L611,M611,N611,O611,P611,Q611,R611,S611)</f>
        <v>-0.00150684297236087</v>
      </c>
      <c r="Z611" s="32" t="n">
        <f aca="false">U611-V611</f>
        <v>-0.00557882254257142</v>
      </c>
      <c r="AA611" s="32" t="n">
        <f aca="false">W611-V611</f>
        <v>-0.00702893094223509</v>
      </c>
    </row>
    <row r="612" customFormat="false" ht="15" hidden="false" customHeight="false" outlineLevel="0" collapsed="false">
      <c r="A612" s="28" t="n">
        <f aca="false">Data_Prices!A612</f>
        <v>45695</v>
      </c>
      <c r="B612" s="32" t="n">
        <f aca="false">Data_Prices!B612/Data_Prices!B611-1</f>
        <v>-0.00183872204581115</v>
      </c>
      <c r="C612" s="32" t="n">
        <f aca="false">Data_Prices!C612/Data_Prices!C611-1</f>
        <v>-0.00121352223675675</v>
      </c>
      <c r="D612" s="32" t="n">
        <f aca="false">Data_Prices!D612/Data_Prices!D611-1</f>
        <v>-0.00449444718299652</v>
      </c>
      <c r="E612" s="32" t="n">
        <f aca="false">Data_Prices!E612/Data_Prices!E611-1</f>
        <v>0.00337306049021802</v>
      </c>
      <c r="F612" s="32" t="n">
        <f aca="false">Data_Prices!F612/Data_Prices!F611-1</f>
        <v>-0.0104827993503618</v>
      </c>
      <c r="G612" s="32" t="n">
        <f aca="false">Data_Prices!G612/Data_Prices!G611-1</f>
        <v>0.00347101700798325</v>
      </c>
      <c r="H612" s="32" t="n">
        <f aca="false">Data_Prices!H612/Data_Prices!H611-1</f>
        <v>-0.0200110253583241</v>
      </c>
      <c r="I612" s="32" t="n">
        <f aca="false">Data_Prices!I612/Data_Prices!I611-1</f>
        <v>-0.0110775427995972</v>
      </c>
      <c r="J612" s="32" t="n">
        <f aca="false">Data_Prices!J612/Data_Prices!J611-1</f>
        <v>-0.0173151557368891</v>
      </c>
      <c r="K612" s="32" t="n">
        <f aca="false">Data_Prices!K612/Data_Prices!K611-1</f>
        <v>-0.00388431794908017</v>
      </c>
      <c r="L612" s="32" t="n">
        <f aca="false">Data_Prices!L612/Data_Prices!L611-1</f>
        <v>-0.00126637238584559</v>
      </c>
      <c r="M612" s="32" t="n">
        <f aca="false">Data_Prices!M612/Data_Prices!M611-1</f>
        <v>-0.00389972144846806</v>
      </c>
      <c r="N612" s="32" t="n">
        <f aca="false">Data_Prices!N612/Data_Prices!N611-1</f>
        <v>0.0141863699582754</v>
      </c>
      <c r="O612" s="32" t="n">
        <f aca="false">Data_Prices!O612/Data_Prices!O611-1</f>
        <v>0.00218818380743979</v>
      </c>
      <c r="P612" s="32" t="n">
        <f aca="false">Data_Prices!P612/Data_Prices!P611-1</f>
        <v>0.00490239971346718</v>
      </c>
      <c r="Q612" s="32" t="n">
        <f aca="false">Data_Prices!Q612/Data_Prices!Q611-1</f>
        <v>-0.00627549419516782</v>
      </c>
      <c r="R612" s="32" t="n">
        <f aca="false">Data_Prices!R612/Data_Prices!R611-1</f>
        <v>0.00598248427285042</v>
      </c>
      <c r="S612" s="32" t="n">
        <f aca="false">Data_Prices!S612/Data_Prices!S611-1</f>
        <v>-0.0120067096318532</v>
      </c>
      <c r="T612" s="32" t="n">
        <f aca="false">AVERAGE(D612:S612)</f>
        <v>-0.00353812942427185</v>
      </c>
      <c r="U612" s="32" t="n">
        <f aca="false">AVERAGE(J612:S612)</f>
        <v>-0.00173883335952713</v>
      </c>
      <c r="V612" s="32" t="n">
        <f aca="false">AVERAGE(D612:I612)</f>
        <v>-0.00653695619884639</v>
      </c>
      <c r="W612" s="32" t="n">
        <f aca="false">AVERAGE(K612,Q612,R612)</f>
        <v>-0.00139244262379919</v>
      </c>
      <c r="X612" s="32" t="n">
        <f aca="false">AVERAGE(K612,L612,N612,O612,P612,Q612,R612,S612)</f>
        <v>0.000478317948760743</v>
      </c>
      <c r="Y612" s="32" t="n">
        <f aca="false">AVERAGE(J612,L612,M612,N612,O612,P612,Q612,R612,S612)</f>
        <v>-0.00150044618291012</v>
      </c>
      <c r="Z612" s="32" t="n">
        <f aca="false">U612-V612</f>
        <v>0.00479812283931926</v>
      </c>
      <c r="AA612" s="32" t="n">
        <f aca="false">W612-V612</f>
        <v>0.00514451357504719</v>
      </c>
    </row>
    <row r="613" customFormat="false" ht="15" hidden="false" customHeight="false" outlineLevel="0" collapsed="false">
      <c r="A613" s="28" t="n">
        <f aca="false">Data_Prices!A613</f>
        <v>45698</v>
      </c>
      <c r="B613" s="32" t="n">
        <f aca="false">Data_Prices!B613/Data_Prices!B612-1</f>
        <v>-0.00757005002132871</v>
      </c>
      <c r="C613" s="32" t="n">
        <f aca="false">Data_Prices!C613/Data_Prices!C612-1</f>
        <v>-0.0126974080841167</v>
      </c>
      <c r="D613" s="32" t="n">
        <f aca="false">Data_Prices!D613/Data_Prices!D612-1</f>
        <v>-0.00401957357567273</v>
      </c>
      <c r="E613" s="32" t="n">
        <f aca="false">Data_Prices!E613/Data_Prices!E612-1</f>
        <v>-0.0298819662333781</v>
      </c>
      <c r="F613" s="32" t="n">
        <f aca="false">Data_Prices!F613/Data_Prices!F612-1</f>
        <v>-0.0240724161941708</v>
      </c>
      <c r="G613" s="32" t="n">
        <f aca="false">Data_Prices!G613/Data_Prices!G612-1</f>
        <v>-0.0265479072985126</v>
      </c>
      <c r="H613" s="32" t="n">
        <f aca="false">Data_Prices!H613/Data_Prices!H612-1</f>
        <v>-0.0251448500871914</v>
      </c>
      <c r="I613" s="32" t="n">
        <f aca="false">Data_Prices!I613/Data_Prices!I612-1</f>
        <v>-0.00649185336048885</v>
      </c>
      <c r="J613" s="32" t="n">
        <f aca="false">Data_Prices!J613/Data_Prices!J612-1</f>
        <v>-0.0420928270042193</v>
      </c>
      <c r="K613" s="32" t="n">
        <f aca="false">Data_Prices!K613/Data_Prices!K612-1</f>
        <v>-0.0221205998085717</v>
      </c>
      <c r="L613" s="32" t="n">
        <f aca="false">Data_Prices!L613/Data_Prices!L612-1</f>
        <v>-0.0234757091620477</v>
      </c>
      <c r="M613" s="32" t="n">
        <f aca="false">Data_Prices!M613/Data_Prices!M612-1</f>
        <v>-0.0165454884414616</v>
      </c>
      <c r="N613" s="32" t="n">
        <f aca="false">Data_Prices!N613/Data_Prices!N612-1</f>
        <v>-0.0212561711464618</v>
      </c>
      <c r="O613" s="32" t="n">
        <f aca="false">Data_Prices!O613/Data_Prices!O612-1</f>
        <v>-0.00453476654350005</v>
      </c>
      <c r="P613" s="32" t="n">
        <f aca="false">Data_Prices!P613/Data_Prices!P612-1</f>
        <v>-0.0190238577888665</v>
      </c>
      <c r="Q613" s="32" t="n">
        <f aca="false">Data_Prices!Q613/Data_Prices!Q612-1</f>
        <v>-0.0230502052415535</v>
      </c>
      <c r="R613" s="32" t="n">
        <f aca="false">Data_Prices!R613/Data_Prices!R612-1</f>
        <v>-0.0201704371283182</v>
      </c>
      <c r="S613" s="32" t="n">
        <f aca="false">Data_Prices!S613/Data_Prices!S612-1</f>
        <v>0.00223393798588156</v>
      </c>
      <c r="T613" s="32" t="n">
        <f aca="false">AVERAGE(D613:S613)</f>
        <v>-0.0191371681892833</v>
      </c>
      <c r="U613" s="32" t="n">
        <f aca="false">AVERAGE(J613:S613)</f>
        <v>-0.0190036124279119</v>
      </c>
      <c r="V613" s="32" t="n">
        <f aca="false">AVERAGE(D613:I613)</f>
        <v>-0.0193597611249024</v>
      </c>
      <c r="W613" s="32" t="n">
        <f aca="false">AVERAGE(K613,Q613,R613)</f>
        <v>-0.0217804140594812</v>
      </c>
      <c r="X613" s="32" t="n">
        <f aca="false">AVERAGE(K613,L613,N613,O613,P613,Q613,R613,S613)</f>
        <v>-0.0164247261041798</v>
      </c>
      <c r="Y613" s="32" t="n">
        <f aca="false">AVERAGE(J613,L613,M613,N613,O613,P613,Q613,R613,S613)</f>
        <v>-0.0186572804967275</v>
      </c>
      <c r="Z613" s="32" t="n">
        <f aca="false">U613-V613</f>
        <v>0.000356148696990518</v>
      </c>
      <c r="AA613" s="32" t="n">
        <f aca="false">W613-V613</f>
        <v>-0.00242065293457875</v>
      </c>
    </row>
    <row r="614" customFormat="false" ht="15" hidden="false" customHeight="false" outlineLevel="0" collapsed="false">
      <c r="A614" s="28" t="n">
        <f aca="false">Data_Prices!A614</f>
        <v>45699</v>
      </c>
      <c r="B614" s="32" t="n">
        <f aca="false">Data_Prices!B614/Data_Prices!B613-1</f>
        <v>-0.0132497348342286</v>
      </c>
      <c r="C614" s="32" t="n">
        <f aca="false">Data_Prices!C614/Data_Prices!C613-1</f>
        <v>-0.0196922976140899</v>
      </c>
      <c r="D614" s="32" t="n">
        <f aca="false">Data_Prices!D614/Data_Prices!D613-1</f>
        <v>-0.0168743054337019</v>
      </c>
      <c r="E614" s="32" t="n">
        <f aca="false">Data_Prices!E614/Data_Prices!E613-1</f>
        <v>-0.044124441706453</v>
      </c>
      <c r="F614" s="32" t="n">
        <f aca="false">Data_Prices!F614/Data_Prices!F613-1</f>
        <v>-0.0221689939863419</v>
      </c>
      <c r="G614" s="32" t="n">
        <f aca="false">Data_Prices!G614/Data_Prices!G613-1</f>
        <v>-0.0324242693435196</v>
      </c>
      <c r="H614" s="32" t="n">
        <f aca="false">Data_Prices!H614/Data_Prices!H613-1</f>
        <v>-0.0414887478361223</v>
      </c>
      <c r="I614" s="32" t="n">
        <f aca="false">Data_Prices!I614/Data_Prices!I613-1</f>
        <v>-0.035618193465727</v>
      </c>
      <c r="J614" s="32" t="n">
        <f aca="false">Data_Prices!J614/Data_Prices!J613-1</f>
        <v>-0.0143068574247658</v>
      </c>
      <c r="K614" s="32" t="n">
        <f aca="false">Data_Prices!K614/Data_Prices!K613-1</f>
        <v>-0.0115280043501903</v>
      </c>
      <c r="L614" s="32" t="n">
        <f aca="false">Data_Prices!L614/Data_Prices!L613-1</f>
        <v>-0.027787052494899</v>
      </c>
      <c r="M614" s="32" t="n">
        <f aca="false">Data_Prices!M614/Data_Prices!M613-1</f>
        <v>-0.0558741291881901</v>
      </c>
      <c r="N614" s="32" t="n">
        <f aca="false">Data_Prices!N614/Data_Prices!N613-1</f>
        <v>-0.0361496427070198</v>
      </c>
      <c r="O614" s="32" t="n">
        <f aca="false">Data_Prices!O614/Data_Prices!O613-1</f>
        <v>-0.0499409482031382</v>
      </c>
      <c r="P614" s="32" t="n">
        <f aca="false">Data_Prices!P614/Data_Prices!P613-1</f>
        <v>-0.00619933237958992</v>
      </c>
      <c r="Q614" s="32" t="n">
        <f aca="false">Data_Prices!Q614/Data_Prices!Q613-1</f>
        <v>-0.0315126050420168</v>
      </c>
      <c r="R614" s="32" t="n">
        <f aca="false">Data_Prices!R614/Data_Prices!R613-1</f>
        <v>-0.0184582655487423</v>
      </c>
      <c r="S614" s="32" t="n">
        <f aca="false">Data_Prices!S614/Data_Prices!S613-1</f>
        <v>-0.0396754636233951</v>
      </c>
      <c r="T614" s="32" t="n">
        <f aca="false">AVERAGE(D614:S614)</f>
        <v>-0.0302582032958633</v>
      </c>
      <c r="U614" s="32" t="n">
        <f aca="false">AVERAGE(J614:S614)</f>
        <v>-0.0291432300961947</v>
      </c>
      <c r="V614" s="32" t="n">
        <f aca="false">AVERAGE(D614:I614)</f>
        <v>-0.0321164919619776</v>
      </c>
      <c r="W614" s="32" t="n">
        <f aca="false">AVERAGE(K614,Q614,R614)</f>
        <v>-0.0204996249803165</v>
      </c>
      <c r="X614" s="32" t="n">
        <f aca="false">AVERAGE(K614,L614,N614,O614,P614,Q614,R614,S614)</f>
        <v>-0.0276564142936239</v>
      </c>
      <c r="Y614" s="32" t="n">
        <f aca="false">AVERAGE(J614,L614,M614,N614,O614,P614,Q614,R614,S614)</f>
        <v>-0.0311004774013063</v>
      </c>
      <c r="Z614" s="32" t="n">
        <f aca="false">U614-V614</f>
        <v>0.00297326186578289</v>
      </c>
      <c r="AA614" s="32" t="n">
        <f aca="false">W614-V614</f>
        <v>0.0116168669816612</v>
      </c>
    </row>
    <row r="615" customFormat="false" ht="15" hidden="false" customHeight="false" outlineLevel="0" collapsed="false">
      <c r="A615" s="28" t="n">
        <f aca="false">Data_Prices!A615</f>
        <v>45700</v>
      </c>
      <c r="B615" s="32" t="n">
        <f aca="false">Data_Prices!B615/Data_Prices!B614-1</f>
        <v>-0.00115075546771382</v>
      </c>
      <c r="C615" s="32" t="n">
        <f aca="false">Data_Prices!C615/Data_Prices!C614-1</f>
        <v>-0.00203336921163999</v>
      </c>
      <c r="D615" s="32" t="n">
        <f aca="false">Data_Prices!D615/Data_Prices!D614-1</f>
        <v>0.012196210250766</v>
      </c>
      <c r="E615" s="32" t="n">
        <f aca="false">Data_Prices!E615/Data_Prices!E614-1</f>
        <v>-0.00676709900910322</v>
      </c>
      <c r="F615" s="32" t="n">
        <f aca="false">Data_Prices!F615/Data_Prices!F614-1</f>
        <v>-0.0205347370615522</v>
      </c>
      <c r="G615" s="32" t="n">
        <f aca="false">Data_Prices!G615/Data_Prices!G614-1</f>
        <v>-0.0032133676092545</v>
      </c>
      <c r="H615" s="32" t="n">
        <f aca="false">Data_Prices!H615/Data_Prices!H614-1</f>
        <v>-0.0142676539642405</v>
      </c>
      <c r="I615" s="32" t="n">
        <f aca="false">Data_Prices!I615/Data_Prices!I614-1</f>
        <v>-0.0151454762853728</v>
      </c>
      <c r="J615" s="32" t="n">
        <f aca="false">Data_Prices!J615/Data_Prices!J614-1</f>
        <v>-0.00883025883025879</v>
      </c>
      <c r="K615" s="32" t="n">
        <f aca="false">Data_Prices!K615/Data_Prices!K614-1</f>
        <v>0.00278725198958441</v>
      </c>
      <c r="L615" s="32" t="n">
        <f aca="false">Data_Prices!L615/Data_Prices!L614-1</f>
        <v>0.0317102953522095</v>
      </c>
      <c r="M615" s="32" t="n">
        <f aca="false">Data_Prices!M615/Data_Prices!M614-1</f>
        <v>0.00240939664692297</v>
      </c>
      <c r="N615" s="32" t="n">
        <f aca="false">Data_Prices!N615/Data_Prices!N614-1</f>
        <v>-0.0241314144497747</v>
      </c>
      <c r="O615" s="32" t="n">
        <f aca="false">Data_Prices!O615/Data_Prices!O614-1</f>
        <v>-0.0195347185224649</v>
      </c>
      <c r="P615" s="32" t="n">
        <f aca="false">Data_Prices!P615/Data_Prices!P614-1</f>
        <v>-0.00244493190750383</v>
      </c>
      <c r="Q615" s="32" t="n">
        <f aca="false">Data_Prices!Q615/Data_Prices!Q614-1</f>
        <v>-0.027198398131153</v>
      </c>
      <c r="R615" s="32" t="n">
        <f aca="false">Data_Prices!R615/Data_Prices!R614-1</f>
        <v>0.0408618601389685</v>
      </c>
      <c r="S615" s="32" t="n">
        <f aca="false">Data_Prices!S615/Data_Prices!S614-1</f>
        <v>0.0159688051248723</v>
      </c>
      <c r="T615" s="32" t="n">
        <f aca="false">AVERAGE(D615:S615)</f>
        <v>-0.00225838976670967</v>
      </c>
      <c r="U615" s="32" t="n">
        <f aca="false">AVERAGE(J615:S615)</f>
        <v>0.00115978874114024</v>
      </c>
      <c r="V615" s="32" t="n">
        <f aca="false">AVERAGE(D615:I615)</f>
        <v>-0.00795535394645952</v>
      </c>
      <c r="W615" s="32" t="n">
        <f aca="false">AVERAGE(K615,Q615,R615)</f>
        <v>0.00548357133246665</v>
      </c>
      <c r="X615" s="32" t="n">
        <f aca="false">AVERAGE(K615,L615,N615,O615,P615,Q615,R615,S615)</f>
        <v>0.00225234369934228</v>
      </c>
      <c r="Y615" s="32" t="n">
        <f aca="false">AVERAGE(J615,L615,M615,N615,O615,P615,Q615,R615,S615)</f>
        <v>0.000978959491313115</v>
      </c>
      <c r="Z615" s="32" t="n">
        <f aca="false">U615-V615</f>
        <v>0.00911514268759977</v>
      </c>
      <c r="AA615" s="32" t="n">
        <f aca="false">W615-V615</f>
        <v>0.0134389252789262</v>
      </c>
    </row>
    <row r="616" customFormat="false" ht="15" hidden="false" customHeight="false" outlineLevel="0" collapsed="false">
      <c r="A616" s="28" t="n">
        <f aca="false">Data_Prices!A616</f>
        <v>45701</v>
      </c>
      <c r="B616" s="32" t="n">
        <f aca="false">Data_Prices!B616/Data_Prices!B615-1</f>
        <v>-0.00060099152753812</v>
      </c>
      <c r="C616" s="32" t="n">
        <f aca="false">Data_Prices!C616/Data_Prices!C615-1</f>
        <v>-0.000167401239247411</v>
      </c>
      <c r="D616" s="32" t="n">
        <f aca="false">Data_Prices!D616/Data_Prices!D615-1</f>
        <v>-0.0020571898786258</v>
      </c>
      <c r="E616" s="32" t="n">
        <f aca="false">Data_Prices!E616/Data_Prices!E615-1</f>
        <v>-0.00819206748316992</v>
      </c>
      <c r="F616" s="32" t="n">
        <f aca="false">Data_Prices!F616/Data_Prices!F615-1</f>
        <v>0.0318735699462567</v>
      </c>
      <c r="G616" s="32" t="n">
        <f aca="false">Data_Prices!G616/Data_Prices!G615-1</f>
        <v>0.0154738878143132</v>
      </c>
      <c r="H616" s="32" t="n">
        <f aca="false">Data_Prices!H616/Data_Prices!H615-1</f>
        <v>-0.0153291804079639</v>
      </c>
      <c r="I616" s="32" t="n">
        <f aca="false">Data_Prices!I616/Data_Prices!I615-1</f>
        <v>-0.0319708619991905</v>
      </c>
      <c r="J616" s="32" t="n">
        <f aca="false">Data_Prices!J616/Data_Prices!J615-1</f>
        <v>0.0243462578899909</v>
      </c>
      <c r="K616" s="32" t="n">
        <f aca="false">Data_Prices!K616/Data_Prices!K615-1</f>
        <v>0.0237355081739385</v>
      </c>
      <c r="L616" s="32" t="n">
        <f aca="false">Data_Prices!L616/Data_Prices!L615-1</f>
        <v>0.028812368236121</v>
      </c>
      <c r="M616" s="32" t="n">
        <f aca="false">Data_Prices!M616/Data_Prices!M615-1</f>
        <v>0.0472208312468705</v>
      </c>
      <c r="N616" s="32" t="n">
        <f aca="false">Data_Prices!N616/Data_Prices!N615-1</f>
        <v>-0.0123640697154773</v>
      </c>
      <c r="O616" s="32" t="n">
        <f aca="false">Data_Prices!O616/Data_Prices!O615-1</f>
        <v>0.023727585582322</v>
      </c>
      <c r="P616" s="32" t="n">
        <f aca="false">Data_Prices!P616/Data_Prices!P615-1</f>
        <v>0.0618228462789474</v>
      </c>
      <c r="Q616" s="32" t="n">
        <f aca="false">Data_Prices!Q616/Data_Prices!Q615-1</f>
        <v>0.0246998284734132</v>
      </c>
      <c r="R616" s="32" t="n">
        <f aca="false">Data_Prices!R616/Data_Prices!R615-1</f>
        <v>0.0532214600685939</v>
      </c>
      <c r="S616" s="32" t="n">
        <f aca="false">Data_Prices!S616/Data_Prices!S615-1</f>
        <v>0.00274147857077578</v>
      </c>
      <c r="T616" s="32" t="n">
        <f aca="false">AVERAGE(D616:S616)</f>
        <v>0.0167351407998197</v>
      </c>
      <c r="U616" s="32" t="n">
        <f aca="false">AVERAGE(J616:S616)</f>
        <v>0.0277964094805496</v>
      </c>
      <c r="V616" s="32" t="n">
        <f aca="false">AVERAGE(D616:I616)</f>
        <v>-0.00170030700139671</v>
      </c>
      <c r="W616" s="32" t="n">
        <f aca="false">AVERAGE(K616,Q616,R616)</f>
        <v>0.0338855989053152</v>
      </c>
      <c r="X616" s="32" t="n">
        <f aca="false">AVERAGE(K616,L616,N616,O616,P616,Q616,R616,S616)</f>
        <v>0.0257996257085793</v>
      </c>
      <c r="Y616" s="32" t="n">
        <f aca="false">AVERAGE(J616,L616,M616,N616,O616,P616,Q616,R616,S616)</f>
        <v>0.0282476207368397</v>
      </c>
      <c r="Z616" s="32" t="n">
        <f aca="false">U616-V616</f>
        <v>0.0294967164819463</v>
      </c>
      <c r="AA616" s="32" t="n">
        <f aca="false">W616-V616</f>
        <v>0.0355859059067119</v>
      </c>
    </row>
    <row r="617" customFormat="false" ht="15" hidden="false" customHeight="false" outlineLevel="0" collapsed="false">
      <c r="A617" s="28" t="n">
        <f aca="false">Data_Prices!A617</f>
        <v>45702</v>
      </c>
      <c r="B617" s="32" t="n">
        <f aca="false">Data_Prices!B617/Data_Prices!B616-1</f>
        <v>-0.00443524926839023</v>
      </c>
      <c r="C617" s="32" t="n">
        <f aca="false">Data_Prices!C617/Data_Prices!C616-1</f>
        <v>-0.0129757682013553</v>
      </c>
      <c r="D617" s="32" t="n">
        <f aca="false">Data_Prices!D617/Data_Prices!D616-1</f>
        <v>-0.00753894631445651</v>
      </c>
      <c r="E617" s="32" t="n">
        <f aca="false">Data_Prices!E617/Data_Prices!E616-1</f>
        <v>-0.00670592083742239</v>
      </c>
      <c r="F617" s="32" t="n">
        <f aca="false">Data_Prices!F617/Data_Prices!F616-1</f>
        <v>-0.0343440594059407</v>
      </c>
      <c r="G617" s="32" t="n">
        <f aca="false">Data_Prices!G617/Data_Prices!G616-1</f>
        <v>-0.0321088435374151</v>
      </c>
      <c r="H617" s="32" t="n">
        <f aca="false">Data_Prices!H617/Data_Prices!H616-1</f>
        <v>-0.0166842399057247</v>
      </c>
      <c r="I617" s="32" t="n">
        <f aca="false">Data_Prices!I617/Data_Prices!I616-1</f>
        <v>-0.0643812709030101</v>
      </c>
      <c r="J617" s="32" t="n">
        <f aca="false">Data_Prices!J617/Data_Prices!J616-1</f>
        <v>-0.0633450704225352</v>
      </c>
      <c r="K617" s="32" t="n">
        <f aca="false">Data_Prices!K617/Data_Prices!K616-1</f>
        <v>-0.00198866342764592</v>
      </c>
      <c r="L617" s="32" t="n">
        <f aca="false">Data_Prices!L617/Data_Prices!L616-1</f>
        <v>-0.0106413574920908</v>
      </c>
      <c r="M617" s="32" t="n">
        <f aca="false">Data_Prices!M617/Data_Prices!M616-1</f>
        <v>-0.0760770812413332</v>
      </c>
      <c r="N617" s="32" t="n">
        <f aca="false">Data_Prices!N617/Data_Prices!N616-1</f>
        <v>-0.051734539969834</v>
      </c>
      <c r="O617" s="32" t="n">
        <f aca="false">Data_Prices!O617/Data_Prices!O616-1</f>
        <v>-0.0401627742392074</v>
      </c>
      <c r="P617" s="32" t="n">
        <f aca="false">Data_Prices!P617/Data_Prices!P616-1</f>
        <v>-0.0271378030891363</v>
      </c>
      <c r="Q617" s="32" t="n">
        <f aca="false">Data_Prices!Q617/Data_Prices!Q616-1</f>
        <v>-0.0406762638098426</v>
      </c>
      <c r="R617" s="32" t="n">
        <f aca="false">Data_Prices!R617/Data_Prices!R616-1</f>
        <v>-0.000988544513577994</v>
      </c>
      <c r="S617" s="32" t="n">
        <f aca="false">Data_Prices!S617/Data_Prices!S616-1</f>
        <v>-0.017315228287615</v>
      </c>
      <c r="T617" s="32" t="n">
        <f aca="false">AVERAGE(D617:S617)</f>
        <v>-0.0307394129622992</v>
      </c>
      <c r="U617" s="32" t="n">
        <f aca="false">AVERAGE(J617:S617)</f>
        <v>-0.0330067326492819</v>
      </c>
      <c r="V617" s="32" t="n">
        <f aca="false">AVERAGE(D617:I617)</f>
        <v>-0.0269605468173282</v>
      </c>
      <c r="W617" s="32" t="n">
        <f aca="false">AVERAGE(K617,Q617,R617)</f>
        <v>-0.0145511572503555</v>
      </c>
      <c r="X617" s="32" t="n">
        <f aca="false">AVERAGE(K617,L617,N617,O617,P617,Q617,R617,S617)</f>
        <v>-0.0238306468536188</v>
      </c>
      <c r="Y617" s="32" t="n">
        <f aca="false">AVERAGE(J617,L617,M617,N617,O617,P617,Q617,R617,S617)</f>
        <v>-0.0364531847850192</v>
      </c>
      <c r="Z617" s="32" t="n">
        <f aca="false">U617-V617</f>
        <v>-0.00604618583195363</v>
      </c>
      <c r="AA617" s="32" t="n">
        <f aca="false">W617-V617</f>
        <v>0.0124093895669727</v>
      </c>
    </row>
    <row r="618" customFormat="false" ht="15" hidden="false" customHeight="false" outlineLevel="0" collapsed="false">
      <c r="A618" s="28" t="n">
        <f aca="false">Data_Prices!A618</f>
        <v>45705</v>
      </c>
      <c r="B618" s="32" t="n">
        <f aca="false">Data_Prices!B618/Data_Prices!B617-1</f>
        <v>0.00131927559776268</v>
      </c>
      <c r="C618" s="32" t="n">
        <f aca="false">Data_Prices!C618/Data_Prices!C617-1</f>
        <v>0.000932966931774582</v>
      </c>
      <c r="D618" s="32" t="n">
        <f aca="false">Data_Prices!D618/Data_Prices!D617-1</f>
        <v>0.000563781490163562</v>
      </c>
      <c r="E618" s="32" t="n">
        <f aca="false">Data_Prices!E618/Data_Prices!E617-1</f>
        <v>0.00255228058620127</v>
      </c>
      <c r="F618" s="32" t="n">
        <f aca="false">Data_Prices!F618/Data_Prices!F617-1</f>
        <v>0.0197052226850369</v>
      </c>
      <c r="G618" s="32" t="n">
        <f aca="false">Data_Prices!G618/Data_Prices!G617-1</f>
        <v>0.00927748102333426</v>
      </c>
      <c r="H618" s="32" t="n">
        <f aca="false">Data_Prices!H618/Data_Prices!H617-1</f>
        <v>-0.0144443042765233</v>
      </c>
      <c r="I618" s="32" t="n">
        <f aca="false">Data_Prices!I618/Data_Prices!I617-1</f>
        <v>0.00372356270479601</v>
      </c>
      <c r="J618" s="32" t="n">
        <f aca="false">Data_Prices!J618/Data_Prices!J617-1</f>
        <v>-0.0553738581256342</v>
      </c>
      <c r="K618" s="32" t="n">
        <f aca="false">Data_Prices!K618/Data_Prices!K617-1</f>
        <v>0.00408070732260257</v>
      </c>
      <c r="L618" s="32" t="n">
        <f aca="false">Data_Prices!L618/Data_Prices!L617-1</f>
        <v>-0.013844476744186</v>
      </c>
      <c r="M618" s="32" t="n">
        <f aca="false">Data_Prices!M618/Data_Prices!M617-1</f>
        <v>0.0509781596108063</v>
      </c>
      <c r="N618" s="32" t="n">
        <f aca="false">Data_Prices!N618/Data_Prices!N617-1</f>
        <v>0.000477175123270168</v>
      </c>
      <c r="O618" s="32" t="n">
        <f aca="false">Data_Prices!O618/Data_Prices!O617-1</f>
        <v>0.0206451612903227</v>
      </c>
      <c r="P618" s="32" t="n">
        <f aca="false">Data_Prices!P618/Data_Prices!P617-1</f>
        <v>-0.00487826511153489</v>
      </c>
      <c r="Q618" s="32" t="n">
        <f aca="false">Data_Prices!Q618/Data_Prices!Q617-1</f>
        <v>-0.00436224044669342</v>
      </c>
      <c r="R618" s="32" t="n">
        <f aca="false">Data_Prices!R618/Data_Prices!R617-1</f>
        <v>-0.00686845168800931</v>
      </c>
      <c r="S618" s="32" t="n">
        <f aca="false">Data_Prices!S618/Data_Prices!S617-1</f>
        <v>0.0207734396735604</v>
      </c>
      <c r="T618" s="32" t="n">
        <f aca="false">AVERAGE(D618:S618)</f>
        <v>0.00206283594484456</v>
      </c>
      <c r="U618" s="32" t="n">
        <f aca="false">AVERAGE(J618:S618)</f>
        <v>0.00116273509045043</v>
      </c>
      <c r="V618" s="32" t="n">
        <f aca="false">AVERAGE(D618:I618)</f>
        <v>0.00356300403550145</v>
      </c>
      <c r="W618" s="32" t="n">
        <f aca="false">AVERAGE(K618,Q618,R618)</f>
        <v>-0.00238332827070005</v>
      </c>
      <c r="X618" s="32" t="n">
        <f aca="false">AVERAGE(K618,L618,N618,O618,P618,Q618,R618,S618)</f>
        <v>0.00200288117741652</v>
      </c>
      <c r="Y618" s="32" t="n">
        <f aca="false">AVERAGE(J618,L618,M618,N618,O618,P618,Q618,R618,S618)</f>
        <v>0.000838515953544635</v>
      </c>
      <c r="Z618" s="32" t="n">
        <f aca="false">U618-V618</f>
        <v>-0.00240026894505102</v>
      </c>
      <c r="AA618" s="32" t="n">
        <f aca="false">W618-V618</f>
        <v>-0.00594633230620151</v>
      </c>
    </row>
    <row r="619" customFormat="false" ht="15" hidden="false" customHeight="false" outlineLevel="0" collapsed="false">
      <c r="A619" s="28" t="n">
        <f aca="false">Data_Prices!A619</f>
        <v>45706</v>
      </c>
      <c r="B619" s="32" t="n">
        <f aca="false">Data_Prices!B619/Data_Prices!B618-1</f>
        <v>-0.000618480367603813</v>
      </c>
      <c r="C619" s="32" t="n">
        <f aca="false">Data_Prices!C619/Data_Prices!C618-1</f>
        <v>-0.00198282519906923</v>
      </c>
      <c r="D619" s="32" t="n">
        <f aca="false">Data_Prices!D619/Data_Prices!D618-1</f>
        <v>-0.00344009489916963</v>
      </c>
      <c r="E619" s="32" t="n">
        <f aca="false">Data_Prices!E619/Data_Prices!E618-1</f>
        <v>-0.0168350168350169</v>
      </c>
      <c r="F619" s="32" t="n">
        <f aca="false">Data_Prices!F619/Data_Prices!F618-1</f>
        <v>-0.0229903115998953</v>
      </c>
      <c r="G619" s="32" t="n">
        <f aca="false">Data_Prices!G619/Data_Prices!G618-1</f>
        <v>-0.0147632311977717</v>
      </c>
      <c r="H619" s="32" t="n">
        <f aca="false">Data_Prices!H619/Data_Prices!H618-1</f>
        <v>0.024384</v>
      </c>
      <c r="I619" s="32" t="n">
        <f aca="false">Data_Prices!I619/Data_Prices!I618-1</f>
        <v>-0.0436266508384033</v>
      </c>
      <c r="J619" s="32" t="n">
        <f aca="false">Data_Prices!J619/Data_Prices!J618-1</f>
        <v>0.0147644062400509</v>
      </c>
      <c r="K619" s="32" t="n">
        <f aca="false">Data_Prices!K619/Data_Prices!K618-1</f>
        <v>0.00467017623082322</v>
      </c>
      <c r="L619" s="32" t="n">
        <f aca="false">Data_Prices!L619/Data_Prices!L618-1</f>
        <v>-0.00482700173182504</v>
      </c>
      <c r="M619" s="32" t="n">
        <f aca="false">Data_Prices!M619/Data_Prices!M618-1</f>
        <v>-0.0516570640665781</v>
      </c>
      <c r="N619" s="32" t="n">
        <f aca="false">Data_Prices!N619/Data_Prices!N618-1</f>
        <v>-0.0286168521462639</v>
      </c>
      <c r="O619" s="32" t="n">
        <f aca="false">Data_Prices!O619/Data_Prices!O618-1</f>
        <v>-0.014628860393715</v>
      </c>
      <c r="P619" s="32" t="n">
        <f aca="false">Data_Prices!P619/Data_Prices!P618-1</f>
        <v>0.000267391594990896</v>
      </c>
      <c r="Q619" s="32" t="n">
        <f aca="false">Data_Prices!Q619/Data_Prices!Q618-1</f>
        <v>0.0185769365580091</v>
      </c>
      <c r="R619" s="32" t="n">
        <f aca="false">Data_Prices!R619/Data_Prices!R618-1</f>
        <v>0.0143593951471106</v>
      </c>
      <c r="S619" s="32" t="n">
        <f aca="false">Data_Prices!S619/Data_Prices!S618-1</f>
        <v>0.00545107658762611</v>
      </c>
      <c r="T619" s="32" t="n">
        <f aca="false">AVERAGE(D619:S619)</f>
        <v>-0.00743198133437675</v>
      </c>
      <c r="U619" s="32" t="n">
        <f aca="false">AVERAGE(J619:S619)</f>
        <v>-0.00416403959797712</v>
      </c>
      <c r="V619" s="32" t="n">
        <f aca="false">AVERAGE(D619:I619)</f>
        <v>-0.0128785508950428</v>
      </c>
      <c r="W619" s="32" t="n">
        <f aca="false">AVERAGE(K619,Q619,R619)</f>
        <v>0.0125355026453143</v>
      </c>
      <c r="X619" s="32" t="n">
        <f aca="false">AVERAGE(K619,L619,N619,O619,P619,Q619,R619,S619)</f>
        <v>-0.000593467269155504</v>
      </c>
      <c r="Y619" s="32" t="n">
        <f aca="false">AVERAGE(J619,L619,M619,N619,O619,P619,Q619,R619,S619)</f>
        <v>-0.00514561913451049</v>
      </c>
      <c r="Z619" s="32" t="n">
        <f aca="false">U619-V619</f>
        <v>0.00871451129706569</v>
      </c>
      <c r="AA619" s="32" t="n">
        <f aca="false">W619-V619</f>
        <v>0.0254140535403571</v>
      </c>
    </row>
    <row r="620" customFormat="false" ht="15" hidden="false" customHeight="false" outlineLevel="0" collapsed="false">
      <c r="A620" s="28" t="n">
        <f aca="false">Data_Prices!A620</f>
        <v>45707</v>
      </c>
      <c r="B620" s="32" t="n">
        <f aca="false">Data_Prices!B620/Data_Prices!B619-1</f>
        <v>-0.000540415684257667</v>
      </c>
      <c r="C620" s="32" t="n">
        <f aca="false">Data_Prices!C620/Data_Prices!C619-1</f>
        <v>0.00582444666543758</v>
      </c>
      <c r="D620" s="32" t="n">
        <f aca="false">Data_Prices!D620/Data_Prices!D619-1</f>
        <v>0.00208308534698243</v>
      </c>
      <c r="E620" s="32" t="n">
        <f aca="false">Data_Prices!E620/Data_Prices!E619-1</f>
        <v>0.00367524223187421</v>
      </c>
      <c r="F620" s="32" t="n">
        <f aca="false">Data_Prices!F620/Data_Prices!F619-1</f>
        <v>-0.00680746140651789</v>
      </c>
      <c r="G620" s="32" t="n">
        <f aca="false">Data_Prices!G620/Data_Prices!G619-1</f>
        <v>0.0196965413250401</v>
      </c>
      <c r="H620" s="32" t="n">
        <f aca="false">Data_Prices!H620/Data_Prices!H619-1</f>
        <v>0.0132450331125828</v>
      </c>
      <c r="I620" s="32" t="n">
        <f aca="false">Data_Prices!I620/Data_Prices!I619-1</f>
        <v>0.0356865787432117</v>
      </c>
      <c r="J620" s="32" t="n">
        <f aca="false">Data_Prices!J620/Data_Prices!J619-1</f>
        <v>0.00368641907525791</v>
      </c>
      <c r="K620" s="32" t="n">
        <f aca="false">Data_Prices!K620/Data_Prices!K619-1</f>
        <v>-0.00312263436790328</v>
      </c>
      <c r="L620" s="32" t="n">
        <f aca="false">Data_Prices!L620/Data_Prices!L619-1</f>
        <v>0.0185130331753554</v>
      </c>
      <c r="M620" s="32" t="n">
        <f aca="false">Data_Prices!M620/Data_Prices!M619-1</f>
        <v>-0.0724893550732163</v>
      </c>
      <c r="N620" s="32" t="n">
        <f aca="false">Data_Prices!N620/Data_Prices!N619-1</f>
        <v>0.0283142389525368</v>
      </c>
      <c r="O620" s="32" t="n">
        <f aca="false">Data_Prices!O620/Data_Prices!O619-1</f>
        <v>0.0205278592375366</v>
      </c>
      <c r="P620" s="32" t="n">
        <f aca="false">Data_Prices!P620/Data_Prices!P619-1</f>
        <v>0.00877701047003776</v>
      </c>
      <c r="Q620" s="32" t="n">
        <f aca="false">Data_Prices!Q620/Data_Prices!Q619-1</f>
        <v>-0.0172057811424639</v>
      </c>
      <c r="R620" s="32" t="n">
        <f aca="false">Data_Prices!R620/Data_Prices!R619-1</f>
        <v>-0.00860923325821927</v>
      </c>
      <c r="S620" s="32" t="n">
        <f aca="false">Data_Prices!S620/Data_Prices!S619-1</f>
        <v>0.0080419264479985</v>
      </c>
      <c r="T620" s="32" t="n">
        <f aca="false">AVERAGE(D620:S620)</f>
        <v>0.00337578142938085</v>
      </c>
      <c r="U620" s="32" t="n">
        <f aca="false">AVERAGE(J620:S620)</f>
        <v>-0.00135665164830797</v>
      </c>
      <c r="V620" s="32" t="n">
        <f aca="false">AVERAGE(D620:I620)</f>
        <v>0.0112631698921956</v>
      </c>
      <c r="W620" s="32" t="n">
        <f aca="false">AVERAGE(K620,Q620,R620)</f>
        <v>-0.00964588292286213</v>
      </c>
      <c r="X620" s="32" t="n">
        <f aca="false">AVERAGE(K620,L620,N620,O620,P620,Q620,R620,S620)</f>
        <v>0.00690455243935983</v>
      </c>
      <c r="Y620" s="32" t="n">
        <f aca="false">AVERAGE(J620,L620,M620,N620,O620,P620,Q620,R620,S620)</f>
        <v>-0.00116043134613072</v>
      </c>
      <c r="Z620" s="32" t="n">
        <f aca="false">U620-V620</f>
        <v>-0.0126198215405035</v>
      </c>
      <c r="AA620" s="32" t="n">
        <f aca="false">W620-V620</f>
        <v>-0.0209090528150577</v>
      </c>
    </row>
    <row r="621" customFormat="false" ht="15" hidden="false" customHeight="false" outlineLevel="0" collapsed="false">
      <c r="A621" s="28" t="n">
        <f aca="false">Data_Prices!A621</f>
        <v>45708</v>
      </c>
      <c r="B621" s="32" t="n">
        <f aca="false">Data_Prices!B621/Data_Prices!B620-1</f>
        <v>-0.000861208133293268</v>
      </c>
      <c r="C621" s="32" t="n">
        <f aca="false">Data_Prices!C621/Data_Prices!C620-1</f>
        <v>0.00480670671853622</v>
      </c>
      <c r="D621" s="32" t="n">
        <f aca="false">Data_Prices!D621/Data_Prices!D620-1</f>
        <v>0.00386054522777224</v>
      </c>
      <c r="E621" s="32" t="n">
        <f aca="false">Data_Prices!E621/Data_Prices!E620-1</f>
        <v>0.00707390146471365</v>
      </c>
      <c r="F621" s="32" t="n">
        <f aca="false">Data_Prices!F621/Data_Prices!F620-1</f>
        <v>0.0167305305197258</v>
      </c>
      <c r="G621" s="32" t="n">
        <f aca="false">Data_Prices!G621/Data_Prices!G620-1</f>
        <v>0.00794824399260619</v>
      </c>
      <c r="H621" s="32" t="n">
        <f aca="false">Data_Prices!H621/Data_Prices!H620-1</f>
        <v>0.0194228634850167</v>
      </c>
      <c r="I621" s="32" t="n">
        <f aca="false">Data_Prices!I621/Data_Prices!I620-1</f>
        <v>0.0199250936329587</v>
      </c>
      <c r="J621" s="32" t="n">
        <f aca="false">Data_Prices!J621/Data_Prices!J620-1</f>
        <v>0.0260618137772046</v>
      </c>
      <c r="K621" s="32" t="n">
        <f aca="false">Data_Prices!K621/Data_Prices!K620-1</f>
        <v>-0.00474608448030378</v>
      </c>
      <c r="L621" s="32" t="n">
        <f aca="false">Data_Prices!L621/Data_Prices!L620-1</f>
        <v>0.0144321651883088</v>
      </c>
      <c r="M621" s="32" t="n">
        <f aca="false">Data_Prices!M621/Data_Prices!M620-1</f>
        <v>-0.0201545179711119</v>
      </c>
      <c r="N621" s="32" t="n">
        <f aca="false">Data_Prices!N621/Data_Prices!N620-1</f>
        <v>0.0135285691548623</v>
      </c>
      <c r="O621" s="32" t="n">
        <f aca="false">Data_Prices!O621/Data_Prices!O620-1</f>
        <v>0.00754310344827602</v>
      </c>
      <c r="P621" s="32" t="n">
        <f aca="false">Data_Prices!P621/Data_Prices!P620-1</f>
        <v>0.00532196802402618</v>
      </c>
      <c r="Q621" s="32" t="n">
        <f aca="false">Data_Prices!Q621/Data_Prices!Q620-1</f>
        <v>0.0166316526610644</v>
      </c>
      <c r="R621" s="32" t="n">
        <f aca="false">Data_Prices!R621/Data_Prices!R620-1</f>
        <v>-0.00944165986711743</v>
      </c>
      <c r="S621" s="32" t="n">
        <f aca="false">Data_Prices!S621/Data_Prices!S620-1</f>
        <v>0.0413230548583723</v>
      </c>
      <c r="T621" s="32" t="n">
        <f aca="false">AVERAGE(D621:S621)</f>
        <v>0.0103413276947734</v>
      </c>
      <c r="U621" s="32" t="n">
        <f aca="false">AVERAGE(J621:S621)</f>
        <v>0.00905000647935815</v>
      </c>
      <c r="V621" s="32" t="n">
        <f aca="false">AVERAGE(D621:I621)</f>
        <v>0.0124935297204655</v>
      </c>
      <c r="W621" s="32" t="n">
        <f aca="false">AVERAGE(K621,Q621,R621)</f>
        <v>0.000814636104547721</v>
      </c>
      <c r="X621" s="32" t="n">
        <f aca="false">AVERAGE(K621,L621,N621,O621,P621,Q621,R621,S621)</f>
        <v>0.0105740961234361</v>
      </c>
      <c r="Y621" s="32" t="n">
        <f aca="false">AVERAGE(J621,L621,M621,N621,O621,P621,Q621,R621,S621)</f>
        <v>0.0105829054748761</v>
      </c>
      <c r="Z621" s="32" t="n">
        <f aca="false">U621-V621</f>
        <v>-0.00344352324110739</v>
      </c>
      <c r="AA621" s="32" t="n">
        <f aca="false">W621-V621</f>
        <v>-0.0116788936159178</v>
      </c>
    </row>
    <row r="622" customFormat="false" ht="15" hidden="false" customHeight="false" outlineLevel="0" collapsed="false">
      <c r="A622" s="28" t="n">
        <f aca="false">Data_Prices!A622</f>
        <v>45709</v>
      </c>
      <c r="B622" s="32" t="n">
        <f aca="false">Data_Prices!B622/Data_Prices!B621-1</f>
        <v>-0.00511714888612003</v>
      </c>
      <c r="C622" s="32" t="n">
        <f aca="false">Data_Prices!C622/Data_Prices!C621-1</f>
        <v>-0.00676152483546233</v>
      </c>
      <c r="D622" s="32" t="n">
        <f aca="false">Data_Prices!D622/Data_Prices!D621-1</f>
        <v>0.000325405277481927</v>
      </c>
      <c r="E622" s="32" t="n">
        <f aca="false">Data_Prices!E622/Data_Prices!E621-1</f>
        <v>-0.0107429138087761</v>
      </c>
      <c r="F622" s="32" t="n">
        <f aca="false">Data_Prices!F622/Data_Prices!F621-1</f>
        <v>-0.00881150804182818</v>
      </c>
      <c r="G622" s="32" t="n">
        <f aca="false">Data_Prices!G622/Data_Prices!G621-1</f>
        <v>-0.00229231615624426</v>
      </c>
      <c r="H622" s="32" t="n">
        <f aca="false">Data_Prices!H622/Data_Prices!H621-1</f>
        <v>-0.0265529546966672</v>
      </c>
      <c r="I622" s="32" t="n">
        <f aca="false">Data_Prices!I622/Data_Prices!I621-1</f>
        <v>0.00264394829612225</v>
      </c>
      <c r="J622" s="32" t="n">
        <f aca="false">Data_Prices!J622/Data_Prices!J621-1</f>
        <v>0.0161081492764661</v>
      </c>
      <c r="K622" s="32" t="n">
        <f aca="false">Data_Prices!K622/Data_Prices!K621-1</f>
        <v>-0.000321888412017191</v>
      </c>
      <c r="L622" s="32" t="n">
        <f aca="false">Data_Prices!L622/Data_Prices!L621-1</f>
        <v>-0.00795556351908255</v>
      </c>
      <c r="M622" s="32" t="n">
        <f aca="false">Data_Prices!M622/Data_Prices!M621-1</f>
        <v>-0.00999885727345451</v>
      </c>
      <c r="N622" s="32" t="n">
        <f aca="false">Data_Prices!N622/Data_Prices!N621-1</f>
        <v>0.00345477386934689</v>
      </c>
      <c r="O622" s="32" t="n">
        <f aca="false">Data_Prices!O622/Data_Prices!O621-1</f>
        <v>-0.0358288770053477</v>
      </c>
      <c r="P622" s="32" t="n">
        <f aca="false">Data_Prices!P622/Data_Prices!P621-1</f>
        <v>-0.0281823174080176</v>
      </c>
      <c r="Q622" s="32" t="n">
        <f aca="false">Data_Prices!Q622/Data_Prices!Q621-1</f>
        <v>0.000861029791630719</v>
      </c>
      <c r="R622" s="32" t="n">
        <f aca="false">Data_Prices!R622/Data_Prices!R621-1</f>
        <v>-0.0171805130618968</v>
      </c>
      <c r="S622" s="32" t="n">
        <f aca="false">Data_Prices!S622/Data_Prices!S621-1</f>
        <v>0.00731686321769831</v>
      </c>
      <c r="T622" s="32" t="n">
        <f aca="false">AVERAGE(D622:S622)</f>
        <v>-0.00732234622841162</v>
      </c>
      <c r="U622" s="32" t="n">
        <f aca="false">AVERAGE(J622:S622)</f>
        <v>-0.00717272005246743</v>
      </c>
      <c r="V622" s="32" t="n">
        <f aca="false">AVERAGE(D622:I622)</f>
        <v>-0.0075717231883186</v>
      </c>
      <c r="W622" s="32" t="n">
        <f aca="false">AVERAGE(K622,Q622,R622)</f>
        <v>-0.00554712389409443</v>
      </c>
      <c r="X622" s="32" t="n">
        <f aca="false">AVERAGE(K622,L622,N622,O622,P622,Q622,R622,S622)</f>
        <v>-0.00972956156596073</v>
      </c>
      <c r="Y622" s="32" t="n">
        <f aca="false">AVERAGE(J622,L622,M622,N622,O622,P622,Q622,R622,S622)</f>
        <v>-0.00793392356807301</v>
      </c>
      <c r="Z622" s="32" t="n">
        <f aca="false">U622-V622</f>
        <v>0.000399003135851166</v>
      </c>
      <c r="AA622" s="32" t="n">
        <f aca="false">W622-V622</f>
        <v>0.00202459929422416</v>
      </c>
    </row>
    <row r="623" customFormat="false" ht="15" hidden="false" customHeight="false" outlineLevel="0" collapsed="false">
      <c r="A623" s="28" t="n">
        <f aca="false">Data_Prices!A623</f>
        <v>45712</v>
      </c>
      <c r="B623" s="32" t="n">
        <f aca="false">Data_Prices!B623/Data_Prices!B622-1</f>
        <v>-0.0106400712408812</v>
      </c>
      <c r="C623" s="32" t="n">
        <f aca="false">Data_Prices!C623/Data_Prices!C622-1</f>
        <v>-0.0107200251326107</v>
      </c>
      <c r="D623" s="32" t="n">
        <f aca="false">Data_Prices!D623/Data_Prices!D622-1</f>
        <v>-0.00452461925181136</v>
      </c>
      <c r="E623" s="32" t="n">
        <f aca="false">Data_Prices!E623/Data_Prices!E622-1</f>
        <v>0.0111101829421103</v>
      </c>
      <c r="F623" s="32" t="n">
        <f aca="false">Data_Prices!F623/Data_Prices!F622-1</f>
        <v>-0.0271515021689071</v>
      </c>
      <c r="G623" s="32" t="n">
        <f aca="false">Data_Prices!G623/Data_Prices!G622-1</f>
        <v>-0.0124988512085286</v>
      </c>
      <c r="H623" s="32" t="n">
        <f aca="false">Data_Prices!H623/Data_Prices!H622-1</f>
        <v>-0.0195103765378403</v>
      </c>
      <c r="I623" s="32" t="n">
        <f aca="false">Data_Prices!I623/Data_Prices!I622-1</f>
        <v>-0.0190448285965427</v>
      </c>
      <c r="J623" s="32" t="n">
        <f aca="false">Data_Prices!J623/Data_Prices!J622-1</f>
        <v>-0.0259715923996553</v>
      </c>
      <c r="K623" s="32" t="n">
        <f aca="false">Data_Prices!K623/Data_Prices!K622-1</f>
        <v>-0.0049729884440628</v>
      </c>
      <c r="L623" s="32" t="n">
        <f aca="false">Data_Prices!L623/Data_Prices!L622-1</f>
        <v>-0.00498500885019693</v>
      </c>
      <c r="M623" s="32" t="n">
        <f aca="false">Data_Prices!M623/Data_Prices!M622-1</f>
        <v>-0.0148323425867144</v>
      </c>
      <c r="N623" s="32" t="n">
        <f aca="false">Data_Prices!N623/Data_Prices!N622-1</f>
        <v>-0.0267605633802818</v>
      </c>
      <c r="O623" s="32" t="n">
        <f aca="false">Data_Prices!O623/Data_Prices!O622-1</f>
        <v>0.00332778702163083</v>
      </c>
      <c r="P623" s="32" t="n">
        <f aca="false">Data_Prices!P623/Data_Prices!P622-1</f>
        <v>-0.0106459924958183</v>
      </c>
      <c r="Q623" s="32" t="n">
        <f aca="false">Data_Prices!Q623/Data_Prices!Q622-1</f>
        <v>-0.0263248451479698</v>
      </c>
      <c r="R623" s="32" t="n">
        <f aca="false">Data_Prices!R623/Data_Prices!R622-1</f>
        <v>0.00484913793103448</v>
      </c>
      <c r="S623" s="32" t="n">
        <f aca="false">Data_Prices!S623/Data_Prices!S622-1</f>
        <v>-0.0135019654759869</v>
      </c>
      <c r="T623" s="32" t="n">
        <f aca="false">AVERAGE(D623:S623)</f>
        <v>-0.0119648980405963</v>
      </c>
      <c r="U623" s="32" t="n">
        <f aca="false">AVERAGE(J623:S623)</f>
        <v>-0.0119818373828021</v>
      </c>
      <c r="V623" s="32" t="n">
        <f aca="false">AVERAGE(D623:I623)</f>
        <v>-0.0119366658035866</v>
      </c>
      <c r="W623" s="32" t="n">
        <f aca="false">AVERAGE(K623,Q623,R623)</f>
        <v>-0.00881623188699939</v>
      </c>
      <c r="X623" s="32" t="n">
        <f aca="false">AVERAGE(K623,L623,N623,O623,P623,Q623,R623,S623)</f>
        <v>-0.00987680485520641</v>
      </c>
      <c r="Y623" s="32" t="n">
        <f aca="false">AVERAGE(J623,L623,M623,N623,O623,P623,Q623,R623,S623)</f>
        <v>-0.0127605983759954</v>
      </c>
      <c r="Z623" s="32" t="n">
        <f aca="false">U623-V623</f>
        <v>-4.51715792154968E-005</v>
      </c>
      <c r="AA623" s="32" t="n">
        <f aca="false">W623-V623</f>
        <v>0.00312043391658721</v>
      </c>
    </row>
    <row r="624" customFormat="false" ht="15" hidden="false" customHeight="false" outlineLevel="0" collapsed="false">
      <c r="A624" s="28" t="n">
        <f aca="false">Data_Prices!A624</f>
        <v>45713</v>
      </c>
      <c r="B624" s="32" t="n">
        <f aca="false">Data_Prices!B624/Data_Prices!B623-1</f>
        <v>-0.000257168003866326</v>
      </c>
      <c r="C624" s="32" t="n">
        <f aca="false">Data_Prices!C624/Data_Prices!C623-1</f>
        <v>-0.00242812719087182</v>
      </c>
      <c r="D624" s="32" t="n">
        <f aca="false">Data_Prices!D624/Data_Prices!D623-1</f>
        <v>0.00888241934525591</v>
      </c>
      <c r="E624" s="32" t="n">
        <f aca="false">Data_Prices!E624/Data_Prices!E623-1</f>
        <v>-0.0451916721744878</v>
      </c>
      <c r="F624" s="32" t="n">
        <f aca="false">Data_Prices!F624/Data_Prices!F623-1</f>
        <v>-0.0256523175162391</v>
      </c>
      <c r="G624" s="32" t="n">
        <f aca="false">Data_Prices!G624/Data_Prices!G623-1</f>
        <v>-0.0294090274546299</v>
      </c>
      <c r="H624" s="32" t="n">
        <f aca="false">Data_Prices!H624/Data_Prices!H623-1</f>
        <v>0.00405576679340935</v>
      </c>
      <c r="I624" s="32" t="n">
        <f aca="false">Data_Prices!I624/Data_Prices!I623-1</f>
        <v>0.00418160095579445</v>
      </c>
      <c r="J624" s="32" t="n">
        <f aca="false">Data_Prices!J624/Data_Prices!J623-1</f>
        <v>0.00157752981916115</v>
      </c>
      <c r="K624" s="32" t="n">
        <f aca="false">Data_Prices!K624/Data_Prices!K623-1</f>
        <v>0.0160242581140035</v>
      </c>
      <c r="L624" s="32" t="n">
        <f aca="false">Data_Prices!L624/Data_Prices!L623-1</f>
        <v>-0.00686149936467606</v>
      </c>
      <c r="M624" s="32" t="n">
        <f aca="false">Data_Prices!M624/Data_Prices!M623-1</f>
        <v>0.0151728178090218</v>
      </c>
      <c r="N624" s="32" t="n">
        <f aca="false">Data_Prices!N624/Data_Prices!N623-1</f>
        <v>0.00498472423219165</v>
      </c>
      <c r="O624" s="32" t="n">
        <f aca="false">Data_Prices!O624/Data_Prices!O623-1</f>
        <v>-0.00128984706099144</v>
      </c>
      <c r="P624" s="32" t="n">
        <f aca="false">Data_Prices!P624/Data_Prices!P623-1</f>
        <v>-0.00242169472938714</v>
      </c>
      <c r="Q624" s="32" t="n">
        <f aca="false">Data_Prices!Q624/Data_Prices!Q623-1</f>
        <v>-0.0238558049125287</v>
      </c>
      <c r="R624" s="32" t="n">
        <f aca="false">Data_Prices!R624/Data_Prices!R623-1</f>
        <v>0.00172773309502539</v>
      </c>
      <c r="S624" s="32" t="n">
        <f aca="false">Data_Prices!S624/Data_Prices!S623-1</f>
        <v>-0.00511088011088023</v>
      </c>
      <c r="T624" s="32" t="n">
        <f aca="false">AVERAGE(D624:S624)</f>
        <v>-0.00519911832249732</v>
      </c>
      <c r="U624" s="32" t="n">
        <f aca="false">AVERAGE(J624:S624)</f>
        <v>-5.26631090600471E-006</v>
      </c>
      <c r="V624" s="32" t="n">
        <f aca="false">AVERAGE(D624:I624)</f>
        <v>-0.0138555383418162</v>
      </c>
      <c r="W624" s="32" t="n">
        <f aca="false">AVERAGE(K624,Q624,R624)</f>
        <v>-0.00203460456783326</v>
      </c>
      <c r="X624" s="32" t="n">
        <f aca="false">AVERAGE(K624,L624,N624,O624,P624,Q624,R624,S624)</f>
        <v>-0.00210037634215537</v>
      </c>
      <c r="Y624" s="32" t="n">
        <f aca="false">AVERAGE(J624,L624,M624,N624,O624,P624,Q624,R624,S624)</f>
        <v>-0.0017863245803404</v>
      </c>
      <c r="Z624" s="32" t="n">
        <f aca="false">U624-V624</f>
        <v>0.0138502720309102</v>
      </c>
      <c r="AA624" s="32" t="n">
        <f aca="false">W624-V624</f>
        <v>0.0118209337739829</v>
      </c>
    </row>
    <row r="625" customFormat="false" ht="15" hidden="false" customHeight="false" outlineLevel="0" collapsed="false">
      <c r="A625" s="28" t="n">
        <f aca="false">Data_Prices!A625</f>
        <v>45715</v>
      </c>
      <c r="B625" s="32" t="n">
        <f aca="false">Data_Prices!B625/Data_Prices!B624-1</f>
        <v>-0.000110876791491799</v>
      </c>
      <c r="C625" s="32" t="n">
        <f aca="false">Data_Prices!C625/Data_Prices!C624-1</f>
        <v>-0.00505417814508724</v>
      </c>
      <c r="D625" s="32" t="n">
        <f aca="false">Data_Prices!D625/Data_Prices!D624-1</f>
        <v>-0.00453461323282589</v>
      </c>
      <c r="E625" s="32" t="n">
        <f aca="false">Data_Prices!E625/Data_Prices!E624-1</f>
        <v>-0.00527818638054867</v>
      </c>
      <c r="F625" s="32" t="n">
        <f aca="false">Data_Prices!F625/Data_Prices!F624-1</f>
        <v>0.0450847457627119</v>
      </c>
      <c r="G625" s="32" t="n">
        <f aca="false">Data_Prices!G625/Data_Prices!G624-1</f>
        <v>-0.0153418352670438</v>
      </c>
      <c r="H625" s="32" t="n">
        <f aca="false">Data_Prices!H625/Data_Prices!H624-1</f>
        <v>-0.00946730623579906</v>
      </c>
      <c r="I625" s="32" t="n">
        <f aca="false">Data_Prices!I625/Data_Prices!I624-1</f>
        <v>0.0169541939321831</v>
      </c>
      <c r="J625" s="32" t="n">
        <f aca="false">Data_Prices!J625/Data_Prices!J624-1</f>
        <v>-0.0142522377165687</v>
      </c>
      <c r="K625" s="32" t="n">
        <f aca="false">Data_Prices!K625/Data_Prices!K624-1</f>
        <v>0.0255151994149081</v>
      </c>
      <c r="L625" s="32" t="n">
        <f aca="false">Data_Prices!L625/Data_Prices!L624-1</f>
        <v>0.0517985085538824</v>
      </c>
      <c r="M625" s="32" t="n">
        <f aca="false">Data_Prices!M625/Data_Prices!M624-1</f>
        <v>0.121184142189394</v>
      </c>
      <c r="N625" s="32" t="n">
        <f aca="false">Data_Prices!N625/Data_Prices!N624-1</f>
        <v>0.0140799999999999</v>
      </c>
      <c r="O625" s="32" t="n">
        <f aca="false">Data_Prices!O625/Data_Prices!O624-1</f>
        <v>0.0402214022140222</v>
      </c>
      <c r="P625" s="32" t="n">
        <f aca="false">Data_Prices!P625/Data_Prices!P624-1</f>
        <v>0.0116340318332762</v>
      </c>
      <c r="Q625" s="32" t="n">
        <f aca="false">Data_Prices!Q625/Data_Prices!Q624-1</f>
        <v>0.024438812454743</v>
      </c>
      <c r="R625" s="32" t="n">
        <f aca="false">Data_Prices!R625/Data_Prices!R624-1</f>
        <v>0.0190912334958961</v>
      </c>
      <c r="S625" s="32" t="n">
        <f aca="false">Data_Prices!S625/Data_Prices!S624-1</f>
        <v>0.0566826295167608</v>
      </c>
      <c r="T625" s="32" t="n">
        <f aca="false">AVERAGE(D625:S625)</f>
        <v>0.0236131700334369</v>
      </c>
      <c r="U625" s="32" t="n">
        <f aca="false">AVERAGE(J625:S625)</f>
        <v>0.0350393721956313</v>
      </c>
      <c r="V625" s="32" t="n">
        <f aca="false">AVERAGE(D625:I625)</f>
        <v>0.00456949976311294</v>
      </c>
      <c r="W625" s="32" t="n">
        <f aca="false">AVERAGE(K625,Q625,R625)</f>
        <v>0.0230150817885157</v>
      </c>
      <c r="X625" s="32" t="n">
        <f aca="false">AVERAGE(K625,L625,N625,O625,P625,Q625,R625,S625)</f>
        <v>0.0304327271854361</v>
      </c>
      <c r="Y625" s="32" t="n">
        <f aca="false">AVERAGE(J625,L625,M625,N625,O625,P625,Q625,R625,S625)</f>
        <v>0.0360976136157117</v>
      </c>
      <c r="Z625" s="32" t="n">
        <f aca="false">U625-V625</f>
        <v>0.0304698724325184</v>
      </c>
      <c r="AA625" s="32" t="n">
        <f aca="false">W625-V625</f>
        <v>0.0184455820254028</v>
      </c>
    </row>
    <row r="626" customFormat="false" ht="15" hidden="false" customHeight="false" outlineLevel="0" collapsed="false">
      <c r="A626" s="28" t="n">
        <f aca="false">Data_Prices!A626</f>
        <v>45716</v>
      </c>
      <c r="B626" s="32" t="n">
        <f aca="false">Data_Prices!B626/Data_Prices!B625-1</f>
        <v>-0.0186448910071168</v>
      </c>
      <c r="C626" s="32" t="n">
        <f aca="false">Data_Prices!C626/Data_Prices!C625-1</f>
        <v>-0.0213949413134273</v>
      </c>
      <c r="D626" s="32" t="n">
        <f aca="false">Data_Prices!D626/Data_Prices!D625-1</f>
        <v>-0.00283964859348651</v>
      </c>
      <c r="E626" s="32" t="n">
        <f aca="false">Data_Prices!E626/Data_Prices!E625-1</f>
        <v>0.0049582463465554</v>
      </c>
      <c r="F626" s="32" t="n">
        <f aca="false">Data_Prices!F626/Data_Prices!F625-1</f>
        <v>0.101362309438858</v>
      </c>
      <c r="G626" s="32" t="n">
        <f aca="false">Data_Prices!G626/Data_Prices!G625-1</f>
        <v>-0.032232934073425</v>
      </c>
      <c r="H626" s="32" t="n">
        <f aca="false">Data_Prices!H626/Data_Prices!H625-1</f>
        <v>-0.0272078501338091</v>
      </c>
      <c r="I626" s="32" t="n">
        <f aca="false">Data_Prices!I626/Data_Prices!I625-1</f>
        <v>-0.0333430827727405</v>
      </c>
      <c r="J626" s="32" t="n">
        <f aca="false">Data_Prices!J626/Data_Prices!J625-1</f>
        <v>-0.00346843335931413</v>
      </c>
      <c r="K626" s="32" t="n">
        <f aca="false">Data_Prices!K626/Data_Prices!K625-1</f>
        <v>-0.020118247906506</v>
      </c>
      <c r="L626" s="32" t="n">
        <f aca="false">Data_Prices!L626/Data_Prices!L625-1</f>
        <v>-0.0263441420776422</v>
      </c>
      <c r="M626" s="32" t="n">
        <f aca="false">Data_Prices!M626/Data_Prices!M625-1</f>
        <v>-0.0538885171650626</v>
      </c>
      <c r="N626" s="32" t="n">
        <f aca="false">Data_Prices!N626/Data_Prices!N625-1</f>
        <v>-0.0473335437046387</v>
      </c>
      <c r="O626" s="32" t="n">
        <f aca="false">Data_Prices!O626/Data_Prices!O625-1</f>
        <v>-0.0400851365732527</v>
      </c>
      <c r="P626" s="32" t="n">
        <f aca="false">Data_Prices!P626/Data_Prices!P625-1</f>
        <v>-0.0343422452629434</v>
      </c>
      <c r="Q626" s="32" t="n">
        <f aca="false">Data_Prices!Q626/Data_Prices!Q625-1</f>
        <v>-0.00583141897861805</v>
      </c>
      <c r="R626" s="32" t="n">
        <f aca="false">Data_Prices!R626/Data_Prices!R625-1</f>
        <v>-0.0209512693317772</v>
      </c>
      <c r="S626" s="32" t="n">
        <f aca="false">Data_Prices!S626/Data_Prices!S625-1</f>
        <v>0.0173038892551087</v>
      </c>
      <c r="T626" s="32" t="n">
        <f aca="false">AVERAGE(D626:S626)</f>
        <v>-0.0140226265557934</v>
      </c>
      <c r="U626" s="32" t="n">
        <f aca="false">AVERAGE(J626:S626)</f>
        <v>-0.0235059065104646</v>
      </c>
      <c r="V626" s="32" t="n">
        <f aca="false">AVERAGE(D626:I626)</f>
        <v>0.00178284003532544</v>
      </c>
      <c r="W626" s="32" t="n">
        <f aca="false">AVERAGE(K626,Q626,R626)</f>
        <v>-0.0156336454056337</v>
      </c>
      <c r="X626" s="32" t="n">
        <f aca="false">AVERAGE(K626,L626,N626,O626,P626,Q626,R626,S626)</f>
        <v>-0.0222127643225337</v>
      </c>
      <c r="Y626" s="32" t="n">
        <f aca="false">AVERAGE(J626,L626,M626,N626,O626,P626,Q626,R626,S626)</f>
        <v>-0.0238823130220156</v>
      </c>
      <c r="Z626" s="32" t="n">
        <f aca="false">U626-V626</f>
        <v>-0.0252887465457901</v>
      </c>
      <c r="AA626" s="32" t="n">
        <f aca="false">W626-V626</f>
        <v>-0.0174164854409592</v>
      </c>
    </row>
    <row r="627" customFormat="false" ht="15" hidden="false" customHeight="false" outlineLevel="0" collapsed="false">
      <c r="A627" s="28" t="n">
        <f aca="false">Data_Prices!A627</f>
        <v>45719</v>
      </c>
      <c r="B627" s="32" t="n">
        <f aca="false">Data_Prices!B627/Data_Prices!B626-1</f>
        <v>-0.00024407110604896</v>
      </c>
      <c r="C627" s="32" t="n">
        <f aca="false">Data_Prices!C627/Data_Prices!C626-1</f>
        <v>0.000807307516259348</v>
      </c>
      <c r="D627" s="32" t="n">
        <f aca="false">Data_Prices!D627/Data_Prices!D626-1</f>
        <v>-0.00450891400433084</v>
      </c>
      <c r="E627" s="32" t="n">
        <f aca="false">Data_Prices!E627/Data_Prices!E626-1</f>
        <v>0.00181770968579609</v>
      </c>
      <c r="F627" s="32" t="n">
        <f aca="false">Data_Prices!F627/Data_Prices!F626-1</f>
        <v>-0.0193884062239238</v>
      </c>
      <c r="G627" s="32" t="n">
        <f aca="false">Data_Prices!G627/Data_Prices!G626-1</f>
        <v>0.00794928557053742</v>
      </c>
      <c r="H627" s="32" t="n">
        <f aca="false">Data_Prices!H627/Data_Prices!H626-1</f>
        <v>0.00353704067596761</v>
      </c>
      <c r="I627" s="32" t="n">
        <f aca="false">Data_Prices!I627/Data_Prices!I626-1</f>
        <v>-0.0291981845688351</v>
      </c>
      <c r="J627" s="32" t="n">
        <f aca="false">Data_Prices!J627/Data_Prices!J626-1</f>
        <v>-0.0019944468343045</v>
      </c>
      <c r="K627" s="32" t="n">
        <f aca="false">Data_Prices!K627/Data_Prices!K626-1</f>
        <v>0.0114336694566073</v>
      </c>
      <c r="L627" s="32" t="n">
        <f aca="false">Data_Prices!L627/Data_Prices!L626-1</f>
        <v>0.0135641620560414</v>
      </c>
      <c r="M627" s="32" t="n">
        <f aca="false">Data_Prices!M627/Data_Prices!M626-1</f>
        <v>-0.0238820585355239</v>
      </c>
      <c r="N627" s="32" t="n">
        <f aca="false">Data_Prices!N627/Data_Prices!N626-1</f>
        <v>-0.0332891685988737</v>
      </c>
      <c r="O627" s="32" t="n">
        <f aca="false">Data_Prices!O627/Data_Prices!O626-1</f>
        <v>-0.000739098300074126</v>
      </c>
      <c r="P627" s="32" t="n">
        <f aca="false">Data_Prices!P627/Data_Prices!P626-1</f>
        <v>0.00632970742685668</v>
      </c>
      <c r="Q627" s="32" t="n">
        <f aca="false">Data_Prices!Q627/Data_Prices!Q626-1</f>
        <v>-0.0266619267685745</v>
      </c>
      <c r="R627" s="32" t="n">
        <f aca="false">Data_Prices!R627/Data_Prices!R626-1</f>
        <v>-0.0129351454458749</v>
      </c>
      <c r="S627" s="32" t="n">
        <f aca="false">Data_Prices!S627/Data_Prices!S626-1</f>
        <v>0.00647983152438036</v>
      </c>
      <c r="T627" s="32" t="n">
        <f aca="false">AVERAGE(D627:S627)</f>
        <v>-0.00634287143025803</v>
      </c>
      <c r="U627" s="32" t="n">
        <f aca="false">AVERAGE(J627:S627)</f>
        <v>-0.00616944740193399</v>
      </c>
      <c r="V627" s="32" t="n">
        <f aca="false">AVERAGE(D627:I627)</f>
        <v>-0.00663191147746476</v>
      </c>
      <c r="W627" s="32" t="n">
        <f aca="false">AVERAGE(K627,Q627,R627)</f>
        <v>-0.00938780091928071</v>
      </c>
      <c r="X627" s="32" t="n">
        <f aca="false">AVERAGE(K627,L627,N627,O627,P627,Q627,R627,S627)</f>
        <v>-0.00447724608118894</v>
      </c>
      <c r="Y627" s="32" t="n">
        <f aca="false">AVERAGE(J627,L627,M627,N627,O627,P627,Q627,R627,S627)</f>
        <v>-0.00812534927510525</v>
      </c>
      <c r="Z627" s="32" t="n">
        <f aca="false">U627-V627</f>
        <v>0.00046246407553077</v>
      </c>
      <c r="AA627" s="32" t="n">
        <f aca="false">W627-V627</f>
        <v>-0.00275588944181595</v>
      </c>
    </row>
    <row r="628" customFormat="false" ht="15" hidden="false" customHeight="false" outlineLevel="0" collapsed="false">
      <c r="A628" s="28" t="n">
        <f aca="false">Data_Prices!A628</f>
        <v>45720</v>
      </c>
      <c r="B628" s="32" t="n">
        <f aca="false">Data_Prices!B628/Data_Prices!B627-1</f>
        <v>-0.00165692404370832</v>
      </c>
      <c r="C628" s="32" t="n">
        <f aca="false">Data_Prices!C628/Data_Prices!C627-1</f>
        <v>0.00105041224911351</v>
      </c>
      <c r="D628" s="32" t="n">
        <f aca="false">Data_Prices!D628/Data_Prices!D627-1</f>
        <v>-0.000119193062963707</v>
      </c>
      <c r="E628" s="32" t="n">
        <f aca="false">Data_Prices!E628/Data_Prices!E627-1</f>
        <v>0.0240193537238638</v>
      </c>
      <c r="F628" s="32" t="n">
        <f aca="false">Data_Prices!F628/Data_Prices!F627-1</f>
        <v>-0.000250275302833169</v>
      </c>
      <c r="G628" s="32" t="n">
        <f aca="false">Data_Prices!G628/Data_Prices!G627-1</f>
        <v>0.00469202355994791</v>
      </c>
      <c r="H628" s="32" t="n">
        <f aca="false">Data_Prices!H628/Data_Prices!H627-1</f>
        <v>0.0253899875987207</v>
      </c>
      <c r="I628" s="32" t="n">
        <f aca="false">Data_Prices!I628/Data_Prices!I627-1</f>
        <v>-0.00124668848371523</v>
      </c>
      <c r="J628" s="32" t="n">
        <f aca="false">Data_Prices!J628/Data_Prices!J627-1</f>
        <v>-0.017358934169279</v>
      </c>
      <c r="K628" s="32" t="n">
        <f aca="false">Data_Prices!K628/Data_Prices!K627-1</f>
        <v>-0.00485138287624343</v>
      </c>
      <c r="L628" s="32" t="n">
        <f aca="false">Data_Prices!L628/Data_Prices!L627-1</f>
        <v>0.0210248283148442</v>
      </c>
      <c r="M628" s="32" t="n">
        <f aca="false">Data_Prices!M628/Data_Prices!M627-1</f>
        <v>0.00601906035779964</v>
      </c>
      <c r="N628" s="32" t="n">
        <f aca="false">Data_Prices!N628/Data_Prices!N627-1</f>
        <v>-0.0282679458626006</v>
      </c>
      <c r="O628" s="32" t="n">
        <f aca="false">Data_Prices!O628/Data_Prices!O627-1</f>
        <v>-0.0142381656804732</v>
      </c>
      <c r="P628" s="32" t="n">
        <f aca="false">Data_Prices!P628/Data_Prices!P627-1</f>
        <v>0.00253925359921725</v>
      </c>
      <c r="Q628" s="32" t="n">
        <f aca="false">Data_Prices!Q628/Data_Prices!Q627-1</f>
        <v>0.00894813732651567</v>
      </c>
      <c r="R628" s="32" t="n">
        <f aca="false">Data_Prices!R628/Data_Prices!R627-1</f>
        <v>0.00809227610362928</v>
      </c>
      <c r="S628" s="32" t="n">
        <f aca="false">Data_Prices!S628/Data_Prices!S627-1</f>
        <v>0.0186705295348464</v>
      </c>
      <c r="T628" s="32" t="n">
        <f aca="false">AVERAGE(D628:S628)</f>
        <v>0.00331642904257978</v>
      </c>
      <c r="U628" s="32" t="n">
        <f aca="false">AVERAGE(J628:S628)</f>
        <v>5.77656648256153E-005</v>
      </c>
      <c r="V628" s="32" t="n">
        <f aca="false">AVERAGE(D628:I628)</f>
        <v>0.00874753467217004</v>
      </c>
      <c r="W628" s="32" t="n">
        <f aca="false">AVERAGE(K628,Q628,R628)</f>
        <v>0.00406301018463384</v>
      </c>
      <c r="X628" s="32" t="n">
        <f aca="false">AVERAGE(K628,L628,N628,O628,P628,Q628,R628,S628)</f>
        <v>0.00148969130746694</v>
      </c>
      <c r="Y628" s="32" t="n">
        <f aca="false">AVERAGE(J628,L628,M628,N628,O628,P628,Q628,R628,S628)</f>
        <v>0.000603226613833287</v>
      </c>
      <c r="Z628" s="32" t="n">
        <f aca="false">U628-V628</f>
        <v>-0.00868976900734443</v>
      </c>
      <c r="AA628" s="32" t="n">
        <f aca="false">W628-V628</f>
        <v>-0.0046845244875362</v>
      </c>
    </row>
    <row r="629" customFormat="false" ht="15" hidden="false" customHeight="false" outlineLevel="0" collapsed="false">
      <c r="A629" s="28" t="n">
        <f aca="false">Data_Prices!A629</f>
        <v>45721</v>
      </c>
      <c r="B629" s="32" t="n">
        <f aca="false">Data_Prices!B629/Data_Prices!B628-1</f>
        <v>0.0115316775839855</v>
      </c>
      <c r="C629" s="32" t="n">
        <f aca="false">Data_Prices!C629/Data_Prices!C628-1</f>
        <v>0.0170023370996368</v>
      </c>
      <c r="D629" s="32" t="n">
        <f aca="false">Data_Prices!D629/Data_Prices!D628-1</f>
        <v>0.0139174489643867</v>
      </c>
      <c r="E629" s="32" t="n">
        <f aca="false">Data_Prices!E629/Data_Prices!E628-1</f>
        <v>0.0176341545730678</v>
      </c>
      <c r="F629" s="32" t="n">
        <f aca="false">Data_Prices!F629/Data_Prices!F628-1</f>
        <v>0.0111150052570972</v>
      </c>
      <c r="G629" s="32" t="n">
        <f aca="false">Data_Prices!G629/Data_Prices!G628-1</f>
        <v>0.0344793322734498</v>
      </c>
      <c r="H629" s="32" t="n">
        <f aca="false">Data_Prices!H629/Data_Prices!H628-1</f>
        <v>0.0248249522597073</v>
      </c>
      <c r="I629" s="32" t="n">
        <f aca="false">Data_Prices!I629/Data_Prices!I628-1</f>
        <v>0.0137306912154784</v>
      </c>
      <c r="J629" s="32" t="n">
        <f aca="false">Data_Prices!J629/Data_Prices!J628-1</f>
        <v>-0.0119631534872593</v>
      </c>
      <c r="K629" s="32" t="n">
        <f aca="false">Data_Prices!K629/Data_Prices!K628-1</f>
        <v>-0.0334604574134331</v>
      </c>
      <c r="L629" s="32" t="n">
        <f aca="false">Data_Prices!L629/Data_Prices!L628-1</f>
        <v>-0.00186258278145679</v>
      </c>
      <c r="M629" s="32" t="n">
        <f aca="false">Data_Prices!M629/Data_Prices!M628-1</f>
        <v>0.0196111018780123</v>
      </c>
      <c r="N629" s="32" t="n">
        <f aca="false">Data_Prices!N629/Data_Prices!N628-1</f>
        <v>0.106135401974612</v>
      </c>
      <c r="O629" s="32" t="n">
        <f aca="false">Data_Prices!O629/Data_Prices!O628-1</f>
        <v>0.0354530106921778</v>
      </c>
      <c r="P629" s="32" t="n">
        <f aca="false">Data_Prices!P629/Data_Prices!P628-1</f>
        <v>-0.0120134774021146</v>
      </c>
      <c r="Q629" s="32" t="n">
        <f aca="false">Data_Prices!Q629/Data_Prices!Q628-1</f>
        <v>0.0325791855203621</v>
      </c>
      <c r="R629" s="32" t="n">
        <f aca="false">Data_Prices!R629/Data_Prices!R628-1</f>
        <v>0.0112023003654227</v>
      </c>
      <c r="S629" s="32" t="n">
        <f aca="false">Data_Prices!S629/Data_Prices!S628-1</f>
        <v>-0.00252804550481911</v>
      </c>
      <c r="T629" s="32" t="n">
        <f aca="false">AVERAGE(D629:S629)</f>
        <v>0.0161784292740432</v>
      </c>
      <c r="U629" s="32" t="n">
        <f aca="false">AVERAGE(J629:S629)</f>
        <v>0.0143153283841504</v>
      </c>
      <c r="V629" s="32" t="n">
        <f aca="false">AVERAGE(D629:I629)</f>
        <v>0.0192835974238645</v>
      </c>
      <c r="W629" s="32" t="n">
        <f aca="false">AVERAGE(K629,Q629,R629)</f>
        <v>0.00344034282411724</v>
      </c>
      <c r="X629" s="32" t="n">
        <f aca="false">AVERAGE(K629,L629,N629,O629,P629,Q629,R629,S629)</f>
        <v>0.0169381669313439</v>
      </c>
      <c r="Y629" s="32" t="n">
        <f aca="false">AVERAGE(J629,L629,M629,N629,O629,P629,Q629,R629,S629)</f>
        <v>0.0196237490283263</v>
      </c>
      <c r="Z629" s="32" t="n">
        <f aca="false">U629-V629</f>
        <v>-0.00496826903971415</v>
      </c>
      <c r="AA629" s="32" t="n">
        <f aca="false">W629-V629</f>
        <v>-0.0158432545997473</v>
      </c>
    </row>
    <row r="630" customFormat="false" ht="15" hidden="false" customHeight="false" outlineLevel="0" collapsed="false">
      <c r="A630" s="28" t="n">
        <f aca="false">Data_Prices!A630</f>
        <v>45722</v>
      </c>
      <c r="B630" s="32" t="n">
        <f aca="false">Data_Prices!B630/Data_Prices!B629-1</f>
        <v>0.00928491805186837</v>
      </c>
      <c r="C630" s="32" t="n">
        <f aca="false">Data_Prices!C630/Data_Prices!C629-1</f>
        <v>0.0094093254017229</v>
      </c>
      <c r="D630" s="32" t="n">
        <f aca="false">Data_Prices!D630/Data_Prices!D629-1</f>
        <v>0.00288048909529137</v>
      </c>
      <c r="E630" s="32" t="n">
        <f aca="false">Data_Prices!E630/Data_Prices!E629-1</f>
        <v>0.00522344747533388</v>
      </c>
      <c r="F630" s="32" t="n">
        <f aca="false">Data_Prices!F630/Data_Prices!F629-1</f>
        <v>-0.00896261450854163</v>
      </c>
      <c r="G630" s="32" t="n">
        <f aca="false">Data_Prices!G630/Data_Prices!G629-1</f>
        <v>0.0184420324656613</v>
      </c>
      <c r="H630" s="32" t="n">
        <f aca="false">Data_Prices!H630/Data_Prices!H629-1</f>
        <v>0.0163354037267081</v>
      </c>
      <c r="I630" s="32" t="n">
        <f aca="false">Data_Prices!I630/Data_Prices!I629-1</f>
        <v>0.00430968139141141</v>
      </c>
      <c r="J630" s="32" t="n">
        <f aca="false">Data_Prices!J630/Data_Prices!J629-1</f>
        <v>-0.00113008031642237</v>
      </c>
      <c r="K630" s="32" t="n">
        <f aca="false">Data_Prices!K630/Data_Prices!K629-1</f>
        <v>0.0135144918792385</v>
      </c>
      <c r="L630" s="32" t="n">
        <f aca="false">Data_Prices!L630/Data_Prices!L629-1</f>
        <v>0.00808625336927205</v>
      </c>
      <c r="M630" s="32" t="n">
        <f aca="false">Data_Prices!M630/Data_Prices!M629-1</f>
        <v>0.0703613148600923</v>
      </c>
      <c r="N630" s="32" t="n">
        <f aca="false">Data_Prices!N630/Data_Prices!N629-1</f>
        <v>0.0387312719158432</v>
      </c>
      <c r="O630" s="32" t="n">
        <f aca="false">Data_Prices!O630/Data_Prices!O629-1</f>
        <v>0.011231884057971</v>
      </c>
      <c r="P630" s="32" t="n">
        <f aca="false">Data_Prices!P630/Data_Prices!P629-1</f>
        <v>0.0239663201467613</v>
      </c>
      <c r="Q630" s="32" t="n">
        <f aca="false">Data_Prices!Q630/Data_Prices!Q629-1</f>
        <v>0.00350569675723045</v>
      </c>
      <c r="R630" s="32" t="n">
        <f aca="false">Data_Prices!R630/Data_Prices!R629-1</f>
        <v>-0.00586492890995272</v>
      </c>
      <c r="S630" s="32" t="n">
        <f aca="false">Data_Prices!S630/Data_Prices!S629-1</f>
        <v>0.0206716299699035</v>
      </c>
      <c r="T630" s="32" t="n">
        <f aca="false">AVERAGE(D630:S630)</f>
        <v>0.0138313933359876</v>
      </c>
      <c r="U630" s="32" t="n">
        <f aca="false">AVERAGE(J630:S630)</f>
        <v>0.0183073853729937</v>
      </c>
      <c r="V630" s="32" t="n">
        <f aca="false">AVERAGE(D630:I630)</f>
        <v>0.00637140660764407</v>
      </c>
      <c r="W630" s="32" t="n">
        <f aca="false">AVERAGE(K630,Q630,R630)</f>
        <v>0.00371841990883874</v>
      </c>
      <c r="X630" s="32" t="n">
        <f aca="false">AVERAGE(K630,L630,N630,O630,P630,Q630,R630,S630)</f>
        <v>0.0142303273982834</v>
      </c>
      <c r="Y630" s="32" t="n">
        <f aca="false">AVERAGE(J630,L630,M630,N630,O630,P630,Q630,R630,S630)</f>
        <v>0.0188399290945221</v>
      </c>
      <c r="Z630" s="32" t="n">
        <f aca="false">U630-V630</f>
        <v>0.0119359787653497</v>
      </c>
      <c r="AA630" s="32" t="n">
        <f aca="false">W630-V630</f>
        <v>-0.00265298669880533</v>
      </c>
    </row>
    <row r="631" customFormat="false" ht="15" hidden="false" customHeight="false" outlineLevel="0" collapsed="false">
      <c r="A631" s="28" t="n">
        <f aca="false">Data_Prices!A631</f>
        <v>45723</v>
      </c>
      <c r="B631" s="32" t="n">
        <f aca="false">Data_Prices!B631/Data_Prices!B630-1</f>
        <v>0.000345979321082046</v>
      </c>
      <c r="C631" s="32" t="n">
        <f aca="false">Data_Prices!C631/Data_Prices!C630-1</f>
        <v>-0.000180954756420104</v>
      </c>
      <c r="D631" s="32" t="n">
        <f aca="false">Data_Prices!D631/Data_Prices!D630-1</f>
        <v>-0.00398593200468933</v>
      </c>
      <c r="E631" s="32" t="n">
        <f aca="false">Data_Prices!E631/Data_Prices!E630-1</f>
        <v>0.0386011217419993</v>
      </c>
      <c r="F631" s="32" t="n">
        <f aca="false">Data_Prices!F631/Data_Prices!F630-1</f>
        <v>-0.00114919556310589</v>
      </c>
      <c r="G631" s="32" t="n">
        <f aca="false">Data_Prices!G631/Data_Prices!G630-1</f>
        <v>0.00424408186362357</v>
      </c>
      <c r="H631" s="32" t="n">
        <f aca="false">Data_Prices!H631/Data_Prices!H630-1</f>
        <v>6.11134877468444E-005</v>
      </c>
      <c r="I631" s="32" t="n">
        <f aca="false">Data_Prices!I631/Data_Prices!I630-1</f>
        <v>-0.00168582375478932</v>
      </c>
      <c r="J631" s="32" t="n">
        <f aca="false">Data_Prices!J631/Data_Prices!J630-1</f>
        <v>0.0299001979877975</v>
      </c>
      <c r="K631" s="32" t="n">
        <f aca="false">Data_Prices!K631/Data_Prices!K630-1</f>
        <v>-0.000750053575255483</v>
      </c>
      <c r="L631" s="32" t="n">
        <f aca="false">Data_Prices!L631/Data_Prices!L630-1</f>
        <v>-0.000856986151103745</v>
      </c>
      <c r="M631" s="32" t="n">
        <f aca="false">Data_Prices!M631/Data_Prices!M630-1</f>
        <v>-0.0205583756345178</v>
      </c>
      <c r="N631" s="32" t="n">
        <f aca="false">Data_Prices!N631/Data_Prices!N630-1</f>
        <v>-0.0115083627435937</v>
      </c>
      <c r="O631" s="32" t="n">
        <f aca="false">Data_Prices!O631/Data_Prices!O630-1</f>
        <v>-0.0159441060551775</v>
      </c>
      <c r="P631" s="32" t="n">
        <f aca="false">Data_Prices!P631/Data_Prices!P630-1</f>
        <v>0.00119438638399516</v>
      </c>
      <c r="Q631" s="32" t="n">
        <f aca="false">Data_Prices!Q631/Data_Prices!Q630-1</f>
        <v>0.00768558951965059</v>
      </c>
      <c r="R631" s="32" t="n">
        <f aca="false">Data_Prices!R631/Data_Prices!R630-1</f>
        <v>-0.00506525236875033</v>
      </c>
      <c r="S631" s="32" t="n">
        <f aca="false">Data_Prices!S631/Data_Prices!S630-1</f>
        <v>-0.0209513463179949</v>
      </c>
      <c r="T631" s="32" t="n">
        <f aca="false">AVERAGE(D631:S631)</f>
        <v>-4.80589490103114E-005</v>
      </c>
      <c r="U631" s="32" t="n">
        <f aca="false">AVERAGE(J631:S631)</f>
        <v>-0.00368543089549501</v>
      </c>
      <c r="V631" s="32" t="n">
        <f aca="false">AVERAGE(D631:I631)</f>
        <v>0.00601422762846419</v>
      </c>
      <c r="W631" s="32" t="n">
        <f aca="false">AVERAGE(K631,Q631,R631)</f>
        <v>0.000623427858548261</v>
      </c>
      <c r="X631" s="32" t="n">
        <f aca="false">AVERAGE(K631,L631,N631,O631,P631,Q631,R631,S631)</f>
        <v>-0.00577451641352873</v>
      </c>
      <c r="Y631" s="32" t="n">
        <f aca="false">AVERAGE(J631,L631,M631,N631,O631,P631,Q631,R631,S631)</f>
        <v>-0.00401158393107718</v>
      </c>
      <c r="Z631" s="32" t="n">
        <f aca="false">U631-V631</f>
        <v>-0.0096996585239592</v>
      </c>
      <c r="AA631" s="32" t="n">
        <f aca="false">W631-V631</f>
        <v>-0.00539079976991593</v>
      </c>
    </row>
    <row r="632" customFormat="false" ht="15" hidden="false" customHeight="false" outlineLevel="0" collapsed="false">
      <c r="A632" s="28" t="n">
        <f aca="false">Data_Prices!A632</f>
        <v>45726</v>
      </c>
      <c r="B632" s="32" t="n">
        <f aca="false">Data_Prices!B632/Data_Prices!B631-1</f>
        <v>-0.00408823855448404</v>
      </c>
      <c r="C632" s="32" t="n">
        <f aca="false">Data_Prices!C632/Data_Prices!C631-1</f>
        <v>-0.00865315945488532</v>
      </c>
      <c r="D632" s="32" t="n">
        <f aca="false">Data_Prices!D632/Data_Prices!D631-1</f>
        <v>0.0312794256120526</v>
      </c>
      <c r="E632" s="32" t="n">
        <f aca="false">Data_Prices!E632/Data_Prices!E631-1</f>
        <v>-0.0110387547649302</v>
      </c>
      <c r="F632" s="32" t="n">
        <f aca="false">Data_Prices!F632/Data_Prices!F631-1</f>
        <v>0.00520234105347406</v>
      </c>
      <c r="G632" s="32" t="n">
        <f aca="false">Data_Prices!G632/Data_Prices!G631-1</f>
        <v>-0.00741923365890296</v>
      </c>
      <c r="H632" s="32" t="n">
        <f aca="false">Data_Prices!H632/Data_Prices!H631-1</f>
        <v>-0.0383769249572233</v>
      </c>
      <c r="I632" s="32" t="n">
        <f aca="false">Data_Prices!I632/Data_Prices!I631-1</f>
        <v>-0.0030703101013202</v>
      </c>
      <c r="J632" s="32" t="n">
        <f aca="false">Data_Prices!J632/Data_Prices!J631-1</f>
        <v>-0.0231864725960218</v>
      </c>
      <c r="K632" s="32" t="n">
        <f aca="false">Data_Prices!K632/Data_Prices!K631-1</f>
        <v>-0.00736319119276541</v>
      </c>
      <c r="L632" s="32" t="n">
        <f aca="false">Data_Prices!L632/Data_Prices!L631-1</f>
        <v>-0.0259374892784849</v>
      </c>
      <c r="M632" s="32" t="n">
        <f aca="false">Data_Prices!M632/Data_Prices!M631-1</f>
        <v>-0.0290230629696813</v>
      </c>
      <c r="N632" s="32" t="n">
        <f aca="false">Data_Prices!N632/Data_Prices!N631-1</f>
        <v>-0.0260788574976716</v>
      </c>
      <c r="O632" s="32" t="n">
        <f aca="false">Data_Prices!O632/Data_Prices!O631-1</f>
        <v>-0.00910249408337882</v>
      </c>
      <c r="P632" s="32" t="n">
        <f aca="false">Data_Prices!P632/Data_Prices!P631-1</f>
        <v>0.00236298148615477</v>
      </c>
      <c r="Q632" s="32" t="n">
        <f aca="false">Data_Prices!Q632/Data_Prices!Q631-1</f>
        <v>0.00208008320332831</v>
      </c>
      <c r="R632" s="32" t="n">
        <f aca="false">Data_Prices!R632/Data_Prices!R631-1</f>
        <v>0.0101221849544801</v>
      </c>
      <c r="S632" s="32" t="n">
        <f aca="false">Data_Prices!S632/Data_Prices!S631-1</f>
        <v>-0.0083221050962986</v>
      </c>
      <c r="T632" s="32" t="n">
        <f aca="false">AVERAGE(D632:S632)</f>
        <v>-0.00861699249294933</v>
      </c>
      <c r="U632" s="32" t="n">
        <f aca="false">AVERAGE(J632:S632)</f>
        <v>-0.0114448423070339</v>
      </c>
      <c r="V632" s="32" t="n">
        <f aca="false">AVERAGE(D632:I632)</f>
        <v>-0.00390390946947502</v>
      </c>
      <c r="W632" s="32" t="n">
        <f aca="false">AVERAGE(K632,Q632,R632)</f>
        <v>0.00161302565501435</v>
      </c>
      <c r="X632" s="32" t="n">
        <f aca="false">AVERAGE(K632,L632,N632,O632,P632,Q632,R632,S632)</f>
        <v>-0.00777986093807952</v>
      </c>
      <c r="Y632" s="32" t="n">
        <f aca="false">AVERAGE(J632,L632,M632,N632,O632,P632,Q632,R632,S632)</f>
        <v>-0.0118983590975082</v>
      </c>
      <c r="Z632" s="32" t="n">
        <f aca="false">U632-V632</f>
        <v>-0.0075409328375589</v>
      </c>
      <c r="AA632" s="32" t="n">
        <f aca="false">W632-V632</f>
        <v>0.00551693512448936</v>
      </c>
    </row>
    <row r="633" customFormat="false" ht="15" hidden="false" customHeight="false" outlineLevel="0" collapsed="false">
      <c r="A633" s="28" t="n">
        <f aca="false">Data_Prices!A633</f>
        <v>45727</v>
      </c>
      <c r="B633" s="32" t="n">
        <f aca="false">Data_Prices!B633/Data_Prices!B632-1</f>
        <v>0.00167406490563349</v>
      </c>
      <c r="C633" s="32" t="n">
        <f aca="false">Data_Prices!C633/Data_Prices!C632-1</f>
        <v>0.00177633039745384</v>
      </c>
      <c r="D633" s="32" t="n">
        <f aca="false">Data_Prices!D633/Data_Prices!D632-1</f>
        <v>0.0105287185779097</v>
      </c>
      <c r="E633" s="32" t="n">
        <f aca="false">Data_Prices!E633/Data_Prices!E632-1</f>
        <v>-0.0158194812494982</v>
      </c>
      <c r="F633" s="32" t="n">
        <f aca="false">Data_Prices!F633/Data_Prices!F632-1</f>
        <v>-0.0196068673799453</v>
      </c>
      <c r="G633" s="32" t="n">
        <f aca="false">Data_Prices!G633/Data_Prices!G632-1</f>
        <v>0.0097454820702052</v>
      </c>
      <c r="H633" s="32" t="n">
        <f aca="false">Data_Prices!H633/Data_Prices!H632-1</f>
        <v>0.0062277580071175</v>
      </c>
      <c r="I633" s="32" t="n">
        <f aca="false">Data_Prices!I633/Data_Prices!I632-1</f>
        <v>-0.0224822913458578</v>
      </c>
      <c r="J633" s="32" t="n">
        <f aca="false">Data_Prices!J633/Data_Prices!J632-1</f>
        <v>-0.0282753634830107</v>
      </c>
      <c r="K633" s="32" t="n">
        <f aca="false">Data_Prices!K633/Data_Prices!K632-1</f>
        <v>-0.000264064431721334</v>
      </c>
      <c r="L633" s="32" t="n">
        <f aca="false">Data_Prices!L633/Data_Prices!L632-1</f>
        <v>0.020569898911627</v>
      </c>
      <c r="M633" s="32" t="n">
        <f aca="false">Data_Prices!M633/Data_Prices!M632-1</f>
        <v>-0.00747264478249265</v>
      </c>
      <c r="N633" s="32" t="n">
        <f aca="false">Data_Prices!N633/Data_Prices!N632-1</f>
        <v>-0.0055785782594836</v>
      </c>
      <c r="O633" s="32" t="n">
        <f aca="false">Data_Prices!O633/Data_Prices!O632-1</f>
        <v>-0.0130442770530955</v>
      </c>
      <c r="P633" s="32" t="n">
        <f aca="false">Data_Prices!P633/Data_Prices!P632-1</f>
        <v>0</v>
      </c>
      <c r="Q633" s="32" t="n">
        <f aca="false">Data_Prices!Q633/Data_Prices!Q632-1</f>
        <v>-0.0179899671337138</v>
      </c>
      <c r="R633" s="32" t="n">
        <f aca="false">Data_Prices!R633/Data_Prices!R632-1</f>
        <v>-0.00551437889119477</v>
      </c>
      <c r="S633" s="32" t="n">
        <f aca="false">Data_Prices!S633/Data_Prices!S632-1</f>
        <v>0.0202205882352942</v>
      </c>
      <c r="T633" s="32" t="n">
        <f aca="false">AVERAGE(D633:S633)</f>
        <v>-0.00429721676299126</v>
      </c>
      <c r="U633" s="32" t="n">
        <f aca="false">AVERAGE(J633:S633)</f>
        <v>-0.00373487868877913</v>
      </c>
      <c r="V633" s="32" t="n">
        <f aca="false">AVERAGE(D633:I633)</f>
        <v>-0.00523444688667814</v>
      </c>
      <c r="W633" s="32" t="n">
        <f aca="false">AVERAGE(K633,Q633,R633)</f>
        <v>-0.00792280348554331</v>
      </c>
      <c r="X633" s="32" t="n">
        <f aca="false">AVERAGE(K633,L633,N633,O633,P633,Q633,R633,S633)</f>
        <v>-0.000200097327785989</v>
      </c>
      <c r="Y633" s="32" t="n">
        <f aca="false">AVERAGE(J633,L633,M633,N633,O633,P633,Q633,R633,S633)</f>
        <v>-0.00412052471734111</v>
      </c>
      <c r="Z633" s="32" t="n">
        <f aca="false">U633-V633</f>
        <v>0.00149956819789901</v>
      </c>
      <c r="AA633" s="32" t="n">
        <f aca="false">W633-V633</f>
        <v>-0.00268835659886516</v>
      </c>
    </row>
    <row r="634" customFormat="false" ht="15" hidden="false" customHeight="false" outlineLevel="0" collapsed="false">
      <c r="A634" s="28" t="n">
        <f aca="false">Data_Prices!A634</f>
        <v>45728</v>
      </c>
      <c r="B634" s="32" t="n">
        <f aca="false">Data_Prices!B634/Data_Prices!B633-1</f>
        <v>-0.00121789144764628</v>
      </c>
      <c r="C634" s="32" t="n">
        <f aca="false">Data_Prices!C634/Data_Prices!C633-1</f>
        <v>-0.00187907893116623</v>
      </c>
      <c r="D634" s="32" t="n">
        <f aca="false">Data_Prices!D634/Data_Prices!D633-1</f>
        <v>0.0256663654845268</v>
      </c>
      <c r="E634" s="32" t="n">
        <f aca="false">Data_Prices!E634/Data_Prices!E633-1</f>
        <v>-0.0169712793733681</v>
      </c>
      <c r="F634" s="32" t="n">
        <f aca="false">Data_Prices!F634/Data_Prices!F633-1</f>
        <v>0.0143647530582205</v>
      </c>
      <c r="G634" s="32" t="n">
        <f aca="false">Data_Prices!G634/Data_Prices!G633-1</f>
        <v>-0.0185532233883058</v>
      </c>
      <c r="H634" s="32" t="n">
        <f aca="false">Data_Prices!H634/Data_Prices!H633-1</f>
        <v>0.0117468738158393</v>
      </c>
      <c r="I634" s="32" t="n">
        <f aca="false">Data_Prices!I634/Data_Prices!I633-1</f>
        <v>-0.0138626339004411</v>
      </c>
      <c r="J634" s="32" t="n">
        <f aca="false">Data_Prices!J634/Data_Prices!J633-1</f>
        <v>-0.0413325617921799</v>
      </c>
      <c r="K634" s="32" t="n">
        <f aca="false">Data_Prices!K634/Data_Prices!K633-1</f>
        <v>0.0172647705034157</v>
      </c>
      <c r="L634" s="32" t="n">
        <f aca="false">Data_Prices!L634/Data_Prices!L633-1</f>
        <v>0.00189818809318387</v>
      </c>
      <c r="M634" s="32" t="n">
        <f aca="false">Data_Prices!M634/Data_Prices!M633-1</f>
        <v>-0.00467867706372682</v>
      </c>
      <c r="N634" s="32" t="n">
        <f aca="false">Data_Prices!N634/Data_Prices!N633-1</f>
        <v>0.00368648821926598</v>
      </c>
      <c r="O634" s="32" t="n">
        <f aca="false">Data_Prices!O634/Data_Prices!O633-1</f>
        <v>0.0061429635145196</v>
      </c>
      <c r="P634" s="32" t="n">
        <f aca="false">Data_Prices!P634/Data_Prices!P633-1</f>
        <v>0.0111690927400898</v>
      </c>
      <c r="Q634" s="32" t="n">
        <f aca="false">Data_Prices!Q634/Data_Prices!Q633-1</f>
        <v>-0.00352298749339441</v>
      </c>
      <c r="R634" s="32" t="n">
        <f aca="false">Data_Prices!R634/Data_Prices!R633-1</f>
        <v>-0.00387550679704274</v>
      </c>
      <c r="S634" s="32" t="n">
        <f aca="false">Data_Prices!S634/Data_Prices!S633-1</f>
        <v>-0.00203681942812373</v>
      </c>
      <c r="T634" s="32" t="n">
        <f aca="false">AVERAGE(D634:S634)</f>
        <v>-0.000805887112970062</v>
      </c>
      <c r="U634" s="32" t="n">
        <f aca="false">AVERAGE(J634:S634)</f>
        <v>-0.00152850495039927</v>
      </c>
      <c r="V634" s="32" t="n">
        <f aca="false">AVERAGE(D634:I634)</f>
        <v>0.000398475949411947</v>
      </c>
      <c r="W634" s="32" t="n">
        <f aca="false">AVERAGE(K634,Q634,R634)</f>
        <v>0.00328875873765951</v>
      </c>
      <c r="X634" s="32" t="n">
        <f aca="false">AVERAGE(K634,L634,N634,O634,P634,Q634,R634,S634)</f>
        <v>0.00384077366898926</v>
      </c>
      <c r="Y634" s="32" t="n">
        <f aca="false">AVERAGE(J634,L634,M634,N634,O634,P634,Q634,R634,S634)</f>
        <v>-0.00361664666748982</v>
      </c>
      <c r="Z634" s="32" t="n">
        <f aca="false">U634-V634</f>
        <v>-0.00192698089981121</v>
      </c>
      <c r="AA634" s="32" t="n">
        <f aca="false">W634-V634</f>
        <v>0.00289028278824756</v>
      </c>
    </row>
    <row r="635" customFormat="false" ht="15" hidden="false" customHeight="false" outlineLevel="0" collapsed="false">
      <c r="A635" s="28" t="n">
        <f aca="false">Data_Prices!A635</f>
        <v>45729</v>
      </c>
      <c r="B635" s="32" t="n">
        <f aca="false">Data_Prices!B635/Data_Prices!B634-1</f>
        <v>-0.00326205469393204</v>
      </c>
      <c r="C635" s="32" t="n">
        <f aca="false">Data_Prices!C635/Data_Prices!C634-1</f>
        <v>-0.00435740598637502</v>
      </c>
      <c r="D635" s="32" t="n">
        <f aca="false">Data_Prices!D635/Data_Prices!D634-1</f>
        <v>0.0309428768066071</v>
      </c>
      <c r="E635" s="32" t="n">
        <f aca="false">Data_Prices!E635/Data_Prices!E634-1</f>
        <v>-0.00107901726427617</v>
      </c>
      <c r="F635" s="32" t="n">
        <f aca="false">Data_Prices!F635/Data_Prices!F634-1</f>
        <v>-0.00625500400320256</v>
      </c>
      <c r="G635" s="32" t="n">
        <f aca="false">Data_Prices!G635/Data_Prices!G634-1</f>
        <v>-0.0154668703456178</v>
      </c>
      <c r="H635" s="32" t="n">
        <f aca="false">Data_Prices!H635/Data_Prices!H634-1</f>
        <v>0.00305867665418225</v>
      </c>
      <c r="I635" s="32" t="n">
        <f aca="false">Data_Prices!I635/Data_Prices!I634-1</f>
        <v>-0.00559105431309903</v>
      </c>
      <c r="J635" s="32" t="n">
        <f aca="false">Data_Prices!J635/Data_Prices!J634-1</f>
        <v>-0.00168146934552038</v>
      </c>
      <c r="K635" s="32" t="n">
        <f aca="false">Data_Prices!K635/Data_Prices!K634-1</f>
        <v>-0.00754169174662744</v>
      </c>
      <c r="L635" s="32" t="n">
        <f aca="false">Data_Prices!L635/Data_Prices!L634-1</f>
        <v>-0.00468480881846367</v>
      </c>
      <c r="M635" s="32" t="n">
        <f aca="false">Data_Prices!M635/Data_Prices!M634-1</f>
        <v>-0.00232331964555865</v>
      </c>
      <c r="N635" s="32" t="n">
        <f aca="false">Data_Prices!N635/Data_Prices!N634-1</f>
        <v>0.000479080166081003</v>
      </c>
      <c r="O635" s="32" t="n">
        <f aca="false">Data_Prices!O635/Data_Prices!O634-1</f>
        <v>0.00407030527289565</v>
      </c>
      <c r="P635" s="32" t="n">
        <f aca="false">Data_Prices!P635/Data_Prices!P634-1</f>
        <v>-0.00572657311000457</v>
      </c>
      <c r="Q635" s="32" t="n">
        <f aca="false">Data_Prices!Q635/Data_Prices!Q634-1</f>
        <v>-0.00530316422131871</v>
      </c>
      <c r="R635" s="32" t="n">
        <f aca="false">Data_Prices!R635/Data_Prices!R634-1</f>
        <v>-0.0065840665589274</v>
      </c>
      <c r="S635" s="32" t="n">
        <f aca="false">Data_Prices!S635/Data_Prices!S634-1</f>
        <v>-0.0273176858466129</v>
      </c>
      <c r="T635" s="32" t="n">
        <f aca="false">AVERAGE(D635:S635)</f>
        <v>-0.00318773664496645</v>
      </c>
      <c r="U635" s="32" t="n">
        <f aca="false">AVERAGE(J635:S635)</f>
        <v>-0.00566133938540571</v>
      </c>
      <c r="V635" s="32" t="n">
        <f aca="false">AVERAGE(D635:I635)</f>
        <v>0.000934934589098972</v>
      </c>
      <c r="W635" s="32" t="n">
        <f aca="false">AVERAGE(K635,Q635,R635)</f>
        <v>-0.00647630750895785</v>
      </c>
      <c r="X635" s="32" t="n">
        <f aca="false">AVERAGE(K635,L635,N635,O635,P635,Q635,R635,S635)</f>
        <v>-0.00657607560787225</v>
      </c>
      <c r="Y635" s="32" t="n">
        <f aca="false">AVERAGE(J635,L635,M635,N635,O635,P635,Q635,R635,S635)</f>
        <v>-0.00545241134526996</v>
      </c>
      <c r="Z635" s="32" t="n">
        <f aca="false">U635-V635</f>
        <v>-0.00659627397450468</v>
      </c>
      <c r="AA635" s="32" t="n">
        <f aca="false">W635-V635</f>
        <v>-0.00741124209805683</v>
      </c>
    </row>
    <row r="636" customFormat="false" ht="15" hidden="false" customHeight="false" outlineLevel="0" collapsed="false">
      <c r="A636" s="28" t="n">
        <f aca="false">Data_Prices!A636</f>
        <v>45733</v>
      </c>
      <c r="B636" s="32" t="n">
        <f aca="false">Data_Prices!B636/Data_Prices!B635-1</f>
        <v>0.00498053328094583</v>
      </c>
      <c r="C636" s="32" t="n">
        <f aca="false">Data_Prices!C636/Data_Prices!C635-1</f>
        <v>0.00556352705311491</v>
      </c>
      <c r="D636" s="32" t="n">
        <f aca="false">Data_Prices!D636/Data_Prices!D635-1</f>
        <v>0.0200005340596545</v>
      </c>
      <c r="E636" s="32" t="n">
        <f aca="false">Data_Prices!E636/Data_Prices!E635-1</f>
        <v>0.0394682176983798</v>
      </c>
      <c r="F636" s="32" t="n">
        <f aca="false">Data_Prices!F636/Data_Prices!F635-1</f>
        <v>0.00941638551790103</v>
      </c>
      <c r="G636" s="32" t="n">
        <f aca="false">Data_Prices!G636/Data_Prices!G635-1</f>
        <v>0.00989138867339023</v>
      </c>
      <c r="H636" s="32" t="n">
        <f aca="false">Data_Prices!H636/Data_Prices!H635-1</f>
        <v>-0.00292488642728239</v>
      </c>
      <c r="I636" s="32" t="n">
        <f aca="false">Data_Prices!I636/Data_Prices!I635-1</f>
        <v>0.0168674698795182</v>
      </c>
      <c r="J636" s="32" t="n">
        <f aca="false">Data_Prices!J636/Data_Prices!J635-1</f>
        <v>-0.0319153530554956</v>
      </c>
      <c r="K636" s="32" t="n">
        <f aca="false">Data_Prices!K636/Data_Prices!K635-1</f>
        <v>0.0189915566654775</v>
      </c>
      <c r="L636" s="32" t="n">
        <f aca="false">Data_Prices!L636/Data_Prices!L635-1</f>
        <v>0.00754481899356252</v>
      </c>
      <c r="M636" s="32" t="n">
        <f aca="false">Data_Prices!M636/Data_Prices!M635-1</f>
        <v>-0.0040075819117249</v>
      </c>
      <c r="N636" s="32" t="n">
        <f aca="false">Data_Prices!N636/Data_Prices!N635-1</f>
        <v>-0.0185155626496409</v>
      </c>
      <c r="O636" s="32" t="n">
        <f aca="false">Data_Prices!O636/Data_Prices!O635-1</f>
        <v>0.0143725815367606</v>
      </c>
      <c r="P636" s="32" t="n">
        <f aca="false">Data_Prices!P636/Data_Prices!P635-1</f>
        <v>0.04272998383682</v>
      </c>
      <c r="Q636" s="32" t="n">
        <f aca="false">Data_Prices!Q636/Data_Prices!Q635-1</f>
        <v>0.0295006220010661</v>
      </c>
      <c r="R636" s="32" t="n">
        <f aca="false">Data_Prices!R636/Data_Prices!R635-1</f>
        <v>0.015846237271796</v>
      </c>
      <c r="S636" s="32" t="n">
        <f aca="false">Data_Prices!S636/Data_Prices!S635-1</f>
        <v>0.00597207650714227</v>
      </c>
      <c r="T636" s="32" t="n">
        <f aca="false">AVERAGE(D636:S636)</f>
        <v>0.0108274055373328</v>
      </c>
      <c r="U636" s="32" t="n">
        <f aca="false">AVERAGE(J636:S636)</f>
        <v>0.00805193791957635</v>
      </c>
      <c r="V636" s="32" t="n">
        <f aca="false">AVERAGE(D636:I636)</f>
        <v>0.0154531849002602</v>
      </c>
      <c r="W636" s="32" t="n">
        <f aca="false">AVERAGE(K636,Q636,R636)</f>
        <v>0.0214461386461132</v>
      </c>
      <c r="X636" s="32" t="n">
        <f aca="false">AVERAGE(K636,L636,N636,O636,P636,Q636,R636,S636)</f>
        <v>0.014555289270373</v>
      </c>
      <c r="Y636" s="32" t="n">
        <f aca="false">AVERAGE(J636,L636,M636,N636,O636,P636,Q636,R636,S636)</f>
        <v>0.00683642472558733</v>
      </c>
      <c r="Z636" s="32" t="n">
        <f aca="false">U636-V636</f>
        <v>-0.00740124698068388</v>
      </c>
      <c r="AA636" s="32" t="n">
        <f aca="false">W636-V636</f>
        <v>0.00599295374585296</v>
      </c>
    </row>
    <row r="637" customFormat="false" ht="15" hidden="false" customHeight="false" outlineLevel="0" collapsed="false">
      <c r="A637" s="28" t="n">
        <f aca="false">Data_Prices!A637</f>
        <v>45734</v>
      </c>
      <c r="B637" s="32" t="n">
        <f aca="false">Data_Prices!B637/Data_Prices!B636-1</f>
        <v>0.0144632642861109</v>
      </c>
      <c r="C637" s="32" t="n">
        <f aca="false">Data_Prices!C637/Data_Prices!C636-1</f>
        <v>0.0181828935889159</v>
      </c>
      <c r="D637" s="32" t="n">
        <f aca="false">Data_Prices!D637/Data_Prices!D636-1</f>
        <v>-0.0234567254830097</v>
      </c>
      <c r="E637" s="32" t="n">
        <f aca="false">Data_Prices!E637/Data_Prices!E636-1</f>
        <v>0.0288569144684252</v>
      </c>
      <c r="F637" s="32" t="n">
        <f aca="false">Data_Prices!F637/Data_Prices!F636-1</f>
        <v>-0.00937842961189261</v>
      </c>
      <c r="G637" s="32" t="n">
        <f aca="false">Data_Prices!G637/Data_Prices!G636-1</f>
        <v>0.0366813904359515</v>
      </c>
      <c r="H637" s="32" t="n">
        <f aca="false">Data_Prices!H637/Data_Prices!H636-1</f>
        <v>0.0204718512045936</v>
      </c>
      <c r="I637" s="32" t="n">
        <f aca="false">Data_Prices!I637/Data_Prices!I636-1</f>
        <v>0.00552922590837279</v>
      </c>
      <c r="J637" s="32" t="n">
        <f aca="false">Data_Prices!J637/Data_Prices!J636-1</f>
        <v>0.0281495360456816</v>
      </c>
      <c r="K637" s="32" t="n">
        <f aca="false">Data_Prices!K637/Data_Prices!K636-1</f>
        <v>0.0119037893729503</v>
      </c>
      <c r="L637" s="32" t="n">
        <f aca="false">Data_Prices!L637/Data_Prices!L636-1</f>
        <v>0.0409796647430614</v>
      </c>
      <c r="M637" s="32" t="n">
        <f aca="false">Data_Prices!M637/Data_Prices!M636-1</f>
        <v>0.0164754499483444</v>
      </c>
      <c r="N637" s="32" t="n">
        <f aca="false">Data_Prices!N637/Data_Prices!N636-1</f>
        <v>0.0598471296145715</v>
      </c>
      <c r="O637" s="32" t="n">
        <f aca="false">Data_Prices!O637/Data_Prices!O636-1</f>
        <v>0.0247048138056314</v>
      </c>
      <c r="P637" s="32" t="n">
        <f aca="false">Data_Prices!P637/Data_Prices!P636-1</f>
        <v>0.0120950135359359</v>
      </c>
      <c r="Q637" s="32" t="n">
        <f aca="false">Data_Prices!Q637/Data_Prices!Q636-1</f>
        <v>0.0573105472121527</v>
      </c>
      <c r="R637" s="32" t="n">
        <f aca="false">Data_Prices!R637/Data_Prices!R636-1</f>
        <v>-0.00438908659549231</v>
      </c>
      <c r="S637" s="32" t="n">
        <f aca="false">Data_Prices!S637/Data_Prices!S636-1</f>
        <v>0.0305655836341756</v>
      </c>
      <c r="T637" s="32" t="n">
        <f aca="false">AVERAGE(D637:S637)</f>
        <v>0.0210216667649658</v>
      </c>
      <c r="U637" s="32" t="n">
        <f aca="false">AVERAGE(J637:S637)</f>
        <v>0.0277642441317012</v>
      </c>
      <c r="V637" s="32" t="n">
        <f aca="false">AVERAGE(D637:I637)</f>
        <v>0.0097840378204068</v>
      </c>
      <c r="W637" s="32" t="n">
        <f aca="false">AVERAGE(K637,Q637,R637)</f>
        <v>0.0216084166632036</v>
      </c>
      <c r="X637" s="32" t="n">
        <f aca="false">AVERAGE(K637,L637,N637,O637,P637,Q637,R637,S637)</f>
        <v>0.0291271819153733</v>
      </c>
      <c r="Y637" s="32" t="n">
        <f aca="false">AVERAGE(J637,L637,M637,N637,O637,P637,Q637,R637,S637)</f>
        <v>0.0295265168826736</v>
      </c>
      <c r="Z637" s="32" t="n">
        <f aca="false">U637-V637</f>
        <v>0.0179802063112944</v>
      </c>
      <c r="AA637" s="32" t="n">
        <f aca="false">W637-V637</f>
        <v>0.0118243788427968</v>
      </c>
    </row>
    <row r="638" customFormat="false" ht="15" hidden="false" customHeight="false" outlineLevel="0" collapsed="false">
      <c r="A638" s="28" t="n">
        <f aca="false">Data_Prices!A638</f>
        <v>45735</v>
      </c>
      <c r="B638" s="32" t="n">
        <f aca="false">Data_Prices!B638/Data_Prices!B637-1</f>
        <v>0.00321008307677473</v>
      </c>
      <c r="C638" s="32" t="n">
        <f aca="false">Data_Prices!C638/Data_Prices!C637-1</f>
        <v>0.0100352419495382</v>
      </c>
      <c r="D638" s="32" t="n">
        <f aca="false">Data_Prices!D638/Data_Prices!D637-1</f>
        <v>0.0283898986649509</v>
      </c>
      <c r="E638" s="32" t="n">
        <f aca="false">Data_Prices!E638/Data_Prices!E637-1</f>
        <v>0.0256390334861316</v>
      </c>
      <c r="F638" s="32" t="n">
        <f aca="false">Data_Prices!F638/Data_Prices!F637-1</f>
        <v>-0.00191358646389361</v>
      </c>
      <c r="G638" s="32" t="n">
        <f aca="false">Data_Prices!G638/Data_Prices!G637-1</f>
        <v>0.0185253797702853</v>
      </c>
      <c r="H638" s="32" t="n">
        <f aca="false">Data_Prices!H638/Data_Prices!H637-1</f>
        <v>0.02</v>
      </c>
      <c r="I638" s="32" t="n">
        <f aca="false">Data_Prices!I638/Data_Prices!I637-1</f>
        <v>0.0425765907305578</v>
      </c>
      <c r="J638" s="32" t="n">
        <f aca="false">Data_Prices!J638/Data_Prices!J637-1</f>
        <v>0.0262073154857465</v>
      </c>
      <c r="K638" s="32" t="n">
        <f aca="false">Data_Prices!K638/Data_Prices!K637-1</f>
        <v>0.00565121616478481</v>
      </c>
      <c r="L638" s="32" t="n">
        <f aca="false">Data_Prices!L638/Data_Prices!L637-1</f>
        <v>-0.00131991420557664</v>
      </c>
      <c r="M638" s="32" t="n">
        <f aca="false">Data_Prices!M638/Data_Prices!M637-1</f>
        <v>0.00973574408901246</v>
      </c>
      <c r="N638" s="32" t="n">
        <f aca="false">Data_Prices!N638/Data_Prices!N637-1</f>
        <v>0.0144238146386373</v>
      </c>
      <c r="O638" s="32" t="n">
        <f aca="false">Data_Prices!O638/Data_Prices!O637-1</f>
        <v>0.0180819003722743</v>
      </c>
      <c r="P638" s="32" t="n">
        <f aca="false">Data_Prices!P638/Data_Prices!P637-1</f>
        <v>0.0425169334311228</v>
      </c>
      <c r="Q638" s="32" t="n">
        <f aca="false">Data_Prices!Q638/Data_Prices!Q637-1</f>
        <v>0.0566530612244898</v>
      </c>
      <c r="R638" s="32" t="n">
        <f aca="false">Data_Prices!R638/Data_Prices!R637-1</f>
        <v>0.00857857738591683</v>
      </c>
      <c r="S638" s="32" t="n">
        <f aca="false">Data_Prices!S638/Data_Prices!S637-1</f>
        <v>0.0399346099953295</v>
      </c>
      <c r="T638" s="32" t="n">
        <f aca="false">AVERAGE(D638:S638)</f>
        <v>0.0221050359231106</v>
      </c>
      <c r="U638" s="32" t="n">
        <f aca="false">AVERAGE(J638:S638)</f>
        <v>0.0220463258581738</v>
      </c>
      <c r="V638" s="32" t="n">
        <f aca="false">AVERAGE(D638:I638)</f>
        <v>0.0222028860313387</v>
      </c>
      <c r="W638" s="32" t="n">
        <f aca="false">AVERAGE(K638,Q638,R638)</f>
        <v>0.0236276182583971</v>
      </c>
      <c r="X638" s="32" t="n">
        <f aca="false">AVERAGE(K638,L638,N638,O638,P638,Q638,R638,S638)</f>
        <v>0.0230650248758723</v>
      </c>
      <c r="Y638" s="32" t="n">
        <f aca="false">AVERAGE(J638,L638,M638,N638,O638,P638,Q638,R638,S638)</f>
        <v>0.0238680047129948</v>
      </c>
      <c r="Z638" s="32" t="n">
        <f aca="false">U638-V638</f>
        <v>-0.000156560173164903</v>
      </c>
      <c r="AA638" s="32" t="n">
        <f aca="false">W638-V638</f>
        <v>0.00142473222705847</v>
      </c>
    </row>
    <row r="639" customFormat="false" ht="15" hidden="false" customHeight="false" outlineLevel="0" collapsed="false">
      <c r="A639" s="28" t="n">
        <f aca="false">Data_Prices!A639</f>
        <v>45736</v>
      </c>
      <c r="B639" s="32" t="n">
        <f aca="false">Data_Prices!B639/Data_Prices!B638-1</f>
        <v>0.0123561612739878</v>
      </c>
      <c r="C639" s="32" t="n">
        <f aca="false">Data_Prices!C639/Data_Prices!C638-1</f>
        <v>0.00985166191377696</v>
      </c>
      <c r="D639" s="32" t="n">
        <f aca="false">Data_Prices!D639/Data_Prices!D638-1</f>
        <v>0.0322984280910299</v>
      </c>
      <c r="E639" s="32" t="n">
        <f aca="false">Data_Prices!E639/Data_Prices!E638-1</f>
        <v>0.0249223543670936</v>
      </c>
      <c r="F639" s="32" t="n">
        <f aca="false">Data_Prices!F639/Data_Prices!F638-1</f>
        <v>0.0197780020181635</v>
      </c>
      <c r="G639" s="32" t="n">
        <f aca="false">Data_Prices!G639/Data_Prices!G638-1</f>
        <v>0.0109130592942888</v>
      </c>
      <c r="H639" s="32" t="n">
        <f aca="false">Data_Prices!H639/Data_Prices!H638-1</f>
        <v>-0.00935420039575474</v>
      </c>
      <c r="I639" s="32" t="n">
        <f aca="false">Data_Prices!I639/Data_Prices!I638-1</f>
        <v>0.0108499095840866</v>
      </c>
      <c r="J639" s="32" t="n">
        <f aca="false">Data_Prices!J639/Data_Prices!J638-1</f>
        <v>0.0581370766563782</v>
      </c>
      <c r="K639" s="32" t="n">
        <f aca="false">Data_Prices!K639/Data_Prices!K638-1</f>
        <v>-0.00594057134993187</v>
      </c>
      <c r="L639" s="32" t="n">
        <f aca="false">Data_Prices!L639/Data_Prices!L638-1</f>
        <v>-0.0132496282834957</v>
      </c>
      <c r="M639" s="32" t="n">
        <f aca="false">Data_Prices!M639/Data_Prices!M638-1</f>
        <v>0.0294024157660522</v>
      </c>
      <c r="N639" s="32" t="n">
        <f aca="false">Data_Prices!N639/Data_Prices!N638-1</f>
        <v>-0.0114959915292694</v>
      </c>
      <c r="O639" s="32" t="n">
        <f aca="false">Data_Prices!O639/Data_Prices!O638-1</f>
        <v>0.00174125021765637</v>
      </c>
      <c r="P639" s="32" t="n">
        <f aca="false">Data_Prices!P639/Data_Prices!P638-1</f>
        <v>-0.0172567195679612</v>
      </c>
      <c r="Q639" s="32" t="n">
        <f aca="false">Data_Prices!Q639/Data_Prices!Q638-1</f>
        <v>-0.0166872682323858</v>
      </c>
      <c r="R639" s="32" t="n">
        <f aca="false">Data_Prices!R639/Data_Prices!R638-1</f>
        <v>0.0122268163024217</v>
      </c>
      <c r="S639" s="32" t="n">
        <f aca="false">Data_Prices!S639/Data_Prices!S638-1</f>
        <v>-7.48559023879825E-005</v>
      </c>
      <c r="T639" s="32" t="n">
        <f aca="false">AVERAGE(D639:S639)</f>
        <v>0.00788812981474901</v>
      </c>
      <c r="U639" s="32" t="n">
        <f aca="false">AVERAGE(J639:S639)</f>
        <v>0.00368025240770766</v>
      </c>
      <c r="V639" s="32" t="n">
        <f aca="false">AVERAGE(D639:I639)</f>
        <v>0.0149012588264846</v>
      </c>
      <c r="W639" s="32" t="n">
        <f aca="false">AVERAGE(K639,Q639,R639)</f>
        <v>-0.0034670077599653</v>
      </c>
      <c r="X639" s="32" t="n">
        <f aca="false">AVERAGE(K639,L639,N639,O639,P639,Q639,R639,S639)</f>
        <v>-0.00634212104316922</v>
      </c>
      <c r="Y639" s="32" t="n">
        <f aca="false">AVERAGE(J639,L639,M639,N639,O639,P639,Q639,R639,S639)</f>
        <v>0.00474923282522317</v>
      </c>
      <c r="Z639" s="32" t="n">
        <f aca="false">U639-V639</f>
        <v>-0.0112210064187769</v>
      </c>
      <c r="AA639" s="32" t="n">
        <f aca="false">W639-V639</f>
        <v>-0.0183682665864499</v>
      </c>
    </row>
    <row r="640" customFormat="false" ht="15" hidden="false" customHeight="false" outlineLevel="0" collapsed="false">
      <c r="A640" s="28" t="n">
        <f aca="false">Data_Prices!A640</f>
        <v>45737</v>
      </c>
      <c r="B640" s="32" t="n">
        <f aca="false">Data_Prices!B640/Data_Prices!B639-1</f>
        <v>0.00688855206732031</v>
      </c>
      <c r="C640" s="32" t="n">
        <f aca="false">Data_Prices!C640/Data_Prices!C639-1</f>
        <v>0.00967487025422353</v>
      </c>
      <c r="D640" s="32" t="n">
        <f aca="false">Data_Prices!D640/Data_Prices!D639-1</f>
        <v>0.000530303030302992</v>
      </c>
      <c r="E640" s="32" t="n">
        <f aca="false">Data_Prices!E640/Data_Prices!E639-1</f>
        <v>-0.00125646711012573</v>
      </c>
      <c r="F640" s="32" t="n">
        <f aca="false">Data_Prices!F640/Data_Prices!F639-1</f>
        <v>0.0915792598456364</v>
      </c>
      <c r="G640" s="32" t="n">
        <f aca="false">Data_Prices!G640/Data_Prices!G639-1</f>
        <v>0.0286074127383953</v>
      </c>
      <c r="H640" s="32" t="n">
        <f aca="false">Data_Prices!H640/Data_Prices!H639-1</f>
        <v>0.0420676714484596</v>
      </c>
      <c r="I640" s="32" t="n">
        <f aca="false">Data_Prices!I640/Data_Prices!I639-1</f>
        <v>0.0302623732856293</v>
      </c>
      <c r="J640" s="32" t="n">
        <f aca="false">Data_Prices!J640/Data_Prices!J639-1</f>
        <v>0.145208982658036</v>
      </c>
      <c r="K640" s="32" t="n">
        <f aca="false">Data_Prices!K640/Data_Prices!K639-1</f>
        <v>0.0272384314539853</v>
      </c>
      <c r="L640" s="32" t="n">
        <f aca="false">Data_Prices!L640/Data_Prices!L639-1</f>
        <v>0.0303375301366193</v>
      </c>
      <c r="M640" s="32" t="n">
        <f aca="false">Data_Prices!M640/Data_Prices!M639-1</f>
        <v>0.0390612938088621</v>
      </c>
      <c r="N640" s="32" t="n">
        <f aca="false">Data_Prices!N640/Data_Prices!N639-1</f>
        <v>0.0405508798775822</v>
      </c>
      <c r="O640" s="32" t="n">
        <f aca="false">Data_Prices!O640/Data_Prices!O639-1</f>
        <v>0.0128628541630456</v>
      </c>
      <c r="P640" s="32" t="n">
        <f aca="false">Data_Prices!P640/Data_Prices!P639-1</f>
        <v>-0.00764290977997684</v>
      </c>
      <c r="Q640" s="32" t="n">
        <f aca="false">Data_Prices!Q640/Data_Prices!Q639-1</f>
        <v>0.0521684475172848</v>
      </c>
      <c r="R640" s="32" t="n">
        <f aca="false">Data_Prices!R640/Data_Prices!R639-1</f>
        <v>0.000758592519110701</v>
      </c>
      <c r="S640" s="32" t="n">
        <f aca="false">Data_Prices!S640/Data_Prices!S639-1</f>
        <v>0.0133253481060038</v>
      </c>
      <c r="T640" s="32" t="n">
        <f aca="false">AVERAGE(D640:S640)</f>
        <v>0.0341037502311782</v>
      </c>
      <c r="U640" s="32" t="n">
        <f aca="false">AVERAGE(J640:S640)</f>
        <v>0.0353869450460553</v>
      </c>
      <c r="V640" s="32" t="n">
        <f aca="false">AVERAGE(D640:I640)</f>
        <v>0.031965092206383</v>
      </c>
      <c r="W640" s="32" t="n">
        <f aca="false">AVERAGE(K640,Q640,R640)</f>
        <v>0.0267218238301269</v>
      </c>
      <c r="X640" s="32" t="n">
        <f aca="false">AVERAGE(K640,L640,N640,O640,P640,Q640,R640,S640)</f>
        <v>0.0211998967492069</v>
      </c>
      <c r="Y640" s="32" t="n">
        <f aca="false">AVERAGE(J640,L640,M640,N640,O640,P640,Q640,R640,S640)</f>
        <v>0.0362923354451742</v>
      </c>
      <c r="Z640" s="32" t="n">
        <f aca="false">U640-V640</f>
        <v>0.00342185283967229</v>
      </c>
      <c r="AA640" s="32" t="n">
        <f aca="false">W640-V640</f>
        <v>-0.00524326837625605</v>
      </c>
    </row>
    <row r="641" customFormat="false" ht="15" hidden="false" customHeight="false" outlineLevel="0" collapsed="false">
      <c r="A641" s="28" t="n">
        <f aca="false">Data_Prices!A641</f>
        <v>45740</v>
      </c>
      <c r="B641" s="32" t="n">
        <f aca="false">Data_Prices!B641/Data_Prices!B640-1</f>
        <v>0.0131882109085923</v>
      </c>
      <c r="C641" s="32" t="n">
        <f aca="false">Data_Prices!C641/Data_Prices!C640-1</f>
        <v>0.0124189734839404</v>
      </c>
      <c r="D641" s="32" t="n">
        <f aca="false">Data_Prices!D641/Data_Prices!D640-1</f>
        <v>0.0122409833169279</v>
      </c>
      <c r="E641" s="32" t="n">
        <f aca="false">Data_Prices!E641/Data_Prices!E640-1</f>
        <v>0.014282542736624</v>
      </c>
      <c r="F641" s="32" t="n">
        <f aca="false">Data_Prices!F641/Data_Prices!F640-1</f>
        <v>-0.0150931423650457</v>
      </c>
      <c r="G641" s="32" t="n">
        <f aca="false">Data_Prices!G641/Data_Prices!G640-1</f>
        <v>0.0115445163547314</v>
      </c>
      <c r="H641" s="32" t="n">
        <f aca="false">Data_Prices!H641/Data_Prices!H640-1</f>
        <v>0.014114776951673</v>
      </c>
      <c r="I641" s="32" t="n">
        <f aca="false">Data_Prices!I641/Data_Prices!I640-1</f>
        <v>0.0253219505136739</v>
      </c>
      <c r="J641" s="32" t="n">
        <f aca="false">Data_Prices!J641/Data_Prices!J640-1</f>
        <v>-0.022923935799023</v>
      </c>
      <c r="K641" s="32" t="n">
        <f aca="false">Data_Prices!K641/Data_Prices!K640-1</f>
        <v>0.0195080862533692</v>
      </c>
      <c r="L641" s="32" t="n">
        <f aca="false">Data_Prices!L641/Data_Prices!L640-1</f>
        <v>-0.00597985050373739</v>
      </c>
      <c r="M641" s="32" t="n">
        <f aca="false">Data_Prices!M641/Data_Prices!M640-1</f>
        <v>-0.013521545319465</v>
      </c>
      <c r="N641" s="32" t="n">
        <f aca="false">Data_Prices!N641/Data_Prices!N640-1</f>
        <v>-0.00882352941176468</v>
      </c>
      <c r="O641" s="32" t="n">
        <f aca="false">Data_Prices!O641/Data_Prices!O640-1</f>
        <v>0.00600652136605451</v>
      </c>
      <c r="P641" s="32" t="n">
        <f aca="false">Data_Prices!P641/Data_Prices!P640-1</f>
        <v>-0.00171857761181349</v>
      </c>
      <c r="Q641" s="32" t="n">
        <f aca="false">Data_Prices!Q641/Data_Prices!Q640-1</f>
        <v>0.0373357228195939</v>
      </c>
      <c r="R641" s="32" t="n">
        <f aca="false">Data_Prices!R641/Data_Prices!R640-1</f>
        <v>-0.00349854227405244</v>
      </c>
      <c r="S641" s="32" t="n">
        <f aca="false">Data_Prices!S641/Data_Prices!S640-1</f>
        <v>0.00768321513002368</v>
      </c>
      <c r="T641" s="32" t="n">
        <f aca="false">AVERAGE(D641:S641)</f>
        <v>0.00477994950986061</v>
      </c>
      <c r="U641" s="32" t="n">
        <f aca="false">AVERAGE(J641:S641)</f>
        <v>0.00140675646491852</v>
      </c>
      <c r="V641" s="32" t="n">
        <f aca="false">AVERAGE(D641:I641)</f>
        <v>0.0104019379180974</v>
      </c>
      <c r="W641" s="32" t="n">
        <f aca="false">AVERAGE(K641,Q641,R641)</f>
        <v>0.0177817555996369</v>
      </c>
      <c r="X641" s="32" t="n">
        <f aca="false">AVERAGE(K641,L641,N641,O641,P641,Q641,R641,S641)</f>
        <v>0.00631413072095916</v>
      </c>
      <c r="Y641" s="32" t="n">
        <f aca="false">AVERAGE(J641,L641,M641,N641,O641,P641,Q641,R641,S641)</f>
        <v>-0.000604502400464884</v>
      </c>
      <c r="Z641" s="32" t="n">
        <f aca="false">U641-V641</f>
        <v>-0.0089951814531789</v>
      </c>
      <c r="AA641" s="32" t="n">
        <f aca="false">W641-V641</f>
        <v>0.00737981768153945</v>
      </c>
    </row>
    <row r="642" customFormat="false" ht="15" hidden="false" customHeight="false" outlineLevel="0" collapsed="false">
      <c r="A642" s="28" t="n">
        <f aca="false">Data_Prices!A642</f>
        <v>45741</v>
      </c>
      <c r="B642" s="32" t="n">
        <f aca="false">Data_Prices!B642/Data_Prices!B641-1</f>
        <v>0.000435364258285276</v>
      </c>
      <c r="C642" s="32" t="n">
        <f aca="false">Data_Prices!C642/Data_Prices!C641-1</f>
        <v>-0.00465918535061116</v>
      </c>
      <c r="D642" s="32" t="n">
        <f aca="false">Data_Prices!D642/Data_Prices!D641-1</f>
        <v>-0.0240612377200419</v>
      </c>
      <c r="E642" s="32" t="n">
        <f aca="false">Data_Prices!E642/Data_Prices!E641-1</f>
        <v>-0.00758791770027711</v>
      </c>
      <c r="F642" s="32" t="n">
        <f aca="false">Data_Prices!F642/Data_Prices!F641-1</f>
        <v>-0.0540266912103083</v>
      </c>
      <c r="G642" s="32" t="n">
        <f aca="false">Data_Prices!G642/Data_Prices!G641-1</f>
        <v>-0.0133148884661939</v>
      </c>
      <c r="H642" s="32" t="n">
        <f aca="false">Data_Prices!H642/Data_Prices!H641-1</f>
        <v>-0.00263474425797594</v>
      </c>
      <c r="I642" s="32" t="n">
        <f aca="false">Data_Prices!I642/Data_Prices!I641-1</f>
        <v>-0.0399379057296078</v>
      </c>
      <c r="J642" s="32" t="n">
        <f aca="false">Data_Prices!J642/Data_Prices!J641-1</f>
        <v>-0.0259615041245582</v>
      </c>
      <c r="K642" s="32" t="n">
        <f aca="false">Data_Prices!K642/Data_Prices!K641-1</f>
        <v>-0.00251164942661686</v>
      </c>
      <c r="L642" s="32" t="n">
        <f aca="false">Data_Prices!L642/Data_Prices!L641-1</f>
        <v>-0.000163473484600774</v>
      </c>
      <c r="M642" s="32" t="n">
        <f aca="false">Data_Prices!M642/Data_Prices!M641-1</f>
        <v>-0.0290204348044384</v>
      </c>
      <c r="N642" s="32" t="n">
        <f aca="false">Data_Prices!N642/Data_Prices!N641-1</f>
        <v>-0.0259643916913946</v>
      </c>
      <c r="O642" s="32" t="n">
        <f aca="false">Data_Prices!O642/Data_Prices!O641-1</f>
        <v>-0.0133060388945754</v>
      </c>
      <c r="P642" s="32" t="n">
        <f aca="false">Data_Prices!P642/Data_Prices!P641-1</f>
        <v>-0.00301800174278988</v>
      </c>
      <c r="Q642" s="32" t="n">
        <f aca="false">Data_Prices!Q642/Data_Prices!Q641-1</f>
        <v>-0.00215951626835587</v>
      </c>
      <c r="R642" s="32" t="n">
        <f aca="false">Data_Prices!R642/Data_Prices!R641-1</f>
        <v>0.00550029256875373</v>
      </c>
      <c r="S642" s="32" t="n">
        <f aca="false">Data_Prices!S642/Data_Prices!S641-1</f>
        <v>-0.00535190615835779</v>
      </c>
      <c r="T642" s="32" t="n">
        <f aca="false">AVERAGE(D642:S642)</f>
        <v>-0.0152200005694587</v>
      </c>
      <c r="U642" s="32" t="n">
        <f aca="false">AVERAGE(J642:S642)</f>
        <v>-0.0101956624026934</v>
      </c>
      <c r="V642" s="32" t="n">
        <f aca="false">AVERAGE(D642:I642)</f>
        <v>-0.0235938975140675</v>
      </c>
      <c r="W642" s="32" t="n">
        <f aca="false">AVERAGE(K642,Q642,R642)</f>
        <v>0.000276375624593668</v>
      </c>
      <c r="X642" s="32" t="n">
        <f aca="false">AVERAGE(K642,L642,N642,O642,P642,Q642,R642,S642)</f>
        <v>-0.00587183563724218</v>
      </c>
      <c r="Y642" s="32" t="n">
        <f aca="false">AVERAGE(J642,L642,M642,N642,O642,P642,Q642,R642,S642)</f>
        <v>-0.0110494416222575</v>
      </c>
      <c r="Z642" s="32" t="n">
        <f aca="false">U642-V642</f>
        <v>0.0133982351113741</v>
      </c>
      <c r="AA642" s="32" t="n">
        <f aca="false">W642-V642</f>
        <v>0.0238702731386612</v>
      </c>
    </row>
    <row r="643" customFormat="false" ht="15" hidden="false" customHeight="false" outlineLevel="0" collapsed="false">
      <c r="A643" s="28" t="n">
        <f aca="false">Data_Prices!A643</f>
        <v>45742</v>
      </c>
      <c r="B643" s="32" t="n">
        <f aca="false">Data_Prices!B643/Data_Prices!B642-1</f>
        <v>-0.0076810464475161</v>
      </c>
      <c r="C643" s="32" t="n">
        <f aca="false">Data_Prices!C643/Data_Prices!C642-1</f>
        <v>-0.00757075719233591</v>
      </c>
      <c r="D643" s="32" t="n">
        <f aca="false">Data_Prices!D643/Data_Prices!D642-1</f>
        <v>0.0288955315398176</v>
      </c>
      <c r="E643" s="32" t="n">
        <f aca="false">Data_Prices!E643/Data_Prices!E642-1</f>
        <v>-0.0138950154389061</v>
      </c>
      <c r="F643" s="32" t="n">
        <f aca="false">Data_Prices!F643/Data_Prices!F642-1</f>
        <v>-0.0107997664915352</v>
      </c>
      <c r="G643" s="32" t="n">
        <f aca="false">Data_Prices!G643/Data_Prices!G642-1</f>
        <v>-0.0165615141955837</v>
      </c>
      <c r="H643" s="32" t="n">
        <f aca="false">Data_Prices!H643/Data_Prices!H642-1</f>
        <v>-0.0214782059380921</v>
      </c>
      <c r="I643" s="32" t="n">
        <f aca="false">Data_Prices!I643/Data_Prices!I642-1</f>
        <v>-0.0148463912979566</v>
      </c>
      <c r="J643" s="32" t="n">
        <f aca="false">Data_Prices!J643/Data_Prices!J642-1</f>
        <v>-0.0270934154568119</v>
      </c>
      <c r="K643" s="32" t="n">
        <f aca="false">Data_Prices!K643/Data_Prices!K642-1</f>
        <v>-0.0221868822405549</v>
      </c>
      <c r="L643" s="32" t="n">
        <f aca="false">Data_Prices!L643/Data_Prices!L642-1</f>
        <v>-0.00444720578136748</v>
      </c>
      <c r="M643" s="32" t="n">
        <f aca="false">Data_Prices!M643/Data_Prices!M642-1</f>
        <v>-0.0469517555199339</v>
      </c>
      <c r="N643" s="32" t="n">
        <f aca="false">Data_Prices!N643/Data_Prices!N642-1</f>
        <v>0.000456968773800304</v>
      </c>
      <c r="O643" s="32" t="n">
        <f aca="false">Data_Prices!O643/Data_Prices!O642-1</f>
        <v>-0.0069156293222683</v>
      </c>
      <c r="P643" s="32" t="n">
        <f aca="false">Data_Prices!P643/Data_Prices!P642-1</f>
        <v>-0.0136008015519409</v>
      </c>
      <c r="Q643" s="32" t="n">
        <f aca="false">Data_Prices!Q643/Data_Prices!Q642-1</f>
        <v>-0.0124080219304574</v>
      </c>
      <c r="R643" s="32" t="n">
        <f aca="false">Data_Prices!R643/Data_Prices!R642-1</f>
        <v>0.0109404096834265</v>
      </c>
      <c r="S643" s="32" t="n">
        <f aca="false">Data_Prices!S643/Data_Prices!S642-1</f>
        <v>-0.0093609493624236</v>
      </c>
      <c r="T643" s="32" t="n">
        <f aca="false">AVERAGE(D643:S643)</f>
        <v>-0.0112657902831742</v>
      </c>
      <c r="U643" s="32" t="n">
        <f aca="false">AVERAGE(J643:S643)</f>
        <v>-0.0131567282708532</v>
      </c>
      <c r="V643" s="32" t="n">
        <f aca="false">AVERAGE(D643:I643)</f>
        <v>-0.00811422697037604</v>
      </c>
      <c r="W643" s="32" t="n">
        <f aca="false">AVERAGE(K643,Q643,R643)</f>
        <v>-0.00788483149586194</v>
      </c>
      <c r="X643" s="32" t="n">
        <f aca="false">AVERAGE(K643,L643,N643,O643,P643,Q643,R643,S643)</f>
        <v>-0.00719026396647322</v>
      </c>
      <c r="Y643" s="32" t="n">
        <f aca="false">AVERAGE(J643,L643,M643,N643,O643,P643,Q643,R643,S643)</f>
        <v>-0.0121533778297752</v>
      </c>
      <c r="Z643" s="32" t="n">
        <f aca="false">U643-V643</f>
        <v>-0.00504250130047712</v>
      </c>
      <c r="AA643" s="32" t="n">
        <f aca="false">W643-V643</f>
        <v>0.000229395474514097</v>
      </c>
    </row>
    <row r="644" customFormat="false" ht="15" hidden="false" customHeight="false" outlineLevel="0" collapsed="false">
      <c r="A644" s="28" t="n">
        <f aca="false">Data_Prices!A644</f>
        <v>45743</v>
      </c>
      <c r="B644" s="32" t="n">
        <f aca="false">Data_Prices!B644/Data_Prices!B643-1</f>
        <v>0.00447484443422597</v>
      </c>
      <c r="C644" s="32" t="n">
        <f aca="false">Data_Prices!C644/Data_Prices!C643-1</f>
        <v>0.00622783536893468</v>
      </c>
      <c r="D644" s="32" t="n">
        <f aca="false">Data_Prices!D644/Data_Prices!D643-1</f>
        <v>0.0365514501390545</v>
      </c>
      <c r="E644" s="32" t="n">
        <f aca="false">Data_Prices!E644/Data_Prices!E643-1</f>
        <v>-0.00559159024826661</v>
      </c>
      <c r="F644" s="32" t="n">
        <f aca="false">Data_Prices!F644/Data_Prices!F643-1</f>
        <v>0.0322120586210288</v>
      </c>
      <c r="G644" s="32" t="n">
        <f aca="false">Data_Prices!G644/Data_Prices!G643-1</f>
        <v>0.0148801568208143</v>
      </c>
      <c r="H644" s="32" t="n">
        <f aca="false">Data_Prices!H644/Data_Prices!H643-1</f>
        <v>0.022360467163566</v>
      </c>
      <c r="I644" s="32" t="n">
        <f aca="false">Data_Prices!I644/Data_Prices!I643-1</f>
        <v>0.00134288272157557</v>
      </c>
      <c r="J644" s="32" t="n">
        <f aca="false">Data_Prices!J644/Data_Prices!J643-1</f>
        <v>-0.0413008252628405</v>
      </c>
      <c r="K644" s="32" t="n">
        <f aca="false">Data_Prices!K644/Data_Prices!K643-1</f>
        <v>0.0155409984187938</v>
      </c>
      <c r="L644" s="32" t="n">
        <f aca="false">Data_Prices!L644/Data_Prices!L643-1</f>
        <v>0.00620791591394321</v>
      </c>
      <c r="M644" s="32" t="n">
        <f aca="false">Data_Prices!M644/Data_Prices!M643-1</f>
        <v>0.0695567250827411</v>
      </c>
      <c r="N644" s="32" t="n">
        <f aca="false">Data_Prices!N644/Data_Prices!N643-1</f>
        <v>0.0258830694275274</v>
      </c>
      <c r="O644" s="32" t="n">
        <f aca="false">Data_Prices!O644/Data_Prices!O643-1</f>
        <v>0.0100974930362119</v>
      </c>
      <c r="P644" s="32" t="n">
        <f aca="false">Data_Prices!P644/Data_Prices!P643-1</f>
        <v>0.0105249508331351</v>
      </c>
      <c r="Q644" s="32" t="n">
        <f aca="false">Data_Prices!Q644/Data_Prices!Q643-1</f>
        <v>-0.0106647187728268</v>
      </c>
      <c r="R644" s="32" t="n">
        <f aca="false">Data_Prices!R644/Data_Prices!R643-1</f>
        <v>0.00218742804513017</v>
      </c>
      <c r="S644" s="32" t="n">
        <f aca="false">Data_Prices!S644/Data_Prices!S643-1</f>
        <v>0.00967261904761907</v>
      </c>
      <c r="T644" s="32" t="n">
        <f aca="false">AVERAGE(D644:S644)</f>
        <v>0.0124663175617004</v>
      </c>
      <c r="U644" s="32" t="n">
        <f aca="false">AVERAGE(J644:S644)</f>
        <v>0.00977056557694344</v>
      </c>
      <c r="V644" s="32" t="n">
        <f aca="false">AVERAGE(D644:I644)</f>
        <v>0.0169592375362954</v>
      </c>
      <c r="W644" s="32" t="n">
        <f aca="false">AVERAGE(K644,Q644,R644)</f>
        <v>0.0023545692303657</v>
      </c>
      <c r="X644" s="32" t="n">
        <f aca="false">AVERAGE(K644,L644,N644,O644,P644,Q644,R644,S644)</f>
        <v>0.00868121949369172</v>
      </c>
      <c r="Y644" s="32" t="n">
        <f aca="false">AVERAGE(J644,L644,M644,N644,O644,P644,Q644,R644,S644)</f>
        <v>0.0091294063722934</v>
      </c>
      <c r="Z644" s="32" t="n">
        <f aca="false">U644-V644</f>
        <v>-0.00718867195935199</v>
      </c>
      <c r="AA644" s="32" t="n">
        <f aca="false">W644-V644</f>
        <v>-0.0146046683059297</v>
      </c>
    </row>
    <row r="645" customFormat="false" ht="15" hidden="false" customHeight="false" outlineLevel="0" collapsed="false">
      <c r="A645" s="28" t="n">
        <f aca="false">Data_Prices!A645</f>
        <v>45744</v>
      </c>
      <c r="B645" s="32" t="n">
        <f aca="false">Data_Prices!B645/Data_Prices!B644-1</f>
        <v>-0.00307732086580392</v>
      </c>
      <c r="C645" s="32" t="n">
        <f aca="false">Data_Prices!C645/Data_Prices!C644-1</f>
        <v>-0.00319507472691227</v>
      </c>
      <c r="D645" s="32" t="n">
        <f aca="false">Data_Prices!D645/Data_Prices!D644-1</f>
        <v>-0.00150919892679169</v>
      </c>
      <c r="E645" s="32" t="n">
        <f aca="false">Data_Prices!E645/Data_Prices!E644-1</f>
        <v>0.00382366171839865</v>
      </c>
      <c r="F645" s="32" t="n">
        <f aca="false">Data_Prices!F645/Data_Prices!F644-1</f>
        <v>-0.0336366668254801</v>
      </c>
      <c r="G645" s="32" t="n">
        <f aca="false">Data_Prices!G645/Data_Prices!G644-1</f>
        <v>-0.00992098331870062</v>
      </c>
      <c r="H645" s="32" t="n">
        <f aca="false">Data_Prices!H645/Data_Prices!H644-1</f>
        <v>0.0120551090700345</v>
      </c>
      <c r="I645" s="32" t="n">
        <f aca="false">Data_Prices!I645/Data_Prices!I644-1</f>
        <v>-0.00134108180599013</v>
      </c>
      <c r="J645" s="32" t="n">
        <f aca="false">Data_Prices!J645/Data_Prices!J644-1</f>
        <v>0.0136394009669432</v>
      </c>
      <c r="K645" s="32" t="n">
        <f aca="false">Data_Prices!K645/Data_Prices!K644-1</f>
        <v>-0.00647270786066989</v>
      </c>
      <c r="L645" s="32" t="n">
        <f aca="false">Data_Prices!L645/Data_Prices!L644-1</f>
        <v>-0.00767121498988055</v>
      </c>
      <c r="M645" s="32" t="n">
        <f aca="false">Data_Prices!M645/Data_Prices!M644-1</f>
        <v>-0.0341906356211636</v>
      </c>
      <c r="N645" s="32" t="n">
        <f aca="false">Data_Prices!N645/Data_Prices!N644-1</f>
        <v>-0.0274562184624517</v>
      </c>
      <c r="O645" s="32" t="n">
        <f aca="false">Data_Prices!O645/Data_Prices!O644-1</f>
        <v>-0.0244743192002759</v>
      </c>
      <c r="P645" s="32" t="n">
        <f aca="false">Data_Prices!P645/Data_Prices!P644-1</f>
        <v>0.0192480431156166</v>
      </c>
      <c r="Q645" s="32" t="n">
        <f aca="false">Data_Prices!Q645/Data_Prices!Q644-1</f>
        <v>0.0349970466627287</v>
      </c>
      <c r="R645" s="32" t="n">
        <f aca="false">Data_Prices!R645/Data_Prices!R644-1</f>
        <v>0.0121769098219415</v>
      </c>
      <c r="S645" s="32" t="n">
        <f aca="false">Data_Prices!S645/Data_Prices!S644-1</f>
        <v>-0.0331613854089904</v>
      </c>
      <c r="T645" s="32" t="n">
        <f aca="false">AVERAGE(D645:S645)</f>
        <v>-0.00524339006654571</v>
      </c>
      <c r="U645" s="32" t="n">
        <f aca="false">AVERAGE(J645:S645)</f>
        <v>-0.00533650809762021</v>
      </c>
      <c r="V645" s="32" t="n">
        <f aca="false">AVERAGE(D645:I645)</f>
        <v>-0.00508819334808823</v>
      </c>
      <c r="W645" s="32" t="n">
        <f aca="false">AVERAGE(K645,Q645,R645)</f>
        <v>0.0135670828746668</v>
      </c>
      <c r="X645" s="32" t="n">
        <f aca="false">AVERAGE(K645,L645,N645,O645,P645,Q645,R645,S645)</f>
        <v>-0.0041017307902477</v>
      </c>
      <c r="Y645" s="32" t="n">
        <f aca="false">AVERAGE(J645,L645,M645,N645,O645,P645,Q645,R645,S645)</f>
        <v>-0.00521026367950358</v>
      </c>
      <c r="Z645" s="32" t="n">
        <f aca="false">U645-V645</f>
        <v>-0.000248314749531982</v>
      </c>
      <c r="AA645" s="32" t="n">
        <f aca="false">W645-V645</f>
        <v>0.018655276222755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3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7" min="6" style="0" width="10"/>
    <col collapsed="false" customWidth="true" hidden="false" outlineLevel="0" max="8" min="8" style="0" width="22"/>
    <col collapsed="false" customWidth="true" hidden="false" outlineLevel="0" max="9" min="9" style="0" width="60"/>
  </cols>
  <sheetData>
    <row r="1" customFormat="false" ht="15" hidden="false" customHeight="false" outlineLevel="0" collapsed="false">
      <c r="A1" s="1" t="s">
        <v>409</v>
      </c>
    </row>
    <row r="2" customFormat="false" ht="15" hidden="false" customHeight="false" outlineLevel="0" collapsed="false">
      <c r="A2" s="2" t="s">
        <v>410</v>
      </c>
    </row>
    <row r="4" customFormat="false" ht="30" hidden="false" customHeight="true" outlineLevel="0" collapsed="false">
      <c r="A4" s="3" t="s">
        <v>211</v>
      </c>
      <c r="B4" s="3" t="s">
        <v>213</v>
      </c>
      <c r="C4" s="3" t="s">
        <v>411</v>
      </c>
      <c r="D4" s="3" t="s">
        <v>412</v>
      </c>
      <c r="E4" s="3" t="s">
        <v>337</v>
      </c>
      <c r="F4" s="3" t="s">
        <v>413</v>
      </c>
      <c r="G4" s="3" t="s">
        <v>414</v>
      </c>
      <c r="H4" s="3" t="s">
        <v>415</v>
      </c>
      <c r="I4" s="3" t="s">
        <v>416</v>
      </c>
    </row>
    <row r="5" customFormat="false" ht="15" hidden="false" customHeight="false" outlineLevel="0" collapsed="false">
      <c r="A5" s="40" t="s">
        <v>349</v>
      </c>
      <c r="B5" s="40" t="s">
        <v>228</v>
      </c>
      <c r="C5" s="40" t="s">
        <v>417</v>
      </c>
      <c r="D5" s="40" t="s">
        <v>418</v>
      </c>
      <c r="E5" s="41" t="n">
        <v>6.6</v>
      </c>
      <c r="F5" s="42" t="str">
        <f aca="false">IF(VALUE(MID(C5,3,2))*10+VALUE(MID(D5,2,1))&lt;=242,"Pre",IF(VALUE(MID(C5,3,2))*10+VALUE(MID(D5,2,1))&lt;=254,"Post","Later"))</f>
        <v>Pre</v>
      </c>
      <c r="G5" s="40" t="s">
        <v>343</v>
      </c>
      <c r="H5" s="40" t="s">
        <v>419</v>
      </c>
      <c r="I5" s="40" t="s">
        <v>420</v>
      </c>
    </row>
    <row r="6" customFormat="false" ht="15" hidden="false" customHeight="false" outlineLevel="0" collapsed="false">
      <c r="A6" s="40" t="s">
        <v>349</v>
      </c>
      <c r="B6" s="40" t="s">
        <v>228</v>
      </c>
      <c r="C6" s="40" t="s">
        <v>417</v>
      </c>
      <c r="D6" s="40" t="s">
        <v>421</v>
      </c>
      <c r="E6" s="41" t="n">
        <v>6.6</v>
      </c>
      <c r="F6" s="42" t="str">
        <f aca="false">IF(VALUE(MID(C6,3,2))*10+VALUE(MID(D6,2,1))&lt;=242,"Pre",IF(VALUE(MID(C6,3,2))*10+VALUE(MID(D6,2,1))&lt;=254,"Post","Later"))</f>
        <v>Pre</v>
      </c>
      <c r="G6" s="40" t="s">
        <v>343</v>
      </c>
      <c r="H6" s="40" t="s">
        <v>422</v>
      </c>
      <c r="I6" s="40" t="s">
        <v>420</v>
      </c>
    </row>
    <row r="7" customFormat="false" ht="15" hidden="false" customHeight="false" outlineLevel="0" collapsed="false">
      <c r="A7" s="40" t="s">
        <v>349</v>
      </c>
      <c r="B7" s="40" t="s">
        <v>228</v>
      </c>
      <c r="C7" s="40" t="s">
        <v>417</v>
      </c>
      <c r="D7" s="40" t="s">
        <v>423</v>
      </c>
      <c r="E7" s="41" t="n">
        <v>6.1</v>
      </c>
      <c r="F7" s="42" t="str">
        <f aca="false">IF(VALUE(MID(C7,3,2))*10+VALUE(MID(D7,2,1))&lt;=242,"Pre",IF(VALUE(MID(C7,3,2))*10+VALUE(MID(D7,2,1))&lt;=254,"Post","Later"))</f>
        <v>Pre</v>
      </c>
      <c r="G7" s="40" t="s">
        <v>343</v>
      </c>
      <c r="H7" s="40" t="s">
        <v>424</v>
      </c>
      <c r="I7" s="40"/>
    </row>
    <row r="8" customFormat="false" ht="15" hidden="false" customHeight="false" outlineLevel="0" collapsed="false">
      <c r="A8" s="40" t="s">
        <v>349</v>
      </c>
      <c r="B8" s="40" t="s">
        <v>228</v>
      </c>
      <c r="C8" s="40" t="s">
        <v>417</v>
      </c>
      <c r="D8" s="40" t="s">
        <v>425</v>
      </c>
      <c r="E8" s="41" t="n">
        <v>5.5</v>
      </c>
      <c r="F8" s="42" t="str">
        <f aca="false">IF(VALUE(MID(C8,3,2))*10+VALUE(MID(D8,2,1))&lt;=242,"Pre",IF(VALUE(MID(C8,3,2))*10+VALUE(MID(D8,2,1))&lt;=254,"Post","Later"))</f>
        <v>Pre</v>
      </c>
      <c r="G8" s="40" t="s">
        <v>343</v>
      </c>
      <c r="H8" s="40" t="s">
        <v>426</v>
      </c>
      <c r="I8" s="40"/>
    </row>
    <row r="9" customFormat="false" ht="15" hidden="false" customHeight="false" outlineLevel="0" collapsed="false">
      <c r="A9" s="40" t="s">
        <v>349</v>
      </c>
      <c r="B9" s="40" t="s">
        <v>228</v>
      </c>
      <c r="C9" s="40" t="s">
        <v>427</v>
      </c>
      <c r="D9" s="40" t="s">
        <v>418</v>
      </c>
      <c r="E9" s="41" t="n">
        <v>5.2</v>
      </c>
      <c r="F9" s="42" t="str">
        <f aca="false">IF(VALUE(MID(C9,3,2))*10+VALUE(MID(D9,2,1))&lt;=242,"Pre",IF(VALUE(MID(C9,3,2))*10+VALUE(MID(D9,2,1))&lt;=254,"Post","Later"))</f>
        <v>Pre</v>
      </c>
      <c r="G9" s="40" t="s">
        <v>343</v>
      </c>
      <c r="H9" s="40" t="s">
        <v>428</v>
      </c>
      <c r="I9" s="40"/>
    </row>
    <row r="10" customFormat="false" ht="15" hidden="false" customHeight="false" outlineLevel="0" collapsed="false">
      <c r="A10" s="40" t="s">
        <v>349</v>
      </c>
      <c r="B10" s="40" t="s">
        <v>228</v>
      </c>
      <c r="C10" s="40" t="s">
        <v>427</v>
      </c>
      <c r="D10" s="40" t="s">
        <v>421</v>
      </c>
      <c r="E10" s="41" t="n">
        <v>5.5</v>
      </c>
      <c r="F10" s="42" t="str">
        <f aca="false">IF(VALUE(MID(C10,3,2))*10+VALUE(MID(D10,2,1))&lt;=242,"Pre",IF(VALUE(MID(C10,3,2))*10+VALUE(MID(D10,2,1))&lt;=254,"Post","Later"))</f>
        <v>Pre</v>
      </c>
      <c r="G10" s="40" t="s">
        <v>343</v>
      </c>
      <c r="H10" s="40" t="s">
        <v>429</v>
      </c>
      <c r="I10" s="40"/>
    </row>
    <row r="11" customFormat="false" ht="15" hidden="false" customHeight="false" outlineLevel="0" collapsed="false">
      <c r="A11" s="40" t="s">
        <v>349</v>
      </c>
      <c r="B11" s="40" t="s">
        <v>228</v>
      </c>
      <c r="C11" s="40" t="s">
        <v>427</v>
      </c>
      <c r="D11" s="40" t="s">
        <v>423</v>
      </c>
      <c r="E11" s="41" t="n">
        <v>5.4</v>
      </c>
      <c r="F11" s="42" t="str">
        <f aca="false">IF(VALUE(MID(C11,3,2))*10+VALUE(MID(D11,2,1))&lt;=242,"Pre",IF(VALUE(MID(C11,3,2))*10+VALUE(MID(D11,2,1))&lt;=254,"Post","Later"))</f>
        <v>Pre</v>
      </c>
      <c r="G11" s="40" t="s">
        <v>343</v>
      </c>
      <c r="H11" s="40" t="s">
        <v>430</v>
      </c>
      <c r="I11" s="40"/>
    </row>
    <row r="12" customFormat="false" ht="15" hidden="false" customHeight="false" outlineLevel="0" collapsed="false">
      <c r="A12" s="40" t="s">
        <v>349</v>
      </c>
      <c r="B12" s="40" t="s">
        <v>228</v>
      </c>
      <c r="C12" s="40" t="s">
        <v>427</v>
      </c>
      <c r="D12" s="40" t="s">
        <v>425</v>
      </c>
      <c r="E12" s="41" t="n">
        <v>4.9</v>
      </c>
      <c r="F12" s="42" t="str">
        <f aca="false">IF(VALUE(MID(C12,3,2))*10+VALUE(MID(D12,2,1))&lt;=242,"Pre",IF(VALUE(MID(C12,3,2))*10+VALUE(MID(D12,2,1))&lt;=254,"Post","Later"))</f>
        <v>Pre</v>
      </c>
      <c r="G12" s="40" t="s">
        <v>343</v>
      </c>
      <c r="H12" s="40" t="s">
        <v>431</v>
      </c>
      <c r="I12" s="40"/>
    </row>
    <row r="13" customFormat="false" ht="15" hidden="false" customHeight="false" outlineLevel="0" collapsed="false">
      <c r="A13" s="40" t="s">
        <v>349</v>
      </c>
      <c r="B13" s="40" t="s">
        <v>228</v>
      </c>
      <c r="C13" s="40" t="s">
        <v>432</v>
      </c>
      <c r="D13" s="40" t="s">
        <v>418</v>
      </c>
      <c r="E13" s="41" t="n">
        <v>5.1</v>
      </c>
      <c r="F13" s="42" t="str">
        <f aca="false">IF(VALUE(MID(C13,3,2))*10+VALUE(MID(D13,2,1))&lt;=242,"Pre",IF(VALUE(MID(C13,3,2))*10+VALUE(MID(D13,2,1))&lt;=254,"Post","Later"))</f>
        <v>Pre</v>
      </c>
      <c r="G13" s="40" t="s">
        <v>343</v>
      </c>
      <c r="H13" s="40" t="s">
        <v>433</v>
      </c>
      <c r="I13" s="40" t="s">
        <v>434</v>
      </c>
    </row>
    <row r="14" customFormat="false" ht="15" hidden="false" customHeight="false" outlineLevel="0" collapsed="false">
      <c r="A14" s="40" t="s">
        <v>349</v>
      </c>
      <c r="B14" s="40" t="s">
        <v>228</v>
      </c>
      <c r="C14" s="40" t="s">
        <v>432</v>
      </c>
      <c r="D14" s="40" t="s">
        <v>421</v>
      </c>
      <c r="E14" s="41" t="n">
        <v>5.4</v>
      </c>
      <c r="F14" s="42" t="str">
        <f aca="false">IF(VALUE(MID(C14,3,2))*10+VALUE(MID(D14,2,1))&lt;=242,"Pre",IF(VALUE(MID(C14,3,2))*10+VALUE(MID(D14,2,1))&lt;=254,"Post","Later"))</f>
        <v>Pre</v>
      </c>
      <c r="G14" s="40" t="s">
        <v>343</v>
      </c>
      <c r="H14" s="40" t="s">
        <v>433</v>
      </c>
      <c r="I14" s="40"/>
    </row>
    <row r="15" customFormat="false" ht="15" hidden="false" customHeight="false" outlineLevel="0" collapsed="false">
      <c r="A15" s="40" t="s">
        <v>349</v>
      </c>
      <c r="B15" s="40" t="s">
        <v>228</v>
      </c>
      <c r="C15" s="40" t="s">
        <v>432</v>
      </c>
      <c r="D15" s="40" t="s">
        <v>423</v>
      </c>
      <c r="E15" s="41" t="n">
        <v>6.3</v>
      </c>
      <c r="F15" s="42" t="str">
        <f aca="false">IF(VALUE(MID(C15,3,2))*10+VALUE(MID(D15,2,1))&lt;=242,"Pre",IF(VALUE(MID(C15,3,2))*10+VALUE(MID(D15,2,1))&lt;=254,"Post","Later"))</f>
        <v>Pre</v>
      </c>
      <c r="G15" s="40" t="s">
        <v>343</v>
      </c>
      <c r="H15" s="40" t="s">
        <v>433</v>
      </c>
      <c r="I15" s="40"/>
    </row>
    <row r="16" customFormat="false" ht="15" hidden="false" customHeight="false" outlineLevel="0" collapsed="false">
      <c r="A16" s="40" t="s">
        <v>349</v>
      </c>
      <c r="B16" s="40" t="s">
        <v>228</v>
      </c>
      <c r="C16" s="40" t="s">
        <v>432</v>
      </c>
      <c r="D16" s="40" t="s">
        <v>425</v>
      </c>
      <c r="E16" s="41" t="n">
        <v>6.7</v>
      </c>
      <c r="F16" s="42" t="str">
        <f aca="false">IF(VALUE(MID(C16,3,2))*10+VALUE(MID(D16,2,1))&lt;=242,"Pre",IF(VALUE(MID(C16,3,2))*10+VALUE(MID(D16,2,1))&lt;=254,"Post","Later"))</f>
        <v>Pre</v>
      </c>
      <c r="G16" s="40" t="s">
        <v>343</v>
      </c>
      <c r="H16" s="40" t="s">
        <v>433</v>
      </c>
      <c r="I16" s="40"/>
    </row>
    <row r="17" customFormat="false" ht="15" hidden="false" customHeight="false" outlineLevel="0" collapsed="false">
      <c r="A17" s="40" t="s">
        <v>349</v>
      </c>
      <c r="B17" s="40" t="s">
        <v>228</v>
      </c>
      <c r="C17" s="40" t="s">
        <v>435</v>
      </c>
      <c r="D17" s="40" t="s">
        <v>418</v>
      </c>
      <c r="E17" s="41" t="n">
        <v>7.1</v>
      </c>
      <c r="F17" s="42" t="str">
        <f aca="false">IF(VALUE(MID(C17,3,2))*10+VALUE(MID(D17,2,1))&lt;=242,"Pre",IF(VALUE(MID(C17,3,2))*10+VALUE(MID(D17,2,1))&lt;=254,"Post","Later"))</f>
        <v>Pre</v>
      </c>
      <c r="G17" s="40" t="s">
        <v>343</v>
      </c>
      <c r="H17" s="40" t="s">
        <v>436</v>
      </c>
      <c r="I17" s="40"/>
    </row>
    <row r="18" customFormat="false" ht="15" hidden="false" customHeight="false" outlineLevel="0" collapsed="false">
      <c r="A18" s="40" t="s">
        <v>349</v>
      </c>
      <c r="B18" s="40" t="s">
        <v>228</v>
      </c>
      <c r="C18" s="40" t="s">
        <v>435</v>
      </c>
      <c r="D18" s="40" t="s">
        <v>421</v>
      </c>
      <c r="E18" s="41" t="n">
        <v>7.1</v>
      </c>
      <c r="F18" s="42" t="str">
        <f aca="false">IF(VALUE(MID(C18,3,2))*10+VALUE(MID(D18,2,1))&lt;=242,"Pre",IF(VALUE(MID(C18,3,2))*10+VALUE(MID(D18,2,1))&lt;=254,"Post","Later"))</f>
        <v>Pre</v>
      </c>
      <c r="G18" s="40" t="s">
        <v>343</v>
      </c>
      <c r="H18" s="40" t="s">
        <v>437</v>
      </c>
      <c r="I18" s="40"/>
    </row>
    <row r="19" customFormat="false" ht="15" hidden="false" customHeight="false" outlineLevel="0" collapsed="false">
      <c r="A19" s="40" t="s">
        <v>349</v>
      </c>
      <c r="B19" s="40" t="s">
        <v>228</v>
      </c>
      <c r="C19" s="40" t="s">
        <v>435</v>
      </c>
      <c r="D19" s="40" t="s">
        <v>423</v>
      </c>
      <c r="E19" s="41" t="n">
        <v>7.6</v>
      </c>
      <c r="F19" s="42" t="str">
        <f aca="false">IF(VALUE(MID(C19,3,2))*10+VALUE(MID(D19,2,1))&lt;=242,"Pre",IF(VALUE(MID(C19,3,2))*10+VALUE(MID(D19,2,1))&lt;=254,"Post","Later"))</f>
        <v>Post</v>
      </c>
      <c r="G19" s="40" t="s">
        <v>343</v>
      </c>
      <c r="H19" s="40" t="s">
        <v>438</v>
      </c>
      <c r="I19" s="40"/>
    </row>
    <row r="20" customFormat="false" ht="15" hidden="false" customHeight="false" outlineLevel="0" collapsed="false">
      <c r="A20" s="40" t="s">
        <v>349</v>
      </c>
      <c r="B20" s="40" t="s">
        <v>228</v>
      </c>
      <c r="C20" s="40" t="s">
        <v>435</v>
      </c>
      <c r="D20" s="40" t="s">
        <v>425</v>
      </c>
      <c r="E20" s="41" t="n">
        <v>7.4</v>
      </c>
      <c r="F20" s="42" t="str">
        <f aca="false">IF(VALUE(MID(C20,3,2))*10+VALUE(MID(D20,2,1))&lt;=242,"Pre",IF(VALUE(MID(C20,3,2))*10+VALUE(MID(D20,2,1))&lt;=254,"Post","Later"))</f>
        <v>Post</v>
      </c>
      <c r="G20" s="40" t="s">
        <v>343</v>
      </c>
      <c r="H20" s="40" t="s">
        <v>439</v>
      </c>
      <c r="I20" s="40"/>
    </row>
    <row r="21" customFormat="false" ht="15" hidden="false" customHeight="false" outlineLevel="0" collapsed="false">
      <c r="A21" s="40" t="s">
        <v>349</v>
      </c>
      <c r="B21" s="40" t="s">
        <v>228</v>
      </c>
      <c r="C21" s="40" t="s">
        <v>440</v>
      </c>
      <c r="D21" s="40" t="s">
        <v>418</v>
      </c>
      <c r="E21" s="41" t="n">
        <v>7.5</v>
      </c>
      <c r="F21" s="42" t="str">
        <f aca="false">IF(VALUE(MID(C21,3,2))*10+VALUE(MID(D21,2,1))&lt;=242,"Pre",IF(VALUE(MID(C21,3,2))*10+VALUE(MID(D21,2,1))&lt;=254,"Post","Later"))</f>
        <v>Post</v>
      </c>
      <c r="G21" s="40" t="s">
        <v>343</v>
      </c>
      <c r="H21" s="40" t="s">
        <v>441</v>
      </c>
      <c r="I21" s="40"/>
    </row>
    <row r="22" customFormat="false" ht="15" hidden="false" customHeight="false" outlineLevel="0" collapsed="false">
      <c r="A22" s="40" t="s">
        <v>349</v>
      </c>
      <c r="B22" s="40" t="s">
        <v>228</v>
      </c>
      <c r="C22" s="40" t="s">
        <v>440</v>
      </c>
      <c r="D22" s="40" t="s">
        <v>421</v>
      </c>
      <c r="E22" s="41" t="n">
        <v>7.4</v>
      </c>
      <c r="F22" s="42" t="str">
        <f aca="false">IF(VALUE(MID(C22,3,2))*10+VALUE(MID(D22,2,1))&lt;=242,"Pre",IF(VALUE(MID(C22,3,2))*10+VALUE(MID(D22,2,1))&lt;=254,"Post","Later"))</f>
        <v>Post</v>
      </c>
      <c r="G22" s="40" t="s">
        <v>343</v>
      </c>
      <c r="H22" s="40" t="s">
        <v>442</v>
      </c>
      <c r="I22" s="40"/>
    </row>
    <row r="23" customFormat="false" ht="15" hidden="false" customHeight="false" outlineLevel="0" collapsed="false">
      <c r="A23" s="40" t="s">
        <v>349</v>
      </c>
      <c r="B23" s="40" t="s">
        <v>228</v>
      </c>
      <c r="C23" s="40" t="s">
        <v>440</v>
      </c>
      <c r="D23" s="40" t="s">
        <v>423</v>
      </c>
      <c r="E23" s="41" t="n">
        <v>7.4</v>
      </c>
      <c r="F23" s="42" t="str">
        <f aca="false">IF(VALUE(MID(C23,3,2))*10+VALUE(MID(D23,2,1))&lt;=242,"Pre",IF(VALUE(MID(C23,3,2))*10+VALUE(MID(D23,2,1))&lt;=254,"Post","Later"))</f>
        <v>Post</v>
      </c>
      <c r="G23" s="40" t="s">
        <v>343</v>
      </c>
      <c r="H23" s="40" t="s">
        <v>442</v>
      </c>
      <c r="I23" s="40"/>
    </row>
    <row r="24" customFormat="false" ht="15" hidden="false" customHeight="false" outlineLevel="0" collapsed="false">
      <c r="A24" s="40" t="s">
        <v>349</v>
      </c>
      <c r="B24" s="40" t="s">
        <v>228</v>
      </c>
      <c r="C24" s="40" t="s">
        <v>440</v>
      </c>
      <c r="D24" s="40" t="s">
        <v>425</v>
      </c>
      <c r="E24" s="41" t="n">
        <v>7.2</v>
      </c>
      <c r="F24" s="42" t="str">
        <f aca="false">IF(VALUE(MID(C24,3,2))*10+VALUE(MID(D24,2,1))&lt;=242,"Pre",IF(VALUE(MID(C24,3,2))*10+VALUE(MID(D24,2,1))&lt;=254,"Post","Later"))</f>
        <v>Post</v>
      </c>
      <c r="G24" s="40" t="s">
        <v>343</v>
      </c>
      <c r="H24" s="40" t="s">
        <v>442</v>
      </c>
      <c r="I24" s="40" t="s">
        <v>443</v>
      </c>
    </row>
    <row r="25" customFormat="false" ht="15" hidden="false" customHeight="false" outlineLevel="0" collapsed="false">
      <c r="A25" s="40" t="s">
        <v>349</v>
      </c>
      <c r="B25" s="40" t="s">
        <v>228</v>
      </c>
      <c r="C25" s="40" t="s">
        <v>444</v>
      </c>
      <c r="D25" s="40" t="s">
        <v>418</v>
      </c>
      <c r="E25" s="41" t="n">
        <v>7.1</v>
      </c>
      <c r="F25" s="42" t="str">
        <f aca="false">IF(VALUE(MID(C25,3,2))*10+VALUE(MID(D25,2,1))&lt;=242,"Pre",IF(VALUE(MID(C25,3,2))*10+VALUE(MID(D25,2,1))&lt;=254,"Post","Later"))</f>
        <v>Later</v>
      </c>
      <c r="G25" s="40" t="s">
        <v>343</v>
      </c>
      <c r="H25" s="40" t="s">
        <v>445</v>
      </c>
      <c r="I25" s="40"/>
    </row>
    <row r="26" customFormat="false" ht="15" hidden="false" customHeight="false" outlineLevel="0" collapsed="false">
      <c r="A26" s="40" t="s">
        <v>349</v>
      </c>
      <c r="B26" s="40" t="s">
        <v>228</v>
      </c>
      <c r="C26" s="40" t="s">
        <v>444</v>
      </c>
      <c r="D26" s="40" t="s">
        <v>421</v>
      </c>
      <c r="E26" s="41" t="n">
        <v>6.4</v>
      </c>
      <c r="F26" s="42" t="str">
        <f aca="false">IF(VALUE(MID(C26,3,2))*10+VALUE(MID(D26,2,1))&lt;=242,"Pre",IF(VALUE(MID(C26,3,2))*10+VALUE(MID(D26,2,1))&lt;=254,"Post","Later"))</f>
        <v>Later</v>
      </c>
      <c r="G26" s="40" t="s">
        <v>343</v>
      </c>
      <c r="H26" s="40" t="s">
        <v>446</v>
      </c>
      <c r="I26" s="40"/>
    </row>
    <row r="27" customFormat="false" ht="15" hidden="false" customHeight="false" outlineLevel="0" collapsed="false">
      <c r="A27" s="40" t="s">
        <v>349</v>
      </c>
      <c r="B27" s="40" t="s">
        <v>228</v>
      </c>
      <c r="C27" s="40" t="s">
        <v>444</v>
      </c>
      <c r="D27" s="40" t="s">
        <v>423</v>
      </c>
      <c r="E27" s="41" t="n">
        <v>6.5</v>
      </c>
      <c r="F27" s="42" t="str">
        <f aca="false">IF(VALUE(MID(C27,3,2))*10+VALUE(MID(D27,2,1))&lt;=242,"Pre",IF(VALUE(MID(C27,3,2))*10+VALUE(MID(D27,2,1))&lt;=254,"Post","Later"))</f>
        <v>Later</v>
      </c>
      <c r="G27" s="40" t="s">
        <v>343</v>
      </c>
      <c r="H27" s="40" t="s">
        <v>447</v>
      </c>
      <c r="I27" s="40"/>
    </row>
    <row r="28" customFormat="false" ht="15" hidden="false" customHeight="false" outlineLevel="0" collapsed="false">
      <c r="A28" s="40" t="s">
        <v>349</v>
      </c>
      <c r="B28" s="40" t="s">
        <v>228</v>
      </c>
      <c r="C28" s="40" t="s">
        <v>444</v>
      </c>
      <c r="D28" s="40" t="s">
        <v>425</v>
      </c>
      <c r="E28" s="41" t="n">
        <v>6.4</v>
      </c>
      <c r="F28" s="42" t="str">
        <f aca="false">IF(VALUE(MID(C28,3,2))*10+VALUE(MID(D28,2,1))&lt;=242,"Pre",IF(VALUE(MID(C28,3,2))*10+VALUE(MID(D28,2,1))&lt;=254,"Post","Later"))</f>
        <v>Later</v>
      </c>
      <c r="G28" s="40" t="s">
        <v>343</v>
      </c>
      <c r="H28" s="40" t="s">
        <v>448</v>
      </c>
      <c r="I28" s="40"/>
    </row>
    <row r="29" customFormat="false" ht="15" hidden="false" customHeight="false" outlineLevel="0" collapsed="false">
      <c r="A29" s="40" t="s">
        <v>342</v>
      </c>
      <c r="B29" s="40" t="s">
        <v>228</v>
      </c>
      <c r="C29" s="40" t="s">
        <v>417</v>
      </c>
      <c r="D29" s="40" t="s">
        <v>425</v>
      </c>
      <c r="E29" s="41" t="n">
        <v>7.39</v>
      </c>
      <c r="F29" s="42" t="str">
        <f aca="false">IF(VALUE(MID(C29,3,2))*10+VALUE(MID(D29,2,1))&lt;=242,"Pre",IF(VALUE(MID(C29,3,2))*10+VALUE(MID(D29,2,1))&lt;=254,"Post","Later"))</f>
        <v>Pre</v>
      </c>
      <c r="G29" s="40" t="s">
        <v>343</v>
      </c>
      <c r="H29" s="40" t="s">
        <v>449</v>
      </c>
      <c r="I29" s="40" t="s">
        <v>450</v>
      </c>
    </row>
    <row r="30" customFormat="false" ht="15" hidden="false" customHeight="false" outlineLevel="0" collapsed="false">
      <c r="A30" s="40" t="s">
        <v>342</v>
      </c>
      <c r="B30" s="40" t="s">
        <v>228</v>
      </c>
      <c r="C30" s="40" t="s">
        <v>427</v>
      </c>
      <c r="D30" s="40" t="s">
        <v>418</v>
      </c>
      <c r="E30" s="41" t="n">
        <v>7.11</v>
      </c>
      <c r="F30" s="42" t="str">
        <f aca="false">IF(VALUE(MID(C30,3,2))*10+VALUE(MID(D30,2,1))&lt;=242,"Pre",IF(VALUE(MID(C30,3,2))*10+VALUE(MID(D30,2,1))&lt;=254,"Post","Later"))</f>
        <v>Pre</v>
      </c>
      <c r="G30" s="40" t="s">
        <v>343</v>
      </c>
      <c r="H30" s="40" t="s">
        <v>451</v>
      </c>
      <c r="I30" s="40" t="s">
        <v>450</v>
      </c>
    </row>
    <row r="31" customFormat="false" ht="15" hidden="false" customHeight="false" outlineLevel="0" collapsed="false">
      <c r="A31" s="40" t="s">
        <v>342</v>
      </c>
      <c r="B31" s="40" t="s">
        <v>228</v>
      </c>
      <c r="C31" s="40" t="s">
        <v>427</v>
      </c>
      <c r="D31" s="40" t="s">
        <v>421</v>
      </c>
      <c r="E31" s="41" t="n">
        <v>6.77</v>
      </c>
      <c r="F31" s="42" t="str">
        <f aca="false">IF(VALUE(MID(C31,3,2))*10+VALUE(MID(D31,2,1))&lt;=242,"Pre",IF(VALUE(MID(C31,3,2))*10+VALUE(MID(D31,2,1))&lt;=254,"Post","Later"))</f>
        <v>Pre</v>
      </c>
      <c r="G31" s="40" t="s">
        <v>343</v>
      </c>
      <c r="H31" s="40" t="s">
        <v>452</v>
      </c>
      <c r="I31" s="40" t="s">
        <v>450</v>
      </c>
    </row>
    <row r="32" customFormat="false" ht="15" hidden="false" customHeight="false" outlineLevel="0" collapsed="false">
      <c r="A32" s="40" t="s">
        <v>342</v>
      </c>
      <c r="B32" s="40" t="s">
        <v>228</v>
      </c>
      <c r="C32" s="40" t="s">
        <v>427</v>
      </c>
      <c r="D32" s="40" t="s">
        <v>423</v>
      </c>
      <c r="E32" s="41" t="n">
        <v>6.72</v>
      </c>
      <c r="F32" s="42" t="str">
        <f aca="false">IF(VALUE(MID(C32,3,2))*10+VALUE(MID(D32,2,1))&lt;=242,"Pre",IF(VALUE(MID(C32,3,2))*10+VALUE(MID(D32,2,1))&lt;=254,"Post","Later"))</f>
        <v>Pre</v>
      </c>
      <c r="G32" s="40" t="s">
        <v>343</v>
      </c>
      <c r="H32" s="40" t="s">
        <v>453</v>
      </c>
      <c r="I32" s="40" t="s">
        <v>450</v>
      </c>
    </row>
    <row r="33" customFormat="false" ht="15" hidden="false" customHeight="false" outlineLevel="0" collapsed="false">
      <c r="A33" s="40" t="s">
        <v>342</v>
      </c>
      <c r="B33" s="40" t="s">
        <v>228</v>
      </c>
      <c r="C33" s="40" t="s">
        <v>427</v>
      </c>
      <c r="D33" s="40" t="s">
        <v>425</v>
      </c>
      <c r="E33" s="41" t="n">
        <v>6.71</v>
      </c>
      <c r="F33" s="42" t="str">
        <f aca="false">IF(VALUE(MID(C33,3,2))*10+VALUE(MID(D33,2,1))&lt;=242,"Pre",IF(VALUE(MID(C33,3,2))*10+VALUE(MID(D33,2,1))&lt;=254,"Post","Later"))</f>
        <v>Pre</v>
      </c>
      <c r="G33" s="40" t="s">
        <v>343</v>
      </c>
      <c r="H33" s="40" t="s">
        <v>454</v>
      </c>
      <c r="I33" s="40" t="s">
        <v>450</v>
      </c>
    </row>
    <row r="34" customFormat="false" ht="15" hidden="false" customHeight="false" outlineLevel="0" collapsed="false">
      <c r="A34" s="40" t="s">
        <v>342</v>
      </c>
      <c r="B34" s="40" t="s">
        <v>228</v>
      </c>
      <c r="C34" s="40" t="s">
        <v>432</v>
      </c>
      <c r="D34" s="40" t="s">
        <v>418</v>
      </c>
      <c r="E34" s="41" t="n">
        <v>6.64</v>
      </c>
      <c r="F34" s="42" t="str">
        <f aca="false">IF(VALUE(MID(C34,3,2))*10+VALUE(MID(D34,2,1))&lt;=242,"Pre",IF(VALUE(MID(C34,3,2))*10+VALUE(MID(D34,2,1))&lt;=254,"Post","Later"))</f>
        <v>Pre</v>
      </c>
      <c r="G34" s="40" t="s">
        <v>343</v>
      </c>
      <c r="H34" s="40" t="s">
        <v>455</v>
      </c>
      <c r="I34" s="40" t="s">
        <v>450</v>
      </c>
    </row>
    <row r="35" customFormat="false" ht="15" hidden="false" customHeight="false" outlineLevel="0" collapsed="false">
      <c r="A35" s="40" t="s">
        <v>342</v>
      </c>
      <c r="B35" s="40" t="s">
        <v>228</v>
      </c>
      <c r="C35" s="40" t="s">
        <v>432</v>
      </c>
      <c r="D35" s="40" t="s">
        <v>421</v>
      </c>
      <c r="E35" s="41" t="n">
        <v>6.91</v>
      </c>
      <c r="F35" s="42" t="str">
        <f aca="false">IF(VALUE(MID(C35,3,2))*10+VALUE(MID(D35,2,1))&lt;=242,"Pre",IF(VALUE(MID(C35,3,2))*10+VALUE(MID(D35,2,1))&lt;=254,"Post","Later"))</f>
        <v>Pre</v>
      </c>
      <c r="G35" s="40" t="s">
        <v>343</v>
      </c>
      <c r="H35" s="40" t="s">
        <v>456</v>
      </c>
      <c r="I35" s="40" t="s">
        <v>450</v>
      </c>
    </row>
    <row r="36" customFormat="false" ht="15" hidden="false" customHeight="false" outlineLevel="0" collapsed="false">
      <c r="A36" s="40" t="s">
        <v>342</v>
      </c>
      <c r="B36" s="40" t="s">
        <v>228</v>
      </c>
      <c r="C36" s="40" t="s">
        <v>432</v>
      </c>
      <c r="D36" s="40" t="s">
        <v>423</v>
      </c>
      <c r="E36" s="41" t="n">
        <v>7.14</v>
      </c>
      <c r="F36" s="42" t="str">
        <f aca="false">IF(VALUE(MID(C36,3,2))*10+VALUE(MID(D36,2,1))&lt;=242,"Pre",IF(VALUE(MID(C36,3,2))*10+VALUE(MID(D36,2,1))&lt;=254,"Post","Later"))</f>
        <v>Pre</v>
      </c>
      <c r="G36" s="40" t="s">
        <v>343</v>
      </c>
      <c r="H36" s="40" t="s">
        <v>457</v>
      </c>
      <c r="I36" s="40" t="s">
        <v>450</v>
      </c>
    </row>
    <row r="37" customFormat="false" ht="15" hidden="false" customHeight="false" outlineLevel="0" collapsed="false">
      <c r="A37" s="40" t="s">
        <v>342</v>
      </c>
      <c r="B37" s="40" t="s">
        <v>228</v>
      </c>
      <c r="C37" s="40" t="s">
        <v>432</v>
      </c>
      <c r="D37" s="40" t="s">
        <v>425</v>
      </c>
      <c r="E37" s="41" t="n">
        <v>7.39</v>
      </c>
      <c r="F37" s="42" t="str">
        <f aca="false">IF(VALUE(MID(C37,3,2))*10+VALUE(MID(D37,2,1))&lt;=242,"Pre",IF(VALUE(MID(C37,3,2))*10+VALUE(MID(D37,2,1))&lt;=254,"Post","Later"))</f>
        <v>Pre</v>
      </c>
      <c r="G37" s="40" t="s">
        <v>343</v>
      </c>
      <c r="H37" s="40" t="s">
        <v>458</v>
      </c>
      <c r="I37" s="40" t="s">
        <v>450</v>
      </c>
    </row>
    <row r="38" customFormat="false" ht="15" hidden="false" customHeight="false" outlineLevel="0" collapsed="false">
      <c r="A38" s="40" t="s">
        <v>342</v>
      </c>
      <c r="B38" s="40" t="s">
        <v>228</v>
      </c>
      <c r="C38" s="40" t="s">
        <v>435</v>
      </c>
      <c r="D38" s="40" t="s">
        <v>418</v>
      </c>
      <c r="E38" s="41" t="n">
        <v>7.61</v>
      </c>
      <c r="F38" s="42" t="str">
        <f aca="false">IF(VALUE(MID(C38,3,2))*10+VALUE(MID(D38,2,1))&lt;=242,"Pre",IF(VALUE(MID(C38,3,2))*10+VALUE(MID(D38,2,1))&lt;=254,"Post","Later"))</f>
        <v>Pre</v>
      </c>
      <c r="G38" s="40" t="s">
        <v>343</v>
      </c>
      <c r="H38" s="40" t="s">
        <v>459</v>
      </c>
      <c r="I38" s="40" t="s">
        <v>450</v>
      </c>
    </row>
    <row r="39" customFormat="false" ht="15" hidden="false" customHeight="false" outlineLevel="0" collapsed="false">
      <c r="A39" s="40" t="s">
        <v>342</v>
      </c>
      <c r="B39" s="40" t="s">
        <v>228</v>
      </c>
      <c r="C39" s="40" t="s">
        <v>435</v>
      </c>
      <c r="D39" s="40" t="s">
        <v>421</v>
      </c>
      <c r="E39" s="41" t="n">
        <v>7.67</v>
      </c>
      <c r="F39" s="42" t="str">
        <f aca="false">IF(VALUE(MID(C39,3,2))*10+VALUE(MID(D39,2,1))&lt;=242,"Pre",IF(VALUE(MID(C39,3,2))*10+VALUE(MID(D39,2,1))&lt;=254,"Post","Later"))</f>
        <v>Pre</v>
      </c>
      <c r="G39" s="40" t="s">
        <v>343</v>
      </c>
      <c r="H39" s="40" t="s">
        <v>460</v>
      </c>
      <c r="I39" s="40" t="s">
        <v>450</v>
      </c>
    </row>
    <row r="40" customFormat="false" ht="15" hidden="false" customHeight="false" outlineLevel="0" collapsed="false">
      <c r="A40" s="40" t="s">
        <v>342</v>
      </c>
      <c r="B40" s="40" t="s">
        <v>228</v>
      </c>
      <c r="C40" s="40" t="s">
        <v>435</v>
      </c>
      <c r="D40" s="40" t="s">
        <v>423</v>
      </c>
      <c r="E40" s="41" t="n">
        <v>7.76</v>
      </c>
      <c r="F40" s="42" t="str">
        <f aca="false">IF(VALUE(MID(C40,3,2))*10+VALUE(MID(D40,2,1))&lt;=242,"Pre",IF(VALUE(MID(C40,3,2))*10+VALUE(MID(D40,2,1))&lt;=254,"Post","Later"))</f>
        <v>Post</v>
      </c>
      <c r="G40" s="40" t="s">
        <v>343</v>
      </c>
      <c r="H40" s="40" t="s">
        <v>461</v>
      </c>
      <c r="I40" s="40" t="s">
        <v>450</v>
      </c>
    </row>
    <row r="41" customFormat="false" ht="15" hidden="false" customHeight="false" outlineLevel="0" collapsed="false">
      <c r="A41" s="40" t="s">
        <v>342</v>
      </c>
      <c r="B41" s="40" t="s">
        <v>228</v>
      </c>
      <c r="C41" s="40" t="s">
        <v>435</v>
      </c>
      <c r="D41" s="40" t="s">
        <v>425</v>
      </c>
      <c r="E41" s="41" t="n">
        <v>7.86</v>
      </c>
      <c r="F41" s="42" t="str">
        <f aca="false">IF(VALUE(MID(C41,3,2))*10+VALUE(MID(D41,2,1))&lt;=242,"Pre",IF(VALUE(MID(C41,3,2))*10+VALUE(MID(D41,2,1))&lt;=254,"Post","Later"))</f>
        <v>Post</v>
      </c>
      <c r="G41" s="40" t="s">
        <v>343</v>
      </c>
      <c r="H41" s="40" t="s">
        <v>462</v>
      </c>
      <c r="I41" s="40" t="s">
        <v>450</v>
      </c>
    </row>
    <row r="42" customFormat="false" ht="15" hidden="false" customHeight="false" outlineLevel="0" collapsed="false">
      <c r="A42" s="40" t="s">
        <v>342</v>
      </c>
      <c r="B42" s="40" t="s">
        <v>228</v>
      </c>
      <c r="C42" s="40" t="s">
        <v>440</v>
      </c>
      <c r="D42" s="40" t="s">
        <v>418</v>
      </c>
      <c r="E42" s="41" t="n">
        <v>7.94</v>
      </c>
      <c r="F42" s="42" t="str">
        <f aca="false">IF(VALUE(MID(C42,3,2))*10+VALUE(MID(D42,2,1))&lt;=242,"Pre",IF(VALUE(MID(C42,3,2))*10+VALUE(MID(D42,2,1))&lt;=254,"Post","Later"))</f>
        <v>Post</v>
      </c>
      <c r="G42" s="40" t="s">
        <v>343</v>
      </c>
      <c r="H42" s="40" t="s">
        <v>463</v>
      </c>
      <c r="I42" s="40" t="s">
        <v>450</v>
      </c>
    </row>
    <row r="43" customFormat="false" ht="15" hidden="false" customHeight="false" outlineLevel="0" collapsed="false">
      <c r="A43" s="40" t="s">
        <v>342</v>
      </c>
      <c r="B43" s="40" t="s">
        <v>228</v>
      </c>
      <c r="C43" s="40" t="s">
        <v>440</v>
      </c>
      <c r="D43" s="40" t="s">
        <v>421</v>
      </c>
      <c r="E43" s="41" t="n">
        <v>7.97</v>
      </c>
      <c r="F43" s="42" t="str">
        <f aca="false">IF(VALUE(MID(C43,3,2))*10+VALUE(MID(D43,2,1))&lt;=242,"Pre",IF(VALUE(MID(C43,3,2))*10+VALUE(MID(D43,2,1))&lt;=254,"Post","Later"))</f>
        <v>Post</v>
      </c>
      <c r="G43" s="40" t="s">
        <v>343</v>
      </c>
      <c r="H43" s="40" t="s">
        <v>464</v>
      </c>
      <c r="I43" s="40" t="s">
        <v>450</v>
      </c>
    </row>
    <row r="44" customFormat="false" ht="15" hidden="false" customHeight="false" outlineLevel="0" collapsed="false">
      <c r="A44" s="40" t="s">
        <v>342</v>
      </c>
      <c r="B44" s="40" t="s">
        <v>228</v>
      </c>
      <c r="C44" s="40" t="s">
        <v>440</v>
      </c>
      <c r="D44" s="40" t="s">
        <v>423</v>
      </c>
      <c r="E44" s="41" t="n">
        <v>7.96</v>
      </c>
      <c r="F44" s="42" t="str">
        <f aca="false">IF(VALUE(MID(C44,3,2))*10+VALUE(MID(D44,2,1))&lt;=242,"Pre",IF(VALUE(MID(C44,3,2))*10+VALUE(MID(D44,2,1))&lt;=254,"Post","Later"))</f>
        <v>Post</v>
      </c>
      <c r="G44" s="40" t="s">
        <v>343</v>
      </c>
      <c r="H44" s="40" t="s">
        <v>465</v>
      </c>
      <c r="I44" s="40" t="s">
        <v>450</v>
      </c>
    </row>
    <row r="45" customFormat="false" ht="15" hidden="false" customHeight="false" outlineLevel="0" collapsed="false">
      <c r="A45" s="40" t="s">
        <v>342</v>
      </c>
      <c r="B45" s="40" t="s">
        <v>228</v>
      </c>
      <c r="C45" s="40" t="s">
        <v>440</v>
      </c>
      <c r="D45" s="40" t="s">
        <v>425</v>
      </c>
      <c r="E45" s="41" t="n">
        <v>7.99</v>
      </c>
      <c r="F45" s="42" t="str">
        <f aca="false">IF(VALUE(MID(C45,3,2))*10+VALUE(MID(D45,2,1))&lt;=242,"Pre",IF(VALUE(MID(C45,3,2))*10+VALUE(MID(D45,2,1))&lt;=254,"Post","Later"))</f>
        <v>Post</v>
      </c>
      <c r="G45" s="40" t="s">
        <v>343</v>
      </c>
      <c r="H45" s="40" t="s">
        <v>466</v>
      </c>
      <c r="I45" s="40" t="s">
        <v>450</v>
      </c>
    </row>
    <row r="46" customFormat="false" ht="15" hidden="false" customHeight="false" outlineLevel="0" collapsed="false">
      <c r="A46" s="40" t="s">
        <v>342</v>
      </c>
      <c r="B46" s="40" t="s">
        <v>228</v>
      </c>
      <c r="C46" s="40" t="s">
        <v>444</v>
      </c>
      <c r="D46" s="40" t="s">
        <v>418</v>
      </c>
      <c r="E46" s="41" t="n">
        <v>7.79</v>
      </c>
      <c r="F46" s="42" t="str">
        <f aca="false">IF(VALUE(MID(C46,3,2))*10+VALUE(MID(D46,2,1))&lt;=242,"Pre",IF(VALUE(MID(C46,3,2))*10+VALUE(MID(D46,2,1))&lt;=254,"Post","Later"))</f>
        <v>Later</v>
      </c>
      <c r="G46" s="40" t="s">
        <v>343</v>
      </c>
      <c r="H46" s="40" t="s">
        <v>467</v>
      </c>
      <c r="I46" s="40" t="s">
        <v>450</v>
      </c>
    </row>
    <row r="47" customFormat="false" ht="15" hidden="false" customHeight="false" outlineLevel="0" collapsed="false">
      <c r="A47" s="40" t="s">
        <v>342</v>
      </c>
      <c r="B47" s="40" t="s">
        <v>228</v>
      </c>
      <c r="C47" s="40" t="s">
        <v>444</v>
      </c>
      <c r="D47" s="40" t="s">
        <v>421</v>
      </c>
      <c r="E47" s="41" t="n">
        <v>7.52</v>
      </c>
      <c r="F47" s="42" t="str">
        <f aca="false">IF(VALUE(MID(C47,3,2))*10+VALUE(MID(D47,2,1))&lt;=242,"Pre",IF(VALUE(MID(C47,3,2))*10+VALUE(MID(D47,2,1))&lt;=254,"Post","Later"))</f>
        <v>Later</v>
      </c>
      <c r="G47" s="40" t="s">
        <v>343</v>
      </c>
      <c r="H47" s="40" t="s">
        <v>468</v>
      </c>
      <c r="I47" s="40" t="s">
        <v>450</v>
      </c>
    </row>
    <row r="48" customFormat="false" ht="15" hidden="false" customHeight="false" outlineLevel="0" collapsed="false">
      <c r="A48" s="40" t="s">
        <v>342</v>
      </c>
      <c r="B48" s="40" t="s">
        <v>228</v>
      </c>
      <c r="C48" s="40" t="s">
        <v>444</v>
      </c>
      <c r="D48" s="40" t="s">
        <v>423</v>
      </c>
      <c r="E48" s="41" t="n">
        <v>7.45</v>
      </c>
      <c r="F48" s="42" t="str">
        <f aca="false">IF(VALUE(MID(C48,3,2))*10+VALUE(MID(D48,2,1))&lt;=242,"Pre",IF(VALUE(MID(C48,3,2))*10+VALUE(MID(D48,2,1))&lt;=254,"Post","Later"))</f>
        <v>Later</v>
      </c>
      <c r="G48" s="40" t="s">
        <v>343</v>
      </c>
      <c r="H48" s="40" t="s">
        <v>469</v>
      </c>
      <c r="I48" s="40" t="s">
        <v>450</v>
      </c>
    </row>
    <row r="49" customFormat="false" ht="15" hidden="false" customHeight="false" outlineLevel="0" collapsed="false">
      <c r="A49" s="40" t="s">
        <v>342</v>
      </c>
      <c r="B49" s="40" t="s">
        <v>228</v>
      </c>
      <c r="C49" s="40" t="s">
        <v>444</v>
      </c>
      <c r="D49" s="40" t="s">
        <v>425</v>
      </c>
      <c r="E49" s="41" t="n">
        <v>7.41</v>
      </c>
      <c r="F49" s="42" t="str">
        <f aca="false">IF(VALUE(MID(C49,3,2))*10+VALUE(MID(D49,2,1))&lt;=242,"Pre",IF(VALUE(MID(C49,3,2))*10+VALUE(MID(D49,2,1))&lt;=254,"Post","Later"))</f>
        <v>Later</v>
      </c>
      <c r="G49" s="40" t="s">
        <v>343</v>
      </c>
      <c r="H49" s="40" t="s">
        <v>470</v>
      </c>
      <c r="I49" s="40" t="s">
        <v>450</v>
      </c>
    </row>
    <row r="50" customFormat="false" ht="15" hidden="false" customHeight="false" outlineLevel="0" collapsed="false">
      <c r="A50" s="40" t="s">
        <v>344</v>
      </c>
      <c r="B50" s="40" t="s">
        <v>228</v>
      </c>
      <c r="C50" s="40" t="s">
        <v>417</v>
      </c>
      <c r="D50" s="40" t="s">
        <v>418</v>
      </c>
      <c r="E50" s="41" t="n">
        <v>7.1</v>
      </c>
      <c r="F50" s="42" t="str">
        <f aca="false">IF(VALUE(MID(C50,3,2))*10+VALUE(MID(D50,2,1))&lt;=242,"Pre",IF(VALUE(MID(C50,3,2))*10+VALUE(MID(D50,2,1))&lt;=254,"Post","Later"))</f>
        <v>Pre</v>
      </c>
      <c r="G50" s="40" t="s">
        <v>343</v>
      </c>
      <c r="H50" s="40" t="s">
        <v>471</v>
      </c>
      <c r="I50" s="40" t="s">
        <v>472</v>
      </c>
    </row>
    <row r="51" customFormat="false" ht="15" hidden="false" customHeight="false" outlineLevel="0" collapsed="false">
      <c r="A51" s="40" t="s">
        <v>344</v>
      </c>
      <c r="B51" s="40" t="s">
        <v>228</v>
      </c>
      <c r="C51" s="40" t="s">
        <v>417</v>
      </c>
      <c r="D51" s="40" t="s">
        <v>421</v>
      </c>
      <c r="E51" s="41" t="n">
        <v>6.9</v>
      </c>
      <c r="F51" s="42" t="str">
        <f aca="false">IF(VALUE(MID(C51,3,2))*10+VALUE(MID(D51,2,1))&lt;=242,"Pre",IF(VALUE(MID(C51,3,2))*10+VALUE(MID(D51,2,1))&lt;=254,"Post","Later"))</f>
        <v>Pre</v>
      </c>
      <c r="G51" s="40" t="s">
        <v>343</v>
      </c>
      <c r="H51" s="40" t="s">
        <v>471</v>
      </c>
      <c r="I51" s="40" t="s">
        <v>472</v>
      </c>
    </row>
    <row r="52" customFormat="false" ht="15" hidden="false" customHeight="false" outlineLevel="0" collapsed="false">
      <c r="A52" s="40" t="s">
        <v>344</v>
      </c>
      <c r="B52" s="40" t="s">
        <v>228</v>
      </c>
      <c r="C52" s="40" t="s">
        <v>417</v>
      </c>
      <c r="D52" s="40" t="s">
        <v>423</v>
      </c>
      <c r="E52" s="41" t="n">
        <v>6.5</v>
      </c>
      <c r="F52" s="42" t="str">
        <f aca="false">IF(VALUE(MID(C52,3,2))*10+VALUE(MID(D52,2,1))&lt;=242,"Pre",IF(VALUE(MID(C52,3,2))*10+VALUE(MID(D52,2,1))&lt;=254,"Post","Later"))</f>
        <v>Pre</v>
      </c>
      <c r="G52" s="40" t="s">
        <v>343</v>
      </c>
      <c r="H52" s="40" t="s">
        <v>471</v>
      </c>
      <c r="I52" s="40" t="s">
        <v>472</v>
      </c>
    </row>
    <row r="53" customFormat="false" ht="15" hidden="false" customHeight="false" outlineLevel="0" collapsed="false">
      <c r="A53" s="40" t="s">
        <v>344</v>
      </c>
      <c r="B53" s="40" t="s">
        <v>228</v>
      </c>
      <c r="C53" s="40" t="s">
        <v>417</v>
      </c>
      <c r="D53" s="40" t="s">
        <v>425</v>
      </c>
      <c r="E53" s="41" t="n">
        <v>6.3</v>
      </c>
      <c r="F53" s="42" t="str">
        <f aca="false">IF(VALUE(MID(C53,3,2))*10+VALUE(MID(D53,2,1))&lt;=242,"Pre",IF(VALUE(MID(C53,3,2))*10+VALUE(MID(D53,2,1))&lt;=254,"Post","Later"))</f>
        <v>Pre</v>
      </c>
      <c r="G53" s="40" t="s">
        <v>343</v>
      </c>
      <c r="H53" s="40" t="s">
        <v>471</v>
      </c>
      <c r="I53" s="40" t="s">
        <v>472</v>
      </c>
    </row>
    <row r="54" customFormat="false" ht="15" hidden="false" customHeight="false" outlineLevel="0" collapsed="false">
      <c r="A54" s="40" t="s">
        <v>344</v>
      </c>
      <c r="B54" s="40" t="s">
        <v>228</v>
      </c>
      <c r="C54" s="40" t="s">
        <v>427</v>
      </c>
      <c r="D54" s="40" t="s">
        <v>418</v>
      </c>
      <c r="E54" s="41" t="n">
        <v>6.1</v>
      </c>
      <c r="F54" s="42" t="str">
        <f aca="false">IF(VALUE(MID(C54,3,2))*10+VALUE(MID(D54,2,1))&lt;=242,"Pre",IF(VALUE(MID(C54,3,2))*10+VALUE(MID(D54,2,1))&lt;=254,"Post","Later"))</f>
        <v>Pre</v>
      </c>
      <c r="G54" s="40" t="s">
        <v>343</v>
      </c>
      <c r="H54" s="40" t="s">
        <v>471</v>
      </c>
      <c r="I54" s="40" t="s">
        <v>472</v>
      </c>
    </row>
    <row r="55" customFormat="false" ht="15" hidden="false" customHeight="false" outlineLevel="0" collapsed="false">
      <c r="A55" s="40" t="s">
        <v>344</v>
      </c>
      <c r="B55" s="40" t="s">
        <v>228</v>
      </c>
      <c r="C55" s="40" t="s">
        <v>427</v>
      </c>
      <c r="D55" s="40" t="s">
        <v>421</v>
      </c>
      <c r="E55" s="41" t="n">
        <v>5.9</v>
      </c>
      <c r="F55" s="42" t="str">
        <f aca="false">IF(VALUE(MID(C55,3,2))*10+VALUE(MID(D55,2,1))&lt;=242,"Pre",IF(VALUE(MID(C55,3,2))*10+VALUE(MID(D55,2,1))&lt;=254,"Post","Later"))</f>
        <v>Pre</v>
      </c>
      <c r="G55" s="40" t="s">
        <v>343</v>
      </c>
      <c r="H55" s="40" t="s">
        <v>471</v>
      </c>
      <c r="I55" s="40" t="s">
        <v>472</v>
      </c>
    </row>
    <row r="56" customFormat="false" ht="15" hidden="false" customHeight="false" outlineLevel="0" collapsed="false">
      <c r="A56" s="40" t="s">
        <v>344</v>
      </c>
      <c r="B56" s="40" t="s">
        <v>228</v>
      </c>
      <c r="C56" s="40" t="s">
        <v>427</v>
      </c>
      <c r="D56" s="40" t="s">
        <v>423</v>
      </c>
      <c r="E56" s="41" t="n">
        <v>5.7</v>
      </c>
      <c r="F56" s="42" t="str">
        <f aca="false">IF(VALUE(MID(C56,3,2))*10+VALUE(MID(D56,2,1))&lt;=242,"Pre",IF(VALUE(MID(C56,3,2))*10+VALUE(MID(D56,2,1))&lt;=254,"Post","Later"))</f>
        <v>Pre</v>
      </c>
      <c r="G56" s="40" t="s">
        <v>343</v>
      </c>
      <c r="H56" s="40" t="s">
        <v>471</v>
      </c>
      <c r="I56" s="40" t="s">
        <v>472</v>
      </c>
    </row>
    <row r="57" customFormat="false" ht="15" hidden="false" customHeight="false" outlineLevel="0" collapsed="false">
      <c r="A57" s="40" t="s">
        <v>344</v>
      </c>
      <c r="B57" s="40" t="s">
        <v>228</v>
      </c>
      <c r="C57" s="40" t="s">
        <v>427</v>
      </c>
      <c r="D57" s="40" t="s">
        <v>425</v>
      </c>
      <c r="E57" s="41" t="n">
        <v>5.6</v>
      </c>
      <c r="F57" s="42" t="str">
        <f aca="false">IF(VALUE(MID(C57,3,2))*10+VALUE(MID(D57,2,1))&lt;=242,"Pre",IF(VALUE(MID(C57,3,2))*10+VALUE(MID(D57,2,1))&lt;=254,"Post","Later"))</f>
        <v>Pre</v>
      </c>
      <c r="G57" s="40" t="s">
        <v>343</v>
      </c>
      <c r="H57" s="40" t="s">
        <v>471</v>
      </c>
      <c r="I57" s="40" t="s">
        <v>472</v>
      </c>
    </row>
    <row r="58" customFormat="false" ht="15" hidden="false" customHeight="false" outlineLevel="0" collapsed="false">
      <c r="A58" s="40" t="s">
        <v>344</v>
      </c>
      <c r="B58" s="40" t="s">
        <v>228</v>
      </c>
      <c r="C58" s="40" t="s">
        <v>432</v>
      </c>
      <c r="D58" s="40" t="s">
        <v>418</v>
      </c>
      <c r="E58" s="41" t="n">
        <v>5.5</v>
      </c>
      <c r="F58" s="42" t="str">
        <f aca="false">IF(VALUE(MID(C58,3,2))*10+VALUE(MID(D58,2,1))&lt;=242,"Pre",IF(VALUE(MID(C58,3,2))*10+VALUE(MID(D58,2,1))&lt;=254,"Post","Later"))</f>
        <v>Pre</v>
      </c>
      <c r="G58" s="40" t="s">
        <v>343</v>
      </c>
      <c r="H58" s="40" t="s">
        <v>473</v>
      </c>
      <c r="I58" s="40" t="s">
        <v>472</v>
      </c>
    </row>
    <row r="59" customFormat="false" ht="15" hidden="false" customHeight="false" outlineLevel="0" collapsed="false">
      <c r="A59" s="40" t="s">
        <v>344</v>
      </c>
      <c r="B59" s="40" t="s">
        <v>228</v>
      </c>
      <c r="C59" s="40" t="s">
        <v>432</v>
      </c>
      <c r="D59" s="40" t="s">
        <v>421</v>
      </c>
      <c r="E59" s="41" t="n">
        <v>6</v>
      </c>
      <c r="F59" s="42" t="str">
        <f aca="false">IF(VALUE(MID(C59,3,2))*10+VALUE(MID(D59,2,1))&lt;=242,"Pre",IF(VALUE(MID(C59,3,2))*10+VALUE(MID(D59,2,1))&lt;=254,"Post","Later"))</f>
        <v>Pre</v>
      </c>
      <c r="G59" s="40" t="s">
        <v>343</v>
      </c>
      <c r="H59" s="40" t="s">
        <v>473</v>
      </c>
      <c r="I59" s="40" t="s">
        <v>472</v>
      </c>
    </row>
    <row r="60" customFormat="false" ht="15" hidden="false" customHeight="false" outlineLevel="0" collapsed="false">
      <c r="A60" s="40" t="s">
        <v>344</v>
      </c>
      <c r="B60" s="40" t="s">
        <v>228</v>
      </c>
      <c r="C60" s="40" t="s">
        <v>432</v>
      </c>
      <c r="D60" s="40" t="s">
        <v>423</v>
      </c>
      <c r="E60" s="41" t="n">
        <v>6.4</v>
      </c>
      <c r="F60" s="42" t="str">
        <f aca="false">IF(VALUE(MID(C60,3,2))*10+VALUE(MID(D60,2,1))&lt;=242,"Pre",IF(VALUE(MID(C60,3,2))*10+VALUE(MID(D60,2,1))&lt;=254,"Post","Later"))</f>
        <v>Pre</v>
      </c>
      <c r="G60" s="40" t="s">
        <v>343</v>
      </c>
      <c r="H60" s="40" t="s">
        <v>473</v>
      </c>
      <c r="I60" s="40" t="s">
        <v>472</v>
      </c>
    </row>
    <row r="61" customFormat="false" ht="15" hidden="false" customHeight="false" outlineLevel="0" collapsed="false">
      <c r="A61" s="40" t="s">
        <v>344</v>
      </c>
      <c r="B61" s="40" t="s">
        <v>228</v>
      </c>
      <c r="C61" s="40" t="s">
        <v>432</v>
      </c>
      <c r="D61" s="40" t="s">
        <v>425</v>
      </c>
      <c r="E61" s="41" t="n">
        <v>6.6</v>
      </c>
      <c r="F61" s="42" t="str">
        <f aca="false">IF(VALUE(MID(C61,3,2))*10+VALUE(MID(D61,2,1))&lt;=242,"Pre",IF(VALUE(MID(C61,3,2))*10+VALUE(MID(D61,2,1))&lt;=254,"Post","Later"))</f>
        <v>Pre</v>
      </c>
      <c r="G61" s="40" t="s">
        <v>343</v>
      </c>
      <c r="H61" s="40" t="s">
        <v>473</v>
      </c>
      <c r="I61" s="40" t="s">
        <v>472</v>
      </c>
    </row>
    <row r="62" customFormat="false" ht="15" hidden="false" customHeight="false" outlineLevel="0" collapsed="false">
      <c r="A62" s="40" t="s">
        <v>344</v>
      </c>
      <c r="B62" s="40" t="s">
        <v>228</v>
      </c>
      <c r="C62" s="40" t="s">
        <v>435</v>
      </c>
      <c r="D62" s="40" t="s">
        <v>418</v>
      </c>
      <c r="E62" s="41" t="n">
        <v>6.9</v>
      </c>
      <c r="F62" s="42" t="str">
        <f aca="false">IF(VALUE(MID(C62,3,2))*10+VALUE(MID(D62,2,1))&lt;=242,"Pre",IF(VALUE(MID(C62,3,2))*10+VALUE(MID(D62,2,1))&lt;=254,"Post","Later"))</f>
        <v>Pre</v>
      </c>
      <c r="G62" s="40" t="s">
        <v>343</v>
      </c>
      <c r="H62" s="40" t="s">
        <v>473</v>
      </c>
      <c r="I62" s="40" t="s">
        <v>472</v>
      </c>
    </row>
    <row r="63" customFormat="false" ht="15" hidden="false" customHeight="false" outlineLevel="0" collapsed="false">
      <c r="A63" s="40" t="s">
        <v>344</v>
      </c>
      <c r="B63" s="40" t="s">
        <v>228</v>
      </c>
      <c r="C63" s="40" t="s">
        <v>435</v>
      </c>
      <c r="D63" s="40" t="s">
        <v>421</v>
      </c>
      <c r="E63" s="41" t="n">
        <v>6.9</v>
      </c>
      <c r="F63" s="42" t="str">
        <f aca="false">IF(VALUE(MID(C63,3,2))*10+VALUE(MID(D63,2,1))&lt;=242,"Pre",IF(VALUE(MID(C63,3,2))*10+VALUE(MID(D63,2,1))&lt;=254,"Post","Later"))</f>
        <v>Pre</v>
      </c>
      <c r="G63" s="40" t="s">
        <v>343</v>
      </c>
      <c r="H63" s="40" t="s">
        <v>473</v>
      </c>
      <c r="I63" s="40" t="s">
        <v>472</v>
      </c>
    </row>
    <row r="64" customFormat="false" ht="15" hidden="false" customHeight="false" outlineLevel="0" collapsed="false">
      <c r="A64" s="40" t="s">
        <v>344</v>
      </c>
      <c r="B64" s="40" t="s">
        <v>228</v>
      </c>
      <c r="C64" s="40" t="s">
        <v>435</v>
      </c>
      <c r="D64" s="40" t="s">
        <v>423</v>
      </c>
      <c r="E64" s="41" t="n">
        <v>7</v>
      </c>
      <c r="F64" s="42" t="str">
        <f aca="false">IF(VALUE(MID(C64,3,2))*10+VALUE(MID(D64,2,1))&lt;=242,"Pre",IF(VALUE(MID(C64,3,2))*10+VALUE(MID(D64,2,1))&lt;=254,"Post","Later"))</f>
        <v>Post</v>
      </c>
      <c r="G64" s="40" t="s">
        <v>343</v>
      </c>
      <c r="H64" s="40" t="s">
        <v>473</v>
      </c>
      <c r="I64" s="40" t="s">
        <v>472</v>
      </c>
    </row>
    <row r="65" customFormat="false" ht="15" hidden="false" customHeight="false" outlineLevel="0" collapsed="false">
      <c r="A65" s="40" t="s">
        <v>344</v>
      </c>
      <c r="B65" s="40" t="s">
        <v>228</v>
      </c>
      <c r="C65" s="40" t="s">
        <v>435</v>
      </c>
      <c r="D65" s="40" t="s">
        <v>425</v>
      </c>
      <c r="E65" s="41" t="n">
        <v>6.9</v>
      </c>
      <c r="F65" s="42" t="str">
        <f aca="false">IF(VALUE(MID(C65,3,2))*10+VALUE(MID(D65,2,1))&lt;=242,"Pre",IF(VALUE(MID(C65,3,2))*10+VALUE(MID(D65,2,1))&lt;=254,"Post","Later"))</f>
        <v>Post</v>
      </c>
      <c r="G65" s="40" t="s">
        <v>343</v>
      </c>
      <c r="H65" s="40" t="s">
        <v>473</v>
      </c>
      <c r="I65" s="40" t="s">
        <v>472</v>
      </c>
    </row>
    <row r="66" customFormat="false" ht="15" hidden="false" customHeight="false" outlineLevel="0" collapsed="false">
      <c r="A66" s="40" t="s">
        <v>344</v>
      </c>
      <c r="B66" s="40" t="s">
        <v>228</v>
      </c>
      <c r="C66" s="40" t="s">
        <v>440</v>
      </c>
      <c r="D66" s="40" t="s">
        <v>418</v>
      </c>
      <c r="E66" s="41" t="n">
        <v>7</v>
      </c>
      <c r="F66" s="42" t="str">
        <f aca="false">IF(VALUE(MID(C66,3,2))*10+VALUE(MID(D66,2,1))&lt;=242,"Pre",IF(VALUE(MID(C66,3,2))*10+VALUE(MID(D66,2,1))&lt;=254,"Post","Later"))</f>
        <v>Post</v>
      </c>
      <c r="G66" s="40" t="s">
        <v>343</v>
      </c>
      <c r="H66" s="40" t="s">
        <v>474</v>
      </c>
      <c r="I66" s="40" t="s">
        <v>472</v>
      </c>
    </row>
    <row r="67" customFormat="false" ht="15" hidden="false" customHeight="false" outlineLevel="0" collapsed="false">
      <c r="A67" s="40" t="s">
        <v>344</v>
      </c>
      <c r="B67" s="40" t="s">
        <v>228</v>
      </c>
      <c r="C67" s="40" t="s">
        <v>440</v>
      </c>
      <c r="D67" s="40" t="s">
        <v>421</v>
      </c>
      <c r="E67" s="41" t="n">
        <v>7.1</v>
      </c>
      <c r="F67" s="42" t="str">
        <f aca="false">IF(VALUE(MID(C67,3,2))*10+VALUE(MID(D67,2,1))&lt;=242,"Pre",IF(VALUE(MID(C67,3,2))*10+VALUE(MID(D67,2,1))&lt;=254,"Post","Later"))</f>
        <v>Post</v>
      </c>
      <c r="G67" s="40" t="s">
        <v>343</v>
      </c>
      <c r="H67" s="40" t="s">
        <v>474</v>
      </c>
      <c r="I67" s="40" t="s">
        <v>472</v>
      </c>
    </row>
    <row r="68" customFormat="false" ht="15" hidden="false" customHeight="false" outlineLevel="0" collapsed="false">
      <c r="A68" s="40" t="s">
        <v>344</v>
      </c>
      <c r="B68" s="40" t="s">
        <v>228</v>
      </c>
      <c r="C68" s="40" t="s">
        <v>440</v>
      </c>
      <c r="D68" s="40" t="s">
        <v>423</v>
      </c>
      <c r="E68" s="41" t="n">
        <v>7.1</v>
      </c>
      <c r="F68" s="42" t="str">
        <f aca="false">IF(VALUE(MID(C68,3,2))*10+VALUE(MID(D68,2,1))&lt;=242,"Pre",IF(VALUE(MID(C68,3,2))*10+VALUE(MID(D68,2,1))&lt;=254,"Post","Later"))</f>
        <v>Post</v>
      </c>
      <c r="G68" s="40" t="s">
        <v>343</v>
      </c>
      <c r="H68" s="40" t="s">
        <v>474</v>
      </c>
      <c r="I68" s="40" t="s">
        <v>472</v>
      </c>
    </row>
    <row r="69" customFormat="false" ht="15" hidden="false" customHeight="false" outlineLevel="0" collapsed="false">
      <c r="A69" s="40" t="s">
        <v>344</v>
      </c>
      <c r="B69" s="40" t="s">
        <v>228</v>
      </c>
      <c r="C69" s="40" t="s">
        <v>440</v>
      </c>
      <c r="D69" s="40" t="s">
        <v>425</v>
      </c>
      <c r="E69" s="41" t="n">
        <v>7.1</v>
      </c>
      <c r="F69" s="42" t="str">
        <f aca="false">IF(VALUE(MID(C69,3,2))*10+VALUE(MID(D69,2,1))&lt;=242,"Pre",IF(VALUE(MID(C69,3,2))*10+VALUE(MID(D69,2,1))&lt;=254,"Post","Later"))</f>
        <v>Post</v>
      </c>
      <c r="G69" s="40" t="s">
        <v>343</v>
      </c>
      <c r="H69" s="40" t="s">
        <v>474</v>
      </c>
      <c r="I69" s="40" t="s">
        <v>472</v>
      </c>
    </row>
    <row r="70" customFormat="false" ht="15" hidden="false" customHeight="false" outlineLevel="0" collapsed="false">
      <c r="A70" s="40" t="s">
        <v>344</v>
      </c>
      <c r="B70" s="40" t="s">
        <v>228</v>
      </c>
      <c r="C70" s="40" t="s">
        <v>444</v>
      </c>
      <c r="D70" s="40" t="s">
        <v>418</v>
      </c>
      <c r="E70" s="41" t="n">
        <v>7</v>
      </c>
      <c r="F70" s="42" t="str">
        <f aca="false">IF(VALUE(MID(C70,3,2))*10+VALUE(MID(D70,2,1))&lt;=242,"Pre",IF(VALUE(MID(C70,3,2))*10+VALUE(MID(D70,2,1))&lt;=254,"Post","Later"))</f>
        <v>Later</v>
      </c>
      <c r="G70" s="40" t="s">
        <v>343</v>
      </c>
      <c r="H70" s="40" t="s">
        <v>474</v>
      </c>
      <c r="I70" s="40" t="s">
        <v>472</v>
      </c>
    </row>
    <row r="71" customFormat="false" ht="15" hidden="false" customHeight="false" outlineLevel="0" collapsed="false">
      <c r="A71" s="40" t="s">
        <v>344</v>
      </c>
      <c r="B71" s="40" t="s">
        <v>228</v>
      </c>
      <c r="C71" s="40" t="s">
        <v>444</v>
      </c>
      <c r="D71" s="40" t="s">
        <v>421</v>
      </c>
      <c r="E71" s="41" t="n">
        <v>6.8</v>
      </c>
      <c r="F71" s="42" t="str">
        <f aca="false">IF(VALUE(MID(C71,3,2))*10+VALUE(MID(D71,2,1))&lt;=242,"Pre",IF(VALUE(MID(C71,3,2))*10+VALUE(MID(D71,2,1))&lt;=254,"Post","Later"))</f>
        <v>Later</v>
      </c>
      <c r="G71" s="40" t="s">
        <v>343</v>
      </c>
      <c r="H71" s="40" t="s">
        <v>474</v>
      </c>
      <c r="I71" s="40" t="s">
        <v>472</v>
      </c>
    </row>
    <row r="72" customFormat="false" ht="15" hidden="false" customHeight="false" outlineLevel="0" collapsed="false">
      <c r="A72" s="40" t="s">
        <v>344</v>
      </c>
      <c r="B72" s="40" t="s">
        <v>228</v>
      </c>
      <c r="C72" s="40" t="s">
        <v>444</v>
      </c>
      <c r="D72" s="40" t="s">
        <v>423</v>
      </c>
      <c r="E72" s="41" t="n">
        <v>6.7</v>
      </c>
      <c r="F72" s="42" t="str">
        <f aca="false">IF(VALUE(MID(C72,3,2))*10+VALUE(MID(D72,2,1))&lt;=242,"Pre",IF(VALUE(MID(C72,3,2))*10+VALUE(MID(D72,2,1))&lt;=254,"Post","Later"))</f>
        <v>Later</v>
      </c>
      <c r="G72" s="40" t="s">
        <v>343</v>
      </c>
      <c r="H72" s="40" t="s">
        <v>474</v>
      </c>
      <c r="I72" s="40" t="s">
        <v>472</v>
      </c>
    </row>
    <row r="73" customFormat="false" ht="15" hidden="false" customHeight="false" outlineLevel="0" collapsed="false">
      <c r="A73" s="40" t="s">
        <v>344</v>
      </c>
      <c r="B73" s="40" t="s">
        <v>228</v>
      </c>
      <c r="C73" s="40" t="s">
        <v>444</v>
      </c>
      <c r="D73" s="40" t="s">
        <v>425</v>
      </c>
      <c r="E73" s="41" t="n">
        <v>6.6</v>
      </c>
      <c r="F73" s="42" t="str">
        <f aca="false">IF(VALUE(MID(C73,3,2))*10+VALUE(MID(D73,2,1))&lt;=242,"Pre",IF(VALUE(MID(C73,3,2))*10+VALUE(MID(D73,2,1))&lt;=254,"Post","Later"))</f>
        <v>Later</v>
      </c>
      <c r="G73" s="40" t="s">
        <v>343</v>
      </c>
      <c r="H73" s="40" t="s">
        <v>474</v>
      </c>
      <c r="I73" s="40" t="s">
        <v>472</v>
      </c>
    </row>
    <row r="74" customFormat="false" ht="15" hidden="false" customHeight="false" outlineLevel="0" collapsed="false">
      <c r="A74" s="40" t="s">
        <v>346</v>
      </c>
      <c r="B74" s="40" t="s">
        <v>228</v>
      </c>
      <c r="C74" s="40" t="s">
        <v>417</v>
      </c>
      <c r="D74" s="40" t="s">
        <v>418</v>
      </c>
      <c r="E74" s="41" t="n">
        <v>8.24</v>
      </c>
      <c r="F74" s="42" t="str">
        <f aca="false">IF(VALUE(MID(C74,3,2))*10+VALUE(MID(D74,2,1))&lt;=242,"Pre",IF(VALUE(MID(C74,3,2))*10+VALUE(MID(D74,2,1))&lt;=254,"Post","Later"))</f>
        <v>Pre</v>
      </c>
      <c r="G74" s="40" t="s">
        <v>343</v>
      </c>
      <c r="H74" s="40" t="s">
        <v>475</v>
      </c>
      <c r="I74" s="40" t="s">
        <v>476</v>
      </c>
    </row>
    <row r="75" customFormat="false" ht="15" hidden="false" customHeight="false" outlineLevel="0" collapsed="false">
      <c r="A75" s="40" t="s">
        <v>346</v>
      </c>
      <c r="B75" s="40" t="s">
        <v>228</v>
      </c>
      <c r="C75" s="40" t="s">
        <v>417</v>
      </c>
      <c r="D75" s="40" t="s">
        <v>421</v>
      </c>
      <c r="E75" s="41" t="n">
        <v>7.89</v>
      </c>
      <c r="F75" s="42" t="str">
        <f aca="false">IF(VALUE(MID(C75,3,2))*10+VALUE(MID(D75,2,1))&lt;=242,"Pre",IF(VALUE(MID(C75,3,2))*10+VALUE(MID(D75,2,1))&lt;=254,"Post","Later"))</f>
        <v>Pre</v>
      </c>
      <c r="G75" s="40" t="s">
        <v>343</v>
      </c>
      <c r="H75" s="40" t="s">
        <v>477</v>
      </c>
      <c r="I75" s="40" t="s">
        <v>476</v>
      </c>
    </row>
    <row r="76" customFormat="false" ht="15" hidden="false" customHeight="false" outlineLevel="0" collapsed="false">
      <c r="A76" s="40" t="s">
        <v>346</v>
      </c>
      <c r="B76" s="40" t="s">
        <v>228</v>
      </c>
      <c r="C76" s="40" t="s">
        <v>417</v>
      </c>
      <c r="D76" s="40" t="s">
        <v>423</v>
      </c>
      <c r="E76" s="41" t="n">
        <v>7.74</v>
      </c>
      <c r="F76" s="42" t="str">
        <f aca="false">IF(VALUE(MID(C76,3,2))*10+VALUE(MID(D76,2,1))&lt;=242,"Pre",IF(VALUE(MID(C76,3,2))*10+VALUE(MID(D76,2,1))&lt;=254,"Post","Later"))</f>
        <v>Pre</v>
      </c>
      <c r="G76" s="40" t="s">
        <v>343</v>
      </c>
      <c r="H76" s="40" t="s">
        <v>478</v>
      </c>
      <c r="I76" s="40" t="s">
        <v>476</v>
      </c>
    </row>
    <row r="77" customFormat="false" ht="15" hidden="false" customHeight="false" outlineLevel="0" collapsed="false">
      <c r="A77" s="40" t="s">
        <v>346</v>
      </c>
      <c r="B77" s="40" t="s">
        <v>228</v>
      </c>
      <c r="C77" s="40" t="s">
        <v>417</v>
      </c>
      <c r="D77" s="40" t="s">
        <v>425</v>
      </c>
      <c r="E77" s="41" t="n">
        <v>7.39</v>
      </c>
      <c r="F77" s="42" t="str">
        <f aca="false">IF(VALUE(MID(C77,3,2))*10+VALUE(MID(D77,2,1))&lt;=242,"Pre",IF(VALUE(MID(C77,3,2))*10+VALUE(MID(D77,2,1))&lt;=254,"Post","Later"))</f>
        <v>Pre</v>
      </c>
      <c r="G77" s="40" t="s">
        <v>343</v>
      </c>
      <c r="H77" s="40" t="s">
        <v>479</v>
      </c>
      <c r="I77" s="40" t="s">
        <v>476</v>
      </c>
    </row>
    <row r="78" customFormat="false" ht="15" hidden="false" customHeight="false" outlineLevel="0" collapsed="false">
      <c r="A78" s="40" t="s">
        <v>346</v>
      </c>
      <c r="B78" s="40" t="s">
        <v>228</v>
      </c>
      <c r="C78" s="40" t="s">
        <v>427</v>
      </c>
      <c r="D78" s="40" t="s">
        <v>418</v>
      </c>
      <c r="E78" s="41" t="n">
        <v>7.13</v>
      </c>
      <c r="F78" s="42" t="str">
        <f aca="false">IF(VALUE(MID(C78,3,2))*10+VALUE(MID(D78,2,1))&lt;=242,"Pre",IF(VALUE(MID(C78,3,2))*10+VALUE(MID(D78,2,1))&lt;=254,"Post","Later"))</f>
        <v>Pre</v>
      </c>
      <c r="G78" s="40" t="s">
        <v>343</v>
      </c>
      <c r="H78" s="40" t="s">
        <v>480</v>
      </c>
      <c r="I78" s="40" t="s">
        <v>476</v>
      </c>
    </row>
    <row r="79" customFormat="false" ht="15" hidden="false" customHeight="false" outlineLevel="0" collapsed="false">
      <c r="A79" s="40" t="s">
        <v>346</v>
      </c>
      <c r="B79" s="40" t="s">
        <v>228</v>
      </c>
      <c r="C79" s="40" t="s">
        <v>427</v>
      </c>
      <c r="D79" s="40" t="s">
        <v>421</v>
      </c>
      <c r="E79" s="41" t="n">
        <v>7.27</v>
      </c>
      <c r="F79" s="42" t="str">
        <f aca="false">IF(VALUE(MID(C79,3,2))*10+VALUE(MID(D79,2,1))&lt;=242,"Pre",IF(VALUE(MID(C79,3,2))*10+VALUE(MID(D79,2,1))&lt;=254,"Post","Later"))</f>
        <v>Pre</v>
      </c>
      <c r="G79" s="40" t="s">
        <v>343</v>
      </c>
      <c r="H79" s="40" t="s">
        <v>481</v>
      </c>
      <c r="I79" s="40" t="s">
        <v>476</v>
      </c>
    </row>
    <row r="80" customFormat="false" ht="15" hidden="false" customHeight="false" outlineLevel="0" collapsed="false">
      <c r="A80" s="40" t="s">
        <v>346</v>
      </c>
      <c r="B80" s="40" t="s">
        <v>228</v>
      </c>
      <c r="C80" s="40" t="s">
        <v>427</v>
      </c>
      <c r="D80" s="40" t="s">
        <v>423</v>
      </c>
      <c r="E80" s="41" t="n">
        <v>6.72</v>
      </c>
      <c r="F80" s="42" t="str">
        <f aca="false">IF(VALUE(MID(C80,3,2))*10+VALUE(MID(D80,2,1))&lt;=242,"Pre",IF(VALUE(MID(C80,3,2))*10+VALUE(MID(D80,2,1))&lt;=254,"Post","Later"))</f>
        <v>Pre</v>
      </c>
      <c r="G80" s="40" t="s">
        <v>343</v>
      </c>
      <c r="H80" s="40" t="s">
        <v>482</v>
      </c>
      <c r="I80" s="40" t="s">
        <v>476</v>
      </c>
    </row>
    <row r="81" customFormat="false" ht="15" hidden="false" customHeight="false" outlineLevel="0" collapsed="false">
      <c r="A81" s="40" t="s">
        <v>346</v>
      </c>
      <c r="B81" s="40" t="s">
        <v>228</v>
      </c>
      <c r="C81" s="40" t="s">
        <v>427</v>
      </c>
      <c r="D81" s="40" t="s">
        <v>425</v>
      </c>
      <c r="E81" s="41" t="n">
        <v>6.61</v>
      </c>
      <c r="F81" s="42" t="str">
        <f aca="false">IF(VALUE(MID(C81,3,2))*10+VALUE(MID(D81,2,1))&lt;=242,"Pre",IF(VALUE(MID(C81,3,2))*10+VALUE(MID(D81,2,1))&lt;=254,"Post","Later"))</f>
        <v>Pre</v>
      </c>
      <c r="G81" s="40" t="s">
        <v>343</v>
      </c>
      <c r="H81" s="40" t="s">
        <v>483</v>
      </c>
      <c r="I81" s="40" t="s">
        <v>476</v>
      </c>
    </row>
    <row r="82" customFormat="false" ht="15" hidden="false" customHeight="false" outlineLevel="0" collapsed="false">
      <c r="A82" s="40" t="s">
        <v>346</v>
      </c>
      <c r="B82" s="40" t="s">
        <v>228</v>
      </c>
      <c r="C82" s="40" t="s">
        <v>432</v>
      </c>
      <c r="D82" s="40" t="s">
        <v>418</v>
      </c>
      <c r="E82" s="41" t="n">
        <v>6.46</v>
      </c>
      <c r="F82" s="42" t="str">
        <f aca="false">IF(VALUE(MID(C82,3,2))*10+VALUE(MID(D82,2,1))&lt;=242,"Pre",IF(VALUE(MID(C82,3,2))*10+VALUE(MID(D82,2,1))&lt;=254,"Post","Later"))</f>
        <v>Pre</v>
      </c>
      <c r="G82" s="40" t="s">
        <v>343</v>
      </c>
      <c r="H82" s="40" t="s">
        <v>484</v>
      </c>
      <c r="I82" s="40" t="s">
        <v>476</v>
      </c>
    </row>
    <row r="83" customFormat="false" ht="15" hidden="false" customHeight="false" outlineLevel="0" collapsed="false">
      <c r="A83" s="40" t="s">
        <v>346</v>
      </c>
      <c r="B83" s="40" t="s">
        <v>228</v>
      </c>
      <c r="C83" s="40" t="s">
        <v>432</v>
      </c>
      <c r="D83" s="40" t="s">
        <v>421</v>
      </c>
      <c r="E83" s="41" t="n">
        <v>6.74</v>
      </c>
      <c r="F83" s="42" t="str">
        <f aca="false">IF(VALUE(MID(C83,3,2))*10+VALUE(MID(D83,2,1))&lt;=242,"Pre",IF(VALUE(MID(C83,3,2))*10+VALUE(MID(D83,2,1))&lt;=254,"Post","Later"))</f>
        <v>Pre</v>
      </c>
      <c r="G83" s="40" t="s">
        <v>343</v>
      </c>
      <c r="H83" s="40" t="s">
        <v>485</v>
      </c>
      <c r="I83" s="40" t="s">
        <v>476</v>
      </c>
    </row>
    <row r="84" customFormat="false" ht="15" hidden="false" customHeight="false" outlineLevel="0" collapsed="false">
      <c r="A84" s="40" t="s">
        <v>346</v>
      </c>
      <c r="B84" s="40" t="s">
        <v>228</v>
      </c>
      <c r="C84" s="40" t="s">
        <v>432</v>
      </c>
      <c r="D84" s="40" t="s">
        <v>423</v>
      </c>
      <c r="E84" s="41" t="n">
        <v>7.16</v>
      </c>
      <c r="F84" s="42" t="str">
        <f aca="false">IF(VALUE(MID(C84,3,2))*10+VALUE(MID(D84,2,1))&lt;=242,"Pre",IF(VALUE(MID(C84,3,2))*10+VALUE(MID(D84,2,1))&lt;=254,"Post","Later"))</f>
        <v>Pre</v>
      </c>
      <c r="G84" s="40" t="s">
        <v>343</v>
      </c>
      <c r="H84" s="40" t="s">
        <v>486</v>
      </c>
      <c r="I84" s="40" t="s">
        <v>476</v>
      </c>
    </row>
    <row r="85" customFormat="false" ht="15" hidden="false" customHeight="false" outlineLevel="0" collapsed="false">
      <c r="A85" s="40" t="s">
        <v>346</v>
      </c>
      <c r="B85" s="40" t="s">
        <v>228</v>
      </c>
      <c r="C85" s="40" t="s">
        <v>432</v>
      </c>
      <c r="D85" s="40" t="s">
        <v>425</v>
      </c>
      <c r="E85" s="41" t="n">
        <v>7.29</v>
      </c>
      <c r="F85" s="42" t="str">
        <f aca="false">IF(VALUE(MID(C85,3,2))*10+VALUE(MID(D85,2,1))&lt;=242,"Pre",IF(VALUE(MID(C85,3,2))*10+VALUE(MID(D85,2,1))&lt;=254,"Post","Later"))</f>
        <v>Pre</v>
      </c>
      <c r="G85" s="40" t="s">
        <v>343</v>
      </c>
      <c r="H85" s="40" t="s">
        <v>487</v>
      </c>
      <c r="I85" s="40" t="s">
        <v>476</v>
      </c>
    </row>
    <row r="86" customFormat="false" ht="15" hidden="false" customHeight="false" outlineLevel="0" collapsed="false">
      <c r="A86" s="40" t="s">
        <v>346</v>
      </c>
      <c r="B86" s="40" t="s">
        <v>228</v>
      </c>
      <c r="C86" s="40" t="s">
        <v>435</v>
      </c>
      <c r="D86" s="40" t="s">
        <v>418</v>
      </c>
      <c r="E86" s="41" t="n">
        <v>7.49</v>
      </c>
      <c r="F86" s="42" t="str">
        <f aca="false">IF(VALUE(MID(C86,3,2))*10+VALUE(MID(D86,2,1))&lt;=242,"Pre",IF(VALUE(MID(C86,3,2))*10+VALUE(MID(D86,2,1))&lt;=254,"Post","Later"))</f>
        <v>Pre</v>
      </c>
      <c r="G86" s="40" t="s">
        <v>343</v>
      </c>
      <c r="H86" s="40" t="s">
        <v>488</v>
      </c>
      <c r="I86" s="40" t="s">
        <v>476</v>
      </c>
    </row>
    <row r="87" customFormat="false" ht="15" hidden="false" customHeight="false" outlineLevel="0" collapsed="false">
      <c r="A87" s="40" t="s">
        <v>346</v>
      </c>
      <c r="B87" s="40" t="s">
        <v>228</v>
      </c>
      <c r="C87" s="40" t="s">
        <v>435</v>
      </c>
      <c r="D87" s="40" t="s">
        <v>421</v>
      </c>
      <c r="E87" s="41" t="n">
        <v>7.6</v>
      </c>
      <c r="F87" s="42" t="str">
        <f aca="false">IF(VALUE(MID(C87,3,2))*10+VALUE(MID(D87,2,1))&lt;=242,"Pre",IF(VALUE(MID(C87,3,2))*10+VALUE(MID(D87,2,1))&lt;=254,"Post","Later"))</f>
        <v>Pre</v>
      </c>
      <c r="G87" s="40" t="s">
        <v>343</v>
      </c>
      <c r="H87" s="40" t="s">
        <v>489</v>
      </c>
      <c r="I87" s="40" t="s">
        <v>476</v>
      </c>
    </row>
    <row r="88" customFormat="false" ht="15" hidden="false" customHeight="false" outlineLevel="0" collapsed="false">
      <c r="A88" s="40" t="s">
        <v>346</v>
      </c>
      <c r="B88" s="40" t="s">
        <v>228</v>
      </c>
      <c r="C88" s="40" t="s">
        <v>435</v>
      </c>
      <c r="D88" s="40" t="s">
        <v>423</v>
      </c>
      <c r="E88" s="41" t="n">
        <v>7.78</v>
      </c>
      <c r="F88" s="42" t="str">
        <f aca="false">IF(VALUE(MID(C88,3,2))*10+VALUE(MID(D88,2,1))&lt;=242,"Pre",IF(VALUE(MID(C88,3,2))*10+VALUE(MID(D88,2,1))&lt;=254,"Post","Later"))</f>
        <v>Post</v>
      </c>
      <c r="G88" s="40" t="s">
        <v>343</v>
      </c>
      <c r="H88" s="40" t="s">
        <v>490</v>
      </c>
      <c r="I88" s="40" t="s">
        <v>476</v>
      </c>
    </row>
    <row r="89" customFormat="false" ht="15" hidden="false" customHeight="false" outlineLevel="0" collapsed="false">
      <c r="A89" s="40" t="s">
        <v>346</v>
      </c>
      <c r="B89" s="40" t="s">
        <v>228</v>
      </c>
      <c r="C89" s="40" t="s">
        <v>435</v>
      </c>
      <c r="D89" s="40" t="s">
        <v>425</v>
      </c>
      <c r="E89" s="41" t="n">
        <v>7.74</v>
      </c>
      <c r="F89" s="42" t="str">
        <f aca="false">IF(VALUE(MID(C89,3,2))*10+VALUE(MID(D89,2,1))&lt;=242,"Pre",IF(VALUE(MID(C89,3,2))*10+VALUE(MID(D89,2,1))&lt;=254,"Post","Later"))</f>
        <v>Post</v>
      </c>
      <c r="G89" s="40" t="s">
        <v>343</v>
      </c>
      <c r="H89" s="40" t="s">
        <v>491</v>
      </c>
      <c r="I89" s="40" t="s">
        <v>476</v>
      </c>
    </row>
    <row r="90" customFormat="false" ht="15" hidden="false" customHeight="false" outlineLevel="0" collapsed="false">
      <c r="A90" s="40" t="s">
        <v>346</v>
      </c>
      <c r="B90" s="40" t="s">
        <v>228</v>
      </c>
      <c r="C90" s="40" t="s">
        <v>440</v>
      </c>
      <c r="D90" s="40" t="s">
        <v>418</v>
      </c>
      <c r="E90" s="41" t="n">
        <v>7.76</v>
      </c>
      <c r="F90" s="42" t="str">
        <f aca="false">IF(VALUE(MID(C90,3,2))*10+VALUE(MID(D90,2,1))&lt;=242,"Pre",IF(VALUE(MID(C90,3,2))*10+VALUE(MID(D90,2,1))&lt;=254,"Post","Later"))</f>
        <v>Post</v>
      </c>
      <c r="G90" s="40" t="s">
        <v>343</v>
      </c>
      <c r="H90" s="40" t="s">
        <v>492</v>
      </c>
      <c r="I90" s="40" t="s">
        <v>476</v>
      </c>
    </row>
    <row r="91" customFormat="false" ht="15" hidden="false" customHeight="false" outlineLevel="0" collapsed="false">
      <c r="A91" s="40" t="s">
        <v>346</v>
      </c>
      <c r="B91" s="40" t="s">
        <v>228</v>
      </c>
      <c r="C91" s="40" t="s">
        <v>440</v>
      </c>
      <c r="D91" s="40" t="s">
        <v>421</v>
      </c>
      <c r="E91" s="41" t="n">
        <v>7.76</v>
      </c>
      <c r="F91" s="42" t="str">
        <f aca="false">IF(VALUE(MID(C91,3,2))*10+VALUE(MID(D91,2,1))&lt;=242,"Pre",IF(VALUE(MID(C91,3,2))*10+VALUE(MID(D91,2,1))&lt;=254,"Post","Later"))</f>
        <v>Post</v>
      </c>
      <c r="G91" s="40" t="s">
        <v>343</v>
      </c>
      <c r="H91" s="40" t="s">
        <v>493</v>
      </c>
      <c r="I91" s="40" t="s">
        <v>476</v>
      </c>
    </row>
    <row r="92" customFormat="false" ht="15" hidden="false" customHeight="false" outlineLevel="0" collapsed="false">
      <c r="A92" s="40" t="s">
        <v>346</v>
      </c>
      <c r="B92" s="40" t="s">
        <v>228</v>
      </c>
      <c r="C92" s="40" t="s">
        <v>440</v>
      </c>
      <c r="D92" s="40" t="s">
        <v>423</v>
      </c>
      <c r="E92" s="41" t="n">
        <v>7.76</v>
      </c>
      <c r="F92" s="42" t="str">
        <f aca="false">IF(VALUE(MID(C92,3,2))*10+VALUE(MID(D92,2,1))&lt;=242,"Pre",IF(VALUE(MID(C92,3,2))*10+VALUE(MID(D92,2,1))&lt;=254,"Post","Later"))</f>
        <v>Post</v>
      </c>
      <c r="G92" s="40" t="s">
        <v>343</v>
      </c>
      <c r="H92" s="40" t="s">
        <v>494</v>
      </c>
      <c r="I92" s="40" t="s">
        <v>495</v>
      </c>
    </row>
    <row r="93" customFormat="false" ht="15" hidden="false" customHeight="false" outlineLevel="0" collapsed="false">
      <c r="A93" s="40" t="s">
        <v>346</v>
      </c>
      <c r="B93" s="40" t="s">
        <v>228</v>
      </c>
      <c r="C93" s="40" t="s">
        <v>440</v>
      </c>
      <c r="D93" s="40" t="s">
        <v>425</v>
      </c>
      <c r="E93" s="41" t="n">
        <v>7.66</v>
      </c>
      <c r="F93" s="42" t="str">
        <f aca="false">IF(VALUE(MID(C93,3,2))*10+VALUE(MID(D93,2,1))&lt;=242,"Pre",IF(VALUE(MID(C93,3,2))*10+VALUE(MID(D93,2,1))&lt;=254,"Post","Later"))</f>
        <v>Post</v>
      </c>
      <c r="G93" s="40" t="s">
        <v>343</v>
      </c>
      <c r="H93" s="40" t="s">
        <v>496</v>
      </c>
      <c r="I93" s="40" t="s">
        <v>495</v>
      </c>
    </row>
    <row r="94" customFormat="false" ht="15" hidden="false" customHeight="false" outlineLevel="0" collapsed="false">
      <c r="A94" s="40" t="s">
        <v>346</v>
      </c>
      <c r="B94" s="40" t="s">
        <v>228</v>
      </c>
      <c r="C94" s="40" t="s">
        <v>444</v>
      </c>
      <c r="D94" s="40" t="s">
        <v>418</v>
      </c>
      <c r="E94" s="41" t="n">
        <v>7.82</v>
      </c>
      <c r="F94" s="42" t="str">
        <f aca="false">IF(VALUE(MID(C94,3,2))*10+VALUE(MID(D94,2,1))&lt;=242,"Pre",IF(VALUE(MID(C94,3,2))*10+VALUE(MID(D94,2,1))&lt;=254,"Post","Later"))</f>
        <v>Later</v>
      </c>
      <c r="G94" s="40" t="s">
        <v>343</v>
      </c>
      <c r="H94" s="40" t="s">
        <v>497</v>
      </c>
      <c r="I94" s="40" t="s">
        <v>476</v>
      </c>
    </row>
    <row r="95" customFormat="false" ht="15" hidden="false" customHeight="false" outlineLevel="0" collapsed="false">
      <c r="A95" s="40" t="s">
        <v>346</v>
      </c>
      <c r="B95" s="40" t="s">
        <v>228</v>
      </c>
      <c r="C95" s="40" t="s">
        <v>444</v>
      </c>
      <c r="D95" s="40" t="s">
        <v>421</v>
      </c>
      <c r="E95" s="41" t="n">
        <v>7.45</v>
      </c>
      <c r="F95" s="42" t="str">
        <f aca="false">IF(VALUE(MID(C95,3,2))*10+VALUE(MID(D95,2,1))&lt;=242,"Pre",IF(VALUE(MID(C95,3,2))*10+VALUE(MID(D95,2,1))&lt;=254,"Post","Later"))</f>
        <v>Later</v>
      </c>
      <c r="G95" s="40" t="s">
        <v>343</v>
      </c>
      <c r="H95" s="40" t="s">
        <v>498</v>
      </c>
      <c r="I95" s="40" t="s">
        <v>476</v>
      </c>
    </row>
    <row r="96" customFormat="false" ht="15" hidden="false" customHeight="false" outlineLevel="0" collapsed="false">
      <c r="A96" s="40" t="s">
        <v>346</v>
      </c>
      <c r="B96" s="40" t="s">
        <v>228</v>
      </c>
      <c r="C96" s="40" t="s">
        <v>444</v>
      </c>
      <c r="D96" s="40" t="s">
        <v>423</v>
      </c>
      <c r="E96" s="41" t="n">
        <v>7.43</v>
      </c>
      <c r="F96" s="42" t="str">
        <f aca="false">IF(VALUE(MID(C96,3,2))*10+VALUE(MID(D96,2,1))&lt;=242,"Pre",IF(VALUE(MID(C96,3,2))*10+VALUE(MID(D96,2,1))&lt;=254,"Post","Later"))</f>
        <v>Later</v>
      </c>
      <c r="G96" s="40" t="s">
        <v>343</v>
      </c>
      <c r="H96" s="40" t="s">
        <v>499</v>
      </c>
      <c r="I96" s="40" t="s">
        <v>476</v>
      </c>
    </row>
    <row r="97" customFormat="false" ht="15" hidden="false" customHeight="false" outlineLevel="0" collapsed="false">
      <c r="A97" s="40" t="s">
        <v>346</v>
      </c>
      <c r="B97" s="40" t="s">
        <v>228</v>
      </c>
      <c r="C97" s="40" t="s">
        <v>444</v>
      </c>
      <c r="D97" s="40" t="s">
        <v>425</v>
      </c>
      <c r="E97" s="41" t="n">
        <v>7.16</v>
      </c>
      <c r="F97" s="42" t="str">
        <f aca="false">IF(VALUE(MID(C97,3,2))*10+VALUE(MID(D97,2,1))&lt;=242,"Pre",IF(VALUE(MID(C97,3,2))*10+VALUE(MID(D97,2,1))&lt;=254,"Post","Later"))</f>
        <v>Later</v>
      </c>
      <c r="G97" s="40" t="s">
        <v>343</v>
      </c>
      <c r="H97" s="40" t="s">
        <v>500</v>
      </c>
      <c r="I97" s="40" t="s">
        <v>476</v>
      </c>
    </row>
    <row r="98" customFormat="false" ht="15" hidden="false" customHeight="false" outlineLevel="0" collapsed="false">
      <c r="A98" s="40" t="s">
        <v>347</v>
      </c>
      <c r="B98" s="40" t="s">
        <v>228</v>
      </c>
      <c r="C98" s="40" t="s">
        <v>417</v>
      </c>
      <c r="D98" s="40" t="s">
        <v>418</v>
      </c>
      <c r="E98" s="41" t="n">
        <v>9.4</v>
      </c>
      <c r="F98" s="42" t="str">
        <f aca="false">IF(VALUE(MID(C98,3,2))*10+VALUE(MID(D98,2,1))&lt;=242,"Pre",IF(VALUE(MID(C98,3,2))*10+VALUE(MID(D98,2,1))&lt;=254,"Post","Later"))</f>
        <v>Pre</v>
      </c>
      <c r="G98" s="40" t="s">
        <v>343</v>
      </c>
      <c r="H98" s="40" t="s">
        <v>501</v>
      </c>
      <c r="I98" s="40" t="s">
        <v>502</v>
      </c>
    </row>
    <row r="99" customFormat="false" ht="15" hidden="false" customHeight="false" outlineLevel="0" collapsed="false">
      <c r="A99" s="40" t="s">
        <v>347</v>
      </c>
      <c r="B99" s="40" t="s">
        <v>228</v>
      </c>
      <c r="C99" s="40" t="s">
        <v>417</v>
      </c>
      <c r="D99" s="40" t="s">
        <v>421</v>
      </c>
      <c r="E99" s="41" t="n">
        <v>9.22</v>
      </c>
      <c r="F99" s="42" t="str">
        <f aca="false">IF(VALUE(MID(C99,3,2))*10+VALUE(MID(D99,2,1))&lt;=242,"Pre",IF(VALUE(MID(C99,3,2))*10+VALUE(MID(D99,2,1))&lt;=254,"Post","Later"))</f>
        <v>Pre</v>
      </c>
      <c r="G99" s="40" t="s">
        <v>343</v>
      </c>
      <c r="H99" s="40" t="s">
        <v>503</v>
      </c>
      <c r="I99" s="40" t="s">
        <v>504</v>
      </c>
    </row>
    <row r="100" customFormat="false" ht="15" hidden="false" customHeight="false" outlineLevel="0" collapsed="false">
      <c r="A100" s="40" t="s">
        <v>347</v>
      </c>
      <c r="B100" s="40" t="s">
        <v>228</v>
      </c>
      <c r="C100" s="40" t="s">
        <v>417</v>
      </c>
      <c r="D100" s="40" t="s">
        <v>423</v>
      </c>
      <c r="E100" s="41" t="n">
        <v>8.92</v>
      </c>
      <c r="F100" s="42" t="str">
        <f aca="false">IF(VALUE(MID(C100,3,2))*10+VALUE(MID(D100,2,1))&lt;=242,"Pre",IF(VALUE(MID(C100,3,2))*10+VALUE(MID(D100,2,1))&lt;=254,"Post","Later"))</f>
        <v>Pre</v>
      </c>
      <c r="G100" s="40" t="s">
        <v>343</v>
      </c>
      <c r="H100" s="40" t="s">
        <v>505</v>
      </c>
      <c r="I100" s="40" t="s">
        <v>504</v>
      </c>
    </row>
    <row r="101" customFormat="false" ht="15" hidden="false" customHeight="false" outlineLevel="0" collapsed="false">
      <c r="A101" s="40" t="s">
        <v>347</v>
      </c>
      <c r="B101" s="40" t="s">
        <v>228</v>
      </c>
      <c r="C101" s="40" t="s">
        <v>417</v>
      </c>
      <c r="D101" s="40" t="s">
        <v>425</v>
      </c>
      <c r="E101" s="41" t="n">
        <v>8.86</v>
      </c>
      <c r="F101" s="42" t="str">
        <f aca="false">IF(VALUE(MID(C101,3,2))*10+VALUE(MID(D101,2,1))&lt;=242,"Pre",IF(VALUE(MID(C101,3,2))*10+VALUE(MID(D101,2,1))&lt;=254,"Post","Later"))</f>
        <v>Pre</v>
      </c>
      <c r="G101" s="40" t="s">
        <v>343</v>
      </c>
      <c r="H101" s="40" t="s">
        <v>506</v>
      </c>
      <c r="I101" s="40" t="s">
        <v>504</v>
      </c>
    </row>
    <row r="102" customFormat="false" ht="15" hidden="false" customHeight="false" outlineLevel="0" collapsed="false">
      <c r="A102" s="40" t="s">
        <v>347</v>
      </c>
      <c r="B102" s="40" t="s">
        <v>228</v>
      </c>
      <c r="C102" s="40" t="s">
        <v>427</v>
      </c>
      <c r="D102" s="40" t="s">
        <v>418</v>
      </c>
      <c r="E102" s="41" t="n">
        <v>8.43</v>
      </c>
      <c r="F102" s="42" t="str">
        <f aca="false">IF(VALUE(MID(C102,3,2))*10+VALUE(MID(D102,2,1))&lt;=242,"Pre",IF(VALUE(MID(C102,3,2))*10+VALUE(MID(D102,2,1))&lt;=254,"Post","Later"))</f>
        <v>Pre</v>
      </c>
      <c r="G102" s="40" t="s">
        <v>343</v>
      </c>
      <c r="H102" s="40" t="s">
        <v>507</v>
      </c>
      <c r="I102" s="40" t="s">
        <v>502</v>
      </c>
    </row>
    <row r="103" customFormat="false" ht="15" hidden="false" customHeight="false" outlineLevel="0" collapsed="false">
      <c r="A103" s="40" t="s">
        <v>347</v>
      </c>
      <c r="B103" s="40" t="s">
        <v>228</v>
      </c>
      <c r="C103" s="40" t="s">
        <v>427</v>
      </c>
      <c r="D103" s="40" t="s">
        <v>421</v>
      </c>
      <c r="E103" s="41" t="n">
        <v>8.47</v>
      </c>
      <c r="F103" s="42" t="str">
        <f aca="false">IF(VALUE(MID(C103,3,2))*10+VALUE(MID(D103,2,1))&lt;=242,"Pre",IF(VALUE(MID(C103,3,2))*10+VALUE(MID(D103,2,1))&lt;=254,"Post","Later"))</f>
        <v>Pre</v>
      </c>
      <c r="G103" s="40" t="s">
        <v>343</v>
      </c>
      <c r="H103" s="40" t="s">
        <v>508</v>
      </c>
      <c r="I103" s="40" t="s">
        <v>504</v>
      </c>
    </row>
    <row r="104" customFormat="false" ht="15" hidden="false" customHeight="false" outlineLevel="0" collapsed="false">
      <c r="A104" s="40" t="s">
        <v>347</v>
      </c>
      <c r="B104" s="40" t="s">
        <v>228</v>
      </c>
      <c r="C104" s="40" t="s">
        <v>427</v>
      </c>
      <c r="D104" s="40" t="s">
        <v>423</v>
      </c>
      <c r="E104" s="41" t="n">
        <v>8.15</v>
      </c>
      <c r="F104" s="42" t="str">
        <f aca="false">IF(VALUE(MID(C104,3,2))*10+VALUE(MID(D104,2,1))&lt;=242,"Pre",IF(VALUE(MID(C104,3,2))*10+VALUE(MID(D104,2,1))&lt;=254,"Post","Later"))</f>
        <v>Pre</v>
      </c>
      <c r="G104" s="40" t="s">
        <v>343</v>
      </c>
      <c r="H104" s="40" t="s">
        <v>509</v>
      </c>
      <c r="I104" s="40" t="s">
        <v>504</v>
      </c>
    </row>
    <row r="105" customFormat="false" ht="15" hidden="false" customHeight="false" outlineLevel="0" collapsed="false">
      <c r="A105" s="40" t="s">
        <v>347</v>
      </c>
      <c r="B105" s="40" t="s">
        <v>228</v>
      </c>
      <c r="C105" s="40" t="s">
        <v>427</v>
      </c>
      <c r="D105" s="40" t="s">
        <v>425</v>
      </c>
      <c r="E105" s="41" t="n">
        <v>8.15</v>
      </c>
      <c r="F105" s="42" t="str">
        <f aca="false">IF(VALUE(MID(C105,3,2))*10+VALUE(MID(D105,2,1))&lt;=242,"Pre",IF(VALUE(MID(C105,3,2))*10+VALUE(MID(D105,2,1))&lt;=254,"Post","Later"))</f>
        <v>Pre</v>
      </c>
      <c r="G105" s="40" t="s">
        <v>343</v>
      </c>
      <c r="H105" s="40" t="s">
        <v>510</v>
      </c>
      <c r="I105" s="40" t="s">
        <v>504</v>
      </c>
    </row>
    <row r="106" customFormat="false" ht="15" hidden="false" customHeight="false" outlineLevel="0" collapsed="false">
      <c r="A106" s="40" t="s">
        <v>347</v>
      </c>
      <c r="B106" s="40" t="s">
        <v>228</v>
      </c>
      <c r="C106" s="40" t="s">
        <v>432</v>
      </c>
      <c r="D106" s="40" t="s">
        <v>418</v>
      </c>
      <c r="E106" s="41" t="n">
        <v>8.16</v>
      </c>
      <c r="F106" s="42" t="str">
        <f aca="false">IF(VALUE(MID(C106,3,2))*10+VALUE(MID(D106,2,1))&lt;=242,"Pre",IF(VALUE(MID(C106,3,2))*10+VALUE(MID(D106,2,1))&lt;=254,"Post","Later"))</f>
        <v>Pre</v>
      </c>
      <c r="G106" s="40" t="s">
        <v>343</v>
      </c>
      <c r="H106" s="40" t="s">
        <v>511</v>
      </c>
      <c r="I106" s="40" t="s">
        <v>512</v>
      </c>
    </row>
    <row r="107" customFormat="false" ht="15" hidden="false" customHeight="false" outlineLevel="0" collapsed="false">
      <c r="A107" s="40" t="s">
        <v>347</v>
      </c>
      <c r="B107" s="40" t="s">
        <v>228</v>
      </c>
      <c r="C107" s="40" t="s">
        <v>432</v>
      </c>
      <c r="D107" s="40" t="s">
        <v>421</v>
      </c>
      <c r="E107" s="41" t="n">
        <v>8.28</v>
      </c>
      <c r="F107" s="42" t="str">
        <f aca="false">IF(VALUE(MID(C107,3,2))*10+VALUE(MID(D107,2,1))&lt;=242,"Pre",IF(VALUE(MID(C107,3,2))*10+VALUE(MID(D107,2,1))&lt;=254,"Post","Later"))</f>
        <v>Pre</v>
      </c>
      <c r="G107" s="40" t="s">
        <v>343</v>
      </c>
      <c r="H107" s="40" t="s">
        <v>513</v>
      </c>
      <c r="I107" s="40" t="s">
        <v>512</v>
      </c>
    </row>
    <row r="108" customFormat="false" ht="15" hidden="false" customHeight="false" outlineLevel="0" collapsed="false">
      <c r="A108" s="40" t="s">
        <v>347</v>
      </c>
      <c r="B108" s="40" t="s">
        <v>228</v>
      </c>
      <c r="C108" s="40" t="s">
        <v>432</v>
      </c>
      <c r="D108" s="40" t="s">
        <v>423</v>
      </c>
      <c r="E108" s="41" t="n">
        <v>8.11</v>
      </c>
      <c r="F108" s="42" t="str">
        <f aca="false">IF(VALUE(MID(C108,3,2))*10+VALUE(MID(D108,2,1))&lt;=242,"Pre",IF(VALUE(MID(C108,3,2))*10+VALUE(MID(D108,2,1))&lt;=254,"Post","Later"))</f>
        <v>Pre</v>
      </c>
      <c r="G108" s="40" t="s">
        <v>343</v>
      </c>
      <c r="H108" s="40" t="s">
        <v>514</v>
      </c>
      <c r="I108" s="40" t="s">
        <v>512</v>
      </c>
    </row>
    <row r="109" customFormat="false" ht="15" hidden="false" customHeight="false" outlineLevel="0" collapsed="false">
      <c r="A109" s="40" t="s">
        <v>347</v>
      </c>
      <c r="B109" s="40" t="s">
        <v>228</v>
      </c>
      <c r="C109" s="40" t="s">
        <v>432</v>
      </c>
      <c r="D109" s="40" t="s">
        <v>425</v>
      </c>
      <c r="E109" s="41" t="n">
        <v>8.38</v>
      </c>
      <c r="F109" s="42" t="str">
        <f aca="false">IF(VALUE(MID(C109,3,2))*10+VALUE(MID(D109,2,1))&lt;=242,"Pre",IF(VALUE(MID(C109,3,2))*10+VALUE(MID(D109,2,1))&lt;=254,"Post","Later"))</f>
        <v>Pre</v>
      </c>
      <c r="G109" s="40" t="s">
        <v>343</v>
      </c>
      <c r="H109" s="40" t="s">
        <v>515</v>
      </c>
      <c r="I109" s="40" t="s">
        <v>512</v>
      </c>
    </row>
    <row r="110" customFormat="false" ht="15" hidden="false" customHeight="false" outlineLevel="0" collapsed="false">
      <c r="A110" s="40" t="s">
        <v>347</v>
      </c>
      <c r="B110" s="40" t="s">
        <v>228</v>
      </c>
      <c r="C110" s="40" t="s">
        <v>435</v>
      </c>
      <c r="D110" s="40" t="s">
        <v>418</v>
      </c>
      <c r="E110" s="41" t="n">
        <v>8.71</v>
      </c>
      <c r="F110" s="42" t="str">
        <f aca="false">IF(VALUE(MID(C110,3,2))*10+VALUE(MID(D110,2,1))&lt;=242,"Pre",IF(VALUE(MID(C110,3,2))*10+VALUE(MID(D110,2,1))&lt;=254,"Post","Later"))</f>
        <v>Pre</v>
      </c>
      <c r="G110" s="40" t="s">
        <v>343</v>
      </c>
      <c r="H110" s="40" t="s">
        <v>516</v>
      </c>
      <c r="I110" s="40" t="s">
        <v>512</v>
      </c>
    </row>
    <row r="111" customFormat="false" ht="15" hidden="false" customHeight="false" outlineLevel="0" collapsed="false">
      <c r="A111" s="40" t="s">
        <v>347</v>
      </c>
      <c r="B111" s="40" t="s">
        <v>228</v>
      </c>
      <c r="C111" s="40" t="s">
        <v>435</v>
      </c>
      <c r="D111" s="40" t="s">
        <v>421</v>
      </c>
      <c r="E111" s="41" t="n">
        <v>8.75</v>
      </c>
      <c r="F111" s="42" t="str">
        <f aca="false">IF(VALUE(MID(C111,3,2))*10+VALUE(MID(D111,2,1))&lt;=242,"Pre",IF(VALUE(MID(C111,3,2))*10+VALUE(MID(D111,2,1))&lt;=254,"Post","Later"))</f>
        <v>Pre</v>
      </c>
      <c r="G111" s="40" t="s">
        <v>343</v>
      </c>
      <c r="H111" s="40" t="s">
        <v>517</v>
      </c>
      <c r="I111" s="40" t="s">
        <v>512</v>
      </c>
    </row>
    <row r="112" customFormat="false" ht="15" hidden="false" customHeight="false" outlineLevel="0" collapsed="false">
      <c r="A112" s="40" t="s">
        <v>347</v>
      </c>
      <c r="B112" s="40" t="s">
        <v>228</v>
      </c>
      <c r="C112" s="40" t="s">
        <v>435</v>
      </c>
      <c r="D112" s="40" t="s">
        <v>423</v>
      </c>
      <c r="E112" s="41" t="n">
        <v>8.79</v>
      </c>
      <c r="F112" s="42" t="str">
        <f aca="false">IF(VALUE(MID(C112,3,2))*10+VALUE(MID(D112,2,1))&lt;=242,"Pre",IF(VALUE(MID(C112,3,2))*10+VALUE(MID(D112,2,1))&lt;=254,"Post","Later"))</f>
        <v>Post</v>
      </c>
      <c r="G112" s="40" t="s">
        <v>343</v>
      </c>
      <c r="H112" s="40" t="s">
        <v>518</v>
      </c>
      <c r="I112" s="40" t="s">
        <v>512</v>
      </c>
    </row>
    <row r="113" customFormat="false" ht="15" hidden="false" customHeight="false" outlineLevel="0" collapsed="false">
      <c r="A113" s="40" t="s">
        <v>347</v>
      </c>
      <c r="B113" s="40" t="s">
        <v>228</v>
      </c>
      <c r="C113" s="40" t="s">
        <v>435</v>
      </c>
      <c r="D113" s="40" t="s">
        <v>425</v>
      </c>
      <c r="E113" s="41" t="n">
        <v>8.87</v>
      </c>
      <c r="F113" s="42" t="str">
        <f aca="false">IF(VALUE(MID(C113,3,2))*10+VALUE(MID(D113,2,1))&lt;=242,"Pre",IF(VALUE(MID(C113,3,2))*10+VALUE(MID(D113,2,1))&lt;=254,"Post","Later"))</f>
        <v>Post</v>
      </c>
      <c r="G113" s="40" t="s">
        <v>343</v>
      </c>
      <c r="H113" s="40" t="s">
        <v>519</v>
      </c>
      <c r="I113" s="40" t="s">
        <v>512</v>
      </c>
    </row>
    <row r="114" customFormat="false" ht="15" hidden="false" customHeight="false" outlineLevel="0" collapsed="false">
      <c r="A114" s="40" t="s">
        <v>347</v>
      </c>
      <c r="B114" s="40" t="s">
        <v>228</v>
      </c>
      <c r="C114" s="40" t="s">
        <v>440</v>
      </c>
      <c r="D114" s="40" t="s">
        <v>418</v>
      </c>
      <c r="E114" s="41" t="n">
        <v>8.86</v>
      </c>
      <c r="F114" s="42" t="str">
        <f aca="false">IF(VALUE(MID(C114,3,2))*10+VALUE(MID(D114,2,1))&lt;=242,"Pre",IF(VALUE(MID(C114,3,2))*10+VALUE(MID(D114,2,1))&lt;=254,"Post","Later"))</f>
        <v>Post</v>
      </c>
      <c r="G114" s="40" t="s">
        <v>343</v>
      </c>
      <c r="H114" s="40" t="s">
        <v>520</v>
      </c>
      <c r="I114" s="40" t="s">
        <v>512</v>
      </c>
    </row>
    <row r="115" customFormat="false" ht="15" hidden="false" customHeight="false" outlineLevel="0" collapsed="false">
      <c r="A115" s="40" t="s">
        <v>347</v>
      </c>
      <c r="B115" s="40" t="s">
        <v>228</v>
      </c>
      <c r="C115" s="40" t="s">
        <v>440</v>
      </c>
      <c r="D115" s="40" t="s">
        <v>421</v>
      </c>
      <c r="E115" s="41" t="n">
        <v>8.91</v>
      </c>
      <c r="F115" s="42" t="str">
        <f aca="false">IF(VALUE(MID(C115,3,2))*10+VALUE(MID(D115,2,1))&lt;=242,"Pre",IF(VALUE(MID(C115,3,2))*10+VALUE(MID(D115,2,1))&lt;=254,"Post","Later"))</f>
        <v>Post</v>
      </c>
      <c r="G115" s="40" t="s">
        <v>343</v>
      </c>
      <c r="H115" s="40" t="s">
        <v>521</v>
      </c>
      <c r="I115" s="40" t="s">
        <v>512</v>
      </c>
    </row>
    <row r="116" customFormat="false" ht="15" hidden="false" customHeight="false" outlineLevel="0" collapsed="false">
      <c r="A116" s="40" t="s">
        <v>347</v>
      </c>
      <c r="B116" s="40" t="s">
        <v>228</v>
      </c>
      <c r="C116" s="40" t="s">
        <v>440</v>
      </c>
      <c r="D116" s="40" t="s">
        <v>423</v>
      </c>
      <c r="E116" s="41" t="n">
        <v>8.92</v>
      </c>
      <c r="F116" s="42" t="str">
        <f aca="false">IF(VALUE(MID(C116,3,2))*10+VALUE(MID(D116,2,1))&lt;=242,"Pre",IF(VALUE(MID(C116,3,2))*10+VALUE(MID(D116,2,1))&lt;=254,"Post","Later"))</f>
        <v>Post</v>
      </c>
      <c r="G116" s="40" t="s">
        <v>343</v>
      </c>
      <c r="H116" s="40" t="s">
        <v>522</v>
      </c>
      <c r="I116" s="40" t="s">
        <v>512</v>
      </c>
    </row>
    <row r="117" customFormat="false" ht="15" hidden="false" customHeight="false" outlineLevel="0" collapsed="false">
      <c r="A117" s="40" t="s">
        <v>347</v>
      </c>
      <c r="B117" s="40" t="s">
        <v>228</v>
      </c>
      <c r="C117" s="40" t="s">
        <v>440</v>
      </c>
      <c r="D117" s="40" t="s">
        <v>425</v>
      </c>
      <c r="E117" s="41" t="n">
        <v>8.98</v>
      </c>
      <c r="F117" s="42" t="str">
        <f aca="false">IF(VALUE(MID(C117,3,2))*10+VALUE(MID(D117,2,1))&lt;=242,"Pre",IF(VALUE(MID(C117,3,2))*10+VALUE(MID(D117,2,1))&lt;=254,"Post","Later"))</f>
        <v>Post</v>
      </c>
      <c r="G117" s="40" t="s">
        <v>343</v>
      </c>
      <c r="H117" s="40" t="s">
        <v>523</v>
      </c>
      <c r="I117" s="40" t="s">
        <v>512</v>
      </c>
    </row>
    <row r="118" customFormat="false" ht="15" hidden="false" customHeight="false" outlineLevel="0" collapsed="false">
      <c r="A118" s="40" t="s">
        <v>347</v>
      </c>
      <c r="B118" s="40" t="s">
        <v>228</v>
      </c>
      <c r="C118" s="40" t="s">
        <v>444</v>
      </c>
      <c r="D118" s="40" t="s">
        <v>418</v>
      </c>
      <c r="E118" s="41" t="n">
        <v>8.91</v>
      </c>
      <c r="F118" s="42" t="str">
        <f aca="false">IF(VALUE(MID(C118,3,2))*10+VALUE(MID(D118,2,1))&lt;=242,"Pre",IF(VALUE(MID(C118,3,2))*10+VALUE(MID(D118,2,1))&lt;=254,"Post","Later"))</f>
        <v>Later</v>
      </c>
      <c r="G118" s="40" t="s">
        <v>343</v>
      </c>
      <c r="H118" s="40" t="s">
        <v>524</v>
      </c>
      <c r="I118" s="40" t="s">
        <v>512</v>
      </c>
    </row>
    <row r="119" customFormat="false" ht="15" hidden="false" customHeight="false" outlineLevel="0" collapsed="false">
      <c r="A119" s="40" t="s">
        <v>347</v>
      </c>
      <c r="B119" s="40" t="s">
        <v>228</v>
      </c>
      <c r="C119" s="40" t="s">
        <v>444</v>
      </c>
      <c r="D119" s="40" t="s">
        <v>421</v>
      </c>
      <c r="E119" s="41" t="n">
        <v>8.8</v>
      </c>
      <c r="F119" s="42" t="str">
        <f aca="false">IF(VALUE(MID(C119,3,2))*10+VALUE(MID(D119,2,1))&lt;=242,"Pre",IF(VALUE(MID(C119,3,2))*10+VALUE(MID(D119,2,1))&lt;=254,"Post","Later"))</f>
        <v>Later</v>
      </c>
      <c r="G119" s="40" t="s">
        <v>343</v>
      </c>
      <c r="H119" s="40" t="s">
        <v>525</v>
      </c>
      <c r="I119" s="40" t="s">
        <v>512</v>
      </c>
    </row>
    <row r="120" customFormat="false" ht="15" hidden="false" customHeight="false" outlineLevel="0" collapsed="false">
      <c r="A120" s="40" t="s">
        <v>347</v>
      </c>
      <c r="B120" s="40" t="s">
        <v>228</v>
      </c>
      <c r="C120" s="40" t="s">
        <v>444</v>
      </c>
      <c r="D120" s="40" t="s">
        <v>423</v>
      </c>
      <c r="E120" s="41" t="n">
        <v>8.64</v>
      </c>
      <c r="F120" s="42" t="str">
        <f aca="false">IF(VALUE(MID(C120,3,2))*10+VALUE(MID(D120,2,1))&lt;=242,"Pre",IF(VALUE(MID(C120,3,2))*10+VALUE(MID(D120,2,1))&lt;=254,"Post","Later"))</f>
        <v>Later</v>
      </c>
      <c r="G120" s="40" t="s">
        <v>343</v>
      </c>
      <c r="H120" s="40" t="s">
        <v>526</v>
      </c>
      <c r="I120" s="40" t="s">
        <v>512</v>
      </c>
    </row>
    <row r="121" customFormat="false" ht="15" hidden="false" customHeight="false" outlineLevel="0" collapsed="false">
      <c r="A121" s="40" t="s">
        <v>350</v>
      </c>
      <c r="B121" s="40" t="s">
        <v>228</v>
      </c>
      <c r="C121" s="40" t="s">
        <v>432</v>
      </c>
      <c r="D121" s="40" t="s">
        <v>418</v>
      </c>
      <c r="E121" s="41" t="n">
        <v>7.85</v>
      </c>
      <c r="F121" s="42" t="str">
        <f aca="false">IF(VALUE(MID(C121,3,2))*10+VALUE(MID(D121,2,1))&lt;=242,"Pre",IF(VALUE(MID(C121,3,2))*10+VALUE(MID(D121,2,1))&lt;=254,"Post","Later"))</f>
        <v>Pre</v>
      </c>
      <c r="G121" s="40" t="s">
        <v>343</v>
      </c>
      <c r="H121" s="40" t="s">
        <v>527</v>
      </c>
      <c r="I121" s="40" t="s">
        <v>528</v>
      </c>
    </row>
    <row r="122" customFormat="false" ht="15" hidden="false" customHeight="false" outlineLevel="0" collapsed="false">
      <c r="A122" s="40" t="s">
        <v>350</v>
      </c>
      <c r="B122" s="40" t="s">
        <v>228</v>
      </c>
      <c r="C122" s="40" t="s">
        <v>432</v>
      </c>
      <c r="D122" s="40" t="s">
        <v>421</v>
      </c>
      <c r="E122" s="41" t="n">
        <v>8.45</v>
      </c>
      <c r="F122" s="42" t="str">
        <f aca="false">IF(VALUE(MID(C122,3,2))*10+VALUE(MID(D122,2,1))&lt;=242,"Pre",IF(VALUE(MID(C122,3,2))*10+VALUE(MID(D122,2,1))&lt;=254,"Post","Later"))</f>
        <v>Pre</v>
      </c>
      <c r="G122" s="40" t="s">
        <v>343</v>
      </c>
      <c r="H122" s="40" t="s">
        <v>527</v>
      </c>
      <c r="I122" s="40" t="s">
        <v>528</v>
      </c>
    </row>
    <row r="123" customFormat="false" ht="15" hidden="false" customHeight="false" outlineLevel="0" collapsed="false">
      <c r="A123" s="40" t="s">
        <v>350</v>
      </c>
      <c r="B123" s="40" t="s">
        <v>228</v>
      </c>
      <c r="C123" s="40" t="s">
        <v>432</v>
      </c>
      <c r="D123" s="40" t="s">
        <v>423</v>
      </c>
      <c r="E123" s="41" t="n">
        <v>8.07</v>
      </c>
      <c r="F123" s="42" t="str">
        <f aca="false">IF(VALUE(MID(C123,3,2))*10+VALUE(MID(D123,2,1))&lt;=242,"Pre",IF(VALUE(MID(C123,3,2))*10+VALUE(MID(D123,2,1))&lt;=254,"Post","Later"))</f>
        <v>Pre</v>
      </c>
      <c r="G123" s="40" t="s">
        <v>343</v>
      </c>
      <c r="H123" s="40" t="s">
        <v>527</v>
      </c>
      <c r="I123" s="40" t="s">
        <v>528</v>
      </c>
    </row>
    <row r="124" customFormat="false" ht="15" hidden="false" customHeight="false" outlineLevel="0" collapsed="false">
      <c r="A124" s="40" t="s">
        <v>350</v>
      </c>
      <c r="B124" s="40" t="s">
        <v>228</v>
      </c>
      <c r="C124" s="40" t="s">
        <v>432</v>
      </c>
      <c r="D124" s="40" t="s">
        <v>425</v>
      </c>
      <c r="E124" s="41" t="n">
        <v>8.41</v>
      </c>
      <c r="F124" s="42" t="str">
        <f aca="false">IF(VALUE(MID(C124,3,2))*10+VALUE(MID(D124,2,1))&lt;=242,"Pre",IF(VALUE(MID(C124,3,2))*10+VALUE(MID(D124,2,1))&lt;=254,"Post","Later"))</f>
        <v>Pre</v>
      </c>
      <c r="G124" s="40" t="s">
        <v>343</v>
      </c>
      <c r="H124" s="40" t="s">
        <v>527</v>
      </c>
      <c r="I124" s="40" t="s">
        <v>528</v>
      </c>
    </row>
    <row r="125" customFormat="false" ht="15" hidden="false" customHeight="false" outlineLevel="0" collapsed="false">
      <c r="A125" s="40" t="s">
        <v>350</v>
      </c>
      <c r="B125" s="40" t="s">
        <v>228</v>
      </c>
      <c r="C125" s="40" t="s">
        <v>435</v>
      </c>
      <c r="D125" s="40" t="s">
        <v>418</v>
      </c>
      <c r="E125" s="41" t="n">
        <v>8.8</v>
      </c>
      <c r="F125" s="42" t="str">
        <f aca="false">IF(VALUE(MID(C125,3,2))*10+VALUE(MID(D125,2,1))&lt;=242,"Pre",IF(VALUE(MID(C125,3,2))*10+VALUE(MID(D125,2,1))&lt;=254,"Post","Later"))</f>
        <v>Pre</v>
      </c>
      <c r="G125" s="40" t="s">
        <v>343</v>
      </c>
      <c r="H125" s="40" t="s">
        <v>527</v>
      </c>
      <c r="I125" s="40" t="s">
        <v>528</v>
      </c>
    </row>
    <row r="126" customFormat="false" ht="15" hidden="false" customHeight="false" outlineLevel="0" collapsed="false">
      <c r="A126" s="40" t="s">
        <v>350</v>
      </c>
      <c r="B126" s="40" t="s">
        <v>228</v>
      </c>
      <c r="C126" s="40" t="s">
        <v>435</v>
      </c>
      <c r="D126" s="40" t="s">
        <v>421</v>
      </c>
      <c r="E126" s="41" t="n">
        <v>8.95</v>
      </c>
      <c r="F126" s="42" t="str">
        <f aca="false">IF(VALUE(MID(C126,3,2))*10+VALUE(MID(D126,2,1))&lt;=242,"Pre",IF(VALUE(MID(C126,3,2))*10+VALUE(MID(D126,2,1))&lt;=254,"Post","Later"))</f>
        <v>Pre</v>
      </c>
      <c r="G126" s="40" t="s">
        <v>343</v>
      </c>
      <c r="H126" s="40" t="s">
        <v>527</v>
      </c>
      <c r="I126" s="40" t="s">
        <v>528</v>
      </c>
    </row>
    <row r="127" customFormat="false" ht="15" hidden="false" customHeight="false" outlineLevel="0" collapsed="false">
      <c r="A127" s="40" t="s">
        <v>350</v>
      </c>
      <c r="B127" s="40" t="s">
        <v>228</v>
      </c>
      <c r="C127" s="40" t="s">
        <v>435</v>
      </c>
      <c r="D127" s="40" t="s">
        <v>423</v>
      </c>
      <c r="E127" s="41" t="n">
        <v>8.75</v>
      </c>
      <c r="F127" s="42" t="str">
        <f aca="false">IF(VALUE(MID(C127,3,2))*10+VALUE(MID(D127,2,1))&lt;=242,"Pre",IF(VALUE(MID(C127,3,2))*10+VALUE(MID(D127,2,1))&lt;=254,"Post","Later"))</f>
        <v>Post</v>
      </c>
      <c r="G127" s="40" t="s">
        <v>343</v>
      </c>
      <c r="H127" s="40" t="s">
        <v>527</v>
      </c>
      <c r="I127" s="40" t="s">
        <v>528</v>
      </c>
    </row>
    <row r="128" customFormat="false" ht="15" hidden="false" customHeight="false" outlineLevel="0" collapsed="false">
      <c r="A128" s="40" t="s">
        <v>350</v>
      </c>
      <c r="B128" s="40" t="s">
        <v>228</v>
      </c>
      <c r="C128" s="40" t="s">
        <v>435</v>
      </c>
      <c r="D128" s="40" t="s">
        <v>425</v>
      </c>
      <c r="E128" s="41" t="n">
        <v>8.89</v>
      </c>
      <c r="F128" s="42" t="str">
        <f aca="false">IF(VALUE(MID(C128,3,2))*10+VALUE(MID(D128,2,1))&lt;=242,"Pre",IF(VALUE(MID(C128,3,2))*10+VALUE(MID(D128,2,1))&lt;=254,"Post","Later"))</f>
        <v>Post</v>
      </c>
      <c r="G128" s="40" t="s">
        <v>343</v>
      </c>
      <c r="H128" s="40" t="s">
        <v>527</v>
      </c>
      <c r="I128" s="40" t="s">
        <v>528</v>
      </c>
    </row>
    <row r="129" customFormat="false" ht="15" hidden="false" customHeight="false" outlineLevel="0" collapsed="false">
      <c r="A129" s="40" t="s">
        <v>350</v>
      </c>
      <c r="B129" s="40" t="s">
        <v>228</v>
      </c>
      <c r="C129" s="40" t="s">
        <v>440</v>
      </c>
      <c r="D129" s="40" t="s">
        <v>418</v>
      </c>
      <c r="E129" s="41" t="n">
        <v>8.83</v>
      </c>
      <c r="F129" s="42" t="str">
        <f aca="false">IF(VALUE(MID(C129,3,2))*10+VALUE(MID(D129,2,1))&lt;=242,"Pre",IF(VALUE(MID(C129,3,2))*10+VALUE(MID(D129,2,1))&lt;=254,"Post","Later"))</f>
        <v>Post</v>
      </c>
      <c r="G129" s="40" t="s">
        <v>343</v>
      </c>
      <c r="H129" s="40" t="s">
        <v>527</v>
      </c>
      <c r="I129" s="40" t="s">
        <v>528</v>
      </c>
    </row>
    <row r="130" customFormat="false" ht="15" hidden="false" customHeight="false" outlineLevel="0" collapsed="false">
      <c r="A130" s="40" t="s">
        <v>350</v>
      </c>
      <c r="B130" s="40" t="s">
        <v>228</v>
      </c>
      <c r="C130" s="40" t="s">
        <v>440</v>
      </c>
      <c r="D130" s="40" t="s">
        <v>421</v>
      </c>
      <c r="E130" s="41" t="n">
        <v>8.81</v>
      </c>
      <c r="F130" s="42" t="str">
        <f aca="false">IF(VALUE(MID(C130,3,2))*10+VALUE(MID(D130,2,1))&lt;=242,"Pre",IF(VALUE(MID(C130,3,2))*10+VALUE(MID(D130,2,1))&lt;=254,"Post","Later"))</f>
        <v>Post</v>
      </c>
      <c r="G130" s="40" t="s">
        <v>343</v>
      </c>
      <c r="H130" s="40" t="s">
        <v>527</v>
      </c>
      <c r="I130" s="40" t="s">
        <v>528</v>
      </c>
    </row>
    <row r="131" customFormat="false" ht="15" hidden="false" customHeight="false" outlineLevel="0" collapsed="false">
      <c r="A131" s="40" t="s">
        <v>350</v>
      </c>
      <c r="B131" s="40" t="s">
        <v>228</v>
      </c>
      <c r="C131" s="40" t="s">
        <v>440</v>
      </c>
      <c r="D131" s="40" t="s">
        <v>423</v>
      </c>
      <c r="E131" s="41" t="n">
        <v>8.87</v>
      </c>
      <c r="F131" s="42" t="str">
        <f aca="false">IF(VALUE(MID(C131,3,2))*10+VALUE(MID(D131,2,1))&lt;=242,"Pre",IF(VALUE(MID(C131,3,2))*10+VALUE(MID(D131,2,1))&lt;=254,"Post","Later"))</f>
        <v>Post</v>
      </c>
      <c r="G131" s="40" t="s">
        <v>343</v>
      </c>
      <c r="H131" s="40" t="s">
        <v>527</v>
      </c>
      <c r="I131" s="40" t="s">
        <v>528</v>
      </c>
    </row>
    <row r="132" customFormat="false" ht="15" hidden="false" customHeight="false" outlineLevel="0" collapsed="false">
      <c r="A132" s="40" t="s">
        <v>350</v>
      </c>
      <c r="B132" s="40" t="s">
        <v>228</v>
      </c>
      <c r="C132" s="40" t="s">
        <v>440</v>
      </c>
      <c r="D132" s="40" t="s">
        <v>425</v>
      </c>
      <c r="E132" s="41" t="n">
        <v>9.22</v>
      </c>
      <c r="F132" s="42" t="str">
        <f aca="false">IF(VALUE(MID(C132,3,2))*10+VALUE(MID(D132,2,1))&lt;=242,"Pre",IF(VALUE(MID(C132,3,2))*10+VALUE(MID(D132,2,1))&lt;=254,"Post","Later"))</f>
        <v>Post</v>
      </c>
      <c r="G132" s="40" t="s">
        <v>343</v>
      </c>
      <c r="H132" s="40" t="s">
        <v>527</v>
      </c>
      <c r="I132" s="40" t="s">
        <v>528</v>
      </c>
    </row>
    <row r="133" customFormat="false" ht="15" hidden="false" customHeight="false" outlineLevel="0" collapsed="false">
      <c r="A133" s="40" t="s">
        <v>350</v>
      </c>
      <c r="B133" s="40" t="s">
        <v>228</v>
      </c>
      <c r="C133" s="40" t="s">
        <v>444</v>
      </c>
      <c r="D133" s="40" t="s">
        <v>418</v>
      </c>
      <c r="E133" s="41" t="n">
        <v>9.12</v>
      </c>
      <c r="F133" s="42" t="str">
        <f aca="false">IF(VALUE(MID(C133,3,2))*10+VALUE(MID(D133,2,1))&lt;=242,"Pre",IF(VALUE(MID(C133,3,2))*10+VALUE(MID(D133,2,1))&lt;=254,"Post","Later"))</f>
        <v>Later</v>
      </c>
      <c r="G133" s="40" t="s">
        <v>343</v>
      </c>
      <c r="H133" s="40" t="s">
        <v>527</v>
      </c>
      <c r="I133" s="40" t="s">
        <v>528</v>
      </c>
    </row>
    <row r="134" customFormat="false" ht="15" hidden="false" customHeight="false" outlineLevel="0" collapsed="false">
      <c r="A134" s="40" t="s">
        <v>350</v>
      </c>
      <c r="B134" s="40" t="s">
        <v>228</v>
      </c>
      <c r="C134" s="40" t="s">
        <v>444</v>
      </c>
      <c r="D134" s="40" t="s">
        <v>421</v>
      </c>
      <c r="E134" s="41" t="n">
        <v>9.32</v>
      </c>
      <c r="F134" s="42" t="str">
        <f aca="false">IF(VALUE(MID(C134,3,2))*10+VALUE(MID(D134,2,1))&lt;=242,"Pre",IF(VALUE(MID(C134,3,2))*10+VALUE(MID(D134,2,1))&lt;=254,"Post","Later"))</f>
        <v>Later</v>
      </c>
      <c r="G134" s="40" t="s">
        <v>343</v>
      </c>
      <c r="H134" s="40" t="s">
        <v>527</v>
      </c>
      <c r="I134" s="40" t="s">
        <v>528</v>
      </c>
    </row>
    <row r="135" customFormat="false" ht="15" hidden="false" customHeight="false" outlineLevel="0" collapsed="false">
      <c r="A135" s="40" t="s">
        <v>350</v>
      </c>
      <c r="B135" s="40" t="s">
        <v>228</v>
      </c>
      <c r="C135" s="40" t="s">
        <v>444</v>
      </c>
      <c r="D135" s="40" t="s">
        <v>423</v>
      </c>
      <c r="E135" s="41" t="n">
        <v>8.74</v>
      </c>
      <c r="F135" s="42" t="str">
        <f aca="false">IF(VALUE(MID(C135,3,2))*10+VALUE(MID(D135,2,1))&lt;=242,"Pre",IF(VALUE(MID(C135,3,2))*10+VALUE(MID(D135,2,1))&lt;=254,"Post","Later"))</f>
        <v>Later</v>
      </c>
      <c r="G135" s="40" t="s">
        <v>343</v>
      </c>
      <c r="H135" s="40" t="s">
        <v>527</v>
      </c>
      <c r="I135" s="40" t="s">
        <v>528</v>
      </c>
    </row>
    <row r="136" customFormat="false" ht="15" hidden="false" customHeight="false" outlineLevel="0" collapsed="false">
      <c r="A136" s="40" t="s">
        <v>350</v>
      </c>
      <c r="B136" s="40" t="s">
        <v>228</v>
      </c>
      <c r="C136" s="40" t="s">
        <v>444</v>
      </c>
      <c r="D136" s="40" t="s">
        <v>425</v>
      </c>
      <c r="E136" s="41" t="n">
        <v>8.59</v>
      </c>
      <c r="F136" s="42" t="str">
        <f aca="false">IF(VALUE(MID(C136,3,2))*10+VALUE(MID(D136,2,1))&lt;=242,"Pre",IF(VALUE(MID(C136,3,2))*10+VALUE(MID(D136,2,1))&lt;=254,"Post","Later"))</f>
        <v>Later</v>
      </c>
      <c r="G136" s="40" t="s">
        <v>343</v>
      </c>
      <c r="H136" s="40" t="s">
        <v>527</v>
      </c>
      <c r="I136" s="40" t="s">
        <v>528</v>
      </c>
    </row>
    <row r="137" customFormat="false" ht="15" hidden="false" customHeight="false" outlineLevel="0" collapsed="false">
      <c r="A137" s="40" t="s">
        <v>357</v>
      </c>
      <c r="B137" s="40" t="s">
        <v>249</v>
      </c>
      <c r="C137" s="40" t="s">
        <v>417</v>
      </c>
      <c r="D137" s="40" t="s">
        <v>418</v>
      </c>
      <c r="E137" s="41" t="n">
        <v>7.87</v>
      </c>
      <c r="F137" s="42" t="str">
        <f aca="false">IF(VALUE(MID(C137,3,2))*10+VALUE(MID(D137,2,1))&lt;=242,"Pre",IF(VALUE(MID(C137,3,2))*10+VALUE(MID(D137,2,1))&lt;=254,"Post","Later"))</f>
        <v>Pre</v>
      </c>
      <c r="G137" s="40" t="s">
        <v>343</v>
      </c>
      <c r="H137" s="40" t="s">
        <v>529</v>
      </c>
      <c r="I137" s="40" t="s">
        <v>530</v>
      </c>
    </row>
    <row r="138" customFormat="false" ht="15" hidden="false" customHeight="false" outlineLevel="0" collapsed="false">
      <c r="A138" s="40" t="s">
        <v>357</v>
      </c>
      <c r="B138" s="40" t="s">
        <v>249</v>
      </c>
      <c r="C138" s="40" t="s">
        <v>417</v>
      </c>
      <c r="D138" s="40" t="s">
        <v>421</v>
      </c>
      <c r="E138" s="41" t="n">
        <v>7.61</v>
      </c>
      <c r="F138" s="42" t="str">
        <f aca="false">IF(VALUE(MID(C138,3,2))*10+VALUE(MID(D138,2,1))&lt;=242,"Pre",IF(VALUE(MID(C138,3,2))*10+VALUE(MID(D138,2,1))&lt;=254,"Post","Later"))</f>
        <v>Pre</v>
      </c>
      <c r="G138" s="40" t="s">
        <v>343</v>
      </c>
      <c r="H138" s="40" t="s">
        <v>531</v>
      </c>
      <c r="I138" s="40" t="s">
        <v>530</v>
      </c>
    </row>
    <row r="139" customFormat="false" ht="15" hidden="false" customHeight="false" outlineLevel="0" collapsed="false">
      <c r="A139" s="40" t="s">
        <v>357</v>
      </c>
      <c r="B139" s="40" t="s">
        <v>249</v>
      </c>
      <c r="C139" s="40" t="s">
        <v>417</v>
      </c>
      <c r="D139" s="40" t="s">
        <v>423</v>
      </c>
      <c r="E139" s="41" t="n">
        <v>7.25</v>
      </c>
      <c r="F139" s="42" t="str">
        <f aca="false">IF(VALUE(MID(C139,3,2))*10+VALUE(MID(D139,2,1))&lt;=242,"Pre",IF(VALUE(MID(C139,3,2))*10+VALUE(MID(D139,2,1))&lt;=254,"Post","Later"))</f>
        <v>Pre</v>
      </c>
      <c r="G139" s="40" t="s">
        <v>343</v>
      </c>
      <c r="H139" s="40" t="s">
        <v>532</v>
      </c>
      <c r="I139" s="40" t="s">
        <v>530</v>
      </c>
    </row>
    <row r="140" customFormat="false" ht="15" hidden="false" customHeight="false" outlineLevel="0" collapsed="false">
      <c r="A140" s="40" t="s">
        <v>357</v>
      </c>
      <c r="B140" s="40" t="s">
        <v>249</v>
      </c>
      <c r="C140" s="40" t="s">
        <v>417</v>
      </c>
      <c r="D140" s="40" t="s">
        <v>425</v>
      </c>
      <c r="E140" s="41" t="n">
        <v>6.93</v>
      </c>
      <c r="F140" s="42" t="str">
        <f aca="false">IF(VALUE(MID(C140,3,2))*10+VALUE(MID(D140,2,1))&lt;=242,"Pre",IF(VALUE(MID(C140,3,2))*10+VALUE(MID(D140,2,1))&lt;=254,"Post","Later"))</f>
        <v>Pre</v>
      </c>
      <c r="G140" s="40" t="s">
        <v>343</v>
      </c>
      <c r="H140" s="40" t="s">
        <v>533</v>
      </c>
      <c r="I140" s="40" t="s">
        <v>530</v>
      </c>
    </row>
    <row r="141" customFormat="false" ht="15" hidden="false" customHeight="false" outlineLevel="0" collapsed="false">
      <c r="A141" s="40" t="s">
        <v>357</v>
      </c>
      <c r="B141" s="40" t="s">
        <v>249</v>
      </c>
      <c r="C141" s="40" t="s">
        <v>427</v>
      </c>
      <c r="D141" s="40" t="s">
        <v>418</v>
      </c>
      <c r="E141" s="41" t="n">
        <v>6.88</v>
      </c>
      <c r="F141" s="42" t="str">
        <f aca="false">IF(VALUE(MID(C141,3,2))*10+VALUE(MID(D141,2,1))&lt;=242,"Pre",IF(VALUE(MID(C141,3,2))*10+VALUE(MID(D141,2,1))&lt;=254,"Post","Later"))</f>
        <v>Pre</v>
      </c>
      <c r="G141" s="40" t="s">
        <v>343</v>
      </c>
      <c r="H141" s="40" t="s">
        <v>534</v>
      </c>
      <c r="I141" s="40" t="s">
        <v>530</v>
      </c>
    </row>
    <row r="142" customFormat="false" ht="15" hidden="false" customHeight="false" outlineLevel="0" collapsed="false">
      <c r="A142" s="40" t="s">
        <v>357</v>
      </c>
      <c r="B142" s="40" t="s">
        <v>249</v>
      </c>
      <c r="C142" s="40" t="s">
        <v>427</v>
      </c>
      <c r="D142" s="40" t="s">
        <v>421</v>
      </c>
      <c r="E142" s="41" t="n">
        <v>6.76</v>
      </c>
      <c r="F142" s="42" t="str">
        <f aca="false">IF(VALUE(MID(C142,3,2))*10+VALUE(MID(D142,2,1))&lt;=242,"Pre",IF(VALUE(MID(C142,3,2))*10+VALUE(MID(D142,2,1))&lt;=254,"Post","Later"))</f>
        <v>Pre</v>
      </c>
      <c r="G142" s="40" t="s">
        <v>343</v>
      </c>
      <c r="H142" s="40" t="s">
        <v>535</v>
      </c>
      <c r="I142" s="40" t="s">
        <v>530</v>
      </c>
    </row>
    <row r="143" customFormat="false" ht="15" hidden="false" customHeight="false" outlineLevel="0" collapsed="false">
      <c r="A143" s="40" t="s">
        <v>357</v>
      </c>
      <c r="B143" s="40" t="s">
        <v>249</v>
      </c>
      <c r="C143" s="40" t="s">
        <v>427</v>
      </c>
      <c r="D143" s="40" t="s">
        <v>423</v>
      </c>
      <c r="E143" s="41" t="n">
        <v>6.69</v>
      </c>
      <c r="F143" s="42" t="str">
        <f aca="false">IF(VALUE(MID(C143,3,2))*10+VALUE(MID(D143,2,1))&lt;=242,"Pre",IF(VALUE(MID(C143,3,2))*10+VALUE(MID(D143,2,1))&lt;=254,"Post","Later"))</f>
        <v>Pre</v>
      </c>
      <c r="G143" s="40" t="s">
        <v>343</v>
      </c>
      <c r="H143" s="40" t="s">
        <v>536</v>
      </c>
      <c r="I143" s="40" t="s">
        <v>530</v>
      </c>
    </row>
    <row r="144" customFormat="false" ht="15" hidden="false" customHeight="false" outlineLevel="0" collapsed="false">
      <c r="A144" s="40" t="s">
        <v>357</v>
      </c>
      <c r="B144" s="40" t="s">
        <v>249</v>
      </c>
      <c r="C144" s="40" t="s">
        <v>427</v>
      </c>
      <c r="D144" s="40" t="s">
        <v>425</v>
      </c>
      <c r="E144" s="41" t="n">
        <v>6.52</v>
      </c>
      <c r="F144" s="42" t="str">
        <f aca="false">IF(VALUE(MID(C144,3,2))*10+VALUE(MID(D144,2,1))&lt;=242,"Pre",IF(VALUE(MID(C144,3,2))*10+VALUE(MID(D144,2,1))&lt;=254,"Post","Later"))</f>
        <v>Pre</v>
      </c>
      <c r="G144" s="40" t="s">
        <v>343</v>
      </c>
      <c r="H144" s="40" t="s">
        <v>537</v>
      </c>
      <c r="I144" s="40" t="s">
        <v>530</v>
      </c>
    </row>
    <row r="145" customFormat="false" ht="15" hidden="false" customHeight="false" outlineLevel="0" collapsed="false">
      <c r="A145" s="40" t="s">
        <v>357</v>
      </c>
      <c r="B145" s="40" t="s">
        <v>249</v>
      </c>
      <c r="C145" s="40" t="s">
        <v>432</v>
      </c>
      <c r="D145" s="40" t="s">
        <v>418</v>
      </c>
      <c r="E145" s="41" t="n">
        <v>6.7</v>
      </c>
      <c r="F145" s="42" t="str">
        <f aca="false">IF(VALUE(MID(C145,3,2))*10+VALUE(MID(D145,2,1))&lt;=242,"Pre",IF(VALUE(MID(C145,3,2))*10+VALUE(MID(D145,2,1))&lt;=254,"Post","Later"))</f>
        <v>Pre</v>
      </c>
      <c r="G145" s="40" t="s">
        <v>343</v>
      </c>
      <c r="H145" s="40" t="s">
        <v>538</v>
      </c>
      <c r="I145" s="40" t="s">
        <v>530</v>
      </c>
    </row>
    <row r="146" customFormat="false" ht="15" hidden="false" customHeight="false" outlineLevel="0" collapsed="false">
      <c r="A146" s="40" t="s">
        <v>357</v>
      </c>
      <c r="B146" s="40" t="s">
        <v>249</v>
      </c>
      <c r="C146" s="40" t="s">
        <v>432</v>
      </c>
      <c r="D146" s="40" t="s">
        <v>421</v>
      </c>
      <c r="E146" s="41" t="n">
        <v>7.1</v>
      </c>
      <c r="F146" s="42" t="str">
        <f aca="false">IF(VALUE(MID(C146,3,2))*10+VALUE(MID(D146,2,1))&lt;=242,"Pre",IF(VALUE(MID(C146,3,2))*10+VALUE(MID(D146,2,1))&lt;=254,"Post","Later"))</f>
        <v>Pre</v>
      </c>
      <c r="G146" s="40" t="s">
        <v>343</v>
      </c>
      <c r="H146" s="40" t="s">
        <v>539</v>
      </c>
      <c r="I146" s="40" t="s">
        <v>530</v>
      </c>
    </row>
    <row r="147" customFormat="false" ht="15" hidden="false" customHeight="false" outlineLevel="0" collapsed="false">
      <c r="A147" s="40" t="s">
        <v>357</v>
      </c>
      <c r="B147" s="40" t="s">
        <v>249</v>
      </c>
      <c r="C147" s="40" t="s">
        <v>432</v>
      </c>
      <c r="D147" s="40" t="s">
        <v>423</v>
      </c>
      <c r="E147" s="41" t="n">
        <v>7.4</v>
      </c>
      <c r="F147" s="42" t="str">
        <f aca="false">IF(VALUE(MID(C147,3,2))*10+VALUE(MID(D147,2,1))&lt;=242,"Pre",IF(VALUE(MID(C147,3,2))*10+VALUE(MID(D147,2,1))&lt;=254,"Post","Later"))</f>
        <v>Pre</v>
      </c>
      <c r="G147" s="40" t="s">
        <v>343</v>
      </c>
      <c r="H147" s="40" t="s">
        <v>540</v>
      </c>
      <c r="I147" s="40" t="s">
        <v>530</v>
      </c>
    </row>
    <row r="148" customFormat="false" ht="15" hidden="false" customHeight="false" outlineLevel="0" collapsed="false">
      <c r="A148" s="40" t="s">
        <v>357</v>
      </c>
      <c r="B148" s="40" t="s">
        <v>249</v>
      </c>
      <c r="C148" s="40" t="s">
        <v>432</v>
      </c>
      <c r="D148" s="40" t="s">
        <v>425</v>
      </c>
      <c r="E148" s="41" t="n">
        <v>7.63</v>
      </c>
      <c r="F148" s="42" t="str">
        <f aca="false">IF(VALUE(MID(C148,3,2))*10+VALUE(MID(D148,2,1))&lt;=242,"Pre",IF(VALUE(MID(C148,3,2))*10+VALUE(MID(D148,2,1))&lt;=254,"Post","Later"))</f>
        <v>Pre</v>
      </c>
      <c r="G148" s="40" t="s">
        <v>343</v>
      </c>
      <c r="H148" s="40" t="s">
        <v>541</v>
      </c>
      <c r="I148" s="40" t="s">
        <v>530</v>
      </c>
    </row>
    <row r="149" customFormat="false" ht="15" hidden="false" customHeight="false" outlineLevel="0" collapsed="false">
      <c r="A149" s="40" t="s">
        <v>357</v>
      </c>
      <c r="B149" s="40" t="s">
        <v>249</v>
      </c>
      <c r="C149" s="40" t="s">
        <v>435</v>
      </c>
      <c r="D149" s="40" t="s">
        <v>418</v>
      </c>
      <c r="E149" s="41" t="n">
        <v>7.62</v>
      </c>
      <c r="F149" s="42" t="str">
        <f aca="false">IF(VALUE(MID(C149,3,2))*10+VALUE(MID(D149,2,1))&lt;=242,"Pre",IF(VALUE(MID(C149,3,2))*10+VALUE(MID(D149,2,1))&lt;=254,"Post","Later"))</f>
        <v>Pre</v>
      </c>
      <c r="G149" s="40" t="s">
        <v>343</v>
      </c>
      <c r="H149" s="40" t="s">
        <v>542</v>
      </c>
      <c r="I149" s="40" t="s">
        <v>530</v>
      </c>
    </row>
    <row r="150" customFormat="false" ht="15" hidden="false" customHeight="false" outlineLevel="0" collapsed="false">
      <c r="A150" s="40" t="s">
        <v>357</v>
      </c>
      <c r="B150" s="40" t="s">
        <v>249</v>
      </c>
      <c r="C150" s="40" t="s">
        <v>435</v>
      </c>
      <c r="D150" s="40" t="s">
        <v>421</v>
      </c>
      <c r="E150" s="41" t="n">
        <v>7.66</v>
      </c>
      <c r="F150" s="42" t="str">
        <f aca="false">IF(VALUE(MID(C150,3,2))*10+VALUE(MID(D150,2,1))&lt;=242,"Pre",IF(VALUE(MID(C150,3,2))*10+VALUE(MID(D150,2,1))&lt;=254,"Post","Later"))</f>
        <v>Pre</v>
      </c>
      <c r="G150" s="40" t="s">
        <v>343</v>
      </c>
      <c r="H150" s="40" t="s">
        <v>543</v>
      </c>
      <c r="I150" s="40" t="s">
        <v>530</v>
      </c>
    </row>
    <row r="151" customFormat="false" ht="15" hidden="false" customHeight="false" outlineLevel="0" collapsed="false">
      <c r="A151" s="40" t="s">
        <v>357</v>
      </c>
      <c r="B151" s="40" t="s">
        <v>249</v>
      </c>
      <c r="C151" s="40" t="s">
        <v>435</v>
      </c>
      <c r="D151" s="40" t="s">
        <v>423</v>
      </c>
      <c r="E151" s="41" t="n">
        <v>7.7</v>
      </c>
      <c r="F151" s="42" t="str">
        <f aca="false">IF(VALUE(MID(C151,3,2))*10+VALUE(MID(D151,2,1))&lt;=242,"Pre",IF(VALUE(MID(C151,3,2))*10+VALUE(MID(D151,2,1))&lt;=254,"Post","Later"))</f>
        <v>Post</v>
      </c>
      <c r="G151" s="40" t="s">
        <v>343</v>
      </c>
      <c r="H151" s="40" t="s">
        <v>544</v>
      </c>
      <c r="I151" s="40" t="s">
        <v>530</v>
      </c>
    </row>
    <row r="152" customFormat="false" ht="15" hidden="false" customHeight="false" outlineLevel="0" collapsed="false">
      <c r="A152" s="40" t="s">
        <v>357</v>
      </c>
      <c r="B152" s="40" t="s">
        <v>249</v>
      </c>
      <c r="C152" s="40" t="s">
        <v>435</v>
      </c>
      <c r="D152" s="40" t="s">
        <v>425</v>
      </c>
      <c r="E152" s="41" t="n">
        <v>7.76</v>
      </c>
      <c r="F152" s="42" t="str">
        <f aca="false">IF(VALUE(MID(C152,3,2))*10+VALUE(MID(D152,2,1))&lt;=242,"Pre",IF(VALUE(MID(C152,3,2))*10+VALUE(MID(D152,2,1))&lt;=254,"Post","Later"))</f>
        <v>Post</v>
      </c>
      <c r="G152" s="40" t="s">
        <v>343</v>
      </c>
      <c r="H152" s="40" t="s">
        <v>545</v>
      </c>
      <c r="I152" s="40" t="s">
        <v>530</v>
      </c>
    </row>
    <row r="153" customFormat="false" ht="15" hidden="false" customHeight="false" outlineLevel="0" collapsed="false">
      <c r="A153" s="40" t="s">
        <v>357</v>
      </c>
      <c r="B153" s="40" t="s">
        <v>249</v>
      </c>
      <c r="C153" s="40" t="s">
        <v>440</v>
      </c>
      <c r="D153" s="40" t="s">
        <v>418</v>
      </c>
      <c r="E153" s="41" t="n">
        <v>7.76</v>
      </c>
      <c r="F153" s="42" t="str">
        <f aca="false">IF(VALUE(MID(C153,3,2))*10+VALUE(MID(D153,2,1))&lt;=242,"Pre",IF(VALUE(MID(C153,3,2))*10+VALUE(MID(D153,2,1))&lt;=254,"Post","Later"))</f>
        <v>Post</v>
      </c>
      <c r="G153" s="40" t="s">
        <v>343</v>
      </c>
      <c r="H153" s="40" t="s">
        <v>546</v>
      </c>
      <c r="I153" s="40" t="s">
        <v>530</v>
      </c>
    </row>
    <row r="154" customFormat="false" ht="15" hidden="false" customHeight="false" outlineLevel="0" collapsed="false">
      <c r="A154" s="40" t="s">
        <v>357</v>
      </c>
      <c r="B154" s="40" t="s">
        <v>249</v>
      </c>
      <c r="C154" s="40" t="s">
        <v>440</v>
      </c>
      <c r="D154" s="40" t="s">
        <v>421</v>
      </c>
      <c r="E154" s="41" t="n">
        <v>7.73</v>
      </c>
      <c r="F154" s="42" t="str">
        <f aca="false">IF(VALUE(MID(C154,3,2))*10+VALUE(MID(D154,2,1))&lt;=242,"Pre",IF(VALUE(MID(C154,3,2))*10+VALUE(MID(D154,2,1))&lt;=254,"Post","Later"))</f>
        <v>Post</v>
      </c>
      <c r="G154" s="40" t="s">
        <v>343</v>
      </c>
      <c r="H154" s="40" t="s">
        <v>547</v>
      </c>
      <c r="I154" s="40" t="s">
        <v>530</v>
      </c>
    </row>
    <row r="155" customFormat="false" ht="15" hidden="false" customHeight="false" outlineLevel="0" collapsed="false">
      <c r="A155" s="40" t="s">
        <v>357</v>
      </c>
      <c r="B155" s="40" t="s">
        <v>249</v>
      </c>
      <c r="C155" s="40" t="s">
        <v>440</v>
      </c>
      <c r="D155" s="40" t="s">
        <v>423</v>
      </c>
      <c r="E155" s="41" t="n">
        <v>7.78</v>
      </c>
      <c r="F155" s="42" t="str">
        <f aca="false">IF(VALUE(MID(C155,3,2))*10+VALUE(MID(D155,2,1))&lt;=242,"Pre",IF(VALUE(MID(C155,3,2))*10+VALUE(MID(D155,2,1))&lt;=254,"Post","Later"))</f>
        <v>Post</v>
      </c>
      <c r="G155" s="40" t="s">
        <v>343</v>
      </c>
      <c r="H155" s="40" t="s">
        <v>548</v>
      </c>
      <c r="I155" s="40" t="s">
        <v>530</v>
      </c>
    </row>
    <row r="156" customFormat="false" ht="15" hidden="false" customHeight="false" outlineLevel="0" collapsed="false">
      <c r="A156" s="40" t="s">
        <v>357</v>
      </c>
      <c r="B156" s="40" t="s">
        <v>249</v>
      </c>
      <c r="C156" s="40" t="s">
        <v>440</v>
      </c>
      <c r="D156" s="40" t="s">
        <v>425</v>
      </c>
      <c r="E156" s="41" t="n">
        <v>7.73</v>
      </c>
      <c r="F156" s="42" t="str">
        <f aca="false">IF(VALUE(MID(C156,3,2))*10+VALUE(MID(D156,2,1))&lt;=242,"Pre",IF(VALUE(MID(C156,3,2))*10+VALUE(MID(D156,2,1))&lt;=254,"Post","Later"))</f>
        <v>Post</v>
      </c>
      <c r="G156" s="40" t="s">
        <v>343</v>
      </c>
      <c r="H156" s="40" t="s">
        <v>549</v>
      </c>
      <c r="I156" s="40" t="s">
        <v>530</v>
      </c>
    </row>
    <row r="157" customFormat="false" ht="15" hidden="false" customHeight="false" outlineLevel="0" collapsed="false">
      <c r="A157" s="40" t="s">
        <v>357</v>
      </c>
      <c r="B157" s="40" t="s">
        <v>249</v>
      </c>
      <c r="C157" s="40" t="s">
        <v>444</v>
      </c>
      <c r="D157" s="40" t="s">
        <v>418</v>
      </c>
      <c r="E157" s="41" t="n">
        <v>7.5</v>
      </c>
      <c r="F157" s="42" t="str">
        <f aca="false">IF(VALUE(MID(C157,3,2))*10+VALUE(MID(D157,2,1))&lt;=242,"Pre",IF(VALUE(MID(C157,3,2))*10+VALUE(MID(D157,2,1))&lt;=254,"Post","Later"))</f>
        <v>Later</v>
      </c>
      <c r="G157" s="40" t="s">
        <v>343</v>
      </c>
      <c r="H157" s="40" t="s">
        <v>550</v>
      </c>
      <c r="I157" s="40" t="s">
        <v>530</v>
      </c>
    </row>
    <row r="158" customFormat="false" ht="15" hidden="false" customHeight="false" outlineLevel="0" collapsed="false">
      <c r="A158" s="40" t="s">
        <v>357</v>
      </c>
      <c r="B158" s="40" t="s">
        <v>249</v>
      </c>
      <c r="C158" s="40" t="s">
        <v>444</v>
      </c>
      <c r="D158" s="40" t="s">
        <v>421</v>
      </c>
      <c r="E158" s="41" t="n">
        <v>7.42</v>
      </c>
      <c r="F158" s="42" t="str">
        <f aca="false">IF(VALUE(MID(C158,3,2))*10+VALUE(MID(D158,2,1))&lt;=242,"Pre",IF(VALUE(MID(C158,3,2))*10+VALUE(MID(D158,2,1))&lt;=254,"Post","Later"))</f>
        <v>Later</v>
      </c>
      <c r="G158" s="40" t="s">
        <v>343</v>
      </c>
      <c r="H158" s="40" t="s">
        <v>551</v>
      </c>
      <c r="I158" s="40" t="s">
        <v>530</v>
      </c>
    </row>
    <row r="159" customFormat="false" ht="15" hidden="false" customHeight="false" outlineLevel="0" collapsed="false">
      <c r="A159" s="40" t="s">
        <v>357</v>
      </c>
      <c r="B159" s="40" t="s">
        <v>249</v>
      </c>
      <c r="C159" s="40" t="s">
        <v>444</v>
      </c>
      <c r="D159" s="40" t="s">
        <v>423</v>
      </c>
      <c r="E159" s="41" t="n">
        <v>7.28</v>
      </c>
      <c r="F159" s="42" t="str">
        <f aca="false">IF(VALUE(MID(C159,3,2))*10+VALUE(MID(D159,2,1))&lt;=242,"Pre",IF(VALUE(MID(C159,3,2))*10+VALUE(MID(D159,2,1))&lt;=254,"Post","Later"))</f>
        <v>Later</v>
      </c>
      <c r="G159" s="40" t="s">
        <v>343</v>
      </c>
      <c r="H159" s="40" t="s">
        <v>552</v>
      </c>
      <c r="I159" s="40" t="s">
        <v>530</v>
      </c>
    </row>
    <row r="160" customFormat="false" ht="15" hidden="false" customHeight="false" outlineLevel="0" collapsed="false">
      <c r="A160" s="40" t="s">
        <v>357</v>
      </c>
      <c r="B160" s="40" t="s">
        <v>249</v>
      </c>
      <c r="C160" s="40" t="s">
        <v>444</v>
      </c>
      <c r="D160" s="40" t="s">
        <v>425</v>
      </c>
      <c r="E160" s="41" t="n">
        <v>7.27</v>
      </c>
      <c r="F160" s="42" t="str">
        <f aca="false">IF(VALUE(MID(C160,3,2))*10+VALUE(MID(D160,2,1))&lt;=242,"Pre",IF(VALUE(MID(C160,3,2))*10+VALUE(MID(D160,2,1))&lt;=254,"Post","Later"))</f>
        <v>Later</v>
      </c>
      <c r="G160" s="40" t="s">
        <v>343</v>
      </c>
      <c r="H160" s="40" t="s">
        <v>553</v>
      </c>
      <c r="I160" s="40" t="s">
        <v>530</v>
      </c>
    </row>
    <row r="161" customFormat="false" ht="15" hidden="false" customHeight="false" outlineLevel="0" collapsed="false">
      <c r="A161" s="40" t="s">
        <v>355</v>
      </c>
      <c r="B161" s="40" t="s">
        <v>249</v>
      </c>
      <c r="C161" s="40" t="s">
        <v>417</v>
      </c>
      <c r="D161" s="40" t="s">
        <v>418</v>
      </c>
      <c r="E161" s="41" t="n">
        <v>7.31</v>
      </c>
      <c r="F161" s="42" t="str">
        <f aca="false">IF(VALUE(MID(C161,3,2))*10+VALUE(MID(D161,2,1))&lt;=242,"Pre",IF(VALUE(MID(C161,3,2))*10+VALUE(MID(D161,2,1))&lt;=254,"Post","Later"))</f>
        <v>Pre</v>
      </c>
      <c r="G161" s="40" t="s">
        <v>343</v>
      </c>
      <c r="H161" s="40" t="s">
        <v>554</v>
      </c>
      <c r="I161" s="40" t="s">
        <v>555</v>
      </c>
    </row>
    <row r="162" customFormat="false" ht="15" hidden="false" customHeight="false" outlineLevel="0" collapsed="false">
      <c r="A162" s="40" t="s">
        <v>355</v>
      </c>
      <c r="B162" s="40" t="s">
        <v>249</v>
      </c>
      <c r="C162" s="40" t="s">
        <v>417</v>
      </c>
      <c r="D162" s="40" t="s">
        <v>421</v>
      </c>
      <c r="E162" s="41" t="n">
        <v>7.1</v>
      </c>
      <c r="F162" s="42" t="str">
        <f aca="false">IF(VALUE(MID(C162,3,2))*10+VALUE(MID(D162,2,1))&lt;=242,"Pre",IF(VALUE(MID(C162,3,2))*10+VALUE(MID(D162,2,1))&lt;=254,"Post","Later"))</f>
        <v>Pre</v>
      </c>
      <c r="G162" s="40" t="s">
        <v>343</v>
      </c>
      <c r="H162" s="40" t="s">
        <v>422</v>
      </c>
      <c r="I162" s="40" t="s">
        <v>555</v>
      </c>
    </row>
    <row r="163" customFormat="false" ht="15" hidden="false" customHeight="false" outlineLevel="0" collapsed="false">
      <c r="A163" s="40" t="s">
        <v>355</v>
      </c>
      <c r="B163" s="40" t="s">
        <v>249</v>
      </c>
      <c r="C163" s="40" t="s">
        <v>417</v>
      </c>
      <c r="D163" s="40" t="s">
        <v>423</v>
      </c>
      <c r="E163" s="41" t="n">
        <v>6.87</v>
      </c>
      <c r="F163" s="42" t="str">
        <f aca="false">IF(VALUE(MID(C163,3,2))*10+VALUE(MID(D163,2,1))&lt;=242,"Pre",IF(VALUE(MID(C163,3,2))*10+VALUE(MID(D163,2,1))&lt;=254,"Post","Later"))</f>
        <v>Pre</v>
      </c>
      <c r="G163" s="40" t="s">
        <v>343</v>
      </c>
      <c r="H163" s="40" t="s">
        <v>556</v>
      </c>
      <c r="I163" s="40" t="s">
        <v>555</v>
      </c>
    </row>
    <row r="164" customFormat="false" ht="15" hidden="false" customHeight="false" outlineLevel="0" collapsed="false">
      <c r="A164" s="40" t="s">
        <v>355</v>
      </c>
      <c r="B164" s="40" t="s">
        <v>249</v>
      </c>
      <c r="C164" s="40" t="s">
        <v>417</v>
      </c>
      <c r="D164" s="40" t="s">
        <v>425</v>
      </c>
      <c r="E164" s="41" t="n">
        <v>6.71</v>
      </c>
      <c r="F164" s="42" t="str">
        <f aca="false">IF(VALUE(MID(C164,3,2))*10+VALUE(MID(D164,2,1))&lt;=242,"Pre",IF(VALUE(MID(C164,3,2))*10+VALUE(MID(D164,2,1))&lt;=254,"Post","Later"))</f>
        <v>Pre</v>
      </c>
      <c r="G164" s="40" t="s">
        <v>343</v>
      </c>
      <c r="H164" s="40" t="s">
        <v>557</v>
      </c>
      <c r="I164" s="40" t="s">
        <v>555</v>
      </c>
    </row>
    <row r="165" customFormat="false" ht="15" hidden="false" customHeight="false" outlineLevel="0" collapsed="false">
      <c r="A165" s="40" t="s">
        <v>355</v>
      </c>
      <c r="B165" s="40" t="s">
        <v>249</v>
      </c>
      <c r="C165" s="40" t="s">
        <v>427</v>
      </c>
      <c r="D165" s="40" t="s">
        <v>418</v>
      </c>
      <c r="E165" s="41" t="n">
        <v>5.66</v>
      </c>
      <c r="F165" s="42" t="str">
        <f aca="false">IF(VALUE(MID(C165,3,2))*10+VALUE(MID(D165,2,1))&lt;=242,"Pre",IF(VALUE(MID(C165,3,2))*10+VALUE(MID(D165,2,1))&lt;=254,"Post","Later"))</f>
        <v>Pre</v>
      </c>
      <c r="G165" s="40" t="s">
        <v>343</v>
      </c>
      <c r="H165" s="40" t="s">
        <v>428</v>
      </c>
      <c r="I165" s="40" t="s">
        <v>555</v>
      </c>
    </row>
    <row r="166" customFormat="false" ht="15" hidden="false" customHeight="false" outlineLevel="0" collapsed="false">
      <c r="A166" s="40" t="s">
        <v>355</v>
      </c>
      <c r="B166" s="40" t="s">
        <v>249</v>
      </c>
      <c r="C166" s="40" t="s">
        <v>427</v>
      </c>
      <c r="D166" s="40" t="s">
        <v>421</v>
      </c>
      <c r="E166" s="41" t="n">
        <v>5.57</v>
      </c>
      <c r="F166" s="42" t="str">
        <f aca="false">IF(VALUE(MID(C166,3,2))*10+VALUE(MID(D166,2,1))&lt;=242,"Pre",IF(VALUE(MID(C166,3,2))*10+VALUE(MID(D166,2,1))&lt;=254,"Post","Later"))</f>
        <v>Pre</v>
      </c>
      <c r="G166" s="40" t="s">
        <v>343</v>
      </c>
      <c r="H166" s="40" t="s">
        <v>429</v>
      </c>
      <c r="I166" s="40" t="s">
        <v>555</v>
      </c>
    </row>
    <row r="167" customFormat="false" ht="15" hidden="false" customHeight="false" outlineLevel="0" collapsed="false">
      <c r="A167" s="40" t="s">
        <v>355</v>
      </c>
      <c r="B167" s="40" t="s">
        <v>249</v>
      </c>
      <c r="C167" s="40" t="s">
        <v>427</v>
      </c>
      <c r="D167" s="40" t="s">
        <v>423</v>
      </c>
      <c r="E167" s="41" t="n">
        <v>5.56</v>
      </c>
      <c r="F167" s="42" t="str">
        <f aca="false">IF(VALUE(MID(C167,3,2))*10+VALUE(MID(D167,2,1))&lt;=242,"Pre",IF(VALUE(MID(C167,3,2))*10+VALUE(MID(D167,2,1))&lt;=254,"Post","Later"))</f>
        <v>Pre</v>
      </c>
      <c r="G167" s="40" t="s">
        <v>343</v>
      </c>
      <c r="H167" s="40" t="s">
        <v>558</v>
      </c>
      <c r="I167" s="40" t="s">
        <v>555</v>
      </c>
    </row>
    <row r="168" customFormat="false" ht="15" hidden="false" customHeight="false" outlineLevel="0" collapsed="false">
      <c r="A168" s="40" t="s">
        <v>355</v>
      </c>
      <c r="B168" s="40" t="s">
        <v>249</v>
      </c>
      <c r="C168" s="40" t="s">
        <v>427</v>
      </c>
      <c r="D168" s="40" t="s">
        <v>425</v>
      </c>
      <c r="E168" s="41" t="n">
        <v>5.56</v>
      </c>
      <c r="F168" s="42" t="str">
        <f aca="false">IF(VALUE(MID(C168,3,2))*10+VALUE(MID(D168,2,1))&lt;=242,"Pre",IF(VALUE(MID(C168,3,2))*10+VALUE(MID(D168,2,1))&lt;=254,"Post","Later"))</f>
        <v>Pre</v>
      </c>
      <c r="G168" s="40" t="s">
        <v>343</v>
      </c>
      <c r="H168" s="40" t="s">
        <v>559</v>
      </c>
      <c r="I168" s="40" t="s">
        <v>555</v>
      </c>
    </row>
    <row r="169" customFormat="false" ht="15" hidden="false" customHeight="false" outlineLevel="0" collapsed="false">
      <c r="A169" s="40" t="s">
        <v>355</v>
      </c>
      <c r="B169" s="40" t="s">
        <v>249</v>
      </c>
      <c r="C169" s="40" t="s">
        <v>432</v>
      </c>
      <c r="D169" s="40" t="s">
        <v>418</v>
      </c>
      <c r="E169" s="41" t="n">
        <v>5.8</v>
      </c>
      <c r="F169" s="42" t="str">
        <f aca="false">IF(VALUE(MID(C169,3,2))*10+VALUE(MID(D169,2,1))&lt;=242,"Pre",IF(VALUE(MID(C169,3,2))*10+VALUE(MID(D169,2,1))&lt;=254,"Post","Later"))</f>
        <v>Pre</v>
      </c>
      <c r="G169" s="40" t="s">
        <v>343</v>
      </c>
      <c r="H169" s="40" t="s">
        <v>560</v>
      </c>
      <c r="I169" s="40" t="s">
        <v>555</v>
      </c>
    </row>
    <row r="170" customFormat="false" ht="15" hidden="false" customHeight="false" outlineLevel="0" collapsed="false">
      <c r="A170" s="40" t="s">
        <v>355</v>
      </c>
      <c r="B170" s="40" t="s">
        <v>249</v>
      </c>
      <c r="C170" s="40" t="s">
        <v>432</v>
      </c>
      <c r="D170" s="40" t="s">
        <v>421</v>
      </c>
      <c r="E170" s="41" t="n">
        <v>6.04</v>
      </c>
      <c r="F170" s="42" t="str">
        <f aca="false">IF(VALUE(MID(C170,3,2))*10+VALUE(MID(D170,2,1))&lt;=242,"Pre",IF(VALUE(MID(C170,3,2))*10+VALUE(MID(D170,2,1))&lt;=254,"Post","Later"))</f>
        <v>Pre</v>
      </c>
      <c r="G170" s="40" t="s">
        <v>343</v>
      </c>
      <c r="H170" s="40" t="s">
        <v>561</v>
      </c>
      <c r="I170" s="40" t="s">
        <v>555</v>
      </c>
    </row>
    <row r="171" customFormat="false" ht="15" hidden="false" customHeight="false" outlineLevel="0" collapsed="false">
      <c r="A171" s="40" t="s">
        <v>355</v>
      </c>
      <c r="B171" s="40" t="s">
        <v>249</v>
      </c>
      <c r="C171" s="40" t="s">
        <v>432</v>
      </c>
      <c r="D171" s="40" t="s">
        <v>423</v>
      </c>
      <c r="E171" s="41" t="n">
        <v>6.63</v>
      </c>
      <c r="F171" s="42" t="str">
        <f aca="false">IF(VALUE(MID(C171,3,2))*10+VALUE(MID(D171,2,1))&lt;=242,"Pre",IF(VALUE(MID(C171,3,2))*10+VALUE(MID(D171,2,1))&lt;=254,"Post","Later"))</f>
        <v>Pre</v>
      </c>
      <c r="G171" s="40" t="s">
        <v>343</v>
      </c>
      <c r="H171" s="40" t="s">
        <v>562</v>
      </c>
      <c r="I171" s="40" t="s">
        <v>555</v>
      </c>
    </row>
    <row r="172" customFormat="false" ht="15" hidden="false" customHeight="false" outlineLevel="0" collapsed="false">
      <c r="A172" s="40" t="s">
        <v>355</v>
      </c>
      <c r="B172" s="40" t="s">
        <v>249</v>
      </c>
      <c r="C172" s="40" t="s">
        <v>432</v>
      </c>
      <c r="D172" s="40" t="s">
        <v>425</v>
      </c>
      <c r="E172" s="41" t="n">
        <v>6.53</v>
      </c>
      <c r="F172" s="42" t="str">
        <f aca="false">IF(VALUE(MID(C172,3,2))*10+VALUE(MID(D172,2,1))&lt;=242,"Pre",IF(VALUE(MID(C172,3,2))*10+VALUE(MID(D172,2,1))&lt;=254,"Post","Later"))</f>
        <v>Pre</v>
      </c>
      <c r="G172" s="40" t="s">
        <v>343</v>
      </c>
      <c r="H172" s="40" t="s">
        <v>563</v>
      </c>
      <c r="I172" s="40" t="s">
        <v>555</v>
      </c>
    </row>
    <row r="173" customFormat="false" ht="15" hidden="false" customHeight="false" outlineLevel="0" collapsed="false">
      <c r="A173" s="40" t="s">
        <v>355</v>
      </c>
      <c r="B173" s="40" t="s">
        <v>249</v>
      </c>
      <c r="C173" s="40" t="s">
        <v>435</v>
      </c>
      <c r="D173" s="40" t="s">
        <v>418</v>
      </c>
      <c r="E173" s="41" t="n">
        <v>7.32</v>
      </c>
      <c r="F173" s="42" t="str">
        <f aca="false">IF(VALUE(MID(C173,3,2))*10+VALUE(MID(D173,2,1))&lt;=242,"Pre",IF(VALUE(MID(C173,3,2))*10+VALUE(MID(D173,2,1))&lt;=254,"Post","Later"))</f>
        <v>Pre</v>
      </c>
      <c r="G173" s="40" t="s">
        <v>343</v>
      </c>
      <c r="H173" s="40" t="s">
        <v>564</v>
      </c>
      <c r="I173" s="40" t="s">
        <v>555</v>
      </c>
    </row>
    <row r="174" customFormat="false" ht="15" hidden="false" customHeight="false" outlineLevel="0" collapsed="false">
      <c r="A174" s="40" t="s">
        <v>355</v>
      </c>
      <c r="B174" s="40" t="s">
        <v>249</v>
      </c>
      <c r="C174" s="40" t="s">
        <v>435</v>
      </c>
      <c r="D174" s="40" t="s">
        <v>421</v>
      </c>
      <c r="E174" s="41" t="n">
        <v>7.46</v>
      </c>
      <c r="F174" s="42" t="str">
        <f aca="false">IF(VALUE(MID(C174,3,2))*10+VALUE(MID(D174,2,1))&lt;=242,"Pre",IF(VALUE(MID(C174,3,2))*10+VALUE(MID(D174,2,1))&lt;=254,"Post","Later"))</f>
        <v>Pre</v>
      </c>
      <c r="G174" s="40" t="s">
        <v>343</v>
      </c>
      <c r="H174" s="40" t="s">
        <v>565</v>
      </c>
      <c r="I174" s="40" t="s">
        <v>555</v>
      </c>
    </row>
    <row r="175" customFormat="false" ht="15" hidden="false" customHeight="false" outlineLevel="0" collapsed="false">
      <c r="A175" s="40" t="s">
        <v>355</v>
      </c>
      <c r="B175" s="40" t="s">
        <v>249</v>
      </c>
      <c r="C175" s="40" t="s">
        <v>435</v>
      </c>
      <c r="D175" s="40" t="s">
        <v>423</v>
      </c>
      <c r="E175" s="41" t="n">
        <v>7.35</v>
      </c>
      <c r="F175" s="42" t="str">
        <f aca="false">IF(VALUE(MID(C175,3,2))*10+VALUE(MID(D175,2,1))&lt;=242,"Pre",IF(VALUE(MID(C175,3,2))*10+VALUE(MID(D175,2,1))&lt;=254,"Post","Later"))</f>
        <v>Post</v>
      </c>
      <c r="G175" s="40" t="s">
        <v>343</v>
      </c>
      <c r="H175" s="40" t="s">
        <v>566</v>
      </c>
      <c r="I175" s="40" t="s">
        <v>555</v>
      </c>
    </row>
    <row r="176" customFormat="false" ht="15" hidden="false" customHeight="false" outlineLevel="0" collapsed="false">
      <c r="A176" s="40" t="s">
        <v>355</v>
      </c>
      <c r="B176" s="40" t="s">
        <v>249</v>
      </c>
      <c r="C176" s="40" t="s">
        <v>435</v>
      </c>
      <c r="D176" s="40" t="s">
        <v>425</v>
      </c>
      <c r="E176" s="41" t="n">
        <v>7.52</v>
      </c>
      <c r="F176" s="42" t="str">
        <f aca="false">IF(VALUE(MID(C176,3,2))*10+VALUE(MID(D176,2,1))&lt;=242,"Pre",IF(VALUE(MID(C176,3,2))*10+VALUE(MID(D176,2,1))&lt;=254,"Post","Later"))</f>
        <v>Post</v>
      </c>
      <c r="G176" s="40" t="s">
        <v>343</v>
      </c>
      <c r="H176" s="40" t="s">
        <v>567</v>
      </c>
      <c r="I176" s="40" t="s">
        <v>555</v>
      </c>
    </row>
    <row r="177" customFormat="false" ht="15" hidden="false" customHeight="false" outlineLevel="0" collapsed="false">
      <c r="A177" s="40" t="s">
        <v>355</v>
      </c>
      <c r="B177" s="40" t="s">
        <v>249</v>
      </c>
      <c r="C177" s="40" t="s">
        <v>440</v>
      </c>
      <c r="D177" s="40" t="s">
        <v>418</v>
      </c>
      <c r="E177" s="41" t="n">
        <v>7.58</v>
      </c>
      <c r="F177" s="42" t="str">
        <f aca="false">IF(VALUE(MID(C177,3,2))*10+VALUE(MID(D177,2,1))&lt;=242,"Pre",IF(VALUE(MID(C177,3,2))*10+VALUE(MID(D177,2,1))&lt;=254,"Post","Later"))</f>
        <v>Post</v>
      </c>
      <c r="G177" s="40" t="s">
        <v>343</v>
      </c>
      <c r="H177" s="40" t="s">
        <v>568</v>
      </c>
      <c r="I177" s="40" t="s">
        <v>555</v>
      </c>
    </row>
    <row r="178" customFormat="false" ht="15" hidden="false" customHeight="false" outlineLevel="0" collapsed="false">
      <c r="A178" s="40" t="s">
        <v>355</v>
      </c>
      <c r="B178" s="40" t="s">
        <v>249</v>
      </c>
      <c r="C178" s="40" t="s">
        <v>440</v>
      </c>
      <c r="D178" s="40" t="s">
        <v>421</v>
      </c>
      <c r="E178" s="41" t="n">
        <v>7.56</v>
      </c>
      <c r="F178" s="42" t="str">
        <f aca="false">IF(VALUE(MID(C178,3,2))*10+VALUE(MID(D178,2,1))&lt;=242,"Pre",IF(VALUE(MID(C178,3,2))*10+VALUE(MID(D178,2,1))&lt;=254,"Post","Later"))</f>
        <v>Post</v>
      </c>
      <c r="G178" s="40" t="s">
        <v>343</v>
      </c>
      <c r="H178" s="40" t="s">
        <v>569</v>
      </c>
      <c r="I178" s="40" t="s">
        <v>555</v>
      </c>
    </row>
    <row r="179" customFormat="false" ht="15" hidden="false" customHeight="false" outlineLevel="0" collapsed="false">
      <c r="A179" s="40" t="s">
        <v>355</v>
      </c>
      <c r="B179" s="40" t="s">
        <v>249</v>
      </c>
      <c r="C179" s="40" t="s">
        <v>440</v>
      </c>
      <c r="D179" s="40" t="s">
        <v>423</v>
      </c>
      <c r="E179" s="41" t="n">
        <v>7.51</v>
      </c>
      <c r="F179" s="42" t="str">
        <f aca="false">IF(VALUE(MID(C179,3,2))*10+VALUE(MID(D179,2,1))&lt;=242,"Pre",IF(VALUE(MID(C179,3,2))*10+VALUE(MID(D179,2,1))&lt;=254,"Post","Later"))</f>
        <v>Post</v>
      </c>
      <c r="G179" s="40" t="s">
        <v>343</v>
      </c>
      <c r="H179" s="40" t="s">
        <v>570</v>
      </c>
      <c r="I179" s="40" t="s">
        <v>555</v>
      </c>
    </row>
    <row r="180" customFormat="false" ht="15" hidden="false" customHeight="false" outlineLevel="0" collapsed="false">
      <c r="A180" s="40" t="s">
        <v>355</v>
      </c>
      <c r="B180" s="40" t="s">
        <v>249</v>
      </c>
      <c r="C180" s="40" t="s">
        <v>440</v>
      </c>
      <c r="D180" s="40" t="s">
        <v>425</v>
      </c>
      <c r="E180" s="41" t="n">
        <v>7.56</v>
      </c>
      <c r="F180" s="42" t="str">
        <f aca="false">IF(VALUE(MID(C180,3,2))*10+VALUE(MID(D180,2,1))&lt;=242,"Pre",IF(VALUE(MID(C180,3,2))*10+VALUE(MID(D180,2,1))&lt;=254,"Post","Later"))</f>
        <v>Post</v>
      </c>
      <c r="G180" s="40" t="s">
        <v>343</v>
      </c>
      <c r="H180" s="40" t="s">
        <v>571</v>
      </c>
      <c r="I180" s="40" t="s">
        <v>555</v>
      </c>
    </row>
    <row r="181" customFormat="false" ht="15" hidden="false" customHeight="false" outlineLevel="0" collapsed="false">
      <c r="A181" s="40" t="s">
        <v>355</v>
      </c>
      <c r="B181" s="40" t="s">
        <v>249</v>
      </c>
      <c r="C181" s="40" t="s">
        <v>444</v>
      </c>
      <c r="D181" s="40" t="s">
        <v>418</v>
      </c>
      <c r="E181" s="41" t="n">
        <v>7.47</v>
      </c>
      <c r="F181" s="42" t="str">
        <f aca="false">IF(VALUE(MID(C181,3,2))*10+VALUE(MID(D181,2,1))&lt;=242,"Pre",IF(VALUE(MID(C181,3,2))*10+VALUE(MID(D181,2,1))&lt;=254,"Post","Later"))</f>
        <v>Later</v>
      </c>
      <c r="G181" s="40" t="s">
        <v>343</v>
      </c>
      <c r="H181" s="40" t="s">
        <v>572</v>
      </c>
      <c r="I181" s="40" t="s">
        <v>555</v>
      </c>
    </row>
    <row r="182" customFormat="false" ht="15" hidden="false" customHeight="false" outlineLevel="0" collapsed="false">
      <c r="A182" s="40" t="s">
        <v>355</v>
      </c>
      <c r="B182" s="40" t="s">
        <v>249</v>
      </c>
      <c r="C182" s="40" t="s">
        <v>444</v>
      </c>
      <c r="D182" s="40" t="s">
        <v>421</v>
      </c>
      <c r="E182" s="41" t="n">
        <v>7.17</v>
      </c>
      <c r="F182" s="42" t="str">
        <f aca="false">IF(VALUE(MID(C182,3,2))*10+VALUE(MID(D182,2,1))&lt;=242,"Pre",IF(VALUE(MID(C182,3,2))*10+VALUE(MID(D182,2,1))&lt;=254,"Post","Later"))</f>
        <v>Later</v>
      </c>
      <c r="G182" s="40" t="s">
        <v>343</v>
      </c>
      <c r="H182" s="40" t="s">
        <v>573</v>
      </c>
      <c r="I182" s="40" t="s">
        <v>555</v>
      </c>
    </row>
    <row r="183" customFormat="false" ht="15" hidden="false" customHeight="false" outlineLevel="0" collapsed="false">
      <c r="A183" s="40" t="s">
        <v>355</v>
      </c>
      <c r="B183" s="40" t="s">
        <v>249</v>
      </c>
      <c r="C183" s="40" t="s">
        <v>444</v>
      </c>
      <c r="D183" s="40" t="s">
        <v>423</v>
      </c>
      <c r="E183" s="41" t="n">
        <v>7.14</v>
      </c>
      <c r="F183" s="42" t="str">
        <f aca="false">IF(VALUE(MID(C183,3,2))*10+VALUE(MID(D183,2,1))&lt;=242,"Pre",IF(VALUE(MID(C183,3,2))*10+VALUE(MID(D183,2,1))&lt;=254,"Post","Later"))</f>
        <v>Later</v>
      </c>
      <c r="G183" s="40" t="s">
        <v>343</v>
      </c>
      <c r="H183" s="40" t="s">
        <v>574</v>
      </c>
      <c r="I183" s="40" t="s">
        <v>555</v>
      </c>
    </row>
    <row r="184" customFormat="false" ht="15" hidden="false" customHeight="false" outlineLevel="0" collapsed="false">
      <c r="A184" s="40" t="s">
        <v>355</v>
      </c>
      <c r="B184" s="40" t="s">
        <v>249</v>
      </c>
      <c r="C184" s="40" t="s">
        <v>444</v>
      </c>
      <c r="D184" s="40" t="s">
        <v>425</v>
      </c>
      <c r="E184" s="41" t="n">
        <v>7.07</v>
      </c>
      <c r="F184" s="42" t="str">
        <f aca="false">IF(VALUE(MID(C184,3,2))*10+VALUE(MID(D184,2,1))&lt;=242,"Pre",IF(VALUE(MID(C184,3,2))*10+VALUE(MID(D184,2,1))&lt;=254,"Post","Later"))</f>
        <v>Later</v>
      </c>
      <c r="G184" s="40" t="s">
        <v>343</v>
      </c>
      <c r="H184" s="40" t="s">
        <v>575</v>
      </c>
      <c r="I184" s="40" t="s">
        <v>555</v>
      </c>
    </row>
    <row r="185" customFormat="false" ht="15" hidden="false" customHeight="false" outlineLevel="0" collapsed="false">
      <c r="A185" s="40" t="s">
        <v>358</v>
      </c>
      <c r="B185" s="40" t="s">
        <v>249</v>
      </c>
      <c r="C185" s="40" t="s">
        <v>417</v>
      </c>
      <c r="D185" s="40" t="s">
        <v>418</v>
      </c>
      <c r="E185" s="41" t="n">
        <v>8.13</v>
      </c>
      <c r="F185" s="42" t="str">
        <f aca="false">IF(VALUE(MID(C185,3,2))*10+VALUE(MID(D185,2,1))&lt;=242,"Pre",IF(VALUE(MID(C185,3,2))*10+VALUE(MID(D185,2,1))&lt;=254,"Post","Later"))</f>
        <v>Pre</v>
      </c>
      <c r="G185" s="40" t="s">
        <v>343</v>
      </c>
      <c r="H185" s="40" t="s">
        <v>576</v>
      </c>
      <c r="I185" s="40" t="s">
        <v>577</v>
      </c>
    </row>
    <row r="186" customFormat="false" ht="15" hidden="false" customHeight="false" outlineLevel="0" collapsed="false">
      <c r="A186" s="40" t="s">
        <v>358</v>
      </c>
      <c r="B186" s="40" t="s">
        <v>249</v>
      </c>
      <c r="C186" s="40" t="s">
        <v>417</v>
      </c>
      <c r="D186" s="40" t="s">
        <v>421</v>
      </c>
      <c r="E186" s="41" t="n">
        <v>8.01</v>
      </c>
      <c r="F186" s="42" t="str">
        <f aca="false">IF(VALUE(MID(C186,3,2))*10+VALUE(MID(D186,2,1))&lt;=242,"Pre",IF(VALUE(MID(C186,3,2))*10+VALUE(MID(D186,2,1))&lt;=254,"Post","Later"))</f>
        <v>Pre</v>
      </c>
      <c r="G186" s="40" t="s">
        <v>343</v>
      </c>
      <c r="H186" s="40" t="s">
        <v>576</v>
      </c>
      <c r="I186" s="40" t="s">
        <v>577</v>
      </c>
    </row>
    <row r="187" customFormat="false" ht="15" hidden="false" customHeight="false" outlineLevel="0" collapsed="false">
      <c r="A187" s="40" t="s">
        <v>358</v>
      </c>
      <c r="B187" s="40" t="s">
        <v>249</v>
      </c>
      <c r="C187" s="40" t="s">
        <v>417</v>
      </c>
      <c r="D187" s="40" t="s">
        <v>423</v>
      </c>
      <c r="E187" s="41" t="n">
        <v>7.72</v>
      </c>
      <c r="F187" s="42" t="str">
        <f aca="false">IF(VALUE(MID(C187,3,2))*10+VALUE(MID(D187,2,1))&lt;=242,"Pre",IF(VALUE(MID(C187,3,2))*10+VALUE(MID(D187,2,1))&lt;=254,"Post","Later"))</f>
        <v>Pre</v>
      </c>
      <c r="G187" s="40" t="s">
        <v>343</v>
      </c>
      <c r="H187" s="40" t="s">
        <v>576</v>
      </c>
      <c r="I187" s="40" t="s">
        <v>577</v>
      </c>
    </row>
    <row r="188" customFormat="false" ht="15" hidden="false" customHeight="false" outlineLevel="0" collapsed="false">
      <c r="A188" s="40" t="s">
        <v>358</v>
      </c>
      <c r="B188" s="40" t="s">
        <v>249</v>
      </c>
      <c r="C188" s="40" t="s">
        <v>417</v>
      </c>
      <c r="D188" s="40" t="s">
        <v>425</v>
      </c>
      <c r="E188" s="41" t="n">
        <v>7.6</v>
      </c>
      <c r="F188" s="42" t="str">
        <f aca="false">IF(VALUE(MID(C188,3,2))*10+VALUE(MID(D188,2,1))&lt;=242,"Pre",IF(VALUE(MID(C188,3,2))*10+VALUE(MID(D188,2,1))&lt;=254,"Post","Later"))</f>
        <v>Pre</v>
      </c>
      <c r="G188" s="40" t="s">
        <v>343</v>
      </c>
      <c r="H188" s="40" t="s">
        <v>576</v>
      </c>
      <c r="I188" s="40" t="s">
        <v>577</v>
      </c>
    </row>
    <row r="189" customFormat="false" ht="15" hidden="false" customHeight="false" outlineLevel="0" collapsed="false">
      <c r="A189" s="40" t="s">
        <v>358</v>
      </c>
      <c r="B189" s="40" t="s">
        <v>249</v>
      </c>
      <c r="C189" s="40" t="s">
        <v>427</v>
      </c>
      <c r="D189" s="40" t="s">
        <v>418</v>
      </c>
      <c r="E189" s="41" t="n">
        <v>7.49</v>
      </c>
      <c r="F189" s="42" t="str">
        <f aca="false">IF(VALUE(MID(C189,3,2))*10+VALUE(MID(D189,2,1))&lt;=242,"Pre",IF(VALUE(MID(C189,3,2))*10+VALUE(MID(D189,2,1))&lt;=254,"Post","Later"))</f>
        <v>Pre</v>
      </c>
      <c r="G189" s="40" t="s">
        <v>343</v>
      </c>
      <c r="H189" s="40" t="s">
        <v>578</v>
      </c>
      <c r="I189" s="40" t="s">
        <v>577</v>
      </c>
    </row>
    <row r="190" customFormat="false" ht="15" hidden="false" customHeight="false" outlineLevel="0" collapsed="false">
      <c r="A190" s="40" t="s">
        <v>358</v>
      </c>
      <c r="B190" s="40" t="s">
        <v>249</v>
      </c>
      <c r="C190" s="40" t="s">
        <v>427</v>
      </c>
      <c r="D190" s="40" t="s">
        <v>421</v>
      </c>
      <c r="E190" s="41" t="n">
        <v>7.29</v>
      </c>
      <c r="F190" s="42" t="str">
        <f aca="false">IF(VALUE(MID(C190,3,2))*10+VALUE(MID(D190,2,1))&lt;=242,"Pre",IF(VALUE(MID(C190,3,2))*10+VALUE(MID(D190,2,1))&lt;=254,"Post","Later"))</f>
        <v>Pre</v>
      </c>
      <c r="G190" s="40" t="s">
        <v>343</v>
      </c>
      <c r="H190" s="40" t="s">
        <v>578</v>
      </c>
      <c r="I190" s="40" t="s">
        <v>577</v>
      </c>
    </row>
    <row r="191" customFormat="false" ht="15" hidden="false" customHeight="false" outlineLevel="0" collapsed="false">
      <c r="A191" s="40" t="s">
        <v>358</v>
      </c>
      <c r="B191" s="40" t="s">
        <v>249</v>
      </c>
      <c r="C191" s="40" t="s">
        <v>427</v>
      </c>
      <c r="D191" s="40" t="s">
        <v>423</v>
      </c>
      <c r="E191" s="41" t="n">
        <v>7.24</v>
      </c>
      <c r="F191" s="42" t="str">
        <f aca="false">IF(VALUE(MID(C191,3,2))*10+VALUE(MID(D191,2,1))&lt;=242,"Pre",IF(VALUE(MID(C191,3,2))*10+VALUE(MID(D191,2,1))&lt;=254,"Post","Later"))</f>
        <v>Pre</v>
      </c>
      <c r="G191" s="40" t="s">
        <v>343</v>
      </c>
      <c r="H191" s="40" t="s">
        <v>578</v>
      </c>
      <c r="I191" s="40" t="s">
        <v>577</v>
      </c>
    </row>
    <row r="192" customFormat="false" ht="15" hidden="false" customHeight="false" outlineLevel="0" collapsed="false">
      <c r="A192" s="40" t="s">
        <v>358</v>
      </c>
      <c r="B192" s="40" t="s">
        <v>249</v>
      </c>
      <c r="C192" s="40" t="s">
        <v>427</v>
      </c>
      <c r="D192" s="40" t="s">
        <v>425</v>
      </c>
      <c r="E192" s="41" t="n">
        <v>7.1</v>
      </c>
      <c r="F192" s="42" t="str">
        <f aca="false">IF(VALUE(MID(C192,3,2))*10+VALUE(MID(D192,2,1))&lt;=242,"Pre",IF(VALUE(MID(C192,3,2))*10+VALUE(MID(D192,2,1))&lt;=254,"Post","Later"))</f>
        <v>Pre</v>
      </c>
      <c r="G192" s="40" t="s">
        <v>343</v>
      </c>
      <c r="H192" s="40" t="s">
        <v>578</v>
      </c>
      <c r="I192" s="40" t="s">
        <v>577</v>
      </c>
    </row>
    <row r="193" customFormat="false" ht="15" hidden="false" customHeight="false" outlineLevel="0" collapsed="false">
      <c r="A193" s="40" t="s">
        <v>358</v>
      </c>
      <c r="B193" s="40" t="s">
        <v>249</v>
      </c>
      <c r="C193" s="40" t="s">
        <v>432</v>
      </c>
      <c r="D193" s="40" t="s">
        <v>418</v>
      </c>
      <c r="E193" s="41" t="n">
        <v>7.21</v>
      </c>
      <c r="F193" s="42" t="str">
        <f aca="false">IF(VALUE(MID(C193,3,2))*10+VALUE(MID(D193,2,1))&lt;=242,"Pre",IF(VALUE(MID(C193,3,2))*10+VALUE(MID(D193,2,1))&lt;=254,"Post","Later"))</f>
        <v>Pre</v>
      </c>
      <c r="G193" s="40" t="s">
        <v>343</v>
      </c>
      <c r="H193" s="40" t="s">
        <v>579</v>
      </c>
      <c r="I193" s="40" t="s">
        <v>577</v>
      </c>
    </row>
    <row r="194" customFormat="false" ht="15" hidden="false" customHeight="false" outlineLevel="0" collapsed="false">
      <c r="A194" s="40" t="s">
        <v>358</v>
      </c>
      <c r="B194" s="40" t="s">
        <v>249</v>
      </c>
      <c r="C194" s="40" t="s">
        <v>432</v>
      </c>
      <c r="D194" s="40" t="s">
        <v>421</v>
      </c>
      <c r="E194" s="41" t="n">
        <v>7.32</v>
      </c>
      <c r="F194" s="42" t="str">
        <f aca="false">IF(VALUE(MID(C194,3,2))*10+VALUE(MID(D194,2,1))&lt;=242,"Pre",IF(VALUE(MID(C194,3,2))*10+VALUE(MID(D194,2,1))&lt;=254,"Post","Later"))</f>
        <v>Pre</v>
      </c>
      <c r="G194" s="40" t="s">
        <v>343</v>
      </c>
      <c r="H194" s="40" t="s">
        <v>579</v>
      </c>
      <c r="I194" s="40" t="s">
        <v>577</v>
      </c>
    </row>
    <row r="195" customFormat="false" ht="15" hidden="false" customHeight="false" outlineLevel="0" collapsed="false">
      <c r="A195" s="40" t="s">
        <v>358</v>
      </c>
      <c r="B195" s="40" t="s">
        <v>249</v>
      </c>
      <c r="C195" s="40" t="s">
        <v>432</v>
      </c>
      <c r="D195" s="40" t="s">
        <v>423</v>
      </c>
      <c r="E195" s="41" t="n">
        <v>7.55</v>
      </c>
      <c r="F195" s="42" t="str">
        <f aca="false">IF(VALUE(MID(C195,3,2))*10+VALUE(MID(D195,2,1))&lt;=242,"Pre",IF(VALUE(MID(C195,3,2))*10+VALUE(MID(D195,2,1))&lt;=254,"Post","Later"))</f>
        <v>Pre</v>
      </c>
      <c r="G195" s="40" t="s">
        <v>343</v>
      </c>
      <c r="H195" s="40" t="s">
        <v>579</v>
      </c>
      <c r="I195" s="40" t="s">
        <v>577</v>
      </c>
    </row>
    <row r="196" customFormat="false" ht="15" hidden="false" customHeight="false" outlineLevel="0" collapsed="false">
      <c r="A196" s="40" t="s">
        <v>358</v>
      </c>
      <c r="B196" s="40" t="s">
        <v>249</v>
      </c>
      <c r="C196" s="40" t="s">
        <v>432</v>
      </c>
      <c r="D196" s="40" t="s">
        <v>425</v>
      </c>
      <c r="E196" s="41" t="n">
        <v>7.76</v>
      </c>
      <c r="F196" s="42" t="str">
        <f aca="false">IF(VALUE(MID(C196,3,2))*10+VALUE(MID(D196,2,1))&lt;=242,"Pre",IF(VALUE(MID(C196,3,2))*10+VALUE(MID(D196,2,1))&lt;=254,"Post","Later"))</f>
        <v>Pre</v>
      </c>
      <c r="G196" s="40" t="s">
        <v>343</v>
      </c>
      <c r="H196" s="40" t="s">
        <v>579</v>
      </c>
      <c r="I196" s="40" t="s">
        <v>577</v>
      </c>
    </row>
    <row r="197" customFormat="false" ht="15" hidden="false" customHeight="false" outlineLevel="0" collapsed="false">
      <c r="A197" s="40" t="s">
        <v>358</v>
      </c>
      <c r="B197" s="40" t="s">
        <v>249</v>
      </c>
      <c r="C197" s="40" t="s">
        <v>435</v>
      </c>
      <c r="D197" s="40" t="s">
        <v>418</v>
      </c>
      <c r="E197" s="41" t="n">
        <v>7.97</v>
      </c>
      <c r="F197" s="42" t="str">
        <f aca="false">IF(VALUE(MID(C197,3,2))*10+VALUE(MID(D197,2,1))&lt;=242,"Pre",IF(VALUE(MID(C197,3,2))*10+VALUE(MID(D197,2,1))&lt;=254,"Post","Later"))</f>
        <v>Pre</v>
      </c>
      <c r="G197" s="40" t="s">
        <v>343</v>
      </c>
      <c r="H197" s="40" t="s">
        <v>580</v>
      </c>
      <c r="I197" s="40" t="s">
        <v>577</v>
      </c>
    </row>
    <row r="198" customFormat="false" ht="15" hidden="false" customHeight="false" outlineLevel="0" collapsed="false">
      <c r="A198" s="40" t="s">
        <v>358</v>
      </c>
      <c r="B198" s="40" t="s">
        <v>249</v>
      </c>
      <c r="C198" s="40" t="s">
        <v>435</v>
      </c>
      <c r="D198" s="40" t="s">
        <v>421</v>
      </c>
      <c r="E198" s="41" t="n">
        <v>7.99</v>
      </c>
      <c r="F198" s="42" t="str">
        <f aca="false">IF(VALUE(MID(C198,3,2))*10+VALUE(MID(D198,2,1))&lt;=242,"Pre",IF(VALUE(MID(C198,3,2))*10+VALUE(MID(D198,2,1))&lt;=254,"Post","Later"))</f>
        <v>Pre</v>
      </c>
      <c r="G198" s="40" t="s">
        <v>343</v>
      </c>
      <c r="H198" s="40" t="s">
        <v>580</v>
      </c>
      <c r="I198" s="40" t="s">
        <v>577</v>
      </c>
    </row>
    <row r="199" customFormat="false" ht="15" hidden="false" customHeight="false" outlineLevel="0" collapsed="false">
      <c r="A199" s="40" t="s">
        <v>358</v>
      </c>
      <c r="B199" s="40" t="s">
        <v>249</v>
      </c>
      <c r="C199" s="40" t="s">
        <v>435</v>
      </c>
      <c r="D199" s="40" t="s">
        <v>423</v>
      </c>
      <c r="E199" s="41" t="n">
        <v>8.07</v>
      </c>
      <c r="F199" s="42" t="str">
        <f aca="false">IF(VALUE(MID(C199,3,2))*10+VALUE(MID(D199,2,1))&lt;=242,"Pre",IF(VALUE(MID(C199,3,2))*10+VALUE(MID(D199,2,1))&lt;=254,"Post","Later"))</f>
        <v>Post</v>
      </c>
      <c r="G199" s="40" t="s">
        <v>343</v>
      </c>
      <c r="H199" s="40" t="s">
        <v>580</v>
      </c>
      <c r="I199" s="40" t="s">
        <v>577</v>
      </c>
    </row>
    <row r="200" customFormat="false" ht="15" hidden="false" customHeight="false" outlineLevel="0" collapsed="false">
      <c r="A200" s="40" t="s">
        <v>358</v>
      </c>
      <c r="B200" s="40" t="s">
        <v>249</v>
      </c>
      <c r="C200" s="40" t="s">
        <v>435</v>
      </c>
      <c r="D200" s="40" t="s">
        <v>425</v>
      </c>
      <c r="E200" s="41" t="n">
        <v>7.98</v>
      </c>
      <c r="F200" s="42" t="str">
        <f aca="false">IF(VALUE(MID(C200,3,2))*10+VALUE(MID(D200,2,1))&lt;=242,"Pre",IF(VALUE(MID(C200,3,2))*10+VALUE(MID(D200,2,1))&lt;=254,"Post","Later"))</f>
        <v>Post</v>
      </c>
      <c r="G200" s="40" t="s">
        <v>343</v>
      </c>
      <c r="H200" s="40" t="s">
        <v>580</v>
      </c>
      <c r="I200" s="40" t="s">
        <v>577</v>
      </c>
    </row>
    <row r="201" customFormat="false" ht="15" hidden="false" customHeight="false" outlineLevel="0" collapsed="false">
      <c r="A201" s="40" t="s">
        <v>358</v>
      </c>
      <c r="B201" s="40" t="s">
        <v>249</v>
      </c>
      <c r="C201" s="40" t="s">
        <v>440</v>
      </c>
      <c r="D201" s="40" t="s">
        <v>418</v>
      </c>
      <c r="E201" s="41" t="n">
        <v>7.92</v>
      </c>
      <c r="F201" s="42" t="str">
        <f aca="false">IF(VALUE(MID(C201,3,2))*10+VALUE(MID(D201,2,1))&lt;=242,"Pre",IF(VALUE(MID(C201,3,2))*10+VALUE(MID(D201,2,1))&lt;=254,"Post","Later"))</f>
        <v>Post</v>
      </c>
      <c r="G201" s="40" t="s">
        <v>343</v>
      </c>
      <c r="H201" s="40" t="s">
        <v>580</v>
      </c>
      <c r="I201" s="40" t="s">
        <v>577</v>
      </c>
    </row>
    <row r="202" customFormat="false" ht="15" hidden="false" customHeight="false" outlineLevel="0" collapsed="false">
      <c r="A202" s="40" t="s">
        <v>358</v>
      </c>
      <c r="B202" s="40" t="s">
        <v>249</v>
      </c>
      <c r="C202" s="40" t="s">
        <v>440</v>
      </c>
      <c r="D202" s="40" t="s">
        <v>421</v>
      </c>
      <c r="E202" s="41" t="n">
        <v>7.84</v>
      </c>
      <c r="F202" s="42" t="str">
        <f aca="false">IF(VALUE(MID(C202,3,2))*10+VALUE(MID(D202,2,1))&lt;=242,"Pre",IF(VALUE(MID(C202,3,2))*10+VALUE(MID(D202,2,1))&lt;=254,"Post","Later"))</f>
        <v>Post</v>
      </c>
      <c r="G202" s="40" t="s">
        <v>343</v>
      </c>
      <c r="H202" s="40" t="s">
        <v>569</v>
      </c>
      <c r="I202" s="40" t="s">
        <v>577</v>
      </c>
    </row>
    <row r="203" customFormat="false" ht="15" hidden="false" customHeight="false" outlineLevel="0" collapsed="false">
      <c r="A203" s="40" t="s">
        <v>358</v>
      </c>
      <c r="B203" s="40" t="s">
        <v>249</v>
      </c>
      <c r="C203" s="40" t="s">
        <v>440</v>
      </c>
      <c r="D203" s="40" t="s">
        <v>423</v>
      </c>
      <c r="E203" s="41" t="n">
        <v>7.83</v>
      </c>
      <c r="F203" s="42" t="str">
        <f aca="false">IF(VALUE(MID(C203,3,2))*10+VALUE(MID(D203,2,1))&lt;=242,"Pre",IF(VALUE(MID(C203,3,2))*10+VALUE(MID(D203,2,1))&lt;=254,"Post","Later"))</f>
        <v>Post</v>
      </c>
      <c r="G203" s="40" t="s">
        <v>343</v>
      </c>
      <c r="H203" s="40" t="s">
        <v>570</v>
      </c>
      <c r="I203" s="40" t="s">
        <v>577</v>
      </c>
    </row>
    <row r="204" customFormat="false" ht="15" hidden="false" customHeight="false" outlineLevel="0" collapsed="false">
      <c r="A204" s="40" t="s">
        <v>358</v>
      </c>
      <c r="B204" s="40" t="s">
        <v>249</v>
      </c>
      <c r="C204" s="40" t="s">
        <v>440</v>
      </c>
      <c r="D204" s="40" t="s">
        <v>425</v>
      </c>
      <c r="E204" s="41" t="n">
        <v>7.84</v>
      </c>
      <c r="F204" s="42" t="str">
        <f aca="false">IF(VALUE(MID(C204,3,2))*10+VALUE(MID(D204,2,1))&lt;=242,"Pre",IF(VALUE(MID(C204,3,2))*10+VALUE(MID(D204,2,1))&lt;=254,"Post","Later"))</f>
        <v>Post</v>
      </c>
      <c r="G204" s="40" t="s">
        <v>343</v>
      </c>
      <c r="H204" s="40" t="s">
        <v>581</v>
      </c>
      <c r="I204" s="40" t="s">
        <v>577</v>
      </c>
    </row>
    <row r="205" customFormat="false" ht="15" hidden="false" customHeight="false" outlineLevel="0" collapsed="false">
      <c r="A205" s="40" t="s">
        <v>358</v>
      </c>
      <c r="B205" s="40" t="s">
        <v>249</v>
      </c>
      <c r="C205" s="40" t="s">
        <v>444</v>
      </c>
      <c r="D205" s="40" t="s">
        <v>418</v>
      </c>
      <c r="E205" s="41" t="n">
        <v>7.76</v>
      </c>
      <c r="F205" s="42" t="str">
        <f aca="false">IF(VALUE(MID(C205,3,2))*10+VALUE(MID(D205,2,1))&lt;=242,"Pre",IF(VALUE(MID(C205,3,2))*10+VALUE(MID(D205,2,1))&lt;=254,"Post","Later"))</f>
        <v>Later</v>
      </c>
      <c r="G205" s="40" t="s">
        <v>343</v>
      </c>
      <c r="H205" s="40" t="s">
        <v>572</v>
      </c>
      <c r="I205" s="40" t="s">
        <v>577</v>
      </c>
    </row>
    <row r="206" customFormat="false" ht="15" hidden="false" customHeight="false" outlineLevel="0" collapsed="false">
      <c r="A206" s="40" t="s">
        <v>358</v>
      </c>
      <c r="B206" s="40" t="s">
        <v>249</v>
      </c>
      <c r="C206" s="40" t="s">
        <v>444</v>
      </c>
      <c r="D206" s="40" t="s">
        <v>421</v>
      </c>
      <c r="E206" s="41" t="n">
        <v>7.69</v>
      </c>
      <c r="F206" s="42" t="str">
        <f aca="false">IF(VALUE(MID(C206,3,2))*10+VALUE(MID(D206,2,1))&lt;=242,"Pre",IF(VALUE(MID(C206,3,2))*10+VALUE(MID(D206,2,1))&lt;=254,"Post","Later"))</f>
        <v>Later</v>
      </c>
      <c r="G206" s="40" t="s">
        <v>343</v>
      </c>
      <c r="H206" s="40" t="s">
        <v>573</v>
      </c>
      <c r="I206" s="40" t="s">
        <v>577</v>
      </c>
    </row>
    <row r="207" customFormat="false" ht="15" hidden="false" customHeight="false" outlineLevel="0" collapsed="false">
      <c r="A207" s="40" t="s">
        <v>358</v>
      </c>
      <c r="B207" s="40" t="s">
        <v>249</v>
      </c>
      <c r="C207" s="40" t="s">
        <v>444</v>
      </c>
      <c r="D207" s="40" t="s">
        <v>423</v>
      </c>
      <c r="E207" s="41" t="n">
        <v>7.5</v>
      </c>
      <c r="F207" s="42" t="str">
        <f aca="false">IF(VALUE(MID(C207,3,2))*10+VALUE(MID(D207,2,1))&lt;=242,"Pre",IF(VALUE(MID(C207,3,2))*10+VALUE(MID(D207,2,1))&lt;=254,"Post","Later"))</f>
        <v>Later</v>
      </c>
      <c r="G207" s="40" t="s">
        <v>343</v>
      </c>
      <c r="H207" s="40" t="s">
        <v>574</v>
      </c>
      <c r="I207" s="40" t="s">
        <v>577</v>
      </c>
    </row>
    <row r="208" customFormat="false" ht="15" hidden="false" customHeight="false" outlineLevel="0" collapsed="false">
      <c r="A208" s="40" t="s">
        <v>358</v>
      </c>
      <c r="B208" s="40" t="s">
        <v>249</v>
      </c>
      <c r="C208" s="40" t="s">
        <v>444</v>
      </c>
      <c r="D208" s="40" t="s">
        <v>425</v>
      </c>
      <c r="E208" s="41" t="n">
        <v>7.35</v>
      </c>
      <c r="F208" s="42" t="str">
        <f aca="false">IF(VALUE(MID(C208,3,2))*10+VALUE(MID(D208,2,1))&lt;=242,"Pre",IF(VALUE(MID(C208,3,2))*10+VALUE(MID(D208,2,1))&lt;=254,"Post","Later"))</f>
        <v>Later</v>
      </c>
      <c r="G208" s="40" t="s">
        <v>343</v>
      </c>
      <c r="H208" s="40" t="s">
        <v>575</v>
      </c>
      <c r="I208" s="40" t="s">
        <v>577</v>
      </c>
    </row>
    <row r="209" customFormat="false" ht="15" hidden="false" customHeight="false" outlineLevel="0" collapsed="false">
      <c r="A209" s="40" t="s">
        <v>354</v>
      </c>
      <c r="B209" s="40" t="s">
        <v>249</v>
      </c>
      <c r="C209" s="40" t="s">
        <v>417</v>
      </c>
      <c r="D209" s="40" t="s">
        <v>418</v>
      </c>
      <c r="E209" s="41" t="n">
        <v>8.1</v>
      </c>
      <c r="F209" s="42" t="str">
        <f aca="false">IF(VALUE(MID(C209,3,2))*10+VALUE(MID(D209,2,1))&lt;=242,"Pre",IF(VALUE(MID(C209,3,2))*10+VALUE(MID(D209,2,1))&lt;=254,"Post","Later"))</f>
        <v>Pre</v>
      </c>
      <c r="G209" s="40" t="s">
        <v>343</v>
      </c>
      <c r="H209" s="40" t="s">
        <v>582</v>
      </c>
      <c r="I209" s="40" t="s">
        <v>583</v>
      </c>
    </row>
    <row r="210" customFormat="false" ht="15" hidden="false" customHeight="false" outlineLevel="0" collapsed="false">
      <c r="A210" s="40" t="s">
        <v>354</v>
      </c>
      <c r="B210" s="40" t="s">
        <v>249</v>
      </c>
      <c r="C210" s="40" t="s">
        <v>417</v>
      </c>
      <c r="D210" s="40" t="s">
        <v>421</v>
      </c>
      <c r="E210" s="41" t="n">
        <v>7.9</v>
      </c>
      <c r="F210" s="42" t="str">
        <f aca="false">IF(VALUE(MID(C210,3,2))*10+VALUE(MID(D210,2,1))&lt;=242,"Pre",IF(VALUE(MID(C210,3,2))*10+VALUE(MID(D210,2,1))&lt;=254,"Post","Later"))</f>
        <v>Pre</v>
      </c>
      <c r="G210" s="40" t="s">
        <v>343</v>
      </c>
      <c r="H210" s="40" t="s">
        <v>582</v>
      </c>
      <c r="I210" s="40" t="s">
        <v>583</v>
      </c>
    </row>
    <row r="211" customFormat="false" ht="15" hidden="false" customHeight="false" outlineLevel="0" collapsed="false">
      <c r="A211" s="40" t="s">
        <v>354</v>
      </c>
      <c r="B211" s="40" t="s">
        <v>249</v>
      </c>
      <c r="C211" s="40" t="s">
        <v>417</v>
      </c>
      <c r="D211" s="40" t="s">
        <v>423</v>
      </c>
      <c r="E211" s="41" t="n">
        <v>7.68</v>
      </c>
      <c r="F211" s="42" t="str">
        <f aca="false">IF(VALUE(MID(C211,3,2))*10+VALUE(MID(D211,2,1))&lt;=242,"Pre",IF(VALUE(MID(C211,3,2))*10+VALUE(MID(D211,2,1))&lt;=254,"Post","Later"))</f>
        <v>Pre</v>
      </c>
      <c r="G211" s="40" t="s">
        <v>343</v>
      </c>
      <c r="H211" s="40" t="s">
        <v>582</v>
      </c>
      <c r="I211" s="40" t="s">
        <v>583</v>
      </c>
    </row>
    <row r="212" customFormat="false" ht="15" hidden="false" customHeight="false" outlineLevel="0" collapsed="false">
      <c r="A212" s="40" t="s">
        <v>354</v>
      </c>
      <c r="B212" s="40" t="s">
        <v>249</v>
      </c>
      <c r="C212" s="40" t="s">
        <v>417</v>
      </c>
      <c r="D212" s="40" t="s">
        <v>425</v>
      </c>
      <c r="E212" s="41" t="n">
        <v>7.4</v>
      </c>
      <c r="F212" s="42" t="str">
        <f aca="false">IF(VALUE(MID(C212,3,2))*10+VALUE(MID(D212,2,1))&lt;=242,"Pre",IF(VALUE(MID(C212,3,2))*10+VALUE(MID(D212,2,1))&lt;=254,"Post","Later"))</f>
        <v>Pre</v>
      </c>
      <c r="G212" s="40" t="s">
        <v>343</v>
      </c>
      <c r="H212" s="40" t="s">
        <v>582</v>
      </c>
      <c r="I212" s="40" t="s">
        <v>583</v>
      </c>
    </row>
    <row r="213" customFormat="false" ht="15" hidden="false" customHeight="false" outlineLevel="0" collapsed="false">
      <c r="A213" s="40" t="s">
        <v>354</v>
      </c>
      <c r="B213" s="40" t="s">
        <v>249</v>
      </c>
      <c r="C213" s="40" t="s">
        <v>427</v>
      </c>
      <c r="D213" s="40" t="s">
        <v>418</v>
      </c>
      <c r="E213" s="41" t="n">
        <v>7.25</v>
      </c>
      <c r="F213" s="42" t="str">
        <f aca="false">IF(VALUE(MID(C213,3,2))*10+VALUE(MID(D213,2,1))&lt;=242,"Pre",IF(VALUE(MID(C213,3,2))*10+VALUE(MID(D213,2,1))&lt;=254,"Post","Later"))</f>
        <v>Pre</v>
      </c>
      <c r="G213" s="40" t="s">
        <v>343</v>
      </c>
      <c r="H213" s="40" t="s">
        <v>582</v>
      </c>
      <c r="I213" s="40" t="s">
        <v>583</v>
      </c>
    </row>
    <row r="214" customFormat="false" ht="15" hidden="false" customHeight="false" outlineLevel="0" collapsed="false">
      <c r="A214" s="40" t="s">
        <v>354</v>
      </c>
      <c r="B214" s="40" t="s">
        <v>249</v>
      </c>
      <c r="C214" s="40" t="s">
        <v>427</v>
      </c>
      <c r="D214" s="40" t="s">
        <v>421</v>
      </c>
      <c r="E214" s="41" t="n">
        <v>7.17</v>
      </c>
      <c r="F214" s="42" t="str">
        <f aca="false">IF(VALUE(MID(C214,3,2))*10+VALUE(MID(D214,2,1))&lt;=242,"Pre",IF(VALUE(MID(C214,3,2))*10+VALUE(MID(D214,2,1))&lt;=254,"Post","Later"))</f>
        <v>Pre</v>
      </c>
      <c r="G214" s="40" t="s">
        <v>343</v>
      </c>
      <c r="H214" s="40" t="s">
        <v>582</v>
      </c>
      <c r="I214" s="40" t="s">
        <v>583</v>
      </c>
    </row>
    <row r="215" customFormat="false" ht="15" hidden="false" customHeight="false" outlineLevel="0" collapsed="false">
      <c r="A215" s="40" t="s">
        <v>354</v>
      </c>
      <c r="B215" s="40" t="s">
        <v>249</v>
      </c>
      <c r="C215" s="40" t="s">
        <v>427</v>
      </c>
      <c r="D215" s="40" t="s">
        <v>423</v>
      </c>
      <c r="E215" s="41" t="n">
        <v>7.03</v>
      </c>
      <c r="F215" s="42" t="str">
        <f aca="false">IF(VALUE(MID(C215,3,2))*10+VALUE(MID(D215,2,1))&lt;=242,"Pre",IF(VALUE(MID(C215,3,2))*10+VALUE(MID(D215,2,1))&lt;=254,"Post","Later"))</f>
        <v>Pre</v>
      </c>
      <c r="G215" s="40" t="s">
        <v>343</v>
      </c>
      <c r="H215" s="40" t="s">
        <v>584</v>
      </c>
      <c r="I215" s="40" t="s">
        <v>583</v>
      </c>
    </row>
    <row r="216" customFormat="false" ht="15" hidden="false" customHeight="false" outlineLevel="0" collapsed="false">
      <c r="A216" s="40" t="s">
        <v>354</v>
      </c>
      <c r="B216" s="40" t="s">
        <v>249</v>
      </c>
      <c r="C216" s="40" t="s">
        <v>427</v>
      </c>
      <c r="D216" s="40" t="s">
        <v>425</v>
      </c>
      <c r="E216" s="41" t="n">
        <v>6.88</v>
      </c>
      <c r="F216" s="42" t="str">
        <f aca="false">IF(VALUE(MID(C216,3,2))*10+VALUE(MID(D216,2,1))&lt;=242,"Pre",IF(VALUE(MID(C216,3,2))*10+VALUE(MID(D216,2,1))&lt;=254,"Post","Later"))</f>
        <v>Pre</v>
      </c>
      <c r="G216" s="40" t="s">
        <v>343</v>
      </c>
      <c r="H216" s="40" t="s">
        <v>584</v>
      </c>
      <c r="I216" s="40" t="s">
        <v>583</v>
      </c>
    </row>
    <row r="217" customFormat="false" ht="15" hidden="false" customHeight="false" outlineLevel="0" collapsed="false">
      <c r="A217" s="40" t="s">
        <v>354</v>
      </c>
      <c r="B217" s="40" t="s">
        <v>249</v>
      </c>
      <c r="C217" s="40" t="s">
        <v>432</v>
      </c>
      <c r="D217" s="40" t="s">
        <v>418</v>
      </c>
      <c r="E217" s="41" t="n">
        <v>6.86</v>
      </c>
      <c r="F217" s="42" t="str">
        <f aca="false">IF(VALUE(MID(C217,3,2))*10+VALUE(MID(D217,2,1))&lt;=242,"Pre",IF(VALUE(MID(C217,3,2))*10+VALUE(MID(D217,2,1))&lt;=254,"Post","Later"))</f>
        <v>Pre</v>
      </c>
      <c r="G217" s="40" t="s">
        <v>343</v>
      </c>
      <c r="H217" s="40" t="s">
        <v>584</v>
      </c>
      <c r="I217" s="40" t="s">
        <v>583</v>
      </c>
    </row>
    <row r="218" customFormat="false" ht="15" hidden="false" customHeight="false" outlineLevel="0" collapsed="false">
      <c r="A218" s="40" t="s">
        <v>354</v>
      </c>
      <c r="B218" s="40" t="s">
        <v>249</v>
      </c>
      <c r="C218" s="40" t="s">
        <v>432</v>
      </c>
      <c r="D218" s="40" t="s">
        <v>421</v>
      </c>
      <c r="E218" s="41" t="n">
        <v>6.99</v>
      </c>
      <c r="F218" s="42" t="str">
        <f aca="false">IF(VALUE(MID(C218,3,2))*10+VALUE(MID(D218,2,1))&lt;=242,"Pre",IF(VALUE(MID(C218,3,2))*10+VALUE(MID(D218,2,1))&lt;=254,"Post","Later"))</f>
        <v>Pre</v>
      </c>
      <c r="G218" s="40" t="s">
        <v>343</v>
      </c>
      <c r="H218" s="40" t="s">
        <v>584</v>
      </c>
      <c r="I218" s="40" t="s">
        <v>583</v>
      </c>
    </row>
    <row r="219" customFormat="false" ht="15" hidden="false" customHeight="false" outlineLevel="0" collapsed="false">
      <c r="A219" s="40" t="s">
        <v>354</v>
      </c>
      <c r="B219" s="40" t="s">
        <v>249</v>
      </c>
      <c r="C219" s="40" t="s">
        <v>432</v>
      </c>
      <c r="D219" s="40" t="s">
        <v>423</v>
      </c>
      <c r="E219" s="41" t="n">
        <v>7.29</v>
      </c>
      <c r="F219" s="42" t="str">
        <f aca="false">IF(VALUE(MID(C219,3,2))*10+VALUE(MID(D219,2,1))&lt;=242,"Pre",IF(VALUE(MID(C219,3,2))*10+VALUE(MID(D219,2,1))&lt;=254,"Post","Later"))</f>
        <v>Pre</v>
      </c>
      <c r="G219" s="40" t="s">
        <v>343</v>
      </c>
      <c r="H219" s="40" t="s">
        <v>584</v>
      </c>
      <c r="I219" s="40" t="s">
        <v>583</v>
      </c>
    </row>
    <row r="220" customFormat="false" ht="15" hidden="false" customHeight="false" outlineLevel="0" collapsed="false">
      <c r="A220" s="40" t="s">
        <v>354</v>
      </c>
      <c r="B220" s="40" t="s">
        <v>249</v>
      </c>
      <c r="C220" s="40" t="s">
        <v>432</v>
      </c>
      <c r="D220" s="40" t="s">
        <v>425</v>
      </c>
      <c r="E220" s="41" t="n">
        <v>7.61</v>
      </c>
      <c r="F220" s="42" t="str">
        <f aca="false">IF(VALUE(MID(C220,3,2))*10+VALUE(MID(D220,2,1))&lt;=242,"Pre",IF(VALUE(MID(C220,3,2))*10+VALUE(MID(D220,2,1))&lt;=254,"Post","Later"))</f>
        <v>Pre</v>
      </c>
      <c r="G220" s="40" t="s">
        <v>343</v>
      </c>
      <c r="H220" s="40" t="s">
        <v>584</v>
      </c>
      <c r="I220" s="40" t="s">
        <v>583</v>
      </c>
    </row>
    <row r="221" customFormat="false" ht="15" hidden="false" customHeight="false" outlineLevel="0" collapsed="false">
      <c r="A221" s="40" t="s">
        <v>354</v>
      </c>
      <c r="B221" s="40" t="s">
        <v>249</v>
      </c>
      <c r="C221" s="40" t="s">
        <v>435</v>
      </c>
      <c r="D221" s="40" t="s">
        <v>418</v>
      </c>
      <c r="E221" s="41" t="n">
        <v>7.66</v>
      </c>
      <c r="F221" s="42" t="str">
        <f aca="false">IF(VALUE(MID(C221,3,2))*10+VALUE(MID(D221,2,1))&lt;=242,"Pre",IF(VALUE(MID(C221,3,2))*10+VALUE(MID(D221,2,1))&lt;=254,"Post","Later"))</f>
        <v>Pre</v>
      </c>
      <c r="G221" s="40" t="s">
        <v>343</v>
      </c>
      <c r="H221" s="40" t="s">
        <v>584</v>
      </c>
      <c r="I221" s="40" t="s">
        <v>583</v>
      </c>
    </row>
    <row r="222" customFormat="false" ht="15" hidden="false" customHeight="false" outlineLevel="0" collapsed="false">
      <c r="A222" s="40" t="s">
        <v>354</v>
      </c>
      <c r="B222" s="40" t="s">
        <v>249</v>
      </c>
      <c r="C222" s="40" t="s">
        <v>435</v>
      </c>
      <c r="D222" s="40" t="s">
        <v>421</v>
      </c>
      <c r="E222" s="41" t="n">
        <v>7.86</v>
      </c>
      <c r="F222" s="42" t="str">
        <f aca="false">IF(VALUE(MID(C222,3,2))*10+VALUE(MID(D222,2,1))&lt;=242,"Pre",IF(VALUE(MID(C222,3,2))*10+VALUE(MID(D222,2,1))&lt;=254,"Post","Later"))</f>
        <v>Pre</v>
      </c>
      <c r="G222" s="40" t="s">
        <v>343</v>
      </c>
      <c r="H222" s="40" t="s">
        <v>584</v>
      </c>
      <c r="I222" s="40" t="s">
        <v>583</v>
      </c>
    </row>
    <row r="223" customFormat="false" ht="15" hidden="false" customHeight="false" outlineLevel="0" collapsed="false">
      <c r="A223" s="40" t="s">
        <v>354</v>
      </c>
      <c r="B223" s="40" t="s">
        <v>249</v>
      </c>
      <c r="C223" s="40" t="s">
        <v>435</v>
      </c>
      <c r="D223" s="40" t="s">
        <v>423</v>
      </c>
      <c r="E223" s="41" t="n">
        <v>7.95</v>
      </c>
      <c r="F223" s="42" t="str">
        <f aca="false">IF(VALUE(MID(C223,3,2))*10+VALUE(MID(D223,2,1))&lt;=242,"Pre",IF(VALUE(MID(C223,3,2))*10+VALUE(MID(D223,2,1))&lt;=254,"Post","Later"))</f>
        <v>Post</v>
      </c>
      <c r="G223" s="40" t="s">
        <v>343</v>
      </c>
      <c r="H223" s="40" t="s">
        <v>585</v>
      </c>
      <c r="I223" s="40" t="s">
        <v>583</v>
      </c>
    </row>
    <row r="224" customFormat="false" ht="15" hidden="false" customHeight="false" outlineLevel="0" collapsed="false">
      <c r="A224" s="40" t="s">
        <v>354</v>
      </c>
      <c r="B224" s="40" t="s">
        <v>249</v>
      </c>
      <c r="C224" s="40" t="s">
        <v>435</v>
      </c>
      <c r="D224" s="40" t="s">
        <v>425</v>
      </c>
      <c r="E224" s="41" t="n">
        <v>8.07</v>
      </c>
      <c r="F224" s="42" t="str">
        <f aca="false">IF(VALUE(MID(C224,3,2))*10+VALUE(MID(D224,2,1))&lt;=242,"Pre",IF(VALUE(MID(C224,3,2))*10+VALUE(MID(D224,2,1))&lt;=254,"Post","Later"))</f>
        <v>Post</v>
      </c>
      <c r="G224" s="40" t="s">
        <v>343</v>
      </c>
      <c r="H224" s="40" t="s">
        <v>585</v>
      </c>
      <c r="I224" s="40" t="s">
        <v>583</v>
      </c>
    </row>
    <row r="225" customFormat="false" ht="15" hidden="false" customHeight="false" outlineLevel="0" collapsed="false">
      <c r="A225" s="40" t="s">
        <v>354</v>
      </c>
      <c r="B225" s="40" t="s">
        <v>249</v>
      </c>
      <c r="C225" s="40" t="s">
        <v>440</v>
      </c>
      <c r="D225" s="40" t="s">
        <v>418</v>
      </c>
      <c r="E225" s="41" t="n">
        <v>8.08</v>
      </c>
      <c r="F225" s="42" t="str">
        <f aca="false">IF(VALUE(MID(C225,3,2))*10+VALUE(MID(D225,2,1))&lt;=242,"Pre",IF(VALUE(MID(C225,3,2))*10+VALUE(MID(D225,2,1))&lt;=254,"Post","Later"))</f>
        <v>Post</v>
      </c>
      <c r="G225" s="40" t="s">
        <v>343</v>
      </c>
      <c r="H225" s="40" t="s">
        <v>585</v>
      </c>
      <c r="I225" s="40" t="s">
        <v>583</v>
      </c>
    </row>
    <row r="226" customFormat="false" ht="15" hidden="false" customHeight="false" outlineLevel="0" collapsed="false">
      <c r="A226" s="40" t="s">
        <v>354</v>
      </c>
      <c r="B226" s="40" t="s">
        <v>249</v>
      </c>
      <c r="C226" s="40" t="s">
        <v>440</v>
      </c>
      <c r="D226" s="40" t="s">
        <v>421</v>
      </c>
      <c r="E226" s="41" t="n">
        <v>8.15</v>
      </c>
      <c r="F226" s="42" t="str">
        <f aca="false">IF(VALUE(MID(C226,3,2))*10+VALUE(MID(D226,2,1))&lt;=242,"Pre",IF(VALUE(MID(C226,3,2))*10+VALUE(MID(D226,2,1))&lt;=254,"Post","Later"))</f>
        <v>Post</v>
      </c>
      <c r="G226" s="40" t="s">
        <v>343</v>
      </c>
      <c r="H226" s="40" t="s">
        <v>585</v>
      </c>
      <c r="I226" s="40" t="s">
        <v>583</v>
      </c>
    </row>
    <row r="227" customFormat="false" ht="15" hidden="false" customHeight="false" outlineLevel="0" collapsed="false">
      <c r="A227" s="40" t="s">
        <v>354</v>
      </c>
      <c r="B227" s="40" t="s">
        <v>249</v>
      </c>
      <c r="C227" s="40" t="s">
        <v>440</v>
      </c>
      <c r="D227" s="40" t="s">
        <v>423</v>
      </c>
      <c r="E227" s="41" t="n">
        <v>8.24</v>
      </c>
      <c r="F227" s="42" t="str">
        <f aca="false">IF(VALUE(MID(C227,3,2))*10+VALUE(MID(D227,2,1))&lt;=242,"Pre",IF(VALUE(MID(C227,3,2))*10+VALUE(MID(D227,2,1))&lt;=254,"Post","Later"))</f>
        <v>Post</v>
      </c>
      <c r="G227" s="40" t="s">
        <v>343</v>
      </c>
      <c r="H227" s="40" t="s">
        <v>585</v>
      </c>
      <c r="I227" s="40" t="s">
        <v>583</v>
      </c>
    </row>
    <row r="228" customFormat="false" ht="15" hidden="false" customHeight="false" outlineLevel="0" collapsed="false">
      <c r="A228" s="40" t="s">
        <v>354</v>
      </c>
      <c r="B228" s="40" t="s">
        <v>249</v>
      </c>
      <c r="C228" s="40" t="s">
        <v>440</v>
      </c>
      <c r="D228" s="40" t="s">
        <v>425</v>
      </c>
      <c r="E228" s="41" t="n">
        <v>8.24</v>
      </c>
      <c r="F228" s="42" t="str">
        <f aca="false">IF(VALUE(MID(C228,3,2))*10+VALUE(MID(D228,2,1))&lt;=242,"Pre",IF(VALUE(MID(C228,3,2))*10+VALUE(MID(D228,2,1))&lt;=254,"Post","Later"))</f>
        <v>Post</v>
      </c>
      <c r="G228" s="40" t="s">
        <v>343</v>
      </c>
      <c r="H228" s="40" t="s">
        <v>585</v>
      </c>
      <c r="I228" s="40" t="s">
        <v>583</v>
      </c>
    </row>
    <row r="229" customFormat="false" ht="15" hidden="false" customHeight="false" outlineLevel="0" collapsed="false">
      <c r="A229" s="40" t="s">
        <v>354</v>
      </c>
      <c r="B229" s="40" t="s">
        <v>249</v>
      </c>
      <c r="C229" s="40" t="s">
        <v>444</v>
      </c>
      <c r="D229" s="40" t="s">
        <v>418</v>
      </c>
      <c r="E229" s="41" t="n">
        <v>8.02</v>
      </c>
      <c r="F229" s="42" t="str">
        <f aca="false">IF(VALUE(MID(C229,3,2))*10+VALUE(MID(D229,2,1))&lt;=242,"Pre",IF(VALUE(MID(C229,3,2))*10+VALUE(MID(D229,2,1))&lt;=254,"Post","Later"))</f>
        <v>Later</v>
      </c>
      <c r="G229" s="40" t="s">
        <v>343</v>
      </c>
      <c r="H229" s="40" t="s">
        <v>586</v>
      </c>
      <c r="I229" s="40" t="s">
        <v>583</v>
      </c>
    </row>
    <row r="230" customFormat="false" ht="15" hidden="false" customHeight="false" outlineLevel="0" collapsed="false">
      <c r="A230" s="40" t="s">
        <v>354</v>
      </c>
      <c r="B230" s="40" t="s">
        <v>249</v>
      </c>
      <c r="C230" s="40" t="s">
        <v>444</v>
      </c>
      <c r="D230" s="40" t="s">
        <v>421</v>
      </c>
      <c r="E230" s="41" t="n">
        <v>7.85</v>
      </c>
      <c r="F230" s="42" t="str">
        <f aca="false">IF(VALUE(MID(C230,3,2))*10+VALUE(MID(D230,2,1))&lt;=242,"Pre",IF(VALUE(MID(C230,3,2))*10+VALUE(MID(D230,2,1))&lt;=254,"Post","Later"))</f>
        <v>Later</v>
      </c>
      <c r="G230" s="40" t="s">
        <v>343</v>
      </c>
      <c r="H230" s="40" t="s">
        <v>586</v>
      </c>
      <c r="I230" s="40" t="s">
        <v>583</v>
      </c>
    </row>
    <row r="231" customFormat="false" ht="15" hidden="false" customHeight="false" outlineLevel="0" collapsed="false">
      <c r="A231" s="40" t="s">
        <v>354</v>
      </c>
      <c r="B231" s="40" t="s">
        <v>249</v>
      </c>
      <c r="C231" s="40" t="s">
        <v>444</v>
      </c>
      <c r="D231" s="40" t="s">
        <v>423</v>
      </c>
      <c r="E231" s="41" t="n">
        <v>7.68</v>
      </c>
      <c r="F231" s="42" t="str">
        <f aca="false">IF(VALUE(MID(C231,3,2))*10+VALUE(MID(D231,2,1))&lt;=242,"Pre",IF(VALUE(MID(C231,3,2))*10+VALUE(MID(D231,2,1))&lt;=254,"Post","Later"))</f>
        <v>Later</v>
      </c>
      <c r="G231" s="40" t="s">
        <v>343</v>
      </c>
      <c r="H231" s="40" t="s">
        <v>586</v>
      </c>
      <c r="I231" s="40" t="s">
        <v>583</v>
      </c>
    </row>
    <row r="232" customFormat="false" ht="15" hidden="false" customHeight="false" outlineLevel="0" collapsed="false">
      <c r="A232" s="40" t="s">
        <v>354</v>
      </c>
      <c r="B232" s="40" t="s">
        <v>249</v>
      </c>
      <c r="C232" s="40" t="s">
        <v>444</v>
      </c>
      <c r="D232" s="40" t="s">
        <v>425</v>
      </c>
      <c r="E232" s="41" t="n">
        <v>7.62</v>
      </c>
      <c r="F232" s="42" t="str">
        <f aca="false">IF(VALUE(MID(C232,3,2))*10+VALUE(MID(D232,2,1))&lt;=242,"Pre",IF(VALUE(MID(C232,3,2))*10+VALUE(MID(D232,2,1))&lt;=254,"Post","Later"))</f>
        <v>Later</v>
      </c>
      <c r="G232" s="40" t="s">
        <v>343</v>
      </c>
      <c r="H232" s="40" t="s">
        <v>586</v>
      </c>
      <c r="I232" s="40" t="s">
        <v>583</v>
      </c>
    </row>
    <row r="233" customFormat="false" ht="15" hidden="false" customHeight="false" outlineLevel="0" collapsed="false">
      <c r="A233" s="40" t="s">
        <v>359</v>
      </c>
      <c r="B233" s="40" t="s">
        <v>249</v>
      </c>
      <c r="C233" s="40" t="s">
        <v>417</v>
      </c>
      <c r="D233" s="40" t="s">
        <v>418</v>
      </c>
      <c r="E233" s="41" t="n">
        <v>8.3</v>
      </c>
      <c r="F233" s="42" t="str">
        <f aca="false">IF(VALUE(MID(C233,3,2))*10+VALUE(MID(D233,2,1))&lt;=242,"Pre",IF(VALUE(MID(C233,3,2))*10+VALUE(MID(D233,2,1))&lt;=254,"Post","Later"))</f>
        <v>Pre</v>
      </c>
      <c r="G233" s="40" t="s">
        <v>343</v>
      </c>
      <c r="H233" s="40" t="s">
        <v>587</v>
      </c>
      <c r="I233" s="40" t="s">
        <v>588</v>
      </c>
    </row>
    <row r="234" customFormat="false" ht="15" hidden="false" customHeight="false" outlineLevel="0" collapsed="false">
      <c r="A234" s="40" t="s">
        <v>359</v>
      </c>
      <c r="B234" s="40" t="s">
        <v>249</v>
      </c>
      <c r="C234" s="40" t="s">
        <v>417</v>
      </c>
      <c r="D234" s="40" t="s">
        <v>421</v>
      </c>
      <c r="E234" s="41" t="n">
        <v>8.2</v>
      </c>
      <c r="F234" s="42" t="str">
        <f aca="false">IF(VALUE(MID(C234,3,2))*10+VALUE(MID(D234,2,1))&lt;=242,"Pre",IF(VALUE(MID(C234,3,2))*10+VALUE(MID(D234,2,1))&lt;=254,"Post","Later"))</f>
        <v>Pre</v>
      </c>
      <c r="G234" s="40" t="s">
        <v>343</v>
      </c>
      <c r="H234" s="40" t="s">
        <v>589</v>
      </c>
      <c r="I234" s="40" t="s">
        <v>588</v>
      </c>
    </row>
    <row r="235" customFormat="false" ht="15" hidden="false" customHeight="false" outlineLevel="0" collapsed="false">
      <c r="A235" s="40" t="s">
        <v>359</v>
      </c>
      <c r="B235" s="40" t="s">
        <v>249</v>
      </c>
      <c r="C235" s="40" t="s">
        <v>417</v>
      </c>
      <c r="D235" s="40" t="s">
        <v>423</v>
      </c>
      <c r="E235" s="41" t="n">
        <v>7.9</v>
      </c>
      <c r="F235" s="42" t="str">
        <f aca="false">IF(VALUE(MID(C235,3,2))*10+VALUE(MID(D235,2,1))&lt;=242,"Pre",IF(VALUE(MID(C235,3,2))*10+VALUE(MID(D235,2,1))&lt;=254,"Post","Later"))</f>
        <v>Pre</v>
      </c>
      <c r="G235" s="40" t="s">
        <v>343</v>
      </c>
      <c r="H235" s="40" t="s">
        <v>590</v>
      </c>
      <c r="I235" s="40" t="s">
        <v>588</v>
      </c>
    </row>
    <row r="236" customFormat="false" ht="15" hidden="false" customHeight="false" outlineLevel="0" collapsed="false">
      <c r="A236" s="40" t="s">
        <v>359</v>
      </c>
      <c r="B236" s="40" t="s">
        <v>249</v>
      </c>
      <c r="C236" s="40" t="s">
        <v>417</v>
      </c>
      <c r="D236" s="40" t="s">
        <v>425</v>
      </c>
      <c r="E236" s="41" t="n">
        <v>7.3</v>
      </c>
      <c r="F236" s="42" t="str">
        <f aca="false">IF(VALUE(MID(C236,3,2))*10+VALUE(MID(D236,2,1))&lt;=242,"Pre",IF(VALUE(MID(C236,3,2))*10+VALUE(MID(D236,2,1))&lt;=254,"Post","Later"))</f>
        <v>Pre</v>
      </c>
      <c r="G236" s="40" t="s">
        <v>343</v>
      </c>
      <c r="H236" s="40" t="s">
        <v>591</v>
      </c>
      <c r="I236" s="40" t="s">
        <v>588</v>
      </c>
    </row>
    <row r="237" customFormat="false" ht="15" hidden="false" customHeight="false" outlineLevel="0" collapsed="false">
      <c r="A237" s="40" t="s">
        <v>359</v>
      </c>
      <c r="B237" s="40" t="s">
        <v>249</v>
      </c>
      <c r="C237" s="40" t="s">
        <v>427</v>
      </c>
      <c r="D237" s="40" t="s">
        <v>418</v>
      </c>
      <c r="E237" s="41" t="n">
        <v>7</v>
      </c>
      <c r="F237" s="42" t="str">
        <f aca="false">IF(VALUE(MID(C237,3,2))*10+VALUE(MID(D237,2,1))&lt;=242,"Pre",IF(VALUE(MID(C237,3,2))*10+VALUE(MID(D237,2,1))&lt;=254,"Post","Later"))</f>
        <v>Pre</v>
      </c>
      <c r="G237" s="40" t="s">
        <v>343</v>
      </c>
      <c r="H237" s="40" t="s">
        <v>592</v>
      </c>
      <c r="I237" s="40" t="s">
        <v>588</v>
      </c>
    </row>
    <row r="238" customFormat="false" ht="15" hidden="false" customHeight="false" outlineLevel="0" collapsed="false">
      <c r="A238" s="40" t="s">
        <v>359</v>
      </c>
      <c r="B238" s="40" t="s">
        <v>249</v>
      </c>
      <c r="C238" s="40" t="s">
        <v>427</v>
      </c>
      <c r="D238" s="40" t="s">
        <v>421</v>
      </c>
      <c r="E238" s="41" t="n">
        <v>7</v>
      </c>
      <c r="F238" s="42" t="str">
        <f aca="false">IF(VALUE(MID(C238,3,2))*10+VALUE(MID(D238,2,1))&lt;=242,"Pre",IF(VALUE(MID(C238,3,2))*10+VALUE(MID(D238,2,1))&lt;=254,"Post","Later"))</f>
        <v>Pre</v>
      </c>
      <c r="G238" s="40" t="s">
        <v>343</v>
      </c>
      <c r="H238" s="40" t="s">
        <v>593</v>
      </c>
      <c r="I238" s="40" t="s">
        <v>588</v>
      </c>
    </row>
    <row r="239" customFormat="false" ht="15" hidden="false" customHeight="false" outlineLevel="0" collapsed="false">
      <c r="A239" s="40" t="s">
        <v>359</v>
      </c>
      <c r="B239" s="40" t="s">
        <v>249</v>
      </c>
      <c r="C239" s="40" t="s">
        <v>427</v>
      </c>
      <c r="D239" s="40" t="s">
        <v>423</v>
      </c>
      <c r="E239" s="41" t="n">
        <v>7.1</v>
      </c>
      <c r="F239" s="42" t="str">
        <f aca="false">IF(VALUE(MID(C239,3,2))*10+VALUE(MID(D239,2,1))&lt;=242,"Pre",IF(VALUE(MID(C239,3,2))*10+VALUE(MID(D239,2,1))&lt;=254,"Post","Later"))</f>
        <v>Pre</v>
      </c>
      <c r="G239" s="40" t="s">
        <v>343</v>
      </c>
      <c r="H239" s="40" t="s">
        <v>594</v>
      </c>
      <c r="I239" s="40" t="s">
        <v>588</v>
      </c>
    </row>
    <row r="240" customFormat="false" ht="15" hidden="false" customHeight="false" outlineLevel="0" collapsed="false">
      <c r="A240" s="40" t="s">
        <v>359</v>
      </c>
      <c r="B240" s="40" t="s">
        <v>249</v>
      </c>
      <c r="C240" s="40" t="s">
        <v>427</v>
      </c>
      <c r="D240" s="40" t="s">
        <v>425</v>
      </c>
      <c r="E240" s="41" t="n">
        <v>7</v>
      </c>
      <c r="F240" s="42" t="str">
        <f aca="false">IF(VALUE(MID(C240,3,2))*10+VALUE(MID(D240,2,1))&lt;=242,"Pre",IF(VALUE(MID(C240,3,2))*10+VALUE(MID(D240,2,1))&lt;=254,"Post","Later"))</f>
        <v>Pre</v>
      </c>
      <c r="G240" s="40" t="s">
        <v>343</v>
      </c>
      <c r="H240" s="40" t="s">
        <v>595</v>
      </c>
      <c r="I240" s="40" t="s">
        <v>588</v>
      </c>
    </row>
    <row r="241" customFormat="false" ht="15" hidden="false" customHeight="false" outlineLevel="0" collapsed="false">
      <c r="A241" s="40" t="s">
        <v>359</v>
      </c>
      <c r="B241" s="40" t="s">
        <v>249</v>
      </c>
      <c r="C241" s="40" t="s">
        <v>432</v>
      </c>
      <c r="D241" s="40" t="s">
        <v>418</v>
      </c>
      <c r="E241" s="41" t="n">
        <v>7</v>
      </c>
      <c r="F241" s="42" t="str">
        <f aca="false">IF(VALUE(MID(C241,3,2))*10+VALUE(MID(D241,2,1))&lt;=242,"Pre",IF(VALUE(MID(C241,3,2))*10+VALUE(MID(D241,2,1))&lt;=254,"Post","Later"))</f>
        <v>Pre</v>
      </c>
      <c r="G241" s="40" t="s">
        <v>343</v>
      </c>
      <c r="H241" s="40" t="s">
        <v>596</v>
      </c>
      <c r="I241" s="40" t="s">
        <v>588</v>
      </c>
    </row>
    <row r="242" customFormat="false" ht="15" hidden="false" customHeight="false" outlineLevel="0" collapsed="false">
      <c r="A242" s="40" t="s">
        <v>359</v>
      </c>
      <c r="B242" s="40" t="s">
        <v>249</v>
      </c>
      <c r="C242" s="40" t="s">
        <v>432</v>
      </c>
      <c r="D242" s="40" t="s">
        <v>421</v>
      </c>
      <c r="E242" s="41" t="n">
        <v>7.1</v>
      </c>
      <c r="F242" s="42" t="str">
        <f aca="false">IF(VALUE(MID(C242,3,2))*10+VALUE(MID(D242,2,1))&lt;=242,"Pre",IF(VALUE(MID(C242,3,2))*10+VALUE(MID(D242,2,1))&lt;=254,"Post","Later"))</f>
        <v>Pre</v>
      </c>
      <c r="G242" s="40" t="s">
        <v>343</v>
      </c>
      <c r="H242" s="40" t="s">
        <v>597</v>
      </c>
      <c r="I242" s="40" t="s">
        <v>588</v>
      </c>
    </row>
    <row r="243" customFormat="false" ht="15" hidden="false" customHeight="false" outlineLevel="0" collapsed="false">
      <c r="A243" s="40" t="s">
        <v>359</v>
      </c>
      <c r="B243" s="40" t="s">
        <v>249</v>
      </c>
      <c r="C243" s="40" t="s">
        <v>432</v>
      </c>
      <c r="D243" s="40" t="s">
        <v>423</v>
      </c>
      <c r="E243" s="41" t="n">
        <v>7.5</v>
      </c>
      <c r="F243" s="42" t="str">
        <f aca="false">IF(VALUE(MID(C243,3,2))*10+VALUE(MID(D243,2,1))&lt;=242,"Pre",IF(VALUE(MID(C243,3,2))*10+VALUE(MID(D243,2,1))&lt;=254,"Post","Later"))</f>
        <v>Pre</v>
      </c>
      <c r="G243" s="40" t="s">
        <v>343</v>
      </c>
      <c r="H243" s="40" t="s">
        <v>598</v>
      </c>
      <c r="I243" s="40" t="s">
        <v>588</v>
      </c>
    </row>
    <row r="244" customFormat="false" ht="15" hidden="false" customHeight="false" outlineLevel="0" collapsed="false">
      <c r="A244" s="40" t="s">
        <v>359</v>
      </c>
      <c r="B244" s="40" t="s">
        <v>249</v>
      </c>
      <c r="C244" s="40" t="s">
        <v>432</v>
      </c>
      <c r="D244" s="40" t="s">
        <v>425</v>
      </c>
      <c r="E244" s="41" t="n">
        <v>8.1</v>
      </c>
      <c r="F244" s="42" t="str">
        <f aca="false">IF(VALUE(MID(C244,3,2))*10+VALUE(MID(D244,2,1))&lt;=242,"Pre",IF(VALUE(MID(C244,3,2))*10+VALUE(MID(D244,2,1))&lt;=254,"Post","Later"))</f>
        <v>Pre</v>
      </c>
      <c r="G244" s="40" t="s">
        <v>343</v>
      </c>
      <c r="H244" s="40" t="s">
        <v>599</v>
      </c>
      <c r="I244" s="40" t="s">
        <v>588</v>
      </c>
    </row>
    <row r="245" customFormat="false" ht="15" hidden="false" customHeight="false" outlineLevel="0" collapsed="false">
      <c r="A245" s="40" t="s">
        <v>359</v>
      </c>
      <c r="B245" s="40" t="s">
        <v>249</v>
      </c>
      <c r="C245" s="40" t="s">
        <v>435</v>
      </c>
      <c r="D245" s="40" t="s">
        <v>418</v>
      </c>
      <c r="E245" s="41" t="n">
        <v>8.2</v>
      </c>
      <c r="F245" s="42" t="str">
        <f aca="false">IF(VALUE(MID(C245,3,2))*10+VALUE(MID(D245,2,1))&lt;=242,"Pre",IF(VALUE(MID(C245,3,2))*10+VALUE(MID(D245,2,1))&lt;=254,"Post","Later"))</f>
        <v>Pre</v>
      </c>
      <c r="G245" s="40" t="s">
        <v>343</v>
      </c>
      <c r="H245" s="40" t="s">
        <v>600</v>
      </c>
      <c r="I245" s="40" t="s">
        <v>588</v>
      </c>
    </row>
    <row r="246" customFormat="false" ht="15" hidden="false" customHeight="false" outlineLevel="0" collapsed="false">
      <c r="A246" s="40" t="s">
        <v>359</v>
      </c>
      <c r="B246" s="40" t="s">
        <v>249</v>
      </c>
      <c r="C246" s="40" t="s">
        <v>435</v>
      </c>
      <c r="D246" s="40" t="s">
        <v>421</v>
      </c>
      <c r="E246" s="41" t="n">
        <v>8.4</v>
      </c>
      <c r="F246" s="42" t="str">
        <f aca="false">IF(VALUE(MID(C246,3,2))*10+VALUE(MID(D246,2,1))&lt;=242,"Pre",IF(VALUE(MID(C246,3,2))*10+VALUE(MID(D246,2,1))&lt;=254,"Post","Later"))</f>
        <v>Pre</v>
      </c>
      <c r="G246" s="40" t="s">
        <v>343</v>
      </c>
      <c r="H246" s="40" t="s">
        <v>601</v>
      </c>
      <c r="I246" s="40" t="s">
        <v>588</v>
      </c>
    </row>
    <row r="247" customFormat="false" ht="15" hidden="false" customHeight="false" outlineLevel="0" collapsed="false">
      <c r="A247" s="40" t="s">
        <v>359</v>
      </c>
      <c r="B247" s="40" t="s">
        <v>249</v>
      </c>
      <c r="C247" s="40" t="s">
        <v>435</v>
      </c>
      <c r="D247" s="40" t="s">
        <v>423</v>
      </c>
      <c r="E247" s="41" t="n">
        <v>8.4</v>
      </c>
      <c r="F247" s="42" t="str">
        <f aca="false">IF(VALUE(MID(C247,3,2))*10+VALUE(MID(D247,2,1))&lt;=242,"Pre",IF(VALUE(MID(C247,3,2))*10+VALUE(MID(D247,2,1))&lt;=254,"Post","Later"))</f>
        <v>Post</v>
      </c>
      <c r="G247" s="40" t="s">
        <v>343</v>
      </c>
      <c r="H247" s="40" t="s">
        <v>602</v>
      </c>
      <c r="I247" s="40" t="s">
        <v>588</v>
      </c>
    </row>
    <row r="248" customFormat="false" ht="15" hidden="false" customHeight="false" outlineLevel="0" collapsed="false">
      <c r="A248" s="40" t="s">
        <v>359</v>
      </c>
      <c r="B248" s="40" t="s">
        <v>249</v>
      </c>
      <c r="C248" s="40" t="s">
        <v>435</v>
      </c>
      <c r="D248" s="40" t="s">
        <v>425</v>
      </c>
      <c r="E248" s="41" t="n">
        <v>8.3</v>
      </c>
      <c r="F248" s="42" t="str">
        <f aca="false">IF(VALUE(MID(C248,3,2))*10+VALUE(MID(D248,2,1))&lt;=242,"Pre",IF(VALUE(MID(C248,3,2))*10+VALUE(MID(D248,2,1))&lt;=254,"Post","Later"))</f>
        <v>Post</v>
      </c>
      <c r="G248" s="40" t="s">
        <v>343</v>
      </c>
      <c r="H248" s="40" t="s">
        <v>603</v>
      </c>
      <c r="I248" s="40" t="s">
        <v>588</v>
      </c>
    </row>
    <row r="249" customFormat="false" ht="15" hidden="false" customHeight="false" outlineLevel="0" collapsed="false">
      <c r="A249" s="40" t="s">
        <v>359</v>
      </c>
      <c r="B249" s="40" t="s">
        <v>249</v>
      </c>
      <c r="C249" s="40" t="s">
        <v>440</v>
      </c>
      <c r="D249" s="40" t="s">
        <v>418</v>
      </c>
      <c r="E249" s="41" t="n">
        <v>8.6</v>
      </c>
      <c r="F249" s="42" t="str">
        <f aca="false">IF(VALUE(MID(C249,3,2))*10+VALUE(MID(D249,2,1))&lt;=242,"Pre",IF(VALUE(MID(C249,3,2))*10+VALUE(MID(D249,2,1))&lt;=254,"Post","Later"))</f>
        <v>Post</v>
      </c>
      <c r="G249" s="40" t="s">
        <v>343</v>
      </c>
      <c r="H249" s="40" t="s">
        <v>604</v>
      </c>
      <c r="I249" s="40" t="s">
        <v>588</v>
      </c>
    </row>
    <row r="250" customFormat="false" ht="15" hidden="false" customHeight="false" outlineLevel="0" collapsed="false">
      <c r="A250" s="40" t="s">
        <v>359</v>
      </c>
      <c r="B250" s="40" t="s">
        <v>249</v>
      </c>
      <c r="C250" s="40" t="s">
        <v>440</v>
      </c>
      <c r="D250" s="40" t="s">
        <v>421</v>
      </c>
      <c r="E250" s="41" t="n">
        <v>8.8</v>
      </c>
      <c r="F250" s="42" t="str">
        <f aca="false">IF(VALUE(MID(C250,3,2))*10+VALUE(MID(D250,2,1))&lt;=242,"Pre",IF(VALUE(MID(C250,3,2))*10+VALUE(MID(D250,2,1))&lt;=254,"Post","Later"))</f>
        <v>Post</v>
      </c>
      <c r="G250" s="40" t="s">
        <v>343</v>
      </c>
      <c r="H250" s="40" t="s">
        <v>605</v>
      </c>
      <c r="I250" s="40" t="s">
        <v>588</v>
      </c>
    </row>
    <row r="251" customFormat="false" ht="15" hidden="false" customHeight="false" outlineLevel="0" collapsed="false">
      <c r="A251" s="40" t="s">
        <v>359</v>
      </c>
      <c r="B251" s="40" t="s">
        <v>249</v>
      </c>
      <c r="C251" s="40" t="s">
        <v>440</v>
      </c>
      <c r="D251" s="40" t="s">
        <v>423</v>
      </c>
      <c r="E251" s="41" t="n">
        <v>8.9</v>
      </c>
      <c r="F251" s="42" t="str">
        <f aca="false">IF(VALUE(MID(C251,3,2))*10+VALUE(MID(D251,2,1))&lt;=242,"Pre",IF(VALUE(MID(C251,3,2))*10+VALUE(MID(D251,2,1))&lt;=254,"Post","Later"))</f>
        <v>Post</v>
      </c>
      <c r="G251" s="40" t="s">
        <v>343</v>
      </c>
      <c r="H251" s="40" t="s">
        <v>606</v>
      </c>
      <c r="I251" s="40" t="s">
        <v>588</v>
      </c>
    </row>
    <row r="252" customFormat="false" ht="15" hidden="false" customHeight="false" outlineLevel="0" collapsed="false">
      <c r="A252" s="40" t="s">
        <v>359</v>
      </c>
      <c r="B252" s="40" t="s">
        <v>249</v>
      </c>
      <c r="C252" s="40" t="s">
        <v>440</v>
      </c>
      <c r="D252" s="40" t="s">
        <v>425</v>
      </c>
      <c r="E252" s="41" t="n">
        <v>8.9</v>
      </c>
      <c r="F252" s="42" t="str">
        <f aca="false">IF(VALUE(MID(C252,3,2))*10+VALUE(MID(D252,2,1))&lt;=242,"Pre",IF(VALUE(MID(C252,3,2))*10+VALUE(MID(D252,2,1))&lt;=254,"Post","Later"))</f>
        <v>Post</v>
      </c>
      <c r="G252" s="40" t="s">
        <v>343</v>
      </c>
      <c r="H252" s="40" t="s">
        <v>607</v>
      </c>
      <c r="I252" s="40" t="s">
        <v>588</v>
      </c>
    </row>
    <row r="253" customFormat="false" ht="15" hidden="false" customHeight="false" outlineLevel="0" collapsed="false">
      <c r="A253" s="40" t="s">
        <v>359</v>
      </c>
      <c r="B253" s="40" t="s">
        <v>249</v>
      </c>
      <c r="C253" s="40" t="s">
        <v>444</v>
      </c>
      <c r="D253" s="40" t="s">
        <v>418</v>
      </c>
      <c r="E253" s="41" t="n">
        <v>8.6</v>
      </c>
      <c r="F253" s="42" t="str">
        <f aca="false">IF(VALUE(MID(C253,3,2))*10+VALUE(MID(D253,2,1))&lt;=242,"Pre",IF(VALUE(MID(C253,3,2))*10+VALUE(MID(D253,2,1))&lt;=254,"Post","Later"))</f>
        <v>Later</v>
      </c>
      <c r="G253" s="40" t="s">
        <v>343</v>
      </c>
      <c r="H253" s="40" t="s">
        <v>608</v>
      </c>
      <c r="I253" s="40" t="s">
        <v>588</v>
      </c>
    </row>
    <row r="254" customFormat="false" ht="15" hidden="false" customHeight="false" outlineLevel="0" collapsed="false">
      <c r="A254" s="40" t="s">
        <v>359</v>
      </c>
      <c r="B254" s="40" t="s">
        <v>249</v>
      </c>
      <c r="C254" s="40" t="s">
        <v>444</v>
      </c>
      <c r="D254" s="40" t="s">
        <v>421</v>
      </c>
      <c r="E254" s="41" t="n">
        <v>8.6</v>
      </c>
      <c r="F254" s="42" t="str">
        <f aca="false">IF(VALUE(MID(C254,3,2))*10+VALUE(MID(D254,2,1))&lt;=242,"Pre",IF(VALUE(MID(C254,3,2))*10+VALUE(MID(D254,2,1))&lt;=254,"Post","Later"))</f>
        <v>Later</v>
      </c>
      <c r="G254" s="40" t="s">
        <v>343</v>
      </c>
      <c r="H254" s="40" t="s">
        <v>609</v>
      </c>
      <c r="I254" s="40" t="s">
        <v>588</v>
      </c>
    </row>
    <row r="255" customFormat="false" ht="15" hidden="false" customHeight="false" outlineLevel="0" collapsed="false">
      <c r="A255" s="40" t="s">
        <v>359</v>
      </c>
      <c r="B255" s="40" t="s">
        <v>249</v>
      </c>
      <c r="C255" s="40" t="s">
        <v>444</v>
      </c>
      <c r="D255" s="40" t="s">
        <v>423</v>
      </c>
      <c r="E255" s="41" t="n">
        <v>8.5</v>
      </c>
      <c r="F255" s="42" t="str">
        <f aca="false">IF(VALUE(MID(C255,3,2))*10+VALUE(MID(D255,2,1))&lt;=242,"Pre",IF(VALUE(MID(C255,3,2))*10+VALUE(MID(D255,2,1))&lt;=254,"Post","Later"))</f>
        <v>Later</v>
      </c>
      <c r="G255" s="40" t="s">
        <v>343</v>
      </c>
      <c r="H255" s="40" t="s">
        <v>610</v>
      </c>
      <c r="I255" s="40" t="s">
        <v>588</v>
      </c>
    </row>
    <row r="256" customFormat="false" ht="15" hidden="false" customHeight="false" outlineLevel="0" collapsed="false">
      <c r="A256" s="40" t="s">
        <v>359</v>
      </c>
      <c r="B256" s="40" t="s">
        <v>249</v>
      </c>
      <c r="C256" s="40" t="s">
        <v>444</v>
      </c>
      <c r="D256" s="40" t="s">
        <v>425</v>
      </c>
      <c r="E256" s="41" t="n">
        <v>8.4</v>
      </c>
      <c r="F256" s="42" t="str">
        <f aca="false">IF(VALUE(MID(C256,3,2))*10+VALUE(MID(D256,2,1))&lt;=242,"Pre",IF(VALUE(MID(C256,3,2))*10+VALUE(MID(D256,2,1))&lt;=254,"Post","Later"))</f>
        <v>Later</v>
      </c>
      <c r="G256" s="40" t="s">
        <v>343</v>
      </c>
      <c r="H256" s="40" t="s">
        <v>611</v>
      </c>
      <c r="I256" s="40" t="s">
        <v>588</v>
      </c>
    </row>
    <row r="257" customFormat="false" ht="15" hidden="false" customHeight="false" outlineLevel="0" collapsed="false">
      <c r="A257" s="40" t="s">
        <v>353</v>
      </c>
      <c r="B257" s="40" t="s">
        <v>228</v>
      </c>
      <c r="C257" s="40" t="s">
        <v>417</v>
      </c>
      <c r="D257" s="40" t="s">
        <v>418</v>
      </c>
      <c r="E257" s="41" t="n">
        <v>9.4</v>
      </c>
      <c r="F257" s="42" t="str">
        <f aca="false">IF(VALUE(MID(C257,3,2))*10+VALUE(MID(D257,2,1))&lt;=242,"Pre",IF(VALUE(MID(C257,3,2))*10+VALUE(MID(D257,2,1))&lt;=254,"Post","Later"))</f>
        <v>Pre</v>
      </c>
      <c r="G257" s="40" t="s">
        <v>352</v>
      </c>
      <c r="H257" s="40" t="s">
        <v>612</v>
      </c>
      <c r="I257" s="40" t="s">
        <v>613</v>
      </c>
    </row>
    <row r="258" customFormat="false" ht="15" hidden="false" customHeight="false" outlineLevel="0" collapsed="false">
      <c r="A258" s="40" t="s">
        <v>353</v>
      </c>
      <c r="B258" s="40" t="s">
        <v>228</v>
      </c>
      <c r="C258" s="40" t="s">
        <v>417</v>
      </c>
      <c r="D258" s="40" t="s">
        <v>421</v>
      </c>
      <c r="E258" s="41" t="n">
        <v>9.6</v>
      </c>
      <c r="F258" s="42" t="str">
        <f aca="false">IF(VALUE(MID(C258,3,2))*10+VALUE(MID(D258,2,1))&lt;=242,"Pre",IF(VALUE(MID(C258,3,2))*10+VALUE(MID(D258,2,1))&lt;=254,"Post","Later"))</f>
        <v>Pre</v>
      </c>
      <c r="G258" s="40" t="s">
        <v>352</v>
      </c>
      <c r="H258" s="40" t="s">
        <v>614</v>
      </c>
      <c r="I258" s="40" t="s">
        <v>613</v>
      </c>
    </row>
    <row r="259" customFormat="false" ht="15" hidden="false" customHeight="false" outlineLevel="0" collapsed="false">
      <c r="A259" s="40" t="s">
        <v>353</v>
      </c>
      <c r="B259" s="40" t="s">
        <v>228</v>
      </c>
      <c r="C259" s="40" t="s">
        <v>417</v>
      </c>
      <c r="D259" s="40" t="s">
        <v>423</v>
      </c>
      <c r="E259" s="41" t="n">
        <v>9.4</v>
      </c>
      <c r="F259" s="42" t="str">
        <f aca="false">IF(VALUE(MID(C259,3,2))*10+VALUE(MID(D259,2,1))&lt;=242,"Pre",IF(VALUE(MID(C259,3,2))*10+VALUE(MID(D259,2,1))&lt;=254,"Post","Later"))</f>
        <v>Pre</v>
      </c>
      <c r="G259" s="40" t="s">
        <v>352</v>
      </c>
      <c r="H259" s="40" t="s">
        <v>615</v>
      </c>
      <c r="I259" s="40" t="s">
        <v>613</v>
      </c>
    </row>
    <row r="260" customFormat="false" ht="15" hidden="false" customHeight="false" outlineLevel="0" collapsed="false">
      <c r="A260" s="40" t="s">
        <v>353</v>
      </c>
      <c r="B260" s="40" t="s">
        <v>228</v>
      </c>
      <c r="C260" s="40" t="s">
        <v>417</v>
      </c>
      <c r="D260" s="40" t="s">
        <v>425</v>
      </c>
      <c r="E260" s="41" t="n">
        <v>8.9</v>
      </c>
      <c r="F260" s="42" t="str">
        <f aca="false">IF(VALUE(MID(C260,3,2))*10+VALUE(MID(D260,2,1))&lt;=242,"Pre",IF(VALUE(MID(C260,3,2))*10+VALUE(MID(D260,2,1))&lt;=254,"Post","Later"))</f>
        <v>Pre</v>
      </c>
      <c r="G260" s="40" t="s">
        <v>352</v>
      </c>
      <c r="H260" s="40" t="s">
        <v>616</v>
      </c>
      <c r="I260" s="40" t="s">
        <v>613</v>
      </c>
    </row>
    <row r="261" customFormat="false" ht="15" hidden="false" customHeight="false" outlineLevel="0" collapsed="false">
      <c r="A261" s="40" t="s">
        <v>353</v>
      </c>
      <c r="B261" s="40" t="s">
        <v>228</v>
      </c>
      <c r="C261" s="40" t="s">
        <v>427</v>
      </c>
      <c r="D261" s="40" t="s">
        <v>418</v>
      </c>
      <c r="E261" s="41" t="n">
        <v>9.6</v>
      </c>
      <c r="F261" s="42" t="str">
        <f aca="false">IF(VALUE(MID(C261,3,2))*10+VALUE(MID(D261,2,1))&lt;=242,"Pre",IF(VALUE(MID(C261,3,2))*10+VALUE(MID(D261,2,1))&lt;=254,"Post","Later"))</f>
        <v>Pre</v>
      </c>
      <c r="G261" s="40" t="s">
        <v>352</v>
      </c>
      <c r="H261" s="40" t="s">
        <v>617</v>
      </c>
      <c r="I261" s="40" t="s">
        <v>613</v>
      </c>
    </row>
    <row r="262" customFormat="false" ht="15" hidden="false" customHeight="false" outlineLevel="0" collapsed="false">
      <c r="A262" s="40" t="s">
        <v>353</v>
      </c>
      <c r="B262" s="40" t="s">
        <v>228</v>
      </c>
      <c r="C262" s="40" t="s">
        <v>427</v>
      </c>
      <c r="D262" s="40" t="s">
        <v>421</v>
      </c>
      <c r="E262" s="41" t="n">
        <v>9.5</v>
      </c>
      <c r="F262" s="42" t="str">
        <f aca="false">IF(VALUE(MID(C262,3,2))*10+VALUE(MID(D262,2,1))&lt;=242,"Pre",IF(VALUE(MID(C262,3,2))*10+VALUE(MID(D262,2,1))&lt;=254,"Post","Later"))</f>
        <v>Pre</v>
      </c>
      <c r="G262" s="40" t="s">
        <v>352</v>
      </c>
      <c r="H262" s="40" t="s">
        <v>618</v>
      </c>
      <c r="I262" s="40" t="s">
        <v>613</v>
      </c>
    </row>
    <row r="263" customFormat="false" ht="15" hidden="false" customHeight="false" outlineLevel="0" collapsed="false">
      <c r="A263" s="40" t="s">
        <v>353</v>
      </c>
      <c r="B263" s="40" t="s">
        <v>228</v>
      </c>
      <c r="C263" s="40" t="s">
        <v>427</v>
      </c>
      <c r="D263" s="40" t="s">
        <v>423</v>
      </c>
      <c r="E263" s="41" t="n">
        <v>9.4</v>
      </c>
      <c r="F263" s="42" t="str">
        <f aca="false">IF(VALUE(MID(C263,3,2))*10+VALUE(MID(D263,2,1))&lt;=242,"Pre",IF(VALUE(MID(C263,3,2))*10+VALUE(MID(D263,2,1))&lt;=254,"Post","Later"))</f>
        <v>Pre</v>
      </c>
      <c r="G263" s="40" t="s">
        <v>352</v>
      </c>
      <c r="H263" s="40" t="s">
        <v>619</v>
      </c>
      <c r="I263" s="40" t="s">
        <v>613</v>
      </c>
    </row>
    <row r="264" customFormat="false" ht="15" hidden="false" customHeight="false" outlineLevel="0" collapsed="false">
      <c r="A264" s="40" t="s">
        <v>353</v>
      </c>
      <c r="B264" s="40" t="s">
        <v>228</v>
      </c>
      <c r="C264" s="40" t="s">
        <v>427</v>
      </c>
      <c r="D264" s="40" t="s">
        <v>425</v>
      </c>
      <c r="E264" s="41" t="n">
        <v>8.9</v>
      </c>
      <c r="F264" s="42" t="str">
        <f aca="false">IF(VALUE(MID(C264,3,2))*10+VALUE(MID(D264,2,1))&lt;=242,"Pre",IF(VALUE(MID(C264,3,2))*10+VALUE(MID(D264,2,1))&lt;=254,"Post","Later"))</f>
        <v>Pre</v>
      </c>
      <c r="G264" s="40" t="s">
        <v>352</v>
      </c>
      <c r="H264" s="40" t="s">
        <v>620</v>
      </c>
      <c r="I264" s="40" t="s">
        <v>613</v>
      </c>
    </row>
    <row r="265" customFormat="false" ht="15" hidden="false" customHeight="false" outlineLevel="0" collapsed="false">
      <c r="A265" s="40" t="s">
        <v>353</v>
      </c>
      <c r="B265" s="40" t="s">
        <v>228</v>
      </c>
      <c r="C265" s="40" t="s">
        <v>432</v>
      </c>
      <c r="D265" s="40" t="s">
        <v>418</v>
      </c>
      <c r="E265" s="41" t="n">
        <v>9</v>
      </c>
      <c r="F265" s="42" t="str">
        <f aca="false">IF(VALUE(MID(C265,3,2))*10+VALUE(MID(D265,2,1))&lt;=242,"Pre",IF(VALUE(MID(C265,3,2))*10+VALUE(MID(D265,2,1))&lt;=254,"Post","Later"))</f>
        <v>Pre</v>
      </c>
      <c r="G265" s="40" t="s">
        <v>352</v>
      </c>
      <c r="H265" s="40" t="s">
        <v>621</v>
      </c>
      <c r="I265" s="40" t="s">
        <v>613</v>
      </c>
    </row>
    <row r="266" customFormat="false" ht="15" hidden="false" customHeight="false" outlineLevel="0" collapsed="false">
      <c r="A266" s="40" t="s">
        <v>353</v>
      </c>
      <c r="B266" s="40" t="s">
        <v>228</v>
      </c>
      <c r="C266" s="40" t="s">
        <v>432</v>
      </c>
      <c r="D266" s="40" t="s">
        <v>421</v>
      </c>
      <c r="E266" s="41" t="n">
        <v>9.2</v>
      </c>
      <c r="F266" s="42" t="str">
        <f aca="false">IF(VALUE(MID(C266,3,2))*10+VALUE(MID(D266,2,1))&lt;=242,"Pre",IF(VALUE(MID(C266,3,2))*10+VALUE(MID(D266,2,1))&lt;=254,"Post","Later"))</f>
        <v>Pre</v>
      </c>
      <c r="G266" s="40" t="s">
        <v>352</v>
      </c>
      <c r="H266" s="40" t="s">
        <v>622</v>
      </c>
      <c r="I266" s="40" t="s">
        <v>613</v>
      </c>
    </row>
    <row r="267" customFormat="false" ht="15" hidden="false" customHeight="false" outlineLevel="0" collapsed="false">
      <c r="A267" s="40" t="s">
        <v>353</v>
      </c>
      <c r="B267" s="40" t="s">
        <v>228</v>
      </c>
      <c r="C267" s="40" t="s">
        <v>432</v>
      </c>
      <c r="D267" s="40" t="s">
        <v>423</v>
      </c>
      <c r="E267" s="41" t="n">
        <v>9.6</v>
      </c>
      <c r="F267" s="42" t="str">
        <f aca="false">IF(VALUE(MID(C267,3,2))*10+VALUE(MID(D267,2,1))&lt;=242,"Pre",IF(VALUE(MID(C267,3,2))*10+VALUE(MID(D267,2,1))&lt;=254,"Post","Later"))</f>
        <v>Pre</v>
      </c>
      <c r="G267" s="40" t="s">
        <v>352</v>
      </c>
      <c r="H267" s="40" t="s">
        <v>623</v>
      </c>
      <c r="I267" s="40" t="s">
        <v>613</v>
      </c>
    </row>
    <row r="268" customFormat="false" ht="15" hidden="false" customHeight="false" outlineLevel="0" collapsed="false">
      <c r="A268" s="40" t="s">
        <v>353</v>
      </c>
      <c r="B268" s="40" t="s">
        <v>228</v>
      </c>
      <c r="C268" s="40" t="s">
        <v>432</v>
      </c>
      <c r="D268" s="40" t="s">
        <v>425</v>
      </c>
      <c r="E268" s="41" t="n">
        <v>9.5</v>
      </c>
      <c r="F268" s="42" t="str">
        <f aca="false">IF(VALUE(MID(C268,3,2))*10+VALUE(MID(D268,2,1))&lt;=242,"Pre",IF(VALUE(MID(C268,3,2))*10+VALUE(MID(D268,2,1))&lt;=254,"Post","Later"))</f>
        <v>Pre</v>
      </c>
      <c r="G268" s="40" t="s">
        <v>352</v>
      </c>
      <c r="H268" s="40" t="s">
        <v>624</v>
      </c>
      <c r="I268" s="40" t="s">
        <v>613</v>
      </c>
    </row>
    <row r="269" customFormat="false" ht="15" hidden="false" customHeight="false" outlineLevel="0" collapsed="false">
      <c r="A269" s="40" t="s">
        <v>353</v>
      </c>
      <c r="B269" s="40" t="s">
        <v>228</v>
      </c>
      <c r="C269" s="40" t="s">
        <v>435</v>
      </c>
      <c r="D269" s="40" t="s">
        <v>418</v>
      </c>
      <c r="E269" s="41" t="n">
        <v>9.6</v>
      </c>
      <c r="F269" s="42" t="str">
        <f aca="false">IF(VALUE(MID(C269,3,2))*10+VALUE(MID(D269,2,1))&lt;=242,"Pre",IF(VALUE(MID(C269,3,2))*10+VALUE(MID(D269,2,1))&lt;=254,"Post","Later"))</f>
        <v>Pre</v>
      </c>
      <c r="G269" s="40" t="s">
        <v>352</v>
      </c>
      <c r="H269" s="40" t="s">
        <v>625</v>
      </c>
      <c r="I269" s="40" t="s">
        <v>613</v>
      </c>
    </row>
    <row r="270" customFormat="false" ht="15" hidden="false" customHeight="false" outlineLevel="0" collapsed="false">
      <c r="A270" s="40" t="s">
        <v>353</v>
      </c>
      <c r="B270" s="40" t="s">
        <v>228</v>
      </c>
      <c r="C270" s="40" t="s">
        <v>435</v>
      </c>
      <c r="D270" s="40" t="s">
        <v>421</v>
      </c>
      <c r="E270" s="41" t="n">
        <v>9.8</v>
      </c>
      <c r="F270" s="42" t="str">
        <f aca="false">IF(VALUE(MID(C270,3,2))*10+VALUE(MID(D270,2,1))&lt;=242,"Pre",IF(VALUE(MID(C270,3,2))*10+VALUE(MID(D270,2,1))&lt;=254,"Post","Later"))</f>
        <v>Pre</v>
      </c>
      <c r="G270" s="40" t="s">
        <v>352</v>
      </c>
      <c r="H270" s="40" t="s">
        <v>626</v>
      </c>
      <c r="I270" s="40" t="s">
        <v>613</v>
      </c>
    </row>
    <row r="271" customFormat="false" ht="15" hidden="false" customHeight="false" outlineLevel="0" collapsed="false">
      <c r="A271" s="40" t="s">
        <v>353</v>
      </c>
      <c r="B271" s="40" t="s">
        <v>228</v>
      </c>
      <c r="C271" s="40" t="s">
        <v>435</v>
      </c>
      <c r="D271" s="40" t="s">
        <v>423</v>
      </c>
      <c r="E271" s="41" t="n">
        <v>9.8</v>
      </c>
      <c r="F271" s="42" t="str">
        <f aca="false">IF(VALUE(MID(C271,3,2))*10+VALUE(MID(D271,2,1))&lt;=242,"Pre",IF(VALUE(MID(C271,3,2))*10+VALUE(MID(D271,2,1))&lt;=254,"Post","Later"))</f>
        <v>Post</v>
      </c>
      <c r="G271" s="40" t="s">
        <v>352</v>
      </c>
      <c r="H271" s="40" t="s">
        <v>627</v>
      </c>
      <c r="I271" s="40" t="s">
        <v>613</v>
      </c>
    </row>
    <row r="272" customFormat="false" ht="15" hidden="false" customHeight="false" outlineLevel="0" collapsed="false">
      <c r="A272" s="40" t="s">
        <v>353</v>
      </c>
      <c r="B272" s="40" t="s">
        <v>228</v>
      </c>
      <c r="C272" s="40" t="s">
        <v>435</v>
      </c>
      <c r="D272" s="40" t="s">
        <v>425</v>
      </c>
      <c r="E272" s="41" t="n">
        <v>9.8</v>
      </c>
      <c r="F272" s="42" t="str">
        <f aca="false">IF(VALUE(MID(C272,3,2))*10+VALUE(MID(D272,2,1))&lt;=242,"Pre",IF(VALUE(MID(C272,3,2))*10+VALUE(MID(D272,2,1))&lt;=254,"Post","Later"))</f>
        <v>Post</v>
      </c>
      <c r="G272" s="40" t="s">
        <v>352</v>
      </c>
      <c r="H272" s="40" t="s">
        <v>628</v>
      </c>
      <c r="I272" s="40" t="s">
        <v>613</v>
      </c>
    </row>
    <row r="273" customFormat="false" ht="15" hidden="false" customHeight="false" outlineLevel="0" collapsed="false">
      <c r="A273" s="40" t="s">
        <v>353</v>
      </c>
      <c r="B273" s="40" t="s">
        <v>228</v>
      </c>
      <c r="C273" s="40" t="s">
        <v>440</v>
      </c>
      <c r="D273" s="40" t="s">
        <v>418</v>
      </c>
      <c r="E273" s="41" t="n">
        <v>9.8</v>
      </c>
      <c r="F273" s="42" t="str">
        <f aca="false">IF(VALUE(MID(C273,3,2))*10+VALUE(MID(D273,2,1))&lt;=242,"Pre",IF(VALUE(MID(C273,3,2))*10+VALUE(MID(D273,2,1))&lt;=254,"Post","Later"))</f>
        <v>Post</v>
      </c>
      <c r="G273" s="40" t="s">
        <v>352</v>
      </c>
      <c r="H273" s="40" t="s">
        <v>629</v>
      </c>
      <c r="I273" s="40" t="s">
        <v>613</v>
      </c>
    </row>
    <row r="274" customFormat="false" ht="15" hidden="false" customHeight="false" outlineLevel="0" collapsed="false">
      <c r="A274" s="40" t="s">
        <v>353</v>
      </c>
      <c r="B274" s="40" t="s">
        <v>228</v>
      </c>
      <c r="C274" s="40" t="s">
        <v>440</v>
      </c>
      <c r="D274" s="40" t="s">
        <v>421</v>
      </c>
      <c r="E274" s="41" t="n">
        <v>9.8</v>
      </c>
      <c r="F274" s="42" t="str">
        <f aca="false">IF(VALUE(MID(C274,3,2))*10+VALUE(MID(D274,2,1))&lt;=242,"Pre",IF(VALUE(MID(C274,3,2))*10+VALUE(MID(D274,2,1))&lt;=254,"Post","Later"))</f>
        <v>Post</v>
      </c>
      <c r="G274" s="40" t="s">
        <v>352</v>
      </c>
      <c r="H274" s="40" t="s">
        <v>630</v>
      </c>
      <c r="I274" s="40" t="s">
        <v>613</v>
      </c>
    </row>
    <row r="275" customFormat="false" ht="15" hidden="false" customHeight="false" outlineLevel="0" collapsed="false">
      <c r="A275" s="40" t="s">
        <v>353</v>
      </c>
      <c r="B275" s="40" t="s">
        <v>228</v>
      </c>
      <c r="C275" s="40" t="s">
        <v>440</v>
      </c>
      <c r="D275" s="40" t="s">
        <v>423</v>
      </c>
      <c r="E275" s="41" t="n">
        <v>9.8</v>
      </c>
      <c r="F275" s="42" t="str">
        <f aca="false">IF(VALUE(MID(C275,3,2))*10+VALUE(MID(D275,2,1))&lt;=242,"Pre",IF(VALUE(MID(C275,3,2))*10+VALUE(MID(D275,2,1))&lt;=254,"Post","Later"))</f>
        <v>Post</v>
      </c>
      <c r="G275" s="40" t="s">
        <v>352</v>
      </c>
      <c r="H275" s="40" t="s">
        <v>631</v>
      </c>
      <c r="I275" s="40" t="s">
        <v>613</v>
      </c>
    </row>
    <row r="276" customFormat="false" ht="15" hidden="false" customHeight="false" outlineLevel="0" collapsed="false">
      <c r="A276" s="40" t="s">
        <v>353</v>
      </c>
      <c r="B276" s="40" t="s">
        <v>228</v>
      </c>
      <c r="C276" s="40" t="s">
        <v>440</v>
      </c>
      <c r="D276" s="40" t="s">
        <v>425</v>
      </c>
      <c r="E276" s="41" t="n">
        <v>9.8</v>
      </c>
      <c r="F276" s="42" t="str">
        <f aca="false">IF(VALUE(MID(C276,3,2))*10+VALUE(MID(D276,2,1))&lt;=242,"Pre",IF(VALUE(MID(C276,3,2))*10+VALUE(MID(D276,2,1))&lt;=254,"Post","Later"))</f>
        <v>Post</v>
      </c>
      <c r="G276" s="40" t="s">
        <v>352</v>
      </c>
      <c r="H276" s="40" t="s">
        <v>632</v>
      </c>
      <c r="I276" s="40" t="s">
        <v>613</v>
      </c>
    </row>
    <row r="277" customFormat="false" ht="15" hidden="false" customHeight="false" outlineLevel="0" collapsed="false">
      <c r="A277" s="40" t="s">
        <v>353</v>
      </c>
      <c r="B277" s="40" t="s">
        <v>228</v>
      </c>
      <c r="C277" s="40" t="s">
        <v>444</v>
      </c>
      <c r="D277" s="40" t="s">
        <v>418</v>
      </c>
      <c r="E277" s="41" t="n">
        <v>9.7</v>
      </c>
      <c r="F277" s="42" t="str">
        <f aca="false">IF(VALUE(MID(C277,3,2))*10+VALUE(MID(D277,2,1))&lt;=242,"Pre",IF(VALUE(MID(C277,3,2))*10+VALUE(MID(D277,2,1))&lt;=254,"Post","Later"))</f>
        <v>Later</v>
      </c>
      <c r="G277" s="40" t="s">
        <v>352</v>
      </c>
      <c r="H277" s="40" t="s">
        <v>633</v>
      </c>
      <c r="I277" s="40" t="s">
        <v>613</v>
      </c>
    </row>
    <row r="278" customFormat="false" ht="15" hidden="false" customHeight="false" outlineLevel="0" collapsed="false">
      <c r="A278" s="40" t="s">
        <v>353</v>
      </c>
      <c r="B278" s="40" t="s">
        <v>228</v>
      </c>
      <c r="C278" s="40" t="s">
        <v>444</v>
      </c>
      <c r="D278" s="40" t="s">
        <v>421</v>
      </c>
      <c r="E278" s="41" t="n">
        <v>9.6</v>
      </c>
      <c r="F278" s="42" t="str">
        <f aca="false">IF(VALUE(MID(C278,3,2))*10+VALUE(MID(D278,2,1))&lt;=242,"Pre",IF(VALUE(MID(C278,3,2))*10+VALUE(MID(D278,2,1))&lt;=254,"Post","Later"))</f>
        <v>Later</v>
      </c>
      <c r="G278" s="40" t="s">
        <v>352</v>
      </c>
      <c r="H278" s="40" t="s">
        <v>634</v>
      </c>
      <c r="I278" s="40" t="s">
        <v>613</v>
      </c>
    </row>
    <row r="279" customFormat="false" ht="15" hidden="false" customHeight="false" outlineLevel="0" collapsed="false">
      <c r="A279" s="40" t="s">
        <v>353</v>
      </c>
      <c r="B279" s="40" t="s">
        <v>228</v>
      </c>
      <c r="C279" s="40" t="s">
        <v>444</v>
      </c>
      <c r="D279" s="40" t="s">
        <v>423</v>
      </c>
      <c r="E279" s="41" t="n">
        <v>9.4</v>
      </c>
      <c r="F279" s="42" t="str">
        <f aca="false">IF(VALUE(MID(C279,3,2))*10+VALUE(MID(D279,2,1))&lt;=242,"Pre",IF(VALUE(MID(C279,3,2))*10+VALUE(MID(D279,2,1))&lt;=254,"Post","Later"))</f>
        <v>Later</v>
      </c>
      <c r="G279" s="40" t="s">
        <v>352</v>
      </c>
      <c r="H279" s="40" t="s">
        <v>635</v>
      </c>
      <c r="I279" s="40" t="s">
        <v>613</v>
      </c>
    </row>
    <row r="280" customFormat="false" ht="15" hidden="false" customHeight="false" outlineLevel="0" collapsed="false">
      <c r="A280" s="40" t="s">
        <v>353</v>
      </c>
      <c r="B280" s="40" t="s">
        <v>228</v>
      </c>
      <c r="C280" s="40" t="s">
        <v>444</v>
      </c>
      <c r="D280" s="40" t="s">
        <v>425</v>
      </c>
      <c r="E280" s="41" t="n">
        <v>9.2</v>
      </c>
      <c r="F280" s="42" t="str">
        <f aca="false">IF(VALUE(MID(C280,3,2))*10+VALUE(MID(D280,2,1))&lt;=242,"Pre",IF(VALUE(MID(C280,3,2))*10+VALUE(MID(D280,2,1))&lt;=254,"Post","Later"))</f>
        <v>Later</v>
      </c>
      <c r="G280" s="40" t="s">
        <v>352</v>
      </c>
      <c r="H280" s="40" t="s">
        <v>636</v>
      </c>
      <c r="I280" s="40" t="s">
        <v>613</v>
      </c>
    </row>
    <row r="281" customFormat="false" ht="15" hidden="false" customHeight="false" outlineLevel="0" collapsed="false">
      <c r="A281" s="40" t="s">
        <v>345</v>
      </c>
      <c r="B281" s="40" t="s">
        <v>228</v>
      </c>
      <c r="C281" s="40" t="s">
        <v>417</v>
      </c>
      <c r="D281" s="40" t="s">
        <v>418</v>
      </c>
      <c r="E281" s="41" t="n">
        <v>9.3</v>
      </c>
      <c r="F281" s="42" t="str">
        <f aca="false">IF(VALUE(MID(C281,3,2))*10+VALUE(MID(D281,2,1))&lt;=242,"Pre",IF(VALUE(MID(C281,3,2))*10+VALUE(MID(D281,2,1))&lt;=254,"Post","Later"))</f>
        <v>Pre</v>
      </c>
      <c r="G281" s="40" t="s">
        <v>343</v>
      </c>
      <c r="H281" s="40" t="s">
        <v>637</v>
      </c>
      <c r="I281" s="40" t="s">
        <v>638</v>
      </c>
    </row>
    <row r="282" customFormat="false" ht="15" hidden="false" customHeight="false" outlineLevel="0" collapsed="false">
      <c r="A282" s="40" t="s">
        <v>345</v>
      </c>
      <c r="B282" s="40" t="s">
        <v>228</v>
      </c>
      <c r="C282" s="40" t="s">
        <v>417</v>
      </c>
      <c r="D282" s="40" t="s">
        <v>421</v>
      </c>
      <c r="E282" s="41" t="n">
        <v>9.1</v>
      </c>
      <c r="F282" s="42" t="str">
        <f aca="false">IF(VALUE(MID(C282,3,2))*10+VALUE(MID(D282,2,1))&lt;=242,"Pre",IF(VALUE(MID(C282,3,2))*10+VALUE(MID(D282,2,1))&lt;=254,"Post","Later"))</f>
        <v>Pre</v>
      </c>
      <c r="G282" s="40" t="s">
        <v>343</v>
      </c>
      <c r="H282" s="40" t="s">
        <v>637</v>
      </c>
      <c r="I282" s="40" t="s">
        <v>638</v>
      </c>
    </row>
    <row r="283" customFormat="false" ht="15" hidden="false" customHeight="false" outlineLevel="0" collapsed="false">
      <c r="A283" s="40" t="s">
        <v>345</v>
      </c>
      <c r="B283" s="40" t="s">
        <v>228</v>
      </c>
      <c r="C283" s="40" t="s">
        <v>417</v>
      </c>
      <c r="D283" s="40" t="s">
        <v>423</v>
      </c>
      <c r="E283" s="41" t="n">
        <v>9</v>
      </c>
      <c r="F283" s="42" t="str">
        <f aca="false">IF(VALUE(MID(C283,3,2))*10+VALUE(MID(D283,2,1))&lt;=242,"Pre",IF(VALUE(MID(C283,3,2))*10+VALUE(MID(D283,2,1))&lt;=254,"Post","Later"))</f>
        <v>Pre</v>
      </c>
      <c r="G283" s="40" t="s">
        <v>343</v>
      </c>
      <c r="H283" s="40" t="s">
        <v>637</v>
      </c>
      <c r="I283" s="40" t="s">
        <v>638</v>
      </c>
    </row>
    <row r="284" customFormat="false" ht="15" hidden="false" customHeight="false" outlineLevel="0" collapsed="false">
      <c r="A284" s="40" t="s">
        <v>345</v>
      </c>
      <c r="B284" s="40" t="s">
        <v>228</v>
      </c>
      <c r="C284" s="40" t="s">
        <v>417</v>
      </c>
      <c r="D284" s="40" t="s">
        <v>425</v>
      </c>
      <c r="E284" s="41" t="n">
        <v>8.8</v>
      </c>
      <c r="F284" s="42" t="str">
        <f aca="false">IF(VALUE(MID(C284,3,2))*10+VALUE(MID(D284,2,1))&lt;=242,"Pre",IF(VALUE(MID(C284,3,2))*10+VALUE(MID(D284,2,1))&lt;=254,"Post","Later"))</f>
        <v>Pre</v>
      </c>
      <c r="G284" s="40" t="s">
        <v>343</v>
      </c>
      <c r="H284" s="40" t="s">
        <v>637</v>
      </c>
      <c r="I284" s="40" t="s">
        <v>638</v>
      </c>
    </row>
    <row r="285" customFormat="false" ht="15" hidden="false" customHeight="false" outlineLevel="0" collapsed="false">
      <c r="A285" s="40" t="s">
        <v>345</v>
      </c>
      <c r="B285" s="40" t="s">
        <v>228</v>
      </c>
      <c r="C285" s="40" t="s">
        <v>427</v>
      </c>
      <c r="D285" s="40" t="s">
        <v>418</v>
      </c>
      <c r="E285" s="41" t="n">
        <v>8.9</v>
      </c>
      <c r="F285" s="42" t="str">
        <f aca="false">IF(VALUE(MID(C285,3,2))*10+VALUE(MID(D285,2,1))&lt;=242,"Pre",IF(VALUE(MID(C285,3,2))*10+VALUE(MID(D285,2,1))&lt;=254,"Post","Later"))</f>
        <v>Pre</v>
      </c>
      <c r="G285" s="40" t="s">
        <v>343</v>
      </c>
      <c r="H285" s="40" t="s">
        <v>637</v>
      </c>
      <c r="I285" s="40" t="s">
        <v>638</v>
      </c>
    </row>
    <row r="286" customFormat="false" ht="15" hidden="false" customHeight="false" outlineLevel="0" collapsed="false">
      <c r="A286" s="40" t="s">
        <v>345</v>
      </c>
      <c r="B286" s="40" t="s">
        <v>228</v>
      </c>
      <c r="C286" s="40" t="s">
        <v>427</v>
      </c>
      <c r="D286" s="40" t="s">
        <v>421</v>
      </c>
      <c r="E286" s="41" t="n">
        <v>8.7</v>
      </c>
      <c r="F286" s="42" t="str">
        <f aca="false">IF(VALUE(MID(C286,3,2))*10+VALUE(MID(D286,2,1))&lt;=242,"Pre",IF(VALUE(MID(C286,3,2))*10+VALUE(MID(D286,2,1))&lt;=254,"Post","Later"))</f>
        <v>Pre</v>
      </c>
      <c r="G286" s="40" t="s">
        <v>343</v>
      </c>
      <c r="H286" s="40" t="s">
        <v>637</v>
      </c>
      <c r="I286" s="40" t="s">
        <v>638</v>
      </c>
    </row>
    <row r="287" customFormat="false" ht="15" hidden="false" customHeight="false" outlineLevel="0" collapsed="false">
      <c r="A287" s="40" t="s">
        <v>345</v>
      </c>
      <c r="B287" s="40" t="s">
        <v>228</v>
      </c>
      <c r="C287" s="40" t="s">
        <v>427</v>
      </c>
      <c r="D287" s="40" t="s">
        <v>423</v>
      </c>
      <c r="E287" s="41" t="n">
        <v>8.7</v>
      </c>
      <c r="F287" s="42" t="str">
        <f aca="false">IF(VALUE(MID(C287,3,2))*10+VALUE(MID(D287,2,1))&lt;=242,"Pre",IF(VALUE(MID(C287,3,2))*10+VALUE(MID(D287,2,1))&lt;=254,"Post","Later"))</f>
        <v>Pre</v>
      </c>
      <c r="G287" s="40" t="s">
        <v>343</v>
      </c>
      <c r="H287" s="40" t="s">
        <v>637</v>
      </c>
      <c r="I287" s="40" t="s">
        <v>638</v>
      </c>
    </row>
    <row r="288" customFormat="false" ht="15" hidden="false" customHeight="false" outlineLevel="0" collapsed="false">
      <c r="A288" s="40" t="s">
        <v>345</v>
      </c>
      <c r="B288" s="40" t="s">
        <v>228</v>
      </c>
      <c r="C288" s="40" t="s">
        <v>427</v>
      </c>
      <c r="D288" s="40" t="s">
        <v>425</v>
      </c>
      <c r="E288" s="41" t="n">
        <v>8.6</v>
      </c>
      <c r="F288" s="42" t="str">
        <f aca="false">IF(VALUE(MID(C288,3,2))*10+VALUE(MID(D288,2,1))&lt;=242,"Pre",IF(VALUE(MID(C288,3,2))*10+VALUE(MID(D288,2,1))&lt;=254,"Post","Later"))</f>
        <v>Pre</v>
      </c>
      <c r="G288" s="40" t="s">
        <v>343</v>
      </c>
      <c r="H288" s="40" t="s">
        <v>637</v>
      </c>
      <c r="I288" s="40" t="s">
        <v>638</v>
      </c>
    </row>
    <row r="289" customFormat="false" ht="15" hidden="false" customHeight="false" outlineLevel="0" collapsed="false">
      <c r="A289" s="40" t="s">
        <v>345</v>
      </c>
      <c r="B289" s="40" t="s">
        <v>228</v>
      </c>
      <c r="C289" s="40" t="s">
        <v>432</v>
      </c>
      <c r="D289" s="40" t="s">
        <v>418</v>
      </c>
      <c r="E289" s="41" t="n">
        <v>8.65</v>
      </c>
      <c r="F289" s="42" t="str">
        <f aca="false">IF(VALUE(MID(C289,3,2))*10+VALUE(MID(D289,2,1))&lt;=242,"Pre",IF(VALUE(MID(C289,3,2))*10+VALUE(MID(D289,2,1))&lt;=254,"Post","Later"))</f>
        <v>Pre</v>
      </c>
      <c r="G289" s="40" t="s">
        <v>343</v>
      </c>
      <c r="H289" s="40" t="s">
        <v>639</v>
      </c>
      <c r="I289" s="40" t="s">
        <v>638</v>
      </c>
    </row>
    <row r="290" customFormat="false" ht="15" hidden="false" customHeight="false" outlineLevel="0" collapsed="false">
      <c r="A290" s="40" t="s">
        <v>345</v>
      </c>
      <c r="B290" s="40" t="s">
        <v>228</v>
      </c>
      <c r="C290" s="40" t="s">
        <v>432</v>
      </c>
      <c r="D290" s="40" t="s">
        <v>421</v>
      </c>
      <c r="E290" s="41" t="n">
        <v>8.63</v>
      </c>
      <c r="F290" s="42" t="str">
        <f aca="false">IF(VALUE(MID(C290,3,2))*10+VALUE(MID(D290,2,1))&lt;=242,"Pre",IF(VALUE(MID(C290,3,2))*10+VALUE(MID(D290,2,1))&lt;=254,"Post","Later"))</f>
        <v>Pre</v>
      </c>
      <c r="G290" s="40" t="s">
        <v>343</v>
      </c>
      <c r="H290" s="40" t="s">
        <v>640</v>
      </c>
      <c r="I290" s="40" t="s">
        <v>638</v>
      </c>
    </row>
    <row r="291" customFormat="false" ht="15" hidden="false" customHeight="false" outlineLevel="0" collapsed="false">
      <c r="A291" s="40" t="s">
        <v>345</v>
      </c>
      <c r="B291" s="40" t="s">
        <v>228</v>
      </c>
      <c r="C291" s="40" t="s">
        <v>432</v>
      </c>
      <c r="D291" s="40" t="s">
        <v>423</v>
      </c>
      <c r="E291" s="41" t="n">
        <v>8.79</v>
      </c>
      <c r="F291" s="42" t="str">
        <f aca="false">IF(VALUE(MID(C291,3,2))*10+VALUE(MID(D291,2,1))&lt;=242,"Pre",IF(VALUE(MID(C291,3,2))*10+VALUE(MID(D291,2,1))&lt;=254,"Post","Later"))</f>
        <v>Pre</v>
      </c>
      <c r="G291" s="40" t="s">
        <v>343</v>
      </c>
      <c r="H291" s="40" t="s">
        <v>640</v>
      </c>
      <c r="I291" s="40" t="s">
        <v>638</v>
      </c>
    </row>
    <row r="292" customFormat="false" ht="15" hidden="false" customHeight="false" outlineLevel="0" collapsed="false">
      <c r="A292" s="40" t="s">
        <v>345</v>
      </c>
      <c r="B292" s="40" t="s">
        <v>228</v>
      </c>
      <c r="C292" s="40" t="s">
        <v>432</v>
      </c>
      <c r="D292" s="40" t="s">
        <v>425</v>
      </c>
      <c r="E292" s="41" t="n">
        <v>8.93</v>
      </c>
      <c r="F292" s="42" t="str">
        <f aca="false">IF(VALUE(MID(C292,3,2))*10+VALUE(MID(D292,2,1))&lt;=242,"Pre",IF(VALUE(MID(C292,3,2))*10+VALUE(MID(D292,2,1))&lt;=254,"Post","Later"))</f>
        <v>Pre</v>
      </c>
      <c r="G292" s="40" t="s">
        <v>343</v>
      </c>
      <c r="H292" s="40" t="s">
        <v>641</v>
      </c>
      <c r="I292" s="40" t="s">
        <v>638</v>
      </c>
    </row>
    <row r="293" customFormat="false" ht="15" hidden="false" customHeight="false" outlineLevel="0" collapsed="false">
      <c r="A293" s="40" t="s">
        <v>345</v>
      </c>
      <c r="B293" s="40" t="s">
        <v>228</v>
      </c>
      <c r="C293" s="40" t="s">
        <v>435</v>
      </c>
      <c r="D293" s="40" t="s">
        <v>418</v>
      </c>
      <c r="E293" s="41" t="n">
        <v>9.09</v>
      </c>
      <c r="F293" s="42" t="str">
        <f aca="false">IF(VALUE(MID(C293,3,2))*10+VALUE(MID(D293,2,1))&lt;=242,"Pre",IF(VALUE(MID(C293,3,2))*10+VALUE(MID(D293,2,1))&lt;=254,"Post","Later"))</f>
        <v>Pre</v>
      </c>
      <c r="G293" s="40" t="s">
        <v>343</v>
      </c>
      <c r="H293" s="40" t="s">
        <v>642</v>
      </c>
      <c r="I293" s="40" t="s">
        <v>638</v>
      </c>
    </row>
    <row r="294" customFormat="false" ht="15" hidden="false" customHeight="false" outlineLevel="0" collapsed="false">
      <c r="A294" s="40" t="s">
        <v>345</v>
      </c>
      <c r="B294" s="40" t="s">
        <v>228</v>
      </c>
      <c r="C294" s="40" t="s">
        <v>435</v>
      </c>
      <c r="D294" s="40" t="s">
        <v>421</v>
      </c>
      <c r="E294" s="41" t="n">
        <v>9.03</v>
      </c>
      <c r="F294" s="42" t="str">
        <f aca="false">IF(VALUE(MID(C294,3,2))*10+VALUE(MID(D294,2,1))&lt;=242,"Pre",IF(VALUE(MID(C294,3,2))*10+VALUE(MID(D294,2,1))&lt;=254,"Post","Later"))</f>
        <v>Pre</v>
      </c>
      <c r="G294" s="40" t="s">
        <v>343</v>
      </c>
      <c r="H294" s="40" t="s">
        <v>643</v>
      </c>
      <c r="I294" s="40" t="s">
        <v>638</v>
      </c>
    </row>
    <row r="295" customFormat="false" ht="15" hidden="false" customHeight="false" outlineLevel="0" collapsed="false">
      <c r="A295" s="40" t="s">
        <v>345</v>
      </c>
      <c r="B295" s="40" t="s">
        <v>228</v>
      </c>
      <c r="C295" s="40" t="s">
        <v>435</v>
      </c>
      <c r="D295" s="40" t="s">
        <v>423</v>
      </c>
      <c r="E295" s="41" t="n">
        <v>9.07</v>
      </c>
      <c r="F295" s="42" t="str">
        <f aca="false">IF(VALUE(MID(C295,3,2))*10+VALUE(MID(D295,2,1))&lt;=242,"Pre",IF(VALUE(MID(C295,3,2))*10+VALUE(MID(D295,2,1))&lt;=254,"Post","Later"))</f>
        <v>Post</v>
      </c>
      <c r="G295" s="40" t="s">
        <v>343</v>
      </c>
      <c r="H295" s="40" t="s">
        <v>644</v>
      </c>
      <c r="I295" s="40" t="s">
        <v>638</v>
      </c>
    </row>
    <row r="296" customFormat="false" ht="15" hidden="false" customHeight="false" outlineLevel="0" collapsed="false">
      <c r="A296" s="40" t="s">
        <v>345</v>
      </c>
      <c r="B296" s="40" t="s">
        <v>228</v>
      </c>
      <c r="C296" s="40" t="s">
        <v>435</v>
      </c>
      <c r="D296" s="40" t="s">
        <v>425</v>
      </c>
      <c r="E296" s="41" t="n">
        <v>9.1</v>
      </c>
      <c r="F296" s="42" t="str">
        <f aca="false">IF(VALUE(MID(C296,3,2))*10+VALUE(MID(D296,2,1))&lt;=242,"Pre",IF(VALUE(MID(C296,3,2))*10+VALUE(MID(D296,2,1))&lt;=254,"Post","Later"))</f>
        <v>Post</v>
      </c>
      <c r="G296" s="40" t="s">
        <v>343</v>
      </c>
      <c r="H296" s="40" t="s">
        <v>645</v>
      </c>
      <c r="I296" s="40" t="s">
        <v>638</v>
      </c>
    </row>
    <row r="297" customFormat="false" ht="15" hidden="false" customHeight="false" outlineLevel="0" collapsed="false">
      <c r="A297" s="40" t="s">
        <v>345</v>
      </c>
      <c r="B297" s="40" t="s">
        <v>228</v>
      </c>
      <c r="C297" s="40" t="s">
        <v>440</v>
      </c>
      <c r="D297" s="40" t="s">
        <v>418</v>
      </c>
      <c r="E297" s="41" t="n">
        <v>9.1</v>
      </c>
      <c r="F297" s="42" t="str">
        <f aca="false">IF(VALUE(MID(C297,3,2))*10+VALUE(MID(D297,2,1))&lt;=242,"Pre",IF(VALUE(MID(C297,3,2))*10+VALUE(MID(D297,2,1))&lt;=254,"Post","Later"))</f>
        <v>Post</v>
      </c>
      <c r="G297" s="40" t="s">
        <v>343</v>
      </c>
      <c r="H297" s="40" t="s">
        <v>645</v>
      </c>
      <c r="I297" s="40" t="s">
        <v>638</v>
      </c>
    </row>
    <row r="298" customFormat="false" ht="15" hidden="false" customHeight="false" outlineLevel="0" collapsed="false">
      <c r="A298" s="40" t="s">
        <v>345</v>
      </c>
      <c r="B298" s="40" t="s">
        <v>228</v>
      </c>
      <c r="C298" s="40" t="s">
        <v>440</v>
      </c>
      <c r="D298" s="40" t="s">
        <v>421</v>
      </c>
      <c r="E298" s="41" t="n">
        <v>9.2</v>
      </c>
      <c r="F298" s="42" t="str">
        <f aca="false">IF(VALUE(MID(C298,3,2))*10+VALUE(MID(D298,2,1))&lt;=242,"Pre",IF(VALUE(MID(C298,3,2))*10+VALUE(MID(D298,2,1))&lt;=254,"Post","Later"))</f>
        <v>Post</v>
      </c>
      <c r="G298" s="40" t="s">
        <v>343</v>
      </c>
      <c r="H298" s="40" t="s">
        <v>645</v>
      </c>
      <c r="I298" s="40" t="s">
        <v>638</v>
      </c>
    </row>
    <row r="299" customFormat="false" ht="15" hidden="false" customHeight="false" outlineLevel="0" collapsed="false">
      <c r="A299" s="40" t="s">
        <v>345</v>
      </c>
      <c r="B299" s="40" t="s">
        <v>228</v>
      </c>
      <c r="C299" s="40" t="s">
        <v>440</v>
      </c>
      <c r="D299" s="40" t="s">
        <v>423</v>
      </c>
      <c r="E299" s="41" t="n">
        <v>9.2</v>
      </c>
      <c r="F299" s="42" t="str">
        <f aca="false">IF(VALUE(MID(C299,3,2))*10+VALUE(MID(D299,2,1))&lt;=242,"Pre",IF(VALUE(MID(C299,3,2))*10+VALUE(MID(D299,2,1))&lt;=254,"Post","Later"))</f>
        <v>Post</v>
      </c>
      <c r="G299" s="40" t="s">
        <v>343</v>
      </c>
      <c r="H299" s="40" t="s">
        <v>646</v>
      </c>
      <c r="I299" s="40" t="s">
        <v>638</v>
      </c>
    </row>
    <row r="300" customFormat="false" ht="15" hidden="false" customHeight="false" outlineLevel="0" collapsed="false">
      <c r="A300" s="40" t="s">
        <v>345</v>
      </c>
      <c r="B300" s="40" t="s">
        <v>228</v>
      </c>
      <c r="C300" s="40" t="s">
        <v>440</v>
      </c>
      <c r="D300" s="40" t="s">
        <v>425</v>
      </c>
      <c r="E300" s="41" t="n">
        <v>9.4</v>
      </c>
      <c r="F300" s="42" t="str">
        <f aca="false">IF(VALUE(MID(C300,3,2))*10+VALUE(MID(D300,2,1))&lt;=242,"Pre",IF(VALUE(MID(C300,3,2))*10+VALUE(MID(D300,2,1))&lt;=254,"Post","Later"))</f>
        <v>Post</v>
      </c>
      <c r="G300" s="40" t="s">
        <v>343</v>
      </c>
      <c r="H300" s="40" t="s">
        <v>646</v>
      </c>
      <c r="I300" s="40" t="s">
        <v>638</v>
      </c>
    </row>
    <row r="301" customFormat="false" ht="15" hidden="false" customHeight="false" outlineLevel="0" collapsed="false">
      <c r="A301" s="40" t="s">
        <v>345</v>
      </c>
      <c r="B301" s="40" t="s">
        <v>228</v>
      </c>
      <c r="C301" s="40" t="s">
        <v>444</v>
      </c>
      <c r="D301" s="40" t="s">
        <v>418</v>
      </c>
      <c r="E301" s="41" t="n">
        <v>9.5</v>
      </c>
      <c r="F301" s="42" t="str">
        <f aca="false">IF(VALUE(MID(C301,3,2))*10+VALUE(MID(D301,2,1))&lt;=242,"Pre",IF(VALUE(MID(C301,3,2))*10+VALUE(MID(D301,2,1))&lt;=254,"Post","Later"))</f>
        <v>Later</v>
      </c>
      <c r="G301" s="40" t="s">
        <v>343</v>
      </c>
      <c r="H301" s="40" t="s">
        <v>646</v>
      </c>
      <c r="I301" s="40" t="s">
        <v>638</v>
      </c>
    </row>
    <row r="302" customFormat="false" ht="15" hidden="false" customHeight="false" outlineLevel="0" collapsed="false">
      <c r="A302" s="40" t="s">
        <v>345</v>
      </c>
      <c r="B302" s="40" t="s">
        <v>228</v>
      </c>
      <c r="C302" s="40" t="s">
        <v>444</v>
      </c>
      <c r="D302" s="40" t="s">
        <v>421</v>
      </c>
      <c r="E302" s="41" t="n">
        <v>9.38</v>
      </c>
      <c r="F302" s="42" t="str">
        <f aca="false">IF(VALUE(MID(C302,3,2))*10+VALUE(MID(D302,2,1))&lt;=242,"Pre",IF(VALUE(MID(C302,3,2))*10+VALUE(MID(D302,2,1))&lt;=254,"Post","Later"))</f>
        <v>Later</v>
      </c>
      <c r="G302" s="40" t="s">
        <v>343</v>
      </c>
      <c r="H302" s="40" t="s">
        <v>647</v>
      </c>
      <c r="I302" s="40" t="s">
        <v>638</v>
      </c>
    </row>
    <row r="303" customFormat="false" ht="15" hidden="false" customHeight="false" outlineLevel="0" collapsed="false">
      <c r="A303" s="40" t="s">
        <v>345</v>
      </c>
      <c r="B303" s="40" t="s">
        <v>228</v>
      </c>
      <c r="C303" s="40" t="s">
        <v>444</v>
      </c>
      <c r="D303" s="40" t="s">
        <v>423</v>
      </c>
      <c r="E303" s="41" t="n">
        <v>9.28</v>
      </c>
      <c r="F303" s="42" t="str">
        <f aca="false">IF(VALUE(MID(C303,3,2))*10+VALUE(MID(D303,2,1))&lt;=242,"Pre",IF(VALUE(MID(C303,3,2))*10+VALUE(MID(D303,2,1))&lt;=254,"Post","Later"))</f>
        <v>Later</v>
      </c>
      <c r="G303" s="40" t="s">
        <v>343</v>
      </c>
      <c r="H303" s="40" t="s">
        <v>647</v>
      </c>
      <c r="I303" s="40" t="s">
        <v>638</v>
      </c>
    </row>
    <row r="304" customFormat="false" ht="15" hidden="false" customHeight="false" outlineLevel="0" collapsed="false">
      <c r="A304" s="40" t="s">
        <v>348</v>
      </c>
      <c r="B304" s="40" t="s">
        <v>228</v>
      </c>
      <c r="C304" s="40" t="s">
        <v>427</v>
      </c>
      <c r="D304" s="40" t="s">
        <v>421</v>
      </c>
      <c r="E304" s="41" t="n">
        <v>9.14</v>
      </c>
      <c r="F304" s="42" t="str">
        <f aca="false">IF(VALUE(MID(C304,3,2))*10+VALUE(MID(D304,2,1))&lt;=242,"Pre",IF(VALUE(MID(C304,3,2))*10+VALUE(MID(D304,2,1))&lt;=254,"Post","Later"))</f>
        <v>Pre</v>
      </c>
      <c r="G304" s="40" t="s">
        <v>343</v>
      </c>
      <c r="H304" s="40" t="s">
        <v>648</v>
      </c>
      <c r="I304" s="40" t="s">
        <v>649</v>
      </c>
    </row>
    <row r="305" customFormat="false" ht="15" hidden="false" customHeight="false" outlineLevel="0" collapsed="false">
      <c r="A305" s="40" t="s">
        <v>348</v>
      </c>
      <c r="B305" s="40" t="s">
        <v>228</v>
      </c>
      <c r="C305" s="40" t="s">
        <v>427</v>
      </c>
      <c r="D305" s="40" t="s">
        <v>423</v>
      </c>
      <c r="E305" s="41" t="n">
        <v>8</v>
      </c>
      <c r="F305" s="42" t="str">
        <f aca="false">IF(VALUE(MID(C305,3,2))*10+VALUE(MID(D305,2,1))&lt;=242,"Pre",IF(VALUE(MID(C305,3,2))*10+VALUE(MID(D305,2,1))&lt;=254,"Post","Later"))</f>
        <v>Pre</v>
      </c>
      <c r="G305" s="40" t="s">
        <v>343</v>
      </c>
      <c r="H305" s="40" t="s">
        <v>648</v>
      </c>
      <c r="I305" s="40" t="s">
        <v>649</v>
      </c>
    </row>
    <row r="306" customFormat="false" ht="15" hidden="false" customHeight="false" outlineLevel="0" collapsed="false">
      <c r="A306" s="40" t="s">
        <v>348</v>
      </c>
      <c r="B306" s="40" t="s">
        <v>228</v>
      </c>
      <c r="C306" s="40" t="s">
        <v>427</v>
      </c>
      <c r="D306" s="40" t="s">
        <v>425</v>
      </c>
      <c r="E306" s="41" t="n">
        <v>7.54</v>
      </c>
      <c r="F306" s="42" t="str">
        <f aca="false">IF(VALUE(MID(C306,3,2))*10+VALUE(MID(D306,2,1))&lt;=242,"Pre",IF(VALUE(MID(C306,3,2))*10+VALUE(MID(D306,2,1))&lt;=254,"Post","Later"))</f>
        <v>Pre</v>
      </c>
      <c r="G306" s="40" t="s">
        <v>343</v>
      </c>
      <c r="H306" s="40" t="s">
        <v>648</v>
      </c>
      <c r="I306" s="40" t="s">
        <v>649</v>
      </c>
    </row>
    <row r="307" customFormat="false" ht="15" hidden="false" customHeight="false" outlineLevel="0" collapsed="false">
      <c r="A307" s="40" t="s">
        <v>348</v>
      </c>
      <c r="B307" s="40" t="s">
        <v>228</v>
      </c>
      <c r="C307" s="40" t="s">
        <v>432</v>
      </c>
      <c r="D307" s="40" t="s">
        <v>418</v>
      </c>
      <c r="E307" s="41" t="n">
        <v>6.97</v>
      </c>
      <c r="F307" s="42" t="str">
        <f aca="false">IF(VALUE(MID(C307,3,2))*10+VALUE(MID(D307,2,1))&lt;=242,"Pre",IF(VALUE(MID(C307,3,2))*10+VALUE(MID(D307,2,1))&lt;=254,"Post","Later"))</f>
        <v>Pre</v>
      </c>
      <c r="G307" s="40" t="s">
        <v>343</v>
      </c>
      <c r="H307" s="40" t="s">
        <v>648</v>
      </c>
      <c r="I307" s="40" t="s">
        <v>649</v>
      </c>
    </row>
    <row r="308" customFormat="false" ht="15" hidden="false" customHeight="false" outlineLevel="0" collapsed="false">
      <c r="A308" s="40" t="s">
        <v>348</v>
      </c>
      <c r="B308" s="40" t="s">
        <v>228</v>
      </c>
      <c r="C308" s="40" t="s">
        <v>432</v>
      </c>
      <c r="D308" s="40" t="s">
        <v>421</v>
      </c>
      <c r="E308" s="41" t="n">
        <v>7.16</v>
      </c>
      <c r="F308" s="42" t="str">
        <f aca="false">IF(VALUE(MID(C308,3,2))*10+VALUE(MID(D308,2,1))&lt;=242,"Pre",IF(VALUE(MID(C308,3,2))*10+VALUE(MID(D308,2,1))&lt;=254,"Post","Later"))</f>
        <v>Pre</v>
      </c>
      <c r="G308" s="40" t="s">
        <v>343</v>
      </c>
      <c r="H308" s="40" t="s">
        <v>648</v>
      </c>
      <c r="I308" s="40" t="s">
        <v>649</v>
      </c>
    </row>
    <row r="309" customFormat="false" ht="15" hidden="false" customHeight="false" outlineLevel="0" collapsed="false">
      <c r="A309" s="40" t="s">
        <v>348</v>
      </c>
      <c r="B309" s="40" t="s">
        <v>228</v>
      </c>
      <c r="C309" s="40" t="s">
        <v>432</v>
      </c>
      <c r="D309" s="40" t="s">
        <v>423</v>
      </c>
      <c r="E309" s="41" t="n">
        <v>7.54</v>
      </c>
      <c r="F309" s="42" t="str">
        <f aca="false">IF(VALUE(MID(C309,3,2))*10+VALUE(MID(D309,2,1))&lt;=242,"Pre",IF(VALUE(MID(C309,3,2))*10+VALUE(MID(D309,2,1))&lt;=254,"Post","Later"))</f>
        <v>Pre</v>
      </c>
      <c r="G309" s="40" t="s">
        <v>343</v>
      </c>
      <c r="H309" s="40" t="s">
        <v>648</v>
      </c>
      <c r="I309" s="40" t="s">
        <v>649</v>
      </c>
    </row>
    <row r="310" customFormat="false" ht="15" hidden="false" customHeight="false" outlineLevel="0" collapsed="false">
      <c r="A310" s="40" t="s">
        <v>348</v>
      </c>
      <c r="B310" s="40" t="s">
        <v>228</v>
      </c>
      <c r="C310" s="40" t="s">
        <v>432</v>
      </c>
      <c r="D310" s="40" t="s">
        <v>425</v>
      </c>
      <c r="E310" s="41" t="n">
        <v>7.9</v>
      </c>
      <c r="F310" s="42" t="str">
        <f aca="false">IF(VALUE(MID(C310,3,2))*10+VALUE(MID(D310,2,1))&lt;=242,"Pre",IF(VALUE(MID(C310,3,2))*10+VALUE(MID(D310,2,1))&lt;=254,"Post","Later"))</f>
        <v>Pre</v>
      </c>
      <c r="G310" s="40" t="s">
        <v>343</v>
      </c>
      <c r="H310" s="40" t="s">
        <v>648</v>
      </c>
      <c r="I310" s="40" t="s">
        <v>649</v>
      </c>
    </row>
    <row r="311" customFormat="false" ht="15" hidden="false" customHeight="false" outlineLevel="0" collapsed="false">
      <c r="A311" s="40" t="s">
        <v>348</v>
      </c>
      <c r="B311" s="40" t="s">
        <v>228</v>
      </c>
      <c r="C311" s="40" t="s">
        <v>435</v>
      </c>
      <c r="D311" s="40" t="s">
        <v>418</v>
      </c>
      <c r="E311" s="41" t="n">
        <v>8.04</v>
      </c>
      <c r="F311" s="42" t="str">
        <f aca="false">IF(VALUE(MID(C311,3,2))*10+VALUE(MID(D311,2,1))&lt;=242,"Pre",IF(VALUE(MID(C311,3,2))*10+VALUE(MID(D311,2,1))&lt;=254,"Post","Later"))</f>
        <v>Pre</v>
      </c>
      <c r="G311" s="40" t="s">
        <v>343</v>
      </c>
      <c r="H311" s="40" t="s">
        <v>648</v>
      </c>
      <c r="I311" s="40" t="s">
        <v>649</v>
      </c>
    </row>
    <row r="312" customFormat="false" ht="15" hidden="false" customHeight="false" outlineLevel="0" collapsed="false">
      <c r="A312" s="40" t="s">
        <v>348</v>
      </c>
      <c r="B312" s="40" t="s">
        <v>228</v>
      </c>
      <c r="C312" s="40" t="s">
        <v>435</v>
      </c>
      <c r="D312" s="40" t="s">
        <v>421</v>
      </c>
      <c r="E312" s="41" t="n">
        <v>7.98</v>
      </c>
      <c r="F312" s="42" t="str">
        <f aca="false">IF(VALUE(MID(C312,3,2))*10+VALUE(MID(D312,2,1))&lt;=242,"Pre",IF(VALUE(MID(C312,3,2))*10+VALUE(MID(D312,2,1))&lt;=254,"Post","Later"))</f>
        <v>Pre</v>
      </c>
      <c r="G312" s="40" t="s">
        <v>343</v>
      </c>
      <c r="H312" s="40" t="s">
        <v>648</v>
      </c>
      <c r="I312" s="40" t="s">
        <v>649</v>
      </c>
    </row>
    <row r="313" customFormat="false" ht="15" hidden="false" customHeight="false" outlineLevel="0" collapsed="false">
      <c r="A313" s="40" t="s">
        <v>348</v>
      </c>
      <c r="B313" s="40" t="s">
        <v>228</v>
      </c>
      <c r="C313" s="40" t="s">
        <v>435</v>
      </c>
      <c r="D313" s="40" t="s">
        <v>423</v>
      </c>
      <c r="E313" s="41" t="n">
        <v>7.99</v>
      </c>
      <c r="F313" s="42" t="str">
        <f aca="false">IF(VALUE(MID(C313,3,2))*10+VALUE(MID(D313,2,1))&lt;=242,"Pre",IF(VALUE(MID(C313,3,2))*10+VALUE(MID(D313,2,1))&lt;=254,"Post","Later"))</f>
        <v>Post</v>
      </c>
      <c r="G313" s="40" t="s">
        <v>343</v>
      </c>
      <c r="H313" s="40" t="s">
        <v>648</v>
      </c>
      <c r="I313" s="40" t="s">
        <v>649</v>
      </c>
    </row>
    <row r="314" customFormat="false" ht="15" hidden="false" customHeight="false" outlineLevel="0" collapsed="false">
      <c r="A314" s="40" t="s">
        <v>348</v>
      </c>
      <c r="B314" s="40" t="s">
        <v>228</v>
      </c>
      <c r="C314" s="40" t="s">
        <v>435</v>
      </c>
      <c r="D314" s="40" t="s">
        <v>425</v>
      </c>
      <c r="E314" s="41" t="n">
        <v>8.17</v>
      </c>
      <c r="F314" s="42" t="str">
        <f aca="false">IF(VALUE(MID(C314,3,2))*10+VALUE(MID(D314,2,1))&lt;=242,"Pre",IF(VALUE(MID(C314,3,2))*10+VALUE(MID(D314,2,1))&lt;=254,"Post","Later"))</f>
        <v>Post</v>
      </c>
      <c r="G314" s="40" t="s">
        <v>343</v>
      </c>
      <c r="H314" s="40" t="s">
        <v>648</v>
      </c>
      <c r="I314" s="40" t="s">
        <v>649</v>
      </c>
    </row>
    <row r="315" customFormat="false" ht="15" hidden="false" customHeight="false" outlineLevel="0" collapsed="false">
      <c r="A315" s="40" t="s">
        <v>348</v>
      </c>
      <c r="B315" s="40" t="s">
        <v>228</v>
      </c>
      <c r="C315" s="40" t="s">
        <v>440</v>
      </c>
      <c r="D315" s="40" t="s">
        <v>418</v>
      </c>
      <c r="E315" s="41" t="n">
        <v>8.16</v>
      </c>
      <c r="F315" s="42" t="str">
        <f aca="false">IF(VALUE(MID(C315,3,2))*10+VALUE(MID(D315,2,1))&lt;=242,"Pre",IF(VALUE(MID(C315,3,2))*10+VALUE(MID(D315,2,1))&lt;=254,"Post","Later"))</f>
        <v>Post</v>
      </c>
      <c r="G315" s="40" t="s">
        <v>343</v>
      </c>
      <c r="H315" s="40" t="s">
        <v>648</v>
      </c>
      <c r="I315" s="40" t="s">
        <v>649</v>
      </c>
    </row>
    <row r="316" customFormat="false" ht="15" hidden="false" customHeight="false" outlineLevel="0" collapsed="false">
      <c r="A316" s="40" t="s">
        <v>348</v>
      </c>
      <c r="B316" s="40" t="s">
        <v>228</v>
      </c>
      <c r="C316" s="40" t="s">
        <v>440</v>
      </c>
      <c r="D316" s="40" t="s">
        <v>421</v>
      </c>
      <c r="E316" s="41" t="n">
        <v>8.1</v>
      </c>
      <c r="F316" s="42" t="str">
        <f aca="false">IF(VALUE(MID(C316,3,2))*10+VALUE(MID(D316,2,1))&lt;=242,"Pre",IF(VALUE(MID(C316,3,2))*10+VALUE(MID(D316,2,1))&lt;=254,"Post","Later"))</f>
        <v>Post</v>
      </c>
      <c r="G316" s="40" t="s">
        <v>343</v>
      </c>
      <c r="H316" s="40" t="s">
        <v>648</v>
      </c>
      <c r="I316" s="40" t="s">
        <v>649</v>
      </c>
    </row>
    <row r="317" customFormat="false" ht="15" hidden="false" customHeight="false" outlineLevel="0" collapsed="false">
      <c r="A317" s="40" t="s">
        <v>348</v>
      </c>
      <c r="B317" s="40" t="s">
        <v>228</v>
      </c>
      <c r="C317" s="40" t="s">
        <v>440</v>
      </c>
      <c r="D317" s="40" t="s">
        <v>423</v>
      </c>
      <c r="E317" s="41" t="n">
        <v>8.06</v>
      </c>
      <c r="F317" s="42" t="str">
        <f aca="false">IF(VALUE(MID(C317,3,2))*10+VALUE(MID(D317,2,1))&lt;=242,"Pre",IF(VALUE(MID(C317,3,2))*10+VALUE(MID(D317,2,1))&lt;=254,"Post","Later"))</f>
        <v>Post</v>
      </c>
      <c r="G317" s="40" t="s">
        <v>343</v>
      </c>
      <c r="H317" s="40" t="s">
        <v>650</v>
      </c>
      <c r="I317" s="40" t="s">
        <v>649</v>
      </c>
    </row>
    <row r="318" customFormat="false" ht="15" hidden="false" customHeight="false" outlineLevel="0" collapsed="false">
      <c r="A318" s="40" t="s">
        <v>348</v>
      </c>
      <c r="B318" s="40" t="s">
        <v>228</v>
      </c>
      <c r="C318" s="40" t="s">
        <v>440</v>
      </c>
      <c r="D318" s="40" t="s">
        <v>425</v>
      </c>
      <c r="E318" s="41" t="n">
        <v>8.07</v>
      </c>
      <c r="F318" s="42" t="str">
        <f aca="false">IF(VALUE(MID(C318,3,2))*10+VALUE(MID(D318,2,1))&lt;=242,"Pre",IF(VALUE(MID(C318,3,2))*10+VALUE(MID(D318,2,1))&lt;=254,"Post","Later"))</f>
        <v>Post</v>
      </c>
      <c r="G318" s="40" t="s">
        <v>343</v>
      </c>
      <c r="H318" s="40" t="s">
        <v>650</v>
      </c>
      <c r="I318" s="40" t="s">
        <v>649</v>
      </c>
    </row>
    <row r="319" customFormat="false" ht="15" hidden="false" customHeight="false" outlineLevel="0" collapsed="false">
      <c r="A319" s="40" t="s">
        <v>348</v>
      </c>
      <c r="B319" s="40" t="s">
        <v>228</v>
      </c>
      <c r="C319" s="40" t="s">
        <v>444</v>
      </c>
      <c r="D319" s="40" t="s">
        <v>418</v>
      </c>
      <c r="E319" s="41" t="n">
        <v>8.04</v>
      </c>
      <c r="F319" s="42" t="str">
        <f aca="false">IF(VALUE(MID(C319,3,2))*10+VALUE(MID(D319,2,1))&lt;=242,"Pre",IF(VALUE(MID(C319,3,2))*10+VALUE(MID(D319,2,1))&lt;=254,"Post","Later"))</f>
        <v>Later</v>
      </c>
      <c r="G319" s="40" t="s">
        <v>343</v>
      </c>
      <c r="H319" s="40" t="s">
        <v>650</v>
      </c>
      <c r="I319" s="40" t="s">
        <v>649</v>
      </c>
    </row>
    <row r="320" customFormat="false" ht="15" hidden="false" customHeight="false" outlineLevel="0" collapsed="false">
      <c r="A320" s="40" t="s">
        <v>348</v>
      </c>
      <c r="B320" s="40" t="s">
        <v>228</v>
      </c>
      <c r="C320" s="40" t="s">
        <v>444</v>
      </c>
      <c r="D320" s="40" t="s">
        <v>421</v>
      </c>
      <c r="E320" s="41" t="n">
        <v>7.69</v>
      </c>
      <c r="F320" s="42" t="str">
        <f aca="false">IF(VALUE(MID(C320,3,2))*10+VALUE(MID(D320,2,1))&lt;=242,"Pre",IF(VALUE(MID(C320,3,2))*10+VALUE(MID(D320,2,1))&lt;=254,"Post","Later"))</f>
        <v>Later</v>
      </c>
      <c r="G320" s="40" t="s">
        <v>343</v>
      </c>
      <c r="H320" s="40" t="s">
        <v>650</v>
      </c>
      <c r="I320" s="40" t="s">
        <v>649</v>
      </c>
    </row>
    <row r="321" customFormat="false" ht="15" hidden="false" customHeight="false" outlineLevel="0" collapsed="false">
      <c r="A321" s="40" t="s">
        <v>348</v>
      </c>
      <c r="B321" s="40" t="s">
        <v>228</v>
      </c>
      <c r="C321" s="40" t="s">
        <v>444</v>
      </c>
      <c r="D321" s="40" t="s">
        <v>423</v>
      </c>
      <c r="E321" s="41" t="n">
        <v>7.65</v>
      </c>
      <c r="F321" s="42" t="str">
        <f aca="false">IF(VALUE(MID(C321,3,2))*10+VALUE(MID(D321,2,1))&lt;=242,"Pre",IF(VALUE(MID(C321,3,2))*10+VALUE(MID(D321,2,1))&lt;=254,"Post","Later"))</f>
        <v>Later</v>
      </c>
      <c r="G321" s="40" t="s">
        <v>343</v>
      </c>
      <c r="H321" s="40" t="s">
        <v>651</v>
      </c>
      <c r="I321" s="40" t="s">
        <v>649</v>
      </c>
    </row>
    <row r="322" customFormat="false" ht="15" hidden="false" customHeight="false" outlineLevel="0" collapsed="false">
      <c r="A322" s="40" t="s">
        <v>348</v>
      </c>
      <c r="B322" s="40" t="s">
        <v>228</v>
      </c>
      <c r="C322" s="40" t="s">
        <v>444</v>
      </c>
      <c r="D322" s="40" t="s">
        <v>425</v>
      </c>
      <c r="E322" s="41" t="n">
        <v>7.63</v>
      </c>
      <c r="F322" s="42" t="str">
        <f aca="false">IF(VALUE(MID(C322,3,2))*10+VALUE(MID(D322,2,1))&lt;=242,"Pre",IF(VALUE(MID(C322,3,2))*10+VALUE(MID(D322,2,1))&lt;=254,"Post","Later"))</f>
        <v>Later</v>
      </c>
      <c r="G322" s="40" t="s">
        <v>343</v>
      </c>
      <c r="H322" s="40" t="s">
        <v>651</v>
      </c>
      <c r="I322" s="40" t="s">
        <v>649</v>
      </c>
    </row>
    <row r="323" customFormat="false" ht="15" hidden="false" customHeight="false" outlineLevel="0" collapsed="false">
      <c r="A323" s="40" t="s">
        <v>356</v>
      </c>
      <c r="B323" s="40" t="s">
        <v>249</v>
      </c>
      <c r="C323" s="40" t="s">
        <v>417</v>
      </c>
      <c r="D323" s="40" t="s">
        <v>418</v>
      </c>
      <c r="E323" s="41" t="n">
        <v>8.5</v>
      </c>
      <c r="F323" s="42" t="str">
        <f aca="false">IF(VALUE(MID(C323,3,2))*10+VALUE(MID(D323,2,1))&lt;=242,"Pre",IF(VALUE(MID(C323,3,2))*10+VALUE(MID(D323,2,1))&lt;=254,"Post","Later"))</f>
        <v>Pre</v>
      </c>
      <c r="G323" s="40" t="s">
        <v>343</v>
      </c>
      <c r="H323" s="40" t="s">
        <v>652</v>
      </c>
      <c r="I323" s="40" t="s">
        <v>653</v>
      </c>
    </row>
    <row r="324" customFormat="false" ht="15" hidden="false" customHeight="false" outlineLevel="0" collapsed="false">
      <c r="A324" s="40" t="s">
        <v>356</v>
      </c>
      <c r="B324" s="40" t="s">
        <v>249</v>
      </c>
      <c r="C324" s="40" t="s">
        <v>417</v>
      </c>
      <c r="D324" s="40" t="s">
        <v>421</v>
      </c>
      <c r="E324" s="41" t="n">
        <v>8.3</v>
      </c>
      <c r="F324" s="42" t="str">
        <f aca="false">IF(VALUE(MID(C324,3,2))*10+VALUE(MID(D324,2,1))&lt;=242,"Pre",IF(VALUE(MID(C324,3,2))*10+VALUE(MID(D324,2,1))&lt;=254,"Post","Later"))</f>
        <v>Pre</v>
      </c>
      <c r="G324" s="40" t="s">
        <v>343</v>
      </c>
      <c r="H324" s="40" t="s">
        <v>652</v>
      </c>
      <c r="I324" s="40" t="s">
        <v>653</v>
      </c>
    </row>
    <row r="325" customFormat="false" ht="15" hidden="false" customHeight="false" outlineLevel="0" collapsed="false">
      <c r="A325" s="40" t="s">
        <v>356</v>
      </c>
      <c r="B325" s="40" t="s">
        <v>249</v>
      </c>
      <c r="C325" s="40" t="s">
        <v>417</v>
      </c>
      <c r="D325" s="40" t="s">
        <v>423</v>
      </c>
      <c r="E325" s="41" t="n">
        <v>8</v>
      </c>
      <c r="F325" s="42" t="str">
        <f aca="false">IF(VALUE(MID(C325,3,2))*10+VALUE(MID(D325,2,1))&lt;=242,"Pre",IF(VALUE(MID(C325,3,2))*10+VALUE(MID(D325,2,1))&lt;=254,"Post","Later"))</f>
        <v>Pre</v>
      </c>
      <c r="G325" s="40" t="s">
        <v>343</v>
      </c>
      <c r="H325" s="40" t="s">
        <v>652</v>
      </c>
      <c r="I325" s="40" t="s">
        <v>653</v>
      </c>
    </row>
    <row r="326" customFormat="false" ht="15" hidden="false" customHeight="false" outlineLevel="0" collapsed="false">
      <c r="A326" s="40" t="s">
        <v>356</v>
      </c>
      <c r="B326" s="40" t="s">
        <v>249</v>
      </c>
      <c r="C326" s="40" t="s">
        <v>417</v>
      </c>
      <c r="D326" s="40" t="s">
        <v>425</v>
      </c>
      <c r="E326" s="41" t="n">
        <v>7.4</v>
      </c>
      <c r="F326" s="42" t="str">
        <f aca="false">IF(VALUE(MID(C326,3,2))*10+VALUE(MID(D326,2,1))&lt;=242,"Pre",IF(VALUE(MID(C326,3,2))*10+VALUE(MID(D326,2,1))&lt;=254,"Post","Later"))</f>
        <v>Pre</v>
      </c>
      <c r="G326" s="40" t="s">
        <v>343</v>
      </c>
      <c r="H326" s="40" t="s">
        <v>652</v>
      </c>
      <c r="I326" s="40" t="s">
        <v>653</v>
      </c>
    </row>
    <row r="327" customFormat="false" ht="15" hidden="false" customHeight="false" outlineLevel="0" collapsed="false">
      <c r="A327" s="40" t="s">
        <v>356</v>
      </c>
      <c r="B327" s="40" t="s">
        <v>249</v>
      </c>
      <c r="C327" s="40" t="s">
        <v>427</v>
      </c>
      <c r="D327" s="40" t="s">
        <v>418</v>
      </c>
      <c r="E327" s="41" t="n">
        <v>7.2</v>
      </c>
      <c r="F327" s="42" t="str">
        <f aca="false">IF(VALUE(MID(C327,3,2))*10+VALUE(MID(D327,2,1))&lt;=242,"Pre",IF(VALUE(MID(C327,3,2))*10+VALUE(MID(D327,2,1))&lt;=254,"Post","Later"))</f>
        <v>Pre</v>
      </c>
      <c r="G327" s="40" t="s">
        <v>343</v>
      </c>
      <c r="H327" s="40" t="s">
        <v>652</v>
      </c>
      <c r="I327" s="40" t="s">
        <v>653</v>
      </c>
    </row>
    <row r="328" customFormat="false" ht="15" hidden="false" customHeight="false" outlineLevel="0" collapsed="false">
      <c r="A328" s="40" t="s">
        <v>356</v>
      </c>
      <c r="B328" s="40" t="s">
        <v>249</v>
      </c>
      <c r="C328" s="40" t="s">
        <v>427</v>
      </c>
      <c r="D328" s="40" t="s">
        <v>421</v>
      </c>
      <c r="E328" s="41" t="n">
        <v>7.1</v>
      </c>
      <c r="F328" s="42" t="str">
        <f aca="false">IF(VALUE(MID(C328,3,2))*10+VALUE(MID(D328,2,1))&lt;=242,"Pre",IF(VALUE(MID(C328,3,2))*10+VALUE(MID(D328,2,1))&lt;=254,"Post","Later"))</f>
        <v>Pre</v>
      </c>
      <c r="G328" s="40" t="s">
        <v>343</v>
      </c>
      <c r="H328" s="40" t="s">
        <v>654</v>
      </c>
      <c r="I328" s="40" t="s">
        <v>653</v>
      </c>
    </row>
    <row r="329" customFormat="false" ht="15" hidden="false" customHeight="false" outlineLevel="0" collapsed="false">
      <c r="A329" s="40" t="s">
        <v>356</v>
      </c>
      <c r="B329" s="40" t="s">
        <v>249</v>
      </c>
      <c r="C329" s="40" t="s">
        <v>427</v>
      </c>
      <c r="D329" s="40" t="s">
        <v>423</v>
      </c>
      <c r="E329" s="41" t="n">
        <v>7.2</v>
      </c>
      <c r="F329" s="42" t="str">
        <f aca="false">IF(VALUE(MID(C329,3,2))*10+VALUE(MID(D329,2,1))&lt;=242,"Pre",IF(VALUE(MID(C329,3,2))*10+VALUE(MID(D329,2,1))&lt;=254,"Post","Later"))</f>
        <v>Pre</v>
      </c>
      <c r="G329" s="40" t="s">
        <v>343</v>
      </c>
      <c r="H329" s="40" t="s">
        <v>654</v>
      </c>
      <c r="I329" s="40" t="s">
        <v>653</v>
      </c>
    </row>
    <row r="330" customFormat="false" ht="15" hidden="false" customHeight="false" outlineLevel="0" collapsed="false">
      <c r="A330" s="40" t="s">
        <v>356</v>
      </c>
      <c r="B330" s="40" t="s">
        <v>249</v>
      </c>
      <c r="C330" s="40" t="s">
        <v>427</v>
      </c>
      <c r="D330" s="40" t="s">
        <v>425</v>
      </c>
      <c r="E330" s="41" t="n">
        <v>7.2</v>
      </c>
      <c r="F330" s="42" t="str">
        <f aca="false">IF(VALUE(MID(C330,3,2))*10+VALUE(MID(D330,2,1))&lt;=242,"Pre",IF(VALUE(MID(C330,3,2))*10+VALUE(MID(D330,2,1))&lt;=254,"Post","Later"))</f>
        <v>Pre</v>
      </c>
      <c r="G330" s="40" t="s">
        <v>343</v>
      </c>
      <c r="H330" s="40" t="s">
        <v>654</v>
      </c>
      <c r="I330" s="40" t="s">
        <v>653</v>
      </c>
    </row>
    <row r="331" customFormat="false" ht="15" hidden="false" customHeight="false" outlineLevel="0" collapsed="false">
      <c r="A331" s="40" t="s">
        <v>356</v>
      </c>
      <c r="B331" s="40" t="s">
        <v>249</v>
      </c>
      <c r="C331" s="40" t="s">
        <v>432</v>
      </c>
      <c r="D331" s="40" t="s">
        <v>418</v>
      </c>
      <c r="E331" s="41" t="n">
        <v>6.9</v>
      </c>
      <c r="F331" s="42" t="str">
        <f aca="false">IF(VALUE(MID(C331,3,2))*10+VALUE(MID(D331,2,1))&lt;=242,"Pre",IF(VALUE(MID(C331,3,2))*10+VALUE(MID(D331,2,1))&lt;=254,"Post","Later"))</f>
        <v>Pre</v>
      </c>
      <c r="G331" s="40" t="s">
        <v>343</v>
      </c>
      <c r="H331" s="40" t="s">
        <v>654</v>
      </c>
      <c r="I331" s="40" t="s">
        <v>653</v>
      </c>
    </row>
    <row r="332" customFormat="false" ht="15" hidden="false" customHeight="false" outlineLevel="0" collapsed="false">
      <c r="A332" s="40" t="s">
        <v>356</v>
      </c>
      <c r="B332" s="40" t="s">
        <v>249</v>
      </c>
      <c r="C332" s="40" t="s">
        <v>432</v>
      </c>
      <c r="D332" s="40" t="s">
        <v>421</v>
      </c>
      <c r="E332" s="41" t="n">
        <v>7.1</v>
      </c>
      <c r="F332" s="42" t="str">
        <f aca="false">IF(VALUE(MID(C332,3,2))*10+VALUE(MID(D332,2,1))&lt;=242,"Pre",IF(VALUE(MID(C332,3,2))*10+VALUE(MID(D332,2,1))&lt;=254,"Post","Later"))</f>
        <v>Pre</v>
      </c>
      <c r="G332" s="40" t="s">
        <v>343</v>
      </c>
      <c r="H332" s="40" t="s">
        <v>654</v>
      </c>
      <c r="I332" s="40" t="s">
        <v>653</v>
      </c>
    </row>
    <row r="333" customFormat="false" ht="15" hidden="false" customHeight="false" outlineLevel="0" collapsed="false">
      <c r="A333" s="40" t="s">
        <v>356</v>
      </c>
      <c r="B333" s="40" t="s">
        <v>249</v>
      </c>
      <c r="C333" s="40" t="s">
        <v>432</v>
      </c>
      <c r="D333" s="40" t="s">
        <v>423</v>
      </c>
      <c r="E333" s="41" t="n">
        <v>7.4</v>
      </c>
      <c r="F333" s="42" t="str">
        <f aca="false">IF(VALUE(MID(C333,3,2))*10+VALUE(MID(D333,2,1))&lt;=242,"Pre",IF(VALUE(MID(C333,3,2))*10+VALUE(MID(D333,2,1))&lt;=254,"Post","Later"))</f>
        <v>Pre</v>
      </c>
      <c r="G333" s="40" t="s">
        <v>343</v>
      </c>
      <c r="H333" s="40" t="s">
        <v>654</v>
      </c>
      <c r="I333" s="40" t="s">
        <v>653</v>
      </c>
    </row>
    <row r="334" customFormat="false" ht="15" hidden="false" customHeight="false" outlineLevel="0" collapsed="false">
      <c r="A334" s="40" t="s">
        <v>356</v>
      </c>
      <c r="B334" s="40" t="s">
        <v>249</v>
      </c>
      <c r="C334" s="40" t="s">
        <v>432</v>
      </c>
      <c r="D334" s="40" t="s">
        <v>425</v>
      </c>
      <c r="E334" s="41" t="n">
        <v>7.9</v>
      </c>
      <c r="F334" s="42" t="str">
        <f aca="false">IF(VALUE(MID(C334,3,2))*10+VALUE(MID(D334,2,1))&lt;=242,"Pre",IF(VALUE(MID(C334,3,2))*10+VALUE(MID(D334,2,1))&lt;=254,"Post","Later"))</f>
        <v>Pre</v>
      </c>
      <c r="G334" s="40" t="s">
        <v>343</v>
      </c>
      <c r="H334" s="40" t="s">
        <v>654</v>
      </c>
      <c r="I334" s="40" t="s">
        <v>653</v>
      </c>
    </row>
    <row r="335" customFormat="false" ht="15" hidden="false" customHeight="false" outlineLevel="0" collapsed="false">
      <c r="A335" s="40" t="s">
        <v>356</v>
      </c>
      <c r="B335" s="40" t="s">
        <v>249</v>
      </c>
      <c r="C335" s="40" t="s">
        <v>435</v>
      </c>
      <c r="D335" s="40" t="s">
        <v>418</v>
      </c>
      <c r="E335" s="41" t="n">
        <v>8</v>
      </c>
      <c r="F335" s="42" t="str">
        <f aca="false">IF(VALUE(MID(C335,3,2))*10+VALUE(MID(D335,2,1))&lt;=242,"Pre",IF(VALUE(MID(C335,3,2))*10+VALUE(MID(D335,2,1))&lt;=254,"Post","Later"))</f>
        <v>Pre</v>
      </c>
      <c r="G335" s="40" t="s">
        <v>343</v>
      </c>
      <c r="H335" s="40" t="s">
        <v>654</v>
      </c>
      <c r="I335" s="40" t="s">
        <v>653</v>
      </c>
    </row>
    <row r="336" customFormat="false" ht="15" hidden="false" customHeight="false" outlineLevel="0" collapsed="false">
      <c r="A336" s="40" t="s">
        <v>356</v>
      </c>
      <c r="B336" s="40" t="s">
        <v>249</v>
      </c>
      <c r="C336" s="40" t="s">
        <v>435</v>
      </c>
      <c r="D336" s="40" t="s">
        <v>421</v>
      </c>
      <c r="E336" s="41" t="n">
        <v>8.1</v>
      </c>
      <c r="F336" s="42" t="str">
        <f aca="false">IF(VALUE(MID(C336,3,2))*10+VALUE(MID(D336,2,1))&lt;=242,"Pre",IF(VALUE(MID(C336,3,2))*10+VALUE(MID(D336,2,1))&lt;=254,"Post","Later"))</f>
        <v>Pre</v>
      </c>
      <c r="G336" s="40" t="s">
        <v>343</v>
      </c>
      <c r="H336" s="40" t="s">
        <v>654</v>
      </c>
      <c r="I336" s="40" t="s">
        <v>653</v>
      </c>
    </row>
    <row r="337" customFormat="false" ht="15" hidden="false" customHeight="false" outlineLevel="0" collapsed="false">
      <c r="A337" s="40" t="s">
        <v>356</v>
      </c>
      <c r="B337" s="40" t="s">
        <v>249</v>
      </c>
      <c r="C337" s="40" t="s">
        <v>435</v>
      </c>
      <c r="D337" s="40" t="s">
        <v>423</v>
      </c>
      <c r="E337" s="41" t="n">
        <v>8.2</v>
      </c>
      <c r="F337" s="42" t="str">
        <f aca="false">IF(VALUE(MID(C337,3,2))*10+VALUE(MID(D337,2,1))&lt;=242,"Pre",IF(VALUE(MID(C337,3,2))*10+VALUE(MID(D337,2,1))&lt;=254,"Post","Later"))</f>
        <v>Post</v>
      </c>
      <c r="G337" s="40" t="s">
        <v>343</v>
      </c>
      <c r="H337" s="40" t="s">
        <v>655</v>
      </c>
      <c r="I337" s="40" t="s">
        <v>653</v>
      </c>
    </row>
    <row r="338" customFormat="false" ht="15" hidden="false" customHeight="false" outlineLevel="0" collapsed="false">
      <c r="A338" s="40" t="s">
        <v>356</v>
      </c>
      <c r="B338" s="40" t="s">
        <v>249</v>
      </c>
      <c r="C338" s="40" t="s">
        <v>435</v>
      </c>
      <c r="D338" s="40" t="s">
        <v>425</v>
      </c>
      <c r="E338" s="41" t="n">
        <v>8.3</v>
      </c>
      <c r="F338" s="42" t="str">
        <f aca="false">IF(VALUE(MID(C338,3,2))*10+VALUE(MID(D338,2,1))&lt;=242,"Pre",IF(VALUE(MID(C338,3,2))*10+VALUE(MID(D338,2,1))&lt;=254,"Post","Later"))</f>
        <v>Post</v>
      </c>
      <c r="G338" s="40" t="s">
        <v>343</v>
      </c>
      <c r="H338" s="40" t="s">
        <v>655</v>
      </c>
      <c r="I338" s="40" t="s">
        <v>653</v>
      </c>
    </row>
    <row r="339" customFormat="false" ht="15" hidden="false" customHeight="false" outlineLevel="0" collapsed="false">
      <c r="A339" s="40" t="s">
        <v>356</v>
      </c>
      <c r="B339" s="40" t="s">
        <v>249</v>
      </c>
      <c r="C339" s="40" t="s">
        <v>440</v>
      </c>
      <c r="D339" s="40" t="s">
        <v>418</v>
      </c>
      <c r="E339" s="41" t="n">
        <v>8.3</v>
      </c>
      <c r="F339" s="42" t="str">
        <f aca="false">IF(VALUE(MID(C339,3,2))*10+VALUE(MID(D339,2,1))&lt;=242,"Pre",IF(VALUE(MID(C339,3,2))*10+VALUE(MID(D339,2,1))&lt;=254,"Post","Later"))</f>
        <v>Post</v>
      </c>
      <c r="G339" s="40" t="s">
        <v>343</v>
      </c>
      <c r="H339" s="40" t="s">
        <v>655</v>
      </c>
      <c r="I339" s="40" t="s">
        <v>653</v>
      </c>
    </row>
    <row r="340" customFormat="false" ht="15" hidden="false" customHeight="false" outlineLevel="0" collapsed="false">
      <c r="A340" s="40" t="s">
        <v>356</v>
      </c>
      <c r="B340" s="40" t="s">
        <v>249</v>
      </c>
      <c r="C340" s="40" t="s">
        <v>440</v>
      </c>
      <c r="D340" s="40" t="s">
        <v>421</v>
      </c>
      <c r="E340" s="41" t="n">
        <v>8.4</v>
      </c>
      <c r="F340" s="42" t="str">
        <f aca="false">IF(VALUE(MID(C340,3,2))*10+VALUE(MID(D340,2,1))&lt;=242,"Pre",IF(VALUE(MID(C340,3,2))*10+VALUE(MID(D340,2,1))&lt;=254,"Post","Later"))</f>
        <v>Post</v>
      </c>
      <c r="G340" s="40" t="s">
        <v>343</v>
      </c>
      <c r="H340" s="40" t="s">
        <v>655</v>
      </c>
      <c r="I340" s="40" t="s">
        <v>653</v>
      </c>
    </row>
    <row r="341" customFormat="false" ht="15" hidden="false" customHeight="false" outlineLevel="0" collapsed="false">
      <c r="A341" s="40" t="s">
        <v>356</v>
      </c>
      <c r="B341" s="40" t="s">
        <v>249</v>
      </c>
      <c r="C341" s="40" t="s">
        <v>440</v>
      </c>
      <c r="D341" s="40" t="s">
        <v>423</v>
      </c>
      <c r="E341" s="41" t="n">
        <v>8.4</v>
      </c>
      <c r="F341" s="42" t="str">
        <f aca="false">IF(VALUE(MID(C341,3,2))*10+VALUE(MID(D341,2,1))&lt;=242,"Pre",IF(VALUE(MID(C341,3,2))*10+VALUE(MID(D341,2,1))&lt;=254,"Post","Later"))</f>
        <v>Post</v>
      </c>
      <c r="G341" s="40" t="s">
        <v>343</v>
      </c>
      <c r="H341" s="40" t="s">
        <v>655</v>
      </c>
      <c r="I341" s="40" t="s">
        <v>653</v>
      </c>
    </row>
    <row r="342" customFormat="false" ht="15" hidden="false" customHeight="false" outlineLevel="0" collapsed="false">
      <c r="A342" s="40" t="s">
        <v>356</v>
      </c>
      <c r="B342" s="40" t="s">
        <v>249</v>
      </c>
      <c r="C342" s="40" t="s">
        <v>440</v>
      </c>
      <c r="D342" s="40" t="s">
        <v>425</v>
      </c>
      <c r="E342" s="41" t="n">
        <v>8.4</v>
      </c>
      <c r="F342" s="42" t="str">
        <f aca="false">IF(VALUE(MID(C342,3,2))*10+VALUE(MID(D342,2,1))&lt;=242,"Pre",IF(VALUE(MID(C342,3,2))*10+VALUE(MID(D342,2,1))&lt;=254,"Post","Later"))</f>
        <v>Post</v>
      </c>
      <c r="G342" s="40" t="s">
        <v>343</v>
      </c>
      <c r="H342" s="40" t="s">
        <v>655</v>
      </c>
      <c r="I342" s="40" t="s">
        <v>653</v>
      </c>
    </row>
    <row r="343" customFormat="false" ht="15" hidden="false" customHeight="false" outlineLevel="0" collapsed="false">
      <c r="A343" s="40" t="s">
        <v>356</v>
      </c>
      <c r="B343" s="40" t="s">
        <v>249</v>
      </c>
      <c r="C343" s="40" t="s">
        <v>444</v>
      </c>
      <c r="D343" s="40" t="s">
        <v>418</v>
      </c>
      <c r="E343" s="41" t="n">
        <v>8.4</v>
      </c>
      <c r="F343" s="42" t="str">
        <f aca="false">IF(VALUE(MID(C343,3,2))*10+VALUE(MID(D343,2,1))&lt;=242,"Pre",IF(VALUE(MID(C343,3,2))*10+VALUE(MID(D343,2,1))&lt;=254,"Post","Later"))</f>
        <v>Later</v>
      </c>
      <c r="G343" s="40" t="s">
        <v>343</v>
      </c>
      <c r="H343" s="40" t="s">
        <v>656</v>
      </c>
      <c r="I343" s="40" t="s">
        <v>653</v>
      </c>
    </row>
    <row r="344" customFormat="false" ht="15" hidden="false" customHeight="false" outlineLevel="0" collapsed="false">
      <c r="A344" s="40" t="s">
        <v>356</v>
      </c>
      <c r="B344" s="40" t="s">
        <v>249</v>
      </c>
      <c r="C344" s="40" t="s">
        <v>444</v>
      </c>
      <c r="D344" s="40" t="s">
        <v>421</v>
      </c>
      <c r="E344" s="41" t="n">
        <v>8.1</v>
      </c>
      <c r="F344" s="42" t="str">
        <f aca="false">IF(VALUE(MID(C344,3,2))*10+VALUE(MID(D344,2,1))&lt;=242,"Pre",IF(VALUE(MID(C344,3,2))*10+VALUE(MID(D344,2,1))&lt;=254,"Post","Later"))</f>
        <v>Later</v>
      </c>
      <c r="G344" s="40" t="s">
        <v>343</v>
      </c>
      <c r="H344" s="40" t="s">
        <v>656</v>
      </c>
      <c r="I344" s="40" t="s">
        <v>653</v>
      </c>
    </row>
    <row r="345" customFormat="false" ht="15" hidden="false" customHeight="false" outlineLevel="0" collapsed="false">
      <c r="A345" s="40" t="s">
        <v>356</v>
      </c>
      <c r="B345" s="40" t="s">
        <v>249</v>
      </c>
      <c r="C345" s="40" t="s">
        <v>444</v>
      </c>
      <c r="D345" s="40" t="s">
        <v>423</v>
      </c>
      <c r="E345" s="41" t="n">
        <v>8.1</v>
      </c>
      <c r="F345" s="42" t="str">
        <f aca="false">IF(VALUE(MID(C345,3,2))*10+VALUE(MID(D345,2,1))&lt;=242,"Pre",IF(VALUE(MID(C345,3,2))*10+VALUE(MID(D345,2,1))&lt;=254,"Post","Later"))</f>
        <v>Later</v>
      </c>
      <c r="G345" s="40" t="s">
        <v>343</v>
      </c>
      <c r="H345" s="40" t="s">
        <v>656</v>
      </c>
      <c r="I345" s="40" t="s">
        <v>653</v>
      </c>
    </row>
    <row r="346" customFormat="false" ht="15" hidden="false" customHeight="false" outlineLevel="0" collapsed="false">
      <c r="A346" s="40" t="s">
        <v>356</v>
      </c>
      <c r="B346" s="40" t="s">
        <v>249</v>
      </c>
      <c r="C346" s="40" t="s">
        <v>444</v>
      </c>
      <c r="D346" s="40" t="s">
        <v>425</v>
      </c>
      <c r="E346" s="41" t="n">
        <v>7.9</v>
      </c>
      <c r="F346" s="42" t="str">
        <f aca="false">IF(VALUE(MID(C346,3,2))*10+VALUE(MID(D346,2,1))&lt;=242,"Pre",IF(VALUE(MID(C346,3,2))*10+VALUE(MID(D346,2,1))&lt;=254,"Post","Later"))</f>
        <v>Later</v>
      </c>
      <c r="G346" s="40" t="s">
        <v>343</v>
      </c>
      <c r="H346" s="40" t="s">
        <v>656</v>
      </c>
      <c r="I346" s="40" t="s">
        <v>653</v>
      </c>
    </row>
    <row r="347" customFormat="false" ht="15" hidden="false" customHeight="false" outlineLevel="0" collapsed="false">
      <c r="A347" s="40" t="s">
        <v>351</v>
      </c>
      <c r="B347" s="40" t="s">
        <v>228</v>
      </c>
      <c r="C347" s="40" t="s">
        <v>417</v>
      </c>
      <c r="D347" s="40" t="s">
        <v>418</v>
      </c>
      <c r="E347" s="41" t="n">
        <v>12.15</v>
      </c>
      <c r="F347" s="42" t="str">
        <f aca="false">IF(VALUE(MID(C347,3,2))*10+VALUE(MID(D347,2,1))&lt;=242,"Pre",IF(VALUE(MID(C347,3,2))*10+VALUE(MID(D347,2,1))&lt;=254,"Post","Later"))</f>
        <v>Pre</v>
      </c>
      <c r="G347" s="40" t="s">
        <v>352</v>
      </c>
      <c r="H347" s="40" t="s">
        <v>657</v>
      </c>
      <c r="I347" s="40" t="s">
        <v>658</v>
      </c>
    </row>
    <row r="348" customFormat="false" ht="15" hidden="false" customHeight="false" outlineLevel="0" collapsed="false">
      <c r="A348" s="40" t="s">
        <v>351</v>
      </c>
      <c r="B348" s="40" t="s">
        <v>228</v>
      </c>
      <c r="C348" s="40" t="s">
        <v>417</v>
      </c>
      <c r="D348" s="40" t="s">
        <v>421</v>
      </c>
      <c r="E348" s="41" t="n">
        <v>11.05</v>
      </c>
      <c r="F348" s="42" t="str">
        <f aca="false">IF(VALUE(MID(C348,3,2))*10+VALUE(MID(D348,2,1))&lt;=242,"Pre",IF(VALUE(MID(C348,3,2))*10+VALUE(MID(D348,2,1))&lt;=254,"Post","Later"))</f>
        <v>Pre</v>
      </c>
      <c r="G348" s="40" t="s">
        <v>352</v>
      </c>
      <c r="H348" s="40" t="s">
        <v>659</v>
      </c>
      <c r="I348" s="40" t="s">
        <v>658</v>
      </c>
    </row>
    <row r="349" customFormat="false" ht="15" hidden="false" customHeight="false" outlineLevel="0" collapsed="false">
      <c r="A349" s="40" t="s">
        <v>351</v>
      </c>
      <c r="B349" s="40" t="s">
        <v>228</v>
      </c>
      <c r="C349" s="40" t="s">
        <v>417</v>
      </c>
      <c r="D349" s="40" t="s">
        <v>423</v>
      </c>
      <c r="E349" s="41" t="n">
        <v>10.2</v>
      </c>
      <c r="F349" s="42" t="str">
        <f aca="false">IF(VALUE(MID(C349,3,2))*10+VALUE(MID(D349,2,1))&lt;=242,"Pre",IF(VALUE(MID(C349,3,2))*10+VALUE(MID(D349,2,1))&lt;=254,"Post","Later"))</f>
        <v>Pre</v>
      </c>
      <c r="G349" s="40" t="s">
        <v>352</v>
      </c>
      <c r="H349" s="40" t="s">
        <v>660</v>
      </c>
      <c r="I349" s="40" t="s">
        <v>658</v>
      </c>
    </row>
    <row r="350" customFormat="false" ht="15" hidden="false" customHeight="false" outlineLevel="0" collapsed="false">
      <c r="A350" s="40" t="s">
        <v>351</v>
      </c>
      <c r="B350" s="40" t="s">
        <v>228</v>
      </c>
      <c r="C350" s="40" t="s">
        <v>417</v>
      </c>
      <c r="D350" s="40" t="s">
        <v>425</v>
      </c>
      <c r="E350" s="41" t="n">
        <v>10.46</v>
      </c>
      <c r="F350" s="42" t="str">
        <f aca="false">IF(VALUE(MID(C350,3,2))*10+VALUE(MID(D350,2,1))&lt;=242,"Pre",IF(VALUE(MID(C350,3,2))*10+VALUE(MID(D350,2,1))&lt;=254,"Post","Later"))</f>
        <v>Pre</v>
      </c>
      <c r="G350" s="40" t="s">
        <v>352</v>
      </c>
      <c r="H350" s="40" t="s">
        <v>661</v>
      </c>
      <c r="I350" s="40" t="s">
        <v>658</v>
      </c>
    </row>
    <row r="351" customFormat="false" ht="15" hidden="false" customHeight="false" outlineLevel="0" collapsed="false">
      <c r="A351" s="40" t="s">
        <v>351</v>
      </c>
      <c r="B351" s="40" t="s">
        <v>228</v>
      </c>
      <c r="C351" s="40" t="s">
        <v>427</v>
      </c>
      <c r="D351" s="40" t="s">
        <v>418</v>
      </c>
      <c r="E351" s="41" t="n">
        <v>10.26</v>
      </c>
      <c r="F351" s="42" t="str">
        <f aca="false">IF(VALUE(MID(C351,3,2))*10+VALUE(MID(D351,2,1))&lt;=242,"Pre",IF(VALUE(MID(C351,3,2))*10+VALUE(MID(D351,2,1))&lt;=254,"Post","Later"))</f>
        <v>Pre</v>
      </c>
      <c r="G351" s="40" t="s">
        <v>352</v>
      </c>
      <c r="H351" s="40" t="s">
        <v>662</v>
      </c>
      <c r="I351" s="40" t="s">
        <v>658</v>
      </c>
    </row>
    <row r="352" customFormat="false" ht="15" hidden="false" customHeight="false" outlineLevel="0" collapsed="false">
      <c r="A352" s="40" t="s">
        <v>351</v>
      </c>
      <c r="B352" s="40" t="s">
        <v>228</v>
      </c>
      <c r="C352" s="40" t="s">
        <v>427</v>
      </c>
      <c r="D352" s="40" t="s">
        <v>421</v>
      </c>
      <c r="E352" s="41" t="n">
        <v>10.01</v>
      </c>
      <c r="F352" s="42" t="str">
        <f aca="false">IF(VALUE(MID(C352,3,2))*10+VALUE(MID(D352,2,1))&lt;=242,"Pre",IF(VALUE(MID(C352,3,2))*10+VALUE(MID(D352,2,1))&lt;=254,"Post","Later"))</f>
        <v>Pre</v>
      </c>
      <c r="G352" s="40" t="s">
        <v>352</v>
      </c>
      <c r="H352" s="40" t="s">
        <v>663</v>
      </c>
      <c r="I352" s="40" t="s">
        <v>658</v>
      </c>
    </row>
    <row r="353" customFormat="false" ht="15" hidden="false" customHeight="false" outlineLevel="0" collapsed="false">
      <c r="A353" s="40" t="s">
        <v>351</v>
      </c>
      <c r="B353" s="40" t="s">
        <v>228</v>
      </c>
      <c r="C353" s="40" t="s">
        <v>427</v>
      </c>
      <c r="D353" s="40" t="s">
        <v>423</v>
      </c>
      <c r="E353" s="41" t="n">
        <v>12.05</v>
      </c>
      <c r="F353" s="42" t="str">
        <f aca="false">IF(VALUE(MID(C353,3,2))*10+VALUE(MID(D353,2,1))&lt;=242,"Pre",IF(VALUE(MID(C353,3,2))*10+VALUE(MID(D353,2,1))&lt;=254,"Post","Later"))</f>
        <v>Pre</v>
      </c>
      <c r="G353" s="40" t="s">
        <v>352</v>
      </c>
      <c r="H353" s="40" t="s">
        <v>664</v>
      </c>
      <c r="I353" s="40" t="s">
        <v>665</v>
      </c>
    </row>
    <row r="354" customFormat="false" ht="15" hidden="false" customHeight="false" outlineLevel="0" collapsed="false">
      <c r="A354" s="40" t="s">
        <v>351</v>
      </c>
      <c r="B354" s="40" t="s">
        <v>228</v>
      </c>
      <c r="C354" s="40" t="s">
        <v>427</v>
      </c>
      <c r="D354" s="40" t="s">
        <v>425</v>
      </c>
      <c r="E354" s="41" t="n">
        <v>10.07</v>
      </c>
      <c r="F354" s="42" t="str">
        <f aca="false">IF(VALUE(MID(C354,3,2))*10+VALUE(MID(D354,2,1))&lt;=242,"Pre",IF(VALUE(MID(C354,3,2))*10+VALUE(MID(D354,2,1))&lt;=254,"Post","Later"))</f>
        <v>Pre</v>
      </c>
      <c r="G354" s="40" t="s">
        <v>352</v>
      </c>
      <c r="H354" s="40" t="s">
        <v>666</v>
      </c>
      <c r="I354" s="40" t="s">
        <v>665</v>
      </c>
    </row>
    <row r="355" customFormat="false" ht="15" hidden="false" customHeight="false" outlineLevel="0" collapsed="false">
      <c r="A355" s="40" t="s">
        <v>351</v>
      </c>
      <c r="B355" s="40" t="s">
        <v>228</v>
      </c>
      <c r="C355" s="40" t="s">
        <v>432</v>
      </c>
      <c r="D355" s="40" t="s">
        <v>418</v>
      </c>
      <c r="E355" s="41" t="n">
        <v>10.17</v>
      </c>
      <c r="F355" s="42" t="str">
        <f aca="false">IF(VALUE(MID(C355,3,2))*10+VALUE(MID(D355,2,1))&lt;=242,"Pre",IF(VALUE(MID(C355,3,2))*10+VALUE(MID(D355,2,1))&lt;=254,"Post","Later"))</f>
        <v>Pre</v>
      </c>
      <c r="G355" s="40" t="s">
        <v>352</v>
      </c>
      <c r="H355" s="40" t="s">
        <v>667</v>
      </c>
      <c r="I355" s="40" t="s">
        <v>665</v>
      </c>
    </row>
    <row r="356" customFormat="false" ht="15" hidden="false" customHeight="false" outlineLevel="0" collapsed="false">
      <c r="A356" s="40" t="s">
        <v>351</v>
      </c>
      <c r="B356" s="40" t="s">
        <v>228</v>
      </c>
      <c r="C356" s="40" t="s">
        <v>432</v>
      </c>
      <c r="D356" s="40" t="s">
        <v>421</v>
      </c>
      <c r="E356" s="41" t="n">
        <v>11.41</v>
      </c>
      <c r="F356" s="42" t="str">
        <f aca="false">IF(VALUE(MID(C356,3,2))*10+VALUE(MID(D356,2,1))&lt;=242,"Pre",IF(VALUE(MID(C356,3,2))*10+VALUE(MID(D356,2,1))&lt;=254,"Post","Later"))</f>
        <v>Pre</v>
      </c>
      <c r="G356" s="40" t="s">
        <v>352</v>
      </c>
      <c r="H356" s="40" t="s">
        <v>668</v>
      </c>
      <c r="I356" s="40" t="s">
        <v>665</v>
      </c>
    </row>
    <row r="357" customFormat="false" ht="15" hidden="false" customHeight="false" outlineLevel="0" collapsed="false">
      <c r="A357" s="40" t="s">
        <v>351</v>
      </c>
      <c r="B357" s="40" t="s">
        <v>228</v>
      </c>
      <c r="C357" s="40" t="s">
        <v>432</v>
      </c>
      <c r="D357" s="40" t="s">
        <v>423</v>
      </c>
      <c r="E357" s="41" t="n">
        <v>12.2</v>
      </c>
      <c r="F357" s="42" t="str">
        <f aca="false">IF(VALUE(MID(C357,3,2))*10+VALUE(MID(D357,2,1))&lt;=242,"Pre",IF(VALUE(MID(C357,3,2))*10+VALUE(MID(D357,2,1))&lt;=254,"Post","Later"))</f>
        <v>Pre</v>
      </c>
      <c r="G357" s="40" t="s">
        <v>352</v>
      </c>
      <c r="H357" s="40" t="s">
        <v>669</v>
      </c>
      <c r="I357" s="40" t="s">
        <v>665</v>
      </c>
    </row>
    <row r="358" customFormat="false" ht="15" hidden="false" customHeight="false" outlineLevel="0" collapsed="false">
      <c r="A358" s="40" t="s">
        <v>351</v>
      </c>
      <c r="B358" s="40" t="s">
        <v>228</v>
      </c>
      <c r="C358" s="40" t="s">
        <v>432</v>
      </c>
      <c r="D358" s="40" t="s">
        <v>425</v>
      </c>
      <c r="E358" s="41" t="n">
        <v>14.87</v>
      </c>
      <c r="F358" s="42" t="str">
        <f aca="false">IF(VALUE(MID(C358,3,2))*10+VALUE(MID(D358,2,1))&lt;=242,"Pre",IF(VALUE(MID(C358,3,2))*10+VALUE(MID(D358,2,1))&lt;=254,"Post","Later"))</f>
        <v>Pre</v>
      </c>
      <c r="G358" s="40" t="s">
        <v>352</v>
      </c>
      <c r="H358" s="40" t="s">
        <v>670</v>
      </c>
      <c r="I358" s="40" t="s">
        <v>665</v>
      </c>
    </row>
    <row r="359" customFormat="false" ht="15" hidden="false" customHeight="false" outlineLevel="0" collapsed="false">
      <c r="A359" s="40" t="s">
        <v>351</v>
      </c>
      <c r="B359" s="40" t="s">
        <v>228</v>
      </c>
      <c r="C359" s="40" t="s">
        <v>435</v>
      </c>
      <c r="D359" s="40" t="s">
        <v>418</v>
      </c>
      <c r="E359" s="41" t="n">
        <v>12.65</v>
      </c>
      <c r="F359" s="42" t="str">
        <f aca="false">IF(VALUE(MID(C359,3,2))*10+VALUE(MID(D359,2,1))&lt;=242,"Pre",IF(VALUE(MID(C359,3,2))*10+VALUE(MID(D359,2,1))&lt;=254,"Post","Later"))</f>
        <v>Pre</v>
      </c>
      <c r="G359" s="40" t="s">
        <v>352</v>
      </c>
      <c r="H359" s="40" t="s">
        <v>671</v>
      </c>
      <c r="I359" s="40" t="s">
        <v>665</v>
      </c>
    </row>
    <row r="360" customFormat="false" ht="15" hidden="false" customHeight="false" outlineLevel="0" collapsed="false">
      <c r="A360" s="40" t="s">
        <v>351</v>
      </c>
      <c r="B360" s="40" t="s">
        <v>228</v>
      </c>
      <c r="C360" s="40" t="s">
        <v>435</v>
      </c>
      <c r="D360" s="40" t="s">
        <v>421</v>
      </c>
      <c r="E360" s="41" t="n">
        <v>12.24</v>
      </c>
      <c r="F360" s="42" t="str">
        <f aca="false">IF(VALUE(MID(C360,3,2))*10+VALUE(MID(D360,2,1))&lt;=242,"Pre",IF(VALUE(MID(C360,3,2))*10+VALUE(MID(D360,2,1))&lt;=254,"Post","Later"))</f>
        <v>Pre</v>
      </c>
      <c r="G360" s="40" t="s">
        <v>352</v>
      </c>
      <c r="H360" s="40" t="s">
        <v>672</v>
      </c>
      <c r="I360" s="40" t="s">
        <v>665</v>
      </c>
    </row>
    <row r="361" customFormat="false" ht="15" hidden="false" customHeight="false" outlineLevel="0" collapsed="false">
      <c r="A361" s="40" t="s">
        <v>351</v>
      </c>
      <c r="B361" s="40" t="s">
        <v>228</v>
      </c>
      <c r="C361" s="40" t="s">
        <v>435</v>
      </c>
      <c r="D361" s="40" t="s">
        <v>423</v>
      </c>
      <c r="E361" s="41" t="n">
        <v>12.7</v>
      </c>
      <c r="F361" s="42" t="str">
        <f aca="false">IF(VALUE(MID(C361,3,2))*10+VALUE(MID(D361,2,1))&lt;=242,"Pre",IF(VALUE(MID(C361,3,2))*10+VALUE(MID(D361,2,1))&lt;=254,"Post","Later"))</f>
        <v>Post</v>
      </c>
      <c r="G361" s="40" t="s">
        <v>352</v>
      </c>
      <c r="H361" s="40" t="s">
        <v>673</v>
      </c>
      <c r="I361" s="40" t="s">
        <v>665</v>
      </c>
    </row>
    <row r="362" customFormat="false" ht="15" hidden="false" customHeight="false" outlineLevel="0" collapsed="false">
      <c r="A362" s="40" t="s">
        <v>351</v>
      </c>
      <c r="B362" s="40" t="s">
        <v>228</v>
      </c>
      <c r="C362" s="40" t="s">
        <v>435</v>
      </c>
      <c r="D362" s="40" t="s">
        <v>425</v>
      </c>
      <c r="E362" s="41" t="n">
        <v>11.2</v>
      </c>
      <c r="F362" s="42" t="str">
        <f aca="false">IF(VALUE(MID(C362,3,2))*10+VALUE(MID(D362,2,1))&lt;=242,"Pre",IF(VALUE(MID(C362,3,2))*10+VALUE(MID(D362,2,1))&lt;=254,"Post","Later"))</f>
        <v>Post</v>
      </c>
      <c r="G362" s="40" t="s">
        <v>352</v>
      </c>
      <c r="H362" s="40" t="s">
        <v>674</v>
      </c>
      <c r="I362" s="40" t="s">
        <v>665</v>
      </c>
    </row>
    <row r="363" customFormat="false" ht="15" hidden="false" customHeight="false" outlineLevel="0" collapsed="false">
      <c r="A363" s="40" t="s">
        <v>351</v>
      </c>
      <c r="B363" s="40" t="s">
        <v>228</v>
      </c>
      <c r="C363" s="40" t="s">
        <v>440</v>
      </c>
      <c r="D363" s="40" t="s">
        <v>418</v>
      </c>
      <c r="E363" s="41" t="n">
        <v>11.68</v>
      </c>
      <c r="F363" s="42" t="str">
        <f aca="false">IF(VALUE(MID(C363,3,2))*10+VALUE(MID(D363,2,1))&lt;=242,"Pre",IF(VALUE(MID(C363,3,2))*10+VALUE(MID(D363,2,1))&lt;=254,"Post","Later"))</f>
        <v>Post</v>
      </c>
      <c r="G363" s="40" t="s">
        <v>352</v>
      </c>
      <c r="H363" s="40" t="s">
        <v>675</v>
      </c>
      <c r="I363" s="40" t="s">
        <v>665</v>
      </c>
    </row>
    <row r="364" customFormat="false" ht="15" hidden="false" customHeight="false" outlineLevel="0" collapsed="false">
      <c r="A364" s="40" t="s">
        <v>351</v>
      </c>
      <c r="B364" s="40" t="s">
        <v>228</v>
      </c>
      <c r="C364" s="40" t="s">
        <v>440</v>
      </c>
      <c r="D364" s="40" t="s">
        <v>421</v>
      </c>
      <c r="E364" s="41" t="n">
        <v>12.33</v>
      </c>
      <c r="F364" s="42" t="str">
        <f aca="false">IF(VALUE(MID(C364,3,2))*10+VALUE(MID(D364,2,1))&lt;=242,"Pre",IF(VALUE(MID(C364,3,2))*10+VALUE(MID(D364,2,1))&lt;=254,"Post","Later"))</f>
        <v>Post</v>
      </c>
      <c r="G364" s="40" t="s">
        <v>352</v>
      </c>
      <c r="H364" s="40" t="s">
        <v>676</v>
      </c>
      <c r="I364" s="40" t="s">
        <v>665</v>
      </c>
    </row>
    <row r="365" customFormat="false" ht="15" hidden="false" customHeight="false" outlineLevel="0" collapsed="false">
      <c r="A365" s="40" t="s">
        <v>351</v>
      </c>
      <c r="B365" s="40" t="s">
        <v>228</v>
      </c>
      <c r="C365" s="40" t="s">
        <v>440</v>
      </c>
      <c r="D365" s="40" t="s">
        <v>423</v>
      </c>
      <c r="E365" s="41" t="n">
        <v>12.05</v>
      </c>
      <c r="F365" s="42" t="str">
        <f aca="false">IF(VALUE(MID(C365,3,2))*10+VALUE(MID(D365,2,1))&lt;=242,"Pre",IF(VALUE(MID(C365,3,2))*10+VALUE(MID(D365,2,1))&lt;=254,"Post","Later"))</f>
        <v>Post</v>
      </c>
      <c r="G365" s="40" t="s">
        <v>352</v>
      </c>
      <c r="H365" s="40" t="s">
        <v>677</v>
      </c>
      <c r="I365" s="40" t="s">
        <v>665</v>
      </c>
    </row>
    <row r="366" customFormat="false" ht="15" hidden="false" customHeight="false" outlineLevel="0" collapsed="false">
      <c r="A366" s="40" t="s">
        <v>351</v>
      </c>
      <c r="B366" s="40" t="s">
        <v>228</v>
      </c>
      <c r="C366" s="40" t="s">
        <v>440</v>
      </c>
      <c r="D366" s="40" t="s">
        <v>425</v>
      </c>
      <c r="E366" s="41" t="n">
        <v>11.7</v>
      </c>
      <c r="F366" s="42" t="str">
        <f aca="false">IF(VALUE(MID(C366,3,2))*10+VALUE(MID(D366,2,1))&lt;=242,"Pre",IF(VALUE(MID(C366,3,2))*10+VALUE(MID(D366,2,1))&lt;=254,"Post","Later"))</f>
        <v>Post</v>
      </c>
      <c r="G366" s="40" t="s">
        <v>352</v>
      </c>
      <c r="H366" s="40" t="s">
        <v>678</v>
      </c>
      <c r="I366" s="40" t="s">
        <v>665</v>
      </c>
    </row>
    <row r="367" customFormat="false" ht="15" hidden="false" customHeight="false" outlineLevel="0" collapsed="false">
      <c r="A367" s="40" t="s">
        <v>351</v>
      </c>
      <c r="B367" s="40" t="s">
        <v>228</v>
      </c>
      <c r="C367" s="40" t="s">
        <v>444</v>
      </c>
      <c r="D367" s="40" t="s">
        <v>418</v>
      </c>
      <c r="E367" s="41" t="n">
        <v>12.32</v>
      </c>
      <c r="F367" s="42" t="str">
        <f aca="false">IF(VALUE(MID(C367,3,2))*10+VALUE(MID(D367,2,1))&lt;=242,"Pre",IF(VALUE(MID(C367,3,2))*10+VALUE(MID(D367,2,1))&lt;=254,"Post","Later"))</f>
        <v>Later</v>
      </c>
      <c r="G367" s="40" t="s">
        <v>352</v>
      </c>
      <c r="H367" s="40" t="s">
        <v>679</v>
      </c>
      <c r="I367" s="40" t="s">
        <v>665</v>
      </c>
    </row>
    <row r="368" customFormat="false" ht="15" hidden="false" customHeight="false" outlineLevel="0" collapsed="false">
      <c r="A368" s="40" t="s">
        <v>351</v>
      </c>
      <c r="B368" s="40" t="s">
        <v>228</v>
      </c>
      <c r="C368" s="40" t="s">
        <v>444</v>
      </c>
      <c r="D368" s="40" t="s">
        <v>421</v>
      </c>
      <c r="E368" s="41" t="n">
        <v>11.97</v>
      </c>
      <c r="F368" s="42" t="str">
        <f aca="false">IF(VALUE(MID(C368,3,2))*10+VALUE(MID(D368,2,1))&lt;=242,"Pre",IF(VALUE(MID(C368,3,2))*10+VALUE(MID(D368,2,1))&lt;=254,"Post","Later"))</f>
        <v>Later</v>
      </c>
      <c r="G368" s="40" t="s">
        <v>352</v>
      </c>
      <c r="H368" s="40" t="s">
        <v>680</v>
      </c>
      <c r="I368" s="40" t="s">
        <v>665</v>
      </c>
    </row>
    <row r="369" customFormat="false" ht="15" hidden="false" customHeight="false" outlineLevel="0" collapsed="false">
      <c r="A369" s="40" t="s">
        <v>351</v>
      </c>
      <c r="B369" s="40" t="s">
        <v>228</v>
      </c>
      <c r="C369" s="40" t="s">
        <v>444</v>
      </c>
      <c r="D369" s="40" t="s">
        <v>423</v>
      </c>
      <c r="E369" s="41" t="n">
        <v>11.37</v>
      </c>
      <c r="F369" s="42" t="str">
        <f aca="false">IF(VALUE(MID(C369,3,2))*10+VALUE(MID(D369,2,1))&lt;=242,"Pre",IF(VALUE(MID(C369,3,2))*10+VALUE(MID(D369,2,1))&lt;=254,"Post","Later"))</f>
        <v>Later</v>
      </c>
      <c r="G369" s="40" t="s">
        <v>352</v>
      </c>
      <c r="H369" s="40" t="s">
        <v>681</v>
      </c>
      <c r="I369" s="40" t="s">
        <v>665</v>
      </c>
    </row>
    <row r="370" customFormat="false" ht="15" hidden="false" customHeight="false" outlineLevel="0" collapsed="false">
      <c r="A370" s="40" t="s">
        <v>351</v>
      </c>
      <c r="B370" s="40" t="s">
        <v>228</v>
      </c>
      <c r="C370" s="40" t="s">
        <v>444</v>
      </c>
      <c r="D370" s="40" t="s">
        <v>425</v>
      </c>
      <c r="E370" s="41" t="n">
        <v>10.29</v>
      </c>
      <c r="F370" s="42" t="str">
        <f aca="false">IF(VALUE(MID(C370,3,2))*10+VALUE(MID(D370,2,1))&lt;=242,"Pre",IF(VALUE(MID(C370,3,2))*10+VALUE(MID(D370,2,1))&lt;=254,"Post","Later"))</f>
        <v>Later</v>
      </c>
      <c r="G370" s="40" t="s">
        <v>352</v>
      </c>
      <c r="H370" s="40" t="s">
        <v>682</v>
      </c>
      <c r="I370" s="40" t="s">
        <v>665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3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7" min="6" style="0" width="10"/>
    <col collapsed="false" customWidth="true" hidden="false" outlineLevel="0" max="8" min="8" style="0" width="22"/>
    <col collapsed="false" customWidth="true" hidden="false" outlineLevel="0" max="9" min="9" style="0" width="60"/>
  </cols>
  <sheetData>
    <row r="1" customFormat="false" ht="15" hidden="false" customHeight="false" outlineLevel="0" collapsed="false">
      <c r="A1" s="1" t="s">
        <v>683</v>
      </c>
    </row>
    <row r="2" customFormat="false" ht="15" hidden="false" customHeight="false" outlineLevel="0" collapsed="false">
      <c r="A2" s="2" t="s">
        <v>410</v>
      </c>
    </row>
    <row r="4" customFormat="false" ht="30" hidden="false" customHeight="true" outlineLevel="0" collapsed="false">
      <c r="A4" s="3" t="s">
        <v>211</v>
      </c>
      <c r="B4" s="3" t="s">
        <v>213</v>
      </c>
      <c r="C4" s="3" t="s">
        <v>411</v>
      </c>
      <c r="D4" s="3" t="s">
        <v>412</v>
      </c>
      <c r="E4" s="3" t="s">
        <v>308</v>
      </c>
      <c r="F4" s="3" t="s">
        <v>413</v>
      </c>
      <c r="G4" s="3" t="s">
        <v>414</v>
      </c>
      <c r="H4" s="3" t="s">
        <v>415</v>
      </c>
      <c r="I4" s="3" t="s">
        <v>416</v>
      </c>
    </row>
    <row r="5" customFormat="false" ht="15" hidden="false" customHeight="false" outlineLevel="0" collapsed="false">
      <c r="A5" s="40" t="s">
        <v>342</v>
      </c>
      <c r="B5" s="40" t="s">
        <v>228</v>
      </c>
      <c r="C5" s="40" t="s">
        <v>417</v>
      </c>
      <c r="D5" s="40" t="s">
        <v>418</v>
      </c>
      <c r="E5" s="41" t="n">
        <v>39</v>
      </c>
      <c r="F5" s="42" t="str">
        <f aca="false">IF(VALUE(MID(C5,3,2))*10+VALUE(MID(D5,2,1))&lt;=242,"Pre",IF(VALUE(MID(C5,3,2))*10+VALUE(MID(D5,2,1))&lt;=254,"Post","Later"))</f>
        <v>Pre</v>
      </c>
      <c r="G5" s="40" t="s">
        <v>343</v>
      </c>
      <c r="H5" s="40" t="s">
        <v>684</v>
      </c>
      <c r="I5" s="40" t="s">
        <v>685</v>
      </c>
    </row>
    <row r="6" customFormat="false" ht="15" hidden="false" customHeight="false" outlineLevel="0" collapsed="false">
      <c r="A6" s="40" t="s">
        <v>342</v>
      </c>
      <c r="B6" s="40" t="s">
        <v>228</v>
      </c>
      <c r="C6" s="40" t="s">
        <v>417</v>
      </c>
      <c r="D6" s="40" t="s">
        <v>421</v>
      </c>
      <c r="E6" s="41" t="n">
        <v>37</v>
      </c>
      <c r="F6" s="42" t="str">
        <f aca="false">IF(VALUE(MID(C6,3,2))*10+VALUE(MID(D6,2,1))&lt;=242,"Pre",IF(VALUE(MID(C6,3,2))*10+VALUE(MID(D6,2,1))&lt;=254,"Post","Later"))</f>
        <v>Pre</v>
      </c>
      <c r="G6" s="40" t="s">
        <v>343</v>
      </c>
      <c r="H6" s="40" t="s">
        <v>686</v>
      </c>
      <c r="I6" s="40" t="s">
        <v>685</v>
      </c>
    </row>
    <row r="7" customFormat="false" ht="15" hidden="false" customHeight="false" outlineLevel="0" collapsed="false">
      <c r="A7" s="40" t="s">
        <v>342</v>
      </c>
      <c r="B7" s="40" t="s">
        <v>228</v>
      </c>
      <c r="C7" s="40" t="s">
        <v>417</v>
      </c>
      <c r="D7" s="40" t="s">
        <v>423</v>
      </c>
      <c r="E7" s="41" t="n">
        <v>35</v>
      </c>
      <c r="F7" s="42" t="str">
        <f aca="false">IF(VALUE(MID(C7,3,2))*10+VALUE(MID(D7,2,1))&lt;=242,"Pre",IF(VALUE(MID(C7,3,2))*10+VALUE(MID(D7,2,1))&lt;=254,"Post","Later"))</f>
        <v>Pre</v>
      </c>
      <c r="G7" s="40" t="s">
        <v>343</v>
      </c>
      <c r="H7" s="40" t="s">
        <v>687</v>
      </c>
      <c r="I7" s="40" t="s">
        <v>685</v>
      </c>
    </row>
    <row r="8" customFormat="false" ht="15" hidden="false" customHeight="false" outlineLevel="0" collapsed="false">
      <c r="A8" s="40" t="s">
        <v>342</v>
      </c>
      <c r="B8" s="40" t="s">
        <v>228</v>
      </c>
      <c r="C8" s="40" t="s">
        <v>417</v>
      </c>
      <c r="D8" s="40" t="s">
        <v>425</v>
      </c>
      <c r="E8" s="41" t="n">
        <v>32</v>
      </c>
      <c r="F8" s="42" t="str">
        <f aca="false">IF(VALUE(MID(C8,3,2))*10+VALUE(MID(D8,2,1))&lt;=242,"Pre",IF(VALUE(MID(C8,3,2))*10+VALUE(MID(D8,2,1))&lt;=254,"Post","Later"))</f>
        <v>Pre</v>
      </c>
      <c r="G8" s="40" t="s">
        <v>343</v>
      </c>
      <c r="H8" s="40" t="s">
        <v>688</v>
      </c>
      <c r="I8" s="40" t="s">
        <v>685</v>
      </c>
    </row>
    <row r="9" customFormat="false" ht="15" hidden="false" customHeight="false" outlineLevel="0" collapsed="false">
      <c r="A9" s="40" t="s">
        <v>342</v>
      </c>
      <c r="B9" s="40" t="s">
        <v>228</v>
      </c>
      <c r="C9" s="40" t="s">
        <v>427</v>
      </c>
      <c r="D9" s="40" t="s">
        <v>418</v>
      </c>
      <c r="E9" s="41" t="n">
        <v>31</v>
      </c>
      <c r="F9" s="42" t="str">
        <f aca="false">IF(VALUE(MID(C9,3,2))*10+VALUE(MID(D9,2,1))&lt;=242,"Pre",IF(VALUE(MID(C9,3,2))*10+VALUE(MID(D9,2,1))&lt;=254,"Post","Later"))</f>
        <v>Pre</v>
      </c>
      <c r="G9" s="40" t="s">
        <v>343</v>
      </c>
      <c r="H9" s="40" t="s">
        <v>689</v>
      </c>
      <c r="I9" s="40" t="s">
        <v>685</v>
      </c>
    </row>
    <row r="10" customFormat="false" ht="15" hidden="false" customHeight="false" outlineLevel="0" collapsed="false">
      <c r="A10" s="40" t="s">
        <v>342</v>
      </c>
      <c r="B10" s="40" t="s">
        <v>228</v>
      </c>
      <c r="C10" s="40" t="s">
        <v>427</v>
      </c>
      <c r="D10" s="40" t="s">
        <v>421</v>
      </c>
      <c r="E10" s="41" t="n">
        <v>29</v>
      </c>
      <c r="F10" s="42" t="str">
        <f aca="false">IF(VALUE(MID(C10,3,2))*10+VALUE(MID(D10,2,1))&lt;=242,"Pre",IF(VALUE(MID(C10,3,2))*10+VALUE(MID(D10,2,1))&lt;=254,"Post","Later"))</f>
        <v>Pre</v>
      </c>
      <c r="G10" s="40" t="s">
        <v>343</v>
      </c>
      <c r="H10" s="40" t="s">
        <v>690</v>
      </c>
      <c r="I10" s="40" t="s">
        <v>685</v>
      </c>
    </row>
    <row r="11" customFormat="false" ht="15" hidden="false" customHeight="false" outlineLevel="0" collapsed="false">
      <c r="A11" s="40" t="s">
        <v>342</v>
      </c>
      <c r="B11" s="40" t="s">
        <v>228</v>
      </c>
      <c r="C11" s="40" t="s">
        <v>427</v>
      </c>
      <c r="D11" s="40" t="s">
        <v>423</v>
      </c>
      <c r="E11" s="41" t="n">
        <v>29</v>
      </c>
      <c r="F11" s="42" t="str">
        <f aca="false">IF(VALUE(MID(C11,3,2))*10+VALUE(MID(D11,2,1))&lt;=242,"Pre",IF(VALUE(MID(C11,3,2))*10+VALUE(MID(D11,2,1))&lt;=254,"Post","Later"))</f>
        <v>Pre</v>
      </c>
      <c r="G11" s="40" t="s">
        <v>343</v>
      </c>
      <c r="H11" s="40" t="s">
        <v>691</v>
      </c>
      <c r="I11" s="40" t="s">
        <v>685</v>
      </c>
    </row>
    <row r="12" customFormat="false" ht="15" hidden="false" customHeight="false" outlineLevel="0" collapsed="false">
      <c r="A12" s="40" t="s">
        <v>342</v>
      </c>
      <c r="B12" s="40" t="s">
        <v>228</v>
      </c>
      <c r="C12" s="40" t="s">
        <v>427</v>
      </c>
      <c r="D12" s="40" t="s">
        <v>425</v>
      </c>
      <c r="E12" s="41" t="n">
        <v>28</v>
      </c>
      <c r="F12" s="42" t="str">
        <f aca="false">IF(VALUE(MID(C12,3,2))*10+VALUE(MID(D12,2,1))&lt;=242,"Pre",IF(VALUE(MID(C12,3,2))*10+VALUE(MID(D12,2,1))&lt;=254,"Post","Later"))</f>
        <v>Pre</v>
      </c>
      <c r="G12" s="40" t="s">
        <v>343</v>
      </c>
      <c r="H12" s="40" t="s">
        <v>692</v>
      </c>
      <c r="I12" s="40" t="s">
        <v>685</v>
      </c>
    </row>
    <row r="13" customFormat="false" ht="15" hidden="false" customHeight="false" outlineLevel="0" collapsed="false">
      <c r="A13" s="40" t="s">
        <v>342</v>
      </c>
      <c r="B13" s="40" t="s">
        <v>228</v>
      </c>
      <c r="C13" s="40" t="s">
        <v>432</v>
      </c>
      <c r="D13" s="40" t="s">
        <v>418</v>
      </c>
      <c r="E13" s="41" t="n">
        <v>31</v>
      </c>
      <c r="F13" s="42" t="str">
        <f aca="false">IF(VALUE(MID(C13,3,2))*10+VALUE(MID(D13,2,1))&lt;=242,"Pre",IF(VALUE(MID(C13,3,2))*10+VALUE(MID(D13,2,1))&lt;=254,"Post","Later"))</f>
        <v>Pre</v>
      </c>
      <c r="G13" s="40" t="s">
        <v>343</v>
      </c>
      <c r="H13" s="40" t="s">
        <v>693</v>
      </c>
      <c r="I13" s="40" t="s">
        <v>685</v>
      </c>
    </row>
    <row r="14" customFormat="false" ht="15" hidden="false" customHeight="false" outlineLevel="0" collapsed="false">
      <c r="A14" s="40" t="s">
        <v>342</v>
      </c>
      <c r="B14" s="40" t="s">
        <v>228</v>
      </c>
      <c r="C14" s="40" t="s">
        <v>432</v>
      </c>
      <c r="D14" s="40" t="s">
        <v>421</v>
      </c>
      <c r="E14" s="41" t="n">
        <v>31</v>
      </c>
      <c r="F14" s="42" t="str">
        <f aca="false">IF(VALUE(MID(C14,3,2))*10+VALUE(MID(D14,2,1))&lt;=242,"Pre",IF(VALUE(MID(C14,3,2))*10+VALUE(MID(D14,2,1))&lt;=254,"Post","Later"))</f>
        <v>Pre</v>
      </c>
      <c r="G14" s="40" t="s">
        <v>343</v>
      </c>
      <c r="H14" s="40" t="s">
        <v>694</v>
      </c>
      <c r="I14" s="40" t="s">
        <v>685</v>
      </c>
    </row>
    <row r="15" customFormat="false" ht="15" hidden="false" customHeight="false" outlineLevel="0" collapsed="false">
      <c r="A15" s="40" t="s">
        <v>342</v>
      </c>
      <c r="B15" s="40" t="s">
        <v>228</v>
      </c>
      <c r="C15" s="40" t="s">
        <v>432</v>
      </c>
      <c r="D15" s="40" t="s">
        <v>423</v>
      </c>
      <c r="E15" s="41" t="n">
        <v>31</v>
      </c>
      <c r="F15" s="42" t="str">
        <f aca="false">IF(VALUE(MID(C15,3,2))*10+VALUE(MID(D15,2,1))&lt;=242,"Pre",IF(VALUE(MID(C15,3,2))*10+VALUE(MID(D15,2,1))&lt;=254,"Post","Later"))</f>
        <v>Pre</v>
      </c>
      <c r="G15" s="40" t="s">
        <v>343</v>
      </c>
      <c r="H15" s="40" t="s">
        <v>695</v>
      </c>
      <c r="I15" s="40" t="s">
        <v>685</v>
      </c>
    </row>
    <row r="16" customFormat="false" ht="15" hidden="false" customHeight="false" outlineLevel="0" collapsed="false">
      <c r="A16" s="40" t="s">
        <v>342</v>
      </c>
      <c r="B16" s="40" t="s">
        <v>228</v>
      </c>
      <c r="C16" s="40" t="s">
        <v>432</v>
      </c>
      <c r="D16" s="40" t="s">
        <v>425</v>
      </c>
      <c r="E16" s="41" t="n">
        <v>33</v>
      </c>
      <c r="F16" s="42" t="str">
        <f aca="false">IF(VALUE(MID(C16,3,2))*10+VALUE(MID(D16,2,1))&lt;=242,"Pre",IF(VALUE(MID(C16,3,2))*10+VALUE(MID(D16,2,1))&lt;=254,"Post","Later"))</f>
        <v>Pre</v>
      </c>
      <c r="G16" s="40" t="s">
        <v>343</v>
      </c>
      <c r="H16" s="40" t="s">
        <v>696</v>
      </c>
      <c r="I16" s="40" t="s">
        <v>685</v>
      </c>
    </row>
    <row r="17" customFormat="false" ht="15" hidden="false" customHeight="false" outlineLevel="0" collapsed="false">
      <c r="A17" s="40" t="s">
        <v>342</v>
      </c>
      <c r="B17" s="40" t="s">
        <v>228</v>
      </c>
      <c r="C17" s="40" t="s">
        <v>435</v>
      </c>
      <c r="D17" s="40" t="s">
        <v>418</v>
      </c>
      <c r="E17" s="41" t="n">
        <v>31</v>
      </c>
      <c r="F17" s="42" t="str">
        <f aca="false">IF(VALUE(MID(C17,3,2))*10+VALUE(MID(D17,2,1))&lt;=242,"Pre",IF(VALUE(MID(C17,3,2))*10+VALUE(MID(D17,2,1))&lt;=254,"Post","Later"))</f>
        <v>Pre</v>
      </c>
      <c r="G17" s="40" t="s">
        <v>343</v>
      </c>
      <c r="H17" s="40" t="s">
        <v>697</v>
      </c>
      <c r="I17" s="40" t="s">
        <v>685</v>
      </c>
    </row>
    <row r="18" customFormat="false" ht="15" hidden="false" customHeight="false" outlineLevel="0" collapsed="false">
      <c r="A18" s="40" t="s">
        <v>342</v>
      </c>
      <c r="B18" s="40" t="s">
        <v>228</v>
      </c>
      <c r="C18" s="40" t="s">
        <v>435</v>
      </c>
      <c r="D18" s="40" t="s">
        <v>421</v>
      </c>
      <c r="E18" s="41" t="n">
        <v>32</v>
      </c>
      <c r="F18" s="42" t="str">
        <f aca="false">IF(VALUE(MID(C18,3,2))*10+VALUE(MID(D18,2,1))&lt;=242,"Pre",IF(VALUE(MID(C18,3,2))*10+VALUE(MID(D18,2,1))&lt;=254,"Post","Later"))</f>
        <v>Pre</v>
      </c>
      <c r="G18" s="40" t="s">
        <v>343</v>
      </c>
      <c r="H18" s="40" t="s">
        <v>698</v>
      </c>
      <c r="I18" s="40" t="s">
        <v>685</v>
      </c>
    </row>
    <row r="19" customFormat="false" ht="15" hidden="false" customHeight="false" outlineLevel="0" collapsed="false">
      <c r="A19" s="40" t="s">
        <v>342</v>
      </c>
      <c r="B19" s="40" t="s">
        <v>228</v>
      </c>
      <c r="C19" s="40" t="s">
        <v>435</v>
      </c>
      <c r="D19" s="40" t="s">
        <v>423</v>
      </c>
      <c r="E19" s="41" t="n">
        <v>33</v>
      </c>
      <c r="F19" s="42" t="str">
        <f aca="false">IF(VALUE(MID(C19,3,2))*10+VALUE(MID(D19,2,1))&lt;=242,"Pre",IF(VALUE(MID(C19,3,2))*10+VALUE(MID(D19,2,1))&lt;=254,"Post","Later"))</f>
        <v>Post</v>
      </c>
      <c r="G19" s="40" t="s">
        <v>343</v>
      </c>
      <c r="H19" s="40" t="s">
        <v>699</v>
      </c>
      <c r="I19" s="40" t="s">
        <v>685</v>
      </c>
    </row>
    <row r="20" customFormat="false" ht="15" hidden="false" customHeight="false" outlineLevel="0" collapsed="false">
      <c r="A20" s="40" t="s">
        <v>342</v>
      </c>
      <c r="B20" s="40" t="s">
        <v>228</v>
      </c>
      <c r="C20" s="40" t="s">
        <v>435</v>
      </c>
      <c r="D20" s="40" t="s">
        <v>425</v>
      </c>
      <c r="E20" s="41" t="n">
        <v>30</v>
      </c>
      <c r="F20" s="42" t="str">
        <f aca="false">IF(VALUE(MID(C20,3,2))*10+VALUE(MID(D20,2,1))&lt;=242,"Pre",IF(VALUE(MID(C20,3,2))*10+VALUE(MID(D20,2,1))&lt;=254,"Post","Later"))</f>
        <v>Post</v>
      </c>
      <c r="G20" s="40" t="s">
        <v>343</v>
      </c>
      <c r="H20" s="40" t="s">
        <v>700</v>
      </c>
      <c r="I20" s="40" t="s">
        <v>685</v>
      </c>
    </row>
    <row r="21" customFormat="false" ht="15" hidden="false" customHeight="false" outlineLevel="0" collapsed="false">
      <c r="A21" s="40" t="s">
        <v>342</v>
      </c>
      <c r="B21" s="40" t="s">
        <v>228</v>
      </c>
      <c r="C21" s="40" t="s">
        <v>440</v>
      </c>
      <c r="D21" s="40" t="s">
        <v>418</v>
      </c>
      <c r="E21" s="41" t="n">
        <v>30</v>
      </c>
      <c r="F21" s="42" t="str">
        <f aca="false">IF(VALUE(MID(C21,3,2))*10+VALUE(MID(D21,2,1))&lt;=242,"Pre",IF(VALUE(MID(C21,3,2))*10+VALUE(MID(D21,2,1))&lt;=254,"Post","Later"))</f>
        <v>Post</v>
      </c>
      <c r="G21" s="40" t="s">
        <v>343</v>
      </c>
      <c r="H21" s="40" t="s">
        <v>701</v>
      </c>
      <c r="I21" s="40" t="s">
        <v>685</v>
      </c>
    </row>
    <row r="22" customFormat="false" ht="15" hidden="false" customHeight="false" outlineLevel="0" collapsed="false">
      <c r="A22" s="40" t="s">
        <v>342</v>
      </c>
      <c r="B22" s="40" t="s">
        <v>228</v>
      </c>
      <c r="C22" s="40" t="s">
        <v>440</v>
      </c>
      <c r="D22" s="40" t="s">
        <v>421</v>
      </c>
      <c r="E22" s="41" t="n">
        <v>29</v>
      </c>
      <c r="F22" s="42" t="str">
        <f aca="false">IF(VALUE(MID(C22,3,2))*10+VALUE(MID(D22,2,1))&lt;=242,"Pre",IF(VALUE(MID(C22,3,2))*10+VALUE(MID(D22,2,1))&lt;=254,"Post","Later"))</f>
        <v>Post</v>
      </c>
      <c r="G22" s="40" t="s">
        <v>343</v>
      </c>
      <c r="H22" s="40" t="s">
        <v>702</v>
      </c>
      <c r="I22" s="40" t="s">
        <v>685</v>
      </c>
    </row>
    <row r="23" customFormat="false" ht="15" hidden="false" customHeight="false" outlineLevel="0" collapsed="false">
      <c r="A23" s="40" t="s">
        <v>342</v>
      </c>
      <c r="B23" s="40" t="s">
        <v>228</v>
      </c>
      <c r="C23" s="40" t="s">
        <v>440</v>
      </c>
      <c r="D23" s="40" t="s">
        <v>423</v>
      </c>
      <c r="E23" s="41" t="n">
        <v>29</v>
      </c>
      <c r="F23" s="42" t="str">
        <f aca="false">IF(VALUE(MID(C23,3,2))*10+VALUE(MID(D23,2,1))&lt;=242,"Pre",IF(VALUE(MID(C23,3,2))*10+VALUE(MID(D23,2,1))&lt;=254,"Post","Later"))</f>
        <v>Post</v>
      </c>
      <c r="G23" s="40" t="s">
        <v>343</v>
      </c>
      <c r="H23" s="40" t="s">
        <v>703</v>
      </c>
      <c r="I23" s="40" t="s">
        <v>685</v>
      </c>
    </row>
    <row r="24" customFormat="false" ht="15" hidden="false" customHeight="false" outlineLevel="0" collapsed="false">
      <c r="A24" s="40" t="s">
        <v>342</v>
      </c>
      <c r="B24" s="40" t="s">
        <v>228</v>
      </c>
      <c r="C24" s="40" t="s">
        <v>440</v>
      </c>
      <c r="D24" s="40" t="s">
        <v>425</v>
      </c>
      <c r="E24" s="41" t="n">
        <v>28</v>
      </c>
      <c r="F24" s="42" t="str">
        <f aca="false">IF(VALUE(MID(C24,3,2))*10+VALUE(MID(D24,2,1))&lt;=242,"Pre",IF(VALUE(MID(C24,3,2))*10+VALUE(MID(D24,2,1))&lt;=254,"Post","Later"))</f>
        <v>Post</v>
      </c>
      <c r="G24" s="40" t="s">
        <v>343</v>
      </c>
      <c r="H24" s="40" t="s">
        <v>704</v>
      </c>
      <c r="I24" s="40" t="s">
        <v>685</v>
      </c>
    </row>
    <row r="25" customFormat="false" ht="15" hidden="false" customHeight="false" outlineLevel="0" collapsed="false">
      <c r="A25" s="40" t="s">
        <v>342</v>
      </c>
      <c r="B25" s="40" t="s">
        <v>228</v>
      </c>
      <c r="C25" s="40" t="s">
        <v>444</v>
      </c>
      <c r="D25" s="40" t="s">
        <v>418</v>
      </c>
      <c r="E25" s="41" t="n">
        <v>26</v>
      </c>
      <c r="F25" s="42" t="str">
        <f aca="false">IF(VALUE(MID(C25,3,2))*10+VALUE(MID(D25,2,1))&lt;=242,"Pre",IF(VALUE(MID(C25,3,2))*10+VALUE(MID(D25,2,1))&lt;=254,"Post","Later"))</f>
        <v>Later</v>
      </c>
      <c r="G25" s="40" t="s">
        <v>343</v>
      </c>
      <c r="H25" s="40" t="s">
        <v>705</v>
      </c>
      <c r="I25" s="40" t="s">
        <v>685</v>
      </c>
    </row>
    <row r="26" customFormat="false" ht="15" hidden="false" customHeight="false" outlineLevel="0" collapsed="false">
      <c r="A26" s="40" t="s">
        <v>342</v>
      </c>
      <c r="B26" s="40" t="s">
        <v>228</v>
      </c>
      <c r="C26" s="40" t="s">
        <v>444</v>
      </c>
      <c r="D26" s="40" t="s">
        <v>421</v>
      </c>
      <c r="E26" s="41" t="n">
        <v>26</v>
      </c>
      <c r="F26" s="42" t="str">
        <f aca="false">IF(VALUE(MID(C26,3,2))*10+VALUE(MID(D26,2,1))&lt;=242,"Pre",IF(VALUE(MID(C26,3,2))*10+VALUE(MID(D26,2,1))&lt;=254,"Post","Later"))</f>
        <v>Later</v>
      </c>
      <c r="G26" s="40" t="s">
        <v>343</v>
      </c>
      <c r="H26" s="40" t="s">
        <v>706</v>
      </c>
      <c r="I26" s="40" t="s">
        <v>685</v>
      </c>
    </row>
    <row r="27" customFormat="false" ht="15" hidden="false" customHeight="false" outlineLevel="0" collapsed="false">
      <c r="A27" s="40" t="s">
        <v>342</v>
      </c>
      <c r="B27" s="40" t="s">
        <v>228</v>
      </c>
      <c r="C27" s="40" t="s">
        <v>444</v>
      </c>
      <c r="D27" s="40" t="s">
        <v>423</v>
      </c>
      <c r="E27" s="41" t="n">
        <v>28</v>
      </c>
      <c r="F27" s="42" t="str">
        <f aca="false">IF(VALUE(MID(C27,3,2))*10+VALUE(MID(D27,2,1))&lt;=242,"Pre",IF(VALUE(MID(C27,3,2))*10+VALUE(MID(D27,2,1))&lt;=254,"Post","Later"))</f>
        <v>Later</v>
      </c>
      <c r="G27" s="40" t="s">
        <v>343</v>
      </c>
      <c r="H27" s="40" t="s">
        <v>707</v>
      </c>
      <c r="I27" s="40" t="s">
        <v>685</v>
      </c>
    </row>
    <row r="28" customFormat="false" ht="15" hidden="false" customHeight="false" outlineLevel="0" collapsed="false">
      <c r="A28" s="40" t="s">
        <v>342</v>
      </c>
      <c r="B28" s="40" t="s">
        <v>228</v>
      </c>
      <c r="C28" s="40" t="s">
        <v>444</v>
      </c>
      <c r="D28" s="40" t="s">
        <v>425</v>
      </c>
      <c r="E28" s="41" t="n">
        <v>31</v>
      </c>
      <c r="F28" s="42" t="str">
        <f aca="false">IF(VALUE(MID(C28,3,2))*10+VALUE(MID(D28,2,1))&lt;=242,"Pre",IF(VALUE(MID(C28,3,2))*10+VALUE(MID(D28,2,1))&lt;=254,"Post","Later"))</f>
        <v>Later</v>
      </c>
      <c r="G28" s="40" t="s">
        <v>343</v>
      </c>
      <c r="H28" s="40" t="s">
        <v>708</v>
      </c>
      <c r="I28" s="40" t="s">
        <v>685</v>
      </c>
    </row>
    <row r="29" customFormat="false" ht="15" hidden="false" customHeight="false" outlineLevel="0" collapsed="false">
      <c r="A29" s="40" t="s">
        <v>359</v>
      </c>
      <c r="B29" s="40" t="s">
        <v>249</v>
      </c>
      <c r="C29" s="40" t="s">
        <v>417</v>
      </c>
      <c r="D29" s="40" t="s">
        <v>418</v>
      </c>
      <c r="E29" s="41" t="n">
        <v>74.8</v>
      </c>
      <c r="F29" s="42" t="str">
        <f aca="false">IF(VALUE(MID(C29,3,2))*10+VALUE(MID(D29,2,1))&lt;=242,"Pre",IF(VALUE(MID(C29,3,2))*10+VALUE(MID(D29,2,1))&lt;=254,"Post","Later"))</f>
        <v>Pre</v>
      </c>
      <c r="G29" s="40" t="s">
        <v>343</v>
      </c>
      <c r="H29" s="40" t="s">
        <v>709</v>
      </c>
      <c r="I29" s="40" t="s">
        <v>710</v>
      </c>
    </row>
    <row r="30" customFormat="false" ht="15" hidden="false" customHeight="false" outlineLevel="0" collapsed="false">
      <c r="A30" s="40" t="s">
        <v>359</v>
      </c>
      <c r="B30" s="40" t="s">
        <v>249</v>
      </c>
      <c r="C30" s="40" t="s">
        <v>417</v>
      </c>
      <c r="D30" s="40" t="s">
        <v>421</v>
      </c>
      <c r="E30" s="41" t="n">
        <v>71.7</v>
      </c>
      <c r="F30" s="42" t="str">
        <f aca="false">IF(VALUE(MID(C30,3,2))*10+VALUE(MID(D30,2,1))&lt;=242,"Pre",IF(VALUE(MID(C30,3,2))*10+VALUE(MID(D30,2,1))&lt;=254,"Post","Later"))</f>
        <v>Pre</v>
      </c>
      <c r="G30" s="40" t="s">
        <v>343</v>
      </c>
      <c r="H30" s="40" t="s">
        <v>711</v>
      </c>
      <c r="I30" s="40" t="s">
        <v>710</v>
      </c>
    </row>
    <row r="31" customFormat="false" ht="15" hidden="false" customHeight="false" outlineLevel="0" collapsed="false">
      <c r="A31" s="40" t="s">
        <v>359</v>
      </c>
      <c r="B31" s="40" t="s">
        <v>249</v>
      </c>
      <c r="C31" s="40" t="s">
        <v>417</v>
      </c>
      <c r="D31" s="40" t="s">
        <v>423</v>
      </c>
      <c r="E31" s="41" t="n">
        <v>73.2</v>
      </c>
      <c r="F31" s="42" t="str">
        <f aca="false">IF(VALUE(MID(C31,3,2))*10+VALUE(MID(D31,2,1))&lt;=242,"Pre",IF(VALUE(MID(C31,3,2))*10+VALUE(MID(D31,2,1))&lt;=254,"Post","Later"))</f>
        <v>Pre</v>
      </c>
      <c r="G31" s="40" t="s">
        <v>343</v>
      </c>
      <c r="H31" s="40" t="s">
        <v>712</v>
      </c>
      <c r="I31" s="40" t="s">
        <v>710</v>
      </c>
    </row>
    <row r="32" customFormat="false" ht="15" hidden="false" customHeight="false" outlineLevel="0" collapsed="false">
      <c r="A32" s="40" t="s">
        <v>359</v>
      </c>
      <c r="B32" s="40" t="s">
        <v>249</v>
      </c>
      <c r="C32" s="40" t="s">
        <v>417</v>
      </c>
      <c r="D32" s="40" t="s">
        <v>425</v>
      </c>
      <c r="E32" s="41" t="n">
        <v>68.5</v>
      </c>
      <c r="F32" s="42" t="str">
        <f aca="false">IF(VALUE(MID(C32,3,2))*10+VALUE(MID(D32,2,1))&lt;=242,"Pre",IF(VALUE(MID(C32,3,2))*10+VALUE(MID(D32,2,1))&lt;=254,"Post","Later"))</f>
        <v>Pre</v>
      </c>
      <c r="G32" s="40" t="s">
        <v>343</v>
      </c>
      <c r="H32" s="40" t="s">
        <v>713</v>
      </c>
      <c r="I32" s="40" t="s">
        <v>710</v>
      </c>
    </row>
    <row r="33" customFormat="false" ht="15" hidden="false" customHeight="false" outlineLevel="0" collapsed="false">
      <c r="A33" s="40" t="s">
        <v>359</v>
      </c>
      <c r="B33" s="40" t="s">
        <v>249</v>
      </c>
      <c r="C33" s="40" t="s">
        <v>427</v>
      </c>
      <c r="D33" s="40" t="s">
        <v>418</v>
      </c>
      <c r="E33" s="41" t="n">
        <v>66</v>
      </c>
      <c r="F33" s="42" t="str">
        <f aca="false">IF(VALUE(MID(C33,3,2))*10+VALUE(MID(D33,2,1))&lt;=242,"Pre",IF(VALUE(MID(C33,3,2))*10+VALUE(MID(D33,2,1))&lt;=254,"Post","Later"))</f>
        <v>Pre</v>
      </c>
      <c r="G33" s="40" t="s">
        <v>343</v>
      </c>
      <c r="H33" s="40" t="s">
        <v>714</v>
      </c>
      <c r="I33" s="40" t="s">
        <v>710</v>
      </c>
    </row>
    <row r="34" customFormat="false" ht="15" hidden="false" customHeight="false" outlineLevel="0" collapsed="false">
      <c r="A34" s="40" t="s">
        <v>359</v>
      </c>
      <c r="B34" s="40" t="s">
        <v>249</v>
      </c>
      <c r="C34" s="40" t="s">
        <v>427</v>
      </c>
      <c r="D34" s="40" t="s">
        <v>421</v>
      </c>
      <c r="E34" s="41" t="n">
        <v>69.9</v>
      </c>
      <c r="F34" s="42" t="str">
        <f aca="false">IF(VALUE(MID(C34,3,2))*10+VALUE(MID(D34,2,1))&lt;=242,"Pre",IF(VALUE(MID(C34,3,2))*10+VALUE(MID(D34,2,1))&lt;=254,"Post","Later"))</f>
        <v>Pre</v>
      </c>
      <c r="G34" s="40" t="s">
        <v>343</v>
      </c>
      <c r="H34" s="40" t="s">
        <v>715</v>
      </c>
      <c r="I34" s="40" t="s">
        <v>710</v>
      </c>
    </row>
    <row r="35" customFormat="false" ht="15" hidden="false" customHeight="false" outlineLevel="0" collapsed="false">
      <c r="A35" s="40" t="s">
        <v>359</v>
      </c>
      <c r="B35" s="40" t="s">
        <v>249</v>
      </c>
      <c r="C35" s="40" t="s">
        <v>427</v>
      </c>
      <c r="D35" s="40" t="s">
        <v>423</v>
      </c>
      <c r="E35" s="41" t="n">
        <v>69.9</v>
      </c>
      <c r="F35" s="42" t="str">
        <f aca="false">IF(VALUE(MID(C35,3,2))*10+VALUE(MID(D35,2,1))&lt;=242,"Pre",IF(VALUE(MID(C35,3,2))*10+VALUE(MID(D35,2,1))&lt;=254,"Post","Later"))</f>
        <v>Pre</v>
      </c>
      <c r="G35" s="40" t="s">
        <v>343</v>
      </c>
      <c r="H35" s="40" t="s">
        <v>716</v>
      </c>
      <c r="I35" s="40" t="s">
        <v>710</v>
      </c>
    </row>
    <row r="36" customFormat="false" ht="15" hidden="false" customHeight="false" outlineLevel="0" collapsed="false">
      <c r="A36" s="40" t="s">
        <v>359</v>
      </c>
      <c r="B36" s="40" t="s">
        <v>249</v>
      </c>
      <c r="C36" s="40" t="s">
        <v>427</v>
      </c>
      <c r="D36" s="40" t="s">
        <v>425</v>
      </c>
      <c r="E36" s="41" t="n">
        <v>68.1</v>
      </c>
      <c r="F36" s="42" t="str">
        <f aca="false">IF(VALUE(MID(C36,3,2))*10+VALUE(MID(D36,2,1))&lt;=242,"Pre",IF(VALUE(MID(C36,3,2))*10+VALUE(MID(D36,2,1))&lt;=254,"Post","Later"))</f>
        <v>Pre</v>
      </c>
      <c r="G36" s="40" t="s">
        <v>343</v>
      </c>
      <c r="H36" s="40" t="s">
        <v>717</v>
      </c>
      <c r="I36" s="40" t="s">
        <v>710</v>
      </c>
    </row>
    <row r="37" customFormat="false" ht="15" hidden="false" customHeight="false" outlineLevel="0" collapsed="false">
      <c r="A37" s="40" t="s">
        <v>359</v>
      </c>
      <c r="B37" s="40" t="s">
        <v>249</v>
      </c>
      <c r="C37" s="40" t="s">
        <v>432</v>
      </c>
      <c r="D37" s="40" t="s">
        <v>418</v>
      </c>
      <c r="E37" s="41" t="n">
        <v>71</v>
      </c>
      <c r="F37" s="42" t="str">
        <f aca="false">IF(VALUE(MID(C37,3,2))*10+VALUE(MID(D37,2,1))&lt;=242,"Pre",IF(VALUE(MID(C37,3,2))*10+VALUE(MID(D37,2,1))&lt;=254,"Post","Later"))</f>
        <v>Pre</v>
      </c>
      <c r="G37" s="40" t="s">
        <v>343</v>
      </c>
      <c r="H37" s="40" t="s">
        <v>718</v>
      </c>
      <c r="I37" s="40" t="s">
        <v>710</v>
      </c>
    </row>
    <row r="38" customFormat="false" ht="15" hidden="false" customHeight="false" outlineLevel="0" collapsed="false">
      <c r="A38" s="40" t="s">
        <v>359</v>
      </c>
      <c r="B38" s="40" t="s">
        <v>249</v>
      </c>
      <c r="C38" s="40" t="s">
        <v>432</v>
      </c>
      <c r="D38" s="40" t="s">
        <v>421</v>
      </c>
      <c r="E38" s="41" t="n">
        <v>71.8</v>
      </c>
      <c r="F38" s="42" t="str">
        <f aca="false">IF(VALUE(MID(C38,3,2))*10+VALUE(MID(D38,2,1))&lt;=242,"Pre",IF(VALUE(MID(C38,3,2))*10+VALUE(MID(D38,2,1))&lt;=254,"Post","Later"))</f>
        <v>Pre</v>
      </c>
      <c r="G38" s="40" t="s">
        <v>343</v>
      </c>
      <c r="H38" s="40" t="s">
        <v>719</v>
      </c>
      <c r="I38" s="40" t="s">
        <v>710</v>
      </c>
    </row>
    <row r="39" customFormat="false" ht="15" hidden="false" customHeight="false" outlineLevel="0" collapsed="false">
      <c r="A39" s="40" t="s">
        <v>359</v>
      </c>
      <c r="B39" s="40" t="s">
        <v>249</v>
      </c>
      <c r="C39" s="40" t="s">
        <v>432</v>
      </c>
      <c r="D39" s="40" t="s">
        <v>423</v>
      </c>
      <c r="E39" s="41" t="n">
        <v>72.1</v>
      </c>
      <c r="F39" s="42" t="str">
        <f aca="false">IF(VALUE(MID(C39,3,2))*10+VALUE(MID(D39,2,1))&lt;=242,"Pre",IF(VALUE(MID(C39,3,2))*10+VALUE(MID(D39,2,1))&lt;=254,"Post","Later"))</f>
        <v>Pre</v>
      </c>
      <c r="G39" s="40" t="s">
        <v>343</v>
      </c>
      <c r="H39" s="40" t="s">
        <v>720</v>
      </c>
      <c r="I39" s="40" t="s">
        <v>710</v>
      </c>
    </row>
    <row r="40" customFormat="false" ht="15" hidden="false" customHeight="false" outlineLevel="0" collapsed="false">
      <c r="A40" s="40" t="s">
        <v>359</v>
      </c>
      <c r="B40" s="40" t="s">
        <v>249</v>
      </c>
      <c r="C40" s="40" t="s">
        <v>432</v>
      </c>
      <c r="D40" s="40" t="s">
        <v>425</v>
      </c>
      <c r="E40" s="41" t="n">
        <v>74</v>
      </c>
      <c r="F40" s="42" t="str">
        <f aca="false">IF(VALUE(MID(C40,3,2))*10+VALUE(MID(D40,2,1))&lt;=242,"Pre",IF(VALUE(MID(C40,3,2))*10+VALUE(MID(D40,2,1))&lt;=254,"Post","Later"))</f>
        <v>Pre</v>
      </c>
      <c r="G40" s="40" t="s">
        <v>343</v>
      </c>
      <c r="H40" s="40" t="s">
        <v>721</v>
      </c>
      <c r="I40" s="40" t="s">
        <v>710</v>
      </c>
    </row>
    <row r="41" customFormat="false" ht="15" hidden="false" customHeight="false" outlineLevel="0" collapsed="false">
      <c r="A41" s="40" t="s">
        <v>359</v>
      </c>
      <c r="B41" s="40" t="s">
        <v>249</v>
      </c>
      <c r="C41" s="40" t="s">
        <v>435</v>
      </c>
      <c r="D41" s="40" t="s">
        <v>418</v>
      </c>
      <c r="E41" s="41" t="n">
        <v>73.7</v>
      </c>
      <c r="F41" s="42" t="str">
        <f aca="false">IF(VALUE(MID(C41,3,2))*10+VALUE(MID(D41,2,1))&lt;=242,"Pre",IF(VALUE(MID(C41,3,2))*10+VALUE(MID(D41,2,1))&lt;=254,"Post","Later"))</f>
        <v>Pre</v>
      </c>
      <c r="G41" s="40" t="s">
        <v>343</v>
      </c>
      <c r="H41" s="40" t="s">
        <v>722</v>
      </c>
      <c r="I41" s="40" t="s">
        <v>710</v>
      </c>
    </row>
    <row r="42" customFormat="false" ht="15" hidden="false" customHeight="false" outlineLevel="0" collapsed="false">
      <c r="A42" s="40" t="s">
        <v>359</v>
      </c>
      <c r="B42" s="40" t="s">
        <v>249</v>
      </c>
      <c r="C42" s="40" t="s">
        <v>435</v>
      </c>
      <c r="D42" s="40" t="s">
        <v>421</v>
      </c>
      <c r="E42" s="41" t="n">
        <v>75.5</v>
      </c>
      <c r="F42" s="42" t="str">
        <f aca="false">IF(VALUE(MID(C42,3,2))*10+VALUE(MID(D42,2,1))&lt;=242,"Pre",IF(VALUE(MID(C42,3,2))*10+VALUE(MID(D42,2,1))&lt;=254,"Post","Later"))</f>
        <v>Pre</v>
      </c>
      <c r="G42" s="40" t="s">
        <v>343</v>
      </c>
      <c r="H42" s="40" t="s">
        <v>723</v>
      </c>
      <c r="I42" s="40" t="s">
        <v>710</v>
      </c>
    </row>
    <row r="43" customFormat="false" ht="15" hidden="false" customHeight="false" outlineLevel="0" collapsed="false">
      <c r="A43" s="40" t="s">
        <v>359</v>
      </c>
      <c r="B43" s="40" t="s">
        <v>249</v>
      </c>
      <c r="C43" s="40" t="s">
        <v>435</v>
      </c>
      <c r="D43" s="40" t="s">
        <v>423</v>
      </c>
      <c r="E43" s="41" t="n">
        <v>77.7</v>
      </c>
      <c r="F43" s="42" t="str">
        <f aca="false">IF(VALUE(MID(C43,3,2))*10+VALUE(MID(D43,2,1))&lt;=242,"Pre",IF(VALUE(MID(C43,3,2))*10+VALUE(MID(D43,2,1))&lt;=254,"Post","Later"))</f>
        <v>Post</v>
      </c>
      <c r="G43" s="40" t="s">
        <v>343</v>
      </c>
      <c r="H43" s="40" t="s">
        <v>724</v>
      </c>
      <c r="I43" s="40" t="s">
        <v>710</v>
      </c>
    </row>
    <row r="44" customFormat="false" ht="15" hidden="false" customHeight="false" outlineLevel="0" collapsed="false">
      <c r="A44" s="40" t="s">
        <v>359</v>
      </c>
      <c r="B44" s="40" t="s">
        <v>249</v>
      </c>
      <c r="C44" s="40" t="s">
        <v>435</v>
      </c>
      <c r="D44" s="40" t="s">
        <v>425</v>
      </c>
      <c r="E44" s="41" t="n">
        <v>79.2</v>
      </c>
      <c r="F44" s="42" t="str">
        <f aca="false">IF(VALUE(MID(C44,3,2))*10+VALUE(MID(D44,2,1))&lt;=242,"Pre",IF(VALUE(MID(C44,3,2))*10+VALUE(MID(D44,2,1))&lt;=254,"Post","Later"))</f>
        <v>Post</v>
      </c>
      <c r="G44" s="40" t="s">
        <v>343</v>
      </c>
      <c r="H44" s="40" t="s">
        <v>725</v>
      </c>
      <c r="I44" s="40" t="s">
        <v>710</v>
      </c>
    </row>
    <row r="45" customFormat="false" ht="15" hidden="false" customHeight="false" outlineLevel="0" collapsed="false">
      <c r="A45" s="40" t="s">
        <v>359</v>
      </c>
      <c r="B45" s="40" t="s">
        <v>249</v>
      </c>
      <c r="C45" s="40" t="s">
        <v>440</v>
      </c>
      <c r="D45" s="40" t="s">
        <v>418</v>
      </c>
      <c r="E45" s="41" t="n">
        <v>79.8</v>
      </c>
      <c r="F45" s="42" t="str">
        <f aca="false">IF(VALUE(MID(C45,3,2))*10+VALUE(MID(D45,2,1))&lt;=242,"Pre",IF(VALUE(MID(C45,3,2))*10+VALUE(MID(D45,2,1))&lt;=254,"Post","Later"))</f>
        <v>Post</v>
      </c>
      <c r="G45" s="40" t="s">
        <v>343</v>
      </c>
      <c r="H45" s="40" t="s">
        <v>726</v>
      </c>
      <c r="I45" s="40" t="s">
        <v>710</v>
      </c>
    </row>
    <row r="46" customFormat="false" ht="15" hidden="false" customHeight="false" outlineLevel="0" collapsed="false">
      <c r="A46" s="40" t="s">
        <v>359</v>
      </c>
      <c r="B46" s="40" t="s">
        <v>249</v>
      </c>
      <c r="C46" s="40" t="s">
        <v>440</v>
      </c>
      <c r="D46" s="40" t="s">
        <v>421</v>
      </c>
      <c r="E46" s="41" t="n">
        <v>81.4</v>
      </c>
      <c r="F46" s="42" t="str">
        <f aca="false">IF(VALUE(MID(C46,3,2))*10+VALUE(MID(D46,2,1))&lt;=242,"Pre",IF(VALUE(MID(C46,3,2))*10+VALUE(MID(D46,2,1))&lt;=254,"Post","Later"))</f>
        <v>Post</v>
      </c>
      <c r="G46" s="40" t="s">
        <v>343</v>
      </c>
      <c r="H46" s="40" t="s">
        <v>727</v>
      </c>
      <c r="I46" s="40" t="s">
        <v>710</v>
      </c>
    </row>
    <row r="47" customFormat="false" ht="15" hidden="false" customHeight="false" outlineLevel="0" collapsed="false">
      <c r="A47" s="40" t="s">
        <v>359</v>
      </c>
      <c r="B47" s="40" t="s">
        <v>249</v>
      </c>
      <c r="C47" s="40" t="s">
        <v>440</v>
      </c>
      <c r="D47" s="40" t="s">
        <v>423</v>
      </c>
      <c r="E47" s="41" t="n">
        <v>82.2</v>
      </c>
      <c r="F47" s="42" t="str">
        <f aca="false">IF(VALUE(MID(C47,3,2))*10+VALUE(MID(D47,2,1))&lt;=242,"Pre",IF(VALUE(MID(C47,3,2))*10+VALUE(MID(D47,2,1))&lt;=254,"Post","Later"))</f>
        <v>Post</v>
      </c>
      <c r="G47" s="40" t="s">
        <v>343</v>
      </c>
      <c r="H47" s="40" t="s">
        <v>728</v>
      </c>
      <c r="I47" s="40" t="s">
        <v>710</v>
      </c>
    </row>
    <row r="48" customFormat="false" ht="15" hidden="false" customHeight="false" outlineLevel="0" collapsed="false">
      <c r="A48" s="40" t="s">
        <v>359</v>
      </c>
      <c r="B48" s="40" t="s">
        <v>249</v>
      </c>
      <c r="C48" s="40" t="s">
        <v>440</v>
      </c>
      <c r="D48" s="40" t="s">
        <v>425</v>
      </c>
      <c r="E48" s="41" t="n">
        <v>82.9</v>
      </c>
      <c r="F48" s="42" t="str">
        <f aca="false">IF(VALUE(MID(C48,3,2))*10+VALUE(MID(D48,2,1))&lt;=242,"Pre",IF(VALUE(MID(C48,3,2))*10+VALUE(MID(D48,2,1))&lt;=254,"Post","Later"))</f>
        <v>Post</v>
      </c>
      <c r="G48" s="40" t="s">
        <v>343</v>
      </c>
      <c r="H48" s="40" t="s">
        <v>729</v>
      </c>
      <c r="I48" s="40" t="s">
        <v>710</v>
      </c>
    </row>
    <row r="49" customFormat="false" ht="15" hidden="false" customHeight="false" outlineLevel="0" collapsed="false">
      <c r="A49" s="40" t="s">
        <v>359</v>
      </c>
      <c r="B49" s="40" t="s">
        <v>249</v>
      </c>
      <c r="C49" s="40" t="s">
        <v>444</v>
      </c>
      <c r="D49" s="40" t="s">
        <v>418</v>
      </c>
      <c r="E49" s="41" t="n">
        <v>82.1</v>
      </c>
      <c r="F49" s="42" t="str">
        <f aca="false">IF(VALUE(MID(C49,3,2))*10+VALUE(MID(D49,2,1))&lt;=242,"Pre",IF(VALUE(MID(C49,3,2))*10+VALUE(MID(D49,2,1))&lt;=254,"Post","Later"))</f>
        <v>Later</v>
      </c>
      <c r="G49" s="40" t="s">
        <v>343</v>
      </c>
      <c r="H49" s="40" t="s">
        <v>730</v>
      </c>
      <c r="I49" s="40" t="s">
        <v>710</v>
      </c>
    </row>
    <row r="50" customFormat="false" ht="15" hidden="false" customHeight="false" outlineLevel="0" collapsed="false">
      <c r="A50" s="40" t="s">
        <v>359</v>
      </c>
      <c r="B50" s="40" t="s">
        <v>249</v>
      </c>
      <c r="C50" s="40" t="s">
        <v>444</v>
      </c>
      <c r="D50" s="40" t="s">
        <v>421</v>
      </c>
      <c r="E50" s="41" t="n">
        <v>84.8</v>
      </c>
      <c r="F50" s="42" t="str">
        <f aca="false">IF(VALUE(MID(C50,3,2))*10+VALUE(MID(D50,2,1))&lt;=242,"Pre",IF(VALUE(MID(C50,3,2))*10+VALUE(MID(D50,2,1))&lt;=254,"Post","Later"))</f>
        <v>Later</v>
      </c>
      <c r="G50" s="40" t="s">
        <v>343</v>
      </c>
      <c r="H50" s="40" t="s">
        <v>731</v>
      </c>
      <c r="I50" s="40" t="s">
        <v>710</v>
      </c>
    </row>
    <row r="51" customFormat="false" ht="15" hidden="false" customHeight="false" outlineLevel="0" collapsed="false">
      <c r="A51" s="40" t="s">
        <v>359</v>
      </c>
      <c r="B51" s="40" t="s">
        <v>249</v>
      </c>
      <c r="C51" s="40" t="s">
        <v>444</v>
      </c>
      <c r="D51" s="40" t="s">
        <v>423</v>
      </c>
      <c r="E51" s="41" t="n">
        <v>84.1</v>
      </c>
      <c r="F51" s="42" t="str">
        <f aca="false">IF(VALUE(MID(C51,3,2))*10+VALUE(MID(D51,2,1))&lt;=242,"Pre",IF(VALUE(MID(C51,3,2))*10+VALUE(MID(D51,2,1))&lt;=254,"Post","Later"))</f>
        <v>Later</v>
      </c>
      <c r="G51" s="40" t="s">
        <v>343</v>
      </c>
      <c r="H51" s="40" t="s">
        <v>732</v>
      </c>
      <c r="I51" s="40" t="s">
        <v>710</v>
      </c>
    </row>
    <row r="52" customFormat="false" ht="15" hidden="false" customHeight="false" outlineLevel="0" collapsed="false">
      <c r="A52" s="40" t="s">
        <v>359</v>
      </c>
      <c r="B52" s="40" t="s">
        <v>249</v>
      </c>
      <c r="C52" s="40" t="s">
        <v>444</v>
      </c>
      <c r="D52" s="40" t="s">
        <v>425</v>
      </c>
      <c r="E52" s="41" t="n">
        <v>85.5</v>
      </c>
      <c r="F52" s="42" t="str">
        <f aca="false">IF(VALUE(MID(C52,3,2))*10+VALUE(MID(D52,2,1))&lt;=242,"Pre",IF(VALUE(MID(C52,3,2))*10+VALUE(MID(D52,2,1))&lt;=254,"Post","Later"))</f>
        <v>Later</v>
      </c>
      <c r="G52" s="40" t="s">
        <v>343</v>
      </c>
      <c r="H52" s="40" t="s">
        <v>733</v>
      </c>
      <c r="I52" s="40" t="s">
        <v>710</v>
      </c>
    </row>
    <row r="53" customFormat="false" ht="15" hidden="false" customHeight="false" outlineLevel="0" collapsed="false">
      <c r="A53" s="40" t="s">
        <v>347</v>
      </c>
      <c r="B53" s="40" t="s">
        <v>228</v>
      </c>
      <c r="C53" s="40" t="s">
        <v>417</v>
      </c>
      <c r="D53" s="40" t="s">
        <v>418</v>
      </c>
      <c r="E53" s="41" t="n">
        <v>40.3</v>
      </c>
      <c r="F53" s="42" t="str">
        <f aca="false">IF(VALUE(MID(C53,3,2))*10+VALUE(MID(D53,2,1))&lt;=242,"Pre",IF(VALUE(MID(C53,3,2))*10+VALUE(MID(D53,2,1))&lt;=254,"Post","Later"))</f>
        <v>Pre</v>
      </c>
      <c r="G53" s="40" t="s">
        <v>343</v>
      </c>
      <c r="H53" s="40" t="s">
        <v>734</v>
      </c>
      <c r="I53" s="40" t="s">
        <v>735</v>
      </c>
    </row>
    <row r="54" customFormat="false" ht="15" hidden="false" customHeight="false" outlineLevel="0" collapsed="false">
      <c r="A54" s="40" t="s">
        <v>347</v>
      </c>
      <c r="B54" s="40" t="s">
        <v>228</v>
      </c>
      <c r="C54" s="40" t="s">
        <v>417</v>
      </c>
      <c r="D54" s="40" t="s">
        <v>421</v>
      </c>
      <c r="E54" s="41" t="n">
        <v>42</v>
      </c>
      <c r="F54" s="42" t="str">
        <f aca="false">IF(VALUE(MID(C54,3,2))*10+VALUE(MID(D54,2,1))&lt;=242,"Pre",IF(VALUE(MID(C54,3,2))*10+VALUE(MID(D54,2,1))&lt;=254,"Post","Later"))</f>
        <v>Pre</v>
      </c>
      <c r="G54" s="40" t="s">
        <v>343</v>
      </c>
      <c r="H54" s="40" t="s">
        <v>736</v>
      </c>
      <c r="I54" s="40" t="s">
        <v>735</v>
      </c>
    </row>
    <row r="55" customFormat="false" ht="15" hidden="false" customHeight="false" outlineLevel="0" collapsed="false">
      <c r="A55" s="40" t="s">
        <v>347</v>
      </c>
      <c r="B55" s="40" t="s">
        <v>228</v>
      </c>
      <c r="C55" s="40" t="s">
        <v>417</v>
      </c>
      <c r="D55" s="40" t="s">
        <v>423</v>
      </c>
      <c r="E55" s="41" t="n">
        <v>41.9</v>
      </c>
      <c r="F55" s="42" t="str">
        <f aca="false">IF(VALUE(MID(C55,3,2))*10+VALUE(MID(D55,2,1))&lt;=242,"Pre",IF(VALUE(MID(C55,3,2))*10+VALUE(MID(D55,2,1))&lt;=254,"Post","Later"))</f>
        <v>Pre</v>
      </c>
      <c r="G55" s="40" t="s">
        <v>343</v>
      </c>
      <c r="H55" s="40" t="s">
        <v>737</v>
      </c>
      <c r="I55" s="40" t="s">
        <v>735</v>
      </c>
    </row>
    <row r="56" customFormat="false" ht="15" hidden="false" customHeight="false" outlineLevel="0" collapsed="false">
      <c r="A56" s="40" t="s">
        <v>347</v>
      </c>
      <c r="B56" s="40" t="s">
        <v>228</v>
      </c>
      <c r="C56" s="40" t="s">
        <v>417</v>
      </c>
      <c r="D56" s="40" t="s">
        <v>425</v>
      </c>
      <c r="E56" s="41" t="n">
        <v>43.1</v>
      </c>
      <c r="F56" s="42" t="str">
        <f aca="false">IF(VALUE(MID(C56,3,2))*10+VALUE(MID(D56,2,1))&lt;=242,"Pre",IF(VALUE(MID(C56,3,2))*10+VALUE(MID(D56,2,1))&lt;=254,"Post","Later"))</f>
        <v>Pre</v>
      </c>
      <c r="G56" s="40" t="s">
        <v>343</v>
      </c>
      <c r="H56" s="40" t="s">
        <v>738</v>
      </c>
      <c r="I56" s="40" t="s">
        <v>735</v>
      </c>
    </row>
    <row r="57" customFormat="false" ht="15" hidden="false" customHeight="false" outlineLevel="0" collapsed="false">
      <c r="A57" s="40" t="s">
        <v>347</v>
      </c>
      <c r="B57" s="40" t="s">
        <v>228</v>
      </c>
      <c r="C57" s="40" t="s">
        <v>427</v>
      </c>
      <c r="D57" s="40" t="s">
        <v>418</v>
      </c>
      <c r="E57" s="41" t="n">
        <v>43.6</v>
      </c>
      <c r="F57" s="42" t="str">
        <f aca="false">IF(VALUE(MID(C57,3,2))*10+VALUE(MID(D57,2,1))&lt;=242,"Pre",IF(VALUE(MID(C57,3,2))*10+VALUE(MID(D57,2,1))&lt;=254,"Post","Later"))</f>
        <v>Pre</v>
      </c>
      <c r="G57" s="40" t="s">
        <v>343</v>
      </c>
      <c r="H57" s="40" t="s">
        <v>739</v>
      </c>
      <c r="I57" s="40" t="s">
        <v>735</v>
      </c>
    </row>
    <row r="58" customFormat="false" ht="15" hidden="false" customHeight="false" outlineLevel="0" collapsed="false">
      <c r="A58" s="40" t="s">
        <v>347</v>
      </c>
      <c r="B58" s="40" t="s">
        <v>228</v>
      </c>
      <c r="C58" s="40" t="s">
        <v>427</v>
      </c>
      <c r="D58" s="40" t="s">
        <v>421</v>
      </c>
      <c r="E58" s="41" t="n">
        <v>46.9</v>
      </c>
      <c r="F58" s="42" t="str">
        <f aca="false">IF(VALUE(MID(C58,3,2))*10+VALUE(MID(D58,2,1))&lt;=242,"Pre",IF(VALUE(MID(C58,3,2))*10+VALUE(MID(D58,2,1))&lt;=254,"Post","Later"))</f>
        <v>Pre</v>
      </c>
      <c r="G58" s="40" t="s">
        <v>343</v>
      </c>
      <c r="H58" s="40" t="s">
        <v>740</v>
      </c>
      <c r="I58" s="40" t="s">
        <v>735</v>
      </c>
    </row>
    <row r="59" customFormat="false" ht="15" hidden="false" customHeight="false" outlineLevel="0" collapsed="false">
      <c r="A59" s="40" t="s">
        <v>347</v>
      </c>
      <c r="B59" s="40" t="s">
        <v>228</v>
      </c>
      <c r="C59" s="40" t="s">
        <v>427</v>
      </c>
      <c r="D59" s="40" t="s">
        <v>423</v>
      </c>
      <c r="E59" s="41" t="n">
        <v>52.2</v>
      </c>
      <c r="F59" s="42" t="str">
        <f aca="false">IF(VALUE(MID(C59,3,2))*10+VALUE(MID(D59,2,1))&lt;=242,"Pre",IF(VALUE(MID(C59,3,2))*10+VALUE(MID(D59,2,1))&lt;=254,"Post","Later"))</f>
        <v>Pre</v>
      </c>
      <c r="G59" s="40" t="s">
        <v>343</v>
      </c>
      <c r="H59" s="40" t="s">
        <v>741</v>
      </c>
      <c r="I59" s="40" t="s">
        <v>735</v>
      </c>
    </row>
    <row r="60" customFormat="false" ht="15" hidden="false" customHeight="false" outlineLevel="0" collapsed="false">
      <c r="A60" s="40" t="s">
        <v>347</v>
      </c>
      <c r="B60" s="40" t="s">
        <v>228</v>
      </c>
      <c r="C60" s="40" t="s">
        <v>427</v>
      </c>
      <c r="D60" s="40" t="s">
        <v>425</v>
      </c>
      <c r="E60" s="41" t="n">
        <v>55.5</v>
      </c>
      <c r="F60" s="42" t="str">
        <f aca="false">IF(VALUE(MID(C60,3,2))*10+VALUE(MID(D60,2,1))&lt;=242,"Pre",IF(VALUE(MID(C60,3,2))*10+VALUE(MID(D60,2,1))&lt;=254,"Post","Later"))</f>
        <v>Pre</v>
      </c>
      <c r="G60" s="40" t="s">
        <v>343</v>
      </c>
      <c r="H60" s="40" t="s">
        <v>742</v>
      </c>
      <c r="I60" s="40" t="s">
        <v>735</v>
      </c>
    </row>
    <row r="61" customFormat="false" ht="15" hidden="false" customHeight="false" outlineLevel="0" collapsed="false">
      <c r="A61" s="40" t="s">
        <v>347</v>
      </c>
      <c r="B61" s="40" t="s">
        <v>228</v>
      </c>
      <c r="C61" s="40" t="s">
        <v>432</v>
      </c>
      <c r="D61" s="40" t="s">
        <v>418</v>
      </c>
      <c r="E61" s="41" t="n">
        <v>51.4</v>
      </c>
      <c r="F61" s="42" t="str">
        <f aca="false">IF(VALUE(MID(C61,3,2))*10+VALUE(MID(D61,2,1))&lt;=242,"Pre",IF(VALUE(MID(C61,3,2))*10+VALUE(MID(D61,2,1))&lt;=254,"Post","Later"))</f>
        <v>Pre</v>
      </c>
      <c r="G61" s="40" t="s">
        <v>343</v>
      </c>
      <c r="H61" s="40" t="s">
        <v>743</v>
      </c>
      <c r="I61" s="40" t="s">
        <v>735</v>
      </c>
    </row>
    <row r="62" customFormat="false" ht="15" hidden="false" customHeight="false" outlineLevel="0" collapsed="false">
      <c r="A62" s="40" t="s">
        <v>347</v>
      </c>
      <c r="B62" s="40" t="s">
        <v>228</v>
      </c>
      <c r="C62" s="40" t="s">
        <v>432</v>
      </c>
      <c r="D62" s="40" t="s">
        <v>421</v>
      </c>
      <c r="E62" s="41" t="n">
        <v>55.9</v>
      </c>
      <c r="F62" s="42" t="str">
        <f aca="false">IF(VALUE(MID(C62,3,2))*10+VALUE(MID(D62,2,1))&lt;=242,"Pre",IF(VALUE(MID(C62,3,2))*10+VALUE(MID(D62,2,1))&lt;=254,"Post","Later"))</f>
        <v>Pre</v>
      </c>
      <c r="G62" s="40" t="s">
        <v>343</v>
      </c>
      <c r="H62" s="40" t="s">
        <v>744</v>
      </c>
      <c r="I62" s="40" t="s">
        <v>735</v>
      </c>
    </row>
    <row r="63" customFormat="false" ht="15" hidden="false" customHeight="false" outlineLevel="0" collapsed="false">
      <c r="A63" s="40" t="s">
        <v>347</v>
      </c>
      <c r="B63" s="40" t="s">
        <v>228</v>
      </c>
      <c r="C63" s="40" t="s">
        <v>432</v>
      </c>
      <c r="D63" s="40" t="s">
        <v>423</v>
      </c>
      <c r="E63" s="41" t="n">
        <v>62.3</v>
      </c>
      <c r="F63" s="42" t="str">
        <f aca="false">IF(VALUE(MID(C63,3,2))*10+VALUE(MID(D63,2,1))&lt;=242,"Pre",IF(VALUE(MID(C63,3,2))*10+VALUE(MID(D63,2,1))&lt;=254,"Post","Later"))</f>
        <v>Pre</v>
      </c>
      <c r="G63" s="40" t="s">
        <v>343</v>
      </c>
      <c r="H63" s="40" t="s">
        <v>745</v>
      </c>
      <c r="I63" s="40" t="s">
        <v>735</v>
      </c>
    </row>
    <row r="64" customFormat="false" ht="15" hidden="false" customHeight="false" outlineLevel="0" collapsed="false">
      <c r="A64" s="40" t="s">
        <v>347</v>
      </c>
      <c r="B64" s="40" t="s">
        <v>228</v>
      </c>
      <c r="C64" s="40" t="s">
        <v>432</v>
      </c>
      <c r="D64" s="40" t="s">
        <v>425</v>
      </c>
      <c r="E64" s="41" t="n">
        <v>59.5</v>
      </c>
      <c r="F64" s="42" t="str">
        <f aca="false">IF(VALUE(MID(C64,3,2))*10+VALUE(MID(D64,2,1))&lt;=242,"Pre",IF(VALUE(MID(C64,3,2))*10+VALUE(MID(D64,2,1))&lt;=254,"Post","Later"))</f>
        <v>Pre</v>
      </c>
      <c r="G64" s="40" t="s">
        <v>343</v>
      </c>
      <c r="H64" s="40" t="s">
        <v>746</v>
      </c>
      <c r="I64" s="40" t="s">
        <v>735</v>
      </c>
    </row>
    <row r="65" customFormat="false" ht="15" hidden="false" customHeight="false" outlineLevel="0" collapsed="false">
      <c r="A65" s="40" t="s">
        <v>347</v>
      </c>
      <c r="B65" s="40" t="s">
        <v>228</v>
      </c>
      <c r="C65" s="40" t="s">
        <v>435</v>
      </c>
      <c r="D65" s="40" t="s">
        <v>418</v>
      </c>
      <c r="E65" s="41" t="n">
        <v>59.8</v>
      </c>
      <c r="F65" s="42" t="str">
        <f aca="false">IF(VALUE(MID(C65,3,2))*10+VALUE(MID(D65,2,1))&lt;=242,"Pre",IF(VALUE(MID(C65,3,2))*10+VALUE(MID(D65,2,1))&lt;=254,"Post","Later"))</f>
        <v>Pre</v>
      </c>
      <c r="G65" s="40" t="s">
        <v>343</v>
      </c>
      <c r="H65" s="40" t="s">
        <v>747</v>
      </c>
      <c r="I65" s="40" t="s">
        <v>735</v>
      </c>
    </row>
    <row r="66" customFormat="false" ht="15" hidden="false" customHeight="false" outlineLevel="0" collapsed="false">
      <c r="A66" s="40" t="s">
        <v>347</v>
      </c>
      <c r="B66" s="40" t="s">
        <v>228</v>
      </c>
      <c r="C66" s="40" t="s">
        <v>435</v>
      </c>
      <c r="D66" s="40" t="s">
        <v>421</v>
      </c>
      <c r="E66" s="41" t="n">
        <v>65.4</v>
      </c>
      <c r="F66" s="42" t="str">
        <f aca="false">IF(VALUE(MID(C66,3,2))*10+VALUE(MID(D66,2,1))&lt;=242,"Pre",IF(VALUE(MID(C66,3,2))*10+VALUE(MID(D66,2,1))&lt;=254,"Post","Later"))</f>
        <v>Pre</v>
      </c>
      <c r="G66" s="40" t="s">
        <v>343</v>
      </c>
      <c r="H66" s="40" t="s">
        <v>748</v>
      </c>
      <c r="I66" s="40" t="s">
        <v>735</v>
      </c>
    </row>
    <row r="67" customFormat="false" ht="15" hidden="false" customHeight="false" outlineLevel="0" collapsed="false">
      <c r="A67" s="40" t="s">
        <v>347</v>
      </c>
      <c r="B67" s="40" t="s">
        <v>228</v>
      </c>
      <c r="C67" s="40" t="s">
        <v>435</v>
      </c>
      <c r="D67" s="40" t="s">
        <v>423</v>
      </c>
      <c r="E67" s="41" t="n">
        <v>61.6</v>
      </c>
      <c r="F67" s="42" t="str">
        <f aca="false">IF(VALUE(MID(C67,3,2))*10+VALUE(MID(D67,2,1))&lt;=242,"Pre",IF(VALUE(MID(C67,3,2))*10+VALUE(MID(D67,2,1))&lt;=254,"Post","Later"))</f>
        <v>Post</v>
      </c>
      <c r="G67" s="40" t="s">
        <v>343</v>
      </c>
      <c r="H67" s="40" t="s">
        <v>749</v>
      </c>
      <c r="I67" s="40" t="s">
        <v>735</v>
      </c>
    </row>
    <row r="68" customFormat="false" ht="15" hidden="false" customHeight="false" outlineLevel="0" collapsed="false">
      <c r="A68" s="40" t="s">
        <v>347</v>
      </c>
      <c r="B68" s="40" t="s">
        <v>228</v>
      </c>
      <c r="C68" s="40" t="s">
        <v>435</v>
      </c>
      <c r="D68" s="40" t="s">
        <v>425</v>
      </c>
      <c r="E68" s="41" t="n">
        <v>63</v>
      </c>
      <c r="F68" s="42" t="str">
        <f aca="false">IF(VALUE(MID(C68,3,2))*10+VALUE(MID(D68,2,1))&lt;=242,"Pre",IF(VALUE(MID(C68,3,2))*10+VALUE(MID(D68,2,1))&lt;=254,"Post","Later"))</f>
        <v>Post</v>
      </c>
      <c r="G68" s="40" t="s">
        <v>343</v>
      </c>
      <c r="H68" s="40" t="s">
        <v>750</v>
      </c>
      <c r="I68" s="40" t="s">
        <v>735</v>
      </c>
    </row>
    <row r="69" customFormat="false" ht="15" hidden="false" customHeight="false" outlineLevel="0" collapsed="false">
      <c r="A69" s="40" t="s">
        <v>347</v>
      </c>
      <c r="B69" s="40" t="s">
        <v>228</v>
      </c>
      <c r="C69" s="40" t="s">
        <v>440</v>
      </c>
      <c r="D69" s="40" t="s">
        <v>418</v>
      </c>
      <c r="E69" s="41" t="n">
        <v>55</v>
      </c>
      <c r="F69" s="42" t="str">
        <f aca="false">IF(VALUE(MID(C69,3,2))*10+VALUE(MID(D69,2,1))&lt;=242,"Pre",IF(VALUE(MID(C69,3,2))*10+VALUE(MID(D69,2,1))&lt;=254,"Post","Later"))</f>
        <v>Post</v>
      </c>
      <c r="G69" s="40" t="s">
        <v>343</v>
      </c>
      <c r="H69" s="40" t="s">
        <v>751</v>
      </c>
      <c r="I69" s="40" t="s">
        <v>735</v>
      </c>
    </row>
    <row r="70" customFormat="false" ht="15" hidden="false" customHeight="false" outlineLevel="0" collapsed="false">
      <c r="A70" s="40" t="s">
        <v>347</v>
      </c>
      <c r="B70" s="40" t="s">
        <v>228</v>
      </c>
      <c r="C70" s="40" t="s">
        <v>440</v>
      </c>
      <c r="D70" s="40" t="s">
        <v>421</v>
      </c>
      <c r="E70" s="41" t="n">
        <v>57.2</v>
      </c>
      <c r="F70" s="42" t="str">
        <f aca="false">IF(VALUE(MID(C70,3,2))*10+VALUE(MID(D70,2,1))&lt;=242,"Pre",IF(VALUE(MID(C70,3,2))*10+VALUE(MID(D70,2,1))&lt;=254,"Post","Later"))</f>
        <v>Post</v>
      </c>
      <c r="G70" s="40" t="s">
        <v>343</v>
      </c>
      <c r="H70" s="40" t="s">
        <v>752</v>
      </c>
      <c r="I70" s="40" t="s">
        <v>735</v>
      </c>
    </row>
    <row r="71" customFormat="false" ht="15" hidden="false" customHeight="false" outlineLevel="0" collapsed="false">
      <c r="A71" s="40" t="s">
        <v>347</v>
      </c>
      <c r="B71" s="40" t="s">
        <v>228</v>
      </c>
      <c r="C71" s="40" t="s">
        <v>440</v>
      </c>
      <c r="D71" s="40" t="s">
        <v>423</v>
      </c>
      <c r="E71" s="41" t="n">
        <v>55.7</v>
      </c>
      <c r="F71" s="42" t="str">
        <f aca="false">IF(VALUE(MID(C71,3,2))*10+VALUE(MID(D71,2,1))&lt;=242,"Pre",IF(VALUE(MID(C71,3,2))*10+VALUE(MID(D71,2,1))&lt;=254,"Post","Later"))</f>
        <v>Post</v>
      </c>
      <c r="G71" s="40" t="s">
        <v>343</v>
      </c>
      <c r="H71" s="40" t="s">
        <v>753</v>
      </c>
      <c r="I71" s="40" t="s">
        <v>735</v>
      </c>
    </row>
    <row r="72" customFormat="false" ht="15" hidden="false" customHeight="false" outlineLevel="0" collapsed="false">
      <c r="A72" s="40" t="s">
        <v>347</v>
      </c>
      <c r="B72" s="40" t="s">
        <v>228</v>
      </c>
      <c r="C72" s="40" t="s">
        <v>440</v>
      </c>
      <c r="D72" s="40" t="s">
        <v>425</v>
      </c>
      <c r="E72" s="41" t="n">
        <v>53</v>
      </c>
      <c r="F72" s="42" t="str">
        <f aca="false">IF(VALUE(MID(C72,3,2))*10+VALUE(MID(D72,2,1))&lt;=242,"Pre",IF(VALUE(MID(C72,3,2))*10+VALUE(MID(D72,2,1))&lt;=254,"Post","Later"))</f>
        <v>Post</v>
      </c>
      <c r="G72" s="40" t="s">
        <v>343</v>
      </c>
      <c r="H72" s="40" t="s">
        <v>754</v>
      </c>
      <c r="I72" s="40" t="s">
        <v>735</v>
      </c>
    </row>
    <row r="73" customFormat="false" ht="15" hidden="false" customHeight="false" outlineLevel="0" collapsed="false">
      <c r="A73" s="40" t="s">
        <v>347</v>
      </c>
      <c r="B73" s="40" t="s">
        <v>228</v>
      </c>
      <c r="C73" s="40" t="s">
        <v>444</v>
      </c>
      <c r="D73" s="40" t="s">
        <v>418</v>
      </c>
      <c r="E73" s="41" t="n">
        <v>50.5</v>
      </c>
      <c r="F73" s="42" t="str">
        <f aca="false">IF(VALUE(MID(C73,3,2))*10+VALUE(MID(D73,2,1))&lt;=242,"Pre",IF(VALUE(MID(C73,3,2))*10+VALUE(MID(D73,2,1))&lt;=254,"Post","Later"))</f>
        <v>Later</v>
      </c>
      <c r="G73" s="40" t="s">
        <v>343</v>
      </c>
      <c r="H73" s="40" t="s">
        <v>755</v>
      </c>
      <c r="I73" s="40" t="s">
        <v>735</v>
      </c>
    </row>
    <row r="74" customFormat="false" ht="15" hidden="false" customHeight="false" outlineLevel="0" collapsed="false">
      <c r="A74" s="40" t="s">
        <v>347</v>
      </c>
      <c r="B74" s="40" t="s">
        <v>228</v>
      </c>
      <c r="C74" s="40" t="s">
        <v>444</v>
      </c>
      <c r="D74" s="40" t="s">
        <v>421</v>
      </c>
      <c r="E74" s="41" t="n">
        <v>49.7</v>
      </c>
      <c r="F74" s="42" t="str">
        <f aca="false">IF(VALUE(MID(C74,3,2))*10+VALUE(MID(D74,2,1))&lt;=242,"Pre",IF(VALUE(MID(C74,3,2))*10+VALUE(MID(D74,2,1))&lt;=254,"Post","Later"))</f>
        <v>Later</v>
      </c>
      <c r="G74" s="40" t="s">
        <v>343</v>
      </c>
      <c r="H74" s="40" t="s">
        <v>756</v>
      </c>
      <c r="I74" s="40" t="s">
        <v>735</v>
      </c>
    </row>
    <row r="75" customFormat="false" ht="15" hidden="false" customHeight="false" outlineLevel="0" collapsed="false">
      <c r="A75" s="40" t="s">
        <v>347</v>
      </c>
      <c r="B75" s="40" t="s">
        <v>228</v>
      </c>
      <c r="C75" s="40" t="s">
        <v>444</v>
      </c>
      <c r="D75" s="40" t="s">
        <v>423</v>
      </c>
      <c r="E75" s="41" t="n">
        <v>48.9</v>
      </c>
      <c r="F75" s="42" t="str">
        <f aca="false">IF(VALUE(MID(C75,3,2))*10+VALUE(MID(D75,2,1))&lt;=242,"Pre",IF(VALUE(MID(C75,3,2))*10+VALUE(MID(D75,2,1))&lt;=254,"Post","Later"))</f>
        <v>Later</v>
      </c>
      <c r="G75" s="40" t="s">
        <v>343</v>
      </c>
      <c r="H75" s="40" t="s">
        <v>757</v>
      </c>
      <c r="I75" s="40" t="s">
        <v>735</v>
      </c>
    </row>
    <row r="76" customFormat="false" ht="15" hidden="false" customHeight="false" outlineLevel="0" collapsed="false">
      <c r="A76" s="40" t="s">
        <v>350</v>
      </c>
      <c r="B76" s="40" t="s">
        <v>228</v>
      </c>
      <c r="C76" s="40" t="s">
        <v>432</v>
      </c>
      <c r="D76" s="40" t="s">
        <v>418</v>
      </c>
      <c r="E76" s="41" t="n">
        <v>25.94</v>
      </c>
      <c r="F76" s="42" t="str">
        <f aca="false">IF(VALUE(MID(C76,3,2))*10+VALUE(MID(D76,2,1))&lt;=242,"Pre",IF(VALUE(MID(C76,3,2))*10+VALUE(MID(D76,2,1))&lt;=254,"Post","Later"))</f>
        <v>Pre</v>
      </c>
      <c r="G76" s="40" t="s">
        <v>343</v>
      </c>
      <c r="H76" s="40" t="s">
        <v>758</v>
      </c>
      <c r="I76" s="40" t="s">
        <v>759</v>
      </c>
    </row>
    <row r="77" customFormat="false" ht="15" hidden="false" customHeight="false" outlineLevel="0" collapsed="false">
      <c r="A77" s="40" t="s">
        <v>350</v>
      </c>
      <c r="B77" s="40" t="s">
        <v>228</v>
      </c>
      <c r="C77" s="40" t="s">
        <v>432</v>
      </c>
      <c r="D77" s="40" t="s">
        <v>421</v>
      </c>
      <c r="E77" s="41" t="n">
        <v>26.29</v>
      </c>
      <c r="F77" s="42" t="str">
        <f aca="false">IF(VALUE(MID(C77,3,2))*10+VALUE(MID(D77,2,1))&lt;=242,"Pre",IF(VALUE(MID(C77,3,2))*10+VALUE(MID(D77,2,1))&lt;=254,"Post","Later"))</f>
        <v>Pre</v>
      </c>
      <c r="G77" s="40" t="s">
        <v>343</v>
      </c>
      <c r="H77" s="40" t="s">
        <v>758</v>
      </c>
      <c r="I77" s="40" t="s">
        <v>759</v>
      </c>
    </row>
    <row r="78" customFormat="false" ht="15" hidden="false" customHeight="false" outlineLevel="0" collapsed="false">
      <c r="A78" s="40" t="s">
        <v>350</v>
      </c>
      <c r="B78" s="40" t="s">
        <v>228</v>
      </c>
      <c r="C78" s="40" t="s">
        <v>432</v>
      </c>
      <c r="D78" s="40" t="s">
        <v>423</v>
      </c>
      <c r="E78" s="41" t="n">
        <v>26.78</v>
      </c>
      <c r="F78" s="42" t="str">
        <f aca="false">IF(VALUE(MID(C78,3,2))*10+VALUE(MID(D78,2,1))&lt;=242,"Pre",IF(VALUE(MID(C78,3,2))*10+VALUE(MID(D78,2,1))&lt;=254,"Post","Later"))</f>
        <v>Pre</v>
      </c>
      <c r="G78" s="40" t="s">
        <v>343</v>
      </c>
      <c r="H78" s="40" t="s">
        <v>758</v>
      </c>
      <c r="I78" s="40" t="s">
        <v>759</v>
      </c>
    </row>
    <row r="79" customFormat="false" ht="15" hidden="false" customHeight="false" outlineLevel="0" collapsed="false">
      <c r="A79" s="40" t="s">
        <v>350</v>
      </c>
      <c r="B79" s="40" t="s">
        <v>228</v>
      </c>
      <c r="C79" s="40" t="s">
        <v>432</v>
      </c>
      <c r="D79" s="40" t="s">
        <v>425</v>
      </c>
      <c r="E79" s="41" t="n">
        <v>26.09</v>
      </c>
      <c r="F79" s="42" t="str">
        <f aca="false">IF(VALUE(MID(C79,3,2))*10+VALUE(MID(D79,2,1))&lt;=242,"Pre",IF(VALUE(MID(C79,3,2))*10+VALUE(MID(D79,2,1))&lt;=254,"Post","Later"))</f>
        <v>Pre</v>
      </c>
      <c r="G79" s="40" t="s">
        <v>343</v>
      </c>
      <c r="H79" s="40" t="s">
        <v>758</v>
      </c>
      <c r="I79" s="40" t="s">
        <v>759</v>
      </c>
    </row>
    <row r="80" customFormat="false" ht="15" hidden="false" customHeight="false" outlineLevel="0" collapsed="false">
      <c r="A80" s="40" t="s">
        <v>350</v>
      </c>
      <c r="B80" s="40" t="s">
        <v>228</v>
      </c>
      <c r="C80" s="40" t="s">
        <v>435</v>
      </c>
      <c r="D80" s="40" t="s">
        <v>418</v>
      </c>
      <c r="E80" s="41" t="n">
        <v>24.31</v>
      </c>
      <c r="F80" s="42" t="str">
        <f aca="false">IF(VALUE(MID(C80,3,2))*10+VALUE(MID(D80,2,1))&lt;=242,"Pre",IF(VALUE(MID(C80,3,2))*10+VALUE(MID(D80,2,1))&lt;=254,"Post","Later"))</f>
        <v>Pre</v>
      </c>
      <c r="G80" s="40" t="s">
        <v>343</v>
      </c>
      <c r="H80" s="40" t="s">
        <v>758</v>
      </c>
      <c r="I80" s="40" t="s">
        <v>759</v>
      </c>
    </row>
    <row r="81" customFormat="false" ht="15" hidden="false" customHeight="false" outlineLevel="0" collapsed="false">
      <c r="A81" s="40" t="s">
        <v>350</v>
      </c>
      <c r="B81" s="40" t="s">
        <v>228</v>
      </c>
      <c r="C81" s="40" t="s">
        <v>435</v>
      </c>
      <c r="D81" s="40" t="s">
        <v>421</v>
      </c>
      <c r="E81" s="41" t="n">
        <v>25.58</v>
      </c>
      <c r="F81" s="42" t="str">
        <f aca="false">IF(VALUE(MID(C81,3,2))*10+VALUE(MID(D81,2,1))&lt;=242,"Pre",IF(VALUE(MID(C81,3,2))*10+VALUE(MID(D81,2,1))&lt;=254,"Post","Later"))</f>
        <v>Pre</v>
      </c>
      <c r="G81" s="40" t="s">
        <v>343</v>
      </c>
      <c r="H81" s="40" t="s">
        <v>758</v>
      </c>
      <c r="I81" s="40" t="s">
        <v>759</v>
      </c>
    </row>
    <row r="82" customFormat="false" ht="15" hidden="false" customHeight="false" outlineLevel="0" collapsed="false">
      <c r="A82" s="40" t="s">
        <v>350</v>
      </c>
      <c r="B82" s="40" t="s">
        <v>228</v>
      </c>
      <c r="C82" s="40" t="s">
        <v>435</v>
      </c>
      <c r="D82" s="40" t="s">
        <v>423</v>
      </c>
      <c r="E82" s="41" t="n">
        <v>25.97</v>
      </c>
      <c r="F82" s="42" t="str">
        <f aca="false">IF(VALUE(MID(C82,3,2))*10+VALUE(MID(D82,2,1))&lt;=242,"Pre",IF(VALUE(MID(C82,3,2))*10+VALUE(MID(D82,2,1))&lt;=254,"Post","Later"))</f>
        <v>Post</v>
      </c>
      <c r="G82" s="40" t="s">
        <v>343</v>
      </c>
      <c r="H82" s="40" t="s">
        <v>758</v>
      </c>
      <c r="I82" s="40" t="s">
        <v>759</v>
      </c>
    </row>
    <row r="83" customFormat="false" ht="15" hidden="false" customHeight="false" outlineLevel="0" collapsed="false">
      <c r="A83" s="40" t="s">
        <v>350</v>
      </c>
      <c r="B83" s="40" t="s">
        <v>228</v>
      </c>
      <c r="C83" s="40" t="s">
        <v>435</v>
      </c>
      <c r="D83" s="40" t="s">
        <v>425</v>
      </c>
      <c r="E83" s="41" t="n">
        <v>24.56</v>
      </c>
      <c r="F83" s="42" t="str">
        <f aca="false">IF(VALUE(MID(C83,3,2))*10+VALUE(MID(D83,2,1))&lt;=242,"Pre",IF(VALUE(MID(C83,3,2))*10+VALUE(MID(D83,2,1))&lt;=254,"Post","Later"))</f>
        <v>Post</v>
      </c>
      <c r="G83" s="40" t="s">
        <v>343</v>
      </c>
      <c r="H83" s="40" t="s">
        <v>758</v>
      </c>
      <c r="I83" s="40" t="s">
        <v>759</v>
      </c>
    </row>
    <row r="84" customFormat="false" ht="15" hidden="false" customHeight="false" outlineLevel="0" collapsed="false">
      <c r="A84" s="40" t="s">
        <v>350</v>
      </c>
      <c r="B84" s="40" t="s">
        <v>228</v>
      </c>
      <c r="C84" s="40" t="s">
        <v>440</v>
      </c>
      <c r="D84" s="40" t="s">
        <v>418</v>
      </c>
      <c r="E84" s="41" t="n">
        <v>24.77</v>
      </c>
      <c r="F84" s="42" t="str">
        <f aca="false">IF(VALUE(MID(C84,3,2))*10+VALUE(MID(D84,2,1))&lt;=242,"Pre",IF(VALUE(MID(C84,3,2))*10+VALUE(MID(D84,2,1))&lt;=254,"Post","Later"))</f>
        <v>Post</v>
      </c>
      <c r="G84" s="40" t="s">
        <v>343</v>
      </c>
      <c r="H84" s="40" t="s">
        <v>758</v>
      </c>
      <c r="I84" s="40" t="s">
        <v>759</v>
      </c>
    </row>
    <row r="85" customFormat="false" ht="15" hidden="false" customHeight="false" outlineLevel="0" collapsed="false">
      <c r="A85" s="40" t="s">
        <v>350</v>
      </c>
      <c r="B85" s="40" t="s">
        <v>228</v>
      </c>
      <c r="C85" s="40" t="s">
        <v>440</v>
      </c>
      <c r="D85" s="40" t="s">
        <v>421</v>
      </c>
      <c r="E85" s="41" t="n">
        <v>22.4</v>
      </c>
      <c r="F85" s="42" t="str">
        <f aca="false">IF(VALUE(MID(C85,3,2))*10+VALUE(MID(D85,2,1))&lt;=242,"Pre",IF(VALUE(MID(C85,3,2))*10+VALUE(MID(D85,2,1))&lt;=254,"Post","Later"))</f>
        <v>Post</v>
      </c>
      <c r="G85" s="40" t="s">
        <v>343</v>
      </c>
      <c r="H85" s="40" t="s">
        <v>758</v>
      </c>
      <c r="I85" s="40" t="s">
        <v>759</v>
      </c>
    </row>
    <row r="86" customFormat="false" ht="15" hidden="false" customHeight="false" outlineLevel="0" collapsed="false">
      <c r="A86" s="40" t="s">
        <v>350</v>
      </c>
      <c r="B86" s="40" t="s">
        <v>228</v>
      </c>
      <c r="C86" s="40" t="s">
        <v>440</v>
      </c>
      <c r="D86" s="40" t="s">
        <v>423</v>
      </c>
      <c r="E86" s="41" t="n">
        <v>21.46</v>
      </c>
      <c r="F86" s="42" t="str">
        <f aca="false">IF(VALUE(MID(C86,3,2))*10+VALUE(MID(D86,2,1))&lt;=242,"Pre",IF(VALUE(MID(C86,3,2))*10+VALUE(MID(D86,2,1))&lt;=254,"Post","Later"))</f>
        <v>Post</v>
      </c>
      <c r="G86" s="40" t="s">
        <v>343</v>
      </c>
      <c r="H86" s="40" t="s">
        <v>758</v>
      </c>
      <c r="I86" s="40" t="s">
        <v>759</v>
      </c>
    </row>
    <row r="87" customFormat="false" ht="15" hidden="false" customHeight="false" outlineLevel="0" collapsed="false">
      <c r="A87" s="40" t="s">
        <v>350</v>
      </c>
      <c r="B87" s="40" t="s">
        <v>228</v>
      </c>
      <c r="C87" s="40" t="s">
        <v>440</v>
      </c>
      <c r="D87" s="40" t="s">
        <v>425</v>
      </c>
      <c r="E87" s="41" t="n">
        <v>21.07</v>
      </c>
      <c r="F87" s="42" t="str">
        <f aca="false">IF(VALUE(MID(C87,3,2))*10+VALUE(MID(D87,2,1))&lt;=242,"Pre",IF(VALUE(MID(C87,3,2))*10+VALUE(MID(D87,2,1))&lt;=254,"Post","Later"))</f>
        <v>Post</v>
      </c>
      <c r="G87" s="40" t="s">
        <v>343</v>
      </c>
      <c r="H87" s="40" t="s">
        <v>758</v>
      </c>
      <c r="I87" s="40" t="s">
        <v>759</v>
      </c>
    </row>
    <row r="88" customFormat="false" ht="15" hidden="false" customHeight="false" outlineLevel="0" collapsed="false">
      <c r="A88" s="40" t="s">
        <v>350</v>
      </c>
      <c r="B88" s="40" t="s">
        <v>228</v>
      </c>
      <c r="C88" s="40" t="s">
        <v>444</v>
      </c>
      <c r="D88" s="40" t="s">
        <v>418</v>
      </c>
      <c r="E88" s="41" t="n">
        <v>20.31</v>
      </c>
      <c r="F88" s="42" t="str">
        <f aca="false">IF(VALUE(MID(C88,3,2))*10+VALUE(MID(D88,2,1))&lt;=242,"Pre",IF(VALUE(MID(C88,3,2))*10+VALUE(MID(D88,2,1))&lt;=254,"Post","Later"))</f>
        <v>Later</v>
      </c>
      <c r="G88" s="40" t="s">
        <v>343</v>
      </c>
      <c r="H88" s="40" t="s">
        <v>758</v>
      </c>
      <c r="I88" s="40" t="s">
        <v>759</v>
      </c>
    </row>
    <row r="89" customFormat="false" ht="15" hidden="false" customHeight="false" outlineLevel="0" collapsed="false">
      <c r="A89" s="40" t="s">
        <v>350</v>
      </c>
      <c r="B89" s="40" t="s">
        <v>228</v>
      </c>
      <c r="C89" s="40" t="s">
        <v>444</v>
      </c>
      <c r="D89" s="40" t="s">
        <v>421</v>
      </c>
      <c r="E89" s="41" t="n">
        <v>17.37</v>
      </c>
      <c r="F89" s="42" t="str">
        <f aca="false">IF(VALUE(MID(C89,3,2))*10+VALUE(MID(D89,2,1))&lt;=242,"Pre",IF(VALUE(MID(C89,3,2))*10+VALUE(MID(D89,2,1))&lt;=254,"Post","Later"))</f>
        <v>Later</v>
      </c>
      <c r="G89" s="40" t="s">
        <v>343</v>
      </c>
      <c r="H89" s="40" t="s">
        <v>758</v>
      </c>
      <c r="I89" s="40" t="s">
        <v>759</v>
      </c>
    </row>
    <row r="90" customFormat="false" ht="15" hidden="false" customHeight="false" outlineLevel="0" collapsed="false">
      <c r="A90" s="40" t="s">
        <v>350</v>
      </c>
      <c r="B90" s="40" t="s">
        <v>228</v>
      </c>
      <c r="C90" s="40" t="s">
        <v>444</v>
      </c>
      <c r="D90" s="40" t="s">
        <v>423</v>
      </c>
      <c r="E90" s="41" t="n">
        <v>20.51</v>
      </c>
      <c r="F90" s="42" t="str">
        <f aca="false">IF(VALUE(MID(C90,3,2))*10+VALUE(MID(D90,2,1))&lt;=242,"Pre",IF(VALUE(MID(C90,3,2))*10+VALUE(MID(D90,2,1))&lt;=254,"Post","Later"))</f>
        <v>Later</v>
      </c>
      <c r="G90" s="40" t="s">
        <v>343</v>
      </c>
      <c r="H90" s="40" t="s">
        <v>758</v>
      </c>
      <c r="I90" s="40" t="s">
        <v>759</v>
      </c>
    </row>
    <row r="91" customFormat="false" ht="15" hidden="false" customHeight="false" outlineLevel="0" collapsed="false">
      <c r="A91" s="40" t="s">
        <v>350</v>
      </c>
      <c r="B91" s="40" t="s">
        <v>228</v>
      </c>
      <c r="C91" s="40" t="s">
        <v>444</v>
      </c>
      <c r="D91" s="40" t="s">
        <v>425</v>
      </c>
      <c r="E91" s="41" t="n">
        <v>20.42</v>
      </c>
      <c r="F91" s="42" t="str">
        <f aca="false">IF(VALUE(MID(C91,3,2))*10+VALUE(MID(D91,2,1))&lt;=242,"Pre",IF(VALUE(MID(C91,3,2))*10+VALUE(MID(D91,2,1))&lt;=254,"Post","Later"))</f>
        <v>Later</v>
      </c>
      <c r="G91" s="40" t="s">
        <v>343</v>
      </c>
      <c r="H91" s="40" t="s">
        <v>758</v>
      </c>
      <c r="I91" s="40" t="s">
        <v>759</v>
      </c>
    </row>
    <row r="92" customFormat="false" ht="15" hidden="false" customHeight="false" outlineLevel="0" collapsed="false">
      <c r="A92" s="40" t="s">
        <v>346</v>
      </c>
      <c r="B92" s="40" t="s">
        <v>228</v>
      </c>
      <c r="C92" s="40" t="s">
        <v>417</v>
      </c>
      <c r="D92" s="40" t="s">
        <v>425</v>
      </c>
      <c r="E92" s="41" t="n">
        <v>50.5</v>
      </c>
      <c r="F92" s="42" t="str">
        <f aca="false">IF(VALUE(MID(C92,3,2))*10+VALUE(MID(D92,2,1))&lt;=242,"Pre",IF(VALUE(MID(C92,3,2))*10+VALUE(MID(D92,2,1))&lt;=254,"Post","Later"))</f>
        <v>Pre</v>
      </c>
      <c r="G92" s="40" t="s">
        <v>343</v>
      </c>
      <c r="H92" s="40" t="s">
        <v>760</v>
      </c>
      <c r="I92" s="40" t="s">
        <v>761</v>
      </c>
    </row>
    <row r="93" customFormat="false" ht="15" hidden="false" customHeight="false" outlineLevel="0" collapsed="false">
      <c r="A93" s="40" t="s">
        <v>346</v>
      </c>
      <c r="B93" s="40" t="s">
        <v>228</v>
      </c>
      <c r="C93" s="40" t="s">
        <v>427</v>
      </c>
      <c r="D93" s="40" t="s">
        <v>418</v>
      </c>
      <c r="E93" s="41" t="n">
        <v>48.1</v>
      </c>
      <c r="F93" s="42" t="str">
        <f aca="false">IF(VALUE(MID(C93,3,2))*10+VALUE(MID(D93,2,1))&lt;=242,"Pre",IF(VALUE(MID(C93,3,2))*10+VALUE(MID(D93,2,1))&lt;=254,"Post","Later"))</f>
        <v>Pre</v>
      </c>
      <c r="G93" s="40" t="s">
        <v>343</v>
      </c>
      <c r="H93" s="40" t="s">
        <v>762</v>
      </c>
      <c r="I93" s="40" t="s">
        <v>761</v>
      </c>
    </row>
    <row r="94" customFormat="false" ht="15" hidden="false" customHeight="false" outlineLevel="0" collapsed="false">
      <c r="A94" s="40" t="s">
        <v>346</v>
      </c>
      <c r="B94" s="40" t="s">
        <v>228</v>
      </c>
      <c r="C94" s="40" t="s">
        <v>427</v>
      </c>
      <c r="D94" s="40" t="s">
        <v>421</v>
      </c>
      <c r="E94" s="41" t="n">
        <v>45.3</v>
      </c>
      <c r="F94" s="42" t="str">
        <f aca="false">IF(VALUE(MID(C94,3,2))*10+VALUE(MID(D94,2,1))&lt;=242,"Pre",IF(VALUE(MID(C94,3,2))*10+VALUE(MID(D94,2,1))&lt;=254,"Post","Later"))</f>
        <v>Pre</v>
      </c>
      <c r="G94" s="40" t="s">
        <v>343</v>
      </c>
      <c r="H94" s="40" t="s">
        <v>763</v>
      </c>
      <c r="I94" s="40" t="s">
        <v>761</v>
      </c>
    </row>
    <row r="95" customFormat="false" ht="15" hidden="false" customHeight="false" outlineLevel="0" collapsed="false">
      <c r="A95" s="40" t="s">
        <v>346</v>
      </c>
      <c r="B95" s="40" t="s">
        <v>228</v>
      </c>
      <c r="C95" s="40" t="s">
        <v>427</v>
      </c>
      <c r="D95" s="40" t="s">
        <v>423</v>
      </c>
      <c r="E95" s="41" t="n">
        <v>46</v>
      </c>
      <c r="F95" s="42" t="str">
        <f aca="false">IF(VALUE(MID(C95,3,2))*10+VALUE(MID(D95,2,1))&lt;=242,"Pre",IF(VALUE(MID(C95,3,2))*10+VALUE(MID(D95,2,1))&lt;=254,"Post","Later"))</f>
        <v>Pre</v>
      </c>
      <c r="G95" s="40" t="s">
        <v>343</v>
      </c>
      <c r="H95" s="40" t="s">
        <v>764</v>
      </c>
      <c r="I95" s="40" t="s">
        <v>761</v>
      </c>
    </row>
    <row r="96" customFormat="false" ht="15" hidden="false" customHeight="false" outlineLevel="0" collapsed="false">
      <c r="A96" s="40" t="s">
        <v>346</v>
      </c>
      <c r="B96" s="40" t="s">
        <v>228</v>
      </c>
      <c r="C96" s="40" t="s">
        <v>427</v>
      </c>
      <c r="D96" s="40" t="s">
        <v>425</v>
      </c>
      <c r="E96" s="41" t="n">
        <v>48.4</v>
      </c>
      <c r="F96" s="42" t="str">
        <f aca="false">IF(VALUE(MID(C96,3,2))*10+VALUE(MID(D96,2,1))&lt;=242,"Pre",IF(VALUE(MID(C96,3,2))*10+VALUE(MID(D96,2,1))&lt;=254,"Post","Later"))</f>
        <v>Pre</v>
      </c>
      <c r="G96" s="40" t="s">
        <v>343</v>
      </c>
      <c r="H96" s="40" t="s">
        <v>765</v>
      </c>
      <c r="I96" s="40" t="s">
        <v>761</v>
      </c>
    </row>
    <row r="97" customFormat="false" ht="15" hidden="false" customHeight="false" outlineLevel="0" collapsed="false">
      <c r="A97" s="40" t="s">
        <v>346</v>
      </c>
      <c r="B97" s="40" t="s">
        <v>228</v>
      </c>
      <c r="C97" s="40" t="s">
        <v>432</v>
      </c>
      <c r="D97" s="40" t="s">
        <v>418</v>
      </c>
      <c r="E97" s="41" t="n">
        <v>52.1</v>
      </c>
      <c r="F97" s="42" t="str">
        <f aca="false">IF(VALUE(MID(C97,3,2))*10+VALUE(MID(D97,2,1))&lt;=242,"Pre",IF(VALUE(MID(C97,3,2))*10+VALUE(MID(D97,2,1))&lt;=254,"Post","Later"))</f>
        <v>Pre</v>
      </c>
      <c r="G97" s="40" t="s">
        <v>343</v>
      </c>
      <c r="H97" s="40" t="s">
        <v>766</v>
      </c>
      <c r="I97" s="40" t="s">
        <v>761</v>
      </c>
    </row>
    <row r="98" customFormat="false" ht="15" hidden="false" customHeight="false" outlineLevel="0" collapsed="false">
      <c r="A98" s="40" t="s">
        <v>346</v>
      </c>
      <c r="B98" s="40" t="s">
        <v>228</v>
      </c>
      <c r="C98" s="40" t="s">
        <v>432</v>
      </c>
      <c r="D98" s="40" t="s">
        <v>421</v>
      </c>
      <c r="E98" s="41" t="n">
        <v>53.8</v>
      </c>
      <c r="F98" s="42" t="str">
        <f aca="false">IF(VALUE(MID(C98,3,2))*10+VALUE(MID(D98,2,1))&lt;=242,"Pre",IF(VALUE(MID(C98,3,2))*10+VALUE(MID(D98,2,1))&lt;=254,"Post","Later"))</f>
        <v>Pre</v>
      </c>
      <c r="G98" s="40" t="s">
        <v>343</v>
      </c>
      <c r="H98" s="40" t="s">
        <v>767</v>
      </c>
      <c r="I98" s="40" t="s">
        <v>761</v>
      </c>
    </row>
    <row r="99" customFormat="false" ht="15" hidden="false" customHeight="false" outlineLevel="0" collapsed="false">
      <c r="A99" s="40" t="s">
        <v>346</v>
      </c>
      <c r="B99" s="40" t="s">
        <v>228</v>
      </c>
      <c r="C99" s="40" t="s">
        <v>432</v>
      </c>
      <c r="D99" s="40" t="s">
        <v>423</v>
      </c>
      <c r="E99" s="41" t="n">
        <v>55.8</v>
      </c>
      <c r="F99" s="42" t="str">
        <f aca="false">IF(VALUE(MID(C99,3,2))*10+VALUE(MID(D99,2,1))&lt;=242,"Pre",IF(VALUE(MID(C99,3,2))*10+VALUE(MID(D99,2,1))&lt;=254,"Post","Later"))</f>
        <v>Pre</v>
      </c>
      <c r="G99" s="40" t="s">
        <v>343</v>
      </c>
      <c r="H99" s="40" t="s">
        <v>768</v>
      </c>
      <c r="I99" s="40" t="s">
        <v>761</v>
      </c>
    </row>
    <row r="100" customFormat="false" ht="15" hidden="false" customHeight="false" outlineLevel="0" collapsed="false">
      <c r="A100" s="40" t="s">
        <v>346</v>
      </c>
      <c r="B100" s="40" t="s">
        <v>228</v>
      </c>
      <c r="C100" s="40" t="s">
        <v>432</v>
      </c>
      <c r="D100" s="40" t="s">
        <v>425</v>
      </c>
      <c r="E100" s="41" t="n">
        <v>57.4</v>
      </c>
      <c r="F100" s="42" t="str">
        <f aca="false">IF(VALUE(MID(C100,3,2))*10+VALUE(MID(D100,2,1))&lt;=242,"Pre",IF(VALUE(MID(C100,3,2))*10+VALUE(MID(D100,2,1))&lt;=254,"Post","Later"))</f>
        <v>Pre</v>
      </c>
      <c r="G100" s="40" t="s">
        <v>343</v>
      </c>
      <c r="H100" s="40" t="s">
        <v>769</v>
      </c>
      <c r="I100" s="40" t="s">
        <v>761</v>
      </c>
    </row>
    <row r="101" customFormat="false" ht="15" hidden="false" customHeight="false" outlineLevel="0" collapsed="false">
      <c r="A101" s="40" t="s">
        <v>346</v>
      </c>
      <c r="B101" s="40" t="s">
        <v>228</v>
      </c>
      <c r="C101" s="40" t="s">
        <v>435</v>
      </c>
      <c r="D101" s="40" t="s">
        <v>418</v>
      </c>
      <c r="E101" s="41" t="n">
        <v>55.1</v>
      </c>
      <c r="F101" s="42" t="str">
        <f aca="false">IF(VALUE(MID(C101,3,2))*10+VALUE(MID(D101,2,1))&lt;=242,"Pre",IF(VALUE(MID(C101,3,2))*10+VALUE(MID(D101,2,1))&lt;=254,"Post","Later"))</f>
        <v>Pre</v>
      </c>
      <c r="G101" s="40" t="s">
        <v>343</v>
      </c>
      <c r="H101" s="40" t="s">
        <v>770</v>
      </c>
      <c r="I101" s="40" t="s">
        <v>761</v>
      </c>
    </row>
    <row r="102" customFormat="false" ht="15" hidden="false" customHeight="false" outlineLevel="0" collapsed="false">
      <c r="A102" s="40" t="s">
        <v>346</v>
      </c>
      <c r="B102" s="40" t="s">
        <v>228</v>
      </c>
      <c r="C102" s="40" t="s">
        <v>435</v>
      </c>
      <c r="D102" s="40" t="s">
        <v>421</v>
      </c>
      <c r="E102" s="41" t="n">
        <v>57.2</v>
      </c>
      <c r="F102" s="42" t="str">
        <f aca="false">IF(VALUE(MID(C102,3,2))*10+VALUE(MID(D102,2,1))&lt;=242,"Pre",IF(VALUE(MID(C102,3,2))*10+VALUE(MID(D102,2,1))&lt;=254,"Post","Later"))</f>
        <v>Pre</v>
      </c>
      <c r="G102" s="40" t="s">
        <v>343</v>
      </c>
      <c r="H102" s="40" t="s">
        <v>771</v>
      </c>
      <c r="I102" s="40" t="s">
        <v>761</v>
      </c>
    </row>
    <row r="103" customFormat="false" ht="15" hidden="false" customHeight="false" outlineLevel="0" collapsed="false">
      <c r="A103" s="40" t="s">
        <v>346</v>
      </c>
      <c r="B103" s="40" t="s">
        <v>228</v>
      </c>
      <c r="C103" s="40" t="s">
        <v>435</v>
      </c>
      <c r="D103" s="40" t="s">
        <v>423</v>
      </c>
      <c r="E103" s="41" t="n">
        <v>59</v>
      </c>
      <c r="F103" s="42" t="str">
        <f aca="false">IF(VALUE(MID(C103,3,2))*10+VALUE(MID(D103,2,1))&lt;=242,"Pre",IF(VALUE(MID(C103,3,2))*10+VALUE(MID(D103,2,1))&lt;=254,"Post","Later"))</f>
        <v>Post</v>
      </c>
      <c r="G103" s="40" t="s">
        <v>343</v>
      </c>
      <c r="H103" s="40" t="s">
        <v>772</v>
      </c>
      <c r="I103" s="40" t="s">
        <v>761</v>
      </c>
    </row>
    <row r="104" customFormat="false" ht="15" hidden="false" customHeight="false" outlineLevel="0" collapsed="false">
      <c r="A104" s="40" t="s">
        <v>346</v>
      </c>
      <c r="B104" s="40" t="s">
        <v>228</v>
      </c>
      <c r="C104" s="40" t="s">
        <v>435</v>
      </c>
      <c r="D104" s="40" t="s">
        <v>425</v>
      </c>
      <c r="E104" s="41" t="n">
        <v>59</v>
      </c>
      <c r="F104" s="42" t="str">
        <f aca="false">IF(VALUE(MID(C104,3,2))*10+VALUE(MID(D104,2,1))&lt;=242,"Pre",IF(VALUE(MID(C104,3,2))*10+VALUE(MID(D104,2,1))&lt;=254,"Post","Later"))</f>
        <v>Post</v>
      </c>
      <c r="G104" s="40" t="s">
        <v>343</v>
      </c>
      <c r="H104" s="40" t="s">
        <v>773</v>
      </c>
      <c r="I104" s="40" t="s">
        <v>761</v>
      </c>
    </row>
    <row r="105" customFormat="false" ht="15" hidden="false" customHeight="false" outlineLevel="0" collapsed="false">
      <c r="A105" s="40" t="s">
        <v>346</v>
      </c>
      <c r="B105" s="40" t="s">
        <v>228</v>
      </c>
      <c r="C105" s="40" t="s">
        <v>440</v>
      </c>
      <c r="D105" s="40" t="s">
        <v>418</v>
      </c>
      <c r="E105" s="41" t="n">
        <v>61.5</v>
      </c>
      <c r="F105" s="42" t="str">
        <f aca="false">IF(VALUE(MID(C105,3,2))*10+VALUE(MID(D105,2,1))&lt;=242,"Pre",IF(VALUE(MID(C105,3,2))*10+VALUE(MID(D105,2,1))&lt;=254,"Post","Later"))</f>
        <v>Post</v>
      </c>
      <c r="G105" s="40" t="s">
        <v>343</v>
      </c>
      <c r="H105" s="40" t="s">
        <v>774</v>
      </c>
      <c r="I105" s="40" t="s">
        <v>761</v>
      </c>
    </row>
    <row r="106" customFormat="false" ht="15" hidden="false" customHeight="false" outlineLevel="0" collapsed="false">
      <c r="A106" s="40" t="s">
        <v>346</v>
      </c>
      <c r="B106" s="40" t="s">
        <v>228</v>
      </c>
      <c r="C106" s="40" t="s">
        <v>440</v>
      </c>
      <c r="D106" s="40" t="s">
        <v>421</v>
      </c>
      <c r="E106" s="41" t="n">
        <v>57.6</v>
      </c>
      <c r="F106" s="42" t="str">
        <f aca="false">IF(VALUE(MID(C106,3,2))*10+VALUE(MID(D106,2,1))&lt;=242,"Pre",IF(VALUE(MID(C106,3,2))*10+VALUE(MID(D106,2,1))&lt;=254,"Post","Later"))</f>
        <v>Post</v>
      </c>
      <c r="G106" s="40" t="s">
        <v>343</v>
      </c>
      <c r="H106" s="40" t="s">
        <v>775</v>
      </c>
      <c r="I106" s="40" t="s">
        <v>761</v>
      </c>
    </row>
    <row r="107" customFormat="false" ht="15" hidden="false" customHeight="false" outlineLevel="0" collapsed="false">
      <c r="A107" s="40" t="s">
        <v>346</v>
      </c>
      <c r="B107" s="40" t="s">
        <v>228</v>
      </c>
      <c r="C107" s="40" t="s">
        <v>440</v>
      </c>
      <c r="D107" s="40" t="s">
        <v>423</v>
      </c>
      <c r="E107" s="41" t="n">
        <v>60</v>
      </c>
      <c r="F107" s="42" t="str">
        <f aca="false">IF(VALUE(MID(C107,3,2))*10+VALUE(MID(D107,2,1))&lt;=242,"Pre",IF(VALUE(MID(C107,3,2))*10+VALUE(MID(D107,2,1))&lt;=254,"Post","Later"))</f>
        <v>Post</v>
      </c>
      <c r="G107" s="40" t="s">
        <v>343</v>
      </c>
      <c r="H107" s="40" t="s">
        <v>776</v>
      </c>
      <c r="I107" s="40" t="s">
        <v>761</v>
      </c>
    </row>
    <row r="108" customFormat="false" ht="15" hidden="false" customHeight="false" outlineLevel="0" collapsed="false">
      <c r="A108" s="40" t="s">
        <v>346</v>
      </c>
      <c r="B108" s="40" t="s">
        <v>228</v>
      </c>
      <c r="C108" s="40" t="s">
        <v>440</v>
      </c>
      <c r="D108" s="40" t="s">
        <v>425</v>
      </c>
      <c r="E108" s="41" t="n">
        <v>63.4</v>
      </c>
      <c r="F108" s="42" t="str">
        <f aca="false">IF(VALUE(MID(C108,3,2))*10+VALUE(MID(D108,2,1))&lt;=242,"Pre",IF(VALUE(MID(C108,3,2))*10+VALUE(MID(D108,2,1))&lt;=254,"Post","Later"))</f>
        <v>Post</v>
      </c>
      <c r="G108" s="40" t="s">
        <v>343</v>
      </c>
      <c r="H108" s="40" t="s">
        <v>777</v>
      </c>
      <c r="I108" s="40" t="s">
        <v>761</v>
      </c>
    </row>
    <row r="109" customFormat="false" ht="15" hidden="false" customHeight="false" outlineLevel="0" collapsed="false">
      <c r="A109" s="40" t="s">
        <v>346</v>
      </c>
      <c r="B109" s="40" t="s">
        <v>228</v>
      </c>
      <c r="C109" s="40" t="s">
        <v>444</v>
      </c>
      <c r="D109" s="40" t="s">
        <v>418</v>
      </c>
      <c r="E109" s="41" t="n">
        <v>63.9</v>
      </c>
      <c r="F109" s="42" t="str">
        <f aca="false">IF(VALUE(MID(C109,3,2))*10+VALUE(MID(D109,2,1))&lt;=242,"Pre",IF(VALUE(MID(C109,3,2))*10+VALUE(MID(D109,2,1))&lt;=254,"Post","Later"))</f>
        <v>Later</v>
      </c>
      <c r="G109" s="40" t="s">
        <v>343</v>
      </c>
      <c r="H109" s="40" t="s">
        <v>778</v>
      </c>
      <c r="I109" s="40" t="s">
        <v>761</v>
      </c>
    </row>
    <row r="110" customFormat="false" ht="15" hidden="false" customHeight="false" outlineLevel="0" collapsed="false">
      <c r="A110" s="40" t="s">
        <v>346</v>
      </c>
      <c r="B110" s="40" t="s">
        <v>228</v>
      </c>
      <c r="C110" s="40" t="s">
        <v>444</v>
      </c>
      <c r="D110" s="40" t="s">
        <v>421</v>
      </c>
      <c r="E110" s="41" t="n">
        <v>63.6</v>
      </c>
      <c r="F110" s="42" t="str">
        <f aca="false">IF(VALUE(MID(C110,3,2))*10+VALUE(MID(D110,2,1))&lt;=242,"Pre",IF(VALUE(MID(C110,3,2))*10+VALUE(MID(D110,2,1))&lt;=254,"Post","Later"))</f>
        <v>Later</v>
      </c>
      <c r="G110" s="40" t="s">
        <v>343</v>
      </c>
      <c r="H110" s="40" t="s">
        <v>779</v>
      </c>
      <c r="I110" s="40" t="s">
        <v>761</v>
      </c>
    </row>
    <row r="111" customFormat="false" ht="15" hidden="false" customHeight="false" outlineLevel="0" collapsed="false">
      <c r="A111" s="40" t="s">
        <v>346</v>
      </c>
      <c r="B111" s="40" t="s">
        <v>228</v>
      </c>
      <c r="C111" s="40" t="s">
        <v>444</v>
      </c>
      <c r="D111" s="40" t="s">
        <v>423</v>
      </c>
      <c r="E111" s="41" t="n">
        <v>64.4</v>
      </c>
      <c r="F111" s="42" t="str">
        <f aca="false">IF(VALUE(MID(C111,3,2))*10+VALUE(MID(D111,2,1))&lt;=242,"Pre",IF(VALUE(MID(C111,3,2))*10+VALUE(MID(D111,2,1))&lt;=254,"Post","Later"))</f>
        <v>Later</v>
      </c>
      <c r="G111" s="40" t="s">
        <v>343</v>
      </c>
      <c r="H111" s="40" t="s">
        <v>780</v>
      </c>
      <c r="I111" s="40" t="s">
        <v>761</v>
      </c>
    </row>
    <row r="112" customFormat="false" ht="15" hidden="false" customHeight="false" outlineLevel="0" collapsed="false">
      <c r="A112" s="40" t="s">
        <v>346</v>
      </c>
      <c r="B112" s="40" t="s">
        <v>228</v>
      </c>
      <c r="C112" s="40" t="s">
        <v>444</v>
      </c>
      <c r="D112" s="40" t="s">
        <v>425</v>
      </c>
      <c r="E112" s="41" t="n">
        <v>64.5</v>
      </c>
      <c r="F112" s="42" t="str">
        <f aca="false">IF(VALUE(MID(C112,3,2))*10+VALUE(MID(D112,2,1))&lt;=242,"Pre",IF(VALUE(MID(C112,3,2))*10+VALUE(MID(D112,2,1))&lt;=254,"Post","Later"))</f>
        <v>Later</v>
      </c>
      <c r="G112" s="40" t="s">
        <v>343</v>
      </c>
      <c r="H112" s="40" t="s">
        <v>781</v>
      </c>
      <c r="I112" s="40" t="s">
        <v>761</v>
      </c>
    </row>
    <row r="113" customFormat="false" ht="15" hidden="false" customHeight="false" outlineLevel="0" collapsed="false">
      <c r="A113" s="40" t="s">
        <v>344</v>
      </c>
      <c r="B113" s="40" t="s">
        <v>228</v>
      </c>
      <c r="C113" s="40" t="s">
        <v>417</v>
      </c>
      <c r="D113" s="40" t="s">
        <v>418</v>
      </c>
      <c r="E113" s="41" t="n">
        <v>67</v>
      </c>
      <c r="F113" s="42" t="str">
        <f aca="false">IF(VALUE(MID(C113,3,2))*10+VALUE(MID(D113,2,1))&lt;=242,"Pre",IF(VALUE(MID(C113,3,2))*10+VALUE(MID(D113,2,1))&lt;=254,"Post","Later"))</f>
        <v>Pre</v>
      </c>
      <c r="G113" s="40" t="s">
        <v>343</v>
      </c>
      <c r="H113" s="40" t="s">
        <v>782</v>
      </c>
      <c r="I113" s="40" t="s">
        <v>783</v>
      </c>
    </row>
    <row r="114" customFormat="false" ht="15" hidden="false" customHeight="false" outlineLevel="0" collapsed="false">
      <c r="A114" s="40" t="s">
        <v>344</v>
      </c>
      <c r="B114" s="40" t="s">
        <v>228</v>
      </c>
      <c r="C114" s="40" t="s">
        <v>417</v>
      </c>
      <c r="D114" s="40" t="s">
        <v>421</v>
      </c>
      <c r="E114" s="41" t="n">
        <v>66</v>
      </c>
      <c r="F114" s="42" t="str">
        <f aca="false">IF(VALUE(MID(C114,3,2))*10+VALUE(MID(D114,2,1))&lt;=242,"Pre",IF(VALUE(MID(C114,3,2))*10+VALUE(MID(D114,2,1))&lt;=254,"Post","Later"))</f>
        <v>Pre</v>
      </c>
      <c r="G114" s="40" t="s">
        <v>343</v>
      </c>
      <c r="H114" s="40" t="s">
        <v>782</v>
      </c>
      <c r="I114" s="40" t="s">
        <v>783</v>
      </c>
    </row>
    <row r="115" customFormat="false" ht="15" hidden="false" customHeight="false" outlineLevel="0" collapsed="false">
      <c r="A115" s="40" t="s">
        <v>344</v>
      </c>
      <c r="B115" s="40" t="s">
        <v>228</v>
      </c>
      <c r="C115" s="40" t="s">
        <v>417</v>
      </c>
      <c r="D115" s="40" t="s">
        <v>423</v>
      </c>
      <c r="E115" s="41" t="n">
        <v>65</v>
      </c>
      <c r="F115" s="42" t="str">
        <f aca="false">IF(VALUE(MID(C115,3,2))*10+VALUE(MID(D115,2,1))&lt;=242,"Pre",IF(VALUE(MID(C115,3,2))*10+VALUE(MID(D115,2,1))&lt;=254,"Post","Later"))</f>
        <v>Pre</v>
      </c>
      <c r="G115" s="40" t="s">
        <v>343</v>
      </c>
      <c r="H115" s="40" t="s">
        <v>782</v>
      </c>
      <c r="I115" s="40" t="s">
        <v>783</v>
      </c>
    </row>
    <row r="116" customFormat="false" ht="15" hidden="false" customHeight="false" outlineLevel="0" collapsed="false">
      <c r="A116" s="40" t="s">
        <v>344</v>
      </c>
      <c r="B116" s="40" t="s">
        <v>228</v>
      </c>
      <c r="C116" s="40" t="s">
        <v>417</v>
      </c>
      <c r="D116" s="40" t="s">
        <v>425</v>
      </c>
      <c r="E116" s="41" t="n">
        <v>66</v>
      </c>
      <c r="F116" s="42" t="str">
        <f aca="false">IF(VALUE(MID(C116,3,2))*10+VALUE(MID(D116,2,1))&lt;=242,"Pre",IF(VALUE(MID(C116,3,2))*10+VALUE(MID(D116,2,1))&lt;=254,"Post","Later"))</f>
        <v>Pre</v>
      </c>
      <c r="G116" s="40" t="s">
        <v>343</v>
      </c>
      <c r="H116" s="40" t="s">
        <v>782</v>
      </c>
      <c r="I116" s="40" t="s">
        <v>783</v>
      </c>
    </row>
    <row r="117" customFormat="false" ht="15" hidden="false" customHeight="false" outlineLevel="0" collapsed="false">
      <c r="A117" s="40" t="s">
        <v>344</v>
      </c>
      <c r="B117" s="40" t="s">
        <v>228</v>
      </c>
      <c r="C117" s="40" t="s">
        <v>427</v>
      </c>
      <c r="D117" s="40" t="s">
        <v>418</v>
      </c>
      <c r="E117" s="41" t="n">
        <v>67</v>
      </c>
      <c r="F117" s="42" t="str">
        <f aca="false">IF(VALUE(MID(C117,3,2))*10+VALUE(MID(D117,2,1))&lt;=242,"Pre",IF(VALUE(MID(C117,3,2))*10+VALUE(MID(D117,2,1))&lt;=254,"Post","Later"))</f>
        <v>Pre</v>
      </c>
      <c r="G117" s="40" t="s">
        <v>343</v>
      </c>
      <c r="H117" s="40" t="s">
        <v>784</v>
      </c>
      <c r="I117" s="40" t="s">
        <v>783</v>
      </c>
    </row>
    <row r="118" customFormat="false" ht="15" hidden="false" customHeight="false" outlineLevel="0" collapsed="false">
      <c r="A118" s="40" t="s">
        <v>344</v>
      </c>
      <c r="B118" s="40" t="s">
        <v>228</v>
      </c>
      <c r="C118" s="40" t="s">
        <v>427</v>
      </c>
      <c r="D118" s="40" t="s">
        <v>421</v>
      </c>
      <c r="E118" s="41" t="n">
        <v>63</v>
      </c>
      <c r="F118" s="42" t="str">
        <f aca="false">IF(VALUE(MID(C118,3,2))*10+VALUE(MID(D118,2,1))&lt;=242,"Pre",IF(VALUE(MID(C118,3,2))*10+VALUE(MID(D118,2,1))&lt;=254,"Post","Later"))</f>
        <v>Pre</v>
      </c>
      <c r="G118" s="40" t="s">
        <v>343</v>
      </c>
      <c r="H118" s="40" t="s">
        <v>784</v>
      </c>
      <c r="I118" s="40" t="s">
        <v>783</v>
      </c>
    </row>
    <row r="119" customFormat="false" ht="15" hidden="false" customHeight="false" outlineLevel="0" collapsed="false">
      <c r="A119" s="40" t="s">
        <v>344</v>
      </c>
      <c r="B119" s="40" t="s">
        <v>228</v>
      </c>
      <c r="C119" s="40" t="s">
        <v>427</v>
      </c>
      <c r="D119" s="40" t="s">
        <v>423</v>
      </c>
      <c r="E119" s="41" t="n">
        <v>66</v>
      </c>
      <c r="F119" s="42" t="str">
        <f aca="false">IF(VALUE(MID(C119,3,2))*10+VALUE(MID(D119,2,1))&lt;=242,"Pre",IF(VALUE(MID(C119,3,2))*10+VALUE(MID(D119,2,1))&lt;=254,"Post","Later"))</f>
        <v>Pre</v>
      </c>
      <c r="G119" s="40" t="s">
        <v>343</v>
      </c>
      <c r="H119" s="40" t="s">
        <v>784</v>
      </c>
      <c r="I119" s="40" t="s">
        <v>783</v>
      </c>
    </row>
    <row r="120" customFormat="false" ht="15" hidden="false" customHeight="false" outlineLevel="0" collapsed="false">
      <c r="A120" s="40" t="s">
        <v>344</v>
      </c>
      <c r="B120" s="40" t="s">
        <v>228</v>
      </c>
      <c r="C120" s="40" t="s">
        <v>427</v>
      </c>
      <c r="D120" s="40" t="s">
        <v>425</v>
      </c>
      <c r="E120" s="41" t="n">
        <v>69</v>
      </c>
      <c r="F120" s="42" t="str">
        <f aca="false">IF(VALUE(MID(C120,3,2))*10+VALUE(MID(D120,2,1))&lt;=242,"Pre",IF(VALUE(MID(C120,3,2))*10+VALUE(MID(D120,2,1))&lt;=254,"Post","Later"))</f>
        <v>Pre</v>
      </c>
      <c r="G120" s="40" t="s">
        <v>343</v>
      </c>
      <c r="H120" s="40" t="s">
        <v>784</v>
      </c>
      <c r="I120" s="40" t="s">
        <v>783</v>
      </c>
    </row>
    <row r="121" customFormat="false" ht="15" hidden="false" customHeight="false" outlineLevel="0" collapsed="false">
      <c r="A121" s="40" t="s">
        <v>344</v>
      </c>
      <c r="B121" s="40" t="s">
        <v>228</v>
      </c>
      <c r="C121" s="40" t="s">
        <v>432</v>
      </c>
      <c r="D121" s="40" t="s">
        <v>418</v>
      </c>
      <c r="E121" s="41" t="n">
        <v>66</v>
      </c>
      <c r="F121" s="42" t="str">
        <f aca="false">IF(VALUE(MID(C121,3,2))*10+VALUE(MID(D121,2,1))&lt;=242,"Pre",IF(VALUE(MID(C121,3,2))*10+VALUE(MID(D121,2,1))&lt;=254,"Post","Later"))</f>
        <v>Pre</v>
      </c>
      <c r="G121" s="40" t="s">
        <v>343</v>
      </c>
      <c r="H121" s="40" t="s">
        <v>785</v>
      </c>
      <c r="I121" s="40" t="s">
        <v>783</v>
      </c>
    </row>
    <row r="122" customFormat="false" ht="15" hidden="false" customHeight="false" outlineLevel="0" collapsed="false">
      <c r="A122" s="40" t="s">
        <v>344</v>
      </c>
      <c r="B122" s="40" t="s">
        <v>228</v>
      </c>
      <c r="C122" s="40" t="s">
        <v>432</v>
      </c>
      <c r="D122" s="40" t="s">
        <v>421</v>
      </c>
      <c r="E122" s="41" t="n">
        <v>66</v>
      </c>
      <c r="F122" s="42" t="str">
        <f aca="false">IF(VALUE(MID(C122,3,2))*10+VALUE(MID(D122,2,1))&lt;=242,"Pre",IF(VALUE(MID(C122,3,2))*10+VALUE(MID(D122,2,1))&lt;=254,"Post","Later"))</f>
        <v>Pre</v>
      </c>
      <c r="G122" s="40" t="s">
        <v>343</v>
      </c>
      <c r="H122" s="40" t="s">
        <v>785</v>
      </c>
      <c r="I122" s="40" t="s">
        <v>783</v>
      </c>
    </row>
    <row r="123" customFormat="false" ht="15" hidden="false" customHeight="false" outlineLevel="0" collapsed="false">
      <c r="A123" s="40" t="s">
        <v>344</v>
      </c>
      <c r="B123" s="40" t="s">
        <v>228</v>
      </c>
      <c r="C123" s="40" t="s">
        <v>432</v>
      </c>
      <c r="D123" s="40" t="s">
        <v>423</v>
      </c>
      <c r="E123" s="41" t="n">
        <v>64</v>
      </c>
      <c r="F123" s="42" t="str">
        <f aca="false">IF(VALUE(MID(C123,3,2))*10+VALUE(MID(D123,2,1))&lt;=242,"Pre",IF(VALUE(MID(C123,3,2))*10+VALUE(MID(D123,2,1))&lt;=254,"Post","Later"))</f>
        <v>Pre</v>
      </c>
      <c r="G123" s="40" t="s">
        <v>343</v>
      </c>
      <c r="H123" s="40" t="s">
        <v>785</v>
      </c>
      <c r="I123" s="40" t="s">
        <v>783</v>
      </c>
    </row>
    <row r="124" customFormat="false" ht="15" hidden="false" customHeight="false" outlineLevel="0" collapsed="false">
      <c r="A124" s="40" t="s">
        <v>344</v>
      </c>
      <c r="B124" s="40" t="s">
        <v>228</v>
      </c>
      <c r="C124" s="40" t="s">
        <v>432</v>
      </c>
      <c r="D124" s="40" t="s">
        <v>425</v>
      </c>
      <c r="E124" s="41" t="n">
        <v>65</v>
      </c>
      <c r="F124" s="42" t="str">
        <f aca="false">IF(VALUE(MID(C124,3,2))*10+VALUE(MID(D124,2,1))&lt;=242,"Pre",IF(VALUE(MID(C124,3,2))*10+VALUE(MID(D124,2,1))&lt;=254,"Post","Later"))</f>
        <v>Pre</v>
      </c>
      <c r="G124" s="40" t="s">
        <v>343</v>
      </c>
      <c r="H124" s="40" t="s">
        <v>785</v>
      </c>
      <c r="I124" s="40" t="s">
        <v>783</v>
      </c>
    </row>
    <row r="125" customFormat="false" ht="15" hidden="false" customHeight="false" outlineLevel="0" collapsed="false">
      <c r="A125" s="40" t="s">
        <v>344</v>
      </c>
      <c r="B125" s="40" t="s">
        <v>228</v>
      </c>
      <c r="C125" s="40" t="s">
        <v>435</v>
      </c>
      <c r="D125" s="40" t="s">
        <v>418</v>
      </c>
      <c r="E125" s="41" t="n">
        <v>61</v>
      </c>
      <c r="F125" s="42" t="str">
        <f aca="false">IF(VALUE(MID(C125,3,2))*10+VALUE(MID(D125,2,1))&lt;=242,"Pre",IF(VALUE(MID(C125,3,2))*10+VALUE(MID(D125,2,1))&lt;=254,"Post","Later"))</f>
        <v>Pre</v>
      </c>
      <c r="G125" s="40" t="s">
        <v>343</v>
      </c>
      <c r="H125" s="40" t="s">
        <v>786</v>
      </c>
      <c r="I125" s="40" t="s">
        <v>783</v>
      </c>
    </row>
    <row r="126" customFormat="false" ht="15" hidden="false" customHeight="false" outlineLevel="0" collapsed="false">
      <c r="A126" s="40" t="s">
        <v>344</v>
      </c>
      <c r="B126" s="40" t="s">
        <v>228</v>
      </c>
      <c r="C126" s="40" t="s">
        <v>435</v>
      </c>
      <c r="D126" s="40" t="s">
        <v>421</v>
      </c>
      <c r="E126" s="41" t="n">
        <v>61</v>
      </c>
      <c r="F126" s="42" t="str">
        <f aca="false">IF(VALUE(MID(C126,3,2))*10+VALUE(MID(D126,2,1))&lt;=242,"Pre",IF(VALUE(MID(C126,3,2))*10+VALUE(MID(D126,2,1))&lt;=254,"Post","Later"))</f>
        <v>Pre</v>
      </c>
      <c r="G126" s="40" t="s">
        <v>343</v>
      </c>
      <c r="H126" s="40" t="s">
        <v>786</v>
      </c>
      <c r="I126" s="40" t="s">
        <v>783</v>
      </c>
    </row>
    <row r="127" customFormat="false" ht="15" hidden="false" customHeight="false" outlineLevel="0" collapsed="false">
      <c r="A127" s="40" t="s">
        <v>344</v>
      </c>
      <c r="B127" s="40" t="s">
        <v>228</v>
      </c>
      <c r="C127" s="40" t="s">
        <v>435</v>
      </c>
      <c r="D127" s="40" t="s">
        <v>423</v>
      </c>
      <c r="E127" s="41" t="n">
        <v>59</v>
      </c>
      <c r="F127" s="42" t="str">
        <f aca="false">IF(VALUE(MID(C127,3,2))*10+VALUE(MID(D127,2,1))&lt;=242,"Pre",IF(VALUE(MID(C127,3,2))*10+VALUE(MID(D127,2,1))&lt;=254,"Post","Later"))</f>
        <v>Post</v>
      </c>
      <c r="G127" s="40" t="s">
        <v>343</v>
      </c>
      <c r="H127" s="40" t="s">
        <v>786</v>
      </c>
      <c r="I127" s="40" t="s">
        <v>783</v>
      </c>
    </row>
    <row r="128" customFormat="false" ht="15" hidden="false" customHeight="false" outlineLevel="0" collapsed="false">
      <c r="A128" s="40" t="s">
        <v>344</v>
      </c>
      <c r="B128" s="40" t="s">
        <v>228</v>
      </c>
      <c r="C128" s="40" t="s">
        <v>435</v>
      </c>
      <c r="D128" s="40" t="s">
        <v>425</v>
      </c>
      <c r="E128" s="41" t="n">
        <v>59</v>
      </c>
      <c r="F128" s="42" t="str">
        <f aca="false">IF(VALUE(MID(C128,3,2))*10+VALUE(MID(D128,2,1))&lt;=242,"Pre",IF(VALUE(MID(C128,3,2))*10+VALUE(MID(D128,2,1))&lt;=254,"Post","Later"))</f>
        <v>Post</v>
      </c>
      <c r="G128" s="40" t="s">
        <v>343</v>
      </c>
      <c r="H128" s="40" t="s">
        <v>786</v>
      </c>
      <c r="I128" s="40" t="s">
        <v>783</v>
      </c>
    </row>
    <row r="129" customFormat="false" ht="15" hidden="false" customHeight="false" outlineLevel="0" collapsed="false">
      <c r="A129" s="40" t="s">
        <v>344</v>
      </c>
      <c r="B129" s="40" t="s">
        <v>228</v>
      </c>
      <c r="C129" s="40" t="s">
        <v>440</v>
      </c>
      <c r="D129" s="40" t="s">
        <v>418</v>
      </c>
      <c r="E129" s="41" t="n">
        <v>59</v>
      </c>
      <c r="F129" s="42" t="str">
        <f aca="false">IF(VALUE(MID(C129,3,2))*10+VALUE(MID(D129,2,1))&lt;=242,"Pre",IF(VALUE(MID(C129,3,2))*10+VALUE(MID(D129,2,1))&lt;=254,"Post","Later"))</f>
        <v>Post</v>
      </c>
      <c r="G129" s="40" t="s">
        <v>343</v>
      </c>
      <c r="H129" s="40" t="s">
        <v>787</v>
      </c>
      <c r="I129" s="40" t="s">
        <v>783</v>
      </c>
    </row>
    <row r="130" customFormat="false" ht="15" hidden="false" customHeight="false" outlineLevel="0" collapsed="false">
      <c r="A130" s="40" t="s">
        <v>344</v>
      </c>
      <c r="B130" s="40" t="s">
        <v>228</v>
      </c>
      <c r="C130" s="40" t="s">
        <v>440</v>
      </c>
      <c r="D130" s="40" t="s">
        <v>421</v>
      </c>
      <c r="E130" s="41" t="n">
        <v>58</v>
      </c>
      <c r="F130" s="42" t="str">
        <f aca="false">IF(VALUE(MID(C130,3,2))*10+VALUE(MID(D130,2,1))&lt;=242,"Pre",IF(VALUE(MID(C130,3,2))*10+VALUE(MID(D130,2,1))&lt;=254,"Post","Later"))</f>
        <v>Post</v>
      </c>
      <c r="G130" s="40" t="s">
        <v>343</v>
      </c>
      <c r="H130" s="40" t="s">
        <v>787</v>
      </c>
      <c r="I130" s="40" t="s">
        <v>783</v>
      </c>
    </row>
    <row r="131" customFormat="false" ht="15" hidden="false" customHeight="false" outlineLevel="0" collapsed="false">
      <c r="A131" s="40" t="s">
        <v>344</v>
      </c>
      <c r="B131" s="40" t="s">
        <v>228</v>
      </c>
      <c r="C131" s="40" t="s">
        <v>440</v>
      </c>
      <c r="D131" s="40" t="s">
        <v>423</v>
      </c>
      <c r="E131" s="41" t="n">
        <v>58</v>
      </c>
      <c r="F131" s="42" t="str">
        <f aca="false">IF(VALUE(MID(C131,3,2))*10+VALUE(MID(D131,2,1))&lt;=242,"Pre",IF(VALUE(MID(C131,3,2))*10+VALUE(MID(D131,2,1))&lt;=254,"Post","Later"))</f>
        <v>Post</v>
      </c>
      <c r="G131" s="40" t="s">
        <v>343</v>
      </c>
      <c r="H131" s="40" t="s">
        <v>787</v>
      </c>
      <c r="I131" s="40" t="s">
        <v>783</v>
      </c>
    </row>
    <row r="132" customFormat="false" ht="15" hidden="false" customHeight="false" outlineLevel="0" collapsed="false">
      <c r="A132" s="40" t="s">
        <v>344</v>
      </c>
      <c r="B132" s="40" t="s">
        <v>228</v>
      </c>
      <c r="C132" s="40" t="s">
        <v>440</v>
      </c>
      <c r="D132" s="40" t="s">
        <v>425</v>
      </c>
      <c r="E132" s="41" t="n">
        <v>59</v>
      </c>
      <c r="F132" s="42" t="str">
        <f aca="false">IF(VALUE(MID(C132,3,2))*10+VALUE(MID(D132,2,1))&lt;=242,"Pre",IF(VALUE(MID(C132,3,2))*10+VALUE(MID(D132,2,1))&lt;=254,"Post","Later"))</f>
        <v>Post</v>
      </c>
      <c r="G132" s="40" t="s">
        <v>343</v>
      </c>
      <c r="H132" s="40" t="s">
        <v>787</v>
      </c>
      <c r="I132" s="40" t="s">
        <v>783</v>
      </c>
    </row>
    <row r="133" customFormat="false" ht="15" hidden="false" customHeight="false" outlineLevel="0" collapsed="false">
      <c r="A133" s="40" t="s">
        <v>344</v>
      </c>
      <c r="B133" s="40" t="s">
        <v>228</v>
      </c>
      <c r="C133" s="40" t="s">
        <v>444</v>
      </c>
      <c r="D133" s="40" t="s">
        <v>418</v>
      </c>
      <c r="E133" s="41" t="n">
        <v>59</v>
      </c>
      <c r="F133" s="42" t="str">
        <f aca="false">IF(VALUE(MID(C133,3,2))*10+VALUE(MID(D133,2,1))&lt;=242,"Pre",IF(VALUE(MID(C133,3,2))*10+VALUE(MID(D133,2,1))&lt;=254,"Post","Later"))</f>
        <v>Later</v>
      </c>
      <c r="G133" s="40" t="s">
        <v>343</v>
      </c>
      <c r="H133" s="40" t="s">
        <v>788</v>
      </c>
      <c r="I133" s="40" t="s">
        <v>783</v>
      </c>
    </row>
    <row r="134" customFormat="false" ht="15" hidden="false" customHeight="false" outlineLevel="0" collapsed="false">
      <c r="A134" s="40" t="s">
        <v>344</v>
      </c>
      <c r="B134" s="40" t="s">
        <v>228</v>
      </c>
      <c r="C134" s="40" t="s">
        <v>444</v>
      </c>
      <c r="D134" s="40" t="s">
        <v>421</v>
      </c>
      <c r="E134" s="41" t="n">
        <v>57</v>
      </c>
      <c r="F134" s="42" t="str">
        <f aca="false">IF(VALUE(MID(C134,3,2))*10+VALUE(MID(D134,2,1))&lt;=242,"Pre",IF(VALUE(MID(C134,3,2))*10+VALUE(MID(D134,2,1))&lt;=254,"Post","Later"))</f>
        <v>Later</v>
      </c>
      <c r="G134" s="40" t="s">
        <v>343</v>
      </c>
      <c r="H134" s="40" t="s">
        <v>788</v>
      </c>
      <c r="I134" s="40" t="s">
        <v>783</v>
      </c>
    </row>
    <row r="135" customFormat="false" ht="15" hidden="false" customHeight="false" outlineLevel="0" collapsed="false">
      <c r="A135" s="40" t="s">
        <v>344</v>
      </c>
      <c r="B135" s="40" t="s">
        <v>228</v>
      </c>
      <c r="C135" s="40" t="s">
        <v>444</v>
      </c>
      <c r="D135" s="40" t="s">
        <v>423</v>
      </c>
      <c r="E135" s="41" t="n">
        <v>58</v>
      </c>
      <c r="F135" s="42" t="str">
        <f aca="false">IF(VALUE(MID(C135,3,2))*10+VALUE(MID(D135,2,1))&lt;=242,"Pre",IF(VALUE(MID(C135,3,2))*10+VALUE(MID(D135,2,1))&lt;=254,"Post","Later"))</f>
        <v>Later</v>
      </c>
      <c r="G135" s="40" t="s">
        <v>343</v>
      </c>
      <c r="H135" s="40" t="s">
        <v>788</v>
      </c>
      <c r="I135" s="40" t="s">
        <v>783</v>
      </c>
    </row>
    <row r="136" customFormat="false" ht="15" hidden="false" customHeight="false" outlineLevel="0" collapsed="false">
      <c r="A136" s="40" t="s">
        <v>344</v>
      </c>
      <c r="B136" s="40" t="s">
        <v>228</v>
      </c>
      <c r="C136" s="40" t="s">
        <v>444</v>
      </c>
      <c r="D136" s="40" t="s">
        <v>425</v>
      </c>
      <c r="E136" s="41" t="n">
        <v>59</v>
      </c>
      <c r="F136" s="42" t="str">
        <f aca="false">IF(VALUE(MID(C136,3,2))*10+VALUE(MID(D136,2,1))&lt;=242,"Pre",IF(VALUE(MID(C136,3,2))*10+VALUE(MID(D136,2,1))&lt;=254,"Post","Later"))</f>
        <v>Later</v>
      </c>
      <c r="G136" s="40" t="s">
        <v>343</v>
      </c>
      <c r="H136" s="40" t="s">
        <v>788</v>
      </c>
      <c r="I136" s="40" t="s">
        <v>783</v>
      </c>
    </row>
    <row r="137" customFormat="false" ht="15" hidden="false" customHeight="false" outlineLevel="0" collapsed="false">
      <c r="A137" s="40" t="s">
        <v>349</v>
      </c>
      <c r="B137" s="40" t="s">
        <v>228</v>
      </c>
      <c r="C137" s="40" t="s">
        <v>417</v>
      </c>
      <c r="D137" s="40" t="s">
        <v>421</v>
      </c>
      <c r="E137" s="41" t="n">
        <v>57</v>
      </c>
      <c r="F137" s="42" t="str">
        <f aca="false">IF(VALUE(MID(C137,3,2))*10+VALUE(MID(D137,2,1))&lt;=242,"Pre",IF(VALUE(MID(C137,3,2))*10+VALUE(MID(D137,2,1))&lt;=254,"Post","Later"))</f>
        <v>Pre</v>
      </c>
      <c r="G137" s="40" t="s">
        <v>343</v>
      </c>
      <c r="H137" s="40" t="s">
        <v>789</v>
      </c>
      <c r="I137" s="40" t="s">
        <v>790</v>
      </c>
    </row>
    <row r="138" customFormat="false" ht="15" hidden="false" customHeight="false" outlineLevel="0" collapsed="false">
      <c r="A138" s="40" t="s">
        <v>349</v>
      </c>
      <c r="B138" s="40" t="s">
        <v>228</v>
      </c>
      <c r="C138" s="40" t="s">
        <v>417</v>
      </c>
      <c r="D138" s="40" t="s">
        <v>425</v>
      </c>
      <c r="E138" s="41" t="n">
        <v>60</v>
      </c>
      <c r="F138" s="42" t="str">
        <f aca="false">IF(VALUE(MID(C138,3,2))*10+VALUE(MID(D138,2,1))&lt;=242,"Pre",IF(VALUE(MID(C138,3,2))*10+VALUE(MID(D138,2,1))&lt;=254,"Post","Later"))</f>
        <v>Pre</v>
      </c>
      <c r="G138" s="40" t="s">
        <v>343</v>
      </c>
      <c r="H138" s="40" t="s">
        <v>791</v>
      </c>
      <c r="I138" s="40" t="s">
        <v>790</v>
      </c>
    </row>
    <row r="139" customFormat="false" ht="15" hidden="false" customHeight="false" outlineLevel="0" collapsed="false">
      <c r="A139" s="40" t="s">
        <v>349</v>
      </c>
      <c r="B139" s="40" t="s">
        <v>228</v>
      </c>
      <c r="C139" s="40" t="s">
        <v>427</v>
      </c>
      <c r="D139" s="40" t="s">
        <v>418</v>
      </c>
      <c r="E139" s="41" t="n">
        <v>58</v>
      </c>
      <c r="F139" s="42" t="str">
        <f aca="false">IF(VALUE(MID(C139,3,2))*10+VALUE(MID(D139,2,1))&lt;=242,"Pre",IF(VALUE(MID(C139,3,2))*10+VALUE(MID(D139,2,1))&lt;=254,"Post","Later"))</f>
        <v>Pre</v>
      </c>
      <c r="G139" s="40" t="s">
        <v>343</v>
      </c>
      <c r="H139" s="40" t="s">
        <v>789</v>
      </c>
      <c r="I139" s="40" t="s">
        <v>790</v>
      </c>
    </row>
    <row r="140" customFormat="false" ht="15" hidden="false" customHeight="false" outlineLevel="0" collapsed="false">
      <c r="A140" s="40" t="s">
        <v>349</v>
      </c>
      <c r="B140" s="40" t="s">
        <v>228</v>
      </c>
      <c r="C140" s="40" t="s">
        <v>427</v>
      </c>
      <c r="D140" s="40" t="s">
        <v>421</v>
      </c>
      <c r="E140" s="41" t="n">
        <v>60</v>
      </c>
      <c r="F140" s="42" t="str">
        <f aca="false">IF(VALUE(MID(C140,3,2))*10+VALUE(MID(D140,2,1))&lt;=242,"Pre",IF(VALUE(MID(C140,3,2))*10+VALUE(MID(D140,2,1))&lt;=254,"Post","Later"))</f>
        <v>Pre</v>
      </c>
      <c r="G140" s="40" t="s">
        <v>343</v>
      </c>
      <c r="H140" s="40" t="s">
        <v>789</v>
      </c>
      <c r="I140" s="40" t="s">
        <v>790</v>
      </c>
    </row>
    <row r="141" customFormat="false" ht="15" hidden="false" customHeight="false" outlineLevel="0" collapsed="false">
      <c r="A141" s="40" t="s">
        <v>349</v>
      </c>
      <c r="B141" s="40" t="s">
        <v>228</v>
      </c>
      <c r="C141" s="40" t="s">
        <v>427</v>
      </c>
      <c r="D141" s="40" t="s">
        <v>423</v>
      </c>
      <c r="E141" s="41" t="n">
        <v>60</v>
      </c>
      <c r="F141" s="42" t="str">
        <f aca="false">IF(VALUE(MID(C141,3,2))*10+VALUE(MID(D141,2,1))&lt;=242,"Pre",IF(VALUE(MID(C141,3,2))*10+VALUE(MID(D141,2,1))&lt;=254,"Post","Later"))</f>
        <v>Pre</v>
      </c>
      <c r="G141" s="40" t="s">
        <v>343</v>
      </c>
      <c r="H141" s="40" t="s">
        <v>791</v>
      </c>
      <c r="I141" s="40" t="s">
        <v>790</v>
      </c>
    </row>
    <row r="142" customFormat="false" ht="15" hidden="false" customHeight="false" outlineLevel="0" collapsed="false">
      <c r="A142" s="40" t="s">
        <v>349</v>
      </c>
      <c r="B142" s="40" t="s">
        <v>228</v>
      </c>
      <c r="C142" s="40" t="s">
        <v>427</v>
      </c>
      <c r="D142" s="40" t="s">
        <v>425</v>
      </c>
      <c r="E142" s="41" t="n">
        <v>64</v>
      </c>
      <c r="F142" s="42" t="str">
        <f aca="false">IF(VALUE(MID(C142,3,2))*10+VALUE(MID(D142,2,1))&lt;=242,"Pre",IF(VALUE(MID(C142,3,2))*10+VALUE(MID(D142,2,1))&lt;=254,"Post","Later"))</f>
        <v>Pre</v>
      </c>
      <c r="G142" s="40" t="s">
        <v>343</v>
      </c>
      <c r="H142" s="40" t="s">
        <v>791</v>
      </c>
      <c r="I142" s="40" t="s">
        <v>790</v>
      </c>
    </row>
    <row r="143" customFormat="false" ht="15" hidden="false" customHeight="false" outlineLevel="0" collapsed="false">
      <c r="A143" s="40" t="s">
        <v>349</v>
      </c>
      <c r="B143" s="40" t="s">
        <v>228</v>
      </c>
      <c r="C143" s="40" t="s">
        <v>432</v>
      </c>
      <c r="D143" s="40" t="s">
        <v>418</v>
      </c>
      <c r="E143" s="41" t="n">
        <v>63</v>
      </c>
      <c r="F143" s="42" t="str">
        <f aca="false">IF(VALUE(MID(C143,3,2))*10+VALUE(MID(D143,2,1))&lt;=242,"Pre",IF(VALUE(MID(C143,3,2))*10+VALUE(MID(D143,2,1))&lt;=254,"Post","Later"))</f>
        <v>Pre</v>
      </c>
      <c r="G143" s="40" t="s">
        <v>343</v>
      </c>
      <c r="H143" s="40" t="s">
        <v>433</v>
      </c>
      <c r="I143" s="40" t="s">
        <v>790</v>
      </c>
    </row>
    <row r="144" customFormat="false" ht="15" hidden="false" customHeight="false" outlineLevel="0" collapsed="false">
      <c r="A144" s="40" t="s">
        <v>349</v>
      </c>
      <c r="B144" s="40" t="s">
        <v>228</v>
      </c>
      <c r="C144" s="40" t="s">
        <v>432</v>
      </c>
      <c r="D144" s="40" t="s">
        <v>421</v>
      </c>
      <c r="E144" s="41" t="n">
        <v>67</v>
      </c>
      <c r="F144" s="42" t="str">
        <f aca="false">IF(VALUE(MID(C144,3,2))*10+VALUE(MID(D144,2,1))&lt;=242,"Pre",IF(VALUE(MID(C144,3,2))*10+VALUE(MID(D144,2,1))&lt;=254,"Post","Later"))</f>
        <v>Pre</v>
      </c>
      <c r="G144" s="40" t="s">
        <v>343</v>
      </c>
      <c r="H144" s="40" t="s">
        <v>433</v>
      </c>
      <c r="I144" s="40" t="s">
        <v>790</v>
      </c>
    </row>
    <row r="145" customFormat="false" ht="15" hidden="false" customHeight="false" outlineLevel="0" collapsed="false">
      <c r="A145" s="40" t="s">
        <v>349</v>
      </c>
      <c r="B145" s="40" t="s">
        <v>228</v>
      </c>
      <c r="C145" s="40" t="s">
        <v>432</v>
      </c>
      <c r="D145" s="40" t="s">
        <v>423</v>
      </c>
      <c r="E145" s="41" t="n">
        <v>68</v>
      </c>
      <c r="F145" s="42" t="str">
        <f aca="false">IF(VALUE(MID(C145,3,2))*10+VALUE(MID(D145,2,1))&lt;=242,"Pre",IF(VALUE(MID(C145,3,2))*10+VALUE(MID(D145,2,1))&lt;=254,"Post","Later"))</f>
        <v>Pre</v>
      </c>
      <c r="G145" s="40" t="s">
        <v>343</v>
      </c>
      <c r="H145" s="40" t="s">
        <v>433</v>
      </c>
      <c r="I145" s="40" t="s">
        <v>790</v>
      </c>
    </row>
    <row r="146" customFormat="false" ht="15" hidden="false" customHeight="false" outlineLevel="0" collapsed="false">
      <c r="A146" s="40" t="s">
        <v>349</v>
      </c>
      <c r="B146" s="40" t="s">
        <v>228</v>
      </c>
      <c r="C146" s="40" t="s">
        <v>432</v>
      </c>
      <c r="D146" s="40" t="s">
        <v>425</v>
      </c>
      <c r="E146" s="41" t="n">
        <v>75</v>
      </c>
      <c r="F146" s="42" t="str">
        <f aca="false">IF(VALUE(MID(C146,3,2))*10+VALUE(MID(D146,2,1))&lt;=242,"Pre",IF(VALUE(MID(C146,3,2))*10+VALUE(MID(D146,2,1))&lt;=254,"Post","Later"))</f>
        <v>Pre</v>
      </c>
      <c r="G146" s="40" t="s">
        <v>343</v>
      </c>
      <c r="H146" s="40" t="s">
        <v>433</v>
      </c>
      <c r="I146" s="40" t="s">
        <v>790</v>
      </c>
    </row>
    <row r="147" customFormat="false" ht="15" hidden="false" customHeight="false" outlineLevel="0" collapsed="false">
      <c r="A147" s="40" t="s">
        <v>349</v>
      </c>
      <c r="B147" s="40" t="s">
        <v>228</v>
      </c>
      <c r="C147" s="40" t="s">
        <v>435</v>
      </c>
      <c r="D147" s="40" t="s">
        <v>418</v>
      </c>
      <c r="E147" s="41" t="n">
        <v>76</v>
      </c>
      <c r="F147" s="42" t="str">
        <f aca="false">IF(VALUE(MID(C147,3,2))*10+VALUE(MID(D147,2,1))&lt;=242,"Pre",IF(VALUE(MID(C147,3,2))*10+VALUE(MID(D147,2,1))&lt;=254,"Post","Later"))</f>
        <v>Pre</v>
      </c>
      <c r="G147" s="40" t="s">
        <v>343</v>
      </c>
      <c r="H147" s="40" t="s">
        <v>792</v>
      </c>
      <c r="I147" s="40" t="s">
        <v>790</v>
      </c>
    </row>
    <row r="148" customFormat="false" ht="15" hidden="false" customHeight="false" outlineLevel="0" collapsed="false">
      <c r="A148" s="40" t="s">
        <v>349</v>
      </c>
      <c r="B148" s="40" t="s">
        <v>228</v>
      </c>
      <c r="C148" s="40" t="s">
        <v>435</v>
      </c>
      <c r="D148" s="40" t="s">
        <v>421</v>
      </c>
      <c r="E148" s="41" t="n">
        <v>77</v>
      </c>
      <c r="F148" s="42" t="str">
        <f aca="false">IF(VALUE(MID(C148,3,2))*10+VALUE(MID(D148,2,1))&lt;=242,"Pre",IF(VALUE(MID(C148,3,2))*10+VALUE(MID(D148,2,1))&lt;=254,"Post","Later"))</f>
        <v>Pre</v>
      </c>
      <c r="G148" s="40" t="s">
        <v>343</v>
      </c>
      <c r="H148" s="40" t="s">
        <v>792</v>
      </c>
      <c r="I148" s="40" t="s">
        <v>790</v>
      </c>
    </row>
    <row r="149" customFormat="false" ht="15" hidden="false" customHeight="false" outlineLevel="0" collapsed="false">
      <c r="A149" s="40" t="s">
        <v>349</v>
      </c>
      <c r="B149" s="40" t="s">
        <v>228</v>
      </c>
      <c r="C149" s="40" t="s">
        <v>435</v>
      </c>
      <c r="D149" s="40" t="s">
        <v>423</v>
      </c>
      <c r="E149" s="41" t="n">
        <v>81</v>
      </c>
      <c r="F149" s="42" t="str">
        <f aca="false">IF(VALUE(MID(C149,3,2))*10+VALUE(MID(D149,2,1))&lt;=242,"Pre",IF(VALUE(MID(C149,3,2))*10+VALUE(MID(D149,2,1))&lt;=254,"Post","Later"))</f>
        <v>Post</v>
      </c>
      <c r="G149" s="40" t="s">
        <v>343</v>
      </c>
      <c r="H149" s="40" t="s">
        <v>792</v>
      </c>
      <c r="I149" s="40" t="s">
        <v>790</v>
      </c>
    </row>
    <row r="150" customFormat="false" ht="15" hidden="false" customHeight="false" outlineLevel="0" collapsed="false">
      <c r="A150" s="40" t="s">
        <v>349</v>
      </c>
      <c r="B150" s="40" t="s">
        <v>228</v>
      </c>
      <c r="C150" s="40" t="s">
        <v>435</v>
      </c>
      <c r="D150" s="40" t="s">
        <v>425</v>
      </c>
      <c r="E150" s="41" t="n">
        <v>80</v>
      </c>
      <c r="F150" s="42" t="str">
        <f aca="false">IF(VALUE(MID(C150,3,2))*10+VALUE(MID(D150,2,1))&lt;=242,"Pre",IF(VALUE(MID(C150,3,2))*10+VALUE(MID(D150,2,1))&lt;=254,"Post","Later"))</f>
        <v>Post</v>
      </c>
      <c r="G150" s="40" t="s">
        <v>343</v>
      </c>
      <c r="H150" s="40" t="s">
        <v>792</v>
      </c>
      <c r="I150" s="40" t="s">
        <v>790</v>
      </c>
    </row>
    <row r="151" customFormat="false" ht="15" hidden="false" customHeight="false" outlineLevel="0" collapsed="false">
      <c r="A151" s="40" t="s">
        <v>349</v>
      </c>
      <c r="B151" s="40" t="s">
        <v>228</v>
      </c>
      <c r="C151" s="40" t="s">
        <v>440</v>
      </c>
      <c r="D151" s="40" t="s">
        <v>418</v>
      </c>
      <c r="E151" s="41" t="n">
        <v>83</v>
      </c>
      <c r="F151" s="42" t="str">
        <f aca="false">IF(VALUE(MID(C151,3,2))*10+VALUE(MID(D151,2,1))&lt;=242,"Pre",IF(VALUE(MID(C151,3,2))*10+VALUE(MID(D151,2,1))&lt;=254,"Post","Later"))</f>
        <v>Post</v>
      </c>
      <c r="G151" s="40" t="s">
        <v>343</v>
      </c>
      <c r="H151" s="40" t="s">
        <v>442</v>
      </c>
      <c r="I151" s="40" t="s">
        <v>790</v>
      </c>
    </row>
    <row r="152" customFormat="false" ht="15" hidden="false" customHeight="false" outlineLevel="0" collapsed="false">
      <c r="A152" s="40" t="s">
        <v>349</v>
      </c>
      <c r="B152" s="40" t="s">
        <v>228</v>
      </c>
      <c r="C152" s="40" t="s">
        <v>440</v>
      </c>
      <c r="D152" s="40" t="s">
        <v>421</v>
      </c>
      <c r="E152" s="41" t="n">
        <v>82</v>
      </c>
      <c r="F152" s="42" t="str">
        <f aca="false">IF(VALUE(MID(C152,3,2))*10+VALUE(MID(D152,2,1))&lt;=242,"Pre",IF(VALUE(MID(C152,3,2))*10+VALUE(MID(D152,2,1))&lt;=254,"Post","Later"))</f>
        <v>Post</v>
      </c>
      <c r="G152" s="40" t="s">
        <v>343</v>
      </c>
      <c r="H152" s="40" t="s">
        <v>442</v>
      </c>
      <c r="I152" s="40" t="s">
        <v>790</v>
      </c>
    </row>
    <row r="153" customFormat="false" ht="15" hidden="false" customHeight="false" outlineLevel="0" collapsed="false">
      <c r="A153" s="40" t="s">
        <v>349</v>
      </c>
      <c r="B153" s="40" t="s">
        <v>228</v>
      </c>
      <c r="C153" s="40" t="s">
        <v>440</v>
      </c>
      <c r="D153" s="40" t="s">
        <v>423</v>
      </c>
      <c r="E153" s="41" t="n">
        <v>84</v>
      </c>
      <c r="F153" s="42" t="str">
        <f aca="false">IF(VALUE(MID(C153,3,2))*10+VALUE(MID(D153,2,1))&lt;=242,"Pre",IF(VALUE(MID(C153,3,2))*10+VALUE(MID(D153,2,1))&lt;=254,"Post","Later"))</f>
        <v>Post</v>
      </c>
      <c r="G153" s="40" t="s">
        <v>343</v>
      </c>
      <c r="H153" s="40" t="s">
        <v>442</v>
      </c>
      <c r="I153" s="40" t="s">
        <v>790</v>
      </c>
    </row>
    <row r="154" customFormat="false" ht="15" hidden="false" customHeight="false" outlineLevel="0" collapsed="false">
      <c r="A154" s="40" t="s">
        <v>349</v>
      </c>
      <c r="B154" s="40" t="s">
        <v>228</v>
      </c>
      <c r="C154" s="40" t="s">
        <v>440</v>
      </c>
      <c r="D154" s="40" t="s">
        <v>425</v>
      </c>
      <c r="E154" s="41" t="n">
        <v>86</v>
      </c>
      <c r="F154" s="42" t="str">
        <f aca="false">IF(VALUE(MID(C154,3,2))*10+VALUE(MID(D154,2,1))&lt;=242,"Pre",IF(VALUE(MID(C154,3,2))*10+VALUE(MID(D154,2,1))&lt;=254,"Post","Later"))</f>
        <v>Post</v>
      </c>
      <c r="G154" s="40" t="s">
        <v>343</v>
      </c>
      <c r="H154" s="40" t="s">
        <v>442</v>
      </c>
      <c r="I154" s="40" t="s">
        <v>790</v>
      </c>
    </row>
    <row r="155" customFormat="false" ht="15" hidden="false" customHeight="false" outlineLevel="0" collapsed="false">
      <c r="A155" s="40" t="s">
        <v>349</v>
      </c>
      <c r="B155" s="40" t="s">
        <v>228</v>
      </c>
      <c r="C155" s="40" t="s">
        <v>444</v>
      </c>
      <c r="D155" s="40" t="s">
        <v>418</v>
      </c>
      <c r="E155" s="41" t="n">
        <v>84</v>
      </c>
      <c r="F155" s="42" t="str">
        <f aca="false">IF(VALUE(MID(C155,3,2))*10+VALUE(MID(D155,2,1))&lt;=242,"Pre",IF(VALUE(MID(C155,3,2))*10+VALUE(MID(D155,2,1))&lt;=254,"Post","Later"))</f>
        <v>Later</v>
      </c>
      <c r="G155" s="40" t="s">
        <v>343</v>
      </c>
      <c r="H155" s="40" t="s">
        <v>793</v>
      </c>
      <c r="I155" s="40" t="s">
        <v>790</v>
      </c>
    </row>
    <row r="156" customFormat="false" ht="15" hidden="false" customHeight="false" outlineLevel="0" collapsed="false">
      <c r="A156" s="40" t="s">
        <v>349</v>
      </c>
      <c r="B156" s="40" t="s">
        <v>228</v>
      </c>
      <c r="C156" s="40" t="s">
        <v>444</v>
      </c>
      <c r="D156" s="40" t="s">
        <v>421</v>
      </c>
      <c r="E156" s="41" t="n">
        <v>84</v>
      </c>
      <c r="F156" s="42" t="str">
        <f aca="false">IF(VALUE(MID(C156,3,2))*10+VALUE(MID(D156,2,1))&lt;=242,"Pre",IF(VALUE(MID(C156,3,2))*10+VALUE(MID(D156,2,1))&lt;=254,"Post","Later"))</f>
        <v>Later</v>
      </c>
      <c r="G156" s="40" t="s">
        <v>343</v>
      </c>
      <c r="H156" s="40" t="s">
        <v>793</v>
      </c>
      <c r="I156" s="40" t="s">
        <v>790</v>
      </c>
    </row>
    <row r="157" customFormat="false" ht="15" hidden="false" customHeight="false" outlineLevel="0" collapsed="false">
      <c r="A157" s="40" t="s">
        <v>349</v>
      </c>
      <c r="B157" s="40" t="s">
        <v>228</v>
      </c>
      <c r="C157" s="40" t="s">
        <v>444</v>
      </c>
      <c r="D157" s="40" t="s">
        <v>423</v>
      </c>
      <c r="E157" s="41" t="n">
        <v>86</v>
      </c>
      <c r="F157" s="42" t="str">
        <f aca="false">IF(VALUE(MID(C157,3,2))*10+VALUE(MID(D157,2,1))&lt;=242,"Pre",IF(VALUE(MID(C157,3,2))*10+VALUE(MID(D157,2,1))&lt;=254,"Post","Later"))</f>
        <v>Later</v>
      </c>
      <c r="G157" s="40" t="s">
        <v>343</v>
      </c>
      <c r="H157" s="40" t="s">
        <v>793</v>
      </c>
      <c r="I157" s="40" t="s">
        <v>790</v>
      </c>
    </row>
    <row r="158" customFormat="false" ht="15" hidden="false" customHeight="false" outlineLevel="0" collapsed="false">
      <c r="A158" s="40" t="s">
        <v>349</v>
      </c>
      <c r="B158" s="40" t="s">
        <v>228</v>
      </c>
      <c r="C158" s="40" t="s">
        <v>444</v>
      </c>
      <c r="D158" s="40" t="s">
        <v>425</v>
      </c>
      <c r="E158" s="41" t="n">
        <v>85</v>
      </c>
      <c r="F158" s="42" t="str">
        <f aca="false">IF(VALUE(MID(C158,3,2))*10+VALUE(MID(D158,2,1))&lt;=242,"Pre",IF(VALUE(MID(C158,3,2))*10+VALUE(MID(D158,2,1))&lt;=254,"Post","Later"))</f>
        <v>Later</v>
      </c>
      <c r="G158" s="40" t="s">
        <v>343</v>
      </c>
      <c r="H158" s="40" t="s">
        <v>793</v>
      </c>
      <c r="I158" s="40" t="s">
        <v>790</v>
      </c>
    </row>
    <row r="159" customFormat="false" ht="15" hidden="false" customHeight="false" outlineLevel="0" collapsed="false">
      <c r="A159" s="40" t="s">
        <v>345</v>
      </c>
      <c r="B159" s="40" t="s">
        <v>228</v>
      </c>
      <c r="C159" s="40" t="s">
        <v>417</v>
      </c>
      <c r="D159" s="40" t="s">
        <v>425</v>
      </c>
      <c r="E159" s="41" t="n">
        <v>28</v>
      </c>
      <c r="F159" s="42" t="str">
        <f aca="false">IF(VALUE(MID(C159,3,2))*10+VALUE(MID(D159,2,1))&lt;=242,"Pre",IF(VALUE(MID(C159,3,2))*10+VALUE(MID(D159,2,1))&lt;=254,"Post","Later"))</f>
        <v>Pre</v>
      </c>
      <c r="G159" s="40" t="s">
        <v>343</v>
      </c>
      <c r="H159" s="40" t="s">
        <v>794</v>
      </c>
      <c r="I159" s="40" t="s">
        <v>795</v>
      </c>
    </row>
    <row r="160" customFormat="false" ht="15" hidden="false" customHeight="false" outlineLevel="0" collapsed="false">
      <c r="A160" s="40" t="s">
        <v>345</v>
      </c>
      <c r="B160" s="40" t="s">
        <v>228</v>
      </c>
      <c r="C160" s="40" t="s">
        <v>427</v>
      </c>
      <c r="D160" s="40" t="s">
        <v>425</v>
      </c>
      <c r="E160" s="41" t="n">
        <v>35</v>
      </c>
      <c r="F160" s="42" t="str">
        <f aca="false">IF(VALUE(MID(C160,3,2))*10+VALUE(MID(D160,2,1))&lt;=242,"Pre",IF(VALUE(MID(C160,3,2))*10+VALUE(MID(D160,2,1))&lt;=254,"Post","Later"))</f>
        <v>Pre</v>
      </c>
      <c r="G160" s="40" t="s">
        <v>343</v>
      </c>
      <c r="H160" s="40" t="s">
        <v>794</v>
      </c>
      <c r="I160" s="40" t="s">
        <v>795</v>
      </c>
    </row>
    <row r="161" customFormat="false" ht="15" hidden="false" customHeight="false" outlineLevel="0" collapsed="false">
      <c r="A161" s="40" t="s">
        <v>345</v>
      </c>
      <c r="B161" s="40" t="s">
        <v>228</v>
      </c>
      <c r="C161" s="40" t="s">
        <v>432</v>
      </c>
      <c r="D161" s="40" t="s">
        <v>425</v>
      </c>
      <c r="E161" s="41" t="n">
        <v>45</v>
      </c>
      <c r="F161" s="42" t="str">
        <f aca="false">IF(VALUE(MID(C161,3,2))*10+VALUE(MID(D161,2,1))&lt;=242,"Pre",IF(VALUE(MID(C161,3,2))*10+VALUE(MID(D161,2,1))&lt;=254,"Post","Later"))</f>
        <v>Pre</v>
      </c>
      <c r="G161" s="40" t="s">
        <v>343</v>
      </c>
      <c r="H161" s="40" t="s">
        <v>794</v>
      </c>
      <c r="I161" s="40" t="s">
        <v>795</v>
      </c>
    </row>
    <row r="162" customFormat="false" ht="15" hidden="false" customHeight="false" outlineLevel="0" collapsed="false">
      <c r="A162" s="40" t="s">
        <v>345</v>
      </c>
      <c r="B162" s="40" t="s">
        <v>228</v>
      </c>
      <c r="C162" s="40" t="s">
        <v>435</v>
      </c>
      <c r="D162" s="40" t="s">
        <v>425</v>
      </c>
      <c r="E162" s="41" t="n">
        <v>51</v>
      </c>
      <c r="F162" s="42" t="str">
        <f aca="false">IF(VALUE(MID(C162,3,2))*10+VALUE(MID(D162,2,1))&lt;=242,"Pre",IF(VALUE(MID(C162,3,2))*10+VALUE(MID(D162,2,1))&lt;=254,"Post","Later"))</f>
        <v>Post</v>
      </c>
      <c r="G162" s="40" t="s">
        <v>343</v>
      </c>
      <c r="H162" s="40" t="s">
        <v>794</v>
      </c>
      <c r="I162" s="40" t="s">
        <v>795</v>
      </c>
    </row>
    <row r="163" customFormat="false" ht="15" hidden="false" customHeight="false" outlineLevel="0" collapsed="false">
      <c r="A163" s="40" t="s">
        <v>345</v>
      </c>
      <c r="B163" s="40" t="s">
        <v>228</v>
      </c>
      <c r="C163" s="40" t="s">
        <v>440</v>
      </c>
      <c r="D163" s="40" t="s">
        <v>425</v>
      </c>
      <c r="E163" s="41" t="n">
        <v>35</v>
      </c>
      <c r="F163" s="42" t="str">
        <f aca="false">IF(VALUE(MID(C163,3,2))*10+VALUE(MID(D163,2,1))&lt;=242,"Pre",IF(VALUE(MID(C163,3,2))*10+VALUE(MID(D163,2,1))&lt;=254,"Post","Later"))</f>
        <v>Post</v>
      </c>
      <c r="G163" s="40" t="s">
        <v>343</v>
      </c>
      <c r="H163" s="40" t="s">
        <v>794</v>
      </c>
      <c r="I163" s="40" t="s">
        <v>795</v>
      </c>
    </row>
    <row r="164" customFormat="false" ht="15" hidden="false" customHeight="false" outlineLevel="0" collapsed="false">
      <c r="A164" s="40" t="s">
        <v>345</v>
      </c>
      <c r="B164" s="40" t="s">
        <v>228</v>
      </c>
      <c r="C164" s="40" t="s">
        <v>444</v>
      </c>
      <c r="D164" s="40" t="s">
        <v>423</v>
      </c>
      <c r="E164" s="41" t="n">
        <v>41</v>
      </c>
      <c r="F164" s="42" t="str">
        <f aca="false">IF(VALUE(MID(C164,3,2))*10+VALUE(MID(D164,2,1))&lt;=242,"Pre",IF(VALUE(MID(C164,3,2))*10+VALUE(MID(D164,2,1))&lt;=254,"Post","Later"))</f>
        <v>Later</v>
      </c>
      <c r="G164" s="40" t="s">
        <v>343</v>
      </c>
      <c r="H164" s="40" t="s">
        <v>794</v>
      </c>
      <c r="I164" s="40" t="s">
        <v>795</v>
      </c>
    </row>
    <row r="165" customFormat="false" ht="15" hidden="false" customHeight="false" outlineLevel="0" collapsed="false">
      <c r="A165" s="40" t="s">
        <v>345</v>
      </c>
      <c r="B165" s="40" t="s">
        <v>228</v>
      </c>
      <c r="C165" s="40" t="s">
        <v>444</v>
      </c>
      <c r="D165" s="40" t="s">
        <v>425</v>
      </c>
      <c r="E165" s="41" t="n">
        <v>43</v>
      </c>
      <c r="F165" s="42" t="str">
        <f aca="false">IF(VALUE(MID(C165,3,2))*10+VALUE(MID(D165,2,1))&lt;=242,"Pre",IF(VALUE(MID(C165,3,2))*10+VALUE(MID(D165,2,1))&lt;=254,"Post","Later"))</f>
        <v>Later</v>
      </c>
      <c r="G165" s="40" t="s">
        <v>343</v>
      </c>
      <c r="H165" s="40" t="s">
        <v>794</v>
      </c>
      <c r="I165" s="40" t="s">
        <v>795</v>
      </c>
    </row>
    <row r="166" customFormat="false" ht="15" hidden="false" customHeight="false" outlineLevel="0" collapsed="false">
      <c r="A166" s="40" t="s">
        <v>356</v>
      </c>
      <c r="B166" s="40" t="s">
        <v>249</v>
      </c>
      <c r="C166" s="40" t="s">
        <v>417</v>
      </c>
      <c r="D166" s="40" t="s">
        <v>425</v>
      </c>
      <c r="E166" s="41" t="n">
        <v>44</v>
      </c>
      <c r="F166" s="42" t="str">
        <f aca="false">IF(VALUE(MID(C166,3,2))*10+VALUE(MID(D166,2,1))&lt;=242,"Pre",IF(VALUE(MID(C166,3,2))*10+VALUE(MID(D166,2,1))&lt;=254,"Post","Later"))</f>
        <v>Pre</v>
      </c>
      <c r="G166" s="40" t="s">
        <v>343</v>
      </c>
      <c r="H166" s="40" t="s">
        <v>796</v>
      </c>
      <c r="I166" s="40" t="s">
        <v>797</v>
      </c>
    </row>
    <row r="167" customFormat="false" ht="15" hidden="false" customHeight="false" outlineLevel="0" collapsed="false">
      <c r="A167" s="40" t="s">
        <v>356</v>
      </c>
      <c r="B167" s="40" t="s">
        <v>249</v>
      </c>
      <c r="C167" s="40" t="s">
        <v>427</v>
      </c>
      <c r="D167" s="40" t="s">
        <v>418</v>
      </c>
      <c r="E167" s="41" t="n">
        <v>45</v>
      </c>
      <c r="F167" s="42" t="str">
        <f aca="false">IF(VALUE(MID(C167,3,2))*10+VALUE(MID(D167,2,1))&lt;=242,"Pre",IF(VALUE(MID(C167,3,2))*10+VALUE(MID(D167,2,1))&lt;=254,"Post","Later"))</f>
        <v>Pre</v>
      </c>
      <c r="G167" s="40" t="s">
        <v>343</v>
      </c>
      <c r="H167" s="40" t="s">
        <v>796</v>
      </c>
      <c r="I167" s="40" t="s">
        <v>797</v>
      </c>
    </row>
    <row r="168" customFormat="false" ht="15" hidden="false" customHeight="false" outlineLevel="0" collapsed="false">
      <c r="A168" s="40" t="s">
        <v>356</v>
      </c>
      <c r="B168" s="40" t="s">
        <v>249</v>
      </c>
      <c r="C168" s="40" t="s">
        <v>427</v>
      </c>
      <c r="D168" s="40" t="s">
        <v>421</v>
      </c>
      <c r="E168" s="41" t="n">
        <v>45</v>
      </c>
      <c r="F168" s="42" t="str">
        <f aca="false">IF(VALUE(MID(C168,3,2))*10+VALUE(MID(D168,2,1))&lt;=242,"Pre",IF(VALUE(MID(C168,3,2))*10+VALUE(MID(D168,2,1))&lt;=254,"Post","Later"))</f>
        <v>Pre</v>
      </c>
      <c r="G168" s="40" t="s">
        <v>343</v>
      </c>
      <c r="H168" s="40" t="s">
        <v>798</v>
      </c>
      <c r="I168" s="40" t="s">
        <v>797</v>
      </c>
    </row>
    <row r="169" customFormat="false" ht="15" hidden="false" customHeight="false" outlineLevel="0" collapsed="false">
      <c r="A169" s="40" t="s">
        <v>356</v>
      </c>
      <c r="B169" s="40" t="s">
        <v>249</v>
      </c>
      <c r="C169" s="40" t="s">
        <v>427</v>
      </c>
      <c r="D169" s="40" t="s">
        <v>423</v>
      </c>
      <c r="E169" s="41" t="n">
        <v>45</v>
      </c>
      <c r="F169" s="42" t="str">
        <f aca="false">IF(VALUE(MID(C169,3,2))*10+VALUE(MID(D169,2,1))&lt;=242,"Pre",IF(VALUE(MID(C169,3,2))*10+VALUE(MID(D169,2,1))&lt;=254,"Post","Later"))</f>
        <v>Pre</v>
      </c>
      <c r="G169" s="40" t="s">
        <v>343</v>
      </c>
      <c r="H169" s="40" t="s">
        <v>798</v>
      </c>
      <c r="I169" s="40" t="s">
        <v>797</v>
      </c>
    </row>
    <row r="170" customFormat="false" ht="15" hidden="false" customHeight="false" outlineLevel="0" collapsed="false">
      <c r="A170" s="40" t="s">
        <v>356</v>
      </c>
      <c r="B170" s="40" t="s">
        <v>249</v>
      </c>
      <c r="C170" s="40" t="s">
        <v>427</v>
      </c>
      <c r="D170" s="40" t="s">
        <v>425</v>
      </c>
      <c r="E170" s="41" t="n">
        <v>45</v>
      </c>
      <c r="F170" s="42" t="str">
        <f aca="false">IF(VALUE(MID(C170,3,2))*10+VALUE(MID(D170,2,1))&lt;=242,"Pre",IF(VALUE(MID(C170,3,2))*10+VALUE(MID(D170,2,1))&lt;=254,"Post","Later"))</f>
        <v>Pre</v>
      </c>
      <c r="G170" s="40" t="s">
        <v>343</v>
      </c>
      <c r="H170" s="40" t="s">
        <v>798</v>
      </c>
      <c r="I170" s="40" t="s">
        <v>797</v>
      </c>
    </row>
    <row r="171" customFormat="false" ht="15" hidden="false" customHeight="false" outlineLevel="0" collapsed="false">
      <c r="A171" s="40" t="s">
        <v>356</v>
      </c>
      <c r="B171" s="40" t="s">
        <v>249</v>
      </c>
      <c r="C171" s="40" t="s">
        <v>432</v>
      </c>
      <c r="D171" s="40" t="s">
        <v>418</v>
      </c>
      <c r="E171" s="41" t="n">
        <v>47</v>
      </c>
      <c r="F171" s="42" t="str">
        <f aca="false">IF(VALUE(MID(C171,3,2))*10+VALUE(MID(D171,2,1))&lt;=242,"Pre",IF(VALUE(MID(C171,3,2))*10+VALUE(MID(D171,2,1))&lt;=254,"Post","Later"))</f>
        <v>Pre</v>
      </c>
      <c r="G171" s="40" t="s">
        <v>343</v>
      </c>
      <c r="H171" s="40" t="s">
        <v>798</v>
      </c>
      <c r="I171" s="40" t="s">
        <v>797</v>
      </c>
    </row>
    <row r="172" customFormat="false" ht="15" hidden="false" customHeight="false" outlineLevel="0" collapsed="false">
      <c r="A172" s="40" t="s">
        <v>356</v>
      </c>
      <c r="B172" s="40" t="s">
        <v>249</v>
      </c>
      <c r="C172" s="40" t="s">
        <v>432</v>
      </c>
      <c r="D172" s="40" t="s">
        <v>421</v>
      </c>
      <c r="E172" s="41" t="n">
        <v>52</v>
      </c>
      <c r="F172" s="42" t="str">
        <f aca="false">IF(VALUE(MID(C172,3,2))*10+VALUE(MID(D172,2,1))&lt;=242,"Pre",IF(VALUE(MID(C172,3,2))*10+VALUE(MID(D172,2,1))&lt;=254,"Post","Later"))</f>
        <v>Pre</v>
      </c>
      <c r="G172" s="40" t="s">
        <v>343</v>
      </c>
      <c r="H172" s="40" t="s">
        <v>798</v>
      </c>
      <c r="I172" s="40" t="s">
        <v>797</v>
      </c>
    </row>
    <row r="173" customFormat="false" ht="15" hidden="false" customHeight="false" outlineLevel="0" collapsed="false">
      <c r="A173" s="40" t="s">
        <v>356</v>
      </c>
      <c r="B173" s="40" t="s">
        <v>249</v>
      </c>
      <c r="C173" s="40" t="s">
        <v>432</v>
      </c>
      <c r="D173" s="40" t="s">
        <v>423</v>
      </c>
      <c r="E173" s="41" t="n">
        <v>56</v>
      </c>
      <c r="F173" s="42" t="str">
        <f aca="false">IF(VALUE(MID(C173,3,2))*10+VALUE(MID(D173,2,1))&lt;=242,"Pre",IF(VALUE(MID(C173,3,2))*10+VALUE(MID(D173,2,1))&lt;=254,"Post","Later"))</f>
        <v>Pre</v>
      </c>
      <c r="G173" s="40" t="s">
        <v>343</v>
      </c>
      <c r="H173" s="40" t="s">
        <v>798</v>
      </c>
      <c r="I173" s="40" t="s">
        <v>797</v>
      </c>
    </row>
    <row r="174" customFormat="false" ht="15" hidden="false" customHeight="false" outlineLevel="0" collapsed="false">
      <c r="A174" s="40" t="s">
        <v>356</v>
      </c>
      <c r="B174" s="40" t="s">
        <v>249</v>
      </c>
      <c r="C174" s="40" t="s">
        <v>432</v>
      </c>
      <c r="D174" s="40" t="s">
        <v>425</v>
      </c>
      <c r="E174" s="41" t="n">
        <v>58</v>
      </c>
      <c r="F174" s="42" t="str">
        <f aca="false">IF(VALUE(MID(C174,3,2))*10+VALUE(MID(D174,2,1))&lt;=242,"Pre",IF(VALUE(MID(C174,3,2))*10+VALUE(MID(D174,2,1))&lt;=254,"Post","Later"))</f>
        <v>Pre</v>
      </c>
      <c r="G174" s="40" t="s">
        <v>343</v>
      </c>
      <c r="H174" s="40" t="s">
        <v>798</v>
      </c>
      <c r="I174" s="40" t="s">
        <v>797</v>
      </c>
    </row>
    <row r="175" customFormat="false" ht="15" hidden="false" customHeight="false" outlineLevel="0" collapsed="false">
      <c r="A175" s="40" t="s">
        <v>356</v>
      </c>
      <c r="B175" s="40" t="s">
        <v>249</v>
      </c>
      <c r="C175" s="40" t="s">
        <v>435</v>
      </c>
      <c r="D175" s="40" t="s">
        <v>418</v>
      </c>
      <c r="E175" s="41" t="n">
        <v>54</v>
      </c>
      <c r="F175" s="42" t="str">
        <f aca="false">IF(VALUE(MID(C175,3,2))*10+VALUE(MID(D175,2,1))&lt;=242,"Pre",IF(VALUE(MID(C175,3,2))*10+VALUE(MID(D175,2,1))&lt;=254,"Post","Later"))</f>
        <v>Pre</v>
      </c>
      <c r="G175" s="40" t="s">
        <v>343</v>
      </c>
      <c r="H175" s="40" t="s">
        <v>798</v>
      </c>
      <c r="I175" s="40" t="s">
        <v>797</v>
      </c>
    </row>
    <row r="176" customFormat="false" ht="15" hidden="false" customHeight="false" outlineLevel="0" collapsed="false">
      <c r="A176" s="40" t="s">
        <v>356</v>
      </c>
      <c r="B176" s="40" t="s">
        <v>249</v>
      </c>
      <c r="C176" s="40" t="s">
        <v>435</v>
      </c>
      <c r="D176" s="40" t="s">
        <v>421</v>
      </c>
      <c r="E176" s="41" t="n">
        <v>54</v>
      </c>
      <c r="F176" s="42" t="str">
        <f aca="false">IF(VALUE(MID(C176,3,2))*10+VALUE(MID(D176,2,1))&lt;=242,"Pre",IF(VALUE(MID(C176,3,2))*10+VALUE(MID(D176,2,1))&lt;=254,"Post","Later"))</f>
        <v>Pre</v>
      </c>
      <c r="G176" s="40" t="s">
        <v>343</v>
      </c>
      <c r="H176" s="40" t="s">
        <v>798</v>
      </c>
      <c r="I176" s="40" t="s">
        <v>797</v>
      </c>
    </row>
    <row r="177" customFormat="false" ht="15" hidden="false" customHeight="false" outlineLevel="0" collapsed="false">
      <c r="A177" s="40" t="s">
        <v>356</v>
      </c>
      <c r="B177" s="40" t="s">
        <v>249</v>
      </c>
      <c r="C177" s="40" t="s">
        <v>435</v>
      </c>
      <c r="D177" s="40" t="s">
        <v>423</v>
      </c>
      <c r="E177" s="41" t="n">
        <v>56</v>
      </c>
      <c r="F177" s="42" t="str">
        <f aca="false">IF(VALUE(MID(C177,3,2))*10+VALUE(MID(D177,2,1))&lt;=242,"Pre",IF(VALUE(MID(C177,3,2))*10+VALUE(MID(D177,2,1))&lt;=254,"Post","Later"))</f>
        <v>Post</v>
      </c>
      <c r="G177" s="40" t="s">
        <v>343</v>
      </c>
      <c r="H177" s="40" t="s">
        <v>799</v>
      </c>
      <c r="I177" s="40" t="s">
        <v>797</v>
      </c>
    </row>
    <row r="178" customFormat="false" ht="15" hidden="false" customHeight="false" outlineLevel="0" collapsed="false">
      <c r="A178" s="40" t="s">
        <v>356</v>
      </c>
      <c r="B178" s="40" t="s">
        <v>249</v>
      </c>
      <c r="C178" s="40" t="s">
        <v>435</v>
      </c>
      <c r="D178" s="40" t="s">
        <v>425</v>
      </c>
      <c r="E178" s="41" t="n">
        <v>60</v>
      </c>
      <c r="F178" s="42" t="str">
        <f aca="false">IF(VALUE(MID(C178,3,2))*10+VALUE(MID(D178,2,1))&lt;=242,"Pre",IF(VALUE(MID(C178,3,2))*10+VALUE(MID(D178,2,1))&lt;=254,"Post","Later"))</f>
        <v>Post</v>
      </c>
      <c r="G178" s="40" t="s">
        <v>343</v>
      </c>
      <c r="H178" s="40" t="s">
        <v>799</v>
      </c>
      <c r="I178" s="40" t="s">
        <v>797</v>
      </c>
    </row>
    <row r="179" customFormat="false" ht="15" hidden="false" customHeight="false" outlineLevel="0" collapsed="false">
      <c r="A179" s="40" t="s">
        <v>356</v>
      </c>
      <c r="B179" s="40" t="s">
        <v>249</v>
      </c>
      <c r="C179" s="40" t="s">
        <v>440</v>
      </c>
      <c r="D179" s="40" t="s">
        <v>418</v>
      </c>
      <c r="E179" s="41" t="n">
        <v>59</v>
      </c>
      <c r="F179" s="42" t="str">
        <f aca="false">IF(VALUE(MID(C179,3,2))*10+VALUE(MID(D179,2,1))&lt;=242,"Pre",IF(VALUE(MID(C179,3,2))*10+VALUE(MID(D179,2,1))&lt;=254,"Post","Later"))</f>
        <v>Post</v>
      </c>
      <c r="G179" s="40" t="s">
        <v>343</v>
      </c>
      <c r="H179" s="40" t="s">
        <v>799</v>
      </c>
      <c r="I179" s="40" t="s">
        <v>797</v>
      </c>
    </row>
    <row r="180" customFormat="false" ht="15" hidden="false" customHeight="false" outlineLevel="0" collapsed="false">
      <c r="A180" s="40" t="s">
        <v>356</v>
      </c>
      <c r="B180" s="40" t="s">
        <v>249</v>
      </c>
      <c r="C180" s="40" t="s">
        <v>440</v>
      </c>
      <c r="D180" s="40" t="s">
        <v>421</v>
      </c>
      <c r="E180" s="41" t="n">
        <v>60</v>
      </c>
      <c r="F180" s="42" t="str">
        <f aca="false">IF(VALUE(MID(C180,3,2))*10+VALUE(MID(D180,2,1))&lt;=242,"Pre",IF(VALUE(MID(C180,3,2))*10+VALUE(MID(D180,2,1))&lt;=254,"Post","Later"))</f>
        <v>Post</v>
      </c>
      <c r="G180" s="40" t="s">
        <v>343</v>
      </c>
      <c r="H180" s="40" t="s">
        <v>799</v>
      </c>
      <c r="I180" s="40" t="s">
        <v>797</v>
      </c>
    </row>
    <row r="181" customFormat="false" ht="15" hidden="false" customHeight="false" outlineLevel="0" collapsed="false">
      <c r="A181" s="40" t="s">
        <v>356</v>
      </c>
      <c r="B181" s="40" t="s">
        <v>249</v>
      </c>
      <c r="C181" s="40" t="s">
        <v>440</v>
      </c>
      <c r="D181" s="40" t="s">
        <v>423</v>
      </c>
      <c r="E181" s="41" t="n">
        <v>59</v>
      </c>
      <c r="F181" s="42" t="str">
        <f aca="false">IF(VALUE(MID(C181,3,2))*10+VALUE(MID(D181,2,1))&lt;=242,"Pre",IF(VALUE(MID(C181,3,2))*10+VALUE(MID(D181,2,1))&lt;=254,"Post","Later"))</f>
        <v>Post</v>
      </c>
      <c r="G181" s="40" t="s">
        <v>343</v>
      </c>
      <c r="H181" s="40" t="s">
        <v>800</v>
      </c>
      <c r="I181" s="40" t="s">
        <v>797</v>
      </c>
    </row>
    <row r="182" customFormat="false" ht="15" hidden="false" customHeight="false" outlineLevel="0" collapsed="false">
      <c r="A182" s="40" t="s">
        <v>356</v>
      </c>
      <c r="B182" s="40" t="s">
        <v>249</v>
      </c>
      <c r="C182" s="40" t="s">
        <v>440</v>
      </c>
      <c r="D182" s="40" t="s">
        <v>425</v>
      </c>
      <c r="E182" s="41" t="n">
        <v>60</v>
      </c>
      <c r="F182" s="42" t="str">
        <f aca="false">IF(VALUE(MID(C182,3,2))*10+VALUE(MID(D182,2,1))&lt;=242,"Pre",IF(VALUE(MID(C182,3,2))*10+VALUE(MID(D182,2,1))&lt;=254,"Post","Later"))</f>
        <v>Post</v>
      </c>
      <c r="G182" s="40" t="s">
        <v>343</v>
      </c>
      <c r="H182" s="40" t="s">
        <v>800</v>
      </c>
      <c r="I182" s="40" t="s">
        <v>797</v>
      </c>
    </row>
    <row r="183" customFormat="false" ht="15" hidden="false" customHeight="false" outlineLevel="0" collapsed="false">
      <c r="A183" s="40" t="s">
        <v>356</v>
      </c>
      <c r="B183" s="40" t="s">
        <v>249</v>
      </c>
      <c r="C183" s="40" t="s">
        <v>444</v>
      </c>
      <c r="D183" s="40" t="s">
        <v>418</v>
      </c>
      <c r="E183" s="41" t="n">
        <v>60</v>
      </c>
      <c r="F183" s="42" t="str">
        <f aca="false">IF(VALUE(MID(C183,3,2))*10+VALUE(MID(D183,2,1))&lt;=242,"Pre",IF(VALUE(MID(C183,3,2))*10+VALUE(MID(D183,2,1))&lt;=254,"Post","Later"))</f>
        <v>Later</v>
      </c>
      <c r="G183" s="40" t="s">
        <v>343</v>
      </c>
      <c r="H183" s="40" t="s">
        <v>800</v>
      </c>
      <c r="I183" s="40" t="s">
        <v>797</v>
      </c>
    </row>
    <row r="184" customFormat="false" ht="15" hidden="false" customHeight="false" outlineLevel="0" collapsed="false">
      <c r="A184" s="40" t="s">
        <v>356</v>
      </c>
      <c r="B184" s="40" t="s">
        <v>249</v>
      </c>
      <c r="C184" s="40" t="s">
        <v>444</v>
      </c>
      <c r="D184" s="40" t="s">
        <v>421</v>
      </c>
      <c r="E184" s="41" t="n">
        <v>60</v>
      </c>
      <c r="F184" s="42" t="str">
        <f aca="false">IF(VALUE(MID(C184,3,2))*10+VALUE(MID(D184,2,1))&lt;=242,"Pre",IF(VALUE(MID(C184,3,2))*10+VALUE(MID(D184,2,1))&lt;=254,"Post","Later"))</f>
        <v>Later</v>
      </c>
      <c r="G184" s="40" t="s">
        <v>343</v>
      </c>
      <c r="H184" s="40" t="s">
        <v>800</v>
      </c>
      <c r="I184" s="40" t="s">
        <v>797</v>
      </c>
    </row>
    <row r="185" customFormat="false" ht="15" hidden="false" customHeight="false" outlineLevel="0" collapsed="false">
      <c r="A185" s="40" t="s">
        <v>356</v>
      </c>
      <c r="B185" s="40" t="s">
        <v>249</v>
      </c>
      <c r="C185" s="40" t="s">
        <v>444</v>
      </c>
      <c r="D185" s="40" t="s">
        <v>423</v>
      </c>
      <c r="E185" s="41" t="n">
        <v>58</v>
      </c>
      <c r="F185" s="42" t="str">
        <f aca="false">IF(VALUE(MID(C185,3,2))*10+VALUE(MID(D185,2,1))&lt;=242,"Pre",IF(VALUE(MID(C185,3,2))*10+VALUE(MID(D185,2,1))&lt;=254,"Post","Later"))</f>
        <v>Later</v>
      </c>
      <c r="G185" s="40" t="s">
        <v>343</v>
      </c>
      <c r="H185" s="40" t="s">
        <v>800</v>
      </c>
      <c r="I185" s="40" t="s">
        <v>797</v>
      </c>
    </row>
    <row r="186" customFormat="false" ht="15" hidden="false" customHeight="false" outlineLevel="0" collapsed="false">
      <c r="A186" s="40" t="s">
        <v>356</v>
      </c>
      <c r="B186" s="40" t="s">
        <v>249</v>
      </c>
      <c r="C186" s="40" t="s">
        <v>444</v>
      </c>
      <c r="D186" s="40" t="s">
        <v>425</v>
      </c>
      <c r="E186" s="41" t="n">
        <v>58</v>
      </c>
      <c r="F186" s="42" t="str">
        <f aca="false">IF(VALUE(MID(C186,3,2))*10+VALUE(MID(D186,2,1))&lt;=242,"Pre",IF(VALUE(MID(C186,3,2))*10+VALUE(MID(D186,2,1))&lt;=254,"Post","Later"))</f>
        <v>Later</v>
      </c>
      <c r="G186" s="40" t="s">
        <v>343</v>
      </c>
      <c r="H186" s="40" t="s">
        <v>800</v>
      </c>
      <c r="I186" s="40" t="s">
        <v>797</v>
      </c>
    </row>
    <row r="187" customFormat="false" ht="15" hidden="false" customHeight="false" outlineLevel="0" collapsed="false">
      <c r="A187" s="40" t="s">
        <v>351</v>
      </c>
      <c r="B187" s="40" t="s">
        <v>228</v>
      </c>
      <c r="C187" s="40" t="s">
        <v>417</v>
      </c>
      <c r="D187" s="40" t="s">
        <v>421</v>
      </c>
      <c r="E187" s="41" t="n">
        <v>31</v>
      </c>
      <c r="F187" s="42" t="str">
        <f aca="false">IF(VALUE(MID(C187,3,2))*10+VALUE(MID(D187,2,1))&lt;=242,"Pre",IF(VALUE(MID(C187,3,2))*10+VALUE(MID(D187,2,1))&lt;=254,"Post","Later"))</f>
        <v>Pre</v>
      </c>
      <c r="G187" s="40" t="s">
        <v>352</v>
      </c>
      <c r="H187" s="40" t="s">
        <v>801</v>
      </c>
      <c r="I187" s="40" t="s">
        <v>802</v>
      </c>
    </row>
    <row r="188" customFormat="false" ht="15" hidden="false" customHeight="false" outlineLevel="0" collapsed="false">
      <c r="A188" s="40" t="s">
        <v>351</v>
      </c>
      <c r="B188" s="40" t="s">
        <v>228</v>
      </c>
      <c r="C188" s="40" t="s">
        <v>417</v>
      </c>
      <c r="D188" s="40" t="s">
        <v>425</v>
      </c>
      <c r="E188" s="41" t="n">
        <v>27</v>
      </c>
      <c r="F188" s="42" t="str">
        <f aca="false">IF(VALUE(MID(C188,3,2))*10+VALUE(MID(D188,2,1))&lt;=242,"Pre",IF(VALUE(MID(C188,3,2))*10+VALUE(MID(D188,2,1))&lt;=254,"Post","Later"))</f>
        <v>Pre</v>
      </c>
      <c r="G188" s="40" t="s">
        <v>352</v>
      </c>
      <c r="H188" s="40" t="s">
        <v>801</v>
      </c>
      <c r="I188" s="40" t="s">
        <v>802</v>
      </c>
    </row>
    <row r="189" customFormat="false" ht="15" hidden="false" customHeight="false" outlineLevel="0" collapsed="false">
      <c r="A189" s="40" t="s">
        <v>351</v>
      </c>
      <c r="B189" s="40" t="s">
        <v>228</v>
      </c>
      <c r="C189" s="40" t="s">
        <v>427</v>
      </c>
      <c r="D189" s="40" t="s">
        <v>421</v>
      </c>
      <c r="E189" s="41" t="n">
        <v>27.7</v>
      </c>
      <c r="F189" s="42" t="str">
        <f aca="false">IF(VALUE(MID(C189,3,2))*10+VALUE(MID(D189,2,1))&lt;=242,"Pre",IF(VALUE(MID(C189,3,2))*10+VALUE(MID(D189,2,1))&lt;=254,"Post","Later"))</f>
        <v>Pre</v>
      </c>
      <c r="G189" s="40" t="s">
        <v>352</v>
      </c>
      <c r="H189" s="40" t="s">
        <v>803</v>
      </c>
      <c r="I189" s="40" t="s">
        <v>802</v>
      </c>
    </row>
    <row r="190" customFormat="false" ht="15" hidden="false" customHeight="false" outlineLevel="0" collapsed="false">
      <c r="A190" s="40" t="s">
        <v>351</v>
      </c>
      <c r="B190" s="40" t="s">
        <v>228</v>
      </c>
      <c r="C190" s="40" t="s">
        <v>427</v>
      </c>
      <c r="D190" s="40" t="s">
        <v>423</v>
      </c>
      <c r="E190" s="41" t="n">
        <v>31.6</v>
      </c>
      <c r="F190" s="42" t="str">
        <f aca="false">IF(VALUE(MID(C190,3,2))*10+VALUE(MID(D190,2,1))&lt;=242,"Pre",IF(VALUE(MID(C190,3,2))*10+VALUE(MID(D190,2,1))&lt;=254,"Post","Later"))</f>
        <v>Pre</v>
      </c>
      <c r="G190" s="40" t="s">
        <v>352</v>
      </c>
      <c r="H190" s="40" t="s">
        <v>803</v>
      </c>
      <c r="I190" s="40" t="s">
        <v>802</v>
      </c>
    </row>
    <row r="191" customFormat="false" ht="15" hidden="false" customHeight="false" outlineLevel="0" collapsed="false">
      <c r="A191" s="40" t="s">
        <v>351</v>
      </c>
      <c r="B191" s="40" t="s">
        <v>228</v>
      </c>
      <c r="C191" s="40" t="s">
        <v>427</v>
      </c>
      <c r="D191" s="40" t="s">
        <v>425</v>
      </c>
      <c r="E191" s="41" t="n">
        <v>28</v>
      </c>
      <c r="F191" s="42" t="str">
        <f aca="false">IF(VALUE(MID(C191,3,2))*10+VALUE(MID(D191,2,1))&lt;=242,"Pre",IF(VALUE(MID(C191,3,2))*10+VALUE(MID(D191,2,1))&lt;=254,"Post","Later"))</f>
        <v>Pre</v>
      </c>
      <c r="G191" s="40" t="s">
        <v>352</v>
      </c>
      <c r="H191" s="40" t="s">
        <v>803</v>
      </c>
      <c r="I191" s="40" t="s">
        <v>802</v>
      </c>
    </row>
    <row r="192" customFormat="false" ht="15" hidden="false" customHeight="false" outlineLevel="0" collapsed="false">
      <c r="A192" s="40" t="s">
        <v>351</v>
      </c>
      <c r="B192" s="40" t="s">
        <v>228</v>
      </c>
      <c r="C192" s="40" t="s">
        <v>432</v>
      </c>
      <c r="D192" s="40" t="s">
        <v>418</v>
      </c>
      <c r="E192" s="41" t="n">
        <v>24</v>
      </c>
      <c r="F192" s="42" t="str">
        <f aca="false">IF(VALUE(MID(C192,3,2))*10+VALUE(MID(D192,2,1))&lt;=242,"Pre",IF(VALUE(MID(C192,3,2))*10+VALUE(MID(D192,2,1))&lt;=254,"Post","Later"))</f>
        <v>Pre</v>
      </c>
      <c r="G192" s="40" t="s">
        <v>352</v>
      </c>
      <c r="H192" s="40" t="s">
        <v>803</v>
      </c>
      <c r="I192" s="40" t="s">
        <v>802</v>
      </c>
    </row>
    <row r="193" customFormat="false" ht="15" hidden="false" customHeight="false" outlineLevel="0" collapsed="false">
      <c r="A193" s="40" t="s">
        <v>351</v>
      </c>
      <c r="B193" s="40" t="s">
        <v>228</v>
      </c>
      <c r="C193" s="40" t="s">
        <v>432</v>
      </c>
      <c r="D193" s="40" t="s">
        <v>421</v>
      </c>
      <c r="E193" s="41" t="n">
        <v>27</v>
      </c>
      <c r="F193" s="42" t="str">
        <f aca="false">IF(VALUE(MID(C193,3,2))*10+VALUE(MID(D193,2,1))&lt;=242,"Pre",IF(VALUE(MID(C193,3,2))*10+VALUE(MID(D193,2,1))&lt;=254,"Post","Later"))</f>
        <v>Pre</v>
      </c>
      <c r="G193" s="40" t="s">
        <v>352</v>
      </c>
      <c r="H193" s="40" t="s">
        <v>803</v>
      </c>
      <c r="I193" s="40" t="s">
        <v>802</v>
      </c>
    </row>
    <row r="194" customFormat="false" ht="15" hidden="false" customHeight="false" outlineLevel="0" collapsed="false">
      <c r="A194" s="40" t="s">
        <v>351</v>
      </c>
      <c r="B194" s="40" t="s">
        <v>228</v>
      </c>
      <c r="C194" s="40" t="s">
        <v>432</v>
      </c>
      <c r="D194" s="40" t="s">
        <v>423</v>
      </c>
      <c r="E194" s="41" t="n">
        <v>29.3</v>
      </c>
      <c r="F194" s="42" t="str">
        <f aca="false">IF(VALUE(MID(C194,3,2))*10+VALUE(MID(D194,2,1))&lt;=242,"Pre",IF(VALUE(MID(C194,3,2))*10+VALUE(MID(D194,2,1))&lt;=254,"Post","Later"))</f>
        <v>Pre</v>
      </c>
      <c r="G194" s="40" t="s">
        <v>352</v>
      </c>
      <c r="H194" s="40" t="s">
        <v>804</v>
      </c>
      <c r="I194" s="40" t="s">
        <v>802</v>
      </c>
    </row>
    <row r="195" customFormat="false" ht="15" hidden="false" customHeight="false" outlineLevel="0" collapsed="false">
      <c r="A195" s="40" t="s">
        <v>351</v>
      </c>
      <c r="B195" s="40" t="s">
        <v>228</v>
      </c>
      <c r="C195" s="40" t="s">
        <v>432</v>
      </c>
      <c r="D195" s="40" t="s">
        <v>425</v>
      </c>
      <c r="E195" s="41" t="n">
        <v>33</v>
      </c>
      <c r="F195" s="42" t="str">
        <f aca="false">IF(VALUE(MID(C195,3,2))*10+VALUE(MID(D195,2,1))&lt;=242,"Pre",IF(VALUE(MID(C195,3,2))*10+VALUE(MID(D195,2,1))&lt;=254,"Post","Later"))</f>
        <v>Pre</v>
      </c>
      <c r="G195" s="40" t="s">
        <v>352</v>
      </c>
      <c r="H195" s="40" t="s">
        <v>804</v>
      </c>
      <c r="I195" s="40" t="s">
        <v>802</v>
      </c>
    </row>
    <row r="196" customFormat="false" ht="15" hidden="false" customHeight="false" outlineLevel="0" collapsed="false">
      <c r="A196" s="40" t="s">
        <v>351</v>
      </c>
      <c r="B196" s="40" t="s">
        <v>228</v>
      </c>
      <c r="C196" s="40" t="s">
        <v>435</v>
      </c>
      <c r="D196" s="40" t="s">
        <v>418</v>
      </c>
      <c r="E196" s="41" t="n">
        <v>33.9</v>
      </c>
      <c r="F196" s="42" t="str">
        <f aca="false">IF(VALUE(MID(C196,3,2))*10+VALUE(MID(D196,2,1))&lt;=242,"Pre",IF(VALUE(MID(C196,3,2))*10+VALUE(MID(D196,2,1))&lt;=254,"Post","Later"))</f>
        <v>Pre</v>
      </c>
      <c r="G196" s="40" t="s">
        <v>352</v>
      </c>
      <c r="H196" s="40" t="s">
        <v>804</v>
      </c>
      <c r="I196" s="40" t="s">
        <v>802</v>
      </c>
    </row>
    <row r="197" customFormat="false" ht="15" hidden="false" customHeight="false" outlineLevel="0" collapsed="false">
      <c r="A197" s="40" t="s">
        <v>351</v>
      </c>
      <c r="B197" s="40" t="s">
        <v>228</v>
      </c>
      <c r="C197" s="40" t="s">
        <v>435</v>
      </c>
      <c r="D197" s="40" t="s">
        <v>421</v>
      </c>
      <c r="E197" s="41" t="n">
        <v>32.5</v>
      </c>
      <c r="F197" s="42" t="str">
        <f aca="false">IF(VALUE(MID(C197,3,2))*10+VALUE(MID(D197,2,1))&lt;=242,"Pre",IF(VALUE(MID(C197,3,2))*10+VALUE(MID(D197,2,1))&lt;=254,"Post","Later"))</f>
        <v>Pre</v>
      </c>
      <c r="G197" s="40" t="s">
        <v>352</v>
      </c>
      <c r="H197" s="40" t="s">
        <v>805</v>
      </c>
      <c r="I197" s="40" t="s">
        <v>802</v>
      </c>
    </row>
    <row r="198" customFormat="false" ht="15" hidden="false" customHeight="false" outlineLevel="0" collapsed="false">
      <c r="A198" s="40" t="s">
        <v>351</v>
      </c>
      <c r="B198" s="40" t="s">
        <v>228</v>
      </c>
      <c r="C198" s="40" t="s">
        <v>435</v>
      </c>
      <c r="D198" s="40" t="s">
        <v>423</v>
      </c>
      <c r="E198" s="41" t="n">
        <v>35.7</v>
      </c>
      <c r="F198" s="42" t="str">
        <f aca="false">IF(VALUE(MID(C198,3,2))*10+VALUE(MID(D198,2,1))&lt;=242,"Pre",IF(VALUE(MID(C198,3,2))*10+VALUE(MID(D198,2,1))&lt;=254,"Post","Later"))</f>
        <v>Post</v>
      </c>
      <c r="G198" s="40" t="s">
        <v>352</v>
      </c>
      <c r="H198" s="40" t="s">
        <v>805</v>
      </c>
      <c r="I198" s="40" t="s">
        <v>802</v>
      </c>
    </row>
    <row r="199" customFormat="false" ht="15" hidden="false" customHeight="false" outlineLevel="0" collapsed="false">
      <c r="A199" s="40" t="s">
        <v>351</v>
      </c>
      <c r="B199" s="40" t="s">
        <v>228</v>
      </c>
      <c r="C199" s="40" t="s">
        <v>435</v>
      </c>
      <c r="D199" s="40" t="s">
        <v>425</v>
      </c>
      <c r="E199" s="41" t="n">
        <v>41.1</v>
      </c>
      <c r="F199" s="42" t="str">
        <f aca="false">IF(VALUE(MID(C199,3,2))*10+VALUE(MID(D199,2,1))&lt;=242,"Pre",IF(VALUE(MID(C199,3,2))*10+VALUE(MID(D199,2,1))&lt;=254,"Post","Later"))</f>
        <v>Post</v>
      </c>
      <c r="G199" s="40" t="s">
        <v>352</v>
      </c>
      <c r="H199" s="40" t="s">
        <v>805</v>
      </c>
      <c r="I199" s="40" t="s">
        <v>802</v>
      </c>
    </row>
    <row r="200" customFormat="false" ht="15" hidden="false" customHeight="false" outlineLevel="0" collapsed="false">
      <c r="A200" s="40" t="s">
        <v>351</v>
      </c>
      <c r="B200" s="40" t="s">
        <v>228</v>
      </c>
      <c r="C200" s="40" t="s">
        <v>440</v>
      </c>
      <c r="D200" s="40" t="s">
        <v>418</v>
      </c>
      <c r="E200" s="41" t="n">
        <v>40.2</v>
      </c>
      <c r="F200" s="42" t="str">
        <f aca="false">IF(VALUE(MID(C200,3,2))*10+VALUE(MID(D200,2,1))&lt;=242,"Pre",IF(VALUE(MID(C200,3,2))*10+VALUE(MID(D200,2,1))&lt;=254,"Post","Later"))</f>
        <v>Post</v>
      </c>
      <c r="G200" s="40" t="s">
        <v>352</v>
      </c>
      <c r="H200" s="40" t="s">
        <v>805</v>
      </c>
      <c r="I200" s="40" t="s">
        <v>802</v>
      </c>
    </row>
    <row r="201" customFormat="false" ht="15" hidden="false" customHeight="false" outlineLevel="0" collapsed="false">
      <c r="A201" s="40" t="s">
        <v>351</v>
      </c>
      <c r="B201" s="40" t="s">
        <v>228</v>
      </c>
      <c r="C201" s="40" t="s">
        <v>440</v>
      </c>
      <c r="D201" s="40" t="s">
        <v>421</v>
      </c>
      <c r="E201" s="41" t="n">
        <v>35.9</v>
      </c>
      <c r="F201" s="42" t="str">
        <f aca="false">IF(VALUE(MID(C201,3,2))*10+VALUE(MID(D201,2,1))&lt;=242,"Pre",IF(VALUE(MID(C201,3,2))*10+VALUE(MID(D201,2,1))&lt;=254,"Post","Later"))</f>
        <v>Post</v>
      </c>
      <c r="G201" s="40" t="s">
        <v>352</v>
      </c>
      <c r="H201" s="40" t="s">
        <v>805</v>
      </c>
      <c r="I201" s="40" t="s">
        <v>802</v>
      </c>
    </row>
    <row r="202" customFormat="false" ht="15" hidden="false" customHeight="false" outlineLevel="0" collapsed="false">
      <c r="A202" s="40" t="s">
        <v>351</v>
      </c>
      <c r="B202" s="40" t="s">
        <v>228</v>
      </c>
      <c r="C202" s="40" t="s">
        <v>440</v>
      </c>
      <c r="D202" s="40" t="s">
        <v>423</v>
      </c>
      <c r="E202" s="41" t="n">
        <v>33.9</v>
      </c>
      <c r="F202" s="42" t="str">
        <f aca="false">IF(VALUE(MID(C202,3,2))*10+VALUE(MID(D202,2,1))&lt;=242,"Pre",IF(VALUE(MID(C202,3,2))*10+VALUE(MID(D202,2,1))&lt;=254,"Post","Later"))</f>
        <v>Post</v>
      </c>
      <c r="G202" s="40" t="s">
        <v>352</v>
      </c>
      <c r="H202" s="40" t="s">
        <v>806</v>
      </c>
      <c r="I202" s="40" t="s">
        <v>802</v>
      </c>
    </row>
    <row r="203" customFormat="false" ht="15" hidden="false" customHeight="false" outlineLevel="0" collapsed="false">
      <c r="A203" s="40" t="s">
        <v>351</v>
      </c>
      <c r="B203" s="40" t="s">
        <v>228</v>
      </c>
      <c r="C203" s="40" t="s">
        <v>440</v>
      </c>
      <c r="D203" s="40" t="s">
        <v>425</v>
      </c>
      <c r="E203" s="41" t="n">
        <v>32.2</v>
      </c>
      <c r="F203" s="42" t="str">
        <f aca="false">IF(VALUE(MID(C203,3,2))*10+VALUE(MID(D203,2,1))&lt;=242,"Pre",IF(VALUE(MID(C203,3,2))*10+VALUE(MID(D203,2,1))&lt;=254,"Post","Later"))</f>
        <v>Post</v>
      </c>
      <c r="G203" s="40" t="s">
        <v>352</v>
      </c>
      <c r="H203" s="40" t="s">
        <v>807</v>
      </c>
      <c r="I203" s="40" t="s">
        <v>802</v>
      </c>
    </row>
    <row r="204" customFormat="false" ht="15" hidden="false" customHeight="false" outlineLevel="0" collapsed="false">
      <c r="A204" s="40" t="s">
        <v>351</v>
      </c>
      <c r="B204" s="40" t="s">
        <v>228</v>
      </c>
      <c r="C204" s="40" t="s">
        <v>444</v>
      </c>
      <c r="D204" s="40" t="s">
        <v>418</v>
      </c>
      <c r="E204" s="41" t="n">
        <v>32.8</v>
      </c>
      <c r="F204" s="42" t="str">
        <f aca="false">IF(VALUE(MID(C204,3,2))*10+VALUE(MID(D204,2,1))&lt;=242,"Pre",IF(VALUE(MID(C204,3,2))*10+VALUE(MID(D204,2,1))&lt;=254,"Post","Later"))</f>
        <v>Later</v>
      </c>
      <c r="G204" s="40" t="s">
        <v>352</v>
      </c>
      <c r="H204" s="40" t="s">
        <v>807</v>
      </c>
      <c r="I204" s="40" t="s">
        <v>802</v>
      </c>
    </row>
    <row r="205" customFormat="false" ht="15" hidden="false" customHeight="false" outlineLevel="0" collapsed="false">
      <c r="A205" s="40" t="s">
        <v>351</v>
      </c>
      <c r="B205" s="40" t="s">
        <v>228</v>
      </c>
      <c r="C205" s="40" t="s">
        <v>444</v>
      </c>
      <c r="D205" s="40" t="s">
        <v>421</v>
      </c>
      <c r="E205" s="41" t="n">
        <v>30.2</v>
      </c>
      <c r="F205" s="42" t="str">
        <f aca="false">IF(VALUE(MID(C205,3,2))*10+VALUE(MID(D205,2,1))&lt;=242,"Pre",IF(VALUE(MID(C205,3,2))*10+VALUE(MID(D205,2,1))&lt;=254,"Post","Later"))</f>
        <v>Later</v>
      </c>
      <c r="G205" s="40" t="s">
        <v>352</v>
      </c>
      <c r="H205" s="40" t="s">
        <v>807</v>
      </c>
      <c r="I205" s="40" t="s">
        <v>802</v>
      </c>
    </row>
    <row r="206" customFormat="false" ht="15" hidden="false" customHeight="false" outlineLevel="0" collapsed="false">
      <c r="A206" s="40" t="s">
        <v>351</v>
      </c>
      <c r="B206" s="40" t="s">
        <v>228</v>
      </c>
      <c r="C206" s="40" t="s">
        <v>444</v>
      </c>
      <c r="D206" s="40" t="s">
        <v>423</v>
      </c>
      <c r="E206" s="41" t="n">
        <v>23.8</v>
      </c>
      <c r="F206" s="42" t="str">
        <f aca="false">IF(VALUE(MID(C206,3,2))*10+VALUE(MID(D206,2,1))&lt;=242,"Pre",IF(VALUE(MID(C206,3,2))*10+VALUE(MID(D206,2,1))&lt;=254,"Post","Later"))</f>
        <v>Later</v>
      </c>
      <c r="G206" s="40" t="s">
        <v>352</v>
      </c>
      <c r="H206" s="40" t="s">
        <v>807</v>
      </c>
      <c r="I206" s="40" t="s">
        <v>802</v>
      </c>
    </row>
    <row r="207" customFormat="false" ht="15" hidden="false" customHeight="false" outlineLevel="0" collapsed="false">
      <c r="A207" s="40" t="s">
        <v>351</v>
      </c>
      <c r="B207" s="40" t="s">
        <v>228</v>
      </c>
      <c r="C207" s="40" t="s">
        <v>444</v>
      </c>
      <c r="D207" s="40" t="s">
        <v>425</v>
      </c>
      <c r="E207" s="41" t="n">
        <v>21.8</v>
      </c>
      <c r="F207" s="42" t="str">
        <f aca="false">IF(VALUE(MID(C207,3,2))*10+VALUE(MID(D207,2,1))&lt;=242,"Pre",IF(VALUE(MID(C207,3,2))*10+VALUE(MID(D207,2,1))&lt;=254,"Post","Later"))</f>
        <v>Later</v>
      </c>
      <c r="G207" s="40" t="s">
        <v>352</v>
      </c>
      <c r="H207" s="40" t="s">
        <v>807</v>
      </c>
      <c r="I207" s="40" t="s">
        <v>802</v>
      </c>
    </row>
    <row r="208" customFormat="false" ht="15" hidden="false" customHeight="false" outlineLevel="0" collapsed="false">
      <c r="A208" s="40" t="s">
        <v>357</v>
      </c>
      <c r="B208" s="40" t="s">
        <v>249</v>
      </c>
      <c r="C208" s="40" t="s">
        <v>417</v>
      </c>
      <c r="D208" s="40" t="s">
        <v>418</v>
      </c>
      <c r="E208" s="41" t="n">
        <v>20</v>
      </c>
      <c r="F208" s="42" t="str">
        <f aca="false">IF(VALUE(MID(C208,3,2))*10+VALUE(MID(D208,2,1))&lt;=242,"Pre",IF(VALUE(MID(C208,3,2))*10+VALUE(MID(D208,2,1))&lt;=254,"Post","Later"))</f>
        <v>Pre</v>
      </c>
      <c r="G208" s="40" t="s">
        <v>343</v>
      </c>
      <c r="H208" s="40" t="s">
        <v>808</v>
      </c>
      <c r="I208" s="40" t="s">
        <v>809</v>
      </c>
    </row>
    <row r="209" customFormat="false" ht="15" hidden="false" customHeight="false" outlineLevel="0" collapsed="false">
      <c r="A209" s="40" t="s">
        <v>357</v>
      </c>
      <c r="B209" s="40" t="s">
        <v>249</v>
      </c>
      <c r="C209" s="40" t="s">
        <v>417</v>
      </c>
      <c r="D209" s="40" t="s">
        <v>421</v>
      </c>
      <c r="E209" s="41" t="n">
        <v>22.8</v>
      </c>
      <c r="F209" s="42" t="str">
        <f aca="false">IF(VALUE(MID(C209,3,2))*10+VALUE(MID(D209,2,1))&lt;=242,"Pre",IF(VALUE(MID(C209,3,2))*10+VALUE(MID(D209,2,1))&lt;=254,"Post","Later"))</f>
        <v>Pre</v>
      </c>
      <c r="G209" s="40" t="s">
        <v>343</v>
      </c>
      <c r="H209" s="40" t="s">
        <v>810</v>
      </c>
      <c r="I209" s="40" t="s">
        <v>809</v>
      </c>
    </row>
    <row r="210" customFormat="false" ht="15" hidden="false" customHeight="false" outlineLevel="0" collapsed="false">
      <c r="A210" s="40" t="s">
        <v>357</v>
      </c>
      <c r="B210" s="40" t="s">
        <v>249</v>
      </c>
      <c r="C210" s="40" t="s">
        <v>417</v>
      </c>
      <c r="D210" s="40" t="s">
        <v>423</v>
      </c>
      <c r="E210" s="41" t="n">
        <v>24.53</v>
      </c>
      <c r="F210" s="42" t="str">
        <f aca="false">IF(VALUE(MID(C210,3,2))*10+VALUE(MID(D210,2,1))&lt;=242,"Pre",IF(VALUE(MID(C210,3,2))*10+VALUE(MID(D210,2,1))&lt;=254,"Post","Later"))</f>
        <v>Pre</v>
      </c>
      <c r="G210" s="40" t="s">
        <v>343</v>
      </c>
      <c r="H210" s="40" t="s">
        <v>811</v>
      </c>
      <c r="I210" s="40" t="s">
        <v>809</v>
      </c>
    </row>
    <row r="211" customFormat="false" ht="15" hidden="false" customHeight="false" outlineLevel="0" collapsed="false">
      <c r="A211" s="40" t="s">
        <v>357</v>
      </c>
      <c r="B211" s="40" t="s">
        <v>249</v>
      </c>
      <c r="C211" s="40" t="s">
        <v>417</v>
      </c>
      <c r="D211" s="40" t="s">
        <v>425</v>
      </c>
      <c r="E211" s="41" t="n">
        <v>25</v>
      </c>
      <c r="F211" s="42" t="str">
        <f aca="false">IF(VALUE(MID(C211,3,2))*10+VALUE(MID(D211,2,1))&lt;=242,"Pre",IF(VALUE(MID(C211,3,2))*10+VALUE(MID(D211,2,1))&lt;=254,"Post","Later"))</f>
        <v>Pre</v>
      </c>
      <c r="G211" s="40" t="s">
        <v>343</v>
      </c>
      <c r="H211" s="40" t="s">
        <v>812</v>
      </c>
      <c r="I211" s="40" t="s">
        <v>809</v>
      </c>
    </row>
    <row r="212" customFormat="false" ht="15" hidden="false" customHeight="false" outlineLevel="0" collapsed="false">
      <c r="A212" s="40" t="s">
        <v>357</v>
      </c>
      <c r="B212" s="40" t="s">
        <v>249</v>
      </c>
      <c r="C212" s="40" t="s">
        <v>427</v>
      </c>
      <c r="D212" s="40" t="s">
        <v>418</v>
      </c>
      <c r="E212" s="41" t="n">
        <v>26</v>
      </c>
      <c r="F212" s="42" t="str">
        <f aca="false">IF(VALUE(MID(C212,3,2))*10+VALUE(MID(D212,2,1))&lt;=242,"Pre",IF(VALUE(MID(C212,3,2))*10+VALUE(MID(D212,2,1))&lt;=254,"Post","Later"))</f>
        <v>Pre</v>
      </c>
      <c r="G212" s="40" t="s">
        <v>343</v>
      </c>
      <c r="H212" s="40" t="s">
        <v>813</v>
      </c>
      <c r="I212" s="40" t="s">
        <v>809</v>
      </c>
    </row>
    <row r="213" customFormat="false" ht="15" hidden="false" customHeight="false" outlineLevel="0" collapsed="false">
      <c r="A213" s="40" t="s">
        <v>357</v>
      </c>
      <c r="B213" s="40" t="s">
        <v>249</v>
      </c>
      <c r="C213" s="40" t="s">
        <v>427</v>
      </c>
      <c r="D213" s="40" t="s">
        <v>421</v>
      </c>
      <c r="E213" s="41" t="n">
        <v>27</v>
      </c>
      <c r="F213" s="42" t="str">
        <f aca="false">IF(VALUE(MID(C213,3,2))*10+VALUE(MID(D213,2,1))&lt;=242,"Pre",IF(VALUE(MID(C213,3,2))*10+VALUE(MID(D213,2,1))&lt;=254,"Post","Later"))</f>
        <v>Pre</v>
      </c>
      <c r="G213" s="40" t="s">
        <v>343</v>
      </c>
      <c r="H213" s="40" t="s">
        <v>814</v>
      </c>
      <c r="I213" s="40" t="s">
        <v>809</v>
      </c>
    </row>
    <row r="214" customFormat="false" ht="15" hidden="false" customHeight="false" outlineLevel="0" collapsed="false">
      <c r="A214" s="40" t="s">
        <v>357</v>
      </c>
      <c r="B214" s="40" t="s">
        <v>249</v>
      </c>
      <c r="C214" s="40" t="s">
        <v>427</v>
      </c>
      <c r="D214" s="40" t="s">
        <v>423</v>
      </c>
      <c r="E214" s="41" t="n">
        <v>27.42</v>
      </c>
      <c r="F214" s="42" t="str">
        <f aca="false">IF(VALUE(MID(C214,3,2))*10+VALUE(MID(D214,2,1))&lt;=242,"Pre",IF(VALUE(MID(C214,3,2))*10+VALUE(MID(D214,2,1))&lt;=254,"Post","Later"))</f>
        <v>Pre</v>
      </c>
      <c r="G214" s="40" t="s">
        <v>343</v>
      </c>
      <c r="H214" s="40" t="s">
        <v>815</v>
      </c>
      <c r="I214" s="40" t="s">
        <v>809</v>
      </c>
    </row>
    <row r="215" customFormat="false" ht="15" hidden="false" customHeight="false" outlineLevel="0" collapsed="false">
      <c r="A215" s="40" t="s">
        <v>357</v>
      </c>
      <c r="B215" s="40" t="s">
        <v>249</v>
      </c>
      <c r="C215" s="40" t="s">
        <v>427</v>
      </c>
      <c r="D215" s="40" t="s">
        <v>425</v>
      </c>
      <c r="E215" s="41" t="n">
        <v>30</v>
      </c>
      <c r="F215" s="42" t="str">
        <f aca="false">IF(VALUE(MID(C215,3,2))*10+VALUE(MID(D215,2,1))&lt;=242,"Pre",IF(VALUE(MID(C215,3,2))*10+VALUE(MID(D215,2,1))&lt;=254,"Post","Later"))</f>
        <v>Pre</v>
      </c>
      <c r="G215" s="40" t="s">
        <v>343</v>
      </c>
      <c r="H215" s="40" t="s">
        <v>816</v>
      </c>
      <c r="I215" s="40" t="s">
        <v>809</v>
      </c>
    </row>
    <row r="216" customFormat="false" ht="15" hidden="false" customHeight="false" outlineLevel="0" collapsed="false">
      <c r="A216" s="40" t="s">
        <v>357</v>
      </c>
      <c r="B216" s="40" t="s">
        <v>249</v>
      </c>
      <c r="C216" s="40" t="s">
        <v>432</v>
      </c>
      <c r="D216" s="40" t="s">
        <v>418</v>
      </c>
      <c r="E216" s="41" t="n">
        <v>33</v>
      </c>
      <c r="F216" s="42" t="str">
        <f aca="false">IF(VALUE(MID(C216,3,2))*10+VALUE(MID(D216,2,1))&lt;=242,"Pre",IF(VALUE(MID(C216,3,2))*10+VALUE(MID(D216,2,1))&lt;=254,"Post","Later"))</f>
        <v>Pre</v>
      </c>
      <c r="G216" s="40" t="s">
        <v>343</v>
      </c>
      <c r="H216" s="40" t="s">
        <v>817</v>
      </c>
      <c r="I216" s="40" t="s">
        <v>809</v>
      </c>
    </row>
    <row r="217" customFormat="false" ht="15" hidden="false" customHeight="false" outlineLevel="0" collapsed="false">
      <c r="A217" s="40" t="s">
        <v>357</v>
      </c>
      <c r="B217" s="40" t="s">
        <v>249</v>
      </c>
      <c r="C217" s="40" t="s">
        <v>432</v>
      </c>
      <c r="D217" s="40" t="s">
        <v>421</v>
      </c>
      <c r="E217" s="41" t="n">
        <v>34</v>
      </c>
      <c r="F217" s="42" t="str">
        <f aca="false">IF(VALUE(MID(C217,3,2))*10+VALUE(MID(D217,2,1))&lt;=242,"Pre",IF(VALUE(MID(C217,3,2))*10+VALUE(MID(D217,2,1))&lt;=254,"Post","Later"))</f>
        <v>Pre</v>
      </c>
      <c r="G217" s="40" t="s">
        <v>343</v>
      </c>
      <c r="H217" s="40" t="s">
        <v>818</v>
      </c>
      <c r="I217" s="40" t="s">
        <v>809</v>
      </c>
    </row>
    <row r="218" customFormat="false" ht="15" hidden="false" customHeight="false" outlineLevel="0" collapsed="false">
      <c r="A218" s="40" t="s">
        <v>357</v>
      </c>
      <c r="B218" s="40" t="s">
        <v>249</v>
      </c>
      <c r="C218" s="40" t="s">
        <v>432</v>
      </c>
      <c r="D218" s="40" t="s">
        <v>423</v>
      </c>
      <c r="E218" s="41" t="n">
        <v>33.94</v>
      </c>
      <c r="F218" s="42" t="str">
        <f aca="false">IF(VALUE(MID(C218,3,2))*10+VALUE(MID(D218,2,1))&lt;=242,"Pre",IF(VALUE(MID(C218,3,2))*10+VALUE(MID(D218,2,1))&lt;=254,"Post","Later"))</f>
        <v>Pre</v>
      </c>
      <c r="G218" s="40" t="s">
        <v>343</v>
      </c>
      <c r="H218" s="40" t="s">
        <v>819</v>
      </c>
      <c r="I218" s="40" t="s">
        <v>809</v>
      </c>
    </row>
    <row r="219" customFormat="false" ht="15" hidden="false" customHeight="false" outlineLevel="0" collapsed="false">
      <c r="A219" s="40" t="s">
        <v>357</v>
      </c>
      <c r="B219" s="40" t="s">
        <v>249</v>
      </c>
      <c r="C219" s="40" t="s">
        <v>432</v>
      </c>
      <c r="D219" s="40" t="s">
        <v>425</v>
      </c>
      <c r="E219" s="41" t="n">
        <v>34</v>
      </c>
      <c r="F219" s="42" t="str">
        <f aca="false">IF(VALUE(MID(C219,3,2))*10+VALUE(MID(D219,2,1))&lt;=242,"Pre",IF(VALUE(MID(C219,3,2))*10+VALUE(MID(D219,2,1))&lt;=254,"Post","Later"))</f>
        <v>Pre</v>
      </c>
      <c r="G219" s="40" t="s">
        <v>343</v>
      </c>
      <c r="H219" s="40" t="s">
        <v>820</v>
      </c>
      <c r="I219" s="40" t="s">
        <v>809</v>
      </c>
    </row>
    <row r="220" customFormat="false" ht="15" hidden="false" customHeight="false" outlineLevel="0" collapsed="false">
      <c r="A220" s="40" t="s">
        <v>357</v>
      </c>
      <c r="B220" s="40" t="s">
        <v>249</v>
      </c>
      <c r="C220" s="40" t="s">
        <v>435</v>
      </c>
      <c r="D220" s="40" t="s">
        <v>418</v>
      </c>
      <c r="E220" s="41" t="n">
        <v>31</v>
      </c>
      <c r="F220" s="42" t="str">
        <f aca="false">IF(VALUE(MID(C220,3,2))*10+VALUE(MID(D220,2,1))&lt;=242,"Pre",IF(VALUE(MID(C220,3,2))*10+VALUE(MID(D220,2,1))&lt;=254,"Post","Later"))</f>
        <v>Pre</v>
      </c>
      <c r="G220" s="40" t="s">
        <v>343</v>
      </c>
      <c r="H220" s="40" t="s">
        <v>821</v>
      </c>
      <c r="I220" s="40" t="s">
        <v>809</v>
      </c>
    </row>
    <row r="221" customFormat="false" ht="15" hidden="false" customHeight="false" outlineLevel="0" collapsed="false">
      <c r="A221" s="40" t="s">
        <v>357</v>
      </c>
      <c r="B221" s="40" t="s">
        <v>249</v>
      </c>
      <c r="C221" s="40" t="s">
        <v>435</v>
      </c>
      <c r="D221" s="40" t="s">
        <v>421</v>
      </c>
      <c r="E221" s="41" t="n">
        <v>33</v>
      </c>
      <c r="F221" s="42" t="str">
        <f aca="false">IF(VALUE(MID(C221,3,2))*10+VALUE(MID(D221,2,1))&lt;=242,"Pre",IF(VALUE(MID(C221,3,2))*10+VALUE(MID(D221,2,1))&lt;=254,"Post","Later"))</f>
        <v>Pre</v>
      </c>
      <c r="G221" s="40" t="s">
        <v>343</v>
      </c>
      <c r="H221" s="40" t="s">
        <v>822</v>
      </c>
      <c r="I221" s="40" t="s">
        <v>809</v>
      </c>
    </row>
    <row r="222" customFormat="false" ht="15" hidden="false" customHeight="false" outlineLevel="0" collapsed="false">
      <c r="A222" s="40" t="s">
        <v>357</v>
      </c>
      <c r="B222" s="40" t="s">
        <v>249</v>
      </c>
      <c r="C222" s="40" t="s">
        <v>435</v>
      </c>
      <c r="D222" s="40" t="s">
        <v>423</v>
      </c>
      <c r="E222" s="41" t="n">
        <v>35</v>
      </c>
      <c r="F222" s="42" t="str">
        <f aca="false">IF(VALUE(MID(C222,3,2))*10+VALUE(MID(D222,2,1))&lt;=242,"Pre",IF(VALUE(MID(C222,3,2))*10+VALUE(MID(D222,2,1))&lt;=254,"Post","Later"))</f>
        <v>Post</v>
      </c>
      <c r="G222" s="40" t="s">
        <v>343</v>
      </c>
      <c r="H222" s="40" t="s">
        <v>823</v>
      </c>
      <c r="I222" s="40" t="s">
        <v>809</v>
      </c>
    </row>
    <row r="223" customFormat="false" ht="15" hidden="false" customHeight="false" outlineLevel="0" collapsed="false">
      <c r="A223" s="40" t="s">
        <v>357</v>
      </c>
      <c r="B223" s="40" t="s">
        <v>249</v>
      </c>
      <c r="C223" s="40" t="s">
        <v>435</v>
      </c>
      <c r="D223" s="40" t="s">
        <v>425</v>
      </c>
      <c r="E223" s="41" t="n">
        <v>34</v>
      </c>
      <c r="F223" s="42" t="str">
        <f aca="false">IF(VALUE(MID(C223,3,2))*10+VALUE(MID(D223,2,1))&lt;=242,"Pre",IF(VALUE(MID(C223,3,2))*10+VALUE(MID(D223,2,1))&lt;=254,"Post","Later"))</f>
        <v>Post</v>
      </c>
      <c r="G223" s="40" t="s">
        <v>343</v>
      </c>
      <c r="H223" s="40" t="s">
        <v>824</v>
      </c>
      <c r="I223" s="40" t="s">
        <v>809</v>
      </c>
    </row>
    <row r="224" customFormat="false" ht="15" hidden="false" customHeight="false" outlineLevel="0" collapsed="false">
      <c r="A224" s="40" t="s">
        <v>357</v>
      </c>
      <c r="B224" s="40" t="s">
        <v>249</v>
      </c>
      <c r="C224" s="40" t="s">
        <v>440</v>
      </c>
      <c r="D224" s="40" t="s">
        <v>418</v>
      </c>
      <c r="E224" s="41" t="n">
        <v>34</v>
      </c>
      <c r="F224" s="42" t="str">
        <f aca="false">IF(VALUE(MID(C224,3,2))*10+VALUE(MID(D224,2,1))&lt;=242,"Pre",IF(VALUE(MID(C224,3,2))*10+VALUE(MID(D224,2,1))&lt;=254,"Post","Later"))</f>
        <v>Post</v>
      </c>
      <c r="G224" s="40" t="s">
        <v>343</v>
      </c>
      <c r="H224" s="40" t="s">
        <v>825</v>
      </c>
      <c r="I224" s="40" t="s">
        <v>809</v>
      </c>
    </row>
    <row r="225" customFormat="false" ht="15" hidden="false" customHeight="false" outlineLevel="0" collapsed="false">
      <c r="A225" s="40" t="s">
        <v>357</v>
      </c>
      <c r="B225" s="40" t="s">
        <v>249</v>
      </c>
      <c r="C225" s="40" t="s">
        <v>440</v>
      </c>
      <c r="D225" s="40" t="s">
        <v>421</v>
      </c>
      <c r="E225" s="41" t="n">
        <v>34</v>
      </c>
      <c r="F225" s="42" t="str">
        <f aca="false">IF(VALUE(MID(C225,3,2))*10+VALUE(MID(D225,2,1))&lt;=242,"Pre",IF(VALUE(MID(C225,3,2))*10+VALUE(MID(D225,2,1))&lt;=254,"Post","Later"))</f>
        <v>Post</v>
      </c>
      <c r="G225" s="40" t="s">
        <v>343</v>
      </c>
      <c r="H225" s="40" t="s">
        <v>826</v>
      </c>
      <c r="I225" s="40" t="s">
        <v>809</v>
      </c>
    </row>
    <row r="226" customFormat="false" ht="15" hidden="false" customHeight="false" outlineLevel="0" collapsed="false">
      <c r="A226" s="40" t="s">
        <v>357</v>
      </c>
      <c r="B226" s="40" t="s">
        <v>249</v>
      </c>
      <c r="C226" s="40" t="s">
        <v>440</v>
      </c>
      <c r="D226" s="40" t="s">
        <v>423</v>
      </c>
      <c r="E226" s="41" t="n">
        <v>33</v>
      </c>
      <c r="F226" s="42" t="str">
        <f aca="false">IF(VALUE(MID(C226,3,2))*10+VALUE(MID(D226,2,1))&lt;=242,"Pre",IF(VALUE(MID(C226,3,2))*10+VALUE(MID(D226,2,1))&lt;=254,"Post","Later"))</f>
        <v>Post</v>
      </c>
      <c r="G226" s="40" t="s">
        <v>343</v>
      </c>
      <c r="H226" s="40" t="s">
        <v>827</v>
      </c>
      <c r="I226" s="40" t="s">
        <v>809</v>
      </c>
    </row>
    <row r="227" customFormat="false" ht="15" hidden="false" customHeight="false" outlineLevel="0" collapsed="false">
      <c r="A227" s="40" t="s">
        <v>357</v>
      </c>
      <c r="B227" s="40" t="s">
        <v>249</v>
      </c>
      <c r="C227" s="40" t="s">
        <v>440</v>
      </c>
      <c r="D227" s="40" t="s">
        <v>425</v>
      </c>
      <c r="E227" s="41" t="n">
        <v>32</v>
      </c>
      <c r="F227" s="42" t="str">
        <f aca="false">IF(VALUE(MID(C227,3,2))*10+VALUE(MID(D227,2,1))&lt;=242,"Pre",IF(VALUE(MID(C227,3,2))*10+VALUE(MID(D227,2,1))&lt;=254,"Post","Later"))</f>
        <v>Post</v>
      </c>
      <c r="G227" s="40" t="s">
        <v>343</v>
      </c>
      <c r="H227" s="40" t="s">
        <v>828</v>
      </c>
      <c r="I227" s="40" t="s">
        <v>809</v>
      </c>
    </row>
    <row r="228" customFormat="false" ht="15" hidden="false" customHeight="false" outlineLevel="0" collapsed="false">
      <c r="A228" s="40" t="s">
        <v>357</v>
      </c>
      <c r="B228" s="40" t="s">
        <v>249</v>
      </c>
      <c r="C228" s="40" t="s">
        <v>444</v>
      </c>
      <c r="D228" s="40" t="s">
        <v>418</v>
      </c>
      <c r="E228" s="41" t="n">
        <v>31</v>
      </c>
      <c r="F228" s="42" t="str">
        <f aca="false">IF(VALUE(MID(C228,3,2))*10+VALUE(MID(D228,2,1))&lt;=242,"Pre",IF(VALUE(MID(C228,3,2))*10+VALUE(MID(D228,2,1))&lt;=254,"Post","Later"))</f>
        <v>Later</v>
      </c>
      <c r="G228" s="40" t="s">
        <v>343</v>
      </c>
      <c r="H228" s="40" t="s">
        <v>829</v>
      </c>
      <c r="I228" s="40" t="s">
        <v>809</v>
      </c>
    </row>
    <row r="229" customFormat="false" ht="15" hidden="false" customHeight="false" outlineLevel="0" collapsed="false">
      <c r="A229" s="40" t="s">
        <v>357</v>
      </c>
      <c r="B229" s="40" t="s">
        <v>249</v>
      </c>
      <c r="C229" s="40" t="s">
        <v>444</v>
      </c>
      <c r="D229" s="40" t="s">
        <v>421</v>
      </c>
      <c r="E229" s="41" t="n">
        <v>35</v>
      </c>
      <c r="F229" s="42" t="str">
        <f aca="false">IF(VALUE(MID(C229,3,2))*10+VALUE(MID(D229,2,1))&lt;=242,"Pre",IF(VALUE(MID(C229,3,2))*10+VALUE(MID(D229,2,1))&lt;=254,"Post","Later"))</f>
        <v>Later</v>
      </c>
      <c r="G229" s="40" t="s">
        <v>343</v>
      </c>
      <c r="H229" s="40" t="s">
        <v>830</v>
      </c>
      <c r="I229" s="40" t="s">
        <v>809</v>
      </c>
    </row>
    <row r="230" customFormat="false" ht="15" hidden="false" customHeight="false" outlineLevel="0" collapsed="false">
      <c r="A230" s="40" t="s">
        <v>357</v>
      </c>
      <c r="B230" s="40" t="s">
        <v>249</v>
      </c>
      <c r="C230" s="40" t="s">
        <v>444</v>
      </c>
      <c r="D230" s="40" t="s">
        <v>423</v>
      </c>
      <c r="E230" s="41" t="n">
        <v>38</v>
      </c>
      <c r="F230" s="42" t="str">
        <f aca="false">IF(VALUE(MID(C230,3,2))*10+VALUE(MID(D230,2,1))&lt;=242,"Pre",IF(VALUE(MID(C230,3,2))*10+VALUE(MID(D230,2,1))&lt;=254,"Post","Later"))</f>
        <v>Later</v>
      </c>
      <c r="G230" s="40" t="s">
        <v>343</v>
      </c>
      <c r="H230" s="40" t="s">
        <v>831</v>
      </c>
      <c r="I230" s="40" t="s">
        <v>809</v>
      </c>
    </row>
    <row r="231" customFormat="false" ht="15" hidden="false" customHeight="false" outlineLevel="0" collapsed="false">
      <c r="A231" s="40" t="s">
        <v>357</v>
      </c>
      <c r="B231" s="40" t="s">
        <v>249</v>
      </c>
      <c r="C231" s="40" t="s">
        <v>444</v>
      </c>
      <c r="D231" s="40" t="s">
        <v>425</v>
      </c>
      <c r="E231" s="41" t="n">
        <v>39</v>
      </c>
      <c r="F231" s="42" t="str">
        <f aca="false">IF(VALUE(MID(C231,3,2))*10+VALUE(MID(D231,2,1))&lt;=242,"Pre",IF(VALUE(MID(C231,3,2))*10+VALUE(MID(D231,2,1))&lt;=254,"Post","Later"))</f>
        <v>Later</v>
      </c>
      <c r="G231" s="40" t="s">
        <v>343</v>
      </c>
      <c r="H231" s="40" t="s">
        <v>832</v>
      </c>
      <c r="I231" s="40" t="s">
        <v>809</v>
      </c>
    </row>
    <row r="232" customFormat="false" ht="15" hidden="false" customHeight="false" outlineLevel="0" collapsed="false">
      <c r="A232" s="40" t="s">
        <v>353</v>
      </c>
      <c r="B232" s="40" t="s">
        <v>228</v>
      </c>
      <c r="C232" s="40" t="s">
        <v>417</v>
      </c>
      <c r="D232" s="40" t="s">
        <v>418</v>
      </c>
      <c r="E232" s="41" t="n">
        <v>56.2</v>
      </c>
      <c r="F232" s="42" t="str">
        <f aca="false">IF(VALUE(MID(C232,3,2))*10+VALUE(MID(D232,2,1))&lt;=242,"Pre",IF(VALUE(MID(C232,3,2))*10+VALUE(MID(D232,2,1))&lt;=254,"Post","Later"))</f>
        <v>Pre</v>
      </c>
      <c r="G232" s="40" t="s">
        <v>352</v>
      </c>
      <c r="H232" s="40" t="s">
        <v>833</v>
      </c>
      <c r="I232" s="40" t="s">
        <v>834</v>
      </c>
    </row>
    <row r="233" customFormat="false" ht="15" hidden="false" customHeight="false" outlineLevel="0" collapsed="false">
      <c r="A233" s="40" t="s">
        <v>353</v>
      </c>
      <c r="B233" s="40" t="s">
        <v>228</v>
      </c>
      <c r="C233" s="40" t="s">
        <v>417</v>
      </c>
      <c r="D233" s="40" t="s">
        <v>421</v>
      </c>
      <c r="E233" s="41" t="n">
        <v>52.1</v>
      </c>
      <c r="F233" s="42" t="str">
        <f aca="false">IF(VALUE(MID(C233,3,2))*10+VALUE(MID(D233,2,1))&lt;=242,"Pre",IF(VALUE(MID(C233,3,2))*10+VALUE(MID(D233,2,1))&lt;=254,"Post","Later"))</f>
        <v>Pre</v>
      </c>
      <c r="G233" s="40" t="s">
        <v>352</v>
      </c>
      <c r="H233" s="40" t="s">
        <v>835</v>
      </c>
      <c r="I233" s="40" t="s">
        <v>834</v>
      </c>
    </row>
    <row r="234" customFormat="false" ht="15" hidden="false" customHeight="false" outlineLevel="0" collapsed="false">
      <c r="A234" s="40" t="s">
        <v>353</v>
      </c>
      <c r="B234" s="40" t="s">
        <v>228</v>
      </c>
      <c r="C234" s="40" t="s">
        <v>417</v>
      </c>
      <c r="D234" s="40" t="s">
        <v>423</v>
      </c>
      <c r="E234" s="41" t="n">
        <v>54.2</v>
      </c>
      <c r="F234" s="42" t="str">
        <f aca="false">IF(VALUE(MID(C234,3,2))*10+VALUE(MID(D234,2,1))&lt;=242,"Pre",IF(VALUE(MID(C234,3,2))*10+VALUE(MID(D234,2,1))&lt;=254,"Post","Later"))</f>
        <v>Pre</v>
      </c>
      <c r="G234" s="40" t="s">
        <v>352</v>
      </c>
      <c r="H234" s="40" t="s">
        <v>836</v>
      </c>
      <c r="I234" s="40" t="s">
        <v>834</v>
      </c>
    </row>
    <row r="235" customFormat="false" ht="15" hidden="false" customHeight="false" outlineLevel="0" collapsed="false">
      <c r="A235" s="40" t="s">
        <v>353</v>
      </c>
      <c r="B235" s="40" t="s">
        <v>228</v>
      </c>
      <c r="C235" s="40" t="s">
        <v>417</v>
      </c>
      <c r="D235" s="40" t="s">
        <v>425</v>
      </c>
      <c r="E235" s="41" t="n">
        <v>52.1</v>
      </c>
      <c r="F235" s="42" t="str">
        <f aca="false">IF(VALUE(MID(C235,3,2))*10+VALUE(MID(D235,2,1))&lt;=242,"Pre",IF(VALUE(MID(C235,3,2))*10+VALUE(MID(D235,2,1))&lt;=254,"Post","Later"))</f>
        <v>Pre</v>
      </c>
      <c r="G235" s="40" t="s">
        <v>352</v>
      </c>
      <c r="H235" s="40" t="s">
        <v>837</v>
      </c>
      <c r="I235" s="40" t="s">
        <v>834</v>
      </c>
    </row>
    <row r="236" customFormat="false" ht="15" hidden="false" customHeight="false" outlineLevel="0" collapsed="false">
      <c r="A236" s="40" t="s">
        <v>353</v>
      </c>
      <c r="B236" s="40" t="s">
        <v>228</v>
      </c>
      <c r="C236" s="40" t="s">
        <v>427</v>
      </c>
      <c r="D236" s="40" t="s">
        <v>418</v>
      </c>
      <c r="E236" s="41" t="n">
        <v>48.1</v>
      </c>
      <c r="F236" s="42" t="str">
        <f aca="false">IF(VALUE(MID(C236,3,2))*10+VALUE(MID(D236,2,1))&lt;=242,"Pre",IF(VALUE(MID(C236,3,2))*10+VALUE(MID(D236,2,1))&lt;=254,"Post","Later"))</f>
        <v>Pre</v>
      </c>
      <c r="G236" s="40" t="s">
        <v>352</v>
      </c>
      <c r="H236" s="40" t="s">
        <v>838</v>
      </c>
      <c r="I236" s="40" t="s">
        <v>834</v>
      </c>
    </row>
    <row r="237" customFormat="false" ht="15" hidden="false" customHeight="false" outlineLevel="0" collapsed="false">
      <c r="A237" s="40" t="s">
        <v>353</v>
      </c>
      <c r="B237" s="40" t="s">
        <v>228</v>
      </c>
      <c r="C237" s="40" t="s">
        <v>427</v>
      </c>
      <c r="D237" s="40" t="s">
        <v>421</v>
      </c>
      <c r="E237" s="41" t="n">
        <v>49.5</v>
      </c>
      <c r="F237" s="42" t="str">
        <f aca="false">IF(VALUE(MID(C237,3,2))*10+VALUE(MID(D237,2,1))&lt;=242,"Pre",IF(VALUE(MID(C237,3,2))*10+VALUE(MID(D237,2,1))&lt;=254,"Post","Later"))</f>
        <v>Pre</v>
      </c>
      <c r="G237" s="40" t="s">
        <v>352</v>
      </c>
      <c r="H237" s="40" t="s">
        <v>839</v>
      </c>
      <c r="I237" s="40" t="s">
        <v>834</v>
      </c>
    </row>
    <row r="238" customFormat="false" ht="15" hidden="false" customHeight="false" outlineLevel="0" collapsed="false">
      <c r="A238" s="40" t="s">
        <v>353</v>
      </c>
      <c r="B238" s="40" t="s">
        <v>228</v>
      </c>
      <c r="C238" s="40" t="s">
        <v>427</v>
      </c>
      <c r="D238" s="40" t="s">
        <v>423</v>
      </c>
      <c r="E238" s="41" t="n">
        <v>57.5</v>
      </c>
      <c r="F238" s="42" t="str">
        <f aca="false">IF(VALUE(MID(C238,3,2))*10+VALUE(MID(D238,2,1))&lt;=242,"Pre",IF(VALUE(MID(C238,3,2))*10+VALUE(MID(D238,2,1))&lt;=254,"Post","Later"))</f>
        <v>Pre</v>
      </c>
      <c r="G238" s="40" t="s">
        <v>352</v>
      </c>
      <c r="H238" s="40" t="s">
        <v>840</v>
      </c>
      <c r="I238" s="40" t="s">
        <v>834</v>
      </c>
    </row>
    <row r="239" customFormat="false" ht="15" hidden="false" customHeight="false" outlineLevel="0" collapsed="false">
      <c r="A239" s="40" t="s">
        <v>353</v>
      </c>
      <c r="B239" s="40" t="s">
        <v>228</v>
      </c>
      <c r="C239" s="40" t="s">
        <v>427</v>
      </c>
      <c r="D239" s="40" t="s">
        <v>425</v>
      </c>
      <c r="E239" s="41" t="n">
        <v>59.3</v>
      </c>
      <c r="F239" s="42" t="str">
        <f aca="false">IF(VALUE(MID(C239,3,2))*10+VALUE(MID(D239,2,1))&lt;=242,"Pre",IF(VALUE(MID(C239,3,2))*10+VALUE(MID(D239,2,1))&lt;=254,"Post","Later"))</f>
        <v>Pre</v>
      </c>
      <c r="G239" s="40" t="s">
        <v>352</v>
      </c>
      <c r="H239" s="40" t="s">
        <v>841</v>
      </c>
      <c r="I239" s="40" t="s">
        <v>834</v>
      </c>
    </row>
    <row r="240" customFormat="false" ht="15" hidden="false" customHeight="false" outlineLevel="0" collapsed="false">
      <c r="A240" s="40" t="s">
        <v>353</v>
      </c>
      <c r="B240" s="40" t="s">
        <v>228</v>
      </c>
      <c r="C240" s="40" t="s">
        <v>432</v>
      </c>
      <c r="D240" s="40" t="s">
        <v>418</v>
      </c>
      <c r="E240" s="41" t="n">
        <v>59.6</v>
      </c>
      <c r="F240" s="42" t="str">
        <f aca="false">IF(VALUE(MID(C240,3,2))*10+VALUE(MID(D240,2,1))&lt;=242,"Pre",IF(VALUE(MID(C240,3,2))*10+VALUE(MID(D240,2,1))&lt;=254,"Post","Later"))</f>
        <v>Pre</v>
      </c>
      <c r="G240" s="40" t="s">
        <v>352</v>
      </c>
      <c r="H240" s="40" t="s">
        <v>842</v>
      </c>
      <c r="I240" s="40" t="s">
        <v>834</v>
      </c>
    </row>
    <row r="241" customFormat="false" ht="15" hidden="false" customHeight="false" outlineLevel="0" collapsed="false">
      <c r="A241" s="40" t="s">
        <v>353</v>
      </c>
      <c r="B241" s="40" t="s">
        <v>228</v>
      </c>
      <c r="C241" s="40" t="s">
        <v>432</v>
      </c>
      <c r="D241" s="40" t="s">
        <v>421</v>
      </c>
      <c r="E241" s="41" t="n">
        <v>64.7</v>
      </c>
      <c r="F241" s="42" t="str">
        <f aca="false">IF(VALUE(MID(C241,3,2))*10+VALUE(MID(D241,2,1))&lt;=242,"Pre",IF(VALUE(MID(C241,3,2))*10+VALUE(MID(D241,2,1))&lt;=254,"Post","Later"))</f>
        <v>Pre</v>
      </c>
      <c r="G241" s="40" t="s">
        <v>352</v>
      </c>
      <c r="H241" s="40" t="s">
        <v>843</v>
      </c>
      <c r="I241" s="40" t="s">
        <v>834</v>
      </c>
    </row>
    <row r="242" customFormat="false" ht="15" hidden="false" customHeight="false" outlineLevel="0" collapsed="false">
      <c r="A242" s="40" t="s">
        <v>353</v>
      </c>
      <c r="B242" s="40" t="s">
        <v>228</v>
      </c>
      <c r="C242" s="40" t="s">
        <v>432</v>
      </c>
      <c r="D242" s="40" t="s">
        <v>423</v>
      </c>
      <c r="E242" s="41" t="n">
        <v>51.7</v>
      </c>
      <c r="F242" s="42" t="str">
        <f aca="false">IF(VALUE(MID(C242,3,2))*10+VALUE(MID(D242,2,1))&lt;=242,"Pre",IF(VALUE(MID(C242,3,2))*10+VALUE(MID(D242,2,1))&lt;=254,"Post","Later"))</f>
        <v>Pre</v>
      </c>
      <c r="G242" s="40" t="s">
        <v>352</v>
      </c>
      <c r="H242" s="40" t="s">
        <v>844</v>
      </c>
      <c r="I242" s="40" t="s">
        <v>834</v>
      </c>
    </row>
    <row r="243" customFormat="false" ht="15" hidden="false" customHeight="false" outlineLevel="0" collapsed="false">
      <c r="A243" s="40" t="s">
        <v>353</v>
      </c>
      <c r="B243" s="40" t="s">
        <v>228</v>
      </c>
      <c r="C243" s="40" t="s">
        <v>432</v>
      </c>
      <c r="D243" s="40" t="s">
        <v>425</v>
      </c>
      <c r="E243" s="41" t="n">
        <v>60.4</v>
      </c>
      <c r="F243" s="42" t="str">
        <f aca="false">IF(VALUE(MID(C243,3,2))*10+VALUE(MID(D243,2,1))&lt;=242,"Pre",IF(VALUE(MID(C243,3,2))*10+VALUE(MID(D243,2,1))&lt;=254,"Post","Later"))</f>
        <v>Pre</v>
      </c>
      <c r="G243" s="40" t="s">
        <v>352</v>
      </c>
      <c r="H243" s="40" t="s">
        <v>845</v>
      </c>
      <c r="I243" s="40" t="s">
        <v>834</v>
      </c>
    </row>
    <row r="244" customFormat="false" ht="15" hidden="false" customHeight="false" outlineLevel="0" collapsed="false">
      <c r="A244" s="40" t="s">
        <v>353</v>
      </c>
      <c r="B244" s="40" t="s">
        <v>228</v>
      </c>
      <c r="C244" s="40" t="s">
        <v>435</v>
      </c>
      <c r="D244" s="40" t="s">
        <v>418</v>
      </c>
      <c r="E244" s="41" t="n">
        <v>55.9</v>
      </c>
      <c r="F244" s="42" t="str">
        <f aca="false">IF(VALUE(MID(C244,3,2))*10+VALUE(MID(D244,2,1))&lt;=242,"Pre",IF(VALUE(MID(C244,3,2))*10+VALUE(MID(D244,2,1))&lt;=254,"Post","Later"))</f>
        <v>Pre</v>
      </c>
      <c r="G244" s="40" t="s">
        <v>352</v>
      </c>
      <c r="H244" s="40" t="s">
        <v>846</v>
      </c>
      <c r="I244" s="40" t="s">
        <v>834</v>
      </c>
    </row>
    <row r="245" customFormat="false" ht="15" hidden="false" customHeight="false" outlineLevel="0" collapsed="false">
      <c r="A245" s="40" t="s">
        <v>353</v>
      </c>
      <c r="B245" s="40" t="s">
        <v>228</v>
      </c>
      <c r="C245" s="40" t="s">
        <v>435</v>
      </c>
      <c r="D245" s="40" t="s">
        <v>421</v>
      </c>
      <c r="E245" s="41" t="n">
        <v>52.9</v>
      </c>
      <c r="F245" s="42" t="str">
        <f aca="false">IF(VALUE(MID(C245,3,2))*10+VALUE(MID(D245,2,1))&lt;=242,"Pre",IF(VALUE(MID(C245,3,2))*10+VALUE(MID(D245,2,1))&lt;=254,"Post","Later"))</f>
        <v>Pre</v>
      </c>
      <c r="G245" s="40" t="s">
        <v>352</v>
      </c>
      <c r="H245" s="40" t="s">
        <v>847</v>
      </c>
      <c r="I245" s="40" t="s">
        <v>834</v>
      </c>
    </row>
    <row r="246" customFormat="false" ht="15" hidden="false" customHeight="false" outlineLevel="0" collapsed="false">
      <c r="A246" s="40" t="s">
        <v>353</v>
      </c>
      <c r="B246" s="40" t="s">
        <v>228</v>
      </c>
      <c r="C246" s="40" t="s">
        <v>435</v>
      </c>
      <c r="D246" s="40" t="s">
        <v>423</v>
      </c>
      <c r="E246" s="41" t="n">
        <v>50.4</v>
      </c>
      <c r="F246" s="42" t="str">
        <f aca="false">IF(VALUE(MID(C246,3,2))*10+VALUE(MID(D246,2,1))&lt;=242,"Pre",IF(VALUE(MID(C246,3,2))*10+VALUE(MID(D246,2,1))&lt;=254,"Post","Later"))</f>
        <v>Post</v>
      </c>
      <c r="G246" s="40" t="s">
        <v>352</v>
      </c>
      <c r="H246" s="40" t="s">
        <v>848</v>
      </c>
      <c r="I246" s="40" t="s">
        <v>834</v>
      </c>
    </row>
    <row r="247" customFormat="false" ht="15" hidden="false" customHeight="false" outlineLevel="0" collapsed="false">
      <c r="A247" s="40" t="s">
        <v>353</v>
      </c>
      <c r="B247" s="40" t="s">
        <v>228</v>
      </c>
      <c r="C247" s="40" t="s">
        <v>435</v>
      </c>
      <c r="D247" s="40" t="s">
        <v>425</v>
      </c>
      <c r="E247" s="41" t="n">
        <v>57.2</v>
      </c>
      <c r="F247" s="42" t="str">
        <f aca="false">IF(VALUE(MID(C247,3,2))*10+VALUE(MID(D247,2,1))&lt;=242,"Pre",IF(VALUE(MID(C247,3,2))*10+VALUE(MID(D247,2,1))&lt;=254,"Post","Later"))</f>
        <v>Post</v>
      </c>
      <c r="G247" s="40" t="s">
        <v>352</v>
      </c>
      <c r="H247" s="40" t="s">
        <v>849</v>
      </c>
      <c r="I247" s="40" t="s">
        <v>834</v>
      </c>
    </row>
    <row r="248" customFormat="false" ht="15" hidden="false" customHeight="false" outlineLevel="0" collapsed="false">
      <c r="A248" s="40" t="s">
        <v>353</v>
      </c>
      <c r="B248" s="40" t="s">
        <v>228</v>
      </c>
      <c r="C248" s="40" t="s">
        <v>440</v>
      </c>
      <c r="D248" s="40" t="s">
        <v>418</v>
      </c>
      <c r="E248" s="41" t="n">
        <v>56.2</v>
      </c>
      <c r="F248" s="42" t="str">
        <f aca="false">IF(VALUE(MID(C248,3,2))*10+VALUE(MID(D248,2,1))&lt;=242,"Pre",IF(VALUE(MID(C248,3,2))*10+VALUE(MID(D248,2,1))&lt;=254,"Post","Later"))</f>
        <v>Post</v>
      </c>
      <c r="G248" s="40" t="s">
        <v>352</v>
      </c>
      <c r="H248" s="40" t="s">
        <v>850</v>
      </c>
      <c r="I248" s="40" t="s">
        <v>834</v>
      </c>
    </row>
    <row r="249" customFormat="false" ht="15" hidden="false" customHeight="false" outlineLevel="0" collapsed="false">
      <c r="A249" s="40" t="s">
        <v>353</v>
      </c>
      <c r="B249" s="40" t="s">
        <v>228</v>
      </c>
      <c r="C249" s="40" t="s">
        <v>440</v>
      </c>
      <c r="D249" s="40" t="s">
        <v>421</v>
      </c>
      <c r="E249" s="41" t="n">
        <v>56.6</v>
      </c>
      <c r="F249" s="42" t="str">
        <f aca="false">IF(VALUE(MID(C249,3,2))*10+VALUE(MID(D249,2,1))&lt;=242,"Pre",IF(VALUE(MID(C249,3,2))*10+VALUE(MID(D249,2,1))&lt;=254,"Post","Later"))</f>
        <v>Post</v>
      </c>
      <c r="G249" s="40" t="s">
        <v>352</v>
      </c>
      <c r="H249" s="40" t="s">
        <v>851</v>
      </c>
      <c r="I249" s="40" t="s">
        <v>834</v>
      </c>
    </row>
    <row r="250" customFormat="false" ht="15" hidden="false" customHeight="false" outlineLevel="0" collapsed="false">
      <c r="A250" s="40" t="s">
        <v>353</v>
      </c>
      <c r="B250" s="40" t="s">
        <v>228</v>
      </c>
      <c r="C250" s="40" t="s">
        <v>440</v>
      </c>
      <c r="D250" s="40" t="s">
        <v>423</v>
      </c>
      <c r="E250" s="41" t="n">
        <v>61.9</v>
      </c>
      <c r="F250" s="42" t="str">
        <f aca="false">IF(VALUE(MID(C250,3,2))*10+VALUE(MID(D250,2,1))&lt;=242,"Pre",IF(VALUE(MID(C250,3,2))*10+VALUE(MID(D250,2,1))&lt;=254,"Post","Later"))</f>
        <v>Post</v>
      </c>
      <c r="G250" s="40" t="s">
        <v>352</v>
      </c>
      <c r="H250" s="40" t="s">
        <v>852</v>
      </c>
      <c r="I250" s="40" t="s">
        <v>834</v>
      </c>
    </row>
    <row r="251" customFormat="false" ht="15" hidden="false" customHeight="false" outlineLevel="0" collapsed="false">
      <c r="A251" s="40" t="s">
        <v>353</v>
      </c>
      <c r="B251" s="40" t="s">
        <v>228</v>
      </c>
      <c r="C251" s="40" t="s">
        <v>440</v>
      </c>
      <c r="D251" s="40" t="s">
        <v>425</v>
      </c>
      <c r="E251" s="41" t="n">
        <v>59.2</v>
      </c>
      <c r="F251" s="42" t="str">
        <f aca="false">IF(VALUE(MID(C251,3,2))*10+VALUE(MID(D251,2,1))&lt;=242,"Pre",IF(VALUE(MID(C251,3,2))*10+VALUE(MID(D251,2,1))&lt;=254,"Post","Later"))</f>
        <v>Post</v>
      </c>
      <c r="G251" s="40" t="s">
        <v>352</v>
      </c>
      <c r="H251" s="40" t="s">
        <v>853</v>
      </c>
      <c r="I251" s="40" t="s">
        <v>834</v>
      </c>
    </row>
    <row r="252" customFormat="false" ht="15" hidden="false" customHeight="false" outlineLevel="0" collapsed="false">
      <c r="A252" s="40" t="s">
        <v>353</v>
      </c>
      <c r="B252" s="40" t="s">
        <v>228</v>
      </c>
      <c r="C252" s="40" t="s">
        <v>444</v>
      </c>
      <c r="D252" s="40" t="s">
        <v>418</v>
      </c>
      <c r="E252" s="41" t="n">
        <v>56.9</v>
      </c>
      <c r="F252" s="42" t="str">
        <f aca="false">IF(VALUE(MID(C252,3,2))*10+VALUE(MID(D252,2,1))&lt;=242,"Pre",IF(VALUE(MID(C252,3,2))*10+VALUE(MID(D252,2,1))&lt;=254,"Post","Later"))</f>
        <v>Later</v>
      </c>
      <c r="G252" s="40" t="s">
        <v>352</v>
      </c>
      <c r="H252" s="40" t="s">
        <v>854</v>
      </c>
      <c r="I252" s="40" t="s">
        <v>834</v>
      </c>
    </row>
    <row r="253" customFormat="false" ht="15" hidden="false" customHeight="false" outlineLevel="0" collapsed="false">
      <c r="A253" s="40" t="s">
        <v>353</v>
      </c>
      <c r="B253" s="40" t="s">
        <v>228</v>
      </c>
      <c r="C253" s="40" t="s">
        <v>444</v>
      </c>
      <c r="D253" s="40" t="s">
        <v>421</v>
      </c>
      <c r="E253" s="41" t="n">
        <v>56.8</v>
      </c>
      <c r="F253" s="42" t="str">
        <f aca="false">IF(VALUE(MID(C253,3,2))*10+VALUE(MID(D253,2,1))&lt;=242,"Pre",IF(VALUE(MID(C253,3,2))*10+VALUE(MID(D253,2,1))&lt;=254,"Post","Later"))</f>
        <v>Later</v>
      </c>
      <c r="G253" s="40" t="s">
        <v>352</v>
      </c>
      <c r="H253" s="40" t="s">
        <v>855</v>
      </c>
      <c r="I253" s="40" t="s">
        <v>834</v>
      </c>
    </row>
    <row r="254" customFormat="false" ht="15" hidden="false" customHeight="false" outlineLevel="0" collapsed="false">
      <c r="A254" s="40" t="s">
        <v>353</v>
      </c>
      <c r="B254" s="40" t="s">
        <v>228</v>
      </c>
      <c r="C254" s="40" t="s">
        <v>444</v>
      </c>
      <c r="D254" s="40" t="s">
        <v>423</v>
      </c>
      <c r="E254" s="41" t="n">
        <v>55.7</v>
      </c>
      <c r="F254" s="42" t="str">
        <f aca="false">IF(VALUE(MID(C254,3,2))*10+VALUE(MID(D254,2,1))&lt;=242,"Pre",IF(VALUE(MID(C254,3,2))*10+VALUE(MID(D254,2,1))&lt;=254,"Post","Later"))</f>
        <v>Later</v>
      </c>
      <c r="G254" s="40" t="s">
        <v>352</v>
      </c>
      <c r="H254" s="40" t="s">
        <v>856</v>
      </c>
      <c r="I254" s="40" t="s">
        <v>834</v>
      </c>
    </row>
    <row r="255" customFormat="false" ht="15" hidden="false" customHeight="false" outlineLevel="0" collapsed="false">
      <c r="A255" s="40" t="s">
        <v>353</v>
      </c>
      <c r="B255" s="40" t="s">
        <v>228</v>
      </c>
      <c r="C255" s="40" t="s">
        <v>444</v>
      </c>
      <c r="D255" s="40" t="s">
        <v>425</v>
      </c>
      <c r="E255" s="41" t="n">
        <v>58.7</v>
      </c>
      <c r="F255" s="42" t="str">
        <f aca="false">IF(VALUE(MID(C255,3,2))*10+VALUE(MID(D255,2,1))&lt;=242,"Pre",IF(VALUE(MID(C255,3,2))*10+VALUE(MID(D255,2,1))&lt;=254,"Post","Later"))</f>
        <v>Later</v>
      </c>
      <c r="G255" s="40" t="s">
        <v>352</v>
      </c>
      <c r="H255" s="40" t="s">
        <v>857</v>
      </c>
      <c r="I255" s="40" t="s">
        <v>834</v>
      </c>
    </row>
    <row r="256" customFormat="false" ht="15" hidden="false" customHeight="false" outlineLevel="0" collapsed="false">
      <c r="A256" s="40" t="s">
        <v>355</v>
      </c>
      <c r="B256" s="40" t="s">
        <v>249</v>
      </c>
      <c r="C256" s="40" t="s">
        <v>417</v>
      </c>
      <c r="D256" s="40" t="s">
        <v>421</v>
      </c>
      <c r="E256" s="41" t="n">
        <v>60</v>
      </c>
      <c r="F256" s="42" t="str">
        <f aca="false">IF(VALUE(MID(C256,3,2))*10+VALUE(MID(D256,2,1))&lt;=242,"Pre",IF(VALUE(MID(C256,3,2))*10+VALUE(MID(D256,2,1))&lt;=254,"Post","Later"))</f>
        <v>Pre</v>
      </c>
      <c r="G256" s="40" t="s">
        <v>343</v>
      </c>
      <c r="H256" s="40" t="s">
        <v>858</v>
      </c>
      <c r="I256" s="40" t="s">
        <v>859</v>
      </c>
    </row>
    <row r="257" customFormat="false" ht="15" hidden="false" customHeight="false" outlineLevel="0" collapsed="false">
      <c r="A257" s="40" t="s">
        <v>355</v>
      </c>
      <c r="B257" s="40" t="s">
        <v>249</v>
      </c>
      <c r="C257" s="40" t="s">
        <v>417</v>
      </c>
      <c r="D257" s="40" t="s">
        <v>425</v>
      </c>
      <c r="E257" s="41" t="n">
        <v>51</v>
      </c>
      <c r="F257" s="42" t="str">
        <f aca="false">IF(VALUE(MID(C257,3,2))*10+VALUE(MID(D257,2,1))&lt;=242,"Pre",IF(VALUE(MID(C257,3,2))*10+VALUE(MID(D257,2,1))&lt;=254,"Post","Later"))</f>
        <v>Pre</v>
      </c>
      <c r="G257" s="40" t="s">
        <v>343</v>
      </c>
      <c r="H257" s="40" t="s">
        <v>860</v>
      </c>
      <c r="I257" s="40" t="s">
        <v>859</v>
      </c>
    </row>
    <row r="258" customFormat="false" ht="15" hidden="false" customHeight="false" outlineLevel="0" collapsed="false">
      <c r="A258" s="40" t="s">
        <v>355</v>
      </c>
      <c r="B258" s="40" t="s">
        <v>249</v>
      </c>
      <c r="C258" s="40" t="s">
        <v>427</v>
      </c>
      <c r="D258" s="40" t="s">
        <v>421</v>
      </c>
      <c r="E258" s="41" t="n">
        <v>47</v>
      </c>
      <c r="F258" s="42" t="str">
        <f aca="false">IF(VALUE(MID(C258,3,2))*10+VALUE(MID(D258,2,1))&lt;=242,"Pre",IF(VALUE(MID(C258,3,2))*10+VALUE(MID(D258,2,1))&lt;=254,"Post","Later"))</f>
        <v>Pre</v>
      </c>
      <c r="G258" s="40" t="s">
        <v>343</v>
      </c>
      <c r="H258" s="40" t="s">
        <v>858</v>
      </c>
      <c r="I258" s="40" t="s">
        <v>859</v>
      </c>
    </row>
    <row r="259" customFormat="false" ht="15" hidden="false" customHeight="false" outlineLevel="0" collapsed="false">
      <c r="A259" s="40" t="s">
        <v>355</v>
      </c>
      <c r="B259" s="40" t="s">
        <v>249</v>
      </c>
      <c r="C259" s="40" t="s">
        <v>427</v>
      </c>
      <c r="D259" s="40" t="s">
        <v>425</v>
      </c>
      <c r="E259" s="41" t="n">
        <v>51</v>
      </c>
      <c r="F259" s="42" t="str">
        <f aca="false">IF(VALUE(MID(C259,3,2))*10+VALUE(MID(D259,2,1))&lt;=242,"Pre",IF(VALUE(MID(C259,3,2))*10+VALUE(MID(D259,2,1))&lt;=254,"Post","Later"))</f>
        <v>Pre</v>
      </c>
      <c r="G259" s="40" t="s">
        <v>343</v>
      </c>
      <c r="H259" s="40" t="s">
        <v>860</v>
      </c>
      <c r="I259" s="40" t="s">
        <v>859</v>
      </c>
    </row>
    <row r="260" customFormat="false" ht="15" hidden="false" customHeight="false" outlineLevel="0" collapsed="false">
      <c r="A260" s="40" t="s">
        <v>355</v>
      </c>
      <c r="B260" s="40" t="s">
        <v>249</v>
      </c>
      <c r="C260" s="40" t="s">
        <v>432</v>
      </c>
      <c r="D260" s="40" t="s">
        <v>421</v>
      </c>
      <c r="E260" s="41" t="n">
        <v>54</v>
      </c>
      <c r="F260" s="42" t="str">
        <f aca="false">IF(VALUE(MID(C260,3,2))*10+VALUE(MID(D260,2,1))&lt;=242,"Pre",IF(VALUE(MID(C260,3,2))*10+VALUE(MID(D260,2,1))&lt;=254,"Post","Later"))</f>
        <v>Pre</v>
      </c>
      <c r="G260" s="40" t="s">
        <v>343</v>
      </c>
      <c r="H260" s="40" t="s">
        <v>861</v>
      </c>
      <c r="I260" s="40" t="s">
        <v>859</v>
      </c>
    </row>
    <row r="261" customFormat="false" ht="15" hidden="false" customHeight="false" outlineLevel="0" collapsed="false">
      <c r="A261" s="40" t="s">
        <v>355</v>
      </c>
      <c r="B261" s="40" t="s">
        <v>249</v>
      </c>
      <c r="C261" s="40" t="s">
        <v>432</v>
      </c>
      <c r="D261" s="40" t="s">
        <v>425</v>
      </c>
      <c r="E261" s="41" t="n">
        <v>54</v>
      </c>
      <c r="F261" s="42" t="str">
        <f aca="false">IF(VALUE(MID(C261,3,2))*10+VALUE(MID(D261,2,1))&lt;=242,"Pre",IF(VALUE(MID(C261,3,2))*10+VALUE(MID(D261,2,1))&lt;=254,"Post","Later"))</f>
        <v>Pre</v>
      </c>
      <c r="G261" s="40" t="s">
        <v>343</v>
      </c>
      <c r="H261" s="40" t="s">
        <v>862</v>
      </c>
      <c r="I261" s="40" t="s">
        <v>859</v>
      </c>
    </row>
    <row r="262" customFormat="false" ht="15" hidden="false" customHeight="false" outlineLevel="0" collapsed="false">
      <c r="A262" s="40" t="s">
        <v>355</v>
      </c>
      <c r="B262" s="40" t="s">
        <v>249</v>
      </c>
      <c r="C262" s="40" t="s">
        <v>435</v>
      </c>
      <c r="D262" s="40" t="s">
        <v>421</v>
      </c>
      <c r="E262" s="41" t="n">
        <v>57</v>
      </c>
      <c r="F262" s="42" t="str">
        <f aca="false">IF(VALUE(MID(C262,3,2))*10+VALUE(MID(D262,2,1))&lt;=242,"Pre",IF(VALUE(MID(C262,3,2))*10+VALUE(MID(D262,2,1))&lt;=254,"Post","Later"))</f>
        <v>Pre</v>
      </c>
      <c r="G262" s="40" t="s">
        <v>343</v>
      </c>
      <c r="H262" s="40" t="s">
        <v>861</v>
      </c>
      <c r="I262" s="40" t="s">
        <v>859</v>
      </c>
    </row>
    <row r="263" customFormat="false" ht="15" hidden="false" customHeight="false" outlineLevel="0" collapsed="false">
      <c r="A263" s="40" t="s">
        <v>355</v>
      </c>
      <c r="B263" s="40" t="s">
        <v>249</v>
      </c>
      <c r="C263" s="40" t="s">
        <v>435</v>
      </c>
      <c r="D263" s="40" t="s">
        <v>425</v>
      </c>
      <c r="E263" s="41" t="n">
        <v>59</v>
      </c>
      <c r="F263" s="42" t="str">
        <f aca="false">IF(VALUE(MID(C263,3,2))*10+VALUE(MID(D263,2,1))&lt;=242,"Pre",IF(VALUE(MID(C263,3,2))*10+VALUE(MID(D263,2,1))&lt;=254,"Post","Later"))</f>
        <v>Post</v>
      </c>
      <c r="G263" s="40" t="s">
        <v>343</v>
      </c>
      <c r="H263" s="40" t="s">
        <v>862</v>
      </c>
      <c r="I263" s="40" t="s">
        <v>859</v>
      </c>
    </row>
    <row r="264" customFormat="false" ht="15" hidden="false" customHeight="false" outlineLevel="0" collapsed="false">
      <c r="A264" s="40" t="s">
        <v>355</v>
      </c>
      <c r="B264" s="40" t="s">
        <v>249</v>
      </c>
      <c r="C264" s="40" t="s">
        <v>440</v>
      </c>
      <c r="D264" s="40" t="s">
        <v>421</v>
      </c>
      <c r="E264" s="41" t="n">
        <v>60</v>
      </c>
      <c r="F264" s="42" t="str">
        <f aca="false">IF(VALUE(MID(C264,3,2))*10+VALUE(MID(D264,2,1))&lt;=242,"Pre",IF(VALUE(MID(C264,3,2))*10+VALUE(MID(D264,2,1))&lt;=254,"Post","Later"))</f>
        <v>Post</v>
      </c>
      <c r="G264" s="40" t="s">
        <v>343</v>
      </c>
      <c r="H264" s="40" t="s">
        <v>863</v>
      </c>
      <c r="I264" s="40" t="s">
        <v>859</v>
      </c>
    </row>
    <row r="265" customFormat="false" ht="15" hidden="false" customHeight="false" outlineLevel="0" collapsed="false">
      <c r="A265" s="40" t="s">
        <v>355</v>
      </c>
      <c r="B265" s="40" t="s">
        <v>249</v>
      </c>
      <c r="C265" s="40" t="s">
        <v>440</v>
      </c>
      <c r="D265" s="40" t="s">
        <v>425</v>
      </c>
      <c r="E265" s="41" t="n">
        <v>52</v>
      </c>
      <c r="F265" s="42" t="str">
        <f aca="false">IF(VALUE(MID(C265,3,2))*10+VALUE(MID(D265,2,1))&lt;=242,"Pre",IF(VALUE(MID(C265,3,2))*10+VALUE(MID(D265,2,1))&lt;=254,"Post","Later"))</f>
        <v>Post</v>
      </c>
      <c r="G265" s="40" t="s">
        <v>343</v>
      </c>
      <c r="H265" s="40" t="s">
        <v>864</v>
      </c>
      <c r="I265" s="40" t="s">
        <v>859</v>
      </c>
    </row>
    <row r="266" customFormat="false" ht="15" hidden="false" customHeight="false" outlineLevel="0" collapsed="false">
      <c r="A266" s="40" t="s">
        <v>355</v>
      </c>
      <c r="B266" s="40" t="s">
        <v>249</v>
      </c>
      <c r="C266" s="40" t="s">
        <v>444</v>
      </c>
      <c r="D266" s="40" t="s">
        <v>421</v>
      </c>
      <c r="E266" s="41" t="n">
        <v>57</v>
      </c>
      <c r="F266" s="42" t="str">
        <f aca="false">IF(VALUE(MID(C266,3,2))*10+VALUE(MID(D266,2,1))&lt;=242,"Pre",IF(VALUE(MID(C266,3,2))*10+VALUE(MID(D266,2,1))&lt;=254,"Post","Later"))</f>
        <v>Later</v>
      </c>
      <c r="G266" s="40" t="s">
        <v>343</v>
      </c>
      <c r="H266" s="40" t="s">
        <v>863</v>
      </c>
      <c r="I266" s="40" t="s">
        <v>859</v>
      </c>
    </row>
    <row r="267" customFormat="false" ht="15" hidden="false" customHeight="false" outlineLevel="0" collapsed="false">
      <c r="A267" s="40" t="s">
        <v>355</v>
      </c>
      <c r="B267" s="40" t="s">
        <v>249</v>
      </c>
      <c r="C267" s="40" t="s">
        <v>444</v>
      </c>
      <c r="D267" s="40" t="s">
        <v>425</v>
      </c>
      <c r="E267" s="41" t="n">
        <v>63</v>
      </c>
      <c r="F267" s="42" t="str">
        <f aca="false">IF(VALUE(MID(C267,3,2))*10+VALUE(MID(D267,2,1))&lt;=242,"Pre",IF(VALUE(MID(C267,3,2))*10+VALUE(MID(D267,2,1))&lt;=254,"Post","Later"))</f>
        <v>Later</v>
      </c>
      <c r="G267" s="40" t="s">
        <v>343</v>
      </c>
      <c r="H267" s="40" t="s">
        <v>864</v>
      </c>
      <c r="I267" s="40" t="s">
        <v>859</v>
      </c>
    </row>
    <row r="268" customFormat="false" ht="15" hidden="false" customHeight="false" outlineLevel="0" collapsed="false">
      <c r="A268" s="40" t="s">
        <v>354</v>
      </c>
      <c r="B268" s="40" t="s">
        <v>249</v>
      </c>
      <c r="C268" s="40" t="s">
        <v>417</v>
      </c>
      <c r="D268" s="40" t="s">
        <v>421</v>
      </c>
      <c r="E268" s="41" t="n">
        <v>36.3</v>
      </c>
      <c r="F268" s="42" t="str">
        <f aca="false">IF(VALUE(MID(C268,3,2))*10+VALUE(MID(D268,2,1))&lt;=242,"Pre",IF(VALUE(MID(C268,3,2))*10+VALUE(MID(D268,2,1))&lt;=254,"Post","Later"))</f>
        <v>Pre</v>
      </c>
      <c r="G268" s="40" t="s">
        <v>343</v>
      </c>
      <c r="H268" s="40" t="s">
        <v>865</v>
      </c>
      <c r="I268" s="40" t="s">
        <v>866</v>
      </c>
    </row>
    <row r="269" customFormat="false" ht="15" hidden="false" customHeight="false" outlineLevel="0" collapsed="false">
      <c r="A269" s="40" t="s">
        <v>354</v>
      </c>
      <c r="B269" s="40" t="s">
        <v>249</v>
      </c>
      <c r="C269" s="40" t="s">
        <v>417</v>
      </c>
      <c r="D269" s="40" t="s">
        <v>425</v>
      </c>
      <c r="E269" s="41" t="n">
        <v>34.1</v>
      </c>
      <c r="F269" s="42" t="str">
        <f aca="false">IF(VALUE(MID(C269,3,2))*10+VALUE(MID(D269,2,1))&lt;=242,"Pre",IF(VALUE(MID(C269,3,2))*10+VALUE(MID(D269,2,1))&lt;=254,"Post","Later"))</f>
        <v>Pre</v>
      </c>
      <c r="G269" s="40" t="s">
        <v>343</v>
      </c>
      <c r="H269" s="40" t="s">
        <v>867</v>
      </c>
      <c r="I269" s="40" t="s">
        <v>866</v>
      </c>
    </row>
    <row r="270" customFormat="false" ht="15" hidden="false" customHeight="false" outlineLevel="0" collapsed="false">
      <c r="A270" s="40" t="s">
        <v>354</v>
      </c>
      <c r="B270" s="40" t="s">
        <v>249</v>
      </c>
      <c r="C270" s="40" t="s">
        <v>427</v>
      </c>
      <c r="D270" s="40" t="s">
        <v>421</v>
      </c>
      <c r="E270" s="41" t="n">
        <v>36.8</v>
      </c>
      <c r="F270" s="42" t="str">
        <f aca="false">IF(VALUE(MID(C270,3,2))*10+VALUE(MID(D270,2,1))&lt;=242,"Pre",IF(VALUE(MID(C270,3,2))*10+VALUE(MID(D270,2,1))&lt;=254,"Post","Later"))</f>
        <v>Pre</v>
      </c>
      <c r="G270" s="40" t="s">
        <v>343</v>
      </c>
      <c r="H270" s="40" t="s">
        <v>868</v>
      </c>
      <c r="I270" s="40" t="s">
        <v>866</v>
      </c>
    </row>
    <row r="271" customFormat="false" ht="15" hidden="false" customHeight="false" outlineLevel="0" collapsed="false">
      <c r="A271" s="40" t="s">
        <v>354</v>
      </c>
      <c r="B271" s="40" t="s">
        <v>249</v>
      </c>
      <c r="C271" s="40" t="s">
        <v>427</v>
      </c>
      <c r="D271" s="40" t="s">
        <v>425</v>
      </c>
      <c r="E271" s="41" t="n">
        <v>37.9</v>
      </c>
      <c r="F271" s="42" t="str">
        <f aca="false">IF(VALUE(MID(C271,3,2))*10+VALUE(MID(D271,2,1))&lt;=242,"Pre",IF(VALUE(MID(C271,3,2))*10+VALUE(MID(D271,2,1))&lt;=254,"Post","Later"))</f>
        <v>Pre</v>
      </c>
      <c r="G271" s="40" t="s">
        <v>343</v>
      </c>
      <c r="H271" s="40" t="s">
        <v>869</v>
      </c>
      <c r="I271" s="40" t="s">
        <v>866</v>
      </c>
    </row>
    <row r="272" customFormat="false" ht="15" hidden="false" customHeight="false" outlineLevel="0" collapsed="false">
      <c r="A272" s="40" t="s">
        <v>354</v>
      </c>
      <c r="B272" s="40" t="s">
        <v>249</v>
      </c>
      <c r="C272" s="40" t="s">
        <v>432</v>
      </c>
      <c r="D272" s="40" t="s">
        <v>421</v>
      </c>
      <c r="E272" s="41" t="n">
        <v>41.8</v>
      </c>
      <c r="F272" s="42" t="str">
        <f aca="false">IF(VALUE(MID(C272,3,2))*10+VALUE(MID(D272,2,1))&lt;=242,"Pre",IF(VALUE(MID(C272,3,2))*10+VALUE(MID(D272,2,1))&lt;=254,"Post","Later"))</f>
        <v>Pre</v>
      </c>
      <c r="G272" s="40" t="s">
        <v>343</v>
      </c>
      <c r="H272" s="40" t="s">
        <v>870</v>
      </c>
      <c r="I272" s="40" t="s">
        <v>866</v>
      </c>
    </row>
    <row r="273" customFormat="false" ht="15" hidden="false" customHeight="false" outlineLevel="0" collapsed="false">
      <c r="A273" s="40" t="s">
        <v>354</v>
      </c>
      <c r="B273" s="40" t="s">
        <v>249</v>
      </c>
      <c r="C273" s="40" t="s">
        <v>432</v>
      </c>
      <c r="D273" s="40" t="s">
        <v>425</v>
      </c>
      <c r="E273" s="41" t="n">
        <v>45</v>
      </c>
      <c r="F273" s="42" t="str">
        <f aca="false">IF(VALUE(MID(C273,3,2))*10+VALUE(MID(D273,2,1))&lt;=242,"Pre",IF(VALUE(MID(C273,3,2))*10+VALUE(MID(D273,2,1))&lt;=254,"Post","Later"))</f>
        <v>Pre</v>
      </c>
      <c r="G273" s="40" t="s">
        <v>343</v>
      </c>
      <c r="H273" s="40" t="s">
        <v>871</v>
      </c>
      <c r="I273" s="40" t="s">
        <v>866</v>
      </c>
    </row>
    <row r="274" customFormat="false" ht="15" hidden="false" customHeight="false" outlineLevel="0" collapsed="false">
      <c r="A274" s="40" t="s">
        <v>354</v>
      </c>
      <c r="B274" s="40" t="s">
        <v>249</v>
      </c>
      <c r="C274" s="40" t="s">
        <v>435</v>
      </c>
      <c r="D274" s="40" t="s">
        <v>421</v>
      </c>
      <c r="E274" s="41" t="n">
        <v>49.6</v>
      </c>
      <c r="F274" s="42" t="str">
        <f aca="false">IF(VALUE(MID(C274,3,2))*10+VALUE(MID(D274,2,1))&lt;=242,"Pre",IF(VALUE(MID(C274,3,2))*10+VALUE(MID(D274,2,1))&lt;=254,"Post","Later"))</f>
        <v>Pre</v>
      </c>
      <c r="G274" s="40" t="s">
        <v>343</v>
      </c>
      <c r="H274" s="40" t="s">
        <v>872</v>
      </c>
      <c r="I274" s="40" t="s">
        <v>866</v>
      </c>
    </row>
    <row r="275" customFormat="false" ht="15" hidden="false" customHeight="false" outlineLevel="0" collapsed="false">
      <c r="A275" s="40" t="s">
        <v>354</v>
      </c>
      <c r="B275" s="40" t="s">
        <v>249</v>
      </c>
      <c r="C275" s="40" t="s">
        <v>435</v>
      </c>
      <c r="D275" s="40" t="s">
        <v>425</v>
      </c>
      <c r="E275" s="41" t="n">
        <v>47.5</v>
      </c>
      <c r="F275" s="42" t="str">
        <f aca="false">IF(VALUE(MID(C275,3,2))*10+VALUE(MID(D275,2,1))&lt;=242,"Pre",IF(VALUE(MID(C275,3,2))*10+VALUE(MID(D275,2,1))&lt;=254,"Post","Later"))</f>
        <v>Post</v>
      </c>
      <c r="G275" s="40" t="s">
        <v>343</v>
      </c>
      <c r="H275" s="40" t="s">
        <v>873</v>
      </c>
      <c r="I275" s="40" t="s">
        <v>866</v>
      </c>
    </row>
    <row r="276" customFormat="false" ht="15" hidden="false" customHeight="false" outlineLevel="0" collapsed="false">
      <c r="A276" s="40" t="s">
        <v>354</v>
      </c>
      <c r="B276" s="40" t="s">
        <v>249</v>
      </c>
      <c r="C276" s="40" t="s">
        <v>440</v>
      </c>
      <c r="D276" s="40" t="s">
        <v>421</v>
      </c>
      <c r="E276" s="41" t="n">
        <v>50.8</v>
      </c>
      <c r="F276" s="42" t="str">
        <f aca="false">IF(VALUE(MID(C276,3,2))*10+VALUE(MID(D276,2,1))&lt;=242,"Pre",IF(VALUE(MID(C276,3,2))*10+VALUE(MID(D276,2,1))&lt;=254,"Post","Later"))</f>
        <v>Post</v>
      </c>
      <c r="G276" s="40" t="s">
        <v>343</v>
      </c>
      <c r="H276" s="40" t="s">
        <v>874</v>
      </c>
      <c r="I276" s="40" t="s">
        <v>866</v>
      </c>
    </row>
    <row r="277" customFormat="false" ht="15" hidden="false" customHeight="false" outlineLevel="0" collapsed="false">
      <c r="A277" s="40" t="s">
        <v>354</v>
      </c>
      <c r="B277" s="40" t="s">
        <v>249</v>
      </c>
      <c r="C277" s="40" t="s">
        <v>440</v>
      </c>
      <c r="D277" s="40" t="s">
        <v>425</v>
      </c>
      <c r="E277" s="41" t="n">
        <v>50.9</v>
      </c>
      <c r="F277" s="42" t="str">
        <f aca="false">IF(VALUE(MID(C277,3,2))*10+VALUE(MID(D277,2,1))&lt;=242,"Pre",IF(VALUE(MID(C277,3,2))*10+VALUE(MID(D277,2,1))&lt;=254,"Post","Later"))</f>
        <v>Post</v>
      </c>
      <c r="G277" s="40" t="s">
        <v>343</v>
      </c>
      <c r="H277" s="40" t="s">
        <v>875</v>
      </c>
      <c r="I277" s="40" t="s">
        <v>866</v>
      </c>
    </row>
    <row r="278" customFormat="false" ht="15" hidden="false" customHeight="false" outlineLevel="0" collapsed="false">
      <c r="A278" s="40" t="s">
        <v>358</v>
      </c>
      <c r="B278" s="40" t="s">
        <v>249</v>
      </c>
      <c r="C278" s="40" t="s">
        <v>417</v>
      </c>
      <c r="D278" s="40" t="s">
        <v>425</v>
      </c>
      <c r="E278" s="41" t="n">
        <v>26.7</v>
      </c>
      <c r="F278" s="42" t="str">
        <f aca="false">IF(VALUE(MID(C278,3,2))*10+VALUE(MID(D278,2,1))&lt;=242,"Pre",IF(VALUE(MID(C278,3,2))*10+VALUE(MID(D278,2,1))&lt;=254,"Post","Later"))</f>
        <v>Pre</v>
      </c>
      <c r="G278" s="40" t="s">
        <v>343</v>
      </c>
      <c r="H278" s="40" t="s">
        <v>876</v>
      </c>
      <c r="I278" s="40" t="s">
        <v>877</v>
      </c>
    </row>
    <row r="279" customFormat="false" ht="15" hidden="false" customHeight="false" outlineLevel="0" collapsed="false">
      <c r="A279" s="40" t="s">
        <v>358</v>
      </c>
      <c r="B279" s="40" t="s">
        <v>249</v>
      </c>
      <c r="C279" s="40" t="s">
        <v>427</v>
      </c>
      <c r="D279" s="40" t="s">
        <v>425</v>
      </c>
      <c r="E279" s="41" t="n">
        <v>32.2</v>
      </c>
      <c r="F279" s="42" t="str">
        <f aca="false">IF(VALUE(MID(C279,3,2))*10+VALUE(MID(D279,2,1))&lt;=242,"Pre",IF(VALUE(MID(C279,3,2))*10+VALUE(MID(D279,2,1))&lt;=254,"Post","Later"))</f>
        <v>Pre</v>
      </c>
      <c r="G279" s="40" t="s">
        <v>343</v>
      </c>
      <c r="H279" s="40" t="s">
        <v>878</v>
      </c>
      <c r="I279" s="40" t="s">
        <v>877</v>
      </c>
    </row>
    <row r="280" customFormat="false" ht="15" hidden="false" customHeight="false" outlineLevel="0" collapsed="false">
      <c r="A280" s="40" t="s">
        <v>358</v>
      </c>
      <c r="B280" s="40" t="s">
        <v>249</v>
      </c>
      <c r="C280" s="40" t="s">
        <v>432</v>
      </c>
      <c r="D280" s="40" t="s">
        <v>418</v>
      </c>
      <c r="E280" s="41" t="n">
        <v>27.9</v>
      </c>
      <c r="F280" s="42" t="str">
        <f aca="false">IF(VALUE(MID(C280,3,2))*10+VALUE(MID(D280,2,1))&lt;=242,"Pre",IF(VALUE(MID(C280,3,2))*10+VALUE(MID(D280,2,1))&lt;=254,"Post","Later"))</f>
        <v>Pre</v>
      </c>
      <c r="G280" s="40" t="s">
        <v>343</v>
      </c>
      <c r="H280" s="40" t="s">
        <v>879</v>
      </c>
      <c r="I280" s="40" t="s">
        <v>877</v>
      </c>
    </row>
    <row r="281" customFormat="false" ht="15" hidden="false" customHeight="false" outlineLevel="0" collapsed="false">
      <c r="A281" s="40" t="s">
        <v>358</v>
      </c>
      <c r="B281" s="40" t="s">
        <v>249</v>
      </c>
      <c r="C281" s="40" t="s">
        <v>432</v>
      </c>
      <c r="D281" s="40" t="s">
        <v>421</v>
      </c>
      <c r="E281" s="41" t="n">
        <v>32.2</v>
      </c>
      <c r="F281" s="42" t="str">
        <f aca="false">IF(VALUE(MID(C281,3,2))*10+VALUE(MID(D281,2,1))&lt;=242,"Pre",IF(VALUE(MID(C281,3,2))*10+VALUE(MID(D281,2,1))&lt;=254,"Post","Later"))</f>
        <v>Pre</v>
      </c>
      <c r="G281" s="40" t="s">
        <v>343</v>
      </c>
      <c r="H281" s="40" t="s">
        <v>879</v>
      </c>
      <c r="I281" s="40" t="s">
        <v>877</v>
      </c>
    </row>
    <row r="282" customFormat="false" ht="15" hidden="false" customHeight="false" outlineLevel="0" collapsed="false">
      <c r="A282" s="40" t="s">
        <v>358</v>
      </c>
      <c r="B282" s="40" t="s">
        <v>249</v>
      </c>
      <c r="C282" s="40" t="s">
        <v>432</v>
      </c>
      <c r="D282" s="40" t="s">
        <v>425</v>
      </c>
      <c r="E282" s="41" t="n">
        <v>42.2</v>
      </c>
      <c r="F282" s="42" t="str">
        <f aca="false">IF(VALUE(MID(C282,3,2))*10+VALUE(MID(D282,2,1))&lt;=242,"Pre",IF(VALUE(MID(C282,3,2))*10+VALUE(MID(D282,2,1))&lt;=254,"Post","Later"))</f>
        <v>Pre</v>
      </c>
      <c r="G282" s="40" t="s">
        <v>343</v>
      </c>
      <c r="H282" s="40" t="s">
        <v>878</v>
      </c>
      <c r="I282" s="40" t="s">
        <v>877</v>
      </c>
    </row>
    <row r="283" customFormat="false" ht="15" hidden="false" customHeight="false" outlineLevel="0" collapsed="false">
      <c r="A283" s="40" t="s">
        <v>358</v>
      </c>
      <c r="B283" s="40" t="s">
        <v>249</v>
      </c>
      <c r="C283" s="40" t="s">
        <v>435</v>
      </c>
      <c r="D283" s="40" t="s">
        <v>421</v>
      </c>
      <c r="E283" s="41" t="n">
        <v>40.2</v>
      </c>
      <c r="F283" s="42" t="str">
        <f aca="false">IF(VALUE(MID(C283,3,2))*10+VALUE(MID(D283,2,1))&lt;=242,"Pre",IF(VALUE(MID(C283,3,2))*10+VALUE(MID(D283,2,1))&lt;=254,"Post","Later"))</f>
        <v>Pre</v>
      </c>
      <c r="G283" s="40" t="s">
        <v>343</v>
      </c>
      <c r="H283" s="40" t="s">
        <v>880</v>
      </c>
      <c r="I283" s="40" t="s">
        <v>877</v>
      </c>
    </row>
    <row r="284" customFormat="false" ht="15" hidden="false" customHeight="false" outlineLevel="0" collapsed="false">
      <c r="A284" s="40" t="s">
        <v>358</v>
      </c>
      <c r="B284" s="40" t="s">
        <v>249</v>
      </c>
      <c r="C284" s="40" t="s">
        <v>440</v>
      </c>
      <c r="D284" s="40" t="s">
        <v>418</v>
      </c>
      <c r="E284" s="41" t="n">
        <v>39.4</v>
      </c>
      <c r="F284" s="42" t="str">
        <f aca="false">IF(VALUE(MID(C284,3,2))*10+VALUE(MID(D284,2,1))&lt;=242,"Pre",IF(VALUE(MID(C284,3,2))*10+VALUE(MID(D284,2,1))&lt;=254,"Post","Later"))</f>
        <v>Post</v>
      </c>
      <c r="G284" s="40" t="s">
        <v>343</v>
      </c>
      <c r="H284" s="40" t="s">
        <v>881</v>
      </c>
      <c r="I284" s="40" t="s">
        <v>877</v>
      </c>
    </row>
    <row r="285" customFormat="false" ht="15" hidden="false" customHeight="false" outlineLevel="0" collapsed="false">
      <c r="A285" s="40" t="s">
        <v>358</v>
      </c>
      <c r="B285" s="40" t="s">
        <v>249</v>
      </c>
      <c r="C285" s="40" t="s">
        <v>440</v>
      </c>
      <c r="D285" s="40" t="s">
        <v>421</v>
      </c>
      <c r="E285" s="41" t="n">
        <v>39.1</v>
      </c>
      <c r="F285" s="42" t="str">
        <f aca="false">IF(VALUE(MID(C285,3,2))*10+VALUE(MID(D285,2,1))&lt;=242,"Pre",IF(VALUE(MID(C285,3,2))*10+VALUE(MID(D285,2,1))&lt;=254,"Post","Later"))</f>
        <v>Post</v>
      </c>
      <c r="G285" s="40" t="s">
        <v>343</v>
      </c>
      <c r="H285" s="40" t="s">
        <v>881</v>
      </c>
      <c r="I285" s="40" t="s">
        <v>877</v>
      </c>
    </row>
    <row r="286" customFormat="false" ht="15" hidden="false" customHeight="false" outlineLevel="0" collapsed="false">
      <c r="A286" s="40" t="s">
        <v>358</v>
      </c>
      <c r="B286" s="40" t="s">
        <v>249</v>
      </c>
      <c r="C286" s="40" t="s">
        <v>440</v>
      </c>
      <c r="D286" s="40" t="s">
        <v>425</v>
      </c>
      <c r="E286" s="41" t="n">
        <v>37.7</v>
      </c>
      <c r="F286" s="42" t="str">
        <f aca="false">IF(VALUE(MID(C286,3,2))*10+VALUE(MID(D286,2,1))&lt;=242,"Pre",IF(VALUE(MID(C286,3,2))*10+VALUE(MID(D286,2,1))&lt;=254,"Post","Later"))</f>
        <v>Post</v>
      </c>
      <c r="G286" s="40" t="s">
        <v>343</v>
      </c>
      <c r="H286" s="40" t="s">
        <v>882</v>
      </c>
      <c r="I286" s="40" t="s">
        <v>877</v>
      </c>
    </row>
    <row r="287" customFormat="false" ht="15" hidden="false" customHeight="false" outlineLevel="0" collapsed="false">
      <c r="A287" s="40" t="s">
        <v>358</v>
      </c>
      <c r="B287" s="40" t="s">
        <v>249</v>
      </c>
      <c r="C287" s="40" t="s">
        <v>444</v>
      </c>
      <c r="D287" s="40" t="s">
        <v>418</v>
      </c>
      <c r="E287" s="41" t="n">
        <v>35.6</v>
      </c>
      <c r="F287" s="42" t="str">
        <f aca="false">IF(VALUE(MID(C287,3,2))*10+VALUE(MID(D287,2,1))&lt;=242,"Pre",IF(VALUE(MID(C287,3,2))*10+VALUE(MID(D287,2,1))&lt;=254,"Post","Later"))</f>
        <v>Later</v>
      </c>
      <c r="G287" s="40" t="s">
        <v>343</v>
      </c>
      <c r="H287" s="40" t="s">
        <v>883</v>
      </c>
      <c r="I287" s="40" t="s">
        <v>877</v>
      </c>
    </row>
    <row r="288" customFormat="false" ht="15" hidden="false" customHeight="false" outlineLevel="0" collapsed="false">
      <c r="A288" s="40" t="s">
        <v>358</v>
      </c>
      <c r="B288" s="40" t="s">
        <v>249</v>
      </c>
      <c r="C288" s="40" t="s">
        <v>444</v>
      </c>
      <c r="D288" s="40" t="s">
        <v>421</v>
      </c>
      <c r="E288" s="41" t="n">
        <v>36.1</v>
      </c>
      <c r="F288" s="42" t="str">
        <f aca="false">IF(VALUE(MID(C288,3,2))*10+VALUE(MID(D288,2,1))&lt;=242,"Pre",IF(VALUE(MID(C288,3,2))*10+VALUE(MID(D288,2,1))&lt;=254,"Post","Later"))</f>
        <v>Later</v>
      </c>
      <c r="G288" s="40" t="s">
        <v>343</v>
      </c>
      <c r="H288" s="40" t="s">
        <v>883</v>
      </c>
      <c r="I288" s="40" t="s">
        <v>877</v>
      </c>
    </row>
    <row r="289" customFormat="false" ht="15" hidden="false" customHeight="false" outlineLevel="0" collapsed="false">
      <c r="A289" s="40" t="s">
        <v>358</v>
      </c>
      <c r="B289" s="40" t="s">
        <v>249</v>
      </c>
      <c r="C289" s="40" t="s">
        <v>444</v>
      </c>
      <c r="D289" s="40" t="s">
        <v>423</v>
      </c>
      <c r="E289" s="41" t="n">
        <v>36.9</v>
      </c>
      <c r="F289" s="42" t="str">
        <f aca="false">IF(VALUE(MID(C289,3,2))*10+VALUE(MID(D289,2,1))&lt;=242,"Pre",IF(VALUE(MID(C289,3,2))*10+VALUE(MID(D289,2,1))&lt;=254,"Post","Later"))</f>
        <v>Later</v>
      </c>
      <c r="G289" s="40" t="s">
        <v>343</v>
      </c>
      <c r="H289" s="40" t="s">
        <v>882</v>
      </c>
      <c r="I289" s="40" t="s">
        <v>877</v>
      </c>
    </row>
    <row r="290" customFormat="false" ht="15" hidden="false" customHeight="false" outlineLevel="0" collapsed="false">
      <c r="A290" s="40" t="s">
        <v>358</v>
      </c>
      <c r="B290" s="40" t="s">
        <v>249</v>
      </c>
      <c r="C290" s="40" t="s">
        <v>444</v>
      </c>
      <c r="D290" s="40" t="s">
        <v>425</v>
      </c>
      <c r="E290" s="41" t="n">
        <v>39.2</v>
      </c>
      <c r="F290" s="42" t="str">
        <f aca="false">IF(VALUE(MID(C290,3,2))*10+VALUE(MID(D290,2,1))&lt;=242,"Pre",IF(VALUE(MID(C290,3,2))*10+VALUE(MID(D290,2,1))&lt;=254,"Post","Later"))</f>
        <v>Later</v>
      </c>
      <c r="G290" s="40" t="s">
        <v>343</v>
      </c>
      <c r="H290" s="40" t="s">
        <v>882</v>
      </c>
      <c r="I290" s="40" t="s">
        <v>877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2026-10-25T09:05:17Z</dcterms:created>
  <dc:creator>openpyxl</dc:creator>
  <dc:description/>
  <dc:language>en-US</dc:language>
  <cp:lastModifiedBy/>
  <dcterms:modified xsi:type="dcterms:W3CDTF">2026-10-25T09:05:18Z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