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RBI_Levels" sheetId="2" state="visible" r:id="rId4"/>
    <sheet name="RBI_Levels_ExMerger" sheetId="3" state="visible" r:id="rId5"/>
    <sheet name="RBI_Growth" sheetId="4" state="visible" r:id="rId6"/>
    <sheet name="Share_Prices" sheetId="5" state="visible" r:id="rId7"/>
    <sheet name="Share_Returns" sheetId="6" state="visible" r:id="rId8"/>
    <sheet name="Firm_Sample" sheetId="7" state="visible" r:id="rId9"/>
    <sheet name="Firm_Cost_of_Funds" sheetId="8" state="visible" r:id="rId10"/>
    <sheet name="Firm_Bank_Share" sheetId="9" state="visible" r:id="rId11"/>
    <sheet name="Bajaj_Segments" sheetId="10" state="visible" r:id="rId12"/>
    <sheet name="Company_Disclosures" sheetId="11" state="visible" r:id="rId13"/>
    <sheet name="Event_Dates" sheetId="12" state="visible" r:id="rId14"/>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D59" authorId="0">
      <text>
        <r>
          <rPr>
            <sz val="10"/>
            <rFont val="Arial"/>
            <family val="2"/>
          </rPr>
          <t xml:space="preserve">Merger month: excluded (HDFC Ltd merged into HDFC Bank).</t>
        </r>
      </text>
    </comment>
  </commentList>
</comments>
</file>

<file path=xl/sharedStrings.xml><?xml version="1.0" encoding="utf-8"?>
<sst xmlns="http://schemas.openxmlformats.org/spreadsheetml/2006/main" count="5002" uniqueCount="745">
  <si>
    <t xml:space="preserve">Dissertation data compilation</t>
  </si>
  <si>
    <t xml:space="preserve">Capital Requirements and Credit Supply: The Effect of the RBI's November 2023 Risk-Weight Measures on Bank Consumer Credit and Bank Funding of NBFCs in India, 2021–2026</t>
  </si>
  <si>
    <t xml:space="preserve">Sheet</t>
  </si>
  <si>
    <t xml:space="preserve">Contents</t>
  </si>
  <si>
    <t xml:space="preserve">Frequency / coverage</t>
  </si>
  <si>
    <t xml:space="preserve">Source</t>
  </si>
  <si>
    <t xml:space="preserve">RBI_Levels</t>
  </si>
  <si>
    <t xml:space="preserve">Outstanding bank credit by sector (₹ crore): non-food credit, NBFCs, HFCs, housing, credit cards, education, vehicle loans, gold loans, other personal loans; NBFCs excl. HFCs and the alternative H2 benchmark by formula</t>
  </si>
  <si>
    <t xml:space="preserve">Monthly, Jan 2019 to Jul 2026 (91 observations)</t>
  </si>
  <si>
    <t xml:space="preserve">RBI DBIE Table 15</t>
  </si>
  <si>
    <t xml:space="preserve">RBI_Levels_ExMerger</t>
  </si>
  <si>
    <t xml:space="preserve">The same series excluding the impact of the HDFC merger, as published by the RBI</t>
  </si>
  <si>
    <t xml:space="preserve">Monthly, Jul 2023 to Jun 2025</t>
  </si>
  <si>
    <t xml:space="preserve">RBI DBIE Table 15 (figures in parentheses)</t>
  </si>
  <si>
    <t xml:space="preserve">RBI_Growth</t>
  </si>
  <si>
    <t xml:space="preserve">Monthly growth (100 × log change) of each series and the growth gaps used for H1 and H2, with window, post-policy and period flags (all formulas)</t>
  </si>
  <si>
    <t xml:space="preserve">Monthly</t>
  </si>
  <si>
    <t xml:space="preserve">Calculated</t>
  </si>
  <si>
    <t xml:space="preserve">Share_Prices</t>
  </si>
  <si>
    <t xml:space="preserve">Daily closing prices of the 16 sample companies and the Nifty 50 and Nifty 500</t>
  </si>
  <si>
    <t xml:space="preserve">Daily, 1 Sep 2022 to 28 Mar 2025 (641 trading days)</t>
  </si>
  <si>
    <t xml:space="preserve">Investing.com</t>
  </si>
  <si>
    <t xml:space="preserve">Share_Returns</t>
  </si>
  <si>
    <t xml:space="preserve">Daily simple returns (formulas)</t>
  </si>
  <si>
    <t xml:space="preserve">Daily</t>
  </si>
  <si>
    <t xml:space="preserve">Firm_Sample</t>
  </si>
  <si>
    <t xml:space="preserve">Company list, NSE symbol, type, groups used in the tests and pre-policy bank dependence</t>
  </si>
  <si>
    <t xml:space="preserve">30 Sep 2023</t>
  </si>
  <si>
    <t xml:space="preserve">Q2 FY2024 investor presentations</t>
  </si>
  <si>
    <t xml:space="preserve">Firm_Cost_of_Funds</t>
  </si>
  <si>
    <t xml:space="preserve">Cost of funds by company and quarter, with source presentation and page, and the pre/post period (formula)</t>
  </si>
  <si>
    <t xml:space="preserve">Quarterly, Q1 FY2021 to Q4 FY2026</t>
  </si>
  <si>
    <t xml:space="preserve">Investor presentations</t>
  </si>
  <si>
    <t xml:space="preserve">Firm_Bank_Share</t>
  </si>
  <si>
    <t xml:space="preserve">Bank share of borrowings by company and quarter, with source presentation and page, definition and period</t>
  </si>
  <si>
    <t xml:space="preserve">Bajaj_Segments</t>
  </si>
  <si>
    <t xml:space="preserve">Bajaj Finance assets under management by segment, and the share in segments affected by the circular (formula)</t>
  </si>
  <si>
    <t xml:space="preserve">Bajaj Finance investor presentations</t>
  </si>
  <si>
    <t xml:space="preserve">Company_Disclosures</t>
  </si>
  <si>
    <t xml:space="preserve">Verbatim company statements on the effect of the measures</t>
  </si>
  <si>
    <t xml:space="preserve">Q3 FY2024</t>
  </si>
  <si>
    <t xml:space="preserve">Event_Dates</t>
  </si>
  <si>
    <t xml:space="preserve">Policy and firm events, release times and the dates and windows used in the analysis</t>
  </si>
  <si>
    <t xml:space="preserve">RBI circulars, news reports, NSE</t>
  </si>
  <si>
    <t xml:space="preserve">Colour code: blue = data as published or as compiled from the source; black = formula.</t>
  </si>
  <si>
    <t xml:space="preserve">Units: bank credit in ₹ crore (1 lakh crore = 100,000 crore); growth in percentage points per month; returns in per cent.</t>
  </si>
  <si>
    <t xml:space="preserve">Merger adjustment: HDFC Ltd merged into HDFC Bank on 1 July 2023. The merger month (28 Jul 2023) is excluded from growth for affected series, and growth from Aug 2023 to Jun 2025 uses the RBI figures that exclude the merger.</t>
  </si>
  <si>
    <t xml:space="preserve">Outstanding bank credit by sector, ₹ crore (reported figures)</t>
  </si>
  <si>
    <t xml:space="preserve">Source: RBI, Database on Indian Economy, Table 15 'Deployment of Gross Bank Credit by Major Sectors'. Each observation is the last reporting Friday of the month. Blue = data as published; black = formula.</t>
  </si>
  <si>
    <t xml:space="preserve">Date</t>
  </si>
  <si>
    <t xml:space="preserve">Non-food credit (RBI item III)</t>
  </si>
  <si>
    <t xml:space="preserve">NBFCs (incl. HFCs) (RBI item 3.9)</t>
  </si>
  <si>
    <t xml:space="preserve">HFCs (RBI item 3.9.1)</t>
  </si>
  <si>
    <t xml:space="preserve">Housing (RBI item 4.2)</t>
  </si>
  <si>
    <t xml:space="preserve">Credit cards (RBI item 4.5)</t>
  </si>
  <si>
    <t xml:space="preserve">Education (RBI item 4.6)</t>
  </si>
  <si>
    <t xml:space="preserve">Vehicle loans (RBI item 4.7)</t>
  </si>
  <si>
    <t xml:space="preserve">Gold loans (RBI item 4.8)</t>
  </si>
  <si>
    <t xml:space="preserve">Other personal loans (RBI item 4.9)</t>
  </si>
  <si>
    <t xml:space="preserve">NBFCs excl. HFCs (formula)</t>
  </si>
  <si>
    <t xml:space="preserve">Non-food excl. NBFCs, cards and other PL (formula)</t>
  </si>
  <si>
    <t xml:space="preserve">Bank credit excluding the impact of the HDFC merger, ₹ crore (July 2023 to June 2025)</t>
  </si>
  <si>
    <t xml:space="preserve">Source: RBI DBIE Table 15, figures shown in parentheses (note 5: 'Data since July 28, 2023 include the impact of the merger of a non-bank with a bank. Figures in parentheses exclude the impact of the merger.'). Blank where not published.</t>
  </si>
  <si>
    <t xml:space="preserve">Non-food credit (excl. merger)</t>
  </si>
  <si>
    <t xml:space="preserve">Housing (excl. merger)</t>
  </si>
  <si>
    <t xml:space="preserve">Other personal loans (excl. merger)</t>
  </si>
  <si>
    <t xml:space="preserve">Non-food excl. NBFCs, cards and other PL (excl. merger, formula)</t>
  </si>
  <si>
    <t xml:space="preserve">Monthly growth of bank credit (100 × change in natural log) and the growth gaps used in the tests</t>
  </si>
  <si>
    <t xml:space="preserve">Formulas. Merger month (28-Jul-2023) left blank for merger-affected series. From Aug-2023 to Jun-2025, growth of non-food credit, housing, other personal loans and the alternative benchmark uses the figures excluding the merger.</t>
  </si>
  <si>
    <t xml:space="preserve">Credit cards</t>
  </si>
  <si>
    <t xml:space="preserve">Other personal loans</t>
  </si>
  <si>
    <t xml:space="preserve">Housing</t>
  </si>
  <si>
    <t xml:space="preserve">Vehicle loans</t>
  </si>
  <si>
    <t xml:space="preserve">Education</t>
  </si>
  <si>
    <t xml:space="preserve">Gold loans</t>
  </si>
  <si>
    <t xml:space="preserve">NBFCs ex-HFC</t>
  </si>
  <si>
    <t xml:space="preserve">HFCs</t>
  </si>
  <si>
    <t xml:space="preserve">NBFCs (incl. HFCs)</t>
  </si>
  <si>
    <t xml:space="preserve">Non-food credit</t>
  </si>
  <si>
    <t xml:space="preserve">Non-food excl. NBFCs, cards, other PL</t>
  </si>
  <si>
    <t xml:space="preserve">Gap1: (cards + other PL)/2 minus (housing + vehicle + education)/3</t>
  </si>
  <si>
    <t xml:space="preserve">Gap2: NBFCs ex-HFC minus non-food credit</t>
  </si>
  <si>
    <t xml:space="preserve">Gap2 (alt.): NBFCs ex-HFC minus non-food excl. NBFCs, cards, PL</t>
  </si>
  <si>
    <t xml:space="preserve">Test window (Apr-21 to Jan-25)</t>
  </si>
  <si>
    <t xml:space="preserve">Post (1 from 29-Dec-2023)</t>
  </si>
  <si>
    <t xml:space="preserve">Period</t>
  </si>
  <si>
    <t xml:space="preserve">Daily closing prices (₹; index points for Nifty), 1 September 2022 to 28 March 2025</t>
  </si>
  <si>
    <t xml:space="preserve">Source: Investing.com historical data (NSE listings), adjusted for splits and bonus issues. 26-Feb-2025 was a market holiday (Mahashivratri).</t>
  </si>
  <si>
    <t xml:space="preserve">NIFTY50</t>
  </si>
  <si>
    <t xml:space="preserve">NIFTY500</t>
  </si>
  <si>
    <t xml:space="preserve">AAVAS</t>
  </si>
  <si>
    <t xml:space="preserve">CANFINHOME</t>
  </si>
  <si>
    <t xml:space="preserve">HOMEFIRST</t>
  </si>
  <si>
    <t xml:space="preserve">LICHSGFIN</t>
  </si>
  <si>
    <t xml:space="preserve">PNBHOUSING</t>
  </si>
  <si>
    <t xml:space="preserve">REPCOHOME</t>
  </si>
  <si>
    <t xml:space="preserve">ARMANFIN</t>
  </si>
  <si>
    <t xml:space="preserve">BAJFINANCE</t>
  </si>
  <si>
    <t xml:space="preserve">CHOLAFIN</t>
  </si>
  <si>
    <t xml:space="preserve">CREDITACC</t>
  </si>
  <si>
    <t xml:space="preserve">IIFL</t>
  </si>
  <si>
    <t xml:space="preserve">MMFIN</t>
  </si>
  <si>
    <t xml:space="preserve">MUTHOOTFIN</t>
  </si>
  <si>
    <t xml:space="preserve">POONAWALLA</t>
  </si>
  <si>
    <t xml:space="preserve">SBICARD</t>
  </si>
  <si>
    <t xml:space="preserve">SHRIRAMFIN</t>
  </si>
  <si>
    <t xml:space="preserve">Daily simple returns (formula: today's close / previous close − 1)</t>
  </si>
  <si>
    <t xml:space="preserve">Formulas referencing Share_Prices. Used in the event study.</t>
  </si>
  <si>
    <t xml:space="preserve">Sample of 16 listed NBFCs and HFCs</t>
  </si>
  <si>
    <t xml:space="preserve">Bank share at 30-Sep-2023 from each company's Q2 FY2024 investor presentation (Poonawalla does not disclose its borrowing mix).</t>
  </si>
  <si>
    <t xml:space="preserve">Company</t>
  </si>
  <si>
    <t xml:space="preserve">NSE symbol</t>
  </si>
  <si>
    <t xml:space="preserve">Type</t>
  </si>
  <si>
    <t xml:space="preserve">Group used in tests</t>
  </si>
  <si>
    <t xml:space="preserve">Consumer lender</t>
  </si>
  <si>
    <t xml:space="preserve">Microfinance lender</t>
  </si>
  <si>
    <t xml:space="preserve">Bank share of borrowings, 30-Sep-2023 (%)</t>
  </si>
  <si>
    <t xml:space="preserve">Definition in filing</t>
  </si>
  <si>
    <t xml:space="preserve">AAVAS Financiers Ltd.</t>
  </si>
  <si>
    <t xml:space="preserve">HFC</t>
  </si>
  <si>
    <t xml:space="preserve">HFC (exempt)</t>
  </si>
  <si>
    <t xml:space="preserve">No</t>
  </si>
  <si>
    <t xml:space="preserve">Term loans (share of funding mix)</t>
  </si>
  <si>
    <t xml:space="preserve">Arman Financial Services Ltd.</t>
  </si>
  <si>
    <t xml:space="preserve">NBFC (MFI)</t>
  </si>
  <si>
    <t xml:space="preserve">Non-HFC NBFC</t>
  </si>
  <si>
    <t xml:space="preserve">Yes</t>
  </si>
  <si>
    <t xml:space="preserve">Banks &amp; SFBs</t>
  </si>
  <si>
    <t xml:space="preserve">Bajaj Finance Ltd.</t>
  </si>
  <si>
    <t xml:space="preserve">NBFC</t>
  </si>
  <si>
    <t xml:space="preserve">Banks (standalone borrowing mix)</t>
  </si>
  <si>
    <t xml:space="preserve">Can Fin Homes Ltd.</t>
  </si>
  <si>
    <t xml:space="preserve">Banks (funding mix)</t>
  </si>
  <si>
    <t xml:space="preserve">Cholamandalam Investment &amp; Finance Company Ltd.</t>
  </si>
  <si>
    <t xml:space="preserve">Banks (borrowing mix by investor type)</t>
  </si>
  <si>
    <t xml:space="preserve">CreditAccess Grameen Ltd.</t>
  </si>
  <si>
    <t xml:space="preserve">Banks - term loans</t>
  </si>
  <si>
    <t xml:space="preserve">Home First Finance Company India Ltd.</t>
  </si>
  <si>
    <t xml:space="preserve">Public sector banks 21% + private sector banks 33%</t>
  </si>
  <si>
    <t xml:space="preserve">IIFL Finance Ltd.</t>
  </si>
  <si>
    <t xml:space="preserve">Bank borrowings 22,345 / total borrowings 40,375 (consolidated)</t>
  </si>
  <si>
    <t xml:space="preserve">LIC Housing Finance Ltd.</t>
  </si>
  <si>
    <t xml:space="preserve">Bank (excluding NHB 4%)</t>
  </si>
  <si>
    <t xml:space="preserve">Mahindra &amp; Mahindra Financial Services Ltd.</t>
  </si>
  <si>
    <t xml:space="preserve">Banks / financial institutions (investor category)</t>
  </si>
  <si>
    <t xml:space="preserve">Muthoot Finance Ltd.</t>
  </si>
  <si>
    <t xml:space="preserve">NBFC (gold)</t>
  </si>
  <si>
    <t xml:space="preserve">Borrowings from banks/FIs 361,740 / total 553,486 (Rs mn)</t>
  </si>
  <si>
    <t xml:space="preserve">PNB Housing Finance Ltd.</t>
  </si>
  <si>
    <t xml:space="preserve">Term loans</t>
  </si>
  <si>
    <t xml:space="preserve">Poonawalla Fincorp Ltd.</t>
  </si>
  <si>
    <t xml:space="preserve">Not disclosed</t>
  </si>
  <si>
    <t xml:space="preserve">Repco Home Finance Ltd.</t>
  </si>
  <si>
    <t xml:space="preserve">Commercial banks 75,905 / total 100,470 (Rs mn)</t>
  </si>
  <si>
    <t xml:space="preserve">SBI Cards and Payment Services Ltd.</t>
  </si>
  <si>
    <t xml:space="preserve">NBFC (cards)</t>
  </si>
  <si>
    <t xml:space="preserve">WCDL 65% + term loans 12% (both bank facilities)</t>
  </si>
  <si>
    <t xml:space="preserve">Shriram Finance Ltd.</t>
  </si>
  <si>
    <t xml:space="preserve">Term loans (Q2 FY24 column)</t>
  </si>
  <si>
    <t xml:space="preserve">Cost of funds by company and quarter (%)</t>
  </si>
  <si>
    <t xml:space="preserve">Source: company quarterly investor presentations. 'Source' gives the presentation (FY-quarter) and page. Period: Pre = up to Q2 FY2024; Post = Q3 FY2024 to Q4 FY2025 (before the rollback); Later = FY2026.</t>
  </si>
  <si>
    <t xml:space="preserve">Group</t>
  </si>
  <si>
    <t xml:space="preserve">Financial year</t>
  </si>
  <si>
    <t xml:space="preserve">Quarter</t>
  </si>
  <si>
    <t xml:space="preserve">Value (%)</t>
  </si>
  <si>
    <t xml:space="preserve">Source (presentation, page)</t>
  </si>
  <si>
    <t xml:space="preserve">Note / definition</t>
  </si>
  <si>
    <t xml:space="preserve">FY21</t>
  </si>
  <si>
    <t xml:space="preserve">Q1</t>
  </si>
  <si>
    <t xml:space="preserve">22-2 p.20</t>
  </si>
  <si>
    <t xml:space="preserve">Reported cost of borrowings (quarter-end) from chart</t>
  </si>
  <si>
    <t xml:space="preserve">Q2</t>
  </si>
  <si>
    <t xml:space="preserve">Q3</t>
  </si>
  <si>
    <t xml:space="preserve">Q4</t>
  </si>
  <si>
    <t xml:space="preserve">FY22</t>
  </si>
  <si>
    <t xml:space="preserve">24-2 p.21</t>
  </si>
  <si>
    <t xml:space="preserve">FY23</t>
  </si>
  <si>
    <t xml:space="preserve">FY24</t>
  </si>
  <si>
    <t xml:space="preserve">25-4 p.20</t>
  </si>
  <si>
    <t xml:space="preserve">FY25</t>
  </si>
  <si>
    <t xml:space="preserve">FY26</t>
  </si>
  <si>
    <t xml:space="preserve">26-4 p.22</t>
  </si>
  <si>
    <t xml:space="preserve">21-1 P&amp;L + borrowing-mix chart</t>
  </si>
  <si>
    <t xml:space="preserve">COMPUTED: annualised finance cost / avg borrowings (ex-CCD/OCRPS); LOW QUALITY - borrowings interpolated</t>
  </si>
  <si>
    <t xml:space="preserve">21-2 P&amp;L + borrowing-mix chart</t>
  </si>
  <si>
    <t xml:space="preserve">21-3 P&amp;L + borrowing-mix chart</t>
  </si>
  <si>
    <t xml:space="preserve">21-4 P&amp;L + borrowing-mix chart</t>
  </si>
  <si>
    <t xml:space="preserve">22-1 P&amp;L + borrowing-mix chart</t>
  </si>
  <si>
    <t xml:space="preserve">22-2 P&amp;L + borrowing-mix chart</t>
  </si>
  <si>
    <t xml:space="preserve">22-3 P&amp;L + borrowing-mix chart</t>
  </si>
  <si>
    <t xml:space="preserve">COMPUTED: annualised finance cost / avg borrowings (ex-CCD/OCRPS)</t>
  </si>
  <si>
    <t xml:space="preserve">22-4 P&amp;L + borrowing-mix chart</t>
  </si>
  <si>
    <t xml:space="preserve">23-1 P&amp;L + borrowing-mix chart</t>
  </si>
  <si>
    <t xml:space="preserve">23-2 P&amp;L + borrowing-mix chart</t>
  </si>
  <si>
    <t xml:space="preserve">23-3 P&amp;L + borrowing-mix chart</t>
  </si>
  <si>
    <t xml:space="preserve">23-4 P&amp;L + borrowing-mix chart</t>
  </si>
  <si>
    <t xml:space="preserve">24-1 P&amp;L + borrowing-mix chart</t>
  </si>
  <si>
    <t xml:space="preserve">24-2 P&amp;L + borrowing-mix chart</t>
  </si>
  <si>
    <t xml:space="preserve">24-3 P&amp;L + borrowing-mix chart</t>
  </si>
  <si>
    <t xml:space="preserve">24-4 P&amp;L + borrowing-mix chart</t>
  </si>
  <si>
    <t xml:space="preserve">25-1 P&amp;L + borrowing-mix chart</t>
  </si>
  <si>
    <t xml:space="preserve">25-2 P&amp;L + borrowing-mix chart</t>
  </si>
  <si>
    <t xml:space="preserve">25-3 P&amp;L + borrowing-mix chart</t>
  </si>
  <si>
    <t xml:space="preserve">25-4 P&amp;L + borrowing-mix chart</t>
  </si>
  <si>
    <t xml:space="preserve">26-1 P&amp;L + borrowing-mix chart</t>
  </si>
  <si>
    <t xml:space="preserve">26-2 P&amp;L + borrowing-mix chart</t>
  </si>
  <si>
    <t xml:space="preserve">26-3 P&amp;L + borrowing-mix chart</t>
  </si>
  <si>
    <t xml:space="preserve">26-4 P&amp;L + borrowing-mix chart</t>
  </si>
  <si>
    <t xml:space="preserve">21-4 lead indicators (BFL standalone)</t>
  </si>
  <si>
    <t xml:space="preserve">'In Qn cost of funds was ...'</t>
  </si>
  <si>
    <t xml:space="preserve">22-1 lead indicators (BFL standalone)</t>
  </si>
  <si>
    <t xml:space="preserve">22-2 lead indicators (BFL standalone)</t>
  </si>
  <si>
    <t xml:space="preserve">22-3 lead indicators (BFL standalone)</t>
  </si>
  <si>
    <t xml:space="preserve">22-4 lead indicators (BFL standalone)</t>
  </si>
  <si>
    <t xml:space="preserve">23-1 lead indicators (BFL standalone)</t>
  </si>
  <si>
    <t xml:space="preserve">23-2 lead indicators (BFL standalone)</t>
  </si>
  <si>
    <t xml:space="preserve">23-3 lead indicators (BFL standalone)</t>
  </si>
  <si>
    <t xml:space="preserve">23-4 lead indicators (BFL standalone)</t>
  </si>
  <si>
    <t xml:space="preserve">24-1 lead indicators (BFL standalone)</t>
  </si>
  <si>
    <t xml:space="preserve">24-2 lead indicators (BFL standalone)</t>
  </si>
  <si>
    <t xml:space="preserve">24-3 lead indicators (BFL standalone)</t>
  </si>
  <si>
    <t xml:space="preserve">24-4 lead indicators (BFL standalone)</t>
  </si>
  <si>
    <t xml:space="preserve">25-1 lead indicators (BFL standalone)</t>
  </si>
  <si>
    <t xml:space="preserve">25-2 lead indicators (BFL standalone)</t>
  </si>
  <si>
    <t xml:space="preserve">25-3 lead indicators (BFL standalone)</t>
  </si>
  <si>
    <t xml:space="preserve">25-4 lead indicators (BFL standalone)</t>
  </si>
  <si>
    <t xml:space="preserve">26-1 lead indicators (BFL standalone)</t>
  </si>
  <si>
    <t xml:space="preserve">26-2 lead indicators (BFL standalone)</t>
  </si>
  <si>
    <t xml:space="preserve">26-3 lead indicators (BFL standalone)</t>
  </si>
  <si>
    <t xml:space="preserve">26-4 lead indicators (BFL standalone)</t>
  </si>
  <si>
    <t xml:space="preserve">21-1</t>
  </si>
  <si>
    <t xml:space="preserve">Reported cost of borrowings (as first reported)</t>
  </si>
  <si>
    <t xml:space="preserve">21-2</t>
  </si>
  <si>
    <t xml:space="preserve">21-3</t>
  </si>
  <si>
    <t xml:space="preserve">22-1 (vs Mar-21)</t>
  </si>
  <si>
    <t xml:space="preserve">22-1</t>
  </si>
  <si>
    <t xml:space="preserve">22-2</t>
  </si>
  <si>
    <t xml:space="preserve">22-3</t>
  </si>
  <si>
    <t xml:space="preserve">23-1 (vs Mar-22)</t>
  </si>
  <si>
    <t xml:space="preserve">23-1</t>
  </si>
  <si>
    <t xml:space="preserve">23-2</t>
  </si>
  <si>
    <t xml:space="preserve">23-3</t>
  </si>
  <si>
    <t xml:space="preserve">23-4</t>
  </si>
  <si>
    <t xml:space="preserve">24-1</t>
  </si>
  <si>
    <t xml:space="preserve">25-2 table (YoY col)</t>
  </si>
  <si>
    <t xml:space="preserve">25-3 table (YoY col)</t>
  </si>
  <si>
    <t xml:space="preserve">24-4 table</t>
  </si>
  <si>
    <t xml:space="preserve">25-1</t>
  </si>
  <si>
    <t xml:space="preserve">25-2</t>
  </si>
  <si>
    <t xml:space="preserve">25-3</t>
  </si>
  <si>
    <t xml:space="preserve">25-4</t>
  </si>
  <si>
    <t xml:space="preserve">26-1</t>
  </si>
  <si>
    <t xml:space="preserve">26-2</t>
  </si>
  <si>
    <t xml:space="preserve">26-3</t>
  </si>
  <si>
    <t xml:space="preserve">26-4</t>
  </si>
  <si>
    <t xml:space="preserve">22-4 total-company P&amp;L table</t>
  </si>
  <si>
    <t xml:space="preserve">PROXY: finance cost / average assets (Chola does not report COF to borrowings each quarter)</t>
  </si>
  <si>
    <t xml:space="preserve">24-4 total-company P&amp;L table</t>
  </si>
  <si>
    <t xml:space="preserve">26-4 total-company P&amp;L table</t>
  </si>
  <si>
    <t xml:space="preserve">21-1 key ratios (or 5-quarter key metrics in FY23-25 decks)</t>
  </si>
  <si>
    <t xml:space="preserve">Reported (weighted avg.) cost of borrowings</t>
  </si>
  <si>
    <t xml:space="preserve">21-2 key ratios (or 5-quarter key metrics in FY23-25 decks)</t>
  </si>
  <si>
    <t xml:space="preserve">21-3 key ratios (or 5-quarter key metrics in FY23-25 decks)</t>
  </si>
  <si>
    <t xml:space="preserve">21-4 key ratios (or 5-quarter key metrics in FY23-25 decks)</t>
  </si>
  <si>
    <t xml:space="preserve">22-1 key ratios (or 5-quarter key metrics in FY23-25 decks)</t>
  </si>
  <si>
    <t xml:space="preserve">22-2 key ratios (or 5-quarter key metrics in FY23-25 decks)</t>
  </si>
  <si>
    <t xml:space="preserve">22-3 key ratios (or 5-quarter key metrics in FY23-25 decks)</t>
  </si>
  <si>
    <t xml:space="preserve">22-4 key ratios (or 5-quarter key metrics in FY23-25 decks)</t>
  </si>
  <si>
    <t xml:space="preserve">23-1 key ratios (or 5-quarter key metrics in FY23-25 decks)</t>
  </si>
  <si>
    <t xml:space="preserve">23-2 key ratios (or 5-quarter key metrics in FY23-25 decks)</t>
  </si>
  <si>
    <t xml:space="preserve">23-3 key ratios (or 5-quarter key metrics in FY23-25 decks)</t>
  </si>
  <si>
    <t xml:space="preserve">23-4 key ratios (or 5-quarter key metrics in FY23-25 decks)</t>
  </si>
  <si>
    <t xml:space="preserve">24-1 key ratios (or 5-quarter key metrics in FY23-25 decks)</t>
  </si>
  <si>
    <t xml:space="preserve">24-2 key ratios (or 5-quarter key metrics in FY23-25 decks)</t>
  </si>
  <si>
    <t xml:space="preserve">24-3 key ratios (or 5-quarter key metrics in FY23-25 decks)</t>
  </si>
  <si>
    <t xml:space="preserve">24-4 key ratios (or 5-quarter key metrics in FY23-25 decks)</t>
  </si>
  <si>
    <t xml:space="preserve">25-1 key ratios (or 5-quarter key metrics in FY23-25 decks)</t>
  </si>
  <si>
    <t xml:space="preserve">25-2 key ratios (or 5-quarter key metrics in FY23-25 decks)</t>
  </si>
  <si>
    <t xml:space="preserve">25-3 key ratios (or 5-quarter key metrics in FY23-25 decks)</t>
  </si>
  <si>
    <t xml:space="preserve">25-4 key ratios (or 5-quarter key metrics in FY23-25 decks)</t>
  </si>
  <si>
    <t xml:space="preserve">26-1 key ratios (or 5-quarter key metrics in FY23-25 decks)</t>
  </si>
  <si>
    <t xml:space="preserve">26-2 key ratios (or 5-quarter key metrics in FY23-25 decks)</t>
  </si>
  <si>
    <t xml:space="preserve">26-3 key ratios (or 5-quarter key metrics in FY23-25 decks)</t>
  </si>
  <si>
    <t xml:space="preserve">26-4 key ratios (or 5-quarter key metrics in FY23-25 decks)</t>
  </si>
  <si>
    <t xml:space="preserve">22-1 p.24 chart</t>
  </si>
  <si>
    <t xml:space="preserve">Reported COB (quarterly average) from funding-profile chart</t>
  </si>
  <si>
    <t xml:space="preserve">24-2 p.31 chart</t>
  </si>
  <si>
    <t xml:space="preserve">26-2 p.33 chart</t>
  </si>
  <si>
    <t xml:space="preserve">26-4 p.34 chart</t>
  </si>
  <si>
    <t xml:space="preserve">24-3 p.18 chart</t>
  </si>
  <si>
    <t xml:space="preserve">Reported average cost of borrowing (consolidated)</t>
  </si>
  <si>
    <t xml:space="preserve">24-1 table (YoY col)</t>
  </si>
  <si>
    <t xml:space="preserve">23-3 table</t>
  </si>
  <si>
    <t xml:space="preserve">23-4 table</t>
  </si>
  <si>
    <t xml:space="preserve">24-1 table</t>
  </si>
  <si>
    <t xml:space="preserve">24-2 table</t>
  </si>
  <si>
    <t xml:space="preserve">24-3 table</t>
  </si>
  <si>
    <t xml:space="preserve">25-2 p.14 chart</t>
  </si>
  <si>
    <t xml:space="preserve">26-2 p.15 chart</t>
  </si>
  <si>
    <t xml:space="preserve">26-3 table</t>
  </si>
  <si>
    <t xml:space="preserve">21-1 key financials</t>
  </si>
  <si>
    <t xml:space="preserve">Reported weighted average cost of funds</t>
  </si>
  <si>
    <t xml:space="preserve">21-2 key financials</t>
  </si>
  <si>
    <t xml:space="preserve">21-3 key financials</t>
  </si>
  <si>
    <t xml:space="preserve">21-4 key financials</t>
  </si>
  <si>
    <t xml:space="preserve">22-1 key financials</t>
  </si>
  <si>
    <t xml:space="preserve">22-2 key financials</t>
  </si>
  <si>
    <t xml:space="preserve">22-3 key financials</t>
  </si>
  <si>
    <t xml:space="preserve">22-4 key financials</t>
  </si>
  <si>
    <t xml:space="preserve">23-1 key financials</t>
  </si>
  <si>
    <t xml:space="preserve">23-2 key financials</t>
  </si>
  <si>
    <t xml:space="preserve">23-3 key financials</t>
  </si>
  <si>
    <t xml:space="preserve">23-4 key financials</t>
  </si>
  <si>
    <t xml:space="preserve">24-1 key financials</t>
  </si>
  <si>
    <t xml:space="preserve">24-2 key financials</t>
  </si>
  <si>
    <t xml:space="preserve">24-3 key financials</t>
  </si>
  <si>
    <t xml:space="preserve">24-4 key financials</t>
  </si>
  <si>
    <t xml:space="preserve">25-1 key financials</t>
  </si>
  <si>
    <t xml:space="preserve">25-2 key financials</t>
  </si>
  <si>
    <t xml:space="preserve">25-3 key financials</t>
  </si>
  <si>
    <t xml:space="preserve">25-4 key financials</t>
  </si>
  <si>
    <t xml:space="preserve">26-1 key financials</t>
  </si>
  <si>
    <t xml:space="preserve">26-2 key financials</t>
  </si>
  <si>
    <t xml:space="preserve">26-3 key financials</t>
  </si>
  <si>
    <t xml:space="preserve">26-4 key financials</t>
  </si>
  <si>
    <t xml:space="preserve">21-1 P&amp;L + funding mix</t>
  </si>
  <si>
    <t xml:space="preserve">COMPUTED: annualised standalone finance cost / avg borrowings (funding-mix total)</t>
  </si>
  <si>
    <t xml:space="preserve">21-2 P&amp;L + funding mix</t>
  </si>
  <si>
    <t xml:space="preserve">21-3 P&amp;L + funding mix</t>
  </si>
  <si>
    <t xml:space="preserve">21-4 P&amp;L + funding mix</t>
  </si>
  <si>
    <t xml:space="preserve">22-1 P&amp;L + funding mix</t>
  </si>
  <si>
    <t xml:space="preserve">22-2 P&amp;L + funding mix</t>
  </si>
  <si>
    <t xml:space="preserve">22-3 P&amp;L + funding mix</t>
  </si>
  <si>
    <t xml:space="preserve">22-4 P&amp;L + funding mix</t>
  </si>
  <si>
    <t xml:space="preserve">23-1 P&amp;L + funding mix</t>
  </si>
  <si>
    <t xml:space="preserve">23-2 P&amp;L + funding mix</t>
  </si>
  <si>
    <t xml:space="preserve">23-3 P&amp;L + funding mix</t>
  </si>
  <si>
    <t xml:space="preserve">23-4 P&amp;L + funding mix</t>
  </si>
  <si>
    <t xml:space="preserve">24-1 P&amp;L + funding mix</t>
  </si>
  <si>
    <t xml:space="preserve">24-2 P&amp;L + funding mix</t>
  </si>
  <si>
    <t xml:space="preserve">24-3 P&amp;L + funding mix</t>
  </si>
  <si>
    <t xml:space="preserve">24-4 P&amp;L + funding mix</t>
  </si>
  <si>
    <t xml:space="preserve">25-1 P&amp;L + funding mix</t>
  </si>
  <si>
    <t xml:space="preserve">25-2 P&amp;L + funding mix</t>
  </si>
  <si>
    <t xml:space="preserve">25-3 P&amp;L + funding mix</t>
  </si>
  <si>
    <t xml:space="preserve">COMPUTED: annualised standalone finance cost / avg borrowings (funding-mix total); Dec-24 borrowings interpolated</t>
  </si>
  <si>
    <t xml:space="preserve">25-4 P&amp;L + funding mix</t>
  </si>
  <si>
    <t xml:space="preserve">26-1 P&amp;L + funding mix</t>
  </si>
  <si>
    <t xml:space="preserve">26-2 P&amp;L + funding mix</t>
  </si>
  <si>
    <t xml:space="preserve">26-3 P&amp;L + funding mix</t>
  </si>
  <si>
    <t xml:space="preserve">26-4 P&amp;L + funding mix</t>
  </si>
  <si>
    <t xml:space="preserve">21-1 highlights</t>
  </si>
  <si>
    <t xml:space="preserve">Reported</t>
  </si>
  <si>
    <t xml:space="preserve">21-2 highlights</t>
  </si>
  <si>
    <t xml:space="preserve">DERIVED from year-to-date average cost of borrowings</t>
  </si>
  <si>
    <t xml:space="preserve">21-3 highlights</t>
  </si>
  <si>
    <t xml:space="preserve">21-4 highlights</t>
  </si>
  <si>
    <t xml:space="preserve">22-1 highlights</t>
  </si>
  <si>
    <t xml:space="preserve">22-2 highlights</t>
  </si>
  <si>
    <t xml:space="preserve">22-3 highlights</t>
  </si>
  <si>
    <t xml:space="preserve">22-4 highlights</t>
  </si>
  <si>
    <t xml:space="preserve">23-1 highlights</t>
  </si>
  <si>
    <t xml:space="preserve">Reported average cost of borrowings for the quarter</t>
  </si>
  <si>
    <t xml:space="preserve">23-2 highlights</t>
  </si>
  <si>
    <t xml:space="preserve">23-3 highlights</t>
  </si>
  <si>
    <t xml:space="preserve">23-4 highlights</t>
  </si>
  <si>
    <t xml:space="preserve">24-1 highlights</t>
  </si>
  <si>
    <t xml:space="preserve">24-2 highlights</t>
  </si>
  <si>
    <t xml:space="preserve">24-3 highlights</t>
  </si>
  <si>
    <t xml:space="preserve">24-4 highlights</t>
  </si>
  <si>
    <t xml:space="preserve">25-1 highlights</t>
  </si>
  <si>
    <t xml:space="preserve">25-2 highlights</t>
  </si>
  <si>
    <t xml:space="preserve">25-3 highlights</t>
  </si>
  <si>
    <t xml:space="preserve">25-4 highlights</t>
  </si>
  <si>
    <t xml:space="preserve">26-1 highlights</t>
  </si>
  <si>
    <t xml:space="preserve">26-2 highlights</t>
  </si>
  <si>
    <t xml:space="preserve">26-3 highlights</t>
  </si>
  <si>
    <t xml:space="preserve">22-1 chart</t>
  </si>
  <si>
    <t xml:space="preserve">Reported average cost of borrowing (monthly average basis)</t>
  </si>
  <si>
    <t xml:space="preserve">23-1 chart</t>
  </si>
  <si>
    <t xml:space="preserve">24-1 chart</t>
  </si>
  <si>
    <t xml:space="preserve">25-1 chart</t>
  </si>
  <si>
    <t xml:space="preserve">26-1 (prior qtr)</t>
  </si>
  <si>
    <t xml:space="preserve">25-2 p.24 chart</t>
  </si>
  <si>
    <t xml:space="preserve">Reported average cost of borrowing; series starts after Poonawalla took control of Magma Fincorp (FY22)</t>
  </si>
  <si>
    <t xml:space="preserve">26-2 p.24 chart</t>
  </si>
  <si>
    <t xml:space="preserve">26-4 p.21 chart</t>
  </si>
  <si>
    <t xml:space="preserve">21-1 quarterly results table</t>
  </si>
  <si>
    <t xml:space="preserve">Reported cost of funds % (current-quarter column)</t>
  </si>
  <si>
    <t xml:space="preserve">21-2 quarterly results table</t>
  </si>
  <si>
    <t xml:space="preserve">21-3 quarterly results table</t>
  </si>
  <si>
    <t xml:space="preserve">21-4 quarterly results table</t>
  </si>
  <si>
    <t xml:space="preserve">22-1 quarterly results table</t>
  </si>
  <si>
    <t xml:space="preserve">22-2 quarterly results table</t>
  </si>
  <si>
    <t xml:space="preserve">22-3 quarterly results table</t>
  </si>
  <si>
    <t xml:space="preserve">22-4 quarterly results table</t>
  </si>
  <si>
    <t xml:space="preserve">23-1 quarterly results table</t>
  </si>
  <si>
    <t xml:space="preserve">23-2 quarterly results table</t>
  </si>
  <si>
    <t xml:space="preserve">23-3 quarterly results table</t>
  </si>
  <si>
    <t xml:space="preserve">23-4 quarterly results table</t>
  </si>
  <si>
    <t xml:space="preserve">24-1 quarterly results table</t>
  </si>
  <si>
    <t xml:space="preserve">24-2 quarterly results table</t>
  </si>
  <si>
    <t xml:space="preserve">24-3 quarterly results table</t>
  </si>
  <si>
    <t xml:space="preserve">24-4 quarterly results table</t>
  </si>
  <si>
    <t xml:space="preserve">25-1 quarterly results table</t>
  </si>
  <si>
    <t xml:space="preserve">25-2 quarterly results table</t>
  </si>
  <si>
    <t xml:space="preserve">25-3 quarterly results table</t>
  </si>
  <si>
    <t xml:space="preserve">25-4 quarterly results table</t>
  </si>
  <si>
    <t xml:space="preserve">26-1 quarterly results table</t>
  </si>
  <si>
    <t xml:space="preserve">26-2 quarterly results table</t>
  </si>
  <si>
    <t xml:space="preserve">26-3 quarterly results table</t>
  </si>
  <si>
    <t xml:space="preserve">26-4 quarterly results table</t>
  </si>
  <si>
    <t xml:space="preserve">21-1 p.12</t>
  </si>
  <si>
    <t xml:space="preserve">Key metrics table</t>
  </si>
  <si>
    <t xml:space="preserve">21-3 / 21-4 p.15</t>
  </si>
  <si>
    <t xml:space="preserve">21-4 p.15</t>
  </si>
  <si>
    <t xml:space="preserve">22-4 p.14</t>
  </si>
  <si>
    <t xml:space="preserve">22-4 p.14 / 23-4 p.17</t>
  </si>
  <si>
    <t xml:space="preserve">23-4 p.17</t>
  </si>
  <si>
    <t xml:space="preserve">COF trend chart</t>
  </si>
  <si>
    <t xml:space="preserve">24-1 / 24-3</t>
  </si>
  <si>
    <t xml:space="preserve">24-2 / 24-3</t>
  </si>
  <si>
    <t xml:space="preserve">24-3 (5-quarter series)</t>
  </si>
  <si>
    <t xml:space="preserve">24-4 key metrics</t>
  </si>
  <si>
    <t xml:space="preserve">25-1 / 25-4 p.17</t>
  </si>
  <si>
    <t xml:space="preserve">25-4 p.17</t>
  </si>
  <si>
    <t xml:space="preserve">Reported (7.3% excl. one-off lease modification)</t>
  </si>
  <si>
    <t xml:space="preserve">26-2 (prior-quarter column)</t>
  </si>
  <si>
    <t xml:space="preserve">26-2 key metrics</t>
  </si>
  <si>
    <t xml:space="preserve">26-3 / 26-4</t>
  </si>
  <si>
    <t xml:space="preserve">26-4 key metrics</t>
  </si>
  <si>
    <t xml:space="preserve">23-4/24-4/25-4/26-4 P&amp;L + borrowing profile</t>
  </si>
  <si>
    <t xml:space="preserve">COMPUTED: annualised interest expended / avg borrowings; merged entity (STFC+SCUF) from FY23; FY23 Q1-Q2 restated; FY23Q1 uses closing borrowings</t>
  </si>
  <si>
    <t xml:space="preserve">Bank share of borrowings by company and quarter (%)</t>
  </si>
  <si>
    <t xml:space="preserve">21-2 diversified funding mix pie</t>
  </si>
  <si>
    <t xml:space="preserve">Term loans % of funding mix (semi-annual; FY26 decks no longer show the mix)</t>
  </si>
  <si>
    <t xml:space="preserve">21-4 diversified funding mix pie</t>
  </si>
  <si>
    <t xml:space="preserve">22-2 diversified funding mix pie</t>
  </si>
  <si>
    <t xml:space="preserve">22-4 diversified funding mix pie</t>
  </si>
  <si>
    <t xml:space="preserve">23-2 diversified funding mix pie</t>
  </si>
  <si>
    <t xml:space="preserve">23-4 diversified funding mix pie</t>
  </si>
  <si>
    <t xml:space="preserve">24-2 diversified funding mix pie</t>
  </si>
  <si>
    <t xml:space="preserve">24-4 diversified funding mix pie</t>
  </si>
  <si>
    <t xml:space="preserve">25-2 diversified funding mix pie</t>
  </si>
  <si>
    <t xml:space="preserve">25-4 diversified funding mix pie</t>
  </si>
  <si>
    <t xml:space="preserve">21-2/22-2 pies</t>
  </si>
  <si>
    <t xml:space="preserve">Banks &amp; SFBs % of borrowings (ex CCD/OCRPS)</t>
  </si>
  <si>
    <t xml:space="preserve">23-2 p.25</t>
  </si>
  <si>
    <t xml:space="preserve">24-1 p.25</t>
  </si>
  <si>
    <t xml:space="preserve">25-2 p.24</t>
  </si>
  <si>
    <t xml:space="preserve">25-4 p.25</t>
  </si>
  <si>
    <t xml:space="preserve">26-4 p.23</t>
  </si>
  <si>
    <t xml:space="preserve">21-1 lead indicators</t>
  </si>
  <si>
    <t xml:space="preserve">Consolidated borrowing mix - Banks (money markets : banks : deposits : ECB)</t>
  </si>
  <si>
    <t xml:space="preserve">21-2 lead indicators</t>
  </si>
  <si>
    <t xml:space="preserve">21-3 lead indicators</t>
  </si>
  <si>
    <t xml:space="preserve">21-4 lead indicators</t>
  </si>
  <si>
    <t xml:space="preserve">22-1 lead indicators</t>
  </si>
  <si>
    <t xml:space="preserve">22-2 lead indicators</t>
  </si>
  <si>
    <t xml:space="preserve">22-3 lead indicators</t>
  </si>
  <si>
    <t xml:space="preserve">22-4 lead indicators</t>
  </si>
  <si>
    <t xml:space="preserve">23-1 lead indicators</t>
  </si>
  <si>
    <t xml:space="preserve">23-2 lead indicators</t>
  </si>
  <si>
    <t xml:space="preserve">23-3 lead indicators</t>
  </si>
  <si>
    <t xml:space="preserve">23-4 lead indicators</t>
  </si>
  <si>
    <t xml:space="preserve">24-1 lead indicators</t>
  </si>
  <si>
    <t xml:space="preserve">24-2 lead indicators</t>
  </si>
  <si>
    <t xml:space="preserve">24-3 lead indicators</t>
  </si>
  <si>
    <t xml:space="preserve">24-4 lead indicators</t>
  </si>
  <si>
    <t xml:space="preserve">25-1 lead indicators</t>
  </si>
  <si>
    <t xml:space="preserve">25-2 lead indicators</t>
  </si>
  <si>
    <t xml:space="preserve">25-3 lead indicators</t>
  </si>
  <si>
    <t xml:space="preserve">25-4 lead indicators</t>
  </si>
  <si>
    <t xml:space="preserve">26-1 lead indicators</t>
  </si>
  <si>
    <t xml:space="preserve">26-2 lead indicators</t>
  </si>
  <si>
    <t xml:space="preserve">26-3 lead indicators</t>
  </si>
  <si>
    <t xml:space="preserve">26-4 lead indicators</t>
  </si>
  <si>
    <t xml:space="preserve">22-2 funding basket pies</t>
  </si>
  <si>
    <t xml:space="preserve">Banks % of borrowings (semi-annual)</t>
  </si>
  <si>
    <t xml:space="preserve">22-4 funding basket pies</t>
  </si>
  <si>
    <t xml:space="preserve">24-2 funding basket pies</t>
  </si>
  <si>
    <t xml:space="preserve">24-4 funding basket pies</t>
  </si>
  <si>
    <t xml:space="preserve">26-2 funding basket pies</t>
  </si>
  <si>
    <t xml:space="preserve">26-4 funding basket pies</t>
  </si>
  <si>
    <t xml:space="preserve">21-4 p.60</t>
  </si>
  <si>
    <t xml:space="preserve">Banks % of borrowings by investor type (IFI added back from FY24 for consistency)</t>
  </si>
  <si>
    <t xml:space="preserve">22-4 p.67</t>
  </si>
  <si>
    <t xml:space="preserve">23-4 p.67</t>
  </si>
  <si>
    <t xml:space="preserve">24-4 p.70 (banks+IFI)</t>
  </si>
  <si>
    <t xml:space="preserve">25-4 p.72 (banks+IFI)</t>
  </si>
  <si>
    <t xml:space="preserve">26-4 p.76 (banks+IFI)</t>
  </si>
  <si>
    <t xml:space="preserve">21-1 liability mix pie</t>
  </si>
  <si>
    <t xml:space="preserve">Banks - term loans (&amp; CC) % of borrowings; FY23Q3 reflects MMFL merger</t>
  </si>
  <si>
    <t xml:space="preserve">21-2 liability mix pie</t>
  </si>
  <si>
    <t xml:space="preserve">21-3 liability mix pie</t>
  </si>
  <si>
    <t xml:space="preserve">21-4 liability mix pie</t>
  </si>
  <si>
    <t xml:space="preserve">22-1 liability mix pie</t>
  </si>
  <si>
    <t xml:space="preserve">22-2 liability mix pie</t>
  </si>
  <si>
    <t xml:space="preserve">22-3 liability mix pie</t>
  </si>
  <si>
    <t xml:space="preserve">22-4 liability mix pie</t>
  </si>
  <si>
    <t xml:space="preserve">23-1 liability mix pie</t>
  </si>
  <si>
    <t xml:space="preserve">23-2 liability mix pie</t>
  </si>
  <si>
    <t xml:space="preserve">23-3 liability mix pie</t>
  </si>
  <si>
    <t xml:space="preserve">23-4 liability mix pie</t>
  </si>
  <si>
    <t xml:space="preserve">24-1 liability mix pie</t>
  </si>
  <si>
    <t xml:space="preserve">24-2 liability mix pie</t>
  </si>
  <si>
    <t xml:space="preserve">24-3 liability mix pie</t>
  </si>
  <si>
    <t xml:space="preserve">24-4 liability mix pie</t>
  </si>
  <si>
    <t xml:space="preserve">25-1 liability mix pie</t>
  </si>
  <si>
    <t xml:space="preserve">25-2 liability mix pie</t>
  </si>
  <si>
    <t xml:space="preserve">25-3 liability mix pie</t>
  </si>
  <si>
    <t xml:space="preserve">25-4 liability mix pie</t>
  </si>
  <si>
    <t xml:space="preserve">26-1 liability mix pie</t>
  </si>
  <si>
    <t xml:space="preserve">26-2 liability mix pie</t>
  </si>
  <si>
    <t xml:space="preserve">26-3 liability mix pie</t>
  </si>
  <si>
    <t xml:space="preserve">26-4 liability mix pie</t>
  </si>
  <si>
    <t xml:space="preserve">22-1 p.24</t>
  </si>
  <si>
    <t xml:space="preserve">Public + private sector banks % of total borrowings (incl. off-book DA/co-lending in denominator)</t>
  </si>
  <si>
    <t xml:space="preserve">24-2 p.31</t>
  </si>
  <si>
    <t xml:space="preserve">26-2 p.33</t>
  </si>
  <si>
    <t xml:space="preserve">26-4 p.34</t>
  </si>
  <si>
    <t xml:space="preserve">26-3 p.17 / 26-4 p.22</t>
  </si>
  <si>
    <t xml:space="preserve">Term loans % of on-book borrowings (single consistent definition; annual points only)</t>
  </si>
  <si>
    <t xml:space="preserve">21-1 liability profile pie</t>
  </si>
  <si>
    <t xml:space="preserve">Bank % of outstanding borrowings (NHB shown separately)</t>
  </si>
  <si>
    <t xml:space="preserve">21-2 liability profile pie</t>
  </si>
  <si>
    <t xml:space="preserve">21-3 liability profile pie</t>
  </si>
  <si>
    <t xml:space="preserve">21-4 liability profile pie</t>
  </si>
  <si>
    <t xml:space="preserve">22-1 liability profile pie</t>
  </si>
  <si>
    <t xml:space="preserve">22-2 liability profile pie</t>
  </si>
  <si>
    <t xml:space="preserve">22-3 liability profile pie</t>
  </si>
  <si>
    <t xml:space="preserve">22-4 liability profile pie</t>
  </si>
  <si>
    <t xml:space="preserve">23-1 liability profile pie</t>
  </si>
  <si>
    <t xml:space="preserve">23-2 liability profile pie</t>
  </si>
  <si>
    <t xml:space="preserve">23-3 liability profile pie</t>
  </si>
  <si>
    <t xml:space="preserve">23-4 liability profile pie</t>
  </si>
  <si>
    <t xml:space="preserve">24-1 liability profile pie</t>
  </si>
  <si>
    <t xml:space="preserve">24-2 liability profile pie</t>
  </si>
  <si>
    <t xml:space="preserve">24-3 liability profile pie</t>
  </si>
  <si>
    <t xml:space="preserve">24-4 liability profile pie</t>
  </si>
  <si>
    <t xml:space="preserve">25-1 liability profile pie</t>
  </si>
  <si>
    <t xml:space="preserve">25-2 liability profile pie</t>
  </si>
  <si>
    <t xml:space="preserve">25-3 liability profile pie</t>
  </si>
  <si>
    <t xml:space="preserve">25-4 liability profile pie</t>
  </si>
  <si>
    <t xml:space="preserve">26-1 liability profile pie</t>
  </si>
  <si>
    <t xml:space="preserve">26-2 liability profile pie</t>
  </si>
  <si>
    <t xml:space="preserve">26-3 liability profile pie</t>
  </si>
  <si>
    <t xml:space="preserve">26-4 liability profile pie</t>
  </si>
  <si>
    <t xml:space="preserve">21-4 funding mix by investor category</t>
  </si>
  <si>
    <t xml:space="preserve">Banks / development (financial) institutions % of borrowings</t>
  </si>
  <si>
    <t xml:space="preserve">22-1 funding mix by investor category</t>
  </si>
  <si>
    <t xml:space="preserve">22-2 funding mix by investor category</t>
  </si>
  <si>
    <t xml:space="preserve">22-3 funding mix by investor category</t>
  </si>
  <si>
    <t xml:space="preserve">22-4 funding mix by investor category</t>
  </si>
  <si>
    <t xml:space="preserve">23-1 funding mix by investor category</t>
  </si>
  <si>
    <t xml:space="preserve">23-2 funding mix by investor category</t>
  </si>
  <si>
    <t xml:space="preserve">23-3 funding mix by investor category</t>
  </si>
  <si>
    <t xml:space="preserve">23-4 funding mix by investor category</t>
  </si>
  <si>
    <t xml:space="preserve">24-1 funding mix by investor category</t>
  </si>
  <si>
    <t xml:space="preserve">24-2 funding mix by investor category</t>
  </si>
  <si>
    <t xml:space="preserve">24-3 funding mix by investor category</t>
  </si>
  <si>
    <t xml:space="preserve">24-4 funding mix by investor category</t>
  </si>
  <si>
    <t xml:space="preserve">25-1 funding mix by investor category</t>
  </si>
  <si>
    <t xml:space="preserve">25-2 funding mix by investor category</t>
  </si>
  <si>
    <t xml:space="preserve">25-3 funding mix by investor category</t>
  </si>
  <si>
    <t xml:space="preserve">25-4 funding mix by investor category</t>
  </si>
  <si>
    <t xml:space="preserve">26-1 funding mix by investor category</t>
  </si>
  <si>
    <t xml:space="preserve">26-2 funding mix by investor category</t>
  </si>
  <si>
    <t xml:space="preserve">26-3 funding mix by investor category</t>
  </si>
  <si>
    <t xml:space="preserve">26-4 funding mix by investor category</t>
  </si>
  <si>
    <t xml:space="preserve">21-1 stable sources of funding</t>
  </si>
  <si>
    <t xml:space="preserve">Borrowings from banks/FIs / total borrowings (standalone principal)</t>
  </si>
  <si>
    <t xml:space="preserve">21-2 stable sources of funding</t>
  </si>
  <si>
    <t xml:space="preserve">21-3 stable sources of funding</t>
  </si>
  <si>
    <t xml:space="preserve">21-4 stable sources of funding</t>
  </si>
  <si>
    <t xml:space="preserve">22-1 stable sources of funding</t>
  </si>
  <si>
    <t xml:space="preserve">22-2 stable sources of funding</t>
  </si>
  <si>
    <t xml:space="preserve">22-3 stable sources of funding</t>
  </si>
  <si>
    <t xml:space="preserve">22-4 stable sources of funding</t>
  </si>
  <si>
    <t xml:space="preserve">23-1 stable sources of funding</t>
  </si>
  <si>
    <t xml:space="preserve">23-2 stable sources of funding</t>
  </si>
  <si>
    <t xml:space="preserve">23-3 stable sources of funding</t>
  </si>
  <si>
    <t xml:space="preserve">23-4 stable sources of funding</t>
  </si>
  <si>
    <t xml:space="preserve">24-1 stable sources of funding</t>
  </si>
  <si>
    <t xml:space="preserve">24-2 stable sources of funding</t>
  </si>
  <si>
    <t xml:space="preserve">24-3 stable sources of funding</t>
  </si>
  <si>
    <t xml:space="preserve">24-4 stable sources of funding</t>
  </si>
  <si>
    <t xml:space="preserve">25-1 stable sources of funding</t>
  </si>
  <si>
    <t xml:space="preserve">25-2 stable sources of funding</t>
  </si>
  <si>
    <t xml:space="preserve">25-3 stable sources of funding</t>
  </si>
  <si>
    <t xml:space="preserve">25-4 stable sources of funding</t>
  </si>
  <si>
    <t xml:space="preserve">26-1 stable sources of funding</t>
  </si>
  <si>
    <t xml:space="preserve">26-2 stable sources of funding</t>
  </si>
  <si>
    <t xml:space="preserve">26-3 stable sources of funding</t>
  </si>
  <si>
    <t xml:space="preserve">22-4 p.23 (rescaled ex-DA)</t>
  </si>
  <si>
    <t xml:space="preserve">Loans from banks / term loans % of borrowings (excluding direct assignment)</t>
  </si>
  <si>
    <t xml:space="preserve">23-4 p.18</t>
  </si>
  <si>
    <t xml:space="preserve">23-2 p.12</t>
  </si>
  <si>
    <t xml:space="preserve">24-2</t>
  </si>
  <si>
    <t xml:space="preserve">25-2 p.10</t>
  </si>
  <si>
    <t xml:space="preserve">26-4 p.10</t>
  </si>
  <si>
    <t xml:space="preserve">26-2 p.10</t>
  </si>
  <si>
    <t xml:space="preserve">21-1 borrowing profile</t>
  </si>
  <si>
    <t xml:space="preserve">Commercial banks / total borrowings (excludes Repco Bank and NHB)</t>
  </si>
  <si>
    <t xml:space="preserve">21-2 borrowing profile</t>
  </si>
  <si>
    <t xml:space="preserve">21-3 borrowing profile</t>
  </si>
  <si>
    <t xml:space="preserve">21-4 borrowing profile</t>
  </si>
  <si>
    <t xml:space="preserve">22-1 borrowing profile</t>
  </si>
  <si>
    <t xml:space="preserve">22-2 borrowing profile</t>
  </si>
  <si>
    <t xml:space="preserve">22-3 borrowing profile</t>
  </si>
  <si>
    <t xml:space="preserve">22-4 borrowing profile</t>
  </si>
  <si>
    <t xml:space="preserve">23-1 borrowing profile</t>
  </si>
  <si>
    <t xml:space="preserve">23-2 borrowing profile</t>
  </si>
  <si>
    <t xml:space="preserve">23-3 borrowing profile</t>
  </si>
  <si>
    <t xml:space="preserve">24-4 (YoY col) borrowing profile</t>
  </si>
  <si>
    <t xml:space="preserve">24-1 borrowing profile</t>
  </si>
  <si>
    <t xml:space="preserve">24-2 borrowing profile</t>
  </si>
  <si>
    <t xml:space="preserve">24-3 borrowing profile</t>
  </si>
  <si>
    <t xml:space="preserve">24-4 borrowing profile</t>
  </si>
  <si>
    <t xml:space="preserve">25-1 borrowing profile</t>
  </si>
  <si>
    <t xml:space="preserve">25-2 borrowing profile</t>
  </si>
  <si>
    <t xml:space="preserve">25-3 borrowing profile</t>
  </si>
  <si>
    <t xml:space="preserve">25-4 borrowing profile</t>
  </si>
  <si>
    <t xml:space="preserve">26-1 borrowing profile</t>
  </si>
  <si>
    <t xml:space="preserve">26-2 borrowing profile</t>
  </si>
  <si>
    <t xml:space="preserve">26-3 borrowing profile</t>
  </si>
  <si>
    <t xml:space="preserve">26-4 borrowing profile</t>
  </si>
  <si>
    <t xml:space="preserve">22-2 p.14 pies</t>
  </si>
  <si>
    <t xml:space="preserve">Bank lines/WCDL + term loans % of borrowings</t>
  </si>
  <si>
    <t xml:space="preserve">22-4 p.15 pies</t>
  </si>
  <si>
    <t xml:space="preserve">24-4 p.17</t>
  </si>
  <si>
    <t xml:space="preserve">26-4 p.17</t>
  </si>
  <si>
    <t xml:space="preserve">23-4/24-4/25-4/26-4 borrowing profile</t>
  </si>
  <si>
    <t xml:space="preserve">Term loans % of borrowings (merged entity from FY23)</t>
  </si>
  <si>
    <t xml:space="preserve">Bajaj Finance: assets under management by business segment (₹ crore)</t>
  </si>
  <si>
    <t xml:space="preserve">Source: Bajaj Finance quarterly investor presentations. Affected consumer segments: urban and rural sales finance and personal-loan (B2C) segments.</t>
  </si>
  <si>
    <t xml:space="preserve">Total AUM (₹ cr)</t>
  </si>
  <si>
    <t xml:space="preserve">Affected consumer segments (₹ cr)</t>
  </si>
  <si>
    <t xml:space="preserve">Share affected (formula)</t>
  </si>
  <si>
    <t xml:space="preserve">Segment detail as reported</t>
  </si>
  <si>
    <t xml:space="preserve">21-1 p.41</t>
  </si>
  <si>
    <t xml:space="preserve">Auto Finance Business=12,802; Sales Finance Business=9,231; Consumer B2C Business=29,219; Rural Sales Finance Business=2,089; Rural B2C Business=10,281; SME Lending Business=18,277; Securities Lending Business=3,957; IPO financing=0; Commercial Lending Business=6,075; Mortgages=46,124</t>
  </si>
  <si>
    <t xml:space="preserve">21-2 p.39</t>
  </si>
  <si>
    <t xml:space="preserve">Auto Finance Business=12,687; Sales Finance Business=7,918; Consumer B2C Business=28,262; Rural Sales Finance Business=1,808; Rural B2C Business=10,291; SME Lending Business=18,253; Securities Lending Business=5,327; Commercial Lending Business=6,555; Mortgages=45,989</t>
  </si>
  <si>
    <t xml:space="preserve">21-3 p.41</t>
  </si>
  <si>
    <t xml:space="preserve">of 31 Dec 2020=31; Auto Finance Business=12,707; Sales Finance Business=10,186; Consumer B2C Business=29,042; Rural Sales Finance Business=2,438; Rural B2C Business=10,954; SME Lending Business=18,882; Securities Lending Business=5,074; Commercial Lending Business=7,510; Mortgages=46,758</t>
  </si>
  <si>
    <t xml:space="preserve">21-4 p.43</t>
  </si>
  <si>
    <t xml:space="preserve">Auto Finance Business=12,112; Sales Finance Business=11,526; Consumer B2C Business=30,450; Rural Sales Finance Business=2,883; Rural B2C Business=11,822; SME Lending Business=20,217; Securities Lending Business=6,054; Commercial Lending Business=8,293; Mortgages=49,592</t>
  </si>
  <si>
    <t xml:space="preserve">22-1 p.40</t>
  </si>
  <si>
    <t xml:space="preserve">Auto Finance Business=11,347; Sales Finance Business=11,175; Consumer B2C Business=31,399; Rural Sales Finance Business=2,914; Rural B2C Business=12,537; SME Lending Business=20,335; Securities Lending Business=6,290; IPO Financing=2,942; Commercial Lending Business=9,011; Mortgages=51,107</t>
  </si>
  <si>
    <t xml:space="preserve">22-2 p.43</t>
  </si>
  <si>
    <t xml:space="preserve">September 2020=2,020; Auto Finance Business=10,738; Sales Finance Business=12,555; Consumer B2C Business=33,679; Rural Sales Finance Business=3,258; Rural B2C Business=13,376; SME Lending Business=21,871; Securities Lending Business=7,293; IPO Financing=170; Commercial Lending Business=9,801; Mortgages=54,196</t>
  </si>
  <si>
    <t xml:space="preserve">22-3 p.49</t>
  </si>
  <si>
    <t xml:space="preserve">December 2020=2,021; Auto Finance Business=10,620; Sales Finance Business=14,920; Consumer B2C Business=36,344; Rural Sales Finance Business=3,993; Rural B2C Business=14,311; SME Lending Business=23,153; Securities Lending Business=9,127; IPO Financing=0; Commercial Lending Business=10,478; Mortgages=58,304</t>
  </si>
  <si>
    <t xml:space="preserve">22-4 p.47</t>
  </si>
  <si>
    <t xml:space="preserve">Auto Finance Business=10,194; Sales Finance Business=14,977; Consumer B2C Business=38,772; Rural Sales Finance Business=4,129; Rural B2C Business=15,301; SME Lending Business=24,979; Securities Lending Business=10,536; IPO Financing Business=5,365; Commercial Lending Business=11,498; Mortgages Business=61,701</t>
  </si>
  <si>
    <t xml:space="preserve">23-1 p.46</t>
  </si>
  <si>
    <t xml:space="preserve">Auto Finance Business=9,962; Urban Sales Finance Business=16,475; Urban B2C Business=41,207; Rural Sales Finance Business=4,564; Rural B2C Business=16,740; SME Lending Business=26,564; Securities Lending Business=10,801; IPO Financing Business=0; Commercial Lending Business=12,040; Mortgages Business=65,665</t>
  </si>
  <si>
    <t xml:space="preserve">23-2 p.47</t>
  </si>
  <si>
    <t xml:space="preserve">Two &amp; Three wheeler Finance=10,160; Urban Sales Finance=16,259; Urban B2C=44,072; Rural Sales Finance=4,329; Rural B2C=17,908; SME Lending=28,881; Securities Lending=12,182; IPO Financing=105; Commercial Lending=13,378; Mortgages=71,092</t>
  </si>
  <si>
    <t xml:space="preserve">23-3 p.59</t>
  </si>
  <si>
    <t xml:space="preserve">Two &amp; Three wheeler Finance=11,786; Urban Sales Finance=16,712; Urban B2C=46,733; Rural Sales Finance=4,684; Rural B2C=18,458; SME Lending=30,880; Securities Lending=13,257; Commercial Lending=14,848; Mortgages=73,484</t>
  </si>
  <si>
    <t xml:space="preserve">23-4 p.52</t>
  </si>
  <si>
    <t xml:space="preserve">Two &amp; Three wheeler Finance=12,979; Urban Sales Finance=17,627; Urban B2C=50,108; Rural Sales Finance=4,803; Rural B2C=19,457; SME Lending=33,765; Loan Against Securities=15,093; IPO Financing=0; Commercial Lending=15,834; Mortgages=77,713</t>
  </si>
  <si>
    <t xml:space="preserve">24-1 p.45</t>
  </si>
  <si>
    <t xml:space="preserve">Two &amp; Three wheeler Finance=14,736; Urban Sales Finance=22,321; Urban B2C=54,845; Rural Sales Finance=5,567; Rural B2C=20,272; SME Lending=34,964; Loan Against Securities=16,238; Commercial Lending=18,064; Mortgages=83,090</t>
  </si>
  <si>
    <t xml:space="preserve">24-2 p.45</t>
  </si>
  <si>
    <t xml:space="preserve">Two &amp; Three wheeler Finance=16,548; Urban Sales Finance=22,973; Urban B2C=58,178; Rural Sales Finance=5,534; Rural B2C=20,880; SME Lending=38,673; Loan Against Securities=16,986; Commercial Lending=19,558; Mortgages=90,934</t>
  </si>
  <si>
    <t xml:space="preserve">24-3 p.49</t>
  </si>
  <si>
    <t xml:space="preserve">Two &amp; Three-wheeler Finance=19,384; Urban Sales Finance=24,485; Urban B2C=61,705; Rural Sales Finance=6,166; Rural B2C=21,426; SME Lending=41,396; Loan Against Securities=19,205; Commercial Lending=20,672; Mortgages=96,529</t>
  </si>
  <si>
    <t xml:space="preserve">24-4 p.55</t>
  </si>
  <si>
    <t xml:space="preserve">Two &amp; Three-wheeler Finance=19,742; Urban Sales Finance=23,448; Urban B2C=66,093; Rural Sales Finance=6,209; Rural B2C (excluding Gold Loans)=17,607; Gold Loans=4,599; SME lending (excluding Car Loans)=38,470; Car Loans=7,087; Commercial Lending=22,006; Loan Against Securities=22,038; Mortgages=103,316</t>
  </si>
  <si>
    <t xml:space="preserve">25-1 p.47</t>
  </si>
  <si>
    <t xml:space="preserve">Two &amp; Three-wheeler Finance=19,689; Urban Sales Finance=26,975; Urban B2C=71,628; Rural Sales Finance=7,553; Rural B2C (excluding Gold Loans)=18,049; Gold Loans=5,494; SME lending (excluding Car Loans)=40,791; Car Loans=8,710; Commercial Lending=23,589; Loan Against Securities=22,043; Mortgages=109,671</t>
  </si>
  <si>
    <t xml:space="preserve">25-2 p.48</t>
  </si>
  <si>
    <t xml:space="preserve">Two &amp; Three-wheeler Finance=18,960; Urban Sales Finance=27,169; Urban B2C Loans=77,239; Rural Sales Finance=7,280; Rural B2C Loans=18,815; Gold Loans=6,363; SME lending=44,382; Car Loans=9,906; Commercial Lending=24,615; Loan Against Securities=23,359; Mortgages=115,836</t>
  </si>
  <si>
    <t xml:space="preserve">25-3 p.48</t>
  </si>
  <si>
    <t xml:space="preserve">Two &amp; Three-wheeler Finance=18,972; Urban Sales Finance=29,149; Urban B2C Loans=83,143; Rural Sales Finance=7,955; Rural B2C Loans=20,135; Gold Loans=7,267; SME lending=46,943; Car Loans=11,141; Commercial Lending=26,057; Loan Against Securities=25,262; Mortgages=122,019</t>
  </si>
  <si>
    <t xml:space="preserve">25-4 p.62</t>
  </si>
  <si>
    <t xml:space="preserve">Two &amp; Three-wheeler Finance=17,319; Urban Sales Finance=29,109; Urban B2C Loans=87,696; Rural Sales Finance=7,944; Rural B2C Loans=21,467; Gold Loans=8,307; SME lending=50,345; Car Loans=11,876; Commercial Lending=27,760; Loan Against Securities=25,377; Mortgages=129,461</t>
  </si>
  <si>
    <t xml:space="preserve">26-1 p.46</t>
  </si>
  <si>
    <t xml:space="preserve">Mortgages=136,377; Urban B2C Loans=92,333; MSME Lending=52,538; Urban Sales Finance=32,839; Commercial Lending=29,883; Loan Against Securities=27,225; Two and Three-wheeler Finance=15,703; Rural B2C Loans=21,405; Car Loans=12,545; Rural Sales Finance=9,057; Gold Loans=9,989</t>
  </si>
  <si>
    <t xml:space="preserve">26-2 p.47</t>
  </si>
  <si>
    <t xml:space="preserve">Mortgages=144,412; Urban B2C Loans=96,608; MSME Lending=51,718; Urban Sales Finance=33,550; Commercial Lending=31,359; Loan Against Securities=29,508; Rural B2C Loans=22,646; Car Loans=13,163; Gold Loans=11,789; Rural Sales Finance=8,838; Open Market 2W &amp; 3W Finance=7,177; Captive 2W &amp; 3W Finance=7,086; CV &amp; Tractor Finance=2,662; MFI Lending=1,745</t>
  </si>
  <si>
    <t xml:space="preserve">26-3 p.51</t>
  </si>
  <si>
    <t xml:space="preserve">Captive 2W &amp; 3W Finance=5,542; Open Market 2W &amp; 3W Finance=8,034; Urban Sales Finance=35,643; Urban B2C Loans=99,878; Rural Sales Finance=9,531; Rural B2C Loans=23,730; MFI Lending=1,932; Gold Loans=14,103; MSME Lending=51,136; CV &amp; Tractor Finance=3,220; Car Loans=14,091; Commercial Lending=33,184; Loan Against Securities=31,706; Mortgages=152,747</t>
  </si>
  <si>
    <t xml:space="preserve">26-4 p.63</t>
  </si>
  <si>
    <t xml:space="preserve">Captive 2W &amp; 3W Finance=4,288; Open Market 2W &amp; 3W Finance=8,325; Urban Sales Finance=37,430; Urban B2C Loans=104,485; Rural Sales Finance=10,559; Rural B2C Loans=25,234; MFI Lending=2,198; Gold Loans=17,831; MSME Lending=51,570; CV &amp; Tractor Finance=3,881; Car Loans=15,011; Commercial Lending=33,839; Loan Against Securities=33,247; Mortgages=162,077</t>
  </si>
  <si>
    <t xml:space="preserve">Company statements on the effect of the November 2023 measures</t>
  </si>
  <si>
    <t xml:space="preserve">Verbatim quotes from investor presentations for the quarter ended 31 December 2023.</t>
  </si>
  <si>
    <t xml:space="preserve">Statement (verbatim)</t>
  </si>
  <si>
    <t xml:space="preserve">Implication</t>
  </si>
  <si>
    <t xml:space="preserve">Q3 FY24 investor presentation</t>
  </si>
  <si>
    <t xml:space="preserve">RBI increased risk weights on consumer credit exposure from 100% to 125% which had an impact of 290 bps on the Company's CRAR. Adjusted for this change CRAR would have been 26.77%.</t>
  </si>
  <si>
    <t xml:space="preserve">Capital ratio cut by 2.9 pp</t>
  </si>
  <si>
    <t xml:space="preserve">Given the increase in risk weights and higher incremental cost of funds, the Company has increased rates across all portfolios by 20-30 bps.</t>
  </si>
  <si>
    <t xml:space="preserve">Lending rates raised 20-30 bps</t>
  </si>
  <si>
    <t xml:space="preserve">Q3 FY24 investor presentation, capital adequacy slide</t>
  </si>
  <si>
    <t xml:space="preserve">CRAR impacted by ~400 bps due to increase in risk weight by RBI</t>
  </si>
  <si>
    <t xml:space="preserve">Capital ratio cut by about 4 pp</t>
  </si>
  <si>
    <t xml:space="preserve">Policy events and the dates used in the analysis</t>
  </si>
  <si>
    <t xml:space="preserve">Release times are from the earliest dated news reports; NSE trading hours are 9:15 am to 3:30 pm IST.</t>
  </si>
  <si>
    <t xml:space="preserve">Event</t>
  </si>
  <si>
    <t xml:space="preserve">Time / note</t>
  </si>
  <si>
    <t xml:space="preserve">Used as</t>
  </si>
  <si>
    <t xml:space="preserve">RBI circular RBI/2023-24/85 (risk weights, exposure limits)</t>
  </si>
  <si>
    <t xml:space="preserve">First news report 5:26 pm IST, after market close</t>
  </si>
  <si>
    <t xml:space="preserve">RBI circular; Business Today, 16 Nov 2023</t>
  </si>
  <si>
    <t xml:space="preserve">Policy date</t>
  </si>
  <si>
    <t xml:space="preserve">First trading day after the circular</t>
  </si>
  <si>
    <t xml:space="preserve">Day 0 of event 1</t>
  </si>
  <si>
    <t xml:space="preserve">NSE trading calendar</t>
  </si>
  <si>
    <t xml:space="preserve">Event study day 0</t>
  </si>
  <si>
    <t xml:space="preserve">RBI embargo on Bajaj Finance eCOM and Insta EMI Card</t>
  </si>
  <si>
    <t xml:space="preserve">Lifted 2 May 2024</t>
  </si>
  <si>
    <t xml:space="preserve">Company announcements</t>
  </si>
  <si>
    <t xml:space="preserve">Confounding event (Bajaj excluded in checks)</t>
  </si>
  <si>
    <t xml:space="preserve">Deadline for board-approved limits on unsecured consumer credit</t>
  </si>
  <si>
    <t xml:space="preserve">RBI circular RBI/2023-24/85</t>
  </si>
  <si>
    <t xml:space="preserve">Context</t>
  </si>
  <si>
    <t xml:space="preserve">RBI embargo on IIFL Finance gold loans</t>
  </si>
  <si>
    <t xml:space="preserve">Lifted 19 Sep 2024</t>
  </si>
  <si>
    <t xml:space="preserve">RBI circulars RBI/2024-25/119 and /120 (rollback of bank-to-NBFC risk weight)</t>
  </si>
  <si>
    <t xml:space="preserve">First news report 9:31 pm IST, after market close</t>
  </si>
  <si>
    <t xml:space="preserve">RBI circulars; Business Standard, 25 Feb 2025</t>
  </si>
  <si>
    <t xml:space="preserve">Rollback announcement</t>
  </si>
  <si>
    <t xml:space="preserve">Market holiday (Mahashivratri)</t>
  </si>
  <si>
    <t xml:space="preserve">NSE closed</t>
  </si>
  <si>
    <t xml:space="preserve">NSE holiday circular 170/2024</t>
  </si>
  <si>
    <t xml:space="preserve">First trading day after the rollback announcement</t>
  </si>
  <si>
    <t xml:space="preserve">Day 0 of event 2</t>
  </si>
  <si>
    <t xml:space="preserve">Rollback effective</t>
  </si>
  <si>
    <t xml:space="preserve">RBI circular RBI/2024-25/120</t>
  </si>
  <si>
    <t xml:space="preserve">Start of after-rollback period</t>
  </si>
  <si>
    <t xml:space="preserve">Bank credit tests: pre-policy period</t>
  </si>
  <si>
    <t xml:space="preserve">to 17-Nov-2023 (32 months)</t>
  </si>
  <si>
    <t xml:space="preserve">Before</t>
  </si>
  <si>
    <t xml:space="preserve">Bank credit tests: post-policy period</t>
  </si>
  <si>
    <t xml:space="preserve">to 31-Jan-2025 (14 months)</t>
  </si>
  <si>
    <t xml:space="preserve">After</t>
  </si>
  <si>
    <t xml:space="preserve">Event study estimation window, event 1</t>
  </si>
  <si>
    <t xml:space="preserve">to 04-Oct-2023 (220 trading days)</t>
  </si>
  <si>
    <t xml:space="preserve">Market model</t>
  </si>
  <si>
    <t xml:space="preserve">Event study estimation window, event 2</t>
  </si>
  <si>
    <t xml:space="preserve">to 15-Jan-2025 (220 trading days)</t>
  </si>
</sst>
</file>

<file path=xl/styles.xml><?xml version="1.0" encoding="utf-8"?>
<styleSheet xmlns="http://schemas.openxmlformats.org/spreadsheetml/2006/main">
  <numFmts count="10">
    <numFmt numFmtId="164" formatCode="General"/>
    <numFmt numFmtId="165" formatCode="dd\-mmm\-yyyy"/>
    <numFmt numFmtId="166" formatCode="#,##0.00"/>
    <numFmt numFmtId="167" formatCode="0.000"/>
    <numFmt numFmtId="168" formatCode="0"/>
    <numFmt numFmtId="169" formatCode="0.00%"/>
    <numFmt numFmtId="170" formatCode="0.0"/>
    <numFmt numFmtId="171" formatCode="0.00"/>
    <numFmt numFmtId="172" formatCode="#,##0"/>
    <numFmt numFmtId="173"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color rgb="FFFFFFFF"/>
      <name val="Arial"/>
      <family val="0"/>
      <charset val="1"/>
    </font>
    <font>
      <sz val="10"/>
      <name val="Arial"/>
      <family val="0"/>
      <charset val="1"/>
    </font>
    <font>
      <b val="true"/>
      <sz val="12"/>
      <name val="Arial"/>
      <family val="0"/>
      <charset val="1"/>
    </font>
    <font>
      <sz val="10"/>
      <color rgb="FF0000FF"/>
      <name val="Arial"/>
      <family val="0"/>
      <charset val="1"/>
    </font>
    <font>
      <sz val="10"/>
      <color rgb="FF000000"/>
      <name val="Arial"/>
      <family val="0"/>
      <charset val="1"/>
    </font>
    <font>
      <sz val="10"/>
      <name val="Arial"/>
      <family val="2"/>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80"/>
    <col collapsed="false" customWidth="true" hidden="false" outlineLevel="0" max="3" min="3" style="0" width="30"/>
    <col collapsed="false" customWidth="true" hidden="false" outlineLevel="0" max="4" min="4" style="0" width="50"/>
  </cols>
  <sheetData>
    <row r="1" customFormat="false" ht="17.35" hidden="false" customHeight="false" outlineLevel="0" collapsed="false">
      <c r="A1" s="1" t="s">
        <v>0</v>
      </c>
    </row>
    <row r="2" customFormat="false" ht="15" hidden="false" customHeight="false" outlineLevel="0" collapsed="false">
      <c r="A2" s="2" t="s">
        <v>1</v>
      </c>
    </row>
    <row r="4" customFormat="false" ht="42" hidden="false" customHeight="true" outlineLevel="0" collapsed="false">
      <c r="A4" s="3" t="s">
        <v>2</v>
      </c>
      <c r="B4" s="3" t="s">
        <v>3</v>
      </c>
      <c r="C4" s="3" t="s">
        <v>4</v>
      </c>
      <c r="D4" s="3" t="s">
        <v>5</v>
      </c>
    </row>
    <row r="5" customFormat="false" ht="23.85" hidden="false" customHeight="false" outlineLevel="0" collapsed="false">
      <c r="A5" s="4" t="s">
        <v>6</v>
      </c>
      <c r="B5" s="4" t="s">
        <v>7</v>
      </c>
      <c r="C5" s="4" t="s">
        <v>8</v>
      </c>
      <c r="D5" s="4" t="s">
        <v>9</v>
      </c>
    </row>
    <row r="6" customFormat="false" ht="15" hidden="false" customHeight="false" outlineLevel="0" collapsed="false">
      <c r="A6" s="4" t="s">
        <v>10</v>
      </c>
      <c r="B6" s="4" t="s">
        <v>11</v>
      </c>
      <c r="C6" s="4" t="s">
        <v>12</v>
      </c>
      <c r="D6" s="4" t="s">
        <v>13</v>
      </c>
    </row>
    <row r="7" customFormat="false" ht="23.85" hidden="false" customHeight="false" outlineLevel="0" collapsed="false">
      <c r="A7" s="4" t="s">
        <v>14</v>
      </c>
      <c r="B7" s="4" t="s">
        <v>15</v>
      </c>
      <c r="C7" s="4" t="s">
        <v>16</v>
      </c>
      <c r="D7" s="4" t="s">
        <v>17</v>
      </c>
    </row>
    <row r="8" customFormat="false" ht="23.85" hidden="false" customHeight="false" outlineLevel="0" collapsed="false">
      <c r="A8" s="4" t="s">
        <v>18</v>
      </c>
      <c r="B8" s="4" t="s">
        <v>19</v>
      </c>
      <c r="C8" s="4" t="s">
        <v>20</v>
      </c>
      <c r="D8" s="4" t="s">
        <v>21</v>
      </c>
    </row>
    <row r="9" customFormat="false" ht="15" hidden="false" customHeight="false" outlineLevel="0" collapsed="false">
      <c r="A9" s="4" t="s">
        <v>22</v>
      </c>
      <c r="B9" s="4" t="s">
        <v>23</v>
      </c>
      <c r="C9" s="4" t="s">
        <v>24</v>
      </c>
      <c r="D9" s="4" t="s">
        <v>17</v>
      </c>
    </row>
    <row r="10" customFormat="false" ht="15" hidden="false" customHeight="false" outlineLevel="0" collapsed="false">
      <c r="A10" s="4" t="s">
        <v>25</v>
      </c>
      <c r="B10" s="4" t="s">
        <v>26</v>
      </c>
      <c r="C10" s="4" t="s">
        <v>27</v>
      </c>
      <c r="D10" s="4" t="s">
        <v>28</v>
      </c>
    </row>
    <row r="11" customFormat="false" ht="15" hidden="false" customHeight="false" outlineLevel="0" collapsed="false">
      <c r="A11" s="4" t="s">
        <v>29</v>
      </c>
      <c r="B11" s="4" t="s">
        <v>30</v>
      </c>
      <c r="C11" s="4" t="s">
        <v>31</v>
      </c>
      <c r="D11" s="4" t="s">
        <v>32</v>
      </c>
    </row>
    <row r="12" customFormat="false" ht="15" hidden="false" customHeight="false" outlineLevel="0" collapsed="false">
      <c r="A12" s="4" t="s">
        <v>33</v>
      </c>
      <c r="B12" s="4" t="s">
        <v>34</v>
      </c>
      <c r="C12" s="4" t="s">
        <v>31</v>
      </c>
      <c r="D12" s="4" t="s">
        <v>32</v>
      </c>
    </row>
    <row r="13" customFormat="false" ht="15" hidden="false" customHeight="false" outlineLevel="0" collapsed="false">
      <c r="A13" s="4" t="s">
        <v>35</v>
      </c>
      <c r="B13" s="4" t="s">
        <v>36</v>
      </c>
      <c r="C13" s="4" t="s">
        <v>31</v>
      </c>
      <c r="D13" s="4" t="s">
        <v>37</v>
      </c>
    </row>
    <row r="14" customFormat="false" ht="15" hidden="false" customHeight="false" outlineLevel="0" collapsed="false">
      <c r="A14" s="4" t="s">
        <v>38</v>
      </c>
      <c r="B14" s="4" t="s">
        <v>39</v>
      </c>
      <c r="C14" s="4" t="s">
        <v>40</v>
      </c>
      <c r="D14" s="4" t="s">
        <v>32</v>
      </c>
    </row>
    <row r="15" customFormat="false" ht="15" hidden="false" customHeight="false" outlineLevel="0" collapsed="false">
      <c r="A15" s="4" t="s">
        <v>41</v>
      </c>
      <c r="B15" s="4" t="s">
        <v>42</v>
      </c>
      <c r="C15" s="4"/>
      <c r="D15" s="4" t="s">
        <v>43</v>
      </c>
    </row>
    <row r="17" customFormat="false" ht="15" hidden="false" customHeight="false" outlineLevel="0" collapsed="false">
      <c r="A17" s="5" t="s">
        <v>44</v>
      </c>
    </row>
    <row r="18" customFormat="false" ht="15" hidden="false" customHeight="false" outlineLevel="0" collapsed="false">
      <c r="A18" s="5" t="s">
        <v>45</v>
      </c>
    </row>
    <row r="19" customFormat="false" ht="15" hidden="false" customHeight="false" outlineLevel="0" collapsed="false">
      <c r="A19" s="5"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10" min="2" style="0" width="14"/>
    <col collapsed="false" customWidth="true" hidden="false" outlineLevel="0" max="11" min="11" style="0" width="16"/>
    <col collapsed="false" customWidth="true" hidden="false" outlineLevel="0" max="12" min="12" style="0" width="20"/>
  </cols>
  <sheetData>
    <row r="1" customFormat="false" ht="15" hidden="false" customHeight="false" outlineLevel="0" collapsed="false">
      <c r="A1" s="6" t="s">
        <v>47</v>
      </c>
    </row>
    <row r="2" customFormat="false" ht="15" hidden="false" customHeight="false" outlineLevel="0" collapsed="false">
      <c r="A2" s="2" t="s">
        <v>48</v>
      </c>
    </row>
    <row r="4" customFormat="false" ht="42" hidden="false" customHeight="true" outlineLevel="0" collapsed="false">
      <c r="A4" s="3" t="s">
        <v>49</v>
      </c>
      <c r="B4" s="3" t="s">
        <v>50</v>
      </c>
      <c r="C4" s="3" t="s">
        <v>51</v>
      </c>
      <c r="D4" s="3" t="s">
        <v>52</v>
      </c>
      <c r="E4" s="3" t="s">
        <v>53</v>
      </c>
      <c r="F4" s="3" t="s">
        <v>54</v>
      </c>
      <c r="G4" s="3" t="s">
        <v>55</v>
      </c>
      <c r="H4" s="3" t="s">
        <v>56</v>
      </c>
      <c r="I4" s="3" t="s">
        <v>57</v>
      </c>
      <c r="J4" s="3" t="s">
        <v>58</v>
      </c>
      <c r="K4" s="3" t="s">
        <v>59</v>
      </c>
      <c r="L4" s="3" t="s">
        <v>60</v>
      </c>
    </row>
    <row r="5" customFormat="false" ht="15" hidden="false" customHeight="false" outlineLevel="0" collapsed="false">
      <c r="A5" s="7" t="n">
        <v>43483</v>
      </c>
      <c r="B5" s="8" t="n">
        <v>9261605.65</v>
      </c>
      <c r="C5" s="8" t="n">
        <v>662551.6</v>
      </c>
      <c r="D5" s="8" t="n">
        <v>206996.49</v>
      </c>
      <c r="E5" s="8" t="n">
        <v>1141732.79</v>
      </c>
      <c r="F5" s="8" t="n">
        <v>83645.81</v>
      </c>
      <c r="G5" s="8" t="n">
        <v>76750.07</v>
      </c>
      <c r="H5" s="8" t="n">
        <v>281694.44</v>
      </c>
      <c r="I5" s="8" t="n">
        <v>24444.88</v>
      </c>
      <c r="J5" s="8" t="n">
        <v>531456.84</v>
      </c>
      <c r="K5" s="9" t="n">
        <f aca="false">C5-D5</f>
        <v>455555.11</v>
      </c>
      <c r="L5" s="9" t="n">
        <f aca="false">B5-C5-F5-J5</f>
        <v>7983951.4</v>
      </c>
    </row>
    <row r="6" customFormat="false" ht="15" hidden="false" customHeight="false" outlineLevel="0" collapsed="false">
      <c r="A6" s="7" t="n">
        <v>43511</v>
      </c>
      <c r="B6" s="8" t="n">
        <v>9378625.762</v>
      </c>
      <c r="C6" s="8" t="n">
        <v>707143.7</v>
      </c>
      <c r="D6" s="8" t="n">
        <v>213566.14</v>
      </c>
      <c r="E6" s="8" t="n">
        <v>1153719.34</v>
      </c>
      <c r="F6" s="8" t="n">
        <v>82798.71</v>
      </c>
      <c r="G6" s="8" t="n">
        <v>76824.4</v>
      </c>
      <c r="H6" s="8" t="n">
        <v>282226.51</v>
      </c>
      <c r="I6" s="8" t="n">
        <v>24600.01</v>
      </c>
      <c r="J6" s="8" t="n">
        <v>540192.16</v>
      </c>
      <c r="K6" s="9" t="n">
        <f aca="false">C6-D6</f>
        <v>493577.56</v>
      </c>
      <c r="L6" s="9" t="n">
        <f aca="false">B6-C6-F6-J6</f>
        <v>8048491.192</v>
      </c>
    </row>
    <row r="7" customFormat="false" ht="15" hidden="false" customHeight="false" outlineLevel="0" collapsed="false">
      <c r="A7" s="7" t="n">
        <v>43553</v>
      </c>
      <c r="B7" s="8" t="n">
        <v>9730112.1052</v>
      </c>
      <c r="C7" s="8" t="n">
        <v>751146.21</v>
      </c>
      <c r="D7" s="8" t="n">
        <v>225504.5</v>
      </c>
      <c r="E7" s="8" t="n">
        <v>1176510.06</v>
      </c>
      <c r="F7" s="8" t="n">
        <v>87685.62</v>
      </c>
      <c r="G7" s="8" t="n">
        <v>76375.8</v>
      </c>
      <c r="H7" s="8" t="n">
        <v>285257.82</v>
      </c>
      <c r="I7" s="8" t="n">
        <v>24670.77</v>
      </c>
      <c r="J7" s="8" t="n">
        <v>552616.58</v>
      </c>
      <c r="K7" s="9" t="n">
        <f aca="false">C7-D7</f>
        <v>525641.71</v>
      </c>
      <c r="L7" s="9" t="n">
        <f aca="false">B7-C7-F7-J7</f>
        <v>8338663.6952</v>
      </c>
    </row>
    <row r="8" customFormat="false" ht="15" hidden="false" customHeight="false" outlineLevel="0" collapsed="false">
      <c r="A8" s="7" t="n">
        <v>43581</v>
      </c>
      <c r="B8" s="8" t="n">
        <v>9577783.7615</v>
      </c>
      <c r="C8" s="8" t="n">
        <v>725245.92</v>
      </c>
      <c r="D8" s="8" t="n">
        <v>223161.97</v>
      </c>
      <c r="E8" s="8" t="n">
        <v>1187097.79</v>
      </c>
      <c r="F8" s="8" t="n">
        <v>91931.27</v>
      </c>
      <c r="G8" s="8" t="n">
        <v>75923.45</v>
      </c>
      <c r="H8" s="8" t="n">
        <v>285567.84</v>
      </c>
      <c r="I8" s="8" t="n">
        <v>24577.71</v>
      </c>
      <c r="J8" s="8" t="n">
        <v>557876.95</v>
      </c>
      <c r="K8" s="9" t="n">
        <f aca="false">C8-D8</f>
        <v>502083.95</v>
      </c>
      <c r="L8" s="9" t="n">
        <f aca="false">B8-C8-F8-J8</f>
        <v>8202729.6215</v>
      </c>
    </row>
    <row r="9" customFormat="false" ht="15" hidden="false" customHeight="false" outlineLevel="0" collapsed="false">
      <c r="A9" s="7" t="n">
        <v>43609</v>
      </c>
      <c r="B9" s="8" t="n">
        <v>9555822.3986</v>
      </c>
      <c r="C9" s="8" t="n">
        <v>705605.83</v>
      </c>
      <c r="D9" s="8" t="n">
        <v>219000.37</v>
      </c>
      <c r="E9" s="8" t="n">
        <v>1192750.18</v>
      </c>
      <c r="F9" s="8" t="n">
        <v>93038.7</v>
      </c>
      <c r="G9" s="8" t="n">
        <v>75854.42</v>
      </c>
      <c r="H9" s="8" t="n">
        <v>287246.09</v>
      </c>
      <c r="I9" s="8" t="n">
        <v>25849.01</v>
      </c>
      <c r="J9" s="8" t="n">
        <v>562248.45</v>
      </c>
      <c r="K9" s="9" t="n">
        <f aca="false">C9-D9</f>
        <v>486605.46</v>
      </c>
      <c r="L9" s="9" t="n">
        <f aca="false">B9-C9-F9-J9</f>
        <v>8194929.4186</v>
      </c>
    </row>
    <row r="10" customFormat="false" ht="15" hidden="false" customHeight="false" outlineLevel="0" collapsed="false">
      <c r="A10" s="7" t="n">
        <v>43637</v>
      </c>
      <c r="B10" s="8" t="n">
        <v>9577348.7813</v>
      </c>
      <c r="C10" s="8" t="n">
        <v>708269.67</v>
      </c>
      <c r="D10" s="8" t="n">
        <v>219824.91</v>
      </c>
      <c r="E10" s="8" t="n">
        <v>1208164.13</v>
      </c>
      <c r="F10" s="8" t="n">
        <v>94292.74</v>
      </c>
      <c r="G10" s="8" t="n">
        <v>76430.59</v>
      </c>
      <c r="H10" s="8" t="n">
        <v>286279.3</v>
      </c>
      <c r="I10" s="8" t="n">
        <v>27102.28</v>
      </c>
      <c r="J10" s="8" t="n">
        <v>563497.35</v>
      </c>
      <c r="K10" s="9" t="n">
        <f aca="false">C10-D10</f>
        <v>488444.76</v>
      </c>
      <c r="L10" s="9" t="n">
        <f aca="false">B10-C10-F10-J10</f>
        <v>8211289.0213</v>
      </c>
    </row>
    <row r="11" customFormat="false" ht="15" hidden="false" customHeight="false" outlineLevel="0" collapsed="false">
      <c r="A11" s="7" t="n">
        <v>43665</v>
      </c>
      <c r="B11" s="8" t="n">
        <v>9592376.1535</v>
      </c>
      <c r="C11" s="8" t="n">
        <v>735161.49</v>
      </c>
      <c r="D11" s="8" t="n">
        <v>223112.6</v>
      </c>
      <c r="E11" s="8" t="n">
        <v>1222853.69</v>
      </c>
      <c r="F11" s="8" t="n">
        <v>93377.19</v>
      </c>
      <c r="G11" s="8" t="n">
        <v>76982.24</v>
      </c>
      <c r="H11" s="8" t="n">
        <v>287772.52</v>
      </c>
      <c r="I11" s="8" t="n">
        <v>27214.94</v>
      </c>
      <c r="J11" s="8" t="n">
        <v>576465.66</v>
      </c>
      <c r="K11" s="9" t="n">
        <f aca="false">C11-D11</f>
        <v>512048.89</v>
      </c>
      <c r="L11" s="9" t="n">
        <f aca="false">B11-C11-F11-J11</f>
        <v>8187371.8135</v>
      </c>
    </row>
    <row r="12" customFormat="false" ht="15" hidden="false" customHeight="false" outlineLevel="0" collapsed="false">
      <c r="A12" s="7" t="n">
        <v>43707</v>
      </c>
      <c r="B12" s="8" t="n">
        <v>9617761.8337</v>
      </c>
      <c r="C12" s="8" t="n">
        <v>770593.19</v>
      </c>
      <c r="D12" s="8" t="n">
        <v>237205.49</v>
      </c>
      <c r="E12" s="8" t="n">
        <v>1236210.9</v>
      </c>
      <c r="F12" s="8" t="n">
        <v>96972.74</v>
      </c>
      <c r="G12" s="8" t="n">
        <v>78532.42</v>
      </c>
      <c r="H12" s="8" t="n">
        <v>289025.36</v>
      </c>
      <c r="I12" s="8" t="n">
        <v>27598.38</v>
      </c>
      <c r="J12" s="8" t="n">
        <v>582919.99</v>
      </c>
      <c r="K12" s="9" t="n">
        <f aca="false">C12-D12</f>
        <v>533387.7</v>
      </c>
      <c r="L12" s="9" t="n">
        <f aca="false">B12-C12-F12-J12</f>
        <v>8167275.9137</v>
      </c>
    </row>
    <row r="13" customFormat="false" ht="15" hidden="false" customHeight="false" outlineLevel="0" collapsed="false">
      <c r="A13" s="7" t="n">
        <v>43735</v>
      </c>
      <c r="B13" s="8" t="n">
        <v>9706768.78619</v>
      </c>
      <c r="C13" s="8" t="n">
        <v>799158.88</v>
      </c>
      <c r="D13" s="8" t="n">
        <v>237097.79</v>
      </c>
      <c r="E13" s="8" t="n">
        <v>1255411.17</v>
      </c>
      <c r="F13" s="8" t="n">
        <v>98607.5</v>
      </c>
      <c r="G13" s="8" t="n">
        <v>79031.06</v>
      </c>
      <c r="H13" s="8" t="n">
        <v>289152.97</v>
      </c>
      <c r="I13" s="8" t="n">
        <v>28828.15</v>
      </c>
      <c r="J13" s="8" t="n">
        <v>592686.02</v>
      </c>
      <c r="K13" s="9" t="n">
        <f aca="false">C13-D13</f>
        <v>562061.09</v>
      </c>
      <c r="L13" s="9" t="n">
        <f aca="false">B13-C13-F13-J13</f>
        <v>8216316.38619</v>
      </c>
    </row>
    <row r="14" customFormat="false" ht="15" hidden="false" customHeight="false" outlineLevel="0" collapsed="false">
      <c r="A14" s="7" t="n">
        <v>43763</v>
      </c>
      <c r="B14" s="8" t="n">
        <v>9770783.7037</v>
      </c>
      <c r="C14" s="8" t="n">
        <v>814566.33</v>
      </c>
      <c r="D14" s="8" t="n">
        <v>236725.99</v>
      </c>
      <c r="E14" s="8" t="n">
        <v>1295242.23</v>
      </c>
      <c r="F14" s="8" t="n">
        <v>113798.86</v>
      </c>
      <c r="G14" s="8" t="n">
        <v>78159.44</v>
      </c>
      <c r="H14" s="8" t="n">
        <v>322367.84</v>
      </c>
      <c r="I14" s="8" t="n">
        <v>28926.07</v>
      </c>
      <c r="J14" s="8" t="n">
        <v>638002.26</v>
      </c>
      <c r="K14" s="9" t="n">
        <f aca="false">C14-D14</f>
        <v>577840.34</v>
      </c>
      <c r="L14" s="9" t="n">
        <f aca="false">B14-C14-F14-J14</f>
        <v>8204416.2537</v>
      </c>
    </row>
    <row r="15" customFormat="false" ht="15" hidden="false" customHeight="false" outlineLevel="0" collapsed="false">
      <c r="A15" s="7" t="n">
        <v>43791</v>
      </c>
      <c r="B15" s="8" t="n">
        <v>9768998.55996</v>
      </c>
      <c r="C15" s="8" t="n">
        <v>836140.62</v>
      </c>
      <c r="D15" s="8" t="n">
        <v>234586.59</v>
      </c>
      <c r="E15" s="8" t="n">
        <v>1302222.9</v>
      </c>
      <c r="F15" s="8" t="n">
        <v>114898.72</v>
      </c>
      <c r="G15" s="8" t="n">
        <v>77620.36</v>
      </c>
      <c r="H15" s="8" t="n">
        <v>323778.44</v>
      </c>
      <c r="I15" s="8" t="n">
        <v>29276.84</v>
      </c>
      <c r="J15" s="8" t="n">
        <v>646255.22</v>
      </c>
      <c r="K15" s="9" t="n">
        <f aca="false">C15-D15</f>
        <v>601554.03</v>
      </c>
      <c r="L15" s="9" t="n">
        <f aca="false">B15-C15-F15-J15</f>
        <v>8171703.99996</v>
      </c>
    </row>
    <row r="16" customFormat="false" ht="15" hidden="false" customHeight="false" outlineLevel="0" collapsed="false">
      <c r="A16" s="7" t="n">
        <v>43819</v>
      </c>
      <c r="B16" s="8" t="n">
        <v>9952589.6138</v>
      </c>
      <c r="C16" s="8" t="n">
        <v>846292.74</v>
      </c>
      <c r="D16" s="8" t="n">
        <v>245396.5</v>
      </c>
      <c r="E16" s="8" t="n">
        <v>1303749.87</v>
      </c>
      <c r="F16" s="8" t="n">
        <v>115188.48</v>
      </c>
      <c r="G16" s="8" t="n">
        <v>78324.08</v>
      </c>
      <c r="H16" s="8" t="n">
        <v>325253.36</v>
      </c>
      <c r="I16" s="8" t="n">
        <v>29104.55</v>
      </c>
      <c r="J16" s="8" t="n">
        <v>663953.27</v>
      </c>
      <c r="K16" s="9" t="n">
        <f aca="false">C16-D16</f>
        <v>600896.24</v>
      </c>
      <c r="L16" s="9" t="n">
        <f aca="false">B16-C16-F16-J16</f>
        <v>8327155.1238</v>
      </c>
    </row>
    <row r="17" customFormat="false" ht="15" hidden="false" customHeight="false" outlineLevel="0" collapsed="false">
      <c r="A17" s="7" t="n">
        <v>43861</v>
      </c>
      <c r="B17" s="8" t="n">
        <v>10026276.38551</v>
      </c>
      <c r="C17" s="8" t="n">
        <v>842900.25</v>
      </c>
      <c r="D17" s="8" t="n">
        <v>234526.73</v>
      </c>
      <c r="E17" s="8" t="n">
        <v>1341242.32</v>
      </c>
      <c r="F17" s="8" t="n">
        <v>122125.57</v>
      </c>
      <c r="G17" s="8" t="n">
        <v>79499.71</v>
      </c>
      <c r="H17" s="8" t="n">
        <v>336405.85</v>
      </c>
      <c r="I17" s="8" t="n">
        <v>31862.76</v>
      </c>
      <c r="J17" s="8" t="n">
        <v>682867.25</v>
      </c>
      <c r="K17" s="9" t="n">
        <f aca="false">C17-D17</f>
        <v>608373.52</v>
      </c>
      <c r="L17" s="9" t="n">
        <f aca="false">B17-C17-F17-J17</f>
        <v>8378383.31551</v>
      </c>
    </row>
    <row r="18" customFormat="false" ht="15" hidden="false" customHeight="false" outlineLevel="0" collapsed="false">
      <c r="A18" s="7" t="n">
        <v>43889</v>
      </c>
      <c r="B18" s="8" t="n">
        <v>10039269.94986</v>
      </c>
      <c r="C18" s="8" t="n">
        <v>820315.42</v>
      </c>
      <c r="D18" s="8" t="n">
        <v>232302.42</v>
      </c>
      <c r="E18" s="8" t="n">
        <v>1350946.76</v>
      </c>
      <c r="F18" s="8" t="n">
        <v>122774.86</v>
      </c>
      <c r="G18" s="8" t="n">
        <v>79124.99</v>
      </c>
      <c r="H18" s="8" t="n">
        <v>336779.21</v>
      </c>
      <c r="I18" s="8" t="n">
        <v>31785.93</v>
      </c>
      <c r="J18" s="8" t="n">
        <v>694918.67</v>
      </c>
      <c r="K18" s="9" t="n">
        <f aca="false">C18-D18</f>
        <v>588013</v>
      </c>
      <c r="L18" s="9" t="n">
        <f aca="false">B18-C18-F18-J18</f>
        <v>8401260.99986</v>
      </c>
    </row>
    <row r="19" customFormat="false" ht="15" hidden="false" customHeight="false" outlineLevel="0" collapsed="false">
      <c r="A19" s="7" t="n">
        <v>43917</v>
      </c>
      <c r="B19" s="8" t="n">
        <v>10319096.71312</v>
      </c>
      <c r="C19" s="8" t="n">
        <v>950900.73</v>
      </c>
      <c r="D19" s="8" t="n">
        <v>249478.05</v>
      </c>
      <c r="E19" s="8" t="n">
        <v>1361880.1</v>
      </c>
      <c r="F19" s="8" t="n">
        <v>119914.21</v>
      </c>
      <c r="G19" s="8" t="n">
        <v>77871.8</v>
      </c>
      <c r="H19" s="8" t="n">
        <v>339518.89</v>
      </c>
      <c r="I19" s="8" t="n">
        <v>33256.93</v>
      </c>
      <c r="J19" s="8" t="n">
        <v>694050.54</v>
      </c>
      <c r="K19" s="9" t="n">
        <f aca="false">C19-D19</f>
        <v>701422.68</v>
      </c>
      <c r="L19" s="9" t="n">
        <f aca="false">B19-C19-F19-J19</f>
        <v>8554231.23312</v>
      </c>
    </row>
    <row r="20" customFormat="false" ht="15" hidden="false" customHeight="false" outlineLevel="0" collapsed="false">
      <c r="A20" s="7" t="n">
        <v>43945</v>
      </c>
      <c r="B20" s="8" t="n">
        <v>10220772.36664</v>
      </c>
      <c r="C20" s="8" t="n">
        <v>898191.55</v>
      </c>
      <c r="D20" s="8" t="n">
        <v>252005.27</v>
      </c>
      <c r="E20" s="8" t="n">
        <v>1364704.23</v>
      </c>
      <c r="F20" s="8" t="n">
        <v>108096.43</v>
      </c>
      <c r="G20" s="8" t="n">
        <v>77290.26</v>
      </c>
      <c r="H20" s="8" t="n">
        <v>334649.13</v>
      </c>
      <c r="I20" s="8" t="n">
        <v>33374.38</v>
      </c>
      <c r="J20" s="8" t="n">
        <v>669709.34</v>
      </c>
      <c r="K20" s="9" t="n">
        <f aca="false">C20-D20</f>
        <v>646186.28</v>
      </c>
      <c r="L20" s="9" t="n">
        <f aca="false">B20-C20-F20-J20</f>
        <v>8544775.04664</v>
      </c>
    </row>
    <row r="21" customFormat="false" ht="15" hidden="false" customHeight="false" outlineLevel="0" collapsed="false">
      <c r="A21" s="7" t="n">
        <v>43973</v>
      </c>
      <c r="B21" s="8" t="n">
        <v>10143336.9429</v>
      </c>
      <c r="C21" s="8" t="n">
        <v>892632.63</v>
      </c>
      <c r="D21" s="8" t="n">
        <v>254106.71</v>
      </c>
      <c r="E21" s="8" t="n">
        <v>1353527.62</v>
      </c>
      <c r="F21" s="8" t="n">
        <v>103697.49</v>
      </c>
      <c r="G21" s="8" t="n">
        <v>77946.3</v>
      </c>
      <c r="H21" s="8" t="n">
        <v>329330.22</v>
      </c>
      <c r="I21" s="8" t="n">
        <v>33641.82</v>
      </c>
      <c r="J21" s="8" t="n">
        <v>659323.21</v>
      </c>
      <c r="K21" s="9" t="n">
        <f aca="false">C21-D21</f>
        <v>638525.92</v>
      </c>
      <c r="L21" s="9" t="n">
        <f aca="false">B21-C21-F21-J21</f>
        <v>8487683.6129</v>
      </c>
    </row>
    <row r="22" customFormat="false" ht="15" hidden="false" customHeight="false" outlineLevel="0" collapsed="false">
      <c r="A22" s="7" t="n">
        <v>44001</v>
      </c>
      <c r="B22" s="8" t="n">
        <v>10156388.48013</v>
      </c>
      <c r="C22" s="8" t="n">
        <v>884343.91</v>
      </c>
      <c r="D22" s="8" t="n">
        <v>253260.07</v>
      </c>
      <c r="E22" s="8" t="n">
        <v>1360211.3</v>
      </c>
      <c r="F22" s="8" t="n">
        <v>108672.19</v>
      </c>
      <c r="G22" s="8" t="n">
        <v>77777.93</v>
      </c>
      <c r="H22" s="8" t="n">
        <v>328959.94</v>
      </c>
      <c r="I22" s="8" t="n">
        <v>35245.34</v>
      </c>
      <c r="J22" s="8" t="n">
        <v>657824.04</v>
      </c>
      <c r="K22" s="9" t="n">
        <f aca="false">C22-D22</f>
        <v>631083.84</v>
      </c>
      <c r="L22" s="9" t="n">
        <f aca="false">B22-C22-F22-J22</f>
        <v>8505548.34013</v>
      </c>
    </row>
    <row r="23" customFormat="false" ht="15" hidden="false" customHeight="false" outlineLevel="0" collapsed="false">
      <c r="A23" s="7" t="n">
        <v>44043</v>
      </c>
      <c r="B23" s="8" t="n">
        <v>10202769.38798</v>
      </c>
      <c r="C23" s="8" t="n">
        <v>878010.69</v>
      </c>
      <c r="D23" s="8" t="n">
        <v>246549.79</v>
      </c>
      <c r="E23" s="8" t="n">
        <v>1375160.94</v>
      </c>
      <c r="F23" s="8" t="n">
        <v>112967.52</v>
      </c>
      <c r="G23" s="8" t="n">
        <v>78462.65</v>
      </c>
      <c r="H23" s="8" t="n">
        <v>334225.34</v>
      </c>
      <c r="I23" s="8" t="n">
        <v>38631.98</v>
      </c>
      <c r="J23" s="8" t="n">
        <v>677378.09</v>
      </c>
      <c r="K23" s="9" t="n">
        <f aca="false">C23-D23</f>
        <v>631460.9</v>
      </c>
      <c r="L23" s="9" t="n">
        <f aca="false">B23-C23-F23-J23</f>
        <v>8534413.08798</v>
      </c>
    </row>
    <row r="24" customFormat="false" ht="15" hidden="false" customHeight="false" outlineLevel="0" collapsed="false">
      <c r="A24" s="7" t="n">
        <v>44071</v>
      </c>
      <c r="B24" s="8" t="n">
        <v>10150216.56843</v>
      </c>
      <c r="C24" s="8" t="n">
        <v>872859.58</v>
      </c>
      <c r="D24" s="8" t="n">
        <v>265377.54</v>
      </c>
      <c r="E24" s="8" t="n">
        <v>1373864.26</v>
      </c>
      <c r="F24" s="8" t="n">
        <v>116875.93</v>
      </c>
      <c r="G24" s="8" t="n">
        <v>78705.69</v>
      </c>
      <c r="H24" s="8" t="n">
        <v>335125.18</v>
      </c>
      <c r="I24" s="8" t="n">
        <v>41812.14</v>
      </c>
      <c r="J24" s="8" t="n">
        <v>678063.15</v>
      </c>
      <c r="K24" s="9" t="n">
        <f aca="false">C24-D24</f>
        <v>607482.04</v>
      </c>
      <c r="L24" s="9" t="n">
        <f aca="false">B24-C24-F24-J24</f>
        <v>8482417.90843</v>
      </c>
    </row>
    <row r="25" customFormat="false" ht="15" hidden="false" customHeight="false" outlineLevel="0" collapsed="false">
      <c r="A25" s="7" t="n">
        <v>44099</v>
      </c>
      <c r="B25" s="8" t="n">
        <v>10205154.15793</v>
      </c>
      <c r="C25" s="8" t="n">
        <v>893375.68</v>
      </c>
      <c r="D25" s="8" t="n">
        <v>257214.95</v>
      </c>
      <c r="E25" s="8" t="n">
        <v>1386716.31</v>
      </c>
      <c r="F25" s="8" t="n">
        <v>118161.34</v>
      </c>
      <c r="G25" s="8" t="n">
        <v>79293.84</v>
      </c>
      <c r="H25" s="8" t="n">
        <v>336497.11</v>
      </c>
      <c r="I25" s="8" t="n">
        <v>46700.66</v>
      </c>
      <c r="J25" s="8" t="n">
        <v>683360.02</v>
      </c>
      <c r="K25" s="9" t="n">
        <f aca="false">C25-D25</f>
        <v>636160.73</v>
      </c>
      <c r="L25" s="9" t="n">
        <f aca="false">B25-C25-F25-J25</f>
        <v>8510257.11793</v>
      </c>
    </row>
    <row r="26" customFormat="false" ht="15" hidden="false" customHeight="false" outlineLevel="0" collapsed="false">
      <c r="A26" s="7" t="n">
        <v>44127</v>
      </c>
      <c r="B26" s="8" t="n">
        <v>10272208.86781</v>
      </c>
      <c r="C26" s="8" t="n">
        <v>868992.24</v>
      </c>
      <c r="D26" s="8" t="n">
        <v>251870.65</v>
      </c>
      <c r="E26" s="8" t="n">
        <v>1399589</v>
      </c>
      <c r="F26" s="8" t="n">
        <v>123174.46</v>
      </c>
      <c r="G26" s="8" t="n">
        <v>79909.27</v>
      </c>
      <c r="H26" s="8" t="n">
        <v>343228.41</v>
      </c>
      <c r="I26" s="8" t="n">
        <v>52865.94</v>
      </c>
      <c r="J26" s="8" t="n">
        <v>701821.15</v>
      </c>
      <c r="K26" s="9" t="n">
        <f aca="false">C26-D26</f>
        <v>617121.59</v>
      </c>
      <c r="L26" s="9" t="n">
        <f aca="false">B26-C26-F26-J26</f>
        <v>8578221.01781</v>
      </c>
    </row>
    <row r="27" customFormat="false" ht="15" hidden="false" customHeight="false" outlineLevel="0" collapsed="false">
      <c r="A27" s="7" t="n">
        <v>44155</v>
      </c>
      <c r="B27" s="8" t="n">
        <v>10345924.05296</v>
      </c>
      <c r="C27" s="8" t="n">
        <v>863632.09</v>
      </c>
      <c r="D27" s="8" t="n">
        <v>251986.4</v>
      </c>
      <c r="E27" s="8" t="n">
        <v>1411947.07</v>
      </c>
      <c r="F27" s="8" t="n">
        <v>127682.73</v>
      </c>
      <c r="G27" s="8" t="n">
        <v>79752.83</v>
      </c>
      <c r="H27" s="8" t="n">
        <v>350289.34</v>
      </c>
      <c r="I27" s="8" t="n">
        <v>57453.23</v>
      </c>
      <c r="J27" s="8" t="n">
        <v>708135.43</v>
      </c>
      <c r="K27" s="9" t="n">
        <f aca="false">C27-D27</f>
        <v>611645.69</v>
      </c>
      <c r="L27" s="9" t="n">
        <f aca="false">B27-C27-F27-J27</f>
        <v>8646473.80296</v>
      </c>
    </row>
    <row r="28" customFormat="false" ht="15" hidden="false" customHeight="false" outlineLevel="0" collapsed="false">
      <c r="A28" s="7" t="n">
        <v>44183</v>
      </c>
      <c r="B28" s="8" t="n">
        <v>10610052.47069</v>
      </c>
      <c r="C28" s="8" t="n">
        <v>880376.48</v>
      </c>
      <c r="D28" s="8" t="n">
        <v>249605.29</v>
      </c>
      <c r="E28" s="8" t="n">
        <v>1426529.22</v>
      </c>
      <c r="F28" s="8" t="n">
        <v>123747.93</v>
      </c>
      <c r="G28" s="8" t="n">
        <v>79502.85</v>
      </c>
      <c r="H28" s="8" t="n">
        <v>353785.98</v>
      </c>
      <c r="I28" s="8" t="n">
        <v>62087.96</v>
      </c>
      <c r="J28" s="8" t="n">
        <v>716642.76</v>
      </c>
      <c r="K28" s="9" t="n">
        <f aca="false">C28-D28</f>
        <v>630771.19</v>
      </c>
      <c r="L28" s="9" t="n">
        <f aca="false">B28-C28-F28-J28</f>
        <v>8889285.30069</v>
      </c>
    </row>
    <row r="29" customFormat="false" ht="15" hidden="false" customHeight="false" outlineLevel="0" collapsed="false">
      <c r="A29" s="7" t="n">
        <v>44225</v>
      </c>
      <c r="B29" s="8" t="n">
        <v>10616642.83006</v>
      </c>
      <c r="C29" s="8" t="n">
        <v>906094.54</v>
      </c>
      <c r="D29" s="8" t="n">
        <v>271629.94</v>
      </c>
      <c r="E29" s="8" t="n">
        <v>1467467.01</v>
      </c>
      <c r="F29" s="8" t="n">
        <v>136046.06</v>
      </c>
      <c r="G29" s="8" t="n">
        <v>79950.86</v>
      </c>
      <c r="H29" s="8" t="n">
        <v>362419.16</v>
      </c>
      <c r="I29" s="8" t="n">
        <v>68164.36</v>
      </c>
      <c r="J29" s="8" t="n">
        <v>741526.11</v>
      </c>
      <c r="K29" s="9" t="n">
        <f aca="false">C29-D29</f>
        <v>634464.6</v>
      </c>
      <c r="L29" s="9" t="n">
        <f aca="false">B29-C29-F29-J29</f>
        <v>8832976.12006</v>
      </c>
    </row>
    <row r="30" customFormat="false" ht="15" hidden="false" customHeight="false" outlineLevel="0" collapsed="false">
      <c r="A30" s="7" t="n">
        <v>44253</v>
      </c>
      <c r="B30" s="8" t="n">
        <v>10699536.48194</v>
      </c>
      <c r="C30" s="8" t="n">
        <v>887223.775142</v>
      </c>
      <c r="D30" s="8" t="n">
        <v>261058.296104</v>
      </c>
      <c r="E30" s="8" t="n">
        <v>1487434.408182</v>
      </c>
      <c r="F30" s="8" t="n">
        <v>136506.752133</v>
      </c>
      <c r="G30" s="8" t="n">
        <v>79343.003596</v>
      </c>
      <c r="H30" s="8" t="n">
        <v>366264.157562</v>
      </c>
      <c r="I30" s="8" t="n">
        <v>71608.375995</v>
      </c>
      <c r="J30" s="8" t="n">
        <v>765971.943001</v>
      </c>
      <c r="K30" s="9" t="n">
        <f aca="false">C30-D30</f>
        <v>626165.479038</v>
      </c>
      <c r="L30" s="9" t="n">
        <f aca="false">B30-C30-F30-J30</f>
        <v>8909834.011664</v>
      </c>
    </row>
    <row r="31" customFormat="false" ht="15" hidden="false" customHeight="false" outlineLevel="0" collapsed="false">
      <c r="A31" s="7" t="n">
        <v>44281</v>
      </c>
      <c r="B31" s="8" t="n">
        <v>10888254.62</v>
      </c>
      <c r="C31" s="8" t="n">
        <v>948567.5475</v>
      </c>
      <c r="D31" s="8" t="n">
        <v>284469.3284</v>
      </c>
      <c r="E31" s="8" t="n">
        <v>1492302.431</v>
      </c>
      <c r="F31" s="8" t="n">
        <v>131704.252</v>
      </c>
      <c r="G31" s="8" t="n">
        <v>78130.8427</v>
      </c>
      <c r="H31" s="8" t="n">
        <v>368412.4502</v>
      </c>
      <c r="I31" s="8" t="n">
        <v>75048.58529</v>
      </c>
      <c r="J31" s="8" t="n">
        <v>762821.1029</v>
      </c>
      <c r="K31" s="9" t="n">
        <f aca="false">C31-D31</f>
        <v>664098.2191</v>
      </c>
      <c r="L31" s="9" t="n">
        <f aca="false">B31-C31-F31-J31</f>
        <v>9045161.7176</v>
      </c>
    </row>
    <row r="32" customFormat="false" ht="15" hidden="false" customHeight="false" outlineLevel="0" collapsed="false">
      <c r="A32" s="7" t="n">
        <v>44309</v>
      </c>
      <c r="B32" s="8" t="n">
        <v>10802150.48617</v>
      </c>
      <c r="C32" s="8" t="n">
        <v>919601.390372</v>
      </c>
      <c r="D32" s="8" t="n">
        <v>283958.571774</v>
      </c>
      <c r="E32" s="8" t="n">
        <v>1545273.364048</v>
      </c>
      <c r="F32" s="8" t="n">
        <v>133277.291697</v>
      </c>
      <c r="G32" s="8" t="n">
        <v>78878.052012</v>
      </c>
      <c r="H32" s="8" t="n">
        <v>374724.906517</v>
      </c>
      <c r="I32" s="8" t="n">
        <v>77784.14201</v>
      </c>
      <c r="J32" s="8" t="n">
        <v>766684.482937</v>
      </c>
      <c r="K32" s="9" t="n">
        <f aca="false">C32-D32</f>
        <v>635642.818598</v>
      </c>
      <c r="L32" s="9" t="n">
        <f aca="false">B32-C32-F32-J32</f>
        <v>8982587.321164</v>
      </c>
    </row>
    <row r="33" customFormat="false" ht="15" hidden="false" customHeight="false" outlineLevel="0" collapsed="false">
      <c r="A33" s="7" t="n">
        <v>44337</v>
      </c>
      <c r="B33" s="8" t="n">
        <v>10740558.56883</v>
      </c>
      <c r="C33" s="8" t="n">
        <v>901963.62187</v>
      </c>
      <c r="D33" s="8" t="n">
        <v>276449.585126</v>
      </c>
      <c r="E33" s="8" t="n">
        <v>1542456.012442</v>
      </c>
      <c r="F33" s="8" t="n">
        <v>123553.971542</v>
      </c>
      <c r="G33" s="8" t="n">
        <v>78637.26521</v>
      </c>
      <c r="H33" s="8" t="n">
        <v>368741.725582</v>
      </c>
      <c r="I33" s="8" t="n">
        <v>77190.600108</v>
      </c>
      <c r="J33" s="8" t="n">
        <v>767159.146967</v>
      </c>
      <c r="K33" s="9" t="n">
        <f aca="false">C33-D33</f>
        <v>625514.036744</v>
      </c>
      <c r="L33" s="9" t="n">
        <f aca="false">B33-C33-F33-J33</f>
        <v>8947881.828451</v>
      </c>
    </row>
    <row r="34" customFormat="false" ht="15" hidden="false" customHeight="false" outlineLevel="0" collapsed="false">
      <c r="A34" s="7" t="n">
        <v>44365</v>
      </c>
      <c r="B34" s="8" t="n">
        <v>10845377</v>
      </c>
      <c r="C34" s="8" t="n">
        <v>902843.904764</v>
      </c>
      <c r="D34" s="8" t="n">
        <v>273554.705126</v>
      </c>
      <c r="E34" s="8" t="n">
        <v>1552383.060472</v>
      </c>
      <c r="F34" s="8" t="n">
        <v>122211.251544</v>
      </c>
      <c r="G34" s="8" t="n">
        <v>78766.958006</v>
      </c>
      <c r="H34" s="8" t="n">
        <v>365462.684835</v>
      </c>
      <c r="I34" s="8" t="n">
        <v>75647.929311</v>
      </c>
      <c r="J34" s="8" t="n">
        <v>761082.511993</v>
      </c>
      <c r="K34" s="9" t="n">
        <f aca="false">C34-D34</f>
        <v>629289.199638</v>
      </c>
      <c r="L34" s="9" t="n">
        <f aca="false">B34-C34-F34-J34</f>
        <v>9059239.331699</v>
      </c>
    </row>
    <row r="35" customFormat="false" ht="15" hidden="false" customHeight="false" outlineLevel="0" collapsed="false">
      <c r="A35" s="7" t="n">
        <v>44407</v>
      </c>
      <c r="B35" s="8" t="n">
        <v>10833089.12961</v>
      </c>
      <c r="C35" s="8" t="n">
        <v>903954.938801</v>
      </c>
      <c r="D35" s="8" t="n">
        <v>275312.06</v>
      </c>
      <c r="E35" s="8" t="n">
        <v>1564149.72708</v>
      </c>
      <c r="F35" s="8" t="n">
        <v>132366.801385</v>
      </c>
      <c r="G35" s="8" t="n">
        <v>78949.366195</v>
      </c>
      <c r="H35" s="8" t="n">
        <v>370247.457975</v>
      </c>
      <c r="I35" s="8" t="n">
        <v>74359.112506</v>
      </c>
      <c r="J35" s="8" t="n">
        <v>786638.934384</v>
      </c>
      <c r="K35" s="9" t="n">
        <f aca="false">C35-D35</f>
        <v>628642.878801</v>
      </c>
      <c r="L35" s="9" t="n">
        <f aca="false">B35-C35-F35-J35</f>
        <v>9010128.45504</v>
      </c>
    </row>
    <row r="36" customFormat="false" ht="15" hidden="false" customHeight="false" outlineLevel="0" collapsed="false">
      <c r="A36" s="7" t="n">
        <v>44435</v>
      </c>
      <c r="B36" s="8" t="n">
        <v>10828800.45207</v>
      </c>
      <c r="C36" s="8" t="n">
        <v>886891.605223</v>
      </c>
      <c r="D36" s="8" t="n">
        <v>272763.39</v>
      </c>
      <c r="E36" s="8" t="n">
        <v>1576888.88194</v>
      </c>
      <c r="F36" s="8" t="n">
        <v>137275.501224</v>
      </c>
      <c r="G36" s="8" t="n">
        <v>80073.844651</v>
      </c>
      <c r="H36" s="8" t="n">
        <v>374202.849926</v>
      </c>
      <c r="I36" s="8" t="n">
        <v>73158.976095</v>
      </c>
      <c r="J36" s="8" t="n">
        <v>796285.886908</v>
      </c>
      <c r="K36" s="9" t="n">
        <f aca="false">C36-D36</f>
        <v>614128.215223</v>
      </c>
      <c r="L36" s="9" t="n">
        <f aca="false">B36-C36-F36-J36</f>
        <v>9008347.458715</v>
      </c>
    </row>
    <row r="37" customFormat="false" ht="15" hidden="false" customHeight="false" outlineLevel="0" collapsed="false">
      <c r="A37" s="7" t="n">
        <v>44463</v>
      </c>
      <c r="B37" s="8" t="n">
        <v>10894475.04652</v>
      </c>
      <c r="C37" s="8" t="n">
        <v>881104.625543</v>
      </c>
      <c r="D37" s="8" t="n">
        <v>265299.56</v>
      </c>
      <c r="E37" s="8" t="n">
        <v>1600712.412333</v>
      </c>
      <c r="F37" s="8" t="n">
        <v>137276.731062</v>
      </c>
      <c r="G37" s="8" t="n">
        <v>81386.16451</v>
      </c>
      <c r="H37" s="8" t="n">
        <v>376980.365678</v>
      </c>
      <c r="I37" s="8" t="n">
        <v>73100.76279</v>
      </c>
      <c r="J37" s="8" t="n">
        <v>802776.743113</v>
      </c>
      <c r="K37" s="9" t="n">
        <f aca="false">C37-D37</f>
        <v>615805.065543</v>
      </c>
      <c r="L37" s="9" t="n">
        <f aca="false">B37-C37-F37-J37</f>
        <v>9073316.946802</v>
      </c>
    </row>
    <row r="38" customFormat="false" ht="15" hidden="false" customHeight="false" outlineLevel="0" collapsed="false">
      <c r="A38" s="7" t="n">
        <v>44491</v>
      </c>
      <c r="B38" s="8" t="n">
        <v>10980921.67259</v>
      </c>
      <c r="C38" s="8" t="n">
        <v>900098.812362</v>
      </c>
      <c r="D38" s="8" t="n">
        <v>263999.4</v>
      </c>
      <c r="E38" s="8" t="n">
        <v>1616878.815803</v>
      </c>
      <c r="F38" s="8" t="n">
        <v>145373.700898</v>
      </c>
      <c r="G38" s="8" t="n">
        <v>81980.35617</v>
      </c>
      <c r="H38" s="8" t="n">
        <v>380059.038571</v>
      </c>
      <c r="I38" s="8" t="n">
        <v>73361.703612</v>
      </c>
      <c r="J38" s="8" t="n">
        <v>819495.862517</v>
      </c>
      <c r="K38" s="9" t="n">
        <f aca="false">C38-D38</f>
        <v>636099.412362</v>
      </c>
      <c r="L38" s="9" t="n">
        <f aca="false">B38-C38-F38-J38</f>
        <v>9115953.296813</v>
      </c>
    </row>
    <row r="39" customFormat="false" ht="15" hidden="false" customHeight="false" outlineLevel="0" collapsed="false">
      <c r="A39" s="7" t="n">
        <v>44519</v>
      </c>
      <c r="B39" s="8" t="n">
        <v>11079778.15978</v>
      </c>
      <c r="C39" s="8" t="n">
        <v>928482.561237</v>
      </c>
      <c r="D39" s="8" t="n">
        <v>269371.96</v>
      </c>
      <c r="E39" s="8" t="n">
        <v>1635989.7901</v>
      </c>
      <c r="F39" s="8" t="n">
        <v>144945.080732</v>
      </c>
      <c r="G39" s="8" t="n">
        <v>81520.012373</v>
      </c>
      <c r="H39" s="8" t="n">
        <v>384422.450963</v>
      </c>
      <c r="I39" s="8" t="n">
        <v>72087.006351</v>
      </c>
      <c r="J39" s="8" t="n">
        <v>835303.752361</v>
      </c>
      <c r="K39" s="9" t="n">
        <f aca="false">C39-D39</f>
        <v>659110.601237</v>
      </c>
      <c r="L39" s="9" t="n">
        <f aca="false">B39-C39-F39-J39</f>
        <v>9171046.76545</v>
      </c>
    </row>
    <row r="40" customFormat="false" ht="15" hidden="false" customHeight="false" outlineLevel="0" collapsed="false">
      <c r="A40" s="7" t="n">
        <v>44561</v>
      </c>
      <c r="B40" s="8" t="n">
        <v>11493407.3094</v>
      </c>
      <c r="C40" s="8" t="n">
        <v>985651.150129</v>
      </c>
      <c r="D40" s="8" t="n">
        <v>271762.68</v>
      </c>
      <c r="E40" s="8" t="n">
        <v>1685085.57665</v>
      </c>
      <c r="F40" s="8" t="n">
        <v>148129.610563</v>
      </c>
      <c r="G40" s="8" t="n">
        <v>82857.511945</v>
      </c>
      <c r="H40" s="8" t="n">
        <v>390806.143766</v>
      </c>
      <c r="I40" s="8" t="n">
        <v>76669.250532</v>
      </c>
      <c r="J40" s="8" t="n">
        <v>861457.86238</v>
      </c>
      <c r="K40" s="9" t="n">
        <f aca="false">C40-D40</f>
        <v>713888.470129</v>
      </c>
      <c r="L40" s="9" t="n">
        <f aca="false">B40-C40-F40-J40</f>
        <v>9498168.686328</v>
      </c>
    </row>
    <row r="41" customFormat="false" ht="15" hidden="false" customHeight="false" outlineLevel="0" collapsed="false">
      <c r="A41" s="7" t="n">
        <v>44589</v>
      </c>
      <c r="B41" s="8" t="n">
        <v>11386586.98226</v>
      </c>
      <c r="C41" s="8" t="n">
        <v>994283.391687</v>
      </c>
      <c r="D41" s="8" t="n">
        <v>276245.4</v>
      </c>
      <c r="E41" s="8" t="n">
        <v>1687058.340397</v>
      </c>
      <c r="F41" s="8" t="n">
        <v>150015.790393</v>
      </c>
      <c r="G41" s="8" t="n">
        <v>84004.914738</v>
      </c>
      <c r="H41" s="8" t="n">
        <v>398000.634227</v>
      </c>
      <c r="I41" s="8" t="n">
        <v>76009.633813</v>
      </c>
      <c r="J41" s="8" t="n">
        <v>862016.169053</v>
      </c>
      <c r="K41" s="9" t="n">
        <f aca="false">C41-D41</f>
        <v>718037.991687</v>
      </c>
      <c r="L41" s="9" t="n">
        <f aca="false">B41-C41-F41-J41</f>
        <v>9380271.631127</v>
      </c>
    </row>
    <row r="42" customFormat="false" ht="15" hidden="false" customHeight="false" outlineLevel="0" collapsed="false">
      <c r="A42" s="7" t="n">
        <v>44617</v>
      </c>
      <c r="B42" s="8" t="n">
        <v>11575492.66027</v>
      </c>
      <c r="C42" s="8" t="n">
        <v>1000861.74062</v>
      </c>
      <c r="D42" s="8" t="n">
        <v>277745.39</v>
      </c>
      <c r="E42" s="8" t="n">
        <v>1715070.966644</v>
      </c>
      <c r="F42" s="8" t="n">
        <v>150711.320221</v>
      </c>
      <c r="G42" s="8" t="n">
        <v>83822.829449</v>
      </c>
      <c r="H42" s="8" t="n">
        <v>403971.298024</v>
      </c>
      <c r="I42" s="8" t="n">
        <v>74022.087284</v>
      </c>
      <c r="J42" s="8" t="n">
        <v>882749.031984</v>
      </c>
      <c r="K42" s="9" t="n">
        <f aca="false">C42-D42</f>
        <v>723116.35062</v>
      </c>
      <c r="L42" s="9" t="n">
        <f aca="false">B42-C42-F42-J42</f>
        <v>9541170.567445</v>
      </c>
    </row>
    <row r="43" customFormat="false" ht="15" hidden="false" customHeight="false" outlineLevel="0" collapsed="false">
      <c r="A43" s="7" t="n">
        <v>44645</v>
      </c>
      <c r="B43" s="8" t="n">
        <v>11836303.72997</v>
      </c>
      <c r="C43" s="8" t="n">
        <v>1033470.142091</v>
      </c>
      <c r="D43" s="8" t="n">
        <v>286328.64</v>
      </c>
      <c r="E43" s="8" t="n">
        <v>1738472.953673</v>
      </c>
      <c r="F43" s="8" t="n">
        <v>154536.71</v>
      </c>
      <c r="G43" s="8" t="n">
        <v>83693.111119</v>
      </c>
      <c r="H43" s="8" t="n">
        <v>404755.893371</v>
      </c>
      <c r="I43" s="8" t="n">
        <v>74737.51046</v>
      </c>
      <c r="J43" s="8" t="n">
        <v>901595.162462</v>
      </c>
      <c r="K43" s="9" t="n">
        <f aca="false">C43-D43</f>
        <v>747141.502091</v>
      </c>
      <c r="L43" s="9" t="n">
        <f aca="false">B43-C43-F43-J43</f>
        <v>9746701.715417</v>
      </c>
    </row>
    <row r="44" customFormat="false" ht="15" hidden="false" customHeight="false" outlineLevel="0" collapsed="false">
      <c r="A44" s="7" t="n">
        <v>44673</v>
      </c>
      <c r="B44" s="8" t="n">
        <v>11913784.07382</v>
      </c>
      <c r="C44" s="8" t="n">
        <v>1049894.01911</v>
      </c>
      <c r="D44" s="8" t="n">
        <v>295286.69</v>
      </c>
      <c r="E44" s="8" t="n">
        <v>1760905.146049</v>
      </c>
      <c r="F44" s="8" t="n">
        <v>160810.62</v>
      </c>
      <c r="G44" s="8" t="n">
        <v>83551.429209</v>
      </c>
      <c r="H44" s="8" t="n">
        <v>415393.831545</v>
      </c>
      <c r="I44" s="8" t="n">
        <v>75168.646501</v>
      </c>
      <c r="J44" s="8" t="n">
        <v>928169.641535</v>
      </c>
      <c r="K44" s="9" t="n">
        <f aca="false">C44-D44</f>
        <v>754607.32911</v>
      </c>
      <c r="L44" s="9" t="n">
        <f aca="false">B44-C44-F44-J44</f>
        <v>9774909.793175</v>
      </c>
    </row>
    <row r="45" customFormat="false" ht="15" hidden="false" customHeight="false" outlineLevel="0" collapsed="false">
      <c r="A45" s="7" t="n">
        <v>44701</v>
      </c>
      <c r="B45" s="8" t="n">
        <v>12094492.69975</v>
      </c>
      <c r="C45" s="8" t="n">
        <v>1061611.070648</v>
      </c>
      <c r="D45" s="8" t="n">
        <v>298148.83</v>
      </c>
      <c r="E45" s="8" t="n">
        <v>1765894.852787</v>
      </c>
      <c r="F45" s="8" t="n">
        <v>161511.8</v>
      </c>
      <c r="G45" s="8" t="n">
        <v>83661.181483</v>
      </c>
      <c r="H45" s="8" t="n">
        <v>420301.169491</v>
      </c>
      <c r="I45" s="8" t="n">
        <v>78195.143488</v>
      </c>
      <c r="J45" s="8" t="n">
        <v>940762.526107</v>
      </c>
      <c r="K45" s="9" t="n">
        <f aca="false">C45-D45</f>
        <v>763462.240648</v>
      </c>
      <c r="L45" s="9" t="n">
        <f aca="false">B45-C45-F45-J45</f>
        <v>9930607.302995</v>
      </c>
    </row>
    <row r="46" customFormat="false" ht="15" hidden="false" customHeight="false" outlineLevel="0" collapsed="false">
      <c r="A46" s="7" t="n">
        <v>44729</v>
      </c>
      <c r="B46" s="8" t="n">
        <v>12345375.0509</v>
      </c>
      <c r="C46" s="8" t="n">
        <v>1064492.957202</v>
      </c>
      <c r="D46" s="8" t="n">
        <v>294178.62</v>
      </c>
      <c r="E46" s="8" t="n">
        <v>1788100.30967</v>
      </c>
      <c r="F46" s="8" t="n">
        <v>160908.53</v>
      </c>
      <c r="G46" s="8" t="n">
        <v>85220.095194</v>
      </c>
      <c r="H46" s="8" t="n">
        <v>427380.987268</v>
      </c>
      <c r="I46" s="8" t="n">
        <v>79517.474439</v>
      </c>
      <c r="J46" s="8" t="n">
        <v>949992.208347</v>
      </c>
      <c r="K46" s="9" t="n">
        <f aca="false">C46-D46</f>
        <v>770314.337202</v>
      </c>
      <c r="L46" s="9" t="n">
        <f aca="false">B46-C46-F46-J46</f>
        <v>10169981.355351</v>
      </c>
    </row>
    <row r="47" customFormat="false" ht="15" hidden="false" customHeight="false" outlineLevel="0" collapsed="false">
      <c r="A47" s="7" t="n">
        <v>44771</v>
      </c>
      <c r="B47" s="8" t="n">
        <v>12337005.50407</v>
      </c>
      <c r="C47" s="8" t="n">
        <v>1130651.537317</v>
      </c>
      <c r="D47" s="8" t="n">
        <v>316214.036</v>
      </c>
      <c r="E47" s="8" t="n">
        <v>1818409.843562</v>
      </c>
      <c r="F47" s="8" t="n">
        <v>170706.06</v>
      </c>
      <c r="G47" s="8" t="n">
        <v>86744.052529</v>
      </c>
      <c r="H47" s="8" t="n">
        <v>439373.326408</v>
      </c>
      <c r="I47" s="8" t="n">
        <v>81848.661586</v>
      </c>
      <c r="J47" s="8" t="n">
        <v>972813.148276</v>
      </c>
      <c r="K47" s="9" t="n">
        <f aca="false">C47-D47</f>
        <v>814437.501317</v>
      </c>
      <c r="L47" s="9" t="n">
        <f aca="false">B47-C47-F47-J47</f>
        <v>10062834.758477</v>
      </c>
    </row>
    <row r="48" customFormat="false" ht="15" hidden="false" customHeight="false" outlineLevel="0" collapsed="false">
      <c r="A48" s="7" t="n">
        <v>44799</v>
      </c>
      <c r="B48" s="8" t="n">
        <v>12430896.91222</v>
      </c>
      <c r="C48" s="8" t="n">
        <v>1121575.483834</v>
      </c>
      <c r="D48" s="8" t="n">
        <v>305481.768828</v>
      </c>
      <c r="E48" s="8" t="n">
        <v>1835334.041915</v>
      </c>
      <c r="F48" s="8" t="n">
        <v>175578.44</v>
      </c>
      <c r="G48" s="8" t="n">
        <v>89108.996636</v>
      </c>
      <c r="H48" s="8" t="n">
        <v>444945.499288</v>
      </c>
      <c r="I48" s="8" t="n">
        <v>82739.779494</v>
      </c>
      <c r="J48" s="8" t="n">
        <v>992359.417974</v>
      </c>
      <c r="K48" s="9" t="n">
        <f aca="false">C48-D48</f>
        <v>816093.715006</v>
      </c>
      <c r="L48" s="9" t="n">
        <f aca="false">B48-C48-F48-J48</f>
        <v>10141383.570412</v>
      </c>
    </row>
    <row r="49" customFormat="false" ht="15" hidden="false" customHeight="false" outlineLevel="0" collapsed="false">
      <c r="A49" s="7" t="n">
        <v>44827</v>
      </c>
      <c r="B49" s="8" t="n">
        <v>12608086.7859</v>
      </c>
      <c r="C49" s="8" t="n">
        <v>1145819.471332</v>
      </c>
      <c r="D49" s="8" t="n">
        <v>312402.585365</v>
      </c>
      <c r="E49" s="8" t="n">
        <v>1855855.345207</v>
      </c>
      <c r="F49" s="8" t="n">
        <v>175239.52</v>
      </c>
      <c r="G49" s="8" t="n">
        <v>91215.102818</v>
      </c>
      <c r="H49" s="8" t="n">
        <v>449341.748398</v>
      </c>
      <c r="I49" s="8" t="n">
        <v>85008.629121</v>
      </c>
      <c r="J49" s="8" t="n">
        <v>1014049.593815</v>
      </c>
      <c r="K49" s="9" t="n">
        <f aca="false">C49-D49</f>
        <v>833416.885967</v>
      </c>
      <c r="L49" s="9" t="n">
        <f aca="false">B49-C49-F49-J49</f>
        <v>10272978.200753</v>
      </c>
    </row>
    <row r="50" customFormat="false" ht="15" hidden="false" customHeight="false" outlineLevel="0" collapsed="false">
      <c r="A50" s="7" t="n">
        <v>44855</v>
      </c>
      <c r="B50" s="8" t="n">
        <v>12857749.30972</v>
      </c>
      <c r="C50" s="8" t="n">
        <v>1220565.023184</v>
      </c>
      <c r="D50" s="8" t="n">
        <v>315806.224541</v>
      </c>
      <c r="E50" s="8" t="n">
        <v>1876066.102924</v>
      </c>
      <c r="F50" s="8" t="n">
        <v>188032.94</v>
      </c>
      <c r="G50" s="8" t="n">
        <v>91863.188471</v>
      </c>
      <c r="H50" s="8" t="n">
        <v>460947.105135</v>
      </c>
      <c r="I50" s="8" t="n">
        <v>87275.556464</v>
      </c>
      <c r="J50" s="8" t="n">
        <v>1029938.981629</v>
      </c>
      <c r="K50" s="9" t="n">
        <f aca="false">C50-D50</f>
        <v>904758.798643</v>
      </c>
      <c r="L50" s="9" t="n">
        <f aca="false">B50-C50-F50-J50</f>
        <v>10419212.364907</v>
      </c>
    </row>
    <row r="51" customFormat="false" ht="15" hidden="false" customHeight="false" outlineLevel="0" collapsed="false">
      <c r="A51" s="7" t="n">
        <v>44883</v>
      </c>
      <c r="B51" s="8" t="n">
        <v>12895573.46946</v>
      </c>
      <c r="C51" s="8" t="n">
        <v>1229246.614588</v>
      </c>
      <c r="D51" s="8" t="n">
        <v>311895.409646</v>
      </c>
      <c r="E51" s="8" t="n">
        <v>1896122.977646</v>
      </c>
      <c r="F51" s="8" t="n">
        <v>182319.54</v>
      </c>
      <c r="G51" s="8" t="n">
        <v>91075.263798</v>
      </c>
      <c r="H51" s="8" t="n">
        <v>467706.320818</v>
      </c>
      <c r="I51" s="8" t="n">
        <v>85742.245088</v>
      </c>
      <c r="J51" s="8" t="n">
        <v>1042773.599971</v>
      </c>
      <c r="K51" s="9" t="n">
        <f aca="false">C51-D51</f>
        <v>917351.204942</v>
      </c>
      <c r="L51" s="9" t="n">
        <f aca="false">B51-C51-F51-J51</f>
        <v>10441233.714901</v>
      </c>
    </row>
    <row r="52" customFormat="false" ht="15" hidden="false" customHeight="false" outlineLevel="0" collapsed="false">
      <c r="A52" s="7" t="n">
        <v>44925</v>
      </c>
      <c r="B52" s="8" t="n">
        <v>13252880.62999</v>
      </c>
      <c r="C52" s="8" t="n">
        <v>1321713.698945</v>
      </c>
      <c r="D52" s="8" t="n">
        <v>315153.986892</v>
      </c>
      <c r="E52" s="8" t="n">
        <v>1950266.668821</v>
      </c>
      <c r="F52" s="8" t="n">
        <v>189912.22089</v>
      </c>
      <c r="G52" s="8" t="n">
        <v>94093.008513</v>
      </c>
      <c r="H52" s="8" t="n">
        <v>483945.893797</v>
      </c>
      <c r="I52" s="8" t="n">
        <v>86093.39071</v>
      </c>
      <c r="J52" s="8" t="n">
        <v>1085739.498358</v>
      </c>
      <c r="K52" s="9" t="n">
        <f aca="false">C52-D52</f>
        <v>1006559.712053</v>
      </c>
      <c r="L52" s="9" t="n">
        <f aca="false">B52-C52-F52-J52</f>
        <v>10655515.211797</v>
      </c>
    </row>
    <row r="53" customFormat="false" ht="15" hidden="false" customHeight="false" outlineLevel="0" collapsed="false">
      <c r="A53" s="7" t="n">
        <v>44953</v>
      </c>
      <c r="B53" s="8" t="n">
        <v>13287370.82291</v>
      </c>
      <c r="C53" s="8" t="n">
        <v>1300281.310528</v>
      </c>
      <c r="D53" s="8" t="n">
        <v>313993.502805</v>
      </c>
      <c r="E53" s="8" t="n">
        <v>1941903.039982</v>
      </c>
      <c r="F53" s="8" t="n">
        <v>196838.700789</v>
      </c>
      <c r="G53" s="8" t="n">
        <v>94884.871927</v>
      </c>
      <c r="H53" s="8" t="n">
        <v>495873.174447</v>
      </c>
      <c r="I53" s="8" t="n">
        <v>86133.001742</v>
      </c>
      <c r="J53" s="8" t="n">
        <v>1099535.258111</v>
      </c>
      <c r="K53" s="9" t="n">
        <f aca="false">C53-D53</f>
        <v>986287.807723</v>
      </c>
      <c r="L53" s="9" t="n">
        <f aca="false">B53-C53-F53-J53</f>
        <v>10690715.553482</v>
      </c>
    </row>
    <row r="54" customFormat="false" ht="15" hidden="false" customHeight="false" outlineLevel="0" collapsed="false">
      <c r="A54" s="7" t="n">
        <v>44981</v>
      </c>
      <c r="B54" s="8" t="n">
        <v>13414992.27523</v>
      </c>
      <c r="C54" s="8" t="n">
        <v>1320444.700619</v>
      </c>
      <c r="D54" s="8" t="n">
        <v>311877.317575</v>
      </c>
      <c r="E54" s="8" t="n">
        <v>1964769.231516</v>
      </c>
      <c r="F54" s="8" t="n">
        <v>197069.000687</v>
      </c>
      <c r="G54" s="8" t="n">
        <v>95802.226165</v>
      </c>
      <c r="H54" s="8" t="n">
        <v>495148.030589</v>
      </c>
      <c r="I54" s="8" t="n">
        <v>88556.014738</v>
      </c>
      <c r="J54" s="8" t="n">
        <v>1125267.642276</v>
      </c>
      <c r="K54" s="9" t="n">
        <f aca="false">C54-D54</f>
        <v>1008567.383044</v>
      </c>
      <c r="L54" s="9" t="n">
        <f aca="false">B54-C54-F54-J54</f>
        <v>10772210.931648</v>
      </c>
    </row>
    <row r="55" customFormat="false" ht="15" hidden="false" customHeight="false" outlineLevel="0" collapsed="false">
      <c r="A55" s="7" t="n">
        <v>45009</v>
      </c>
      <c r="B55" s="8" t="n">
        <v>13655329.68622</v>
      </c>
      <c r="C55" s="8" t="n">
        <v>1342539.490706</v>
      </c>
      <c r="D55" s="8" t="n">
        <v>318566.463288</v>
      </c>
      <c r="E55" s="8" t="n">
        <v>1991163.512502</v>
      </c>
      <c r="F55" s="8" t="n">
        <v>204708.430584</v>
      </c>
      <c r="G55" s="8" t="n">
        <v>96481.630296</v>
      </c>
      <c r="H55" s="8" t="n">
        <v>487596.8978</v>
      </c>
      <c r="I55" s="8" t="n">
        <v>89370.308816</v>
      </c>
      <c r="J55" s="8" t="n">
        <v>1162344.824</v>
      </c>
      <c r="K55" s="9" t="n">
        <f aca="false">C55-D55</f>
        <v>1023973.027418</v>
      </c>
      <c r="L55" s="9" t="n">
        <f aca="false">B55-C55-F55-J55</f>
        <v>10945736.94093</v>
      </c>
    </row>
    <row r="56" customFormat="false" ht="15" hidden="false" customHeight="false" outlineLevel="0" collapsed="false">
      <c r="A56" s="7" t="n">
        <v>45037</v>
      </c>
      <c r="B56" s="8" t="n">
        <v>13838154.69813</v>
      </c>
      <c r="C56" s="8" t="n">
        <v>1356674.302966</v>
      </c>
      <c r="D56" s="8" t="n">
        <v>317521.564576</v>
      </c>
      <c r="E56" s="8" t="n">
        <v>2004953.39524</v>
      </c>
      <c r="F56" s="8" t="n">
        <v>211151.01048</v>
      </c>
      <c r="G56" s="8" t="n">
        <v>97002.609547</v>
      </c>
      <c r="H56" s="8" t="n">
        <v>508192.822263</v>
      </c>
      <c r="I56" s="8" t="n">
        <v>90649.222566</v>
      </c>
      <c r="J56" s="8" t="n">
        <v>1166296.032757</v>
      </c>
      <c r="K56" s="9" t="n">
        <f aca="false">C56-D56</f>
        <v>1039152.73839</v>
      </c>
      <c r="L56" s="9" t="n">
        <f aca="false">B56-C56-F56-J56</f>
        <v>11104033.351927</v>
      </c>
    </row>
    <row r="57" customFormat="false" ht="15" hidden="false" customHeight="false" outlineLevel="0" collapsed="false">
      <c r="A57" s="7" t="n">
        <v>45065</v>
      </c>
      <c r="B57" s="8" t="n">
        <v>13972941.66516</v>
      </c>
      <c r="C57" s="8" t="n">
        <v>1351256.925187</v>
      </c>
      <c r="D57" s="8" t="n">
        <v>319132.771493</v>
      </c>
      <c r="E57" s="8" t="n">
        <v>2009749.770068</v>
      </c>
      <c r="F57" s="8" t="n">
        <v>212409.670385</v>
      </c>
      <c r="G57" s="8" t="n">
        <v>97492.367639</v>
      </c>
      <c r="H57" s="8" t="n">
        <v>510800.362391</v>
      </c>
      <c r="I57" s="8" t="n">
        <v>90036.444793</v>
      </c>
      <c r="J57" s="8" t="n">
        <v>1177385.291131</v>
      </c>
      <c r="K57" s="9" t="n">
        <f aca="false">C57-D57</f>
        <v>1032124.153694</v>
      </c>
      <c r="L57" s="9" t="n">
        <f aca="false">B57-C57-F57-J57</f>
        <v>11231889.778457</v>
      </c>
    </row>
    <row r="58" customFormat="false" ht="15" hidden="false" customHeight="false" outlineLevel="0" collapsed="false">
      <c r="A58" s="7" t="n">
        <v>45107</v>
      </c>
      <c r="B58" s="8" t="n">
        <v>14355811.95768</v>
      </c>
      <c r="C58" s="8" t="n">
        <v>1434292.505241</v>
      </c>
      <c r="D58" s="8" t="n">
        <v>333526.641759</v>
      </c>
      <c r="E58" s="8" t="n">
        <v>2052838.833298</v>
      </c>
      <c r="F58" s="8" t="n">
        <v>221370.120287</v>
      </c>
      <c r="G58" s="8" t="n">
        <v>101692.862296</v>
      </c>
      <c r="H58" s="8" t="n">
        <v>525518.098201</v>
      </c>
      <c r="I58" s="8" t="n">
        <v>94871.754523</v>
      </c>
      <c r="J58" s="8" t="n">
        <v>1219794.417763</v>
      </c>
      <c r="K58" s="9" t="n">
        <f aca="false">C58-D58</f>
        <v>1100765.863482</v>
      </c>
      <c r="L58" s="9" t="n">
        <f aca="false">B58-C58-F58-J58</f>
        <v>11480354.914389</v>
      </c>
    </row>
    <row r="59" customFormat="false" ht="15" hidden="false" customHeight="false" outlineLevel="0" collapsed="false">
      <c r="A59" s="7" t="n">
        <v>45135</v>
      </c>
      <c r="B59" s="8" t="n">
        <v>14766287.0093</v>
      </c>
      <c r="C59" s="8" t="n">
        <v>1356108.334199</v>
      </c>
      <c r="D59" s="8" t="n">
        <v>320132.470651</v>
      </c>
      <c r="E59" s="8" t="n">
        <v>2491006.187917</v>
      </c>
      <c r="F59" s="8" t="n">
        <v>225950.31</v>
      </c>
      <c r="G59" s="8" t="n">
        <v>103400.916663</v>
      </c>
      <c r="H59" s="8" t="n">
        <v>531546.662943</v>
      </c>
      <c r="I59" s="8" t="n">
        <v>95343.936169</v>
      </c>
      <c r="J59" s="8" t="n">
        <v>1246119.717401</v>
      </c>
      <c r="K59" s="9" t="n">
        <f aca="false">C59-D59</f>
        <v>1035975.863548</v>
      </c>
      <c r="L59" s="9" t="n">
        <f aca="false">B59-C59-F59-J59</f>
        <v>11938108.6477</v>
      </c>
    </row>
    <row r="60" customFormat="false" ht="15" hidden="false" customHeight="false" outlineLevel="0" collapsed="false">
      <c r="A60" s="7" t="n">
        <v>45163</v>
      </c>
      <c r="B60" s="8" t="n">
        <v>14897956.1783</v>
      </c>
      <c r="C60" s="8" t="n">
        <v>1360081.946014</v>
      </c>
      <c r="D60" s="8" t="n">
        <v>311386.560856</v>
      </c>
      <c r="E60" s="8" t="n">
        <v>2505633.627886</v>
      </c>
      <c r="F60" s="8" t="n">
        <v>230657.13</v>
      </c>
      <c r="G60" s="8" t="n">
        <v>106577.831353</v>
      </c>
      <c r="H60" s="8" t="n">
        <v>536213.650629</v>
      </c>
      <c r="I60" s="8" t="n">
        <v>99625.503519</v>
      </c>
      <c r="J60" s="8" t="n">
        <v>1255261.970843</v>
      </c>
      <c r="K60" s="9" t="n">
        <f aca="false">C60-D60</f>
        <v>1048695.385158</v>
      </c>
      <c r="L60" s="9" t="n">
        <f aca="false">B60-C60-F60-J60</f>
        <v>12051955.131443</v>
      </c>
    </row>
    <row r="61" customFormat="false" ht="15" hidden="false" customHeight="false" outlineLevel="0" collapsed="false">
      <c r="A61" s="7" t="n">
        <v>45191</v>
      </c>
      <c r="B61" s="8" t="n">
        <v>15132449.13824</v>
      </c>
      <c r="C61" s="8" t="n">
        <v>1396679.529762</v>
      </c>
      <c r="D61" s="8" t="n">
        <v>308710.794945</v>
      </c>
      <c r="E61" s="8" t="n">
        <v>2527200.965193</v>
      </c>
      <c r="F61" s="8" t="n">
        <v>230259.437702</v>
      </c>
      <c r="G61" s="8" t="n">
        <v>109772.300362</v>
      </c>
      <c r="H61" s="8" t="n">
        <v>544598.684158</v>
      </c>
      <c r="I61" s="8" t="n">
        <v>97426.131134</v>
      </c>
      <c r="J61" s="8" t="n">
        <v>1280669.686413</v>
      </c>
      <c r="K61" s="9" t="n">
        <f aca="false">C61-D61</f>
        <v>1087968.734817</v>
      </c>
      <c r="L61" s="9" t="n">
        <f aca="false">B61-C61-F61-J61</f>
        <v>12224840.484363</v>
      </c>
    </row>
    <row r="62" customFormat="false" ht="15" hidden="false" customHeight="false" outlineLevel="0" collapsed="false">
      <c r="A62" s="7" t="n">
        <v>45219</v>
      </c>
      <c r="B62" s="8" t="n">
        <v>15561722.13</v>
      </c>
      <c r="C62" s="8" t="n">
        <v>1449630.896</v>
      </c>
      <c r="D62" s="8" t="n">
        <v>325676.2173</v>
      </c>
      <c r="E62" s="8" t="n">
        <v>2562002.09</v>
      </c>
      <c r="F62" s="8" t="n">
        <v>240635.4718</v>
      </c>
      <c r="G62" s="8" t="n">
        <v>110857.8218</v>
      </c>
      <c r="H62" s="8" t="n">
        <v>537292.6292</v>
      </c>
      <c r="I62" s="8" t="n">
        <v>89546.9454</v>
      </c>
      <c r="J62" s="8" t="n">
        <v>1332708.57</v>
      </c>
      <c r="K62" s="9" t="n">
        <f aca="false">C62-D62</f>
        <v>1123954.6787</v>
      </c>
      <c r="L62" s="9" t="n">
        <f aca="false">B62-C62-F62-J62</f>
        <v>12538747.1922</v>
      </c>
    </row>
    <row r="63" customFormat="false" ht="15" hidden="false" customHeight="false" outlineLevel="0" collapsed="false">
      <c r="A63" s="7" t="n">
        <v>45247</v>
      </c>
      <c r="B63" s="8" t="n">
        <v>15783763.07</v>
      </c>
      <c r="C63" s="8" t="n">
        <v>1464852.38</v>
      </c>
      <c r="D63" s="8" t="n">
        <v>303215.922</v>
      </c>
      <c r="E63" s="8" t="n">
        <v>2591486.485</v>
      </c>
      <c r="F63" s="8" t="n">
        <v>244668.21</v>
      </c>
      <c r="G63" s="8" t="n">
        <v>112045.1279</v>
      </c>
      <c r="H63" s="8" t="n">
        <v>548794.3685</v>
      </c>
      <c r="I63" s="8" t="n">
        <v>89756.25845</v>
      </c>
      <c r="J63" s="8" t="n">
        <v>1343323.731</v>
      </c>
      <c r="K63" s="9" t="n">
        <f aca="false">C63-D63</f>
        <v>1161636.458</v>
      </c>
      <c r="L63" s="9" t="n">
        <f aca="false">B63-C63-F63-J63</f>
        <v>12730918.749</v>
      </c>
    </row>
    <row r="64" customFormat="false" ht="15" hidden="false" customHeight="false" outlineLevel="0" collapsed="false">
      <c r="A64" s="7" t="n">
        <v>45289</v>
      </c>
      <c r="B64" s="8" t="n">
        <v>15918805.36</v>
      </c>
      <c r="C64" s="8" t="n">
        <v>1521523.674</v>
      </c>
      <c r="D64" s="8" t="n">
        <v>326465.3845</v>
      </c>
      <c r="E64" s="8" t="n">
        <v>2637783.831</v>
      </c>
      <c r="F64" s="8" t="n">
        <v>251842.792</v>
      </c>
      <c r="G64" s="8" t="n">
        <v>114955.5069</v>
      </c>
      <c r="H64" s="8" t="n">
        <v>563467.7594</v>
      </c>
      <c r="I64" s="8" t="n">
        <v>91099.26781</v>
      </c>
      <c r="J64" s="8" t="n">
        <v>1378872.882</v>
      </c>
      <c r="K64" s="9" t="n">
        <f aca="false">C64-D64</f>
        <v>1195058.2895</v>
      </c>
      <c r="L64" s="9" t="n">
        <f aca="false">B64-C64-F64-J64</f>
        <v>12766566.012</v>
      </c>
    </row>
    <row r="65" customFormat="false" ht="15" hidden="false" customHeight="false" outlineLevel="0" collapsed="false">
      <c r="A65" s="7" t="n">
        <v>45317</v>
      </c>
      <c r="B65" s="8" t="n">
        <v>15997973.07</v>
      </c>
      <c r="C65" s="8" t="n">
        <v>1495417.577</v>
      </c>
      <c r="D65" s="8" t="n">
        <v>334241.435</v>
      </c>
      <c r="E65" s="8" t="n">
        <v>2658081.562</v>
      </c>
      <c r="F65" s="8" t="n">
        <v>258503.2987</v>
      </c>
      <c r="G65" s="8" t="n">
        <v>117186.0104</v>
      </c>
      <c r="H65" s="8" t="n">
        <v>560961.5941</v>
      </c>
      <c r="I65" s="8" t="n">
        <v>91458.09283</v>
      </c>
      <c r="J65" s="8" t="n">
        <v>1395546.152</v>
      </c>
      <c r="K65" s="9" t="n">
        <f aca="false">C65-D65</f>
        <v>1161176.142</v>
      </c>
      <c r="L65" s="9" t="n">
        <f aca="false">B65-C65-F65-J65</f>
        <v>12848506.0423</v>
      </c>
    </row>
    <row r="66" customFormat="false" ht="15" hidden="false" customHeight="false" outlineLevel="0" collapsed="false">
      <c r="A66" s="7" t="n">
        <v>45345</v>
      </c>
      <c r="B66" s="8" t="n">
        <v>16173633.1</v>
      </c>
      <c r="C66" s="8" t="n">
        <v>1490705.359</v>
      </c>
      <c r="D66" s="8" t="n">
        <v>325709.9973</v>
      </c>
      <c r="E66" s="8" t="n">
        <v>2680408.561</v>
      </c>
      <c r="F66" s="8" t="n">
        <v>258107.3908</v>
      </c>
      <c r="G66" s="8" t="n">
        <v>118707.2432</v>
      </c>
      <c r="H66" s="8" t="n">
        <v>565733.3999</v>
      </c>
      <c r="I66" s="8" t="n">
        <v>92414.98861</v>
      </c>
      <c r="J66" s="8" t="n">
        <v>1411893.765</v>
      </c>
      <c r="K66" s="9" t="n">
        <f aca="false">C66-D66</f>
        <v>1164995.3617</v>
      </c>
      <c r="L66" s="9" t="n">
        <f aca="false">B66-C66-F66-J66</f>
        <v>13012926.5852</v>
      </c>
    </row>
    <row r="67" customFormat="false" ht="15" hidden="false" customHeight="false" outlineLevel="0" collapsed="false">
      <c r="A67" s="7" t="n">
        <v>45373</v>
      </c>
      <c r="B67" s="8" t="n">
        <v>16563961</v>
      </c>
      <c r="C67" s="8" t="n">
        <v>1523054.469</v>
      </c>
      <c r="D67" s="8" t="n">
        <v>321364.5143</v>
      </c>
      <c r="E67" s="8" t="n">
        <v>2718712.395</v>
      </c>
      <c r="F67" s="8" t="n">
        <v>257016.0607</v>
      </c>
      <c r="G67" s="8" t="n">
        <v>119379.6037</v>
      </c>
      <c r="H67" s="8" t="n">
        <v>573390.8229</v>
      </c>
      <c r="I67" s="8" t="n">
        <v>93301.37171</v>
      </c>
      <c r="J67" s="8" t="n">
        <v>1427871.531</v>
      </c>
      <c r="K67" s="9" t="n">
        <f aca="false">C67-D67</f>
        <v>1201689.9547</v>
      </c>
      <c r="L67" s="9" t="n">
        <f aca="false">B67-C67-F67-J67</f>
        <v>13356018.9393</v>
      </c>
    </row>
    <row r="68" customFormat="false" ht="15" hidden="false" customHeight="false" outlineLevel="0" collapsed="false">
      <c r="A68" s="7" t="n">
        <v>45401</v>
      </c>
      <c r="B68" s="8" t="n">
        <v>16473706.24</v>
      </c>
      <c r="C68" s="8" t="n">
        <v>1540061.358</v>
      </c>
      <c r="D68" s="8" t="n">
        <v>323712.26</v>
      </c>
      <c r="E68" s="8" t="n">
        <v>2741452.307</v>
      </c>
      <c r="F68" s="8" t="n">
        <v>259641.3306</v>
      </c>
      <c r="G68" s="8" t="n">
        <v>119124.687</v>
      </c>
      <c r="H68" s="8" t="n">
        <v>578496.8982</v>
      </c>
      <c r="I68" s="8" t="n">
        <v>92832.38308</v>
      </c>
      <c r="J68" s="8" t="n">
        <v>1416844.544</v>
      </c>
      <c r="K68" s="9" t="n">
        <f aca="false">C68-D68</f>
        <v>1216349.098</v>
      </c>
      <c r="L68" s="9" t="n">
        <f aca="false">B68-C68-F68-J68</f>
        <v>13257159.0074</v>
      </c>
    </row>
    <row r="69" customFormat="false" ht="15" hidden="false" customHeight="false" outlineLevel="0" collapsed="false">
      <c r="A69" s="7" t="n">
        <v>45443</v>
      </c>
      <c r="B69" s="8" t="n">
        <v>16743817.25</v>
      </c>
      <c r="C69" s="8" t="n">
        <v>1547284.409</v>
      </c>
      <c r="D69" s="8" t="n">
        <v>325158.0286</v>
      </c>
      <c r="E69" s="8" t="n">
        <v>2786546.695</v>
      </c>
      <c r="F69" s="8" t="n">
        <v>267978.9205</v>
      </c>
      <c r="G69" s="8" t="n">
        <v>121102.4202</v>
      </c>
      <c r="H69" s="8" t="n">
        <v>586821.6068</v>
      </c>
      <c r="I69" s="8" t="n">
        <v>107544.0513</v>
      </c>
      <c r="J69" s="8" t="n">
        <v>1445163.776</v>
      </c>
      <c r="K69" s="9" t="n">
        <f aca="false">C69-D69</f>
        <v>1222126.3804</v>
      </c>
      <c r="L69" s="9" t="n">
        <f aca="false">B69-C69-F69-J69</f>
        <v>13483390.1445</v>
      </c>
    </row>
    <row r="70" customFormat="false" ht="15" hidden="false" customHeight="false" outlineLevel="0" collapsed="false">
      <c r="A70" s="7" t="n">
        <v>45471</v>
      </c>
      <c r="B70" s="8" t="n">
        <v>16846878.59</v>
      </c>
      <c r="C70" s="8" t="n">
        <v>1547665.691</v>
      </c>
      <c r="D70" s="8" t="n">
        <v>323623.1985</v>
      </c>
      <c r="E70" s="8" t="n">
        <v>2798565.201</v>
      </c>
      <c r="F70" s="8" t="n">
        <v>273044.2303</v>
      </c>
      <c r="G70" s="8" t="n">
        <v>121989.0973</v>
      </c>
      <c r="H70" s="8" t="n">
        <v>588567.825</v>
      </c>
      <c r="I70" s="8" t="n">
        <v>114668.8239</v>
      </c>
      <c r="J70" s="8" t="n">
        <v>1445181.837</v>
      </c>
      <c r="K70" s="9" t="n">
        <f aca="false">C70-D70</f>
        <v>1224042.4925</v>
      </c>
      <c r="L70" s="9" t="n">
        <f aca="false">B70-C70-F70-J70</f>
        <v>13580986.8317</v>
      </c>
    </row>
    <row r="71" customFormat="false" ht="15" hidden="false" customHeight="false" outlineLevel="0" collapsed="false">
      <c r="A71" s="7" t="n">
        <v>45499</v>
      </c>
      <c r="B71" s="8" t="n">
        <v>16786601.92</v>
      </c>
      <c r="C71" s="8" t="n">
        <v>1522107.092</v>
      </c>
      <c r="D71" s="8" t="n">
        <v>316545.91</v>
      </c>
      <c r="E71" s="8" t="n">
        <v>2810105.058</v>
      </c>
      <c r="F71" s="8" t="n">
        <v>275601.4702</v>
      </c>
      <c r="G71" s="8" t="n">
        <v>123064.8999</v>
      </c>
      <c r="H71" s="8" t="n">
        <v>590973.8512</v>
      </c>
      <c r="I71" s="8" t="n">
        <v>124169.9824</v>
      </c>
      <c r="J71" s="8" t="n">
        <v>1446058.171</v>
      </c>
      <c r="K71" s="9" t="n">
        <f aca="false">C71-D71</f>
        <v>1205561.182</v>
      </c>
      <c r="L71" s="9" t="n">
        <f aca="false">B71-C71-F71-J71</f>
        <v>13542835.1868</v>
      </c>
    </row>
    <row r="72" customFormat="false" ht="15" hidden="false" customHeight="false" outlineLevel="0" collapsed="false">
      <c r="A72" s="7" t="n">
        <v>45527</v>
      </c>
      <c r="B72" s="8" t="n">
        <v>16920801.51</v>
      </c>
      <c r="C72" s="8" t="n">
        <v>1517539.319</v>
      </c>
      <c r="D72" s="8" t="n">
        <v>322152.1</v>
      </c>
      <c r="E72" s="8" t="n">
        <v>2833162.726</v>
      </c>
      <c r="F72" s="8" t="n">
        <v>276576.3802</v>
      </c>
      <c r="G72" s="8" t="n">
        <v>126147.2476</v>
      </c>
      <c r="H72" s="8" t="n">
        <v>595752.1747</v>
      </c>
      <c r="I72" s="8" t="n">
        <v>132646.871</v>
      </c>
      <c r="J72" s="8" t="n">
        <v>1451972.981</v>
      </c>
      <c r="K72" s="9" t="n">
        <f aca="false">C72-D72</f>
        <v>1195387.219</v>
      </c>
      <c r="L72" s="9" t="n">
        <f aca="false">B72-C72-F72-J72</f>
        <v>13674712.8298</v>
      </c>
    </row>
    <row r="73" customFormat="false" ht="15" hidden="false" customHeight="false" outlineLevel="0" collapsed="false">
      <c r="A73" s="7" t="n">
        <v>45555</v>
      </c>
      <c r="B73" s="8" t="n">
        <v>17105126.44</v>
      </c>
      <c r="C73" s="8" t="n">
        <v>1528515.147</v>
      </c>
      <c r="D73" s="8" t="n">
        <v>324413.07</v>
      </c>
      <c r="E73" s="8" t="n">
        <v>2845502.359</v>
      </c>
      <c r="F73" s="8" t="n">
        <v>271812.7701</v>
      </c>
      <c r="G73" s="8" t="n">
        <v>129115.1217</v>
      </c>
      <c r="H73" s="8" t="n">
        <v>602360.9436</v>
      </c>
      <c r="I73" s="8" t="n">
        <v>139900.7143</v>
      </c>
      <c r="J73" s="8" t="n">
        <v>1465803.198</v>
      </c>
      <c r="K73" s="9" t="n">
        <f aca="false">C73-D73</f>
        <v>1204102.077</v>
      </c>
      <c r="L73" s="9" t="n">
        <f aca="false">B73-C73-F73-J73</f>
        <v>13838995.3249</v>
      </c>
    </row>
    <row r="74" customFormat="false" ht="15" hidden="false" customHeight="false" outlineLevel="0" collapsed="false">
      <c r="A74" s="7" t="n">
        <v>45583</v>
      </c>
      <c r="B74" s="8" t="n">
        <v>17389477.36</v>
      </c>
      <c r="C74" s="8" t="n">
        <v>1535998.611</v>
      </c>
      <c r="D74" s="8" t="n">
        <v>321158.7</v>
      </c>
      <c r="E74" s="8" t="n">
        <v>2871841.068</v>
      </c>
      <c r="F74" s="8" t="n">
        <v>281391.991</v>
      </c>
      <c r="G74" s="8" t="n">
        <v>130308.4975</v>
      </c>
      <c r="H74" s="8" t="n">
        <v>601969.7517</v>
      </c>
      <c r="I74" s="8" t="n">
        <v>147724.3075</v>
      </c>
      <c r="J74" s="8" t="n">
        <v>1471189.183</v>
      </c>
      <c r="K74" s="9" t="n">
        <f aca="false">C74-D74</f>
        <v>1214839.911</v>
      </c>
      <c r="L74" s="9" t="n">
        <f aca="false">B74-C74-F74-J74</f>
        <v>14100897.575</v>
      </c>
    </row>
    <row r="75" customFormat="false" ht="15" hidden="false" customHeight="false" outlineLevel="0" collapsed="false">
      <c r="A75" s="7" t="n">
        <v>45625</v>
      </c>
      <c r="B75" s="8" t="n">
        <v>17457702</v>
      </c>
      <c r="C75" s="8" t="n">
        <v>1574648.125</v>
      </c>
      <c r="D75" s="8" t="n">
        <v>322286.85</v>
      </c>
      <c r="E75" s="8" t="n">
        <v>2908672.237</v>
      </c>
      <c r="F75" s="8" t="n">
        <v>288996.7609</v>
      </c>
      <c r="G75" s="8" t="n">
        <v>131628.428</v>
      </c>
      <c r="H75" s="8" t="n">
        <v>605581.1574</v>
      </c>
      <c r="I75" s="8" t="n">
        <v>159153.1591</v>
      </c>
      <c r="J75" s="8" t="n">
        <v>1493847.956</v>
      </c>
      <c r="K75" s="9" t="n">
        <f aca="false">C75-D75</f>
        <v>1252361.275</v>
      </c>
      <c r="L75" s="9" t="n">
        <f aca="false">B75-C75-F75-J75</f>
        <v>14100209.1581</v>
      </c>
    </row>
    <row r="76" customFormat="false" ht="15" hidden="false" customHeight="false" outlineLevel="0" collapsed="false">
      <c r="A76" s="7" t="n">
        <v>45653</v>
      </c>
      <c r="B76" s="8" t="n">
        <v>17686898.78</v>
      </c>
      <c r="C76" s="8" t="n">
        <v>1621000.533</v>
      </c>
      <c r="D76" s="8" t="n">
        <v>319954.609</v>
      </c>
      <c r="E76" s="8" t="n">
        <v>2931738.852</v>
      </c>
      <c r="F76" s="8" t="n">
        <v>291086.8408</v>
      </c>
      <c r="G76" s="8" t="n">
        <v>133139.0121</v>
      </c>
      <c r="H76" s="8" t="n">
        <v>613296.1868</v>
      </c>
      <c r="I76" s="8" t="n">
        <v>168128.1751</v>
      </c>
      <c r="J76" s="8" t="n">
        <v>1500074.87</v>
      </c>
      <c r="K76" s="9" t="n">
        <f aca="false">C76-D76</f>
        <v>1301045.924</v>
      </c>
      <c r="L76" s="9" t="n">
        <f aca="false">B76-C76-F76-J76</f>
        <v>14274736.5362</v>
      </c>
    </row>
    <row r="77" customFormat="false" ht="15" hidden="false" customHeight="false" outlineLevel="0" collapsed="false">
      <c r="A77" s="7" t="n">
        <v>45681</v>
      </c>
      <c r="B77" s="8" t="n">
        <v>17812299.67</v>
      </c>
      <c r="C77" s="8" t="n">
        <v>1617897.768</v>
      </c>
      <c r="D77" s="8" t="n">
        <v>325681.86</v>
      </c>
      <c r="E77" s="8" t="n">
        <v>2950973.723</v>
      </c>
      <c r="F77" s="8" t="n">
        <v>292083.4806</v>
      </c>
      <c r="G77" s="8" t="n">
        <v>135864.6756</v>
      </c>
      <c r="H77" s="8" t="n">
        <v>615234.9964</v>
      </c>
      <c r="I77" s="8" t="n">
        <v>175086.2358</v>
      </c>
      <c r="J77" s="8" t="n">
        <v>1510586.245</v>
      </c>
      <c r="K77" s="9" t="n">
        <f aca="false">C77-D77</f>
        <v>1292215.908</v>
      </c>
      <c r="L77" s="9" t="n">
        <f aca="false">B77-C77-F77-J77</f>
        <v>14391732.1764</v>
      </c>
    </row>
    <row r="78" customFormat="false" ht="15" hidden="false" customHeight="false" outlineLevel="0" collapsed="false">
      <c r="A78" s="7" t="n">
        <v>45709</v>
      </c>
      <c r="B78" s="8" t="n">
        <v>18082860.33</v>
      </c>
      <c r="C78" s="8" t="n">
        <v>1610743.744</v>
      </c>
      <c r="D78" s="8" t="n">
        <v>324610.81</v>
      </c>
      <c r="E78" s="8" t="n">
        <v>2978758.788</v>
      </c>
      <c r="F78" s="8" t="n">
        <v>287047.0606</v>
      </c>
      <c r="G78" s="8" t="n">
        <v>136820.6271</v>
      </c>
      <c r="H78" s="8" t="n">
        <v>619796.6095</v>
      </c>
      <c r="I78" s="8" t="n">
        <v>188051.3073</v>
      </c>
      <c r="J78" s="8" t="n">
        <v>1519054.307</v>
      </c>
      <c r="K78" s="9" t="n">
        <f aca="false">C78-D78</f>
        <v>1286132.934</v>
      </c>
      <c r="L78" s="9" t="n">
        <f aca="false">B78-C78-F78-J78</f>
        <v>14666015.2184</v>
      </c>
    </row>
    <row r="79" customFormat="false" ht="15" hidden="false" customHeight="false" outlineLevel="0" collapsed="false">
      <c r="A79" s="7" t="n">
        <v>45737</v>
      </c>
      <c r="B79" s="8" t="n">
        <v>18371997.57</v>
      </c>
      <c r="C79" s="8" t="n">
        <v>1635102.162</v>
      </c>
      <c r="D79" s="8" t="n">
        <v>323181.87</v>
      </c>
      <c r="E79" s="8" t="n">
        <v>3010476.605</v>
      </c>
      <c r="F79" s="8" t="n">
        <v>284366.2605</v>
      </c>
      <c r="G79" s="8" t="n">
        <v>137456.0568</v>
      </c>
      <c r="H79" s="8" t="n">
        <v>622793.4497</v>
      </c>
      <c r="I79" s="8" t="n">
        <v>206284.0245</v>
      </c>
      <c r="J79" s="8" t="n">
        <v>1535197.478</v>
      </c>
      <c r="K79" s="9" t="n">
        <f aca="false">C79-D79</f>
        <v>1311920.292</v>
      </c>
      <c r="L79" s="9" t="n">
        <f aca="false">B79-C79-F79-J79</f>
        <v>14917331.6695</v>
      </c>
    </row>
    <row r="80" customFormat="false" ht="15" hidden="false" customHeight="false" outlineLevel="0" collapsed="false">
      <c r="A80" s="7" t="n">
        <v>45765</v>
      </c>
      <c r="B80" s="8" t="n">
        <v>18223866.7</v>
      </c>
      <c r="C80" s="8" t="n">
        <v>1609971.838</v>
      </c>
      <c r="D80" s="8" t="n">
        <v>314914.21</v>
      </c>
      <c r="E80" s="8" t="n">
        <v>3008940.901</v>
      </c>
      <c r="F80" s="8" t="n">
        <v>287172.2849</v>
      </c>
      <c r="G80" s="8" t="n">
        <v>137454.2937</v>
      </c>
      <c r="H80" s="8" t="n">
        <v>629690.9241</v>
      </c>
      <c r="I80" s="8" t="n">
        <v>220953.3407</v>
      </c>
      <c r="J80" s="8" t="n">
        <v>1537654.79</v>
      </c>
      <c r="K80" s="9" t="n">
        <f aca="false">C80-D80</f>
        <v>1295057.628</v>
      </c>
      <c r="L80" s="9" t="n">
        <f aca="false">B80-C80-F80-J80</f>
        <v>14789067.7871</v>
      </c>
    </row>
    <row r="81" customFormat="false" ht="15" hidden="false" customHeight="false" outlineLevel="0" collapsed="false">
      <c r="A81" s="7" t="n">
        <v>45807</v>
      </c>
      <c r="B81" s="8" t="n">
        <v>18216796</v>
      </c>
      <c r="C81" s="8" t="n">
        <v>1562084.08</v>
      </c>
      <c r="D81" s="8" t="n">
        <v>308772.81</v>
      </c>
      <c r="E81" s="8" t="n">
        <v>3037367.44</v>
      </c>
      <c r="F81" s="8" t="n">
        <v>290677.7808</v>
      </c>
      <c r="G81" s="8" t="n">
        <v>138130.9195</v>
      </c>
      <c r="H81" s="8" t="n">
        <v>637883.9262</v>
      </c>
      <c r="I81" s="8" t="n">
        <v>250263.3007</v>
      </c>
      <c r="J81" s="8" t="n">
        <v>1549727.901</v>
      </c>
      <c r="K81" s="9" t="n">
        <f aca="false">C81-D81</f>
        <v>1253311.27</v>
      </c>
      <c r="L81" s="9" t="n">
        <f aca="false">B81-C81-F81-J81</f>
        <v>14814306.2382</v>
      </c>
    </row>
    <row r="82" customFormat="false" ht="15" hidden="false" customHeight="false" outlineLevel="0" collapsed="false">
      <c r="A82" s="7" t="n">
        <v>45835</v>
      </c>
      <c r="B82" s="8" t="n">
        <v>18421811</v>
      </c>
      <c r="C82" s="8" t="n">
        <v>1595950.113</v>
      </c>
      <c r="D82" s="8" t="n">
        <v>331372.6508</v>
      </c>
      <c r="E82" s="8" t="n">
        <v>3067119.907</v>
      </c>
      <c r="F82" s="8" t="n">
        <v>292601.7227</v>
      </c>
      <c r="G82" s="8" t="n">
        <v>139586.6641</v>
      </c>
      <c r="H82" s="8" t="n">
        <v>642866.1093</v>
      </c>
      <c r="I82" s="8" t="n">
        <v>276288.7327</v>
      </c>
      <c r="J82" s="8" t="n">
        <v>1547402.046</v>
      </c>
      <c r="K82" s="9" t="n">
        <f aca="false">C82-D82</f>
        <v>1264577.4622</v>
      </c>
      <c r="L82" s="9" t="n">
        <f aca="false">B82-C82-F82-J82</f>
        <v>14985857.1183</v>
      </c>
    </row>
    <row r="83" customFormat="false" ht="15" hidden="false" customHeight="false" outlineLevel="0" collapsed="false">
      <c r="A83" s="7" t="n">
        <v>45863</v>
      </c>
      <c r="B83" s="8" t="n">
        <v>18444703</v>
      </c>
      <c r="C83" s="8" t="n">
        <v>1568384</v>
      </c>
      <c r="D83" s="8" t="n">
        <v>315794</v>
      </c>
      <c r="E83" s="8" t="n">
        <v>3081152</v>
      </c>
      <c r="F83" s="8" t="n">
        <v>291088</v>
      </c>
      <c r="G83" s="8" t="n">
        <v>141537</v>
      </c>
      <c r="H83" s="8" t="n">
        <v>643654</v>
      </c>
      <c r="I83" s="8" t="n">
        <v>293568.445</v>
      </c>
      <c r="J83" s="8" t="n">
        <v>1555436</v>
      </c>
      <c r="K83" s="9" t="n">
        <f aca="false">C83-D83</f>
        <v>1252590</v>
      </c>
      <c r="L83" s="9" t="n">
        <f aca="false">B83-C83-F83-J83</f>
        <v>15029795</v>
      </c>
    </row>
    <row r="84" customFormat="false" ht="15" hidden="false" customHeight="false" outlineLevel="0" collapsed="false">
      <c r="A84" s="7" t="n">
        <v>45891</v>
      </c>
      <c r="B84" s="8" t="n">
        <v>18594541.4</v>
      </c>
      <c r="C84" s="8" t="n">
        <v>1573845</v>
      </c>
      <c r="D84" s="8" t="n">
        <v>318587</v>
      </c>
      <c r="E84" s="8" t="n">
        <v>3108790</v>
      </c>
      <c r="F84" s="8" t="n">
        <v>288691</v>
      </c>
      <c r="G84" s="8" t="n">
        <v>144539</v>
      </c>
      <c r="H84" s="8" t="n">
        <v>647828</v>
      </c>
      <c r="I84" s="8" t="n">
        <v>305342.4321</v>
      </c>
      <c r="J84" s="8" t="n">
        <v>1562132</v>
      </c>
      <c r="K84" s="9" t="n">
        <f aca="false">C84-D84</f>
        <v>1255258</v>
      </c>
      <c r="L84" s="9" t="n">
        <f aca="false">B84-C84-F84-J84</f>
        <v>15169873.4</v>
      </c>
    </row>
    <row r="85" customFormat="false" ht="15" hidden="false" customHeight="false" outlineLevel="0" collapsed="false">
      <c r="A85" s="7" t="n">
        <v>45919</v>
      </c>
      <c r="B85" s="8" t="n">
        <v>18857649.46</v>
      </c>
      <c r="C85" s="8" t="n">
        <v>1588698</v>
      </c>
      <c r="D85" s="8" t="n">
        <v>324982</v>
      </c>
      <c r="E85" s="8" t="n">
        <v>3132868</v>
      </c>
      <c r="F85" s="8" t="n">
        <v>281823</v>
      </c>
      <c r="G85" s="8" t="n">
        <v>147176</v>
      </c>
      <c r="H85" s="8" t="n">
        <v>646242</v>
      </c>
      <c r="I85" s="8" t="n">
        <v>315684.0607</v>
      </c>
      <c r="J85" s="8" t="n">
        <v>1574047</v>
      </c>
      <c r="K85" s="9" t="n">
        <f aca="false">C85-D85</f>
        <v>1263716</v>
      </c>
      <c r="L85" s="9" t="n">
        <f aca="false">B85-C85-F85-J85</f>
        <v>15413081.46</v>
      </c>
    </row>
    <row r="86" customFormat="false" ht="15" hidden="false" customHeight="false" outlineLevel="0" collapsed="false">
      <c r="A86" s="7" t="n">
        <v>45961</v>
      </c>
      <c r="B86" s="8" t="n">
        <v>19320128.4</v>
      </c>
      <c r="C86" s="8" t="n">
        <v>1703567</v>
      </c>
      <c r="D86" s="8" t="n">
        <v>332125</v>
      </c>
      <c r="E86" s="8" t="n">
        <v>3187475</v>
      </c>
      <c r="F86" s="8" t="n">
        <v>303073</v>
      </c>
      <c r="G86" s="8" t="n">
        <v>149442</v>
      </c>
      <c r="H86" s="8" t="n">
        <v>677349</v>
      </c>
      <c r="I86" s="8" t="n">
        <v>337580</v>
      </c>
      <c r="J86" s="8" t="n">
        <v>1617089</v>
      </c>
      <c r="K86" s="9" t="n">
        <f aca="false">C86-D86</f>
        <v>1371442</v>
      </c>
      <c r="L86" s="9" t="n">
        <f aca="false">B86-C86-F86-J86</f>
        <v>15696399.4</v>
      </c>
    </row>
    <row r="87" customFormat="false" ht="15" hidden="false" customHeight="false" outlineLevel="0" collapsed="false">
      <c r="A87" s="7" t="n">
        <v>45989</v>
      </c>
      <c r="B87" s="8" t="n">
        <v>19447512.04</v>
      </c>
      <c r="C87" s="8" t="n">
        <v>1723493</v>
      </c>
      <c r="D87" s="8" t="n">
        <v>346320</v>
      </c>
      <c r="E87" s="8" t="n">
        <v>3195341</v>
      </c>
      <c r="F87" s="8" t="n">
        <v>296070</v>
      </c>
      <c r="G87" s="8" t="n">
        <v>149800</v>
      </c>
      <c r="H87" s="8" t="n">
        <v>680536</v>
      </c>
      <c r="I87" s="8" t="n">
        <v>358645</v>
      </c>
      <c r="J87" s="8" t="n">
        <v>1626170</v>
      </c>
      <c r="K87" s="9" t="n">
        <f aca="false">C87-D87</f>
        <v>1377173</v>
      </c>
      <c r="L87" s="9" t="n">
        <f aca="false">B87-C87-F87-J87</f>
        <v>15801779.04</v>
      </c>
    </row>
    <row r="88" customFormat="false" ht="15" hidden="false" customHeight="false" outlineLevel="0" collapsed="false">
      <c r="A88" s="7" t="n">
        <v>46022</v>
      </c>
      <c r="B88" s="8" t="n">
        <v>20234543.02</v>
      </c>
      <c r="C88" s="8" t="n">
        <v>1865190</v>
      </c>
      <c r="D88" s="8" t="n">
        <v>352976</v>
      </c>
      <c r="E88" s="8" t="n">
        <v>3256397</v>
      </c>
      <c r="F88" s="8" t="n">
        <v>293898</v>
      </c>
      <c r="G88" s="8" t="n">
        <v>152789</v>
      </c>
      <c r="H88" s="8" t="n">
        <v>715647</v>
      </c>
      <c r="I88" s="8" t="n">
        <v>380205.5872</v>
      </c>
      <c r="J88" s="8" t="n">
        <v>1672353</v>
      </c>
      <c r="K88" s="9" t="n">
        <f aca="false">C88-D88</f>
        <v>1512214</v>
      </c>
      <c r="L88" s="9" t="n">
        <f aca="false">B88-C88-F88-J88</f>
        <v>16403102.02</v>
      </c>
    </row>
    <row r="89" customFormat="false" ht="15" hidden="false" customHeight="false" outlineLevel="0" collapsed="false">
      <c r="A89" s="7" t="n">
        <v>46053</v>
      </c>
      <c r="B89" s="8" t="n">
        <v>20386086.56</v>
      </c>
      <c r="C89" s="8" t="n">
        <v>1905207</v>
      </c>
      <c r="D89" s="8" t="n">
        <v>353406</v>
      </c>
      <c r="E89" s="8" t="n">
        <v>3278420</v>
      </c>
      <c r="F89" s="8" t="n">
        <v>296417</v>
      </c>
      <c r="G89" s="8" t="n">
        <v>154899</v>
      </c>
      <c r="H89" s="8" t="n">
        <v>720567</v>
      </c>
      <c r="I89" s="8" t="n">
        <v>400517</v>
      </c>
      <c r="J89" s="8" t="n">
        <v>1685238</v>
      </c>
      <c r="K89" s="9" t="n">
        <f aca="false">C89-D89</f>
        <v>1551801</v>
      </c>
      <c r="L89" s="9" t="n">
        <f aca="false">B89-C89-F89-J89</f>
        <v>16499224.56</v>
      </c>
    </row>
    <row r="90" customFormat="false" ht="15" hidden="false" customHeight="false" outlineLevel="0" collapsed="false">
      <c r="A90" s="7" t="n">
        <v>46081</v>
      </c>
      <c r="B90" s="8" t="n">
        <v>20671434.55</v>
      </c>
      <c r="C90" s="8" t="n">
        <v>1947584</v>
      </c>
      <c r="D90" s="8" t="n">
        <v>359226</v>
      </c>
      <c r="E90" s="8" t="n">
        <v>3305691</v>
      </c>
      <c r="F90" s="8" t="n">
        <v>292067</v>
      </c>
      <c r="G90" s="8" t="n">
        <v>155590</v>
      </c>
      <c r="H90" s="8" t="n">
        <v>726037</v>
      </c>
      <c r="I90" s="8" t="n">
        <v>428578</v>
      </c>
      <c r="J90" s="8" t="n">
        <v>1702695</v>
      </c>
      <c r="K90" s="9" t="n">
        <f aca="false">C90-D90</f>
        <v>1588358</v>
      </c>
      <c r="L90" s="9" t="n">
        <f aca="false">B90-C90-F90-J90</f>
        <v>16729088.55</v>
      </c>
    </row>
    <row r="91" customFormat="false" ht="15" hidden="false" customHeight="false" outlineLevel="0" collapsed="false">
      <c r="A91" s="7" t="n">
        <v>46112</v>
      </c>
      <c r="B91" s="8" t="n">
        <v>21291163.39</v>
      </c>
      <c r="C91" s="8" t="n">
        <v>2069732</v>
      </c>
      <c r="D91" s="8" t="n">
        <v>373339.12</v>
      </c>
      <c r="E91" s="8" t="n">
        <v>3355962.521</v>
      </c>
      <c r="F91" s="8" t="n">
        <v>294460.7795</v>
      </c>
      <c r="G91" s="8" t="n">
        <v>155823.7895</v>
      </c>
      <c r="H91" s="8" t="n">
        <v>738677.6837</v>
      </c>
      <c r="I91" s="8" t="n">
        <v>461373</v>
      </c>
      <c r="J91" s="8" t="n">
        <v>1731837.774</v>
      </c>
      <c r="K91" s="9" t="n">
        <f aca="false">C91-D91</f>
        <v>1696392.88</v>
      </c>
      <c r="L91" s="9" t="n">
        <f aca="false">B91-C91-F91-J91</f>
        <v>17195132.8365</v>
      </c>
    </row>
    <row r="92" customFormat="false" ht="15" hidden="false" customHeight="false" outlineLevel="0" collapsed="false">
      <c r="A92" s="7" t="n">
        <v>46142</v>
      </c>
      <c r="B92" s="8" t="n">
        <v>21107913.03</v>
      </c>
      <c r="C92" s="8" t="n">
        <v>2056412</v>
      </c>
      <c r="D92" s="8" t="n">
        <v>367439</v>
      </c>
      <c r="E92" s="8" t="n">
        <v>3351752</v>
      </c>
      <c r="F92" s="8" t="n">
        <v>298016</v>
      </c>
      <c r="G92" s="8" t="n">
        <v>155698</v>
      </c>
      <c r="H92" s="8" t="n">
        <v>742870</v>
      </c>
      <c r="I92" s="8" t="n">
        <v>488761</v>
      </c>
      <c r="J92" s="8" t="n">
        <v>1732898</v>
      </c>
      <c r="K92" s="9" t="n">
        <f aca="false">C92-D92</f>
        <v>1688973</v>
      </c>
      <c r="L92" s="9" t="n">
        <f aca="false">B92-C92-F92-J92</f>
        <v>17020587.03</v>
      </c>
    </row>
    <row r="93" customFormat="false" ht="15" hidden="false" customHeight="false" outlineLevel="0" collapsed="false">
      <c r="A93" s="7" t="n">
        <v>46173</v>
      </c>
      <c r="B93" s="8" t="n">
        <v>21378959.6</v>
      </c>
      <c r="C93" s="8" t="n">
        <v>2088395</v>
      </c>
      <c r="D93" s="8" t="n">
        <v>369647</v>
      </c>
      <c r="E93" s="8" t="n">
        <v>3369034</v>
      </c>
      <c r="F93" s="8" t="n">
        <v>294535</v>
      </c>
      <c r="G93" s="8" t="n">
        <v>157517</v>
      </c>
      <c r="H93" s="8" t="n">
        <v>748450</v>
      </c>
      <c r="I93" s="8" t="n">
        <v>514281</v>
      </c>
      <c r="J93" s="8" t="n">
        <v>1743414</v>
      </c>
      <c r="K93" s="9" t="n">
        <f aca="false">C93-D93</f>
        <v>1718748</v>
      </c>
      <c r="L93" s="9" t="n">
        <f aca="false">B93-C93-F93-J93</f>
        <v>17252615.6</v>
      </c>
    </row>
    <row r="94" customFormat="false" ht="15" hidden="false" customHeight="false" outlineLevel="0" collapsed="false">
      <c r="A94" s="7" t="n">
        <v>46203</v>
      </c>
      <c r="B94" s="8" t="n">
        <v>21796315.44</v>
      </c>
      <c r="C94" s="8" t="n">
        <v>2110374</v>
      </c>
      <c r="D94" s="8" t="n">
        <v>371870.17</v>
      </c>
      <c r="E94" s="8" t="n">
        <v>3403805.521</v>
      </c>
      <c r="F94" s="8" t="n">
        <v>298280.4008</v>
      </c>
      <c r="G94" s="8" t="n">
        <v>158115.99</v>
      </c>
      <c r="H94" s="8" t="n">
        <v>754369.9923</v>
      </c>
      <c r="I94" s="8" t="n">
        <v>535544</v>
      </c>
      <c r="J94" s="8" t="n">
        <v>1767460.001</v>
      </c>
      <c r="K94" s="9" t="n">
        <f aca="false">C94-D94</f>
        <v>1738503.83</v>
      </c>
      <c r="L94" s="9" t="n">
        <f aca="false">B94-C94-F94-J94</f>
        <v>17620201.0382</v>
      </c>
    </row>
    <row r="95" customFormat="false" ht="15" hidden="false" customHeight="false" outlineLevel="0" collapsed="false">
      <c r="A95" s="7" t="n">
        <v>46234</v>
      </c>
      <c r="B95" s="8" t="n">
        <v>21960264.22</v>
      </c>
      <c r="C95" s="8" t="n">
        <v>2127531</v>
      </c>
      <c r="D95" s="8" t="n">
        <v>382151.44</v>
      </c>
      <c r="E95" s="8" t="n">
        <v>3428452.554</v>
      </c>
      <c r="F95" s="8" t="n">
        <v>297756.0797</v>
      </c>
      <c r="G95" s="8" t="n">
        <v>160946.7871</v>
      </c>
      <c r="H95" s="8" t="n">
        <v>764554.4702</v>
      </c>
      <c r="I95" s="8" t="n">
        <v>552261</v>
      </c>
      <c r="J95" s="8" t="n">
        <v>1784253.095</v>
      </c>
      <c r="K95" s="9" t="n">
        <f aca="false">C95-D95</f>
        <v>1745379.56</v>
      </c>
      <c r="L95" s="9" t="n">
        <f aca="false">B95-C95-F95-J95</f>
        <v>17750724.0453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3" min="2" style="0" width="18"/>
    <col collapsed="false" customWidth="true" hidden="false" outlineLevel="0" max="4" min="4" style="0" width="20"/>
    <col collapsed="false" customWidth="true" hidden="false" outlineLevel="0" max="5" min="5" style="0" width="24"/>
  </cols>
  <sheetData>
    <row r="1" customFormat="false" ht="15" hidden="false" customHeight="false" outlineLevel="0" collapsed="false">
      <c r="A1" s="6" t="s">
        <v>61</v>
      </c>
    </row>
    <row r="2" customFormat="false" ht="15" hidden="false" customHeight="false" outlineLevel="0" collapsed="false">
      <c r="A2" s="2" t="s">
        <v>62</v>
      </c>
    </row>
    <row r="4" customFormat="false" ht="42" hidden="false" customHeight="true" outlineLevel="0" collapsed="false">
      <c r="A4" s="3" t="s">
        <v>49</v>
      </c>
      <c r="B4" s="3" t="s">
        <v>63</v>
      </c>
      <c r="C4" s="3" t="s">
        <v>64</v>
      </c>
      <c r="D4" s="3" t="s">
        <v>65</v>
      </c>
      <c r="E4" s="3" t="s">
        <v>66</v>
      </c>
    </row>
    <row r="5" customFormat="false" ht="15" hidden="false" customHeight="false" outlineLevel="0" collapsed="false">
      <c r="A5" s="7" t="n">
        <v>43483</v>
      </c>
      <c r="E5" s="9" t="str">
        <f aca="false">IF(B5="","",B5-RBI_Levels!C5-RBI_Levels!F5-D5)</f>
        <v/>
      </c>
    </row>
    <row r="6" customFormat="false" ht="15" hidden="false" customHeight="false" outlineLevel="0" collapsed="false">
      <c r="A6" s="7" t="n">
        <v>43511</v>
      </c>
      <c r="E6" s="9" t="str">
        <f aca="false">IF(B6="","",B6-RBI_Levels!C6-RBI_Levels!F6-D6)</f>
        <v/>
      </c>
    </row>
    <row r="7" customFormat="false" ht="15" hidden="false" customHeight="false" outlineLevel="0" collapsed="false">
      <c r="A7" s="7" t="n">
        <v>43553</v>
      </c>
      <c r="E7" s="9" t="str">
        <f aca="false">IF(B7="","",B7-RBI_Levels!C7-RBI_Levels!F7-D7)</f>
        <v/>
      </c>
    </row>
    <row r="8" customFormat="false" ht="15" hidden="false" customHeight="false" outlineLevel="0" collapsed="false">
      <c r="A8" s="7" t="n">
        <v>43581</v>
      </c>
      <c r="E8" s="9" t="str">
        <f aca="false">IF(B8="","",B8-RBI_Levels!C8-RBI_Levels!F8-D8)</f>
        <v/>
      </c>
    </row>
    <row r="9" customFormat="false" ht="15" hidden="false" customHeight="false" outlineLevel="0" collapsed="false">
      <c r="A9" s="7" t="n">
        <v>43609</v>
      </c>
      <c r="E9" s="9" t="str">
        <f aca="false">IF(B9="","",B9-RBI_Levels!C9-RBI_Levels!F9-D9)</f>
        <v/>
      </c>
    </row>
    <row r="10" customFormat="false" ht="15" hidden="false" customHeight="false" outlineLevel="0" collapsed="false">
      <c r="A10" s="7" t="n">
        <v>43637</v>
      </c>
      <c r="E10" s="9" t="str">
        <f aca="false">IF(B10="","",B10-RBI_Levels!C10-RBI_Levels!F10-D10)</f>
        <v/>
      </c>
    </row>
    <row r="11" customFormat="false" ht="15" hidden="false" customHeight="false" outlineLevel="0" collapsed="false">
      <c r="A11" s="7" t="n">
        <v>43665</v>
      </c>
      <c r="E11" s="9" t="str">
        <f aca="false">IF(B11="","",B11-RBI_Levels!C11-RBI_Levels!F11-D11)</f>
        <v/>
      </c>
    </row>
    <row r="12" customFormat="false" ht="15" hidden="false" customHeight="false" outlineLevel="0" collapsed="false">
      <c r="A12" s="7" t="n">
        <v>43707</v>
      </c>
      <c r="E12" s="9" t="str">
        <f aca="false">IF(B12="","",B12-RBI_Levels!C12-RBI_Levels!F12-D12)</f>
        <v/>
      </c>
    </row>
    <row r="13" customFormat="false" ht="15" hidden="false" customHeight="false" outlineLevel="0" collapsed="false">
      <c r="A13" s="7" t="n">
        <v>43735</v>
      </c>
      <c r="E13" s="9" t="str">
        <f aca="false">IF(B13="","",B13-RBI_Levels!C13-RBI_Levels!F13-D13)</f>
        <v/>
      </c>
    </row>
    <row r="14" customFormat="false" ht="15" hidden="false" customHeight="false" outlineLevel="0" collapsed="false">
      <c r="A14" s="7" t="n">
        <v>43763</v>
      </c>
      <c r="E14" s="9" t="str">
        <f aca="false">IF(B14="","",B14-RBI_Levels!C14-RBI_Levels!F14-D14)</f>
        <v/>
      </c>
    </row>
    <row r="15" customFormat="false" ht="15" hidden="false" customHeight="false" outlineLevel="0" collapsed="false">
      <c r="A15" s="7" t="n">
        <v>43791</v>
      </c>
      <c r="E15" s="9" t="str">
        <f aca="false">IF(B15="","",B15-RBI_Levels!C15-RBI_Levels!F15-D15)</f>
        <v/>
      </c>
    </row>
    <row r="16" customFormat="false" ht="15" hidden="false" customHeight="false" outlineLevel="0" collapsed="false">
      <c r="A16" s="7" t="n">
        <v>43819</v>
      </c>
      <c r="E16" s="9" t="str">
        <f aca="false">IF(B16="","",B16-RBI_Levels!C16-RBI_Levels!F16-D16)</f>
        <v/>
      </c>
    </row>
    <row r="17" customFormat="false" ht="15" hidden="false" customHeight="false" outlineLevel="0" collapsed="false">
      <c r="A17" s="7" t="n">
        <v>43861</v>
      </c>
      <c r="E17" s="9" t="str">
        <f aca="false">IF(B17="","",B17-RBI_Levels!C17-RBI_Levels!F17-D17)</f>
        <v/>
      </c>
    </row>
    <row r="18" customFormat="false" ht="15" hidden="false" customHeight="false" outlineLevel="0" collapsed="false">
      <c r="A18" s="7" t="n">
        <v>43889</v>
      </c>
      <c r="E18" s="9" t="str">
        <f aca="false">IF(B18="","",B18-RBI_Levels!C18-RBI_Levels!F18-D18)</f>
        <v/>
      </c>
    </row>
    <row r="19" customFormat="false" ht="15" hidden="false" customHeight="false" outlineLevel="0" collapsed="false">
      <c r="A19" s="7" t="n">
        <v>43917</v>
      </c>
      <c r="E19" s="9" t="str">
        <f aca="false">IF(B19="","",B19-RBI_Levels!C19-RBI_Levels!F19-D19)</f>
        <v/>
      </c>
    </row>
    <row r="20" customFormat="false" ht="15" hidden="false" customHeight="false" outlineLevel="0" collapsed="false">
      <c r="A20" s="7" t="n">
        <v>43945</v>
      </c>
      <c r="E20" s="9" t="str">
        <f aca="false">IF(B20="","",B20-RBI_Levels!C20-RBI_Levels!F20-D20)</f>
        <v/>
      </c>
    </row>
    <row r="21" customFormat="false" ht="15" hidden="false" customHeight="false" outlineLevel="0" collapsed="false">
      <c r="A21" s="7" t="n">
        <v>43973</v>
      </c>
      <c r="E21" s="9" t="str">
        <f aca="false">IF(B21="","",B21-RBI_Levels!C21-RBI_Levels!F21-D21)</f>
        <v/>
      </c>
    </row>
    <row r="22" customFormat="false" ht="15" hidden="false" customHeight="false" outlineLevel="0" collapsed="false">
      <c r="A22" s="7" t="n">
        <v>44001</v>
      </c>
      <c r="E22" s="9" t="str">
        <f aca="false">IF(B22="","",B22-RBI_Levels!C22-RBI_Levels!F22-D22)</f>
        <v/>
      </c>
    </row>
    <row r="23" customFormat="false" ht="15" hidden="false" customHeight="false" outlineLevel="0" collapsed="false">
      <c r="A23" s="7" t="n">
        <v>44043</v>
      </c>
      <c r="E23" s="9" t="str">
        <f aca="false">IF(B23="","",B23-RBI_Levels!C23-RBI_Levels!F23-D23)</f>
        <v/>
      </c>
    </row>
    <row r="24" customFormat="false" ht="15" hidden="false" customHeight="false" outlineLevel="0" collapsed="false">
      <c r="A24" s="7" t="n">
        <v>44071</v>
      </c>
      <c r="E24" s="9" t="str">
        <f aca="false">IF(B24="","",B24-RBI_Levels!C24-RBI_Levels!F24-D24)</f>
        <v/>
      </c>
    </row>
    <row r="25" customFormat="false" ht="15" hidden="false" customHeight="false" outlineLevel="0" collapsed="false">
      <c r="A25" s="7" t="n">
        <v>44099</v>
      </c>
      <c r="E25" s="9" t="str">
        <f aca="false">IF(B25="","",B25-RBI_Levels!C25-RBI_Levels!F25-D25)</f>
        <v/>
      </c>
    </row>
    <row r="26" customFormat="false" ht="15" hidden="false" customHeight="false" outlineLevel="0" collapsed="false">
      <c r="A26" s="7" t="n">
        <v>44127</v>
      </c>
      <c r="E26" s="9" t="str">
        <f aca="false">IF(B26="","",B26-RBI_Levels!C26-RBI_Levels!F26-D26)</f>
        <v/>
      </c>
    </row>
    <row r="27" customFormat="false" ht="15" hidden="false" customHeight="false" outlineLevel="0" collapsed="false">
      <c r="A27" s="7" t="n">
        <v>44155</v>
      </c>
      <c r="E27" s="9" t="str">
        <f aca="false">IF(B27="","",B27-RBI_Levels!C27-RBI_Levels!F27-D27)</f>
        <v/>
      </c>
    </row>
    <row r="28" customFormat="false" ht="15" hidden="false" customHeight="false" outlineLevel="0" collapsed="false">
      <c r="A28" s="7" t="n">
        <v>44183</v>
      </c>
      <c r="E28" s="9" t="str">
        <f aca="false">IF(B28="","",B28-RBI_Levels!C28-RBI_Levels!F28-D28)</f>
        <v/>
      </c>
    </row>
    <row r="29" customFormat="false" ht="15" hidden="false" customHeight="false" outlineLevel="0" collapsed="false">
      <c r="A29" s="7" t="n">
        <v>44225</v>
      </c>
      <c r="E29" s="9" t="str">
        <f aca="false">IF(B29="","",B29-RBI_Levels!C29-RBI_Levels!F29-D29)</f>
        <v/>
      </c>
    </row>
    <row r="30" customFormat="false" ht="15" hidden="false" customHeight="false" outlineLevel="0" collapsed="false">
      <c r="A30" s="7" t="n">
        <v>44253</v>
      </c>
      <c r="E30" s="9" t="str">
        <f aca="false">IF(B30="","",B30-RBI_Levels!C30-RBI_Levels!F30-D30)</f>
        <v/>
      </c>
    </row>
    <row r="31" customFormat="false" ht="15" hidden="false" customHeight="false" outlineLevel="0" collapsed="false">
      <c r="A31" s="7" t="n">
        <v>44281</v>
      </c>
      <c r="E31" s="9" t="str">
        <f aca="false">IF(B31="","",B31-RBI_Levels!C31-RBI_Levels!F31-D31)</f>
        <v/>
      </c>
    </row>
    <row r="32" customFormat="false" ht="15" hidden="false" customHeight="false" outlineLevel="0" collapsed="false">
      <c r="A32" s="7" t="n">
        <v>44309</v>
      </c>
      <c r="E32" s="9" t="str">
        <f aca="false">IF(B32="","",B32-RBI_Levels!C32-RBI_Levels!F32-D32)</f>
        <v/>
      </c>
    </row>
    <row r="33" customFormat="false" ht="15" hidden="false" customHeight="false" outlineLevel="0" collapsed="false">
      <c r="A33" s="7" t="n">
        <v>44337</v>
      </c>
      <c r="E33" s="9" t="str">
        <f aca="false">IF(B33="","",B33-RBI_Levels!C33-RBI_Levels!F33-D33)</f>
        <v/>
      </c>
    </row>
    <row r="34" customFormat="false" ht="15" hidden="false" customHeight="false" outlineLevel="0" collapsed="false">
      <c r="A34" s="7" t="n">
        <v>44365</v>
      </c>
      <c r="E34" s="9" t="str">
        <f aca="false">IF(B34="","",B34-RBI_Levels!C34-RBI_Levels!F34-D34)</f>
        <v/>
      </c>
    </row>
    <row r="35" customFormat="false" ht="15" hidden="false" customHeight="false" outlineLevel="0" collapsed="false">
      <c r="A35" s="7" t="n">
        <v>44407</v>
      </c>
      <c r="E35" s="9" t="str">
        <f aca="false">IF(B35="","",B35-RBI_Levels!C35-RBI_Levels!F35-D35)</f>
        <v/>
      </c>
    </row>
    <row r="36" customFormat="false" ht="15" hidden="false" customHeight="false" outlineLevel="0" collapsed="false">
      <c r="A36" s="7" t="n">
        <v>44435</v>
      </c>
      <c r="E36" s="9" t="str">
        <f aca="false">IF(B36="","",B36-RBI_Levels!C36-RBI_Levels!F36-D36)</f>
        <v/>
      </c>
    </row>
    <row r="37" customFormat="false" ht="15" hidden="false" customHeight="false" outlineLevel="0" collapsed="false">
      <c r="A37" s="7" t="n">
        <v>44463</v>
      </c>
      <c r="E37" s="9" t="str">
        <f aca="false">IF(B37="","",B37-RBI_Levels!C37-RBI_Levels!F37-D37)</f>
        <v/>
      </c>
    </row>
    <row r="38" customFormat="false" ht="15" hidden="false" customHeight="false" outlineLevel="0" collapsed="false">
      <c r="A38" s="7" t="n">
        <v>44491</v>
      </c>
      <c r="E38" s="9" t="str">
        <f aca="false">IF(B38="","",B38-RBI_Levels!C38-RBI_Levels!F38-D38)</f>
        <v/>
      </c>
    </row>
    <row r="39" customFormat="false" ht="15" hidden="false" customHeight="false" outlineLevel="0" collapsed="false">
      <c r="A39" s="7" t="n">
        <v>44519</v>
      </c>
      <c r="E39" s="9" t="str">
        <f aca="false">IF(B39="","",B39-RBI_Levels!C39-RBI_Levels!F39-D39)</f>
        <v/>
      </c>
    </row>
    <row r="40" customFormat="false" ht="15" hidden="false" customHeight="false" outlineLevel="0" collapsed="false">
      <c r="A40" s="7" t="n">
        <v>44561</v>
      </c>
      <c r="E40" s="9" t="str">
        <f aca="false">IF(B40="","",B40-RBI_Levels!C40-RBI_Levels!F40-D40)</f>
        <v/>
      </c>
    </row>
    <row r="41" customFormat="false" ht="15" hidden="false" customHeight="false" outlineLevel="0" collapsed="false">
      <c r="A41" s="7" t="n">
        <v>44589</v>
      </c>
      <c r="E41" s="9" t="str">
        <f aca="false">IF(B41="","",B41-RBI_Levels!C41-RBI_Levels!F41-D41)</f>
        <v/>
      </c>
    </row>
    <row r="42" customFormat="false" ht="15" hidden="false" customHeight="false" outlineLevel="0" collapsed="false">
      <c r="A42" s="7" t="n">
        <v>44617</v>
      </c>
      <c r="E42" s="9" t="str">
        <f aca="false">IF(B42="","",B42-RBI_Levels!C42-RBI_Levels!F42-D42)</f>
        <v/>
      </c>
    </row>
    <row r="43" customFormat="false" ht="15" hidden="false" customHeight="false" outlineLevel="0" collapsed="false">
      <c r="A43" s="7" t="n">
        <v>44645</v>
      </c>
      <c r="E43" s="9" t="str">
        <f aca="false">IF(B43="","",B43-RBI_Levels!C43-RBI_Levels!F43-D43)</f>
        <v/>
      </c>
    </row>
    <row r="44" customFormat="false" ht="15" hidden="false" customHeight="false" outlineLevel="0" collapsed="false">
      <c r="A44" s="7" t="n">
        <v>44673</v>
      </c>
      <c r="E44" s="9" t="str">
        <f aca="false">IF(B44="","",B44-RBI_Levels!C44-RBI_Levels!F44-D44)</f>
        <v/>
      </c>
    </row>
    <row r="45" customFormat="false" ht="15" hidden="false" customHeight="false" outlineLevel="0" collapsed="false">
      <c r="A45" s="7" t="n">
        <v>44701</v>
      </c>
      <c r="E45" s="9" t="str">
        <f aca="false">IF(B45="","",B45-RBI_Levels!C45-RBI_Levels!F45-D45)</f>
        <v/>
      </c>
    </row>
    <row r="46" customFormat="false" ht="15" hidden="false" customHeight="false" outlineLevel="0" collapsed="false">
      <c r="A46" s="7" t="n">
        <v>44729</v>
      </c>
      <c r="E46" s="9" t="str">
        <f aca="false">IF(B46="","",B46-RBI_Levels!C46-RBI_Levels!F46-D46)</f>
        <v/>
      </c>
    </row>
    <row r="47" customFormat="false" ht="15" hidden="false" customHeight="false" outlineLevel="0" collapsed="false">
      <c r="A47" s="7" t="n">
        <v>44771</v>
      </c>
      <c r="E47" s="9" t="str">
        <f aca="false">IF(B47="","",B47-RBI_Levels!C47-RBI_Levels!F47-D47)</f>
        <v/>
      </c>
    </row>
    <row r="48" customFormat="false" ht="15" hidden="false" customHeight="false" outlineLevel="0" collapsed="false">
      <c r="A48" s="7" t="n">
        <v>44799</v>
      </c>
      <c r="E48" s="9" t="str">
        <f aca="false">IF(B48="","",B48-RBI_Levels!C48-RBI_Levels!F48-D48)</f>
        <v/>
      </c>
    </row>
    <row r="49" customFormat="false" ht="15" hidden="false" customHeight="false" outlineLevel="0" collapsed="false">
      <c r="A49" s="7" t="n">
        <v>44827</v>
      </c>
      <c r="E49" s="9" t="str">
        <f aca="false">IF(B49="","",B49-RBI_Levels!C49-RBI_Levels!F49-D49)</f>
        <v/>
      </c>
    </row>
    <row r="50" customFormat="false" ht="15" hidden="false" customHeight="false" outlineLevel="0" collapsed="false">
      <c r="A50" s="7" t="n">
        <v>44855</v>
      </c>
      <c r="E50" s="9" t="str">
        <f aca="false">IF(B50="","",B50-RBI_Levels!C50-RBI_Levels!F50-D50)</f>
        <v/>
      </c>
    </row>
    <row r="51" customFormat="false" ht="15" hidden="false" customHeight="false" outlineLevel="0" collapsed="false">
      <c r="A51" s="7" t="n">
        <v>44883</v>
      </c>
      <c r="E51" s="9" t="str">
        <f aca="false">IF(B51="","",B51-RBI_Levels!C51-RBI_Levels!F51-D51)</f>
        <v/>
      </c>
    </row>
    <row r="52" customFormat="false" ht="15" hidden="false" customHeight="false" outlineLevel="0" collapsed="false">
      <c r="A52" s="7" t="n">
        <v>44925</v>
      </c>
      <c r="E52" s="9" t="str">
        <f aca="false">IF(B52="","",B52-RBI_Levels!C52-RBI_Levels!F52-D52)</f>
        <v/>
      </c>
    </row>
    <row r="53" customFormat="false" ht="15" hidden="false" customHeight="false" outlineLevel="0" collapsed="false">
      <c r="A53" s="7" t="n">
        <v>44953</v>
      </c>
      <c r="E53" s="9" t="str">
        <f aca="false">IF(B53="","",B53-RBI_Levels!C53-RBI_Levels!F53-D53)</f>
        <v/>
      </c>
    </row>
    <row r="54" customFormat="false" ht="15" hidden="false" customHeight="false" outlineLevel="0" collapsed="false">
      <c r="A54" s="7" t="n">
        <v>44981</v>
      </c>
      <c r="E54" s="9" t="str">
        <f aca="false">IF(B54="","",B54-RBI_Levels!C54-RBI_Levels!F54-D54)</f>
        <v/>
      </c>
    </row>
    <row r="55" customFormat="false" ht="15" hidden="false" customHeight="false" outlineLevel="0" collapsed="false">
      <c r="A55" s="7" t="n">
        <v>45009</v>
      </c>
      <c r="E55" s="9" t="str">
        <f aca="false">IF(B55="","",B55-RBI_Levels!C55-RBI_Levels!F55-D55)</f>
        <v/>
      </c>
    </row>
    <row r="56" customFormat="false" ht="15" hidden="false" customHeight="false" outlineLevel="0" collapsed="false">
      <c r="A56" s="7" t="n">
        <v>45037</v>
      </c>
      <c r="E56" s="9" t="str">
        <f aca="false">IF(B56="","",B56-RBI_Levels!C56-RBI_Levels!F56-D56)</f>
        <v/>
      </c>
    </row>
    <row r="57" customFormat="false" ht="15" hidden="false" customHeight="false" outlineLevel="0" collapsed="false">
      <c r="A57" s="7" t="n">
        <v>45065</v>
      </c>
      <c r="E57" s="9" t="str">
        <f aca="false">IF(B57="","",B57-RBI_Levels!C57-RBI_Levels!F57-D57)</f>
        <v/>
      </c>
    </row>
    <row r="58" customFormat="false" ht="15" hidden="false" customHeight="false" outlineLevel="0" collapsed="false">
      <c r="A58" s="7" t="n">
        <v>45107</v>
      </c>
      <c r="E58" s="9" t="str">
        <f aca="false">IF(B58="","",B58-RBI_Levels!C58-RBI_Levels!F58-D58)</f>
        <v/>
      </c>
    </row>
    <row r="59" customFormat="false" ht="15" hidden="false" customHeight="false" outlineLevel="0" collapsed="false">
      <c r="A59" s="7" t="n">
        <v>45135</v>
      </c>
      <c r="B59" s="8" t="n">
        <v>14156007</v>
      </c>
      <c r="C59" s="8" t="n">
        <v>2052115</v>
      </c>
      <c r="D59" s="8" t="n">
        <v>1216369</v>
      </c>
      <c r="E59" s="9" t="n">
        <f aca="false">IF(B59="","",B59-RBI_Levels!C59-RBI_Levels!F59-D59)</f>
        <v>11357579.355801</v>
      </c>
    </row>
    <row r="60" customFormat="false" ht="15" hidden="false" customHeight="false" outlineLevel="0" collapsed="false">
      <c r="A60" s="7" t="n">
        <v>45163</v>
      </c>
      <c r="B60" s="8" t="n">
        <v>14295755</v>
      </c>
      <c r="C60" s="8" t="n">
        <v>2081117</v>
      </c>
      <c r="D60" s="8" t="n">
        <v>1227512</v>
      </c>
      <c r="E60" s="9" t="n">
        <f aca="false">IF(B60="","",B60-RBI_Levels!C60-RBI_Levels!F60-D60)</f>
        <v>11477503.923986</v>
      </c>
    </row>
    <row r="61" customFormat="false" ht="15" hidden="false" customHeight="false" outlineLevel="0" collapsed="false">
      <c r="A61" s="7" t="n">
        <v>45191</v>
      </c>
      <c r="B61" s="8" t="n">
        <v>14540009</v>
      </c>
      <c r="C61" s="8" t="n">
        <v>2105971</v>
      </c>
      <c r="D61" s="8" t="n">
        <v>1253324</v>
      </c>
      <c r="E61" s="9" t="n">
        <f aca="false">IF(B61="","",B61-RBI_Levels!C61-RBI_Levels!F61-D61)</f>
        <v>11659746.032536</v>
      </c>
    </row>
    <row r="62" customFormat="false" ht="15" hidden="false" customHeight="false" outlineLevel="0" collapsed="false">
      <c r="A62" s="7" t="n">
        <v>45219</v>
      </c>
      <c r="B62" s="8" t="n">
        <v>14977627.6</v>
      </c>
      <c r="C62" s="8" t="n">
        <v>2144052.265</v>
      </c>
      <c r="D62" s="8" t="n">
        <v>1305788.523</v>
      </c>
      <c r="E62" s="9" t="n">
        <f aca="false">IF(B62="","",B62-RBI_Levels!C62-RBI_Levels!F62-D62)</f>
        <v>11981572.7092</v>
      </c>
    </row>
    <row r="63" customFormat="false" ht="15" hidden="false" customHeight="false" outlineLevel="0" collapsed="false">
      <c r="A63" s="7" t="n">
        <v>45247</v>
      </c>
      <c r="B63" s="8" t="n">
        <v>15205570.37</v>
      </c>
      <c r="C63" s="8" t="n">
        <v>2176906.399</v>
      </c>
      <c r="D63" s="8" t="n">
        <v>1316795.673</v>
      </c>
      <c r="E63" s="9" t="n">
        <f aca="false">IF(B63="","",B63-RBI_Levels!C63-RBI_Levels!F63-D63)</f>
        <v>12179254.107</v>
      </c>
    </row>
    <row r="64" customFormat="false" ht="15" hidden="false" customHeight="false" outlineLevel="0" collapsed="false">
      <c r="A64" s="7" t="n">
        <v>45289</v>
      </c>
      <c r="B64" s="8" t="n">
        <v>15345732.86</v>
      </c>
      <c r="C64" s="8" t="n">
        <v>2228349.961</v>
      </c>
      <c r="D64" s="8" t="n">
        <v>1352880.042</v>
      </c>
      <c r="E64" s="9" t="n">
        <f aca="false">IF(B64="","",B64-RBI_Levels!C64-RBI_Levels!F64-D64)</f>
        <v>12219486.352</v>
      </c>
    </row>
    <row r="65" customFormat="false" ht="15" hidden="false" customHeight="false" outlineLevel="0" collapsed="false">
      <c r="A65" s="7" t="n">
        <v>45317</v>
      </c>
      <c r="B65" s="8" t="n">
        <v>15444737.09</v>
      </c>
      <c r="C65" s="8" t="n">
        <v>2263917.569</v>
      </c>
      <c r="D65" s="8" t="n">
        <v>1369940.31</v>
      </c>
      <c r="E65" s="9" t="n">
        <f aca="false">IF(B65="","",B65-RBI_Levels!C65-RBI_Levels!F65-D65)</f>
        <v>12320875.9043</v>
      </c>
    </row>
    <row r="66" customFormat="false" ht="15" hidden="false" customHeight="false" outlineLevel="0" collapsed="false">
      <c r="A66" s="7" t="n">
        <v>45345</v>
      </c>
      <c r="B66" s="8" t="n">
        <v>15637228.1</v>
      </c>
      <c r="C66" s="8" t="n">
        <v>2289954.294</v>
      </c>
      <c r="D66" s="8" t="n">
        <v>1386678.714</v>
      </c>
      <c r="E66" s="9" t="n">
        <f aca="false">IF(B66="","",B66-RBI_Levels!C66-RBI_Levels!F66-D66)</f>
        <v>12501736.6362</v>
      </c>
    </row>
    <row r="67" customFormat="false" ht="15" hidden="false" customHeight="false" outlineLevel="0" collapsed="false">
      <c r="A67" s="7" t="n">
        <v>45373</v>
      </c>
      <c r="B67" s="8" t="n">
        <v>15878396.64</v>
      </c>
      <c r="C67" s="8" t="n">
        <v>2331931.602</v>
      </c>
      <c r="D67" s="8" t="n">
        <v>1403063.163</v>
      </c>
      <c r="E67" s="9" t="n">
        <f aca="false">IF(B67="","",B67-RBI_Levels!C67-RBI_Levels!F67-D67)</f>
        <v>12695262.9473</v>
      </c>
    </row>
    <row r="68" customFormat="false" ht="15" hidden="false" customHeight="false" outlineLevel="0" collapsed="false">
      <c r="A68" s="7" t="n">
        <v>45401</v>
      </c>
      <c r="B68" s="8" t="n">
        <v>15952888.02</v>
      </c>
      <c r="C68" s="8" t="n">
        <v>2358296.386</v>
      </c>
      <c r="D68" s="8" t="n">
        <v>1392427.262</v>
      </c>
      <c r="E68" s="9" t="n">
        <f aca="false">IF(B68="","",B68-RBI_Levels!C68-RBI_Levels!F68-D68)</f>
        <v>12760758.0694</v>
      </c>
    </row>
    <row r="69" customFormat="false" ht="15" hidden="false" customHeight="false" outlineLevel="0" collapsed="false">
      <c r="A69" s="7" t="n">
        <v>45443</v>
      </c>
      <c r="B69" s="8" t="n">
        <v>16232738.65</v>
      </c>
      <c r="C69" s="8" t="n">
        <v>2409156.192</v>
      </c>
      <c r="D69" s="8" t="n">
        <v>1421323.634</v>
      </c>
      <c r="E69" s="9" t="n">
        <f aca="false">IF(B69="","",B69-RBI_Levels!C69-RBI_Levels!F69-D69)</f>
        <v>12996151.6865</v>
      </c>
    </row>
    <row r="70" customFormat="false" ht="15" hidden="false" customHeight="false" outlineLevel="0" collapsed="false">
      <c r="A70" s="7" t="n">
        <v>45471</v>
      </c>
      <c r="B70" s="8" t="n">
        <v>16351894.22</v>
      </c>
      <c r="C70" s="8" t="n">
        <v>2427444.25</v>
      </c>
      <c r="D70" s="8" t="n">
        <v>1421630.66</v>
      </c>
      <c r="E70" s="9" t="n">
        <f aca="false">IF(B70="","",B70-RBI_Levels!C70-RBI_Levels!F70-D70)</f>
        <v>13109553.6387</v>
      </c>
    </row>
    <row r="71" customFormat="false" ht="15" hidden="false" customHeight="false" outlineLevel="0" collapsed="false">
      <c r="A71" s="7" t="n">
        <v>45499</v>
      </c>
      <c r="B71" s="8" t="n">
        <v>16292108.23</v>
      </c>
      <c r="C71" s="8" t="n">
        <v>2443526.111</v>
      </c>
      <c r="D71" s="8" t="n">
        <v>1422885.006</v>
      </c>
      <c r="E71" s="9" t="n">
        <f aca="false">IF(B71="","",B71-RBI_Levels!C71-RBI_Levels!F71-D71)</f>
        <v>13071514.6618</v>
      </c>
    </row>
    <row r="72" customFormat="false" ht="15" hidden="false" customHeight="false" outlineLevel="0" collapsed="false">
      <c r="A72" s="7" t="n">
        <v>45527</v>
      </c>
      <c r="B72" s="8" t="n">
        <v>16435616.05</v>
      </c>
      <c r="C72" s="8" t="n">
        <v>2471484.925</v>
      </c>
      <c r="D72" s="8" t="n">
        <v>1429162.984</v>
      </c>
      <c r="E72" s="9" t="n">
        <f aca="false">IF(B72="","",B72-RBI_Levels!C72-RBI_Levels!F72-D72)</f>
        <v>13212337.3668</v>
      </c>
    </row>
    <row r="73" customFormat="false" ht="15" hidden="false" customHeight="false" outlineLevel="0" collapsed="false">
      <c r="A73" s="7" t="n">
        <v>45555</v>
      </c>
      <c r="B73" s="8" t="n">
        <v>16628717.68</v>
      </c>
      <c r="C73" s="8" t="n">
        <v>2490571.176</v>
      </c>
      <c r="D73" s="8" t="n">
        <v>1443336.863</v>
      </c>
      <c r="E73" s="9" t="n">
        <f aca="false">IF(B73="","",B73-RBI_Levels!C73-RBI_Levels!F73-D73)</f>
        <v>13385052.8999</v>
      </c>
    </row>
    <row r="74" customFormat="false" ht="15" hidden="false" customHeight="false" outlineLevel="0" collapsed="false">
      <c r="A74" s="7" t="n">
        <v>45583</v>
      </c>
      <c r="B74" s="8" t="n">
        <v>16933463.37</v>
      </c>
      <c r="C74" s="8" t="n">
        <v>2525134.392</v>
      </c>
      <c r="D74" s="8" t="n">
        <v>1449084.887</v>
      </c>
      <c r="E74" s="9" t="n">
        <f aca="false">IF(B74="","",B74-RBI_Levels!C74-RBI_Levels!F74-D74)</f>
        <v>13666987.881</v>
      </c>
    </row>
    <row r="75" customFormat="false" ht="15" hidden="false" customHeight="false" outlineLevel="0" collapsed="false">
      <c r="A75" s="7" t="n">
        <v>45625</v>
      </c>
      <c r="B75" s="8" t="n">
        <v>16996668</v>
      </c>
      <c r="C75" s="8" t="n">
        <v>2568429.999</v>
      </c>
      <c r="D75" s="8" t="n">
        <v>1472190.008</v>
      </c>
      <c r="E75" s="9" t="n">
        <f aca="false">IF(B75="","",B75-RBI_Levels!C75-RBI_Levels!F75-D75)</f>
        <v>13660833.1061</v>
      </c>
    </row>
    <row r="76" customFormat="false" ht="15" hidden="false" customHeight="false" outlineLevel="0" collapsed="false">
      <c r="A76" s="7" t="n">
        <v>45653</v>
      </c>
      <c r="B76" s="8" t="n">
        <v>17248192</v>
      </c>
      <c r="C76" s="8" t="n">
        <v>2601206.16</v>
      </c>
      <c r="D76" s="8" t="n">
        <v>1478757.856</v>
      </c>
      <c r="E76" s="9" t="n">
        <f aca="false">IF(B76="","",B76-RBI_Levels!C76-RBI_Levels!F76-D76)</f>
        <v>13857346.7702</v>
      </c>
    </row>
    <row r="77" customFormat="false" ht="15" hidden="false" customHeight="false" outlineLevel="0" collapsed="false">
      <c r="A77" s="7" t="n">
        <v>45681</v>
      </c>
      <c r="B77" s="8" t="n">
        <v>17376988.08</v>
      </c>
      <c r="C77" s="8" t="n">
        <v>2614403.042</v>
      </c>
      <c r="D77" s="8" t="n">
        <v>1489588.657</v>
      </c>
      <c r="E77" s="9" t="n">
        <f aca="false">IF(B77="","",B77-RBI_Levels!C77-RBI_Levels!F77-D77)</f>
        <v>13977418.1744</v>
      </c>
    </row>
    <row r="78" customFormat="false" ht="15" hidden="false" customHeight="false" outlineLevel="0" collapsed="false">
      <c r="A78" s="7" t="n">
        <v>45709</v>
      </c>
      <c r="B78" s="8" t="n">
        <v>17509337.58</v>
      </c>
      <c r="C78" s="8" t="n">
        <v>2647642.849</v>
      </c>
      <c r="D78" s="8" t="n">
        <v>1498356.269</v>
      </c>
      <c r="E78" s="9" t="n">
        <f aca="false">IF(B78="","",B78-RBI_Levels!C78-RBI_Levels!F78-D78)</f>
        <v>14113190.5064</v>
      </c>
    </row>
    <row r="79" customFormat="false" ht="15" hidden="false" customHeight="false" outlineLevel="0" collapsed="false">
      <c r="A79" s="7" t="n">
        <v>45737</v>
      </c>
      <c r="B79" s="8" t="n">
        <v>17786074.3</v>
      </c>
      <c r="C79" s="8" t="n">
        <v>2689067.733</v>
      </c>
      <c r="D79" s="8" t="n">
        <v>1514833.771</v>
      </c>
      <c r="E79" s="9" t="n">
        <f aca="false">IF(B79="","",B79-RBI_Levels!C79-RBI_Levels!F79-D79)</f>
        <v>14351772.1065</v>
      </c>
    </row>
    <row r="80" customFormat="false" ht="15" hidden="false" customHeight="false" outlineLevel="0" collapsed="false">
      <c r="A80" s="7" t="n">
        <v>45765</v>
      </c>
      <c r="B80" s="8" t="n">
        <v>17742143.82</v>
      </c>
      <c r="C80" s="8" t="n">
        <v>2704136.75</v>
      </c>
      <c r="D80" s="8" t="n">
        <v>1518059.868</v>
      </c>
      <c r="E80" s="9" t="n">
        <f aca="false">IF(B80="","",B80-RBI_Levels!C80-RBI_Levels!F80-D80)</f>
        <v>14326939.8291</v>
      </c>
    </row>
    <row r="81" customFormat="false" ht="15" hidden="false" customHeight="false" outlineLevel="0" collapsed="false">
      <c r="A81" s="7" t="n">
        <v>45807</v>
      </c>
      <c r="B81" s="8" t="n">
        <v>17818043.08</v>
      </c>
      <c r="C81" s="8" t="n">
        <v>2742753.671</v>
      </c>
      <c r="D81" s="8" t="n">
        <v>1530541.496</v>
      </c>
      <c r="E81" s="9" t="n">
        <f aca="false">IF(B81="","",B81-RBI_Levels!C81-RBI_Levels!F81-D81)</f>
        <v>14434739.7232</v>
      </c>
    </row>
    <row r="82" customFormat="false" ht="15" hidden="false" customHeight="false" outlineLevel="0" collapsed="false">
      <c r="A82" s="7" t="n">
        <v>45835</v>
      </c>
      <c r="B82" s="8" t="n">
        <v>18024223.12</v>
      </c>
      <c r="C82" s="8" t="n">
        <v>2776336.414</v>
      </c>
      <c r="D82" s="8" t="n">
        <v>1528637.5</v>
      </c>
      <c r="E82" s="9" t="n">
        <f aca="false">IF(B82="","",B82-RBI_Levels!C82-RBI_Levels!F82-D82)</f>
        <v>14607033.7843</v>
      </c>
    </row>
    <row r="83" customFormat="false" ht="15" hidden="false" customHeight="false" outlineLevel="0" collapsed="false">
      <c r="A83" s="7" t="n">
        <v>45863</v>
      </c>
      <c r="E83" s="9" t="str">
        <f aca="false">IF(B83="","",B83-RBI_Levels!C83-RBI_Levels!F83-D83)</f>
        <v/>
      </c>
    </row>
    <row r="84" customFormat="false" ht="15" hidden="false" customHeight="false" outlineLevel="0" collapsed="false">
      <c r="A84" s="7" t="n">
        <v>45891</v>
      </c>
      <c r="E84" s="9" t="str">
        <f aca="false">IF(B84="","",B84-RBI_Levels!C84-RBI_Levels!F84-D84)</f>
        <v/>
      </c>
    </row>
    <row r="85" customFormat="false" ht="15" hidden="false" customHeight="false" outlineLevel="0" collapsed="false">
      <c r="A85" s="7" t="n">
        <v>45919</v>
      </c>
      <c r="E85" s="9" t="str">
        <f aca="false">IF(B85="","",B85-RBI_Levels!C85-RBI_Levels!F85-D85)</f>
        <v/>
      </c>
    </row>
    <row r="86" customFormat="false" ht="15" hidden="false" customHeight="false" outlineLevel="0" collapsed="false">
      <c r="A86" s="7" t="n">
        <v>45961</v>
      </c>
      <c r="E86" s="9" t="str">
        <f aca="false">IF(B86="","",B86-RBI_Levels!C86-RBI_Levels!F86-D86)</f>
        <v/>
      </c>
    </row>
    <row r="87" customFormat="false" ht="15" hidden="false" customHeight="false" outlineLevel="0" collapsed="false">
      <c r="A87" s="7" t="n">
        <v>45989</v>
      </c>
      <c r="E87" s="9" t="str">
        <f aca="false">IF(B87="","",B87-RBI_Levels!C87-RBI_Levels!F87-D87)</f>
        <v/>
      </c>
    </row>
    <row r="88" customFormat="false" ht="15" hidden="false" customHeight="false" outlineLevel="0" collapsed="false">
      <c r="A88" s="7" t="n">
        <v>46022</v>
      </c>
      <c r="E88" s="9" t="str">
        <f aca="false">IF(B88="","",B88-RBI_Levels!C88-RBI_Levels!F88-D88)</f>
        <v/>
      </c>
    </row>
    <row r="89" customFormat="false" ht="15" hidden="false" customHeight="false" outlineLevel="0" collapsed="false">
      <c r="A89" s="7" t="n">
        <v>46053</v>
      </c>
      <c r="E89" s="9" t="str">
        <f aca="false">IF(B89="","",B89-RBI_Levels!C89-RBI_Levels!F89-D89)</f>
        <v/>
      </c>
    </row>
    <row r="90" customFormat="false" ht="15" hidden="false" customHeight="false" outlineLevel="0" collapsed="false">
      <c r="A90" s="7" t="n">
        <v>46081</v>
      </c>
      <c r="E90" s="9" t="str">
        <f aca="false">IF(B90="","",B90-RBI_Levels!C90-RBI_Levels!F90-D90)</f>
        <v/>
      </c>
    </row>
    <row r="91" customFormat="false" ht="15" hidden="false" customHeight="false" outlineLevel="0" collapsed="false">
      <c r="A91" s="7" t="n">
        <v>46112</v>
      </c>
      <c r="E91" s="9" t="str">
        <f aca="false">IF(B91="","",B91-RBI_Levels!C91-RBI_Levels!F91-D91)</f>
        <v/>
      </c>
    </row>
    <row r="92" customFormat="false" ht="15" hidden="false" customHeight="false" outlineLevel="0" collapsed="false">
      <c r="A92" s="7" t="n">
        <v>46142</v>
      </c>
      <c r="E92" s="9" t="str">
        <f aca="false">IF(B92="","",B92-RBI_Levels!C92-RBI_Levels!F92-D92)</f>
        <v/>
      </c>
    </row>
    <row r="93" customFormat="false" ht="15" hidden="false" customHeight="false" outlineLevel="0" collapsed="false">
      <c r="A93" s="7" t="n">
        <v>46173</v>
      </c>
      <c r="E93" s="9" t="str">
        <f aca="false">IF(B93="","",B93-RBI_Levels!C93-RBI_Levels!F93-D93)</f>
        <v/>
      </c>
    </row>
    <row r="94" customFormat="false" ht="15" hidden="false" customHeight="false" outlineLevel="0" collapsed="false">
      <c r="A94" s="7" t="n">
        <v>46203</v>
      </c>
      <c r="E94" s="9" t="str">
        <f aca="false">IF(B94="","",B94-RBI_Levels!C94-RBI_Levels!F94-D94)</f>
        <v/>
      </c>
    </row>
    <row r="95" customFormat="false" ht="15" hidden="false" customHeight="false" outlineLevel="0" collapsed="false">
      <c r="A95" s="7" t="n">
        <v>46234</v>
      </c>
      <c r="E95" s="9" t="str">
        <f aca="false">IF(B95="","",B95-RBI_Levels!C95-RBI_Levels!F95-D95)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2" min="1" style="0" width="12"/>
    <col collapsed="false" customWidth="true" hidden="false" outlineLevel="0" max="13" min="13" style="0" width="20"/>
    <col collapsed="false" customWidth="true" hidden="false" outlineLevel="0" max="14" min="14" style="0" width="16"/>
    <col collapsed="false" customWidth="true" hidden="false" outlineLevel="0" max="15" min="15" style="0" width="20"/>
    <col collapsed="false" customWidth="true" hidden="false" outlineLevel="0" max="16" min="16" style="0" width="12"/>
    <col collapsed="false" customWidth="true" hidden="false" outlineLevel="0" max="17" min="17" style="0" width="10"/>
    <col collapsed="false" customWidth="true" hidden="false" outlineLevel="0" max="18" min="18" style="0" width="16"/>
  </cols>
  <sheetData>
    <row r="1" customFormat="false" ht="15" hidden="false" customHeight="false" outlineLevel="0" collapsed="false">
      <c r="A1" s="6" t="s">
        <v>67</v>
      </c>
    </row>
    <row r="2" customFormat="false" ht="15" hidden="false" customHeight="false" outlineLevel="0" collapsed="false">
      <c r="A2" s="2" t="s">
        <v>68</v>
      </c>
    </row>
    <row r="4" customFormat="false" ht="42" hidden="false" customHeight="true" outlineLevel="0" collapsed="false">
      <c r="A4" s="3" t="s">
        <v>49</v>
      </c>
      <c r="B4" s="3" t="s">
        <v>69</v>
      </c>
      <c r="C4" s="3" t="s">
        <v>70</v>
      </c>
      <c r="D4" s="3" t="s">
        <v>71</v>
      </c>
      <c r="E4" s="3" t="s">
        <v>72</v>
      </c>
      <c r="F4" s="3" t="s">
        <v>73</v>
      </c>
      <c r="G4" s="3" t="s">
        <v>74</v>
      </c>
      <c r="H4" s="3" t="s">
        <v>75</v>
      </c>
      <c r="I4" s="3" t="s">
        <v>76</v>
      </c>
      <c r="J4" s="3" t="s">
        <v>77</v>
      </c>
      <c r="K4" s="3" t="s">
        <v>78</v>
      </c>
      <c r="L4" s="3" t="s">
        <v>79</v>
      </c>
      <c r="M4" s="3" t="s">
        <v>80</v>
      </c>
      <c r="N4" s="3" t="s">
        <v>81</v>
      </c>
      <c r="O4" s="3" t="s">
        <v>82</v>
      </c>
      <c r="P4" s="3" t="s">
        <v>83</v>
      </c>
      <c r="Q4" s="3" t="s">
        <v>84</v>
      </c>
      <c r="R4" s="3" t="s">
        <v>85</v>
      </c>
    </row>
    <row r="5" customFormat="false" ht="15" hidden="false" customHeight="false" outlineLevel="0" collapsed="false">
      <c r="A5" s="7" t="n">
        <v>43483</v>
      </c>
    </row>
    <row r="6" customFormat="false" ht="15" hidden="false" customHeight="false" outlineLevel="0" collapsed="false">
      <c r="A6" s="7" t="n">
        <v>43511</v>
      </c>
      <c r="B6" s="10" t="n">
        <f aca="false">100*LN(RBI_Levels!F6/RBI_Levels!F5)</f>
        <v>-1.01788549593052</v>
      </c>
      <c r="C6" s="10" t="n">
        <f aca="false">100*LN(RBI_Levels!J6/RBI_Levels!J5)</f>
        <v>1.63029377643789</v>
      </c>
      <c r="D6" s="10" t="n">
        <f aca="false">100*LN(RBI_Levels!E6/RBI_Levels!E5)</f>
        <v>1.04438326502492</v>
      </c>
      <c r="E6" s="10" t="n">
        <f aca="false">100*LN(RBI_Levels!H6/RBI_Levels!H5)</f>
        <v>0.188703809598809</v>
      </c>
      <c r="F6" s="10" t="n">
        <f aca="false">100*LN(RBI_Levels!G6/RBI_Levels!G5)</f>
        <v>0.0967999509346347</v>
      </c>
      <c r="G6" s="10" t="n">
        <f aca="false">100*LN(RBI_Levels!I6/RBI_Levels!I5)</f>
        <v>0.632606240308109</v>
      </c>
      <c r="H6" s="10" t="n">
        <f aca="false">100*LN(RBI_Levels!K6/RBI_Levels!K5)</f>
        <v>8.01633123383531</v>
      </c>
      <c r="I6" s="10" t="n">
        <f aca="false">100*LN(RBI_Levels!D6/RBI_Levels!D5)</f>
        <v>3.12447373212042</v>
      </c>
      <c r="J6" s="10" t="n">
        <f aca="false">100*LN(RBI_Levels!C6/RBI_Levels!C5)</f>
        <v>6.51354568060928</v>
      </c>
      <c r="K6" s="10" t="n">
        <f aca="false">100*LN(RBI_Levels!B6/RBI_Levels!B5)</f>
        <v>1.25558150804548</v>
      </c>
      <c r="L6" s="10" t="n">
        <f aca="false">100*LN(RBI_Levels!L6/RBI_Levels!L5)</f>
        <v>0.805119248185119</v>
      </c>
      <c r="M6" s="10" t="n">
        <f aca="false">AVERAGE(B6,C6)-AVERAGE(D6,E6,F6)</f>
        <v>-0.137091534932434</v>
      </c>
      <c r="N6" s="10" t="n">
        <f aca="false">IF(OR(H6="",K6=""),"",H6-K6)</f>
        <v>6.76074972578983</v>
      </c>
      <c r="O6" s="10" t="n">
        <f aca="false">IF(OR(H6="",L6=""),"",H6-L6)</f>
        <v>7.21121198565019</v>
      </c>
      <c r="P6" s="11" t="n">
        <f aca="false">IF(AND(A6&gt;=DATE(2021,4,1),A6&lt;=DATE(2025,1,31)),1,0)</f>
        <v>0</v>
      </c>
      <c r="Q6" s="11" t="n">
        <f aca="false">IF(A6&gt;=DATE(2023,12,1),1,0)</f>
        <v>0</v>
      </c>
      <c r="R6" s="12" t="str">
        <f aca="false">IF(A6&lt;DATE(2021,4,1),"Before sample",IF(A6&lt;=DATE(2023,11,17),"Pre-policy",IF(A6&lt;=DATE(2025,3,31),"Post-policy","After rollback")))</f>
        <v>Before sample</v>
      </c>
    </row>
    <row r="7" customFormat="false" ht="15" hidden="false" customHeight="false" outlineLevel="0" collapsed="false">
      <c r="A7" s="7" t="n">
        <v>43553</v>
      </c>
      <c r="B7" s="10" t="n">
        <f aca="false">100*LN(RBI_Levels!F7/RBI_Levels!F6)</f>
        <v>5.7345436301223</v>
      </c>
      <c r="C7" s="10" t="n">
        <f aca="false">100*LN(RBI_Levels!J7/RBI_Levels!J6)</f>
        <v>2.27394875485526</v>
      </c>
      <c r="D7" s="10" t="n">
        <f aca="false">100*LN(RBI_Levels!E7/RBI_Levels!E6)</f>
        <v>1.95615476676463</v>
      </c>
      <c r="E7" s="10" t="n">
        <f aca="false">100*LN(RBI_Levels!H7/RBI_Levels!H6)</f>
        <v>1.06834274407172</v>
      </c>
      <c r="F7" s="10" t="n">
        <f aca="false">100*LN(RBI_Levels!G7/RBI_Levels!G6)</f>
        <v>-0.585640595970223</v>
      </c>
      <c r="G7" s="10" t="n">
        <f aca="false">100*LN(RBI_Levels!I7/RBI_Levels!I6)</f>
        <v>0.287229261026014</v>
      </c>
      <c r="H7" s="10" t="n">
        <f aca="false">100*LN(RBI_Levels!K7/RBI_Levels!K6)</f>
        <v>6.29398113019509</v>
      </c>
      <c r="I7" s="10" t="n">
        <f aca="false">100*LN(RBI_Levels!D7/RBI_Levels!D6)</f>
        <v>5.43935404766529</v>
      </c>
      <c r="J7" s="10" t="n">
        <f aca="false">100*LN(RBI_Levels!C7/RBI_Levels!C6)</f>
        <v>6.03664214730477</v>
      </c>
      <c r="K7" s="10" t="n">
        <f aca="false">100*LN(RBI_Levels!B7/RBI_Levels!B6)</f>
        <v>3.67921726993984</v>
      </c>
      <c r="L7" s="10" t="n">
        <f aca="false">100*LN(RBI_Levels!L7/RBI_Levels!L6)</f>
        <v>3.54183308412911</v>
      </c>
      <c r="M7" s="10" t="n">
        <f aca="false">AVERAGE(B7,C7)-AVERAGE(D7,E7,F7)</f>
        <v>3.1912938875334</v>
      </c>
      <c r="N7" s="10" t="n">
        <f aca="false">IF(OR(H7="",K7=""),"",H7-K7)</f>
        <v>2.61476386025525</v>
      </c>
      <c r="O7" s="10" t="n">
        <f aca="false">IF(OR(H7="",L7=""),"",H7-L7)</f>
        <v>2.75214804606598</v>
      </c>
      <c r="P7" s="11" t="n">
        <f aca="false">IF(AND(A7&gt;=DATE(2021,4,1),A7&lt;=DATE(2025,1,31)),1,0)</f>
        <v>0</v>
      </c>
      <c r="Q7" s="11" t="n">
        <f aca="false">IF(A7&gt;=DATE(2023,12,1),1,0)</f>
        <v>0</v>
      </c>
      <c r="R7" s="12" t="str">
        <f aca="false">IF(A7&lt;DATE(2021,4,1),"Before sample",IF(A7&lt;=DATE(2023,11,17),"Pre-policy",IF(A7&lt;=DATE(2025,3,31),"Post-policy","After rollback")))</f>
        <v>Before sample</v>
      </c>
    </row>
    <row r="8" customFormat="false" ht="15" hidden="false" customHeight="false" outlineLevel="0" collapsed="false">
      <c r="A8" s="7" t="n">
        <v>43581</v>
      </c>
      <c r="B8" s="10" t="n">
        <f aca="false">100*LN(RBI_Levels!F8/RBI_Levels!F7)</f>
        <v>4.72833147784438</v>
      </c>
      <c r="C8" s="10" t="n">
        <f aca="false">100*LN(RBI_Levels!J8/RBI_Levels!J7)</f>
        <v>0.947400269153121</v>
      </c>
      <c r="D8" s="10" t="n">
        <f aca="false">100*LN(RBI_Levels!E8/RBI_Levels!E7)</f>
        <v>0.895901646094179</v>
      </c>
      <c r="E8" s="10" t="n">
        <f aca="false">100*LN(RBI_Levels!H8/RBI_Levels!H7)</f>
        <v>0.108621616793415</v>
      </c>
      <c r="F8" s="10" t="n">
        <f aca="false">100*LN(RBI_Levels!G8/RBI_Levels!G7)</f>
        <v>-0.59402962283345</v>
      </c>
      <c r="G8" s="10" t="n">
        <f aca="false">100*LN(RBI_Levels!I8/RBI_Levels!I7)</f>
        <v>-0.377920742975438</v>
      </c>
      <c r="H8" s="10" t="n">
        <f aca="false">100*LN(RBI_Levels!K8/RBI_Levels!K7)</f>
        <v>-4.58524841613561</v>
      </c>
      <c r="I8" s="10" t="n">
        <f aca="false">100*LN(RBI_Levels!D8/RBI_Levels!D7)</f>
        <v>-1.04422837124523</v>
      </c>
      <c r="J8" s="10" t="n">
        <f aca="false">100*LN(RBI_Levels!C8/RBI_Levels!C7)</f>
        <v>-3.50895225595914</v>
      </c>
      <c r="K8" s="10" t="n">
        <f aca="false">100*LN(RBI_Levels!B8/RBI_Levels!B7)</f>
        <v>-1.57791926510165</v>
      </c>
      <c r="L8" s="10" t="n">
        <f aca="false">100*LN(RBI_Levels!L8/RBI_Levels!L7)</f>
        <v>-1.64359955909686</v>
      </c>
      <c r="M8" s="10" t="n">
        <f aca="false">AVERAGE(B8,C8)-AVERAGE(D8,E8,F8)</f>
        <v>2.70103466014737</v>
      </c>
      <c r="N8" s="10" t="n">
        <f aca="false">IF(OR(H8="",K8=""),"",H8-K8)</f>
        <v>-3.00732915103396</v>
      </c>
      <c r="O8" s="10" t="n">
        <f aca="false">IF(OR(H8="",L8=""),"",H8-L8)</f>
        <v>-2.94164885703875</v>
      </c>
      <c r="P8" s="11" t="n">
        <f aca="false">IF(AND(A8&gt;=DATE(2021,4,1),A8&lt;=DATE(2025,1,31)),1,0)</f>
        <v>0</v>
      </c>
      <c r="Q8" s="11" t="n">
        <f aca="false">IF(A8&gt;=DATE(2023,12,1),1,0)</f>
        <v>0</v>
      </c>
      <c r="R8" s="12" t="str">
        <f aca="false">IF(A8&lt;DATE(2021,4,1),"Before sample",IF(A8&lt;=DATE(2023,11,17),"Pre-policy",IF(A8&lt;=DATE(2025,3,31),"Post-policy","After rollback")))</f>
        <v>Before sample</v>
      </c>
    </row>
    <row r="9" customFormat="false" ht="15" hidden="false" customHeight="false" outlineLevel="0" collapsed="false">
      <c r="A9" s="7" t="n">
        <v>43609</v>
      </c>
      <c r="B9" s="10" t="n">
        <f aca="false">100*LN(RBI_Levels!F9/RBI_Levels!F8)</f>
        <v>1.19743029884692</v>
      </c>
      <c r="C9" s="10" t="n">
        <f aca="false">100*LN(RBI_Levels!J9/RBI_Levels!J8)</f>
        <v>0.780541570483139</v>
      </c>
      <c r="D9" s="10" t="n">
        <f aca="false">100*LN(RBI_Levels!E9/RBI_Levels!E8)</f>
        <v>0.475021992993168</v>
      </c>
      <c r="E9" s="10" t="n">
        <f aca="false">100*LN(RBI_Levels!H9/RBI_Levels!H8)</f>
        <v>0.585968571685502</v>
      </c>
      <c r="F9" s="10" t="n">
        <f aca="false">100*LN(RBI_Levels!G9/RBI_Levels!G8)</f>
        <v>-0.0909618836522835</v>
      </c>
      <c r="G9" s="10" t="n">
        <f aca="false">100*LN(RBI_Levels!I9/RBI_Levels!I8)</f>
        <v>5.04323677259101</v>
      </c>
      <c r="H9" s="10" t="n">
        <f aca="false">100*LN(RBI_Levels!K9/RBI_Levels!K8)</f>
        <v>-3.13136857842321</v>
      </c>
      <c r="I9" s="10" t="n">
        <f aca="false">100*LN(RBI_Levels!D9/RBI_Levels!D8)</f>
        <v>-1.88244113724809</v>
      </c>
      <c r="J9" s="10" t="n">
        <f aca="false">100*LN(RBI_Levels!C9/RBI_Levels!C8)</f>
        <v>-2.74540302092578</v>
      </c>
      <c r="K9" s="10" t="n">
        <f aca="false">100*LN(RBI_Levels!B9/RBI_Levels!B8)</f>
        <v>-0.229558112154837</v>
      </c>
      <c r="L9" s="10" t="n">
        <f aca="false">100*LN(RBI_Levels!L9/RBI_Levels!L8)</f>
        <v>-0.0951380129232958</v>
      </c>
      <c r="M9" s="10" t="n">
        <f aca="false">AVERAGE(B9,C9)-AVERAGE(D9,E9,F9)</f>
        <v>0.665643040989568</v>
      </c>
      <c r="N9" s="10" t="n">
        <f aca="false">IF(OR(H9="",K9=""),"",H9-K9)</f>
        <v>-2.90181046626837</v>
      </c>
      <c r="O9" s="10" t="n">
        <f aca="false">IF(OR(H9="",L9=""),"",H9-L9)</f>
        <v>-3.03623056549991</v>
      </c>
      <c r="P9" s="11" t="n">
        <f aca="false">IF(AND(A9&gt;=DATE(2021,4,1),A9&lt;=DATE(2025,1,31)),1,0)</f>
        <v>0</v>
      </c>
      <c r="Q9" s="11" t="n">
        <f aca="false">IF(A9&gt;=DATE(2023,12,1),1,0)</f>
        <v>0</v>
      </c>
      <c r="R9" s="12" t="str">
        <f aca="false">IF(A9&lt;DATE(2021,4,1),"Before sample",IF(A9&lt;=DATE(2023,11,17),"Pre-policy",IF(A9&lt;=DATE(2025,3,31),"Post-policy","After rollback")))</f>
        <v>Before sample</v>
      </c>
    </row>
    <row r="10" customFormat="false" ht="15" hidden="false" customHeight="false" outlineLevel="0" collapsed="false">
      <c r="A10" s="7" t="n">
        <v>43637</v>
      </c>
      <c r="B10" s="10" t="n">
        <f aca="false">100*LN(RBI_Levels!F10/RBI_Levels!F9)</f>
        <v>1.33886627127169</v>
      </c>
      <c r="C10" s="10" t="n">
        <f aca="false">100*LN(RBI_Levels!J10/RBI_Levels!J9)</f>
        <v>0.221879666327401</v>
      </c>
      <c r="D10" s="10" t="n">
        <f aca="false">100*LN(RBI_Levels!E10/RBI_Levels!E9)</f>
        <v>1.28402431627101</v>
      </c>
      <c r="E10" s="10" t="n">
        <f aca="false">100*LN(RBI_Levels!H10/RBI_Levels!H9)</f>
        <v>-0.337139709102248</v>
      </c>
      <c r="F10" s="10" t="n">
        <f aca="false">100*LN(RBI_Levels!G10/RBI_Levels!G9)</f>
        <v>0.75670317030817</v>
      </c>
      <c r="G10" s="10" t="n">
        <f aca="false">100*LN(RBI_Levels!I10/RBI_Levels!I9)</f>
        <v>4.73455548392992</v>
      </c>
      <c r="H10" s="10" t="n">
        <f aca="false">100*LN(RBI_Levels!K10/RBI_Levels!K9)</f>
        <v>0.377273322730335</v>
      </c>
      <c r="I10" s="10" t="n">
        <f aca="false">100*LN(RBI_Levels!D10/RBI_Levels!D9)</f>
        <v>0.375794653561018</v>
      </c>
      <c r="J10" s="10" t="n">
        <f aca="false">100*LN(RBI_Levels!C10/RBI_Levels!C9)</f>
        <v>0.376814387400831</v>
      </c>
      <c r="K10" s="10" t="n">
        <f aca="false">100*LN(RBI_Levels!B10/RBI_Levels!B9)</f>
        <v>0.225016455247982</v>
      </c>
      <c r="L10" s="10" t="n">
        <f aca="false">100*LN(RBI_Levels!L10/RBI_Levels!L9)</f>
        <v>0.199431796939541</v>
      </c>
      <c r="M10" s="10" t="n">
        <f aca="false">AVERAGE(B10,C10)-AVERAGE(D10,E10,F10)</f>
        <v>0.212510376307237</v>
      </c>
      <c r="N10" s="10" t="n">
        <f aca="false">IF(OR(H10="",K10=""),"",H10-K10)</f>
        <v>0.152256867482353</v>
      </c>
      <c r="O10" s="10" t="n">
        <f aca="false">IF(OR(H10="",L10=""),"",H10-L10)</f>
        <v>0.177841525790793</v>
      </c>
      <c r="P10" s="11" t="n">
        <f aca="false">IF(AND(A10&gt;=DATE(2021,4,1),A10&lt;=DATE(2025,1,31)),1,0)</f>
        <v>0</v>
      </c>
      <c r="Q10" s="11" t="n">
        <f aca="false">IF(A10&gt;=DATE(2023,12,1),1,0)</f>
        <v>0</v>
      </c>
      <c r="R10" s="12" t="str">
        <f aca="false">IF(A10&lt;DATE(2021,4,1),"Before sample",IF(A10&lt;=DATE(2023,11,17),"Pre-policy",IF(A10&lt;=DATE(2025,3,31),"Post-policy","After rollback")))</f>
        <v>Before sample</v>
      </c>
    </row>
    <row r="11" customFormat="false" ht="15" hidden="false" customHeight="false" outlineLevel="0" collapsed="false">
      <c r="A11" s="7" t="n">
        <v>43665</v>
      </c>
      <c r="B11" s="10" t="n">
        <f aca="false">100*LN(RBI_Levels!F11/RBI_Levels!F10)</f>
        <v>-0.975710134735108</v>
      </c>
      <c r="C11" s="10" t="n">
        <f aca="false">100*LN(RBI_Levels!J11/RBI_Levels!J10)</f>
        <v>2.27531408682052</v>
      </c>
      <c r="D11" s="10" t="n">
        <f aca="false">100*LN(RBI_Levels!E11/RBI_Levels!E10)</f>
        <v>1.20852580076835</v>
      </c>
      <c r="E11" s="10" t="n">
        <f aca="false">100*LN(RBI_Levels!H11/RBI_Levels!H10)</f>
        <v>0.520239921136905</v>
      </c>
      <c r="F11" s="10" t="n">
        <f aca="false">100*LN(RBI_Levels!G11/RBI_Levels!G10)</f>
        <v>0.719173719250581</v>
      </c>
      <c r="G11" s="10" t="n">
        <f aca="false">100*LN(RBI_Levels!I11/RBI_Levels!I10)</f>
        <v>0.41482300291743</v>
      </c>
      <c r="H11" s="10" t="n">
        <f aca="false">100*LN(RBI_Levels!K11/RBI_Levels!K10)</f>
        <v>4.71937245331018</v>
      </c>
      <c r="I11" s="10" t="n">
        <f aca="false">100*LN(RBI_Levels!D11/RBI_Levels!D10)</f>
        <v>1.48452109115063</v>
      </c>
      <c r="J11" s="10" t="n">
        <f aca="false">100*LN(RBI_Levels!C11/RBI_Levels!C10)</f>
        <v>3.72652783607912</v>
      </c>
      <c r="K11" s="10" t="n">
        <f aca="false">100*LN(RBI_Levels!B11/RBI_Levels!B10)</f>
        <v>0.156782377726404</v>
      </c>
      <c r="L11" s="10" t="n">
        <f aca="false">100*LN(RBI_Levels!L11/RBI_Levels!L10)</f>
        <v>-0.291697291622749</v>
      </c>
      <c r="M11" s="10" t="n">
        <f aca="false">AVERAGE(B11,C11)-AVERAGE(D11,E11,F11)</f>
        <v>-0.166177837675904</v>
      </c>
      <c r="N11" s="10" t="n">
        <f aca="false">IF(OR(H11="",K11=""),"",H11-K11)</f>
        <v>4.56259007558378</v>
      </c>
      <c r="O11" s="10" t="n">
        <f aca="false">IF(OR(H11="",L11=""),"",H11-L11)</f>
        <v>5.01106974493293</v>
      </c>
      <c r="P11" s="11" t="n">
        <f aca="false">IF(AND(A11&gt;=DATE(2021,4,1),A11&lt;=DATE(2025,1,31)),1,0)</f>
        <v>0</v>
      </c>
      <c r="Q11" s="11" t="n">
        <f aca="false">IF(A11&gt;=DATE(2023,12,1),1,0)</f>
        <v>0</v>
      </c>
      <c r="R11" s="12" t="str">
        <f aca="false">IF(A11&lt;DATE(2021,4,1),"Before sample",IF(A11&lt;=DATE(2023,11,17),"Pre-policy",IF(A11&lt;=DATE(2025,3,31),"Post-policy","After rollback")))</f>
        <v>Before sample</v>
      </c>
    </row>
    <row r="12" customFormat="false" ht="15" hidden="false" customHeight="false" outlineLevel="0" collapsed="false">
      <c r="A12" s="7" t="n">
        <v>43707</v>
      </c>
      <c r="B12" s="10" t="n">
        <f aca="false">100*LN(RBI_Levels!F12/RBI_Levels!F11)</f>
        <v>3.77828110857505</v>
      </c>
      <c r="C12" s="10" t="n">
        <f aca="false">100*LN(RBI_Levels!J12/RBI_Levels!J11)</f>
        <v>1.11341669241703</v>
      </c>
      <c r="D12" s="10" t="n">
        <f aca="false">100*LN(RBI_Levels!E12/RBI_Levels!E11)</f>
        <v>1.08637580514151</v>
      </c>
      <c r="E12" s="10" t="n">
        <f aca="false">100*LN(RBI_Levels!H12/RBI_Levels!H11)</f>
        <v>0.434412820741156</v>
      </c>
      <c r="F12" s="10" t="n">
        <f aca="false">100*LN(RBI_Levels!G12/RBI_Levels!G11)</f>
        <v>1.99367872611576</v>
      </c>
      <c r="G12" s="10" t="n">
        <f aca="false">100*LN(RBI_Levels!I12/RBI_Levels!I11)</f>
        <v>1.39909881310845</v>
      </c>
      <c r="H12" s="10" t="n">
        <f aca="false">100*LN(RBI_Levels!K12/RBI_Levels!K11)</f>
        <v>4.08284431024469</v>
      </c>
      <c r="I12" s="10" t="n">
        <f aca="false">100*LN(RBI_Levels!D12/RBI_Levels!D11)</f>
        <v>6.12502351211166</v>
      </c>
      <c r="J12" s="10" t="n">
        <f aca="false">100*LN(RBI_Levels!C12/RBI_Levels!C11)</f>
        <v>4.7070405518446</v>
      </c>
      <c r="K12" s="10" t="n">
        <f aca="false">100*LN(RBI_Levels!B12/RBI_Levels!B11)</f>
        <v>0.264294769708146</v>
      </c>
      <c r="L12" s="10" t="n">
        <f aca="false">100*LN(RBI_Levels!L12/RBI_Levels!L11)</f>
        <v>-0.245751669484007</v>
      </c>
      <c r="M12" s="10" t="n">
        <f aca="false">AVERAGE(B12,C12)-AVERAGE(D12,E12,F12)</f>
        <v>1.27435978316324</v>
      </c>
      <c r="N12" s="10" t="n">
        <f aca="false">IF(OR(H12="",K12=""),"",H12-K12)</f>
        <v>3.81854954053655</v>
      </c>
      <c r="O12" s="10" t="n">
        <f aca="false">IF(OR(H12="",L12=""),"",H12-L12)</f>
        <v>4.3285959797287</v>
      </c>
      <c r="P12" s="11" t="n">
        <f aca="false">IF(AND(A12&gt;=DATE(2021,4,1),A12&lt;=DATE(2025,1,31)),1,0)</f>
        <v>0</v>
      </c>
      <c r="Q12" s="11" t="n">
        <f aca="false">IF(A12&gt;=DATE(2023,12,1),1,0)</f>
        <v>0</v>
      </c>
      <c r="R12" s="12" t="str">
        <f aca="false">IF(A12&lt;DATE(2021,4,1),"Before sample",IF(A12&lt;=DATE(2023,11,17),"Pre-policy",IF(A12&lt;=DATE(2025,3,31),"Post-policy","After rollback")))</f>
        <v>Before sample</v>
      </c>
    </row>
    <row r="13" customFormat="false" ht="15" hidden="false" customHeight="false" outlineLevel="0" collapsed="false">
      <c r="A13" s="7" t="n">
        <v>43735</v>
      </c>
      <c r="B13" s="10" t="n">
        <f aca="false">100*LN(RBI_Levels!F13/RBI_Levels!F12)</f>
        <v>1.67174155455667</v>
      </c>
      <c r="C13" s="10" t="n">
        <f aca="false">100*LN(RBI_Levels!J13/RBI_Levels!J12)</f>
        <v>1.66148430302717</v>
      </c>
      <c r="D13" s="10" t="n">
        <f aca="false">100*LN(RBI_Levels!E13/RBI_Levels!E12)</f>
        <v>1.54121688766058</v>
      </c>
      <c r="E13" s="10" t="n">
        <f aca="false">100*LN(RBI_Levels!H13/RBI_Levels!H12)</f>
        <v>0.0441420909261852</v>
      </c>
      <c r="F13" s="10" t="n">
        <f aca="false">100*LN(RBI_Levels!G13/RBI_Levels!G12)</f>
        <v>0.632940659451157</v>
      </c>
      <c r="G13" s="10" t="n">
        <f aca="false">100*LN(RBI_Levels!I13/RBI_Levels!I12)</f>
        <v>4.35952649749787</v>
      </c>
      <c r="H13" s="10" t="n">
        <f aca="false">100*LN(RBI_Levels!K13/RBI_Levels!K12)</f>
        <v>5.23619931892847</v>
      </c>
      <c r="I13" s="10" t="n">
        <f aca="false">100*LN(RBI_Levels!D13/RBI_Levels!D12)</f>
        <v>-0.0454139814723712</v>
      </c>
      <c r="J13" s="10" t="n">
        <f aca="false">100*LN(RBI_Levels!C13/RBI_Levels!C12)</f>
        <v>3.63991796758728</v>
      </c>
      <c r="K13" s="10" t="n">
        <f aca="false">100*LN(RBI_Levels!B13/RBI_Levels!B12)</f>
        <v>0.921187517123353</v>
      </c>
      <c r="L13" s="10" t="n">
        <f aca="false">100*LN(RBI_Levels!L13/RBI_Levels!L12)</f>
        <v>0.598655265035289</v>
      </c>
      <c r="M13" s="10" t="n">
        <f aca="false">AVERAGE(B13,C13)-AVERAGE(D13,E13,F13)</f>
        <v>0.927179716112611</v>
      </c>
      <c r="N13" s="10" t="n">
        <f aca="false">IF(OR(H13="",K13=""),"",H13-K13)</f>
        <v>4.31501180180512</v>
      </c>
      <c r="O13" s="10" t="n">
        <f aca="false">IF(OR(H13="",L13=""),"",H13-L13)</f>
        <v>4.63754405389318</v>
      </c>
      <c r="P13" s="11" t="n">
        <f aca="false">IF(AND(A13&gt;=DATE(2021,4,1),A13&lt;=DATE(2025,1,31)),1,0)</f>
        <v>0</v>
      </c>
      <c r="Q13" s="11" t="n">
        <f aca="false">IF(A13&gt;=DATE(2023,12,1),1,0)</f>
        <v>0</v>
      </c>
      <c r="R13" s="12" t="str">
        <f aca="false">IF(A13&lt;DATE(2021,4,1),"Before sample",IF(A13&lt;=DATE(2023,11,17),"Pre-policy",IF(A13&lt;=DATE(2025,3,31),"Post-policy","After rollback")))</f>
        <v>Before sample</v>
      </c>
    </row>
    <row r="14" customFormat="false" ht="15" hidden="false" customHeight="false" outlineLevel="0" collapsed="false">
      <c r="A14" s="7" t="n">
        <v>43763</v>
      </c>
      <c r="B14" s="10" t="n">
        <f aca="false">100*LN(RBI_Levels!F14/RBI_Levels!F13)</f>
        <v>14.3285180442838</v>
      </c>
      <c r="C14" s="10" t="n">
        <f aca="false">100*LN(RBI_Levels!J14/RBI_Levels!J13)</f>
        <v>7.36770441175104</v>
      </c>
      <c r="D14" s="10" t="n">
        <f aca="false">100*LN(RBI_Levels!E14/RBI_Levels!E13)</f>
        <v>3.12345834286041</v>
      </c>
      <c r="E14" s="10" t="n">
        <f aca="false">100*LN(RBI_Levels!H14/RBI_Levels!H13)</f>
        <v>10.8737397759019</v>
      </c>
      <c r="F14" s="10" t="n">
        <f aca="false">100*LN(RBI_Levels!G14/RBI_Levels!G13)</f>
        <v>-1.10900968363653</v>
      </c>
      <c r="G14" s="10" t="n">
        <f aca="false">100*LN(RBI_Levels!I14/RBI_Levels!I13)</f>
        <v>0.339092429355497</v>
      </c>
      <c r="H14" s="10" t="n">
        <f aca="false">100*LN(RBI_Levels!K14/RBI_Levels!K13)</f>
        <v>2.76870570868169</v>
      </c>
      <c r="I14" s="10" t="n">
        <f aca="false">100*LN(RBI_Levels!D14/RBI_Levels!D13)</f>
        <v>-0.156936013768068</v>
      </c>
      <c r="J14" s="10" t="n">
        <f aca="false">100*LN(RBI_Levels!C14/RBI_Levels!C13)</f>
        <v>1.90960866311984</v>
      </c>
      <c r="K14" s="10" t="n">
        <f aca="false">100*LN(RBI_Levels!B14/RBI_Levels!B13)</f>
        <v>0.657322299970672</v>
      </c>
      <c r="L14" s="10" t="n">
        <f aca="false">100*LN(RBI_Levels!L14/RBI_Levels!L13)</f>
        <v>-0.144940360874968</v>
      </c>
      <c r="M14" s="10" t="n">
        <f aca="false">AVERAGE(B14,C14)-AVERAGE(D14,E14,F14)</f>
        <v>6.55204841630884</v>
      </c>
      <c r="N14" s="10" t="n">
        <f aca="false">IF(OR(H14="",K14=""),"",H14-K14)</f>
        <v>2.11138340871102</v>
      </c>
      <c r="O14" s="10" t="n">
        <f aca="false">IF(OR(H14="",L14=""),"",H14-L14)</f>
        <v>2.91364606955666</v>
      </c>
      <c r="P14" s="11" t="n">
        <f aca="false">IF(AND(A14&gt;=DATE(2021,4,1),A14&lt;=DATE(2025,1,31)),1,0)</f>
        <v>0</v>
      </c>
      <c r="Q14" s="11" t="n">
        <f aca="false">IF(A14&gt;=DATE(2023,12,1),1,0)</f>
        <v>0</v>
      </c>
      <c r="R14" s="12" t="str">
        <f aca="false">IF(A14&lt;DATE(2021,4,1),"Before sample",IF(A14&lt;=DATE(2023,11,17),"Pre-policy",IF(A14&lt;=DATE(2025,3,31),"Post-policy","After rollback")))</f>
        <v>Before sample</v>
      </c>
    </row>
    <row r="15" customFormat="false" ht="15" hidden="false" customHeight="false" outlineLevel="0" collapsed="false">
      <c r="A15" s="7" t="n">
        <v>43791</v>
      </c>
      <c r="B15" s="10" t="n">
        <f aca="false">100*LN(RBI_Levels!F15/RBI_Levels!F14)</f>
        <v>0.961854060345138</v>
      </c>
      <c r="C15" s="10" t="n">
        <f aca="false">100*LN(RBI_Levels!J15/RBI_Levels!J14)</f>
        <v>1.2852677501191</v>
      </c>
      <c r="D15" s="10" t="n">
        <f aca="false">100*LN(RBI_Levels!E15/RBI_Levels!E14)</f>
        <v>0.537499943748222</v>
      </c>
      <c r="E15" s="10" t="n">
        <f aca="false">100*LN(RBI_Levels!H15/RBI_Levels!H14)</f>
        <v>0.436620091951448</v>
      </c>
      <c r="F15" s="10" t="n">
        <f aca="false">100*LN(RBI_Levels!G15/RBI_Levels!G14)</f>
        <v>-0.692107900877919</v>
      </c>
      <c r="G15" s="10" t="n">
        <f aca="false">100*LN(RBI_Levels!I15/RBI_Levels!I14)</f>
        <v>1.20534951548766</v>
      </c>
      <c r="H15" s="10" t="n">
        <f aca="false">100*LN(RBI_Levels!K15/RBI_Levels!K14)</f>
        <v>4.02187546764888</v>
      </c>
      <c r="I15" s="10" t="n">
        <f aca="false">100*LN(RBI_Levels!D15/RBI_Levels!D14)</f>
        <v>-0.907853846832318</v>
      </c>
      <c r="J15" s="10" t="n">
        <f aca="false">100*LN(RBI_Levels!C15/RBI_Levels!C14)</f>
        <v>2.61409434909095</v>
      </c>
      <c r="K15" s="10" t="n">
        <f aca="false">100*LN(RBI_Levels!B15/RBI_Levels!B14)</f>
        <v>-0.0182718898386808</v>
      </c>
      <c r="L15" s="10" t="n">
        <f aca="false">100*LN(RBI_Levels!L15/RBI_Levels!L14)</f>
        <v>-0.399512176795305</v>
      </c>
      <c r="M15" s="10" t="n">
        <f aca="false">AVERAGE(B15,C15)-AVERAGE(D15,E15,F15)</f>
        <v>1.02955686029154</v>
      </c>
      <c r="N15" s="10" t="n">
        <f aca="false">IF(OR(H15="",K15=""),"",H15-K15)</f>
        <v>4.04014735748756</v>
      </c>
      <c r="O15" s="10" t="n">
        <f aca="false">IF(OR(H15="",L15=""),"",H15-L15)</f>
        <v>4.42138764444419</v>
      </c>
      <c r="P15" s="11" t="n">
        <f aca="false">IF(AND(A15&gt;=DATE(2021,4,1),A15&lt;=DATE(2025,1,31)),1,0)</f>
        <v>0</v>
      </c>
      <c r="Q15" s="11" t="n">
        <f aca="false">IF(A15&gt;=DATE(2023,12,1),1,0)</f>
        <v>0</v>
      </c>
      <c r="R15" s="12" t="str">
        <f aca="false">IF(A15&lt;DATE(2021,4,1),"Before sample",IF(A15&lt;=DATE(2023,11,17),"Pre-policy",IF(A15&lt;=DATE(2025,3,31),"Post-policy","After rollback")))</f>
        <v>Before sample</v>
      </c>
    </row>
    <row r="16" customFormat="false" ht="15" hidden="false" customHeight="false" outlineLevel="0" collapsed="false">
      <c r="A16" s="7" t="n">
        <v>43819</v>
      </c>
      <c r="B16" s="10" t="n">
        <f aca="false">100*LN(RBI_Levels!F16/RBI_Levels!F15)</f>
        <v>0.251869859064413</v>
      </c>
      <c r="C16" s="10" t="n">
        <f aca="false">100*LN(RBI_Levels!J16/RBI_Levels!J15)</f>
        <v>2.70172673344111</v>
      </c>
      <c r="D16" s="10" t="n">
        <f aca="false">100*LN(RBI_Levels!E16/RBI_Levels!E15)</f>
        <v>0.117190033014464</v>
      </c>
      <c r="E16" s="10" t="n">
        <f aca="false">100*LN(RBI_Levels!H16/RBI_Levels!H15)</f>
        <v>0.454499313884592</v>
      </c>
      <c r="F16" s="10" t="n">
        <f aca="false">100*LN(RBI_Levels!G16/RBI_Levels!G15)</f>
        <v>0.902532692894636</v>
      </c>
      <c r="G16" s="10" t="n">
        <f aca="false">100*LN(RBI_Levels!I16/RBI_Levels!I15)</f>
        <v>-0.590224042846286</v>
      </c>
      <c r="H16" s="10" t="n">
        <f aca="false">100*LN(RBI_Levels!K16/RBI_Levels!K15)</f>
        <v>-0.109408277751981</v>
      </c>
      <c r="I16" s="10" t="n">
        <f aca="false">100*LN(RBI_Levels!D16/RBI_Levels!D15)</f>
        <v>4.50504962861177</v>
      </c>
      <c r="J16" s="10" t="n">
        <f aca="false">100*LN(RBI_Levels!C16/RBI_Levels!C15)</f>
        <v>1.20685234396798</v>
      </c>
      <c r="K16" s="10" t="n">
        <f aca="false">100*LN(RBI_Levels!B16/RBI_Levels!B15)</f>
        <v>1.86188207398661</v>
      </c>
      <c r="L16" s="10" t="n">
        <f aca="false">100*LN(RBI_Levels!L16/RBI_Levels!L15)</f>
        <v>1.88444210430091</v>
      </c>
      <c r="M16" s="10" t="n">
        <f aca="false">AVERAGE(B16,C16)-AVERAGE(D16,E16,F16)</f>
        <v>0.985390949654865</v>
      </c>
      <c r="N16" s="10" t="n">
        <f aca="false">IF(OR(H16="",K16=""),"",H16-K16)</f>
        <v>-1.97129035173859</v>
      </c>
      <c r="O16" s="10" t="n">
        <f aca="false">IF(OR(H16="",L16=""),"",H16-L16)</f>
        <v>-1.99385038205289</v>
      </c>
      <c r="P16" s="11" t="n">
        <f aca="false">IF(AND(A16&gt;=DATE(2021,4,1),A16&lt;=DATE(2025,1,31)),1,0)</f>
        <v>0</v>
      </c>
      <c r="Q16" s="11" t="n">
        <f aca="false">IF(A16&gt;=DATE(2023,12,1),1,0)</f>
        <v>0</v>
      </c>
      <c r="R16" s="12" t="str">
        <f aca="false">IF(A16&lt;DATE(2021,4,1),"Before sample",IF(A16&lt;=DATE(2023,11,17),"Pre-policy",IF(A16&lt;=DATE(2025,3,31),"Post-policy","After rollback")))</f>
        <v>Before sample</v>
      </c>
    </row>
    <row r="17" customFormat="false" ht="15" hidden="false" customHeight="false" outlineLevel="0" collapsed="false">
      <c r="A17" s="7" t="n">
        <v>43861</v>
      </c>
      <c r="B17" s="10" t="n">
        <f aca="false">100*LN(RBI_Levels!F17/RBI_Levels!F16)</f>
        <v>5.8480034439625</v>
      </c>
      <c r="C17" s="10" t="n">
        <f aca="false">100*LN(RBI_Levels!J17/RBI_Levels!J16)</f>
        <v>2.80887070820136</v>
      </c>
      <c r="D17" s="10" t="n">
        <f aca="false">100*LN(RBI_Levels!E17/RBI_Levels!E16)</f>
        <v>2.83516613240415</v>
      </c>
      <c r="E17" s="10" t="n">
        <f aca="false">100*LN(RBI_Levels!H17/RBI_Levels!H16)</f>
        <v>3.37138701052353</v>
      </c>
      <c r="F17" s="10" t="n">
        <f aca="false">100*LN(RBI_Levels!G17/RBI_Levels!G16)</f>
        <v>1.48982830160375</v>
      </c>
      <c r="G17" s="10" t="n">
        <f aca="false">100*LN(RBI_Levels!I17/RBI_Levels!I16)</f>
        <v>9.05434103884897</v>
      </c>
      <c r="H17" s="10" t="n">
        <f aca="false">100*LN(RBI_Levels!K17/RBI_Levels!K16)</f>
        <v>1.23667614010112</v>
      </c>
      <c r="I17" s="10" t="n">
        <f aca="false">100*LN(RBI_Levels!D17/RBI_Levels!D16)</f>
        <v>-4.53057011493047</v>
      </c>
      <c r="J17" s="10" t="n">
        <f aca="false">100*LN(RBI_Levels!C17/RBI_Levels!C16)</f>
        <v>-0.401670452252773</v>
      </c>
      <c r="K17" s="10" t="n">
        <f aca="false">100*LN(RBI_Levels!B17/RBI_Levels!B16)</f>
        <v>0.737650533696254</v>
      </c>
      <c r="L17" s="10" t="n">
        <f aca="false">100*LN(RBI_Levels!L17/RBI_Levels!L16)</f>
        <v>0.613309801112717</v>
      </c>
      <c r="M17" s="10" t="n">
        <f aca="false">AVERAGE(B17,C17)-AVERAGE(D17,E17,F17)</f>
        <v>1.76297659457146</v>
      </c>
      <c r="N17" s="10" t="n">
        <f aca="false">IF(OR(H17="",K17=""),"",H17-K17)</f>
        <v>0.499025606404862</v>
      </c>
      <c r="O17" s="10" t="n">
        <f aca="false">IF(OR(H17="",L17=""),"",H17-L17)</f>
        <v>0.623366338988399</v>
      </c>
      <c r="P17" s="11" t="n">
        <f aca="false">IF(AND(A17&gt;=DATE(2021,4,1),A17&lt;=DATE(2025,1,31)),1,0)</f>
        <v>0</v>
      </c>
      <c r="Q17" s="11" t="n">
        <f aca="false">IF(A17&gt;=DATE(2023,12,1),1,0)</f>
        <v>0</v>
      </c>
      <c r="R17" s="12" t="str">
        <f aca="false">IF(A17&lt;DATE(2021,4,1),"Before sample",IF(A17&lt;=DATE(2023,11,17),"Pre-policy",IF(A17&lt;=DATE(2025,3,31),"Post-policy","After rollback")))</f>
        <v>Before sample</v>
      </c>
    </row>
    <row r="18" customFormat="false" ht="15" hidden="false" customHeight="false" outlineLevel="0" collapsed="false">
      <c r="A18" s="7" t="n">
        <v>43889</v>
      </c>
      <c r="B18" s="10" t="n">
        <f aca="false">100*LN(RBI_Levels!F18/RBI_Levels!F17)</f>
        <v>0.530249392628384</v>
      </c>
      <c r="C18" s="10" t="n">
        <f aca="false">100*LN(RBI_Levels!J18/RBI_Levels!J17)</f>
        <v>1.74943395586177</v>
      </c>
      <c r="D18" s="10" t="n">
        <f aca="false">100*LN(RBI_Levels!E18/RBI_Levels!E17)</f>
        <v>0.720936141099867</v>
      </c>
      <c r="E18" s="10" t="n">
        <f aca="false">100*LN(RBI_Levels!H18/RBI_Levels!H17)</f>
        <v>0.110923447493592</v>
      </c>
      <c r="F18" s="10" t="n">
        <f aca="false">100*LN(RBI_Levels!G18/RBI_Levels!G17)</f>
        <v>-0.47246197728651</v>
      </c>
      <c r="G18" s="10" t="n">
        <f aca="false">100*LN(RBI_Levels!I18/RBI_Levels!I17)</f>
        <v>-0.24141906869031</v>
      </c>
      <c r="H18" s="10" t="n">
        <f aca="false">100*LN(RBI_Levels!K18/RBI_Levels!K17)</f>
        <v>-3.40399789428036</v>
      </c>
      <c r="I18" s="10" t="n">
        <f aca="false">100*LN(RBI_Levels!D18/RBI_Levels!D17)</f>
        <v>-0.95295113115125</v>
      </c>
      <c r="J18" s="10" t="n">
        <f aca="false">100*LN(RBI_Levels!C18/RBI_Levels!C17)</f>
        <v>-2.71596987657254</v>
      </c>
      <c r="K18" s="10" t="n">
        <f aca="false">100*LN(RBI_Levels!B18/RBI_Levels!B17)</f>
        <v>0.129511212393824</v>
      </c>
      <c r="L18" s="10" t="n">
        <f aca="false">100*LN(RBI_Levels!L18/RBI_Levels!L17)</f>
        <v>0.272683950814389</v>
      </c>
      <c r="M18" s="10" t="n">
        <f aca="false">AVERAGE(B18,C18)-AVERAGE(D18,E18,F18)</f>
        <v>1.0200424704761</v>
      </c>
      <c r="N18" s="10" t="n">
        <f aca="false">IF(OR(H18="",K18=""),"",H18-K18)</f>
        <v>-3.53350910667418</v>
      </c>
      <c r="O18" s="10" t="n">
        <f aca="false">IF(OR(H18="",L18=""),"",H18-L18)</f>
        <v>-3.67668184509474</v>
      </c>
      <c r="P18" s="11" t="n">
        <f aca="false">IF(AND(A18&gt;=DATE(2021,4,1),A18&lt;=DATE(2025,1,31)),1,0)</f>
        <v>0</v>
      </c>
      <c r="Q18" s="11" t="n">
        <f aca="false">IF(A18&gt;=DATE(2023,12,1),1,0)</f>
        <v>0</v>
      </c>
      <c r="R18" s="12" t="str">
        <f aca="false">IF(A18&lt;DATE(2021,4,1),"Before sample",IF(A18&lt;=DATE(2023,11,17),"Pre-policy",IF(A18&lt;=DATE(2025,3,31),"Post-policy","After rollback")))</f>
        <v>Before sample</v>
      </c>
    </row>
    <row r="19" customFormat="false" ht="15" hidden="false" customHeight="false" outlineLevel="0" collapsed="false">
      <c r="A19" s="7" t="n">
        <v>43917</v>
      </c>
      <c r="B19" s="10" t="n">
        <f aca="false">100*LN(RBI_Levels!F19/RBI_Levels!F18)</f>
        <v>-2.35757011867718</v>
      </c>
      <c r="C19" s="10" t="n">
        <f aca="false">100*LN(RBI_Levels!J19/RBI_Levels!J18)</f>
        <v>-0.125003507175531</v>
      </c>
      <c r="D19" s="10" t="n">
        <f aca="false">100*LN(RBI_Levels!E19/RBI_Levels!E18)</f>
        <v>0.806052119130433</v>
      </c>
      <c r="E19" s="10" t="n">
        <f aca="false">100*LN(RBI_Levels!H19/RBI_Levels!H18)</f>
        <v>0.810203366446414</v>
      </c>
      <c r="F19" s="10" t="n">
        <f aca="false">100*LN(RBI_Levels!G19/RBI_Levels!G18)</f>
        <v>-1.5964869311464</v>
      </c>
      <c r="G19" s="10" t="n">
        <f aca="false">100*LN(RBI_Levels!I19/RBI_Levels!I18)</f>
        <v>4.52394273930374</v>
      </c>
      <c r="H19" s="10" t="n">
        <f aca="false">100*LN(RBI_Levels!K19/RBI_Levels!K18)</f>
        <v>17.6361616014876</v>
      </c>
      <c r="I19" s="10" t="n">
        <f aca="false">100*LN(RBI_Levels!D19/RBI_Levels!D18)</f>
        <v>7.13308780839619</v>
      </c>
      <c r="J19" s="10" t="n">
        <f aca="false">100*LN(RBI_Levels!C19/RBI_Levels!C18)</f>
        <v>14.7720747406112</v>
      </c>
      <c r="K19" s="10" t="n">
        <f aca="false">100*LN(RBI_Levels!B19/RBI_Levels!B18)</f>
        <v>2.74918309617759</v>
      </c>
      <c r="L19" s="10" t="n">
        <f aca="false">100*LN(RBI_Levels!L19/RBI_Levels!L18)</f>
        <v>1.80442279885992</v>
      </c>
      <c r="M19" s="10" t="n">
        <f aca="false">AVERAGE(B19,C19)-AVERAGE(D19,E19,F19)</f>
        <v>-1.24787633106984</v>
      </c>
      <c r="N19" s="10" t="n">
        <f aca="false">IF(OR(H19="",K19=""),"",H19-K19)</f>
        <v>14.88697850531</v>
      </c>
      <c r="O19" s="10" t="n">
        <f aca="false">IF(OR(H19="",L19=""),"",H19-L19)</f>
        <v>15.8317388026277</v>
      </c>
      <c r="P19" s="11" t="n">
        <f aca="false">IF(AND(A19&gt;=DATE(2021,4,1),A19&lt;=DATE(2025,1,31)),1,0)</f>
        <v>0</v>
      </c>
      <c r="Q19" s="11" t="n">
        <f aca="false">IF(A19&gt;=DATE(2023,12,1),1,0)</f>
        <v>0</v>
      </c>
      <c r="R19" s="12" t="str">
        <f aca="false">IF(A19&lt;DATE(2021,4,1),"Before sample",IF(A19&lt;=DATE(2023,11,17),"Pre-policy",IF(A19&lt;=DATE(2025,3,31),"Post-policy","After rollback")))</f>
        <v>Before sample</v>
      </c>
    </row>
    <row r="20" customFormat="false" ht="15" hidden="false" customHeight="false" outlineLevel="0" collapsed="false">
      <c r="A20" s="7" t="n">
        <v>43945</v>
      </c>
      <c r="B20" s="10" t="n">
        <f aca="false">100*LN(RBI_Levels!F20/RBI_Levels!F19)</f>
        <v>-10.3752871317642</v>
      </c>
      <c r="C20" s="10" t="n">
        <f aca="false">100*LN(RBI_Levels!J20/RBI_Levels!J19)</f>
        <v>-3.57009847007629</v>
      </c>
      <c r="D20" s="10" t="n">
        <f aca="false">100*LN(RBI_Levels!E20/RBI_Levels!E19)</f>
        <v>0.207155229263654</v>
      </c>
      <c r="E20" s="10" t="n">
        <f aca="false">100*LN(RBI_Levels!H20/RBI_Levels!H19)</f>
        <v>-1.44469762866696</v>
      </c>
      <c r="F20" s="10" t="n">
        <f aca="false">100*LN(RBI_Levels!G20/RBI_Levels!G19)</f>
        <v>-0.749593970350063</v>
      </c>
      <c r="G20" s="10" t="n">
        <f aca="false">100*LN(RBI_Levels!I20/RBI_Levels!I19)</f>
        <v>0.352537333099226</v>
      </c>
      <c r="H20" s="10" t="n">
        <f aca="false">100*LN(RBI_Levels!K20/RBI_Levels!K19)</f>
        <v>-8.20228511644187</v>
      </c>
      <c r="I20" s="10" t="n">
        <f aca="false">100*LN(RBI_Levels!D20/RBI_Levels!D19)</f>
        <v>1.00790646216101</v>
      </c>
      <c r="J20" s="10" t="n">
        <f aca="false">100*LN(RBI_Levels!C20/RBI_Levels!C19)</f>
        <v>-5.70263193337801</v>
      </c>
      <c r="K20" s="10" t="n">
        <f aca="false">100*LN(RBI_Levels!B20/RBI_Levels!B19)</f>
        <v>-0.957407246897594</v>
      </c>
      <c r="L20" s="10" t="n">
        <f aca="false">100*LN(RBI_Levels!L20/RBI_Levels!L19)</f>
        <v>-0.110605111072568</v>
      </c>
      <c r="M20" s="10" t="n">
        <f aca="false">AVERAGE(B20,C20)-AVERAGE(D20,E20,F20)</f>
        <v>-6.31031401100245</v>
      </c>
      <c r="N20" s="10" t="n">
        <f aca="false">IF(OR(H20="",K20=""),"",H20-K20)</f>
        <v>-7.24487786954428</v>
      </c>
      <c r="O20" s="10" t="n">
        <f aca="false">IF(OR(H20="",L20=""),"",H20-L20)</f>
        <v>-8.09168000536931</v>
      </c>
      <c r="P20" s="11" t="n">
        <f aca="false">IF(AND(A20&gt;=DATE(2021,4,1),A20&lt;=DATE(2025,1,31)),1,0)</f>
        <v>0</v>
      </c>
      <c r="Q20" s="11" t="n">
        <f aca="false">IF(A20&gt;=DATE(2023,12,1),1,0)</f>
        <v>0</v>
      </c>
      <c r="R20" s="12" t="str">
        <f aca="false">IF(A20&lt;DATE(2021,4,1),"Before sample",IF(A20&lt;=DATE(2023,11,17),"Pre-policy",IF(A20&lt;=DATE(2025,3,31),"Post-policy","After rollback")))</f>
        <v>Before sample</v>
      </c>
    </row>
    <row r="21" customFormat="false" ht="15" hidden="false" customHeight="false" outlineLevel="0" collapsed="false">
      <c r="A21" s="7" t="n">
        <v>43973</v>
      </c>
      <c r="B21" s="10" t="n">
        <f aca="false">100*LN(RBI_Levels!F21/RBI_Levels!F20)</f>
        <v>-4.15457886162758</v>
      </c>
      <c r="C21" s="10" t="n">
        <f aca="false">100*LN(RBI_Levels!J21/RBI_Levels!J20)</f>
        <v>-1.56299278581262</v>
      </c>
      <c r="D21" s="10" t="n">
        <f aca="false">100*LN(RBI_Levels!E21/RBI_Levels!E20)</f>
        <v>-0.822348762154369</v>
      </c>
      <c r="E21" s="10" t="n">
        <f aca="false">100*LN(RBI_Levels!H21/RBI_Levels!H20)</f>
        <v>-1.60216542184312</v>
      </c>
      <c r="F21" s="10" t="n">
        <f aca="false">100*LN(RBI_Levels!G21/RBI_Levels!G20)</f>
        <v>0.845218298559576</v>
      </c>
      <c r="G21" s="10" t="n">
        <f aca="false">100*LN(RBI_Levels!I21/RBI_Levels!I20)</f>
        <v>0.798139613165125</v>
      </c>
      <c r="H21" s="10" t="n">
        <f aca="false">100*LN(RBI_Levels!K21/RBI_Levels!K20)</f>
        <v>-1.19255515547205</v>
      </c>
      <c r="I21" s="10" t="n">
        <f aca="false">100*LN(RBI_Levels!D21/RBI_Levels!D20)</f>
        <v>0.830429691269995</v>
      </c>
      <c r="J21" s="10" t="n">
        <f aca="false">100*LN(RBI_Levels!C21/RBI_Levels!C20)</f>
        <v>-0.620824524991207</v>
      </c>
      <c r="K21" s="10" t="n">
        <f aca="false">100*LN(RBI_Levels!B21/RBI_Levels!B20)</f>
        <v>-0.760512485844001</v>
      </c>
      <c r="L21" s="10" t="n">
        <f aca="false">100*LN(RBI_Levels!L21/RBI_Levels!L20)</f>
        <v>-0.67038645091725</v>
      </c>
      <c r="M21" s="10" t="n">
        <f aca="false">AVERAGE(B21,C21)-AVERAGE(D21,E21,F21)</f>
        <v>-2.33235386190746</v>
      </c>
      <c r="N21" s="10" t="n">
        <f aca="false">IF(OR(H21="",K21=""),"",H21-K21)</f>
        <v>-0.432042669628046</v>
      </c>
      <c r="O21" s="10" t="n">
        <f aca="false">IF(OR(H21="",L21=""),"",H21-L21)</f>
        <v>-0.522168704554797</v>
      </c>
      <c r="P21" s="11" t="n">
        <f aca="false">IF(AND(A21&gt;=DATE(2021,4,1),A21&lt;=DATE(2025,1,31)),1,0)</f>
        <v>0</v>
      </c>
      <c r="Q21" s="11" t="n">
        <f aca="false">IF(A21&gt;=DATE(2023,12,1),1,0)</f>
        <v>0</v>
      </c>
      <c r="R21" s="12" t="str">
        <f aca="false">IF(A21&lt;DATE(2021,4,1),"Before sample",IF(A21&lt;=DATE(2023,11,17),"Pre-policy",IF(A21&lt;=DATE(2025,3,31),"Post-policy","After rollback")))</f>
        <v>Before sample</v>
      </c>
    </row>
    <row r="22" customFormat="false" ht="15" hidden="false" customHeight="false" outlineLevel="0" collapsed="false">
      <c r="A22" s="7" t="n">
        <v>44001</v>
      </c>
      <c r="B22" s="10" t="n">
        <f aca="false">100*LN(RBI_Levels!F22/RBI_Levels!F21)</f>
        <v>4.68580091210697</v>
      </c>
      <c r="C22" s="10" t="n">
        <f aca="false">100*LN(RBI_Levels!J22/RBI_Levels!J21)</f>
        <v>-0.227639035405587</v>
      </c>
      <c r="D22" s="10" t="n">
        <f aca="false">100*LN(RBI_Levels!E22/RBI_Levels!E21)</f>
        <v>0.492581910880721</v>
      </c>
      <c r="E22" s="10" t="n">
        <f aca="false">100*LN(RBI_Levels!H22/RBI_Levels!H21)</f>
        <v>-0.112497516004555</v>
      </c>
      <c r="F22" s="10" t="n">
        <f aca="false">100*LN(RBI_Levels!G22/RBI_Levels!G21)</f>
        <v>-0.216241320452974</v>
      </c>
      <c r="G22" s="10" t="n">
        <f aca="false">100*LN(RBI_Levels!I22/RBI_Levels!I21)</f>
        <v>4.65633860372265</v>
      </c>
      <c r="H22" s="10" t="n">
        <f aca="false">100*LN(RBI_Levels!K22/RBI_Levels!K21)</f>
        <v>-1.17235476157658</v>
      </c>
      <c r="I22" s="10" t="n">
        <f aca="false">100*LN(RBI_Levels!D22/RBI_Levels!D21)</f>
        <v>-0.333739148564552</v>
      </c>
      <c r="J22" s="10" t="n">
        <f aca="false">100*LN(RBI_Levels!C22/RBI_Levels!C21)</f>
        <v>-0.932908221183443</v>
      </c>
      <c r="K22" s="10" t="n">
        <f aca="false">100*LN(RBI_Levels!B22/RBI_Levels!B21)</f>
        <v>0.128588330693198</v>
      </c>
      <c r="L22" s="10" t="n">
        <f aca="false">100*LN(RBI_Levels!L22/RBI_Levels!L21)</f>
        <v>0.210257046578886</v>
      </c>
      <c r="M22" s="10" t="n">
        <f aca="false">AVERAGE(B22,C22)-AVERAGE(D22,E22,F22)</f>
        <v>2.17446658020963</v>
      </c>
      <c r="N22" s="10" t="n">
        <f aca="false">IF(OR(H22="",K22=""),"",H22-K22)</f>
        <v>-1.30094309226978</v>
      </c>
      <c r="O22" s="10" t="n">
        <f aca="false">IF(OR(H22="",L22=""),"",H22-L22)</f>
        <v>-1.38261180815547</v>
      </c>
      <c r="P22" s="11" t="n">
        <f aca="false">IF(AND(A22&gt;=DATE(2021,4,1),A22&lt;=DATE(2025,1,31)),1,0)</f>
        <v>0</v>
      </c>
      <c r="Q22" s="11" t="n">
        <f aca="false">IF(A22&gt;=DATE(2023,12,1),1,0)</f>
        <v>0</v>
      </c>
      <c r="R22" s="12" t="str">
        <f aca="false">IF(A22&lt;DATE(2021,4,1),"Before sample",IF(A22&lt;=DATE(2023,11,17),"Pre-policy",IF(A22&lt;=DATE(2025,3,31),"Post-policy","After rollback")))</f>
        <v>Before sample</v>
      </c>
    </row>
    <row r="23" customFormat="false" ht="15" hidden="false" customHeight="false" outlineLevel="0" collapsed="false">
      <c r="A23" s="7" t="n">
        <v>44043</v>
      </c>
      <c r="B23" s="10" t="n">
        <f aca="false">100*LN(RBI_Levels!F23/RBI_Levels!F22)</f>
        <v>3.87644241393127</v>
      </c>
      <c r="C23" s="10" t="n">
        <f aca="false">100*LN(RBI_Levels!J23/RBI_Levels!J22)</f>
        <v>2.9292116453331</v>
      </c>
      <c r="D23" s="10" t="n">
        <f aca="false">100*LN(RBI_Levels!E23/RBI_Levels!E22)</f>
        <v>1.09307162150477</v>
      </c>
      <c r="E23" s="10" t="n">
        <f aca="false">100*LN(RBI_Levels!H23/RBI_Levels!H22)</f>
        <v>1.58794557137154</v>
      </c>
      <c r="F23" s="10" t="n">
        <f aca="false">100*LN(RBI_Levels!G23/RBI_Levels!G22)</f>
        <v>0.876500053497314</v>
      </c>
      <c r="G23" s="10" t="n">
        <f aca="false">100*LN(RBI_Levels!I23/RBI_Levels!I22)</f>
        <v>9.17471089278631</v>
      </c>
      <c r="H23" s="10" t="n">
        <f aca="false">100*LN(RBI_Levels!K23/RBI_Levels!K22)</f>
        <v>0.0597301623085551</v>
      </c>
      <c r="I23" s="10" t="n">
        <f aca="false">100*LN(RBI_Levels!D23/RBI_Levels!D22)</f>
        <v>-2.68529445026586</v>
      </c>
      <c r="J23" s="10" t="n">
        <f aca="false">100*LN(RBI_Levels!C23/RBI_Levels!C22)</f>
        <v>-0.718725648371074</v>
      </c>
      <c r="K23" s="10" t="n">
        <f aca="false">100*LN(RBI_Levels!B23/RBI_Levels!B22)</f>
        <v>0.455627766021706</v>
      </c>
      <c r="L23" s="10" t="n">
        <f aca="false">100*LN(RBI_Levels!L23/RBI_Levels!L22)</f>
        <v>0.338789211236802</v>
      </c>
      <c r="M23" s="10" t="n">
        <f aca="false">AVERAGE(B23,C23)-AVERAGE(D23,E23,F23)</f>
        <v>2.21698794750765</v>
      </c>
      <c r="N23" s="10" t="n">
        <f aca="false">IF(OR(H23="",K23=""),"",H23-K23)</f>
        <v>-0.395897603713151</v>
      </c>
      <c r="O23" s="10" t="n">
        <f aca="false">IF(OR(H23="",L23=""),"",H23-L23)</f>
        <v>-0.279059048928247</v>
      </c>
      <c r="P23" s="11" t="n">
        <f aca="false">IF(AND(A23&gt;=DATE(2021,4,1),A23&lt;=DATE(2025,1,31)),1,0)</f>
        <v>0</v>
      </c>
      <c r="Q23" s="11" t="n">
        <f aca="false">IF(A23&gt;=DATE(2023,12,1),1,0)</f>
        <v>0</v>
      </c>
      <c r="R23" s="12" t="str">
        <f aca="false">IF(A23&lt;DATE(2021,4,1),"Before sample",IF(A23&lt;=DATE(2023,11,17),"Pre-policy",IF(A23&lt;=DATE(2025,3,31),"Post-policy","After rollback")))</f>
        <v>Before sample</v>
      </c>
    </row>
    <row r="24" customFormat="false" ht="15" hidden="false" customHeight="false" outlineLevel="0" collapsed="false">
      <c r="A24" s="7" t="n">
        <v>44071</v>
      </c>
      <c r="B24" s="10" t="n">
        <f aca="false">100*LN(RBI_Levels!F24/RBI_Levels!F23)</f>
        <v>3.40126010293845</v>
      </c>
      <c r="C24" s="10" t="n">
        <f aca="false">100*LN(RBI_Levels!J24/RBI_Levels!J23)</f>
        <v>0.101082959277755</v>
      </c>
      <c r="D24" s="10" t="n">
        <f aca="false">100*LN(RBI_Levels!E24/RBI_Levels!E23)</f>
        <v>-0.094337447045996</v>
      </c>
      <c r="E24" s="10" t="n">
        <f aca="false">100*LN(RBI_Levels!H24/RBI_Levels!H23)</f>
        <v>0.268869752154852</v>
      </c>
      <c r="F24" s="10" t="n">
        <f aca="false">100*LN(RBI_Levels!G24/RBI_Levels!G23)</f>
        <v>0.309273729968252</v>
      </c>
      <c r="G24" s="10" t="n">
        <f aca="false">100*LN(RBI_Levels!I24/RBI_Levels!I23)</f>
        <v>7.91062971203334</v>
      </c>
      <c r="H24" s="10" t="n">
        <f aca="false">100*LN(RBI_Levels!K24/RBI_Levels!K23)</f>
        <v>-3.87134128091461</v>
      </c>
      <c r="I24" s="10" t="n">
        <f aca="false">100*LN(RBI_Levels!D24/RBI_Levels!D23)</f>
        <v>7.35895304233317</v>
      </c>
      <c r="J24" s="10" t="n">
        <f aca="false">100*LN(RBI_Levels!C24/RBI_Levels!C23)</f>
        <v>-0.588407370917445</v>
      </c>
      <c r="K24" s="10" t="n">
        <f aca="false">100*LN(RBI_Levels!B24/RBI_Levels!B23)</f>
        <v>-0.516415001261552</v>
      </c>
      <c r="L24" s="10" t="n">
        <f aca="false">100*LN(RBI_Levels!L24/RBI_Levels!L23)</f>
        <v>-0.611104868748312</v>
      </c>
      <c r="M24" s="10" t="n">
        <f aca="false">AVERAGE(B24,C24)-AVERAGE(D24,E24,F24)</f>
        <v>1.58990285274907</v>
      </c>
      <c r="N24" s="10" t="n">
        <f aca="false">IF(OR(H24="",K24=""),"",H24-K24)</f>
        <v>-3.35492627965306</v>
      </c>
      <c r="O24" s="10" t="n">
        <f aca="false">IF(OR(H24="",L24=""),"",H24-L24)</f>
        <v>-3.2602364121663</v>
      </c>
      <c r="P24" s="11" t="n">
        <f aca="false">IF(AND(A24&gt;=DATE(2021,4,1),A24&lt;=DATE(2025,1,31)),1,0)</f>
        <v>0</v>
      </c>
      <c r="Q24" s="11" t="n">
        <f aca="false">IF(A24&gt;=DATE(2023,12,1),1,0)</f>
        <v>0</v>
      </c>
      <c r="R24" s="12" t="str">
        <f aca="false">IF(A24&lt;DATE(2021,4,1),"Before sample",IF(A24&lt;=DATE(2023,11,17),"Pre-policy",IF(A24&lt;=DATE(2025,3,31),"Post-policy","After rollback")))</f>
        <v>Before sample</v>
      </c>
    </row>
    <row r="25" customFormat="false" ht="15" hidden="false" customHeight="false" outlineLevel="0" collapsed="false">
      <c r="A25" s="7" t="n">
        <v>44099</v>
      </c>
      <c r="B25" s="10" t="n">
        <f aca="false">100*LN(RBI_Levels!F25/RBI_Levels!F24)</f>
        <v>1.09380339175563</v>
      </c>
      <c r="C25" s="10" t="n">
        <f aca="false">100*LN(RBI_Levels!J25/RBI_Levels!J24)</f>
        <v>0.778141116439944</v>
      </c>
      <c r="D25" s="10" t="n">
        <f aca="false">100*LN(RBI_Levels!E25/RBI_Levels!E24)</f>
        <v>0.931118837370534</v>
      </c>
      <c r="E25" s="10" t="n">
        <f aca="false">100*LN(RBI_Levels!H25/RBI_Levels!H24)</f>
        <v>0.408542696880124</v>
      </c>
      <c r="F25" s="10" t="n">
        <f aca="false">100*LN(RBI_Levels!G25/RBI_Levels!G24)</f>
        <v>0.744499324344347</v>
      </c>
      <c r="G25" s="10" t="n">
        <f aca="false">100*LN(RBI_Levels!I25/RBI_Levels!I24)</f>
        <v>11.0571569351387</v>
      </c>
      <c r="H25" s="10" t="n">
        <f aca="false">100*LN(RBI_Levels!K25/RBI_Levels!K24)</f>
        <v>4.61286405458784</v>
      </c>
      <c r="I25" s="10" t="n">
        <f aca="false">100*LN(RBI_Levels!D25/RBI_Levels!D24)</f>
        <v>-3.12413746926744</v>
      </c>
      <c r="J25" s="10" t="n">
        <f aca="false">100*LN(RBI_Levels!C25/RBI_Levels!C24)</f>
        <v>2.32324914479256</v>
      </c>
      <c r="K25" s="10" t="n">
        <f aca="false">100*LN(RBI_Levels!B25/RBI_Levels!B24)</f>
        <v>0.539786021399786</v>
      </c>
      <c r="L25" s="10" t="n">
        <f aca="false">100*LN(RBI_Levels!L25/RBI_Levels!L24)</f>
        <v>0.327661587879644</v>
      </c>
      <c r="M25" s="10" t="n">
        <f aca="false">AVERAGE(B25,C25)-AVERAGE(D25,E25,F25)</f>
        <v>0.241251967899452</v>
      </c>
      <c r="N25" s="10" t="n">
        <f aca="false">IF(OR(H25="",K25=""),"",H25-K25)</f>
        <v>4.07307803318805</v>
      </c>
      <c r="O25" s="10" t="n">
        <f aca="false">IF(OR(H25="",L25=""),"",H25-L25)</f>
        <v>4.2852024667082</v>
      </c>
      <c r="P25" s="11" t="n">
        <f aca="false">IF(AND(A25&gt;=DATE(2021,4,1),A25&lt;=DATE(2025,1,31)),1,0)</f>
        <v>0</v>
      </c>
      <c r="Q25" s="11" t="n">
        <f aca="false">IF(A25&gt;=DATE(2023,12,1),1,0)</f>
        <v>0</v>
      </c>
      <c r="R25" s="12" t="str">
        <f aca="false">IF(A25&lt;DATE(2021,4,1),"Before sample",IF(A25&lt;=DATE(2023,11,17),"Pre-policy",IF(A25&lt;=DATE(2025,3,31),"Post-policy","After rollback")))</f>
        <v>Before sample</v>
      </c>
    </row>
    <row r="26" customFormat="false" ht="15" hidden="false" customHeight="false" outlineLevel="0" collapsed="false">
      <c r="A26" s="7" t="n">
        <v>44127</v>
      </c>
      <c r="B26" s="10" t="n">
        <f aca="false">100*LN(RBI_Levels!F26/RBI_Levels!F25)</f>
        <v>4.15507456999222</v>
      </c>
      <c r="C26" s="10" t="n">
        <f aca="false">100*LN(RBI_Levels!J26/RBI_Levels!J25)</f>
        <v>2.66567631258129</v>
      </c>
      <c r="D26" s="10" t="n">
        <f aca="false">100*LN(RBI_Levels!E26/RBI_Levels!E25)</f>
        <v>0.924003664710452</v>
      </c>
      <c r="E26" s="10" t="n">
        <f aca="false">100*LN(RBI_Levels!H26/RBI_Levels!H25)</f>
        <v>1.9806583270237</v>
      </c>
      <c r="F26" s="10" t="n">
        <f aca="false">100*LN(RBI_Levels!G26/RBI_Levels!G25)</f>
        <v>0.773142014123128</v>
      </c>
      <c r="G26" s="10" t="n">
        <f aca="false">100*LN(RBI_Levels!I26/RBI_Levels!I25)</f>
        <v>12.4000977829751</v>
      </c>
      <c r="H26" s="10" t="n">
        <f aca="false">100*LN(RBI_Levels!K26/RBI_Levels!K25)</f>
        <v>-3.03851805966438</v>
      </c>
      <c r="I26" s="10" t="n">
        <f aca="false">100*LN(RBI_Levels!D26/RBI_Levels!D25)</f>
        <v>-2.09964545658747</v>
      </c>
      <c r="J26" s="10" t="n">
        <f aca="false">100*LN(RBI_Levels!C26/RBI_Levels!C25)</f>
        <v>-2.76729912772331</v>
      </c>
      <c r="K26" s="10" t="n">
        <f aca="false">100*LN(RBI_Levels!B26/RBI_Levels!B25)</f>
        <v>0.654917817982169</v>
      </c>
      <c r="L26" s="10" t="n">
        <f aca="false">100*LN(RBI_Levels!L26/RBI_Levels!L25)</f>
        <v>0.795439566859843</v>
      </c>
      <c r="M26" s="10" t="n">
        <f aca="false">AVERAGE(B26,C26)-AVERAGE(D26,E26,F26)</f>
        <v>2.18444077266766</v>
      </c>
      <c r="N26" s="10" t="n">
        <f aca="false">IF(OR(H26="",K26=""),"",H26-K26)</f>
        <v>-3.69343587764655</v>
      </c>
      <c r="O26" s="10" t="n">
        <f aca="false">IF(OR(H26="",L26=""),"",H26-L26)</f>
        <v>-3.83395762652422</v>
      </c>
      <c r="P26" s="11" t="n">
        <f aca="false">IF(AND(A26&gt;=DATE(2021,4,1),A26&lt;=DATE(2025,1,31)),1,0)</f>
        <v>0</v>
      </c>
      <c r="Q26" s="11" t="n">
        <f aca="false">IF(A26&gt;=DATE(2023,12,1),1,0)</f>
        <v>0</v>
      </c>
      <c r="R26" s="12" t="str">
        <f aca="false">IF(A26&lt;DATE(2021,4,1),"Before sample",IF(A26&lt;=DATE(2023,11,17),"Pre-policy",IF(A26&lt;=DATE(2025,3,31),"Post-policy","After rollback")))</f>
        <v>Before sample</v>
      </c>
    </row>
    <row r="27" customFormat="false" ht="15" hidden="false" customHeight="false" outlineLevel="0" collapsed="false">
      <c r="A27" s="7" t="n">
        <v>44155</v>
      </c>
      <c r="B27" s="10" t="n">
        <f aca="false">100*LN(RBI_Levels!F27/RBI_Levels!F26)</f>
        <v>3.59467906379412</v>
      </c>
      <c r="C27" s="10" t="n">
        <f aca="false">100*LN(RBI_Levels!J27/RBI_Levels!J26)</f>
        <v>0.895676122563268</v>
      </c>
      <c r="D27" s="10" t="n">
        <f aca="false">100*LN(RBI_Levels!E27/RBI_Levels!E26)</f>
        <v>0.879103044063077</v>
      </c>
      <c r="E27" s="10" t="n">
        <f aca="false">100*LN(RBI_Levels!H27/RBI_Levels!H26)</f>
        <v>2.03633547732801</v>
      </c>
      <c r="F27" s="10" t="n">
        <f aca="false">100*LN(RBI_Levels!G27/RBI_Levels!G26)</f>
        <v>-0.19596391386963</v>
      </c>
      <c r="G27" s="10" t="n">
        <f aca="false">100*LN(RBI_Levels!I27/RBI_Levels!I26)</f>
        <v>8.32119503497106</v>
      </c>
      <c r="H27" s="10" t="n">
        <f aca="false">100*LN(RBI_Levels!K27/RBI_Levels!K26)</f>
        <v>-0.89128939863432</v>
      </c>
      <c r="I27" s="10" t="n">
        <f aca="false">100*LN(RBI_Levels!D27/RBI_Levels!D26)</f>
        <v>0.0459455720769301</v>
      </c>
      <c r="J27" s="10" t="n">
        <f aca="false">100*LN(RBI_Levels!C27/RBI_Levels!C26)</f>
        <v>-0.618733906418271</v>
      </c>
      <c r="K27" s="10" t="n">
        <f aca="false">100*LN(RBI_Levels!B27/RBI_Levels!B26)</f>
        <v>0.715055039400489</v>
      </c>
      <c r="L27" s="10" t="n">
        <f aca="false">100*LN(RBI_Levels!L27/RBI_Levels!L26)</f>
        <v>0.792503357353196</v>
      </c>
      <c r="M27" s="10" t="n">
        <f aca="false">AVERAGE(B27,C27)-AVERAGE(D27,E27,F27)</f>
        <v>1.33868605733821</v>
      </c>
      <c r="N27" s="10" t="n">
        <f aca="false">IF(OR(H27="",K27=""),"",H27-K27)</f>
        <v>-1.60634443803481</v>
      </c>
      <c r="O27" s="10" t="n">
        <f aca="false">IF(OR(H27="",L27=""),"",H27-L27)</f>
        <v>-1.68379275598752</v>
      </c>
      <c r="P27" s="11" t="n">
        <f aca="false">IF(AND(A27&gt;=DATE(2021,4,1),A27&lt;=DATE(2025,1,31)),1,0)</f>
        <v>0</v>
      </c>
      <c r="Q27" s="11" t="n">
        <f aca="false">IF(A27&gt;=DATE(2023,12,1),1,0)</f>
        <v>0</v>
      </c>
      <c r="R27" s="12" t="str">
        <f aca="false">IF(A27&lt;DATE(2021,4,1),"Before sample",IF(A27&lt;=DATE(2023,11,17),"Pre-policy",IF(A27&lt;=DATE(2025,3,31),"Post-policy","After rollback")))</f>
        <v>Before sample</v>
      </c>
    </row>
    <row r="28" customFormat="false" ht="15" hidden="false" customHeight="false" outlineLevel="0" collapsed="false">
      <c r="A28" s="7" t="n">
        <v>44183</v>
      </c>
      <c r="B28" s="10" t="n">
        <f aca="false">100*LN(RBI_Levels!F28/RBI_Levels!F27)</f>
        <v>-3.13018410156933</v>
      </c>
      <c r="C28" s="10" t="n">
        <f aca="false">100*LN(RBI_Levels!J28/RBI_Levels!J27)</f>
        <v>1.19421130459169</v>
      </c>
      <c r="D28" s="10" t="n">
        <f aca="false">100*LN(RBI_Levels!E28/RBI_Levels!E27)</f>
        <v>1.02747226302516</v>
      </c>
      <c r="E28" s="10" t="n">
        <f aca="false">100*LN(RBI_Levels!H28/RBI_Levels!H27)</f>
        <v>0.993265535134576</v>
      </c>
      <c r="F28" s="10" t="n">
        <f aca="false">100*LN(RBI_Levels!G28/RBI_Levels!G27)</f>
        <v>-0.313935685443348</v>
      </c>
      <c r="G28" s="10" t="n">
        <f aca="false">100*LN(RBI_Levels!I28/RBI_Levels!I27)</f>
        <v>7.75808637879956</v>
      </c>
      <c r="H28" s="10" t="n">
        <f aca="false">100*LN(RBI_Levels!K28/RBI_Levels!K27)</f>
        <v>3.07900049289752</v>
      </c>
      <c r="I28" s="10" t="n">
        <f aca="false">100*LN(RBI_Levels!D28/RBI_Levels!D27)</f>
        <v>-0.949428762017516</v>
      </c>
      <c r="J28" s="10" t="n">
        <f aca="false">100*LN(RBI_Levels!C28/RBI_Levels!C27)</f>
        <v>1.92027778089991</v>
      </c>
      <c r="K28" s="10" t="n">
        <f aca="false">100*LN(RBI_Levels!B28/RBI_Levels!B27)</f>
        <v>2.52092671741587</v>
      </c>
      <c r="L28" s="10" t="n">
        <f aca="false">100*LN(RBI_Levels!L28/RBI_Levels!L27)</f>
        <v>2.76950676771131</v>
      </c>
      <c r="M28" s="10" t="n">
        <f aca="false">AVERAGE(B28,C28)-AVERAGE(D28,E28,F28)</f>
        <v>-1.53692043606095</v>
      </c>
      <c r="N28" s="10" t="n">
        <f aca="false">IF(OR(H28="",K28=""),"",H28-K28)</f>
        <v>0.558073775481656</v>
      </c>
      <c r="O28" s="10" t="n">
        <f aca="false">IF(OR(H28="",L28=""),"",H28-L28)</f>
        <v>0.30949372518621</v>
      </c>
      <c r="P28" s="11" t="n">
        <f aca="false">IF(AND(A28&gt;=DATE(2021,4,1),A28&lt;=DATE(2025,1,31)),1,0)</f>
        <v>0</v>
      </c>
      <c r="Q28" s="11" t="n">
        <f aca="false">IF(A28&gt;=DATE(2023,12,1),1,0)</f>
        <v>0</v>
      </c>
      <c r="R28" s="12" t="str">
        <f aca="false">IF(A28&lt;DATE(2021,4,1),"Before sample",IF(A28&lt;=DATE(2023,11,17),"Pre-policy",IF(A28&lt;=DATE(2025,3,31),"Post-policy","After rollback")))</f>
        <v>Before sample</v>
      </c>
    </row>
    <row r="29" customFormat="false" ht="15" hidden="false" customHeight="false" outlineLevel="0" collapsed="false">
      <c r="A29" s="7" t="n">
        <v>44225</v>
      </c>
      <c r="B29" s="10" t="n">
        <f aca="false">100*LN(RBI_Levels!F29/RBI_Levels!F28)</f>
        <v>9.47468308325401</v>
      </c>
      <c r="C29" s="10" t="n">
        <f aca="false">100*LN(RBI_Levels!J29/RBI_Levels!J28)</f>
        <v>3.41328996076582</v>
      </c>
      <c r="D29" s="10" t="n">
        <f aca="false">100*LN(RBI_Levels!E29/RBI_Levels!E28)</f>
        <v>2.82934168955713</v>
      </c>
      <c r="E29" s="10" t="n">
        <f aca="false">100*LN(RBI_Levels!H29/RBI_Levels!H28)</f>
        <v>2.41092884957815</v>
      </c>
      <c r="F29" s="10" t="n">
        <f aca="false">100*LN(RBI_Levels!G29/RBI_Levels!G28)</f>
        <v>0.561932587073387</v>
      </c>
      <c r="G29" s="10" t="n">
        <f aca="false">100*LN(RBI_Levels!I29/RBI_Levels!I28)</f>
        <v>9.33697583066458</v>
      </c>
      <c r="H29" s="10" t="n">
        <f aca="false">100*LN(RBI_Levels!K29/RBI_Levels!K28)</f>
        <v>0.583831175229337</v>
      </c>
      <c r="I29" s="10" t="n">
        <f aca="false">100*LN(RBI_Levels!D29/RBI_Levels!D28)</f>
        <v>8.4559795068746</v>
      </c>
      <c r="J29" s="10" t="n">
        <f aca="false">100*LN(RBI_Levels!C29/RBI_Levels!C28)</f>
        <v>2.87940152189309</v>
      </c>
      <c r="K29" s="10" t="n">
        <f aca="false">100*LN(RBI_Levels!B29/RBI_Levels!B28)</f>
        <v>0.0620950127976302</v>
      </c>
      <c r="L29" s="10" t="n">
        <f aca="false">100*LN(RBI_Levels!L29/RBI_Levels!L28)</f>
        <v>-0.635464840301259</v>
      </c>
      <c r="M29" s="10" t="n">
        <f aca="false">AVERAGE(B29,C29)-AVERAGE(D29,E29,F29)</f>
        <v>4.50991881327369</v>
      </c>
      <c r="N29" s="10" t="n">
        <f aca="false">IF(OR(H29="",K29=""),"",H29-K29)</f>
        <v>0.521736162431707</v>
      </c>
      <c r="O29" s="10" t="n">
        <f aca="false">IF(OR(H29="",L29=""),"",H29-L29)</f>
        <v>1.2192960155306</v>
      </c>
      <c r="P29" s="11" t="n">
        <f aca="false">IF(AND(A29&gt;=DATE(2021,4,1),A29&lt;=DATE(2025,1,31)),1,0)</f>
        <v>0</v>
      </c>
      <c r="Q29" s="11" t="n">
        <f aca="false">IF(A29&gt;=DATE(2023,12,1),1,0)</f>
        <v>0</v>
      </c>
      <c r="R29" s="12" t="str">
        <f aca="false">IF(A29&lt;DATE(2021,4,1),"Before sample",IF(A29&lt;=DATE(2023,11,17),"Pre-policy",IF(A29&lt;=DATE(2025,3,31),"Post-policy","After rollback")))</f>
        <v>Before sample</v>
      </c>
    </row>
    <row r="30" customFormat="false" ht="15" hidden="false" customHeight="false" outlineLevel="0" collapsed="false">
      <c r="A30" s="7" t="n">
        <v>44253</v>
      </c>
      <c r="B30" s="10" t="n">
        <f aca="false">100*LN(RBI_Levels!F30/RBI_Levels!F29)</f>
        <v>0.338057470871759</v>
      </c>
      <c r="C30" s="10" t="n">
        <f aca="false">100*LN(RBI_Levels!J30/RBI_Levels!J29)</f>
        <v>3.24351677684136</v>
      </c>
      <c r="D30" s="10" t="n">
        <f aca="false">100*LN(RBI_Levels!E30/RBI_Levels!E29)</f>
        <v>1.35149700670202</v>
      </c>
      <c r="E30" s="10" t="n">
        <f aca="false">100*LN(RBI_Levels!H30/RBI_Levels!H29)</f>
        <v>1.05533725151174</v>
      </c>
      <c r="F30" s="10" t="n">
        <f aca="false">100*LN(RBI_Levels!G30/RBI_Levels!G29)</f>
        <v>-0.763192430294827</v>
      </c>
      <c r="G30" s="10" t="n">
        <f aca="false">100*LN(RBI_Levels!I30/RBI_Levels!I29)</f>
        <v>4.92902026835928</v>
      </c>
      <c r="H30" s="10" t="n">
        <f aca="false">100*LN(RBI_Levels!K30/RBI_Levels!K29)</f>
        <v>-1.31668139571473</v>
      </c>
      <c r="I30" s="10" t="n">
        <f aca="false">100*LN(RBI_Levels!D30/RBI_Levels!D29)</f>
        <v>-3.9696886147086</v>
      </c>
      <c r="J30" s="10" t="n">
        <f aca="false">100*LN(RBI_Levels!C30/RBI_Levels!C29)</f>
        <v>-2.10464157569402</v>
      </c>
      <c r="K30" s="10" t="n">
        <f aca="false">100*LN(RBI_Levels!B30/RBI_Levels!B29)</f>
        <v>0.77775729434237</v>
      </c>
      <c r="L30" s="10" t="n">
        <f aca="false">100*LN(RBI_Levels!L30/RBI_Levels!L29)</f>
        <v>0.866360759842611</v>
      </c>
      <c r="M30" s="10" t="n">
        <f aca="false">AVERAGE(B30,C30)-AVERAGE(D30,E30,F30)</f>
        <v>1.24290651455025</v>
      </c>
      <c r="N30" s="10" t="n">
        <f aca="false">IF(OR(H30="",K30=""),"",H30-K30)</f>
        <v>-2.0944386900571</v>
      </c>
      <c r="O30" s="10" t="n">
        <f aca="false">IF(OR(H30="",L30=""),"",H30-L30)</f>
        <v>-2.18304215555734</v>
      </c>
      <c r="P30" s="11" t="n">
        <f aca="false">IF(AND(A30&gt;=DATE(2021,4,1),A30&lt;=DATE(2025,1,31)),1,0)</f>
        <v>0</v>
      </c>
      <c r="Q30" s="11" t="n">
        <f aca="false">IF(A30&gt;=DATE(2023,12,1),1,0)</f>
        <v>0</v>
      </c>
      <c r="R30" s="12" t="str">
        <f aca="false">IF(A30&lt;DATE(2021,4,1),"Before sample",IF(A30&lt;=DATE(2023,11,17),"Pre-policy",IF(A30&lt;=DATE(2025,3,31),"Post-policy","After rollback")))</f>
        <v>Before sample</v>
      </c>
    </row>
    <row r="31" customFormat="false" ht="15" hidden="false" customHeight="false" outlineLevel="0" collapsed="false">
      <c r="A31" s="7" t="n">
        <v>44281</v>
      </c>
      <c r="B31" s="10" t="n">
        <f aca="false">100*LN(RBI_Levels!F31/RBI_Levels!F30)</f>
        <v>-3.58151858520152</v>
      </c>
      <c r="C31" s="10" t="n">
        <f aca="false">100*LN(RBI_Levels!J31/RBI_Levels!J30)</f>
        <v>-0.412200274033061</v>
      </c>
      <c r="D31" s="10" t="n">
        <f aca="false">100*LN(RBI_Levels!E31/RBI_Levels!E30)</f>
        <v>0.326742085738624</v>
      </c>
      <c r="E31" s="10" t="n">
        <f aca="false">100*LN(RBI_Levels!H31/RBI_Levels!H30)</f>
        <v>0.584828409770462</v>
      </c>
      <c r="F31" s="10" t="n">
        <f aca="false">100*LN(RBI_Levels!G31/RBI_Levels!G30)</f>
        <v>-1.53953798219235</v>
      </c>
      <c r="G31" s="10" t="n">
        <f aca="false">100*LN(RBI_Levels!I31/RBI_Levels!I30)</f>
        <v>4.69236573736319</v>
      </c>
      <c r="H31" s="10" t="n">
        <f aca="false">100*LN(RBI_Levels!K31/RBI_Levels!K30)</f>
        <v>5.88153791899348</v>
      </c>
      <c r="I31" s="10" t="n">
        <f aca="false">100*LN(RBI_Levels!D31/RBI_Levels!D30)</f>
        <v>8.58816998646529</v>
      </c>
      <c r="J31" s="10" t="n">
        <f aca="false">100*LN(RBI_Levels!C31/RBI_Levels!C30)</f>
        <v>6.6855768287877</v>
      </c>
      <c r="K31" s="10" t="n">
        <f aca="false">100*LN(RBI_Levels!B31/RBI_Levels!B30)</f>
        <v>1.74842293694431</v>
      </c>
      <c r="L31" s="10" t="n">
        <f aca="false">100*LN(RBI_Levels!L31/RBI_Levels!L30)</f>
        <v>1.50743860472043</v>
      </c>
      <c r="M31" s="10" t="n">
        <f aca="false">AVERAGE(B31,C31)-AVERAGE(D31,E31,F31)</f>
        <v>-1.7875369340562</v>
      </c>
      <c r="N31" s="10" t="n">
        <f aca="false">IF(OR(H31="",K31=""),"",H31-K31)</f>
        <v>4.13311498204917</v>
      </c>
      <c r="O31" s="10" t="n">
        <f aca="false">IF(OR(H31="",L31=""),"",H31-L31)</f>
        <v>4.37409931427305</v>
      </c>
      <c r="P31" s="11" t="n">
        <f aca="false">IF(AND(A31&gt;=DATE(2021,4,1),A31&lt;=DATE(2025,1,31)),1,0)</f>
        <v>0</v>
      </c>
      <c r="Q31" s="11" t="n">
        <f aca="false">IF(A31&gt;=DATE(2023,12,1),1,0)</f>
        <v>0</v>
      </c>
      <c r="R31" s="12" t="str">
        <f aca="false">IF(A31&lt;DATE(2021,4,1),"Before sample",IF(A31&lt;=DATE(2023,11,17),"Pre-policy",IF(A31&lt;=DATE(2025,3,31),"Post-policy","After rollback")))</f>
        <v>Before sample</v>
      </c>
    </row>
    <row r="32" customFormat="false" ht="15" hidden="false" customHeight="false" outlineLevel="0" collapsed="false">
      <c r="A32" s="7" t="n">
        <v>44309</v>
      </c>
      <c r="B32" s="10" t="n">
        <f aca="false">100*LN(RBI_Levels!F32/RBI_Levels!F31)</f>
        <v>1.18729640859978</v>
      </c>
      <c r="C32" s="10" t="n">
        <f aca="false">100*LN(RBI_Levels!J32/RBI_Levels!J31)</f>
        <v>0.505181319918712</v>
      </c>
      <c r="D32" s="10" t="n">
        <f aca="false">100*LN(RBI_Levels!E32/RBI_Levels!E31)</f>
        <v>3.48806463745437</v>
      </c>
      <c r="E32" s="10" t="n">
        <f aca="false">100*LN(RBI_Levels!H32/RBI_Levels!H31)</f>
        <v>1.69890750044188</v>
      </c>
      <c r="F32" s="10" t="n">
        <f aca="false">100*LN(RBI_Levels!G32/RBI_Levels!G31)</f>
        <v>0.951812258101342</v>
      </c>
      <c r="G32" s="10" t="n">
        <f aca="false">100*LN(RBI_Levels!I32/RBI_Levels!I31)</f>
        <v>3.58018725338655</v>
      </c>
      <c r="H32" s="10" t="n">
        <f aca="false">100*LN(RBI_Levels!K32/RBI_Levels!K31)</f>
        <v>-4.37932592661967</v>
      </c>
      <c r="I32" s="10" t="n">
        <f aca="false">100*LN(RBI_Levels!D32/RBI_Levels!D31)</f>
        <v>-0.179708548191148</v>
      </c>
      <c r="J32" s="10" t="n">
        <f aca="false">100*LN(RBI_Levels!C32/RBI_Levels!C31)</f>
        <v>-3.10126970966742</v>
      </c>
      <c r="K32" s="10" t="n">
        <f aca="false">100*LN(RBI_Levels!B32/RBI_Levels!B31)</f>
        <v>-0.793941705571543</v>
      </c>
      <c r="L32" s="10" t="n">
        <f aca="false">100*LN(RBI_Levels!L32/RBI_Levels!L31)</f>
        <v>-0.694203670123925</v>
      </c>
      <c r="M32" s="10" t="n">
        <f aca="false">AVERAGE(B32,C32)-AVERAGE(D32,E32,F32)</f>
        <v>-1.20002260107328</v>
      </c>
      <c r="N32" s="10" t="n">
        <f aca="false">IF(OR(H32="",K32=""),"",H32-K32)</f>
        <v>-3.58538422104813</v>
      </c>
      <c r="O32" s="10" t="n">
        <f aca="false">IF(OR(H32="",L32=""),"",H32-L32)</f>
        <v>-3.68512225649575</v>
      </c>
      <c r="P32" s="11" t="n">
        <f aca="false">IF(AND(A32&gt;=DATE(2021,4,1),A32&lt;=DATE(2025,1,31)),1,0)</f>
        <v>1</v>
      </c>
      <c r="Q32" s="11" t="n">
        <f aca="false">IF(A32&gt;=DATE(2023,12,1),1,0)</f>
        <v>0</v>
      </c>
      <c r="R32" s="12" t="str">
        <f aca="false">IF(A32&lt;DATE(2021,4,1),"Before sample",IF(A32&lt;=DATE(2023,11,17),"Pre-policy",IF(A32&lt;=DATE(2025,3,31),"Post-policy","After rollback")))</f>
        <v>Pre-policy</v>
      </c>
    </row>
    <row r="33" customFormat="false" ht="15" hidden="false" customHeight="false" outlineLevel="0" collapsed="false">
      <c r="A33" s="7" t="n">
        <v>44337</v>
      </c>
      <c r="B33" s="10" t="n">
        <f aca="false">100*LN(RBI_Levels!F33/RBI_Levels!F32)</f>
        <v>-7.57537806728792</v>
      </c>
      <c r="C33" s="10" t="n">
        <f aca="false">100*LN(RBI_Levels!J33/RBI_Levels!J32)</f>
        <v>0.0618921037187903</v>
      </c>
      <c r="D33" s="10" t="n">
        <f aca="false">100*LN(RBI_Levels!E33/RBI_Levels!E32)</f>
        <v>-0.182487002216048</v>
      </c>
      <c r="E33" s="10" t="n">
        <f aca="false">100*LN(RBI_Levels!H33/RBI_Levels!H32)</f>
        <v>-1.60957058430749</v>
      </c>
      <c r="F33" s="10" t="n">
        <f aca="false">100*LN(RBI_Levels!G33/RBI_Levels!G32)</f>
        <v>-0.305731523515277</v>
      </c>
      <c r="G33" s="10" t="n">
        <f aca="false">100*LN(RBI_Levels!I33/RBI_Levels!I32)</f>
        <v>-0.765989084420977</v>
      </c>
      <c r="H33" s="10" t="n">
        <f aca="false">100*LN(RBI_Levels!K33/RBI_Levels!K32)</f>
        <v>-1.60630291095251</v>
      </c>
      <c r="I33" s="10" t="n">
        <f aca="false">100*LN(RBI_Levels!D33/RBI_Levels!D32)</f>
        <v>-2.67998814223679</v>
      </c>
      <c r="J33" s="10" t="n">
        <f aca="false">100*LN(RBI_Levels!C33/RBI_Levels!C32)</f>
        <v>-1.9366116090896</v>
      </c>
      <c r="K33" s="10" t="n">
        <f aca="false">100*LN(RBI_Levels!B33/RBI_Levels!B32)</f>
        <v>-0.571813739912886</v>
      </c>
      <c r="L33" s="10" t="n">
        <f aca="false">100*LN(RBI_Levels!L33/RBI_Levels!L32)</f>
        <v>-0.38711241477983</v>
      </c>
      <c r="M33" s="10" t="n">
        <f aca="false">AVERAGE(B33,C33)-AVERAGE(D33,E33,F33)</f>
        <v>-3.05747994510496</v>
      </c>
      <c r="N33" s="10" t="n">
        <f aca="false">IF(OR(H33="",K33=""),"",H33-K33)</f>
        <v>-1.03448917103963</v>
      </c>
      <c r="O33" s="10" t="n">
        <f aca="false">IF(OR(H33="",L33=""),"",H33-L33)</f>
        <v>-1.21919049617269</v>
      </c>
      <c r="P33" s="11" t="n">
        <f aca="false">IF(AND(A33&gt;=DATE(2021,4,1),A33&lt;=DATE(2025,1,31)),1,0)</f>
        <v>1</v>
      </c>
      <c r="Q33" s="11" t="n">
        <f aca="false">IF(A33&gt;=DATE(2023,12,1),1,0)</f>
        <v>0</v>
      </c>
      <c r="R33" s="12" t="str">
        <f aca="false">IF(A33&lt;DATE(2021,4,1),"Before sample",IF(A33&lt;=DATE(2023,11,17),"Pre-policy",IF(A33&lt;=DATE(2025,3,31),"Post-policy","After rollback")))</f>
        <v>Pre-policy</v>
      </c>
    </row>
    <row r="34" customFormat="false" ht="15" hidden="false" customHeight="false" outlineLevel="0" collapsed="false">
      <c r="A34" s="7" t="n">
        <v>44365</v>
      </c>
      <c r="B34" s="10" t="n">
        <f aca="false">100*LN(RBI_Levels!F34/RBI_Levels!F33)</f>
        <v>-1.09269598115123</v>
      </c>
      <c r="C34" s="10" t="n">
        <f aca="false">100*LN(RBI_Levels!J34/RBI_Levels!J33)</f>
        <v>-0.795249489935939</v>
      </c>
      <c r="D34" s="10" t="n">
        <f aca="false">100*LN(RBI_Levels!E34/RBI_Levels!E33)</f>
        <v>0.641524928572014</v>
      </c>
      <c r="E34" s="10" t="n">
        <f aca="false">100*LN(RBI_Levels!H34/RBI_Levels!H33)</f>
        <v>-0.893228779936065</v>
      </c>
      <c r="F34" s="10" t="n">
        <f aca="false">100*LN(RBI_Levels!G34/RBI_Levels!G33)</f>
        <v>0.164789511614394</v>
      </c>
      <c r="G34" s="10" t="n">
        <f aca="false">100*LN(RBI_Levels!I34/RBI_Levels!I33)</f>
        <v>-2.01876214615225</v>
      </c>
      <c r="H34" s="10" t="n">
        <f aca="false">100*LN(RBI_Levels!K34/RBI_Levels!K33)</f>
        <v>0.601715739151481</v>
      </c>
      <c r="I34" s="10" t="n">
        <f aca="false">100*LN(RBI_Levels!D34/RBI_Levels!D33)</f>
        <v>-1.05268514597905</v>
      </c>
      <c r="J34" s="10" t="n">
        <f aca="false">100*LN(RBI_Levels!C34/RBI_Levels!C33)</f>
        <v>0.0975486804896203</v>
      </c>
      <c r="K34" s="10" t="n">
        <f aca="false">100*LN(RBI_Levels!B34/RBI_Levels!B33)</f>
        <v>0.9711810238742</v>
      </c>
      <c r="L34" s="10" t="n">
        <f aca="false">100*LN(RBI_Levels!L34/RBI_Levels!L33)</f>
        <v>1.23683204920344</v>
      </c>
      <c r="M34" s="10" t="n">
        <f aca="false">AVERAGE(B34,C34)-AVERAGE(D34,E34,F34)</f>
        <v>-0.915001288960364</v>
      </c>
      <c r="N34" s="10" t="n">
        <f aca="false">IF(OR(H34="",K34=""),"",H34-K34)</f>
        <v>-0.369465284722719</v>
      </c>
      <c r="O34" s="10" t="n">
        <f aca="false">IF(OR(H34="",L34=""),"",H34-L34)</f>
        <v>-0.635116310051962</v>
      </c>
      <c r="P34" s="11" t="n">
        <f aca="false">IF(AND(A34&gt;=DATE(2021,4,1),A34&lt;=DATE(2025,1,31)),1,0)</f>
        <v>1</v>
      </c>
      <c r="Q34" s="11" t="n">
        <f aca="false">IF(A34&gt;=DATE(2023,12,1),1,0)</f>
        <v>0</v>
      </c>
      <c r="R34" s="12" t="str">
        <f aca="false">IF(A34&lt;DATE(2021,4,1),"Before sample",IF(A34&lt;=DATE(2023,11,17),"Pre-policy",IF(A34&lt;=DATE(2025,3,31),"Post-policy","After rollback")))</f>
        <v>Pre-policy</v>
      </c>
    </row>
    <row r="35" customFormat="false" ht="15" hidden="false" customHeight="false" outlineLevel="0" collapsed="false">
      <c r="A35" s="7" t="n">
        <v>44407</v>
      </c>
      <c r="B35" s="10" t="n">
        <f aca="false">100*LN(RBI_Levels!F35/RBI_Levels!F34)</f>
        <v>7.98257499078653</v>
      </c>
      <c r="C35" s="10" t="n">
        <f aca="false">100*LN(RBI_Levels!J35/RBI_Levels!J34)</f>
        <v>3.30275780980272</v>
      </c>
      <c r="D35" s="10" t="n">
        <f aca="false">100*LN(RBI_Levels!E35/RBI_Levels!E34)</f>
        <v>0.755116234699959</v>
      </c>
      <c r="E35" s="10" t="n">
        <f aca="false">100*LN(RBI_Levels!H35/RBI_Levels!H34)</f>
        <v>1.30074069222396</v>
      </c>
      <c r="F35" s="10" t="n">
        <f aca="false">100*LN(RBI_Levels!G35/RBI_Levels!G34)</f>
        <v>0.23131184581632</v>
      </c>
      <c r="G35" s="10" t="n">
        <f aca="false">100*LN(RBI_Levels!I35/RBI_Levels!I34)</f>
        <v>-1.71838402142548</v>
      </c>
      <c r="H35" s="10" t="n">
        <f aca="false">100*LN(RBI_Levels!K35/RBI_Levels!K34)</f>
        <v>-0.102759267364467</v>
      </c>
      <c r="I35" s="10" t="n">
        <f aca="false">100*LN(RBI_Levels!D35/RBI_Levels!D34)</f>
        <v>0.640359734215493</v>
      </c>
      <c r="J35" s="10" t="n">
        <f aca="false">100*LN(RBI_Levels!C35/RBI_Levels!C34)</f>
        <v>0.122983715757133</v>
      </c>
      <c r="K35" s="10" t="n">
        <f aca="false">100*LN(RBI_Levels!B35/RBI_Levels!B34)</f>
        <v>-0.113364770667079</v>
      </c>
      <c r="L35" s="10" t="n">
        <f aca="false">100*LN(RBI_Levels!L35/RBI_Levels!L34)</f>
        <v>-0.543582909672178</v>
      </c>
      <c r="M35" s="10" t="n">
        <f aca="false">AVERAGE(B35,C35)-AVERAGE(D35,E35,F35)</f>
        <v>4.88027680938121</v>
      </c>
      <c r="N35" s="10" t="n">
        <f aca="false">IF(OR(H35="",K35=""),"",H35-K35)</f>
        <v>0.0106055033026119</v>
      </c>
      <c r="O35" s="10" t="n">
        <f aca="false">IF(OR(H35="",L35=""),"",H35-L35)</f>
        <v>0.440823642307711</v>
      </c>
      <c r="P35" s="11" t="n">
        <f aca="false">IF(AND(A35&gt;=DATE(2021,4,1),A35&lt;=DATE(2025,1,31)),1,0)</f>
        <v>1</v>
      </c>
      <c r="Q35" s="11" t="n">
        <f aca="false">IF(A35&gt;=DATE(2023,12,1),1,0)</f>
        <v>0</v>
      </c>
      <c r="R35" s="12" t="str">
        <f aca="false">IF(A35&lt;DATE(2021,4,1),"Before sample",IF(A35&lt;=DATE(2023,11,17),"Pre-policy",IF(A35&lt;=DATE(2025,3,31),"Post-policy","After rollback")))</f>
        <v>Pre-policy</v>
      </c>
    </row>
    <row r="36" customFormat="false" ht="15" hidden="false" customHeight="false" outlineLevel="0" collapsed="false">
      <c r="A36" s="7" t="n">
        <v>44435</v>
      </c>
      <c r="B36" s="10" t="n">
        <f aca="false">100*LN(RBI_Levels!F36/RBI_Levels!F35)</f>
        <v>3.64129971635981</v>
      </c>
      <c r="C36" s="10" t="n">
        <f aca="false">100*LN(RBI_Levels!J36/RBI_Levels!J35)</f>
        <v>1.21889199424596</v>
      </c>
      <c r="D36" s="10" t="n">
        <f aca="false">100*LN(RBI_Levels!E36/RBI_Levels!E35)</f>
        <v>0.811147285621907</v>
      </c>
      <c r="E36" s="10" t="n">
        <f aca="false">100*LN(RBI_Levels!H36/RBI_Levels!H35)</f>
        <v>1.06264424357407</v>
      </c>
      <c r="F36" s="10" t="n">
        <f aca="false">100*LN(RBI_Levels!G36/RBI_Levels!G35)</f>
        <v>1.41425543148394</v>
      </c>
      <c r="G36" s="10" t="n">
        <f aca="false">100*LN(RBI_Levels!I36/RBI_Levels!I35)</f>
        <v>-1.62713996787705</v>
      </c>
      <c r="H36" s="10" t="n">
        <f aca="false">100*LN(RBI_Levels!K36/RBI_Levels!K35)</f>
        <v>-2.33596092819722</v>
      </c>
      <c r="I36" s="10" t="n">
        <f aca="false">100*LN(RBI_Levels!D36/RBI_Levels!D35)</f>
        <v>-0.930050186154167</v>
      </c>
      <c r="J36" s="10" t="n">
        <f aca="false">100*LN(RBI_Levels!C36/RBI_Levels!C35)</f>
        <v>-1.90567416558591</v>
      </c>
      <c r="K36" s="10" t="n">
        <f aca="false">100*LN(RBI_Levels!B36/RBI_Levels!B35)</f>
        <v>-0.0395965234691486</v>
      </c>
      <c r="L36" s="10" t="n">
        <f aca="false">100*LN(RBI_Levels!L36/RBI_Levels!L35)</f>
        <v>-0.0197685568893403</v>
      </c>
      <c r="M36" s="10" t="n">
        <f aca="false">AVERAGE(B36,C36)-AVERAGE(D36,E36,F36)</f>
        <v>1.33408020174291</v>
      </c>
      <c r="N36" s="10" t="n">
        <f aca="false">IF(OR(H36="",K36=""),"",H36-K36)</f>
        <v>-2.29636440472807</v>
      </c>
      <c r="O36" s="10" t="n">
        <f aca="false">IF(OR(H36="",L36=""),"",H36-L36)</f>
        <v>-2.31619237130788</v>
      </c>
      <c r="P36" s="11" t="n">
        <f aca="false">IF(AND(A36&gt;=DATE(2021,4,1),A36&lt;=DATE(2025,1,31)),1,0)</f>
        <v>1</v>
      </c>
      <c r="Q36" s="11" t="n">
        <f aca="false">IF(A36&gt;=DATE(2023,12,1),1,0)</f>
        <v>0</v>
      </c>
      <c r="R36" s="12" t="str">
        <f aca="false">IF(A36&lt;DATE(2021,4,1),"Before sample",IF(A36&lt;=DATE(2023,11,17),"Pre-policy",IF(A36&lt;=DATE(2025,3,31),"Post-policy","After rollback")))</f>
        <v>Pre-policy</v>
      </c>
    </row>
    <row r="37" customFormat="false" ht="15" hidden="false" customHeight="false" outlineLevel="0" collapsed="false">
      <c r="A37" s="7" t="n">
        <v>44463</v>
      </c>
      <c r="B37" s="10" t="n">
        <f aca="false">100*LN(RBI_Levels!F37/RBI_Levels!F36)</f>
        <v>0.000895886359968884</v>
      </c>
      <c r="C37" s="10" t="n">
        <f aca="false">100*LN(RBI_Levels!J37/RBI_Levels!J36)</f>
        <v>0.811837101689163</v>
      </c>
      <c r="D37" s="10" t="n">
        <f aca="false">100*LN(RBI_Levels!E37/RBI_Levels!E36)</f>
        <v>1.49949440317659</v>
      </c>
      <c r="E37" s="10" t="n">
        <f aca="false">100*LN(RBI_Levels!H37/RBI_Levels!H36)</f>
        <v>0.739507580084197</v>
      </c>
      <c r="F37" s="10" t="n">
        <f aca="false">100*LN(RBI_Levels!G37/RBI_Levels!G36)</f>
        <v>1.62560223422827</v>
      </c>
      <c r="G37" s="10" t="n">
        <f aca="false">100*LN(RBI_Levels!I37/RBI_Levels!I36)</f>
        <v>-0.0796026418722492</v>
      </c>
      <c r="H37" s="10" t="n">
        <f aca="false">100*LN(RBI_Levels!K37/RBI_Levels!K36)</f>
        <v>0.27267354826206</v>
      </c>
      <c r="I37" s="10" t="n">
        <f aca="false">100*LN(RBI_Levels!D37/RBI_Levels!D36)</f>
        <v>-2.77451134412907</v>
      </c>
      <c r="J37" s="10" t="n">
        <f aca="false">100*LN(RBI_Levels!C37/RBI_Levels!C36)</f>
        <v>-0.654639443927365</v>
      </c>
      <c r="K37" s="10" t="n">
        <f aca="false">100*LN(RBI_Levels!B37/RBI_Levels!B36)</f>
        <v>0.604649096707632</v>
      </c>
      <c r="L37" s="10" t="n">
        <f aca="false">100*LN(RBI_Levels!L37/RBI_Levels!L36)</f>
        <v>0.718625965261276</v>
      </c>
      <c r="M37" s="10" t="n">
        <f aca="false">AVERAGE(B37,C37)-AVERAGE(D37,E37,F37)</f>
        <v>-0.881834911805121</v>
      </c>
      <c r="N37" s="10" t="n">
        <f aca="false">IF(OR(H37="",K37=""),"",H37-K37)</f>
        <v>-0.331975548445572</v>
      </c>
      <c r="O37" s="10" t="n">
        <f aca="false">IF(OR(H37="",L37=""),"",H37-L37)</f>
        <v>-0.445952416999216</v>
      </c>
      <c r="P37" s="11" t="n">
        <f aca="false">IF(AND(A37&gt;=DATE(2021,4,1),A37&lt;=DATE(2025,1,31)),1,0)</f>
        <v>1</v>
      </c>
      <c r="Q37" s="11" t="n">
        <f aca="false">IF(A37&gt;=DATE(2023,12,1),1,0)</f>
        <v>0</v>
      </c>
      <c r="R37" s="12" t="str">
        <f aca="false">IF(A37&lt;DATE(2021,4,1),"Before sample",IF(A37&lt;=DATE(2023,11,17),"Pre-policy",IF(A37&lt;=DATE(2025,3,31),"Post-policy","After rollback")))</f>
        <v>Pre-policy</v>
      </c>
    </row>
    <row r="38" customFormat="false" ht="15" hidden="false" customHeight="false" outlineLevel="0" collapsed="false">
      <c r="A38" s="7" t="n">
        <v>44491</v>
      </c>
      <c r="B38" s="10" t="n">
        <f aca="false">100*LN(RBI_Levels!F38/RBI_Levels!F37)</f>
        <v>5.73088513235773</v>
      </c>
      <c r="C38" s="10" t="n">
        <f aca="false">100*LN(RBI_Levels!J38/RBI_Levels!J37)</f>
        <v>2.06127025938289</v>
      </c>
      <c r="D38" s="10" t="n">
        <f aca="false">100*LN(RBI_Levels!E38/RBI_Levels!E37)</f>
        <v>1.00488460857032</v>
      </c>
      <c r="E38" s="10" t="n">
        <f aca="false">100*LN(RBI_Levels!H38/RBI_Levels!H37)</f>
        <v>0.813349965104908</v>
      </c>
      <c r="F38" s="10" t="n">
        <f aca="false">100*LN(RBI_Levels!G38/RBI_Levels!G37)</f>
        <v>0.727437026551664</v>
      </c>
      <c r="G38" s="10" t="n">
        <f aca="false">100*LN(RBI_Levels!I38/RBI_Levels!I37)</f>
        <v>0.356324872169287</v>
      </c>
      <c r="H38" s="10" t="n">
        <f aca="false">100*LN(RBI_Levels!K38/RBI_Levels!K37)</f>
        <v>3.24243984590438</v>
      </c>
      <c r="I38" s="10" t="n">
        <f aca="false">100*LN(RBI_Levels!D38/RBI_Levels!D37)</f>
        <v>-0.491277222604626</v>
      </c>
      <c r="J38" s="10" t="n">
        <f aca="false">100*LN(RBI_Levels!C38/RBI_Levels!C37)</f>
        <v>2.13281722154001</v>
      </c>
      <c r="K38" s="10" t="n">
        <f aca="false">100*LN(RBI_Levels!B38/RBI_Levels!B37)</f>
        <v>0.79035893321325</v>
      </c>
      <c r="L38" s="10" t="n">
        <f aca="false">100*LN(RBI_Levels!L38/RBI_Levels!L37)</f>
        <v>0.468808561629198</v>
      </c>
      <c r="M38" s="10" t="n">
        <f aca="false">AVERAGE(B38,C38)-AVERAGE(D38,E38,F38)</f>
        <v>3.04752049579468</v>
      </c>
      <c r="N38" s="10" t="n">
        <f aca="false">IF(OR(H38="",K38=""),"",H38-K38)</f>
        <v>2.45208091269113</v>
      </c>
      <c r="O38" s="10" t="n">
        <f aca="false">IF(OR(H38="",L38=""),"",H38-L38)</f>
        <v>2.77363128427518</v>
      </c>
      <c r="P38" s="11" t="n">
        <f aca="false">IF(AND(A38&gt;=DATE(2021,4,1),A38&lt;=DATE(2025,1,31)),1,0)</f>
        <v>1</v>
      </c>
      <c r="Q38" s="11" t="n">
        <f aca="false">IF(A38&gt;=DATE(2023,12,1),1,0)</f>
        <v>0</v>
      </c>
      <c r="R38" s="12" t="str">
        <f aca="false">IF(A38&lt;DATE(2021,4,1),"Before sample",IF(A38&lt;=DATE(2023,11,17),"Pre-policy",IF(A38&lt;=DATE(2025,3,31),"Post-policy","After rollback")))</f>
        <v>Pre-policy</v>
      </c>
    </row>
    <row r="39" customFormat="false" ht="15" hidden="false" customHeight="false" outlineLevel="0" collapsed="false">
      <c r="A39" s="7" t="n">
        <v>44519</v>
      </c>
      <c r="B39" s="10" t="n">
        <f aca="false">100*LN(RBI_Levels!F39/RBI_Levels!F38)</f>
        <v>-0.295275748274886</v>
      </c>
      <c r="C39" s="10" t="n">
        <f aca="false">100*LN(RBI_Levels!J39/RBI_Levels!J38)</f>
        <v>1.91060846016709</v>
      </c>
      <c r="D39" s="10" t="n">
        <f aca="false">100*LN(RBI_Levels!E39/RBI_Levels!E38)</f>
        <v>1.17503634491453</v>
      </c>
      <c r="E39" s="10" t="n">
        <f aca="false">100*LN(RBI_Levels!H39/RBI_Levels!H38)</f>
        <v>1.14154752882187</v>
      </c>
      <c r="F39" s="10" t="n">
        <f aca="false">100*LN(RBI_Levels!G39/RBI_Levels!G38)</f>
        <v>-0.563111896983419</v>
      </c>
      <c r="G39" s="10" t="n">
        <f aca="false">100*LN(RBI_Levels!I39/RBI_Levels!I38)</f>
        <v>-1.7528239302613</v>
      </c>
      <c r="H39" s="10" t="n">
        <f aca="false">100*LN(RBI_Levels!K39/RBI_Levels!K38)</f>
        <v>3.55364924724497</v>
      </c>
      <c r="I39" s="10" t="n">
        <f aca="false">100*LN(RBI_Levels!D39/RBI_Levels!D38)</f>
        <v>2.01463449950405</v>
      </c>
      <c r="J39" s="10" t="n">
        <f aca="false">100*LN(RBI_Levels!C39/RBI_Levels!C38)</f>
        <v>3.10470501543361</v>
      </c>
      <c r="K39" s="10" t="n">
        <f aca="false">100*LN(RBI_Levels!B39/RBI_Levels!B38)</f>
        <v>0.896228584232229</v>
      </c>
      <c r="L39" s="10" t="n">
        <f aca="false">100*LN(RBI_Levels!L39/RBI_Levels!L38)</f>
        <v>0.602544267888894</v>
      </c>
      <c r="M39" s="10" t="n">
        <f aca="false">AVERAGE(B39,C39)-AVERAGE(D39,E39,F39)</f>
        <v>0.223175697028437</v>
      </c>
      <c r="N39" s="10" t="n">
        <f aca="false">IF(OR(H39="",K39=""),"",H39-K39)</f>
        <v>2.65742066301274</v>
      </c>
      <c r="O39" s="10" t="n">
        <f aca="false">IF(OR(H39="",L39=""),"",H39-L39)</f>
        <v>2.95110497935608</v>
      </c>
      <c r="P39" s="11" t="n">
        <f aca="false">IF(AND(A39&gt;=DATE(2021,4,1),A39&lt;=DATE(2025,1,31)),1,0)</f>
        <v>1</v>
      </c>
      <c r="Q39" s="11" t="n">
        <f aca="false">IF(A39&gt;=DATE(2023,12,1),1,0)</f>
        <v>0</v>
      </c>
      <c r="R39" s="12" t="str">
        <f aca="false">IF(A39&lt;DATE(2021,4,1),"Before sample",IF(A39&lt;=DATE(2023,11,17),"Pre-policy",IF(A39&lt;=DATE(2025,3,31),"Post-policy","After rollback")))</f>
        <v>Pre-policy</v>
      </c>
    </row>
    <row r="40" customFormat="false" ht="15" hidden="false" customHeight="false" outlineLevel="0" collapsed="false">
      <c r="A40" s="7" t="n">
        <v>44561</v>
      </c>
      <c r="B40" s="10" t="n">
        <f aca="false">100*LN(RBI_Levels!F40/RBI_Levels!F39)</f>
        <v>2.17327204657899</v>
      </c>
      <c r="C40" s="10" t="n">
        <f aca="false">100*LN(RBI_Levels!J40/RBI_Levels!J39)</f>
        <v>3.0830708867385</v>
      </c>
      <c r="D40" s="10" t="n">
        <f aca="false">100*LN(RBI_Levels!E40/RBI_Levels!E39)</f>
        <v>2.95683524531586</v>
      </c>
      <c r="E40" s="10" t="n">
        <f aca="false">100*LN(RBI_Levels!H40/RBI_Levels!H39)</f>
        <v>1.64695604416694</v>
      </c>
      <c r="F40" s="10" t="n">
        <f aca="false">100*LN(RBI_Levels!G40/RBI_Levels!G39)</f>
        <v>1.62738682906887</v>
      </c>
      <c r="G40" s="10" t="n">
        <f aca="false">100*LN(RBI_Levels!I40/RBI_Levels!I39)</f>
        <v>6.16269112743799</v>
      </c>
      <c r="H40" s="10" t="n">
        <f aca="false">100*LN(RBI_Levels!K40/RBI_Levels!K39)</f>
        <v>7.9835393494386</v>
      </c>
      <c r="I40" s="10" t="n">
        <f aca="false">100*LN(RBI_Levels!D40/RBI_Levels!D39)</f>
        <v>0.883601003482744</v>
      </c>
      <c r="J40" s="10" t="n">
        <f aca="false">100*LN(RBI_Levels!C40/RBI_Levels!C39)</f>
        <v>5.97508899196095</v>
      </c>
      <c r="K40" s="10" t="n">
        <f aca="false">100*LN(RBI_Levels!B40/RBI_Levels!B39)</f>
        <v>3.66519341011877</v>
      </c>
      <c r="L40" s="10" t="n">
        <f aca="false">100*LN(RBI_Levels!L40/RBI_Levels!L39)</f>
        <v>3.50475793250928</v>
      </c>
      <c r="M40" s="10" t="n">
        <f aca="false">AVERAGE(B40,C40)-AVERAGE(D40,E40,F40)</f>
        <v>0.551112093808187</v>
      </c>
      <c r="N40" s="10" t="n">
        <f aca="false">IF(OR(H40="",K40=""),"",H40-K40)</f>
        <v>4.31834593931982</v>
      </c>
      <c r="O40" s="10" t="n">
        <f aca="false">IF(OR(H40="",L40=""),"",H40-L40)</f>
        <v>4.47878141692931</v>
      </c>
      <c r="P40" s="11" t="n">
        <f aca="false">IF(AND(A40&gt;=DATE(2021,4,1),A40&lt;=DATE(2025,1,31)),1,0)</f>
        <v>1</v>
      </c>
      <c r="Q40" s="11" t="n">
        <f aca="false">IF(A40&gt;=DATE(2023,12,1),1,0)</f>
        <v>0</v>
      </c>
      <c r="R40" s="12" t="str">
        <f aca="false">IF(A40&lt;DATE(2021,4,1),"Before sample",IF(A40&lt;=DATE(2023,11,17),"Pre-policy",IF(A40&lt;=DATE(2025,3,31),"Post-policy","After rollback")))</f>
        <v>Pre-policy</v>
      </c>
    </row>
    <row r="41" customFormat="false" ht="15" hidden="false" customHeight="false" outlineLevel="0" collapsed="false">
      <c r="A41" s="7" t="n">
        <v>44589</v>
      </c>
      <c r="B41" s="10" t="n">
        <f aca="false">100*LN(RBI_Levels!F41/RBI_Levels!F40)</f>
        <v>1.26529202738002</v>
      </c>
      <c r="C41" s="10" t="n">
        <f aca="false">100*LN(RBI_Levels!J41/RBI_Levels!J40)</f>
        <v>0.0647885239170361</v>
      </c>
      <c r="D41" s="10" t="n">
        <f aca="false">100*LN(RBI_Levels!E41/RBI_Levels!E40)</f>
        <v>0.117003545553547</v>
      </c>
      <c r="E41" s="10" t="n">
        <f aca="false">100*LN(RBI_Levels!H41/RBI_Levels!H40)</f>
        <v>1.82419577753369</v>
      </c>
      <c r="F41" s="10" t="n">
        <f aca="false">100*LN(RBI_Levels!G41/RBI_Levels!G40)</f>
        <v>1.37528969336045</v>
      </c>
      <c r="G41" s="10" t="n">
        <f aca="false">100*LN(RBI_Levels!I41/RBI_Levels!I40)</f>
        <v>-0.864062932822939</v>
      </c>
      <c r="H41" s="10" t="n">
        <f aca="false">100*LN(RBI_Levels!K41/RBI_Levels!K40)</f>
        <v>0.579573502416001</v>
      </c>
      <c r="I41" s="10" t="n">
        <f aca="false">100*LN(RBI_Levels!D41/RBI_Levels!D40)</f>
        <v>1.63604156632844</v>
      </c>
      <c r="J41" s="10" t="n">
        <f aca="false">100*LN(RBI_Levels!C41/RBI_Levels!C40)</f>
        <v>0.871977943849851</v>
      </c>
      <c r="K41" s="10" t="n">
        <f aca="false">100*LN(RBI_Levels!B41/RBI_Levels!B40)</f>
        <v>-0.933751135669251</v>
      </c>
      <c r="L41" s="10" t="n">
        <f aca="false">100*LN(RBI_Levels!L41/RBI_Levels!L40)</f>
        <v>-1.24902890226201</v>
      </c>
      <c r="M41" s="10" t="n">
        <f aca="false">AVERAGE(B41,C41)-AVERAGE(D41,E41,F41)</f>
        <v>-0.44045606316737</v>
      </c>
      <c r="N41" s="10" t="n">
        <f aca="false">IF(OR(H41="",K41=""),"",H41-K41)</f>
        <v>1.51332463808525</v>
      </c>
      <c r="O41" s="10" t="n">
        <f aca="false">IF(OR(H41="",L41=""),"",H41-L41)</f>
        <v>1.82860240467801</v>
      </c>
      <c r="P41" s="11" t="n">
        <f aca="false">IF(AND(A41&gt;=DATE(2021,4,1),A41&lt;=DATE(2025,1,31)),1,0)</f>
        <v>1</v>
      </c>
      <c r="Q41" s="11" t="n">
        <f aca="false">IF(A41&gt;=DATE(2023,12,1),1,0)</f>
        <v>0</v>
      </c>
      <c r="R41" s="12" t="str">
        <f aca="false">IF(A41&lt;DATE(2021,4,1),"Before sample",IF(A41&lt;=DATE(2023,11,17),"Pre-policy",IF(A41&lt;=DATE(2025,3,31),"Post-policy","After rollback")))</f>
        <v>Pre-policy</v>
      </c>
    </row>
    <row r="42" customFormat="false" ht="15" hidden="false" customHeight="false" outlineLevel="0" collapsed="false">
      <c r="A42" s="7" t="n">
        <v>44617</v>
      </c>
      <c r="B42" s="10" t="n">
        <f aca="false">100*LN(RBI_Levels!F42/RBI_Levels!F41)</f>
        <v>0.462566256000584</v>
      </c>
      <c r="C42" s="10" t="n">
        <f aca="false">100*LN(RBI_Levels!J42/RBI_Levels!J41)</f>
        <v>2.3766910126701</v>
      </c>
      <c r="D42" s="10" t="n">
        <f aca="false">100*LN(RBI_Levels!E42/RBI_Levels!E41)</f>
        <v>1.64680744295183</v>
      </c>
      <c r="E42" s="10" t="n">
        <f aca="false">100*LN(RBI_Levels!H42/RBI_Levels!H41)</f>
        <v>1.4890232123977</v>
      </c>
      <c r="F42" s="10" t="n">
        <f aca="false">100*LN(RBI_Levels!G42/RBI_Levels!G41)</f>
        <v>-0.216990773876852</v>
      </c>
      <c r="G42" s="10" t="n">
        <f aca="false">100*LN(RBI_Levels!I42/RBI_Levels!I41)</f>
        <v>-2.64965674706023</v>
      </c>
      <c r="H42" s="10" t="n">
        <f aca="false">100*LN(RBI_Levels!K42/RBI_Levels!K41)</f>
        <v>0.704765590172116</v>
      </c>
      <c r="I42" s="10" t="n">
        <f aca="false">100*LN(RBI_Levels!D42/RBI_Levels!D41)</f>
        <v>0.541522961261758</v>
      </c>
      <c r="J42" s="10" t="n">
        <f aca="false">100*LN(RBI_Levels!C42/RBI_Levels!C41)</f>
        <v>0.659438019341893</v>
      </c>
      <c r="K42" s="10" t="n">
        <f aca="false">100*LN(RBI_Levels!B42/RBI_Levels!B41)</f>
        <v>1.64540793261843</v>
      </c>
      <c r="L42" s="10" t="n">
        <f aca="false">100*LN(RBI_Levels!L42/RBI_Levels!L41)</f>
        <v>1.70074577819194</v>
      </c>
      <c r="M42" s="10" t="n">
        <f aca="false">AVERAGE(B42,C42)-AVERAGE(D42,E42,F42)</f>
        <v>0.446682007177784</v>
      </c>
      <c r="N42" s="10" t="n">
        <f aca="false">IF(OR(H42="",K42=""),"",H42-K42)</f>
        <v>-0.940642342446314</v>
      </c>
      <c r="O42" s="10" t="n">
        <f aca="false">IF(OR(H42="",L42=""),"",H42-L42)</f>
        <v>-0.995980188019827</v>
      </c>
      <c r="P42" s="11" t="n">
        <f aca="false">IF(AND(A42&gt;=DATE(2021,4,1),A42&lt;=DATE(2025,1,31)),1,0)</f>
        <v>1</v>
      </c>
      <c r="Q42" s="11" t="n">
        <f aca="false">IF(A42&gt;=DATE(2023,12,1),1,0)</f>
        <v>0</v>
      </c>
      <c r="R42" s="12" t="str">
        <f aca="false">IF(A42&lt;DATE(2021,4,1),"Before sample",IF(A42&lt;=DATE(2023,11,17),"Pre-policy",IF(A42&lt;=DATE(2025,3,31),"Post-policy","After rollback")))</f>
        <v>Pre-policy</v>
      </c>
    </row>
    <row r="43" customFormat="false" ht="15" hidden="false" customHeight="false" outlineLevel="0" collapsed="false">
      <c r="A43" s="7" t="n">
        <v>44645</v>
      </c>
      <c r="B43" s="10" t="n">
        <f aca="false">100*LN(RBI_Levels!F43/RBI_Levels!F42)</f>
        <v>2.50654528896483</v>
      </c>
      <c r="C43" s="10" t="n">
        <f aca="false">100*LN(RBI_Levels!J43/RBI_Levels!J42)</f>
        <v>2.11246589910623</v>
      </c>
      <c r="D43" s="10" t="n">
        <f aca="false">100*LN(RBI_Levels!E43/RBI_Levels!E42)</f>
        <v>1.35526553381023</v>
      </c>
      <c r="E43" s="10" t="n">
        <f aca="false">100*LN(RBI_Levels!H43/RBI_Levels!H42)</f>
        <v>0.194032203072965</v>
      </c>
      <c r="F43" s="10" t="n">
        <f aca="false">100*LN(RBI_Levels!G43/RBI_Levels!G42)</f>
        <v>-0.154872850295034</v>
      </c>
      <c r="G43" s="10" t="n">
        <f aca="false">100*LN(RBI_Levels!I43/RBI_Levels!I42)</f>
        <v>0.961858868388879</v>
      </c>
      <c r="H43" s="10" t="n">
        <f aca="false">100*LN(RBI_Levels!K43/RBI_Levels!K42)</f>
        <v>3.26844575938951</v>
      </c>
      <c r="I43" s="10" t="n">
        <f aca="false">100*LN(RBI_Levels!D43/RBI_Levels!D42)</f>
        <v>3.04354113070756</v>
      </c>
      <c r="J43" s="10" t="n">
        <f aca="false">100*LN(RBI_Levels!C43/RBI_Levels!C42)</f>
        <v>3.20608400966832</v>
      </c>
      <c r="K43" s="10" t="n">
        <f aca="false">100*LN(RBI_Levels!B43/RBI_Levels!B42)</f>
        <v>2.22812342383629</v>
      </c>
      <c r="L43" s="10" t="n">
        <f aca="false">100*LN(RBI_Levels!L43/RBI_Levels!L42)</f>
        <v>2.13127632569326</v>
      </c>
      <c r="M43" s="10" t="n">
        <f aca="false">AVERAGE(B43,C43)-AVERAGE(D43,E43,F43)</f>
        <v>1.84469729850615</v>
      </c>
      <c r="N43" s="10" t="n">
        <f aca="false">IF(OR(H43="",K43=""),"",H43-K43)</f>
        <v>1.04032233555322</v>
      </c>
      <c r="O43" s="10" t="n">
        <f aca="false">IF(OR(H43="",L43=""),"",H43-L43)</f>
        <v>1.13716943369625</v>
      </c>
      <c r="P43" s="11" t="n">
        <f aca="false">IF(AND(A43&gt;=DATE(2021,4,1),A43&lt;=DATE(2025,1,31)),1,0)</f>
        <v>1</v>
      </c>
      <c r="Q43" s="11" t="n">
        <f aca="false">IF(A43&gt;=DATE(2023,12,1),1,0)</f>
        <v>0</v>
      </c>
      <c r="R43" s="12" t="str">
        <f aca="false">IF(A43&lt;DATE(2021,4,1),"Before sample",IF(A43&lt;=DATE(2023,11,17),"Pre-policy",IF(A43&lt;=DATE(2025,3,31),"Post-policy","After rollback")))</f>
        <v>Pre-policy</v>
      </c>
    </row>
    <row r="44" customFormat="false" ht="15" hidden="false" customHeight="false" outlineLevel="0" collapsed="false">
      <c r="A44" s="7" t="n">
        <v>44673</v>
      </c>
      <c r="B44" s="10" t="n">
        <f aca="false">100*LN(RBI_Levels!F44/RBI_Levels!F43)</f>
        <v>3.97957260479712</v>
      </c>
      <c r="C44" s="10" t="n">
        <f aca="false">100*LN(RBI_Levels!J44/RBI_Levels!J43)</f>
        <v>2.90489222503087</v>
      </c>
      <c r="D44" s="10" t="n">
        <f aca="false">100*LN(RBI_Levels!E44/RBI_Levels!E43)</f>
        <v>1.28208493101696</v>
      </c>
      <c r="E44" s="10" t="n">
        <f aca="false">100*LN(RBI_Levels!H44/RBI_Levels!H43)</f>
        <v>2.59429089244273</v>
      </c>
      <c r="F44" s="10" t="n">
        <f aca="false">100*LN(RBI_Levels!G44/RBI_Levels!G43)</f>
        <v>-0.169430874832476</v>
      </c>
      <c r="G44" s="10" t="n">
        <f aca="false">100*LN(RBI_Levels!I44/RBI_Levels!I43)</f>
        <v>0.575209502364699</v>
      </c>
      <c r="H44" s="10" t="n">
        <f aca="false">100*LN(RBI_Levels!K44/RBI_Levels!K43)</f>
        <v>0.99429257021653</v>
      </c>
      <c r="I44" s="10" t="n">
        <f aca="false">100*LN(RBI_Levels!D44/RBI_Levels!D43)</f>
        <v>3.08064728974465</v>
      </c>
      <c r="J44" s="10" t="n">
        <f aca="false">100*LN(RBI_Levels!C44/RBI_Levels!C43)</f>
        <v>1.57670152628764</v>
      </c>
      <c r="K44" s="10" t="n">
        <f aca="false">100*LN(RBI_Levels!B44/RBI_Levels!B43)</f>
        <v>0.652465955991906</v>
      </c>
      <c r="L44" s="10" t="n">
        <f aca="false">100*LN(RBI_Levels!L44/RBI_Levels!L43)</f>
        <v>0.288993532913631</v>
      </c>
      <c r="M44" s="10" t="n">
        <f aca="false">AVERAGE(B44,C44)-AVERAGE(D44,E44,F44)</f>
        <v>2.20658409870493</v>
      </c>
      <c r="N44" s="10" t="n">
        <f aca="false">IF(OR(H44="",K44=""),"",H44-K44)</f>
        <v>0.341826614224623</v>
      </c>
      <c r="O44" s="10" t="n">
        <f aca="false">IF(OR(H44="",L44=""),"",H44-L44)</f>
        <v>0.705299037302899</v>
      </c>
      <c r="P44" s="11" t="n">
        <f aca="false">IF(AND(A44&gt;=DATE(2021,4,1),A44&lt;=DATE(2025,1,31)),1,0)</f>
        <v>1</v>
      </c>
      <c r="Q44" s="11" t="n">
        <f aca="false">IF(A44&gt;=DATE(2023,12,1),1,0)</f>
        <v>0</v>
      </c>
      <c r="R44" s="12" t="str">
        <f aca="false">IF(A44&lt;DATE(2021,4,1),"Before sample",IF(A44&lt;=DATE(2023,11,17),"Pre-policy",IF(A44&lt;=DATE(2025,3,31),"Post-policy","After rollback")))</f>
        <v>Pre-policy</v>
      </c>
    </row>
    <row r="45" customFormat="false" ht="15" hidden="false" customHeight="false" outlineLevel="0" collapsed="false">
      <c r="A45" s="7" t="n">
        <v>44701</v>
      </c>
      <c r="B45" s="10" t="n">
        <f aca="false">100*LN(RBI_Levels!F45/RBI_Levels!F44)</f>
        <v>0.435080566894758</v>
      </c>
      <c r="C45" s="10" t="n">
        <f aca="false">100*LN(RBI_Levels!J45/RBI_Levels!J44)</f>
        <v>1.34762249490277</v>
      </c>
      <c r="D45" s="10" t="n">
        <f aca="false">100*LN(RBI_Levels!E45/RBI_Levels!E44)</f>
        <v>0.282959627360097</v>
      </c>
      <c r="E45" s="10" t="n">
        <f aca="false">100*LN(RBI_Levels!H45/RBI_Levels!H44)</f>
        <v>1.17444626245923</v>
      </c>
      <c r="F45" s="10" t="n">
        <f aca="false">100*LN(RBI_Levels!G45/RBI_Levels!G44)</f>
        <v>0.131272742297016</v>
      </c>
      <c r="G45" s="10" t="n">
        <f aca="false">100*LN(RBI_Levels!I45/RBI_Levels!I44)</f>
        <v>3.94733327015588</v>
      </c>
      <c r="H45" s="10" t="n">
        <f aca="false">100*LN(RBI_Levels!K45/RBI_Levels!K44)</f>
        <v>1.16661477746423</v>
      </c>
      <c r="I45" s="10" t="n">
        <f aca="false">100*LN(RBI_Levels!D45/RBI_Levels!D44)</f>
        <v>0.964607643543371</v>
      </c>
      <c r="J45" s="10" t="n">
        <f aca="false">100*LN(RBI_Levels!C45/RBI_Levels!C44)</f>
        <v>1.10984073539716</v>
      </c>
      <c r="K45" s="10" t="n">
        <f aca="false">100*LN(RBI_Levels!B45/RBI_Levels!B44)</f>
        <v>1.50541449028997</v>
      </c>
      <c r="L45" s="10" t="n">
        <f aca="false">100*LN(RBI_Levels!L45/RBI_Levels!L44)</f>
        <v>1.58027570861853</v>
      </c>
      <c r="M45" s="10" t="n">
        <f aca="false">AVERAGE(B45,C45)-AVERAGE(D45,E45,F45)</f>
        <v>0.361791986859983</v>
      </c>
      <c r="N45" s="10" t="n">
        <f aca="false">IF(OR(H45="",K45=""),"",H45-K45)</f>
        <v>-0.338799712825741</v>
      </c>
      <c r="O45" s="10" t="n">
        <f aca="false">IF(OR(H45="",L45=""),"",H45-L45)</f>
        <v>-0.413660931154299</v>
      </c>
      <c r="P45" s="11" t="n">
        <f aca="false">IF(AND(A45&gt;=DATE(2021,4,1),A45&lt;=DATE(2025,1,31)),1,0)</f>
        <v>1</v>
      </c>
      <c r="Q45" s="11" t="n">
        <f aca="false">IF(A45&gt;=DATE(2023,12,1),1,0)</f>
        <v>0</v>
      </c>
      <c r="R45" s="12" t="str">
        <f aca="false">IF(A45&lt;DATE(2021,4,1),"Before sample",IF(A45&lt;=DATE(2023,11,17),"Pre-policy",IF(A45&lt;=DATE(2025,3,31),"Post-policy","After rollback")))</f>
        <v>Pre-policy</v>
      </c>
    </row>
    <row r="46" customFormat="false" ht="15" hidden="false" customHeight="false" outlineLevel="0" collapsed="false">
      <c r="A46" s="7" t="n">
        <v>44729</v>
      </c>
      <c r="B46" s="10" t="n">
        <f aca="false">100*LN(RBI_Levels!F46/RBI_Levels!F45)</f>
        <v>-0.374213812135038</v>
      </c>
      <c r="C46" s="10" t="n">
        <f aca="false">100*LN(RBI_Levels!J46/RBI_Levels!J45)</f>
        <v>0.97630384139926</v>
      </c>
      <c r="D46" s="10" t="n">
        <f aca="false">100*LN(RBI_Levels!E46/RBI_Levels!E45)</f>
        <v>1.24962161318358</v>
      </c>
      <c r="E46" s="10" t="n">
        <f aca="false">100*LN(RBI_Levels!H46/RBI_Levels!H45)</f>
        <v>1.6704332740844</v>
      </c>
      <c r="F46" s="10" t="n">
        <f aca="false">100*LN(RBI_Levels!G46/RBI_Levels!G45)</f>
        <v>1.84621767590137</v>
      </c>
      <c r="G46" s="10" t="n">
        <f aca="false">100*LN(RBI_Levels!I46/RBI_Levels!I45)</f>
        <v>1.67692598822857</v>
      </c>
      <c r="H46" s="10" t="n">
        <f aca="false">100*LN(RBI_Levels!K46/RBI_Levels!K45)</f>
        <v>0.893499384306228</v>
      </c>
      <c r="I46" s="10" t="n">
        <f aca="false">100*LN(RBI_Levels!D46/RBI_Levels!D45)</f>
        <v>-1.34056574874995</v>
      </c>
      <c r="J46" s="10" t="n">
        <f aca="false">100*LN(RBI_Levels!C46/RBI_Levels!C45)</f>
        <v>0.2710957019256</v>
      </c>
      <c r="K46" s="10" t="n">
        <f aca="false">100*LN(RBI_Levels!B46/RBI_Levels!B45)</f>
        <v>2.05313029194425</v>
      </c>
      <c r="L46" s="10" t="n">
        <f aca="false">100*LN(RBI_Levels!L46/RBI_Levels!L45)</f>
        <v>2.38187421646274</v>
      </c>
      <c r="M46" s="10" t="n">
        <f aca="false">AVERAGE(B46,C46)-AVERAGE(D46,E46,F46)</f>
        <v>-1.28771250642434</v>
      </c>
      <c r="N46" s="10" t="n">
        <f aca="false">IF(OR(H46="",K46=""),"",H46-K46)</f>
        <v>-1.15963090763802</v>
      </c>
      <c r="O46" s="10" t="n">
        <f aca="false">IF(OR(H46="",L46=""),"",H46-L46)</f>
        <v>-1.48837483215651</v>
      </c>
      <c r="P46" s="11" t="n">
        <f aca="false">IF(AND(A46&gt;=DATE(2021,4,1),A46&lt;=DATE(2025,1,31)),1,0)</f>
        <v>1</v>
      </c>
      <c r="Q46" s="11" t="n">
        <f aca="false">IF(A46&gt;=DATE(2023,12,1),1,0)</f>
        <v>0</v>
      </c>
      <c r="R46" s="12" t="str">
        <f aca="false">IF(A46&lt;DATE(2021,4,1),"Before sample",IF(A46&lt;=DATE(2023,11,17),"Pre-policy",IF(A46&lt;=DATE(2025,3,31),"Post-policy","After rollback")))</f>
        <v>Pre-policy</v>
      </c>
    </row>
    <row r="47" customFormat="false" ht="15" hidden="false" customHeight="false" outlineLevel="0" collapsed="false">
      <c r="A47" s="7" t="n">
        <v>44771</v>
      </c>
      <c r="B47" s="10" t="n">
        <f aca="false">100*LN(RBI_Levels!F47/RBI_Levels!F46)</f>
        <v>5.91070631612659</v>
      </c>
      <c r="C47" s="10" t="n">
        <f aca="false">100*LN(RBI_Levels!J47/RBI_Levels!J46)</f>
        <v>2.37382442083286</v>
      </c>
      <c r="D47" s="10" t="n">
        <f aca="false">100*LN(RBI_Levels!E47/RBI_Levels!E46)</f>
        <v>1.68086300682157</v>
      </c>
      <c r="E47" s="10" t="n">
        <f aca="false">100*LN(RBI_Levels!H47/RBI_Levels!H46)</f>
        <v>2.7673596266027</v>
      </c>
      <c r="F47" s="10" t="n">
        <f aca="false">100*LN(RBI_Levels!G47/RBI_Levels!G46)</f>
        <v>1.77245926237987</v>
      </c>
      <c r="G47" s="10" t="n">
        <f aca="false">100*LN(RBI_Levels!I47/RBI_Levels!I46)</f>
        <v>2.88951498782199</v>
      </c>
      <c r="H47" s="10" t="n">
        <f aca="false">100*LN(RBI_Levels!K47/RBI_Levels!K46)</f>
        <v>5.56990308452447</v>
      </c>
      <c r="I47" s="10" t="n">
        <f aca="false">100*LN(RBI_Levels!D47/RBI_Levels!D46)</f>
        <v>7.22321795423127</v>
      </c>
      <c r="J47" s="10" t="n">
        <f aca="false">100*LN(RBI_Levels!C47/RBI_Levels!C46)</f>
        <v>6.02954589938396</v>
      </c>
      <c r="K47" s="10" t="n">
        <f aca="false">100*LN(RBI_Levels!B47/RBI_Levels!B46)</f>
        <v>-0.067817989696267</v>
      </c>
      <c r="L47" s="10" t="n">
        <f aca="false">100*LN(RBI_Levels!L47/RBI_Levels!L46)</f>
        <v>-1.05914666454711</v>
      </c>
      <c r="M47" s="10" t="n">
        <f aca="false">AVERAGE(B47,C47)-AVERAGE(D47,E47,F47)</f>
        <v>2.06870473654501</v>
      </c>
      <c r="N47" s="10" t="n">
        <f aca="false">IF(OR(H47="",K47=""),"",H47-K47)</f>
        <v>5.63772107422074</v>
      </c>
      <c r="O47" s="10" t="n">
        <f aca="false">IF(OR(H47="",L47=""),"",H47-L47)</f>
        <v>6.62904974907158</v>
      </c>
      <c r="P47" s="11" t="n">
        <f aca="false">IF(AND(A47&gt;=DATE(2021,4,1),A47&lt;=DATE(2025,1,31)),1,0)</f>
        <v>1</v>
      </c>
      <c r="Q47" s="11" t="n">
        <f aca="false">IF(A47&gt;=DATE(2023,12,1),1,0)</f>
        <v>0</v>
      </c>
      <c r="R47" s="12" t="str">
        <f aca="false">IF(A47&lt;DATE(2021,4,1),"Before sample",IF(A47&lt;=DATE(2023,11,17),"Pre-policy",IF(A47&lt;=DATE(2025,3,31),"Post-policy","After rollback")))</f>
        <v>Pre-policy</v>
      </c>
    </row>
    <row r="48" customFormat="false" ht="15" hidden="false" customHeight="false" outlineLevel="0" collapsed="false">
      <c r="A48" s="7" t="n">
        <v>44799</v>
      </c>
      <c r="B48" s="10" t="n">
        <f aca="false">100*LN(RBI_Levels!F48/RBI_Levels!F47)</f>
        <v>2.81427645707841</v>
      </c>
      <c r="C48" s="10" t="n">
        <f aca="false">100*LN(RBI_Levels!J48/RBI_Levels!J47)</f>
        <v>1.98933311408652</v>
      </c>
      <c r="D48" s="10" t="n">
        <f aca="false">100*LN(RBI_Levels!E48/RBI_Levels!E47)</f>
        <v>0.926409727909893</v>
      </c>
      <c r="E48" s="10" t="n">
        <f aca="false">100*LN(RBI_Levels!H48/RBI_Levels!H47)</f>
        <v>1.26023476266941</v>
      </c>
      <c r="F48" s="10" t="n">
        <f aca="false">100*LN(RBI_Levels!G48/RBI_Levels!G47)</f>
        <v>2.68984439918838</v>
      </c>
      <c r="G48" s="10" t="n">
        <f aca="false">100*LN(RBI_Levels!I48/RBI_Levels!I47)</f>
        <v>1.08285443333396</v>
      </c>
      <c r="H48" s="10" t="n">
        <f aca="false">100*LN(RBI_Levels!K48/RBI_Levels!K47)</f>
        <v>0.203150266860253</v>
      </c>
      <c r="I48" s="10" t="n">
        <f aca="false">100*LN(RBI_Levels!D48/RBI_Levels!D47)</f>
        <v>-3.45292130901549</v>
      </c>
      <c r="J48" s="10" t="n">
        <f aca="false">100*LN(RBI_Levels!C48/RBI_Levels!C47)</f>
        <v>-0.80596694099724</v>
      </c>
      <c r="K48" s="10" t="n">
        <f aca="false">100*LN(RBI_Levels!B48/RBI_Levels!B47)</f>
        <v>0.758173674400748</v>
      </c>
      <c r="L48" s="10" t="n">
        <f aca="false">100*LN(RBI_Levels!L48/RBI_Levels!L47)</f>
        <v>0.777552552671741</v>
      </c>
      <c r="M48" s="10" t="n">
        <f aca="false">AVERAGE(B48,C48)-AVERAGE(D48,E48,F48)</f>
        <v>0.776308488993234</v>
      </c>
      <c r="N48" s="10" t="n">
        <f aca="false">IF(OR(H48="",K48=""),"",H48-K48)</f>
        <v>-0.555023407540495</v>
      </c>
      <c r="O48" s="10" t="n">
        <f aca="false">IF(OR(H48="",L48=""),"",H48-L48)</f>
        <v>-0.574402285811488</v>
      </c>
      <c r="P48" s="11" t="n">
        <f aca="false">IF(AND(A48&gt;=DATE(2021,4,1),A48&lt;=DATE(2025,1,31)),1,0)</f>
        <v>1</v>
      </c>
      <c r="Q48" s="11" t="n">
        <f aca="false">IF(A48&gt;=DATE(2023,12,1),1,0)</f>
        <v>0</v>
      </c>
      <c r="R48" s="12" t="str">
        <f aca="false">IF(A48&lt;DATE(2021,4,1),"Before sample",IF(A48&lt;=DATE(2023,11,17),"Pre-policy",IF(A48&lt;=DATE(2025,3,31),"Post-policy","After rollback")))</f>
        <v>Pre-policy</v>
      </c>
    </row>
    <row r="49" customFormat="false" ht="15" hidden="false" customHeight="false" outlineLevel="0" collapsed="false">
      <c r="A49" s="7" t="n">
        <v>44827</v>
      </c>
      <c r="B49" s="10" t="n">
        <f aca="false">100*LN(RBI_Levels!F49/RBI_Levels!F48)</f>
        <v>-0.193217077848806</v>
      </c>
      <c r="C49" s="10" t="n">
        <f aca="false">100*LN(RBI_Levels!J49/RBI_Levels!J48)</f>
        <v>2.16217338727435</v>
      </c>
      <c r="D49" s="10" t="n">
        <f aca="false">100*LN(RBI_Levels!E49/RBI_Levels!E48)</f>
        <v>1.11191881916112</v>
      </c>
      <c r="E49" s="10" t="n">
        <f aca="false">100*LN(RBI_Levels!H49/RBI_Levels!H48)</f>
        <v>0.983192936186704</v>
      </c>
      <c r="F49" s="10" t="n">
        <f aca="false">100*LN(RBI_Levels!G49/RBI_Levels!G48)</f>
        <v>2.33601827194243</v>
      </c>
      <c r="G49" s="10" t="n">
        <f aca="false">100*LN(RBI_Levels!I49/RBI_Levels!I48)</f>
        <v>2.7052274425614</v>
      </c>
      <c r="H49" s="10" t="n">
        <f aca="false">100*LN(RBI_Levels!K49/RBI_Levels!K48)</f>
        <v>2.10047851317735</v>
      </c>
      <c r="I49" s="10" t="n">
        <f aca="false">100*LN(RBI_Levels!D49/RBI_Levels!D48)</f>
        <v>2.24025934207027</v>
      </c>
      <c r="J49" s="10" t="n">
        <f aca="false">100*LN(RBI_Levels!C49/RBI_Levels!C48)</f>
        <v>2.13856976534064</v>
      </c>
      <c r="K49" s="10" t="n">
        <f aca="false">100*LN(RBI_Levels!B49/RBI_Levels!B48)</f>
        <v>1.41533565147175</v>
      </c>
      <c r="L49" s="10" t="n">
        <f aca="false">100*LN(RBI_Levels!L49/RBI_Levels!L48)</f>
        <v>1.28925365964041</v>
      </c>
      <c r="M49" s="10" t="n">
        <f aca="false">AVERAGE(B49,C49)-AVERAGE(D49,E49,F49)</f>
        <v>-0.492565187717313</v>
      </c>
      <c r="N49" s="10" t="n">
        <f aca="false">IF(OR(H49="",K49=""),"",H49-K49)</f>
        <v>0.685142861705599</v>
      </c>
      <c r="O49" s="10" t="n">
        <f aca="false">IF(OR(H49="",L49=""),"",H49-L49)</f>
        <v>0.811224853536941</v>
      </c>
      <c r="P49" s="11" t="n">
        <f aca="false">IF(AND(A49&gt;=DATE(2021,4,1),A49&lt;=DATE(2025,1,31)),1,0)</f>
        <v>1</v>
      </c>
      <c r="Q49" s="11" t="n">
        <f aca="false">IF(A49&gt;=DATE(2023,12,1),1,0)</f>
        <v>0</v>
      </c>
      <c r="R49" s="12" t="str">
        <f aca="false">IF(A49&lt;DATE(2021,4,1),"Before sample",IF(A49&lt;=DATE(2023,11,17),"Pre-policy",IF(A49&lt;=DATE(2025,3,31),"Post-policy","After rollback")))</f>
        <v>Pre-policy</v>
      </c>
    </row>
    <row r="50" customFormat="false" ht="15" hidden="false" customHeight="false" outlineLevel="0" collapsed="false">
      <c r="A50" s="7" t="n">
        <v>44855</v>
      </c>
      <c r="B50" s="10" t="n">
        <f aca="false">100*LN(RBI_Levels!F50/RBI_Levels!F49)</f>
        <v>7.04634364066583</v>
      </c>
      <c r="C50" s="10" t="n">
        <f aca="false">100*LN(RBI_Levels!J50/RBI_Levels!J49)</f>
        <v>1.55477462890736</v>
      </c>
      <c r="D50" s="10" t="n">
        <f aca="false">100*LN(RBI_Levels!E50/RBI_Levels!E49)</f>
        <v>1.08313937417117</v>
      </c>
      <c r="E50" s="10" t="n">
        <f aca="false">100*LN(RBI_Levels!H50/RBI_Levels!H49)</f>
        <v>2.54995664926069</v>
      </c>
      <c r="F50" s="10" t="n">
        <f aca="false">100*LN(RBI_Levels!G50/RBI_Levels!G49)</f>
        <v>0.707990396397839</v>
      </c>
      <c r="G50" s="10" t="n">
        <f aca="false">100*LN(RBI_Levels!I50/RBI_Levels!I49)</f>
        <v>2.63176585465393</v>
      </c>
      <c r="H50" s="10" t="n">
        <f aca="false">100*LN(RBI_Levels!K50/RBI_Levels!K49)</f>
        <v>8.21344070179043</v>
      </c>
      <c r="I50" s="10" t="n">
        <f aca="false">100*LN(RBI_Levels!D50/RBI_Levels!D49)</f>
        <v>1.08361182692338</v>
      </c>
      <c r="J50" s="10" t="n">
        <f aca="false">100*LN(RBI_Levels!C50/RBI_Levels!C49)</f>
        <v>6.31938087844215</v>
      </c>
      <c r="K50" s="10" t="n">
        <f aca="false">100*LN(RBI_Levels!B50/RBI_Levels!B49)</f>
        <v>1.96082722050675</v>
      </c>
      <c r="L50" s="10" t="n">
        <f aca="false">100*LN(RBI_Levels!L50/RBI_Levels!L49)</f>
        <v>1.41344724501084</v>
      </c>
      <c r="M50" s="10" t="n">
        <f aca="false">AVERAGE(B50,C50)-AVERAGE(D50,E50,F50)</f>
        <v>2.8535303281767</v>
      </c>
      <c r="N50" s="10" t="n">
        <f aca="false">IF(OR(H50="",K50=""),"",H50-K50)</f>
        <v>6.25261348128368</v>
      </c>
      <c r="O50" s="10" t="n">
        <f aca="false">IF(OR(H50="",L50=""),"",H50-L50)</f>
        <v>6.79999345677958</v>
      </c>
      <c r="P50" s="11" t="n">
        <f aca="false">IF(AND(A50&gt;=DATE(2021,4,1),A50&lt;=DATE(2025,1,31)),1,0)</f>
        <v>1</v>
      </c>
      <c r="Q50" s="11" t="n">
        <f aca="false">IF(A50&gt;=DATE(2023,12,1),1,0)</f>
        <v>0</v>
      </c>
      <c r="R50" s="12" t="str">
        <f aca="false">IF(A50&lt;DATE(2021,4,1),"Before sample",IF(A50&lt;=DATE(2023,11,17),"Pre-policy",IF(A50&lt;=DATE(2025,3,31),"Post-policy","After rollback")))</f>
        <v>Pre-policy</v>
      </c>
    </row>
    <row r="51" customFormat="false" ht="15" hidden="false" customHeight="false" outlineLevel="0" collapsed="false">
      <c r="A51" s="7" t="n">
        <v>44883</v>
      </c>
      <c r="B51" s="10" t="n">
        <f aca="false">100*LN(RBI_Levels!F51/RBI_Levels!F50)</f>
        <v>-3.08562983501162</v>
      </c>
      <c r="C51" s="10" t="n">
        <f aca="false">100*LN(RBI_Levels!J51/RBI_Levels!J50)</f>
        <v>1.23845269234103</v>
      </c>
      <c r="D51" s="10" t="n">
        <f aca="false">100*LN(RBI_Levels!E51/RBI_Levels!E50)</f>
        <v>1.06341772935734</v>
      </c>
      <c r="E51" s="10" t="n">
        <f aca="false">100*LN(RBI_Levels!H51/RBI_Levels!H50)</f>
        <v>1.4557282315036</v>
      </c>
      <c r="F51" s="10" t="n">
        <f aca="false">100*LN(RBI_Levels!G51/RBI_Levels!G50)</f>
        <v>-0.86141490261462</v>
      </c>
      <c r="G51" s="10" t="n">
        <f aca="false">100*LN(RBI_Levels!I51/RBI_Levels!I50)</f>
        <v>-1.77247832898358</v>
      </c>
      <c r="H51" s="10" t="n">
        <f aca="false">100*LN(RBI_Levels!K51/RBI_Levels!K50)</f>
        <v>1.3822004986419</v>
      </c>
      <c r="I51" s="10" t="n">
        <f aca="false">100*LN(RBI_Levels!D51/RBI_Levels!D50)</f>
        <v>-1.24609059015148</v>
      </c>
      <c r="J51" s="10" t="n">
        <f aca="false">100*LN(RBI_Levels!C51/RBI_Levels!C50)</f>
        <v>0.708758797013779</v>
      </c>
      <c r="K51" s="10" t="n">
        <f aca="false">100*LN(RBI_Levels!B51/RBI_Levels!B50)</f>
        <v>0.293742188231759</v>
      </c>
      <c r="L51" s="10" t="n">
        <f aca="false">100*LN(RBI_Levels!L51/RBI_Levels!L50)</f>
        <v>0.211130271039699</v>
      </c>
      <c r="M51" s="10" t="n">
        <f aca="false">AVERAGE(B51,C51)-AVERAGE(D51,E51,F51)</f>
        <v>-1.47616559075074</v>
      </c>
      <c r="N51" s="10" t="n">
        <f aca="false">IF(OR(H51="",K51=""),"",H51-K51)</f>
        <v>1.08845831041014</v>
      </c>
      <c r="O51" s="10" t="n">
        <f aca="false">IF(OR(H51="",L51=""),"",H51-L51)</f>
        <v>1.1710702276022</v>
      </c>
      <c r="P51" s="11" t="n">
        <f aca="false">IF(AND(A51&gt;=DATE(2021,4,1),A51&lt;=DATE(2025,1,31)),1,0)</f>
        <v>1</v>
      </c>
      <c r="Q51" s="11" t="n">
        <f aca="false">IF(A51&gt;=DATE(2023,12,1),1,0)</f>
        <v>0</v>
      </c>
      <c r="R51" s="12" t="str">
        <f aca="false">IF(A51&lt;DATE(2021,4,1),"Before sample",IF(A51&lt;=DATE(2023,11,17),"Pre-policy",IF(A51&lt;=DATE(2025,3,31),"Post-policy","After rollback")))</f>
        <v>Pre-policy</v>
      </c>
    </row>
    <row r="52" customFormat="false" ht="15" hidden="false" customHeight="false" outlineLevel="0" collapsed="false">
      <c r="A52" s="7" t="n">
        <v>44925</v>
      </c>
      <c r="B52" s="10" t="n">
        <f aca="false">100*LN(RBI_Levels!F52/RBI_Levels!F51)</f>
        <v>4.08011081941534</v>
      </c>
      <c r="C52" s="10" t="n">
        <f aca="false">100*LN(RBI_Levels!J52/RBI_Levels!J51)</f>
        <v>4.03772338659478</v>
      </c>
      <c r="D52" s="10" t="n">
        <f aca="false">100*LN(RBI_Levels!E52/RBI_Levels!E51)</f>
        <v>2.81548531102789</v>
      </c>
      <c r="E52" s="10" t="n">
        <f aca="false">100*LN(RBI_Levels!H52/RBI_Levels!H51)</f>
        <v>3.41325314669354</v>
      </c>
      <c r="F52" s="10" t="n">
        <f aca="false">100*LN(RBI_Levels!G52/RBI_Levels!G51)</f>
        <v>3.259750596839</v>
      </c>
      <c r="G52" s="10" t="n">
        <f aca="false">100*LN(RBI_Levels!I52/RBI_Levels!I51)</f>
        <v>0.4086999872305</v>
      </c>
      <c r="H52" s="10" t="n">
        <f aca="false">100*LN(RBI_Levels!K52/RBI_Levels!K51)</f>
        <v>9.28031774244092</v>
      </c>
      <c r="I52" s="10" t="n">
        <f aca="false">100*LN(RBI_Levels!D52/RBI_Levels!D51)</f>
        <v>1.03934605396532</v>
      </c>
      <c r="J52" s="10" t="n">
        <f aca="false">100*LN(RBI_Levels!C52/RBI_Levels!C51)</f>
        <v>7.25276781088047</v>
      </c>
      <c r="K52" s="10" t="n">
        <f aca="false">100*LN(RBI_Levels!B52/RBI_Levels!B51)</f>
        <v>2.73308242612977</v>
      </c>
      <c r="L52" s="10" t="n">
        <f aca="false">100*LN(RBI_Levels!L52/RBI_Levels!L51)</f>
        <v>2.03148709765887</v>
      </c>
      <c r="M52" s="10" t="n">
        <f aca="false">AVERAGE(B52,C52)-AVERAGE(D52,E52,F52)</f>
        <v>0.896087418151582</v>
      </c>
      <c r="N52" s="10" t="n">
        <f aca="false">IF(OR(H52="",K52=""),"",H52-K52)</f>
        <v>6.54723531631115</v>
      </c>
      <c r="O52" s="10" t="n">
        <f aca="false">IF(OR(H52="",L52=""),"",H52-L52)</f>
        <v>7.24883064478205</v>
      </c>
      <c r="P52" s="11" t="n">
        <f aca="false">IF(AND(A52&gt;=DATE(2021,4,1),A52&lt;=DATE(2025,1,31)),1,0)</f>
        <v>1</v>
      </c>
      <c r="Q52" s="11" t="n">
        <f aca="false">IF(A52&gt;=DATE(2023,12,1),1,0)</f>
        <v>0</v>
      </c>
      <c r="R52" s="12" t="str">
        <f aca="false">IF(A52&lt;DATE(2021,4,1),"Before sample",IF(A52&lt;=DATE(2023,11,17),"Pre-policy",IF(A52&lt;=DATE(2025,3,31),"Post-policy","After rollback")))</f>
        <v>Pre-policy</v>
      </c>
    </row>
    <row r="53" customFormat="false" ht="15" hidden="false" customHeight="false" outlineLevel="0" collapsed="false">
      <c r="A53" s="7" t="n">
        <v>44953</v>
      </c>
      <c r="B53" s="10" t="n">
        <f aca="false">100*LN(RBI_Levels!F53/RBI_Levels!F52)</f>
        <v>3.58226455436372</v>
      </c>
      <c r="C53" s="10" t="n">
        <f aca="false">100*LN(RBI_Levels!J53/RBI_Levels!J52)</f>
        <v>1.26262777636215</v>
      </c>
      <c r="D53" s="10" t="n">
        <f aca="false">100*LN(RBI_Levels!E53/RBI_Levels!E52)</f>
        <v>-0.429767576326929</v>
      </c>
      <c r="E53" s="10" t="n">
        <f aca="false">100*LN(RBI_Levels!H53/RBI_Levels!H52)</f>
        <v>2.43470865574421</v>
      </c>
      <c r="F53" s="10" t="n">
        <f aca="false">100*LN(RBI_Levels!G53/RBI_Levels!G52)</f>
        <v>0.838053688353106</v>
      </c>
      <c r="G53" s="10" t="n">
        <f aca="false">100*LN(RBI_Levels!I53/RBI_Levels!I52)</f>
        <v>0.0459987951143575</v>
      </c>
      <c r="H53" s="10" t="n">
        <f aca="false">100*LN(RBI_Levels!K53/RBI_Levels!K52)</f>
        <v>-2.03453634991076</v>
      </c>
      <c r="I53" s="10" t="n">
        <f aca="false">100*LN(RBI_Levels!D53/RBI_Levels!D52)</f>
        <v>-0.368907266456432</v>
      </c>
      <c r="J53" s="10" t="n">
        <f aca="false">100*LN(RBI_Levels!C53/RBI_Levels!C52)</f>
        <v>-1.63485175963367</v>
      </c>
      <c r="K53" s="10" t="n">
        <f aca="false">100*LN(RBI_Levels!B53/RBI_Levels!B52)</f>
        <v>0.25990870807716</v>
      </c>
      <c r="L53" s="10" t="n">
        <f aca="false">100*LN(RBI_Levels!L53/RBI_Levels!L52)</f>
        <v>0.329804113695318</v>
      </c>
      <c r="M53" s="10" t="n">
        <f aca="false">AVERAGE(B53,C53)-AVERAGE(D53,E53,F53)</f>
        <v>1.47478124277281</v>
      </c>
      <c r="N53" s="10" t="n">
        <f aca="false">IF(OR(H53="",K53=""),"",H53-K53)</f>
        <v>-2.29444505798792</v>
      </c>
      <c r="O53" s="10" t="n">
        <f aca="false">IF(OR(H53="",L53=""),"",H53-L53)</f>
        <v>-2.36434046360608</v>
      </c>
      <c r="P53" s="11" t="n">
        <f aca="false">IF(AND(A53&gt;=DATE(2021,4,1),A53&lt;=DATE(2025,1,31)),1,0)</f>
        <v>1</v>
      </c>
      <c r="Q53" s="11" t="n">
        <f aca="false">IF(A53&gt;=DATE(2023,12,1),1,0)</f>
        <v>0</v>
      </c>
      <c r="R53" s="12" t="str">
        <f aca="false">IF(A53&lt;DATE(2021,4,1),"Before sample",IF(A53&lt;=DATE(2023,11,17),"Pre-policy",IF(A53&lt;=DATE(2025,3,31),"Post-policy","After rollback")))</f>
        <v>Pre-policy</v>
      </c>
    </row>
    <row r="54" customFormat="false" ht="15" hidden="false" customHeight="false" outlineLevel="0" collapsed="false">
      <c r="A54" s="7" t="n">
        <v>44981</v>
      </c>
      <c r="B54" s="10" t="n">
        <f aca="false">100*LN(RBI_Levels!F54/RBI_Levels!F53)</f>
        <v>0.116930907102099</v>
      </c>
      <c r="C54" s="10" t="n">
        <f aca="false">100*LN(RBI_Levels!J54/RBI_Levels!J53)</f>
        <v>2.3133313704184</v>
      </c>
      <c r="D54" s="10" t="n">
        <f aca="false">100*LN(RBI_Levels!E54/RBI_Levels!E53)</f>
        <v>1.17063582885609</v>
      </c>
      <c r="E54" s="10" t="n">
        <f aca="false">100*LN(RBI_Levels!H54/RBI_Levels!H53)</f>
        <v>-0.146342779292798</v>
      </c>
      <c r="F54" s="10" t="n">
        <f aca="false">100*LN(RBI_Levels!G54/RBI_Levels!G53)</f>
        <v>0.962164010304942</v>
      </c>
      <c r="G54" s="10" t="n">
        <f aca="false">100*LN(RBI_Levels!I54/RBI_Levels!I53)</f>
        <v>2.77426531993844</v>
      </c>
      <c r="H54" s="10" t="n">
        <f aca="false">100*LN(RBI_Levels!K54/RBI_Levels!K53)</f>
        <v>2.23379640255614</v>
      </c>
      <c r="I54" s="10" t="n">
        <f aca="false">100*LN(RBI_Levels!D54/RBI_Levels!D53)</f>
        <v>-0.676239640997845</v>
      </c>
      <c r="J54" s="10" t="n">
        <f aca="false">100*LN(RBI_Levels!C54/RBI_Levels!C53)</f>
        <v>1.53879404986231</v>
      </c>
      <c r="K54" s="10" t="n">
        <f aca="false">100*LN(RBI_Levels!B54/RBI_Levels!B53)</f>
        <v>0.955888612591904</v>
      </c>
      <c r="L54" s="10" t="n">
        <f aca="false">100*LN(RBI_Levels!L54/RBI_Levels!L53)</f>
        <v>0.759409672090739</v>
      </c>
      <c r="M54" s="10" t="n">
        <f aca="false">AVERAGE(B54,C54)-AVERAGE(D54,E54,F54)</f>
        <v>0.552978785470839</v>
      </c>
      <c r="N54" s="10" t="n">
        <f aca="false">IF(OR(H54="",K54=""),"",H54-K54)</f>
        <v>1.27790778996423</v>
      </c>
      <c r="O54" s="10" t="n">
        <f aca="false">IF(OR(H54="",L54=""),"",H54-L54)</f>
        <v>1.4743867304654</v>
      </c>
      <c r="P54" s="11" t="n">
        <f aca="false">IF(AND(A54&gt;=DATE(2021,4,1),A54&lt;=DATE(2025,1,31)),1,0)</f>
        <v>1</v>
      </c>
      <c r="Q54" s="11" t="n">
        <f aca="false">IF(A54&gt;=DATE(2023,12,1),1,0)</f>
        <v>0</v>
      </c>
      <c r="R54" s="12" t="str">
        <f aca="false">IF(A54&lt;DATE(2021,4,1),"Before sample",IF(A54&lt;=DATE(2023,11,17),"Pre-policy",IF(A54&lt;=DATE(2025,3,31),"Post-policy","After rollback")))</f>
        <v>Pre-policy</v>
      </c>
    </row>
    <row r="55" customFormat="false" ht="15" hidden="false" customHeight="false" outlineLevel="0" collapsed="false">
      <c r="A55" s="7" t="n">
        <v>45009</v>
      </c>
      <c r="B55" s="10" t="n">
        <f aca="false">100*LN(RBI_Levels!F55/RBI_Levels!F54)</f>
        <v>3.80327521833594</v>
      </c>
      <c r="C55" s="10" t="n">
        <f aca="false">100*LN(RBI_Levels!J55/RBI_Levels!J54)</f>
        <v>3.24184532313226</v>
      </c>
      <c r="D55" s="10" t="n">
        <f aca="false">100*LN(RBI_Levels!E55/RBI_Levels!E54)</f>
        <v>1.33443485344826</v>
      </c>
      <c r="E55" s="10" t="n">
        <f aca="false">100*LN(RBI_Levels!H55/RBI_Levels!H54)</f>
        <v>-1.53677341518333</v>
      </c>
      <c r="F55" s="10" t="n">
        <f aca="false">100*LN(RBI_Levels!G55/RBI_Levels!G54)</f>
        <v>0.706670825999829</v>
      </c>
      <c r="G55" s="10" t="n">
        <f aca="false">100*LN(RBI_Levels!I55/RBI_Levels!I54)</f>
        <v>0.915322417683089</v>
      </c>
      <c r="H55" s="10" t="n">
        <f aca="false">100*LN(RBI_Levels!K55/RBI_Levels!K54)</f>
        <v>1.51592945626748</v>
      </c>
      <c r="I55" s="10" t="n">
        <f aca="false">100*LN(RBI_Levels!D55/RBI_Levels!D54)</f>
        <v>2.122123160553</v>
      </c>
      <c r="J55" s="10" t="n">
        <f aca="false">100*LN(RBI_Levels!C55/RBI_Levels!C54)</f>
        <v>1.65943884937158</v>
      </c>
      <c r="K55" s="10" t="n">
        <f aca="false">100*LN(RBI_Levels!B55/RBI_Levels!B54)</f>
        <v>1.77569905802482</v>
      </c>
      <c r="L55" s="10" t="n">
        <f aca="false">100*LN(RBI_Levels!L55/RBI_Levels!L54)</f>
        <v>1.59803037620359</v>
      </c>
      <c r="M55" s="10" t="n">
        <f aca="false">AVERAGE(B55,C55)-AVERAGE(D55,E55,F55)</f>
        <v>3.35444951597918</v>
      </c>
      <c r="N55" s="10" t="n">
        <f aca="false">IF(OR(H55="",K55=""),"",H55-K55)</f>
        <v>-0.259769601757343</v>
      </c>
      <c r="O55" s="10" t="n">
        <f aca="false">IF(OR(H55="",L55=""),"",H55-L55)</f>
        <v>-0.0821009199361069</v>
      </c>
      <c r="P55" s="11" t="n">
        <f aca="false">IF(AND(A55&gt;=DATE(2021,4,1),A55&lt;=DATE(2025,1,31)),1,0)</f>
        <v>1</v>
      </c>
      <c r="Q55" s="11" t="n">
        <f aca="false">IF(A55&gt;=DATE(2023,12,1),1,0)</f>
        <v>0</v>
      </c>
      <c r="R55" s="12" t="str">
        <f aca="false">IF(A55&lt;DATE(2021,4,1),"Before sample",IF(A55&lt;=DATE(2023,11,17),"Pre-policy",IF(A55&lt;=DATE(2025,3,31),"Post-policy","After rollback")))</f>
        <v>Pre-policy</v>
      </c>
    </row>
    <row r="56" customFormat="false" ht="15" hidden="false" customHeight="false" outlineLevel="0" collapsed="false">
      <c r="A56" s="7" t="n">
        <v>45037</v>
      </c>
      <c r="B56" s="10" t="n">
        <f aca="false">100*LN(RBI_Levels!F56/RBI_Levels!F55)</f>
        <v>3.09868900811563</v>
      </c>
      <c r="C56" s="10" t="n">
        <f aca="false">100*LN(RBI_Levels!J56/RBI_Levels!J55)</f>
        <v>0.339357830770731</v>
      </c>
      <c r="D56" s="10" t="n">
        <f aca="false">100*LN(RBI_Levels!E56/RBI_Levels!E55)</f>
        <v>0.690166869195735</v>
      </c>
      <c r="E56" s="10" t="n">
        <f aca="false">100*LN(RBI_Levels!H56/RBI_Levels!H55)</f>
        <v>4.13719115385849</v>
      </c>
      <c r="F56" s="10" t="n">
        <f aca="false">100*LN(RBI_Levels!G56/RBI_Levels!G55)</f>
        <v>0.538525009060373</v>
      </c>
      <c r="G56" s="10" t="n">
        <f aca="false">100*LN(RBI_Levels!I56/RBI_Levels!I55)</f>
        <v>1.42088500833079</v>
      </c>
      <c r="H56" s="10" t="n">
        <f aca="false">100*LN(RBI_Levels!K56/RBI_Levels!K55)</f>
        <v>1.47155206422753</v>
      </c>
      <c r="I56" s="10" t="n">
        <f aca="false">100*LN(RBI_Levels!D56/RBI_Levels!D55)</f>
        <v>-0.328539323520494</v>
      </c>
      <c r="J56" s="10" t="n">
        <f aca="false">100*LN(RBI_Levels!C56/RBI_Levels!C55)</f>
        <v>1.04733767282702</v>
      </c>
      <c r="K56" s="10" t="n">
        <f aca="false">100*LN(RBI_Levels!B56/RBI_Levels!B55)</f>
        <v>1.32997116132929</v>
      </c>
      <c r="L56" s="10" t="n">
        <f aca="false">100*LN(RBI_Levels!L56/RBI_Levels!L55)</f>
        <v>1.43583473610603</v>
      </c>
      <c r="M56" s="10" t="n">
        <f aca="false">AVERAGE(B56,C56)-AVERAGE(D56,E56,F56)</f>
        <v>-0.0696042579283542</v>
      </c>
      <c r="N56" s="10" t="n">
        <f aca="false">IF(OR(H56="",K56=""),"",H56-K56)</f>
        <v>0.141580902898239</v>
      </c>
      <c r="O56" s="10" t="n">
        <f aca="false">IF(OR(H56="",L56=""),"",H56-L56)</f>
        <v>0.0357173281215015</v>
      </c>
      <c r="P56" s="11" t="n">
        <f aca="false">IF(AND(A56&gt;=DATE(2021,4,1),A56&lt;=DATE(2025,1,31)),1,0)</f>
        <v>1</v>
      </c>
      <c r="Q56" s="11" t="n">
        <f aca="false">IF(A56&gt;=DATE(2023,12,1),1,0)</f>
        <v>0</v>
      </c>
      <c r="R56" s="12" t="str">
        <f aca="false">IF(A56&lt;DATE(2021,4,1),"Before sample",IF(A56&lt;=DATE(2023,11,17),"Pre-policy",IF(A56&lt;=DATE(2025,3,31),"Post-policy","After rollback")))</f>
        <v>Pre-policy</v>
      </c>
    </row>
    <row r="57" customFormat="false" ht="15" hidden="false" customHeight="false" outlineLevel="0" collapsed="false">
      <c r="A57" s="7" t="n">
        <v>45065</v>
      </c>
      <c r="B57" s="10" t="n">
        <f aca="false">100*LN(RBI_Levels!F57/RBI_Levels!F56)</f>
        <v>0.594325047979679</v>
      </c>
      <c r="C57" s="10" t="n">
        <f aca="false">100*LN(RBI_Levels!J57/RBI_Levels!J56)</f>
        <v>0.946318171852949</v>
      </c>
      <c r="D57" s="10" t="n">
        <f aca="false">100*LN(RBI_Levels!E57/RBI_Levels!E56)</f>
        <v>0.23894055986133</v>
      </c>
      <c r="E57" s="10" t="n">
        <f aca="false">100*LN(RBI_Levels!H57/RBI_Levels!H56)</f>
        <v>0.51178866724998</v>
      </c>
      <c r="F57" s="10" t="n">
        <f aca="false">100*LN(RBI_Levels!G57/RBI_Levels!G56)</f>
        <v>0.50362136261648</v>
      </c>
      <c r="G57" s="10" t="n">
        <f aca="false">100*LN(RBI_Levels!I57/RBI_Levels!I56)</f>
        <v>-0.678283044010134</v>
      </c>
      <c r="H57" s="10" t="n">
        <f aca="false">100*LN(RBI_Levels!K57/RBI_Levels!K56)</f>
        <v>-0.678674271008369</v>
      </c>
      <c r="I57" s="10" t="n">
        <f aca="false">100*LN(RBI_Levels!D57/RBI_Levels!D56)</f>
        <v>0.506149181893276</v>
      </c>
      <c r="J57" s="10" t="n">
        <f aca="false">100*LN(RBI_Levels!C57/RBI_Levels!C56)</f>
        <v>-0.400112451151519</v>
      </c>
      <c r="K57" s="10" t="n">
        <f aca="false">100*LN(RBI_Levels!B57/RBI_Levels!B56)</f>
        <v>0.969311102368448</v>
      </c>
      <c r="L57" s="10" t="n">
        <f aca="false">100*LN(RBI_Levels!L57/RBI_Levels!L56)</f>
        <v>1.14486267080732</v>
      </c>
      <c r="M57" s="10" t="n">
        <f aca="false">AVERAGE(B57,C57)-AVERAGE(D57,E57,F57)</f>
        <v>0.352204746673718</v>
      </c>
      <c r="N57" s="10" t="n">
        <f aca="false">IF(OR(H57="",K57=""),"",H57-K57)</f>
        <v>-1.64798537337682</v>
      </c>
      <c r="O57" s="10" t="n">
        <f aca="false">IF(OR(H57="",L57=""),"",H57-L57)</f>
        <v>-1.82353694181569</v>
      </c>
      <c r="P57" s="11" t="n">
        <f aca="false">IF(AND(A57&gt;=DATE(2021,4,1),A57&lt;=DATE(2025,1,31)),1,0)</f>
        <v>1</v>
      </c>
      <c r="Q57" s="11" t="n">
        <f aca="false">IF(A57&gt;=DATE(2023,12,1),1,0)</f>
        <v>0</v>
      </c>
      <c r="R57" s="12" t="str">
        <f aca="false">IF(A57&lt;DATE(2021,4,1),"Before sample",IF(A57&lt;=DATE(2023,11,17),"Pre-policy",IF(A57&lt;=DATE(2025,3,31),"Post-policy","After rollback")))</f>
        <v>Pre-policy</v>
      </c>
    </row>
    <row r="58" customFormat="false" ht="15" hidden="false" customHeight="false" outlineLevel="0" collapsed="false">
      <c r="A58" s="7" t="n">
        <v>45107</v>
      </c>
      <c r="B58" s="10" t="n">
        <f aca="false">100*LN(RBI_Levels!F58/RBI_Levels!F57)</f>
        <v>4.13192356626313</v>
      </c>
      <c r="C58" s="10" t="n">
        <f aca="false">100*LN(RBI_Levels!J58/RBI_Levels!J57)</f>
        <v>3.53862096508782</v>
      </c>
      <c r="D58" s="10" t="n">
        <f aca="false">100*LN(RBI_Levels!E58/RBI_Levels!E57)</f>
        <v>2.12134101166612</v>
      </c>
      <c r="E58" s="10" t="n">
        <f aca="false">100*LN(RBI_Levels!H58/RBI_Levels!H57)</f>
        <v>2.8405796071962</v>
      </c>
      <c r="F58" s="10" t="n">
        <f aca="false">100*LN(RBI_Levels!G58/RBI_Levels!G57)</f>
        <v>4.21830223639649</v>
      </c>
      <c r="G58" s="10" t="n">
        <f aca="false">100*LN(RBI_Levels!I58/RBI_Levels!I57)</f>
        <v>5.23114966967044</v>
      </c>
      <c r="H58" s="10" t="n">
        <f aca="false">100*LN(RBI_Levels!K58/RBI_Levels!K57)</f>
        <v>6.43872132806333</v>
      </c>
      <c r="I58" s="10" t="n">
        <f aca="false">100*LN(RBI_Levels!D58/RBI_Levels!D57)</f>
        <v>4.4115519729713</v>
      </c>
      <c r="J58" s="10" t="n">
        <f aca="false">100*LN(RBI_Levels!C58/RBI_Levels!C57)</f>
        <v>5.96364849459372</v>
      </c>
      <c r="K58" s="10" t="n">
        <f aca="false">100*LN(RBI_Levels!B58/RBI_Levels!B57)</f>
        <v>2.70321534180206</v>
      </c>
      <c r="L58" s="10" t="n">
        <f aca="false">100*LN(RBI_Levels!L58/RBI_Levels!L57)</f>
        <v>2.18802722373351</v>
      </c>
      <c r="M58" s="10" t="n">
        <f aca="false">AVERAGE(B58,C58)-AVERAGE(D58,E58,F58)</f>
        <v>0.775197980589204</v>
      </c>
      <c r="N58" s="10" t="n">
        <f aca="false">IF(OR(H58="",K58=""),"",H58-K58)</f>
        <v>3.73550598626127</v>
      </c>
      <c r="O58" s="10" t="n">
        <f aca="false">IF(OR(H58="",L58=""),"",H58-L58)</f>
        <v>4.25069410432981</v>
      </c>
      <c r="P58" s="11" t="n">
        <f aca="false">IF(AND(A58&gt;=DATE(2021,4,1),A58&lt;=DATE(2025,1,31)),1,0)</f>
        <v>1</v>
      </c>
      <c r="Q58" s="11" t="n">
        <f aca="false">IF(A58&gt;=DATE(2023,12,1),1,0)</f>
        <v>0</v>
      </c>
      <c r="R58" s="12" t="str">
        <f aca="false">IF(A58&lt;DATE(2021,4,1),"Before sample",IF(A58&lt;=DATE(2023,11,17),"Pre-policy",IF(A58&lt;=DATE(2025,3,31),"Post-policy","After rollback")))</f>
        <v>Pre-policy</v>
      </c>
    </row>
    <row r="59" customFormat="false" ht="15" hidden="false" customHeight="false" outlineLevel="0" collapsed="false">
      <c r="A59" s="7" t="n">
        <v>45135</v>
      </c>
      <c r="B59" s="10" t="n">
        <f aca="false">100*LN(RBI_Levels!F59/RBI_Levels!F58)</f>
        <v>2.04790547277182</v>
      </c>
      <c r="C59" s="12"/>
      <c r="D59" s="12"/>
      <c r="E59" s="10" t="n">
        <f aca="false">100*LN(RBI_Levels!H59/RBI_Levels!H58)</f>
        <v>1.14063590532496</v>
      </c>
      <c r="F59" s="10" t="n">
        <f aca="false">100*LN(RBI_Levels!G59/RBI_Levels!G58)</f>
        <v>1.66567105697618</v>
      </c>
      <c r="G59" s="10" t="n">
        <f aca="false">100*LN(RBI_Levels!I59/RBI_Levels!I58)</f>
        <v>0.496470731889111</v>
      </c>
      <c r="H59" s="12"/>
      <c r="I59" s="12"/>
      <c r="J59" s="12"/>
      <c r="K59" s="12"/>
      <c r="L59" s="12"/>
      <c r="M59" s="10" t="n">
        <f aca="false">AVERAGE(B59,C59)-AVERAGE(D59,E59,F59)</f>
        <v>0.644751991621248</v>
      </c>
      <c r="N59" s="10" t="str">
        <f aca="false">IF(OR(H59="",K59=""),"",H59-K59)</f>
        <v/>
      </c>
      <c r="O59" s="10" t="str">
        <f aca="false">IF(OR(H59="",L59=""),"",H59-L59)</f>
        <v/>
      </c>
      <c r="P59" s="11" t="n">
        <f aca="false">IF(AND(A59&gt;=DATE(2021,4,1),A59&lt;=DATE(2025,1,31)),1,0)</f>
        <v>1</v>
      </c>
      <c r="Q59" s="11" t="n">
        <f aca="false">IF(A59&gt;=DATE(2023,12,1),1,0)</f>
        <v>0</v>
      </c>
      <c r="R59" s="12" t="str">
        <f aca="false">IF(A59&lt;DATE(2021,4,1),"Before sample",IF(A59&lt;=DATE(2023,11,17),"Pre-policy",IF(A59&lt;=DATE(2025,3,31),"Post-policy","After rollback")))</f>
        <v>Pre-policy</v>
      </c>
    </row>
    <row r="60" customFormat="false" ht="15" hidden="false" customHeight="false" outlineLevel="0" collapsed="false">
      <c r="A60" s="7" t="n">
        <v>45163</v>
      </c>
      <c r="B60" s="10" t="n">
        <f aca="false">100*LN(RBI_Levels!F60/RBI_Levels!F59)</f>
        <v>2.06172143229404</v>
      </c>
      <c r="C60" s="10" t="n">
        <f aca="false">100*LN(RBI_Levels_ExMerger!D60/RBI_Levels_ExMerger!D59)</f>
        <v>0.911916514766072</v>
      </c>
      <c r="D60" s="10" t="n">
        <f aca="false">100*LN(RBI_Levels_ExMerger!C60/RBI_Levels_ExMerger!C59)</f>
        <v>1.4033800177602</v>
      </c>
      <c r="E60" s="10" t="n">
        <f aca="false">100*LN(RBI_Levels!H60/RBI_Levels!H59)</f>
        <v>0.874169482887965</v>
      </c>
      <c r="F60" s="10" t="n">
        <f aca="false">100*LN(RBI_Levels!G60/RBI_Levels!G59)</f>
        <v>3.02617018157738</v>
      </c>
      <c r="G60" s="10" t="n">
        <f aca="false">100*LN(RBI_Levels!I60/RBI_Levels!I59)</f>
        <v>4.39274567172816</v>
      </c>
      <c r="H60" s="10" t="n">
        <f aca="false">100*LN(RBI_Levels!K60/RBI_Levels!K59)</f>
        <v>1.22030554803344</v>
      </c>
      <c r="I60" s="10" t="n">
        <f aca="false">100*LN(RBI_Levels!D60/RBI_Levels!D59)</f>
        <v>-2.76997796213346</v>
      </c>
      <c r="J60" s="10" t="n">
        <f aca="false">100*LN(RBI_Levels!C60/RBI_Levels!C59)</f>
        <v>0.292587355068645</v>
      </c>
      <c r="K60" s="10" t="n">
        <f aca="false">100*LN(RBI_Levels_ExMerger!B60/RBI_Levels_ExMerger!B59)</f>
        <v>0.982358307632777</v>
      </c>
      <c r="L60" s="10" t="n">
        <f aca="false">100*LN(RBI_Levels_ExMerger!E60/RBI_Levels_ExMerger!E59)</f>
        <v>1.05036333157363</v>
      </c>
      <c r="M60" s="10" t="n">
        <f aca="false">AVERAGE(B60,C60)-AVERAGE(D60,E60,F60)</f>
        <v>-0.281087587211794</v>
      </c>
      <c r="N60" s="10" t="n">
        <f aca="false">IF(OR(H60="",K60=""),"",H60-K60)</f>
        <v>0.237947240400666</v>
      </c>
      <c r="O60" s="10" t="n">
        <f aca="false">IF(OR(H60="",L60=""),"",H60-L60)</f>
        <v>0.169942216459811</v>
      </c>
      <c r="P60" s="11" t="n">
        <f aca="false">IF(AND(A60&gt;=DATE(2021,4,1),A60&lt;=DATE(2025,1,31)),1,0)</f>
        <v>1</v>
      </c>
      <c r="Q60" s="11" t="n">
        <f aca="false">IF(A60&gt;=DATE(2023,12,1),1,0)</f>
        <v>0</v>
      </c>
      <c r="R60" s="12" t="str">
        <f aca="false">IF(A60&lt;DATE(2021,4,1),"Before sample",IF(A60&lt;=DATE(2023,11,17),"Pre-policy",IF(A60&lt;=DATE(2025,3,31),"Post-policy","After rollback")))</f>
        <v>Pre-policy</v>
      </c>
    </row>
    <row r="61" customFormat="false" ht="15" hidden="false" customHeight="false" outlineLevel="0" collapsed="false">
      <c r="A61" s="7" t="n">
        <v>45191</v>
      </c>
      <c r="B61" s="10" t="n">
        <f aca="false">100*LN(RBI_Levels!F61/RBI_Levels!F60)</f>
        <v>-0.172565893507975</v>
      </c>
      <c r="C61" s="10" t="n">
        <f aca="false">100*LN(RBI_Levels_ExMerger!D61/RBI_Levels_ExMerger!D60)</f>
        <v>2.08098652912877</v>
      </c>
      <c r="D61" s="10" t="n">
        <f aca="false">100*LN(RBI_Levels_ExMerger!C61/RBI_Levels_ExMerger!C60)</f>
        <v>1.18718746357656</v>
      </c>
      <c r="E61" s="10" t="n">
        <f aca="false">100*LN(RBI_Levels!H61/RBI_Levels!H60)</f>
        <v>1.55164805044823</v>
      </c>
      <c r="F61" s="10" t="n">
        <f aca="false">100*LN(RBI_Levels!G61/RBI_Levels!G60)</f>
        <v>2.95326946154003</v>
      </c>
      <c r="G61" s="10" t="n">
        <f aca="false">100*LN(RBI_Levels!I61/RBI_Levels!I60)</f>
        <v>-2.23237297779065</v>
      </c>
      <c r="H61" s="10" t="n">
        <f aca="false">100*LN(RBI_Levels!K61/RBI_Levels!K60)</f>
        <v>3.6765510326781</v>
      </c>
      <c r="I61" s="10" t="n">
        <f aca="false">100*LN(RBI_Levels!D61/RBI_Levels!D60)</f>
        <v>-0.863020135021796</v>
      </c>
      <c r="J61" s="10" t="n">
        <f aca="false">100*LN(RBI_Levels!C61/RBI_Levels!C60)</f>
        <v>2.65527027221922</v>
      </c>
      <c r="K61" s="10" t="n">
        <f aca="false">100*LN(RBI_Levels_ExMerger!B61/RBI_Levels_ExMerger!B60)</f>
        <v>1.69414510379088</v>
      </c>
      <c r="L61" s="10" t="n">
        <f aca="false">100*LN(RBI_Levels_ExMerger!E61/RBI_Levels_ExMerger!E60)</f>
        <v>1.57534605727677</v>
      </c>
      <c r="M61" s="10" t="n">
        <f aca="false">AVERAGE(B61,C61)-AVERAGE(D61,E61,F61)</f>
        <v>-0.943158007377879</v>
      </c>
      <c r="N61" s="10" t="n">
        <f aca="false">IF(OR(H61="",K61=""),"",H61-K61)</f>
        <v>1.98240592888722</v>
      </c>
      <c r="O61" s="10" t="n">
        <f aca="false">IF(OR(H61="",L61=""),"",H61-L61)</f>
        <v>2.10120497540132</v>
      </c>
      <c r="P61" s="11" t="n">
        <f aca="false">IF(AND(A61&gt;=DATE(2021,4,1),A61&lt;=DATE(2025,1,31)),1,0)</f>
        <v>1</v>
      </c>
      <c r="Q61" s="11" t="n">
        <f aca="false">IF(A61&gt;=DATE(2023,12,1),1,0)</f>
        <v>0</v>
      </c>
      <c r="R61" s="12" t="str">
        <f aca="false">IF(A61&lt;DATE(2021,4,1),"Before sample",IF(A61&lt;=DATE(2023,11,17),"Pre-policy",IF(A61&lt;=DATE(2025,3,31),"Post-policy","After rollback")))</f>
        <v>Pre-policy</v>
      </c>
    </row>
    <row r="62" customFormat="false" ht="15" hidden="false" customHeight="false" outlineLevel="0" collapsed="false">
      <c r="A62" s="7" t="n">
        <v>45219</v>
      </c>
      <c r="B62" s="10" t="n">
        <f aca="false">100*LN(RBI_Levels!F62/RBI_Levels!F61)</f>
        <v>4.40765600347878</v>
      </c>
      <c r="C62" s="10" t="n">
        <f aca="false">100*LN(RBI_Levels_ExMerger!D62/RBI_Levels_ExMerger!D61)</f>
        <v>4.10078685863447</v>
      </c>
      <c r="D62" s="10" t="n">
        <f aca="false">100*LN(RBI_Levels_ExMerger!C62/RBI_Levels_ExMerger!C61)</f>
        <v>1.79209768069858</v>
      </c>
      <c r="E62" s="10" t="n">
        <f aca="false">100*LN(RBI_Levels!H62/RBI_Levels!H61)</f>
        <v>-1.35062846544726</v>
      </c>
      <c r="F62" s="10" t="n">
        <f aca="false">100*LN(RBI_Levels!G62/RBI_Levels!G61)</f>
        <v>0.984027191471402</v>
      </c>
      <c r="G62" s="10" t="n">
        <f aca="false">100*LN(RBI_Levels!I62/RBI_Levels!I61)</f>
        <v>-8.43314440905581</v>
      </c>
      <c r="H62" s="10" t="n">
        <f aca="false">100*LN(RBI_Levels!K62/RBI_Levels!K61)</f>
        <v>3.25410175778677</v>
      </c>
      <c r="I62" s="10" t="n">
        <f aca="false">100*LN(RBI_Levels!D62/RBI_Levels!D61)</f>
        <v>5.34987894077023</v>
      </c>
      <c r="J62" s="10" t="n">
        <f aca="false">100*LN(RBI_Levels!C62/RBI_Levels!C61)</f>
        <v>3.72113144682458</v>
      </c>
      <c r="K62" s="10" t="n">
        <f aca="false">100*LN(RBI_Levels_ExMerger!B62/RBI_Levels_ExMerger!B61)</f>
        <v>2.96535032981879</v>
      </c>
      <c r="L62" s="10" t="n">
        <f aca="false">100*LN(RBI_Levels_ExMerger!E62/RBI_Levels_ExMerger!E61)</f>
        <v>2.72274623685798</v>
      </c>
      <c r="M62" s="10" t="n">
        <f aca="false">AVERAGE(B62,C62)-AVERAGE(D62,E62,F62)</f>
        <v>3.77905596214905</v>
      </c>
      <c r="N62" s="10" t="n">
        <f aca="false">IF(OR(H62="",K62=""),"",H62-K62)</f>
        <v>0.28875142796798</v>
      </c>
      <c r="O62" s="10" t="n">
        <f aca="false">IF(OR(H62="",L62=""),"",H62-L62)</f>
        <v>0.531355520928795</v>
      </c>
      <c r="P62" s="11" t="n">
        <f aca="false">IF(AND(A62&gt;=DATE(2021,4,1),A62&lt;=DATE(2025,1,31)),1,0)</f>
        <v>1</v>
      </c>
      <c r="Q62" s="11" t="n">
        <f aca="false">IF(A62&gt;=DATE(2023,12,1),1,0)</f>
        <v>0</v>
      </c>
      <c r="R62" s="12" t="str">
        <f aca="false">IF(A62&lt;DATE(2021,4,1),"Before sample",IF(A62&lt;=DATE(2023,11,17),"Pre-policy",IF(A62&lt;=DATE(2025,3,31),"Post-policy","After rollback")))</f>
        <v>Pre-policy</v>
      </c>
    </row>
    <row r="63" customFormat="false" ht="15" hidden="false" customHeight="false" outlineLevel="0" collapsed="false">
      <c r="A63" s="7" t="n">
        <v>45247</v>
      </c>
      <c r="B63" s="10" t="n">
        <f aca="false">100*LN(RBI_Levels!F63/RBI_Levels!F62)</f>
        <v>1.66198245644702</v>
      </c>
      <c r="C63" s="10" t="n">
        <f aca="false">100*LN(RBI_Levels_ExMerger!D63/RBI_Levels_ExMerger!D62)</f>
        <v>0.839417445511484</v>
      </c>
      <c r="D63" s="10" t="n">
        <f aca="false">100*LN(RBI_Levels_ExMerger!C63/RBI_Levels_ExMerger!C62)</f>
        <v>1.5207165678036</v>
      </c>
      <c r="E63" s="10" t="n">
        <f aca="false">100*LN(RBI_Levels!H63/RBI_Levels!H62)</f>
        <v>2.11809354594876</v>
      </c>
      <c r="F63" s="10" t="n">
        <f aca="false">100*LN(RBI_Levels!G63/RBI_Levels!G62)</f>
        <v>1.06532222264206</v>
      </c>
      <c r="G63" s="10" t="n">
        <f aca="false">100*LN(RBI_Levels!I63/RBI_Levels!I62)</f>
        <v>0.23347395984704</v>
      </c>
      <c r="H63" s="10" t="n">
        <f aca="false">100*LN(RBI_Levels!K63/RBI_Levels!K62)</f>
        <v>3.29763213978604</v>
      </c>
      <c r="I63" s="10" t="n">
        <f aca="false">100*LN(RBI_Levels!D63/RBI_Levels!D62)</f>
        <v>-7.14585237699726</v>
      </c>
      <c r="J63" s="10" t="n">
        <f aca="false">100*LN(RBI_Levels!C63/RBI_Levels!C62)</f>
        <v>1.04455033415945</v>
      </c>
      <c r="K63" s="10" t="n">
        <f aca="false">100*LN(RBI_Levels_ExMerger!B63/RBI_Levels_ExMerger!B62)</f>
        <v>1.51042380429131</v>
      </c>
      <c r="L63" s="10" t="n">
        <f aca="false">100*LN(RBI_Levels_ExMerger!E63/RBI_Levels_ExMerger!E62)</f>
        <v>1.63641592763866</v>
      </c>
      <c r="M63" s="10" t="n">
        <f aca="false">AVERAGE(B63,C63)-AVERAGE(D63,E63,F63)</f>
        <v>-0.317344161152218</v>
      </c>
      <c r="N63" s="10" t="n">
        <f aca="false">IF(OR(H63="",K63=""),"",H63-K63)</f>
        <v>1.78720833549473</v>
      </c>
      <c r="O63" s="10" t="n">
        <f aca="false">IF(OR(H63="",L63=""),"",H63-L63)</f>
        <v>1.66121621214738</v>
      </c>
      <c r="P63" s="11" t="n">
        <f aca="false">IF(AND(A63&gt;=DATE(2021,4,1),A63&lt;=DATE(2025,1,31)),1,0)</f>
        <v>1</v>
      </c>
      <c r="Q63" s="11" t="n">
        <f aca="false">IF(A63&gt;=DATE(2023,12,1),1,0)</f>
        <v>0</v>
      </c>
      <c r="R63" s="12" t="str">
        <f aca="false">IF(A63&lt;DATE(2021,4,1),"Before sample",IF(A63&lt;=DATE(2023,11,17),"Pre-policy",IF(A63&lt;=DATE(2025,3,31),"Post-policy","After rollback")))</f>
        <v>Pre-policy</v>
      </c>
    </row>
    <row r="64" customFormat="false" ht="15" hidden="false" customHeight="false" outlineLevel="0" collapsed="false">
      <c r="A64" s="7" t="n">
        <v>45289</v>
      </c>
      <c r="B64" s="10" t="n">
        <f aca="false">100*LN(RBI_Levels!F64/RBI_Levels!F63)</f>
        <v>2.89020037432323</v>
      </c>
      <c r="C64" s="10" t="n">
        <f aca="false">100*LN(RBI_Levels_ExMerger!D64/RBI_Levels_ExMerger!D63)</f>
        <v>2.70344195652591</v>
      </c>
      <c r="D64" s="10" t="n">
        <f aca="false">100*LN(RBI_Levels_ExMerger!C64/RBI_Levels_ExMerger!C63)</f>
        <v>2.33565978660914</v>
      </c>
      <c r="E64" s="10" t="n">
        <f aca="false">100*LN(RBI_Levels!H64/RBI_Levels!H63)</f>
        <v>2.63863020567292</v>
      </c>
      <c r="F64" s="10" t="n">
        <f aca="false">100*LN(RBI_Levels!G64/RBI_Levels!G63)</f>
        <v>2.56434391576336</v>
      </c>
      <c r="G64" s="10" t="n">
        <f aca="false">100*LN(RBI_Levels!I64/RBI_Levels!I63)</f>
        <v>1.485201005111</v>
      </c>
      <c r="H64" s="10" t="n">
        <f aca="false">100*LN(RBI_Levels!K64/RBI_Levels!K63)</f>
        <v>2.83652114029951</v>
      </c>
      <c r="I64" s="10" t="n">
        <f aca="false">100*LN(RBI_Levels!D64/RBI_Levels!D63)</f>
        <v>7.38787576058023</v>
      </c>
      <c r="J64" s="10" t="n">
        <f aca="false">100*LN(RBI_Levels!C64/RBI_Levels!C63)</f>
        <v>3.79577769920986</v>
      </c>
      <c r="K64" s="10" t="n">
        <f aca="false">100*LN(RBI_Levels_ExMerger!B64/RBI_Levels_ExMerger!B63)</f>
        <v>0.917561338199327</v>
      </c>
      <c r="L64" s="10" t="n">
        <f aca="false">100*LN(RBI_Levels_ExMerger!E64/RBI_Levels_ExMerger!E63)</f>
        <v>0.329789822813789</v>
      </c>
      <c r="M64" s="10" t="n">
        <f aca="false">AVERAGE(B64,C64)-AVERAGE(D64,E64,F64)</f>
        <v>0.283943196076098</v>
      </c>
      <c r="N64" s="10" t="n">
        <f aca="false">IF(OR(H64="",K64=""),"",H64-K64)</f>
        <v>1.91895980210018</v>
      </c>
      <c r="O64" s="10" t="n">
        <f aca="false">IF(OR(H64="",L64=""),"",H64-L64)</f>
        <v>2.50673131748572</v>
      </c>
      <c r="P64" s="11" t="n">
        <f aca="false">IF(AND(A64&gt;=DATE(2021,4,1),A64&lt;=DATE(2025,1,31)),1,0)</f>
        <v>1</v>
      </c>
      <c r="Q64" s="11" t="n">
        <f aca="false">IF(A64&gt;=DATE(2023,12,1),1,0)</f>
        <v>1</v>
      </c>
      <c r="R64" s="12" t="str">
        <f aca="false">IF(A64&lt;DATE(2021,4,1),"Before sample",IF(A64&lt;=DATE(2023,11,17),"Pre-policy",IF(A64&lt;=DATE(2025,3,31),"Post-policy","After rollback")))</f>
        <v>Post-policy</v>
      </c>
    </row>
    <row r="65" customFormat="false" ht="15" hidden="false" customHeight="false" outlineLevel="0" collapsed="false">
      <c r="A65" s="7" t="n">
        <v>45317</v>
      </c>
      <c r="B65" s="10" t="n">
        <f aca="false">100*LN(RBI_Levels!F65/RBI_Levels!F64)</f>
        <v>2.61034032238465</v>
      </c>
      <c r="C65" s="10" t="n">
        <f aca="false">100*LN(RBI_Levels_ExMerger!D65/RBI_Levels_ExMerger!D64)</f>
        <v>1.25314850436228</v>
      </c>
      <c r="D65" s="10" t="n">
        <f aca="false">100*LN(RBI_Levels_ExMerger!C65/RBI_Levels_ExMerger!C64)</f>
        <v>1.58353664381494</v>
      </c>
      <c r="E65" s="10" t="n">
        <f aca="false">100*LN(RBI_Levels!H65/RBI_Levels!H64)</f>
        <v>-0.445767347173537</v>
      </c>
      <c r="F65" s="10" t="n">
        <f aca="false">100*LN(RBI_Levels!G65/RBI_Levels!G64)</f>
        <v>1.92173478528666</v>
      </c>
      <c r="G65" s="10" t="n">
        <f aca="false">100*LN(RBI_Levels!I65/RBI_Levels!I64)</f>
        <v>0.393109848690667</v>
      </c>
      <c r="H65" s="10" t="n">
        <f aca="false">100*LN(RBI_Levels!K65/RBI_Levels!K64)</f>
        <v>-2.87615550477866</v>
      </c>
      <c r="I65" s="10" t="n">
        <f aca="false">100*LN(RBI_Levels!D65/RBI_Levels!D64)</f>
        <v>2.35396679333415</v>
      </c>
      <c r="J65" s="10" t="n">
        <f aca="false">100*LN(RBI_Levels!C65/RBI_Levels!C64)</f>
        <v>-1.73067663185857</v>
      </c>
      <c r="K65" s="10" t="n">
        <f aca="false">100*LN(RBI_Levels_ExMerger!B65/RBI_Levels_ExMerger!B64)</f>
        <v>0.643085807794312</v>
      </c>
      <c r="L65" s="10" t="n">
        <f aca="false">100*LN(RBI_Levels_ExMerger!E65/RBI_Levels_ExMerger!E64)</f>
        <v>0.826313223427764</v>
      </c>
      <c r="M65" s="10" t="n">
        <f aca="false">AVERAGE(B65,C65)-AVERAGE(D65,E65,F65)</f>
        <v>0.91190971939744</v>
      </c>
      <c r="N65" s="10" t="n">
        <f aca="false">IF(OR(H65="",K65=""),"",H65-K65)</f>
        <v>-3.51924131257297</v>
      </c>
      <c r="O65" s="10" t="n">
        <f aca="false">IF(OR(H65="",L65=""),"",H65-L65)</f>
        <v>-3.70246872820642</v>
      </c>
      <c r="P65" s="11" t="n">
        <f aca="false">IF(AND(A65&gt;=DATE(2021,4,1),A65&lt;=DATE(2025,1,31)),1,0)</f>
        <v>1</v>
      </c>
      <c r="Q65" s="11" t="n">
        <f aca="false">IF(A65&gt;=DATE(2023,12,1),1,0)</f>
        <v>1</v>
      </c>
      <c r="R65" s="12" t="str">
        <f aca="false">IF(A65&lt;DATE(2021,4,1),"Before sample",IF(A65&lt;=DATE(2023,11,17),"Pre-policy",IF(A65&lt;=DATE(2025,3,31),"Post-policy","After rollback")))</f>
        <v>Post-policy</v>
      </c>
    </row>
    <row r="66" customFormat="false" ht="15" hidden="false" customHeight="false" outlineLevel="0" collapsed="false">
      <c r="A66" s="7" t="n">
        <v>45345</v>
      </c>
      <c r="B66" s="10" t="n">
        <f aca="false">100*LN(RBI_Levels!F66/RBI_Levels!F65)</f>
        <v>-0.153271306828387</v>
      </c>
      <c r="C66" s="10" t="n">
        <f aca="false">100*LN(RBI_Levels_ExMerger!D66/RBI_Levels_ExMerger!D65)</f>
        <v>1.21443040002947</v>
      </c>
      <c r="D66" s="10" t="n">
        <f aca="false">100*LN(RBI_Levels_ExMerger!C66/RBI_Levels_ExMerger!C65)</f>
        <v>1.14351081892013</v>
      </c>
      <c r="E66" s="10" t="n">
        <f aca="false">100*LN(RBI_Levels!H66/RBI_Levels!H65)</f>
        <v>0.847049886001356</v>
      </c>
      <c r="F66" s="10" t="n">
        <f aca="false">100*LN(RBI_Levels!G66/RBI_Levels!G65)</f>
        <v>1.28978159848046</v>
      </c>
      <c r="G66" s="10" t="n">
        <f aca="false">100*LN(RBI_Levels!I66/RBI_Levels!I65)</f>
        <v>1.040831437758</v>
      </c>
      <c r="H66" s="10" t="n">
        <f aca="false">100*LN(RBI_Levels!K66/RBI_Levels!K65)</f>
        <v>0.328369866599167</v>
      </c>
      <c r="I66" s="10" t="n">
        <f aca="false">100*LN(RBI_Levels!D66/RBI_Levels!D65)</f>
        <v>-2.58561844989155</v>
      </c>
      <c r="J66" s="10" t="n">
        <f aca="false">100*LN(RBI_Levels!C66/RBI_Levels!C65)</f>
        <v>-0.315608031716447</v>
      </c>
      <c r="K66" s="10" t="n">
        <f aca="false">100*LN(RBI_Levels_ExMerger!B66/RBI_Levels_ExMerger!B65)</f>
        <v>1.23861840636763</v>
      </c>
      <c r="L66" s="10" t="n">
        <f aca="false">100*LN(RBI_Levels_ExMerger!E66/RBI_Levels_ExMerger!E65)</f>
        <v>1.45725138478418</v>
      </c>
      <c r="M66" s="10" t="n">
        <f aca="false">AVERAGE(B66,C66)-AVERAGE(D66,E66,F66)</f>
        <v>-0.562867887866777</v>
      </c>
      <c r="N66" s="10" t="n">
        <f aca="false">IF(OR(H66="",K66=""),"",H66-K66)</f>
        <v>-0.910248539768461</v>
      </c>
      <c r="O66" s="10" t="n">
        <f aca="false">IF(OR(H66="",L66=""),"",H66-L66)</f>
        <v>-1.12888151818501</v>
      </c>
      <c r="P66" s="11" t="n">
        <f aca="false">IF(AND(A66&gt;=DATE(2021,4,1),A66&lt;=DATE(2025,1,31)),1,0)</f>
        <v>1</v>
      </c>
      <c r="Q66" s="11" t="n">
        <f aca="false">IF(A66&gt;=DATE(2023,12,1),1,0)</f>
        <v>1</v>
      </c>
      <c r="R66" s="12" t="str">
        <f aca="false">IF(A66&lt;DATE(2021,4,1),"Before sample",IF(A66&lt;=DATE(2023,11,17),"Pre-policy",IF(A66&lt;=DATE(2025,3,31),"Post-policy","After rollback")))</f>
        <v>Post-policy</v>
      </c>
    </row>
    <row r="67" customFormat="false" ht="15" hidden="false" customHeight="false" outlineLevel="0" collapsed="false">
      <c r="A67" s="7" t="n">
        <v>45373</v>
      </c>
      <c r="B67" s="10" t="n">
        <f aca="false">100*LN(RBI_Levels!F67/RBI_Levels!F66)</f>
        <v>-0.423716578849048</v>
      </c>
      <c r="C67" s="10" t="n">
        <f aca="false">100*LN(RBI_Levels_ExMerger!D67/RBI_Levels_ExMerger!D66)</f>
        <v>1.17463465160993</v>
      </c>
      <c r="D67" s="10" t="n">
        <f aca="false">100*LN(RBI_Levels_ExMerger!C67/RBI_Levels_ExMerger!C66)</f>
        <v>1.81650794544276</v>
      </c>
      <c r="E67" s="10" t="n">
        <f aca="false">100*LN(RBI_Levels!H67/RBI_Levels!H66)</f>
        <v>1.34446062879964</v>
      </c>
      <c r="F67" s="10" t="n">
        <f aca="false">100*LN(RBI_Levels!G67/RBI_Levels!G66)</f>
        <v>0.564804226804814</v>
      </c>
      <c r="G67" s="10" t="n">
        <f aca="false">100*LN(RBI_Levels!I67/RBI_Levels!I66)</f>
        <v>0.954563000259985</v>
      </c>
      <c r="H67" s="10" t="n">
        <f aca="false">100*LN(RBI_Levels!K67/RBI_Levels!K66)</f>
        <v>3.10117560227557</v>
      </c>
      <c r="I67" s="10" t="n">
        <f aca="false">100*LN(RBI_Levels!D67/RBI_Levels!D66)</f>
        <v>-1.34313691842401</v>
      </c>
      <c r="J67" s="10" t="n">
        <f aca="false">100*LN(RBI_Levels!C67/RBI_Levels!C66)</f>
        <v>2.14684343113467</v>
      </c>
      <c r="K67" s="10" t="n">
        <f aca="false">100*LN(RBI_Levels_ExMerger!B67/RBI_Levels_ExMerger!B66)</f>
        <v>1.53049955150315</v>
      </c>
      <c r="L67" s="10" t="n">
        <f aca="false">100*LN(RBI_Levels_ExMerger!E67/RBI_Levels_ExMerger!E66)</f>
        <v>1.53613620542891</v>
      </c>
      <c r="M67" s="10" t="n">
        <f aca="false">AVERAGE(B67,C67)-AVERAGE(D67,E67,F67)</f>
        <v>-0.866465230635296</v>
      </c>
      <c r="N67" s="10" t="n">
        <f aca="false">IF(OR(H67="",K67=""),"",H67-K67)</f>
        <v>1.57067605077243</v>
      </c>
      <c r="O67" s="10" t="n">
        <f aca="false">IF(OR(H67="",L67=""),"",H67-L67)</f>
        <v>1.56503939684666</v>
      </c>
      <c r="P67" s="11" t="n">
        <f aca="false">IF(AND(A67&gt;=DATE(2021,4,1),A67&lt;=DATE(2025,1,31)),1,0)</f>
        <v>1</v>
      </c>
      <c r="Q67" s="11" t="n">
        <f aca="false">IF(A67&gt;=DATE(2023,12,1),1,0)</f>
        <v>1</v>
      </c>
      <c r="R67" s="12" t="str">
        <f aca="false">IF(A67&lt;DATE(2021,4,1),"Before sample",IF(A67&lt;=DATE(2023,11,17),"Pre-policy",IF(A67&lt;=DATE(2025,3,31),"Post-policy","After rollback")))</f>
        <v>Post-policy</v>
      </c>
    </row>
    <row r="68" customFormat="false" ht="15" hidden="false" customHeight="false" outlineLevel="0" collapsed="false">
      <c r="A68" s="7" t="n">
        <v>45401</v>
      </c>
      <c r="B68" s="10" t="n">
        <f aca="false">100*LN(RBI_Levels!F68/RBI_Levels!F67)</f>
        <v>1.01626050015816</v>
      </c>
      <c r="C68" s="10" t="n">
        <f aca="false">100*LN(RBI_Levels_ExMerger!D68/RBI_Levels_ExMerger!D67)</f>
        <v>-0.760936415678841</v>
      </c>
      <c r="D68" s="10" t="n">
        <f aca="false">100*LN(RBI_Levels_ExMerger!C68/RBI_Levels_ExMerger!C67)</f>
        <v>1.12425501552583</v>
      </c>
      <c r="E68" s="10" t="n">
        <f aca="false">100*LN(RBI_Levels!H68/RBI_Levels!H67)</f>
        <v>0.886563620916598</v>
      </c>
      <c r="F68" s="10" t="n">
        <f aca="false">100*LN(RBI_Levels!G68/RBI_Levels!G67)</f>
        <v>-0.213762860467667</v>
      </c>
      <c r="G68" s="10" t="n">
        <f aca="false">100*LN(RBI_Levels!I68/RBI_Levels!I67)</f>
        <v>-0.503927536408846</v>
      </c>
      <c r="H68" s="10" t="n">
        <f aca="false">100*LN(RBI_Levels!K68/RBI_Levels!K67)</f>
        <v>1.21249678542882</v>
      </c>
      <c r="I68" s="10" t="n">
        <f aca="false">100*LN(RBI_Levels!D68/RBI_Levels!D67)</f>
        <v>0.727899735215156</v>
      </c>
      <c r="J68" s="10" t="n">
        <f aca="false">100*LN(RBI_Levels!C68/RBI_Levels!C67)</f>
        <v>1.11044209344528</v>
      </c>
      <c r="K68" s="10" t="n">
        <f aca="false">100*LN(RBI_Levels_ExMerger!B68/RBI_Levels_ExMerger!B67)</f>
        <v>0.468039645778178</v>
      </c>
      <c r="L68" s="10" t="n">
        <f aca="false">100*LN(RBI_Levels_ExMerger!E68/RBI_Levels_ExMerger!E67)</f>
        <v>0.514575837099452</v>
      </c>
      <c r="M68" s="10" t="n">
        <f aca="false">AVERAGE(B68,C68)-AVERAGE(D68,E68,F68)</f>
        <v>-0.471356549751927</v>
      </c>
      <c r="N68" s="10" t="n">
        <f aca="false">IF(OR(H68="",K68=""),"",H68-K68)</f>
        <v>0.744457139650642</v>
      </c>
      <c r="O68" s="10" t="n">
        <f aca="false">IF(OR(H68="",L68=""),"",H68-L68)</f>
        <v>0.697920948329369</v>
      </c>
      <c r="P68" s="11" t="n">
        <f aca="false">IF(AND(A68&gt;=DATE(2021,4,1),A68&lt;=DATE(2025,1,31)),1,0)</f>
        <v>1</v>
      </c>
      <c r="Q68" s="11" t="n">
        <f aca="false">IF(A68&gt;=DATE(2023,12,1),1,0)</f>
        <v>1</v>
      </c>
      <c r="R68" s="12" t="str">
        <f aca="false">IF(A68&lt;DATE(2021,4,1),"Before sample",IF(A68&lt;=DATE(2023,11,17),"Pre-policy",IF(A68&lt;=DATE(2025,3,31),"Post-policy","After rollback")))</f>
        <v>Post-policy</v>
      </c>
    </row>
    <row r="69" customFormat="false" ht="15" hidden="false" customHeight="false" outlineLevel="0" collapsed="false">
      <c r="A69" s="7" t="n">
        <v>45443</v>
      </c>
      <c r="B69" s="10" t="n">
        <f aca="false">100*LN(RBI_Levels!F69/RBI_Levels!F68)</f>
        <v>3.16071416263512</v>
      </c>
      <c r="C69" s="10" t="n">
        <f aca="false">100*LN(RBI_Levels_ExMerger!D69/RBI_Levels_ExMerger!D68)</f>
        <v>2.05401181559293</v>
      </c>
      <c r="D69" s="10" t="n">
        <f aca="false">100*LN(RBI_Levels_ExMerger!C69/RBI_Levels_ExMerger!C68)</f>
        <v>2.13370703679978</v>
      </c>
      <c r="E69" s="10" t="n">
        <f aca="false">100*LN(RBI_Levels!H69/RBI_Levels!H68)</f>
        <v>1.42876821735575</v>
      </c>
      <c r="F69" s="10" t="n">
        <f aca="false">100*LN(RBI_Levels!G69/RBI_Levels!G68)</f>
        <v>1.64659010168131</v>
      </c>
      <c r="G69" s="10" t="n">
        <f aca="false">100*LN(RBI_Levels!I69/RBI_Levels!I68)</f>
        <v>14.710500864114</v>
      </c>
      <c r="H69" s="10" t="n">
        <f aca="false">100*LN(RBI_Levels!K69/RBI_Levels!K68)</f>
        <v>0.47384468376978</v>
      </c>
      <c r="I69" s="10" t="n">
        <f aca="false">100*LN(RBI_Levels!D69/RBI_Levels!D68)</f>
        <v>0.445627120843272</v>
      </c>
      <c r="J69" s="10" t="n">
        <f aca="false">100*LN(RBI_Levels!C69/RBI_Levels!C68)</f>
        <v>0.46791417118733</v>
      </c>
      <c r="K69" s="10" t="n">
        <f aca="false">100*LN(RBI_Levels_ExMerger!B69/RBI_Levels_ExMerger!B68)</f>
        <v>1.73902273543595</v>
      </c>
      <c r="L69" s="10" t="n">
        <f aca="false">100*LN(RBI_Levels_ExMerger!E69/RBI_Levels_ExMerger!E68)</f>
        <v>1.8278603542829</v>
      </c>
      <c r="M69" s="10" t="n">
        <f aca="false">AVERAGE(B69,C69)-AVERAGE(D69,E69,F69)</f>
        <v>0.871007870501743</v>
      </c>
      <c r="N69" s="10" t="n">
        <f aca="false">IF(OR(H69="",K69=""),"",H69-K69)</f>
        <v>-1.26517805166617</v>
      </c>
      <c r="O69" s="10" t="n">
        <f aca="false">IF(OR(H69="",L69=""),"",H69-L69)</f>
        <v>-1.35401567051312</v>
      </c>
      <c r="P69" s="11" t="n">
        <f aca="false">IF(AND(A69&gt;=DATE(2021,4,1),A69&lt;=DATE(2025,1,31)),1,0)</f>
        <v>1</v>
      </c>
      <c r="Q69" s="11" t="n">
        <f aca="false">IF(A69&gt;=DATE(2023,12,1),1,0)</f>
        <v>1</v>
      </c>
      <c r="R69" s="12" t="str">
        <f aca="false">IF(A69&lt;DATE(2021,4,1),"Before sample",IF(A69&lt;=DATE(2023,11,17),"Pre-policy",IF(A69&lt;=DATE(2025,3,31),"Post-policy","After rollback")))</f>
        <v>Post-policy</v>
      </c>
    </row>
    <row r="70" customFormat="false" ht="15" hidden="false" customHeight="false" outlineLevel="0" collapsed="false">
      <c r="A70" s="7" t="n">
        <v>45471</v>
      </c>
      <c r="B70" s="10" t="n">
        <f aca="false">100*LN(RBI_Levels!F70/RBI_Levels!F69)</f>
        <v>1.87254752460857</v>
      </c>
      <c r="C70" s="10" t="n">
        <f aca="false">100*LN(RBI_Levels_ExMerger!D70/RBI_Levels_ExMerger!D69)</f>
        <v>0.0215990810574375</v>
      </c>
      <c r="D70" s="10" t="n">
        <f aca="false">100*LN(RBI_Levels_ExMerger!C70/RBI_Levels_ExMerger!C69)</f>
        <v>0.756239651251778</v>
      </c>
      <c r="E70" s="10" t="n">
        <f aca="false">100*LN(RBI_Levels!H70/RBI_Levels!H69)</f>
        <v>0.297130370153858</v>
      </c>
      <c r="F70" s="10" t="n">
        <f aca="false">100*LN(RBI_Levels!G70/RBI_Levels!G69)</f>
        <v>0.729503885080244</v>
      </c>
      <c r="G70" s="10" t="n">
        <f aca="false">100*LN(RBI_Levels!I70/RBI_Levels!I69)</f>
        <v>6.41476384438231</v>
      </c>
      <c r="H70" s="10" t="n">
        <f aca="false">100*LN(RBI_Levels!K70/RBI_Levels!K69)</f>
        <v>0.156662323122682</v>
      </c>
      <c r="I70" s="10" t="n">
        <f aca="false">100*LN(RBI_Levels!D70/RBI_Levels!D69)</f>
        <v>-0.473143457046557</v>
      </c>
      <c r="J70" s="10" t="n">
        <f aca="false">100*LN(RBI_Levels!C70/RBI_Levels!C69)</f>
        <v>0.0246389757255986</v>
      </c>
      <c r="K70" s="10" t="n">
        <f aca="false">100*LN(RBI_Levels_ExMerger!B70/RBI_Levels_ExMerger!B69)</f>
        <v>0.731363778771985</v>
      </c>
      <c r="L70" s="10" t="n">
        <f aca="false">100*LN(RBI_Levels_ExMerger!E70/RBI_Levels_ExMerger!E69)</f>
        <v>0.868796028231357</v>
      </c>
      <c r="M70" s="10" t="n">
        <f aca="false">AVERAGE(B70,C70)-AVERAGE(D70,E70,F70)</f>
        <v>0.352782000671045</v>
      </c>
      <c r="N70" s="10" t="n">
        <f aca="false">IF(OR(H70="",K70=""),"",H70-K70)</f>
        <v>-0.574701455649303</v>
      </c>
      <c r="O70" s="10" t="n">
        <f aca="false">IF(OR(H70="",L70=""),"",H70-L70)</f>
        <v>-0.712133705108675</v>
      </c>
      <c r="P70" s="11" t="n">
        <f aca="false">IF(AND(A70&gt;=DATE(2021,4,1),A70&lt;=DATE(2025,1,31)),1,0)</f>
        <v>1</v>
      </c>
      <c r="Q70" s="11" t="n">
        <f aca="false">IF(A70&gt;=DATE(2023,12,1),1,0)</f>
        <v>1</v>
      </c>
      <c r="R70" s="12" t="str">
        <f aca="false">IF(A70&lt;DATE(2021,4,1),"Before sample",IF(A70&lt;=DATE(2023,11,17),"Pre-policy",IF(A70&lt;=DATE(2025,3,31),"Post-policy","After rollback")))</f>
        <v>Post-policy</v>
      </c>
    </row>
    <row r="71" customFormat="false" ht="15" hidden="false" customHeight="false" outlineLevel="0" collapsed="false">
      <c r="A71" s="7" t="n">
        <v>45499</v>
      </c>
      <c r="B71" s="10" t="n">
        <f aca="false">100*LN(RBI_Levels!F71/RBI_Levels!F70)</f>
        <v>0.932207585534947</v>
      </c>
      <c r="C71" s="10" t="n">
        <f aca="false">100*LN(RBI_Levels_ExMerger!D71/RBI_Levels_ExMerger!D70)</f>
        <v>0.0881940005673158</v>
      </c>
      <c r="D71" s="10" t="n">
        <f aca="false">100*LN(RBI_Levels_ExMerger!C71/RBI_Levels_ExMerger!C70)</f>
        <v>0.660316866714782</v>
      </c>
      <c r="E71" s="10" t="n">
        <f aca="false">100*LN(RBI_Levels!H71/RBI_Levels!H70)</f>
        <v>0.407960072209854</v>
      </c>
      <c r="F71" s="10" t="n">
        <f aca="false">100*LN(RBI_Levels!G71/RBI_Levels!G70)</f>
        <v>0.878018333562203</v>
      </c>
      <c r="G71" s="10" t="n">
        <f aca="false">100*LN(RBI_Levels!I71/RBI_Levels!I70)</f>
        <v>7.96032710778591</v>
      </c>
      <c r="H71" s="10" t="n">
        <f aca="false">100*LN(RBI_Levels!K71/RBI_Levels!K70)</f>
        <v>-1.52137298461835</v>
      </c>
      <c r="I71" s="10" t="n">
        <f aca="false">100*LN(RBI_Levels!D71/RBI_Levels!D70)</f>
        <v>-2.21115850711781</v>
      </c>
      <c r="J71" s="10" t="n">
        <f aca="false">100*LN(RBI_Levels!C71/RBI_Levels!C70)</f>
        <v>-1.66521703132643</v>
      </c>
      <c r="K71" s="10" t="n">
        <f aca="false">100*LN(RBI_Levels_ExMerger!B71/RBI_Levels_ExMerger!B70)</f>
        <v>-0.366291216506955</v>
      </c>
      <c r="L71" s="10" t="n">
        <f aca="false">100*LN(RBI_Levels_ExMerger!E71/RBI_Levels_ExMerger!E70)</f>
        <v>-0.290584045157092</v>
      </c>
      <c r="M71" s="10" t="n">
        <f aca="false">AVERAGE(B71,C71)-AVERAGE(D71,E71,F71)</f>
        <v>-0.138564297777815</v>
      </c>
      <c r="N71" s="10" t="n">
        <f aca="false">IF(OR(H71="",K71=""),"",H71-K71)</f>
        <v>-1.1550817681114</v>
      </c>
      <c r="O71" s="10" t="n">
        <f aca="false">IF(OR(H71="",L71=""),"",H71-L71)</f>
        <v>-1.23078893946126</v>
      </c>
      <c r="P71" s="11" t="n">
        <f aca="false">IF(AND(A71&gt;=DATE(2021,4,1),A71&lt;=DATE(2025,1,31)),1,0)</f>
        <v>1</v>
      </c>
      <c r="Q71" s="11" t="n">
        <f aca="false">IF(A71&gt;=DATE(2023,12,1),1,0)</f>
        <v>1</v>
      </c>
      <c r="R71" s="12" t="str">
        <f aca="false">IF(A71&lt;DATE(2021,4,1),"Before sample",IF(A71&lt;=DATE(2023,11,17),"Pre-policy",IF(A71&lt;=DATE(2025,3,31),"Post-policy","After rollback")))</f>
        <v>Post-policy</v>
      </c>
    </row>
    <row r="72" customFormat="false" ht="15" hidden="false" customHeight="false" outlineLevel="0" collapsed="false">
      <c r="A72" s="7" t="n">
        <v>45527</v>
      </c>
      <c r="B72" s="10" t="n">
        <f aca="false">100*LN(RBI_Levels!F72/RBI_Levels!F71)</f>
        <v>0.353114856855329</v>
      </c>
      <c r="C72" s="10" t="n">
        <f aca="false">100*LN(RBI_Levels_ExMerger!D72/RBI_Levels_ExMerger!D71)</f>
        <v>0.440244214804697</v>
      </c>
      <c r="D72" s="10" t="n">
        <f aca="false">100*LN(RBI_Levels_ExMerger!C72/RBI_Levels_ExMerger!C71)</f>
        <v>1.13770306392294</v>
      </c>
      <c r="E72" s="10" t="n">
        <f aca="false">100*LN(RBI_Levels!H72/RBI_Levels!H71)</f>
        <v>0.805299491008341</v>
      </c>
      <c r="F72" s="10" t="n">
        <f aca="false">100*LN(RBI_Levels!G72/RBI_Levels!G71)</f>
        <v>2.47379986969432</v>
      </c>
      <c r="G72" s="10" t="n">
        <f aca="false">100*LN(RBI_Levels!I72/RBI_Levels!I71)</f>
        <v>6.60390392274578</v>
      </c>
      <c r="H72" s="10" t="n">
        <f aca="false">100*LN(RBI_Levels!K72/RBI_Levels!K71)</f>
        <v>-0.847500420391171</v>
      </c>
      <c r="I72" s="10" t="n">
        <f aca="false">100*LN(RBI_Levels!D72/RBI_Levels!D71)</f>
        <v>1.75555079088842</v>
      </c>
      <c r="J72" s="10" t="n">
        <f aca="false">100*LN(RBI_Levels!C72/RBI_Levels!C71)</f>
        <v>-0.300546565007925</v>
      </c>
      <c r="K72" s="10" t="n">
        <f aca="false">100*LN(RBI_Levels_ExMerger!B72/RBI_Levels_ExMerger!B71)</f>
        <v>0.876985753982621</v>
      </c>
      <c r="L72" s="10" t="n">
        <f aca="false">100*LN(RBI_Levels_ExMerger!E72/RBI_Levels_ExMerger!E71)</f>
        <v>1.07156327268104</v>
      </c>
      <c r="M72" s="10" t="n">
        <f aca="false">AVERAGE(B72,C72)-AVERAGE(D72,E72,F72)</f>
        <v>-1.07558793904519</v>
      </c>
      <c r="N72" s="10" t="n">
        <f aca="false">IF(OR(H72="",K72=""),"",H72-K72)</f>
        <v>-1.72448617437379</v>
      </c>
      <c r="O72" s="10" t="n">
        <f aca="false">IF(OR(H72="",L72=""),"",H72-L72)</f>
        <v>-1.91906369307221</v>
      </c>
      <c r="P72" s="11" t="n">
        <f aca="false">IF(AND(A72&gt;=DATE(2021,4,1),A72&lt;=DATE(2025,1,31)),1,0)</f>
        <v>1</v>
      </c>
      <c r="Q72" s="11" t="n">
        <f aca="false">IF(A72&gt;=DATE(2023,12,1),1,0)</f>
        <v>1</v>
      </c>
      <c r="R72" s="12" t="str">
        <f aca="false">IF(A72&lt;DATE(2021,4,1),"Before sample",IF(A72&lt;=DATE(2023,11,17),"Pre-policy",IF(A72&lt;=DATE(2025,3,31),"Post-policy","After rollback")))</f>
        <v>Post-policy</v>
      </c>
    </row>
    <row r="73" customFormat="false" ht="15" hidden="false" customHeight="false" outlineLevel="0" collapsed="false">
      <c r="A73" s="7" t="n">
        <v>45555</v>
      </c>
      <c r="B73" s="10" t="n">
        <f aca="false">100*LN(RBI_Levels!F73/RBI_Levels!F72)</f>
        <v>-1.73735381795791</v>
      </c>
      <c r="C73" s="10" t="n">
        <f aca="false">100*LN(RBI_Levels_ExMerger!D73/RBI_Levels_ExMerger!D72)</f>
        <v>0.986875181220847</v>
      </c>
      <c r="D73" s="10" t="n">
        <f aca="false">100*LN(RBI_Levels_ExMerger!C73/RBI_Levels_ExMerger!C72)</f>
        <v>0.769291791145094</v>
      </c>
      <c r="E73" s="10" t="n">
        <f aca="false">100*LN(RBI_Levels!H73/RBI_Levels!H72)</f>
        <v>1.10320733935896</v>
      </c>
      <c r="F73" s="10" t="n">
        <f aca="false">100*LN(RBI_Levels!G73/RBI_Levels!G72)</f>
        <v>2.32545662951196</v>
      </c>
      <c r="G73" s="10" t="n">
        <f aca="false">100*LN(RBI_Levels!I73/RBI_Levels!I72)</f>
        <v>5.32424955332138</v>
      </c>
      <c r="H73" s="10" t="n">
        <f aca="false">100*LN(RBI_Levels!K73/RBI_Levels!K72)</f>
        <v>0.726395932211691</v>
      </c>
      <c r="I73" s="10" t="n">
        <f aca="false">100*LN(RBI_Levels!D73/RBI_Levels!D72)</f>
        <v>0.699381692949598</v>
      </c>
      <c r="J73" s="10" t="n">
        <f aca="false">100*LN(RBI_Levels!C73/RBI_Levels!C72)</f>
        <v>0.720661802029778</v>
      </c>
      <c r="K73" s="10" t="n">
        <f aca="false">100*LN(RBI_Levels_ExMerger!B73/RBI_Levels_ExMerger!B72)</f>
        <v>1.1680490950687</v>
      </c>
      <c r="L73" s="10" t="n">
        <f aca="false">100*LN(RBI_Levels_ExMerger!E73/RBI_Levels_ExMerger!E72)</f>
        <v>1.2987587062399</v>
      </c>
      <c r="M73" s="10" t="n">
        <f aca="false">AVERAGE(B73,C73)-AVERAGE(D73,E73,F73)</f>
        <v>-1.77455790504054</v>
      </c>
      <c r="N73" s="10" t="n">
        <f aca="false">IF(OR(H73="",K73=""),"",H73-K73)</f>
        <v>-0.441653162857009</v>
      </c>
      <c r="O73" s="10" t="n">
        <f aca="false">IF(OR(H73="",L73=""),"",H73-L73)</f>
        <v>-0.572362774028211</v>
      </c>
      <c r="P73" s="11" t="n">
        <f aca="false">IF(AND(A73&gt;=DATE(2021,4,1),A73&lt;=DATE(2025,1,31)),1,0)</f>
        <v>1</v>
      </c>
      <c r="Q73" s="11" t="n">
        <f aca="false">IF(A73&gt;=DATE(2023,12,1),1,0)</f>
        <v>1</v>
      </c>
      <c r="R73" s="12" t="str">
        <f aca="false">IF(A73&lt;DATE(2021,4,1),"Before sample",IF(A73&lt;=DATE(2023,11,17),"Pre-policy",IF(A73&lt;=DATE(2025,3,31),"Post-policy","After rollback")))</f>
        <v>Post-policy</v>
      </c>
    </row>
    <row r="74" customFormat="false" ht="15" hidden="false" customHeight="false" outlineLevel="0" collapsed="false">
      <c r="A74" s="7" t="n">
        <v>45583</v>
      </c>
      <c r="B74" s="10" t="n">
        <f aca="false">100*LN(RBI_Levels!F74/RBI_Levels!F73)</f>
        <v>3.46351989530914</v>
      </c>
      <c r="C74" s="10" t="n">
        <f aca="false">100*LN(RBI_Levels_ExMerger!D74/RBI_Levels_ExMerger!D73)</f>
        <v>0.39745459435853</v>
      </c>
      <c r="D74" s="10" t="n">
        <f aca="false">100*LN(RBI_Levels_ExMerger!C74/RBI_Levels_ExMerger!C73)</f>
        <v>1.37822137423723</v>
      </c>
      <c r="E74" s="10" t="n">
        <f aca="false">100*LN(RBI_Levels!H74/RBI_Levels!H73)</f>
        <v>-0.064964202155551</v>
      </c>
      <c r="F74" s="10" t="n">
        <f aca="false">100*LN(RBI_Levels!G74/RBI_Levels!G73)</f>
        <v>0.920027421903465</v>
      </c>
      <c r="G74" s="10" t="n">
        <f aca="false">100*LN(RBI_Levels!I74/RBI_Levels!I73)</f>
        <v>5.44147620080726</v>
      </c>
      <c r="H74" s="10" t="n">
        <f aca="false">100*LN(RBI_Levels!K74/RBI_Levels!K73)</f>
        <v>0.887818276317059</v>
      </c>
      <c r="I74" s="10" t="n">
        <f aca="false">100*LN(RBI_Levels!D74/RBI_Levels!D73)</f>
        <v>-1.00822177137061</v>
      </c>
      <c r="J74" s="10" t="n">
        <f aca="false">100*LN(RBI_Levels!C74/RBI_Levels!C73)</f>
        <v>0.488395841313794</v>
      </c>
      <c r="K74" s="10" t="n">
        <f aca="false">100*LN(RBI_Levels_ExMerger!B74/RBI_Levels_ExMerger!B73)</f>
        <v>1.81605638251993</v>
      </c>
      <c r="L74" s="10" t="n">
        <f aca="false">100*LN(RBI_Levels_ExMerger!E74/RBI_Levels_ExMerger!E73)</f>
        <v>2.08446521054835</v>
      </c>
      <c r="M74" s="10" t="n">
        <f aca="false">AVERAGE(B74,C74)-AVERAGE(D74,E74,F74)</f>
        <v>1.18605904683879</v>
      </c>
      <c r="N74" s="10" t="n">
        <f aca="false">IF(OR(H74="",K74=""),"",H74-K74)</f>
        <v>-0.928238106202867</v>
      </c>
      <c r="O74" s="10" t="n">
        <f aca="false">IF(OR(H74="",L74=""),"",H74-L74)</f>
        <v>-1.19664693423129</v>
      </c>
      <c r="P74" s="11" t="n">
        <f aca="false">IF(AND(A74&gt;=DATE(2021,4,1),A74&lt;=DATE(2025,1,31)),1,0)</f>
        <v>1</v>
      </c>
      <c r="Q74" s="11" t="n">
        <f aca="false">IF(A74&gt;=DATE(2023,12,1),1,0)</f>
        <v>1</v>
      </c>
      <c r="R74" s="12" t="str">
        <f aca="false">IF(A74&lt;DATE(2021,4,1),"Before sample",IF(A74&lt;=DATE(2023,11,17),"Pre-policy",IF(A74&lt;=DATE(2025,3,31),"Post-policy","After rollback")))</f>
        <v>Post-policy</v>
      </c>
    </row>
    <row r="75" customFormat="false" ht="15" hidden="false" customHeight="false" outlineLevel="0" collapsed="false">
      <c r="A75" s="7" t="n">
        <v>45625</v>
      </c>
      <c r="B75" s="10" t="n">
        <f aca="false">100*LN(RBI_Levels!F75/RBI_Levels!F74)</f>
        <v>2.66667970809888</v>
      </c>
      <c r="C75" s="10" t="n">
        <f aca="false">100*LN(RBI_Levels_ExMerger!D75/RBI_Levels_ExMerger!D74)</f>
        <v>1.58188487147012</v>
      </c>
      <c r="D75" s="10" t="n">
        <f aca="false">100*LN(RBI_Levels_ExMerger!C75/RBI_Levels_ExMerger!C74)</f>
        <v>1.70005310384055</v>
      </c>
      <c r="E75" s="10" t="n">
        <f aca="false">100*LN(RBI_Levels!H75/RBI_Levels!H74)</f>
        <v>0.598139000168247</v>
      </c>
      <c r="F75" s="10" t="n">
        <f aca="false">100*LN(RBI_Levels!G75/RBI_Levels!G74)</f>
        <v>1.00783169065998</v>
      </c>
      <c r="G75" s="10" t="n">
        <f aca="false">100*LN(RBI_Levels!I75/RBI_Levels!I74)</f>
        <v>7.45192539019801</v>
      </c>
      <c r="H75" s="10" t="n">
        <f aca="false">100*LN(RBI_Levels!K75/RBI_Levels!K74)</f>
        <v>3.04184817421667</v>
      </c>
      <c r="I75" s="10" t="n">
        <f aca="false">100*LN(RBI_Levels!D75/RBI_Levels!D74)</f>
        <v>0.350659401093506</v>
      </c>
      <c r="J75" s="10" t="n">
        <f aca="false">100*LN(RBI_Levels!C75/RBI_Levels!C74)</f>
        <v>2.48511041906525</v>
      </c>
      <c r="K75" s="10" t="n">
        <f aca="false">100*LN(RBI_Levels_ExMerger!B75/RBI_Levels_ExMerger!B74)</f>
        <v>0.372557962815655</v>
      </c>
      <c r="L75" s="10" t="n">
        <f aca="false">100*LN(RBI_Levels_ExMerger!E75/RBI_Levels_ExMerger!E74)</f>
        <v>-0.0450440231365015</v>
      </c>
      <c r="M75" s="10" t="n">
        <f aca="false">AVERAGE(B75,C75)-AVERAGE(D75,E75,F75)</f>
        <v>1.02227435822824</v>
      </c>
      <c r="N75" s="10" t="n">
        <f aca="false">IF(OR(H75="",K75=""),"",H75-K75)</f>
        <v>2.66929021140102</v>
      </c>
      <c r="O75" s="10" t="n">
        <f aca="false">IF(OR(H75="",L75=""),"",H75-L75)</f>
        <v>3.08689219735317</v>
      </c>
      <c r="P75" s="11" t="n">
        <f aca="false">IF(AND(A75&gt;=DATE(2021,4,1),A75&lt;=DATE(2025,1,31)),1,0)</f>
        <v>1</v>
      </c>
      <c r="Q75" s="11" t="n">
        <f aca="false">IF(A75&gt;=DATE(2023,12,1),1,0)</f>
        <v>1</v>
      </c>
      <c r="R75" s="12" t="str">
        <f aca="false">IF(A75&lt;DATE(2021,4,1),"Before sample",IF(A75&lt;=DATE(2023,11,17),"Pre-policy",IF(A75&lt;=DATE(2025,3,31),"Post-policy","After rollback")))</f>
        <v>Post-policy</v>
      </c>
    </row>
    <row r="76" customFormat="false" ht="15" hidden="false" customHeight="false" outlineLevel="0" collapsed="false">
      <c r="A76" s="7" t="n">
        <v>45653</v>
      </c>
      <c r="B76" s="10" t="n">
        <f aca="false">100*LN(RBI_Levels!F76/RBI_Levels!F75)</f>
        <v>0.720616455448855</v>
      </c>
      <c r="C76" s="10" t="n">
        <f aca="false">100*LN(RBI_Levels_ExMerger!D76/RBI_Levels_ExMerger!D75)</f>
        <v>0.445135539332408</v>
      </c>
      <c r="D76" s="10" t="n">
        <f aca="false">100*LN(RBI_Levels_ExMerger!C76/RBI_Levels_ExMerger!C75)</f>
        <v>1.26804282440305</v>
      </c>
      <c r="E76" s="10" t="n">
        <f aca="false">100*LN(RBI_Levels!H76/RBI_Levels!H75)</f>
        <v>1.26594073981893</v>
      </c>
      <c r="F76" s="10" t="n">
        <f aca="false">100*LN(RBI_Levels!G76/RBI_Levels!G75)</f>
        <v>1.14107723362968</v>
      </c>
      <c r="G76" s="10" t="n">
        <f aca="false">100*LN(RBI_Levels!I76/RBI_Levels!I75)</f>
        <v>5.48596321726337</v>
      </c>
      <c r="H76" s="10" t="n">
        <f aca="false">100*LN(RBI_Levels!K76/RBI_Levels!K75)</f>
        <v>3.81377085484667</v>
      </c>
      <c r="I76" s="10" t="n">
        <f aca="false">100*LN(RBI_Levels!D76/RBI_Levels!D75)</f>
        <v>-0.726284863504445</v>
      </c>
      <c r="J76" s="10" t="n">
        <f aca="false">100*LN(RBI_Levels!C76/RBI_Levels!C75)</f>
        <v>2.90117369440129</v>
      </c>
      <c r="K76" s="10" t="n">
        <f aca="false">100*LN(RBI_Levels_ExMerger!B76/RBI_Levels_ExMerger!B75)</f>
        <v>1.46900015443409</v>
      </c>
      <c r="L76" s="10" t="n">
        <f aca="false">100*LN(RBI_Levels_ExMerger!E76/RBI_Levels_ExMerger!E75)</f>
        <v>1.42827036986218</v>
      </c>
      <c r="M76" s="10" t="n">
        <f aca="false">AVERAGE(B76,C76)-AVERAGE(D76,E76,F76)</f>
        <v>-0.64214426855992</v>
      </c>
      <c r="N76" s="10" t="n">
        <f aca="false">IF(OR(H76="",K76=""),"",H76-K76)</f>
        <v>2.34477070041258</v>
      </c>
      <c r="O76" s="10" t="n">
        <f aca="false">IF(OR(H76="",L76=""),"",H76-L76)</f>
        <v>2.38550048498449</v>
      </c>
      <c r="P76" s="11" t="n">
        <f aca="false">IF(AND(A76&gt;=DATE(2021,4,1),A76&lt;=DATE(2025,1,31)),1,0)</f>
        <v>1</v>
      </c>
      <c r="Q76" s="11" t="n">
        <f aca="false">IF(A76&gt;=DATE(2023,12,1),1,0)</f>
        <v>1</v>
      </c>
      <c r="R76" s="12" t="str">
        <f aca="false">IF(A76&lt;DATE(2021,4,1),"Before sample",IF(A76&lt;=DATE(2023,11,17),"Pre-policy",IF(A76&lt;=DATE(2025,3,31),"Post-policy","After rollback")))</f>
        <v>Post-policy</v>
      </c>
    </row>
    <row r="77" customFormat="false" ht="15" hidden="false" customHeight="false" outlineLevel="0" collapsed="false">
      <c r="A77" s="7" t="n">
        <v>45681</v>
      </c>
      <c r="B77" s="10" t="n">
        <f aca="false">100*LN(RBI_Levels!F77/RBI_Levels!F76)</f>
        <v>0.341800922893816</v>
      </c>
      <c r="C77" s="10" t="n">
        <f aca="false">100*LN(RBI_Levels_ExMerger!D77/RBI_Levels_ExMerger!D76)</f>
        <v>0.729756382430955</v>
      </c>
      <c r="D77" s="10" t="n">
        <f aca="false">100*LN(RBI_Levels_ExMerger!C77/RBI_Levels_ExMerger!C76)</f>
        <v>0.506054409072307</v>
      </c>
      <c r="E77" s="10" t="n">
        <f aca="false">100*LN(RBI_Levels!H77/RBI_Levels!H76)</f>
        <v>0.315630768855148</v>
      </c>
      <c r="F77" s="10" t="n">
        <f aca="false">100*LN(RBI_Levels!G77/RBI_Levels!G76)</f>
        <v>2.02655718737675</v>
      </c>
      <c r="G77" s="10" t="n">
        <f aca="false">100*LN(RBI_Levels!I77/RBI_Levels!I76)</f>
        <v>4.05519930183556</v>
      </c>
      <c r="H77" s="10" t="n">
        <f aca="false">100*LN(RBI_Levels!K77/RBI_Levels!K76)</f>
        <v>-0.680999505418734</v>
      </c>
      <c r="I77" s="10" t="n">
        <f aca="false">100*LN(RBI_Levels!D77/RBI_Levels!D76)</f>
        <v>1.77418764483493</v>
      </c>
      <c r="J77" s="10" t="n">
        <f aca="false">100*LN(RBI_Levels!C77/RBI_Levels!C76)</f>
        <v>-0.191593910076386</v>
      </c>
      <c r="K77" s="10" t="n">
        <f aca="false">100*LN(RBI_Levels_ExMerger!B77/RBI_Levels_ExMerger!B76)</f>
        <v>0.743948038562949</v>
      </c>
      <c r="L77" s="10" t="n">
        <f aca="false">100*LN(RBI_Levels_ExMerger!E77/RBI_Levels_ExMerger!E76)</f>
        <v>0.862749509239112</v>
      </c>
      <c r="M77" s="10" t="n">
        <f aca="false">AVERAGE(B77,C77)-AVERAGE(D77,E77,F77)</f>
        <v>-0.413635469105683</v>
      </c>
      <c r="N77" s="10" t="n">
        <f aca="false">IF(OR(H77="",K77=""),"",H77-K77)</f>
        <v>-1.42494754398168</v>
      </c>
      <c r="O77" s="10" t="n">
        <f aca="false">IF(OR(H77="",L77=""),"",H77-L77)</f>
        <v>-1.54374901465785</v>
      </c>
      <c r="P77" s="11" t="n">
        <f aca="false">IF(AND(A77&gt;=DATE(2021,4,1),A77&lt;=DATE(2025,1,31)),1,0)</f>
        <v>1</v>
      </c>
      <c r="Q77" s="11" t="n">
        <f aca="false">IF(A77&gt;=DATE(2023,12,1),1,0)</f>
        <v>1</v>
      </c>
      <c r="R77" s="12" t="str">
        <f aca="false">IF(A77&lt;DATE(2021,4,1),"Before sample",IF(A77&lt;=DATE(2023,11,17),"Pre-policy",IF(A77&lt;=DATE(2025,3,31),"Post-policy","After rollback")))</f>
        <v>Post-policy</v>
      </c>
    </row>
    <row r="78" customFormat="false" ht="15" hidden="false" customHeight="false" outlineLevel="0" collapsed="false">
      <c r="A78" s="7" t="n">
        <v>45709</v>
      </c>
      <c r="B78" s="10" t="n">
        <f aca="false">100*LN(RBI_Levels!F78/RBI_Levels!F77)</f>
        <v>-1.73934773412249</v>
      </c>
      <c r="C78" s="10" t="n">
        <f aca="false">100*LN(RBI_Levels_ExMerger!D78/RBI_Levels_ExMerger!D77)</f>
        <v>0.586867387528686</v>
      </c>
      <c r="D78" s="10" t="n">
        <f aca="false">100*LN(RBI_Levels_ExMerger!C78/RBI_Levels_ExMerger!C77)</f>
        <v>1.26339639843608</v>
      </c>
      <c r="E78" s="10" t="n">
        <f aca="false">100*LN(RBI_Levels!H78/RBI_Levels!H77)</f>
        <v>0.738707223634211</v>
      </c>
      <c r="F78" s="10" t="n">
        <f aca="false">100*LN(RBI_Levels!G78/RBI_Levels!G77)</f>
        <v>0.701141870680544</v>
      </c>
      <c r="G78" s="10" t="n">
        <f aca="false">100*LN(RBI_Levels!I78/RBI_Levels!I77)</f>
        <v>7.14362082173898</v>
      </c>
      <c r="H78" s="10" t="n">
        <f aca="false">100*LN(RBI_Levels!K78/RBI_Levels!K77)</f>
        <v>-0.471851224088278</v>
      </c>
      <c r="I78" s="10" t="n">
        <f aca="false">100*LN(RBI_Levels!D78/RBI_Levels!D77)</f>
        <v>-0.329405825374188</v>
      </c>
      <c r="J78" s="10" t="n">
        <f aca="false">100*LN(RBI_Levels!C78/RBI_Levels!C77)</f>
        <v>-0.443160733803891</v>
      </c>
      <c r="K78" s="10" t="n">
        <f aca="false">100*LN(RBI_Levels_ExMerger!B78/RBI_Levels_ExMerger!B77)</f>
        <v>0.758750785273463</v>
      </c>
      <c r="L78" s="10" t="n">
        <f aca="false">100*LN(RBI_Levels_ExMerger!E78/RBI_Levels_ExMerger!E77)</f>
        <v>0.96668171799537</v>
      </c>
      <c r="M78" s="10" t="n">
        <f aca="false">AVERAGE(B78,C78)-AVERAGE(D78,E78,F78)</f>
        <v>-1.47732200421385</v>
      </c>
      <c r="N78" s="10" t="n">
        <f aca="false">IF(OR(H78="",K78=""),"",H78-K78)</f>
        <v>-1.23060200936174</v>
      </c>
      <c r="O78" s="10" t="n">
        <f aca="false">IF(OR(H78="",L78=""),"",H78-L78)</f>
        <v>-1.43853294208365</v>
      </c>
      <c r="P78" s="11" t="n">
        <f aca="false">IF(AND(A78&gt;=DATE(2021,4,1),A78&lt;=DATE(2025,1,31)),1,0)</f>
        <v>0</v>
      </c>
      <c r="Q78" s="11" t="n">
        <f aca="false">IF(A78&gt;=DATE(2023,12,1),1,0)</f>
        <v>1</v>
      </c>
      <c r="R78" s="12" t="str">
        <f aca="false">IF(A78&lt;DATE(2021,4,1),"Before sample",IF(A78&lt;=DATE(2023,11,17),"Pre-policy",IF(A78&lt;=DATE(2025,3,31),"Post-policy","After rollback")))</f>
        <v>Post-policy</v>
      </c>
    </row>
    <row r="79" customFormat="false" ht="15" hidden="false" customHeight="false" outlineLevel="0" collapsed="false">
      <c r="A79" s="7" t="n">
        <v>45737</v>
      </c>
      <c r="B79" s="10" t="n">
        <f aca="false">100*LN(RBI_Levels!F79/RBI_Levels!F78)</f>
        <v>-0.938311960807131</v>
      </c>
      <c r="C79" s="10" t="n">
        <f aca="false">100*LN(RBI_Levels_ExMerger!D79/RBI_Levels_ExMerger!D78)</f>
        <v>1.09370242381685</v>
      </c>
      <c r="D79" s="10" t="n">
        <f aca="false">100*LN(RBI_Levels_ExMerger!C79/RBI_Levels_ExMerger!C78)</f>
        <v>1.55248126643834</v>
      </c>
      <c r="E79" s="10" t="n">
        <f aca="false">100*LN(RBI_Levels!H79/RBI_Levels!H78)</f>
        <v>0.482354737724679</v>
      </c>
      <c r="F79" s="10" t="n">
        <f aca="false">100*LN(RBI_Levels!G79/RBI_Levels!G78)</f>
        <v>0.463350240216685</v>
      </c>
      <c r="G79" s="10" t="n">
        <f aca="false">100*LN(RBI_Levels!I79/RBI_Levels!I78)</f>
        <v>9.25391421152307</v>
      </c>
      <c r="H79" s="10" t="n">
        <f aca="false">100*LN(RBI_Levels!K79/RBI_Levels!K78)</f>
        <v>1.98519450145038</v>
      </c>
      <c r="I79" s="10" t="n">
        <f aca="false">100*LN(RBI_Levels!D79/RBI_Levels!D78)</f>
        <v>-0.44117272756495</v>
      </c>
      <c r="J79" s="10" t="n">
        <f aca="false">100*LN(RBI_Levels!C79/RBI_Levels!C78)</f>
        <v>1.50092616767583</v>
      </c>
      <c r="K79" s="10" t="n">
        <f aca="false">100*LN(RBI_Levels_ExMerger!B79/RBI_Levels_ExMerger!B78)</f>
        <v>1.56814937832444</v>
      </c>
      <c r="L79" s="10" t="n">
        <f aca="false">100*LN(RBI_Levels_ExMerger!E79/RBI_Levels_ExMerger!E78)</f>
        <v>1.6763569335911</v>
      </c>
      <c r="M79" s="10" t="n">
        <f aca="false">AVERAGE(B79,C79)-AVERAGE(D79,E79,F79)</f>
        <v>-0.755033516621711</v>
      </c>
      <c r="N79" s="10" t="n">
        <f aca="false">IF(OR(H79="",K79=""),"",H79-K79)</f>
        <v>0.417045123125942</v>
      </c>
      <c r="O79" s="10" t="n">
        <f aca="false">IF(OR(H79="",L79=""),"",H79-L79)</f>
        <v>0.308837567859282</v>
      </c>
      <c r="P79" s="11" t="n">
        <f aca="false">IF(AND(A79&gt;=DATE(2021,4,1),A79&lt;=DATE(2025,1,31)),1,0)</f>
        <v>0</v>
      </c>
      <c r="Q79" s="11" t="n">
        <f aca="false">IF(A79&gt;=DATE(2023,12,1),1,0)</f>
        <v>1</v>
      </c>
      <c r="R79" s="12" t="str">
        <f aca="false">IF(A79&lt;DATE(2021,4,1),"Before sample",IF(A79&lt;=DATE(2023,11,17),"Pre-policy",IF(A79&lt;=DATE(2025,3,31),"Post-policy","After rollback")))</f>
        <v>Post-policy</v>
      </c>
    </row>
    <row r="80" customFormat="false" ht="15" hidden="false" customHeight="false" outlineLevel="0" collapsed="false">
      <c r="A80" s="7" t="n">
        <v>45765</v>
      </c>
      <c r="B80" s="10" t="n">
        <f aca="false">100*LN(RBI_Levels!F80/RBI_Levels!F79)</f>
        <v>0.981927454770018</v>
      </c>
      <c r="C80" s="10" t="n">
        <f aca="false">100*LN(RBI_Levels_ExMerger!D80/RBI_Levels_ExMerger!D79)</f>
        <v>0.212740610171964</v>
      </c>
      <c r="D80" s="10" t="n">
        <f aca="false">100*LN(RBI_Levels_ExMerger!C80/RBI_Levels_ExMerger!C79)</f>
        <v>0.55881642394819</v>
      </c>
      <c r="E80" s="10" t="n">
        <f aca="false">100*LN(RBI_Levels!H80/RBI_Levels!H79)</f>
        <v>1.10141799340644</v>
      </c>
      <c r="F80" s="10" t="n">
        <f aca="false">100*LN(RBI_Levels!G80/RBI_Levels!G79)</f>
        <v>-0.00128267269442727</v>
      </c>
      <c r="G80" s="10" t="n">
        <f aca="false">100*LN(RBI_Levels!I80/RBI_Levels!I79)</f>
        <v>6.86975722908757</v>
      </c>
      <c r="H80" s="10" t="n">
        <f aca="false">100*LN(RBI_Levels!K80/RBI_Levels!K79)</f>
        <v>-1.29367410800868</v>
      </c>
      <c r="I80" s="10" t="n">
        <f aca="false">100*LN(RBI_Levels!D80/RBI_Levels!D79)</f>
        <v>-2.59149772510069</v>
      </c>
      <c r="J80" s="10" t="n">
        <f aca="false">100*LN(RBI_Levels!C80/RBI_Levels!C79)</f>
        <v>-1.54885998828971</v>
      </c>
      <c r="K80" s="10" t="n">
        <f aca="false">100*LN(RBI_Levels_ExMerger!B80/RBI_Levels_ExMerger!B79)</f>
        <v>-0.247299215741055</v>
      </c>
      <c r="L80" s="10" t="n">
        <f aca="false">100*LN(RBI_Levels_ExMerger!E80/RBI_Levels_ExMerger!E79)</f>
        <v>-0.173175724640122</v>
      </c>
      <c r="M80" s="10" t="n">
        <f aca="false">AVERAGE(B80,C80)-AVERAGE(D80,E80,F80)</f>
        <v>0.0443501175842556</v>
      </c>
      <c r="N80" s="10" t="n">
        <f aca="false">IF(OR(H80="",K80=""),"",H80-K80)</f>
        <v>-1.04637489226763</v>
      </c>
      <c r="O80" s="10" t="n">
        <f aca="false">IF(OR(H80="",L80=""),"",H80-L80)</f>
        <v>-1.12049838336856</v>
      </c>
      <c r="P80" s="11" t="n">
        <f aca="false">IF(AND(A80&gt;=DATE(2021,4,1),A80&lt;=DATE(2025,1,31)),1,0)</f>
        <v>0</v>
      </c>
      <c r="Q80" s="11" t="n">
        <f aca="false">IF(A80&gt;=DATE(2023,12,1),1,0)</f>
        <v>1</v>
      </c>
      <c r="R80" s="12" t="str">
        <f aca="false">IF(A80&lt;DATE(2021,4,1),"Before sample",IF(A80&lt;=DATE(2023,11,17),"Pre-policy",IF(A80&lt;=DATE(2025,3,31),"Post-policy","After rollback")))</f>
        <v>After rollback</v>
      </c>
    </row>
    <row r="81" customFormat="false" ht="15" hidden="false" customHeight="false" outlineLevel="0" collapsed="false">
      <c r="A81" s="7" t="n">
        <v>45807</v>
      </c>
      <c r="B81" s="10" t="n">
        <f aca="false">100*LN(RBI_Levels!F81/RBI_Levels!F80)</f>
        <v>1.21330397341383</v>
      </c>
      <c r="C81" s="10" t="n">
        <f aca="false">100*LN(RBI_Levels_ExMerger!D81/RBI_Levels_ExMerger!D80)</f>
        <v>0.818847481312301</v>
      </c>
      <c r="D81" s="10" t="n">
        <f aca="false">100*LN(RBI_Levels_ExMerger!C81/RBI_Levels_ExMerger!C80)</f>
        <v>1.41796750254797</v>
      </c>
      <c r="E81" s="10" t="n">
        <f aca="false">100*LN(RBI_Levels!H81/RBI_Levels!H80)</f>
        <v>1.29272306000262</v>
      </c>
      <c r="F81" s="10" t="n">
        <f aca="false">100*LN(RBI_Levels!G81/RBI_Levels!G80)</f>
        <v>0.491047507050616</v>
      </c>
      <c r="G81" s="10" t="n">
        <f aca="false">100*LN(RBI_Levels!I81/RBI_Levels!I80)</f>
        <v>12.4562015260498</v>
      </c>
      <c r="H81" s="10" t="n">
        <f aca="false">100*LN(RBI_Levels!K81/RBI_Levels!K80)</f>
        <v>-3.27661296921468</v>
      </c>
      <c r="I81" s="10" t="n">
        <f aca="false">100*LN(RBI_Levels!D81/RBI_Levels!D80)</f>
        <v>-1.96944887696918</v>
      </c>
      <c r="J81" s="10" t="n">
        <f aca="false">100*LN(RBI_Levels!C81/RBI_Levels!C80)</f>
        <v>-3.01958085240276</v>
      </c>
      <c r="K81" s="10" t="n">
        <f aca="false">100*LN(RBI_Levels_ExMerger!B81/RBI_Levels_ExMerger!B80)</f>
        <v>0.426878382105729</v>
      </c>
      <c r="L81" s="10" t="n">
        <f aca="false">100*LN(RBI_Levels_ExMerger!E81/RBI_Levels_ExMerger!E80)</f>
        <v>0.74961129228812</v>
      </c>
      <c r="M81" s="10" t="n">
        <f aca="false">AVERAGE(B81,C81)-AVERAGE(D81,E81,F81)</f>
        <v>-0.0511702958373395</v>
      </c>
      <c r="N81" s="10" t="n">
        <f aca="false">IF(OR(H81="",K81=""),"",H81-K81)</f>
        <v>-3.70349135132041</v>
      </c>
      <c r="O81" s="10" t="n">
        <f aca="false">IF(OR(H81="",L81=""),"",H81-L81)</f>
        <v>-4.0262242615028</v>
      </c>
      <c r="P81" s="11" t="n">
        <f aca="false">IF(AND(A81&gt;=DATE(2021,4,1),A81&lt;=DATE(2025,1,31)),1,0)</f>
        <v>0</v>
      </c>
      <c r="Q81" s="11" t="n">
        <f aca="false">IF(A81&gt;=DATE(2023,12,1),1,0)</f>
        <v>1</v>
      </c>
      <c r="R81" s="12" t="str">
        <f aca="false">IF(A81&lt;DATE(2021,4,1),"Before sample",IF(A81&lt;=DATE(2023,11,17),"Pre-policy",IF(A81&lt;=DATE(2025,3,31),"Post-policy","After rollback")))</f>
        <v>After rollback</v>
      </c>
    </row>
    <row r="82" customFormat="false" ht="15" hidden="false" customHeight="false" outlineLevel="0" collapsed="false">
      <c r="A82" s="7" t="n">
        <v>45835</v>
      </c>
      <c r="B82" s="10" t="n">
        <f aca="false">100*LN(RBI_Levels!F82/RBI_Levels!F81)</f>
        <v>0.659700492138717</v>
      </c>
      <c r="C82" s="10" t="n">
        <f aca="false">100*LN(RBI_Levels_ExMerger!D82/RBI_Levels_ExMerger!D81)</f>
        <v>-0.124477596658315</v>
      </c>
      <c r="D82" s="10" t="n">
        <f aca="false">100*LN(RBI_Levels_ExMerger!C82/RBI_Levels_ExMerger!C81)</f>
        <v>1.21698167492121</v>
      </c>
      <c r="E82" s="10" t="n">
        <f aca="false">100*LN(RBI_Levels!H82/RBI_Levels!H81)</f>
        <v>0.778014146880918</v>
      </c>
      <c r="F82" s="10" t="n">
        <f aca="false">100*LN(RBI_Levels!G82/RBI_Levels!G81)</f>
        <v>1.0483728933106</v>
      </c>
      <c r="G82" s="10" t="n">
        <f aca="false">100*LN(RBI_Levels!I82/RBI_Levels!I81)</f>
        <v>9.89328854391092</v>
      </c>
      <c r="H82" s="10" t="n">
        <f aca="false">100*LN(RBI_Levels!K82/RBI_Levels!K81)</f>
        <v>0.894897955009139</v>
      </c>
      <c r="I82" s="10" t="n">
        <f aca="false">100*LN(RBI_Levels!D82/RBI_Levels!D81)</f>
        <v>7.0637811578909</v>
      </c>
      <c r="J82" s="10" t="n">
        <f aca="false">100*LN(RBI_Levels!C82/RBI_Levels!C81)</f>
        <v>2.14483626264009</v>
      </c>
      <c r="K82" s="10" t="n">
        <f aca="false">100*LN(RBI_Levels_ExMerger!B82/RBI_Levels_ExMerger!B81)</f>
        <v>1.15049820281765</v>
      </c>
      <c r="L82" s="10" t="n">
        <f aca="false">100*LN(RBI_Levels_ExMerger!E82/RBI_Levels_ExMerger!E81)</f>
        <v>1.18653967504397</v>
      </c>
      <c r="M82" s="10" t="n">
        <f aca="false">AVERAGE(B82,C82)-AVERAGE(D82,E82,F82)</f>
        <v>-0.746844790630707</v>
      </c>
      <c r="N82" s="10" t="n">
        <f aca="false">IF(OR(H82="",K82=""),"",H82-K82)</f>
        <v>-0.255600247808509</v>
      </c>
      <c r="O82" s="10" t="n">
        <f aca="false">IF(OR(H82="",L82=""),"",H82-L82)</f>
        <v>-0.291641720034833</v>
      </c>
      <c r="P82" s="11" t="n">
        <f aca="false">IF(AND(A82&gt;=DATE(2021,4,1),A82&lt;=DATE(2025,1,31)),1,0)</f>
        <v>0</v>
      </c>
      <c r="Q82" s="11" t="n">
        <f aca="false">IF(A82&gt;=DATE(2023,12,1),1,0)</f>
        <v>1</v>
      </c>
      <c r="R82" s="12" t="str">
        <f aca="false">IF(A82&lt;DATE(2021,4,1),"Before sample",IF(A82&lt;=DATE(2023,11,17),"Pre-policy",IF(A82&lt;=DATE(2025,3,31),"Post-policy","After rollback")))</f>
        <v>After rollback</v>
      </c>
    </row>
    <row r="83" customFormat="false" ht="15" hidden="false" customHeight="false" outlineLevel="0" collapsed="false">
      <c r="A83" s="7" t="n">
        <v>45863</v>
      </c>
      <c r="B83" s="10" t="n">
        <f aca="false">100*LN(RBI_Levels!F83/RBI_Levels!F82)</f>
        <v>-0.518674917405312</v>
      </c>
      <c r="C83" s="10" t="n">
        <f aca="false">100*LN(RBI_Levels!J83/RBI_Levels!J82)</f>
        <v>0.51784668322636</v>
      </c>
      <c r="D83" s="10" t="n">
        <f aca="false">100*LN(RBI_Levels!E83/RBI_Levels!E82)</f>
        <v>0.456457280219404</v>
      </c>
      <c r="E83" s="10" t="n">
        <f aca="false">100*LN(RBI_Levels!H83/RBI_Levels!H82)</f>
        <v>0.122484023810616</v>
      </c>
      <c r="F83" s="10" t="n">
        <f aca="false">100*LN(RBI_Levels!G83/RBI_Levels!G82)</f>
        <v>1.38755106058</v>
      </c>
      <c r="G83" s="10" t="n">
        <f aca="false">100*LN(RBI_Levels!I83/RBI_Levels!I82)</f>
        <v>6.06643629339503</v>
      </c>
      <c r="H83" s="10" t="n">
        <f aca="false">100*LN(RBI_Levels!K83/RBI_Levels!K82)</f>
        <v>-0.952463672266458</v>
      </c>
      <c r="I83" s="10" t="n">
        <f aca="false">100*LN(RBI_Levels!D83/RBI_Levels!D82)</f>
        <v>-4.81534730603572</v>
      </c>
      <c r="J83" s="10" t="n">
        <f aca="false">100*LN(RBI_Levels!C83/RBI_Levels!C82)</f>
        <v>-1.74234511155039</v>
      </c>
      <c r="K83" s="10" t="n">
        <f aca="false">100*LN(RBI_Levels!B83/RBI_Levels!B82)</f>
        <v>0.124188595331556</v>
      </c>
      <c r="L83" s="10" t="n">
        <f aca="false">100*LN(RBI_Levels!L83/RBI_Levels!L82)</f>
        <v>0.292766673269711</v>
      </c>
      <c r="M83" s="10" t="n">
        <f aca="false">AVERAGE(B83,C83)-AVERAGE(D83,E83,F83)</f>
        <v>-0.655911571959482</v>
      </c>
      <c r="N83" s="10" t="n">
        <f aca="false">IF(OR(H83="",K83=""),"",H83-K83)</f>
        <v>-1.07665226759801</v>
      </c>
      <c r="O83" s="10" t="n">
        <f aca="false">IF(OR(H83="",L83=""),"",H83-L83)</f>
        <v>-1.24523034553617</v>
      </c>
      <c r="P83" s="11" t="n">
        <f aca="false">IF(AND(A83&gt;=DATE(2021,4,1),A83&lt;=DATE(2025,1,31)),1,0)</f>
        <v>0</v>
      </c>
      <c r="Q83" s="11" t="n">
        <f aca="false">IF(A83&gt;=DATE(2023,12,1),1,0)</f>
        <v>1</v>
      </c>
      <c r="R83" s="12" t="str">
        <f aca="false">IF(A83&lt;DATE(2021,4,1),"Before sample",IF(A83&lt;=DATE(2023,11,17),"Pre-policy",IF(A83&lt;=DATE(2025,3,31),"Post-policy","After rollback")))</f>
        <v>After rollback</v>
      </c>
    </row>
    <row r="84" customFormat="false" ht="15" hidden="false" customHeight="false" outlineLevel="0" collapsed="false">
      <c r="A84" s="7" t="n">
        <v>45891</v>
      </c>
      <c r="B84" s="10" t="n">
        <f aca="false">100*LN(RBI_Levels!F84/RBI_Levels!F83)</f>
        <v>-0.826871500078849</v>
      </c>
      <c r="C84" s="10" t="n">
        <f aca="false">100*LN(RBI_Levels!J84/RBI_Levels!J83)</f>
        <v>0.429566270670819</v>
      </c>
      <c r="D84" s="10" t="n">
        <f aca="false">100*LN(RBI_Levels!E84/RBI_Levels!E83)</f>
        <v>0.893002993138962</v>
      </c>
      <c r="E84" s="10" t="n">
        <f aca="false">100*LN(RBI_Levels!H84/RBI_Levels!H83)</f>
        <v>0.646391437624062</v>
      </c>
      <c r="F84" s="10" t="n">
        <f aca="false">100*LN(RBI_Levels!G84/RBI_Levels!G83)</f>
        <v>2.09882003296092</v>
      </c>
      <c r="G84" s="10" t="n">
        <f aca="false">100*LN(RBI_Levels!I84/RBI_Levels!I83)</f>
        <v>3.93230602098278</v>
      </c>
      <c r="H84" s="10" t="n">
        <f aca="false">100*LN(RBI_Levels!K84/RBI_Levels!K83)</f>
        <v>0.212772146202416</v>
      </c>
      <c r="I84" s="10" t="n">
        <f aca="false">100*LN(RBI_Levels!D84/RBI_Levels!D83)</f>
        <v>0.88054908537187</v>
      </c>
      <c r="J84" s="10" t="n">
        <f aca="false">100*LN(RBI_Levels!C84/RBI_Levels!C83)</f>
        <v>0.34758800190555</v>
      </c>
      <c r="K84" s="10" t="n">
        <f aca="false">100*LN(RBI_Levels!B84/RBI_Levels!B83)</f>
        <v>0.809083553485245</v>
      </c>
      <c r="L84" s="10" t="n">
        <f aca="false">100*LN(RBI_Levels!L84/RBI_Levels!L83)</f>
        <v>0.927688362305337</v>
      </c>
      <c r="M84" s="10" t="n">
        <f aca="false">AVERAGE(B84,C84)-AVERAGE(D84,E84,F84)</f>
        <v>-1.41139076927866</v>
      </c>
      <c r="N84" s="10" t="n">
        <f aca="false">IF(OR(H84="",K84=""),"",H84-K84)</f>
        <v>-0.596311407282829</v>
      </c>
      <c r="O84" s="10" t="n">
        <f aca="false">IF(OR(H84="",L84=""),"",H84-L84)</f>
        <v>-0.714916216102921</v>
      </c>
      <c r="P84" s="11" t="n">
        <f aca="false">IF(AND(A84&gt;=DATE(2021,4,1),A84&lt;=DATE(2025,1,31)),1,0)</f>
        <v>0</v>
      </c>
      <c r="Q84" s="11" t="n">
        <f aca="false">IF(A84&gt;=DATE(2023,12,1),1,0)</f>
        <v>1</v>
      </c>
      <c r="R84" s="12" t="str">
        <f aca="false">IF(A84&lt;DATE(2021,4,1),"Before sample",IF(A84&lt;=DATE(2023,11,17),"Pre-policy",IF(A84&lt;=DATE(2025,3,31),"Post-policy","After rollback")))</f>
        <v>After rollback</v>
      </c>
    </row>
    <row r="85" customFormat="false" ht="15" hidden="false" customHeight="false" outlineLevel="0" collapsed="false">
      <c r="A85" s="7" t="n">
        <v>45919</v>
      </c>
      <c r="B85" s="10" t="n">
        <f aca="false">100*LN(RBI_Levels!F85/RBI_Levels!F84)</f>
        <v>-2.40776976507468</v>
      </c>
      <c r="C85" s="10" t="n">
        <f aca="false">100*LN(RBI_Levels!J85/RBI_Levels!J84)</f>
        <v>0.759845488889154</v>
      </c>
      <c r="D85" s="10" t="n">
        <f aca="false">100*LN(RBI_Levels!E85/RBI_Levels!E84)</f>
        <v>0.771529598013323</v>
      </c>
      <c r="E85" s="10" t="n">
        <f aca="false">100*LN(RBI_Levels!H85/RBI_Levels!H84)</f>
        <v>-0.24511823844093</v>
      </c>
      <c r="F85" s="10" t="n">
        <f aca="false">100*LN(RBI_Levels!G85/RBI_Levels!G84)</f>
        <v>1.80797821926492</v>
      </c>
      <c r="G85" s="10" t="n">
        <f aca="false">100*LN(RBI_Levels!I85/RBI_Levels!I84)</f>
        <v>3.33080305180244</v>
      </c>
      <c r="H85" s="10" t="n">
        <f aca="false">100*LN(RBI_Levels!K85/RBI_Levels!K84)</f>
        <v>0.671545779044009</v>
      </c>
      <c r="I85" s="10" t="n">
        <f aca="false">100*LN(RBI_Levels!D85/RBI_Levels!D84)</f>
        <v>1.98742030524862</v>
      </c>
      <c r="J85" s="10" t="n">
        <f aca="false">100*LN(RBI_Levels!C85/RBI_Levels!C84)</f>
        <v>0.939314292828622</v>
      </c>
      <c r="K85" s="10" t="n">
        <f aca="false">100*LN(RBI_Levels!B85/RBI_Levels!B84)</f>
        <v>1.40505739440088</v>
      </c>
      <c r="L85" s="10" t="n">
        <f aca="false">100*LN(RBI_Levels!L85/RBI_Levels!L84)</f>
        <v>1.59051463924885</v>
      </c>
      <c r="M85" s="10" t="n">
        <f aca="false">AVERAGE(B85,C85)-AVERAGE(D85,E85,F85)</f>
        <v>-1.6020919977052</v>
      </c>
      <c r="N85" s="10" t="n">
        <f aca="false">IF(OR(H85="",K85=""),"",H85-K85)</f>
        <v>-0.733511615356875</v>
      </c>
      <c r="O85" s="10" t="n">
        <f aca="false">IF(OR(H85="",L85=""),"",H85-L85)</f>
        <v>-0.918968860204842</v>
      </c>
      <c r="P85" s="11" t="n">
        <f aca="false">IF(AND(A85&gt;=DATE(2021,4,1),A85&lt;=DATE(2025,1,31)),1,0)</f>
        <v>0</v>
      </c>
      <c r="Q85" s="11" t="n">
        <f aca="false">IF(A85&gt;=DATE(2023,12,1),1,0)</f>
        <v>1</v>
      </c>
      <c r="R85" s="12" t="str">
        <f aca="false">IF(A85&lt;DATE(2021,4,1),"Before sample",IF(A85&lt;=DATE(2023,11,17),"Pre-policy",IF(A85&lt;=DATE(2025,3,31),"Post-policy","After rollback")))</f>
        <v>After rollback</v>
      </c>
    </row>
    <row r="86" customFormat="false" ht="15" hidden="false" customHeight="false" outlineLevel="0" collapsed="false">
      <c r="A86" s="7" t="n">
        <v>45961</v>
      </c>
      <c r="B86" s="10" t="n">
        <f aca="false">100*LN(RBI_Levels!F86/RBI_Levels!F85)</f>
        <v>7.26944862813175</v>
      </c>
      <c r="C86" s="10" t="n">
        <f aca="false">100*LN(RBI_Levels!J86/RBI_Levels!J85)</f>
        <v>2.69776095000906</v>
      </c>
      <c r="D86" s="10" t="n">
        <f aca="false">100*LN(RBI_Levels!E86/RBI_Levels!E85)</f>
        <v>1.72801883757781</v>
      </c>
      <c r="E86" s="10" t="n">
        <f aca="false">100*LN(RBI_Levels!H86/RBI_Levels!H85)</f>
        <v>4.70126030482646</v>
      </c>
      <c r="F86" s="10" t="n">
        <f aca="false">100*LN(RBI_Levels!G86/RBI_Levels!G85)</f>
        <v>1.52792081651393</v>
      </c>
      <c r="G86" s="10" t="n">
        <f aca="false">100*LN(RBI_Levels!I86/RBI_Levels!I85)</f>
        <v>6.70606137265832</v>
      </c>
      <c r="H86" s="10" t="n">
        <f aca="false">100*LN(RBI_Levels!K86/RBI_Levels!K85)</f>
        <v>8.18061541019731</v>
      </c>
      <c r="I86" s="10" t="n">
        <f aca="false">100*LN(RBI_Levels!D86/RBI_Levels!D85)</f>
        <v>2.17416078994092</v>
      </c>
      <c r="J86" s="10" t="n">
        <f aca="false">100*LN(RBI_Levels!C86/RBI_Levels!C85)</f>
        <v>6.98094752828685</v>
      </c>
      <c r="K86" s="10" t="n">
        <f aca="false">100*LN(RBI_Levels!B86/RBI_Levels!B85)</f>
        <v>2.42288362517983</v>
      </c>
      <c r="L86" s="10" t="n">
        <f aca="false">100*LN(RBI_Levels!L86/RBI_Levels!L85)</f>
        <v>1.82147541732437</v>
      </c>
      <c r="M86" s="10" t="n">
        <f aca="false">AVERAGE(B86,C86)-AVERAGE(D86,E86,F86)</f>
        <v>2.33120480276434</v>
      </c>
      <c r="N86" s="10" t="n">
        <f aca="false">IF(OR(H86="",K86=""),"",H86-K86)</f>
        <v>5.75773178501748</v>
      </c>
      <c r="O86" s="10" t="n">
        <f aca="false">IF(OR(H86="",L86=""),"",H86-L86)</f>
        <v>6.35913999287294</v>
      </c>
      <c r="P86" s="11" t="n">
        <f aca="false">IF(AND(A86&gt;=DATE(2021,4,1),A86&lt;=DATE(2025,1,31)),1,0)</f>
        <v>0</v>
      </c>
      <c r="Q86" s="11" t="n">
        <f aca="false">IF(A86&gt;=DATE(2023,12,1),1,0)</f>
        <v>1</v>
      </c>
      <c r="R86" s="12" t="str">
        <f aca="false">IF(A86&lt;DATE(2021,4,1),"Before sample",IF(A86&lt;=DATE(2023,11,17),"Pre-policy",IF(A86&lt;=DATE(2025,3,31),"Post-policy","After rollback")))</f>
        <v>After rollback</v>
      </c>
    </row>
    <row r="87" customFormat="false" ht="15" hidden="false" customHeight="false" outlineLevel="0" collapsed="false">
      <c r="A87" s="7" t="n">
        <v>45989</v>
      </c>
      <c r="B87" s="10" t="n">
        <f aca="false">100*LN(RBI_Levels!F87/RBI_Levels!F86)</f>
        <v>-2.33777877322043</v>
      </c>
      <c r="C87" s="10" t="n">
        <f aca="false">100*LN(RBI_Levels!J87/RBI_Levels!J86)</f>
        <v>0.559993742783854</v>
      </c>
      <c r="D87" s="10" t="n">
        <f aca="false">100*LN(RBI_Levels!E87/RBI_Levels!E86)</f>
        <v>0.246474408227903</v>
      </c>
      <c r="E87" s="10" t="n">
        <f aca="false">100*LN(RBI_Levels!H87/RBI_Levels!H86)</f>
        <v>0.469407328595134</v>
      </c>
      <c r="F87" s="10" t="n">
        <f aca="false">100*LN(RBI_Levels!G87/RBI_Levels!G86)</f>
        <v>0.239271339449769</v>
      </c>
      <c r="G87" s="10" t="n">
        <f aca="false">100*LN(RBI_Levels!I87/RBI_Levels!I86)</f>
        <v>6.05305220462128</v>
      </c>
      <c r="H87" s="10" t="n">
        <f aca="false">100*LN(RBI_Levels!K87/RBI_Levels!K86)</f>
        <v>0.417010625720202</v>
      </c>
      <c r="I87" s="10" t="n">
        <f aca="false">100*LN(RBI_Levels!D87/RBI_Levels!D86)</f>
        <v>4.18517990537475</v>
      </c>
      <c r="J87" s="10" t="n">
        <f aca="false">100*LN(RBI_Levels!C87/RBI_Levels!C86)</f>
        <v>1.16287573287792</v>
      </c>
      <c r="K87" s="10" t="n">
        <f aca="false">100*LN(RBI_Levels!B87/RBI_Levels!B86)</f>
        <v>0.657167147629234</v>
      </c>
      <c r="L87" s="10" t="n">
        <f aca="false">100*LN(RBI_Levels!L87/RBI_Levels!L86)</f>
        <v>0.669118268989607</v>
      </c>
      <c r="M87" s="10" t="n">
        <f aca="false">AVERAGE(B87,C87)-AVERAGE(D87,E87,F87)</f>
        <v>-1.20727687397589</v>
      </c>
      <c r="N87" s="10" t="n">
        <f aca="false">IF(OR(H87="",K87=""),"",H87-K87)</f>
        <v>-0.240156521909032</v>
      </c>
      <c r="O87" s="10" t="n">
        <f aca="false">IF(OR(H87="",L87=""),"",H87-L87)</f>
        <v>-0.252107643269404</v>
      </c>
      <c r="P87" s="11" t="n">
        <f aca="false">IF(AND(A87&gt;=DATE(2021,4,1),A87&lt;=DATE(2025,1,31)),1,0)</f>
        <v>0</v>
      </c>
      <c r="Q87" s="11" t="n">
        <f aca="false">IF(A87&gt;=DATE(2023,12,1),1,0)</f>
        <v>1</v>
      </c>
      <c r="R87" s="12" t="str">
        <f aca="false">IF(A87&lt;DATE(2021,4,1),"Before sample",IF(A87&lt;=DATE(2023,11,17),"Pre-policy",IF(A87&lt;=DATE(2025,3,31),"Post-policy","After rollback")))</f>
        <v>After rollback</v>
      </c>
    </row>
    <row r="88" customFormat="false" ht="15" hidden="false" customHeight="false" outlineLevel="0" collapsed="false">
      <c r="A88" s="7" t="n">
        <v>46022</v>
      </c>
      <c r="B88" s="10" t="n">
        <f aca="false">100*LN(RBI_Levels!F88/RBI_Levels!F87)</f>
        <v>-0.736314448603458</v>
      </c>
      <c r="C88" s="10" t="n">
        <f aca="false">100*LN(RBI_Levels!J88/RBI_Levels!J87)</f>
        <v>2.8004060074754</v>
      </c>
      <c r="D88" s="10" t="n">
        <f aca="false">100*LN(RBI_Levels!E88/RBI_Levels!E87)</f>
        <v>1.89275580557059</v>
      </c>
      <c r="E88" s="10" t="n">
        <f aca="false">100*LN(RBI_Levels!H88/RBI_Levels!H87)</f>
        <v>5.03063056581648</v>
      </c>
      <c r="F88" s="10" t="n">
        <f aca="false">100*LN(RBI_Levels!G88/RBI_Levels!G87)</f>
        <v>1.97568135291348</v>
      </c>
      <c r="G88" s="10" t="n">
        <f aca="false">100*LN(RBI_Levels!I88/RBI_Levels!I87)</f>
        <v>5.8379084062819</v>
      </c>
      <c r="H88" s="10" t="n">
        <f aca="false">100*LN(RBI_Levels!K88/RBI_Levels!K87)</f>
        <v>9.35419548394207</v>
      </c>
      <c r="I88" s="10" t="n">
        <f aca="false">100*LN(RBI_Levels!D88/RBI_Levels!D87)</f>
        <v>1.90368628196822</v>
      </c>
      <c r="J88" s="10" t="n">
        <f aca="false">100*LN(RBI_Levels!C88/RBI_Levels!C87)</f>
        <v>7.9009879118527</v>
      </c>
      <c r="K88" s="10" t="n">
        <f aca="false">100*LN(RBI_Levels!B88/RBI_Levels!B87)</f>
        <v>3.96720482292977</v>
      </c>
      <c r="L88" s="10" t="n">
        <f aca="false">100*LN(RBI_Levels!L88/RBI_Levels!L87)</f>
        <v>3.73479333423274</v>
      </c>
      <c r="M88" s="10" t="n">
        <f aca="false">AVERAGE(B88,C88)-AVERAGE(D88,E88,F88)</f>
        <v>-1.93431012866421</v>
      </c>
      <c r="N88" s="10" t="n">
        <f aca="false">IF(OR(H88="",K88=""),"",H88-K88)</f>
        <v>5.3869906610123</v>
      </c>
      <c r="O88" s="10" t="n">
        <f aca="false">IF(OR(H88="",L88=""),"",H88-L88)</f>
        <v>5.61940214970932</v>
      </c>
      <c r="P88" s="11" t="n">
        <f aca="false">IF(AND(A88&gt;=DATE(2021,4,1),A88&lt;=DATE(2025,1,31)),1,0)</f>
        <v>0</v>
      </c>
      <c r="Q88" s="11" t="n">
        <f aca="false">IF(A88&gt;=DATE(2023,12,1),1,0)</f>
        <v>1</v>
      </c>
      <c r="R88" s="12" t="str">
        <f aca="false">IF(A88&lt;DATE(2021,4,1),"Before sample",IF(A88&lt;=DATE(2023,11,17),"Pre-policy",IF(A88&lt;=DATE(2025,3,31),"Post-policy","After rollback")))</f>
        <v>After rollback</v>
      </c>
    </row>
    <row r="89" customFormat="false" ht="15" hidden="false" customHeight="false" outlineLevel="0" collapsed="false">
      <c r="A89" s="7" t="n">
        <v>46053</v>
      </c>
      <c r="B89" s="10" t="n">
        <f aca="false">100*LN(RBI_Levels!F89/RBI_Levels!F88)</f>
        <v>0.853447833698614</v>
      </c>
      <c r="C89" s="10" t="n">
        <f aca="false">100*LN(RBI_Levels!J89/RBI_Levels!J88)</f>
        <v>0.767518334000447</v>
      </c>
      <c r="D89" s="10" t="n">
        <f aca="false">100*LN(RBI_Levels!E89/RBI_Levels!E88)</f>
        <v>0.674022956622009</v>
      </c>
      <c r="E89" s="10" t="n">
        <f aca="false">100*LN(RBI_Levels!H89/RBI_Levels!H88)</f>
        <v>0.685137346652436</v>
      </c>
      <c r="F89" s="10" t="n">
        <f aca="false">100*LN(RBI_Levels!G89/RBI_Levels!G88)</f>
        <v>1.37154070118094</v>
      </c>
      <c r="G89" s="10" t="n">
        <f aca="false">100*LN(RBI_Levels!I89/RBI_Levels!I88)</f>
        <v>5.20440871790778</v>
      </c>
      <c r="H89" s="10" t="n">
        <f aca="false">100*LN(RBI_Levels!K89/RBI_Levels!K88)</f>
        <v>2.58413897566154</v>
      </c>
      <c r="I89" s="10" t="n">
        <f aca="false">100*LN(RBI_Levels!D89/RBI_Levels!D88)</f>
        <v>0.121747171675808</v>
      </c>
      <c r="J89" s="10" t="n">
        <f aca="false">100*LN(RBI_Levels!C89/RBI_Levels!C88)</f>
        <v>2.1227739510457</v>
      </c>
      <c r="K89" s="10" t="n">
        <f aca="false">100*LN(RBI_Levels!B89/RBI_Levels!B88)</f>
        <v>0.746144235780775</v>
      </c>
      <c r="L89" s="10" t="n">
        <f aca="false">100*LN(RBI_Levels!L89/RBI_Levels!L88)</f>
        <v>0.5842918933551</v>
      </c>
      <c r="M89" s="10" t="n">
        <f aca="false">AVERAGE(B89,C89)-AVERAGE(D89,E89,F89)</f>
        <v>-0.0997505843022625</v>
      </c>
      <c r="N89" s="10" t="n">
        <f aca="false">IF(OR(H89="",K89=""),"",H89-K89)</f>
        <v>1.83799473988076</v>
      </c>
      <c r="O89" s="10" t="n">
        <f aca="false">IF(OR(H89="",L89=""),"",H89-L89)</f>
        <v>1.99984708230644</v>
      </c>
      <c r="P89" s="11" t="n">
        <f aca="false">IF(AND(A89&gt;=DATE(2021,4,1),A89&lt;=DATE(2025,1,31)),1,0)</f>
        <v>0</v>
      </c>
      <c r="Q89" s="11" t="n">
        <f aca="false">IF(A89&gt;=DATE(2023,12,1),1,0)</f>
        <v>1</v>
      </c>
      <c r="R89" s="12" t="str">
        <f aca="false">IF(A89&lt;DATE(2021,4,1),"Before sample",IF(A89&lt;=DATE(2023,11,17),"Pre-policy",IF(A89&lt;=DATE(2025,3,31),"Post-policy","After rollback")))</f>
        <v>After rollback</v>
      </c>
    </row>
    <row r="90" customFormat="false" ht="15" hidden="false" customHeight="false" outlineLevel="0" collapsed="false">
      <c r="A90" s="7" t="n">
        <v>46081</v>
      </c>
      <c r="B90" s="10" t="n">
        <f aca="false">100*LN(RBI_Levels!F90/RBI_Levels!F89)</f>
        <v>-1.47840186999973</v>
      </c>
      <c r="C90" s="10" t="n">
        <f aca="false">100*LN(RBI_Levels!J90/RBI_Levels!J89)</f>
        <v>1.03054898067439</v>
      </c>
      <c r="D90" s="10" t="n">
        <f aca="false">100*LN(RBI_Levels!E90/RBI_Levels!E89)</f>
        <v>0.828392958515434</v>
      </c>
      <c r="E90" s="10" t="n">
        <f aca="false">100*LN(RBI_Levels!H90/RBI_Levels!H89)</f>
        <v>0.75625756188229</v>
      </c>
      <c r="F90" s="10" t="n">
        <f aca="false">100*LN(RBI_Levels!G90/RBI_Levels!G89)</f>
        <v>0.445105070280818</v>
      </c>
      <c r="G90" s="10" t="n">
        <f aca="false">100*LN(RBI_Levels!I90/RBI_Levels!I89)</f>
        <v>6.7716539261821</v>
      </c>
      <c r="H90" s="10" t="n">
        <f aca="false">100*LN(RBI_Levels!K90/RBI_Levels!K89)</f>
        <v>2.32845863325854</v>
      </c>
      <c r="I90" s="10" t="n">
        <f aca="false">100*LN(RBI_Levels!D90/RBI_Levels!D89)</f>
        <v>1.63341792118476</v>
      </c>
      <c r="J90" s="10" t="n">
        <f aca="false">100*LN(RBI_Levels!C90/RBI_Levels!C89)</f>
        <v>2.19989659606317</v>
      </c>
      <c r="K90" s="10" t="n">
        <f aca="false">100*LN(RBI_Levels!B90/RBI_Levels!B89)</f>
        <v>1.39001370127388</v>
      </c>
      <c r="L90" s="10" t="n">
        <f aca="false">100*LN(RBI_Levels!L90/RBI_Levels!L89)</f>
        <v>1.38356501000191</v>
      </c>
      <c r="M90" s="10" t="n">
        <f aca="false">AVERAGE(B90,C90)-AVERAGE(D90,E90,F90)</f>
        <v>-0.900511641555517</v>
      </c>
      <c r="N90" s="10" t="n">
        <f aca="false">IF(OR(H90="",K90=""),"",H90-K90)</f>
        <v>0.938444931984662</v>
      </c>
      <c r="O90" s="10" t="n">
        <f aca="false">IF(OR(H90="",L90=""),"",H90-L90)</f>
        <v>0.94489362325663</v>
      </c>
      <c r="P90" s="11" t="n">
        <f aca="false">IF(AND(A90&gt;=DATE(2021,4,1),A90&lt;=DATE(2025,1,31)),1,0)</f>
        <v>0</v>
      </c>
      <c r="Q90" s="11" t="n">
        <f aca="false">IF(A90&gt;=DATE(2023,12,1),1,0)</f>
        <v>1</v>
      </c>
      <c r="R90" s="12" t="str">
        <f aca="false">IF(A90&lt;DATE(2021,4,1),"Before sample",IF(A90&lt;=DATE(2023,11,17),"Pre-policy",IF(A90&lt;=DATE(2025,3,31),"Post-policy","After rollback")))</f>
        <v>After rollback</v>
      </c>
    </row>
    <row r="91" customFormat="false" ht="15" hidden="false" customHeight="false" outlineLevel="0" collapsed="false">
      <c r="A91" s="7" t="n">
        <v>46112</v>
      </c>
      <c r="B91" s="10" t="n">
        <f aca="false">100*LN(RBI_Levels!F91/RBI_Levels!F90)</f>
        <v>0.816258964941644</v>
      </c>
      <c r="C91" s="10" t="n">
        <f aca="false">100*LN(RBI_Levels!J91/RBI_Levels!J90)</f>
        <v>1.69708518536613</v>
      </c>
      <c r="D91" s="10" t="n">
        <f aca="false">100*LN(RBI_Levels!E91/RBI_Levels!E90)</f>
        <v>1.50930921774712</v>
      </c>
      <c r="E91" s="10" t="n">
        <f aca="false">100*LN(RBI_Levels!H91/RBI_Levels!H90)</f>
        <v>1.72606961306649</v>
      </c>
      <c r="F91" s="10" t="n">
        <f aca="false">100*LN(RBI_Levels!G91/RBI_Levels!G90)</f>
        <v>0.150147200801216</v>
      </c>
      <c r="G91" s="10" t="n">
        <f aca="false">100*LN(RBI_Levels!I91/RBI_Levels!I90)</f>
        <v>7.37340746614554</v>
      </c>
      <c r="H91" s="10" t="n">
        <f aca="false">100*LN(RBI_Levels!K91/RBI_Levels!K90)</f>
        <v>6.58033832631412</v>
      </c>
      <c r="I91" s="10" t="n">
        <f aca="false">100*LN(RBI_Levels!D91/RBI_Levels!D90)</f>
        <v>3.85354586188937</v>
      </c>
      <c r="J91" s="10" t="n">
        <f aca="false">100*LN(RBI_Levels!C91/RBI_Levels!C90)</f>
        <v>6.08295002430666</v>
      </c>
      <c r="K91" s="10" t="n">
        <f aca="false">100*LN(RBI_Levels!B91/RBI_Levels!B90)</f>
        <v>2.95393485149634</v>
      </c>
      <c r="L91" s="10" t="n">
        <f aca="false">100*LN(RBI_Levels!L91/RBI_Levels!L90)</f>
        <v>2.74773356138873</v>
      </c>
      <c r="M91" s="10" t="n">
        <f aca="false">AVERAGE(B91,C91)-AVERAGE(D91,E91,F91)</f>
        <v>0.128163397948946</v>
      </c>
      <c r="N91" s="10" t="n">
        <f aca="false">IF(OR(H91="",K91=""),"",H91-K91)</f>
        <v>3.62640347481779</v>
      </c>
      <c r="O91" s="10" t="n">
        <f aca="false">IF(OR(H91="",L91=""),"",H91-L91)</f>
        <v>3.83260476492539</v>
      </c>
      <c r="P91" s="11" t="n">
        <f aca="false">IF(AND(A91&gt;=DATE(2021,4,1),A91&lt;=DATE(2025,1,31)),1,0)</f>
        <v>0</v>
      </c>
      <c r="Q91" s="11" t="n">
        <f aca="false">IF(A91&gt;=DATE(2023,12,1),1,0)</f>
        <v>1</v>
      </c>
      <c r="R91" s="12" t="str">
        <f aca="false">IF(A91&lt;DATE(2021,4,1),"Before sample",IF(A91&lt;=DATE(2023,11,17),"Pre-policy",IF(A91&lt;=DATE(2025,3,31),"Post-policy","After rollback")))</f>
        <v>After rollback</v>
      </c>
    </row>
    <row r="92" customFormat="false" ht="15" hidden="false" customHeight="false" outlineLevel="0" collapsed="false">
      <c r="A92" s="7" t="n">
        <v>46142</v>
      </c>
      <c r="B92" s="10" t="n">
        <f aca="false">100*LN(RBI_Levels!F92/RBI_Levels!F91)</f>
        <v>1.20013586868512</v>
      </c>
      <c r="C92" s="10" t="n">
        <f aca="false">100*LN(RBI_Levels!J92/RBI_Levels!J91)</f>
        <v>0.0612009747495874</v>
      </c>
      <c r="D92" s="10" t="n">
        <f aca="false">100*LN(RBI_Levels!E92/RBI_Levels!E91)</f>
        <v>-0.125542658079244</v>
      </c>
      <c r="E92" s="10" t="n">
        <f aca="false">100*LN(RBI_Levels!H92/RBI_Levels!H91)</f>
        <v>0.565938921257814</v>
      </c>
      <c r="F92" s="10" t="n">
        <f aca="false">100*LN(RBI_Levels!G92/RBI_Levels!G91)</f>
        <v>-0.0807580792588709</v>
      </c>
      <c r="G92" s="10" t="n">
        <f aca="false">100*LN(RBI_Levels!I92/RBI_Levels!I91)</f>
        <v>5.76667909680046</v>
      </c>
      <c r="H92" s="10" t="n">
        <f aca="false">100*LN(RBI_Levels!K92/RBI_Levels!K91)</f>
        <v>-0.438350957869024</v>
      </c>
      <c r="I92" s="10" t="n">
        <f aca="false">100*LN(RBI_Levels!D92/RBI_Levels!D91)</f>
        <v>-1.59298570198394</v>
      </c>
      <c r="J92" s="10" t="n">
        <f aca="false">100*LN(RBI_Levels!C92/RBI_Levels!C91)</f>
        <v>-0.645641367369919</v>
      </c>
      <c r="K92" s="10" t="n">
        <f aca="false">100*LN(RBI_Levels!B92/RBI_Levels!B91)</f>
        <v>-0.864412701995917</v>
      </c>
      <c r="L92" s="10" t="n">
        <f aca="false">100*LN(RBI_Levels!L92/RBI_Levels!L91)</f>
        <v>-1.02027560027053</v>
      </c>
      <c r="M92" s="10" t="n">
        <f aca="false">AVERAGE(B92,C92)-AVERAGE(D92,E92,F92)</f>
        <v>0.510789027077454</v>
      </c>
      <c r="N92" s="10" t="n">
        <f aca="false">IF(OR(H92="",K92=""),"",H92-K92)</f>
        <v>0.426061744126893</v>
      </c>
      <c r="O92" s="10" t="n">
        <f aca="false">IF(OR(H92="",L92=""),"",H92-L92)</f>
        <v>0.581924642401508</v>
      </c>
      <c r="P92" s="11" t="n">
        <f aca="false">IF(AND(A92&gt;=DATE(2021,4,1),A92&lt;=DATE(2025,1,31)),1,0)</f>
        <v>0</v>
      </c>
      <c r="Q92" s="11" t="n">
        <f aca="false">IF(A92&gt;=DATE(2023,12,1),1,0)</f>
        <v>1</v>
      </c>
      <c r="R92" s="12" t="str">
        <f aca="false">IF(A92&lt;DATE(2021,4,1),"Before sample",IF(A92&lt;=DATE(2023,11,17),"Pre-policy",IF(A92&lt;=DATE(2025,3,31),"Post-policy","After rollback")))</f>
        <v>After rollback</v>
      </c>
    </row>
    <row r="93" customFormat="false" ht="15" hidden="false" customHeight="false" outlineLevel="0" collapsed="false">
      <c r="A93" s="7" t="n">
        <v>46173</v>
      </c>
      <c r="B93" s="10" t="n">
        <f aca="false">100*LN(RBI_Levels!F93/RBI_Levels!F92)</f>
        <v>-1.17493348083241</v>
      </c>
      <c r="C93" s="10" t="n">
        <f aca="false">100*LN(RBI_Levels!J93/RBI_Levels!J92)</f>
        <v>0.605010832003568</v>
      </c>
      <c r="D93" s="10" t="n">
        <f aca="false">100*LN(RBI_Levels!E93/RBI_Levels!E92)</f>
        <v>0.514286218635628</v>
      </c>
      <c r="E93" s="10" t="n">
        <f aca="false">100*LN(RBI_Levels!H93/RBI_Levels!H92)</f>
        <v>0.748333830450802</v>
      </c>
      <c r="F93" s="10" t="n">
        <f aca="false">100*LN(RBI_Levels!G93/RBI_Levels!G92)</f>
        <v>1.16151554066036</v>
      </c>
      <c r="G93" s="10" t="n">
        <f aca="false">100*LN(RBI_Levels!I93/RBI_Levels!I92)</f>
        <v>5.08961912400349</v>
      </c>
      <c r="H93" s="10" t="n">
        <f aca="false">100*LN(RBI_Levels!K93/RBI_Levels!K92)</f>
        <v>1.74754668882234</v>
      </c>
      <c r="I93" s="10" t="n">
        <f aca="false">100*LN(RBI_Levels!D93/RBI_Levels!D92)</f>
        <v>0.59911777039062</v>
      </c>
      <c r="J93" s="10" t="n">
        <f aca="false">100*LN(RBI_Levels!C93/RBI_Levels!C92)</f>
        <v>1.54331117512713</v>
      </c>
      <c r="K93" s="10" t="n">
        <f aca="false">100*LN(RBI_Levels!B93/RBI_Levels!B92)</f>
        <v>1.27592468154738</v>
      </c>
      <c r="L93" s="10" t="n">
        <f aca="false">100*LN(RBI_Levels!L93/RBI_Levels!L92)</f>
        <v>1.35401478186273</v>
      </c>
      <c r="M93" s="10" t="n">
        <f aca="false">AVERAGE(B93,C93)-AVERAGE(D93,E93,F93)</f>
        <v>-1.09300652099669</v>
      </c>
      <c r="N93" s="10" t="n">
        <f aca="false">IF(OR(H93="",K93=""),"",H93-K93)</f>
        <v>0.47162200727496</v>
      </c>
      <c r="O93" s="10" t="n">
        <f aca="false">IF(OR(H93="",L93=""),"",H93-L93)</f>
        <v>0.393531906959609</v>
      </c>
      <c r="P93" s="11" t="n">
        <f aca="false">IF(AND(A93&gt;=DATE(2021,4,1),A93&lt;=DATE(2025,1,31)),1,0)</f>
        <v>0</v>
      </c>
      <c r="Q93" s="11" t="n">
        <f aca="false">IF(A93&gt;=DATE(2023,12,1),1,0)</f>
        <v>1</v>
      </c>
      <c r="R93" s="12" t="str">
        <f aca="false">IF(A93&lt;DATE(2021,4,1),"Before sample",IF(A93&lt;=DATE(2023,11,17),"Pre-policy",IF(A93&lt;=DATE(2025,3,31),"Post-policy","After rollback")))</f>
        <v>After rollback</v>
      </c>
    </row>
    <row r="94" customFormat="false" ht="15" hidden="false" customHeight="false" outlineLevel="0" collapsed="false">
      <c r="A94" s="7" t="n">
        <v>46203</v>
      </c>
      <c r="B94" s="10" t="n">
        <f aca="false">100*LN(RBI_Levels!F94/RBI_Levels!F93)</f>
        <v>1.26361448476704</v>
      </c>
      <c r="C94" s="10" t="n">
        <f aca="false">100*LN(RBI_Levels!J94/RBI_Levels!J93)</f>
        <v>1.36982284150363</v>
      </c>
      <c r="D94" s="10" t="n">
        <f aca="false">100*LN(RBI_Levels!E94/RBI_Levels!E93)</f>
        <v>1.02680201988913</v>
      </c>
      <c r="E94" s="10" t="n">
        <f aca="false">100*LN(RBI_Levels!H94/RBI_Levels!H93)</f>
        <v>0.78785522580792</v>
      </c>
      <c r="F94" s="10" t="n">
        <f aca="false">100*LN(RBI_Levels!G94/RBI_Levels!G93)</f>
        <v>0.379548867229654</v>
      </c>
      <c r="G94" s="10" t="n">
        <f aca="false">100*LN(RBI_Levels!I94/RBI_Levels!I93)</f>
        <v>4.05132440319522</v>
      </c>
      <c r="H94" s="10" t="n">
        <f aca="false">100*LN(RBI_Levels!K94/RBI_Levels!K93)</f>
        <v>1.14287567162538</v>
      </c>
      <c r="I94" s="10" t="n">
        <f aca="false">100*LN(RBI_Levels!D94/RBI_Levels!D93)</f>
        <v>0.599629179527856</v>
      </c>
      <c r="J94" s="10" t="n">
        <f aca="false">100*LN(RBI_Levels!C94/RBI_Levels!C93)</f>
        <v>1.04693545916406</v>
      </c>
      <c r="K94" s="10" t="n">
        <f aca="false">100*LN(RBI_Levels!B94/RBI_Levels!B93)</f>
        <v>1.93336968847465</v>
      </c>
      <c r="L94" s="10" t="n">
        <f aca="false">100*LN(RBI_Levels!L94/RBI_Levels!L93)</f>
        <v>2.10822691340585</v>
      </c>
      <c r="M94" s="10" t="n">
        <f aca="false">AVERAGE(B94,C94)-AVERAGE(D94,E94,F94)</f>
        <v>0.585316625493103</v>
      </c>
      <c r="N94" s="10" t="n">
        <f aca="false">IF(OR(H94="",K94=""),"",H94-K94)</f>
        <v>-0.790494016849261</v>
      </c>
      <c r="O94" s="10" t="n">
        <f aca="false">IF(OR(H94="",L94=""),"",H94-L94)</f>
        <v>-0.965351241780462</v>
      </c>
      <c r="P94" s="11" t="n">
        <f aca="false">IF(AND(A94&gt;=DATE(2021,4,1),A94&lt;=DATE(2025,1,31)),1,0)</f>
        <v>0</v>
      </c>
      <c r="Q94" s="11" t="n">
        <f aca="false">IF(A94&gt;=DATE(2023,12,1),1,0)</f>
        <v>1</v>
      </c>
      <c r="R94" s="12" t="str">
        <f aca="false">IF(A94&lt;DATE(2021,4,1),"Before sample",IF(A94&lt;=DATE(2023,11,17),"Pre-policy",IF(A94&lt;=DATE(2025,3,31),"Post-policy","After rollback")))</f>
        <v>After rollback</v>
      </c>
    </row>
    <row r="95" customFormat="false" ht="15" hidden="false" customHeight="false" outlineLevel="0" collapsed="false">
      <c r="A95" s="7" t="n">
        <v>46234</v>
      </c>
      <c r="B95" s="10" t="n">
        <f aca="false">100*LN(RBI_Levels!F95/RBI_Levels!F94)</f>
        <v>-0.175935954392061</v>
      </c>
      <c r="C95" s="10" t="n">
        <f aca="false">100*LN(RBI_Levels!J95/RBI_Levels!J94)</f>
        <v>0.945640522614432</v>
      </c>
      <c r="D95" s="10" t="n">
        <f aca="false">100*LN(RBI_Levels!E95/RBI_Levels!E94)</f>
        <v>0.721493235373524</v>
      </c>
      <c r="E95" s="10" t="n">
        <f aca="false">100*LN(RBI_Levels!H95/RBI_Levels!H94)</f>
        <v>1.34103186557532</v>
      </c>
      <c r="F95" s="10" t="n">
        <f aca="false">100*LN(RBI_Levels!G95/RBI_Levels!G94)</f>
        <v>1.77449178243455</v>
      </c>
      <c r="G95" s="10" t="n">
        <f aca="false">100*LN(RBI_Levels!I95/RBI_Levels!I94)</f>
        <v>3.07377079048615</v>
      </c>
      <c r="H95" s="10" t="n">
        <f aca="false">100*LN(RBI_Levels!K95/RBI_Levels!K94)</f>
        <v>0.394716938391612</v>
      </c>
      <c r="I95" s="10" t="n">
        <f aca="false">100*LN(RBI_Levels!D95/RBI_Levels!D94)</f>
        <v>2.72721818554077</v>
      </c>
      <c r="J95" s="10" t="n">
        <f aca="false">100*LN(RBI_Levels!C95/RBI_Levels!C94)</f>
        <v>0.809696948639273</v>
      </c>
      <c r="K95" s="10" t="n">
        <f aca="false">100*LN(RBI_Levels!B95/RBI_Levels!B94)</f>
        <v>0.749370944870458</v>
      </c>
      <c r="L95" s="10" t="n">
        <f aca="false">100*LN(RBI_Levels!L95/RBI_Levels!L94)</f>
        <v>0.738027627156816</v>
      </c>
      <c r="M95" s="10" t="n">
        <f aca="false">AVERAGE(B95,C95)-AVERAGE(D95,E95,F95)</f>
        <v>-0.894153343683278</v>
      </c>
      <c r="N95" s="10" t="n">
        <f aca="false">IF(OR(H95="",K95=""),"",H95-K95)</f>
        <v>-0.354654006478846</v>
      </c>
      <c r="O95" s="10" t="n">
        <f aca="false">IF(OR(H95="",L95=""),"",H95-L95)</f>
        <v>-0.343310688765203</v>
      </c>
      <c r="P95" s="11" t="n">
        <f aca="false">IF(AND(A95&gt;=DATE(2021,4,1),A95&lt;=DATE(2025,1,31)),1,0)</f>
        <v>0</v>
      </c>
      <c r="Q95" s="11" t="n">
        <f aca="false">IF(A95&gt;=DATE(2023,12,1),1,0)</f>
        <v>1</v>
      </c>
      <c r="R95" s="12" t="str">
        <f aca="false">IF(A95&lt;DATE(2021,4,1),"Before sample",IF(A95&lt;=DATE(2023,11,17),"Pre-policy",IF(A95&lt;=DATE(2025,3,31),"Post-policy","After rollback")))</f>
        <v>After rollback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4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9" min="1" style="0" width="12"/>
  </cols>
  <sheetData>
    <row r="1" customFormat="false" ht="15" hidden="false" customHeight="false" outlineLevel="0" collapsed="false">
      <c r="A1" s="6" t="s">
        <v>86</v>
      </c>
    </row>
    <row r="2" customFormat="false" ht="15" hidden="false" customHeight="false" outlineLevel="0" collapsed="false">
      <c r="A2" s="2" t="s">
        <v>87</v>
      </c>
    </row>
    <row r="4" customFormat="false" ht="42" hidden="false" customHeight="true" outlineLevel="0" collapsed="false">
      <c r="A4" s="3" t="s">
        <v>49</v>
      </c>
      <c r="B4" s="3" t="s">
        <v>88</v>
      </c>
      <c r="C4" s="3" t="s">
        <v>89</v>
      </c>
      <c r="D4" s="3" t="s">
        <v>90</v>
      </c>
      <c r="E4" s="3" t="s">
        <v>91</v>
      </c>
      <c r="F4" s="3" t="s">
        <v>92</v>
      </c>
      <c r="G4" s="3" t="s">
        <v>93</v>
      </c>
      <c r="H4" s="3" t="s">
        <v>94</v>
      </c>
      <c r="I4" s="3" t="s">
        <v>95</v>
      </c>
      <c r="J4" s="3" t="s">
        <v>96</v>
      </c>
      <c r="K4" s="3" t="s">
        <v>97</v>
      </c>
      <c r="L4" s="3" t="s">
        <v>98</v>
      </c>
      <c r="M4" s="3" t="s">
        <v>99</v>
      </c>
      <c r="N4" s="3" t="s">
        <v>100</v>
      </c>
      <c r="O4" s="3" t="s">
        <v>101</v>
      </c>
      <c r="P4" s="3" t="s">
        <v>102</v>
      </c>
      <c r="Q4" s="3" t="s">
        <v>103</v>
      </c>
      <c r="R4" s="3" t="s">
        <v>104</v>
      </c>
      <c r="S4" s="3" t="s">
        <v>105</v>
      </c>
    </row>
    <row r="5" customFormat="false" ht="15" hidden="false" customHeight="false" outlineLevel="0" collapsed="false">
      <c r="A5" s="7" t="n">
        <v>44805</v>
      </c>
      <c r="B5" s="8" t="n">
        <v>17542.8</v>
      </c>
      <c r="C5" s="8" t="n">
        <v>15211.2</v>
      </c>
      <c r="D5" s="8" t="n">
        <v>2307.1</v>
      </c>
      <c r="E5" s="8" t="n">
        <v>643.45</v>
      </c>
      <c r="F5" s="8" t="n">
        <v>936.1</v>
      </c>
      <c r="G5" s="8" t="n">
        <v>417.05</v>
      </c>
      <c r="H5" s="8" t="n">
        <v>298.29</v>
      </c>
      <c r="I5" s="8" t="n">
        <v>243.8</v>
      </c>
      <c r="J5" s="8" t="n">
        <v>1401.5</v>
      </c>
      <c r="K5" s="8" t="n">
        <v>717.15</v>
      </c>
      <c r="L5" s="8" t="n">
        <v>789.3</v>
      </c>
      <c r="M5" s="8" t="n">
        <v>982.6</v>
      </c>
      <c r="N5" s="8" t="n">
        <v>334.39</v>
      </c>
      <c r="O5" s="8" t="n">
        <v>206.85</v>
      </c>
      <c r="P5" s="8" t="n">
        <v>1044.75</v>
      </c>
      <c r="Q5" s="8" t="n">
        <v>305.8</v>
      </c>
      <c r="R5" s="8" t="n">
        <v>928.05</v>
      </c>
      <c r="S5" s="8" t="n">
        <v>265.85</v>
      </c>
    </row>
    <row r="6" customFormat="false" ht="15" hidden="false" customHeight="false" outlineLevel="0" collapsed="false">
      <c r="A6" s="7" t="n">
        <v>44806</v>
      </c>
      <c r="B6" s="8" t="n">
        <v>17539.45</v>
      </c>
      <c r="C6" s="8" t="n">
        <v>15201.6</v>
      </c>
      <c r="D6" s="8" t="n">
        <v>2276.9</v>
      </c>
      <c r="E6" s="8" t="n">
        <v>635.9</v>
      </c>
      <c r="F6" s="8" t="n">
        <v>929.45</v>
      </c>
      <c r="G6" s="8" t="n">
        <v>418.05</v>
      </c>
      <c r="H6" s="8" t="n">
        <v>314.61</v>
      </c>
      <c r="I6" s="8" t="n">
        <v>242.45</v>
      </c>
      <c r="J6" s="8" t="n">
        <v>1423.85</v>
      </c>
      <c r="K6" s="8" t="n">
        <v>718.06</v>
      </c>
      <c r="L6" s="8" t="n">
        <v>790.5</v>
      </c>
      <c r="M6" s="8" t="n">
        <v>995.5</v>
      </c>
      <c r="N6" s="8" t="n">
        <v>333.76</v>
      </c>
      <c r="O6" s="8" t="n">
        <v>209.1</v>
      </c>
      <c r="P6" s="8" t="n">
        <v>1030</v>
      </c>
      <c r="Q6" s="8" t="n">
        <v>305.35</v>
      </c>
      <c r="R6" s="8" t="n">
        <v>932.5</v>
      </c>
      <c r="S6" s="8" t="n">
        <v>261.72</v>
      </c>
    </row>
    <row r="7" customFormat="false" ht="15" hidden="false" customHeight="false" outlineLevel="0" collapsed="false">
      <c r="A7" s="7" t="n">
        <v>44809</v>
      </c>
      <c r="B7" s="8" t="n">
        <v>17665.8</v>
      </c>
      <c r="C7" s="8" t="n">
        <v>15294.4</v>
      </c>
      <c r="D7" s="8" t="n">
        <v>2287.95</v>
      </c>
      <c r="E7" s="8" t="n">
        <v>638.6</v>
      </c>
      <c r="F7" s="8" t="n">
        <v>913.4</v>
      </c>
      <c r="G7" s="8" t="n">
        <v>425.55</v>
      </c>
      <c r="H7" s="8" t="n">
        <v>311.17</v>
      </c>
      <c r="I7" s="8" t="n">
        <v>237.1</v>
      </c>
      <c r="J7" s="8" t="n">
        <v>1419.4</v>
      </c>
      <c r="K7" s="8" t="n">
        <v>718.64</v>
      </c>
      <c r="L7" s="8" t="n">
        <v>799.75</v>
      </c>
      <c r="M7" s="8" t="n">
        <v>1017.15</v>
      </c>
      <c r="N7" s="8" t="n">
        <v>328.85</v>
      </c>
      <c r="O7" s="8" t="n">
        <v>214.9</v>
      </c>
      <c r="P7" s="8" t="n">
        <v>1030.6</v>
      </c>
      <c r="Q7" s="8" t="n">
        <v>303.6</v>
      </c>
      <c r="R7" s="8" t="n">
        <v>936.35</v>
      </c>
      <c r="S7" s="8" t="n">
        <v>264.16</v>
      </c>
    </row>
    <row r="8" customFormat="false" ht="15" hidden="false" customHeight="false" outlineLevel="0" collapsed="false">
      <c r="A8" s="7" t="n">
        <v>44810</v>
      </c>
      <c r="B8" s="8" t="n">
        <v>17655.6</v>
      </c>
      <c r="C8" s="8" t="n">
        <v>15313.05</v>
      </c>
      <c r="D8" s="8" t="n">
        <v>2283.35</v>
      </c>
      <c r="E8" s="8" t="n">
        <v>644.75</v>
      </c>
      <c r="F8" s="8" t="n">
        <v>886.2</v>
      </c>
      <c r="G8" s="8" t="n">
        <v>422.35</v>
      </c>
      <c r="H8" s="8" t="n">
        <v>304.67</v>
      </c>
      <c r="I8" s="8" t="n">
        <v>232.95</v>
      </c>
      <c r="J8" s="8" t="n">
        <v>1414.6</v>
      </c>
      <c r="K8" s="8" t="n">
        <v>710.97</v>
      </c>
      <c r="L8" s="8" t="n">
        <v>801.8</v>
      </c>
      <c r="M8" s="8" t="n">
        <v>1052.75</v>
      </c>
      <c r="N8" s="8" t="n">
        <v>323.17</v>
      </c>
      <c r="O8" s="8" t="n">
        <v>219.8</v>
      </c>
      <c r="P8" s="8" t="n">
        <v>1030.6</v>
      </c>
      <c r="Q8" s="8" t="n">
        <v>299.5</v>
      </c>
      <c r="R8" s="8" t="n">
        <v>950.25</v>
      </c>
      <c r="S8" s="8" t="n">
        <v>276.95</v>
      </c>
    </row>
    <row r="9" customFormat="false" ht="15" hidden="false" customHeight="false" outlineLevel="0" collapsed="false">
      <c r="A9" s="7" t="n">
        <v>44811</v>
      </c>
      <c r="B9" s="8" t="n">
        <v>17624.4</v>
      </c>
      <c r="C9" s="8" t="n">
        <v>15319.4</v>
      </c>
      <c r="D9" s="8" t="n">
        <v>2286.3</v>
      </c>
      <c r="E9" s="8" t="n">
        <v>641.6</v>
      </c>
      <c r="F9" s="8" t="n">
        <v>859.15</v>
      </c>
      <c r="G9" s="8" t="n">
        <v>423.6</v>
      </c>
      <c r="H9" s="8" t="n">
        <v>307.61</v>
      </c>
      <c r="I9" s="8" t="n">
        <v>238</v>
      </c>
      <c r="J9" s="8" t="n">
        <v>1404.55</v>
      </c>
      <c r="K9" s="8" t="n">
        <v>715.68</v>
      </c>
      <c r="L9" s="8" t="n">
        <v>802.2</v>
      </c>
      <c r="M9" s="8" t="n">
        <v>1038.9</v>
      </c>
      <c r="N9" s="8" t="n">
        <v>323.51</v>
      </c>
      <c r="O9" s="8" t="n">
        <v>222.3</v>
      </c>
      <c r="P9" s="8" t="n">
        <v>1035.9</v>
      </c>
      <c r="Q9" s="8" t="n">
        <v>299.65</v>
      </c>
      <c r="R9" s="8" t="n">
        <v>958.15</v>
      </c>
      <c r="S9" s="8" t="n">
        <v>273.32</v>
      </c>
    </row>
    <row r="10" customFormat="false" ht="15" hidden="false" customHeight="false" outlineLevel="0" collapsed="false">
      <c r="A10" s="7" t="n">
        <v>44812</v>
      </c>
      <c r="B10" s="8" t="n">
        <v>17798.75</v>
      </c>
      <c r="C10" s="8" t="n">
        <v>15440.7</v>
      </c>
      <c r="D10" s="8" t="n">
        <v>2290.7</v>
      </c>
      <c r="E10" s="8" t="n">
        <v>646.75</v>
      </c>
      <c r="F10" s="8" t="n">
        <v>887.15</v>
      </c>
      <c r="G10" s="8" t="n">
        <v>432.8</v>
      </c>
      <c r="H10" s="8" t="n">
        <v>306.86</v>
      </c>
      <c r="I10" s="8" t="n">
        <v>235.3</v>
      </c>
      <c r="J10" s="8" t="n">
        <v>1406.45</v>
      </c>
      <c r="K10" s="8" t="n">
        <v>724.78</v>
      </c>
      <c r="L10" s="8" t="n">
        <v>801.4</v>
      </c>
      <c r="M10" s="8" t="n">
        <v>1039.25</v>
      </c>
      <c r="N10" s="8" t="n">
        <v>325.65</v>
      </c>
      <c r="O10" s="8" t="n">
        <v>220.9</v>
      </c>
      <c r="P10" s="8" t="n">
        <v>1040.35</v>
      </c>
      <c r="Q10" s="8" t="n">
        <v>303.1</v>
      </c>
      <c r="R10" s="8" t="n">
        <v>963.2</v>
      </c>
      <c r="S10" s="8" t="n">
        <v>272.29</v>
      </c>
    </row>
    <row r="11" customFormat="false" ht="15" hidden="false" customHeight="false" outlineLevel="0" collapsed="false">
      <c r="A11" s="7" t="n">
        <v>44813</v>
      </c>
      <c r="B11" s="8" t="n">
        <v>17833.35</v>
      </c>
      <c r="C11" s="8" t="n">
        <v>15467.4</v>
      </c>
      <c r="D11" s="8" t="n">
        <v>2313.25</v>
      </c>
      <c r="E11" s="8" t="n">
        <v>647.05</v>
      </c>
      <c r="F11" s="8" t="n">
        <v>873.85</v>
      </c>
      <c r="G11" s="8" t="n">
        <v>436.7</v>
      </c>
      <c r="H11" s="8" t="n">
        <v>308.68</v>
      </c>
      <c r="I11" s="8" t="n">
        <v>231.5</v>
      </c>
      <c r="J11" s="8" t="n">
        <v>1402.35</v>
      </c>
      <c r="K11" s="8" t="n">
        <v>717.11</v>
      </c>
      <c r="L11" s="8" t="n">
        <v>790.75</v>
      </c>
      <c r="M11" s="8" t="n">
        <v>1029.7</v>
      </c>
      <c r="N11" s="8" t="n">
        <v>326.23</v>
      </c>
      <c r="O11" s="8" t="n">
        <v>224.65</v>
      </c>
      <c r="P11" s="8" t="n">
        <v>1045.35</v>
      </c>
      <c r="Q11" s="8" t="n">
        <v>305.25</v>
      </c>
      <c r="R11" s="8" t="n">
        <v>943.25</v>
      </c>
      <c r="S11" s="8" t="n">
        <v>264.82</v>
      </c>
    </row>
    <row r="12" customFormat="false" ht="15" hidden="false" customHeight="false" outlineLevel="0" collapsed="false">
      <c r="A12" s="7" t="n">
        <v>44816</v>
      </c>
      <c r="B12" s="8" t="n">
        <v>17936.35</v>
      </c>
      <c r="C12" s="8" t="n">
        <v>15577.4</v>
      </c>
      <c r="D12" s="8" t="n">
        <v>2308.15</v>
      </c>
      <c r="E12" s="8" t="n">
        <v>656.4</v>
      </c>
      <c r="F12" s="8" t="n">
        <v>879.55</v>
      </c>
      <c r="G12" s="8" t="n">
        <v>437.55</v>
      </c>
      <c r="H12" s="8" t="n">
        <v>308.23</v>
      </c>
      <c r="I12" s="8" t="n">
        <v>254.65</v>
      </c>
      <c r="J12" s="8" t="n">
        <v>1420.35</v>
      </c>
      <c r="K12" s="8" t="n">
        <v>727.7</v>
      </c>
      <c r="L12" s="8" t="n">
        <v>798.2</v>
      </c>
      <c r="M12" s="8" t="n">
        <v>1044.05</v>
      </c>
      <c r="N12" s="8" t="n">
        <v>327.15</v>
      </c>
      <c r="O12" s="8" t="n">
        <v>225.45</v>
      </c>
      <c r="P12" s="8" t="n">
        <v>1046.15</v>
      </c>
      <c r="Q12" s="8" t="n">
        <v>303.25</v>
      </c>
      <c r="R12" s="8" t="n">
        <v>949.75</v>
      </c>
      <c r="S12" s="8" t="n">
        <v>265.7</v>
      </c>
    </row>
    <row r="13" customFormat="false" ht="15" hidden="false" customHeight="false" outlineLevel="0" collapsed="false">
      <c r="A13" s="7" t="n">
        <v>44817</v>
      </c>
      <c r="B13" s="8" t="n">
        <v>18070.05</v>
      </c>
      <c r="C13" s="8" t="n">
        <v>15669.85</v>
      </c>
      <c r="D13" s="8" t="n">
        <v>2280.85</v>
      </c>
      <c r="E13" s="8" t="n">
        <v>651.65</v>
      </c>
      <c r="F13" s="8" t="n">
        <v>861.4</v>
      </c>
      <c r="G13" s="8" t="n">
        <v>437.25</v>
      </c>
      <c r="H13" s="8" t="n">
        <v>333.37</v>
      </c>
      <c r="I13" s="8" t="n">
        <v>250</v>
      </c>
      <c r="J13" s="8" t="n">
        <v>1418.2</v>
      </c>
      <c r="K13" s="8" t="n">
        <v>739.34</v>
      </c>
      <c r="L13" s="8" t="n">
        <v>797.9</v>
      </c>
      <c r="M13" s="8" t="n">
        <v>1030.4</v>
      </c>
      <c r="N13" s="8" t="n">
        <v>337.21</v>
      </c>
      <c r="O13" s="8" t="n">
        <v>225.85</v>
      </c>
      <c r="P13" s="8" t="n">
        <v>1050.2</v>
      </c>
      <c r="Q13" s="8" t="n">
        <v>301.5</v>
      </c>
      <c r="R13" s="8" t="n">
        <v>952.75</v>
      </c>
      <c r="S13" s="8" t="n">
        <v>266.52</v>
      </c>
    </row>
    <row r="14" customFormat="false" ht="15" hidden="false" customHeight="false" outlineLevel="0" collapsed="false">
      <c r="A14" s="7" t="n">
        <v>44818</v>
      </c>
      <c r="B14" s="8" t="n">
        <v>18003.75</v>
      </c>
      <c r="C14" s="8" t="n">
        <v>15630.7</v>
      </c>
      <c r="D14" s="8" t="n">
        <v>2264.4</v>
      </c>
      <c r="E14" s="8" t="n">
        <v>653.5</v>
      </c>
      <c r="F14" s="8" t="n">
        <v>864.9</v>
      </c>
      <c r="G14" s="8" t="n">
        <v>438.95</v>
      </c>
      <c r="H14" s="8" t="n">
        <v>336.22</v>
      </c>
      <c r="I14" s="8" t="n">
        <v>258.6</v>
      </c>
      <c r="J14" s="8" t="n">
        <v>1408</v>
      </c>
      <c r="K14" s="8" t="n">
        <v>747.33</v>
      </c>
      <c r="L14" s="8" t="n">
        <v>794.85</v>
      </c>
      <c r="M14" s="8" t="n">
        <v>1025.35</v>
      </c>
      <c r="N14" s="8" t="n">
        <v>339.49</v>
      </c>
      <c r="O14" s="8" t="n">
        <v>229.55</v>
      </c>
      <c r="P14" s="8" t="n">
        <v>1041.6</v>
      </c>
      <c r="Q14" s="8" t="n">
        <v>296.55</v>
      </c>
      <c r="R14" s="8" t="n">
        <v>957.85</v>
      </c>
      <c r="S14" s="8" t="n">
        <v>266.93</v>
      </c>
    </row>
    <row r="15" customFormat="false" ht="15" hidden="false" customHeight="false" outlineLevel="0" collapsed="false">
      <c r="A15" s="7" t="n">
        <v>44819</v>
      </c>
      <c r="B15" s="8" t="n">
        <v>17877.4</v>
      </c>
      <c r="C15" s="8" t="n">
        <v>15580.35</v>
      </c>
      <c r="D15" s="8" t="n">
        <v>2211.65</v>
      </c>
      <c r="E15" s="8" t="n">
        <v>664.35</v>
      </c>
      <c r="F15" s="8" t="n">
        <v>890.6</v>
      </c>
      <c r="G15" s="8" t="n">
        <v>440.35</v>
      </c>
      <c r="H15" s="8" t="n">
        <v>342.68</v>
      </c>
      <c r="I15" s="8" t="n">
        <v>255.9</v>
      </c>
      <c r="J15" s="8" t="n">
        <v>1504.35</v>
      </c>
      <c r="K15" s="8" t="n">
        <v>737.63</v>
      </c>
      <c r="L15" s="8" t="n">
        <v>792.8</v>
      </c>
      <c r="M15" s="8" t="n">
        <v>1000.6</v>
      </c>
      <c r="N15" s="8" t="n">
        <v>352.46</v>
      </c>
      <c r="O15" s="8" t="n">
        <v>229.9</v>
      </c>
      <c r="P15" s="8" t="n">
        <v>1059.55</v>
      </c>
      <c r="Q15" s="8" t="n">
        <v>314.8</v>
      </c>
      <c r="R15" s="8" t="n">
        <v>958.65</v>
      </c>
      <c r="S15" s="8" t="n">
        <v>265.19</v>
      </c>
    </row>
    <row r="16" customFormat="false" ht="15" hidden="false" customHeight="false" outlineLevel="0" collapsed="false">
      <c r="A16" s="7" t="n">
        <v>44820</v>
      </c>
      <c r="B16" s="8" t="n">
        <v>17530.85</v>
      </c>
      <c r="C16" s="8" t="n">
        <v>15243.95</v>
      </c>
      <c r="D16" s="8" t="n">
        <v>2164.4</v>
      </c>
      <c r="E16" s="8" t="n">
        <v>635</v>
      </c>
      <c r="F16" s="8" t="n">
        <v>868.05</v>
      </c>
      <c r="G16" s="8" t="n">
        <v>430.6</v>
      </c>
      <c r="H16" s="8" t="n">
        <v>340.41</v>
      </c>
      <c r="I16" s="8" t="n">
        <v>231.95</v>
      </c>
      <c r="J16" s="8" t="n">
        <v>1466.95</v>
      </c>
      <c r="K16" s="8" t="n">
        <v>726.42</v>
      </c>
      <c r="L16" s="8" t="n">
        <v>768.6</v>
      </c>
      <c r="M16" s="8" t="n">
        <v>1012.65</v>
      </c>
      <c r="N16" s="8" t="n">
        <v>351.54</v>
      </c>
      <c r="O16" s="8" t="n">
        <v>226.1</v>
      </c>
      <c r="P16" s="8" t="n">
        <v>1033.4</v>
      </c>
      <c r="Q16" s="8" t="n">
        <v>313.6</v>
      </c>
      <c r="R16" s="8" t="n">
        <v>934.05</v>
      </c>
      <c r="S16" s="8" t="n">
        <v>256.81</v>
      </c>
    </row>
    <row r="17" customFormat="false" ht="15" hidden="false" customHeight="false" outlineLevel="0" collapsed="false">
      <c r="A17" s="7" t="n">
        <v>44823</v>
      </c>
      <c r="B17" s="8" t="n">
        <v>17622.25</v>
      </c>
      <c r="C17" s="8" t="n">
        <v>15293.55</v>
      </c>
      <c r="D17" s="8" t="n">
        <v>2235.1</v>
      </c>
      <c r="E17" s="8" t="n">
        <v>589.9</v>
      </c>
      <c r="F17" s="8" t="n">
        <v>888.3</v>
      </c>
      <c r="G17" s="8" t="n">
        <v>413.5</v>
      </c>
      <c r="H17" s="8" t="n">
        <v>368.4</v>
      </c>
      <c r="I17" s="8" t="n">
        <v>234.15</v>
      </c>
      <c r="J17" s="8" t="n">
        <v>1435.5</v>
      </c>
      <c r="K17" s="8" t="n">
        <v>748.59</v>
      </c>
      <c r="L17" s="8" t="n">
        <v>785.65</v>
      </c>
      <c r="M17" s="8" t="n">
        <v>988.85</v>
      </c>
      <c r="N17" s="8" t="n">
        <v>353.87</v>
      </c>
      <c r="O17" s="8" t="n">
        <v>223.4</v>
      </c>
      <c r="P17" s="8" t="n">
        <v>1028.1</v>
      </c>
      <c r="Q17" s="8" t="n">
        <v>325.9</v>
      </c>
      <c r="R17" s="8" t="n">
        <v>942.85</v>
      </c>
      <c r="S17" s="8" t="n">
        <v>257.38</v>
      </c>
    </row>
    <row r="18" customFormat="false" ht="15" hidden="false" customHeight="false" outlineLevel="0" collapsed="false">
      <c r="A18" s="7" t="n">
        <v>44824</v>
      </c>
      <c r="B18" s="8" t="n">
        <v>17816.25</v>
      </c>
      <c r="C18" s="8" t="n">
        <v>15470.35</v>
      </c>
      <c r="D18" s="8" t="n">
        <v>2222.4</v>
      </c>
      <c r="E18" s="8" t="n">
        <v>565.35</v>
      </c>
      <c r="F18" s="8" t="n">
        <v>907</v>
      </c>
      <c r="G18" s="8" t="n">
        <v>424.85</v>
      </c>
      <c r="H18" s="8" t="n">
        <v>358.5</v>
      </c>
      <c r="I18" s="8" t="n">
        <v>240.65</v>
      </c>
      <c r="J18" s="8" t="n">
        <v>1439.45</v>
      </c>
      <c r="K18" s="8" t="n">
        <v>762.5</v>
      </c>
      <c r="L18" s="8" t="n">
        <v>786.5</v>
      </c>
      <c r="M18" s="8" t="n">
        <v>998.8</v>
      </c>
      <c r="N18" s="8" t="n">
        <v>348.82</v>
      </c>
      <c r="O18" s="8" t="n">
        <v>227.35</v>
      </c>
      <c r="P18" s="8" t="n">
        <v>1033.95</v>
      </c>
      <c r="Q18" s="8" t="n">
        <v>323.05</v>
      </c>
      <c r="R18" s="8" t="n">
        <v>957.2</v>
      </c>
      <c r="S18" s="8" t="n">
        <v>259.22</v>
      </c>
    </row>
    <row r="19" customFormat="false" ht="15" hidden="false" customHeight="false" outlineLevel="0" collapsed="false">
      <c r="A19" s="7" t="n">
        <v>44825</v>
      </c>
      <c r="B19" s="8" t="n">
        <v>17718.35</v>
      </c>
      <c r="C19" s="8" t="n">
        <v>15361.25</v>
      </c>
      <c r="D19" s="8" t="n">
        <v>2170.75</v>
      </c>
      <c r="E19" s="8" t="n">
        <v>552.4</v>
      </c>
      <c r="F19" s="8" t="n">
        <v>900.55</v>
      </c>
      <c r="G19" s="8" t="n">
        <v>420.7</v>
      </c>
      <c r="H19" s="8" t="n">
        <v>347.07</v>
      </c>
      <c r="I19" s="8" t="n">
        <v>234.3</v>
      </c>
      <c r="J19" s="8" t="n">
        <v>1432.4</v>
      </c>
      <c r="K19" s="8" t="n">
        <v>768.02</v>
      </c>
      <c r="L19" s="8" t="n">
        <v>772.7</v>
      </c>
      <c r="M19" s="8" t="n">
        <v>998.35</v>
      </c>
      <c r="N19" s="8" t="n">
        <v>359.4</v>
      </c>
      <c r="O19" s="8" t="n">
        <v>223.75</v>
      </c>
      <c r="P19" s="8" t="n">
        <v>1036.4</v>
      </c>
      <c r="Q19" s="8" t="n">
        <v>319.45</v>
      </c>
      <c r="R19" s="8" t="n">
        <v>948.4</v>
      </c>
      <c r="S19" s="8" t="n">
        <v>254.56</v>
      </c>
    </row>
    <row r="20" customFormat="false" ht="15" hidden="false" customHeight="false" outlineLevel="0" collapsed="false">
      <c r="A20" s="7" t="n">
        <v>44826</v>
      </c>
      <c r="B20" s="8" t="n">
        <v>17629.8</v>
      </c>
      <c r="C20" s="8" t="n">
        <v>15335.3</v>
      </c>
      <c r="D20" s="8" t="n">
        <v>2199.55</v>
      </c>
      <c r="E20" s="8" t="n">
        <v>542.65</v>
      </c>
      <c r="F20" s="8" t="n">
        <v>908.35</v>
      </c>
      <c r="G20" s="8" t="n">
        <v>422.45</v>
      </c>
      <c r="H20" s="8" t="n">
        <v>345.33</v>
      </c>
      <c r="I20" s="8" t="n">
        <v>235.55</v>
      </c>
      <c r="J20" s="8" t="n">
        <v>1412.6</v>
      </c>
      <c r="K20" s="8" t="n">
        <v>770.91</v>
      </c>
      <c r="L20" s="8" t="n">
        <v>784.1</v>
      </c>
      <c r="M20" s="8" t="n">
        <v>999.7</v>
      </c>
      <c r="N20" s="8" t="n">
        <v>373.29</v>
      </c>
      <c r="O20" s="8" t="n">
        <v>223.7</v>
      </c>
      <c r="P20" s="8" t="n">
        <v>1014.3</v>
      </c>
      <c r="Q20" s="8" t="n">
        <v>317.65</v>
      </c>
      <c r="R20" s="8" t="n">
        <v>944.45</v>
      </c>
      <c r="S20" s="8" t="n">
        <v>251.44</v>
      </c>
    </row>
    <row r="21" customFormat="false" ht="15" hidden="false" customHeight="false" outlineLevel="0" collapsed="false">
      <c r="A21" s="7" t="n">
        <v>44827</v>
      </c>
      <c r="B21" s="8" t="n">
        <v>17327.35</v>
      </c>
      <c r="C21" s="8" t="n">
        <v>15057.65</v>
      </c>
      <c r="D21" s="8" t="n">
        <v>2175.65</v>
      </c>
      <c r="E21" s="8" t="n">
        <v>517.45</v>
      </c>
      <c r="F21" s="8" t="n">
        <v>870.65</v>
      </c>
      <c r="G21" s="8" t="n">
        <v>401.95</v>
      </c>
      <c r="H21" s="8" t="n">
        <v>335.02</v>
      </c>
      <c r="I21" s="8" t="n">
        <v>236</v>
      </c>
      <c r="J21" s="8" t="n">
        <v>1403.4</v>
      </c>
      <c r="K21" s="8" t="n">
        <v>749.69</v>
      </c>
      <c r="L21" s="8" t="n">
        <v>738.5</v>
      </c>
      <c r="M21" s="8" t="n">
        <v>993.5</v>
      </c>
      <c r="N21" s="8" t="n">
        <v>364.07</v>
      </c>
      <c r="O21" s="8" t="n">
        <v>194.4</v>
      </c>
      <c r="P21" s="8" t="n">
        <v>1002.5</v>
      </c>
      <c r="Q21" s="8" t="n">
        <v>306.35</v>
      </c>
      <c r="R21" s="8" t="n">
        <v>915.55</v>
      </c>
      <c r="S21" s="8" t="n">
        <v>240.63</v>
      </c>
    </row>
    <row r="22" customFormat="false" ht="15" hidden="false" customHeight="false" outlineLevel="0" collapsed="false">
      <c r="A22" s="7" t="n">
        <v>44830</v>
      </c>
      <c r="B22" s="8" t="n">
        <v>17016.3</v>
      </c>
      <c r="C22" s="8" t="n">
        <v>14725.7</v>
      </c>
      <c r="D22" s="8" t="n">
        <v>2189.3</v>
      </c>
      <c r="E22" s="8" t="n">
        <v>478.05</v>
      </c>
      <c r="F22" s="8" t="n">
        <v>846.05</v>
      </c>
      <c r="G22" s="8" t="n">
        <v>394.3</v>
      </c>
      <c r="H22" s="8" t="n">
        <v>315.31</v>
      </c>
      <c r="I22" s="8" t="n">
        <v>230.8</v>
      </c>
      <c r="J22" s="8" t="n">
        <v>1346.9</v>
      </c>
      <c r="K22" s="8" t="n">
        <v>724.96</v>
      </c>
      <c r="L22" s="8" t="n">
        <v>713.95</v>
      </c>
      <c r="M22" s="8" t="n">
        <v>979.35</v>
      </c>
      <c r="N22" s="8" t="n">
        <v>342.36</v>
      </c>
      <c r="O22" s="8" t="n">
        <v>183.25</v>
      </c>
      <c r="P22" s="8" t="n">
        <v>956.2</v>
      </c>
      <c r="Q22" s="8" t="n">
        <v>285.2</v>
      </c>
      <c r="R22" s="8" t="n">
        <v>875.7</v>
      </c>
      <c r="S22" s="8" t="n">
        <v>234.99</v>
      </c>
    </row>
    <row r="23" customFormat="false" ht="15" hidden="false" customHeight="false" outlineLevel="0" collapsed="false">
      <c r="A23" s="7" t="n">
        <v>44831</v>
      </c>
      <c r="B23" s="8" t="n">
        <v>17007.4</v>
      </c>
      <c r="C23" s="8" t="n">
        <v>14727.3</v>
      </c>
      <c r="D23" s="8" t="n">
        <v>2183.1</v>
      </c>
      <c r="E23" s="8" t="n">
        <v>461.9</v>
      </c>
      <c r="F23" s="8" t="n">
        <v>864.55</v>
      </c>
      <c r="G23" s="8" t="n">
        <v>396.95</v>
      </c>
      <c r="H23" s="8" t="n">
        <v>324.88</v>
      </c>
      <c r="I23" s="8" t="n">
        <v>228.95</v>
      </c>
      <c r="J23" s="8" t="n">
        <v>1338.4</v>
      </c>
      <c r="K23" s="8" t="n">
        <v>723.3</v>
      </c>
      <c r="L23" s="8" t="n">
        <v>720.65</v>
      </c>
      <c r="M23" s="8" t="n">
        <v>991.8</v>
      </c>
      <c r="N23" s="8" t="n">
        <v>347.36</v>
      </c>
      <c r="O23" s="8" t="n">
        <v>183</v>
      </c>
      <c r="P23" s="8" t="n">
        <v>1012.05</v>
      </c>
      <c r="Q23" s="8" t="n">
        <v>290.55</v>
      </c>
      <c r="R23" s="8" t="n">
        <v>904.45</v>
      </c>
      <c r="S23" s="8" t="n">
        <v>233.01</v>
      </c>
    </row>
    <row r="24" customFormat="false" ht="15" hidden="false" customHeight="false" outlineLevel="0" collapsed="false">
      <c r="A24" s="7" t="n">
        <v>44832</v>
      </c>
      <c r="B24" s="8" t="n">
        <v>16858.6</v>
      </c>
      <c r="C24" s="8" t="n">
        <v>14620.6</v>
      </c>
      <c r="D24" s="8" t="n">
        <v>2193</v>
      </c>
      <c r="E24" s="8" t="n">
        <v>463.85</v>
      </c>
      <c r="F24" s="8" t="n">
        <v>873.8</v>
      </c>
      <c r="G24" s="8" t="n">
        <v>396.05</v>
      </c>
      <c r="H24" s="8" t="n">
        <v>312.99</v>
      </c>
      <c r="I24" s="8" t="n">
        <v>227.8</v>
      </c>
      <c r="J24" s="8" t="n">
        <v>1295.45</v>
      </c>
      <c r="K24" s="8" t="n">
        <v>719.27</v>
      </c>
      <c r="L24" s="8" t="n">
        <v>719.85</v>
      </c>
      <c r="M24" s="8" t="n">
        <v>987.7</v>
      </c>
      <c r="N24" s="8" t="n">
        <v>341.19</v>
      </c>
      <c r="O24" s="8" t="n">
        <v>177.7</v>
      </c>
      <c r="P24" s="8" t="n">
        <v>1048.65</v>
      </c>
      <c r="Q24" s="8" t="n">
        <v>289.6</v>
      </c>
      <c r="R24" s="8" t="n">
        <v>897.5</v>
      </c>
      <c r="S24" s="8" t="n">
        <v>234.98</v>
      </c>
    </row>
    <row r="25" customFormat="false" ht="15" hidden="false" customHeight="false" outlineLevel="0" collapsed="false">
      <c r="A25" s="7" t="n">
        <v>44833</v>
      </c>
      <c r="B25" s="8" t="n">
        <v>16818.1</v>
      </c>
      <c r="C25" s="8" t="n">
        <v>14602.5</v>
      </c>
      <c r="D25" s="8" t="n">
        <v>2161.5</v>
      </c>
      <c r="E25" s="8" t="n">
        <v>470.55</v>
      </c>
      <c r="F25" s="8" t="n">
        <v>886.35</v>
      </c>
      <c r="G25" s="8" t="n">
        <v>394.95</v>
      </c>
      <c r="H25" s="8" t="n">
        <v>310.76</v>
      </c>
      <c r="I25" s="8" t="n">
        <v>229.3</v>
      </c>
      <c r="J25" s="8" t="n">
        <v>1319.2</v>
      </c>
      <c r="K25" s="8" t="n">
        <v>709.51</v>
      </c>
      <c r="L25" s="8" t="n">
        <v>727.65</v>
      </c>
      <c r="M25" s="8" t="n">
        <v>1000.5</v>
      </c>
      <c r="N25" s="8" t="n">
        <v>344.59</v>
      </c>
      <c r="O25" s="8" t="n">
        <v>181.8</v>
      </c>
      <c r="P25" s="8" t="n">
        <v>1033.35</v>
      </c>
      <c r="Q25" s="8" t="n">
        <v>292.85</v>
      </c>
      <c r="R25" s="8" t="n">
        <v>903.4</v>
      </c>
      <c r="S25" s="8" t="n">
        <v>241.85</v>
      </c>
    </row>
    <row r="26" customFormat="false" ht="15" hidden="false" customHeight="false" outlineLevel="0" collapsed="false">
      <c r="A26" s="7" t="n">
        <v>44834</v>
      </c>
      <c r="B26" s="8" t="n">
        <v>17094.35</v>
      </c>
      <c r="C26" s="8" t="n">
        <v>14829.35</v>
      </c>
      <c r="D26" s="8" t="n">
        <v>2241.7</v>
      </c>
      <c r="E26" s="8" t="n">
        <v>479.8</v>
      </c>
      <c r="F26" s="8" t="n">
        <v>873.55</v>
      </c>
      <c r="G26" s="8" t="n">
        <v>413.85</v>
      </c>
      <c r="H26" s="8" t="n">
        <v>324.96</v>
      </c>
      <c r="I26" s="8" t="n">
        <v>229.95</v>
      </c>
      <c r="J26" s="8" t="n">
        <v>1362.95</v>
      </c>
      <c r="K26" s="8" t="n">
        <v>732.58</v>
      </c>
      <c r="L26" s="8" t="n">
        <v>732.2</v>
      </c>
      <c r="M26" s="8" t="n">
        <v>994.1</v>
      </c>
      <c r="N26" s="8" t="n">
        <v>341.63</v>
      </c>
      <c r="O26" s="8" t="n">
        <v>185.25</v>
      </c>
      <c r="P26" s="8" t="n">
        <v>1040.05</v>
      </c>
      <c r="Q26" s="8" t="n">
        <v>305.8</v>
      </c>
      <c r="R26" s="8" t="n">
        <v>913.5</v>
      </c>
      <c r="S26" s="8" t="n">
        <v>239.51</v>
      </c>
    </row>
    <row r="27" customFormat="false" ht="15" hidden="false" customHeight="false" outlineLevel="0" collapsed="false">
      <c r="A27" s="7" t="n">
        <v>44837</v>
      </c>
      <c r="B27" s="8" t="n">
        <v>16887.35</v>
      </c>
      <c r="C27" s="8" t="n">
        <v>14638.5</v>
      </c>
      <c r="D27" s="8" t="n">
        <v>2230.4</v>
      </c>
      <c r="E27" s="8" t="n">
        <v>480.9</v>
      </c>
      <c r="F27" s="8" t="n">
        <v>873.4</v>
      </c>
      <c r="G27" s="8" t="n">
        <v>402.3</v>
      </c>
      <c r="H27" s="8" t="n">
        <v>323.97</v>
      </c>
      <c r="I27" s="8" t="n">
        <v>232.25</v>
      </c>
      <c r="J27" s="8" t="n">
        <v>1339.05</v>
      </c>
      <c r="K27" s="8" t="n">
        <v>716.21</v>
      </c>
      <c r="L27" s="8" t="n">
        <v>699.55</v>
      </c>
      <c r="M27" s="8" t="n">
        <v>994.5</v>
      </c>
      <c r="N27" s="8" t="n">
        <v>347.5</v>
      </c>
      <c r="O27" s="8" t="n">
        <v>179.75</v>
      </c>
      <c r="P27" s="8" t="n">
        <v>1029.6</v>
      </c>
      <c r="Q27" s="8" t="n">
        <v>306.55</v>
      </c>
      <c r="R27" s="8" t="n">
        <v>879.25</v>
      </c>
      <c r="S27" s="8" t="n">
        <v>233.93</v>
      </c>
    </row>
    <row r="28" customFormat="false" ht="15" hidden="false" customHeight="false" outlineLevel="0" collapsed="false">
      <c r="A28" s="7" t="n">
        <v>44838</v>
      </c>
      <c r="B28" s="8" t="n">
        <v>17274.3</v>
      </c>
      <c r="C28" s="8" t="n">
        <v>14965.8</v>
      </c>
      <c r="D28" s="8" t="n">
        <v>2196.05</v>
      </c>
      <c r="E28" s="8" t="n">
        <v>495.3</v>
      </c>
      <c r="F28" s="8" t="n">
        <v>880.9</v>
      </c>
      <c r="G28" s="8" t="n">
        <v>417.65</v>
      </c>
      <c r="H28" s="8" t="n">
        <v>328.11</v>
      </c>
      <c r="I28" s="8" t="n">
        <v>234.2</v>
      </c>
      <c r="J28" s="8" t="n">
        <v>1367.15</v>
      </c>
      <c r="K28" s="8" t="n">
        <v>747.85</v>
      </c>
      <c r="L28" s="8" t="n">
        <v>737.75</v>
      </c>
      <c r="M28" s="8" t="n">
        <v>996.5</v>
      </c>
      <c r="N28" s="8" t="n">
        <v>345.17</v>
      </c>
      <c r="O28" s="8" t="n">
        <v>200.4</v>
      </c>
      <c r="P28" s="8" t="n">
        <v>1040.05</v>
      </c>
      <c r="Q28" s="8" t="n">
        <v>315.85</v>
      </c>
      <c r="R28" s="8" t="n">
        <v>894.55</v>
      </c>
      <c r="S28" s="8" t="n">
        <v>239.97</v>
      </c>
    </row>
    <row r="29" customFormat="false" ht="15" hidden="false" customHeight="false" outlineLevel="0" collapsed="false">
      <c r="A29" s="7" t="n">
        <v>44840</v>
      </c>
      <c r="B29" s="8" t="n">
        <v>17331.8</v>
      </c>
      <c r="C29" s="8" t="n">
        <v>15053.05</v>
      </c>
      <c r="D29" s="8" t="n">
        <v>2179.75</v>
      </c>
      <c r="E29" s="8" t="n">
        <v>501.25</v>
      </c>
      <c r="F29" s="8" t="n">
        <v>886</v>
      </c>
      <c r="G29" s="8" t="n">
        <v>426.5</v>
      </c>
      <c r="H29" s="8" t="n">
        <v>332.83</v>
      </c>
      <c r="I29" s="8" t="n">
        <v>233.45</v>
      </c>
      <c r="J29" s="8" t="n">
        <v>1404.6</v>
      </c>
      <c r="K29" s="8" t="n">
        <v>739.41</v>
      </c>
      <c r="L29" s="8" t="n">
        <v>728.7</v>
      </c>
      <c r="M29" s="8" t="n">
        <v>1001.05</v>
      </c>
      <c r="N29" s="8" t="n">
        <v>362.03</v>
      </c>
      <c r="O29" s="8" t="n">
        <v>200.25</v>
      </c>
      <c r="P29" s="8" t="n">
        <v>1043.95</v>
      </c>
      <c r="Q29" s="8" t="n">
        <v>322.05</v>
      </c>
      <c r="R29" s="8" t="n">
        <v>886.35</v>
      </c>
      <c r="S29" s="8" t="n">
        <v>239.55</v>
      </c>
    </row>
    <row r="30" customFormat="false" ht="15" hidden="false" customHeight="false" outlineLevel="0" collapsed="false">
      <c r="A30" s="7" t="n">
        <v>44841</v>
      </c>
      <c r="B30" s="8" t="n">
        <v>17314.65</v>
      </c>
      <c r="C30" s="8" t="n">
        <v>15036.7</v>
      </c>
      <c r="D30" s="8" t="n">
        <v>2092.7</v>
      </c>
      <c r="E30" s="8" t="n">
        <v>500.7</v>
      </c>
      <c r="F30" s="8" t="n">
        <v>878.1</v>
      </c>
      <c r="G30" s="8" t="n">
        <v>425.55</v>
      </c>
      <c r="H30" s="8" t="n">
        <v>341.19</v>
      </c>
      <c r="I30" s="8" t="n">
        <v>232.45</v>
      </c>
      <c r="J30" s="8" t="n">
        <v>1358.65</v>
      </c>
      <c r="K30" s="8" t="n">
        <v>733.52</v>
      </c>
      <c r="L30" s="8" t="n">
        <v>737.15</v>
      </c>
      <c r="M30" s="8" t="n">
        <v>999.6</v>
      </c>
      <c r="N30" s="8" t="n">
        <v>357.85</v>
      </c>
      <c r="O30" s="8" t="n">
        <v>200.85</v>
      </c>
      <c r="P30" s="8" t="n">
        <v>1058.4</v>
      </c>
      <c r="Q30" s="8" t="n">
        <v>330.1</v>
      </c>
      <c r="R30" s="8" t="n">
        <v>885.55</v>
      </c>
      <c r="S30" s="8" t="n">
        <v>239.82</v>
      </c>
    </row>
    <row r="31" customFormat="false" ht="15" hidden="false" customHeight="false" outlineLevel="0" collapsed="false">
      <c r="A31" s="7" t="n">
        <v>44844</v>
      </c>
      <c r="B31" s="8" t="n">
        <v>17241</v>
      </c>
      <c r="C31" s="8" t="n">
        <v>14951.65</v>
      </c>
      <c r="D31" s="8" t="n">
        <v>2091.55</v>
      </c>
      <c r="E31" s="8" t="n">
        <v>497.2</v>
      </c>
      <c r="F31" s="8" t="n">
        <v>862.1</v>
      </c>
      <c r="G31" s="8" t="n">
        <v>416.2</v>
      </c>
      <c r="H31" s="8" t="n">
        <v>335.98</v>
      </c>
      <c r="I31" s="8" t="n">
        <v>229.95</v>
      </c>
      <c r="J31" s="8" t="n">
        <v>1343.1</v>
      </c>
      <c r="K31" s="8" t="n">
        <v>728.35</v>
      </c>
      <c r="L31" s="8" t="n">
        <v>729.85</v>
      </c>
      <c r="M31" s="8" t="n">
        <v>995.65</v>
      </c>
      <c r="N31" s="8" t="n">
        <v>350.76</v>
      </c>
      <c r="O31" s="8" t="n">
        <v>204.35</v>
      </c>
      <c r="P31" s="8" t="n">
        <v>1052.5</v>
      </c>
      <c r="Q31" s="8" t="n">
        <v>325.7</v>
      </c>
      <c r="R31" s="8" t="n">
        <v>882.95</v>
      </c>
      <c r="S31" s="8" t="n">
        <v>235.55</v>
      </c>
    </row>
    <row r="32" customFormat="false" ht="15" hidden="false" customHeight="false" outlineLevel="0" collapsed="false">
      <c r="A32" s="7" t="n">
        <v>44845</v>
      </c>
      <c r="B32" s="8" t="n">
        <v>16983.55</v>
      </c>
      <c r="C32" s="8" t="n">
        <v>14721.9</v>
      </c>
      <c r="D32" s="8" t="n">
        <v>2048.3</v>
      </c>
      <c r="E32" s="8" t="n">
        <v>480.65</v>
      </c>
      <c r="F32" s="8" t="n">
        <v>848.8</v>
      </c>
      <c r="G32" s="8" t="n">
        <v>404.6</v>
      </c>
      <c r="H32" s="8" t="n">
        <v>319.87</v>
      </c>
      <c r="I32" s="8" t="n">
        <v>217.75</v>
      </c>
      <c r="J32" s="8" t="n">
        <v>1366.1</v>
      </c>
      <c r="K32" s="8" t="n">
        <v>719.3</v>
      </c>
      <c r="L32" s="8" t="n">
        <v>719.2</v>
      </c>
      <c r="M32" s="8" t="n">
        <v>983.3</v>
      </c>
      <c r="N32" s="8" t="n">
        <v>347.07</v>
      </c>
      <c r="O32" s="8" t="n">
        <v>199.65</v>
      </c>
      <c r="P32" s="8" t="n">
        <v>1027.3</v>
      </c>
      <c r="Q32" s="8" t="n">
        <v>326.45</v>
      </c>
      <c r="R32" s="8" t="n">
        <v>872.5</v>
      </c>
      <c r="S32" s="8" t="n">
        <v>234.77</v>
      </c>
    </row>
    <row r="33" customFormat="false" ht="15" hidden="false" customHeight="false" outlineLevel="0" collapsed="false">
      <c r="A33" s="7" t="n">
        <v>44846</v>
      </c>
      <c r="B33" s="8" t="n">
        <v>17123.6</v>
      </c>
      <c r="C33" s="8" t="n">
        <v>14829.95</v>
      </c>
      <c r="D33" s="8" t="n">
        <v>2111.75</v>
      </c>
      <c r="E33" s="8" t="n">
        <v>492.1</v>
      </c>
      <c r="F33" s="8" t="n">
        <v>837.9</v>
      </c>
      <c r="G33" s="8" t="n">
        <v>410.25</v>
      </c>
      <c r="H33" s="8" t="n">
        <v>322.52</v>
      </c>
      <c r="I33" s="8" t="n">
        <v>219.05</v>
      </c>
      <c r="J33" s="8" t="n">
        <v>1372.5</v>
      </c>
      <c r="K33" s="8" t="n">
        <v>721.64</v>
      </c>
      <c r="L33" s="8" t="n">
        <v>744.6</v>
      </c>
      <c r="M33" s="8" t="n">
        <v>986.95</v>
      </c>
      <c r="N33" s="8" t="n">
        <v>342.79</v>
      </c>
      <c r="O33" s="8" t="n">
        <v>207.05</v>
      </c>
      <c r="P33" s="8" t="n">
        <v>1028.75</v>
      </c>
      <c r="Q33" s="8" t="n">
        <v>329.3</v>
      </c>
      <c r="R33" s="8" t="n">
        <v>874.05</v>
      </c>
      <c r="S33" s="8" t="n">
        <v>242.4</v>
      </c>
    </row>
    <row r="34" customFormat="false" ht="15" hidden="false" customHeight="false" outlineLevel="0" collapsed="false">
      <c r="A34" s="7" t="n">
        <v>44847</v>
      </c>
      <c r="B34" s="8" t="n">
        <v>17014.35</v>
      </c>
      <c r="C34" s="8" t="n">
        <v>14730.3</v>
      </c>
      <c r="D34" s="8" t="n">
        <v>2072.3</v>
      </c>
      <c r="E34" s="8" t="n">
        <v>502.25</v>
      </c>
      <c r="F34" s="8" t="n">
        <v>821.75</v>
      </c>
      <c r="G34" s="8" t="n">
        <v>404.25</v>
      </c>
      <c r="H34" s="8" t="n">
        <v>322.68</v>
      </c>
      <c r="I34" s="8" t="n">
        <v>215.9</v>
      </c>
      <c r="J34" s="8" t="n">
        <v>1375.65</v>
      </c>
      <c r="K34" s="8" t="n">
        <v>714.19</v>
      </c>
      <c r="L34" s="8" t="n">
        <v>724.65</v>
      </c>
      <c r="M34" s="8" t="n">
        <v>991.8</v>
      </c>
      <c r="N34" s="8" t="n">
        <v>340.36</v>
      </c>
      <c r="O34" s="8" t="n">
        <v>206.1</v>
      </c>
      <c r="P34" s="8" t="n">
        <v>1020.2</v>
      </c>
      <c r="Q34" s="8" t="n">
        <v>321.6</v>
      </c>
      <c r="R34" s="8" t="n">
        <v>861.3</v>
      </c>
      <c r="S34" s="8" t="n">
        <v>237.8</v>
      </c>
    </row>
    <row r="35" customFormat="false" ht="15" hidden="false" customHeight="false" outlineLevel="0" collapsed="false">
      <c r="A35" s="7" t="n">
        <v>44848</v>
      </c>
      <c r="B35" s="8" t="n">
        <v>17185.7</v>
      </c>
      <c r="C35" s="8" t="n">
        <v>14815.1</v>
      </c>
      <c r="D35" s="8" t="n">
        <v>2076.5</v>
      </c>
      <c r="E35" s="8" t="n">
        <v>503.55</v>
      </c>
      <c r="F35" s="8" t="n">
        <v>825.95</v>
      </c>
      <c r="G35" s="8" t="n">
        <v>405.95</v>
      </c>
      <c r="H35" s="8" t="n">
        <v>323.43</v>
      </c>
      <c r="I35" s="8" t="n">
        <v>210.85</v>
      </c>
      <c r="J35" s="8" t="n">
        <v>1371.15</v>
      </c>
      <c r="K35" s="8" t="n">
        <v>726.26</v>
      </c>
      <c r="L35" s="8" t="n">
        <v>726.6</v>
      </c>
      <c r="M35" s="8" t="n">
        <v>977.15</v>
      </c>
      <c r="N35" s="8" t="n">
        <v>337.45</v>
      </c>
      <c r="O35" s="8" t="n">
        <v>207.85</v>
      </c>
      <c r="P35" s="8" t="n">
        <v>1015.1</v>
      </c>
      <c r="Q35" s="8" t="n">
        <v>323</v>
      </c>
      <c r="R35" s="8" t="n">
        <v>846.85</v>
      </c>
      <c r="S35" s="8" t="n">
        <v>236.78</v>
      </c>
    </row>
    <row r="36" customFormat="false" ht="15" hidden="false" customHeight="false" outlineLevel="0" collapsed="false">
      <c r="A36" s="7" t="n">
        <v>44851</v>
      </c>
      <c r="B36" s="8" t="n">
        <v>17311.8</v>
      </c>
      <c r="C36" s="8" t="n">
        <v>14906.15</v>
      </c>
      <c r="D36" s="8" t="n">
        <v>2052.9</v>
      </c>
      <c r="E36" s="8" t="n">
        <v>502.2</v>
      </c>
      <c r="F36" s="8" t="n">
        <v>835.3</v>
      </c>
      <c r="G36" s="8" t="n">
        <v>408.3</v>
      </c>
      <c r="H36" s="8" t="n">
        <v>321.61</v>
      </c>
      <c r="I36" s="8" t="n">
        <v>211.1</v>
      </c>
      <c r="J36" s="8" t="n">
        <v>1372.05</v>
      </c>
      <c r="K36" s="8" t="n">
        <v>734.52</v>
      </c>
      <c r="L36" s="8" t="n">
        <v>732.35</v>
      </c>
      <c r="M36" s="8" t="n">
        <v>935.4</v>
      </c>
      <c r="N36" s="8" t="n">
        <v>339.98</v>
      </c>
      <c r="O36" s="8" t="n">
        <v>211.45</v>
      </c>
      <c r="P36" s="8" t="n">
        <v>1022.05</v>
      </c>
      <c r="Q36" s="8" t="n">
        <v>324.7</v>
      </c>
      <c r="R36" s="8" t="n">
        <v>858.5</v>
      </c>
      <c r="S36" s="8" t="n">
        <v>238.48</v>
      </c>
    </row>
    <row r="37" customFormat="false" ht="15" hidden="false" customHeight="false" outlineLevel="0" collapsed="false">
      <c r="A37" s="7" t="n">
        <v>44852</v>
      </c>
      <c r="B37" s="8" t="n">
        <v>17486.95</v>
      </c>
      <c r="C37" s="8" t="n">
        <v>15056.55</v>
      </c>
      <c r="D37" s="8" t="n">
        <v>2046</v>
      </c>
      <c r="E37" s="8" t="n">
        <v>524.3</v>
      </c>
      <c r="F37" s="8" t="n">
        <v>834.3</v>
      </c>
      <c r="G37" s="8" t="n">
        <v>415.15</v>
      </c>
      <c r="H37" s="8" t="n">
        <v>325.99</v>
      </c>
      <c r="I37" s="8" t="n">
        <v>212.25</v>
      </c>
      <c r="J37" s="8" t="n">
        <v>1396.25</v>
      </c>
      <c r="K37" s="8" t="n">
        <v>738.04</v>
      </c>
      <c r="L37" s="8" t="n">
        <v>746.8</v>
      </c>
      <c r="M37" s="8" t="n">
        <v>941.6</v>
      </c>
      <c r="N37" s="8" t="n">
        <v>342.55</v>
      </c>
      <c r="O37" s="8" t="n">
        <v>212.9</v>
      </c>
      <c r="P37" s="8" t="n">
        <v>1040.85</v>
      </c>
      <c r="Q37" s="8" t="n">
        <v>327.7</v>
      </c>
      <c r="R37" s="8" t="n">
        <v>883.7</v>
      </c>
      <c r="S37" s="8" t="n">
        <v>244.83</v>
      </c>
    </row>
    <row r="38" customFormat="false" ht="15" hidden="false" customHeight="false" outlineLevel="0" collapsed="false">
      <c r="A38" s="7" t="n">
        <v>44853</v>
      </c>
      <c r="B38" s="8" t="n">
        <v>17512.25</v>
      </c>
      <c r="C38" s="8" t="n">
        <v>15068.6</v>
      </c>
      <c r="D38" s="8" t="n">
        <v>2033.7</v>
      </c>
      <c r="E38" s="8" t="n">
        <v>519.5</v>
      </c>
      <c r="F38" s="8" t="n">
        <v>848.05</v>
      </c>
      <c r="G38" s="8" t="n">
        <v>410.7</v>
      </c>
      <c r="H38" s="8" t="n">
        <v>352.17</v>
      </c>
      <c r="I38" s="8" t="n">
        <v>221.1</v>
      </c>
      <c r="J38" s="8" t="n">
        <v>1435.8</v>
      </c>
      <c r="K38" s="8" t="n">
        <v>737.04</v>
      </c>
      <c r="L38" s="8" t="n">
        <v>746.45</v>
      </c>
      <c r="M38" s="8" t="n">
        <v>974.6</v>
      </c>
      <c r="N38" s="8" t="n">
        <v>344.98</v>
      </c>
      <c r="O38" s="8" t="n">
        <v>215.45</v>
      </c>
      <c r="P38" s="8" t="n">
        <v>1049.85</v>
      </c>
      <c r="Q38" s="8" t="n">
        <v>334.25</v>
      </c>
      <c r="R38" s="8" t="n">
        <v>886.45</v>
      </c>
      <c r="S38" s="8" t="n">
        <v>242.91</v>
      </c>
    </row>
    <row r="39" customFormat="false" ht="15" hidden="false" customHeight="false" outlineLevel="0" collapsed="false">
      <c r="A39" s="7" t="n">
        <v>44854</v>
      </c>
      <c r="B39" s="8" t="n">
        <v>17563.95</v>
      </c>
      <c r="C39" s="8" t="n">
        <v>15112.1</v>
      </c>
      <c r="D39" s="8" t="n">
        <v>2059.8</v>
      </c>
      <c r="E39" s="8" t="n">
        <v>521.25</v>
      </c>
      <c r="F39" s="8" t="n">
        <v>802.8</v>
      </c>
      <c r="G39" s="8" t="n">
        <v>419.3</v>
      </c>
      <c r="H39" s="8" t="n">
        <v>367.78</v>
      </c>
      <c r="I39" s="8" t="n">
        <v>217.25</v>
      </c>
      <c r="J39" s="8" t="n">
        <v>1475.1</v>
      </c>
      <c r="K39" s="8" t="n">
        <v>742.23</v>
      </c>
      <c r="L39" s="8" t="n">
        <v>729.55</v>
      </c>
      <c r="M39" s="8" t="n">
        <v>972.55</v>
      </c>
      <c r="N39" s="8" t="n">
        <v>348.09</v>
      </c>
      <c r="O39" s="8" t="n">
        <v>212.25</v>
      </c>
      <c r="P39" s="8" t="n">
        <v>1048</v>
      </c>
      <c r="Q39" s="8" t="n">
        <v>331</v>
      </c>
      <c r="R39" s="8" t="n">
        <v>886.95</v>
      </c>
      <c r="S39" s="8" t="n">
        <v>243.16</v>
      </c>
    </row>
    <row r="40" customFormat="false" ht="15" hidden="false" customHeight="false" outlineLevel="0" collapsed="false">
      <c r="A40" s="7" t="n">
        <v>44855</v>
      </c>
      <c r="B40" s="8" t="n">
        <v>17576.3</v>
      </c>
      <c r="C40" s="8" t="n">
        <v>15081.1</v>
      </c>
      <c r="D40" s="8" t="n">
        <v>1990.05</v>
      </c>
      <c r="E40" s="8" t="n">
        <v>521.15</v>
      </c>
      <c r="F40" s="8" t="n">
        <v>754.15</v>
      </c>
      <c r="G40" s="8" t="n">
        <v>413.7</v>
      </c>
      <c r="H40" s="8" t="n">
        <v>354.2</v>
      </c>
      <c r="I40" s="8" t="n">
        <v>219</v>
      </c>
      <c r="J40" s="8" t="n">
        <v>1433.15</v>
      </c>
      <c r="K40" s="8" t="n">
        <v>718.3</v>
      </c>
      <c r="L40" s="8" t="n">
        <v>712.45</v>
      </c>
      <c r="M40" s="8" t="n">
        <v>957.55</v>
      </c>
      <c r="N40" s="8" t="n">
        <v>344.4</v>
      </c>
      <c r="O40" s="8" t="n">
        <v>206.15</v>
      </c>
      <c r="P40" s="8" t="n">
        <v>1033</v>
      </c>
      <c r="Q40" s="8" t="n">
        <v>315.8</v>
      </c>
      <c r="R40" s="8" t="n">
        <v>865.45</v>
      </c>
      <c r="S40" s="8" t="n">
        <v>239.54</v>
      </c>
    </row>
    <row r="41" customFormat="false" ht="15" hidden="false" customHeight="false" outlineLevel="0" collapsed="false">
      <c r="A41" s="7" t="n">
        <v>44858</v>
      </c>
      <c r="B41" s="8" t="n">
        <v>17730.75</v>
      </c>
      <c r="C41" s="8" t="n">
        <v>15198.75</v>
      </c>
      <c r="D41" s="8" t="n">
        <v>2010.95</v>
      </c>
      <c r="E41" s="8" t="n">
        <v>524.75</v>
      </c>
      <c r="F41" s="8" t="n">
        <v>764.35</v>
      </c>
      <c r="G41" s="8" t="n">
        <v>416.05</v>
      </c>
      <c r="H41" s="8" t="n">
        <v>359.58</v>
      </c>
      <c r="I41" s="8" t="n">
        <v>219.3</v>
      </c>
      <c r="J41" s="8" t="n">
        <v>1448.75</v>
      </c>
      <c r="K41" s="8" t="n">
        <v>719.67</v>
      </c>
      <c r="L41" s="8" t="n">
        <v>713.25</v>
      </c>
      <c r="M41" s="8" t="n">
        <v>987.1</v>
      </c>
      <c r="N41" s="8" t="n">
        <v>350.9</v>
      </c>
      <c r="O41" s="8" t="n">
        <v>204.35</v>
      </c>
      <c r="P41" s="8" t="n">
        <v>1035.35</v>
      </c>
      <c r="Q41" s="8" t="n">
        <v>319</v>
      </c>
      <c r="R41" s="8" t="n">
        <v>855.5</v>
      </c>
      <c r="S41" s="8" t="n">
        <v>239.8</v>
      </c>
    </row>
    <row r="42" customFormat="false" ht="15" hidden="false" customHeight="false" outlineLevel="0" collapsed="false">
      <c r="A42" s="7" t="n">
        <v>44859</v>
      </c>
      <c r="B42" s="8" t="n">
        <v>17656.35</v>
      </c>
      <c r="C42" s="8" t="n">
        <v>15158.1</v>
      </c>
      <c r="D42" s="8" t="n">
        <v>1971.9</v>
      </c>
      <c r="E42" s="8" t="n">
        <v>525.85</v>
      </c>
      <c r="F42" s="8" t="n">
        <v>730.4</v>
      </c>
      <c r="G42" s="8" t="n">
        <v>419.9</v>
      </c>
      <c r="H42" s="8" t="n">
        <v>357.14</v>
      </c>
      <c r="I42" s="8" t="n">
        <v>215.9</v>
      </c>
      <c r="J42" s="8" t="n">
        <v>1451.05</v>
      </c>
      <c r="K42" s="8" t="n">
        <v>709.32</v>
      </c>
      <c r="L42" s="8" t="n">
        <v>715.75</v>
      </c>
      <c r="M42" s="8" t="n">
        <v>976.4</v>
      </c>
      <c r="N42" s="8" t="n">
        <v>353.72</v>
      </c>
      <c r="O42" s="8" t="n">
        <v>204.25</v>
      </c>
      <c r="P42" s="8" t="n">
        <v>1052.05</v>
      </c>
      <c r="Q42" s="8" t="n">
        <v>313.3</v>
      </c>
      <c r="R42" s="8" t="n">
        <v>844.85</v>
      </c>
      <c r="S42" s="8" t="n">
        <v>243.42</v>
      </c>
    </row>
    <row r="43" customFormat="false" ht="15" hidden="false" customHeight="false" outlineLevel="0" collapsed="false">
      <c r="A43" s="7" t="n">
        <v>44861</v>
      </c>
      <c r="B43" s="8" t="n">
        <v>17736.95</v>
      </c>
      <c r="C43" s="8" t="n">
        <v>15244.25</v>
      </c>
      <c r="D43" s="8" t="n">
        <v>1988.65</v>
      </c>
      <c r="E43" s="8" t="n">
        <v>519</v>
      </c>
      <c r="F43" s="8" t="n">
        <v>707.9</v>
      </c>
      <c r="G43" s="8" t="n">
        <v>422</v>
      </c>
      <c r="H43" s="8" t="n">
        <v>375.11</v>
      </c>
      <c r="I43" s="8" t="n">
        <v>220.6</v>
      </c>
      <c r="J43" s="8" t="n">
        <v>1406.8</v>
      </c>
      <c r="K43" s="8" t="n">
        <v>696.16</v>
      </c>
      <c r="L43" s="8" t="n">
        <v>717.75</v>
      </c>
      <c r="M43" s="8" t="n">
        <v>975.2</v>
      </c>
      <c r="N43" s="8" t="n">
        <v>389.42</v>
      </c>
      <c r="O43" s="8" t="n">
        <v>207.45</v>
      </c>
      <c r="P43" s="8" t="n">
        <v>1041.8</v>
      </c>
      <c r="Q43" s="8" t="n">
        <v>309.9</v>
      </c>
      <c r="R43" s="8" t="n">
        <v>858.15</v>
      </c>
      <c r="S43" s="8" t="n">
        <v>249.38</v>
      </c>
    </row>
    <row r="44" customFormat="false" ht="15" hidden="false" customHeight="false" outlineLevel="0" collapsed="false">
      <c r="A44" s="7" t="n">
        <v>44862</v>
      </c>
      <c r="B44" s="8" t="n">
        <v>17786.8</v>
      </c>
      <c r="C44" s="8" t="n">
        <v>15241.6</v>
      </c>
      <c r="D44" s="8" t="n">
        <v>1964.5</v>
      </c>
      <c r="E44" s="8" t="n">
        <v>516.35</v>
      </c>
      <c r="F44" s="8" t="n">
        <v>730.6</v>
      </c>
      <c r="G44" s="8" t="n">
        <v>421.2</v>
      </c>
      <c r="H44" s="8" t="n">
        <v>371.34</v>
      </c>
      <c r="I44" s="8" t="n">
        <v>215.5</v>
      </c>
      <c r="J44" s="8" t="n">
        <v>1449.65</v>
      </c>
      <c r="K44" s="8" t="n">
        <v>699.73</v>
      </c>
      <c r="L44" s="8" t="n">
        <v>716.55</v>
      </c>
      <c r="M44" s="8" t="n">
        <v>953.1</v>
      </c>
      <c r="N44" s="8" t="n">
        <v>398.89</v>
      </c>
      <c r="O44" s="8" t="n">
        <v>205.8</v>
      </c>
      <c r="P44" s="8" t="n">
        <v>1047.6</v>
      </c>
      <c r="Q44" s="8" t="n">
        <v>309.9</v>
      </c>
      <c r="R44" s="8" t="n">
        <v>810.3</v>
      </c>
      <c r="S44" s="8" t="n">
        <v>254.94</v>
      </c>
    </row>
    <row r="45" customFormat="false" ht="15" hidden="false" customHeight="false" outlineLevel="0" collapsed="false">
      <c r="A45" s="7" t="n">
        <v>44865</v>
      </c>
      <c r="B45" s="8" t="n">
        <v>18012.2</v>
      </c>
      <c r="C45" s="8" t="n">
        <v>15424</v>
      </c>
      <c r="D45" s="8" t="n">
        <v>2018.8</v>
      </c>
      <c r="E45" s="8" t="n">
        <v>524.35</v>
      </c>
      <c r="F45" s="8" t="n">
        <v>726.25</v>
      </c>
      <c r="G45" s="8" t="n">
        <v>405.3</v>
      </c>
      <c r="H45" s="8" t="n">
        <v>364.43</v>
      </c>
      <c r="I45" s="8" t="n">
        <v>211.15</v>
      </c>
      <c r="J45" s="8" t="n">
        <v>1471.45</v>
      </c>
      <c r="K45" s="8" t="n">
        <v>713.44</v>
      </c>
      <c r="L45" s="8" t="n">
        <v>709.35</v>
      </c>
      <c r="M45" s="8" t="n">
        <v>975.2</v>
      </c>
      <c r="N45" s="8" t="n">
        <v>407.87</v>
      </c>
      <c r="O45" s="8" t="n">
        <v>202</v>
      </c>
      <c r="P45" s="8" t="n">
        <v>1043.45</v>
      </c>
      <c r="Q45" s="8" t="n">
        <v>314.4</v>
      </c>
      <c r="R45" s="8" t="n">
        <v>826.65</v>
      </c>
      <c r="S45" s="8" t="n">
        <v>245.83</v>
      </c>
    </row>
    <row r="46" customFormat="false" ht="15" hidden="false" customHeight="false" outlineLevel="0" collapsed="false">
      <c r="A46" s="7" t="n">
        <v>44866</v>
      </c>
      <c r="B46" s="8" t="n">
        <v>18145.4</v>
      </c>
      <c r="C46" s="8" t="n">
        <v>15537.4</v>
      </c>
      <c r="D46" s="8" t="n">
        <v>1981.9</v>
      </c>
      <c r="E46" s="8" t="n">
        <v>521</v>
      </c>
      <c r="F46" s="8" t="n">
        <v>740.2</v>
      </c>
      <c r="G46" s="8" t="n">
        <v>400.5</v>
      </c>
      <c r="H46" s="8" t="n">
        <v>361.9</v>
      </c>
      <c r="I46" s="8" t="n">
        <v>212.75</v>
      </c>
      <c r="J46" s="8" t="n">
        <v>1436.65</v>
      </c>
      <c r="K46" s="8" t="n">
        <v>719.97</v>
      </c>
      <c r="L46" s="8" t="n">
        <v>709.5</v>
      </c>
      <c r="M46" s="8" t="n">
        <v>982.4</v>
      </c>
      <c r="N46" s="8" t="n">
        <v>404.86</v>
      </c>
      <c r="O46" s="8" t="n">
        <v>198.15</v>
      </c>
      <c r="P46" s="8" t="n">
        <v>1067.8</v>
      </c>
      <c r="Q46" s="8" t="n">
        <v>316.5</v>
      </c>
      <c r="R46" s="8" t="n">
        <v>825.6</v>
      </c>
      <c r="S46" s="8" t="n">
        <v>241.54</v>
      </c>
    </row>
    <row r="47" customFormat="false" ht="15" hidden="false" customHeight="false" outlineLevel="0" collapsed="false">
      <c r="A47" s="7" t="n">
        <v>44867</v>
      </c>
      <c r="B47" s="8" t="n">
        <v>18082.85</v>
      </c>
      <c r="C47" s="8" t="n">
        <v>15497.55</v>
      </c>
      <c r="D47" s="8" t="n">
        <v>1960.7</v>
      </c>
      <c r="E47" s="8" t="n">
        <v>507.3</v>
      </c>
      <c r="F47" s="8" t="n">
        <v>734.9</v>
      </c>
      <c r="G47" s="8" t="n">
        <v>366.65</v>
      </c>
      <c r="H47" s="8" t="n">
        <v>350.51</v>
      </c>
      <c r="I47" s="8" t="n">
        <v>209.8</v>
      </c>
      <c r="J47" s="8" t="n">
        <v>1466.75</v>
      </c>
      <c r="K47" s="8" t="n">
        <v>714.65</v>
      </c>
      <c r="L47" s="8" t="n">
        <v>744.7</v>
      </c>
      <c r="M47" s="8" t="n">
        <v>994.45</v>
      </c>
      <c r="N47" s="8" t="n">
        <v>397.33</v>
      </c>
      <c r="O47" s="8" t="n">
        <v>193.6</v>
      </c>
      <c r="P47" s="8" t="n">
        <v>1060.55</v>
      </c>
      <c r="Q47" s="8" t="n">
        <v>312.85</v>
      </c>
      <c r="R47" s="8" t="n">
        <v>835.9</v>
      </c>
      <c r="S47" s="8" t="n">
        <v>241.56</v>
      </c>
    </row>
    <row r="48" customFormat="false" ht="15" hidden="false" customHeight="false" outlineLevel="0" collapsed="false">
      <c r="A48" s="7" t="n">
        <v>44868</v>
      </c>
      <c r="B48" s="8" t="n">
        <v>18052.7</v>
      </c>
      <c r="C48" s="8" t="n">
        <v>15484.7</v>
      </c>
      <c r="D48" s="8" t="n">
        <v>1867.85</v>
      </c>
      <c r="E48" s="8" t="n">
        <v>521.15</v>
      </c>
      <c r="F48" s="8" t="n">
        <v>732.2</v>
      </c>
      <c r="G48" s="8" t="n">
        <v>369.9</v>
      </c>
      <c r="H48" s="8" t="n">
        <v>349.85</v>
      </c>
      <c r="I48" s="8" t="n">
        <v>217.9</v>
      </c>
      <c r="J48" s="8" t="n">
        <v>1565.65</v>
      </c>
      <c r="K48" s="8" t="n">
        <v>711.19</v>
      </c>
      <c r="L48" s="8" t="n">
        <v>758.6</v>
      </c>
      <c r="M48" s="8" t="n">
        <v>973.9</v>
      </c>
      <c r="N48" s="8" t="n">
        <v>398.94</v>
      </c>
      <c r="O48" s="8" t="n">
        <v>219.9</v>
      </c>
      <c r="P48" s="8" t="n">
        <v>1058.25</v>
      </c>
      <c r="Q48" s="8" t="n">
        <v>306.7</v>
      </c>
      <c r="R48" s="8" t="n">
        <v>829.15</v>
      </c>
      <c r="S48" s="8" t="n">
        <v>248.05</v>
      </c>
    </row>
    <row r="49" customFormat="false" ht="15" hidden="false" customHeight="false" outlineLevel="0" collapsed="false">
      <c r="A49" s="7" t="n">
        <v>44869</v>
      </c>
      <c r="B49" s="8" t="n">
        <v>18117.15</v>
      </c>
      <c r="C49" s="8" t="n">
        <v>15530.85</v>
      </c>
      <c r="D49" s="8" t="n">
        <v>1895</v>
      </c>
      <c r="E49" s="8" t="n">
        <v>516.25</v>
      </c>
      <c r="F49" s="8" t="n">
        <v>730</v>
      </c>
      <c r="G49" s="8" t="n">
        <v>372.35</v>
      </c>
      <c r="H49" s="8" t="n">
        <v>356.81</v>
      </c>
      <c r="I49" s="8" t="n">
        <v>239.65</v>
      </c>
      <c r="J49" s="8" t="n">
        <v>1556.45</v>
      </c>
      <c r="K49" s="8" t="n">
        <v>720.22</v>
      </c>
      <c r="L49" s="8" t="n">
        <v>763.6</v>
      </c>
      <c r="M49" s="8" t="n">
        <v>980.9</v>
      </c>
      <c r="N49" s="8" t="n">
        <v>399.18</v>
      </c>
      <c r="O49" s="8" t="n">
        <v>218.1</v>
      </c>
      <c r="P49" s="8" t="n">
        <v>1076.05</v>
      </c>
      <c r="Q49" s="8" t="n">
        <v>314.1</v>
      </c>
      <c r="R49" s="8" t="n">
        <v>811.3</v>
      </c>
      <c r="S49" s="8" t="n">
        <v>251.91</v>
      </c>
    </row>
    <row r="50" customFormat="false" ht="15" hidden="false" customHeight="false" outlineLevel="0" collapsed="false">
      <c r="A50" s="7" t="n">
        <v>44872</v>
      </c>
      <c r="B50" s="8" t="n">
        <v>18202.8</v>
      </c>
      <c r="C50" s="8" t="n">
        <v>15615.15</v>
      </c>
      <c r="D50" s="8" t="n">
        <v>1914.2</v>
      </c>
      <c r="E50" s="8" t="n">
        <v>521.8</v>
      </c>
      <c r="F50" s="8" t="n">
        <v>709.45</v>
      </c>
      <c r="G50" s="8" t="n">
        <v>382.8</v>
      </c>
      <c r="H50" s="8" t="n">
        <v>358.01</v>
      </c>
      <c r="I50" s="8" t="n">
        <v>238.75</v>
      </c>
      <c r="J50" s="8" t="n">
        <v>1556.25</v>
      </c>
      <c r="K50" s="8" t="n">
        <v>718.03</v>
      </c>
      <c r="L50" s="8" t="n">
        <v>748.35</v>
      </c>
      <c r="M50" s="8" t="n">
        <v>999.9</v>
      </c>
      <c r="N50" s="8" t="n">
        <v>393.84</v>
      </c>
      <c r="O50" s="8" t="n">
        <v>219</v>
      </c>
      <c r="P50" s="8" t="n">
        <v>1113.25</v>
      </c>
      <c r="Q50" s="8" t="n">
        <v>310.95</v>
      </c>
      <c r="R50" s="8" t="n">
        <v>806.5</v>
      </c>
      <c r="S50" s="8" t="n">
        <v>257.83</v>
      </c>
    </row>
    <row r="51" customFormat="false" ht="15" hidden="false" customHeight="false" outlineLevel="0" collapsed="false">
      <c r="A51" s="7" t="n">
        <v>44874</v>
      </c>
      <c r="B51" s="8" t="n">
        <v>18157</v>
      </c>
      <c r="C51" s="8" t="n">
        <v>15567.25</v>
      </c>
      <c r="D51" s="8" t="n">
        <v>2001.45</v>
      </c>
      <c r="E51" s="8" t="n">
        <v>534.8</v>
      </c>
      <c r="F51" s="8" t="n">
        <v>699.95</v>
      </c>
      <c r="G51" s="8" t="n">
        <v>379.3</v>
      </c>
      <c r="H51" s="8" t="n">
        <v>353.87</v>
      </c>
      <c r="I51" s="8" t="n">
        <v>237.15</v>
      </c>
      <c r="J51" s="8" t="n">
        <v>1565.3</v>
      </c>
      <c r="K51" s="8" t="n">
        <v>713.43</v>
      </c>
      <c r="L51" s="8" t="n">
        <v>744.65</v>
      </c>
      <c r="M51" s="8" t="n">
        <v>996.8</v>
      </c>
      <c r="N51" s="8" t="n">
        <v>392.43</v>
      </c>
      <c r="O51" s="8" t="n">
        <v>221</v>
      </c>
      <c r="P51" s="8" t="n">
        <v>1118</v>
      </c>
      <c r="Q51" s="8" t="n">
        <v>319.35</v>
      </c>
      <c r="R51" s="8" t="n">
        <v>814.25</v>
      </c>
      <c r="S51" s="8" t="n">
        <v>255.06</v>
      </c>
    </row>
    <row r="52" customFormat="false" ht="15" hidden="false" customHeight="false" outlineLevel="0" collapsed="false">
      <c r="A52" s="7" t="n">
        <v>44875</v>
      </c>
      <c r="B52" s="8" t="n">
        <v>18028.2</v>
      </c>
      <c r="C52" s="8" t="n">
        <v>15440</v>
      </c>
      <c r="D52" s="8" t="n">
        <v>2010.3</v>
      </c>
      <c r="E52" s="8" t="n">
        <v>531.05</v>
      </c>
      <c r="F52" s="8" t="n">
        <v>700.8</v>
      </c>
      <c r="G52" s="8" t="n">
        <v>383.9</v>
      </c>
      <c r="H52" s="8" t="n">
        <v>348.27</v>
      </c>
      <c r="I52" s="8" t="n">
        <v>235.3</v>
      </c>
      <c r="J52" s="8" t="n">
        <v>1547</v>
      </c>
      <c r="K52" s="8" t="n">
        <v>696.56</v>
      </c>
      <c r="L52" s="8" t="n">
        <v>722.1</v>
      </c>
      <c r="M52" s="8" t="n">
        <v>993.85</v>
      </c>
      <c r="N52" s="8" t="n">
        <v>387.14</v>
      </c>
      <c r="O52" s="8" t="n">
        <v>220.3</v>
      </c>
      <c r="P52" s="8" t="n">
        <v>1105.45</v>
      </c>
      <c r="Q52" s="8" t="n">
        <v>315</v>
      </c>
      <c r="R52" s="8" t="n">
        <v>806.6</v>
      </c>
      <c r="S52" s="8" t="n">
        <v>249.03</v>
      </c>
    </row>
    <row r="53" customFormat="false" ht="15" hidden="false" customHeight="false" outlineLevel="0" collapsed="false">
      <c r="A53" s="7" t="n">
        <v>44876</v>
      </c>
      <c r="B53" s="8" t="n">
        <v>18349.7</v>
      </c>
      <c r="C53" s="8" t="n">
        <v>15649.1</v>
      </c>
      <c r="D53" s="8" t="n">
        <v>2008.65</v>
      </c>
      <c r="E53" s="8" t="n">
        <v>535.55</v>
      </c>
      <c r="F53" s="8" t="n">
        <v>682.2</v>
      </c>
      <c r="G53" s="8" t="n">
        <v>376.4</v>
      </c>
      <c r="H53" s="8" t="n">
        <v>348.4</v>
      </c>
      <c r="I53" s="8" t="n">
        <v>237.2</v>
      </c>
      <c r="J53" s="8" t="n">
        <v>1567.25</v>
      </c>
      <c r="K53" s="8" t="n">
        <v>704.19</v>
      </c>
      <c r="L53" s="8" t="n">
        <v>728.5</v>
      </c>
      <c r="M53" s="8" t="n">
        <v>995.65</v>
      </c>
      <c r="N53" s="8" t="n">
        <v>388.84</v>
      </c>
      <c r="O53" s="8" t="n">
        <v>221.85</v>
      </c>
      <c r="P53" s="8" t="n">
        <v>1073.95</v>
      </c>
      <c r="Q53" s="8" t="n">
        <v>314.25</v>
      </c>
      <c r="R53" s="8" t="n">
        <v>812.35</v>
      </c>
      <c r="S53" s="8" t="n">
        <v>255.35</v>
      </c>
    </row>
    <row r="54" customFormat="false" ht="15" hidden="false" customHeight="false" outlineLevel="0" collapsed="false">
      <c r="A54" s="7" t="n">
        <v>44879</v>
      </c>
      <c r="B54" s="8" t="n">
        <v>18329.15</v>
      </c>
      <c r="C54" s="8" t="n">
        <v>15650.2</v>
      </c>
      <c r="D54" s="8" t="n">
        <v>2024.2</v>
      </c>
      <c r="E54" s="8" t="n">
        <v>536.7</v>
      </c>
      <c r="F54" s="8" t="n">
        <v>661.3</v>
      </c>
      <c r="G54" s="8" t="n">
        <v>373.5</v>
      </c>
      <c r="H54" s="8" t="n">
        <v>353.74</v>
      </c>
      <c r="I54" s="8" t="n">
        <v>260.9</v>
      </c>
      <c r="J54" s="8" t="n">
        <v>1573.65</v>
      </c>
      <c r="K54" s="8" t="n">
        <v>701.63</v>
      </c>
      <c r="L54" s="8" t="n">
        <v>720.5</v>
      </c>
      <c r="M54" s="8" t="n">
        <v>990.05</v>
      </c>
      <c r="N54" s="8" t="n">
        <v>408.46</v>
      </c>
      <c r="O54" s="8" t="n">
        <v>215.7</v>
      </c>
      <c r="P54" s="8" t="n">
        <v>1087.3</v>
      </c>
      <c r="Q54" s="8" t="n">
        <v>311.35</v>
      </c>
      <c r="R54" s="8" t="n">
        <v>809.15</v>
      </c>
      <c r="S54" s="8" t="n">
        <v>253.15</v>
      </c>
    </row>
    <row r="55" customFormat="false" ht="15" hidden="false" customHeight="false" outlineLevel="0" collapsed="false">
      <c r="A55" s="7" t="n">
        <v>44880</v>
      </c>
      <c r="B55" s="8" t="n">
        <v>18403.4</v>
      </c>
      <c r="C55" s="8" t="n">
        <v>15693.9</v>
      </c>
      <c r="D55" s="8" t="n">
        <v>2034.7</v>
      </c>
      <c r="E55" s="8" t="n">
        <v>535.95</v>
      </c>
      <c r="F55" s="8" t="n">
        <v>671.3</v>
      </c>
      <c r="G55" s="8" t="n">
        <v>375.2</v>
      </c>
      <c r="H55" s="8" t="n">
        <v>348.44</v>
      </c>
      <c r="I55" s="8" t="n">
        <v>249</v>
      </c>
      <c r="J55" s="8" t="n">
        <v>1577.55</v>
      </c>
      <c r="K55" s="8" t="n">
        <v>701.62</v>
      </c>
      <c r="L55" s="8" t="n">
        <v>721.5</v>
      </c>
      <c r="M55" s="8" t="n">
        <v>974.75</v>
      </c>
      <c r="N55" s="8" t="n">
        <v>409.53</v>
      </c>
      <c r="O55" s="8" t="n">
        <v>213.05</v>
      </c>
      <c r="P55" s="8" t="n">
        <v>1120.05</v>
      </c>
      <c r="Q55" s="8" t="n">
        <v>311.95</v>
      </c>
      <c r="R55" s="8" t="n">
        <v>811</v>
      </c>
      <c r="S55" s="8" t="n">
        <v>250.54</v>
      </c>
    </row>
    <row r="56" customFormat="false" ht="15" hidden="false" customHeight="false" outlineLevel="0" collapsed="false">
      <c r="A56" s="7" t="n">
        <v>44881</v>
      </c>
      <c r="B56" s="8" t="n">
        <v>18409.65</v>
      </c>
      <c r="C56" s="8" t="n">
        <v>15663.3</v>
      </c>
      <c r="D56" s="8" t="n">
        <v>2022.95</v>
      </c>
      <c r="E56" s="8" t="n">
        <v>520.9</v>
      </c>
      <c r="F56" s="8" t="n">
        <v>717.4</v>
      </c>
      <c r="G56" s="8" t="n">
        <v>380.7</v>
      </c>
      <c r="H56" s="8" t="n">
        <v>347.94</v>
      </c>
      <c r="I56" s="8" t="n">
        <v>243.8</v>
      </c>
      <c r="J56" s="8" t="n">
        <v>1562.75</v>
      </c>
      <c r="K56" s="8" t="n">
        <v>688.57</v>
      </c>
      <c r="L56" s="8" t="n">
        <v>707.15</v>
      </c>
      <c r="M56" s="8" t="n">
        <v>971.15</v>
      </c>
      <c r="N56" s="8" t="n">
        <v>405.01</v>
      </c>
      <c r="O56" s="8" t="n">
        <v>208.2</v>
      </c>
      <c r="P56" s="8" t="n">
        <v>1080.5</v>
      </c>
      <c r="Q56" s="8" t="n">
        <v>306.8</v>
      </c>
      <c r="R56" s="8" t="n">
        <v>811.05</v>
      </c>
      <c r="S56" s="8" t="n">
        <v>246.73</v>
      </c>
    </row>
    <row r="57" customFormat="false" ht="15" hidden="false" customHeight="false" outlineLevel="0" collapsed="false">
      <c r="A57" s="7" t="n">
        <v>44882</v>
      </c>
      <c r="B57" s="8" t="n">
        <v>18343.9</v>
      </c>
      <c r="C57" s="8" t="n">
        <v>15597.25</v>
      </c>
      <c r="D57" s="8" t="n">
        <v>1962.5</v>
      </c>
      <c r="E57" s="8" t="n">
        <v>518.85</v>
      </c>
      <c r="F57" s="8" t="n">
        <v>733</v>
      </c>
      <c r="G57" s="8" t="n">
        <v>376.2</v>
      </c>
      <c r="H57" s="8" t="n">
        <v>347.03</v>
      </c>
      <c r="I57" s="8" t="n">
        <v>248.9</v>
      </c>
      <c r="J57" s="8" t="n">
        <v>1549.6</v>
      </c>
      <c r="K57" s="8" t="n">
        <v>688.57</v>
      </c>
      <c r="L57" s="8" t="n">
        <v>697.5</v>
      </c>
      <c r="M57" s="8" t="n">
        <v>975.15</v>
      </c>
      <c r="N57" s="8" t="n">
        <v>407.68</v>
      </c>
      <c r="O57" s="8" t="n">
        <v>203.95</v>
      </c>
      <c r="P57" s="8" t="n">
        <v>1083.25</v>
      </c>
      <c r="Q57" s="8" t="n">
        <v>312.7</v>
      </c>
      <c r="R57" s="8" t="n">
        <v>797.35</v>
      </c>
      <c r="S57" s="8" t="n">
        <v>255.13</v>
      </c>
    </row>
    <row r="58" customFormat="false" ht="15" hidden="false" customHeight="false" outlineLevel="0" collapsed="false">
      <c r="A58" s="7" t="n">
        <v>44883</v>
      </c>
      <c r="B58" s="8" t="n">
        <v>18307.65</v>
      </c>
      <c r="C58" s="8" t="n">
        <v>15550.85</v>
      </c>
      <c r="D58" s="8" t="n">
        <v>1895.8</v>
      </c>
      <c r="E58" s="8" t="n">
        <v>512.1</v>
      </c>
      <c r="F58" s="8" t="n">
        <v>720.55</v>
      </c>
      <c r="G58" s="8" t="n">
        <v>373.6</v>
      </c>
      <c r="H58" s="8" t="n">
        <v>346.49</v>
      </c>
      <c r="I58" s="8" t="n">
        <v>239.95</v>
      </c>
      <c r="J58" s="8" t="n">
        <v>1511.2</v>
      </c>
      <c r="K58" s="8" t="n">
        <v>678.23</v>
      </c>
      <c r="L58" s="8" t="n">
        <v>713.8</v>
      </c>
      <c r="M58" s="8" t="n">
        <v>972.75</v>
      </c>
      <c r="N58" s="8" t="n">
        <v>432.94</v>
      </c>
      <c r="O58" s="8" t="n">
        <v>202.4</v>
      </c>
      <c r="P58" s="8" t="n">
        <v>1061.45</v>
      </c>
      <c r="Q58" s="8" t="n">
        <v>308.35</v>
      </c>
      <c r="R58" s="8" t="n">
        <v>793.2</v>
      </c>
      <c r="S58" s="8" t="n">
        <v>250.25</v>
      </c>
    </row>
    <row r="59" customFormat="false" ht="15" hidden="false" customHeight="false" outlineLevel="0" collapsed="false">
      <c r="A59" s="7" t="n">
        <v>44886</v>
      </c>
      <c r="B59" s="8" t="n">
        <v>18159.95</v>
      </c>
      <c r="C59" s="8" t="n">
        <v>15453.8</v>
      </c>
      <c r="D59" s="8" t="n">
        <v>1921.9</v>
      </c>
      <c r="E59" s="8" t="n">
        <v>510.6</v>
      </c>
      <c r="F59" s="8" t="n">
        <v>697.3</v>
      </c>
      <c r="G59" s="8" t="n">
        <v>372.1</v>
      </c>
      <c r="H59" s="8" t="n">
        <v>345.58</v>
      </c>
      <c r="I59" s="8" t="n">
        <v>231.3</v>
      </c>
      <c r="J59" s="8" t="n">
        <v>1538.7</v>
      </c>
      <c r="K59" s="8" t="n">
        <v>667</v>
      </c>
      <c r="L59" s="8" t="n">
        <v>714</v>
      </c>
      <c r="M59" s="8" t="n">
        <v>968.9</v>
      </c>
      <c r="N59" s="8" t="n">
        <v>436.63</v>
      </c>
      <c r="O59" s="8" t="n">
        <v>203.15</v>
      </c>
      <c r="P59" s="8" t="n">
        <v>1059.3</v>
      </c>
      <c r="Q59" s="8" t="n">
        <v>305.85</v>
      </c>
      <c r="R59" s="8" t="n">
        <v>793.95</v>
      </c>
      <c r="S59" s="8" t="n">
        <v>260.03</v>
      </c>
    </row>
    <row r="60" customFormat="false" ht="15" hidden="false" customHeight="false" outlineLevel="0" collapsed="false">
      <c r="A60" s="7" t="n">
        <v>44887</v>
      </c>
      <c r="B60" s="8" t="n">
        <v>18244.2</v>
      </c>
      <c r="C60" s="8" t="n">
        <v>15509.2</v>
      </c>
      <c r="D60" s="8" t="n">
        <v>1932.75</v>
      </c>
      <c r="E60" s="8" t="n">
        <v>514.3</v>
      </c>
      <c r="F60" s="8" t="n">
        <v>708.7</v>
      </c>
      <c r="G60" s="8" t="n">
        <v>372.3</v>
      </c>
      <c r="H60" s="8" t="n">
        <v>347.11</v>
      </c>
      <c r="I60" s="8" t="n">
        <v>228.9</v>
      </c>
      <c r="J60" s="8" t="n">
        <v>1491.5</v>
      </c>
      <c r="K60" s="8" t="n">
        <v>667.6</v>
      </c>
      <c r="L60" s="8" t="n">
        <v>711.05</v>
      </c>
      <c r="M60" s="8" t="n">
        <v>964.7</v>
      </c>
      <c r="N60" s="8" t="n">
        <v>448.67</v>
      </c>
      <c r="O60" s="8" t="n">
        <v>204.15</v>
      </c>
      <c r="P60" s="8" t="n">
        <v>1054.15</v>
      </c>
      <c r="Q60" s="8" t="n">
        <v>312.2</v>
      </c>
      <c r="R60" s="8" t="n">
        <v>799.05</v>
      </c>
      <c r="S60" s="8" t="n">
        <v>269.3</v>
      </c>
    </row>
    <row r="61" customFormat="false" ht="15" hidden="false" customHeight="false" outlineLevel="0" collapsed="false">
      <c r="A61" s="7" t="n">
        <v>44888</v>
      </c>
      <c r="B61" s="8" t="n">
        <v>18267.25</v>
      </c>
      <c r="C61" s="8" t="n">
        <v>15538.15</v>
      </c>
      <c r="D61" s="8" t="n">
        <v>1912.2</v>
      </c>
      <c r="E61" s="8" t="n">
        <v>525.65</v>
      </c>
      <c r="F61" s="8" t="n">
        <v>706.75</v>
      </c>
      <c r="G61" s="8" t="n">
        <v>370.75</v>
      </c>
      <c r="H61" s="8" t="n">
        <v>348.07</v>
      </c>
      <c r="I61" s="8" t="n">
        <v>223.2</v>
      </c>
      <c r="J61" s="8" t="n">
        <v>1471.9</v>
      </c>
      <c r="K61" s="8" t="n">
        <v>677.08</v>
      </c>
      <c r="L61" s="8" t="n">
        <v>718.65</v>
      </c>
      <c r="M61" s="8" t="n">
        <v>953.5</v>
      </c>
      <c r="N61" s="8" t="n">
        <v>456.59</v>
      </c>
      <c r="O61" s="8" t="n">
        <v>206.9</v>
      </c>
      <c r="P61" s="8" t="n">
        <v>1053.45</v>
      </c>
      <c r="Q61" s="8" t="n">
        <v>311.4</v>
      </c>
      <c r="R61" s="8" t="n">
        <v>798.75</v>
      </c>
      <c r="S61" s="8" t="n">
        <v>266.85</v>
      </c>
    </row>
    <row r="62" customFormat="false" ht="15" hidden="false" customHeight="false" outlineLevel="0" collapsed="false">
      <c r="A62" s="7" t="n">
        <v>44889</v>
      </c>
      <c r="B62" s="8" t="n">
        <v>18484.1</v>
      </c>
      <c r="C62" s="8" t="n">
        <v>15680.8</v>
      </c>
      <c r="D62" s="8" t="n">
        <v>1906.9</v>
      </c>
      <c r="E62" s="8" t="n">
        <v>524.6</v>
      </c>
      <c r="F62" s="8" t="n">
        <v>708.4</v>
      </c>
      <c r="G62" s="8" t="n">
        <v>371.3</v>
      </c>
      <c r="H62" s="8" t="n">
        <v>363.39</v>
      </c>
      <c r="I62" s="8" t="n">
        <v>229.7</v>
      </c>
      <c r="J62" s="8" t="n">
        <v>1474</v>
      </c>
      <c r="K62" s="8" t="n">
        <v>676.21</v>
      </c>
      <c r="L62" s="8" t="n">
        <v>722.05</v>
      </c>
      <c r="M62" s="8" t="n">
        <v>967.05</v>
      </c>
      <c r="N62" s="8" t="n">
        <v>463.68</v>
      </c>
      <c r="O62" s="8" t="n">
        <v>208.6</v>
      </c>
      <c r="P62" s="8" t="n">
        <v>1074.05</v>
      </c>
      <c r="Q62" s="8" t="n">
        <v>309.35</v>
      </c>
      <c r="R62" s="8" t="n">
        <v>799.45</v>
      </c>
      <c r="S62" s="8" t="n">
        <v>262.34</v>
      </c>
    </row>
    <row r="63" customFormat="false" ht="15" hidden="false" customHeight="false" outlineLevel="0" collapsed="false">
      <c r="A63" s="7" t="n">
        <v>44890</v>
      </c>
      <c r="B63" s="8" t="n">
        <v>18512.75</v>
      </c>
      <c r="C63" s="8" t="n">
        <v>15727.25</v>
      </c>
      <c r="D63" s="8" t="n">
        <v>1905.9</v>
      </c>
      <c r="E63" s="8" t="n">
        <v>544.7</v>
      </c>
      <c r="F63" s="8" t="n">
        <v>720.15</v>
      </c>
      <c r="G63" s="8" t="n">
        <v>383.25</v>
      </c>
      <c r="H63" s="8" t="n">
        <v>367.61</v>
      </c>
      <c r="I63" s="8" t="n">
        <v>226.1</v>
      </c>
      <c r="J63" s="8" t="n">
        <v>1527.55</v>
      </c>
      <c r="K63" s="8" t="n">
        <v>673.83</v>
      </c>
      <c r="L63" s="8" t="n">
        <v>720.75</v>
      </c>
      <c r="M63" s="8" t="n">
        <v>980</v>
      </c>
      <c r="N63" s="8" t="n">
        <v>461.25</v>
      </c>
      <c r="O63" s="8" t="n">
        <v>212.65</v>
      </c>
      <c r="P63" s="8" t="n">
        <v>1078</v>
      </c>
      <c r="Q63" s="8" t="n">
        <v>311.9</v>
      </c>
      <c r="R63" s="8" t="n">
        <v>806.85</v>
      </c>
      <c r="S63" s="8" t="n">
        <v>256.03</v>
      </c>
    </row>
    <row r="64" customFormat="false" ht="15" hidden="false" customHeight="false" outlineLevel="0" collapsed="false">
      <c r="A64" s="7" t="n">
        <v>44893</v>
      </c>
      <c r="B64" s="8" t="n">
        <v>18562.75</v>
      </c>
      <c r="C64" s="8" t="n">
        <v>15784.45</v>
      </c>
      <c r="D64" s="8" t="n">
        <v>1923.85</v>
      </c>
      <c r="E64" s="8" t="n">
        <v>545.95</v>
      </c>
      <c r="F64" s="8" t="n">
        <v>718</v>
      </c>
      <c r="G64" s="8" t="n">
        <v>390.5</v>
      </c>
      <c r="H64" s="8" t="n">
        <v>366.33</v>
      </c>
      <c r="I64" s="8" t="n">
        <v>229.05</v>
      </c>
      <c r="J64" s="8" t="n">
        <v>1512</v>
      </c>
      <c r="K64" s="8" t="n">
        <v>676.82</v>
      </c>
      <c r="L64" s="8" t="n">
        <v>720.3</v>
      </c>
      <c r="M64" s="8" t="n">
        <v>982.2</v>
      </c>
      <c r="N64" s="8" t="n">
        <v>467.42</v>
      </c>
      <c r="O64" s="8" t="n">
        <v>214.6</v>
      </c>
      <c r="P64" s="8" t="n">
        <v>1090.05</v>
      </c>
      <c r="Q64" s="8" t="n">
        <v>314.95</v>
      </c>
      <c r="R64" s="8" t="n">
        <v>812.7</v>
      </c>
      <c r="S64" s="8" t="n">
        <v>252.95</v>
      </c>
    </row>
    <row r="65" customFormat="false" ht="15" hidden="false" customHeight="false" outlineLevel="0" collapsed="false">
      <c r="A65" s="7" t="n">
        <v>44894</v>
      </c>
      <c r="B65" s="8" t="n">
        <v>18618.05</v>
      </c>
      <c r="C65" s="8" t="n">
        <v>15812.45</v>
      </c>
      <c r="D65" s="8" t="n">
        <v>1936.5</v>
      </c>
      <c r="E65" s="8" t="n">
        <v>549.2</v>
      </c>
      <c r="F65" s="8" t="n">
        <v>724.95</v>
      </c>
      <c r="G65" s="8" t="n">
        <v>386</v>
      </c>
      <c r="H65" s="8" t="n">
        <v>362.02</v>
      </c>
      <c r="I65" s="8" t="n">
        <v>228.3</v>
      </c>
      <c r="J65" s="8" t="n">
        <v>1447.85</v>
      </c>
      <c r="K65" s="8" t="n">
        <v>672.5</v>
      </c>
      <c r="L65" s="8" t="n">
        <v>714.75</v>
      </c>
      <c r="M65" s="8" t="n">
        <v>967.3</v>
      </c>
      <c r="N65" s="8" t="n">
        <v>447.26</v>
      </c>
      <c r="O65" s="8" t="n">
        <v>214.25</v>
      </c>
      <c r="P65" s="8" t="n">
        <v>1087.05</v>
      </c>
      <c r="Q65" s="8" t="n">
        <v>313.3</v>
      </c>
      <c r="R65" s="8" t="n">
        <v>817.3</v>
      </c>
      <c r="S65" s="8" t="n">
        <v>254.06</v>
      </c>
    </row>
    <row r="66" customFormat="false" ht="15" hidden="false" customHeight="false" outlineLevel="0" collapsed="false">
      <c r="A66" s="7" t="n">
        <v>44895</v>
      </c>
      <c r="B66" s="8" t="n">
        <v>18758.35</v>
      </c>
      <c r="C66" s="8" t="n">
        <v>15946.15</v>
      </c>
      <c r="D66" s="8" t="n">
        <v>1913.75</v>
      </c>
      <c r="E66" s="8" t="n">
        <v>553.05</v>
      </c>
      <c r="F66" s="8" t="n">
        <v>733.7</v>
      </c>
      <c r="G66" s="8" t="n">
        <v>386.6</v>
      </c>
      <c r="H66" s="8" t="n">
        <v>371.01</v>
      </c>
      <c r="I66" s="8" t="n">
        <v>246.1</v>
      </c>
      <c r="J66" s="8" t="n">
        <v>1424.5</v>
      </c>
      <c r="K66" s="8" t="n">
        <v>671.18</v>
      </c>
      <c r="L66" s="8" t="n">
        <v>714.85</v>
      </c>
      <c r="M66" s="8" t="n">
        <v>960.25</v>
      </c>
      <c r="N66" s="8" t="n">
        <v>453.24</v>
      </c>
      <c r="O66" s="8" t="n">
        <v>215</v>
      </c>
      <c r="P66" s="8" t="n">
        <v>1080.75</v>
      </c>
      <c r="Q66" s="8" t="n">
        <v>311.05</v>
      </c>
      <c r="R66" s="8" t="n">
        <v>824.25</v>
      </c>
      <c r="S66" s="8" t="n">
        <v>270</v>
      </c>
    </row>
    <row r="67" customFormat="false" ht="15" hidden="false" customHeight="false" outlineLevel="0" collapsed="false">
      <c r="A67" s="7" t="n">
        <v>44896</v>
      </c>
      <c r="B67" s="8" t="n">
        <v>18812.5</v>
      </c>
      <c r="C67" s="8" t="n">
        <v>16003.95</v>
      </c>
      <c r="D67" s="8" t="n">
        <v>1900.05</v>
      </c>
      <c r="E67" s="8" t="n">
        <v>548.85</v>
      </c>
      <c r="F67" s="8" t="n">
        <v>749.65</v>
      </c>
      <c r="G67" s="8" t="n">
        <v>394</v>
      </c>
      <c r="H67" s="8" t="n">
        <v>366.99</v>
      </c>
      <c r="I67" s="8" t="n">
        <v>247.85</v>
      </c>
      <c r="J67" s="8" t="n">
        <v>1451.35</v>
      </c>
      <c r="K67" s="8" t="n">
        <v>673.86</v>
      </c>
      <c r="L67" s="8" t="n">
        <v>728.9</v>
      </c>
      <c r="M67" s="8" t="n">
        <v>948.25</v>
      </c>
      <c r="N67" s="8" t="n">
        <v>446.39</v>
      </c>
      <c r="O67" s="8" t="n">
        <v>220.3</v>
      </c>
      <c r="P67" s="8" t="n">
        <v>1111.35</v>
      </c>
      <c r="Q67" s="8" t="n">
        <v>307.45</v>
      </c>
      <c r="R67" s="8" t="n">
        <v>834.45</v>
      </c>
      <c r="S67" s="8" t="n">
        <v>257.37</v>
      </c>
    </row>
    <row r="68" customFormat="false" ht="15" hidden="false" customHeight="false" outlineLevel="0" collapsed="false">
      <c r="A68" s="7" t="n">
        <v>44897</v>
      </c>
      <c r="B68" s="8" t="n">
        <v>18696.1</v>
      </c>
      <c r="C68" s="8" t="n">
        <v>15963.5</v>
      </c>
      <c r="D68" s="8" t="n">
        <v>1914.35</v>
      </c>
      <c r="E68" s="8" t="n">
        <v>551.8</v>
      </c>
      <c r="F68" s="8" t="n">
        <v>757.65</v>
      </c>
      <c r="G68" s="8" t="n">
        <v>393.6</v>
      </c>
      <c r="H68" s="8" t="n">
        <v>369.6</v>
      </c>
      <c r="I68" s="8" t="n">
        <v>244.75</v>
      </c>
      <c r="J68" s="8" t="n">
        <v>1428.6</v>
      </c>
      <c r="K68" s="8" t="n">
        <v>666.67</v>
      </c>
      <c r="L68" s="8" t="n">
        <v>731.65</v>
      </c>
      <c r="M68" s="8" t="n">
        <v>947.8</v>
      </c>
      <c r="N68" s="8" t="n">
        <v>449.59</v>
      </c>
      <c r="O68" s="8" t="n">
        <v>229</v>
      </c>
      <c r="P68" s="8" t="n">
        <v>1135.75</v>
      </c>
      <c r="Q68" s="8" t="n">
        <v>307.85</v>
      </c>
      <c r="R68" s="8" t="n">
        <v>838.35</v>
      </c>
      <c r="S68" s="8" t="n">
        <v>258.07</v>
      </c>
    </row>
    <row r="69" customFormat="false" ht="15" hidden="false" customHeight="false" outlineLevel="0" collapsed="false">
      <c r="A69" s="7" t="n">
        <v>44900</v>
      </c>
      <c r="B69" s="8" t="n">
        <v>18701.05</v>
      </c>
      <c r="C69" s="8" t="n">
        <v>15967.2</v>
      </c>
      <c r="D69" s="8" t="n">
        <v>1890.1</v>
      </c>
      <c r="E69" s="8" t="n">
        <v>563.5</v>
      </c>
      <c r="F69" s="8" t="n">
        <v>747.4</v>
      </c>
      <c r="G69" s="8" t="n">
        <v>403.05</v>
      </c>
      <c r="H69" s="8" t="n">
        <v>369.19</v>
      </c>
      <c r="I69" s="8" t="n">
        <v>246.2</v>
      </c>
      <c r="J69" s="8" t="n">
        <v>1436.3</v>
      </c>
      <c r="K69" s="8" t="n">
        <v>665.14</v>
      </c>
      <c r="L69" s="8" t="n">
        <v>737.7</v>
      </c>
      <c r="M69" s="8" t="n">
        <v>931.25</v>
      </c>
      <c r="N69" s="8" t="n">
        <v>459.74</v>
      </c>
      <c r="O69" s="8" t="n">
        <v>241.15</v>
      </c>
      <c r="P69" s="8" t="n">
        <v>1142.1</v>
      </c>
      <c r="Q69" s="8" t="n">
        <v>305.7</v>
      </c>
      <c r="R69" s="8" t="n">
        <v>831.15</v>
      </c>
      <c r="S69" s="8" t="n">
        <v>258.97</v>
      </c>
    </row>
    <row r="70" customFormat="false" ht="15" hidden="false" customHeight="false" outlineLevel="0" collapsed="false">
      <c r="A70" s="7" t="n">
        <v>44901</v>
      </c>
      <c r="B70" s="8" t="n">
        <v>18642.75</v>
      </c>
      <c r="C70" s="8" t="n">
        <v>15922.85</v>
      </c>
      <c r="D70" s="8" t="n">
        <v>1878.5</v>
      </c>
      <c r="E70" s="8" t="n">
        <v>558.6</v>
      </c>
      <c r="F70" s="8" t="n">
        <v>746.55</v>
      </c>
      <c r="G70" s="8" t="n">
        <v>409.05</v>
      </c>
      <c r="H70" s="8" t="n">
        <v>362.23</v>
      </c>
      <c r="I70" s="8" t="n">
        <v>243.9</v>
      </c>
      <c r="J70" s="8" t="n">
        <v>1433</v>
      </c>
      <c r="K70" s="8" t="n">
        <v>668.94</v>
      </c>
      <c r="L70" s="8" t="n">
        <v>734.8</v>
      </c>
      <c r="M70" s="8" t="n">
        <v>900.6</v>
      </c>
      <c r="N70" s="8" t="n">
        <v>455.42</v>
      </c>
      <c r="O70" s="8" t="n">
        <v>239.7</v>
      </c>
      <c r="P70" s="8" t="n">
        <v>1115.85</v>
      </c>
      <c r="Q70" s="8" t="n">
        <v>298.65</v>
      </c>
      <c r="R70" s="8" t="n">
        <v>817.6</v>
      </c>
      <c r="S70" s="8" t="n">
        <v>265.31</v>
      </c>
    </row>
    <row r="71" customFormat="false" ht="15" hidden="false" customHeight="false" outlineLevel="0" collapsed="false">
      <c r="A71" s="7" t="n">
        <v>44902</v>
      </c>
      <c r="B71" s="8" t="n">
        <v>18560.5</v>
      </c>
      <c r="C71" s="8" t="n">
        <v>15862</v>
      </c>
      <c r="D71" s="8" t="n">
        <v>1923.5</v>
      </c>
      <c r="E71" s="8" t="n">
        <v>550.95</v>
      </c>
      <c r="F71" s="8" t="n">
        <v>762.8</v>
      </c>
      <c r="G71" s="8" t="n">
        <v>402</v>
      </c>
      <c r="H71" s="8" t="n">
        <v>358.88</v>
      </c>
      <c r="I71" s="8" t="n">
        <v>242.25</v>
      </c>
      <c r="J71" s="8" t="n">
        <v>1464.95</v>
      </c>
      <c r="K71" s="8" t="n">
        <v>661.62</v>
      </c>
      <c r="L71" s="8" t="n">
        <v>735.8</v>
      </c>
      <c r="M71" s="8" t="n">
        <v>909.55</v>
      </c>
      <c r="N71" s="8" t="n">
        <v>461.11</v>
      </c>
      <c r="O71" s="8" t="n">
        <v>239.85</v>
      </c>
      <c r="P71" s="8" t="n">
        <v>1108.15</v>
      </c>
      <c r="Q71" s="8" t="n">
        <v>293.7</v>
      </c>
      <c r="R71" s="8" t="n">
        <v>811.45</v>
      </c>
      <c r="S71" s="8" t="n">
        <v>267.04</v>
      </c>
    </row>
    <row r="72" customFormat="false" ht="15" hidden="false" customHeight="false" outlineLevel="0" collapsed="false">
      <c r="A72" s="7" t="n">
        <v>44903</v>
      </c>
      <c r="B72" s="8" t="n">
        <v>18609.35</v>
      </c>
      <c r="C72" s="8" t="n">
        <v>15911.1</v>
      </c>
      <c r="D72" s="8" t="n">
        <v>1936.6</v>
      </c>
      <c r="E72" s="8" t="n">
        <v>556.35</v>
      </c>
      <c r="F72" s="8" t="n">
        <v>758.9</v>
      </c>
      <c r="G72" s="8" t="n">
        <v>402.25</v>
      </c>
      <c r="H72" s="8" t="n">
        <v>360.41</v>
      </c>
      <c r="I72" s="8" t="n">
        <v>242.55</v>
      </c>
      <c r="J72" s="8" t="n">
        <v>1470.9</v>
      </c>
      <c r="K72" s="8" t="n">
        <v>657.3</v>
      </c>
      <c r="L72" s="8" t="n">
        <v>742.85</v>
      </c>
      <c r="M72" s="8" t="n">
        <v>899.95</v>
      </c>
      <c r="N72" s="8" t="n">
        <v>467.66</v>
      </c>
      <c r="O72" s="8" t="n">
        <v>240</v>
      </c>
      <c r="P72" s="8" t="n">
        <v>1121.2</v>
      </c>
      <c r="Q72" s="8" t="n">
        <v>294</v>
      </c>
      <c r="R72" s="8" t="n">
        <v>814.55</v>
      </c>
      <c r="S72" s="8" t="n">
        <v>267.64</v>
      </c>
    </row>
    <row r="73" customFormat="false" ht="15" hidden="false" customHeight="false" outlineLevel="0" collapsed="false">
      <c r="A73" s="7" t="n">
        <v>44904</v>
      </c>
      <c r="B73" s="8" t="n">
        <v>18496.6</v>
      </c>
      <c r="C73" s="8" t="n">
        <v>15812.75</v>
      </c>
      <c r="D73" s="8" t="n">
        <v>1936.4</v>
      </c>
      <c r="E73" s="8" t="n">
        <v>557.15</v>
      </c>
      <c r="F73" s="8" t="n">
        <v>755.3</v>
      </c>
      <c r="G73" s="8" t="n">
        <v>402.2</v>
      </c>
      <c r="H73" s="8" t="n">
        <v>352.25</v>
      </c>
      <c r="I73" s="8" t="n">
        <v>240.45</v>
      </c>
      <c r="J73" s="8" t="n">
        <v>1497.8</v>
      </c>
      <c r="K73" s="8" t="n">
        <v>650.86</v>
      </c>
      <c r="L73" s="8" t="n">
        <v>744.1</v>
      </c>
      <c r="M73" s="8" t="n">
        <v>863.8</v>
      </c>
      <c r="N73" s="8" t="n">
        <v>475.43</v>
      </c>
      <c r="O73" s="8" t="n">
        <v>230.1</v>
      </c>
      <c r="P73" s="8" t="n">
        <v>1103.3</v>
      </c>
      <c r="Q73" s="8" t="n">
        <v>299.55</v>
      </c>
      <c r="R73" s="8" t="n">
        <v>801.4</v>
      </c>
      <c r="S73" s="8" t="n">
        <v>268.81</v>
      </c>
    </row>
    <row r="74" customFormat="false" ht="15" hidden="false" customHeight="false" outlineLevel="0" collapsed="false">
      <c r="A74" s="7" t="n">
        <v>44907</v>
      </c>
      <c r="B74" s="8" t="n">
        <v>18497.15</v>
      </c>
      <c r="C74" s="8" t="n">
        <v>15828</v>
      </c>
      <c r="D74" s="8" t="n">
        <v>1925.55</v>
      </c>
      <c r="E74" s="8" t="n">
        <v>551.8</v>
      </c>
      <c r="F74" s="8" t="n">
        <v>751.65</v>
      </c>
      <c r="G74" s="8" t="n">
        <v>400.85</v>
      </c>
      <c r="H74" s="8" t="n">
        <v>353.91</v>
      </c>
      <c r="I74" s="8" t="n">
        <v>246.55</v>
      </c>
      <c r="J74" s="8" t="n">
        <v>1502.1</v>
      </c>
      <c r="K74" s="8" t="n">
        <v>649.77</v>
      </c>
      <c r="L74" s="8" t="n">
        <v>746.6</v>
      </c>
      <c r="M74" s="8" t="n">
        <v>887.9</v>
      </c>
      <c r="N74" s="8" t="n">
        <v>482.33</v>
      </c>
      <c r="O74" s="8" t="n">
        <v>230</v>
      </c>
      <c r="P74" s="8" t="n">
        <v>1095.3</v>
      </c>
      <c r="Q74" s="8" t="n">
        <v>307.3</v>
      </c>
      <c r="R74" s="8" t="n">
        <v>803.75</v>
      </c>
      <c r="S74" s="8" t="n">
        <v>272.71</v>
      </c>
    </row>
    <row r="75" customFormat="false" ht="15" hidden="false" customHeight="false" outlineLevel="0" collapsed="false">
      <c r="A75" s="7" t="n">
        <v>44908</v>
      </c>
      <c r="B75" s="8" t="n">
        <v>18608</v>
      </c>
      <c r="C75" s="8" t="n">
        <v>15904.5</v>
      </c>
      <c r="D75" s="8" t="n">
        <v>1919</v>
      </c>
      <c r="E75" s="8" t="n">
        <v>539.8</v>
      </c>
      <c r="F75" s="8" t="n">
        <v>750.55</v>
      </c>
      <c r="G75" s="8" t="n">
        <v>411</v>
      </c>
      <c r="H75" s="8" t="n">
        <v>366.95</v>
      </c>
      <c r="I75" s="8" t="n">
        <v>245.5</v>
      </c>
      <c r="J75" s="8" t="n">
        <v>1483.55</v>
      </c>
      <c r="K75" s="8" t="n">
        <v>661.11</v>
      </c>
      <c r="L75" s="8" t="n">
        <v>751.6</v>
      </c>
      <c r="M75" s="8" t="n">
        <v>900.55</v>
      </c>
      <c r="N75" s="8" t="n">
        <v>483.49</v>
      </c>
      <c r="O75" s="8" t="n">
        <v>233.75</v>
      </c>
      <c r="P75" s="8" t="n">
        <v>1105.35</v>
      </c>
      <c r="Q75" s="8" t="n">
        <v>303.4</v>
      </c>
      <c r="R75" s="8" t="n">
        <v>798.05</v>
      </c>
      <c r="S75" s="8" t="n">
        <v>273.17</v>
      </c>
    </row>
    <row r="76" customFormat="false" ht="15" hidden="false" customHeight="false" outlineLevel="0" collapsed="false">
      <c r="A76" s="7" t="n">
        <v>44909</v>
      </c>
      <c r="B76" s="8" t="n">
        <v>18660.3</v>
      </c>
      <c r="C76" s="8" t="n">
        <v>15963.8</v>
      </c>
      <c r="D76" s="8" t="n">
        <v>1988.05</v>
      </c>
      <c r="E76" s="8" t="n">
        <v>546.7</v>
      </c>
      <c r="F76" s="8" t="n">
        <v>749.7</v>
      </c>
      <c r="G76" s="8" t="n">
        <v>416.9</v>
      </c>
      <c r="H76" s="8" t="n">
        <v>398.42</v>
      </c>
      <c r="I76" s="8" t="n">
        <v>243.3</v>
      </c>
      <c r="J76" s="8" t="n">
        <v>1457.05</v>
      </c>
      <c r="K76" s="8" t="n">
        <v>664.62</v>
      </c>
      <c r="L76" s="8" t="n">
        <v>752.1</v>
      </c>
      <c r="M76" s="8" t="n">
        <v>907.1</v>
      </c>
      <c r="N76" s="8" t="n">
        <v>473.54</v>
      </c>
      <c r="O76" s="8" t="n">
        <v>237.15</v>
      </c>
      <c r="P76" s="8" t="n">
        <v>1108.6</v>
      </c>
      <c r="Q76" s="8" t="n">
        <v>302.05</v>
      </c>
      <c r="R76" s="8" t="n">
        <v>799.55</v>
      </c>
      <c r="S76" s="8" t="n">
        <v>275.71</v>
      </c>
    </row>
    <row r="77" customFormat="false" ht="15" hidden="false" customHeight="false" outlineLevel="0" collapsed="false">
      <c r="A77" s="7" t="n">
        <v>44910</v>
      </c>
      <c r="B77" s="8" t="n">
        <v>18414.9</v>
      </c>
      <c r="C77" s="8" t="n">
        <v>15783.8</v>
      </c>
      <c r="D77" s="8" t="n">
        <v>1971.2</v>
      </c>
      <c r="E77" s="8" t="n">
        <v>538.6</v>
      </c>
      <c r="F77" s="8" t="n">
        <v>760.7</v>
      </c>
      <c r="G77" s="8" t="n">
        <v>413.05</v>
      </c>
      <c r="H77" s="8" t="n">
        <v>411.26</v>
      </c>
      <c r="I77" s="8" t="n">
        <v>239.8</v>
      </c>
      <c r="J77" s="8" t="n">
        <v>1415.15</v>
      </c>
      <c r="K77" s="8" t="n">
        <v>661.64</v>
      </c>
      <c r="L77" s="8" t="n">
        <v>747.6</v>
      </c>
      <c r="M77" s="8" t="n">
        <v>909.95</v>
      </c>
      <c r="N77" s="8" t="n">
        <v>483.2</v>
      </c>
      <c r="O77" s="8" t="n">
        <v>238.7</v>
      </c>
      <c r="P77" s="8" t="n">
        <v>1102.25</v>
      </c>
      <c r="Q77" s="8" t="n">
        <v>288.7</v>
      </c>
      <c r="R77" s="8" t="n">
        <v>798.65</v>
      </c>
      <c r="S77" s="8" t="n">
        <v>278.64</v>
      </c>
    </row>
    <row r="78" customFormat="false" ht="15" hidden="false" customHeight="false" outlineLevel="0" collapsed="false">
      <c r="A78" s="7" t="n">
        <v>44911</v>
      </c>
      <c r="B78" s="8" t="n">
        <v>18269</v>
      </c>
      <c r="C78" s="8" t="n">
        <v>15636.35</v>
      </c>
      <c r="D78" s="8" t="n">
        <v>1985.55</v>
      </c>
      <c r="E78" s="8" t="n">
        <v>524.3</v>
      </c>
      <c r="F78" s="8" t="n">
        <v>736.9</v>
      </c>
      <c r="G78" s="8" t="n">
        <v>403.8</v>
      </c>
      <c r="H78" s="8" t="n">
        <v>387.16</v>
      </c>
      <c r="I78" s="8" t="n">
        <v>233.4</v>
      </c>
      <c r="J78" s="8" t="n">
        <v>1450.6</v>
      </c>
      <c r="K78" s="8" t="n">
        <v>658.79</v>
      </c>
      <c r="L78" s="8" t="n">
        <v>729.85</v>
      </c>
      <c r="M78" s="8" t="n">
        <v>879.05</v>
      </c>
      <c r="N78" s="8" t="n">
        <v>483.25</v>
      </c>
      <c r="O78" s="8" t="n">
        <v>233.9</v>
      </c>
      <c r="P78" s="8" t="n">
        <v>1078.6</v>
      </c>
      <c r="Q78" s="8" t="n">
        <v>288.85</v>
      </c>
      <c r="R78" s="8" t="n">
        <v>790.85</v>
      </c>
      <c r="S78" s="8" t="n">
        <v>274.09</v>
      </c>
    </row>
    <row r="79" customFormat="false" ht="15" hidden="false" customHeight="false" outlineLevel="0" collapsed="false">
      <c r="A79" s="7" t="n">
        <v>44914</v>
      </c>
      <c r="B79" s="8" t="n">
        <v>18420.45</v>
      </c>
      <c r="C79" s="8" t="n">
        <v>15755.2</v>
      </c>
      <c r="D79" s="8" t="n">
        <v>1973.05</v>
      </c>
      <c r="E79" s="8" t="n">
        <v>541.6</v>
      </c>
      <c r="F79" s="8" t="n">
        <v>720.85</v>
      </c>
      <c r="G79" s="8" t="n">
        <v>409.45</v>
      </c>
      <c r="H79" s="8" t="n">
        <v>419.67</v>
      </c>
      <c r="I79" s="8" t="n">
        <v>242.75</v>
      </c>
      <c r="J79" s="8" t="n">
        <v>1444.7</v>
      </c>
      <c r="K79" s="8" t="n">
        <v>667.79</v>
      </c>
      <c r="L79" s="8" t="n">
        <v>745.15</v>
      </c>
      <c r="M79" s="8" t="n">
        <v>904.7</v>
      </c>
      <c r="N79" s="8" t="n">
        <v>485.73</v>
      </c>
      <c r="O79" s="8" t="n">
        <v>236.05</v>
      </c>
      <c r="P79" s="8" t="n">
        <v>1089.65</v>
      </c>
      <c r="Q79" s="8" t="n">
        <v>287.2</v>
      </c>
      <c r="R79" s="8" t="n">
        <v>796.45</v>
      </c>
      <c r="S79" s="8" t="n">
        <v>274.45</v>
      </c>
    </row>
    <row r="80" customFormat="false" ht="15" hidden="false" customHeight="false" outlineLevel="0" collapsed="false">
      <c r="A80" s="7" t="n">
        <v>44915</v>
      </c>
      <c r="B80" s="8" t="n">
        <v>18385.3</v>
      </c>
      <c r="C80" s="8" t="n">
        <v>15726.2</v>
      </c>
      <c r="D80" s="8" t="n">
        <v>1978.75</v>
      </c>
      <c r="E80" s="8" t="n">
        <v>546.25</v>
      </c>
      <c r="F80" s="8" t="n">
        <v>722.1</v>
      </c>
      <c r="G80" s="8" t="n">
        <v>414.25</v>
      </c>
      <c r="H80" s="8" t="n">
        <v>439.51</v>
      </c>
      <c r="I80" s="8" t="n">
        <v>239.35</v>
      </c>
      <c r="J80" s="8" t="n">
        <v>1428.4</v>
      </c>
      <c r="K80" s="8" t="n">
        <v>663.38</v>
      </c>
      <c r="L80" s="8" t="n">
        <v>747.05</v>
      </c>
      <c r="M80" s="8" t="n">
        <v>905.35</v>
      </c>
      <c r="N80" s="8" t="n">
        <v>497.09</v>
      </c>
      <c r="O80" s="8" t="n">
        <v>234.05</v>
      </c>
      <c r="P80" s="8" t="n">
        <v>1091.7</v>
      </c>
      <c r="Q80" s="8" t="n">
        <v>289.6</v>
      </c>
      <c r="R80" s="8" t="n">
        <v>796.1</v>
      </c>
      <c r="S80" s="8" t="n">
        <v>277.85</v>
      </c>
    </row>
    <row r="81" customFormat="false" ht="15" hidden="false" customHeight="false" outlineLevel="0" collapsed="false">
      <c r="A81" s="7" t="n">
        <v>44916</v>
      </c>
      <c r="B81" s="8" t="n">
        <v>18199.1</v>
      </c>
      <c r="C81" s="8" t="n">
        <v>15527.55</v>
      </c>
      <c r="D81" s="8" t="n">
        <v>1975.45</v>
      </c>
      <c r="E81" s="8" t="n">
        <v>534.6</v>
      </c>
      <c r="F81" s="8" t="n">
        <v>715.5</v>
      </c>
      <c r="G81" s="8" t="n">
        <v>411.25</v>
      </c>
      <c r="H81" s="8" t="n">
        <v>404.68</v>
      </c>
      <c r="I81" s="8" t="n">
        <v>233.1</v>
      </c>
      <c r="J81" s="8" t="n">
        <v>1404.75</v>
      </c>
      <c r="K81" s="8" t="n">
        <v>651.78</v>
      </c>
      <c r="L81" s="8" t="n">
        <v>722.55</v>
      </c>
      <c r="M81" s="8" t="n">
        <v>908.05</v>
      </c>
      <c r="N81" s="8" t="n">
        <v>477.08</v>
      </c>
      <c r="O81" s="8" t="n">
        <v>226.75</v>
      </c>
      <c r="P81" s="8" t="n">
        <v>1089.35</v>
      </c>
      <c r="Q81" s="8" t="n">
        <v>274.2</v>
      </c>
      <c r="R81" s="8" t="n">
        <v>791.65</v>
      </c>
      <c r="S81" s="8" t="n">
        <v>273.88</v>
      </c>
    </row>
    <row r="82" customFormat="false" ht="15" hidden="false" customHeight="false" outlineLevel="0" collapsed="false">
      <c r="A82" s="7" t="n">
        <v>44917</v>
      </c>
      <c r="B82" s="8" t="n">
        <v>18127.35</v>
      </c>
      <c r="C82" s="8" t="n">
        <v>15431.5</v>
      </c>
      <c r="D82" s="8" t="n">
        <v>1920.9</v>
      </c>
      <c r="E82" s="8" t="n">
        <v>521.7</v>
      </c>
      <c r="F82" s="8" t="n">
        <v>708.9</v>
      </c>
      <c r="G82" s="8" t="n">
        <v>411</v>
      </c>
      <c r="H82" s="8" t="n">
        <v>421.86</v>
      </c>
      <c r="I82" s="8" t="n">
        <v>220.65</v>
      </c>
      <c r="J82" s="8" t="n">
        <v>1422.1</v>
      </c>
      <c r="K82" s="8" t="n">
        <v>648.18</v>
      </c>
      <c r="L82" s="8" t="n">
        <v>716.85</v>
      </c>
      <c r="M82" s="8" t="n">
        <v>886.1</v>
      </c>
      <c r="N82" s="8" t="n">
        <v>463.87</v>
      </c>
      <c r="O82" s="8" t="n">
        <v>227.85</v>
      </c>
      <c r="P82" s="8" t="n">
        <v>1085.65</v>
      </c>
      <c r="Q82" s="8" t="n">
        <v>265.15</v>
      </c>
      <c r="R82" s="8" t="n">
        <v>786.85</v>
      </c>
      <c r="S82" s="8" t="n">
        <v>267.88</v>
      </c>
    </row>
    <row r="83" customFormat="false" ht="15" hidden="false" customHeight="false" outlineLevel="0" collapsed="false">
      <c r="A83" s="7" t="n">
        <v>44918</v>
      </c>
      <c r="B83" s="8" t="n">
        <v>17806.8</v>
      </c>
      <c r="C83" s="8" t="n">
        <v>15046</v>
      </c>
      <c r="D83" s="8" t="n">
        <v>1871.95</v>
      </c>
      <c r="E83" s="8" t="n">
        <v>489.6</v>
      </c>
      <c r="F83" s="8" t="n">
        <v>695</v>
      </c>
      <c r="G83" s="8" t="n">
        <v>395.05</v>
      </c>
      <c r="H83" s="8" t="n">
        <v>388.45</v>
      </c>
      <c r="I83" s="8" t="n">
        <v>208.25</v>
      </c>
      <c r="J83" s="8" t="n">
        <v>1348.95</v>
      </c>
      <c r="K83" s="8" t="n">
        <v>636.59</v>
      </c>
      <c r="L83" s="8" t="n">
        <v>699.25</v>
      </c>
      <c r="M83" s="8" t="n">
        <v>858.05</v>
      </c>
      <c r="N83" s="8" t="n">
        <v>430.12</v>
      </c>
      <c r="O83" s="8" t="n">
        <v>220.75</v>
      </c>
      <c r="P83" s="8" t="n">
        <v>1043.45</v>
      </c>
      <c r="Q83" s="8" t="n">
        <v>246.1</v>
      </c>
      <c r="R83" s="8" t="n">
        <v>771.25</v>
      </c>
      <c r="S83" s="8" t="n">
        <v>260.3</v>
      </c>
    </row>
    <row r="84" customFormat="false" ht="15" hidden="false" customHeight="false" outlineLevel="0" collapsed="false">
      <c r="A84" s="7" t="n">
        <v>44921</v>
      </c>
      <c r="B84" s="8" t="n">
        <v>18014.6</v>
      </c>
      <c r="C84" s="8" t="n">
        <v>15298.55</v>
      </c>
      <c r="D84" s="8" t="n">
        <v>1847.1</v>
      </c>
      <c r="E84" s="8" t="n">
        <v>519.7</v>
      </c>
      <c r="F84" s="8" t="n">
        <v>705.75</v>
      </c>
      <c r="G84" s="8" t="n">
        <v>407.85</v>
      </c>
      <c r="H84" s="8" t="n">
        <v>403.97</v>
      </c>
      <c r="I84" s="8" t="n">
        <v>216.05</v>
      </c>
      <c r="J84" s="8" t="n">
        <v>1385.5</v>
      </c>
      <c r="K84" s="8" t="n">
        <v>642.5</v>
      </c>
      <c r="L84" s="8" t="n">
        <v>710.7</v>
      </c>
      <c r="M84" s="8" t="n">
        <v>889.45</v>
      </c>
      <c r="N84" s="8" t="n">
        <v>462.51</v>
      </c>
      <c r="O84" s="8" t="n">
        <v>227.85</v>
      </c>
      <c r="P84" s="8" t="n">
        <v>1064.5</v>
      </c>
      <c r="Q84" s="8" t="n">
        <v>280.45</v>
      </c>
      <c r="R84" s="8" t="n">
        <v>792.7</v>
      </c>
      <c r="S84" s="8" t="n">
        <v>270.23</v>
      </c>
    </row>
    <row r="85" customFormat="false" ht="15" hidden="false" customHeight="false" outlineLevel="0" collapsed="false">
      <c r="A85" s="7" t="n">
        <v>44922</v>
      </c>
      <c r="B85" s="8" t="n">
        <v>18132.3</v>
      </c>
      <c r="C85" s="8" t="n">
        <v>15418.35</v>
      </c>
      <c r="D85" s="8" t="n">
        <v>1838.35</v>
      </c>
      <c r="E85" s="8" t="n">
        <v>529.35</v>
      </c>
      <c r="F85" s="8" t="n">
        <v>728.7</v>
      </c>
      <c r="G85" s="8" t="n">
        <v>413.85</v>
      </c>
      <c r="H85" s="8" t="n">
        <v>422.03</v>
      </c>
      <c r="I85" s="8" t="n">
        <v>225.35</v>
      </c>
      <c r="J85" s="8" t="n">
        <v>1401.55</v>
      </c>
      <c r="K85" s="8" t="n">
        <v>649.59</v>
      </c>
      <c r="L85" s="8" t="n">
        <v>707.1</v>
      </c>
      <c r="M85" s="8" t="n">
        <v>892.45</v>
      </c>
      <c r="N85" s="8" t="n">
        <v>458.58</v>
      </c>
      <c r="O85" s="8" t="n">
        <v>229.1</v>
      </c>
      <c r="P85" s="8" t="n">
        <v>1065.9</v>
      </c>
      <c r="Q85" s="8" t="n">
        <v>292.2</v>
      </c>
      <c r="R85" s="8" t="n">
        <v>799.25</v>
      </c>
      <c r="S85" s="8" t="n">
        <v>275.78</v>
      </c>
    </row>
    <row r="86" customFormat="false" ht="15" hidden="false" customHeight="false" outlineLevel="0" collapsed="false">
      <c r="A86" s="7" t="n">
        <v>44923</v>
      </c>
      <c r="B86" s="8" t="n">
        <v>18122.5</v>
      </c>
      <c r="C86" s="8" t="n">
        <v>15432.8</v>
      </c>
      <c r="D86" s="8" t="n">
        <v>1846.8</v>
      </c>
      <c r="E86" s="8" t="n">
        <v>525.55</v>
      </c>
      <c r="F86" s="8" t="n">
        <v>723.75</v>
      </c>
      <c r="G86" s="8" t="n">
        <v>416.5</v>
      </c>
      <c r="H86" s="8" t="n">
        <v>416.98</v>
      </c>
      <c r="I86" s="8" t="n">
        <v>222.55</v>
      </c>
      <c r="J86" s="8" t="n">
        <v>1392.35</v>
      </c>
      <c r="K86" s="8" t="n">
        <v>646.73</v>
      </c>
      <c r="L86" s="8" t="n">
        <v>725.8</v>
      </c>
      <c r="M86" s="8" t="n">
        <v>912.05</v>
      </c>
      <c r="N86" s="8" t="n">
        <v>458.05</v>
      </c>
      <c r="O86" s="8" t="n">
        <v>231.75</v>
      </c>
      <c r="P86" s="8" t="n">
        <v>1078.15</v>
      </c>
      <c r="Q86" s="8" t="n">
        <v>302.4</v>
      </c>
      <c r="R86" s="8" t="n">
        <v>794.95</v>
      </c>
      <c r="S86" s="8" t="n">
        <v>277.72</v>
      </c>
    </row>
    <row r="87" customFormat="false" ht="15" hidden="false" customHeight="false" outlineLevel="0" collapsed="false">
      <c r="A87" s="7" t="n">
        <v>44924</v>
      </c>
      <c r="B87" s="8" t="n">
        <v>18191</v>
      </c>
      <c r="C87" s="8" t="n">
        <v>15485.2</v>
      </c>
      <c r="D87" s="8" t="n">
        <v>1854.9</v>
      </c>
      <c r="E87" s="8" t="n">
        <v>530.55</v>
      </c>
      <c r="F87" s="8" t="n">
        <v>731.9</v>
      </c>
      <c r="G87" s="8" t="n">
        <v>415.95</v>
      </c>
      <c r="H87" s="8" t="n">
        <v>416.61</v>
      </c>
      <c r="I87" s="8" t="n">
        <v>224.5</v>
      </c>
      <c r="J87" s="8" t="n">
        <v>1436.9</v>
      </c>
      <c r="K87" s="8" t="n">
        <v>650.21</v>
      </c>
      <c r="L87" s="8" t="n">
        <v>715</v>
      </c>
      <c r="M87" s="8" t="n">
        <v>899.7</v>
      </c>
      <c r="N87" s="8" t="n">
        <v>466.84</v>
      </c>
      <c r="O87" s="8" t="n">
        <v>229.15</v>
      </c>
      <c r="P87" s="8" t="n">
        <v>1056.6</v>
      </c>
      <c r="Q87" s="8" t="n">
        <v>306.7</v>
      </c>
      <c r="R87" s="8" t="n">
        <v>785.15</v>
      </c>
      <c r="S87" s="8" t="n">
        <v>262.45</v>
      </c>
    </row>
    <row r="88" customFormat="false" ht="15" hidden="false" customHeight="false" outlineLevel="0" collapsed="false">
      <c r="A88" s="7" t="n">
        <v>44925</v>
      </c>
      <c r="B88" s="8" t="n">
        <v>18105.3</v>
      </c>
      <c r="C88" s="8" t="n">
        <v>15448.85</v>
      </c>
      <c r="D88" s="8" t="n">
        <v>1845.85</v>
      </c>
      <c r="E88" s="8" t="n">
        <v>535.05</v>
      </c>
      <c r="F88" s="8" t="n">
        <v>731.65</v>
      </c>
      <c r="G88" s="8" t="n">
        <v>414.15</v>
      </c>
      <c r="H88" s="8" t="n">
        <v>441.91</v>
      </c>
      <c r="I88" s="8" t="n">
        <v>230.5</v>
      </c>
      <c r="J88" s="8" t="n">
        <v>1438.05</v>
      </c>
      <c r="K88" s="8" t="n">
        <v>656.63</v>
      </c>
      <c r="L88" s="8" t="n">
        <v>722.9</v>
      </c>
      <c r="M88" s="8" t="n">
        <v>915.3</v>
      </c>
      <c r="N88" s="8" t="n">
        <v>467.42</v>
      </c>
      <c r="O88" s="8" t="n">
        <v>234.6</v>
      </c>
      <c r="P88" s="8" t="n">
        <v>1063.05</v>
      </c>
      <c r="Q88" s="8" t="n">
        <v>308.3</v>
      </c>
      <c r="R88" s="8" t="n">
        <v>795.5</v>
      </c>
      <c r="S88" s="8" t="n">
        <v>275.38</v>
      </c>
    </row>
    <row r="89" customFormat="false" ht="15" hidden="false" customHeight="false" outlineLevel="0" collapsed="false">
      <c r="A89" s="7" t="n">
        <v>44928</v>
      </c>
      <c r="B89" s="8" t="n">
        <v>18197.45</v>
      </c>
      <c r="C89" s="8" t="n">
        <v>15523.65</v>
      </c>
      <c r="D89" s="8" t="n">
        <v>1808.2</v>
      </c>
      <c r="E89" s="8" t="n">
        <v>546.35</v>
      </c>
      <c r="F89" s="8" t="n">
        <v>750.9</v>
      </c>
      <c r="G89" s="8" t="n">
        <v>424.45</v>
      </c>
      <c r="H89" s="8" t="n">
        <v>474.71</v>
      </c>
      <c r="I89" s="8" t="n">
        <v>231.95</v>
      </c>
      <c r="J89" s="8" t="n">
        <v>1440.5</v>
      </c>
      <c r="K89" s="8" t="n">
        <v>654.48</v>
      </c>
      <c r="L89" s="8" t="n">
        <v>731.85</v>
      </c>
      <c r="M89" s="8" t="n">
        <v>901.2</v>
      </c>
      <c r="N89" s="8" t="n">
        <v>462.66</v>
      </c>
      <c r="O89" s="8" t="n">
        <v>241.05</v>
      </c>
      <c r="P89" s="8" t="n">
        <v>1091.7</v>
      </c>
      <c r="Q89" s="8" t="n">
        <v>303.45</v>
      </c>
      <c r="R89" s="8" t="n">
        <v>794.85</v>
      </c>
      <c r="S89" s="8" t="n">
        <v>277.16</v>
      </c>
    </row>
    <row r="90" customFormat="false" ht="15" hidden="false" customHeight="false" outlineLevel="0" collapsed="false">
      <c r="A90" s="7" t="n">
        <v>44929</v>
      </c>
      <c r="B90" s="8" t="n">
        <v>18232.55</v>
      </c>
      <c r="C90" s="8" t="n">
        <v>15557.8</v>
      </c>
      <c r="D90" s="8" t="n">
        <v>1798.05</v>
      </c>
      <c r="E90" s="8" t="n">
        <v>548.65</v>
      </c>
      <c r="F90" s="8" t="n">
        <v>739.9</v>
      </c>
      <c r="G90" s="8" t="n">
        <v>421.6</v>
      </c>
      <c r="H90" s="8" t="n">
        <v>474.66</v>
      </c>
      <c r="I90" s="8" t="n">
        <v>230.8</v>
      </c>
      <c r="J90" s="8" t="n">
        <v>1445.55</v>
      </c>
      <c r="K90" s="8" t="n">
        <v>659.73</v>
      </c>
      <c r="L90" s="8" t="n">
        <v>728.5</v>
      </c>
      <c r="M90" s="8" t="n">
        <v>891.25</v>
      </c>
      <c r="N90" s="8" t="n">
        <v>453.04</v>
      </c>
      <c r="O90" s="8" t="n">
        <v>234.25</v>
      </c>
      <c r="P90" s="8" t="n">
        <v>1087.25</v>
      </c>
      <c r="Q90" s="8" t="n">
        <v>303.85</v>
      </c>
      <c r="R90" s="8" t="n">
        <v>792.4</v>
      </c>
      <c r="S90" s="8" t="n">
        <v>269.93</v>
      </c>
    </row>
    <row r="91" customFormat="false" ht="15" hidden="false" customHeight="false" outlineLevel="0" collapsed="false">
      <c r="A91" s="7" t="n">
        <v>44930</v>
      </c>
      <c r="B91" s="8" t="n">
        <v>18042.95</v>
      </c>
      <c r="C91" s="8" t="n">
        <v>15393</v>
      </c>
      <c r="D91" s="8" t="n">
        <v>1761.65</v>
      </c>
      <c r="E91" s="8" t="n">
        <v>543.05</v>
      </c>
      <c r="F91" s="8" t="n">
        <v>755.7</v>
      </c>
      <c r="G91" s="8" t="n">
        <v>421.3</v>
      </c>
      <c r="H91" s="8" t="n">
        <v>460.46</v>
      </c>
      <c r="I91" s="8" t="n">
        <v>228.65</v>
      </c>
      <c r="J91" s="8" t="n">
        <v>1433.5</v>
      </c>
      <c r="K91" s="8" t="n">
        <v>656.21</v>
      </c>
      <c r="L91" s="8" t="n">
        <v>718.5</v>
      </c>
      <c r="M91" s="8" t="n">
        <v>885.2</v>
      </c>
      <c r="N91" s="8" t="n">
        <v>448.87</v>
      </c>
      <c r="O91" s="8" t="n">
        <v>234.1</v>
      </c>
      <c r="P91" s="8" t="n">
        <v>1090.05</v>
      </c>
      <c r="Q91" s="8" t="n">
        <v>298.35</v>
      </c>
      <c r="R91" s="8" t="n">
        <v>784</v>
      </c>
      <c r="S91" s="8" t="n">
        <v>265.67</v>
      </c>
    </row>
    <row r="92" customFormat="false" ht="15" hidden="false" customHeight="false" outlineLevel="0" collapsed="false">
      <c r="A92" s="7" t="n">
        <v>44931</v>
      </c>
      <c r="B92" s="8" t="n">
        <v>17992.15</v>
      </c>
      <c r="C92" s="8" t="n">
        <v>15386.2</v>
      </c>
      <c r="D92" s="8" t="n">
        <v>1731.65</v>
      </c>
      <c r="E92" s="8" t="n">
        <v>545.45</v>
      </c>
      <c r="F92" s="8" t="n">
        <v>750.1</v>
      </c>
      <c r="G92" s="8" t="n">
        <v>420.45</v>
      </c>
      <c r="H92" s="8" t="n">
        <v>465.97</v>
      </c>
      <c r="I92" s="8" t="n">
        <v>230.85</v>
      </c>
      <c r="J92" s="8" t="n">
        <v>1450.75</v>
      </c>
      <c r="K92" s="8" t="n">
        <v>609.18</v>
      </c>
      <c r="L92" s="8" t="n">
        <v>683.25</v>
      </c>
      <c r="M92" s="8" t="n">
        <v>870.7</v>
      </c>
      <c r="N92" s="8" t="n">
        <v>453.29</v>
      </c>
      <c r="O92" s="8" t="n">
        <v>235.75</v>
      </c>
      <c r="P92" s="8" t="n">
        <v>1081.75</v>
      </c>
      <c r="Q92" s="8" t="n">
        <v>292.75</v>
      </c>
      <c r="R92" s="8" t="n">
        <v>779.55</v>
      </c>
      <c r="S92" s="8" t="n">
        <v>263.98</v>
      </c>
    </row>
    <row r="93" customFormat="false" ht="15" hidden="false" customHeight="false" outlineLevel="0" collapsed="false">
      <c r="A93" s="7" t="n">
        <v>44932</v>
      </c>
      <c r="B93" s="8" t="n">
        <v>17859.45</v>
      </c>
      <c r="C93" s="8" t="n">
        <v>15272</v>
      </c>
      <c r="D93" s="8" t="n">
        <v>1746.8</v>
      </c>
      <c r="E93" s="8" t="n">
        <v>543.4</v>
      </c>
      <c r="F93" s="8" t="n">
        <v>738.55</v>
      </c>
      <c r="G93" s="8" t="n">
        <v>404.95</v>
      </c>
      <c r="H93" s="8" t="n">
        <v>454.79</v>
      </c>
      <c r="I93" s="8" t="n">
        <v>230.95</v>
      </c>
      <c r="J93" s="8" t="n">
        <v>1427.1</v>
      </c>
      <c r="K93" s="8" t="n">
        <v>597.23</v>
      </c>
      <c r="L93" s="8" t="n">
        <v>667.9</v>
      </c>
      <c r="M93" s="8" t="n">
        <v>871.5</v>
      </c>
      <c r="N93" s="8" t="n">
        <v>444.59</v>
      </c>
      <c r="O93" s="8" t="n">
        <v>233.8</v>
      </c>
      <c r="P93" s="8" t="n">
        <v>1072.25</v>
      </c>
      <c r="Q93" s="8" t="n">
        <v>289.25</v>
      </c>
      <c r="R93" s="8" t="n">
        <v>774.2</v>
      </c>
      <c r="S93" s="8" t="n">
        <v>258.93</v>
      </c>
    </row>
    <row r="94" customFormat="false" ht="15" hidden="false" customHeight="false" outlineLevel="0" collapsed="false">
      <c r="A94" s="7" t="n">
        <v>44935</v>
      </c>
      <c r="B94" s="8" t="n">
        <v>18101.2</v>
      </c>
      <c r="C94" s="8" t="n">
        <v>15450.1</v>
      </c>
      <c r="D94" s="8" t="n">
        <v>1781.35</v>
      </c>
      <c r="E94" s="8" t="n">
        <v>554.1</v>
      </c>
      <c r="F94" s="8" t="n">
        <v>724.75</v>
      </c>
      <c r="G94" s="8" t="n">
        <v>402.4</v>
      </c>
      <c r="H94" s="8" t="n">
        <v>470.81</v>
      </c>
      <c r="I94" s="8" t="n">
        <v>239.05</v>
      </c>
      <c r="J94" s="8" t="n">
        <v>1445.75</v>
      </c>
      <c r="K94" s="8" t="n">
        <v>598.52</v>
      </c>
      <c r="L94" s="8" t="n">
        <v>679.2</v>
      </c>
      <c r="M94" s="8" t="n">
        <v>884.45</v>
      </c>
      <c r="N94" s="8" t="n">
        <v>459.94</v>
      </c>
      <c r="O94" s="8" t="n">
        <v>236.95</v>
      </c>
      <c r="P94" s="8" t="n">
        <v>1076.85</v>
      </c>
      <c r="Q94" s="8" t="n">
        <v>292.4</v>
      </c>
      <c r="R94" s="8" t="n">
        <v>782.1</v>
      </c>
      <c r="S94" s="8" t="n">
        <v>263.72</v>
      </c>
    </row>
    <row r="95" customFormat="false" ht="15" hidden="false" customHeight="false" outlineLevel="0" collapsed="false">
      <c r="A95" s="7" t="n">
        <v>44936</v>
      </c>
      <c r="B95" s="8" t="n">
        <v>17914.15</v>
      </c>
      <c r="C95" s="8" t="n">
        <v>15325.25</v>
      </c>
      <c r="D95" s="8" t="n">
        <v>1826.15</v>
      </c>
      <c r="E95" s="8" t="n">
        <v>546.45</v>
      </c>
      <c r="F95" s="8" t="n">
        <v>722.05</v>
      </c>
      <c r="G95" s="8" t="n">
        <v>395.6</v>
      </c>
      <c r="H95" s="8" t="n">
        <v>461.04</v>
      </c>
      <c r="I95" s="8" t="n">
        <v>235.45</v>
      </c>
      <c r="J95" s="8" t="n">
        <v>1442.65</v>
      </c>
      <c r="K95" s="8" t="n">
        <v>589.61</v>
      </c>
      <c r="L95" s="8" t="n">
        <v>669</v>
      </c>
      <c r="M95" s="8" t="n">
        <v>877.75</v>
      </c>
      <c r="N95" s="8" t="n">
        <v>454.6</v>
      </c>
      <c r="O95" s="8" t="n">
        <v>234.7</v>
      </c>
      <c r="P95" s="8" t="n">
        <v>1074.35</v>
      </c>
      <c r="Q95" s="8" t="n">
        <v>290.5</v>
      </c>
      <c r="R95" s="8" t="n">
        <v>782</v>
      </c>
      <c r="S95" s="8" t="n">
        <v>266.78</v>
      </c>
    </row>
    <row r="96" customFormat="false" ht="15" hidden="false" customHeight="false" outlineLevel="0" collapsed="false">
      <c r="A96" s="7" t="n">
        <v>44937</v>
      </c>
      <c r="B96" s="8" t="n">
        <v>17895.7</v>
      </c>
      <c r="C96" s="8" t="n">
        <v>15301.35</v>
      </c>
      <c r="D96" s="8" t="n">
        <v>1855.35</v>
      </c>
      <c r="E96" s="8" t="n">
        <v>550.2</v>
      </c>
      <c r="F96" s="8" t="n">
        <v>721.35</v>
      </c>
      <c r="G96" s="8" t="n">
        <v>402.65</v>
      </c>
      <c r="H96" s="8" t="n">
        <v>470.15</v>
      </c>
      <c r="I96" s="8" t="n">
        <v>237.55</v>
      </c>
      <c r="J96" s="8" t="n">
        <v>1458.55</v>
      </c>
      <c r="K96" s="8" t="n">
        <v>588.77</v>
      </c>
      <c r="L96" s="8" t="n">
        <v>665.95</v>
      </c>
      <c r="M96" s="8" t="n">
        <v>869.55</v>
      </c>
      <c r="N96" s="8" t="n">
        <v>452.31</v>
      </c>
      <c r="O96" s="8" t="n">
        <v>236.4</v>
      </c>
      <c r="P96" s="8" t="n">
        <v>1067.85</v>
      </c>
      <c r="Q96" s="8" t="n">
        <v>295.15</v>
      </c>
      <c r="R96" s="8" t="n">
        <v>778.1</v>
      </c>
      <c r="S96" s="8" t="n">
        <v>266.9</v>
      </c>
    </row>
    <row r="97" customFormat="false" ht="15" hidden="false" customHeight="false" outlineLevel="0" collapsed="false">
      <c r="A97" s="7" t="n">
        <v>44938</v>
      </c>
      <c r="B97" s="8" t="n">
        <v>17858.2</v>
      </c>
      <c r="C97" s="8" t="n">
        <v>15279.6</v>
      </c>
      <c r="D97" s="8" t="n">
        <v>1828.55</v>
      </c>
      <c r="E97" s="8" t="n">
        <v>547.55</v>
      </c>
      <c r="F97" s="8" t="n">
        <v>734.05</v>
      </c>
      <c r="G97" s="8" t="n">
        <v>400.15</v>
      </c>
      <c r="H97" s="8" t="n">
        <v>486.88</v>
      </c>
      <c r="I97" s="8" t="n">
        <v>238.4</v>
      </c>
      <c r="J97" s="8" t="n">
        <v>1503.05</v>
      </c>
      <c r="K97" s="8" t="n">
        <v>589.04</v>
      </c>
      <c r="L97" s="8" t="n">
        <v>685.6</v>
      </c>
      <c r="M97" s="8" t="n">
        <v>885.75</v>
      </c>
      <c r="N97" s="8" t="n">
        <v>463.58</v>
      </c>
      <c r="O97" s="8" t="n">
        <v>232.85</v>
      </c>
      <c r="P97" s="8" t="n">
        <v>1063.3</v>
      </c>
      <c r="Q97" s="8" t="n">
        <v>289.15</v>
      </c>
      <c r="R97" s="8" t="n">
        <v>780.25</v>
      </c>
      <c r="S97" s="8" t="n">
        <v>262.53</v>
      </c>
    </row>
    <row r="98" customFormat="false" ht="15" hidden="false" customHeight="false" outlineLevel="0" collapsed="false">
      <c r="A98" s="7" t="n">
        <v>44939</v>
      </c>
      <c r="B98" s="8" t="n">
        <v>17956.6</v>
      </c>
      <c r="C98" s="8" t="n">
        <v>15346.1</v>
      </c>
      <c r="D98" s="8" t="n">
        <v>1817.75</v>
      </c>
      <c r="E98" s="8" t="n">
        <v>549.55</v>
      </c>
      <c r="F98" s="8" t="n">
        <v>736.2</v>
      </c>
      <c r="G98" s="8" t="n">
        <v>402.9</v>
      </c>
      <c r="H98" s="8" t="n">
        <v>480.59</v>
      </c>
      <c r="I98" s="8" t="n">
        <v>236.75</v>
      </c>
      <c r="J98" s="8" t="n">
        <v>1509.25</v>
      </c>
      <c r="K98" s="8" t="n">
        <v>596.97</v>
      </c>
      <c r="L98" s="8" t="n">
        <v>711.7</v>
      </c>
      <c r="M98" s="8" t="n">
        <v>883.65</v>
      </c>
      <c r="N98" s="8" t="n">
        <v>463.05</v>
      </c>
      <c r="O98" s="8" t="n">
        <v>235.05</v>
      </c>
      <c r="P98" s="8" t="n">
        <v>1062.65</v>
      </c>
      <c r="Q98" s="8" t="n">
        <v>288.05</v>
      </c>
      <c r="R98" s="8" t="n">
        <v>787.35</v>
      </c>
      <c r="S98" s="8" t="n">
        <v>256.64</v>
      </c>
    </row>
    <row r="99" customFormat="false" ht="15" hidden="false" customHeight="false" outlineLevel="0" collapsed="false">
      <c r="A99" s="7" t="n">
        <v>44942</v>
      </c>
      <c r="B99" s="8" t="n">
        <v>17894.85</v>
      </c>
      <c r="C99" s="8" t="n">
        <v>15305.45</v>
      </c>
      <c r="D99" s="8" t="n">
        <v>1869.6</v>
      </c>
      <c r="E99" s="8" t="n">
        <v>542.9</v>
      </c>
      <c r="F99" s="8" t="n">
        <v>737.35</v>
      </c>
      <c r="G99" s="8" t="n">
        <v>395.55</v>
      </c>
      <c r="H99" s="8" t="n">
        <v>470.73</v>
      </c>
      <c r="I99" s="8" t="n">
        <v>231.2</v>
      </c>
      <c r="J99" s="8" t="n">
        <v>1480</v>
      </c>
      <c r="K99" s="8" t="n">
        <v>600.27</v>
      </c>
      <c r="L99" s="8" t="n">
        <v>691.3</v>
      </c>
      <c r="M99" s="8" t="n">
        <v>872.45</v>
      </c>
      <c r="N99" s="8" t="n">
        <v>458.87</v>
      </c>
      <c r="O99" s="8" t="n">
        <v>232.05</v>
      </c>
      <c r="P99" s="8" t="n">
        <v>1062</v>
      </c>
      <c r="Q99" s="8" t="n">
        <v>287.7</v>
      </c>
      <c r="R99" s="8" t="n">
        <v>774.8</v>
      </c>
      <c r="S99" s="8" t="n">
        <v>254.54</v>
      </c>
    </row>
    <row r="100" customFormat="false" ht="15" hidden="false" customHeight="false" outlineLevel="0" collapsed="false">
      <c r="A100" s="7" t="n">
        <v>44943</v>
      </c>
      <c r="B100" s="8" t="n">
        <v>18053.3</v>
      </c>
      <c r="C100" s="8" t="n">
        <v>15396.15</v>
      </c>
      <c r="D100" s="8" t="n">
        <v>1870.85</v>
      </c>
      <c r="E100" s="8" t="n">
        <v>526.05</v>
      </c>
      <c r="F100" s="8" t="n">
        <v>729.65</v>
      </c>
      <c r="G100" s="8" t="n">
        <v>393.65</v>
      </c>
      <c r="H100" s="8" t="n">
        <v>451.97</v>
      </c>
      <c r="I100" s="8" t="n">
        <v>227.5</v>
      </c>
      <c r="J100" s="8" t="n">
        <v>1465.1</v>
      </c>
      <c r="K100" s="8" t="n">
        <v>597.68</v>
      </c>
      <c r="L100" s="8" t="n">
        <v>681.4</v>
      </c>
      <c r="M100" s="8" t="n">
        <v>881.7</v>
      </c>
      <c r="N100" s="8" t="n">
        <v>500.01</v>
      </c>
      <c r="O100" s="8" t="n">
        <v>230</v>
      </c>
      <c r="P100" s="8" t="n">
        <v>1054.5</v>
      </c>
      <c r="Q100" s="8" t="n">
        <v>293.6</v>
      </c>
      <c r="R100" s="8" t="n">
        <v>766.3</v>
      </c>
      <c r="S100" s="8" t="n">
        <v>254.33</v>
      </c>
    </row>
    <row r="101" customFormat="false" ht="15" hidden="false" customHeight="false" outlineLevel="0" collapsed="false">
      <c r="A101" s="7" t="n">
        <v>44944</v>
      </c>
      <c r="B101" s="8" t="n">
        <v>18165.35</v>
      </c>
      <c r="C101" s="8" t="n">
        <v>15466.35</v>
      </c>
      <c r="D101" s="8" t="n">
        <v>1818.65</v>
      </c>
      <c r="E101" s="8" t="n">
        <v>533.5</v>
      </c>
      <c r="F101" s="8" t="n">
        <v>729.65</v>
      </c>
      <c r="G101" s="8" t="n">
        <v>396.4</v>
      </c>
      <c r="H101" s="8" t="n">
        <v>456.98</v>
      </c>
      <c r="I101" s="8" t="n">
        <v>232.75</v>
      </c>
      <c r="J101" s="8" t="n">
        <v>1441.8</v>
      </c>
      <c r="K101" s="8" t="n">
        <v>599.05</v>
      </c>
      <c r="L101" s="8" t="n">
        <v>692.1</v>
      </c>
      <c r="M101" s="8" t="n">
        <v>894.75</v>
      </c>
      <c r="N101" s="8" t="n">
        <v>493.84</v>
      </c>
      <c r="O101" s="8" t="n">
        <v>232.15</v>
      </c>
      <c r="P101" s="8" t="n">
        <v>1054.55</v>
      </c>
      <c r="Q101" s="8" t="n">
        <v>301.35</v>
      </c>
      <c r="R101" s="8" t="n">
        <v>765.1</v>
      </c>
      <c r="S101" s="8" t="n">
        <v>256.8</v>
      </c>
    </row>
    <row r="102" customFormat="false" ht="15" hidden="false" customHeight="false" outlineLevel="0" collapsed="false">
      <c r="A102" s="7" t="n">
        <v>44945</v>
      </c>
      <c r="B102" s="8" t="n">
        <v>18107.85</v>
      </c>
      <c r="C102" s="8" t="n">
        <v>15419.7</v>
      </c>
      <c r="D102" s="8" t="n">
        <v>1838.85</v>
      </c>
      <c r="E102" s="8" t="n">
        <v>530.35</v>
      </c>
      <c r="F102" s="8" t="n">
        <v>731.8</v>
      </c>
      <c r="G102" s="8" t="n">
        <v>391.65</v>
      </c>
      <c r="H102" s="8" t="n">
        <v>449.53</v>
      </c>
      <c r="I102" s="8" t="n">
        <v>234.65</v>
      </c>
      <c r="J102" s="8" t="n">
        <v>1463.1</v>
      </c>
      <c r="K102" s="8" t="n">
        <v>600.43</v>
      </c>
      <c r="L102" s="8" t="n">
        <v>701.25</v>
      </c>
      <c r="M102" s="8" t="n">
        <v>911.2</v>
      </c>
      <c r="N102" s="8" t="n">
        <v>488.11</v>
      </c>
      <c r="O102" s="8" t="n">
        <v>234.7</v>
      </c>
      <c r="P102" s="8" t="n">
        <v>1050.35</v>
      </c>
      <c r="Q102" s="8" t="n">
        <v>298.9</v>
      </c>
      <c r="R102" s="8" t="n">
        <v>769.15</v>
      </c>
      <c r="S102" s="8" t="n">
        <v>258.96</v>
      </c>
    </row>
    <row r="103" customFormat="false" ht="15" hidden="false" customHeight="false" outlineLevel="0" collapsed="false">
      <c r="A103" s="7" t="n">
        <v>44946</v>
      </c>
      <c r="B103" s="8" t="n">
        <v>18027.65</v>
      </c>
      <c r="C103" s="8" t="n">
        <v>15347.9</v>
      </c>
      <c r="D103" s="8" t="n">
        <v>1821.45</v>
      </c>
      <c r="E103" s="8" t="n">
        <v>521.1</v>
      </c>
      <c r="F103" s="8" t="n">
        <v>737.5</v>
      </c>
      <c r="G103" s="8" t="n">
        <v>389.5</v>
      </c>
      <c r="H103" s="8" t="n">
        <v>445.51</v>
      </c>
      <c r="I103" s="8" t="n">
        <v>236.05</v>
      </c>
      <c r="J103" s="8" t="n">
        <v>1503.3</v>
      </c>
      <c r="K103" s="8" t="n">
        <v>585.24</v>
      </c>
      <c r="L103" s="8" t="n">
        <v>706.25</v>
      </c>
      <c r="M103" s="8" t="n">
        <v>914.65</v>
      </c>
      <c r="N103" s="8" t="n">
        <v>477.23</v>
      </c>
      <c r="O103" s="8" t="n">
        <v>234.5</v>
      </c>
      <c r="P103" s="8" t="n">
        <v>1052.45</v>
      </c>
      <c r="Q103" s="8" t="n">
        <v>291.85</v>
      </c>
      <c r="R103" s="8" t="n">
        <v>752.45</v>
      </c>
      <c r="S103" s="8" t="n">
        <v>255.46</v>
      </c>
    </row>
    <row r="104" customFormat="false" ht="15" hidden="false" customHeight="false" outlineLevel="0" collapsed="false">
      <c r="A104" s="7" t="n">
        <v>44949</v>
      </c>
      <c r="B104" s="8" t="n">
        <v>18118.55</v>
      </c>
      <c r="C104" s="8" t="n">
        <v>15403.2</v>
      </c>
      <c r="D104" s="8" t="n">
        <v>1859.15</v>
      </c>
      <c r="E104" s="8" t="n">
        <v>551.85</v>
      </c>
      <c r="F104" s="8" t="n">
        <v>753.5</v>
      </c>
      <c r="G104" s="8" t="n">
        <v>393.5</v>
      </c>
      <c r="H104" s="8" t="n">
        <v>439.63</v>
      </c>
      <c r="I104" s="8" t="n">
        <v>233.9</v>
      </c>
      <c r="J104" s="8" t="n">
        <v>1503.25</v>
      </c>
      <c r="K104" s="8" t="n">
        <v>585.5</v>
      </c>
      <c r="L104" s="8" t="n">
        <v>712.8</v>
      </c>
      <c r="M104" s="8" t="n">
        <v>898.6</v>
      </c>
      <c r="N104" s="8" t="n">
        <v>463.78</v>
      </c>
      <c r="O104" s="8" t="n">
        <v>236.35</v>
      </c>
      <c r="P104" s="8" t="n">
        <v>1059.3</v>
      </c>
      <c r="Q104" s="8" t="n">
        <v>290.8</v>
      </c>
      <c r="R104" s="8" t="n">
        <v>767.15</v>
      </c>
      <c r="S104" s="8" t="n">
        <v>256.92</v>
      </c>
    </row>
    <row r="105" customFormat="false" ht="15" hidden="false" customHeight="false" outlineLevel="0" collapsed="false">
      <c r="A105" s="7" t="n">
        <v>44950</v>
      </c>
      <c r="B105" s="8" t="n">
        <v>18118.3</v>
      </c>
      <c r="C105" s="8" t="n">
        <v>15388.55</v>
      </c>
      <c r="D105" s="8" t="n">
        <v>1819.6</v>
      </c>
      <c r="E105" s="8" t="n">
        <v>563.6</v>
      </c>
      <c r="F105" s="8" t="n">
        <v>755.3</v>
      </c>
      <c r="G105" s="8" t="n">
        <v>394.55</v>
      </c>
      <c r="H105" s="8" t="n">
        <v>460.83</v>
      </c>
      <c r="I105" s="8" t="n">
        <v>237.1</v>
      </c>
      <c r="J105" s="8" t="n">
        <v>1525.3</v>
      </c>
      <c r="K105" s="8" t="n">
        <v>584.71</v>
      </c>
      <c r="L105" s="8" t="n">
        <v>725.5</v>
      </c>
      <c r="M105" s="8" t="n">
        <v>906</v>
      </c>
      <c r="N105" s="8" t="n">
        <v>456.3</v>
      </c>
      <c r="O105" s="8" t="n">
        <v>234.1</v>
      </c>
      <c r="P105" s="8" t="n">
        <v>1058.35</v>
      </c>
      <c r="Q105" s="8" t="n">
        <v>302.4</v>
      </c>
      <c r="R105" s="8" t="n">
        <v>745</v>
      </c>
      <c r="S105" s="8" t="n">
        <v>253.06</v>
      </c>
    </row>
    <row r="106" customFormat="false" ht="15" hidden="false" customHeight="false" outlineLevel="0" collapsed="false">
      <c r="A106" s="7" t="n">
        <v>44951</v>
      </c>
      <c r="B106" s="8" t="n">
        <v>17891.95</v>
      </c>
      <c r="C106" s="8" t="n">
        <v>15171.95</v>
      </c>
      <c r="D106" s="8" t="n">
        <v>1901.75</v>
      </c>
      <c r="E106" s="8" t="n">
        <v>556.75</v>
      </c>
      <c r="F106" s="8" t="n">
        <v>792.65</v>
      </c>
      <c r="G106" s="8" t="n">
        <v>390</v>
      </c>
      <c r="H106" s="8" t="n">
        <v>455.37</v>
      </c>
      <c r="I106" s="8" t="n">
        <v>237.5</v>
      </c>
      <c r="J106" s="8" t="n">
        <v>1539.5</v>
      </c>
      <c r="K106" s="8" t="n">
        <v>578.8</v>
      </c>
      <c r="L106" s="8" t="n">
        <v>718.4</v>
      </c>
      <c r="M106" s="8" t="n">
        <v>906</v>
      </c>
      <c r="N106" s="8" t="n">
        <v>463.34</v>
      </c>
      <c r="O106" s="8" t="n">
        <v>229.65</v>
      </c>
      <c r="P106" s="8" t="n">
        <v>1040.05</v>
      </c>
      <c r="Q106" s="8" t="n">
        <v>299</v>
      </c>
      <c r="R106" s="8" t="n">
        <v>715.1</v>
      </c>
      <c r="S106" s="8" t="n">
        <v>250.84</v>
      </c>
    </row>
    <row r="107" customFormat="false" ht="15" hidden="false" customHeight="false" outlineLevel="0" collapsed="false">
      <c r="A107" s="7" t="n">
        <v>44953</v>
      </c>
      <c r="B107" s="8" t="n">
        <v>17604.35</v>
      </c>
      <c r="C107" s="8" t="n">
        <v>14874.75</v>
      </c>
      <c r="D107" s="8" t="n">
        <v>1890.1</v>
      </c>
      <c r="E107" s="8" t="n">
        <v>539.7</v>
      </c>
      <c r="F107" s="8" t="n">
        <v>759</v>
      </c>
      <c r="G107" s="8" t="n">
        <v>386.3</v>
      </c>
      <c r="H107" s="8" t="n">
        <v>441.87</v>
      </c>
      <c r="I107" s="8" t="n">
        <v>232.3</v>
      </c>
      <c r="J107" s="8" t="n">
        <v>1498.3</v>
      </c>
      <c r="K107" s="8" t="n">
        <v>575.29</v>
      </c>
      <c r="L107" s="8" t="n">
        <v>709.9</v>
      </c>
      <c r="M107" s="8" t="n">
        <v>869.35</v>
      </c>
      <c r="N107" s="8" t="n">
        <v>447.36</v>
      </c>
      <c r="O107" s="8" t="n">
        <v>225.5</v>
      </c>
      <c r="P107" s="8" t="n">
        <v>1010.15</v>
      </c>
      <c r="Q107" s="8" t="n">
        <v>285.85</v>
      </c>
      <c r="R107" s="8" t="n">
        <v>699.35</v>
      </c>
      <c r="S107" s="8" t="n">
        <v>248.21</v>
      </c>
    </row>
    <row r="108" customFormat="false" ht="15" hidden="false" customHeight="false" outlineLevel="0" collapsed="false">
      <c r="A108" s="7" t="n">
        <v>44956</v>
      </c>
      <c r="B108" s="8" t="n">
        <v>17648.95</v>
      </c>
      <c r="C108" s="8" t="n">
        <v>14854.2</v>
      </c>
      <c r="D108" s="8" t="n">
        <v>1860.15</v>
      </c>
      <c r="E108" s="8" t="n">
        <v>540.7</v>
      </c>
      <c r="F108" s="8" t="n">
        <v>746.25</v>
      </c>
      <c r="G108" s="8" t="n">
        <v>389.15</v>
      </c>
      <c r="H108" s="8" t="n">
        <v>437.35</v>
      </c>
      <c r="I108" s="8" t="n">
        <v>222.7</v>
      </c>
      <c r="J108" s="8" t="n">
        <v>1508.95</v>
      </c>
      <c r="K108" s="8" t="n">
        <v>601.36</v>
      </c>
      <c r="L108" s="8" t="n">
        <v>710.75</v>
      </c>
      <c r="M108" s="8" t="n">
        <v>854.45</v>
      </c>
      <c r="N108" s="8" t="n">
        <v>456.54</v>
      </c>
      <c r="O108" s="8" t="n">
        <v>225.55</v>
      </c>
      <c r="P108" s="8" t="n">
        <v>1023.2</v>
      </c>
      <c r="Q108" s="8" t="n">
        <v>289.2</v>
      </c>
      <c r="R108" s="8" t="n">
        <v>716.4</v>
      </c>
      <c r="S108" s="8" t="n">
        <v>248.77</v>
      </c>
    </row>
    <row r="109" customFormat="false" ht="15" hidden="false" customHeight="false" outlineLevel="0" collapsed="false">
      <c r="A109" s="7" t="n">
        <v>44957</v>
      </c>
      <c r="B109" s="8" t="n">
        <v>17662.15</v>
      </c>
      <c r="C109" s="8" t="n">
        <v>14935.5</v>
      </c>
      <c r="D109" s="8" t="n">
        <v>1809.25</v>
      </c>
      <c r="E109" s="8" t="n">
        <v>567.55</v>
      </c>
      <c r="F109" s="8" t="n">
        <v>738.4</v>
      </c>
      <c r="G109" s="8" t="n">
        <v>401.2</v>
      </c>
      <c r="H109" s="8" t="n">
        <v>459.05</v>
      </c>
      <c r="I109" s="8" t="n">
        <v>227.6</v>
      </c>
      <c r="J109" s="8" t="n">
        <v>1536.55</v>
      </c>
      <c r="K109" s="8" t="n">
        <v>587.84</v>
      </c>
      <c r="L109" s="8" t="n">
        <v>706.95</v>
      </c>
      <c r="M109" s="8" t="n">
        <v>860.5</v>
      </c>
      <c r="N109" s="8" t="n">
        <v>498.65</v>
      </c>
      <c r="O109" s="8" t="n">
        <v>232.75</v>
      </c>
      <c r="P109" s="8" t="n">
        <v>1044.1</v>
      </c>
      <c r="Q109" s="8" t="n">
        <v>297.4</v>
      </c>
      <c r="R109" s="8" t="n">
        <v>722.85</v>
      </c>
      <c r="S109" s="8" t="n">
        <v>257.32</v>
      </c>
    </row>
    <row r="110" customFormat="false" ht="15" hidden="false" customHeight="false" outlineLevel="0" collapsed="false">
      <c r="A110" s="7" t="n">
        <v>44958</v>
      </c>
      <c r="B110" s="8" t="n">
        <v>17616.3</v>
      </c>
      <c r="C110" s="8" t="n">
        <v>14847.65</v>
      </c>
      <c r="D110" s="8" t="n">
        <v>1841.85</v>
      </c>
      <c r="E110" s="8" t="n">
        <v>541.8</v>
      </c>
      <c r="F110" s="8" t="n">
        <v>759.6</v>
      </c>
      <c r="G110" s="8" t="n">
        <v>386.9</v>
      </c>
      <c r="H110" s="8" t="n">
        <v>446.46</v>
      </c>
      <c r="I110" s="8" t="n">
        <v>226.45</v>
      </c>
      <c r="J110" s="8" t="n">
        <v>1482.25</v>
      </c>
      <c r="K110" s="8" t="n">
        <v>580.93</v>
      </c>
      <c r="L110" s="8" t="n">
        <v>749.8</v>
      </c>
      <c r="M110" s="8" t="n">
        <v>900.85</v>
      </c>
      <c r="N110" s="8" t="n">
        <v>505.01</v>
      </c>
      <c r="O110" s="8" t="n">
        <v>233.85</v>
      </c>
      <c r="P110" s="8" t="n">
        <v>1015.6</v>
      </c>
      <c r="Q110" s="8" t="n">
        <v>290.05</v>
      </c>
      <c r="R110" s="8" t="n">
        <v>739.7</v>
      </c>
      <c r="S110" s="8" t="n">
        <v>259.47</v>
      </c>
    </row>
    <row r="111" customFormat="false" ht="15" hidden="false" customHeight="false" outlineLevel="0" collapsed="false">
      <c r="A111" s="7" t="n">
        <v>44959</v>
      </c>
      <c r="B111" s="8" t="n">
        <v>17610.4</v>
      </c>
      <c r="C111" s="8" t="n">
        <v>14839.4</v>
      </c>
      <c r="D111" s="8" t="n">
        <v>1861.4</v>
      </c>
      <c r="E111" s="8" t="n">
        <v>571.65</v>
      </c>
      <c r="F111" s="8" t="n">
        <v>740.15</v>
      </c>
      <c r="G111" s="8" t="n">
        <v>394.85</v>
      </c>
      <c r="H111" s="8" t="n">
        <v>450.89</v>
      </c>
      <c r="I111" s="8" t="n">
        <v>229.65</v>
      </c>
      <c r="J111" s="8" t="n">
        <v>1495.2</v>
      </c>
      <c r="K111" s="8" t="n">
        <v>570.99</v>
      </c>
      <c r="L111" s="8" t="n">
        <v>775</v>
      </c>
      <c r="M111" s="8" t="n">
        <v>896.75</v>
      </c>
      <c r="N111" s="8" t="n">
        <v>504.86</v>
      </c>
      <c r="O111" s="8" t="n">
        <v>237.8</v>
      </c>
      <c r="P111" s="8" t="n">
        <v>1026</v>
      </c>
      <c r="Q111" s="8" t="n">
        <v>291.15</v>
      </c>
      <c r="R111" s="8" t="n">
        <v>737.35</v>
      </c>
      <c r="S111" s="8" t="n">
        <v>252.9</v>
      </c>
    </row>
    <row r="112" customFormat="false" ht="15" hidden="false" customHeight="false" outlineLevel="0" collapsed="false">
      <c r="A112" s="7" t="n">
        <v>44960</v>
      </c>
      <c r="B112" s="8" t="n">
        <v>17854.05</v>
      </c>
      <c r="C112" s="8" t="n">
        <v>14962.35</v>
      </c>
      <c r="D112" s="8" t="n">
        <v>1998.65</v>
      </c>
      <c r="E112" s="8" t="n">
        <v>578.1</v>
      </c>
      <c r="F112" s="8" t="n">
        <v>736.1</v>
      </c>
      <c r="G112" s="8" t="n">
        <v>399.7</v>
      </c>
      <c r="H112" s="8" t="n">
        <v>446.13</v>
      </c>
      <c r="I112" s="8" t="n">
        <v>224.45</v>
      </c>
      <c r="J112" s="8" t="n">
        <v>1471.8</v>
      </c>
      <c r="K112" s="8" t="n">
        <v>600.61</v>
      </c>
      <c r="L112" s="8" t="n">
        <v>781.15</v>
      </c>
      <c r="M112" s="8" t="n">
        <v>899.75</v>
      </c>
      <c r="N112" s="8" t="n">
        <v>492.43</v>
      </c>
      <c r="O112" s="8" t="n">
        <v>243.6</v>
      </c>
      <c r="P112" s="8" t="n">
        <v>1027.5</v>
      </c>
      <c r="Q112" s="8" t="n">
        <v>290.65</v>
      </c>
      <c r="R112" s="8" t="n">
        <v>754.05</v>
      </c>
      <c r="S112" s="8" t="n">
        <v>255.81</v>
      </c>
    </row>
    <row r="113" customFormat="false" ht="15" hidden="false" customHeight="false" outlineLevel="0" collapsed="false">
      <c r="A113" s="7" t="n">
        <v>44963</v>
      </c>
      <c r="B113" s="8" t="n">
        <v>17764.6</v>
      </c>
      <c r="C113" s="8" t="n">
        <v>14934.15</v>
      </c>
      <c r="D113" s="8" t="n">
        <v>1989.25</v>
      </c>
      <c r="E113" s="8" t="n">
        <v>581.9</v>
      </c>
      <c r="F113" s="8" t="n">
        <v>748.2</v>
      </c>
      <c r="G113" s="8" t="n">
        <v>388.2</v>
      </c>
      <c r="H113" s="8" t="n">
        <v>447.08</v>
      </c>
      <c r="I113" s="8" t="n">
        <v>226</v>
      </c>
      <c r="J113" s="8" t="n">
        <v>1531.65</v>
      </c>
      <c r="K113" s="8" t="n">
        <v>609.59</v>
      </c>
      <c r="L113" s="8" t="n">
        <v>781.1</v>
      </c>
      <c r="M113" s="8" t="n">
        <v>884.3</v>
      </c>
      <c r="N113" s="8" t="n">
        <v>478.54</v>
      </c>
      <c r="O113" s="8" t="n">
        <v>261.85</v>
      </c>
      <c r="P113" s="8" t="n">
        <v>1037.45</v>
      </c>
      <c r="Q113" s="8" t="n">
        <v>292.05</v>
      </c>
      <c r="R113" s="8" t="n">
        <v>756.5</v>
      </c>
      <c r="S113" s="8" t="n">
        <v>258.73</v>
      </c>
    </row>
    <row r="114" customFormat="false" ht="15" hidden="false" customHeight="false" outlineLevel="0" collapsed="false">
      <c r="A114" s="7" t="n">
        <v>44964</v>
      </c>
      <c r="B114" s="8" t="n">
        <v>17721.5</v>
      </c>
      <c r="C114" s="8" t="n">
        <v>14902.2</v>
      </c>
      <c r="D114" s="8" t="n">
        <v>1957.7</v>
      </c>
      <c r="E114" s="8" t="n">
        <v>579.8</v>
      </c>
      <c r="F114" s="8" t="n">
        <v>747.45</v>
      </c>
      <c r="G114" s="8" t="n">
        <v>376.1</v>
      </c>
      <c r="H114" s="8" t="n">
        <v>461.2</v>
      </c>
      <c r="I114" s="8" t="n">
        <v>225.15</v>
      </c>
      <c r="J114" s="8" t="n">
        <v>1585.5</v>
      </c>
      <c r="K114" s="8" t="n">
        <v>615.22</v>
      </c>
      <c r="L114" s="8" t="n">
        <v>781.4</v>
      </c>
      <c r="M114" s="8" t="n">
        <v>901.35</v>
      </c>
      <c r="N114" s="8" t="n">
        <v>463.78</v>
      </c>
      <c r="O114" s="8" t="n">
        <v>267.45</v>
      </c>
      <c r="P114" s="8" t="n">
        <v>1010.75</v>
      </c>
      <c r="Q114" s="8" t="n">
        <v>300.6</v>
      </c>
      <c r="R114" s="8" t="n">
        <v>750.7</v>
      </c>
      <c r="S114" s="8" t="n">
        <v>258.26</v>
      </c>
    </row>
    <row r="115" customFormat="false" ht="15" hidden="false" customHeight="false" outlineLevel="0" collapsed="false">
      <c r="A115" s="7" t="n">
        <v>44965</v>
      </c>
      <c r="B115" s="8" t="n">
        <v>17871.7</v>
      </c>
      <c r="C115" s="8" t="n">
        <v>15028.3</v>
      </c>
      <c r="D115" s="8" t="n">
        <v>1990.65</v>
      </c>
      <c r="E115" s="8" t="n">
        <v>591.65</v>
      </c>
      <c r="F115" s="8" t="n">
        <v>752</v>
      </c>
      <c r="G115" s="8" t="n">
        <v>386.25</v>
      </c>
      <c r="H115" s="8" t="n">
        <v>482.57</v>
      </c>
      <c r="I115" s="8" t="n">
        <v>236.45</v>
      </c>
      <c r="J115" s="8" t="n">
        <v>1563.25</v>
      </c>
      <c r="K115" s="8" t="n">
        <v>634.3</v>
      </c>
      <c r="L115" s="8" t="n">
        <v>796.05</v>
      </c>
      <c r="M115" s="8" t="n">
        <v>956.6</v>
      </c>
      <c r="N115" s="8" t="n">
        <v>472.91</v>
      </c>
      <c r="O115" s="8" t="n">
        <v>269.05</v>
      </c>
      <c r="P115" s="8" t="n">
        <v>1006.35</v>
      </c>
      <c r="Q115" s="8" t="n">
        <v>301.25</v>
      </c>
      <c r="R115" s="8" t="n">
        <v>751.7</v>
      </c>
      <c r="S115" s="8" t="n">
        <v>261.53</v>
      </c>
    </row>
    <row r="116" customFormat="false" ht="15" hidden="false" customHeight="false" outlineLevel="0" collapsed="false">
      <c r="A116" s="7" t="n">
        <v>44966</v>
      </c>
      <c r="B116" s="8" t="n">
        <v>17893.45</v>
      </c>
      <c r="C116" s="8" t="n">
        <v>15030.1</v>
      </c>
      <c r="D116" s="8" t="n">
        <v>1995.45</v>
      </c>
      <c r="E116" s="8" t="n">
        <v>600.35</v>
      </c>
      <c r="F116" s="8" t="n">
        <v>770.45</v>
      </c>
      <c r="G116" s="8" t="n">
        <v>380</v>
      </c>
      <c r="H116" s="8" t="n">
        <v>484.36</v>
      </c>
      <c r="I116" s="8" t="n">
        <v>233.85</v>
      </c>
      <c r="J116" s="8" t="n">
        <v>1604</v>
      </c>
      <c r="K116" s="8" t="n">
        <v>644.62</v>
      </c>
      <c r="L116" s="8" t="n">
        <v>796.1</v>
      </c>
      <c r="M116" s="8" t="n">
        <v>959.75</v>
      </c>
      <c r="N116" s="8" t="n">
        <v>465.72</v>
      </c>
      <c r="O116" s="8" t="n">
        <v>270.4</v>
      </c>
      <c r="P116" s="8" t="n">
        <v>1017.7</v>
      </c>
      <c r="Q116" s="8" t="n">
        <v>302.3</v>
      </c>
      <c r="R116" s="8" t="n">
        <v>757.25</v>
      </c>
      <c r="S116" s="8" t="n">
        <v>263.01</v>
      </c>
    </row>
    <row r="117" customFormat="false" ht="15" hidden="false" customHeight="false" outlineLevel="0" collapsed="false">
      <c r="A117" s="7" t="n">
        <v>44967</v>
      </c>
      <c r="B117" s="8" t="n">
        <v>17856.5</v>
      </c>
      <c r="C117" s="8" t="n">
        <v>15015.85</v>
      </c>
      <c r="D117" s="8" t="n">
        <v>2023.3</v>
      </c>
      <c r="E117" s="8" t="n">
        <v>597.35</v>
      </c>
      <c r="F117" s="8" t="n">
        <v>776.55</v>
      </c>
      <c r="G117" s="8" t="n">
        <v>377.9</v>
      </c>
      <c r="H117" s="8" t="n">
        <v>470.15</v>
      </c>
      <c r="I117" s="8" t="n">
        <v>237.9</v>
      </c>
      <c r="J117" s="8" t="n">
        <v>1650.2</v>
      </c>
      <c r="K117" s="8" t="n">
        <v>642.68</v>
      </c>
      <c r="L117" s="8" t="n">
        <v>777.55</v>
      </c>
      <c r="M117" s="8" t="n">
        <v>949.45</v>
      </c>
      <c r="N117" s="8" t="n">
        <v>458.24</v>
      </c>
      <c r="O117" s="8" t="n">
        <v>265.05</v>
      </c>
      <c r="P117" s="8" t="n">
        <v>1013.95</v>
      </c>
      <c r="Q117" s="8" t="n">
        <v>300.85</v>
      </c>
      <c r="R117" s="8" t="n">
        <v>753.7</v>
      </c>
      <c r="S117" s="8" t="n">
        <v>255.72</v>
      </c>
    </row>
    <row r="118" customFormat="false" ht="15" hidden="false" customHeight="false" outlineLevel="0" collapsed="false">
      <c r="A118" s="7" t="n">
        <v>44970</v>
      </c>
      <c r="B118" s="8" t="n">
        <v>17770.9</v>
      </c>
      <c r="C118" s="8" t="n">
        <v>14900.5</v>
      </c>
      <c r="D118" s="8" t="n">
        <v>2015.15</v>
      </c>
      <c r="E118" s="8" t="n">
        <v>591.05</v>
      </c>
      <c r="F118" s="8" t="n">
        <v>762.05</v>
      </c>
      <c r="G118" s="8" t="n">
        <v>369.9</v>
      </c>
      <c r="H118" s="8" t="n">
        <v>470.85</v>
      </c>
      <c r="I118" s="8" t="n">
        <v>230.2</v>
      </c>
      <c r="J118" s="8" t="n">
        <v>1625.8</v>
      </c>
      <c r="K118" s="8" t="n">
        <v>633.69</v>
      </c>
      <c r="L118" s="8" t="n">
        <v>771.2</v>
      </c>
      <c r="M118" s="8" t="n">
        <v>916.3</v>
      </c>
      <c r="N118" s="8" t="n">
        <v>453.97</v>
      </c>
      <c r="O118" s="8" t="n">
        <v>260.75</v>
      </c>
      <c r="P118" s="8" t="n">
        <v>1001.05</v>
      </c>
      <c r="Q118" s="8" t="n">
        <v>302.15</v>
      </c>
      <c r="R118" s="8" t="n">
        <v>742.5</v>
      </c>
      <c r="S118" s="8" t="n">
        <v>251.22</v>
      </c>
    </row>
    <row r="119" customFormat="false" ht="15" hidden="false" customHeight="false" outlineLevel="0" collapsed="false">
      <c r="A119" s="7" t="n">
        <v>44971</v>
      </c>
      <c r="B119" s="8" t="n">
        <v>17929.85</v>
      </c>
      <c r="C119" s="8" t="n">
        <v>14968.9</v>
      </c>
      <c r="D119" s="8" t="n">
        <v>1982.25</v>
      </c>
      <c r="E119" s="8" t="n">
        <v>590.4</v>
      </c>
      <c r="F119" s="8" t="n">
        <v>745.6</v>
      </c>
      <c r="G119" s="8" t="n">
        <v>371.4</v>
      </c>
      <c r="H119" s="8" t="n">
        <v>473.96</v>
      </c>
      <c r="I119" s="8" t="n">
        <v>222.95</v>
      </c>
      <c r="J119" s="8" t="n">
        <v>1511</v>
      </c>
      <c r="K119" s="8" t="n">
        <v>644.99</v>
      </c>
      <c r="L119" s="8" t="n">
        <v>776.15</v>
      </c>
      <c r="M119" s="8" t="n">
        <v>902.2</v>
      </c>
      <c r="N119" s="8" t="n">
        <v>450.71</v>
      </c>
      <c r="O119" s="8" t="n">
        <v>262.1</v>
      </c>
      <c r="P119" s="8" t="n">
        <v>1000.4</v>
      </c>
      <c r="Q119" s="8" t="n">
        <v>312.7</v>
      </c>
      <c r="R119" s="8" t="n">
        <v>747.75</v>
      </c>
      <c r="S119" s="8" t="n">
        <v>254.04</v>
      </c>
    </row>
    <row r="120" customFormat="false" ht="15" hidden="false" customHeight="false" outlineLevel="0" collapsed="false">
      <c r="A120" s="7" t="n">
        <v>44972</v>
      </c>
      <c r="B120" s="8" t="n">
        <v>18015.85</v>
      </c>
      <c r="C120" s="8" t="n">
        <v>15039.65</v>
      </c>
      <c r="D120" s="8" t="n">
        <v>1945.7</v>
      </c>
      <c r="E120" s="8" t="n">
        <v>594.8</v>
      </c>
      <c r="F120" s="8" t="n">
        <v>748</v>
      </c>
      <c r="G120" s="8" t="n">
        <v>372.7</v>
      </c>
      <c r="H120" s="8" t="n">
        <v>467.29</v>
      </c>
      <c r="I120" s="8" t="n">
        <v>218.35</v>
      </c>
      <c r="J120" s="8" t="n">
        <v>1514.6</v>
      </c>
      <c r="K120" s="8" t="n">
        <v>648.11</v>
      </c>
      <c r="L120" s="8" t="n">
        <v>782.65</v>
      </c>
      <c r="M120" s="8" t="n">
        <v>931.1</v>
      </c>
      <c r="N120" s="8" t="n">
        <v>440.71</v>
      </c>
      <c r="O120" s="8" t="n">
        <v>262.9</v>
      </c>
      <c r="P120" s="8" t="n">
        <v>998.9</v>
      </c>
      <c r="Q120" s="8" t="n">
        <v>315.1</v>
      </c>
      <c r="R120" s="8" t="n">
        <v>756.4</v>
      </c>
      <c r="S120" s="8" t="n">
        <v>254.54</v>
      </c>
    </row>
    <row r="121" customFormat="false" ht="15" hidden="false" customHeight="false" outlineLevel="0" collapsed="false">
      <c r="A121" s="7" t="n">
        <v>44973</v>
      </c>
      <c r="B121" s="8" t="n">
        <v>18035.85</v>
      </c>
      <c r="C121" s="8" t="n">
        <v>15083.75</v>
      </c>
      <c r="D121" s="8" t="n">
        <v>1896.05</v>
      </c>
      <c r="E121" s="8" t="n">
        <v>586.55</v>
      </c>
      <c r="F121" s="8" t="n">
        <v>735.15</v>
      </c>
      <c r="G121" s="8" t="n">
        <v>372.1</v>
      </c>
      <c r="H121" s="8" t="n">
        <v>485.56</v>
      </c>
      <c r="I121" s="8" t="n">
        <v>214.1</v>
      </c>
      <c r="J121" s="8" t="n">
        <v>1501.65</v>
      </c>
      <c r="K121" s="8" t="n">
        <v>642.86</v>
      </c>
      <c r="L121" s="8" t="n">
        <v>782.25</v>
      </c>
      <c r="M121" s="8" t="n">
        <v>952.15</v>
      </c>
      <c r="N121" s="8" t="n">
        <v>444.15</v>
      </c>
      <c r="O121" s="8" t="n">
        <v>267</v>
      </c>
      <c r="P121" s="8" t="n">
        <v>990.85</v>
      </c>
      <c r="Q121" s="8" t="n">
        <v>321.25</v>
      </c>
      <c r="R121" s="8" t="n">
        <v>760.05</v>
      </c>
      <c r="S121" s="8" t="n">
        <v>251.74</v>
      </c>
    </row>
    <row r="122" customFormat="false" ht="15" hidden="false" customHeight="false" outlineLevel="0" collapsed="false">
      <c r="A122" s="7" t="n">
        <v>44974</v>
      </c>
      <c r="B122" s="8" t="n">
        <v>17944.2</v>
      </c>
      <c r="C122" s="8" t="n">
        <v>15003.95</v>
      </c>
      <c r="D122" s="8" t="n">
        <v>1888.5</v>
      </c>
      <c r="E122" s="8" t="n">
        <v>578.85</v>
      </c>
      <c r="F122" s="8" t="n">
        <v>762.75</v>
      </c>
      <c r="G122" s="8" t="n">
        <v>366.3</v>
      </c>
      <c r="H122" s="8" t="n">
        <v>491.77</v>
      </c>
      <c r="I122" s="8" t="n">
        <v>214.65</v>
      </c>
      <c r="J122" s="8" t="n">
        <v>1471.05</v>
      </c>
      <c r="K122" s="8" t="n">
        <v>640.8</v>
      </c>
      <c r="L122" s="8" t="n">
        <v>779.35</v>
      </c>
      <c r="M122" s="8" t="n">
        <v>954.4</v>
      </c>
      <c r="N122" s="8" t="n">
        <v>442.07</v>
      </c>
      <c r="O122" s="8" t="n">
        <v>262.25</v>
      </c>
      <c r="P122" s="8" t="n">
        <v>981.25</v>
      </c>
      <c r="Q122" s="8" t="n">
        <v>314.3</v>
      </c>
      <c r="R122" s="8" t="n">
        <v>758.7</v>
      </c>
      <c r="S122" s="8" t="n">
        <v>246.82</v>
      </c>
    </row>
    <row r="123" customFormat="false" ht="15" hidden="false" customHeight="false" outlineLevel="0" collapsed="false">
      <c r="A123" s="7" t="n">
        <v>44977</v>
      </c>
      <c r="B123" s="8" t="n">
        <v>17844.6</v>
      </c>
      <c r="C123" s="8" t="n">
        <v>14938.65</v>
      </c>
      <c r="D123" s="8" t="n">
        <v>1911.35</v>
      </c>
      <c r="E123" s="8" t="n">
        <v>590</v>
      </c>
      <c r="F123" s="8" t="n">
        <v>756.2</v>
      </c>
      <c r="G123" s="8" t="n">
        <v>360.2</v>
      </c>
      <c r="H123" s="8" t="n">
        <v>481.08</v>
      </c>
      <c r="I123" s="8" t="n">
        <v>214.75</v>
      </c>
      <c r="J123" s="8" t="n">
        <v>1426.85</v>
      </c>
      <c r="K123" s="8" t="n">
        <v>635.87</v>
      </c>
      <c r="L123" s="8" t="n">
        <v>770.1</v>
      </c>
      <c r="M123" s="8" t="n">
        <v>1000.6</v>
      </c>
      <c r="N123" s="8" t="n">
        <v>439.01</v>
      </c>
      <c r="O123" s="8" t="n">
        <v>260.3</v>
      </c>
      <c r="P123" s="8" t="n">
        <v>990</v>
      </c>
      <c r="Q123" s="8" t="n">
        <v>312</v>
      </c>
      <c r="R123" s="8" t="n">
        <v>757.1</v>
      </c>
      <c r="S123" s="8" t="n">
        <v>247.44</v>
      </c>
    </row>
    <row r="124" customFormat="false" ht="15" hidden="false" customHeight="false" outlineLevel="0" collapsed="false">
      <c r="A124" s="7" t="n">
        <v>44978</v>
      </c>
      <c r="B124" s="8" t="n">
        <v>17826.7</v>
      </c>
      <c r="C124" s="8" t="n">
        <v>14913.95</v>
      </c>
      <c r="D124" s="8" t="n">
        <v>1900.8</v>
      </c>
      <c r="E124" s="8" t="n">
        <v>578.3</v>
      </c>
      <c r="F124" s="8" t="n">
        <v>734.9</v>
      </c>
      <c r="G124" s="8" t="n">
        <v>358.25</v>
      </c>
      <c r="H124" s="8" t="n">
        <v>472.64</v>
      </c>
      <c r="I124" s="8" t="n">
        <v>216.45</v>
      </c>
      <c r="J124" s="8" t="n">
        <v>1431.5</v>
      </c>
      <c r="K124" s="8" t="n">
        <v>637.06</v>
      </c>
      <c r="L124" s="8" t="n">
        <v>773.4</v>
      </c>
      <c r="M124" s="8" t="n">
        <v>988.35</v>
      </c>
      <c r="N124" s="8" t="n">
        <v>426.96</v>
      </c>
      <c r="O124" s="8" t="n">
        <v>256.1</v>
      </c>
      <c r="P124" s="8" t="n">
        <v>985.8</v>
      </c>
      <c r="Q124" s="8" t="n">
        <v>308.45</v>
      </c>
      <c r="R124" s="8" t="n">
        <v>745.6</v>
      </c>
      <c r="S124" s="8" t="n">
        <v>242.99</v>
      </c>
    </row>
    <row r="125" customFormat="false" ht="15" hidden="false" customHeight="false" outlineLevel="0" collapsed="false">
      <c r="A125" s="7" t="n">
        <v>44979</v>
      </c>
      <c r="B125" s="8" t="n">
        <v>17554.3</v>
      </c>
      <c r="C125" s="8" t="n">
        <v>14701.9</v>
      </c>
      <c r="D125" s="8" t="n">
        <v>1905.85</v>
      </c>
      <c r="E125" s="8" t="n">
        <v>564.05</v>
      </c>
      <c r="F125" s="8" t="n">
        <v>736.6</v>
      </c>
      <c r="G125" s="8" t="n">
        <v>353.25</v>
      </c>
      <c r="H125" s="8" t="n">
        <v>483.86</v>
      </c>
      <c r="I125" s="8" t="n">
        <v>206</v>
      </c>
      <c r="J125" s="8" t="n">
        <v>1406.5</v>
      </c>
      <c r="K125" s="8" t="n">
        <v>619.02</v>
      </c>
      <c r="L125" s="8" t="n">
        <v>765.4</v>
      </c>
      <c r="M125" s="8" t="n">
        <v>974.5</v>
      </c>
      <c r="N125" s="8" t="n">
        <v>423.22</v>
      </c>
      <c r="O125" s="8" t="n">
        <v>255.25</v>
      </c>
      <c r="P125" s="8" t="n">
        <v>971.5</v>
      </c>
      <c r="Q125" s="8" t="n">
        <v>297.1</v>
      </c>
      <c r="R125" s="8" t="n">
        <v>743.55</v>
      </c>
      <c r="S125" s="8" t="n">
        <v>241.61</v>
      </c>
    </row>
    <row r="126" customFormat="false" ht="15" hidden="false" customHeight="false" outlineLevel="0" collapsed="false">
      <c r="A126" s="7" t="n">
        <v>44980</v>
      </c>
      <c r="B126" s="8" t="n">
        <v>17511.25</v>
      </c>
      <c r="C126" s="8" t="n">
        <v>14666.75</v>
      </c>
      <c r="D126" s="8" t="n">
        <v>1909.85</v>
      </c>
      <c r="E126" s="8" t="n">
        <v>563.35</v>
      </c>
      <c r="F126" s="8" t="n">
        <v>754.8</v>
      </c>
      <c r="G126" s="8" t="n">
        <v>352.35</v>
      </c>
      <c r="H126" s="8" t="n">
        <v>488.99</v>
      </c>
      <c r="I126" s="8" t="n">
        <v>201.25</v>
      </c>
      <c r="J126" s="8" t="n">
        <v>1376.2</v>
      </c>
      <c r="K126" s="8" t="n">
        <v>619.39</v>
      </c>
      <c r="L126" s="8" t="n">
        <v>751.5</v>
      </c>
      <c r="M126" s="8" t="n">
        <v>992.9</v>
      </c>
      <c r="N126" s="8" t="n">
        <v>422.49</v>
      </c>
      <c r="O126" s="8" t="n">
        <v>255.55</v>
      </c>
      <c r="P126" s="8" t="n">
        <v>957.05</v>
      </c>
      <c r="Q126" s="8" t="n">
        <v>299.05</v>
      </c>
      <c r="R126" s="8" t="n">
        <v>739.2</v>
      </c>
      <c r="S126" s="8" t="n">
        <v>240.06</v>
      </c>
    </row>
    <row r="127" customFormat="false" ht="15" hidden="false" customHeight="false" outlineLevel="0" collapsed="false">
      <c r="A127" s="7" t="n">
        <v>44981</v>
      </c>
      <c r="B127" s="8" t="n">
        <v>17465.8</v>
      </c>
      <c r="C127" s="8" t="n">
        <v>14630.45</v>
      </c>
      <c r="D127" s="8" t="n">
        <v>1905.05</v>
      </c>
      <c r="E127" s="8" t="n">
        <v>566.45</v>
      </c>
      <c r="F127" s="8" t="n">
        <v>751.9</v>
      </c>
      <c r="G127" s="8" t="n">
        <v>350.55</v>
      </c>
      <c r="H127" s="8" t="n">
        <v>481.7</v>
      </c>
      <c r="I127" s="8" t="n">
        <v>198.8</v>
      </c>
      <c r="J127" s="8" t="n">
        <v>1390</v>
      </c>
      <c r="K127" s="8" t="n">
        <v>622.78</v>
      </c>
      <c r="L127" s="8" t="n">
        <v>762.85</v>
      </c>
      <c r="M127" s="8" t="n">
        <v>1001.15</v>
      </c>
      <c r="N127" s="8" t="n">
        <v>421.38</v>
      </c>
      <c r="O127" s="8" t="n">
        <v>256.85</v>
      </c>
      <c r="P127" s="8" t="n">
        <v>965.4</v>
      </c>
      <c r="Q127" s="8" t="n">
        <v>294.7</v>
      </c>
      <c r="R127" s="8" t="n">
        <v>746.35</v>
      </c>
      <c r="S127" s="8" t="n">
        <v>243.69</v>
      </c>
    </row>
    <row r="128" customFormat="false" ht="15" hidden="false" customHeight="false" outlineLevel="0" collapsed="false">
      <c r="A128" s="7" t="n">
        <v>44984</v>
      </c>
      <c r="B128" s="8" t="n">
        <v>17392.7</v>
      </c>
      <c r="C128" s="8" t="n">
        <v>14548.7</v>
      </c>
      <c r="D128" s="8" t="n">
        <v>1866.05</v>
      </c>
      <c r="E128" s="8" t="n">
        <v>570.2</v>
      </c>
      <c r="F128" s="8" t="n">
        <v>739.95</v>
      </c>
      <c r="G128" s="8" t="n">
        <v>350.5</v>
      </c>
      <c r="H128" s="8" t="n">
        <v>478.02</v>
      </c>
      <c r="I128" s="8" t="n">
        <v>190.95</v>
      </c>
      <c r="J128" s="8" t="n">
        <v>1395.6</v>
      </c>
      <c r="K128" s="8" t="n">
        <v>618.61</v>
      </c>
      <c r="L128" s="8" t="n">
        <v>762.15</v>
      </c>
      <c r="M128" s="8" t="n">
        <v>977.8</v>
      </c>
      <c r="N128" s="8" t="n">
        <v>413.95</v>
      </c>
      <c r="O128" s="8" t="n">
        <v>251.95</v>
      </c>
      <c r="P128" s="8" t="n">
        <v>958.75</v>
      </c>
      <c r="Q128" s="8" t="n">
        <v>291.7</v>
      </c>
      <c r="R128" s="8" t="n">
        <v>746.5</v>
      </c>
      <c r="S128" s="8" t="n">
        <v>240.58</v>
      </c>
    </row>
    <row r="129" customFormat="false" ht="15" hidden="false" customHeight="false" outlineLevel="0" collapsed="false">
      <c r="A129" s="7" t="n">
        <v>44985</v>
      </c>
      <c r="B129" s="8" t="n">
        <v>17303.95</v>
      </c>
      <c r="C129" s="8" t="n">
        <v>14518.75</v>
      </c>
      <c r="D129" s="8" t="n">
        <v>1827.9</v>
      </c>
      <c r="E129" s="8" t="n">
        <v>575.2</v>
      </c>
      <c r="F129" s="8" t="n">
        <v>724.65</v>
      </c>
      <c r="G129" s="8" t="n">
        <v>350.55</v>
      </c>
      <c r="H129" s="8" t="n">
        <v>494.63</v>
      </c>
      <c r="I129" s="8" t="n">
        <v>194.75</v>
      </c>
      <c r="J129" s="8" t="n">
        <v>1387.45</v>
      </c>
      <c r="K129" s="8" t="n">
        <v>610.38</v>
      </c>
      <c r="L129" s="8" t="n">
        <v>756.5</v>
      </c>
      <c r="M129" s="8" t="n">
        <v>964.95</v>
      </c>
      <c r="N129" s="8" t="n">
        <v>416.37</v>
      </c>
      <c r="O129" s="8" t="n">
        <v>251.8</v>
      </c>
      <c r="P129" s="8" t="n">
        <v>972.6</v>
      </c>
      <c r="Q129" s="8" t="n">
        <v>289.1</v>
      </c>
      <c r="R129" s="8" t="n">
        <v>750.45</v>
      </c>
      <c r="S129" s="8" t="n">
        <v>240.67</v>
      </c>
    </row>
    <row r="130" customFormat="false" ht="15" hidden="false" customHeight="false" outlineLevel="0" collapsed="false">
      <c r="A130" s="7" t="n">
        <v>44986</v>
      </c>
      <c r="B130" s="8" t="n">
        <v>17450.9</v>
      </c>
      <c r="C130" s="8" t="n">
        <v>14664.85</v>
      </c>
      <c r="D130" s="8" t="n">
        <v>1851.95</v>
      </c>
      <c r="E130" s="8" t="n">
        <v>576.9</v>
      </c>
      <c r="F130" s="8" t="n">
        <v>733.15</v>
      </c>
      <c r="G130" s="8" t="n">
        <v>356.85</v>
      </c>
      <c r="H130" s="8" t="n">
        <v>496.07</v>
      </c>
      <c r="I130" s="8" t="n">
        <v>194.45</v>
      </c>
      <c r="J130" s="8" t="n">
        <v>1397.25</v>
      </c>
      <c r="K130" s="8" t="n">
        <v>614.65</v>
      </c>
      <c r="L130" s="8" t="n">
        <v>766.75</v>
      </c>
      <c r="M130" s="8" t="n">
        <v>967.05</v>
      </c>
      <c r="N130" s="8" t="n">
        <v>423.85</v>
      </c>
      <c r="O130" s="8" t="n">
        <v>255.1</v>
      </c>
      <c r="P130" s="8" t="n">
        <v>960.4</v>
      </c>
      <c r="Q130" s="8" t="n">
        <v>292.1</v>
      </c>
      <c r="R130" s="8" t="n">
        <v>751.7</v>
      </c>
      <c r="S130" s="8" t="n">
        <v>244.33</v>
      </c>
    </row>
    <row r="131" customFormat="false" ht="15" hidden="false" customHeight="false" outlineLevel="0" collapsed="false">
      <c r="A131" s="7" t="n">
        <v>44987</v>
      </c>
      <c r="B131" s="8" t="n">
        <v>17321.9</v>
      </c>
      <c r="C131" s="8" t="n">
        <v>14587.25</v>
      </c>
      <c r="D131" s="8" t="n">
        <v>1836.3</v>
      </c>
      <c r="E131" s="8" t="n">
        <v>566.9</v>
      </c>
      <c r="F131" s="8" t="n">
        <v>754.4</v>
      </c>
      <c r="G131" s="8" t="n">
        <v>354.9</v>
      </c>
      <c r="H131" s="8" t="n">
        <v>488</v>
      </c>
      <c r="I131" s="8" t="n">
        <v>193.95</v>
      </c>
      <c r="J131" s="8" t="n">
        <v>1353</v>
      </c>
      <c r="K131" s="8" t="n">
        <v>607.47</v>
      </c>
      <c r="L131" s="8" t="n">
        <v>750</v>
      </c>
      <c r="M131" s="8" t="n">
        <v>990.15</v>
      </c>
      <c r="N131" s="8" t="n">
        <v>430.94</v>
      </c>
      <c r="O131" s="8" t="n">
        <v>252.55</v>
      </c>
      <c r="P131" s="8" t="n">
        <v>954.8</v>
      </c>
      <c r="Q131" s="8" t="n">
        <v>288.75</v>
      </c>
      <c r="R131" s="8" t="n">
        <v>747.3</v>
      </c>
      <c r="S131" s="8" t="n">
        <v>241.92</v>
      </c>
    </row>
    <row r="132" customFormat="false" ht="15" hidden="false" customHeight="false" outlineLevel="0" collapsed="false">
      <c r="A132" s="7" t="n">
        <v>44988</v>
      </c>
      <c r="B132" s="8" t="n">
        <v>17594.35</v>
      </c>
      <c r="C132" s="8" t="n">
        <v>14774.75</v>
      </c>
      <c r="D132" s="8" t="n">
        <v>1828</v>
      </c>
      <c r="E132" s="8" t="n">
        <v>563.75</v>
      </c>
      <c r="F132" s="8" t="n">
        <v>743.85</v>
      </c>
      <c r="G132" s="8" t="n">
        <v>358.85</v>
      </c>
      <c r="H132" s="8" t="n">
        <v>484.89</v>
      </c>
      <c r="I132" s="8" t="n">
        <v>199.45</v>
      </c>
      <c r="J132" s="8" t="n">
        <v>1366.35</v>
      </c>
      <c r="K132" s="8" t="n">
        <v>609.18</v>
      </c>
      <c r="L132" s="8" t="n">
        <v>750.2</v>
      </c>
      <c r="M132" s="8" t="n">
        <v>966.6</v>
      </c>
      <c r="N132" s="8" t="n">
        <v>433.47</v>
      </c>
      <c r="O132" s="8" t="n">
        <v>253.95</v>
      </c>
      <c r="P132" s="8" t="n">
        <v>950.2</v>
      </c>
      <c r="Q132" s="8" t="n">
        <v>291.6</v>
      </c>
      <c r="R132" s="8" t="n">
        <v>750.35</v>
      </c>
      <c r="S132" s="8" t="n">
        <v>243.38</v>
      </c>
    </row>
    <row r="133" customFormat="false" ht="15" hidden="false" customHeight="false" outlineLevel="0" collapsed="false">
      <c r="A133" s="7" t="n">
        <v>44991</v>
      </c>
      <c r="B133" s="8" t="n">
        <v>17711.45</v>
      </c>
      <c r="C133" s="8" t="n">
        <v>14881</v>
      </c>
      <c r="D133" s="8" t="n">
        <v>1827.25</v>
      </c>
      <c r="E133" s="8" t="n">
        <v>569.45</v>
      </c>
      <c r="F133" s="8" t="n">
        <v>746.8</v>
      </c>
      <c r="G133" s="8" t="n">
        <v>360</v>
      </c>
      <c r="H133" s="8" t="n">
        <v>486.76</v>
      </c>
      <c r="I133" s="8" t="n">
        <v>199.5</v>
      </c>
      <c r="J133" s="8" t="n">
        <v>1348.5</v>
      </c>
      <c r="K133" s="8" t="n">
        <v>612.65</v>
      </c>
      <c r="L133" s="8" t="n">
        <v>769.3</v>
      </c>
      <c r="M133" s="8" t="n">
        <v>959.35</v>
      </c>
      <c r="N133" s="8" t="n">
        <v>440.9</v>
      </c>
      <c r="O133" s="8" t="n">
        <v>256.2</v>
      </c>
      <c r="P133" s="8" t="n">
        <v>952.9</v>
      </c>
      <c r="Q133" s="8" t="n">
        <v>297.3</v>
      </c>
      <c r="R133" s="8" t="n">
        <v>757.15</v>
      </c>
      <c r="S133" s="8" t="n">
        <v>249.37</v>
      </c>
    </row>
    <row r="134" customFormat="false" ht="15" hidden="false" customHeight="false" outlineLevel="0" collapsed="false">
      <c r="A134" s="7" t="n">
        <v>44993</v>
      </c>
      <c r="B134" s="8" t="n">
        <v>17754.4</v>
      </c>
      <c r="C134" s="8" t="n">
        <v>14921.95</v>
      </c>
      <c r="D134" s="8" t="n">
        <v>1825.9</v>
      </c>
      <c r="E134" s="8" t="n">
        <v>564.35</v>
      </c>
      <c r="F134" s="8" t="n">
        <v>737.7</v>
      </c>
      <c r="G134" s="8" t="n">
        <v>359.15</v>
      </c>
      <c r="H134" s="8" t="n">
        <v>516.41</v>
      </c>
      <c r="I134" s="8" t="n">
        <v>200.2</v>
      </c>
      <c r="J134" s="8" t="n">
        <v>1336.45</v>
      </c>
      <c r="K134" s="8" t="n">
        <v>598.87</v>
      </c>
      <c r="L134" s="8" t="n">
        <v>766.6</v>
      </c>
      <c r="M134" s="8" t="n">
        <v>948.5</v>
      </c>
      <c r="N134" s="8" t="n">
        <v>436.29</v>
      </c>
      <c r="O134" s="8" t="n">
        <v>253.9</v>
      </c>
      <c r="P134" s="8" t="n">
        <v>948.4</v>
      </c>
      <c r="Q134" s="8" t="n">
        <v>294.65</v>
      </c>
      <c r="R134" s="8" t="n">
        <v>750.15</v>
      </c>
      <c r="S134" s="8" t="n">
        <v>254.09</v>
      </c>
    </row>
    <row r="135" customFormat="false" ht="15" hidden="false" customHeight="false" outlineLevel="0" collapsed="false">
      <c r="A135" s="7" t="n">
        <v>44994</v>
      </c>
      <c r="B135" s="8" t="n">
        <v>17589.6</v>
      </c>
      <c r="C135" s="8" t="n">
        <v>14803.95</v>
      </c>
      <c r="D135" s="8" t="n">
        <v>1818.6</v>
      </c>
      <c r="E135" s="8" t="n">
        <v>568.5</v>
      </c>
      <c r="F135" s="8" t="n">
        <v>680.25</v>
      </c>
      <c r="G135" s="8" t="n">
        <v>355</v>
      </c>
      <c r="H135" s="8" t="n">
        <v>523.45</v>
      </c>
      <c r="I135" s="8" t="n">
        <v>194.2</v>
      </c>
      <c r="J135" s="8" t="n">
        <v>1340.65</v>
      </c>
      <c r="K135" s="8" t="n">
        <v>589.33</v>
      </c>
      <c r="L135" s="8" t="n">
        <v>766.65</v>
      </c>
      <c r="M135" s="8" t="n">
        <v>940.25</v>
      </c>
      <c r="N135" s="8" t="n">
        <v>435.61</v>
      </c>
      <c r="O135" s="8" t="n">
        <v>250.85</v>
      </c>
      <c r="P135" s="8" t="n">
        <v>943.85</v>
      </c>
      <c r="Q135" s="8" t="n">
        <v>298.25</v>
      </c>
      <c r="R135" s="8" t="n">
        <v>767.1</v>
      </c>
      <c r="S135" s="8" t="n">
        <v>258.08</v>
      </c>
    </row>
    <row r="136" customFormat="false" ht="15" hidden="false" customHeight="false" outlineLevel="0" collapsed="false">
      <c r="A136" s="7" t="n">
        <v>44995</v>
      </c>
      <c r="B136" s="8" t="n">
        <v>17412.9</v>
      </c>
      <c r="C136" s="8" t="n">
        <v>14679.85</v>
      </c>
      <c r="D136" s="8" t="n">
        <v>1788.05</v>
      </c>
      <c r="E136" s="8" t="n">
        <v>557.1</v>
      </c>
      <c r="F136" s="8" t="n">
        <v>678.1</v>
      </c>
      <c r="G136" s="8" t="n">
        <v>351.25</v>
      </c>
      <c r="H136" s="8" t="n">
        <v>503.03</v>
      </c>
      <c r="I136" s="8" t="n">
        <v>196.35</v>
      </c>
      <c r="J136" s="8" t="n">
        <v>1331.9</v>
      </c>
      <c r="K136" s="8" t="n">
        <v>586.62</v>
      </c>
      <c r="L136" s="8" t="n">
        <v>752.75</v>
      </c>
      <c r="M136" s="8" t="n">
        <v>944.05</v>
      </c>
      <c r="N136" s="8" t="n">
        <v>423.42</v>
      </c>
      <c r="O136" s="8" t="n">
        <v>245.05</v>
      </c>
      <c r="P136" s="8" t="n">
        <v>942.75</v>
      </c>
      <c r="Q136" s="8" t="n">
        <v>295.35</v>
      </c>
      <c r="R136" s="8" t="n">
        <v>753.75</v>
      </c>
      <c r="S136" s="8" t="n">
        <v>253.93</v>
      </c>
    </row>
    <row r="137" customFormat="false" ht="15" hidden="false" customHeight="false" outlineLevel="0" collapsed="false">
      <c r="A137" s="7" t="n">
        <v>44998</v>
      </c>
      <c r="B137" s="8" t="n">
        <v>17154.3</v>
      </c>
      <c r="C137" s="8" t="n">
        <v>14454.45</v>
      </c>
      <c r="D137" s="8" t="n">
        <v>1764.1</v>
      </c>
      <c r="E137" s="8" t="n">
        <v>540</v>
      </c>
      <c r="F137" s="8" t="n">
        <v>675.55</v>
      </c>
      <c r="G137" s="8" t="n">
        <v>345.35</v>
      </c>
      <c r="H137" s="8" t="n">
        <v>484.6</v>
      </c>
      <c r="I137" s="8" t="n">
        <v>181.4</v>
      </c>
      <c r="J137" s="8" t="n">
        <v>1289.05</v>
      </c>
      <c r="K137" s="8" t="n">
        <v>582.56</v>
      </c>
      <c r="L137" s="8" t="n">
        <v>739.8</v>
      </c>
      <c r="M137" s="8" t="n">
        <v>914.8</v>
      </c>
      <c r="N137" s="8" t="n">
        <v>410.93</v>
      </c>
      <c r="O137" s="8" t="n">
        <v>238.5</v>
      </c>
      <c r="P137" s="8" t="n">
        <v>929.1</v>
      </c>
      <c r="Q137" s="8" t="n">
        <v>285.85</v>
      </c>
      <c r="R137" s="8" t="n">
        <v>735</v>
      </c>
      <c r="S137" s="8" t="n">
        <v>251.61</v>
      </c>
    </row>
    <row r="138" customFormat="false" ht="15" hidden="false" customHeight="false" outlineLevel="0" collapsed="false">
      <c r="A138" s="7" t="n">
        <v>44999</v>
      </c>
      <c r="B138" s="8" t="n">
        <v>17043.3</v>
      </c>
      <c r="C138" s="8" t="n">
        <v>14358.55</v>
      </c>
      <c r="D138" s="8" t="n">
        <v>1758.95</v>
      </c>
      <c r="E138" s="8" t="n">
        <v>528.4</v>
      </c>
      <c r="F138" s="8" t="n">
        <v>664.75</v>
      </c>
      <c r="G138" s="8" t="n">
        <v>345.5</v>
      </c>
      <c r="H138" s="8" t="n">
        <v>432.63</v>
      </c>
      <c r="I138" s="8" t="n">
        <v>177.05</v>
      </c>
      <c r="J138" s="8" t="n">
        <v>1290.25</v>
      </c>
      <c r="K138" s="8" t="n">
        <v>572.38</v>
      </c>
      <c r="L138" s="8" t="n">
        <v>744.2</v>
      </c>
      <c r="M138" s="8" t="n">
        <v>886.65</v>
      </c>
      <c r="N138" s="8" t="n">
        <v>408.07</v>
      </c>
      <c r="O138" s="8" t="n">
        <v>243.1</v>
      </c>
      <c r="P138" s="8" t="n">
        <v>924.15</v>
      </c>
      <c r="Q138" s="8" t="n">
        <v>282.7</v>
      </c>
      <c r="R138" s="8" t="n">
        <v>725.2</v>
      </c>
      <c r="S138" s="8" t="n">
        <v>247.8</v>
      </c>
    </row>
    <row r="139" customFormat="false" ht="15" hidden="false" customHeight="false" outlineLevel="0" collapsed="false">
      <c r="A139" s="7" t="n">
        <v>45000</v>
      </c>
      <c r="B139" s="8" t="n">
        <v>16972.15</v>
      </c>
      <c r="C139" s="8" t="n">
        <v>14320.3</v>
      </c>
      <c r="D139" s="8" t="n">
        <v>1753.4</v>
      </c>
      <c r="E139" s="8" t="n">
        <v>519.75</v>
      </c>
      <c r="F139" s="8" t="n">
        <v>671</v>
      </c>
      <c r="G139" s="8" t="n">
        <v>343.25</v>
      </c>
      <c r="H139" s="8" t="n">
        <v>432.59</v>
      </c>
      <c r="I139" s="8" t="n">
        <v>178.1</v>
      </c>
      <c r="J139" s="8" t="n">
        <v>1281.95</v>
      </c>
      <c r="K139" s="8" t="n">
        <v>571.1</v>
      </c>
      <c r="L139" s="8" t="n">
        <v>746</v>
      </c>
      <c r="M139" s="8" t="n">
        <v>896</v>
      </c>
      <c r="N139" s="8" t="n">
        <v>415.55</v>
      </c>
      <c r="O139" s="8" t="n">
        <v>241.95</v>
      </c>
      <c r="P139" s="8" t="n">
        <v>915.8</v>
      </c>
      <c r="Q139" s="8" t="n">
        <v>279.65</v>
      </c>
      <c r="R139" s="8" t="n">
        <v>733.35</v>
      </c>
      <c r="S139" s="8" t="n">
        <v>245.91</v>
      </c>
    </row>
    <row r="140" customFormat="false" ht="15" hidden="false" customHeight="false" outlineLevel="0" collapsed="false">
      <c r="A140" s="7" t="n">
        <v>45001</v>
      </c>
      <c r="B140" s="8" t="n">
        <v>16985.6</v>
      </c>
      <c r="C140" s="8" t="n">
        <v>14330.35</v>
      </c>
      <c r="D140" s="8" t="n">
        <v>1735.3</v>
      </c>
      <c r="E140" s="8" t="n">
        <v>521.15</v>
      </c>
      <c r="F140" s="8" t="n">
        <v>671.35</v>
      </c>
      <c r="G140" s="8" t="n">
        <v>347.1</v>
      </c>
      <c r="H140" s="8" t="n">
        <v>412.42</v>
      </c>
      <c r="I140" s="8" t="n">
        <v>174.9</v>
      </c>
      <c r="J140" s="8" t="n">
        <v>1244.05</v>
      </c>
      <c r="K140" s="8" t="n">
        <v>570.73</v>
      </c>
      <c r="L140" s="8" t="n">
        <v>746.65</v>
      </c>
      <c r="M140" s="8" t="n">
        <v>894.65</v>
      </c>
      <c r="N140" s="8" t="n">
        <v>416.23</v>
      </c>
      <c r="O140" s="8" t="n">
        <v>242.15</v>
      </c>
      <c r="P140" s="8" t="n">
        <v>930.3</v>
      </c>
      <c r="Q140" s="8" t="n">
        <v>281.3</v>
      </c>
      <c r="R140" s="8" t="n">
        <v>727.7</v>
      </c>
      <c r="S140" s="8" t="n">
        <v>250.04</v>
      </c>
    </row>
    <row r="141" customFormat="false" ht="15" hidden="false" customHeight="false" outlineLevel="0" collapsed="false">
      <c r="A141" s="7" t="n">
        <v>45002</v>
      </c>
      <c r="B141" s="8" t="n">
        <v>17100.05</v>
      </c>
      <c r="C141" s="8" t="n">
        <v>14420.85</v>
      </c>
      <c r="D141" s="8" t="n">
        <v>1662.2</v>
      </c>
      <c r="E141" s="8" t="n">
        <v>530.15</v>
      </c>
      <c r="F141" s="8" t="n">
        <v>669.1</v>
      </c>
      <c r="G141" s="8" t="n">
        <v>347.95</v>
      </c>
      <c r="H141" s="8" t="n">
        <v>421.04</v>
      </c>
      <c r="I141" s="8" t="n">
        <v>178</v>
      </c>
      <c r="J141" s="8" t="n">
        <v>1222.4</v>
      </c>
      <c r="K141" s="8" t="n">
        <v>572.46</v>
      </c>
      <c r="L141" s="8" t="n">
        <v>763.7</v>
      </c>
      <c r="M141" s="8" t="n">
        <v>903.2</v>
      </c>
      <c r="N141" s="8" t="n">
        <v>418.95</v>
      </c>
      <c r="O141" s="8" t="n">
        <v>235.8</v>
      </c>
      <c r="P141" s="8" t="n">
        <v>928.6</v>
      </c>
      <c r="Q141" s="8" t="n">
        <v>287.4</v>
      </c>
      <c r="R141" s="8" t="n">
        <v>723.95</v>
      </c>
      <c r="S141" s="8" t="n">
        <v>249.2</v>
      </c>
    </row>
    <row r="142" customFormat="false" ht="15" hidden="false" customHeight="false" outlineLevel="0" collapsed="false">
      <c r="A142" s="7" t="n">
        <v>45005</v>
      </c>
      <c r="B142" s="8" t="n">
        <v>16988.4</v>
      </c>
      <c r="C142" s="8" t="n">
        <v>14317.1</v>
      </c>
      <c r="D142" s="8" t="n">
        <v>1676.85</v>
      </c>
      <c r="E142" s="8" t="n">
        <v>530.2</v>
      </c>
      <c r="F142" s="8" t="n">
        <v>671.1</v>
      </c>
      <c r="G142" s="8" t="n">
        <v>344.8</v>
      </c>
      <c r="H142" s="8" t="n">
        <v>420.79</v>
      </c>
      <c r="I142" s="8" t="n">
        <v>179.15</v>
      </c>
      <c r="J142" s="8" t="n">
        <v>1293.2</v>
      </c>
      <c r="K142" s="8" t="n">
        <v>554.33</v>
      </c>
      <c r="L142" s="8" t="n">
        <v>745.95</v>
      </c>
      <c r="M142" s="8" t="n">
        <v>908.95</v>
      </c>
      <c r="N142" s="8" t="n">
        <v>412.97</v>
      </c>
      <c r="O142" s="8" t="n">
        <v>225.5</v>
      </c>
      <c r="P142" s="8" t="n">
        <v>946.1</v>
      </c>
      <c r="Q142" s="8" t="n">
        <v>275.7</v>
      </c>
      <c r="R142" s="8" t="n">
        <v>710.6</v>
      </c>
      <c r="S142" s="8" t="n">
        <v>243.94</v>
      </c>
    </row>
    <row r="143" customFormat="false" ht="15" hidden="false" customHeight="false" outlineLevel="0" collapsed="false">
      <c r="A143" s="7" t="n">
        <v>45006</v>
      </c>
      <c r="B143" s="8" t="n">
        <v>17107.5</v>
      </c>
      <c r="C143" s="8" t="n">
        <v>14411.3</v>
      </c>
      <c r="D143" s="8" t="n">
        <v>1690.4</v>
      </c>
      <c r="E143" s="8" t="n">
        <v>531.7</v>
      </c>
      <c r="F143" s="8" t="n">
        <v>693.75</v>
      </c>
      <c r="G143" s="8" t="n">
        <v>343.5</v>
      </c>
      <c r="H143" s="8" t="n">
        <v>414.95</v>
      </c>
      <c r="I143" s="8" t="n">
        <v>177.3</v>
      </c>
      <c r="J143" s="8" t="n">
        <v>1336.25</v>
      </c>
      <c r="K143" s="8" t="n">
        <v>570.23</v>
      </c>
      <c r="L143" s="8" t="n">
        <v>754.6</v>
      </c>
      <c r="M143" s="8" t="n">
        <v>950.25</v>
      </c>
      <c r="N143" s="8" t="n">
        <v>408.26</v>
      </c>
      <c r="O143" s="8" t="n">
        <v>229.55</v>
      </c>
      <c r="P143" s="8" t="n">
        <v>970.75</v>
      </c>
      <c r="Q143" s="8" t="n">
        <v>281.1</v>
      </c>
      <c r="R143" s="8" t="n">
        <v>717.45</v>
      </c>
      <c r="S143" s="8" t="n">
        <v>252.1</v>
      </c>
    </row>
    <row r="144" customFormat="false" ht="15" hidden="false" customHeight="false" outlineLevel="0" collapsed="false">
      <c r="A144" s="7" t="n">
        <v>45007</v>
      </c>
      <c r="B144" s="8" t="n">
        <v>17151.9</v>
      </c>
      <c r="C144" s="8" t="n">
        <v>14460</v>
      </c>
      <c r="D144" s="8" t="n">
        <v>1713.75</v>
      </c>
      <c r="E144" s="8" t="n">
        <v>547.8</v>
      </c>
      <c r="F144" s="8" t="n">
        <v>716.1</v>
      </c>
      <c r="G144" s="8" t="n">
        <v>340.95</v>
      </c>
      <c r="H144" s="8" t="n">
        <v>420.21</v>
      </c>
      <c r="I144" s="8" t="n">
        <v>179.5</v>
      </c>
      <c r="J144" s="8" t="n">
        <v>1374.95</v>
      </c>
      <c r="K144" s="8" t="n">
        <v>582.63</v>
      </c>
      <c r="L144" s="8" t="n">
        <v>747.1</v>
      </c>
      <c r="M144" s="8" t="n">
        <v>955.85</v>
      </c>
      <c r="N144" s="8" t="n">
        <v>417.35</v>
      </c>
      <c r="O144" s="8" t="n">
        <v>230.45</v>
      </c>
      <c r="P144" s="8" t="n">
        <v>971.65</v>
      </c>
      <c r="Q144" s="8" t="n">
        <v>285.2</v>
      </c>
      <c r="R144" s="8" t="n">
        <v>727.25</v>
      </c>
      <c r="S144" s="8" t="n">
        <v>249.23</v>
      </c>
    </row>
    <row r="145" customFormat="false" ht="15" hidden="false" customHeight="false" outlineLevel="0" collapsed="false">
      <c r="A145" s="7" t="n">
        <v>45008</v>
      </c>
      <c r="B145" s="8" t="n">
        <v>17076.9</v>
      </c>
      <c r="C145" s="8" t="n">
        <v>14403.6</v>
      </c>
      <c r="D145" s="8" t="n">
        <v>1700.85</v>
      </c>
      <c r="E145" s="8" t="n">
        <v>540.25</v>
      </c>
      <c r="F145" s="8" t="n">
        <v>692.15</v>
      </c>
      <c r="G145" s="8" t="n">
        <v>335.25</v>
      </c>
      <c r="H145" s="8" t="n">
        <v>422.94</v>
      </c>
      <c r="I145" s="8" t="n">
        <v>179.35</v>
      </c>
      <c r="J145" s="8" t="n">
        <v>1393.25</v>
      </c>
      <c r="K145" s="8" t="n">
        <v>582.51</v>
      </c>
      <c r="L145" s="8" t="n">
        <v>746.7</v>
      </c>
      <c r="M145" s="8" t="n">
        <v>935</v>
      </c>
      <c r="N145" s="8" t="n">
        <v>417.35</v>
      </c>
      <c r="O145" s="8" t="n">
        <v>227.7</v>
      </c>
      <c r="P145" s="8" t="n">
        <v>981.85</v>
      </c>
      <c r="Q145" s="8" t="n">
        <v>286.15</v>
      </c>
      <c r="R145" s="8" t="n">
        <v>720.2</v>
      </c>
      <c r="S145" s="8" t="n">
        <v>252.11</v>
      </c>
    </row>
    <row r="146" customFormat="false" ht="15" hidden="false" customHeight="false" outlineLevel="0" collapsed="false">
      <c r="A146" s="7" t="n">
        <v>45009</v>
      </c>
      <c r="B146" s="8" t="n">
        <v>16945.05</v>
      </c>
      <c r="C146" s="8" t="n">
        <v>14279</v>
      </c>
      <c r="D146" s="8" t="n">
        <v>1682.9</v>
      </c>
      <c r="E146" s="8" t="n">
        <v>524.9</v>
      </c>
      <c r="F146" s="8" t="n">
        <v>688.15</v>
      </c>
      <c r="G146" s="8" t="n">
        <v>320.65</v>
      </c>
      <c r="H146" s="8" t="n">
        <v>411.35</v>
      </c>
      <c r="I146" s="8" t="n">
        <v>173.2</v>
      </c>
      <c r="J146" s="8" t="n">
        <v>1338.65</v>
      </c>
      <c r="K146" s="8" t="n">
        <v>564.16</v>
      </c>
      <c r="L146" s="8" t="n">
        <v>727.65</v>
      </c>
      <c r="M146" s="8" t="n">
        <v>914.75</v>
      </c>
      <c r="N146" s="8" t="n">
        <v>412.49</v>
      </c>
      <c r="O146" s="8" t="n">
        <v>220.5</v>
      </c>
      <c r="P146" s="8" t="n">
        <v>962.35</v>
      </c>
      <c r="Q146" s="8" t="n">
        <v>279.1</v>
      </c>
      <c r="R146" s="8" t="n">
        <v>723.55</v>
      </c>
      <c r="S146" s="8" t="n">
        <v>246.64</v>
      </c>
    </row>
    <row r="147" customFormat="false" ht="15" hidden="false" customHeight="false" outlineLevel="0" collapsed="false">
      <c r="A147" s="7" t="n">
        <v>45012</v>
      </c>
      <c r="B147" s="8" t="n">
        <v>16985.7</v>
      </c>
      <c r="C147" s="8" t="n">
        <v>14262.7</v>
      </c>
      <c r="D147" s="8" t="n">
        <v>1622.4</v>
      </c>
      <c r="E147" s="8" t="n">
        <v>519.9</v>
      </c>
      <c r="F147" s="8" t="n">
        <v>678.5</v>
      </c>
      <c r="G147" s="8" t="n">
        <v>320.8</v>
      </c>
      <c r="H147" s="8" t="n">
        <v>387.91</v>
      </c>
      <c r="I147" s="8" t="n">
        <v>172.25</v>
      </c>
      <c r="J147" s="8" t="n">
        <v>1297.9</v>
      </c>
      <c r="K147" s="8" t="n">
        <v>558.54</v>
      </c>
      <c r="L147" s="8" t="n">
        <v>715.85</v>
      </c>
      <c r="M147" s="8" t="n">
        <v>898.1</v>
      </c>
      <c r="N147" s="8" t="n">
        <v>411.08</v>
      </c>
      <c r="O147" s="8" t="n">
        <v>218.15</v>
      </c>
      <c r="P147" s="8" t="n">
        <v>966</v>
      </c>
      <c r="Q147" s="8" t="n">
        <v>275.65</v>
      </c>
      <c r="R147" s="8" t="n">
        <v>718.25</v>
      </c>
      <c r="S147" s="8" t="n">
        <v>241.88</v>
      </c>
    </row>
    <row r="148" customFormat="false" ht="15" hidden="false" customHeight="false" outlineLevel="0" collapsed="false">
      <c r="A148" s="7" t="n">
        <v>45013</v>
      </c>
      <c r="B148" s="8" t="n">
        <v>16951.7</v>
      </c>
      <c r="C148" s="8" t="n">
        <v>14211.8</v>
      </c>
      <c r="D148" s="8" t="n">
        <v>1618.5</v>
      </c>
      <c r="E148" s="8" t="n">
        <v>518.85</v>
      </c>
      <c r="F148" s="8" t="n">
        <v>670</v>
      </c>
      <c r="G148" s="8" t="n">
        <v>318.65</v>
      </c>
      <c r="H148" s="8" t="n">
        <v>401.7</v>
      </c>
      <c r="I148" s="8" t="n">
        <v>174.95</v>
      </c>
      <c r="J148" s="8" t="n">
        <v>1331.5</v>
      </c>
      <c r="K148" s="8" t="n">
        <v>552.69</v>
      </c>
      <c r="L148" s="8" t="n">
        <v>732.15</v>
      </c>
      <c r="M148" s="8" t="n">
        <v>897.7</v>
      </c>
      <c r="N148" s="8" t="n">
        <v>423.56</v>
      </c>
      <c r="O148" s="8" t="n">
        <v>221.4</v>
      </c>
      <c r="P148" s="8" t="n">
        <v>966.3</v>
      </c>
      <c r="Q148" s="8" t="n">
        <v>282.4</v>
      </c>
      <c r="R148" s="8" t="n">
        <v>711.1</v>
      </c>
      <c r="S148" s="8" t="n">
        <v>245.18</v>
      </c>
    </row>
    <row r="149" customFormat="false" ht="15" hidden="false" customHeight="false" outlineLevel="0" collapsed="false">
      <c r="A149" s="7" t="n">
        <v>45014</v>
      </c>
      <c r="B149" s="8" t="n">
        <v>17080.7</v>
      </c>
      <c r="C149" s="8" t="n">
        <v>14345.6</v>
      </c>
      <c r="D149" s="8" t="n">
        <v>1606.4</v>
      </c>
      <c r="E149" s="8" t="n">
        <v>515.4</v>
      </c>
      <c r="F149" s="8" t="n">
        <v>705.45</v>
      </c>
      <c r="G149" s="8" t="n">
        <v>322.55</v>
      </c>
      <c r="H149" s="8" t="n">
        <v>402.03</v>
      </c>
      <c r="I149" s="8" t="n">
        <v>181.3</v>
      </c>
      <c r="J149" s="8" t="n">
        <v>1346.85</v>
      </c>
      <c r="K149" s="8" t="n">
        <v>561.76</v>
      </c>
      <c r="L149" s="8" t="n">
        <v>747.85</v>
      </c>
      <c r="M149" s="8" t="n">
        <v>891.5</v>
      </c>
      <c r="N149" s="8" t="n">
        <v>454.35</v>
      </c>
      <c r="O149" s="8" t="n">
        <v>226.7</v>
      </c>
      <c r="P149" s="8" t="n">
        <v>974.7</v>
      </c>
      <c r="Q149" s="8" t="n">
        <v>288.55</v>
      </c>
      <c r="R149" s="8" t="n">
        <v>720.15</v>
      </c>
      <c r="S149" s="8" t="n">
        <v>250.36</v>
      </c>
    </row>
    <row r="150" customFormat="false" ht="15" hidden="false" customHeight="false" outlineLevel="0" collapsed="false">
      <c r="A150" s="7" t="n">
        <v>45016</v>
      </c>
      <c r="B150" s="8" t="n">
        <v>17359.75</v>
      </c>
      <c r="C150" s="8" t="n">
        <v>14557.85</v>
      </c>
      <c r="D150" s="8" t="n">
        <v>1610.75</v>
      </c>
      <c r="E150" s="8" t="n">
        <v>529.2</v>
      </c>
      <c r="F150" s="8" t="n">
        <v>742.55</v>
      </c>
      <c r="G150" s="8" t="n">
        <v>328.75</v>
      </c>
      <c r="H150" s="8" t="n">
        <v>425.01</v>
      </c>
      <c r="I150" s="8" t="n">
        <v>179.75</v>
      </c>
      <c r="J150" s="8" t="n">
        <v>1329.45</v>
      </c>
      <c r="K150" s="8" t="n">
        <v>560.91</v>
      </c>
      <c r="L150" s="8" t="n">
        <v>761.3</v>
      </c>
      <c r="M150" s="8" t="n">
        <v>915.2</v>
      </c>
      <c r="N150" s="8" t="n">
        <v>474.12</v>
      </c>
      <c r="O150" s="8" t="n">
        <v>231.65</v>
      </c>
      <c r="P150" s="8" t="n">
        <v>979.95</v>
      </c>
      <c r="Q150" s="8" t="n">
        <v>292.5</v>
      </c>
      <c r="R150" s="8" t="n">
        <v>740.2</v>
      </c>
      <c r="S150" s="8" t="n">
        <v>251.88</v>
      </c>
    </row>
    <row r="151" customFormat="false" ht="15" hidden="false" customHeight="false" outlineLevel="0" collapsed="false">
      <c r="A151" s="7" t="n">
        <v>45019</v>
      </c>
      <c r="B151" s="8" t="n">
        <v>17398.05</v>
      </c>
      <c r="C151" s="8" t="n">
        <v>14601.95</v>
      </c>
      <c r="D151" s="8" t="n">
        <v>1631.5</v>
      </c>
      <c r="E151" s="8" t="n">
        <v>545.4</v>
      </c>
      <c r="F151" s="8" t="n">
        <v>718.7</v>
      </c>
      <c r="G151" s="8" t="n">
        <v>333.55</v>
      </c>
      <c r="H151" s="8" t="n">
        <v>447.99</v>
      </c>
      <c r="I151" s="8" t="n">
        <v>183.05</v>
      </c>
      <c r="J151" s="8" t="n">
        <v>1344.7</v>
      </c>
      <c r="K151" s="8" t="n">
        <v>570.73</v>
      </c>
      <c r="L151" s="8" t="n">
        <v>778.6</v>
      </c>
      <c r="M151" s="8" t="n">
        <v>926.15</v>
      </c>
      <c r="N151" s="8" t="n">
        <v>457.17</v>
      </c>
      <c r="O151" s="8" t="n">
        <v>238</v>
      </c>
      <c r="P151" s="8" t="n">
        <v>981.2</v>
      </c>
      <c r="Q151" s="8" t="n">
        <v>291.15</v>
      </c>
      <c r="R151" s="8" t="n">
        <v>747.25</v>
      </c>
      <c r="S151" s="8" t="n">
        <v>257.29</v>
      </c>
    </row>
    <row r="152" customFormat="false" ht="15" hidden="false" customHeight="false" outlineLevel="0" collapsed="false">
      <c r="A152" s="7" t="n">
        <v>45021</v>
      </c>
      <c r="B152" s="8" t="n">
        <v>17557.05</v>
      </c>
      <c r="C152" s="8" t="n">
        <v>14709.4</v>
      </c>
      <c r="D152" s="8" t="n">
        <v>1671.65</v>
      </c>
      <c r="E152" s="8" t="n">
        <v>544.2</v>
      </c>
      <c r="F152" s="8" t="n">
        <v>711.25</v>
      </c>
      <c r="G152" s="8" t="n">
        <v>328.35</v>
      </c>
      <c r="H152" s="8" t="n">
        <v>463.15</v>
      </c>
      <c r="I152" s="8" t="n">
        <v>182.2</v>
      </c>
      <c r="J152" s="8" t="n">
        <v>1391.05</v>
      </c>
      <c r="K152" s="8" t="n">
        <v>575.35</v>
      </c>
      <c r="L152" s="8" t="n">
        <v>782.65</v>
      </c>
      <c r="M152" s="8" t="n">
        <v>956.15</v>
      </c>
      <c r="N152" s="8" t="n">
        <v>447.55</v>
      </c>
      <c r="O152" s="8" t="n">
        <v>239.5</v>
      </c>
      <c r="P152" s="8" t="n">
        <v>989.75</v>
      </c>
      <c r="Q152" s="8" t="n">
        <v>291.05</v>
      </c>
      <c r="R152" s="8" t="n">
        <v>740.1</v>
      </c>
      <c r="S152" s="8" t="n">
        <v>257.81</v>
      </c>
    </row>
    <row r="153" customFormat="false" ht="15" hidden="false" customHeight="false" outlineLevel="0" collapsed="false">
      <c r="A153" s="7" t="n">
        <v>45022</v>
      </c>
      <c r="B153" s="8" t="n">
        <v>17599.15</v>
      </c>
      <c r="C153" s="8" t="n">
        <v>14759.2</v>
      </c>
      <c r="D153" s="8" t="n">
        <v>1635.7</v>
      </c>
      <c r="E153" s="8" t="n">
        <v>567.15</v>
      </c>
      <c r="F153" s="8" t="n">
        <v>705</v>
      </c>
      <c r="G153" s="8" t="n">
        <v>336.7</v>
      </c>
      <c r="H153" s="8" t="n">
        <v>458.9</v>
      </c>
      <c r="I153" s="8" t="n">
        <v>182</v>
      </c>
      <c r="J153" s="8" t="n">
        <v>1420.2</v>
      </c>
      <c r="K153" s="8" t="n">
        <v>592.41</v>
      </c>
      <c r="L153" s="8" t="n">
        <v>841.4</v>
      </c>
      <c r="M153" s="8" t="n">
        <v>953.8</v>
      </c>
      <c r="N153" s="8" t="n">
        <v>462.13</v>
      </c>
      <c r="O153" s="8" t="n">
        <v>252.15</v>
      </c>
      <c r="P153" s="8" t="n">
        <v>1020.15</v>
      </c>
      <c r="Q153" s="8" t="n">
        <v>290</v>
      </c>
      <c r="R153" s="8" t="n">
        <v>750.65</v>
      </c>
      <c r="S153" s="8" t="n">
        <v>260.77</v>
      </c>
    </row>
    <row r="154" customFormat="false" ht="15" hidden="false" customHeight="false" outlineLevel="0" collapsed="false">
      <c r="A154" s="7" t="n">
        <v>45026</v>
      </c>
      <c r="B154" s="8" t="n">
        <v>17624.05</v>
      </c>
      <c r="C154" s="8" t="n">
        <v>14790.55</v>
      </c>
      <c r="D154" s="8" t="n">
        <v>1673.15</v>
      </c>
      <c r="E154" s="8" t="n">
        <v>582.15</v>
      </c>
      <c r="F154" s="8" t="n">
        <v>692.1</v>
      </c>
      <c r="G154" s="8" t="n">
        <v>333.45</v>
      </c>
      <c r="H154" s="8" t="n">
        <v>450.25</v>
      </c>
      <c r="I154" s="8" t="n">
        <v>189.05</v>
      </c>
      <c r="J154" s="8" t="n">
        <v>1395.85</v>
      </c>
      <c r="K154" s="8" t="n">
        <v>582.09</v>
      </c>
      <c r="L154" s="8" t="n">
        <v>829.2</v>
      </c>
      <c r="M154" s="8" t="n">
        <v>959.35</v>
      </c>
      <c r="N154" s="8" t="n">
        <v>456.93</v>
      </c>
      <c r="O154" s="8" t="n">
        <v>250.9</v>
      </c>
      <c r="P154" s="8" t="n">
        <v>1027.95</v>
      </c>
      <c r="Q154" s="8" t="n">
        <v>286.25</v>
      </c>
      <c r="R154" s="8" t="n">
        <v>739.5</v>
      </c>
      <c r="S154" s="8" t="n">
        <v>260.95</v>
      </c>
    </row>
    <row r="155" customFormat="false" ht="15" hidden="false" customHeight="false" outlineLevel="0" collapsed="false">
      <c r="A155" s="7" t="n">
        <v>45027</v>
      </c>
      <c r="B155" s="8" t="n">
        <v>17722.3</v>
      </c>
      <c r="C155" s="8" t="n">
        <v>14867.25</v>
      </c>
      <c r="D155" s="8" t="n">
        <v>1692.3</v>
      </c>
      <c r="E155" s="8" t="n">
        <v>574.95</v>
      </c>
      <c r="F155" s="8" t="n">
        <v>708.85</v>
      </c>
      <c r="G155" s="8" t="n">
        <v>333.05</v>
      </c>
      <c r="H155" s="8" t="n">
        <v>444.05</v>
      </c>
      <c r="I155" s="8" t="n">
        <v>189.85</v>
      </c>
      <c r="J155" s="8" t="n">
        <v>1410.1</v>
      </c>
      <c r="K155" s="8" t="n">
        <v>582.98</v>
      </c>
      <c r="L155" s="8" t="n">
        <v>840.85</v>
      </c>
      <c r="M155" s="8" t="n">
        <v>950.15</v>
      </c>
      <c r="N155" s="8" t="n">
        <v>445.9</v>
      </c>
      <c r="O155" s="8" t="n">
        <v>251.4</v>
      </c>
      <c r="P155" s="8" t="n">
        <v>1027.75</v>
      </c>
      <c r="Q155" s="8" t="n">
        <v>289.15</v>
      </c>
      <c r="R155" s="8" t="n">
        <v>737.7</v>
      </c>
      <c r="S155" s="8" t="n">
        <v>259.06</v>
      </c>
    </row>
    <row r="156" customFormat="false" ht="15" hidden="false" customHeight="false" outlineLevel="0" collapsed="false">
      <c r="A156" s="7" t="n">
        <v>45028</v>
      </c>
      <c r="B156" s="8" t="n">
        <v>17812.4</v>
      </c>
      <c r="C156" s="8" t="n">
        <v>14941.55</v>
      </c>
      <c r="D156" s="8" t="n">
        <v>1741.85</v>
      </c>
      <c r="E156" s="8" t="n">
        <v>569.6</v>
      </c>
      <c r="F156" s="8" t="n">
        <v>714.85</v>
      </c>
      <c r="G156" s="8" t="n">
        <v>330.25</v>
      </c>
      <c r="H156" s="8" t="n">
        <v>438.85</v>
      </c>
      <c r="I156" s="8" t="n">
        <v>189.6</v>
      </c>
      <c r="J156" s="8" t="n">
        <v>1422.2</v>
      </c>
      <c r="K156" s="8" t="n">
        <v>584.9</v>
      </c>
      <c r="L156" s="8" t="n">
        <v>820.25</v>
      </c>
      <c r="M156" s="8" t="n">
        <v>941.55</v>
      </c>
      <c r="N156" s="8" t="n">
        <v>445.22</v>
      </c>
      <c r="O156" s="8" t="n">
        <v>255.15</v>
      </c>
      <c r="P156" s="8" t="n">
        <v>1025</v>
      </c>
      <c r="Q156" s="8" t="n">
        <v>289.2</v>
      </c>
      <c r="R156" s="8" t="n">
        <v>741.9</v>
      </c>
      <c r="S156" s="8" t="n">
        <v>261.8</v>
      </c>
    </row>
    <row r="157" customFormat="false" ht="15" hidden="false" customHeight="false" outlineLevel="0" collapsed="false">
      <c r="A157" s="7" t="n">
        <v>45029</v>
      </c>
      <c r="B157" s="8" t="n">
        <v>17828</v>
      </c>
      <c r="C157" s="8" t="n">
        <v>14954.25</v>
      </c>
      <c r="D157" s="8" t="n">
        <v>1792.45</v>
      </c>
      <c r="E157" s="8" t="n">
        <v>566.75</v>
      </c>
      <c r="F157" s="8" t="n">
        <v>716.4</v>
      </c>
      <c r="G157" s="8" t="n">
        <v>327.4</v>
      </c>
      <c r="H157" s="8" t="n">
        <v>423.45</v>
      </c>
      <c r="I157" s="8" t="n">
        <v>189.25</v>
      </c>
      <c r="J157" s="8" t="n">
        <v>1468.85</v>
      </c>
      <c r="K157" s="8" t="n">
        <v>589.64</v>
      </c>
      <c r="L157" s="8" t="n">
        <v>820.95</v>
      </c>
      <c r="M157" s="8" t="n">
        <v>954.95</v>
      </c>
      <c r="N157" s="8" t="n">
        <v>447.6</v>
      </c>
      <c r="O157" s="8" t="n">
        <v>259.4</v>
      </c>
      <c r="P157" s="8" t="n">
        <v>1033.35</v>
      </c>
      <c r="Q157" s="8" t="n">
        <v>292.9</v>
      </c>
      <c r="R157" s="8" t="n">
        <v>758.75</v>
      </c>
      <c r="S157" s="8" t="n">
        <v>259.32</v>
      </c>
    </row>
    <row r="158" customFormat="false" ht="15" hidden="false" customHeight="false" outlineLevel="0" collapsed="false">
      <c r="A158" s="7" t="n">
        <v>45033</v>
      </c>
      <c r="B158" s="8" t="n">
        <v>17706.85</v>
      </c>
      <c r="C158" s="8" t="n">
        <v>14904.3</v>
      </c>
      <c r="D158" s="8" t="n">
        <v>1794.65</v>
      </c>
      <c r="E158" s="8" t="n">
        <v>570.4</v>
      </c>
      <c r="F158" s="8" t="n">
        <v>720.2</v>
      </c>
      <c r="G158" s="8" t="n">
        <v>332</v>
      </c>
      <c r="H158" s="8" t="n">
        <v>411.55</v>
      </c>
      <c r="I158" s="8" t="n">
        <v>190.45</v>
      </c>
      <c r="J158" s="8" t="n">
        <v>1440.05</v>
      </c>
      <c r="K158" s="8" t="n">
        <v>595.33</v>
      </c>
      <c r="L158" s="8" t="n">
        <v>836.45</v>
      </c>
      <c r="M158" s="8" t="n">
        <v>943</v>
      </c>
      <c r="N158" s="8" t="n">
        <v>445.71</v>
      </c>
      <c r="O158" s="8" t="n">
        <v>260.65</v>
      </c>
      <c r="P158" s="8" t="n">
        <v>1048.85</v>
      </c>
      <c r="Q158" s="8" t="n">
        <v>302.2</v>
      </c>
      <c r="R158" s="8" t="n">
        <v>762.15</v>
      </c>
      <c r="S158" s="8" t="n">
        <v>264.27</v>
      </c>
    </row>
    <row r="159" customFormat="false" ht="15" hidden="false" customHeight="false" outlineLevel="0" collapsed="false">
      <c r="A159" s="7" t="n">
        <v>45034</v>
      </c>
      <c r="B159" s="8" t="n">
        <v>17660.15</v>
      </c>
      <c r="C159" s="8" t="n">
        <v>14897</v>
      </c>
      <c r="D159" s="8" t="n">
        <v>1746.9</v>
      </c>
      <c r="E159" s="8" t="n">
        <v>562.45</v>
      </c>
      <c r="F159" s="8" t="n">
        <v>729.35</v>
      </c>
      <c r="G159" s="8" t="n">
        <v>332.4</v>
      </c>
      <c r="H159" s="8" t="n">
        <v>412.8</v>
      </c>
      <c r="I159" s="8" t="n">
        <v>183.9</v>
      </c>
      <c r="J159" s="8" t="n">
        <v>1418.25</v>
      </c>
      <c r="K159" s="8" t="n">
        <v>590.76</v>
      </c>
      <c r="L159" s="8" t="n">
        <v>839.6</v>
      </c>
      <c r="M159" s="8" t="n">
        <v>980.1</v>
      </c>
      <c r="N159" s="8" t="n">
        <v>447.65</v>
      </c>
      <c r="O159" s="8" t="n">
        <v>259.7</v>
      </c>
      <c r="P159" s="8" t="n">
        <v>1050.2</v>
      </c>
      <c r="Q159" s="8" t="n">
        <v>309.4</v>
      </c>
      <c r="R159" s="8" t="n">
        <v>770.05</v>
      </c>
      <c r="S159" s="8" t="n">
        <v>267.84</v>
      </c>
    </row>
    <row r="160" customFormat="false" ht="15" hidden="false" customHeight="false" outlineLevel="0" collapsed="false">
      <c r="A160" s="7" t="n">
        <v>45035</v>
      </c>
      <c r="B160" s="8" t="n">
        <v>17618.75</v>
      </c>
      <c r="C160" s="8" t="n">
        <v>14856.9</v>
      </c>
      <c r="D160" s="8" t="n">
        <v>1759.7</v>
      </c>
      <c r="E160" s="8" t="n">
        <v>564.55</v>
      </c>
      <c r="F160" s="8" t="n">
        <v>711.15</v>
      </c>
      <c r="G160" s="8" t="n">
        <v>330.9</v>
      </c>
      <c r="H160" s="8" t="n">
        <v>417.35</v>
      </c>
      <c r="I160" s="8" t="n">
        <v>187.9</v>
      </c>
      <c r="J160" s="8" t="n">
        <v>1451.6</v>
      </c>
      <c r="K160" s="8" t="n">
        <v>593.97</v>
      </c>
      <c r="L160" s="8" t="n">
        <v>846.9</v>
      </c>
      <c r="M160" s="8" t="n">
        <v>982.95</v>
      </c>
      <c r="N160" s="8" t="n">
        <v>442.75</v>
      </c>
      <c r="O160" s="8" t="n">
        <v>261</v>
      </c>
      <c r="P160" s="8" t="n">
        <v>1042.1</v>
      </c>
      <c r="Q160" s="8" t="n">
        <v>311.1</v>
      </c>
      <c r="R160" s="8" t="n">
        <v>759.15</v>
      </c>
      <c r="S160" s="8" t="n">
        <v>273.31</v>
      </c>
    </row>
    <row r="161" customFormat="false" ht="15" hidden="false" customHeight="false" outlineLevel="0" collapsed="false">
      <c r="A161" s="7" t="n">
        <v>45036</v>
      </c>
      <c r="B161" s="8" t="n">
        <v>17624.45</v>
      </c>
      <c r="C161" s="8" t="n">
        <v>14861.75</v>
      </c>
      <c r="D161" s="8" t="n">
        <v>1668.1</v>
      </c>
      <c r="E161" s="8" t="n">
        <v>563.35</v>
      </c>
      <c r="F161" s="8" t="n">
        <v>725.85</v>
      </c>
      <c r="G161" s="8" t="n">
        <v>332.25</v>
      </c>
      <c r="H161" s="8" t="n">
        <v>426.55</v>
      </c>
      <c r="I161" s="8" t="n">
        <v>187.1</v>
      </c>
      <c r="J161" s="8" t="n">
        <v>1431.55</v>
      </c>
      <c r="K161" s="8" t="n">
        <v>590.47</v>
      </c>
      <c r="L161" s="8" t="n">
        <v>843.3</v>
      </c>
      <c r="M161" s="8" t="n">
        <v>992.45</v>
      </c>
      <c r="N161" s="8" t="n">
        <v>446.88</v>
      </c>
      <c r="O161" s="8" t="n">
        <v>260.95</v>
      </c>
      <c r="P161" s="8" t="n">
        <v>1039.3</v>
      </c>
      <c r="Q161" s="8" t="n">
        <v>312.2</v>
      </c>
      <c r="R161" s="8" t="n">
        <v>753.75</v>
      </c>
      <c r="S161" s="8" t="n">
        <v>267.87</v>
      </c>
    </row>
    <row r="162" customFormat="false" ht="15" hidden="false" customHeight="false" outlineLevel="0" collapsed="false">
      <c r="A162" s="7" t="n">
        <v>45037</v>
      </c>
      <c r="B162" s="8" t="n">
        <v>17624.05</v>
      </c>
      <c r="C162" s="8" t="n">
        <v>14847.1</v>
      </c>
      <c r="D162" s="8" t="n">
        <v>1579</v>
      </c>
      <c r="E162" s="8" t="n">
        <v>562</v>
      </c>
      <c r="F162" s="8" t="n">
        <v>710.7</v>
      </c>
      <c r="G162" s="8" t="n">
        <v>331.2</v>
      </c>
      <c r="H162" s="8" t="n">
        <v>428.15</v>
      </c>
      <c r="I162" s="8" t="n">
        <v>186.25</v>
      </c>
      <c r="J162" s="8" t="n">
        <v>1421.35</v>
      </c>
      <c r="K162" s="8" t="n">
        <v>592.98</v>
      </c>
      <c r="L162" s="8" t="n">
        <v>837.35</v>
      </c>
      <c r="M162" s="8" t="n">
        <v>991.05</v>
      </c>
      <c r="N162" s="8" t="n">
        <v>439.88</v>
      </c>
      <c r="O162" s="8" t="n">
        <v>257.35</v>
      </c>
      <c r="P162" s="8" t="n">
        <v>1035.05</v>
      </c>
      <c r="Q162" s="8" t="n">
        <v>310.2</v>
      </c>
      <c r="R162" s="8" t="n">
        <v>762.35</v>
      </c>
      <c r="S162" s="8" t="n">
        <v>271.77</v>
      </c>
    </row>
    <row r="163" customFormat="false" ht="15" hidden="false" customHeight="false" outlineLevel="0" collapsed="false">
      <c r="A163" s="7" t="n">
        <v>45040</v>
      </c>
      <c r="B163" s="8" t="n">
        <v>17743.4</v>
      </c>
      <c r="C163" s="8" t="n">
        <v>14930.15</v>
      </c>
      <c r="D163" s="8" t="n">
        <v>1558.05</v>
      </c>
      <c r="E163" s="8" t="n">
        <v>577.1</v>
      </c>
      <c r="F163" s="8" t="n">
        <v>709.45</v>
      </c>
      <c r="G163" s="8" t="n">
        <v>338.2</v>
      </c>
      <c r="H163" s="8" t="n">
        <v>428.85</v>
      </c>
      <c r="I163" s="8" t="n">
        <v>185.85</v>
      </c>
      <c r="J163" s="8" t="n">
        <v>1408.1</v>
      </c>
      <c r="K163" s="8" t="n">
        <v>592.57</v>
      </c>
      <c r="L163" s="8" t="n">
        <v>840.35</v>
      </c>
      <c r="M163" s="8" t="n">
        <v>979.35</v>
      </c>
      <c r="N163" s="8" t="n">
        <v>441.82</v>
      </c>
      <c r="O163" s="8" t="n">
        <v>255.15</v>
      </c>
      <c r="P163" s="8" t="n">
        <v>1019.1</v>
      </c>
      <c r="Q163" s="8" t="n">
        <v>315.1</v>
      </c>
      <c r="R163" s="8" t="n">
        <v>772.75</v>
      </c>
      <c r="S163" s="8" t="n">
        <v>278.52</v>
      </c>
    </row>
    <row r="164" customFormat="false" ht="15" hidden="false" customHeight="false" outlineLevel="0" collapsed="false">
      <c r="A164" s="7" t="n">
        <v>45041</v>
      </c>
      <c r="B164" s="8" t="n">
        <v>17769.25</v>
      </c>
      <c r="C164" s="8" t="n">
        <v>14955.7</v>
      </c>
      <c r="D164" s="8" t="n">
        <v>1516.45</v>
      </c>
      <c r="E164" s="8" t="n">
        <v>584.15</v>
      </c>
      <c r="F164" s="8" t="n">
        <v>706.2</v>
      </c>
      <c r="G164" s="8" t="n">
        <v>338.9</v>
      </c>
      <c r="H164" s="8" t="n">
        <v>444.7</v>
      </c>
      <c r="I164" s="8" t="n">
        <v>187.1</v>
      </c>
      <c r="J164" s="8" t="n">
        <v>1451.6</v>
      </c>
      <c r="K164" s="8" t="n">
        <v>606.7</v>
      </c>
      <c r="L164" s="8" t="n">
        <v>838.55</v>
      </c>
      <c r="M164" s="8" t="n">
        <v>975.3</v>
      </c>
      <c r="N164" s="8" t="n">
        <v>447.6</v>
      </c>
      <c r="O164" s="8" t="n">
        <v>251.05</v>
      </c>
      <c r="P164" s="8" t="n">
        <v>1016.45</v>
      </c>
      <c r="Q164" s="8" t="n">
        <v>316.45</v>
      </c>
      <c r="R164" s="8" t="n">
        <v>772.65</v>
      </c>
      <c r="S164" s="8" t="n">
        <v>286.55</v>
      </c>
    </row>
    <row r="165" customFormat="false" ht="15" hidden="false" customHeight="false" outlineLevel="0" collapsed="false">
      <c r="A165" s="7" t="n">
        <v>45042</v>
      </c>
      <c r="B165" s="8" t="n">
        <v>17813.6</v>
      </c>
      <c r="C165" s="8" t="n">
        <v>14994.4</v>
      </c>
      <c r="D165" s="8" t="n">
        <v>1434.95</v>
      </c>
      <c r="E165" s="8" t="n">
        <v>585.15</v>
      </c>
      <c r="F165" s="8" t="n">
        <v>708.65</v>
      </c>
      <c r="G165" s="8" t="n">
        <v>340</v>
      </c>
      <c r="H165" s="8" t="n">
        <v>437.55</v>
      </c>
      <c r="I165" s="8" t="n">
        <v>186.95</v>
      </c>
      <c r="J165" s="8" t="n">
        <v>1464.7</v>
      </c>
      <c r="K165" s="8" t="n">
        <v>604.77</v>
      </c>
      <c r="L165" s="8" t="n">
        <v>838.3</v>
      </c>
      <c r="M165" s="8" t="n">
        <v>968.8</v>
      </c>
      <c r="N165" s="8" t="n">
        <v>460.52</v>
      </c>
      <c r="O165" s="8" t="n">
        <v>251.15</v>
      </c>
      <c r="P165" s="8" t="n">
        <v>1016.9</v>
      </c>
      <c r="Q165" s="8" t="n">
        <v>307.9</v>
      </c>
      <c r="R165" s="8" t="n">
        <v>776.2</v>
      </c>
      <c r="S165" s="8" t="n">
        <v>281.23</v>
      </c>
    </row>
    <row r="166" customFormat="false" ht="15" hidden="false" customHeight="false" outlineLevel="0" collapsed="false">
      <c r="A166" s="7" t="n">
        <v>45043</v>
      </c>
      <c r="B166" s="8" t="n">
        <v>17915.05</v>
      </c>
      <c r="C166" s="8" t="n">
        <v>15075.05</v>
      </c>
      <c r="D166" s="8" t="n">
        <v>1400.9</v>
      </c>
      <c r="E166" s="8" t="n">
        <v>593.2</v>
      </c>
      <c r="F166" s="8" t="n">
        <v>705.9</v>
      </c>
      <c r="G166" s="8" t="n">
        <v>339.75</v>
      </c>
      <c r="H166" s="8" t="n">
        <v>446</v>
      </c>
      <c r="I166" s="8" t="n">
        <v>189.2</v>
      </c>
      <c r="J166" s="8" t="n">
        <v>1442.45</v>
      </c>
      <c r="K166" s="8" t="n">
        <v>619.16</v>
      </c>
      <c r="L166" s="8" t="n">
        <v>854.4</v>
      </c>
      <c r="M166" s="8" t="n">
        <v>972.95</v>
      </c>
      <c r="N166" s="8" t="n">
        <v>469.46</v>
      </c>
      <c r="O166" s="8" t="n">
        <v>256.85</v>
      </c>
      <c r="P166" s="8" t="n">
        <v>1012.1</v>
      </c>
      <c r="Q166" s="8" t="n">
        <v>319.25</v>
      </c>
      <c r="R166" s="8" t="n">
        <v>784.2</v>
      </c>
      <c r="S166" s="8" t="n">
        <v>281.11</v>
      </c>
    </row>
    <row r="167" customFormat="false" ht="15" hidden="false" customHeight="false" outlineLevel="0" collapsed="false">
      <c r="A167" s="7" t="n">
        <v>45044</v>
      </c>
      <c r="B167" s="8" t="n">
        <v>18065</v>
      </c>
      <c r="C167" s="8" t="n">
        <v>15219.55</v>
      </c>
      <c r="D167" s="8" t="n">
        <v>1387.2</v>
      </c>
      <c r="E167" s="8" t="n">
        <v>616.7</v>
      </c>
      <c r="F167" s="8" t="n">
        <v>712.45</v>
      </c>
      <c r="G167" s="8" t="n">
        <v>344.2</v>
      </c>
      <c r="H167" s="8" t="n">
        <v>445.9</v>
      </c>
      <c r="I167" s="8" t="n">
        <v>190.25</v>
      </c>
      <c r="J167" s="8" t="n">
        <v>1460.8</v>
      </c>
      <c r="K167" s="8" t="n">
        <v>627.16</v>
      </c>
      <c r="L167" s="8" t="n">
        <v>871.1</v>
      </c>
      <c r="M167" s="8" t="n">
        <v>964.3</v>
      </c>
      <c r="N167" s="8" t="n">
        <v>466.01</v>
      </c>
      <c r="O167" s="8" t="n">
        <v>259</v>
      </c>
      <c r="P167" s="8" t="n">
        <v>1020.7</v>
      </c>
      <c r="Q167" s="8" t="n">
        <v>323.15</v>
      </c>
      <c r="R167" s="8" t="n">
        <v>772.25</v>
      </c>
      <c r="S167" s="8" t="n">
        <v>266.52</v>
      </c>
    </row>
    <row r="168" customFormat="false" ht="15" hidden="false" customHeight="false" outlineLevel="0" collapsed="false">
      <c r="A168" s="7" t="n">
        <v>45048</v>
      </c>
      <c r="B168" s="8" t="n">
        <v>18147.65</v>
      </c>
      <c r="C168" s="8" t="n">
        <v>15300.75</v>
      </c>
      <c r="D168" s="8" t="n">
        <v>1399.15</v>
      </c>
      <c r="E168" s="8" t="n">
        <v>627.3</v>
      </c>
      <c r="F168" s="8" t="n">
        <v>713.15</v>
      </c>
      <c r="G168" s="8" t="n">
        <v>355.15</v>
      </c>
      <c r="H168" s="8" t="n">
        <v>458.15</v>
      </c>
      <c r="I168" s="8" t="n">
        <v>190.5</v>
      </c>
      <c r="J168" s="8" t="n">
        <v>1449.25</v>
      </c>
      <c r="K168" s="8" t="n">
        <v>624.07</v>
      </c>
      <c r="L168" s="8" t="n">
        <v>874.7</v>
      </c>
      <c r="M168" s="8" t="n">
        <v>975.6</v>
      </c>
      <c r="N168" s="8" t="n">
        <v>453.58</v>
      </c>
      <c r="O168" s="8" t="n">
        <v>266.3</v>
      </c>
      <c r="P168" s="8" t="n">
        <v>1027.4</v>
      </c>
      <c r="Q168" s="8" t="n">
        <v>322.45</v>
      </c>
      <c r="R168" s="8" t="n">
        <v>781.95</v>
      </c>
      <c r="S168" s="8" t="n">
        <v>265.06</v>
      </c>
    </row>
    <row r="169" customFormat="false" ht="15" hidden="false" customHeight="false" outlineLevel="0" collapsed="false">
      <c r="A169" s="7" t="n">
        <v>45049</v>
      </c>
      <c r="B169" s="8" t="n">
        <v>18089.85</v>
      </c>
      <c r="C169" s="8" t="n">
        <v>15276.4</v>
      </c>
      <c r="D169" s="8" t="n">
        <v>1440.8</v>
      </c>
      <c r="E169" s="8" t="n">
        <v>633.55</v>
      </c>
      <c r="F169" s="8" t="n">
        <v>708.25</v>
      </c>
      <c r="G169" s="8" t="n">
        <v>355.8</v>
      </c>
      <c r="H169" s="8" t="n">
        <v>485.25</v>
      </c>
      <c r="I169" s="8" t="n">
        <v>192.6</v>
      </c>
      <c r="J169" s="8" t="n">
        <v>1451.55</v>
      </c>
      <c r="K169" s="8" t="n">
        <v>617.19</v>
      </c>
      <c r="L169" s="8" t="n">
        <v>886.6</v>
      </c>
      <c r="M169" s="8" t="n">
        <v>979.6</v>
      </c>
      <c r="N169" s="8" t="n">
        <v>451.54</v>
      </c>
      <c r="O169" s="8" t="n">
        <v>271.5</v>
      </c>
      <c r="P169" s="8" t="n">
        <v>1019.1</v>
      </c>
      <c r="Q169" s="8" t="n">
        <v>325.4</v>
      </c>
      <c r="R169" s="8" t="n">
        <v>786.7</v>
      </c>
      <c r="S169" s="8" t="n">
        <v>263.81</v>
      </c>
    </row>
    <row r="170" customFormat="false" ht="15" hidden="false" customHeight="false" outlineLevel="0" collapsed="false">
      <c r="A170" s="7" t="n">
        <v>45050</v>
      </c>
      <c r="B170" s="8" t="n">
        <v>18255.8</v>
      </c>
      <c r="C170" s="8" t="n">
        <v>15405.5</v>
      </c>
      <c r="D170" s="8" t="n">
        <v>1399.4</v>
      </c>
      <c r="E170" s="8" t="n">
        <v>637.4</v>
      </c>
      <c r="F170" s="8" t="n">
        <v>706.55</v>
      </c>
      <c r="G170" s="8" t="n">
        <v>370.05</v>
      </c>
      <c r="H170" s="8" t="n">
        <v>493.7</v>
      </c>
      <c r="I170" s="8" t="n">
        <v>197.75</v>
      </c>
      <c r="J170" s="8" t="n">
        <v>1459.1</v>
      </c>
      <c r="K170" s="8" t="n">
        <v>638.16</v>
      </c>
      <c r="L170" s="8" t="n">
        <v>950.2</v>
      </c>
      <c r="M170" s="8" t="n">
        <v>984.85</v>
      </c>
      <c r="N170" s="8" t="n">
        <v>456.25</v>
      </c>
      <c r="O170" s="8" t="n">
        <v>288.35</v>
      </c>
      <c r="P170" s="8" t="n">
        <v>1047.3</v>
      </c>
      <c r="Q170" s="8" t="n">
        <v>330.85</v>
      </c>
      <c r="R170" s="8" t="n">
        <v>796.55</v>
      </c>
      <c r="S170" s="8" t="n">
        <v>265.54</v>
      </c>
    </row>
    <row r="171" customFormat="false" ht="15" hidden="false" customHeight="false" outlineLevel="0" collapsed="false">
      <c r="A171" s="7" t="n">
        <v>45051</v>
      </c>
      <c r="B171" s="8" t="n">
        <v>18069</v>
      </c>
      <c r="C171" s="8" t="n">
        <v>15278.6</v>
      </c>
      <c r="D171" s="8" t="n">
        <v>1438.2</v>
      </c>
      <c r="E171" s="8" t="n">
        <v>643.75</v>
      </c>
      <c r="F171" s="8" t="n">
        <v>693.45</v>
      </c>
      <c r="G171" s="8" t="n">
        <v>364.6</v>
      </c>
      <c r="H171" s="8" t="n">
        <v>476.95</v>
      </c>
      <c r="I171" s="8" t="n">
        <v>191.45</v>
      </c>
      <c r="J171" s="8" t="n">
        <v>1445.7</v>
      </c>
      <c r="K171" s="8" t="n">
        <v>638.12</v>
      </c>
      <c r="L171" s="8" t="n">
        <v>991.85</v>
      </c>
      <c r="M171" s="8" t="n">
        <v>991.15</v>
      </c>
      <c r="N171" s="8" t="n">
        <v>451</v>
      </c>
      <c r="O171" s="8" t="n">
        <v>286.4</v>
      </c>
      <c r="P171" s="8" t="n">
        <v>1057.6</v>
      </c>
      <c r="Q171" s="8" t="n">
        <v>325.35</v>
      </c>
      <c r="R171" s="8" t="n">
        <v>800.6</v>
      </c>
      <c r="S171" s="8" t="n">
        <v>263.77</v>
      </c>
    </row>
    <row r="172" customFormat="false" ht="15" hidden="false" customHeight="false" outlineLevel="0" collapsed="false">
      <c r="A172" s="7" t="n">
        <v>45054</v>
      </c>
      <c r="B172" s="8" t="n">
        <v>18264.4</v>
      </c>
      <c r="C172" s="8" t="n">
        <v>15427.1</v>
      </c>
      <c r="D172" s="8" t="n">
        <v>1477</v>
      </c>
      <c r="E172" s="8" t="n">
        <v>657</v>
      </c>
      <c r="F172" s="8" t="n">
        <v>694.75</v>
      </c>
      <c r="G172" s="8" t="n">
        <v>370.85</v>
      </c>
      <c r="H172" s="8" t="n">
        <v>486.55</v>
      </c>
      <c r="I172" s="8" t="n">
        <v>200</v>
      </c>
      <c r="J172" s="8" t="n">
        <v>1463.65</v>
      </c>
      <c r="K172" s="8" t="n">
        <v>664.89</v>
      </c>
      <c r="L172" s="8" t="n">
        <v>1001.9</v>
      </c>
      <c r="M172" s="8" t="n">
        <v>988.35</v>
      </c>
      <c r="N172" s="8" t="n">
        <v>445.81</v>
      </c>
      <c r="O172" s="8" t="n">
        <v>294.15</v>
      </c>
      <c r="P172" s="8" t="n">
        <v>1067.75</v>
      </c>
      <c r="Q172" s="8" t="n">
        <v>326.25</v>
      </c>
      <c r="R172" s="8" t="n">
        <v>814.9</v>
      </c>
      <c r="S172" s="8" t="n">
        <v>269.58</v>
      </c>
    </row>
    <row r="173" customFormat="false" ht="15" hidden="false" customHeight="false" outlineLevel="0" collapsed="false">
      <c r="A173" s="7" t="n">
        <v>45055</v>
      </c>
      <c r="B173" s="8" t="n">
        <v>18265.95</v>
      </c>
      <c r="C173" s="8" t="n">
        <v>15420.6</v>
      </c>
      <c r="D173" s="8" t="n">
        <v>1489.9</v>
      </c>
      <c r="E173" s="8" t="n">
        <v>645.85</v>
      </c>
      <c r="F173" s="8" t="n">
        <v>711.95</v>
      </c>
      <c r="G173" s="8" t="n">
        <v>368.7</v>
      </c>
      <c r="H173" s="8" t="n">
        <v>469.6</v>
      </c>
      <c r="I173" s="8" t="n">
        <v>203.55</v>
      </c>
      <c r="J173" s="8" t="n">
        <v>1449.15</v>
      </c>
      <c r="K173" s="8" t="n">
        <v>654.33</v>
      </c>
      <c r="L173" s="8" t="n">
        <v>983.55</v>
      </c>
      <c r="M173" s="8" t="n">
        <v>1000.9</v>
      </c>
      <c r="N173" s="8" t="n">
        <v>437.4</v>
      </c>
      <c r="O173" s="8" t="n">
        <v>288.7</v>
      </c>
      <c r="P173" s="8" t="n">
        <v>1064.05</v>
      </c>
      <c r="Q173" s="8" t="n">
        <v>323.35</v>
      </c>
      <c r="R173" s="8" t="n">
        <v>820.7</v>
      </c>
      <c r="S173" s="8" t="n">
        <v>269.65</v>
      </c>
    </row>
    <row r="174" customFormat="false" ht="15" hidden="false" customHeight="false" outlineLevel="0" collapsed="false">
      <c r="A174" s="7" t="n">
        <v>45056</v>
      </c>
      <c r="B174" s="8" t="n">
        <v>18315.1</v>
      </c>
      <c r="C174" s="8" t="n">
        <v>15466.05</v>
      </c>
      <c r="D174" s="8" t="n">
        <v>1496.65</v>
      </c>
      <c r="E174" s="8" t="n">
        <v>646.45</v>
      </c>
      <c r="F174" s="8" t="n">
        <v>710.45</v>
      </c>
      <c r="G174" s="8" t="n">
        <v>372.45</v>
      </c>
      <c r="H174" s="8" t="n">
        <v>463.75</v>
      </c>
      <c r="I174" s="8" t="n">
        <v>205.55</v>
      </c>
      <c r="J174" s="8" t="n">
        <v>1468.1</v>
      </c>
      <c r="K174" s="8" t="n">
        <v>662.25</v>
      </c>
      <c r="L174" s="8" t="n">
        <v>989.6</v>
      </c>
      <c r="M174" s="8" t="n">
        <v>1030.95</v>
      </c>
      <c r="N174" s="8" t="n">
        <v>434.3</v>
      </c>
      <c r="O174" s="8" t="n">
        <v>285.85</v>
      </c>
      <c r="P174" s="8" t="n">
        <v>1068.2</v>
      </c>
      <c r="Q174" s="8" t="n">
        <v>323.15</v>
      </c>
      <c r="R174" s="8" t="n">
        <v>824.25</v>
      </c>
      <c r="S174" s="8" t="n">
        <v>270.61</v>
      </c>
    </row>
    <row r="175" customFormat="false" ht="15" hidden="false" customHeight="false" outlineLevel="0" collapsed="false">
      <c r="A175" s="7" t="n">
        <v>45057</v>
      </c>
      <c r="B175" s="8" t="n">
        <v>18297</v>
      </c>
      <c r="C175" s="8" t="n">
        <v>15484.05</v>
      </c>
      <c r="D175" s="8" t="n">
        <v>1460.1</v>
      </c>
      <c r="E175" s="8" t="n">
        <v>643.95</v>
      </c>
      <c r="F175" s="8" t="n">
        <v>716.95</v>
      </c>
      <c r="G175" s="8" t="n">
        <v>377.8</v>
      </c>
      <c r="H175" s="8" t="n">
        <v>472.9</v>
      </c>
      <c r="I175" s="8" t="n">
        <v>208.55</v>
      </c>
      <c r="J175" s="8" t="n">
        <v>1461.7</v>
      </c>
      <c r="K175" s="8" t="n">
        <v>665.44</v>
      </c>
      <c r="L175" s="8" t="n">
        <v>998.85</v>
      </c>
      <c r="M175" s="8" t="n">
        <v>1051.15</v>
      </c>
      <c r="N175" s="8" t="n">
        <v>429.49</v>
      </c>
      <c r="O175" s="8" t="n">
        <v>285.55</v>
      </c>
      <c r="P175" s="8" t="n">
        <v>1068.5</v>
      </c>
      <c r="Q175" s="8" t="n">
        <v>325.25</v>
      </c>
      <c r="R175" s="8" t="n">
        <v>865.65</v>
      </c>
      <c r="S175" s="8" t="n">
        <v>272.86</v>
      </c>
    </row>
    <row r="176" customFormat="false" ht="15" hidden="false" customHeight="false" outlineLevel="0" collapsed="false">
      <c r="A176" s="7" t="n">
        <v>45058</v>
      </c>
      <c r="B176" s="8" t="n">
        <v>18314.8</v>
      </c>
      <c r="C176" s="8" t="n">
        <v>15477.35</v>
      </c>
      <c r="D176" s="8" t="n">
        <v>1461.3</v>
      </c>
      <c r="E176" s="8" t="n">
        <v>643.65</v>
      </c>
      <c r="F176" s="8" t="n">
        <v>725.35</v>
      </c>
      <c r="G176" s="8" t="n">
        <v>374.95</v>
      </c>
      <c r="H176" s="8" t="n">
        <v>469.25</v>
      </c>
      <c r="I176" s="8" t="n">
        <v>202.9</v>
      </c>
      <c r="J176" s="8" t="n">
        <v>1447.2</v>
      </c>
      <c r="K176" s="8" t="n">
        <v>670.53</v>
      </c>
      <c r="L176" s="8" t="n">
        <v>1005.05</v>
      </c>
      <c r="M176" s="8" t="n">
        <v>1032.55</v>
      </c>
      <c r="N176" s="8" t="n">
        <v>428.37</v>
      </c>
      <c r="O176" s="8" t="n">
        <v>281.8</v>
      </c>
      <c r="P176" s="8" t="n">
        <v>1059.7</v>
      </c>
      <c r="Q176" s="8" t="n">
        <v>325.05</v>
      </c>
      <c r="R176" s="8" t="n">
        <v>866.85</v>
      </c>
      <c r="S176" s="8" t="n">
        <v>269.95</v>
      </c>
    </row>
    <row r="177" customFormat="false" ht="15" hidden="false" customHeight="false" outlineLevel="0" collapsed="false">
      <c r="A177" s="7" t="n">
        <v>45061</v>
      </c>
      <c r="B177" s="8" t="n">
        <v>18398.85</v>
      </c>
      <c r="C177" s="8" t="n">
        <v>15549.7</v>
      </c>
      <c r="D177" s="8" t="n">
        <v>1426.35</v>
      </c>
      <c r="E177" s="8" t="n">
        <v>658.95</v>
      </c>
      <c r="F177" s="8" t="n">
        <v>694.2</v>
      </c>
      <c r="G177" s="8" t="n">
        <v>381.8</v>
      </c>
      <c r="H177" s="8" t="n">
        <v>478.35</v>
      </c>
      <c r="I177" s="8" t="n">
        <v>209</v>
      </c>
      <c r="J177" s="8" t="n">
        <v>1436.3</v>
      </c>
      <c r="K177" s="8" t="n">
        <v>670.32</v>
      </c>
      <c r="L177" s="8" t="n">
        <v>1003.5</v>
      </c>
      <c r="M177" s="8" t="n">
        <v>1068.15</v>
      </c>
      <c r="N177" s="8" t="n">
        <v>435.95</v>
      </c>
      <c r="O177" s="8" t="n">
        <v>283.6</v>
      </c>
      <c r="P177" s="8" t="n">
        <v>1068.65</v>
      </c>
      <c r="Q177" s="8" t="n">
        <v>330.3</v>
      </c>
      <c r="R177" s="8" t="n">
        <v>890.95</v>
      </c>
      <c r="S177" s="8" t="n">
        <v>268.12</v>
      </c>
    </row>
    <row r="178" customFormat="false" ht="15" hidden="false" customHeight="false" outlineLevel="0" collapsed="false">
      <c r="A178" s="7" t="n">
        <v>45062</v>
      </c>
      <c r="B178" s="8" t="n">
        <v>18286.5</v>
      </c>
      <c r="C178" s="8" t="n">
        <v>15492.4</v>
      </c>
      <c r="D178" s="8" t="n">
        <v>1419.2</v>
      </c>
      <c r="E178" s="8" t="n">
        <v>658.5</v>
      </c>
      <c r="F178" s="8" t="n">
        <v>694.65</v>
      </c>
      <c r="G178" s="8" t="n">
        <v>394.7</v>
      </c>
      <c r="H178" s="8" t="n">
        <v>472.4</v>
      </c>
      <c r="I178" s="8" t="n">
        <v>209.8</v>
      </c>
      <c r="J178" s="8" t="n">
        <v>1451.1</v>
      </c>
      <c r="K178" s="8" t="n">
        <v>677.54</v>
      </c>
      <c r="L178" s="8" t="n">
        <v>1020.4</v>
      </c>
      <c r="M178" s="8" t="n">
        <v>1085.9</v>
      </c>
      <c r="N178" s="8" t="n">
        <v>427.25</v>
      </c>
      <c r="O178" s="8" t="n">
        <v>283.9</v>
      </c>
      <c r="P178" s="8" t="n">
        <v>1062.95</v>
      </c>
      <c r="Q178" s="8" t="n">
        <v>325.3</v>
      </c>
      <c r="R178" s="8" t="n">
        <v>877.5</v>
      </c>
      <c r="S178" s="8" t="n">
        <v>265.72</v>
      </c>
    </row>
    <row r="179" customFormat="false" ht="15" hidden="false" customHeight="false" outlineLevel="0" collapsed="false">
      <c r="A179" s="7" t="n">
        <v>45063</v>
      </c>
      <c r="B179" s="8" t="n">
        <v>18181.75</v>
      </c>
      <c r="C179" s="8" t="n">
        <v>15426.35</v>
      </c>
      <c r="D179" s="8" t="n">
        <v>1414.1</v>
      </c>
      <c r="E179" s="8" t="n">
        <v>670.55</v>
      </c>
      <c r="F179" s="8" t="n">
        <v>703.1</v>
      </c>
      <c r="G179" s="8" t="n">
        <v>370.45</v>
      </c>
      <c r="H179" s="8" t="n">
        <v>468.7</v>
      </c>
      <c r="I179" s="8" t="n">
        <v>211.1</v>
      </c>
      <c r="J179" s="8" t="n">
        <v>1459.05</v>
      </c>
      <c r="K179" s="8" t="n">
        <v>669.59</v>
      </c>
      <c r="L179" s="8" t="n">
        <v>1011.6</v>
      </c>
      <c r="M179" s="8" t="n">
        <v>1171.5</v>
      </c>
      <c r="N179" s="8" t="n">
        <v>451.05</v>
      </c>
      <c r="O179" s="8" t="n">
        <v>285.05</v>
      </c>
      <c r="P179" s="8" t="n">
        <v>1057.15</v>
      </c>
      <c r="Q179" s="8" t="n">
        <v>328.55</v>
      </c>
      <c r="R179" s="8" t="n">
        <v>879.4</v>
      </c>
      <c r="S179" s="8" t="n">
        <v>268.84</v>
      </c>
    </row>
    <row r="180" customFormat="false" ht="15" hidden="false" customHeight="false" outlineLevel="0" collapsed="false">
      <c r="A180" s="7" t="n">
        <v>45064</v>
      </c>
      <c r="B180" s="8" t="n">
        <v>18129.95</v>
      </c>
      <c r="C180" s="8" t="n">
        <v>15361.6</v>
      </c>
      <c r="D180" s="8" t="n">
        <v>1396.6</v>
      </c>
      <c r="E180" s="8" t="n">
        <v>675.45</v>
      </c>
      <c r="F180" s="8" t="n">
        <v>698.25</v>
      </c>
      <c r="G180" s="8" t="n">
        <v>365.8</v>
      </c>
      <c r="H180" s="8" t="n">
        <v>480.4</v>
      </c>
      <c r="I180" s="8" t="n">
        <v>206.05</v>
      </c>
      <c r="J180" s="8" t="n">
        <v>1538.7</v>
      </c>
      <c r="K180" s="8" t="n">
        <v>678.02</v>
      </c>
      <c r="L180" s="8" t="n">
        <v>1042.3</v>
      </c>
      <c r="M180" s="8" t="n">
        <v>1183.5</v>
      </c>
      <c r="N180" s="8" t="n">
        <v>447.55</v>
      </c>
      <c r="O180" s="8" t="n">
        <v>285.1</v>
      </c>
      <c r="P180" s="8" t="n">
        <v>1050.4</v>
      </c>
      <c r="Q180" s="8" t="n">
        <v>336</v>
      </c>
      <c r="R180" s="8" t="n">
        <v>886.6</v>
      </c>
      <c r="S180" s="8" t="n">
        <v>269.22</v>
      </c>
    </row>
    <row r="181" customFormat="false" ht="15" hidden="false" customHeight="false" outlineLevel="0" collapsed="false">
      <c r="A181" s="7" t="n">
        <v>45065</v>
      </c>
      <c r="B181" s="8" t="n">
        <v>18203.4</v>
      </c>
      <c r="C181" s="8" t="n">
        <v>15407.55</v>
      </c>
      <c r="D181" s="8" t="n">
        <v>1392.5</v>
      </c>
      <c r="E181" s="8" t="n">
        <v>666.35</v>
      </c>
      <c r="F181" s="8" t="n">
        <v>700.25</v>
      </c>
      <c r="G181" s="8" t="n">
        <v>372.8</v>
      </c>
      <c r="H181" s="8" t="n">
        <v>465.7</v>
      </c>
      <c r="I181" s="8" t="n">
        <v>208.75</v>
      </c>
      <c r="J181" s="8" t="n">
        <v>1515.05</v>
      </c>
      <c r="K181" s="8" t="n">
        <v>677.5</v>
      </c>
      <c r="L181" s="8" t="n">
        <v>1043.4</v>
      </c>
      <c r="M181" s="8" t="n">
        <v>1220.1</v>
      </c>
      <c r="N181" s="8" t="n">
        <v>441.34</v>
      </c>
      <c r="O181" s="8" t="n">
        <v>281.8</v>
      </c>
      <c r="P181" s="8" t="n">
        <v>1034.9</v>
      </c>
      <c r="Q181" s="8" t="n">
        <v>334.55</v>
      </c>
      <c r="R181" s="8" t="n">
        <v>891.55</v>
      </c>
      <c r="S181" s="8" t="n">
        <v>267.86</v>
      </c>
    </row>
    <row r="182" customFormat="false" ht="15" hidden="false" customHeight="false" outlineLevel="0" collapsed="false">
      <c r="A182" s="7" t="n">
        <v>45068</v>
      </c>
      <c r="B182" s="8" t="n">
        <v>18314.4</v>
      </c>
      <c r="C182" s="8" t="n">
        <v>15504</v>
      </c>
      <c r="D182" s="8" t="n">
        <v>1387.45</v>
      </c>
      <c r="E182" s="8" t="n">
        <v>670.1</v>
      </c>
      <c r="F182" s="8" t="n">
        <v>694.4</v>
      </c>
      <c r="G182" s="8" t="n">
        <v>372.25</v>
      </c>
      <c r="H182" s="8" t="n">
        <v>474.4</v>
      </c>
      <c r="I182" s="8" t="n">
        <v>206.65</v>
      </c>
      <c r="J182" s="8" t="n">
        <v>1519.7</v>
      </c>
      <c r="K182" s="8" t="n">
        <v>678.38</v>
      </c>
      <c r="L182" s="8" t="n">
        <v>1053.7</v>
      </c>
      <c r="M182" s="8" t="n">
        <v>1257.6</v>
      </c>
      <c r="N182" s="8" t="n">
        <v>430.85</v>
      </c>
      <c r="O182" s="8" t="n">
        <v>283.15</v>
      </c>
      <c r="P182" s="8" t="n">
        <v>1124.2</v>
      </c>
      <c r="Q182" s="8" t="n">
        <v>346.6</v>
      </c>
      <c r="R182" s="8" t="n">
        <v>888.1</v>
      </c>
      <c r="S182" s="8" t="n">
        <v>263.86</v>
      </c>
    </row>
    <row r="183" customFormat="false" ht="15" hidden="false" customHeight="false" outlineLevel="0" collapsed="false">
      <c r="A183" s="7" t="n">
        <v>45069</v>
      </c>
      <c r="B183" s="8" t="n">
        <v>18348</v>
      </c>
      <c r="C183" s="8" t="n">
        <v>15544.75</v>
      </c>
      <c r="D183" s="8" t="n">
        <v>1385.85</v>
      </c>
      <c r="E183" s="8" t="n">
        <v>676.95</v>
      </c>
      <c r="F183" s="8" t="n">
        <v>692.2</v>
      </c>
      <c r="G183" s="8" t="n">
        <v>373.05</v>
      </c>
      <c r="H183" s="8" t="n">
        <v>472</v>
      </c>
      <c r="I183" s="8" t="n">
        <v>228.25</v>
      </c>
      <c r="J183" s="8" t="n">
        <v>1526.85</v>
      </c>
      <c r="K183" s="8" t="n">
        <v>677.13</v>
      </c>
      <c r="L183" s="8" t="n">
        <v>1060.65</v>
      </c>
      <c r="M183" s="8" t="n">
        <v>1235.45</v>
      </c>
      <c r="N183" s="8" t="n">
        <v>429.97</v>
      </c>
      <c r="O183" s="8" t="n">
        <v>285.65</v>
      </c>
      <c r="P183" s="8" t="n">
        <v>1128.2</v>
      </c>
      <c r="Q183" s="8" t="n">
        <v>346.45</v>
      </c>
      <c r="R183" s="8" t="n">
        <v>887.85</v>
      </c>
      <c r="S183" s="8" t="n">
        <v>272.66</v>
      </c>
    </row>
    <row r="184" customFormat="false" ht="15" hidden="false" customHeight="false" outlineLevel="0" collapsed="false">
      <c r="A184" s="7" t="n">
        <v>45070</v>
      </c>
      <c r="B184" s="8" t="n">
        <v>18285.4</v>
      </c>
      <c r="C184" s="8" t="n">
        <v>15515.95</v>
      </c>
      <c r="D184" s="8" t="n">
        <v>1385.3</v>
      </c>
      <c r="E184" s="8" t="n">
        <v>679.3</v>
      </c>
      <c r="F184" s="8" t="n">
        <v>692.8</v>
      </c>
      <c r="G184" s="8" t="n">
        <v>376.2</v>
      </c>
      <c r="H184" s="8" t="n">
        <v>467.95</v>
      </c>
      <c r="I184" s="8" t="n">
        <v>229</v>
      </c>
      <c r="J184" s="8" t="n">
        <v>1544.7</v>
      </c>
      <c r="K184" s="8" t="n">
        <v>677.67</v>
      </c>
      <c r="L184" s="8" t="n">
        <v>1052.2</v>
      </c>
      <c r="M184" s="8" t="n">
        <v>1231</v>
      </c>
      <c r="N184" s="8" t="n">
        <v>431.19</v>
      </c>
      <c r="O184" s="8" t="n">
        <v>283.6</v>
      </c>
      <c r="P184" s="8" t="n">
        <v>1103.65</v>
      </c>
      <c r="Q184" s="8" t="n">
        <v>348.15</v>
      </c>
      <c r="R184" s="8" t="n">
        <v>889.35</v>
      </c>
      <c r="S184" s="8" t="n">
        <v>273.93</v>
      </c>
    </row>
    <row r="185" customFormat="false" ht="15" hidden="false" customHeight="false" outlineLevel="0" collapsed="false">
      <c r="A185" s="7" t="n">
        <v>45071</v>
      </c>
      <c r="B185" s="8" t="n">
        <v>18321.15</v>
      </c>
      <c r="C185" s="8" t="n">
        <v>15555.25</v>
      </c>
      <c r="D185" s="8" t="n">
        <v>1403.75</v>
      </c>
      <c r="E185" s="8" t="n">
        <v>677.25</v>
      </c>
      <c r="F185" s="8" t="n">
        <v>692.4</v>
      </c>
      <c r="G185" s="8" t="n">
        <v>375.05</v>
      </c>
      <c r="H185" s="8" t="n">
        <v>460.5</v>
      </c>
      <c r="I185" s="8" t="n">
        <v>224.5</v>
      </c>
      <c r="J185" s="8" t="n">
        <v>1547.65</v>
      </c>
      <c r="K185" s="8" t="n">
        <v>683.19</v>
      </c>
      <c r="L185" s="8" t="n">
        <v>1059.45</v>
      </c>
      <c r="M185" s="8" t="n">
        <v>1225.75</v>
      </c>
      <c r="N185" s="8" t="n">
        <v>427.64</v>
      </c>
      <c r="O185" s="8" t="n">
        <v>283.15</v>
      </c>
      <c r="P185" s="8" t="n">
        <v>1111</v>
      </c>
      <c r="Q185" s="8" t="n">
        <v>346.9</v>
      </c>
      <c r="R185" s="8" t="n">
        <v>894.85</v>
      </c>
      <c r="S185" s="8" t="n">
        <v>275.07</v>
      </c>
    </row>
    <row r="186" customFormat="false" ht="15" hidden="false" customHeight="false" outlineLevel="0" collapsed="false">
      <c r="A186" s="7" t="n">
        <v>45072</v>
      </c>
      <c r="B186" s="8" t="n">
        <v>18499.35</v>
      </c>
      <c r="C186" s="8" t="n">
        <v>15696.75</v>
      </c>
      <c r="D186" s="8" t="n">
        <v>1368.4</v>
      </c>
      <c r="E186" s="8" t="n">
        <v>676.8</v>
      </c>
      <c r="F186" s="8" t="n">
        <v>692.65</v>
      </c>
      <c r="G186" s="8" t="n">
        <v>377.5</v>
      </c>
      <c r="H186" s="8" t="n">
        <v>473.8</v>
      </c>
      <c r="I186" s="8" t="n">
        <v>214.65</v>
      </c>
      <c r="J186" s="8" t="n">
        <v>1582.65</v>
      </c>
      <c r="K186" s="8" t="n">
        <v>689.51</v>
      </c>
      <c r="L186" s="8" t="n">
        <v>1049.7</v>
      </c>
      <c r="M186" s="8" t="n">
        <v>1213.55</v>
      </c>
      <c r="N186" s="8" t="n">
        <v>424.92</v>
      </c>
      <c r="O186" s="8" t="n">
        <v>280.05</v>
      </c>
      <c r="P186" s="8" t="n">
        <v>1108.5</v>
      </c>
      <c r="Q186" s="8" t="n">
        <v>346.1</v>
      </c>
      <c r="R186" s="8" t="n">
        <v>901.5</v>
      </c>
      <c r="S186" s="8" t="n">
        <v>276.72</v>
      </c>
    </row>
    <row r="187" customFormat="false" ht="15" hidden="false" customHeight="false" outlineLevel="0" collapsed="false">
      <c r="A187" s="7" t="n">
        <v>45075</v>
      </c>
      <c r="B187" s="8" t="n">
        <v>18598.65</v>
      </c>
      <c r="C187" s="8" t="n">
        <v>15772.35</v>
      </c>
      <c r="D187" s="8" t="n">
        <v>1389.7</v>
      </c>
      <c r="E187" s="8" t="n">
        <v>690.15</v>
      </c>
      <c r="F187" s="8" t="n">
        <v>697.1</v>
      </c>
      <c r="G187" s="8" t="n">
        <v>380.05</v>
      </c>
      <c r="H187" s="8" t="n">
        <v>480.55</v>
      </c>
      <c r="I187" s="8" t="n">
        <v>232.7</v>
      </c>
      <c r="J187" s="8" t="n">
        <v>1567.4</v>
      </c>
      <c r="K187" s="8" t="n">
        <v>692.26</v>
      </c>
      <c r="L187" s="8" t="n">
        <v>1055.4</v>
      </c>
      <c r="M187" s="8" t="n">
        <v>1213.6</v>
      </c>
      <c r="N187" s="8" t="n">
        <v>423.32</v>
      </c>
      <c r="O187" s="8" t="n">
        <v>286.55</v>
      </c>
      <c r="P187" s="8" t="n">
        <v>1115.95</v>
      </c>
      <c r="Q187" s="8" t="n">
        <v>340.85</v>
      </c>
      <c r="R187" s="8" t="n">
        <v>905.7</v>
      </c>
      <c r="S187" s="8" t="n">
        <v>281.76</v>
      </c>
    </row>
    <row r="188" customFormat="false" ht="15" hidden="false" customHeight="false" outlineLevel="0" collapsed="false">
      <c r="A188" s="7" t="n">
        <v>45076</v>
      </c>
      <c r="B188" s="8" t="n">
        <v>18633.85</v>
      </c>
      <c r="C188" s="8" t="n">
        <v>15799.45</v>
      </c>
      <c r="D188" s="8" t="n">
        <v>1391.2</v>
      </c>
      <c r="E188" s="8" t="n">
        <v>690.3</v>
      </c>
      <c r="F188" s="8" t="n">
        <v>710</v>
      </c>
      <c r="G188" s="8" t="n">
        <v>379.55</v>
      </c>
      <c r="H188" s="8" t="n">
        <v>483.15</v>
      </c>
      <c r="I188" s="8" t="n">
        <v>256.8</v>
      </c>
      <c r="J188" s="8" t="n">
        <v>1583.5</v>
      </c>
      <c r="K188" s="8" t="n">
        <v>699.63</v>
      </c>
      <c r="L188" s="8" t="n">
        <v>1046.3</v>
      </c>
      <c r="M188" s="8" t="n">
        <v>1202.5</v>
      </c>
      <c r="N188" s="8" t="n">
        <v>422.74</v>
      </c>
      <c r="O188" s="8" t="n">
        <v>286.15</v>
      </c>
      <c r="P188" s="8" t="n">
        <v>1116.4</v>
      </c>
      <c r="Q188" s="8" t="n">
        <v>339.95</v>
      </c>
      <c r="R188" s="8" t="n">
        <v>917.05</v>
      </c>
      <c r="S188" s="8" t="n">
        <v>283.36</v>
      </c>
    </row>
    <row r="189" customFormat="false" ht="15" hidden="false" customHeight="false" outlineLevel="0" collapsed="false">
      <c r="A189" s="7" t="n">
        <v>45077</v>
      </c>
      <c r="B189" s="8" t="n">
        <v>18534.4</v>
      </c>
      <c r="C189" s="8" t="n">
        <v>15766.4</v>
      </c>
      <c r="D189" s="8" t="n">
        <v>1397.85</v>
      </c>
      <c r="E189" s="8" t="n">
        <v>707.2</v>
      </c>
      <c r="F189" s="8" t="n">
        <v>720.9</v>
      </c>
      <c r="G189" s="8" t="n">
        <v>372</v>
      </c>
      <c r="H189" s="8" t="n">
        <v>505.25</v>
      </c>
      <c r="I189" s="8" t="n">
        <v>260.9</v>
      </c>
      <c r="J189" s="8" t="n">
        <v>1894.7</v>
      </c>
      <c r="K189" s="8" t="n">
        <v>698.04</v>
      </c>
      <c r="L189" s="8" t="n">
        <v>1050.9</v>
      </c>
      <c r="M189" s="8" t="n">
        <v>1234.1</v>
      </c>
      <c r="N189" s="8" t="n">
        <v>433.03</v>
      </c>
      <c r="O189" s="8" t="n">
        <v>284.3</v>
      </c>
      <c r="P189" s="8" t="n">
        <v>1115.5</v>
      </c>
      <c r="Q189" s="8" t="n">
        <v>345.75</v>
      </c>
      <c r="R189" s="8" t="n">
        <v>916.95</v>
      </c>
      <c r="S189" s="8" t="n">
        <v>279.95</v>
      </c>
    </row>
    <row r="190" customFormat="false" ht="15" hidden="false" customHeight="false" outlineLevel="0" collapsed="false">
      <c r="A190" s="7" t="n">
        <v>45078</v>
      </c>
      <c r="B190" s="8" t="n">
        <v>18487.75</v>
      </c>
      <c r="C190" s="8" t="n">
        <v>15760.35</v>
      </c>
      <c r="D190" s="8" t="n">
        <v>1390.85</v>
      </c>
      <c r="E190" s="8" t="n">
        <v>728.1</v>
      </c>
      <c r="F190" s="8" t="n">
        <v>729.45</v>
      </c>
      <c r="G190" s="8" t="n">
        <v>377.1</v>
      </c>
      <c r="H190" s="8" t="n">
        <v>536.7</v>
      </c>
      <c r="I190" s="8" t="n">
        <v>266.5</v>
      </c>
      <c r="J190" s="8" t="n">
        <v>1918.75</v>
      </c>
      <c r="K190" s="8" t="n">
        <v>703.09</v>
      </c>
      <c r="L190" s="8" t="n">
        <v>1043.9</v>
      </c>
      <c r="M190" s="8" t="n">
        <v>1250.15</v>
      </c>
      <c r="N190" s="8" t="n">
        <v>430.26</v>
      </c>
      <c r="O190" s="8" t="n">
        <v>294.05</v>
      </c>
      <c r="P190" s="8" t="n">
        <v>1126.05</v>
      </c>
      <c r="Q190" s="8" t="n">
        <v>343.75</v>
      </c>
      <c r="R190" s="8" t="n">
        <v>910.5</v>
      </c>
      <c r="S190" s="8" t="n">
        <v>282.05</v>
      </c>
    </row>
    <row r="191" customFormat="false" ht="15" hidden="false" customHeight="false" outlineLevel="0" collapsed="false">
      <c r="A191" s="7" t="n">
        <v>45079</v>
      </c>
      <c r="B191" s="8" t="n">
        <v>18534.1</v>
      </c>
      <c r="C191" s="8" t="n">
        <v>15811.2</v>
      </c>
      <c r="D191" s="8" t="n">
        <v>1394.05</v>
      </c>
      <c r="E191" s="8" t="n">
        <v>725.9</v>
      </c>
      <c r="F191" s="8" t="n">
        <v>761.95</v>
      </c>
      <c r="G191" s="8" t="n">
        <v>379.2</v>
      </c>
      <c r="H191" s="8" t="n">
        <v>530.4</v>
      </c>
      <c r="I191" s="8" t="n">
        <v>268</v>
      </c>
      <c r="J191" s="8" t="n">
        <v>1929</v>
      </c>
      <c r="K191" s="8" t="n">
        <v>701.44</v>
      </c>
      <c r="L191" s="8" t="n">
        <v>1039.3</v>
      </c>
      <c r="M191" s="8" t="n">
        <v>1224.4</v>
      </c>
      <c r="N191" s="8" t="n">
        <v>457.56</v>
      </c>
      <c r="O191" s="8" t="n">
        <v>298.1</v>
      </c>
      <c r="P191" s="8" t="n">
        <v>1123.6</v>
      </c>
      <c r="Q191" s="8" t="n">
        <v>347.05</v>
      </c>
      <c r="R191" s="8" t="n">
        <v>914.4</v>
      </c>
      <c r="S191" s="8" t="n">
        <v>282.67</v>
      </c>
    </row>
    <row r="192" customFormat="false" ht="15" hidden="false" customHeight="false" outlineLevel="0" collapsed="false">
      <c r="A192" s="7" t="n">
        <v>45082</v>
      </c>
      <c r="B192" s="8" t="n">
        <v>18593.85</v>
      </c>
      <c r="C192" s="8" t="n">
        <v>15859.5</v>
      </c>
      <c r="D192" s="8" t="n">
        <v>1388.35</v>
      </c>
      <c r="E192" s="8" t="n">
        <v>713.85</v>
      </c>
      <c r="F192" s="8" t="n">
        <v>768.25</v>
      </c>
      <c r="G192" s="8" t="n">
        <v>375.8</v>
      </c>
      <c r="H192" s="8" t="n">
        <v>535.45</v>
      </c>
      <c r="I192" s="8" t="n">
        <v>276.25</v>
      </c>
      <c r="J192" s="8" t="n">
        <v>2005</v>
      </c>
      <c r="K192" s="8" t="n">
        <v>703.36</v>
      </c>
      <c r="L192" s="8" t="n">
        <v>1048.55</v>
      </c>
      <c r="M192" s="8" t="n">
        <v>1231.45</v>
      </c>
      <c r="N192" s="8" t="n">
        <v>457.02</v>
      </c>
      <c r="O192" s="8" t="n">
        <v>301</v>
      </c>
      <c r="P192" s="8" t="n">
        <v>1126.9</v>
      </c>
      <c r="Q192" s="8" t="n">
        <v>343.55</v>
      </c>
      <c r="R192" s="8" t="n">
        <v>919.8</v>
      </c>
      <c r="S192" s="8" t="n">
        <v>280.19</v>
      </c>
    </row>
    <row r="193" customFormat="false" ht="15" hidden="false" customHeight="false" outlineLevel="0" collapsed="false">
      <c r="A193" s="7" t="n">
        <v>45083</v>
      </c>
      <c r="B193" s="8" t="n">
        <v>18599</v>
      </c>
      <c r="C193" s="8" t="n">
        <v>15878.4</v>
      </c>
      <c r="D193" s="8" t="n">
        <v>1395.3</v>
      </c>
      <c r="E193" s="8" t="n">
        <v>717.95</v>
      </c>
      <c r="F193" s="8" t="n">
        <v>779.8</v>
      </c>
      <c r="G193" s="8" t="n">
        <v>373.05</v>
      </c>
      <c r="H193" s="8" t="n">
        <v>535.65</v>
      </c>
      <c r="I193" s="8" t="n">
        <v>275.05</v>
      </c>
      <c r="J193" s="8" t="n">
        <v>1966.65</v>
      </c>
      <c r="K193" s="8" t="n">
        <v>710.43</v>
      </c>
      <c r="L193" s="8" t="n">
        <v>1057.25</v>
      </c>
      <c r="M193" s="8" t="n">
        <v>1239.85</v>
      </c>
      <c r="N193" s="8" t="n">
        <v>462.61</v>
      </c>
      <c r="O193" s="8" t="n">
        <v>294.2</v>
      </c>
      <c r="P193" s="8" t="n">
        <v>1126.65</v>
      </c>
      <c r="Q193" s="8" t="n">
        <v>347.25</v>
      </c>
      <c r="R193" s="8" t="n">
        <v>926.05</v>
      </c>
      <c r="S193" s="8" t="n">
        <v>281.78</v>
      </c>
    </row>
    <row r="194" customFormat="false" ht="15" hidden="false" customHeight="false" outlineLevel="0" collapsed="false">
      <c r="A194" s="7" t="n">
        <v>45084</v>
      </c>
      <c r="B194" s="8" t="n">
        <v>18726.4</v>
      </c>
      <c r="C194" s="8" t="n">
        <v>16006.7</v>
      </c>
      <c r="D194" s="8" t="n">
        <v>1389.95</v>
      </c>
      <c r="E194" s="8" t="n">
        <v>749.45</v>
      </c>
      <c r="F194" s="8" t="n">
        <v>796</v>
      </c>
      <c r="G194" s="8" t="n">
        <v>376.75</v>
      </c>
      <c r="H194" s="8" t="n">
        <v>546.75</v>
      </c>
      <c r="I194" s="8" t="n">
        <v>286.7</v>
      </c>
      <c r="J194" s="8" t="n">
        <v>1959.3</v>
      </c>
      <c r="K194" s="8" t="n">
        <v>707.03</v>
      </c>
      <c r="L194" s="8" t="n">
        <v>1073.2</v>
      </c>
      <c r="M194" s="8" t="n">
        <v>1271.8</v>
      </c>
      <c r="N194" s="8" t="n">
        <v>463.34</v>
      </c>
      <c r="O194" s="8" t="n">
        <v>291.65</v>
      </c>
      <c r="P194" s="8" t="n">
        <v>1127.65</v>
      </c>
      <c r="Q194" s="8" t="n">
        <v>349.15</v>
      </c>
      <c r="R194" s="8" t="n">
        <v>927.7</v>
      </c>
      <c r="S194" s="8" t="n">
        <v>281.67</v>
      </c>
    </row>
    <row r="195" customFormat="false" ht="15" hidden="false" customHeight="false" outlineLevel="0" collapsed="false">
      <c r="A195" s="7" t="n">
        <v>45085</v>
      </c>
      <c r="B195" s="8" t="n">
        <v>18634.55</v>
      </c>
      <c r="C195" s="8" t="n">
        <v>15921.05</v>
      </c>
      <c r="D195" s="8" t="n">
        <v>1379.2</v>
      </c>
      <c r="E195" s="8" t="n">
        <v>741.25</v>
      </c>
      <c r="F195" s="8" t="n">
        <v>804.7</v>
      </c>
      <c r="G195" s="8" t="n">
        <v>372</v>
      </c>
      <c r="H195" s="8" t="n">
        <v>545</v>
      </c>
      <c r="I195" s="8" t="n">
        <v>287.25</v>
      </c>
      <c r="J195" s="8" t="n">
        <v>1860.3</v>
      </c>
      <c r="K195" s="8" t="n">
        <v>700.06</v>
      </c>
      <c r="L195" s="8" t="n">
        <v>1061.6</v>
      </c>
      <c r="M195" s="8" t="n">
        <v>1233.85</v>
      </c>
      <c r="N195" s="8" t="n">
        <v>469.26</v>
      </c>
      <c r="O195" s="8" t="n">
        <v>284.95</v>
      </c>
      <c r="P195" s="8" t="n">
        <v>1125.1</v>
      </c>
      <c r="Q195" s="8" t="n">
        <v>353</v>
      </c>
      <c r="R195" s="8" t="n">
        <v>915.15</v>
      </c>
      <c r="S195" s="8" t="n">
        <v>282.19</v>
      </c>
    </row>
    <row r="196" customFormat="false" ht="15" hidden="false" customHeight="false" outlineLevel="0" collapsed="false">
      <c r="A196" s="7" t="n">
        <v>45086</v>
      </c>
      <c r="B196" s="8" t="n">
        <v>18563.4</v>
      </c>
      <c r="C196" s="8" t="n">
        <v>15877.4</v>
      </c>
      <c r="D196" s="8" t="n">
        <v>1354</v>
      </c>
      <c r="E196" s="8" t="n">
        <v>741.8</v>
      </c>
      <c r="F196" s="8" t="n">
        <v>815.9</v>
      </c>
      <c r="G196" s="8" t="n">
        <v>364</v>
      </c>
      <c r="H196" s="8" t="n">
        <v>535.05</v>
      </c>
      <c r="I196" s="8" t="n">
        <v>288.85</v>
      </c>
      <c r="J196" s="8" t="n">
        <v>1834.85</v>
      </c>
      <c r="K196" s="8" t="n">
        <v>702.76</v>
      </c>
      <c r="L196" s="8" t="n">
        <v>1065.7</v>
      </c>
      <c r="M196" s="8" t="n">
        <v>1234.9</v>
      </c>
      <c r="N196" s="8" t="n">
        <v>476.84</v>
      </c>
      <c r="O196" s="8" t="n">
        <v>283.4</v>
      </c>
      <c r="P196" s="8" t="n">
        <v>1116.8</v>
      </c>
      <c r="Q196" s="8" t="n">
        <v>345.35</v>
      </c>
      <c r="R196" s="8" t="n">
        <v>925.8</v>
      </c>
      <c r="S196" s="8" t="n">
        <v>283.44</v>
      </c>
    </row>
    <row r="197" customFormat="false" ht="15" hidden="false" customHeight="false" outlineLevel="0" collapsed="false">
      <c r="A197" s="7" t="n">
        <v>45089</v>
      </c>
      <c r="B197" s="8" t="n">
        <v>18601.5</v>
      </c>
      <c r="C197" s="8" t="n">
        <v>15929.1</v>
      </c>
      <c r="D197" s="8" t="n">
        <v>1336.95</v>
      </c>
      <c r="E197" s="8" t="n">
        <v>744.3</v>
      </c>
      <c r="F197" s="8" t="n">
        <v>801.95</v>
      </c>
      <c r="G197" s="8" t="n">
        <v>370.3</v>
      </c>
      <c r="H197" s="8" t="n">
        <v>559.15</v>
      </c>
      <c r="I197" s="8" t="n">
        <v>305.2</v>
      </c>
      <c r="J197" s="8" t="n">
        <v>1970.05</v>
      </c>
      <c r="K197" s="8" t="n">
        <v>708.81</v>
      </c>
      <c r="L197" s="8" t="n">
        <v>1073.1</v>
      </c>
      <c r="M197" s="8" t="n">
        <v>1249.35</v>
      </c>
      <c r="N197" s="8" t="n">
        <v>472.18</v>
      </c>
      <c r="O197" s="8" t="n">
        <v>290.1</v>
      </c>
      <c r="P197" s="8" t="n">
        <v>1133.1</v>
      </c>
      <c r="Q197" s="8" t="n">
        <v>342.65</v>
      </c>
      <c r="R197" s="8" t="n">
        <v>924.5</v>
      </c>
      <c r="S197" s="8" t="n">
        <v>290.47</v>
      </c>
    </row>
    <row r="198" customFormat="false" ht="15" hidden="false" customHeight="false" outlineLevel="0" collapsed="false">
      <c r="A198" s="7" t="n">
        <v>45090</v>
      </c>
      <c r="B198" s="8" t="n">
        <v>18716.15</v>
      </c>
      <c r="C198" s="8" t="n">
        <v>16048.2</v>
      </c>
      <c r="D198" s="8" t="n">
        <v>1349.9</v>
      </c>
      <c r="E198" s="8" t="n">
        <v>746.3</v>
      </c>
      <c r="F198" s="8" t="n">
        <v>811.35</v>
      </c>
      <c r="G198" s="8" t="n">
        <v>373.45</v>
      </c>
      <c r="H198" s="8" t="n">
        <v>575.6</v>
      </c>
      <c r="I198" s="8" t="n">
        <v>305.9</v>
      </c>
      <c r="J198" s="8" t="n">
        <v>1955.8</v>
      </c>
      <c r="K198" s="8" t="n">
        <v>715.7</v>
      </c>
      <c r="L198" s="8" t="n">
        <v>1101.8</v>
      </c>
      <c r="M198" s="8" t="n">
        <v>1237.8</v>
      </c>
      <c r="N198" s="8" t="n">
        <v>487.28</v>
      </c>
      <c r="O198" s="8" t="n">
        <v>297.2</v>
      </c>
      <c r="P198" s="8" t="n">
        <v>1156.4</v>
      </c>
      <c r="Q198" s="8" t="n">
        <v>347.7</v>
      </c>
      <c r="R198" s="8" t="n">
        <v>926.25</v>
      </c>
      <c r="S198" s="8" t="n">
        <v>288.68</v>
      </c>
    </row>
    <row r="199" customFormat="false" ht="15" hidden="false" customHeight="false" outlineLevel="0" collapsed="false">
      <c r="A199" s="7" t="n">
        <v>45091</v>
      </c>
      <c r="B199" s="8" t="n">
        <v>18755.9</v>
      </c>
      <c r="C199" s="8" t="n">
        <v>16084.05</v>
      </c>
      <c r="D199" s="8" t="n">
        <v>1350.4</v>
      </c>
      <c r="E199" s="8" t="n">
        <v>748.85</v>
      </c>
      <c r="F199" s="8" t="n">
        <v>807.15</v>
      </c>
      <c r="G199" s="8" t="n">
        <v>372.85</v>
      </c>
      <c r="H199" s="8" t="n">
        <v>569.35</v>
      </c>
      <c r="I199" s="8" t="n">
        <v>298.3</v>
      </c>
      <c r="J199" s="8" t="n">
        <v>1945.7</v>
      </c>
      <c r="K199" s="8" t="n">
        <v>708.72</v>
      </c>
      <c r="L199" s="8" t="n">
        <v>1099.3</v>
      </c>
      <c r="M199" s="8" t="n">
        <v>1217.85</v>
      </c>
      <c r="N199" s="8" t="n">
        <v>481.8</v>
      </c>
      <c r="O199" s="8" t="n">
        <v>295</v>
      </c>
      <c r="P199" s="8" t="n">
        <v>1153.85</v>
      </c>
      <c r="Q199" s="8" t="n">
        <v>345.65</v>
      </c>
      <c r="R199" s="8" t="n">
        <v>921.55</v>
      </c>
      <c r="S199" s="8" t="n">
        <v>281.56</v>
      </c>
    </row>
    <row r="200" customFormat="false" ht="15" hidden="false" customHeight="false" outlineLevel="0" collapsed="false">
      <c r="A200" s="7" t="n">
        <v>45092</v>
      </c>
      <c r="B200" s="8" t="n">
        <v>18688.1</v>
      </c>
      <c r="C200" s="8" t="n">
        <v>16058.25</v>
      </c>
      <c r="D200" s="8" t="n">
        <v>1340.5</v>
      </c>
      <c r="E200" s="8" t="n">
        <v>733.1</v>
      </c>
      <c r="F200" s="8" t="n">
        <v>824.55</v>
      </c>
      <c r="G200" s="8" t="n">
        <v>376.45</v>
      </c>
      <c r="H200" s="8" t="n">
        <v>561.2</v>
      </c>
      <c r="I200" s="8" t="n">
        <v>293.05</v>
      </c>
      <c r="J200" s="8" t="n">
        <v>1920.9</v>
      </c>
      <c r="K200" s="8" t="n">
        <v>711.69</v>
      </c>
      <c r="L200" s="8" t="n">
        <v>1112.9</v>
      </c>
      <c r="M200" s="8" t="n">
        <v>1189.45</v>
      </c>
      <c r="N200" s="8" t="n">
        <v>484.47</v>
      </c>
      <c r="O200" s="8" t="n">
        <v>294.1</v>
      </c>
      <c r="P200" s="8" t="n">
        <v>1155.85</v>
      </c>
      <c r="Q200" s="8" t="n">
        <v>339.55</v>
      </c>
      <c r="R200" s="8" t="n">
        <v>912.7</v>
      </c>
      <c r="S200" s="8" t="n">
        <v>282.84</v>
      </c>
    </row>
    <row r="201" customFormat="false" ht="15" hidden="false" customHeight="false" outlineLevel="0" collapsed="false">
      <c r="A201" s="7" t="n">
        <v>45093</v>
      </c>
      <c r="B201" s="8" t="n">
        <v>18826</v>
      </c>
      <c r="C201" s="8" t="n">
        <v>16181.45</v>
      </c>
      <c r="D201" s="8" t="n">
        <v>1353.75</v>
      </c>
      <c r="E201" s="8" t="n">
        <v>749.65</v>
      </c>
      <c r="F201" s="8" t="n">
        <v>828.25</v>
      </c>
      <c r="G201" s="8" t="n">
        <v>386.4</v>
      </c>
      <c r="H201" s="8" t="n">
        <v>569.9</v>
      </c>
      <c r="I201" s="8" t="n">
        <v>292.25</v>
      </c>
      <c r="J201" s="8" t="n">
        <v>1910.1</v>
      </c>
      <c r="K201" s="8" t="n">
        <v>719.34</v>
      </c>
      <c r="L201" s="8" t="n">
        <v>1126.65</v>
      </c>
      <c r="M201" s="8" t="n">
        <v>1177.3</v>
      </c>
      <c r="N201" s="8" t="n">
        <v>497.97</v>
      </c>
      <c r="O201" s="8" t="n">
        <v>305</v>
      </c>
      <c r="P201" s="8" t="n">
        <v>1167.85</v>
      </c>
      <c r="Q201" s="8" t="n">
        <v>345</v>
      </c>
      <c r="R201" s="8" t="n">
        <v>912.9</v>
      </c>
      <c r="S201" s="8" t="n">
        <v>280.3</v>
      </c>
    </row>
    <row r="202" customFormat="false" ht="15" hidden="false" customHeight="false" outlineLevel="0" collapsed="false">
      <c r="A202" s="7" t="n">
        <v>45096</v>
      </c>
      <c r="B202" s="8" t="n">
        <v>18755.45</v>
      </c>
      <c r="C202" s="8" t="n">
        <v>16142.15</v>
      </c>
      <c r="D202" s="8" t="n">
        <v>1371.7</v>
      </c>
      <c r="E202" s="8" t="n">
        <v>745.2</v>
      </c>
      <c r="F202" s="8" t="n">
        <v>828.55</v>
      </c>
      <c r="G202" s="8" t="n">
        <v>384.55</v>
      </c>
      <c r="H202" s="8" t="n">
        <v>570.4</v>
      </c>
      <c r="I202" s="8" t="n">
        <v>286.4</v>
      </c>
      <c r="J202" s="8" t="n">
        <v>1915.8</v>
      </c>
      <c r="K202" s="8" t="n">
        <v>737.62</v>
      </c>
      <c r="L202" s="8" t="n">
        <v>1132.25</v>
      </c>
      <c r="M202" s="8" t="n">
        <v>1272.65</v>
      </c>
      <c r="N202" s="8" t="n">
        <v>500.59</v>
      </c>
      <c r="O202" s="8" t="n">
        <v>316.25</v>
      </c>
      <c r="P202" s="8" t="n">
        <v>1180.5</v>
      </c>
      <c r="Q202" s="8" t="n">
        <v>341.05</v>
      </c>
      <c r="R202" s="8" t="n">
        <v>905.45</v>
      </c>
      <c r="S202" s="8" t="n">
        <v>293.97</v>
      </c>
    </row>
    <row r="203" customFormat="false" ht="15" hidden="false" customHeight="false" outlineLevel="0" collapsed="false">
      <c r="A203" s="7" t="n">
        <v>45097</v>
      </c>
      <c r="B203" s="8" t="n">
        <v>18816.7</v>
      </c>
      <c r="C203" s="8" t="n">
        <v>16199.95</v>
      </c>
      <c r="D203" s="8" t="n">
        <v>1364.2</v>
      </c>
      <c r="E203" s="8" t="n">
        <v>751.2</v>
      </c>
      <c r="F203" s="8" t="n">
        <v>810.9</v>
      </c>
      <c r="G203" s="8" t="n">
        <v>390.55</v>
      </c>
      <c r="H203" s="8" t="n">
        <v>588.85</v>
      </c>
      <c r="I203" s="8" t="n">
        <v>297.95</v>
      </c>
      <c r="J203" s="8" t="n">
        <v>1948.5</v>
      </c>
      <c r="K203" s="8" t="n">
        <v>723.89</v>
      </c>
      <c r="L203" s="8" t="n">
        <v>1121.9</v>
      </c>
      <c r="M203" s="8" t="n">
        <v>1290.5</v>
      </c>
      <c r="N203" s="8" t="n">
        <v>478.93</v>
      </c>
      <c r="O203" s="8" t="n">
        <v>320.3</v>
      </c>
      <c r="P203" s="8" t="n">
        <v>1191.25</v>
      </c>
      <c r="Q203" s="8" t="n">
        <v>341.15</v>
      </c>
      <c r="R203" s="8" t="n">
        <v>893.8</v>
      </c>
      <c r="S203" s="8" t="n">
        <v>311.93</v>
      </c>
    </row>
    <row r="204" customFormat="false" ht="15" hidden="false" customHeight="false" outlineLevel="0" collapsed="false">
      <c r="A204" s="7" t="n">
        <v>45098</v>
      </c>
      <c r="B204" s="8" t="n">
        <v>18856.85</v>
      </c>
      <c r="C204" s="8" t="n">
        <v>16240.95</v>
      </c>
      <c r="D204" s="8" t="n">
        <v>1383.3</v>
      </c>
      <c r="E204" s="8" t="n">
        <v>744.2</v>
      </c>
      <c r="F204" s="8" t="n">
        <v>766.05</v>
      </c>
      <c r="G204" s="8" t="n">
        <v>405.7</v>
      </c>
      <c r="H204" s="8" t="n">
        <v>602.3</v>
      </c>
      <c r="I204" s="8" t="n">
        <v>313.3</v>
      </c>
      <c r="J204" s="8" t="n">
        <v>1953.95</v>
      </c>
      <c r="K204" s="8" t="n">
        <v>719.64</v>
      </c>
      <c r="L204" s="8" t="n">
        <v>1134.35</v>
      </c>
      <c r="M204" s="8" t="n">
        <v>1314.35</v>
      </c>
      <c r="N204" s="8" t="n">
        <v>472.76</v>
      </c>
      <c r="O204" s="8" t="n">
        <v>325.85</v>
      </c>
      <c r="P204" s="8" t="n">
        <v>1231.1</v>
      </c>
      <c r="Q204" s="8" t="n">
        <v>349.9</v>
      </c>
      <c r="R204" s="8" t="n">
        <v>885.8</v>
      </c>
      <c r="S204" s="8" t="n">
        <v>346.87</v>
      </c>
    </row>
    <row r="205" customFormat="false" ht="15" hidden="false" customHeight="false" outlineLevel="0" collapsed="false">
      <c r="A205" s="7" t="n">
        <v>45099</v>
      </c>
      <c r="B205" s="8" t="n">
        <v>18771.25</v>
      </c>
      <c r="C205" s="8" t="n">
        <v>16140.8</v>
      </c>
      <c r="D205" s="8" t="n">
        <v>1376.6</v>
      </c>
      <c r="E205" s="8" t="n">
        <v>733.25</v>
      </c>
      <c r="F205" s="8" t="n">
        <v>752.55</v>
      </c>
      <c r="G205" s="8" t="n">
        <v>402.55</v>
      </c>
      <c r="H205" s="8" t="n">
        <v>611.1</v>
      </c>
      <c r="I205" s="8" t="n">
        <v>313.3</v>
      </c>
      <c r="J205" s="8" t="n">
        <v>1977.2</v>
      </c>
      <c r="K205" s="8" t="n">
        <v>702.04</v>
      </c>
      <c r="L205" s="8" t="n">
        <v>1100.2</v>
      </c>
      <c r="M205" s="8" t="n">
        <v>1335.4</v>
      </c>
      <c r="N205" s="8" t="n">
        <v>464.41</v>
      </c>
      <c r="O205" s="8" t="n">
        <v>312.85</v>
      </c>
      <c r="P205" s="8" t="n">
        <v>1209.9</v>
      </c>
      <c r="Q205" s="8" t="n">
        <v>347.85</v>
      </c>
      <c r="R205" s="8" t="n">
        <v>880.3</v>
      </c>
      <c r="S205" s="8" t="n">
        <v>343.75</v>
      </c>
    </row>
    <row r="206" customFormat="false" ht="15" hidden="false" customHeight="false" outlineLevel="0" collapsed="false">
      <c r="A206" s="7" t="n">
        <v>45100</v>
      </c>
      <c r="B206" s="8" t="n">
        <v>18665.5</v>
      </c>
      <c r="C206" s="8" t="n">
        <v>16011.8</v>
      </c>
      <c r="D206" s="8" t="n">
        <v>1394.05</v>
      </c>
      <c r="E206" s="8" t="n">
        <v>736.6</v>
      </c>
      <c r="F206" s="8" t="n">
        <v>755.35</v>
      </c>
      <c r="G206" s="8" t="n">
        <v>389.65</v>
      </c>
      <c r="H206" s="8" t="n">
        <v>588.85</v>
      </c>
      <c r="I206" s="8" t="n">
        <v>302.7</v>
      </c>
      <c r="J206" s="8" t="n">
        <v>1973.4</v>
      </c>
      <c r="K206" s="8" t="n">
        <v>698.02</v>
      </c>
      <c r="L206" s="8" t="n">
        <v>1090.15</v>
      </c>
      <c r="M206" s="8" t="n">
        <v>1383.7</v>
      </c>
      <c r="N206" s="8" t="n">
        <v>460.38</v>
      </c>
      <c r="O206" s="8" t="n">
        <v>305.7</v>
      </c>
      <c r="P206" s="8" t="n">
        <v>1221.85</v>
      </c>
      <c r="Q206" s="8" t="n">
        <v>340.9</v>
      </c>
      <c r="R206" s="8" t="n">
        <v>857.1</v>
      </c>
      <c r="S206" s="8" t="n">
        <v>335.33</v>
      </c>
    </row>
    <row r="207" customFormat="false" ht="15" hidden="false" customHeight="false" outlineLevel="0" collapsed="false">
      <c r="A207" s="7" t="n">
        <v>45103</v>
      </c>
      <c r="B207" s="8" t="n">
        <v>18691.2</v>
      </c>
      <c r="C207" s="8" t="n">
        <v>16066.15</v>
      </c>
      <c r="D207" s="8" t="n">
        <v>1463.2</v>
      </c>
      <c r="E207" s="8" t="n">
        <v>742.4</v>
      </c>
      <c r="F207" s="8" t="n">
        <v>754.75</v>
      </c>
      <c r="G207" s="8" t="n">
        <v>391.75</v>
      </c>
      <c r="H207" s="8" t="n">
        <v>601.75</v>
      </c>
      <c r="I207" s="8" t="n">
        <v>300.85</v>
      </c>
      <c r="J207" s="8" t="n">
        <v>2073.45</v>
      </c>
      <c r="K207" s="8" t="n">
        <v>698.92</v>
      </c>
      <c r="L207" s="8" t="n">
        <v>1077.6</v>
      </c>
      <c r="M207" s="8" t="n">
        <v>1327.1</v>
      </c>
      <c r="N207" s="8" t="n">
        <v>470.24</v>
      </c>
      <c r="O207" s="8" t="n">
        <v>308.75</v>
      </c>
      <c r="P207" s="8" t="n">
        <v>1237.75</v>
      </c>
      <c r="Q207" s="8" t="n">
        <v>337.2</v>
      </c>
      <c r="R207" s="8" t="n">
        <v>844.85</v>
      </c>
      <c r="S207" s="8" t="n">
        <v>340.67</v>
      </c>
    </row>
    <row r="208" customFormat="false" ht="15" hidden="false" customHeight="false" outlineLevel="0" collapsed="false">
      <c r="A208" s="7" t="n">
        <v>45104</v>
      </c>
      <c r="B208" s="8" t="n">
        <v>18817.4</v>
      </c>
      <c r="C208" s="8" t="n">
        <v>16163.5</v>
      </c>
      <c r="D208" s="8" t="n">
        <v>1508.75</v>
      </c>
      <c r="E208" s="8" t="n">
        <v>780.1</v>
      </c>
      <c r="F208" s="8" t="n">
        <v>768.35</v>
      </c>
      <c r="G208" s="8" t="n">
        <v>394.9</v>
      </c>
      <c r="H208" s="8" t="n">
        <v>594.2</v>
      </c>
      <c r="I208" s="8" t="n">
        <v>300.05</v>
      </c>
      <c r="J208" s="8" t="n">
        <v>2176.05</v>
      </c>
      <c r="K208" s="8" t="n">
        <v>700.97</v>
      </c>
      <c r="L208" s="8" t="n">
        <v>1093.85</v>
      </c>
      <c r="M208" s="8" t="n">
        <v>1353.9</v>
      </c>
      <c r="N208" s="8" t="n">
        <v>482.28</v>
      </c>
      <c r="O208" s="8" t="n">
        <v>317.35</v>
      </c>
      <c r="P208" s="8" t="n">
        <v>1238.1</v>
      </c>
      <c r="Q208" s="8" t="n">
        <v>341.3</v>
      </c>
      <c r="R208" s="8" t="n">
        <v>860.9</v>
      </c>
      <c r="S208" s="8" t="n">
        <v>339.23</v>
      </c>
    </row>
    <row r="209" customFormat="false" ht="15" hidden="false" customHeight="false" outlineLevel="0" collapsed="false">
      <c r="A209" s="7" t="n">
        <v>45105</v>
      </c>
      <c r="B209" s="8" t="n">
        <v>18972.1</v>
      </c>
      <c r="C209" s="8" t="n">
        <v>16277.2</v>
      </c>
      <c r="D209" s="8" t="n">
        <v>1532.9</v>
      </c>
      <c r="E209" s="8" t="n">
        <v>782.1</v>
      </c>
      <c r="F209" s="8" t="n">
        <v>784.75</v>
      </c>
      <c r="G209" s="8" t="n">
        <v>392.95</v>
      </c>
      <c r="H209" s="8" t="n">
        <v>590.75</v>
      </c>
      <c r="I209" s="8" t="n">
        <v>309.15</v>
      </c>
      <c r="J209" s="8" t="n">
        <v>2215.65</v>
      </c>
      <c r="K209" s="8" t="n">
        <v>708.06</v>
      </c>
      <c r="L209" s="8" t="n">
        <v>1127.5</v>
      </c>
      <c r="M209" s="8" t="n">
        <v>1325.7</v>
      </c>
      <c r="N209" s="8" t="n">
        <v>487.14</v>
      </c>
      <c r="O209" s="8" t="n">
        <v>326.45</v>
      </c>
      <c r="P209" s="8" t="n">
        <v>1247.5</v>
      </c>
      <c r="Q209" s="8" t="n">
        <v>344.9</v>
      </c>
      <c r="R209" s="8" t="n">
        <v>856.65</v>
      </c>
      <c r="S209" s="8" t="n">
        <v>340.2</v>
      </c>
    </row>
    <row r="210" customFormat="false" ht="15" hidden="false" customHeight="false" outlineLevel="0" collapsed="false">
      <c r="A210" s="7" t="n">
        <v>45107</v>
      </c>
      <c r="B210" s="8" t="n">
        <v>19189.05</v>
      </c>
      <c r="C210" s="8" t="n">
        <v>16430</v>
      </c>
      <c r="D210" s="8" t="n">
        <v>1536.95</v>
      </c>
      <c r="E210" s="8" t="n">
        <v>777.35</v>
      </c>
      <c r="F210" s="8" t="n">
        <v>784</v>
      </c>
      <c r="G210" s="8" t="n">
        <v>392.2</v>
      </c>
      <c r="H210" s="8" t="n">
        <v>567.4</v>
      </c>
      <c r="I210" s="8" t="n">
        <v>312.15</v>
      </c>
      <c r="J210" s="8" t="n">
        <v>2224.35</v>
      </c>
      <c r="K210" s="8" t="n">
        <v>715.09</v>
      </c>
      <c r="L210" s="8" t="n">
        <v>1142</v>
      </c>
      <c r="M210" s="8" t="n">
        <v>1247.65</v>
      </c>
      <c r="N210" s="8" t="n">
        <v>491.17</v>
      </c>
      <c r="O210" s="8" t="n">
        <v>336.45</v>
      </c>
      <c r="P210" s="8" t="n">
        <v>1239.65</v>
      </c>
      <c r="Q210" s="8" t="n">
        <v>340.9</v>
      </c>
      <c r="R210" s="8" t="n">
        <v>847.2</v>
      </c>
      <c r="S210" s="8" t="n">
        <v>347.04</v>
      </c>
    </row>
    <row r="211" customFormat="false" ht="15" hidden="false" customHeight="false" outlineLevel="0" collapsed="false">
      <c r="A211" s="7" t="n">
        <v>45110</v>
      </c>
      <c r="B211" s="8" t="n">
        <v>19322.55</v>
      </c>
      <c r="C211" s="8" t="n">
        <v>16527.95</v>
      </c>
      <c r="D211" s="8" t="n">
        <v>1536</v>
      </c>
      <c r="E211" s="8" t="n">
        <v>778.45</v>
      </c>
      <c r="F211" s="8" t="n">
        <v>790.8</v>
      </c>
      <c r="G211" s="8" t="n">
        <v>396.5</v>
      </c>
      <c r="H211" s="8" t="n">
        <v>565.25</v>
      </c>
      <c r="I211" s="8" t="n">
        <v>308.7</v>
      </c>
      <c r="J211" s="8" t="n">
        <v>2217.55</v>
      </c>
      <c r="K211" s="8" t="n">
        <v>732.3</v>
      </c>
      <c r="L211" s="8" t="n">
        <v>1169.15</v>
      </c>
      <c r="M211" s="8" t="n">
        <v>1262.85</v>
      </c>
      <c r="N211" s="8" t="n">
        <v>485.1</v>
      </c>
      <c r="O211" s="8" t="n">
        <v>343.75</v>
      </c>
      <c r="P211" s="8" t="n">
        <v>1248.2</v>
      </c>
      <c r="Q211" s="8" t="n">
        <v>342.7</v>
      </c>
      <c r="R211" s="8" t="n">
        <v>842.55</v>
      </c>
      <c r="S211" s="8" t="n">
        <v>351.59</v>
      </c>
    </row>
    <row r="212" customFormat="false" ht="15" hidden="false" customHeight="false" outlineLevel="0" collapsed="false">
      <c r="A212" s="7" t="n">
        <v>45111</v>
      </c>
      <c r="B212" s="8" t="n">
        <v>19389</v>
      </c>
      <c r="C212" s="8" t="n">
        <v>16556.05</v>
      </c>
      <c r="D212" s="8" t="n">
        <v>1531.75</v>
      </c>
      <c r="E212" s="8" t="n">
        <v>797.9</v>
      </c>
      <c r="F212" s="8" t="n">
        <v>809.95</v>
      </c>
      <c r="G212" s="8" t="n">
        <v>390.2</v>
      </c>
      <c r="H212" s="8" t="n">
        <v>567.05</v>
      </c>
      <c r="I212" s="8" t="n">
        <v>306.5</v>
      </c>
      <c r="J212" s="8" t="n">
        <v>2181.6</v>
      </c>
      <c r="K212" s="8" t="n">
        <v>784.98</v>
      </c>
      <c r="L212" s="8" t="n">
        <v>1187.25</v>
      </c>
      <c r="M212" s="8" t="n">
        <v>1251.4</v>
      </c>
      <c r="N212" s="8" t="n">
        <v>490.25</v>
      </c>
      <c r="O212" s="8" t="n">
        <v>343</v>
      </c>
      <c r="P212" s="8" t="n">
        <v>1242.15</v>
      </c>
      <c r="Q212" s="8" t="n">
        <v>358.75</v>
      </c>
      <c r="R212" s="8" t="n">
        <v>838.9</v>
      </c>
      <c r="S212" s="8" t="n">
        <v>355.54</v>
      </c>
    </row>
    <row r="213" customFormat="false" ht="15" hidden="false" customHeight="false" outlineLevel="0" collapsed="false">
      <c r="A213" s="7" t="n">
        <v>45112</v>
      </c>
      <c r="B213" s="8" t="n">
        <v>19398.5</v>
      </c>
      <c r="C213" s="8" t="n">
        <v>16597.2</v>
      </c>
      <c r="D213" s="8" t="n">
        <v>1540.3</v>
      </c>
      <c r="E213" s="8" t="n">
        <v>768.9</v>
      </c>
      <c r="F213" s="8" t="n">
        <v>794.5</v>
      </c>
      <c r="G213" s="8" t="n">
        <v>393.75</v>
      </c>
      <c r="H213" s="8" t="n">
        <v>561.8</v>
      </c>
      <c r="I213" s="8" t="n">
        <v>329.45</v>
      </c>
      <c r="J213" s="8" t="n">
        <v>2210.6</v>
      </c>
      <c r="K213" s="8" t="n">
        <v>782.81</v>
      </c>
      <c r="L213" s="8" t="n">
        <v>1186.45</v>
      </c>
      <c r="M213" s="8" t="n">
        <v>1249.95</v>
      </c>
      <c r="N213" s="8" t="n">
        <v>493.45</v>
      </c>
      <c r="O213" s="8" t="n">
        <v>343.2</v>
      </c>
      <c r="P213" s="8" t="n">
        <v>1260.1</v>
      </c>
      <c r="Q213" s="8" t="n">
        <v>368.4</v>
      </c>
      <c r="R213" s="8" t="n">
        <v>836.45</v>
      </c>
      <c r="S213" s="8" t="n">
        <v>360.45</v>
      </c>
    </row>
    <row r="214" customFormat="false" ht="15" hidden="false" customHeight="false" outlineLevel="0" collapsed="false">
      <c r="A214" s="7" t="n">
        <v>45113</v>
      </c>
      <c r="B214" s="8" t="n">
        <v>19497.3</v>
      </c>
      <c r="C214" s="8" t="n">
        <v>16695.05</v>
      </c>
      <c r="D214" s="8" t="n">
        <v>1537.65</v>
      </c>
      <c r="E214" s="8" t="n">
        <v>768.6</v>
      </c>
      <c r="F214" s="8" t="n">
        <v>787.2</v>
      </c>
      <c r="G214" s="8" t="n">
        <v>398.25</v>
      </c>
      <c r="H214" s="8" t="n">
        <v>579.85</v>
      </c>
      <c r="I214" s="8" t="n">
        <v>323.85</v>
      </c>
      <c r="J214" s="8" t="n">
        <v>2234.75</v>
      </c>
      <c r="K214" s="8" t="n">
        <v>775.57</v>
      </c>
      <c r="L214" s="8" t="n">
        <v>1165.5</v>
      </c>
      <c r="M214" s="8" t="n">
        <v>1279.75</v>
      </c>
      <c r="N214" s="8" t="n">
        <v>497.58</v>
      </c>
      <c r="O214" s="8" t="n">
        <v>340.95</v>
      </c>
      <c r="P214" s="8" t="n">
        <v>1260.4</v>
      </c>
      <c r="Q214" s="8" t="n">
        <v>362</v>
      </c>
      <c r="R214" s="8" t="n">
        <v>840.8</v>
      </c>
      <c r="S214" s="8" t="n">
        <v>354.27</v>
      </c>
    </row>
    <row r="215" customFormat="false" ht="15" hidden="false" customHeight="false" outlineLevel="0" collapsed="false">
      <c r="A215" s="7" t="n">
        <v>45114</v>
      </c>
      <c r="B215" s="8" t="n">
        <v>19331.8</v>
      </c>
      <c r="C215" s="8" t="n">
        <v>16564.9</v>
      </c>
      <c r="D215" s="8" t="n">
        <v>1563.9</v>
      </c>
      <c r="E215" s="8" t="n">
        <v>774.05</v>
      </c>
      <c r="F215" s="8" t="n">
        <v>783.5</v>
      </c>
      <c r="G215" s="8" t="n">
        <v>389.85</v>
      </c>
      <c r="H215" s="8" t="n">
        <v>583.15</v>
      </c>
      <c r="I215" s="8" t="n">
        <v>315.75</v>
      </c>
      <c r="J215" s="8" t="n">
        <v>2256.25</v>
      </c>
      <c r="K215" s="8" t="n">
        <v>761.2</v>
      </c>
      <c r="L215" s="8" t="n">
        <v>1176.75</v>
      </c>
      <c r="M215" s="8" t="n">
        <v>1281.85</v>
      </c>
      <c r="N215" s="8" t="n">
        <v>495.3</v>
      </c>
      <c r="O215" s="8" t="n">
        <v>328.8</v>
      </c>
      <c r="P215" s="8" t="n">
        <v>1268.25</v>
      </c>
      <c r="Q215" s="8" t="n">
        <v>361.75</v>
      </c>
      <c r="R215" s="8" t="n">
        <v>836.7</v>
      </c>
      <c r="S215" s="8" t="n">
        <v>343.72</v>
      </c>
    </row>
    <row r="216" customFormat="false" ht="15" hidden="false" customHeight="false" outlineLevel="0" collapsed="false">
      <c r="A216" s="7" t="n">
        <v>45117</v>
      </c>
      <c r="B216" s="8" t="n">
        <v>19355.9</v>
      </c>
      <c r="C216" s="8" t="n">
        <v>16553.75</v>
      </c>
      <c r="D216" s="8" t="n">
        <v>1545.5</v>
      </c>
      <c r="E216" s="8" t="n">
        <v>778.4</v>
      </c>
      <c r="F216" s="8" t="n">
        <v>788.55</v>
      </c>
      <c r="G216" s="8" t="n">
        <v>389.9</v>
      </c>
      <c r="H216" s="8" t="n">
        <v>601</v>
      </c>
      <c r="I216" s="8" t="n">
        <v>313.65</v>
      </c>
      <c r="J216" s="8" t="n">
        <v>2227.85</v>
      </c>
      <c r="K216" s="8" t="n">
        <v>752.3</v>
      </c>
      <c r="L216" s="8" t="n">
        <v>1151.35</v>
      </c>
      <c r="M216" s="8" t="n">
        <v>1269.25</v>
      </c>
      <c r="N216" s="8" t="n">
        <v>524.58</v>
      </c>
      <c r="O216" s="8" t="n">
        <v>328.5</v>
      </c>
      <c r="P216" s="8" t="n">
        <v>1255.35</v>
      </c>
      <c r="Q216" s="8" t="n">
        <v>362.9</v>
      </c>
      <c r="R216" s="8" t="n">
        <v>835.85</v>
      </c>
      <c r="S216" s="8" t="n">
        <v>344.64</v>
      </c>
    </row>
    <row r="217" customFormat="false" ht="15" hidden="false" customHeight="false" outlineLevel="0" collapsed="false">
      <c r="A217" s="7" t="n">
        <v>45118</v>
      </c>
      <c r="B217" s="8" t="n">
        <v>19439.4</v>
      </c>
      <c r="C217" s="8" t="n">
        <v>16648</v>
      </c>
      <c r="D217" s="8" t="n">
        <v>1552.8</v>
      </c>
      <c r="E217" s="8" t="n">
        <v>782.9</v>
      </c>
      <c r="F217" s="8" t="n">
        <v>794.2</v>
      </c>
      <c r="G217" s="8" t="n">
        <v>392.85</v>
      </c>
      <c r="H217" s="8" t="n">
        <v>606.2</v>
      </c>
      <c r="I217" s="8" t="n">
        <v>315.85</v>
      </c>
      <c r="J217" s="8" t="n">
        <v>2242.5</v>
      </c>
      <c r="K217" s="8" t="n">
        <v>743.39</v>
      </c>
      <c r="L217" s="8" t="n">
        <v>1132</v>
      </c>
      <c r="M217" s="8" t="n">
        <v>1292.2</v>
      </c>
      <c r="N217" s="8" t="n">
        <v>522.84</v>
      </c>
      <c r="O217" s="8" t="n">
        <v>325.9</v>
      </c>
      <c r="P217" s="8" t="n">
        <v>1270.85</v>
      </c>
      <c r="Q217" s="8" t="n">
        <v>364.8</v>
      </c>
      <c r="R217" s="8" t="n">
        <v>834.3</v>
      </c>
      <c r="S217" s="8" t="n">
        <v>352.14</v>
      </c>
    </row>
    <row r="218" customFormat="false" ht="15" hidden="false" customHeight="false" outlineLevel="0" collapsed="false">
      <c r="A218" s="7" t="n">
        <v>45119</v>
      </c>
      <c r="B218" s="8" t="n">
        <v>19384.3</v>
      </c>
      <c r="C218" s="8" t="n">
        <v>16641.05</v>
      </c>
      <c r="D218" s="8" t="n">
        <v>1548.95</v>
      </c>
      <c r="E218" s="8" t="n">
        <v>795.4</v>
      </c>
      <c r="F218" s="8" t="n">
        <v>798.55</v>
      </c>
      <c r="G218" s="8" t="n">
        <v>392.75</v>
      </c>
      <c r="H218" s="8" t="n">
        <v>611.75</v>
      </c>
      <c r="I218" s="8" t="n">
        <v>310.05</v>
      </c>
      <c r="J218" s="8" t="n">
        <v>2226.8</v>
      </c>
      <c r="K218" s="8" t="n">
        <v>742.18</v>
      </c>
      <c r="L218" s="8" t="n">
        <v>1148.55</v>
      </c>
      <c r="M218" s="8" t="n">
        <v>1296.05</v>
      </c>
      <c r="N218" s="8" t="n">
        <v>526.87</v>
      </c>
      <c r="O218" s="8" t="n">
        <v>324.3</v>
      </c>
      <c r="P218" s="8" t="n">
        <v>1285.65</v>
      </c>
      <c r="Q218" s="8" t="n">
        <v>368.2</v>
      </c>
      <c r="R218" s="8" t="n">
        <v>837.85</v>
      </c>
      <c r="S218" s="8" t="n">
        <v>361.1</v>
      </c>
    </row>
    <row r="219" customFormat="false" ht="15" hidden="false" customHeight="false" outlineLevel="0" collapsed="false">
      <c r="A219" s="7" t="n">
        <v>45120</v>
      </c>
      <c r="B219" s="8" t="n">
        <v>19413.75</v>
      </c>
      <c r="C219" s="8" t="n">
        <v>16623.9</v>
      </c>
      <c r="D219" s="8" t="n">
        <v>1525.3</v>
      </c>
      <c r="E219" s="8" t="n">
        <v>792.2</v>
      </c>
      <c r="F219" s="8" t="n">
        <v>796.45</v>
      </c>
      <c r="G219" s="8" t="n">
        <v>386.95</v>
      </c>
      <c r="H219" s="8" t="n">
        <v>618</v>
      </c>
      <c r="I219" s="8" t="n">
        <v>310.1</v>
      </c>
      <c r="J219" s="8" t="n">
        <v>2170.75</v>
      </c>
      <c r="K219" s="8" t="n">
        <v>746.44</v>
      </c>
      <c r="L219" s="8" t="n">
        <v>1150.8</v>
      </c>
      <c r="M219" s="8" t="n">
        <v>1265.65</v>
      </c>
      <c r="N219" s="8" t="n">
        <v>521.18</v>
      </c>
      <c r="O219" s="8" t="n">
        <v>320.4</v>
      </c>
      <c r="P219" s="8" t="n">
        <v>1277.85</v>
      </c>
      <c r="Q219" s="8" t="n">
        <v>369.2</v>
      </c>
      <c r="R219" s="8" t="n">
        <v>835.75</v>
      </c>
      <c r="S219" s="8" t="n">
        <v>357.8</v>
      </c>
    </row>
    <row r="220" customFormat="false" ht="15" hidden="false" customHeight="false" outlineLevel="0" collapsed="false">
      <c r="A220" s="7" t="n">
        <v>45121</v>
      </c>
      <c r="B220" s="8" t="n">
        <v>19564.5</v>
      </c>
      <c r="C220" s="8" t="n">
        <v>16765.45</v>
      </c>
      <c r="D220" s="8" t="n">
        <v>1558.65</v>
      </c>
      <c r="E220" s="8" t="n">
        <v>802.4</v>
      </c>
      <c r="F220" s="8" t="n">
        <v>803.65</v>
      </c>
      <c r="G220" s="8" t="n">
        <v>392.5</v>
      </c>
      <c r="H220" s="8" t="n">
        <v>620.3</v>
      </c>
      <c r="I220" s="8" t="n">
        <v>316.6</v>
      </c>
      <c r="J220" s="8" t="n">
        <v>2171.65</v>
      </c>
      <c r="K220" s="8" t="n">
        <v>747.22</v>
      </c>
      <c r="L220" s="8" t="n">
        <v>1164.35</v>
      </c>
      <c r="M220" s="8" t="n">
        <v>1275.7</v>
      </c>
      <c r="N220" s="8" t="n">
        <v>531.63</v>
      </c>
      <c r="O220" s="8" t="n">
        <v>316.35</v>
      </c>
      <c r="P220" s="8" t="n">
        <v>1307.75</v>
      </c>
      <c r="Q220" s="8" t="n">
        <v>369</v>
      </c>
      <c r="R220" s="8" t="n">
        <v>839.8</v>
      </c>
      <c r="S220" s="8" t="n">
        <v>356.78</v>
      </c>
    </row>
    <row r="221" customFormat="false" ht="15" hidden="false" customHeight="false" outlineLevel="0" collapsed="false">
      <c r="A221" s="7" t="n">
        <v>45124</v>
      </c>
      <c r="B221" s="8" t="n">
        <v>19711.45</v>
      </c>
      <c r="C221" s="8" t="n">
        <v>16872.05</v>
      </c>
      <c r="D221" s="8" t="n">
        <v>1531.05</v>
      </c>
      <c r="E221" s="8" t="n">
        <v>811.8</v>
      </c>
      <c r="F221" s="8" t="n">
        <v>795.8</v>
      </c>
      <c r="G221" s="8" t="n">
        <v>389.85</v>
      </c>
      <c r="H221" s="8" t="n">
        <v>643.4</v>
      </c>
      <c r="I221" s="8" t="n">
        <v>314.1</v>
      </c>
      <c r="J221" s="8" t="n">
        <v>2203</v>
      </c>
      <c r="K221" s="8" t="n">
        <v>750.07</v>
      </c>
      <c r="L221" s="8" t="n">
        <v>1164.65</v>
      </c>
      <c r="M221" s="8" t="n">
        <v>1292.3</v>
      </c>
      <c r="N221" s="8" t="n">
        <v>534.98</v>
      </c>
      <c r="O221" s="8" t="n">
        <v>319.75</v>
      </c>
      <c r="P221" s="8" t="n">
        <v>1310.7</v>
      </c>
      <c r="Q221" s="8" t="n">
        <v>366.85</v>
      </c>
      <c r="R221" s="8" t="n">
        <v>847.25</v>
      </c>
      <c r="S221" s="8" t="n">
        <v>353.9</v>
      </c>
    </row>
    <row r="222" customFormat="false" ht="15" hidden="false" customHeight="false" outlineLevel="0" collapsed="false">
      <c r="A222" s="7" t="n">
        <v>45125</v>
      </c>
      <c r="B222" s="8" t="n">
        <v>19749.25</v>
      </c>
      <c r="C222" s="8" t="n">
        <v>16872</v>
      </c>
      <c r="D222" s="8" t="n">
        <v>1552.6</v>
      </c>
      <c r="E222" s="8" t="n">
        <v>797.65</v>
      </c>
      <c r="F222" s="8" t="n">
        <v>799</v>
      </c>
      <c r="G222" s="8" t="n">
        <v>384.9</v>
      </c>
      <c r="H222" s="8" t="n">
        <v>632</v>
      </c>
      <c r="I222" s="8" t="n">
        <v>310.3</v>
      </c>
      <c r="J222" s="8" t="n">
        <v>2136.3</v>
      </c>
      <c r="K222" s="8" t="n">
        <v>740.99</v>
      </c>
      <c r="L222" s="8" t="n">
        <v>1145.95</v>
      </c>
      <c r="M222" s="8" t="n">
        <v>1307.05</v>
      </c>
      <c r="N222" s="8" t="n">
        <v>539.25</v>
      </c>
      <c r="O222" s="8" t="n">
        <v>316.8</v>
      </c>
      <c r="P222" s="8" t="n">
        <v>1289.7</v>
      </c>
      <c r="Q222" s="8" t="n">
        <v>371</v>
      </c>
      <c r="R222" s="8" t="n">
        <v>842.65</v>
      </c>
      <c r="S222" s="8" t="n">
        <v>356.83</v>
      </c>
    </row>
    <row r="223" customFormat="false" ht="15" hidden="false" customHeight="false" outlineLevel="0" collapsed="false">
      <c r="A223" s="7" t="n">
        <v>45126</v>
      </c>
      <c r="B223" s="8" t="n">
        <v>19833.15</v>
      </c>
      <c r="C223" s="8" t="n">
        <v>16953.5</v>
      </c>
      <c r="D223" s="8" t="n">
        <v>1542.35</v>
      </c>
      <c r="E223" s="8" t="n">
        <v>818.3</v>
      </c>
      <c r="F223" s="8" t="n">
        <v>801.45</v>
      </c>
      <c r="G223" s="8" t="n">
        <v>383.8</v>
      </c>
      <c r="H223" s="8" t="n">
        <v>640.5</v>
      </c>
      <c r="I223" s="8" t="n">
        <v>306.25</v>
      </c>
      <c r="J223" s="8" t="n">
        <v>2115</v>
      </c>
      <c r="K223" s="8" t="n">
        <v>757.44</v>
      </c>
      <c r="L223" s="8" t="n">
        <v>1170.3</v>
      </c>
      <c r="M223" s="8" t="n">
        <v>1306.95</v>
      </c>
      <c r="N223" s="8" t="n">
        <v>539.59</v>
      </c>
      <c r="O223" s="8" t="n">
        <v>319.85</v>
      </c>
      <c r="P223" s="8" t="n">
        <v>1292.75</v>
      </c>
      <c r="Q223" s="8" t="n">
        <v>368.95</v>
      </c>
      <c r="R223" s="8" t="n">
        <v>865.75</v>
      </c>
      <c r="S223" s="8" t="n">
        <v>357.15</v>
      </c>
    </row>
    <row r="224" customFormat="false" ht="15" hidden="false" customHeight="false" outlineLevel="0" collapsed="false">
      <c r="A224" s="7" t="n">
        <v>45127</v>
      </c>
      <c r="B224" s="8" t="n">
        <v>19979.15</v>
      </c>
      <c r="C224" s="8" t="n">
        <v>17042.55</v>
      </c>
      <c r="D224" s="8" t="n">
        <v>1567.75</v>
      </c>
      <c r="E224" s="8" t="n">
        <v>831.1</v>
      </c>
      <c r="F224" s="8" t="n">
        <v>810.35</v>
      </c>
      <c r="G224" s="8" t="n">
        <v>388</v>
      </c>
      <c r="H224" s="8" t="n">
        <v>652.45</v>
      </c>
      <c r="I224" s="8" t="n">
        <v>309.7</v>
      </c>
      <c r="J224" s="8" t="n">
        <v>2112.6</v>
      </c>
      <c r="K224" s="8" t="n">
        <v>758.63</v>
      </c>
      <c r="L224" s="8" t="n">
        <v>1158.55</v>
      </c>
      <c r="M224" s="8" t="n">
        <v>1315.95</v>
      </c>
      <c r="N224" s="8" t="n">
        <v>546.05</v>
      </c>
      <c r="O224" s="8" t="n">
        <v>321.35</v>
      </c>
      <c r="P224" s="8" t="n">
        <v>1294.5</v>
      </c>
      <c r="Q224" s="8" t="n">
        <v>372.55</v>
      </c>
      <c r="R224" s="8" t="n">
        <v>853.45</v>
      </c>
      <c r="S224" s="8" t="n">
        <v>356.57</v>
      </c>
    </row>
    <row r="225" customFormat="false" ht="15" hidden="false" customHeight="false" outlineLevel="0" collapsed="false">
      <c r="A225" s="7" t="n">
        <v>45128</v>
      </c>
      <c r="B225" s="8" t="n">
        <v>19745</v>
      </c>
      <c r="C225" s="8" t="n">
        <v>16904.3</v>
      </c>
      <c r="D225" s="8" t="n">
        <v>1574.6</v>
      </c>
      <c r="E225" s="8" t="n">
        <v>837.65</v>
      </c>
      <c r="F225" s="8" t="n">
        <v>812.25</v>
      </c>
      <c r="G225" s="8" t="n">
        <v>385.85</v>
      </c>
      <c r="H225" s="8" t="n">
        <v>650.2</v>
      </c>
      <c r="I225" s="8" t="n">
        <v>304.95</v>
      </c>
      <c r="J225" s="8" t="n">
        <v>2102.65</v>
      </c>
      <c r="K225" s="8" t="n">
        <v>757.14</v>
      </c>
      <c r="L225" s="8" t="n">
        <v>1134.75</v>
      </c>
      <c r="M225" s="8" t="n">
        <v>1313.5</v>
      </c>
      <c r="N225" s="8" t="n">
        <v>551.83</v>
      </c>
      <c r="O225" s="8" t="n">
        <v>312.55</v>
      </c>
      <c r="P225" s="8" t="n">
        <v>1286.75</v>
      </c>
      <c r="Q225" s="8" t="n">
        <v>375.25</v>
      </c>
      <c r="R225" s="8" t="n">
        <v>846.3</v>
      </c>
      <c r="S225" s="8" t="n">
        <v>366.3</v>
      </c>
    </row>
    <row r="226" customFormat="false" ht="15" hidden="false" customHeight="false" outlineLevel="0" collapsed="false">
      <c r="A226" s="7" t="n">
        <v>45131</v>
      </c>
      <c r="B226" s="8" t="n">
        <v>19672.35</v>
      </c>
      <c r="C226" s="8" t="n">
        <v>16865.15</v>
      </c>
      <c r="D226" s="8" t="n">
        <v>1603.5</v>
      </c>
      <c r="E226" s="8" t="n">
        <v>889.95</v>
      </c>
      <c r="F226" s="8" t="n">
        <v>834.2</v>
      </c>
      <c r="G226" s="8" t="n">
        <v>390.4</v>
      </c>
      <c r="H226" s="8" t="n">
        <v>689.3</v>
      </c>
      <c r="I226" s="8" t="n">
        <v>299.45</v>
      </c>
      <c r="J226" s="8" t="n">
        <v>2172.4</v>
      </c>
      <c r="K226" s="8" t="n">
        <v>757.13</v>
      </c>
      <c r="L226" s="8" t="n">
        <v>1145.35</v>
      </c>
      <c r="M226" s="8" t="n">
        <v>1373</v>
      </c>
      <c r="N226" s="8" t="n">
        <v>549.16</v>
      </c>
      <c r="O226" s="8" t="n">
        <v>321.25</v>
      </c>
      <c r="P226" s="8" t="n">
        <v>1296.75</v>
      </c>
      <c r="Q226" s="8" t="n">
        <v>368.45</v>
      </c>
      <c r="R226" s="8" t="n">
        <v>859.8</v>
      </c>
      <c r="S226" s="8" t="n">
        <v>359.26</v>
      </c>
    </row>
    <row r="227" customFormat="false" ht="15" hidden="false" customHeight="false" outlineLevel="0" collapsed="false">
      <c r="A227" s="7" t="n">
        <v>45132</v>
      </c>
      <c r="B227" s="8" t="n">
        <v>19680.6</v>
      </c>
      <c r="C227" s="8" t="n">
        <v>16896.9</v>
      </c>
      <c r="D227" s="8" t="n">
        <v>1619.25</v>
      </c>
      <c r="E227" s="8" t="n">
        <v>851.2</v>
      </c>
      <c r="F227" s="8" t="n">
        <v>823.05</v>
      </c>
      <c r="G227" s="8" t="n">
        <v>392.5</v>
      </c>
      <c r="H227" s="8" t="n">
        <v>684.65</v>
      </c>
      <c r="I227" s="8" t="n">
        <v>316.45</v>
      </c>
      <c r="J227" s="8" t="n">
        <v>2208.3</v>
      </c>
      <c r="K227" s="8" t="n">
        <v>759.61</v>
      </c>
      <c r="L227" s="8" t="n">
        <v>1127.4</v>
      </c>
      <c r="M227" s="8" t="n">
        <v>1369.65</v>
      </c>
      <c r="N227" s="8" t="n">
        <v>558.53</v>
      </c>
      <c r="O227" s="8" t="n">
        <v>315.75</v>
      </c>
      <c r="P227" s="8" t="n">
        <v>1312.3</v>
      </c>
      <c r="Q227" s="8" t="n">
        <v>379.7</v>
      </c>
      <c r="R227" s="8" t="n">
        <v>876.45</v>
      </c>
      <c r="S227" s="8" t="n">
        <v>364.7</v>
      </c>
    </row>
    <row r="228" customFormat="false" ht="15" hidden="false" customHeight="false" outlineLevel="0" collapsed="false">
      <c r="A228" s="7" t="n">
        <v>45133</v>
      </c>
      <c r="B228" s="8" t="n">
        <v>19778.3</v>
      </c>
      <c r="C228" s="8" t="n">
        <v>16975</v>
      </c>
      <c r="D228" s="8" t="n">
        <v>1616.2</v>
      </c>
      <c r="E228" s="8" t="n">
        <v>771.2</v>
      </c>
      <c r="F228" s="8" t="n">
        <v>840.5</v>
      </c>
      <c r="G228" s="8" t="n">
        <v>395.75</v>
      </c>
      <c r="H228" s="8" t="n">
        <v>654</v>
      </c>
      <c r="I228" s="8" t="n">
        <v>317.6</v>
      </c>
      <c r="J228" s="8" t="n">
        <v>2288.5</v>
      </c>
      <c r="K228" s="8" t="n">
        <v>742.3</v>
      </c>
      <c r="L228" s="8" t="n">
        <v>1141.55</v>
      </c>
      <c r="M228" s="8" t="n">
        <v>1417.95</v>
      </c>
      <c r="N228" s="8" t="n">
        <v>562.85</v>
      </c>
      <c r="O228" s="8" t="n">
        <v>320.05</v>
      </c>
      <c r="P228" s="8" t="n">
        <v>1309.6</v>
      </c>
      <c r="Q228" s="8" t="n">
        <v>378.35</v>
      </c>
      <c r="R228" s="8" t="n">
        <v>871.1</v>
      </c>
      <c r="S228" s="8" t="n">
        <v>363.83</v>
      </c>
    </row>
    <row r="229" customFormat="false" ht="15" hidden="false" customHeight="false" outlineLevel="0" collapsed="false">
      <c r="A229" s="7" t="n">
        <v>45134</v>
      </c>
      <c r="B229" s="8" t="n">
        <v>19659.9</v>
      </c>
      <c r="C229" s="8" t="n">
        <v>16919.2</v>
      </c>
      <c r="D229" s="8" t="n">
        <v>1587.9</v>
      </c>
      <c r="E229" s="8" t="n">
        <v>745.4</v>
      </c>
      <c r="F229" s="8" t="n">
        <v>868.75</v>
      </c>
      <c r="G229" s="8" t="n">
        <v>397.2</v>
      </c>
      <c r="H229" s="8" t="n">
        <v>637.45</v>
      </c>
      <c r="I229" s="8" t="n">
        <v>322.95</v>
      </c>
      <c r="J229" s="8" t="n">
        <v>2263.2</v>
      </c>
      <c r="K229" s="8" t="n">
        <v>727.42</v>
      </c>
      <c r="L229" s="8" t="n">
        <v>1135.95</v>
      </c>
      <c r="M229" s="8" t="n">
        <v>1370.15</v>
      </c>
      <c r="N229" s="8" t="n">
        <v>566.35</v>
      </c>
      <c r="O229" s="8" t="n">
        <v>311.95</v>
      </c>
      <c r="P229" s="8" t="n">
        <v>1331.9</v>
      </c>
      <c r="Q229" s="8" t="n">
        <v>374.55</v>
      </c>
      <c r="R229" s="8" t="n">
        <v>857.8</v>
      </c>
      <c r="S229" s="8" t="n">
        <v>362.33</v>
      </c>
    </row>
    <row r="230" customFormat="false" ht="15" hidden="false" customHeight="false" outlineLevel="0" collapsed="false">
      <c r="A230" s="7" t="n">
        <v>45135</v>
      </c>
      <c r="B230" s="8" t="n">
        <v>19646.05</v>
      </c>
      <c r="C230" s="8" t="n">
        <v>16948.35</v>
      </c>
      <c r="D230" s="8" t="n">
        <v>1605.25</v>
      </c>
      <c r="E230" s="8" t="n">
        <v>732.7</v>
      </c>
      <c r="F230" s="8" t="n">
        <v>854.55</v>
      </c>
      <c r="G230" s="8" t="n">
        <v>413.45</v>
      </c>
      <c r="H230" s="8" t="n">
        <v>617.05</v>
      </c>
      <c r="I230" s="8" t="n">
        <v>323.35</v>
      </c>
      <c r="J230" s="8" t="n">
        <v>2288.35</v>
      </c>
      <c r="K230" s="8" t="n">
        <v>737.16</v>
      </c>
      <c r="L230" s="8" t="n">
        <v>1137.6</v>
      </c>
      <c r="M230" s="8" t="n">
        <v>1397.5</v>
      </c>
      <c r="N230" s="8" t="n">
        <v>553.04</v>
      </c>
      <c r="O230" s="8" t="n">
        <v>299.6</v>
      </c>
      <c r="P230" s="8" t="n">
        <v>1330.05</v>
      </c>
      <c r="Q230" s="8" t="n">
        <v>381.5</v>
      </c>
      <c r="R230" s="8" t="n">
        <v>857.2</v>
      </c>
      <c r="S230" s="8" t="n">
        <v>363.57</v>
      </c>
    </row>
    <row r="231" customFormat="false" ht="15" hidden="false" customHeight="false" outlineLevel="0" collapsed="false">
      <c r="A231" s="7" t="n">
        <v>45138</v>
      </c>
      <c r="B231" s="8" t="n">
        <v>19753.8</v>
      </c>
      <c r="C231" s="8" t="n">
        <v>17059</v>
      </c>
      <c r="D231" s="8" t="n">
        <v>1548.8</v>
      </c>
      <c r="E231" s="8" t="n">
        <v>751.4</v>
      </c>
      <c r="F231" s="8" t="n">
        <v>870.1</v>
      </c>
      <c r="G231" s="8" t="n">
        <v>417.4</v>
      </c>
      <c r="H231" s="8" t="n">
        <v>634.8</v>
      </c>
      <c r="I231" s="8" t="n">
        <v>328.4</v>
      </c>
      <c r="J231" s="8" t="n">
        <v>2283.95</v>
      </c>
      <c r="K231" s="8" t="n">
        <v>729.04</v>
      </c>
      <c r="L231" s="8" t="n">
        <v>1132.1</v>
      </c>
      <c r="M231" s="8" t="n">
        <v>1456.25</v>
      </c>
      <c r="N231" s="8" t="n">
        <v>573.25</v>
      </c>
      <c r="O231" s="8" t="n">
        <v>297.45</v>
      </c>
      <c r="P231" s="8" t="n">
        <v>1350.4</v>
      </c>
      <c r="Q231" s="8" t="n">
        <v>391.8</v>
      </c>
      <c r="R231" s="8" t="n">
        <v>855.35</v>
      </c>
      <c r="S231" s="8" t="n">
        <v>378.63</v>
      </c>
    </row>
    <row r="232" customFormat="false" ht="15" hidden="false" customHeight="false" outlineLevel="0" collapsed="false">
      <c r="A232" s="7" t="n">
        <v>45139</v>
      </c>
      <c r="B232" s="8" t="n">
        <v>19733.55</v>
      </c>
      <c r="C232" s="8" t="n">
        <v>17051.15</v>
      </c>
      <c r="D232" s="8" t="n">
        <v>1555.7</v>
      </c>
      <c r="E232" s="8" t="n">
        <v>738.1</v>
      </c>
      <c r="F232" s="8" t="n">
        <v>838.05</v>
      </c>
      <c r="G232" s="8" t="n">
        <v>418</v>
      </c>
      <c r="H232" s="8" t="n">
        <v>629.65</v>
      </c>
      <c r="I232" s="8" t="n">
        <v>337.1</v>
      </c>
      <c r="J232" s="8" t="n">
        <v>2305.45</v>
      </c>
      <c r="K232" s="8" t="n">
        <v>725.98</v>
      </c>
      <c r="L232" s="8" t="n">
        <v>1130.45</v>
      </c>
      <c r="M232" s="8" t="n">
        <v>1482.45</v>
      </c>
      <c r="N232" s="8" t="n">
        <v>601.85</v>
      </c>
      <c r="O232" s="8" t="n">
        <v>295.85</v>
      </c>
      <c r="P232" s="8" t="n">
        <v>1347.1</v>
      </c>
      <c r="Q232" s="8" t="n">
        <v>395.6</v>
      </c>
      <c r="R232" s="8" t="n">
        <v>881.35</v>
      </c>
      <c r="S232" s="8" t="n">
        <v>370.74</v>
      </c>
    </row>
    <row r="233" customFormat="false" ht="15" hidden="false" customHeight="false" outlineLevel="0" collapsed="false">
      <c r="A233" s="7" t="n">
        <v>45140</v>
      </c>
      <c r="B233" s="8" t="n">
        <v>19526.55</v>
      </c>
      <c r="C233" s="8" t="n">
        <v>16858.95</v>
      </c>
      <c r="D233" s="8" t="n">
        <v>1559.65</v>
      </c>
      <c r="E233" s="8" t="n">
        <v>721.7</v>
      </c>
      <c r="F233" s="8" t="n">
        <v>834.25</v>
      </c>
      <c r="G233" s="8" t="n">
        <v>414.35</v>
      </c>
      <c r="H233" s="8" t="n">
        <v>608.1</v>
      </c>
      <c r="I233" s="8" t="n">
        <v>320.8</v>
      </c>
      <c r="J233" s="8" t="n">
        <v>2191.5</v>
      </c>
      <c r="K233" s="8" t="n">
        <v>719.37</v>
      </c>
      <c r="L233" s="8" t="n">
        <v>1099.4</v>
      </c>
      <c r="M233" s="8" t="n">
        <v>1458.2</v>
      </c>
      <c r="N233" s="8" t="n">
        <v>571.4</v>
      </c>
      <c r="O233" s="8" t="n">
        <v>293.4</v>
      </c>
      <c r="P233" s="8" t="n">
        <v>1349.9</v>
      </c>
      <c r="Q233" s="8" t="n">
        <v>390.6</v>
      </c>
      <c r="R233" s="8" t="n">
        <v>867.2</v>
      </c>
      <c r="S233" s="8" t="n">
        <v>366.63</v>
      </c>
    </row>
    <row r="234" customFormat="false" ht="15" hidden="false" customHeight="false" outlineLevel="0" collapsed="false">
      <c r="A234" s="7" t="n">
        <v>45141</v>
      </c>
      <c r="B234" s="8" t="n">
        <v>19381.65</v>
      </c>
      <c r="C234" s="8" t="n">
        <v>16772.3</v>
      </c>
      <c r="D234" s="8" t="n">
        <v>1569.4</v>
      </c>
      <c r="E234" s="8" t="n">
        <v>727.25</v>
      </c>
      <c r="F234" s="8" t="n">
        <v>839.5</v>
      </c>
      <c r="G234" s="8" t="n">
        <v>394.35</v>
      </c>
      <c r="H234" s="8" t="n">
        <v>609.85</v>
      </c>
      <c r="I234" s="8" t="n">
        <v>333.75</v>
      </c>
      <c r="J234" s="8" t="n">
        <v>2186.25</v>
      </c>
      <c r="K234" s="8" t="n">
        <v>709.87</v>
      </c>
      <c r="L234" s="8" t="n">
        <v>1070.45</v>
      </c>
      <c r="M234" s="8" t="n">
        <v>1459.9</v>
      </c>
      <c r="N234" s="8" t="n">
        <v>559.02</v>
      </c>
      <c r="O234" s="8" t="n">
        <v>285.75</v>
      </c>
      <c r="P234" s="8" t="n">
        <v>1334.95</v>
      </c>
      <c r="Q234" s="8" t="n">
        <v>418.25</v>
      </c>
      <c r="R234" s="8" t="n">
        <v>861.45</v>
      </c>
      <c r="S234" s="8" t="n">
        <v>363.69</v>
      </c>
    </row>
    <row r="235" customFormat="false" ht="15" hidden="false" customHeight="false" outlineLevel="0" collapsed="false">
      <c r="A235" s="7" t="n">
        <v>45142</v>
      </c>
      <c r="B235" s="8" t="n">
        <v>19517</v>
      </c>
      <c r="C235" s="8" t="n">
        <v>16890.6</v>
      </c>
      <c r="D235" s="8" t="n">
        <v>1559.75</v>
      </c>
      <c r="E235" s="8" t="n">
        <v>733.1</v>
      </c>
      <c r="F235" s="8" t="n">
        <v>833.3</v>
      </c>
      <c r="G235" s="8" t="n">
        <v>426.65</v>
      </c>
      <c r="H235" s="8" t="n">
        <v>617.05</v>
      </c>
      <c r="I235" s="8" t="n">
        <v>334</v>
      </c>
      <c r="J235" s="8" t="n">
        <v>2233.7</v>
      </c>
      <c r="K235" s="8" t="n">
        <v>713.9</v>
      </c>
      <c r="L235" s="8" t="n">
        <v>1085.3</v>
      </c>
      <c r="M235" s="8" t="n">
        <v>1452.3</v>
      </c>
      <c r="N235" s="8" t="n">
        <v>577.91</v>
      </c>
      <c r="O235" s="8" t="n">
        <v>290.15</v>
      </c>
      <c r="P235" s="8" t="n">
        <v>1349.1</v>
      </c>
      <c r="Q235" s="8" t="n">
        <v>419.6</v>
      </c>
      <c r="R235" s="8" t="n">
        <v>881.3</v>
      </c>
      <c r="S235" s="8" t="n">
        <v>367.4</v>
      </c>
    </row>
    <row r="236" customFormat="false" ht="15" hidden="false" customHeight="false" outlineLevel="0" collapsed="false">
      <c r="A236" s="7" t="n">
        <v>45145</v>
      </c>
      <c r="B236" s="8" t="n">
        <v>19597.3</v>
      </c>
      <c r="C236" s="8" t="n">
        <v>16956.35</v>
      </c>
      <c r="D236" s="8" t="n">
        <v>1571.45</v>
      </c>
      <c r="E236" s="8" t="n">
        <v>743.3</v>
      </c>
      <c r="F236" s="8" t="n">
        <v>849.4</v>
      </c>
      <c r="G236" s="8" t="n">
        <v>440.9</v>
      </c>
      <c r="H236" s="8" t="n">
        <v>629.65</v>
      </c>
      <c r="I236" s="8" t="n">
        <v>347.55</v>
      </c>
      <c r="J236" s="8" t="n">
        <v>2204.2</v>
      </c>
      <c r="K236" s="8" t="n">
        <v>711.25</v>
      </c>
      <c r="L236" s="8" t="n">
        <v>1067.95</v>
      </c>
      <c r="M236" s="8" t="n">
        <v>1462.25</v>
      </c>
      <c r="N236" s="8" t="n">
        <v>571.16</v>
      </c>
      <c r="O236" s="8" t="n">
        <v>295.55</v>
      </c>
      <c r="P236" s="8" t="n">
        <v>1362.05</v>
      </c>
      <c r="Q236" s="8" t="n">
        <v>435.15</v>
      </c>
      <c r="R236" s="8" t="n">
        <v>880.8</v>
      </c>
      <c r="S236" s="8" t="n">
        <v>370.96</v>
      </c>
    </row>
    <row r="237" customFormat="false" ht="15" hidden="false" customHeight="false" outlineLevel="0" collapsed="false">
      <c r="A237" s="7" t="n">
        <v>45146</v>
      </c>
      <c r="B237" s="8" t="n">
        <v>19570.85</v>
      </c>
      <c r="C237" s="8" t="n">
        <v>16949.25</v>
      </c>
      <c r="D237" s="8" t="n">
        <v>1587.95</v>
      </c>
      <c r="E237" s="8" t="n">
        <v>738.3</v>
      </c>
      <c r="F237" s="8" t="n">
        <v>840.45</v>
      </c>
      <c r="G237" s="8" t="n">
        <v>432.45</v>
      </c>
      <c r="H237" s="8" t="n">
        <v>638.9</v>
      </c>
      <c r="I237" s="8" t="n">
        <v>346.45</v>
      </c>
      <c r="J237" s="8" t="n">
        <v>2262.95</v>
      </c>
      <c r="K237" s="8" t="n">
        <v>716.39</v>
      </c>
      <c r="L237" s="8" t="n">
        <v>1057.8</v>
      </c>
      <c r="M237" s="8" t="n">
        <v>1449.5</v>
      </c>
      <c r="N237" s="8" t="n">
        <v>574.61</v>
      </c>
      <c r="O237" s="8" t="n">
        <v>291.45</v>
      </c>
      <c r="P237" s="8" t="n">
        <v>1365.1</v>
      </c>
      <c r="Q237" s="8" t="n">
        <v>446.55</v>
      </c>
      <c r="R237" s="8" t="n">
        <v>881.25</v>
      </c>
      <c r="S237" s="8" t="n">
        <v>372.28</v>
      </c>
    </row>
    <row r="238" customFormat="false" ht="15" hidden="false" customHeight="false" outlineLevel="0" collapsed="false">
      <c r="A238" s="7" t="n">
        <v>45147</v>
      </c>
      <c r="B238" s="8" t="n">
        <v>19632.55</v>
      </c>
      <c r="C238" s="8" t="n">
        <v>17003.85</v>
      </c>
      <c r="D238" s="8" t="n">
        <v>1590.2</v>
      </c>
      <c r="E238" s="8" t="n">
        <v>732.7</v>
      </c>
      <c r="F238" s="8" t="n">
        <v>849.6</v>
      </c>
      <c r="G238" s="8" t="n">
        <v>430.8</v>
      </c>
      <c r="H238" s="8" t="n">
        <v>634.55</v>
      </c>
      <c r="I238" s="8" t="n">
        <v>383.75</v>
      </c>
      <c r="J238" s="8" t="n">
        <v>2270.1</v>
      </c>
      <c r="K238" s="8" t="n">
        <v>711.57</v>
      </c>
      <c r="L238" s="8" t="n">
        <v>1055.65</v>
      </c>
      <c r="M238" s="8" t="n">
        <v>1447.05</v>
      </c>
      <c r="N238" s="8" t="n">
        <v>566.74</v>
      </c>
      <c r="O238" s="8" t="n">
        <v>288.8</v>
      </c>
      <c r="P238" s="8" t="n">
        <v>1362.6</v>
      </c>
      <c r="Q238" s="8" t="n">
        <v>438</v>
      </c>
      <c r="R238" s="8" t="n">
        <v>871.25</v>
      </c>
      <c r="S238" s="8" t="n">
        <v>369.78</v>
      </c>
    </row>
    <row r="239" customFormat="false" ht="15" hidden="false" customHeight="false" outlineLevel="0" collapsed="false">
      <c r="A239" s="7" t="n">
        <v>45148</v>
      </c>
      <c r="B239" s="8" t="n">
        <v>19543.1</v>
      </c>
      <c r="C239" s="8" t="n">
        <v>16939.85</v>
      </c>
      <c r="D239" s="8" t="n">
        <v>1600.95</v>
      </c>
      <c r="E239" s="8" t="n">
        <v>751.25</v>
      </c>
      <c r="F239" s="8" t="n">
        <v>838.15</v>
      </c>
      <c r="G239" s="8" t="n">
        <v>426.95</v>
      </c>
      <c r="H239" s="8" t="n">
        <v>625.9</v>
      </c>
      <c r="I239" s="8" t="n">
        <v>384.7</v>
      </c>
      <c r="J239" s="8" t="n">
        <v>2241.1</v>
      </c>
      <c r="K239" s="8" t="n">
        <v>713.41</v>
      </c>
      <c r="L239" s="8" t="n">
        <v>1060.25</v>
      </c>
      <c r="M239" s="8" t="n">
        <v>1398.9</v>
      </c>
      <c r="N239" s="8" t="n">
        <v>558.24</v>
      </c>
      <c r="O239" s="8" t="n">
        <v>285.25</v>
      </c>
      <c r="P239" s="8" t="n">
        <v>1364.85</v>
      </c>
      <c r="Q239" s="8" t="n">
        <v>433.1</v>
      </c>
      <c r="R239" s="8" t="n">
        <v>872.05</v>
      </c>
      <c r="S239" s="8" t="n">
        <v>370.14</v>
      </c>
    </row>
    <row r="240" customFormat="false" ht="15" hidden="false" customHeight="false" outlineLevel="0" collapsed="false">
      <c r="A240" s="7" t="n">
        <v>45149</v>
      </c>
      <c r="B240" s="8" t="n">
        <v>19428.3</v>
      </c>
      <c r="C240" s="8" t="n">
        <v>16860.15</v>
      </c>
      <c r="D240" s="8" t="n">
        <v>1613.25</v>
      </c>
      <c r="E240" s="8" t="n">
        <v>723.7</v>
      </c>
      <c r="F240" s="8" t="n">
        <v>843.25</v>
      </c>
      <c r="G240" s="8" t="n">
        <v>424.95</v>
      </c>
      <c r="H240" s="8" t="n">
        <v>659.7</v>
      </c>
      <c r="I240" s="8" t="n">
        <v>368.75</v>
      </c>
      <c r="J240" s="8" t="n">
        <v>2286.55</v>
      </c>
      <c r="K240" s="8" t="n">
        <v>705.1</v>
      </c>
      <c r="L240" s="8" t="n">
        <v>1043.25</v>
      </c>
      <c r="M240" s="8" t="n">
        <v>1397.55</v>
      </c>
      <c r="N240" s="8" t="n">
        <v>554.26</v>
      </c>
      <c r="O240" s="8" t="n">
        <v>283.05</v>
      </c>
      <c r="P240" s="8" t="n">
        <v>1350.05</v>
      </c>
      <c r="Q240" s="8" t="n">
        <v>437</v>
      </c>
      <c r="R240" s="8" t="n">
        <v>866.8</v>
      </c>
      <c r="S240" s="8" t="n">
        <v>361.59</v>
      </c>
    </row>
    <row r="241" customFormat="false" ht="15" hidden="false" customHeight="false" outlineLevel="0" collapsed="false">
      <c r="A241" s="7" t="n">
        <v>45152</v>
      </c>
      <c r="B241" s="8" t="n">
        <v>19434.55</v>
      </c>
      <c r="C241" s="8" t="n">
        <v>16825.55</v>
      </c>
      <c r="D241" s="8" t="n">
        <v>1600.75</v>
      </c>
      <c r="E241" s="8" t="n">
        <v>734.8</v>
      </c>
      <c r="F241" s="8" t="n">
        <v>852.9</v>
      </c>
      <c r="G241" s="8" t="n">
        <v>422.05</v>
      </c>
      <c r="H241" s="8" t="n">
        <v>648.85</v>
      </c>
      <c r="I241" s="8" t="n">
        <v>372.75</v>
      </c>
      <c r="J241" s="8" t="n">
        <v>2308</v>
      </c>
      <c r="K241" s="8" t="n">
        <v>700.85</v>
      </c>
      <c r="L241" s="8" t="n">
        <v>1037.8</v>
      </c>
      <c r="M241" s="8" t="n">
        <v>1388.15</v>
      </c>
      <c r="N241" s="8" t="n">
        <v>544.64</v>
      </c>
      <c r="O241" s="8" t="n">
        <v>280.9</v>
      </c>
      <c r="P241" s="8" t="n">
        <v>1282.2</v>
      </c>
      <c r="Q241" s="8" t="n">
        <v>434.6</v>
      </c>
      <c r="R241" s="8" t="n">
        <v>854.7</v>
      </c>
      <c r="S241" s="8" t="n">
        <v>362.71</v>
      </c>
    </row>
    <row r="242" customFormat="false" ht="15" hidden="false" customHeight="false" outlineLevel="0" collapsed="false">
      <c r="A242" s="7" t="n">
        <v>45154</v>
      </c>
      <c r="B242" s="8" t="n">
        <v>19465</v>
      </c>
      <c r="C242" s="8" t="n">
        <v>16853.05</v>
      </c>
      <c r="D242" s="8" t="n">
        <v>1584.85</v>
      </c>
      <c r="E242" s="8" t="n">
        <v>736.4</v>
      </c>
      <c r="F242" s="8" t="n">
        <v>846.45</v>
      </c>
      <c r="G242" s="8" t="n">
        <v>422.15</v>
      </c>
      <c r="H242" s="8" t="n">
        <v>651</v>
      </c>
      <c r="I242" s="8" t="n">
        <v>376.65</v>
      </c>
      <c r="J242" s="8" t="n">
        <v>2448.5</v>
      </c>
      <c r="K242" s="8" t="n">
        <v>697.2</v>
      </c>
      <c r="L242" s="8" t="n">
        <v>1017.15</v>
      </c>
      <c r="M242" s="8" t="n">
        <v>1398.1</v>
      </c>
      <c r="N242" s="8" t="n">
        <v>552.17</v>
      </c>
      <c r="O242" s="8" t="n">
        <v>277.4</v>
      </c>
      <c r="P242" s="8" t="n">
        <v>1256.15</v>
      </c>
      <c r="Q242" s="8" t="n">
        <v>428.9</v>
      </c>
      <c r="R242" s="8" t="n">
        <v>849.9</v>
      </c>
      <c r="S242" s="8" t="n">
        <v>359.2</v>
      </c>
    </row>
    <row r="243" customFormat="false" ht="15" hidden="false" customHeight="false" outlineLevel="0" collapsed="false">
      <c r="A243" s="7" t="n">
        <v>45155</v>
      </c>
      <c r="B243" s="8" t="n">
        <v>19365.25</v>
      </c>
      <c r="C243" s="8" t="n">
        <v>16802.25</v>
      </c>
      <c r="D243" s="8" t="n">
        <v>1571.4</v>
      </c>
      <c r="E243" s="8" t="n">
        <v>735.35</v>
      </c>
      <c r="F243" s="8" t="n">
        <v>867.55</v>
      </c>
      <c r="G243" s="8" t="n">
        <v>424.35</v>
      </c>
      <c r="H243" s="8" t="n">
        <v>651.8</v>
      </c>
      <c r="I243" s="8" t="n">
        <v>375.4</v>
      </c>
      <c r="J243" s="8" t="n">
        <v>2413.65</v>
      </c>
      <c r="K243" s="8" t="n">
        <v>691.38</v>
      </c>
      <c r="L243" s="8" t="n">
        <v>1020.8</v>
      </c>
      <c r="M243" s="8" t="n">
        <v>1404.9</v>
      </c>
      <c r="N243" s="8" t="n">
        <v>552.56</v>
      </c>
      <c r="O243" s="8" t="n">
        <v>279.5</v>
      </c>
      <c r="P243" s="8" t="n">
        <v>1254.65</v>
      </c>
      <c r="Q243" s="8" t="n">
        <v>428.75</v>
      </c>
      <c r="R243" s="8" t="n">
        <v>850</v>
      </c>
      <c r="S243" s="8" t="n">
        <v>368.88</v>
      </c>
    </row>
    <row r="244" customFormat="false" ht="15" hidden="false" customHeight="false" outlineLevel="0" collapsed="false">
      <c r="A244" s="7" t="n">
        <v>45156</v>
      </c>
      <c r="B244" s="8" t="n">
        <v>19310.15</v>
      </c>
      <c r="C244" s="8" t="n">
        <v>16757.7</v>
      </c>
      <c r="D244" s="8" t="n">
        <v>1569.45</v>
      </c>
      <c r="E244" s="8" t="n">
        <v>726.55</v>
      </c>
      <c r="F244" s="8" t="n">
        <v>862.7</v>
      </c>
      <c r="G244" s="8" t="n">
        <v>413.75</v>
      </c>
      <c r="H244" s="8" t="n">
        <v>635.35</v>
      </c>
      <c r="I244" s="8" t="n">
        <v>372.8</v>
      </c>
      <c r="J244" s="8" t="n">
        <v>2366.65</v>
      </c>
      <c r="K244" s="8" t="n">
        <v>685.28</v>
      </c>
      <c r="L244" s="8" t="n">
        <v>1016.95</v>
      </c>
      <c r="M244" s="8" t="n">
        <v>1368.45</v>
      </c>
      <c r="N244" s="8" t="n">
        <v>558.73</v>
      </c>
      <c r="O244" s="8" t="n">
        <v>275.05</v>
      </c>
      <c r="P244" s="8" t="n">
        <v>1241.6</v>
      </c>
      <c r="Q244" s="8" t="n">
        <v>420.7</v>
      </c>
      <c r="R244" s="8" t="n">
        <v>842.45</v>
      </c>
      <c r="S244" s="8" t="n">
        <v>364.09</v>
      </c>
    </row>
    <row r="245" customFormat="false" ht="15" hidden="false" customHeight="false" outlineLevel="0" collapsed="false">
      <c r="A245" s="7" t="n">
        <v>45159</v>
      </c>
      <c r="B245" s="8" t="n">
        <v>19393.6</v>
      </c>
      <c r="C245" s="8" t="n">
        <v>16852.05</v>
      </c>
      <c r="D245" s="8" t="n">
        <v>1573.95</v>
      </c>
      <c r="E245" s="8" t="n">
        <v>741.85</v>
      </c>
      <c r="F245" s="8" t="n">
        <v>870.8</v>
      </c>
      <c r="G245" s="8" t="n">
        <v>420.55</v>
      </c>
      <c r="H245" s="8" t="n">
        <v>657.9</v>
      </c>
      <c r="I245" s="8" t="n">
        <v>402.5</v>
      </c>
      <c r="J245" s="8" t="n">
        <v>2388.9</v>
      </c>
      <c r="K245" s="8" t="n">
        <v>703.86</v>
      </c>
      <c r="L245" s="8" t="n">
        <v>1044.85</v>
      </c>
      <c r="M245" s="8" t="n">
        <v>1399.05</v>
      </c>
      <c r="N245" s="8" t="n">
        <v>561.2</v>
      </c>
      <c r="O245" s="8" t="n">
        <v>277.45</v>
      </c>
      <c r="P245" s="8" t="n">
        <v>1261.75</v>
      </c>
      <c r="Q245" s="8" t="n">
        <v>420.4</v>
      </c>
      <c r="R245" s="8" t="n">
        <v>835.55</v>
      </c>
      <c r="S245" s="8" t="n">
        <v>368.65</v>
      </c>
    </row>
    <row r="246" customFormat="false" ht="15" hidden="false" customHeight="false" outlineLevel="0" collapsed="false">
      <c r="A246" s="7" t="n">
        <v>45160</v>
      </c>
      <c r="B246" s="8" t="n">
        <v>19396.45</v>
      </c>
      <c r="C246" s="8" t="n">
        <v>16905.25</v>
      </c>
      <c r="D246" s="8" t="n">
        <v>1578.65</v>
      </c>
      <c r="E246" s="8" t="n">
        <v>746.55</v>
      </c>
      <c r="F246" s="8" t="n">
        <v>857.45</v>
      </c>
      <c r="G246" s="8" t="n">
        <v>422.9</v>
      </c>
      <c r="H246" s="8" t="n">
        <v>657.6</v>
      </c>
      <c r="I246" s="8" t="n">
        <v>403.45</v>
      </c>
      <c r="J246" s="8" t="n">
        <v>2373.8</v>
      </c>
      <c r="K246" s="8" t="n">
        <v>706.03</v>
      </c>
      <c r="L246" s="8" t="n">
        <v>1062.35</v>
      </c>
      <c r="M246" s="8" t="n">
        <v>1396</v>
      </c>
      <c r="N246" s="8" t="n">
        <v>590.88</v>
      </c>
      <c r="O246" s="8" t="n">
        <v>288.65</v>
      </c>
      <c r="P246" s="8" t="n">
        <v>1255.7</v>
      </c>
      <c r="Q246" s="8" t="n">
        <v>439</v>
      </c>
      <c r="R246" s="8" t="n">
        <v>830.1</v>
      </c>
      <c r="S246" s="8" t="n">
        <v>369.01</v>
      </c>
    </row>
    <row r="247" customFormat="false" ht="15" hidden="false" customHeight="false" outlineLevel="0" collapsed="false">
      <c r="A247" s="7" t="n">
        <v>45161</v>
      </c>
      <c r="B247" s="8" t="n">
        <v>19444</v>
      </c>
      <c r="C247" s="8" t="n">
        <v>16950.25</v>
      </c>
      <c r="D247" s="8" t="n">
        <v>1586.2</v>
      </c>
      <c r="E247" s="8" t="n">
        <v>747.85</v>
      </c>
      <c r="F247" s="8" t="n">
        <v>863.95</v>
      </c>
      <c r="G247" s="8" t="n">
        <v>423</v>
      </c>
      <c r="H247" s="8" t="n">
        <v>645.75</v>
      </c>
      <c r="I247" s="8" t="n">
        <v>394</v>
      </c>
      <c r="J247" s="8" t="n">
        <v>2361.4</v>
      </c>
      <c r="K247" s="8" t="n">
        <v>710.68</v>
      </c>
      <c r="L247" s="8" t="n">
        <v>1086.45</v>
      </c>
      <c r="M247" s="8" t="n">
        <v>1372.75</v>
      </c>
      <c r="N247" s="8" t="n">
        <v>566.89</v>
      </c>
      <c r="O247" s="8" t="n">
        <v>298.05</v>
      </c>
      <c r="P247" s="8" t="n">
        <v>1264.8</v>
      </c>
      <c r="Q247" s="8" t="n">
        <v>434.9</v>
      </c>
      <c r="R247" s="8" t="n">
        <v>840.3</v>
      </c>
      <c r="S247" s="8" t="n">
        <v>370.44</v>
      </c>
    </row>
    <row r="248" customFormat="false" ht="15" hidden="false" customHeight="false" outlineLevel="0" collapsed="false">
      <c r="A248" s="7" t="n">
        <v>45162</v>
      </c>
      <c r="B248" s="8" t="n">
        <v>19386.7</v>
      </c>
      <c r="C248" s="8" t="n">
        <v>16930.15</v>
      </c>
      <c r="D248" s="8" t="n">
        <v>1583</v>
      </c>
      <c r="E248" s="8" t="n">
        <v>748.05</v>
      </c>
      <c r="F248" s="8" t="n">
        <v>864.45</v>
      </c>
      <c r="G248" s="8" t="n">
        <v>421.55</v>
      </c>
      <c r="H248" s="8" t="n">
        <v>649.15</v>
      </c>
      <c r="I248" s="8" t="n">
        <v>389.45</v>
      </c>
      <c r="J248" s="8" t="n">
        <v>2322.95</v>
      </c>
      <c r="K248" s="8" t="n">
        <v>712.78</v>
      </c>
      <c r="L248" s="8" t="n">
        <v>1085.05</v>
      </c>
      <c r="M248" s="8" t="n">
        <v>1397.85</v>
      </c>
      <c r="N248" s="8" t="n">
        <v>567.23</v>
      </c>
      <c r="O248" s="8" t="n">
        <v>304.05</v>
      </c>
      <c r="P248" s="8" t="n">
        <v>1265.45</v>
      </c>
      <c r="Q248" s="8" t="n">
        <v>441.7</v>
      </c>
      <c r="R248" s="8" t="n">
        <v>830.4</v>
      </c>
      <c r="S248" s="8" t="n">
        <v>375.1</v>
      </c>
    </row>
    <row r="249" customFormat="false" ht="15" hidden="false" customHeight="false" outlineLevel="0" collapsed="false">
      <c r="A249" s="7" t="n">
        <v>45163</v>
      </c>
      <c r="B249" s="8" t="n">
        <v>19265.8</v>
      </c>
      <c r="C249" s="8" t="n">
        <v>16820.85</v>
      </c>
      <c r="D249" s="8" t="n">
        <v>1591.25</v>
      </c>
      <c r="E249" s="8" t="n">
        <v>738.9</v>
      </c>
      <c r="F249" s="8" t="n">
        <v>849.2</v>
      </c>
      <c r="G249" s="8" t="n">
        <v>417.25</v>
      </c>
      <c r="H249" s="8" t="n">
        <v>639.4</v>
      </c>
      <c r="I249" s="8" t="n">
        <v>383.4</v>
      </c>
      <c r="J249" s="8" t="n">
        <v>2295.65</v>
      </c>
      <c r="K249" s="8" t="n">
        <v>720.17</v>
      </c>
      <c r="L249" s="8" t="n">
        <v>1082.2</v>
      </c>
      <c r="M249" s="8" t="n">
        <v>1410.3</v>
      </c>
      <c r="N249" s="8" t="n">
        <v>569.51</v>
      </c>
      <c r="O249" s="8" t="n">
        <v>294.25</v>
      </c>
      <c r="P249" s="8" t="n">
        <v>1259.45</v>
      </c>
      <c r="Q249" s="8" t="n">
        <v>430.75</v>
      </c>
      <c r="R249" s="8" t="n">
        <v>820.75</v>
      </c>
      <c r="S249" s="8" t="n">
        <v>372.83</v>
      </c>
    </row>
    <row r="250" customFormat="false" ht="15" hidden="false" customHeight="false" outlineLevel="0" collapsed="false">
      <c r="A250" s="7" t="n">
        <v>45166</v>
      </c>
      <c r="B250" s="8" t="n">
        <v>19306.05</v>
      </c>
      <c r="C250" s="8" t="n">
        <v>16875.3</v>
      </c>
      <c r="D250" s="8" t="n">
        <v>1599.05</v>
      </c>
      <c r="E250" s="8" t="n">
        <v>743.55</v>
      </c>
      <c r="F250" s="8" t="n">
        <v>836.2</v>
      </c>
      <c r="G250" s="8" t="n">
        <v>420</v>
      </c>
      <c r="H250" s="8" t="n">
        <v>652.05</v>
      </c>
      <c r="I250" s="8" t="n">
        <v>391.35</v>
      </c>
      <c r="J250" s="8" t="n">
        <v>2312.45</v>
      </c>
      <c r="K250" s="8" t="n">
        <v>722.58</v>
      </c>
      <c r="L250" s="8" t="n">
        <v>1092.95</v>
      </c>
      <c r="M250" s="8" t="n">
        <v>1409.05</v>
      </c>
      <c r="N250" s="8" t="n">
        <v>576.31</v>
      </c>
      <c r="O250" s="8" t="n">
        <v>292.7</v>
      </c>
      <c r="P250" s="8" t="n">
        <v>1288</v>
      </c>
      <c r="Q250" s="8" t="n">
        <v>416</v>
      </c>
      <c r="R250" s="8" t="n">
        <v>823.7</v>
      </c>
      <c r="S250" s="8" t="n">
        <v>372.37</v>
      </c>
    </row>
    <row r="251" customFormat="false" ht="15" hidden="false" customHeight="false" outlineLevel="0" collapsed="false">
      <c r="A251" s="7" t="n">
        <v>45167</v>
      </c>
      <c r="B251" s="8" t="n">
        <v>19342.65</v>
      </c>
      <c r="C251" s="8" t="n">
        <v>16927.3</v>
      </c>
      <c r="D251" s="8" t="n">
        <v>1601.1</v>
      </c>
      <c r="E251" s="8" t="n">
        <v>749.2</v>
      </c>
      <c r="F251" s="8" t="n">
        <v>816.6</v>
      </c>
      <c r="G251" s="8" t="n">
        <v>423.3</v>
      </c>
      <c r="H251" s="8" t="n">
        <v>642.55</v>
      </c>
      <c r="I251" s="8" t="n">
        <v>388.85</v>
      </c>
      <c r="J251" s="8" t="n">
        <v>2393.25</v>
      </c>
      <c r="K251" s="8" t="n">
        <v>728.34</v>
      </c>
      <c r="L251" s="8" t="n">
        <v>1099.05</v>
      </c>
      <c r="M251" s="8" t="n">
        <v>1393.1</v>
      </c>
      <c r="N251" s="8" t="n">
        <v>571.06</v>
      </c>
      <c r="O251" s="8" t="n">
        <v>293.15</v>
      </c>
      <c r="P251" s="8" t="n">
        <v>1298.95</v>
      </c>
      <c r="Q251" s="8" t="n">
        <v>410.6</v>
      </c>
      <c r="R251" s="8" t="n">
        <v>824.55</v>
      </c>
      <c r="S251" s="8" t="n">
        <v>374.45</v>
      </c>
    </row>
    <row r="252" customFormat="false" ht="15" hidden="false" customHeight="false" outlineLevel="0" collapsed="false">
      <c r="A252" s="7" t="n">
        <v>45168</v>
      </c>
      <c r="B252" s="8" t="n">
        <v>19347.45</v>
      </c>
      <c r="C252" s="8" t="n">
        <v>16968.95</v>
      </c>
      <c r="D252" s="8" t="n">
        <v>1586.9</v>
      </c>
      <c r="E252" s="8" t="n">
        <v>749.65</v>
      </c>
      <c r="F252" s="8" t="n">
        <v>818.45</v>
      </c>
      <c r="G252" s="8" t="n">
        <v>421.05</v>
      </c>
      <c r="H252" s="8" t="n">
        <v>646.15</v>
      </c>
      <c r="I252" s="8" t="n">
        <v>387.9</v>
      </c>
      <c r="J252" s="8" t="n">
        <v>2411.15</v>
      </c>
      <c r="K252" s="8" t="n">
        <v>725.82</v>
      </c>
      <c r="L252" s="8" t="n">
        <v>1116.1</v>
      </c>
      <c r="M252" s="8" t="n">
        <v>1394.25</v>
      </c>
      <c r="N252" s="8" t="n">
        <v>561.06</v>
      </c>
      <c r="O252" s="8" t="n">
        <v>297.55</v>
      </c>
      <c r="P252" s="8" t="n">
        <v>1287.65</v>
      </c>
      <c r="Q252" s="8" t="n">
        <v>404.35</v>
      </c>
      <c r="R252" s="8" t="n">
        <v>825.05</v>
      </c>
      <c r="S252" s="8" t="n">
        <v>376.82</v>
      </c>
    </row>
    <row r="253" customFormat="false" ht="15" hidden="false" customHeight="false" outlineLevel="0" collapsed="false">
      <c r="A253" s="7" t="n">
        <v>45169</v>
      </c>
      <c r="B253" s="8" t="n">
        <v>19253.8</v>
      </c>
      <c r="C253" s="8" t="n">
        <v>16924.3</v>
      </c>
      <c r="D253" s="8" t="n">
        <v>1632.4</v>
      </c>
      <c r="E253" s="8" t="n">
        <v>751.35</v>
      </c>
      <c r="F253" s="8" t="n">
        <v>834.25</v>
      </c>
      <c r="G253" s="8" t="n">
        <v>423.35</v>
      </c>
      <c r="H253" s="8" t="n">
        <v>650.45</v>
      </c>
      <c r="I253" s="8" t="n">
        <v>388</v>
      </c>
      <c r="J253" s="8" t="n">
        <v>2391.3</v>
      </c>
      <c r="K253" s="8" t="n">
        <v>715.33</v>
      </c>
      <c r="L253" s="8" t="n">
        <v>1121.85</v>
      </c>
      <c r="M253" s="8" t="n">
        <v>1415.55</v>
      </c>
      <c r="N253" s="8" t="n">
        <v>589.33</v>
      </c>
      <c r="O253" s="8" t="n">
        <v>297.65</v>
      </c>
      <c r="P253" s="8" t="n">
        <v>1260.35</v>
      </c>
      <c r="Q253" s="8" t="n">
        <v>416.85</v>
      </c>
      <c r="R253" s="8" t="n">
        <v>816.55</v>
      </c>
      <c r="S253" s="8" t="n">
        <v>385.66</v>
      </c>
    </row>
    <row r="254" customFormat="false" ht="15" hidden="false" customHeight="false" outlineLevel="0" collapsed="false">
      <c r="A254" s="7" t="n">
        <v>45170</v>
      </c>
      <c r="B254" s="8" t="n">
        <v>19435.3</v>
      </c>
      <c r="C254" s="8" t="n">
        <v>17074.55</v>
      </c>
      <c r="D254" s="8" t="n">
        <v>1627.25</v>
      </c>
      <c r="E254" s="8" t="n">
        <v>760</v>
      </c>
      <c r="F254" s="8" t="n">
        <v>863.3</v>
      </c>
      <c r="G254" s="8" t="n">
        <v>433.2</v>
      </c>
      <c r="H254" s="8" t="n">
        <v>651.65</v>
      </c>
      <c r="I254" s="8" t="n">
        <v>387.05</v>
      </c>
      <c r="J254" s="8" t="n">
        <v>2354.2</v>
      </c>
      <c r="K254" s="8" t="n">
        <v>731.07</v>
      </c>
      <c r="L254" s="8" t="n">
        <v>1128.85</v>
      </c>
      <c r="M254" s="8" t="n">
        <v>1409.2</v>
      </c>
      <c r="N254" s="8" t="n">
        <v>578.15</v>
      </c>
      <c r="O254" s="8" t="n">
        <v>299.15</v>
      </c>
      <c r="P254" s="8" t="n">
        <v>1261.25</v>
      </c>
      <c r="Q254" s="8" t="n">
        <v>409.8</v>
      </c>
      <c r="R254" s="8" t="n">
        <v>840.3</v>
      </c>
      <c r="S254" s="8" t="n">
        <v>382.41</v>
      </c>
    </row>
    <row r="255" customFormat="false" ht="15" hidden="false" customHeight="false" outlineLevel="0" collapsed="false">
      <c r="A255" s="7" t="n">
        <v>45173</v>
      </c>
      <c r="B255" s="8" t="n">
        <v>19528.8</v>
      </c>
      <c r="C255" s="8" t="n">
        <v>17180.95</v>
      </c>
      <c r="D255" s="8" t="n">
        <v>1645.5</v>
      </c>
      <c r="E255" s="8" t="n">
        <v>766.1</v>
      </c>
      <c r="F255" s="8" t="n">
        <v>845.85</v>
      </c>
      <c r="G255" s="8" t="n">
        <v>447.8</v>
      </c>
      <c r="H255" s="8" t="n">
        <v>662.45</v>
      </c>
      <c r="I255" s="8" t="n">
        <v>385</v>
      </c>
      <c r="J255" s="8" t="n">
        <v>2323.45</v>
      </c>
      <c r="K255" s="8" t="n">
        <v>726.04</v>
      </c>
      <c r="L255" s="8" t="n">
        <v>1103.95</v>
      </c>
      <c r="M255" s="8" t="n">
        <v>1458.3</v>
      </c>
      <c r="N255" s="8" t="n">
        <v>580.44</v>
      </c>
      <c r="O255" s="8" t="n">
        <v>295.75</v>
      </c>
      <c r="P255" s="8" t="n">
        <v>1278.05</v>
      </c>
      <c r="Q255" s="8" t="n">
        <v>402.5</v>
      </c>
      <c r="R255" s="8" t="n">
        <v>841.75</v>
      </c>
      <c r="S255" s="8" t="n">
        <v>378.78</v>
      </c>
    </row>
    <row r="256" customFormat="false" ht="15" hidden="false" customHeight="false" outlineLevel="0" collapsed="false">
      <c r="A256" s="7" t="n">
        <v>45174</v>
      </c>
      <c r="B256" s="8" t="n">
        <v>19574.9</v>
      </c>
      <c r="C256" s="8" t="n">
        <v>17252.1</v>
      </c>
      <c r="D256" s="8" t="n">
        <v>1636.7</v>
      </c>
      <c r="E256" s="8" t="n">
        <v>782.9</v>
      </c>
      <c r="F256" s="8" t="n">
        <v>859.85</v>
      </c>
      <c r="G256" s="8" t="n">
        <v>451.05</v>
      </c>
      <c r="H256" s="8" t="n">
        <v>675.35</v>
      </c>
      <c r="I256" s="8" t="n">
        <v>382.45</v>
      </c>
      <c r="J256" s="8" t="n">
        <v>2385.85</v>
      </c>
      <c r="K256" s="8" t="n">
        <v>733.51</v>
      </c>
      <c r="L256" s="8" t="n">
        <v>1096.75</v>
      </c>
      <c r="M256" s="8" t="n">
        <v>1449.8</v>
      </c>
      <c r="N256" s="8" t="n">
        <v>585</v>
      </c>
      <c r="O256" s="8" t="n">
        <v>292.65</v>
      </c>
      <c r="P256" s="8" t="n">
        <v>1283</v>
      </c>
      <c r="Q256" s="8" t="n">
        <v>409.75</v>
      </c>
      <c r="R256" s="8" t="n">
        <v>833.8</v>
      </c>
      <c r="S256" s="8" t="n">
        <v>382.7</v>
      </c>
    </row>
    <row r="257" customFormat="false" ht="15" hidden="false" customHeight="false" outlineLevel="0" collapsed="false">
      <c r="A257" s="7" t="n">
        <v>45175</v>
      </c>
      <c r="B257" s="8" t="n">
        <v>19611.05</v>
      </c>
      <c r="C257" s="8" t="n">
        <v>17284.6</v>
      </c>
      <c r="D257" s="8" t="n">
        <v>1632</v>
      </c>
      <c r="E257" s="8" t="n">
        <v>782.1</v>
      </c>
      <c r="F257" s="8" t="n">
        <v>871.15</v>
      </c>
      <c r="G257" s="8" t="n">
        <v>449.25</v>
      </c>
      <c r="H257" s="8" t="n">
        <v>671.7</v>
      </c>
      <c r="I257" s="8" t="n">
        <v>391.95</v>
      </c>
      <c r="J257" s="8" t="n">
        <v>2317.4</v>
      </c>
      <c r="K257" s="8" t="n">
        <v>737.78</v>
      </c>
      <c r="L257" s="8" t="n">
        <v>1104.85</v>
      </c>
      <c r="M257" s="8" t="n">
        <v>1460.7</v>
      </c>
      <c r="N257" s="8" t="n">
        <v>577.43</v>
      </c>
      <c r="O257" s="8" t="n">
        <v>294.35</v>
      </c>
      <c r="P257" s="8" t="n">
        <v>1277.5</v>
      </c>
      <c r="Q257" s="8" t="n">
        <v>398.25</v>
      </c>
      <c r="R257" s="8" t="n">
        <v>833.1</v>
      </c>
      <c r="S257" s="8" t="n">
        <v>378.52</v>
      </c>
    </row>
    <row r="258" customFormat="false" ht="15" hidden="false" customHeight="false" outlineLevel="0" collapsed="false">
      <c r="A258" s="7" t="n">
        <v>45176</v>
      </c>
      <c r="B258" s="8" t="n">
        <v>19727.05</v>
      </c>
      <c r="C258" s="8" t="n">
        <v>17385.5</v>
      </c>
      <c r="D258" s="8" t="n">
        <v>1670.1</v>
      </c>
      <c r="E258" s="8" t="n">
        <v>773.4</v>
      </c>
      <c r="F258" s="8" t="n">
        <v>860.1</v>
      </c>
      <c r="G258" s="8" t="n">
        <v>451</v>
      </c>
      <c r="H258" s="8" t="n">
        <v>672</v>
      </c>
      <c r="I258" s="8" t="n">
        <v>396.55</v>
      </c>
      <c r="J258" s="8" t="n">
        <v>2339.85</v>
      </c>
      <c r="K258" s="8" t="n">
        <v>735.32</v>
      </c>
      <c r="L258" s="8" t="n">
        <v>1129.25</v>
      </c>
      <c r="M258" s="8" t="n">
        <v>1442.15</v>
      </c>
      <c r="N258" s="8" t="n">
        <v>571.89</v>
      </c>
      <c r="O258" s="8" t="n">
        <v>299.9</v>
      </c>
      <c r="P258" s="8" t="n">
        <v>1276.85</v>
      </c>
      <c r="Q258" s="8" t="n">
        <v>388.65</v>
      </c>
      <c r="R258" s="8" t="n">
        <v>834.65</v>
      </c>
      <c r="S258" s="8" t="n">
        <v>378.74</v>
      </c>
    </row>
    <row r="259" customFormat="false" ht="15" hidden="false" customHeight="false" outlineLevel="0" collapsed="false">
      <c r="A259" s="7" t="n">
        <v>45177</v>
      </c>
      <c r="B259" s="8" t="n">
        <v>19819.95</v>
      </c>
      <c r="C259" s="8" t="n">
        <v>17487.45</v>
      </c>
      <c r="D259" s="8" t="n">
        <v>1665.05</v>
      </c>
      <c r="E259" s="8" t="n">
        <v>773.65</v>
      </c>
      <c r="F259" s="8" t="n">
        <v>859.8</v>
      </c>
      <c r="G259" s="8" t="n">
        <v>452.95</v>
      </c>
      <c r="H259" s="8" t="n">
        <v>678.05</v>
      </c>
      <c r="I259" s="8" t="n">
        <v>395.3</v>
      </c>
      <c r="J259" s="8" t="n">
        <v>2333.25</v>
      </c>
      <c r="K259" s="8" t="n">
        <v>740.06</v>
      </c>
      <c r="L259" s="8" t="n">
        <v>1175.95</v>
      </c>
      <c r="M259" s="8" t="n">
        <v>1432.5</v>
      </c>
      <c r="N259" s="8" t="n">
        <v>596.95</v>
      </c>
      <c r="O259" s="8" t="n">
        <v>301.65</v>
      </c>
      <c r="P259" s="8" t="n">
        <v>1284.2</v>
      </c>
      <c r="Q259" s="8" t="n">
        <v>389.95</v>
      </c>
      <c r="R259" s="8" t="n">
        <v>839.9</v>
      </c>
      <c r="S259" s="8" t="n">
        <v>390.77</v>
      </c>
    </row>
    <row r="260" customFormat="false" ht="15" hidden="false" customHeight="false" outlineLevel="0" collapsed="false">
      <c r="A260" s="7" t="n">
        <v>45180</v>
      </c>
      <c r="B260" s="8" t="n">
        <v>19996.35</v>
      </c>
      <c r="C260" s="8" t="n">
        <v>17653.35</v>
      </c>
      <c r="D260" s="8" t="n">
        <v>1718.6</v>
      </c>
      <c r="E260" s="8" t="n">
        <v>788.55</v>
      </c>
      <c r="F260" s="8" t="n">
        <v>851.2</v>
      </c>
      <c r="G260" s="8" t="n">
        <v>454.85</v>
      </c>
      <c r="H260" s="8" t="n">
        <v>673.7</v>
      </c>
      <c r="I260" s="8" t="n">
        <v>394.25</v>
      </c>
      <c r="J260" s="8" t="n">
        <v>2302.55</v>
      </c>
      <c r="K260" s="8" t="n">
        <v>738.16</v>
      </c>
      <c r="L260" s="8" t="n">
        <v>1184.4</v>
      </c>
      <c r="M260" s="8" t="n">
        <v>1460.95</v>
      </c>
      <c r="N260" s="8" t="n">
        <v>600.25</v>
      </c>
      <c r="O260" s="8" t="n">
        <v>302.85</v>
      </c>
      <c r="P260" s="8" t="n">
        <v>1296.55</v>
      </c>
      <c r="Q260" s="8" t="n">
        <v>394.05</v>
      </c>
      <c r="R260" s="8" t="n">
        <v>851</v>
      </c>
      <c r="S260" s="8" t="n">
        <v>391.44</v>
      </c>
    </row>
    <row r="261" customFormat="false" ht="15" hidden="false" customHeight="false" outlineLevel="0" collapsed="false">
      <c r="A261" s="7" t="n">
        <v>45181</v>
      </c>
      <c r="B261" s="8" t="n">
        <v>19993.2</v>
      </c>
      <c r="C261" s="8" t="n">
        <v>17460.55</v>
      </c>
      <c r="D261" s="8" t="n">
        <v>1647.85</v>
      </c>
      <c r="E261" s="8" t="n">
        <v>751.8</v>
      </c>
      <c r="F261" s="8" t="n">
        <v>851.95</v>
      </c>
      <c r="G261" s="8" t="n">
        <v>439.45</v>
      </c>
      <c r="H261" s="8" t="n">
        <v>667.95</v>
      </c>
      <c r="I261" s="8" t="n">
        <v>374.6</v>
      </c>
      <c r="J261" s="8" t="n">
        <v>2200.3</v>
      </c>
      <c r="K261" s="8" t="n">
        <v>742.12</v>
      </c>
      <c r="L261" s="8" t="n">
        <v>1166.05</v>
      </c>
      <c r="M261" s="8" t="n">
        <v>1387.9</v>
      </c>
      <c r="N261" s="8" t="n">
        <v>561.79</v>
      </c>
      <c r="O261" s="8" t="n">
        <v>293.15</v>
      </c>
      <c r="P261" s="8" t="n">
        <v>1271.6</v>
      </c>
      <c r="Q261" s="8" t="n">
        <v>377</v>
      </c>
      <c r="R261" s="8" t="n">
        <v>835.6</v>
      </c>
      <c r="S261" s="8" t="n">
        <v>382.23</v>
      </c>
    </row>
    <row r="262" customFormat="false" ht="15" hidden="false" customHeight="false" outlineLevel="0" collapsed="false">
      <c r="A262" s="7" t="n">
        <v>45182</v>
      </c>
      <c r="B262" s="8" t="n">
        <v>20070</v>
      </c>
      <c r="C262" s="8" t="n">
        <v>17526.75</v>
      </c>
      <c r="D262" s="8" t="n">
        <v>1646.45</v>
      </c>
      <c r="E262" s="8" t="n">
        <v>775.05</v>
      </c>
      <c r="F262" s="8" t="n">
        <v>836.5</v>
      </c>
      <c r="G262" s="8" t="n">
        <v>450.8</v>
      </c>
      <c r="H262" s="8" t="n">
        <v>684.1</v>
      </c>
      <c r="I262" s="8" t="n">
        <v>376.3</v>
      </c>
      <c r="J262" s="8" t="n">
        <v>2224.8</v>
      </c>
      <c r="K262" s="8" t="n">
        <v>746.57</v>
      </c>
      <c r="L262" s="8" t="n">
        <v>1160.2</v>
      </c>
      <c r="M262" s="8" t="n">
        <v>1407.85</v>
      </c>
      <c r="N262" s="8" t="n">
        <v>567.81</v>
      </c>
      <c r="O262" s="8" t="n">
        <v>297.8</v>
      </c>
      <c r="P262" s="8" t="n">
        <v>1281.15</v>
      </c>
      <c r="Q262" s="8" t="n">
        <v>374.85</v>
      </c>
      <c r="R262" s="8" t="n">
        <v>832.2</v>
      </c>
      <c r="S262" s="8" t="n">
        <v>382.07</v>
      </c>
    </row>
    <row r="263" customFormat="false" ht="15" hidden="false" customHeight="false" outlineLevel="0" collapsed="false">
      <c r="A263" s="7" t="n">
        <v>45183</v>
      </c>
      <c r="B263" s="8" t="n">
        <v>20103.1</v>
      </c>
      <c r="C263" s="8" t="n">
        <v>17603.5</v>
      </c>
      <c r="D263" s="8" t="n">
        <v>1659.85</v>
      </c>
      <c r="E263" s="8" t="n">
        <v>781.85</v>
      </c>
      <c r="F263" s="8" t="n">
        <v>850.2</v>
      </c>
      <c r="G263" s="8" t="n">
        <v>461.75</v>
      </c>
      <c r="H263" s="8" t="n">
        <v>726.75</v>
      </c>
      <c r="I263" s="8" t="n">
        <v>383.95</v>
      </c>
      <c r="J263" s="8" t="n">
        <v>2306.9</v>
      </c>
      <c r="K263" s="8" t="n">
        <v>748.41</v>
      </c>
      <c r="L263" s="8" t="n">
        <v>1208.55</v>
      </c>
      <c r="M263" s="8" t="n">
        <v>1408.6</v>
      </c>
      <c r="N263" s="8" t="n">
        <v>573.69</v>
      </c>
      <c r="O263" s="8" t="n">
        <v>300.15</v>
      </c>
      <c r="P263" s="8" t="n">
        <v>1290.5</v>
      </c>
      <c r="Q263" s="8" t="n">
        <v>381.9</v>
      </c>
      <c r="R263" s="8" t="n">
        <v>826</v>
      </c>
      <c r="S263" s="8" t="n">
        <v>383.08</v>
      </c>
    </row>
    <row r="264" customFormat="false" ht="15" hidden="false" customHeight="false" outlineLevel="0" collapsed="false">
      <c r="A264" s="7" t="n">
        <v>45184</v>
      </c>
      <c r="B264" s="8" t="n">
        <v>20192.35</v>
      </c>
      <c r="C264" s="8" t="n">
        <v>17665.8</v>
      </c>
      <c r="D264" s="8" t="n">
        <v>1674.55</v>
      </c>
      <c r="E264" s="8" t="n">
        <v>781.25</v>
      </c>
      <c r="F264" s="8" t="n">
        <v>849.45</v>
      </c>
      <c r="G264" s="8" t="n">
        <v>458.75</v>
      </c>
      <c r="H264" s="8" t="n">
        <v>719.55</v>
      </c>
      <c r="I264" s="8" t="n">
        <v>393.7</v>
      </c>
      <c r="J264" s="8" t="n">
        <v>2285.95</v>
      </c>
      <c r="K264" s="8" t="n">
        <v>748.2</v>
      </c>
      <c r="L264" s="8" t="n">
        <v>1227.1</v>
      </c>
      <c r="M264" s="8" t="n">
        <v>1381.4</v>
      </c>
      <c r="N264" s="8" t="n">
        <v>568.59</v>
      </c>
      <c r="O264" s="8" t="n">
        <v>300.95</v>
      </c>
      <c r="P264" s="8" t="n">
        <v>1325.55</v>
      </c>
      <c r="Q264" s="8" t="n">
        <v>388.95</v>
      </c>
      <c r="R264" s="8" t="n">
        <v>839</v>
      </c>
      <c r="S264" s="8" t="n">
        <v>384.45</v>
      </c>
    </row>
    <row r="265" customFormat="false" ht="15" hidden="false" customHeight="false" outlineLevel="0" collapsed="false">
      <c r="A265" s="7" t="n">
        <v>45187</v>
      </c>
      <c r="B265" s="8" t="n">
        <v>20133.3</v>
      </c>
      <c r="C265" s="8" t="n">
        <v>17613.6</v>
      </c>
      <c r="D265" s="8" t="n">
        <v>1664.05</v>
      </c>
      <c r="E265" s="8" t="n">
        <v>769.6</v>
      </c>
      <c r="F265" s="8" t="n">
        <v>843.95</v>
      </c>
      <c r="G265" s="8" t="n">
        <v>455.9</v>
      </c>
      <c r="H265" s="8" t="n">
        <v>689.9</v>
      </c>
      <c r="I265" s="8" t="n">
        <v>389</v>
      </c>
      <c r="J265" s="8" t="n">
        <v>2241.4</v>
      </c>
      <c r="K265" s="8" t="n">
        <v>753.84</v>
      </c>
      <c r="L265" s="8" t="n">
        <v>1193.55</v>
      </c>
      <c r="M265" s="8" t="n">
        <v>1331.55</v>
      </c>
      <c r="N265" s="8" t="n">
        <v>569.8</v>
      </c>
      <c r="O265" s="8" t="n">
        <v>301.45</v>
      </c>
      <c r="P265" s="8" t="n">
        <v>1331</v>
      </c>
      <c r="Q265" s="8" t="n">
        <v>378.15</v>
      </c>
      <c r="R265" s="8" t="n">
        <v>819.95</v>
      </c>
      <c r="S265" s="8" t="n">
        <v>382.5</v>
      </c>
    </row>
    <row r="266" customFormat="false" ht="15" hidden="false" customHeight="false" outlineLevel="0" collapsed="false">
      <c r="A266" s="7" t="n">
        <v>45189</v>
      </c>
      <c r="B266" s="8" t="n">
        <v>19901.4</v>
      </c>
      <c r="C266" s="8" t="n">
        <v>17449.35</v>
      </c>
      <c r="D266" s="8" t="n">
        <v>1669.2</v>
      </c>
      <c r="E266" s="8" t="n">
        <v>771.5</v>
      </c>
      <c r="F266" s="8" t="n">
        <v>848.35</v>
      </c>
      <c r="G266" s="8" t="n">
        <v>456.75</v>
      </c>
      <c r="H266" s="8" t="n">
        <v>674.5</v>
      </c>
      <c r="I266" s="8" t="n">
        <v>381.7</v>
      </c>
      <c r="J266" s="8" t="n">
        <v>2314.55</v>
      </c>
      <c r="K266" s="8" t="n">
        <v>752.88</v>
      </c>
      <c r="L266" s="8" t="n">
        <v>1199</v>
      </c>
      <c r="M266" s="8" t="n">
        <v>1348.5</v>
      </c>
      <c r="N266" s="8" t="n">
        <v>573.15</v>
      </c>
      <c r="O266" s="8" t="n">
        <v>309.5</v>
      </c>
      <c r="P266" s="8" t="n">
        <v>1300.05</v>
      </c>
      <c r="Q266" s="8" t="n">
        <v>376.1</v>
      </c>
      <c r="R266" s="8" t="n">
        <v>811.2</v>
      </c>
      <c r="S266" s="8" t="n">
        <v>383.58</v>
      </c>
    </row>
    <row r="267" customFormat="false" ht="15" hidden="false" customHeight="false" outlineLevel="0" collapsed="false">
      <c r="A267" s="7" t="n">
        <v>45190</v>
      </c>
      <c r="B267" s="8" t="n">
        <v>19742.35</v>
      </c>
      <c r="C267" s="8" t="n">
        <v>17303.5</v>
      </c>
      <c r="D267" s="8" t="n">
        <v>1669.1</v>
      </c>
      <c r="E267" s="8" t="n">
        <v>758.8</v>
      </c>
      <c r="F267" s="8" t="n">
        <v>839.1</v>
      </c>
      <c r="G267" s="8" t="n">
        <v>455.6</v>
      </c>
      <c r="H267" s="8" t="n">
        <v>663.4</v>
      </c>
      <c r="I267" s="8" t="n">
        <v>373.5</v>
      </c>
      <c r="J267" s="8" t="n">
        <v>2309.35</v>
      </c>
      <c r="K267" s="8" t="n">
        <v>747.4</v>
      </c>
      <c r="L267" s="8" t="n">
        <v>1188.2</v>
      </c>
      <c r="M267" s="8" t="n">
        <v>1319</v>
      </c>
      <c r="N267" s="8" t="n">
        <v>568.29</v>
      </c>
      <c r="O267" s="8" t="n">
        <v>301</v>
      </c>
      <c r="P267" s="8" t="n">
        <v>1278.5</v>
      </c>
      <c r="Q267" s="8" t="n">
        <v>379.5</v>
      </c>
      <c r="R267" s="8" t="n">
        <v>800</v>
      </c>
      <c r="S267" s="8" t="n">
        <v>380.06</v>
      </c>
    </row>
    <row r="268" customFormat="false" ht="15" hidden="false" customHeight="false" outlineLevel="0" collapsed="false">
      <c r="A268" s="7" t="n">
        <v>45191</v>
      </c>
      <c r="B268" s="8" t="n">
        <v>19674.25</v>
      </c>
      <c r="C268" s="8" t="n">
        <v>17260.8</v>
      </c>
      <c r="D268" s="8" t="n">
        <v>1653.45</v>
      </c>
      <c r="E268" s="8" t="n">
        <v>761.5</v>
      </c>
      <c r="F268" s="8" t="n">
        <v>834</v>
      </c>
      <c r="G268" s="8" t="n">
        <v>460.45</v>
      </c>
      <c r="H268" s="8" t="n">
        <v>688.15</v>
      </c>
      <c r="I268" s="8" t="n">
        <v>375.05</v>
      </c>
      <c r="J268" s="8" t="n">
        <v>2215.75</v>
      </c>
      <c r="K268" s="8" t="n">
        <v>746.12</v>
      </c>
      <c r="L268" s="8" t="n">
        <v>1188.2</v>
      </c>
      <c r="M268" s="8" t="n">
        <v>1291.7</v>
      </c>
      <c r="N268" s="8" t="n">
        <v>559.36</v>
      </c>
      <c r="O268" s="8" t="n">
        <v>302.55</v>
      </c>
      <c r="P268" s="8" t="n">
        <v>1270.2</v>
      </c>
      <c r="Q268" s="8" t="n">
        <v>373.3</v>
      </c>
      <c r="R268" s="8" t="n">
        <v>798.4</v>
      </c>
      <c r="S268" s="8" t="n">
        <v>378.19</v>
      </c>
    </row>
    <row r="269" customFormat="false" ht="15" hidden="false" customHeight="false" outlineLevel="0" collapsed="false">
      <c r="A269" s="7" t="n">
        <v>45194</v>
      </c>
      <c r="B269" s="8" t="n">
        <v>19674.55</v>
      </c>
      <c r="C269" s="8" t="n">
        <v>17272.55</v>
      </c>
      <c r="D269" s="8" t="n">
        <v>1695.5</v>
      </c>
      <c r="E269" s="8" t="n">
        <v>771.75</v>
      </c>
      <c r="F269" s="8" t="n">
        <v>839.45</v>
      </c>
      <c r="G269" s="8" t="n">
        <v>462.85</v>
      </c>
      <c r="H269" s="8" t="n">
        <v>659.9</v>
      </c>
      <c r="I269" s="8" t="n">
        <v>377.85</v>
      </c>
      <c r="J269" s="8" t="n">
        <v>2207.35</v>
      </c>
      <c r="K269" s="8" t="n">
        <v>780.92</v>
      </c>
      <c r="L269" s="8" t="n">
        <v>1183.1</v>
      </c>
      <c r="M269" s="8" t="n">
        <v>1289</v>
      </c>
      <c r="N269" s="8" t="n">
        <v>559.16</v>
      </c>
      <c r="O269" s="8" t="n">
        <v>300.1</v>
      </c>
      <c r="P269" s="8" t="n">
        <v>1261.25</v>
      </c>
      <c r="Q269" s="8" t="n">
        <v>371</v>
      </c>
      <c r="R269" s="8" t="n">
        <v>787.4</v>
      </c>
      <c r="S269" s="8" t="n">
        <v>389.11</v>
      </c>
    </row>
    <row r="270" customFormat="false" ht="15" hidden="false" customHeight="false" outlineLevel="0" collapsed="false">
      <c r="A270" s="7" t="n">
        <v>45195</v>
      </c>
      <c r="B270" s="8" t="n">
        <v>19664.7</v>
      </c>
      <c r="C270" s="8" t="n">
        <v>17276.75</v>
      </c>
      <c r="D270" s="8" t="n">
        <v>1718.75</v>
      </c>
      <c r="E270" s="8" t="n">
        <v>758.85</v>
      </c>
      <c r="F270" s="8" t="n">
        <v>821.6</v>
      </c>
      <c r="G270" s="8" t="n">
        <v>464.15</v>
      </c>
      <c r="H270" s="8" t="n">
        <v>655.5</v>
      </c>
      <c r="I270" s="8" t="n">
        <v>385.3</v>
      </c>
      <c r="J270" s="8" t="n">
        <v>2198.5</v>
      </c>
      <c r="K270" s="8" t="n">
        <v>786</v>
      </c>
      <c r="L270" s="8" t="n">
        <v>1195.05</v>
      </c>
      <c r="M270" s="8" t="n">
        <v>1329.95</v>
      </c>
      <c r="N270" s="8" t="n">
        <v>563.15</v>
      </c>
      <c r="O270" s="8" t="n">
        <v>297.05</v>
      </c>
      <c r="P270" s="8" t="n">
        <v>1236.8</v>
      </c>
      <c r="Q270" s="8" t="n">
        <v>378.15</v>
      </c>
      <c r="R270" s="8" t="n">
        <v>786.35</v>
      </c>
      <c r="S270" s="8" t="n">
        <v>376.92</v>
      </c>
    </row>
    <row r="271" customFormat="false" ht="15" hidden="false" customHeight="false" outlineLevel="0" collapsed="false">
      <c r="A271" s="7" t="n">
        <v>45196</v>
      </c>
      <c r="B271" s="8" t="n">
        <v>19716.45</v>
      </c>
      <c r="C271" s="8" t="n">
        <v>17341.6</v>
      </c>
      <c r="D271" s="8" t="n">
        <v>1704</v>
      </c>
      <c r="E271" s="8" t="n">
        <v>769.95</v>
      </c>
      <c r="F271" s="8" t="n">
        <v>818.4</v>
      </c>
      <c r="G271" s="8" t="n">
        <v>467.05</v>
      </c>
      <c r="H271" s="8" t="n">
        <v>662</v>
      </c>
      <c r="I271" s="8" t="n">
        <v>384.5</v>
      </c>
      <c r="J271" s="8" t="n">
        <v>2216.7</v>
      </c>
      <c r="K271" s="8" t="n">
        <v>782.69</v>
      </c>
      <c r="L271" s="8" t="n">
        <v>1198.3</v>
      </c>
      <c r="M271" s="8" t="n">
        <v>1324.85</v>
      </c>
      <c r="N271" s="8" t="n">
        <v>568.39</v>
      </c>
      <c r="O271" s="8" t="n">
        <v>298.05</v>
      </c>
      <c r="P271" s="8" t="n">
        <v>1259.45</v>
      </c>
      <c r="Q271" s="8" t="n">
        <v>379.5</v>
      </c>
      <c r="R271" s="8" t="n">
        <v>789.85</v>
      </c>
      <c r="S271" s="8" t="n">
        <v>378.48</v>
      </c>
    </row>
    <row r="272" customFormat="false" ht="15" hidden="false" customHeight="false" outlineLevel="0" collapsed="false">
      <c r="A272" s="7" t="n">
        <v>45197</v>
      </c>
      <c r="B272" s="8" t="n">
        <v>19523.55</v>
      </c>
      <c r="C272" s="8" t="n">
        <v>17170.45</v>
      </c>
      <c r="D272" s="8" t="n">
        <v>1714.55</v>
      </c>
      <c r="E272" s="8" t="n">
        <v>748.2</v>
      </c>
      <c r="F272" s="8" t="n">
        <v>820.55</v>
      </c>
      <c r="G272" s="8" t="n">
        <v>458.35</v>
      </c>
      <c r="H272" s="8" t="n">
        <v>680.1</v>
      </c>
      <c r="I272" s="8" t="n">
        <v>379.8</v>
      </c>
      <c r="J272" s="8" t="n">
        <v>2201.9</v>
      </c>
      <c r="K272" s="8" t="n">
        <v>772.85</v>
      </c>
      <c r="L272" s="8" t="n">
        <v>1219.8</v>
      </c>
      <c r="M272" s="8" t="n">
        <v>1299.75</v>
      </c>
      <c r="N272" s="8" t="n">
        <v>576.89</v>
      </c>
      <c r="O272" s="8" t="n">
        <v>291.9</v>
      </c>
      <c r="P272" s="8" t="n">
        <v>1214.75</v>
      </c>
      <c r="Q272" s="8" t="n">
        <v>375.35</v>
      </c>
      <c r="R272" s="8" t="n">
        <v>782.3</v>
      </c>
      <c r="S272" s="8" t="n">
        <v>374.29</v>
      </c>
    </row>
    <row r="273" customFormat="false" ht="15" hidden="false" customHeight="false" outlineLevel="0" collapsed="false">
      <c r="A273" s="7" t="n">
        <v>45198</v>
      </c>
      <c r="B273" s="8" t="n">
        <v>19638.3</v>
      </c>
      <c r="C273" s="8" t="n">
        <v>17292.6</v>
      </c>
      <c r="D273" s="8" t="n">
        <v>1739.3</v>
      </c>
      <c r="E273" s="8" t="n">
        <v>764.8</v>
      </c>
      <c r="F273" s="8" t="n">
        <v>811.25</v>
      </c>
      <c r="G273" s="8" t="n">
        <v>464.35</v>
      </c>
      <c r="H273" s="8" t="n">
        <v>694.1</v>
      </c>
      <c r="I273" s="8" t="n">
        <v>384.4</v>
      </c>
      <c r="J273" s="8" t="n">
        <v>2172.95</v>
      </c>
      <c r="K273" s="8" t="n">
        <v>780.01</v>
      </c>
      <c r="L273" s="8" t="n">
        <v>1217.55</v>
      </c>
      <c r="M273" s="8" t="n">
        <v>1315.5</v>
      </c>
      <c r="N273" s="8" t="n">
        <v>580.44</v>
      </c>
      <c r="O273" s="8" t="n">
        <v>301.35</v>
      </c>
      <c r="P273" s="8" t="n">
        <v>1252</v>
      </c>
      <c r="Q273" s="8" t="n">
        <v>380.3</v>
      </c>
      <c r="R273" s="8" t="n">
        <v>791.1</v>
      </c>
      <c r="S273" s="8" t="n">
        <v>383.87</v>
      </c>
    </row>
    <row r="274" customFormat="false" ht="15" hidden="false" customHeight="false" outlineLevel="0" collapsed="false">
      <c r="A274" s="7" t="n">
        <v>45202</v>
      </c>
      <c r="B274" s="8" t="n">
        <v>19528.75</v>
      </c>
      <c r="C274" s="8" t="n">
        <v>17254.4</v>
      </c>
      <c r="D274" s="8" t="n">
        <v>1799.05</v>
      </c>
      <c r="E274" s="8" t="n">
        <v>765.35</v>
      </c>
      <c r="F274" s="8" t="n">
        <v>832.3</v>
      </c>
      <c r="G274" s="8" t="n">
        <v>477.3</v>
      </c>
      <c r="H274" s="8" t="n">
        <v>742.3</v>
      </c>
      <c r="I274" s="8" t="n">
        <v>396.95</v>
      </c>
      <c r="J274" s="8" t="n">
        <v>2180.05</v>
      </c>
      <c r="K274" s="8" t="n">
        <v>795.68</v>
      </c>
      <c r="L274" s="8" t="n">
        <v>1253.8</v>
      </c>
      <c r="M274" s="8" t="n">
        <v>1331.95</v>
      </c>
      <c r="N274" s="8" t="n">
        <v>594.76</v>
      </c>
      <c r="O274" s="8" t="n">
        <v>301</v>
      </c>
      <c r="P274" s="8" t="n">
        <v>1235.15</v>
      </c>
      <c r="Q274" s="8" t="n">
        <v>382</v>
      </c>
      <c r="R274" s="8" t="n">
        <v>796.5</v>
      </c>
      <c r="S274" s="8" t="n">
        <v>384.39</v>
      </c>
    </row>
    <row r="275" customFormat="false" ht="15" hidden="false" customHeight="false" outlineLevel="0" collapsed="false">
      <c r="A275" s="7" t="n">
        <v>45203</v>
      </c>
      <c r="B275" s="8" t="n">
        <v>19436.1</v>
      </c>
      <c r="C275" s="8" t="n">
        <v>17123.1</v>
      </c>
      <c r="D275" s="8" t="n">
        <v>1790.05</v>
      </c>
      <c r="E275" s="8" t="n">
        <v>754.25</v>
      </c>
      <c r="F275" s="8" t="n">
        <v>821.55</v>
      </c>
      <c r="G275" s="8" t="n">
        <v>467.35</v>
      </c>
      <c r="H275" s="8" t="n">
        <v>721.55</v>
      </c>
      <c r="I275" s="8" t="n">
        <v>393.95</v>
      </c>
      <c r="J275" s="8" t="n">
        <v>2268.9</v>
      </c>
      <c r="K275" s="8" t="n">
        <v>784.34</v>
      </c>
      <c r="L275" s="8" t="n">
        <v>1209.65</v>
      </c>
      <c r="M275" s="8" t="n">
        <v>1318.55</v>
      </c>
      <c r="N275" s="8" t="n">
        <v>594.91</v>
      </c>
      <c r="O275" s="8" t="n">
        <v>288.1</v>
      </c>
      <c r="P275" s="8" t="n">
        <v>1215.85</v>
      </c>
      <c r="Q275" s="8" t="n">
        <v>376.85</v>
      </c>
      <c r="R275" s="8" t="n">
        <v>792.3</v>
      </c>
      <c r="S275" s="8" t="n">
        <v>370.12</v>
      </c>
    </row>
    <row r="276" customFormat="false" ht="15" hidden="false" customHeight="false" outlineLevel="0" collapsed="false">
      <c r="A276" s="7" t="n">
        <v>45204</v>
      </c>
      <c r="B276" s="8" t="n">
        <v>19545.75</v>
      </c>
      <c r="C276" s="8" t="n">
        <v>17195.8</v>
      </c>
      <c r="D276" s="8" t="n">
        <v>1746.9</v>
      </c>
      <c r="E276" s="8" t="n">
        <v>757.85</v>
      </c>
      <c r="F276" s="8" t="n">
        <v>846.15</v>
      </c>
      <c r="G276" s="8" t="n">
        <v>471.1</v>
      </c>
      <c r="H276" s="8" t="n">
        <v>707.85</v>
      </c>
      <c r="I276" s="8" t="n">
        <v>390</v>
      </c>
      <c r="J276" s="8" t="n">
        <v>2300.35</v>
      </c>
      <c r="K276" s="8" t="n">
        <v>784.02</v>
      </c>
      <c r="L276" s="8" t="n">
        <v>1199.25</v>
      </c>
      <c r="M276" s="8" t="n">
        <v>1319.8</v>
      </c>
      <c r="N276" s="8" t="n">
        <v>594.57</v>
      </c>
      <c r="O276" s="8" t="n">
        <v>286.1</v>
      </c>
      <c r="P276" s="8" t="n">
        <v>1198.85</v>
      </c>
      <c r="Q276" s="8" t="n">
        <v>378.2</v>
      </c>
      <c r="R276" s="8" t="n">
        <v>789.95</v>
      </c>
      <c r="S276" s="8" t="n">
        <v>367.5</v>
      </c>
    </row>
    <row r="277" customFormat="false" ht="15" hidden="false" customHeight="false" outlineLevel="0" collapsed="false">
      <c r="A277" s="7" t="n">
        <v>45205</v>
      </c>
      <c r="B277" s="8" t="n">
        <v>19653.5</v>
      </c>
      <c r="C277" s="8" t="n">
        <v>17293.6</v>
      </c>
      <c r="D277" s="8" t="n">
        <v>1725.6</v>
      </c>
      <c r="E277" s="8" t="n">
        <v>773.7</v>
      </c>
      <c r="F277" s="8" t="n">
        <v>843.5</v>
      </c>
      <c r="G277" s="8" t="n">
        <v>468.35</v>
      </c>
      <c r="H277" s="8" t="n">
        <v>720.4</v>
      </c>
      <c r="I277" s="8" t="n">
        <v>394.85</v>
      </c>
      <c r="J277" s="8" t="n">
        <v>2317.95</v>
      </c>
      <c r="K277" s="8" t="n">
        <v>815.74</v>
      </c>
      <c r="L277" s="8" t="n">
        <v>1219.55</v>
      </c>
      <c r="M277" s="8" t="n">
        <v>1316.1</v>
      </c>
      <c r="N277" s="8" t="n">
        <v>617.79</v>
      </c>
      <c r="O277" s="8" t="n">
        <v>288.9</v>
      </c>
      <c r="P277" s="8" t="n">
        <v>1203.1</v>
      </c>
      <c r="Q277" s="8" t="n">
        <v>388.95</v>
      </c>
      <c r="R277" s="8" t="n">
        <v>798.15</v>
      </c>
      <c r="S277" s="8" t="n">
        <v>369.77</v>
      </c>
    </row>
    <row r="278" customFormat="false" ht="15" hidden="false" customHeight="false" outlineLevel="0" collapsed="false">
      <c r="A278" s="7" t="n">
        <v>45208</v>
      </c>
      <c r="B278" s="8" t="n">
        <v>19512.35</v>
      </c>
      <c r="C278" s="8" t="n">
        <v>17127.7</v>
      </c>
      <c r="D278" s="8" t="n">
        <v>1764.7</v>
      </c>
      <c r="E278" s="8" t="n">
        <v>750.4</v>
      </c>
      <c r="F278" s="8" t="n">
        <v>843.15</v>
      </c>
      <c r="G278" s="8" t="n">
        <v>466.1</v>
      </c>
      <c r="H278" s="8" t="n">
        <v>711</v>
      </c>
      <c r="I278" s="8" t="n">
        <v>383.9</v>
      </c>
      <c r="J278" s="8" t="n">
        <v>2295.7</v>
      </c>
      <c r="K278" s="8" t="n">
        <v>801.68</v>
      </c>
      <c r="L278" s="8" t="n">
        <v>1219.55</v>
      </c>
      <c r="M278" s="8" t="n">
        <v>1312.65</v>
      </c>
      <c r="N278" s="8" t="n">
        <v>609.43</v>
      </c>
      <c r="O278" s="8" t="n">
        <v>285.65</v>
      </c>
      <c r="P278" s="8" t="n">
        <v>1190.1</v>
      </c>
      <c r="Q278" s="8" t="n">
        <v>374.45</v>
      </c>
      <c r="R278" s="8" t="n">
        <v>783.15</v>
      </c>
      <c r="S278" s="8" t="n">
        <v>364.18</v>
      </c>
    </row>
    <row r="279" customFormat="false" ht="15" hidden="false" customHeight="false" outlineLevel="0" collapsed="false">
      <c r="A279" s="7" t="n">
        <v>45209</v>
      </c>
      <c r="B279" s="8" t="n">
        <v>19689.85</v>
      </c>
      <c r="C279" s="8" t="n">
        <v>17303.35</v>
      </c>
      <c r="D279" s="8" t="n">
        <v>1726.85</v>
      </c>
      <c r="E279" s="8" t="n">
        <v>758.9</v>
      </c>
      <c r="F279" s="8" t="n">
        <v>855.7</v>
      </c>
      <c r="G279" s="8" t="n">
        <v>469.35</v>
      </c>
      <c r="H279" s="8" t="n">
        <v>726.95</v>
      </c>
      <c r="I279" s="8" t="n">
        <v>383.85</v>
      </c>
      <c r="J279" s="8" t="n">
        <v>2329.6</v>
      </c>
      <c r="K279" s="8" t="n">
        <v>807.26</v>
      </c>
      <c r="L279" s="8" t="n">
        <v>1259.15</v>
      </c>
      <c r="M279" s="8" t="n">
        <v>1351.45</v>
      </c>
      <c r="N279" s="8" t="n">
        <v>616.13</v>
      </c>
      <c r="O279" s="8" t="n">
        <v>290.15</v>
      </c>
      <c r="P279" s="8" t="n">
        <v>1218.05</v>
      </c>
      <c r="Q279" s="8" t="n">
        <v>375.45</v>
      </c>
      <c r="R279" s="8" t="n">
        <v>791.4</v>
      </c>
      <c r="S279" s="8" t="n">
        <v>378.57</v>
      </c>
    </row>
    <row r="280" customFormat="false" ht="15" hidden="false" customHeight="false" outlineLevel="0" collapsed="false">
      <c r="A280" s="7" t="n">
        <v>45210</v>
      </c>
      <c r="B280" s="8" t="n">
        <v>19811.35</v>
      </c>
      <c r="C280" s="8" t="n">
        <v>17407.35</v>
      </c>
      <c r="D280" s="8" t="n">
        <v>1711.2</v>
      </c>
      <c r="E280" s="8" t="n">
        <v>755.05</v>
      </c>
      <c r="F280" s="8" t="n">
        <v>854.2</v>
      </c>
      <c r="G280" s="8" t="n">
        <v>473.95</v>
      </c>
      <c r="H280" s="8" t="n">
        <v>725.35</v>
      </c>
      <c r="I280" s="8" t="n">
        <v>388</v>
      </c>
      <c r="J280" s="8" t="n">
        <v>2338.75</v>
      </c>
      <c r="K280" s="8" t="n">
        <v>809.09</v>
      </c>
      <c r="L280" s="8" t="n">
        <v>1259.7</v>
      </c>
      <c r="M280" s="8" t="n">
        <v>1372.95</v>
      </c>
      <c r="N280" s="8" t="n">
        <v>607.68</v>
      </c>
      <c r="O280" s="8" t="n">
        <v>290.55</v>
      </c>
      <c r="P280" s="8" t="n">
        <v>1236.15</v>
      </c>
      <c r="Q280" s="8" t="n">
        <v>377.6</v>
      </c>
      <c r="R280" s="8" t="n">
        <v>800.7</v>
      </c>
      <c r="S280" s="8" t="n">
        <v>379.72</v>
      </c>
    </row>
    <row r="281" customFormat="false" ht="15" hidden="false" customHeight="false" outlineLevel="0" collapsed="false">
      <c r="A281" s="7" t="n">
        <v>45211</v>
      </c>
      <c r="B281" s="8" t="n">
        <v>19794</v>
      </c>
      <c r="C281" s="8" t="n">
        <v>17419.7</v>
      </c>
      <c r="D281" s="8" t="n">
        <v>1701.2</v>
      </c>
      <c r="E281" s="8" t="n">
        <v>752.25</v>
      </c>
      <c r="F281" s="8" t="n">
        <v>859</v>
      </c>
      <c r="G281" s="8" t="n">
        <v>471.85</v>
      </c>
      <c r="H281" s="8" t="n">
        <v>741.4</v>
      </c>
      <c r="I281" s="8" t="n">
        <v>398.85</v>
      </c>
      <c r="J281" s="8" t="n">
        <v>2328.7</v>
      </c>
      <c r="K281" s="8" t="n">
        <v>800.34</v>
      </c>
      <c r="L281" s="8" t="n">
        <v>1244.6</v>
      </c>
      <c r="M281" s="8" t="n">
        <v>1385.25</v>
      </c>
      <c r="N281" s="8" t="n">
        <v>620.16</v>
      </c>
      <c r="O281" s="8" t="n">
        <v>286.85</v>
      </c>
      <c r="P281" s="8" t="n">
        <v>1236.45</v>
      </c>
      <c r="Q281" s="8" t="n">
        <v>374.95</v>
      </c>
      <c r="R281" s="8" t="n">
        <v>801.05</v>
      </c>
      <c r="S281" s="8" t="n">
        <v>375.62</v>
      </c>
    </row>
    <row r="282" customFormat="false" ht="15" hidden="false" customHeight="false" outlineLevel="0" collapsed="false">
      <c r="A282" s="7" t="n">
        <v>45212</v>
      </c>
      <c r="B282" s="8" t="n">
        <v>19751.05</v>
      </c>
      <c r="C282" s="8" t="n">
        <v>17390.35</v>
      </c>
      <c r="D282" s="8" t="n">
        <v>1656.2</v>
      </c>
      <c r="E282" s="8" t="n">
        <v>746.85</v>
      </c>
      <c r="F282" s="8" t="n">
        <v>868.45</v>
      </c>
      <c r="G282" s="8" t="n">
        <v>470</v>
      </c>
      <c r="H282" s="8" t="n">
        <v>726.2</v>
      </c>
      <c r="I282" s="8" t="n">
        <v>394.75</v>
      </c>
      <c r="J282" s="8" t="n">
        <v>2336.75</v>
      </c>
      <c r="K282" s="8" t="n">
        <v>804.07</v>
      </c>
      <c r="L282" s="8" t="n">
        <v>1257.8</v>
      </c>
      <c r="M282" s="8" t="n">
        <v>1394.15</v>
      </c>
      <c r="N282" s="8" t="n">
        <v>613.22</v>
      </c>
      <c r="O282" s="8" t="n">
        <v>287.15</v>
      </c>
      <c r="P282" s="8" t="n">
        <v>1233.6</v>
      </c>
      <c r="Q282" s="8" t="n">
        <v>376.1</v>
      </c>
      <c r="R282" s="8" t="n">
        <v>789.9</v>
      </c>
      <c r="S282" s="8" t="n">
        <v>376.19</v>
      </c>
    </row>
    <row r="283" customFormat="false" ht="15" hidden="false" customHeight="false" outlineLevel="0" collapsed="false">
      <c r="A283" s="7" t="n">
        <v>45215</v>
      </c>
      <c r="B283" s="8" t="n">
        <v>19731.75</v>
      </c>
      <c r="C283" s="8" t="n">
        <v>17393</v>
      </c>
      <c r="D283" s="8" t="n">
        <v>1632.7</v>
      </c>
      <c r="E283" s="8" t="n">
        <v>738.95</v>
      </c>
      <c r="F283" s="8" t="n">
        <v>909.35</v>
      </c>
      <c r="G283" s="8" t="n">
        <v>471.7</v>
      </c>
      <c r="H283" s="8" t="n">
        <v>720.7</v>
      </c>
      <c r="I283" s="8" t="n">
        <v>390.45</v>
      </c>
      <c r="J283" s="8" t="n">
        <v>2315.2</v>
      </c>
      <c r="K283" s="8" t="n">
        <v>802.51</v>
      </c>
      <c r="L283" s="8" t="n">
        <v>1245.7</v>
      </c>
      <c r="M283" s="8" t="n">
        <v>1381.7</v>
      </c>
      <c r="N283" s="8" t="n">
        <v>653.05</v>
      </c>
      <c r="O283" s="8" t="n">
        <v>285.3</v>
      </c>
      <c r="P283" s="8" t="n">
        <v>1245.05</v>
      </c>
      <c r="Q283" s="8" t="n">
        <v>377.5</v>
      </c>
      <c r="R283" s="8" t="n">
        <v>799.95</v>
      </c>
      <c r="S283" s="8" t="n">
        <v>373.51</v>
      </c>
    </row>
    <row r="284" customFormat="false" ht="15" hidden="false" customHeight="false" outlineLevel="0" collapsed="false">
      <c r="A284" s="7" t="n">
        <v>45216</v>
      </c>
      <c r="B284" s="8" t="n">
        <v>19811.5</v>
      </c>
      <c r="C284" s="8" t="n">
        <v>17467.7</v>
      </c>
      <c r="D284" s="8" t="n">
        <v>1641.05</v>
      </c>
      <c r="E284" s="8" t="n">
        <v>768.25</v>
      </c>
      <c r="F284" s="8" t="n">
        <v>956.45</v>
      </c>
      <c r="G284" s="8" t="n">
        <v>475.8</v>
      </c>
      <c r="H284" s="8" t="n">
        <v>746.6</v>
      </c>
      <c r="I284" s="8" t="n">
        <v>400.3</v>
      </c>
      <c r="J284" s="8" t="n">
        <v>2326.95</v>
      </c>
      <c r="K284" s="8" t="n">
        <v>808.2</v>
      </c>
      <c r="L284" s="8" t="n">
        <v>1244.65</v>
      </c>
      <c r="M284" s="8" t="n">
        <v>1390.6</v>
      </c>
      <c r="N284" s="8" t="n">
        <v>646.25</v>
      </c>
      <c r="O284" s="8" t="n">
        <v>284.85</v>
      </c>
      <c r="P284" s="8" t="n">
        <v>1251.7</v>
      </c>
      <c r="Q284" s="8" t="n">
        <v>378.1</v>
      </c>
      <c r="R284" s="8" t="n">
        <v>805.05</v>
      </c>
      <c r="S284" s="8" t="n">
        <v>377.69</v>
      </c>
    </row>
    <row r="285" customFormat="false" ht="15" hidden="false" customHeight="false" outlineLevel="0" collapsed="false">
      <c r="A285" s="7" t="n">
        <v>45217</v>
      </c>
      <c r="B285" s="8" t="n">
        <v>19671.1</v>
      </c>
      <c r="C285" s="8" t="n">
        <v>17344</v>
      </c>
      <c r="D285" s="8" t="n">
        <v>1635.15</v>
      </c>
      <c r="E285" s="8" t="n">
        <v>762.7</v>
      </c>
      <c r="F285" s="8" t="n">
        <v>954.05</v>
      </c>
      <c r="G285" s="8" t="n">
        <v>470.8</v>
      </c>
      <c r="H285" s="8" t="n">
        <v>761.45</v>
      </c>
      <c r="I285" s="8" t="n">
        <v>427.95</v>
      </c>
      <c r="J285" s="8" t="n">
        <v>2311.7</v>
      </c>
      <c r="K285" s="8" t="n">
        <v>785.59</v>
      </c>
      <c r="L285" s="8" t="n">
        <v>1218.45</v>
      </c>
      <c r="M285" s="8" t="n">
        <v>1378.2</v>
      </c>
      <c r="N285" s="8" t="n">
        <v>629.39</v>
      </c>
      <c r="O285" s="8" t="n">
        <v>281.35</v>
      </c>
      <c r="P285" s="8" t="n">
        <v>1250.75</v>
      </c>
      <c r="Q285" s="8" t="n">
        <v>375.15</v>
      </c>
      <c r="R285" s="8" t="n">
        <v>799.1</v>
      </c>
      <c r="S285" s="8" t="n">
        <v>373.24</v>
      </c>
    </row>
    <row r="286" customFormat="false" ht="15" hidden="false" customHeight="false" outlineLevel="0" collapsed="false">
      <c r="A286" s="7" t="n">
        <v>45218</v>
      </c>
      <c r="B286" s="8" t="n">
        <v>19624.7</v>
      </c>
      <c r="C286" s="8" t="n">
        <v>17310.5</v>
      </c>
      <c r="D286" s="8" t="n">
        <v>1617.35</v>
      </c>
      <c r="E286" s="8" t="n">
        <v>765.1</v>
      </c>
      <c r="F286" s="8" t="n">
        <v>955.85</v>
      </c>
      <c r="G286" s="8" t="n">
        <v>467.45</v>
      </c>
      <c r="H286" s="8" t="n">
        <v>772.9</v>
      </c>
      <c r="I286" s="8" t="n">
        <v>421.35</v>
      </c>
      <c r="J286" s="8" t="n">
        <v>2320.15</v>
      </c>
      <c r="K286" s="8" t="n">
        <v>783.09</v>
      </c>
      <c r="L286" s="8" t="n">
        <v>1197.3</v>
      </c>
      <c r="M286" s="8" t="n">
        <v>1384.25</v>
      </c>
      <c r="N286" s="8" t="n">
        <v>637.55</v>
      </c>
      <c r="O286" s="8" t="n">
        <v>282.4</v>
      </c>
      <c r="P286" s="8" t="n">
        <v>1251.45</v>
      </c>
      <c r="Q286" s="8" t="n">
        <v>377.65</v>
      </c>
      <c r="R286" s="8" t="n">
        <v>790.65</v>
      </c>
      <c r="S286" s="8" t="n">
        <v>375.77</v>
      </c>
    </row>
    <row r="287" customFormat="false" ht="15" hidden="false" customHeight="false" outlineLevel="0" collapsed="false">
      <c r="A287" s="7" t="n">
        <v>45219</v>
      </c>
      <c r="B287" s="8" t="n">
        <v>19542.65</v>
      </c>
      <c r="C287" s="8" t="n">
        <v>17208.75</v>
      </c>
      <c r="D287" s="8" t="n">
        <v>1591.05</v>
      </c>
      <c r="E287" s="8" t="n">
        <v>761.75</v>
      </c>
      <c r="F287" s="8" t="n">
        <v>945.55</v>
      </c>
      <c r="G287" s="8" t="n">
        <v>459.6</v>
      </c>
      <c r="H287" s="8" t="n">
        <v>747.2</v>
      </c>
      <c r="I287" s="8" t="n">
        <v>416.7</v>
      </c>
      <c r="J287" s="8" t="n">
        <v>2349</v>
      </c>
      <c r="K287" s="8" t="n">
        <v>775.86</v>
      </c>
      <c r="L287" s="8" t="n">
        <v>1187.15</v>
      </c>
      <c r="M287" s="8" t="n">
        <v>1389.85</v>
      </c>
      <c r="N287" s="8" t="n">
        <v>624.24</v>
      </c>
      <c r="O287" s="8" t="n">
        <v>277.85</v>
      </c>
      <c r="P287" s="8" t="n">
        <v>1271.6</v>
      </c>
      <c r="Q287" s="8" t="n">
        <v>376.7</v>
      </c>
      <c r="R287" s="8" t="n">
        <v>785.9</v>
      </c>
      <c r="S287" s="8" t="n">
        <v>375.34</v>
      </c>
    </row>
    <row r="288" customFormat="false" ht="15" hidden="false" customHeight="false" outlineLevel="0" collapsed="false">
      <c r="A288" s="7" t="n">
        <v>45222</v>
      </c>
      <c r="B288" s="8" t="n">
        <v>19281.75</v>
      </c>
      <c r="C288" s="8" t="n">
        <v>16888.7</v>
      </c>
      <c r="D288" s="8" t="n">
        <v>1572.2</v>
      </c>
      <c r="E288" s="8" t="n">
        <v>736.15</v>
      </c>
      <c r="F288" s="8" t="n">
        <v>913.9</v>
      </c>
      <c r="G288" s="8" t="n">
        <v>451.85</v>
      </c>
      <c r="H288" s="8" t="n">
        <v>715.05</v>
      </c>
      <c r="I288" s="8" t="n">
        <v>394.25</v>
      </c>
      <c r="J288" s="8" t="n">
        <v>2265.6</v>
      </c>
      <c r="K288" s="8" t="n">
        <v>778.83</v>
      </c>
      <c r="L288" s="8" t="n">
        <v>1167.25</v>
      </c>
      <c r="M288" s="8" t="n">
        <v>1507.4</v>
      </c>
      <c r="N288" s="8" t="n">
        <v>595.15</v>
      </c>
      <c r="O288" s="8" t="n">
        <v>272.8</v>
      </c>
      <c r="P288" s="8" t="n">
        <v>1280.3</v>
      </c>
      <c r="Q288" s="8" t="n">
        <v>350.45</v>
      </c>
      <c r="R288" s="8" t="n">
        <v>774.9</v>
      </c>
      <c r="S288" s="8" t="n">
        <v>376</v>
      </c>
    </row>
    <row r="289" customFormat="false" ht="15" hidden="false" customHeight="false" outlineLevel="0" collapsed="false">
      <c r="A289" s="7" t="n">
        <v>45224</v>
      </c>
      <c r="B289" s="8" t="n">
        <v>19122.15</v>
      </c>
      <c r="C289" s="8" t="n">
        <v>16760.8</v>
      </c>
      <c r="D289" s="8" t="n">
        <v>1548.4</v>
      </c>
      <c r="E289" s="8" t="n">
        <v>720.9</v>
      </c>
      <c r="F289" s="8" t="n">
        <v>891.25</v>
      </c>
      <c r="G289" s="8" t="n">
        <v>447</v>
      </c>
      <c r="H289" s="8" t="n">
        <v>711.55</v>
      </c>
      <c r="I289" s="8" t="n">
        <v>371.45</v>
      </c>
      <c r="J289" s="8" t="n">
        <v>2232.55</v>
      </c>
      <c r="K289" s="8" t="n">
        <v>768.4</v>
      </c>
      <c r="L289" s="8" t="n">
        <v>1147.05</v>
      </c>
      <c r="M289" s="8" t="n">
        <v>1493.4</v>
      </c>
      <c r="N289" s="8" t="n">
        <v>601.85</v>
      </c>
      <c r="O289" s="8" t="n">
        <v>273.6</v>
      </c>
      <c r="P289" s="8" t="n">
        <v>1280.65</v>
      </c>
      <c r="Q289" s="8" t="n">
        <v>355.45</v>
      </c>
      <c r="R289" s="8" t="n">
        <v>777.6</v>
      </c>
      <c r="S289" s="8" t="n">
        <v>363.23</v>
      </c>
    </row>
    <row r="290" customFormat="false" ht="15" hidden="false" customHeight="false" outlineLevel="0" collapsed="false">
      <c r="A290" s="7" t="n">
        <v>45225</v>
      </c>
      <c r="B290" s="8" t="n">
        <v>18857.25</v>
      </c>
      <c r="C290" s="8" t="n">
        <v>16555.45</v>
      </c>
      <c r="D290" s="8" t="n">
        <v>1558.1</v>
      </c>
      <c r="E290" s="8" t="n">
        <v>719.8</v>
      </c>
      <c r="F290" s="8" t="n">
        <v>907.45</v>
      </c>
      <c r="G290" s="8" t="n">
        <v>437.85</v>
      </c>
      <c r="H290" s="8" t="n">
        <v>713.4</v>
      </c>
      <c r="I290" s="8" t="n">
        <v>382.25</v>
      </c>
      <c r="J290" s="8" t="n">
        <v>2275.2</v>
      </c>
      <c r="K290" s="8" t="n">
        <v>741.17</v>
      </c>
      <c r="L290" s="8" t="n">
        <v>1134.5</v>
      </c>
      <c r="M290" s="8" t="n">
        <v>1542.5</v>
      </c>
      <c r="N290" s="8" t="n">
        <v>580.53</v>
      </c>
      <c r="O290" s="8" t="n">
        <v>269.8</v>
      </c>
      <c r="P290" s="8" t="n">
        <v>1262.9</v>
      </c>
      <c r="Q290" s="8" t="n">
        <v>352.05</v>
      </c>
      <c r="R290" s="8" t="n">
        <v>772.5</v>
      </c>
      <c r="S290" s="8" t="n">
        <v>359.52</v>
      </c>
    </row>
    <row r="291" customFormat="false" ht="15" hidden="false" customHeight="false" outlineLevel="0" collapsed="false">
      <c r="A291" s="7" t="n">
        <v>45226</v>
      </c>
      <c r="B291" s="8" t="n">
        <v>19047.25</v>
      </c>
      <c r="C291" s="8" t="n">
        <v>16765.45</v>
      </c>
      <c r="D291" s="8" t="n">
        <v>1547.35</v>
      </c>
      <c r="E291" s="8" t="n">
        <v>740.7</v>
      </c>
      <c r="F291" s="8" t="n">
        <v>952.55</v>
      </c>
      <c r="G291" s="8" t="n">
        <v>440.05</v>
      </c>
      <c r="H291" s="8" t="n">
        <v>736.85</v>
      </c>
      <c r="I291" s="8" t="n">
        <v>385.1</v>
      </c>
      <c r="J291" s="8" t="n">
        <v>2361.65</v>
      </c>
      <c r="K291" s="8" t="n">
        <v>749.7</v>
      </c>
      <c r="L291" s="8" t="n">
        <v>1168.05</v>
      </c>
      <c r="M291" s="8" t="n">
        <v>1570.7</v>
      </c>
      <c r="N291" s="8" t="n">
        <v>589.13</v>
      </c>
      <c r="O291" s="8" t="n">
        <v>277.3</v>
      </c>
      <c r="P291" s="8" t="n">
        <v>1290.65</v>
      </c>
      <c r="Q291" s="8" t="n">
        <v>359.9</v>
      </c>
      <c r="R291" s="8" t="n">
        <v>790.4</v>
      </c>
      <c r="S291" s="8" t="n">
        <v>387.04</v>
      </c>
    </row>
    <row r="292" customFormat="false" ht="15" hidden="false" customHeight="false" outlineLevel="0" collapsed="false">
      <c r="A292" s="7" t="n">
        <v>45229</v>
      </c>
      <c r="B292" s="8" t="n">
        <v>19140.9</v>
      </c>
      <c r="C292" s="8" t="n">
        <v>16826.1</v>
      </c>
      <c r="D292" s="8" t="n">
        <v>1459.1</v>
      </c>
      <c r="E292" s="8" t="n">
        <v>751.7</v>
      </c>
      <c r="F292" s="8" t="n">
        <v>935.3</v>
      </c>
      <c r="G292" s="8" t="n">
        <v>450.8</v>
      </c>
      <c r="H292" s="8" t="n">
        <v>716.7</v>
      </c>
      <c r="I292" s="8" t="n">
        <v>374.75</v>
      </c>
      <c r="J292" s="8" t="n">
        <v>2400.65</v>
      </c>
      <c r="K292" s="8" t="n">
        <v>749.29</v>
      </c>
      <c r="L292" s="8" t="n">
        <v>1155.65</v>
      </c>
      <c r="M292" s="8" t="n">
        <v>1607</v>
      </c>
      <c r="N292" s="8" t="n">
        <v>582.14</v>
      </c>
      <c r="O292" s="8" t="n">
        <v>245.5</v>
      </c>
      <c r="P292" s="8" t="n">
        <v>1326.95</v>
      </c>
      <c r="Q292" s="8" t="n">
        <v>353.1</v>
      </c>
      <c r="R292" s="8" t="n">
        <v>750.35</v>
      </c>
      <c r="S292" s="8" t="n">
        <v>378.44</v>
      </c>
    </row>
    <row r="293" customFormat="false" ht="15" hidden="false" customHeight="false" outlineLevel="0" collapsed="false">
      <c r="A293" s="7" t="n">
        <v>45230</v>
      </c>
      <c r="B293" s="8" t="n">
        <v>19079.6</v>
      </c>
      <c r="C293" s="8" t="n">
        <v>16801.1</v>
      </c>
      <c r="D293" s="8" t="n">
        <v>1407.8</v>
      </c>
      <c r="E293" s="8" t="n">
        <v>763.45</v>
      </c>
      <c r="F293" s="8" t="n">
        <v>902.25</v>
      </c>
      <c r="G293" s="8" t="n">
        <v>459.2</v>
      </c>
      <c r="H293" s="8" t="n">
        <v>736.4</v>
      </c>
      <c r="I293" s="8" t="n">
        <v>411.65</v>
      </c>
      <c r="J293" s="8" t="n">
        <v>2386.75</v>
      </c>
      <c r="K293" s="8" t="n">
        <v>748.25</v>
      </c>
      <c r="L293" s="8" t="n">
        <v>1137.3</v>
      </c>
      <c r="M293" s="8" t="n">
        <v>1597.2</v>
      </c>
      <c r="N293" s="8" t="n">
        <v>601.95</v>
      </c>
      <c r="O293" s="8" t="n">
        <v>245.35</v>
      </c>
      <c r="P293" s="8" t="n">
        <v>1298.7</v>
      </c>
      <c r="Q293" s="8" t="n">
        <v>352.8</v>
      </c>
      <c r="R293" s="8" t="n">
        <v>746.15</v>
      </c>
      <c r="S293" s="8" t="n">
        <v>375.97</v>
      </c>
    </row>
    <row r="294" customFormat="false" ht="15" hidden="false" customHeight="false" outlineLevel="0" collapsed="false">
      <c r="A294" s="7" t="n">
        <v>45231</v>
      </c>
      <c r="B294" s="8" t="n">
        <v>18989.15</v>
      </c>
      <c r="C294" s="8" t="n">
        <v>16732.95</v>
      </c>
      <c r="D294" s="8" t="n">
        <v>1425.45</v>
      </c>
      <c r="E294" s="8" t="n">
        <v>758.7</v>
      </c>
      <c r="F294" s="8" t="n">
        <v>912.85</v>
      </c>
      <c r="G294" s="8" t="n">
        <v>457.35</v>
      </c>
      <c r="H294" s="8" t="n">
        <v>713.5</v>
      </c>
      <c r="I294" s="8" t="n">
        <v>396.25</v>
      </c>
      <c r="J294" s="8" t="n">
        <v>2368.6</v>
      </c>
      <c r="K294" s="8" t="n">
        <v>746.17</v>
      </c>
      <c r="L294" s="8" t="n">
        <v>1149</v>
      </c>
      <c r="M294" s="8" t="n">
        <v>1620.6</v>
      </c>
      <c r="N294" s="8" t="n">
        <v>591.07</v>
      </c>
      <c r="O294" s="8" t="n">
        <v>246.9</v>
      </c>
      <c r="P294" s="8" t="n">
        <v>1300.6</v>
      </c>
      <c r="Q294" s="8" t="n">
        <v>352.95</v>
      </c>
      <c r="R294" s="8" t="n">
        <v>744.8</v>
      </c>
      <c r="S294" s="8" t="n">
        <v>380.45</v>
      </c>
    </row>
    <row r="295" customFormat="false" ht="15" hidden="false" customHeight="false" outlineLevel="0" collapsed="false">
      <c r="A295" s="7" t="n">
        <v>45232</v>
      </c>
      <c r="B295" s="8" t="n">
        <v>19133.25</v>
      </c>
      <c r="C295" s="8" t="n">
        <v>16890.8</v>
      </c>
      <c r="D295" s="8" t="n">
        <v>1460.05</v>
      </c>
      <c r="E295" s="8" t="n">
        <v>768.9</v>
      </c>
      <c r="F295" s="8" t="n">
        <v>913.6</v>
      </c>
      <c r="G295" s="8" t="n">
        <v>448.7</v>
      </c>
      <c r="H295" s="8" t="n">
        <v>731.1</v>
      </c>
      <c r="I295" s="8" t="n">
        <v>400.55</v>
      </c>
      <c r="J295" s="8" t="n">
        <v>2272.45</v>
      </c>
      <c r="K295" s="8" t="n">
        <v>743.9</v>
      </c>
      <c r="L295" s="8" t="n">
        <v>1177.45</v>
      </c>
      <c r="M295" s="8" t="n">
        <v>1629.65</v>
      </c>
      <c r="N295" s="8" t="n">
        <v>591.03</v>
      </c>
      <c r="O295" s="8" t="n">
        <v>250.95</v>
      </c>
      <c r="P295" s="8" t="n">
        <v>1312.85</v>
      </c>
      <c r="Q295" s="8" t="n">
        <v>349.65</v>
      </c>
      <c r="R295" s="8" t="n">
        <v>744.05</v>
      </c>
      <c r="S295" s="8" t="n">
        <v>390.97</v>
      </c>
    </row>
    <row r="296" customFormat="false" ht="15" hidden="false" customHeight="false" outlineLevel="0" collapsed="false">
      <c r="A296" s="7" t="n">
        <v>45233</v>
      </c>
      <c r="B296" s="8" t="n">
        <v>19230.6</v>
      </c>
      <c r="C296" s="8" t="n">
        <v>17000.95</v>
      </c>
      <c r="D296" s="8" t="n">
        <v>1457.95</v>
      </c>
      <c r="E296" s="8" t="n">
        <v>772.05</v>
      </c>
      <c r="F296" s="8" t="n">
        <v>915.35</v>
      </c>
      <c r="G296" s="8" t="n">
        <v>462.4</v>
      </c>
      <c r="H296" s="8" t="n">
        <v>730.25</v>
      </c>
      <c r="I296" s="8" t="n">
        <v>409.6</v>
      </c>
      <c r="J296" s="8" t="n">
        <v>2198.9</v>
      </c>
      <c r="K296" s="8" t="n">
        <v>740.14</v>
      </c>
      <c r="L296" s="8" t="n">
        <v>1134.3</v>
      </c>
      <c r="M296" s="8" t="n">
        <v>1669.05</v>
      </c>
      <c r="N296" s="8" t="n">
        <v>600.06</v>
      </c>
      <c r="O296" s="8" t="n">
        <v>258.25</v>
      </c>
      <c r="P296" s="8" t="n">
        <v>1326.2</v>
      </c>
      <c r="Q296" s="8" t="n">
        <v>347.7</v>
      </c>
      <c r="R296" s="8" t="n">
        <v>747.2</v>
      </c>
      <c r="S296" s="8" t="n">
        <v>402.71</v>
      </c>
    </row>
    <row r="297" customFormat="false" ht="15" hidden="false" customHeight="false" outlineLevel="0" collapsed="false">
      <c r="A297" s="7" t="n">
        <v>45236</v>
      </c>
      <c r="B297" s="8" t="n">
        <v>19411.75</v>
      </c>
      <c r="C297" s="8" t="n">
        <v>17159.4</v>
      </c>
      <c r="D297" s="8" t="n">
        <v>1469.5</v>
      </c>
      <c r="E297" s="8" t="n">
        <v>776.6</v>
      </c>
      <c r="F297" s="8" t="n">
        <v>904</v>
      </c>
      <c r="G297" s="8" t="n">
        <v>464.85</v>
      </c>
      <c r="H297" s="8" t="n">
        <v>746.8</v>
      </c>
      <c r="I297" s="8" t="n">
        <v>415.95</v>
      </c>
      <c r="J297" s="8" t="n">
        <v>2174.35</v>
      </c>
      <c r="K297" s="8" t="n">
        <v>755.18</v>
      </c>
      <c r="L297" s="8" t="n">
        <v>1152.35</v>
      </c>
      <c r="M297" s="8" t="n">
        <v>1694.5</v>
      </c>
      <c r="N297" s="8" t="n">
        <v>595.59</v>
      </c>
      <c r="O297" s="8" t="n">
        <v>262.7</v>
      </c>
      <c r="P297" s="8" t="n">
        <v>1331.9</v>
      </c>
      <c r="Q297" s="8" t="n">
        <v>349.55</v>
      </c>
      <c r="R297" s="8" t="n">
        <v>753.9</v>
      </c>
      <c r="S297" s="8" t="n">
        <v>398.3</v>
      </c>
    </row>
    <row r="298" customFormat="false" ht="15" hidden="false" customHeight="false" outlineLevel="0" collapsed="false">
      <c r="A298" s="7" t="n">
        <v>45237</v>
      </c>
      <c r="B298" s="8" t="n">
        <v>19406.7</v>
      </c>
      <c r="C298" s="8" t="n">
        <v>17187.8</v>
      </c>
      <c r="D298" s="8" t="n">
        <v>1460.7</v>
      </c>
      <c r="E298" s="8" t="n">
        <v>756.5</v>
      </c>
      <c r="F298" s="8" t="n">
        <v>906.45</v>
      </c>
      <c r="G298" s="8" t="n">
        <v>461</v>
      </c>
      <c r="H298" s="8" t="n">
        <v>734.8</v>
      </c>
      <c r="I298" s="8" t="n">
        <v>453.35</v>
      </c>
      <c r="J298" s="8" t="n">
        <v>2163</v>
      </c>
      <c r="K298" s="8" t="n">
        <v>748.54</v>
      </c>
      <c r="L298" s="8" t="n">
        <v>1142.4</v>
      </c>
      <c r="M298" s="8" t="n">
        <v>1688.3</v>
      </c>
      <c r="N298" s="8" t="n">
        <v>597.68</v>
      </c>
      <c r="O298" s="8" t="n">
        <v>263.95</v>
      </c>
      <c r="P298" s="8" t="n">
        <v>1336.35</v>
      </c>
      <c r="Q298" s="8" t="n">
        <v>362.85</v>
      </c>
      <c r="R298" s="8" t="n">
        <v>753.25</v>
      </c>
      <c r="S298" s="8" t="n">
        <v>397.44</v>
      </c>
    </row>
    <row r="299" customFormat="false" ht="15" hidden="false" customHeight="false" outlineLevel="0" collapsed="false">
      <c r="A299" s="7" t="n">
        <v>45238</v>
      </c>
      <c r="B299" s="8" t="n">
        <v>19443.5</v>
      </c>
      <c r="C299" s="8" t="n">
        <v>17259.7</v>
      </c>
      <c r="D299" s="8" t="n">
        <v>1442.95</v>
      </c>
      <c r="E299" s="8" t="n">
        <v>761.4</v>
      </c>
      <c r="F299" s="8" t="n">
        <v>915.5</v>
      </c>
      <c r="G299" s="8" t="n">
        <v>453.85</v>
      </c>
      <c r="H299" s="8" t="n">
        <v>735.8</v>
      </c>
      <c r="I299" s="8" t="n">
        <v>437.05</v>
      </c>
      <c r="J299" s="8" t="n">
        <v>2156.25</v>
      </c>
      <c r="K299" s="8" t="n">
        <v>744.98</v>
      </c>
      <c r="L299" s="8" t="n">
        <v>1143.15</v>
      </c>
      <c r="M299" s="8" t="n">
        <v>1663.8</v>
      </c>
      <c r="N299" s="8" t="n">
        <v>593.21</v>
      </c>
      <c r="O299" s="8" t="n">
        <v>267.05</v>
      </c>
      <c r="P299" s="8" t="n">
        <v>1323.05</v>
      </c>
      <c r="Q299" s="8" t="n">
        <v>388.95</v>
      </c>
      <c r="R299" s="8" t="n">
        <v>748.45</v>
      </c>
      <c r="S299" s="8" t="n">
        <v>395.93</v>
      </c>
    </row>
    <row r="300" customFormat="false" ht="15" hidden="false" customHeight="false" outlineLevel="0" collapsed="false">
      <c r="A300" s="7" t="n">
        <v>45239</v>
      </c>
      <c r="B300" s="8" t="n">
        <v>19395.3</v>
      </c>
      <c r="C300" s="8" t="n">
        <v>17218.9</v>
      </c>
      <c r="D300" s="8" t="n">
        <v>1460.05</v>
      </c>
      <c r="E300" s="8" t="n">
        <v>754.45</v>
      </c>
      <c r="F300" s="8" t="n">
        <v>922.15</v>
      </c>
      <c r="G300" s="8" t="n">
        <v>449.55</v>
      </c>
      <c r="H300" s="8" t="n">
        <v>745.25</v>
      </c>
      <c r="I300" s="8" t="n">
        <v>442.05</v>
      </c>
      <c r="J300" s="8" t="n">
        <v>2138.6</v>
      </c>
      <c r="K300" s="8" t="n">
        <v>737.67</v>
      </c>
      <c r="L300" s="8" t="n">
        <v>1152.05</v>
      </c>
      <c r="M300" s="8" t="n">
        <v>1686.75</v>
      </c>
      <c r="N300" s="8" t="n">
        <v>600.25</v>
      </c>
      <c r="O300" s="8" t="n">
        <v>271.9</v>
      </c>
      <c r="P300" s="8" t="n">
        <v>1313.25</v>
      </c>
      <c r="Q300" s="8" t="n">
        <v>385.5</v>
      </c>
      <c r="R300" s="8" t="n">
        <v>750.25</v>
      </c>
      <c r="S300" s="8" t="n">
        <v>388.68</v>
      </c>
    </row>
    <row r="301" customFormat="false" ht="15" hidden="false" customHeight="false" outlineLevel="0" collapsed="false">
      <c r="A301" s="7" t="n">
        <v>45240</v>
      </c>
      <c r="B301" s="8" t="n">
        <v>19425.35</v>
      </c>
      <c r="C301" s="8" t="n">
        <v>17256.6</v>
      </c>
      <c r="D301" s="8" t="n">
        <v>1468.95</v>
      </c>
      <c r="E301" s="8" t="n">
        <v>748.35</v>
      </c>
      <c r="F301" s="8" t="n">
        <v>930.85</v>
      </c>
      <c r="G301" s="8" t="n">
        <v>451.95</v>
      </c>
      <c r="H301" s="8" t="n">
        <v>743.6</v>
      </c>
      <c r="I301" s="8" t="n">
        <v>433.8</v>
      </c>
      <c r="J301" s="8" t="n">
        <v>2136.65</v>
      </c>
      <c r="K301" s="8" t="n">
        <v>743.47</v>
      </c>
      <c r="L301" s="8" t="n">
        <v>1148.25</v>
      </c>
      <c r="M301" s="8" t="n">
        <v>1699.7</v>
      </c>
      <c r="N301" s="8" t="n">
        <v>599.86</v>
      </c>
      <c r="O301" s="8" t="n">
        <v>271.55</v>
      </c>
      <c r="P301" s="8" t="n">
        <v>1273.25</v>
      </c>
      <c r="Q301" s="8" t="n">
        <v>390.1</v>
      </c>
      <c r="R301" s="8" t="n">
        <v>753.45</v>
      </c>
      <c r="S301" s="8" t="n">
        <v>390.44</v>
      </c>
    </row>
    <row r="302" customFormat="false" ht="15" hidden="false" customHeight="false" outlineLevel="0" collapsed="false">
      <c r="A302" s="7" t="n">
        <v>45242</v>
      </c>
      <c r="B302" s="8" t="n">
        <v>19525.55</v>
      </c>
      <c r="C302" s="8" t="n">
        <v>17361.1</v>
      </c>
      <c r="D302" s="8" t="n">
        <v>1509</v>
      </c>
      <c r="E302" s="8" t="n">
        <v>756.5</v>
      </c>
      <c r="F302" s="8" t="n">
        <v>951.45</v>
      </c>
      <c r="G302" s="8" t="n">
        <v>453</v>
      </c>
      <c r="H302" s="8" t="n">
        <v>747.85</v>
      </c>
      <c r="I302" s="8" t="n">
        <v>440</v>
      </c>
      <c r="J302" s="8" t="n">
        <v>2152.2</v>
      </c>
      <c r="K302" s="8" t="n">
        <v>744.68</v>
      </c>
      <c r="L302" s="8" t="n">
        <v>1150.5</v>
      </c>
      <c r="M302" s="8" t="n">
        <v>1707.7</v>
      </c>
      <c r="N302" s="8" t="n">
        <v>606.95</v>
      </c>
      <c r="O302" s="8" t="n">
        <v>271.25</v>
      </c>
      <c r="P302" s="8" t="n">
        <v>1284.65</v>
      </c>
      <c r="Q302" s="8" t="n">
        <v>395.2</v>
      </c>
      <c r="R302" s="8" t="n">
        <v>759.95</v>
      </c>
      <c r="S302" s="8" t="n">
        <v>392.65</v>
      </c>
    </row>
    <row r="303" customFormat="false" ht="15" hidden="false" customHeight="false" outlineLevel="0" collapsed="false">
      <c r="A303" s="7" t="n">
        <v>45243</v>
      </c>
      <c r="B303" s="8" t="n">
        <v>19443.55</v>
      </c>
      <c r="C303" s="8" t="n">
        <v>17318.6</v>
      </c>
      <c r="D303" s="8" t="n">
        <v>1520.2</v>
      </c>
      <c r="E303" s="8" t="n">
        <v>748.7</v>
      </c>
      <c r="F303" s="8" t="n">
        <v>949.45</v>
      </c>
      <c r="G303" s="8" t="n">
        <v>450.75</v>
      </c>
      <c r="H303" s="8" t="n">
        <v>775.35</v>
      </c>
      <c r="I303" s="8" t="n">
        <v>440.05</v>
      </c>
      <c r="J303" s="8" t="n">
        <v>2136.2</v>
      </c>
      <c r="K303" s="8" t="n">
        <v>735.08</v>
      </c>
      <c r="L303" s="8" t="n">
        <v>1148.9</v>
      </c>
      <c r="M303" s="8" t="n">
        <v>1723.95</v>
      </c>
      <c r="N303" s="8" t="n">
        <v>605.59</v>
      </c>
      <c r="O303" s="8" t="n">
        <v>272.1</v>
      </c>
      <c r="P303" s="8" t="n">
        <v>1290.4</v>
      </c>
      <c r="Q303" s="8" t="n">
        <v>393.7</v>
      </c>
      <c r="R303" s="8" t="n">
        <v>752.95</v>
      </c>
      <c r="S303" s="8" t="n">
        <v>393.56</v>
      </c>
    </row>
    <row r="304" customFormat="false" ht="15" hidden="false" customHeight="false" outlineLevel="0" collapsed="false">
      <c r="A304" s="7" t="n">
        <v>45245</v>
      </c>
      <c r="B304" s="8" t="n">
        <v>19675.45</v>
      </c>
      <c r="C304" s="8" t="n">
        <v>17508.05</v>
      </c>
      <c r="D304" s="8" t="n">
        <v>1489.85</v>
      </c>
      <c r="E304" s="8" t="n">
        <v>752.3</v>
      </c>
      <c r="F304" s="8" t="n">
        <v>965.8</v>
      </c>
      <c r="G304" s="8" t="n">
        <v>466.15</v>
      </c>
      <c r="H304" s="8" t="n">
        <v>790.7</v>
      </c>
      <c r="I304" s="8" t="n">
        <v>442.15</v>
      </c>
      <c r="J304" s="8" t="n">
        <v>2143.75</v>
      </c>
      <c r="K304" s="8" t="n">
        <v>721.45</v>
      </c>
      <c r="L304" s="8" t="n">
        <v>1166.75</v>
      </c>
      <c r="M304" s="8" t="n">
        <v>1674.6</v>
      </c>
      <c r="N304" s="8" t="n">
        <v>614.34</v>
      </c>
      <c r="O304" s="8" t="n">
        <v>276.4</v>
      </c>
      <c r="P304" s="8" t="n">
        <v>1305.1</v>
      </c>
      <c r="Q304" s="8" t="n">
        <v>392.7</v>
      </c>
      <c r="R304" s="8" t="n">
        <v>766.6</v>
      </c>
      <c r="S304" s="8" t="n">
        <v>407.15</v>
      </c>
    </row>
    <row r="305" customFormat="false" ht="15" hidden="false" customHeight="false" outlineLevel="0" collapsed="false">
      <c r="A305" s="7" t="n">
        <v>45246</v>
      </c>
      <c r="B305" s="8" t="n">
        <v>19765.2</v>
      </c>
      <c r="C305" s="8" t="n">
        <v>17593.1</v>
      </c>
      <c r="D305" s="8" t="n">
        <v>1488.95</v>
      </c>
      <c r="E305" s="8" t="n">
        <v>749.5</v>
      </c>
      <c r="F305" s="8" t="n">
        <v>952.4</v>
      </c>
      <c r="G305" s="8" t="n">
        <v>462.25</v>
      </c>
      <c r="H305" s="8" t="n">
        <v>776.1</v>
      </c>
      <c r="I305" s="8" t="n">
        <v>438.9</v>
      </c>
      <c r="J305" s="8" t="n">
        <v>2112.9</v>
      </c>
      <c r="K305" s="8" t="n">
        <v>735.24</v>
      </c>
      <c r="L305" s="8" t="n">
        <v>1165.3</v>
      </c>
      <c r="M305" s="8" t="n">
        <v>1673.1</v>
      </c>
      <c r="N305" s="8" t="n">
        <v>623.91</v>
      </c>
      <c r="O305" s="8" t="n">
        <v>275.45</v>
      </c>
      <c r="P305" s="8" t="n">
        <v>1325.85</v>
      </c>
      <c r="Q305" s="8" t="n">
        <v>383.55</v>
      </c>
      <c r="R305" s="8" t="n">
        <v>772.55</v>
      </c>
      <c r="S305" s="8" t="n">
        <v>407.15</v>
      </c>
    </row>
    <row r="306" customFormat="false" ht="15" hidden="false" customHeight="false" outlineLevel="0" collapsed="false">
      <c r="A306" s="7" t="n">
        <v>45247</v>
      </c>
      <c r="B306" s="8" t="n">
        <v>19731.8</v>
      </c>
      <c r="C306" s="8" t="n">
        <v>17600.5</v>
      </c>
      <c r="D306" s="8" t="n">
        <v>1444.4</v>
      </c>
      <c r="E306" s="8" t="n">
        <v>766.5</v>
      </c>
      <c r="F306" s="8" t="n">
        <v>935.85</v>
      </c>
      <c r="G306" s="8" t="n">
        <v>465.85</v>
      </c>
      <c r="H306" s="8" t="n">
        <v>808.55</v>
      </c>
      <c r="I306" s="8" t="n">
        <v>426.7</v>
      </c>
      <c r="J306" s="8" t="n">
        <v>2027.3</v>
      </c>
      <c r="K306" s="8" t="n">
        <v>721.12</v>
      </c>
      <c r="L306" s="8" t="n">
        <v>1126.4</v>
      </c>
      <c r="M306" s="8" t="n">
        <v>1604.9</v>
      </c>
      <c r="N306" s="8" t="n">
        <v>603.02</v>
      </c>
      <c r="O306" s="8" t="n">
        <v>273.8</v>
      </c>
      <c r="P306" s="8" t="n">
        <v>1339.35</v>
      </c>
      <c r="Q306" s="8" t="n">
        <v>371.15</v>
      </c>
      <c r="R306" s="8" t="n">
        <v>732.85</v>
      </c>
      <c r="S306" s="8" t="n">
        <v>398.96</v>
      </c>
    </row>
    <row r="307" customFormat="false" ht="15" hidden="false" customHeight="false" outlineLevel="0" collapsed="false">
      <c r="A307" s="7" t="n">
        <v>45250</v>
      </c>
      <c r="B307" s="8" t="n">
        <v>19694</v>
      </c>
      <c r="C307" s="8" t="n">
        <v>17573.65</v>
      </c>
      <c r="D307" s="8" t="n">
        <v>1503.35</v>
      </c>
      <c r="E307" s="8" t="n">
        <v>773.35</v>
      </c>
      <c r="F307" s="8" t="n">
        <v>943</v>
      </c>
      <c r="G307" s="8" t="n">
        <v>464.6</v>
      </c>
      <c r="H307" s="8" t="n">
        <v>819.95</v>
      </c>
      <c r="I307" s="8" t="n">
        <v>419.75</v>
      </c>
      <c r="J307" s="8" t="n">
        <v>2186.8</v>
      </c>
      <c r="K307" s="8" t="n">
        <v>705.9</v>
      </c>
      <c r="L307" s="8" t="n">
        <v>1126.65</v>
      </c>
      <c r="M307" s="8" t="n">
        <v>1630.35</v>
      </c>
      <c r="N307" s="8" t="n">
        <v>590.54</v>
      </c>
      <c r="O307" s="8" t="n">
        <v>275.45</v>
      </c>
      <c r="P307" s="8" t="n">
        <v>1326.85</v>
      </c>
      <c r="Q307" s="8" t="n">
        <v>362.95</v>
      </c>
      <c r="R307" s="8" t="n">
        <v>742.9</v>
      </c>
      <c r="S307" s="8" t="n">
        <v>397.79</v>
      </c>
    </row>
    <row r="308" customFormat="false" ht="15" hidden="false" customHeight="false" outlineLevel="0" collapsed="false">
      <c r="A308" s="7" t="n">
        <v>45251</v>
      </c>
      <c r="B308" s="8" t="n">
        <v>19783.4</v>
      </c>
      <c r="C308" s="8" t="n">
        <v>17627.6</v>
      </c>
      <c r="D308" s="8" t="n">
        <v>1525.95</v>
      </c>
      <c r="E308" s="8" t="n">
        <v>779.7</v>
      </c>
      <c r="F308" s="8" t="n">
        <v>939.9</v>
      </c>
      <c r="G308" s="8" t="n">
        <v>462.05</v>
      </c>
      <c r="H308" s="8" t="n">
        <v>809.35</v>
      </c>
      <c r="I308" s="8" t="n">
        <v>407.75</v>
      </c>
      <c r="J308" s="8" t="n">
        <v>2161.7</v>
      </c>
      <c r="K308" s="8" t="n">
        <v>709.35</v>
      </c>
      <c r="L308" s="8" t="n">
        <v>1103.85</v>
      </c>
      <c r="M308" s="8" t="n">
        <v>1732.85</v>
      </c>
      <c r="N308" s="8" t="n">
        <v>580.73</v>
      </c>
      <c r="O308" s="8" t="n">
        <v>275.15</v>
      </c>
      <c r="P308" s="8" t="n">
        <v>1329.35</v>
      </c>
      <c r="Q308" s="8" t="n">
        <v>360.4</v>
      </c>
      <c r="R308" s="8" t="n">
        <v>734.75</v>
      </c>
      <c r="S308" s="8" t="n">
        <v>399.97</v>
      </c>
    </row>
    <row r="309" customFormat="false" ht="15" hidden="false" customHeight="false" outlineLevel="0" collapsed="false">
      <c r="A309" s="7" t="n">
        <v>45252</v>
      </c>
      <c r="B309" s="8" t="n">
        <v>19811.85</v>
      </c>
      <c r="C309" s="8" t="n">
        <v>17627.7</v>
      </c>
      <c r="D309" s="8" t="n">
        <v>1483.65</v>
      </c>
      <c r="E309" s="8" t="n">
        <v>766.4</v>
      </c>
      <c r="F309" s="8" t="n">
        <v>914.5</v>
      </c>
      <c r="G309" s="8" t="n">
        <v>456.5</v>
      </c>
      <c r="H309" s="8" t="n">
        <v>809</v>
      </c>
      <c r="I309" s="8" t="n">
        <v>394.9</v>
      </c>
      <c r="J309" s="8" t="n">
        <v>2201.25</v>
      </c>
      <c r="K309" s="8" t="n">
        <v>711.87</v>
      </c>
      <c r="L309" s="8" t="n">
        <v>1120.95</v>
      </c>
      <c r="M309" s="8" t="n">
        <v>1689.25</v>
      </c>
      <c r="N309" s="8" t="n">
        <v>563.68</v>
      </c>
      <c r="O309" s="8" t="n">
        <v>274.55</v>
      </c>
      <c r="P309" s="8" t="n">
        <v>1335.75</v>
      </c>
      <c r="Q309" s="8" t="n">
        <v>361.9</v>
      </c>
      <c r="R309" s="8" t="n">
        <v>731.7</v>
      </c>
      <c r="S309" s="8" t="n">
        <v>395.42</v>
      </c>
    </row>
    <row r="310" customFormat="false" ht="15" hidden="false" customHeight="false" outlineLevel="0" collapsed="false">
      <c r="A310" s="7" t="n">
        <v>45253</v>
      </c>
      <c r="B310" s="8" t="n">
        <v>19802</v>
      </c>
      <c r="C310" s="8" t="n">
        <v>17639.4</v>
      </c>
      <c r="D310" s="8" t="n">
        <v>1488.15</v>
      </c>
      <c r="E310" s="8" t="n">
        <v>764.4</v>
      </c>
      <c r="F310" s="8" t="n">
        <v>877.2</v>
      </c>
      <c r="G310" s="8" t="n">
        <v>454.95</v>
      </c>
      <c r="H310" s="8" t="n">
        <v>798.75</v>
      </c>
      <c r="I310" s="8" t="n">
        <v>386.05</v>
      </c>
      <c r="J310" s="8" t="n">
        <v>2200.65</v>
      </c>
      <c r="K310" s="8" t="n">
        <v>706.4</v>
      </c>
      <c r="L310" s="8" t="n">
        <v>1115</v>
      </c>
      <c r="M310" s="8" t="n">
        <v>1650.6</v>
      </c>
      <c r="N310" s="8" t="n">
        <v>586.02</v>
      </c>
      <c r="O310" s="8" t="n">
        <v>272.15</v>
      </c>
      <c r="P310" s="8" t="n">
        <v>1331.8</v>
      </c>
      <c r="Q310" s="8" t="n">
        <v>365.05</v>
      </c>
      <c r="R310" s="8" t="n">
        <v>738.95</v>
      </c>
      <c r="S310" s="8" t="n">
        <v>394.97</v>
      </c>
    </row>
    <row r="311" customFormat="false" ht="15" hidden="false" customHeight="false" outlineLevel="0" collapsed="false">
      <c r="A311" s="7" t="n">
        <v>45254</v>
      </c>
      <c r="B311" s="8" t="n">
        <v>19794.7</v>
      </c>
      <c r="C311" s="8" t="n">
        <v>17643.5</v>
      </c>
      <c r="D311" s="8" t="n">
        <v>1485.55</v>
      </c>
      <c r="E311" s="8" t="n">
        <v>753.65</v>
      </c>
      <c r="F311" s="8" t="n">
        <v>886.25</v>
      </c>
      <c r="G311" s="8" t="n">
        <v>454.65</v>
      </c>
      <c r="H311" s="8" t="n">
        <v>783.2</v>
      </c>
      <c r="I311" s="8" t="n">
        <v>388.5</v>
      </c>
      <c r="J311" s="8" t="n">
        <v>2181</v>
      </c>
      <c r="K311" s="8" t="n">
        <v>701.13</v>
      </c>
      <c r="L311" s="8" t="n">
        <v>1094.5</v>
      </c>
      <c r="M311" s="8" t="n">
        <v>1682.4</v>
      </c>
      <c r="N311" s="8" t="n">
        <v>586.46</v>
      </c>
      <c r="O311" s="8" t="n">
        <v>263.9</v>
      </c>
      <c r="P311" s="8" t="n">
        <v>1324.95</v>
      </c>
      <c r="Q311" s="8" t="n">
        <v>357.95</v>
      </c>
      <c r="R311" s="8" t="n">
        <v>739.15</v>
      </c>
      <c r="S311" s="8" t="n">
        <v>389.5</v>
      </c>
    </row>
    <row r="312" customFormat="false" ht="15" hidden="false" customHeight="false" outlineLevel="0" collapsed="false">
      <c r="A312" s="7" t="n">
        <v>45258</v>
      </c>
      <c r="B312" s="8" t="n">
        <v>19889.7</v>
      </c>
      <c r="C312" s="8" t="n">
        <v>17741.8</v>
      </c>
      <c r="D312" s="8" t="n">
        <v>1446.3</v>
      </c>
      <c r="E312" s="8" t="n">
        <v>755.9</v>
      </c>
      <c r="F312" s="8" t="n">
        <v>860.25</v>
      </c>
      <c r="G312" s="8" t="n">
        <v>457.7</v>
      </c>
      <c r="H312" s="8" t="n">
        <v>781.3</v>
      </c>
      <c r="I312" s="8" t="n">
        <v>391.9</v>
      </c>
      <c r="J312" s="8" t="n">
        <v>2152.75</v>
      </c>
      <c r="K312" s="8" t="n">
        <v>711.79</v>
      </c>
      <c r="L312" s="8" t="n">
        <v>1106.25</v>
      </c>
      <c r="M312" s="8" t="n">
        <v>1685.6</v>
      </c>
      <c r="N312" s="8" t="n">
        <v>579.17</v>
      </c>
      <c r="O312" s="8" t="n">
        <v>270.45</v>
      </c>
      <c r="P312" s="8" t="n">
        <v>1342.75</v>
      </c>
      <c r="Q312" s="8" t="n">
        <v>363.9</v>
      </c>
      <c r="R312" s="8" t="n">
        <v>733.75</v>
      </c>
      <c r="S312" s="8" t="n">
        <v>393.14</v>
      </c>
    </row>
    <row r="313" customFormat="false" ht="15" hidden="false" customHeight="false" outlineLevel="0" collapsed="false">
      <c r="A313" s="7" t="n">
        <v>45259</v>
      </c>
      <c r="B313" s="8" t="n">
        <v>20096.6</v>
      </c>
      <c r="C313" s="8" t="n">
        <v>17904.1</v>
      </c>
      <c r="D313" s="8" t="n">
        <v>1439.95</v>
      </c>
      <c r="E313" s="8" t="n">
        <v>769.35</v>
      </c>
      <c r="F313" s="8" t="n">
        <v>863.8</v>
      </c>
      <c r="G313" s="8" t="n">
        <v>478.7</v>
      </c>
      <c r="H313" s="8" t="n">
        <v>799</v>
      </c>
      <c r="I313" s="8" t="n">
        <v>396.25</v>
      </c>
      <c r="J313" s="8" t="n">
        <v>2142.1</v>
      </c>
      <c r="K313" s="8" t="n">
        <v>712.04</v>
      </c>
      <c r="L313" s="8" t="n">
        <v>1110.45</v>
      </c>
      <c r="M313" s="8" t="n">
        <v>1691.8</v>
      </c>
      <c r="N313" s="8" t="n">
        <v>582.57</v>
      </c>
      <c r="O313" s="8" t="n">
        <v>274.6</v>
      </c>
      <c r="P313" s="8" t="n">
        <v>1415.85</v>
      </c>
      <c r="Q313" s="8" t="n">
        <v>384.65</v>
      </c>
      <c r="R313" s="8" t="n">
        <v>737.2</v>
      </c>
      <c r="S313" s="8" t="n">
        <v>394.87</v>
      </c>
    </row>
    <row r="314" customFormat="false" ht="15" hidden="false" customHeight="false" outlineLevel="0" collapsed="false">
      <c r="A314" s="7" t="n">
        <v>45260</v>
      </c>
      <c r="B314" s="8" t="n">
        <v>20133.15</v>
      </c>
      <c r="C314" s="8" t="n">
        <v>17987.95</v>
      </c>
      <c r="D314" s="8" t="n">
        <v>1439.6</v>
      </c>
      <c r="E314" s="8" t="n">
        <v>781.1</v>
      </c>
      <c r="F314" s="8" t="n">
        <v>898.45</v>
      </c>
      <c r="G314" s="8" t="n">
        <v>491.15</v>
      </c>
      <c r="H314" s="8" t="n">
        <v>773.6</v>
      </c>
      <c r="I314" s="8" t="n">
        <v>395.1</v>
      </c>
      <c r="J314" s="8" t="n">
        <v>2134.25</v>
      </c>
      <c r="K314" s="8" t="n">
        <v>711.22</v>
      </c>
      <c r="L314" s="8" t="n">
        <v>1117.45</v>
      </c>
      <c r="M314" s="8" t="n">
        <v>1697.45</v>
      </c>
      <c r="N314" s="8" t="n">
        <v>591.07</v>
      </c>
      <c r="O314" s="8" t="n">
        <v>274.3</v>
      </c>
      <c r="P314" s="8" t="n">
        <v>1481.9</v>
      </c>
      <c r="Q314" s="8" t="n">
        <v>409.3</v>
      </c>
      <c r="R314" s="8" t="n">
        <v>739.15</v>
      </c>
      <c r="S314" s="8" t="n">
        <v>401.44</v>
      </c>
    </row>
    <row r="315" customFormat="false" ht="15" hidden="false" customHeight="false" outlineLevel="0" collapsed="false">
      <c r="A315" s="7" t="n">
        <v>45261</v>
      </c>
      <c r="B315" s="8" t="n">
        <v>20267.9</v>
      </c>
      <c r="C315" s="8" t="n">
        <v>18115.35</v>
      </c>
      <c r="D315" s="8" t="n">
        <v>1425.75</v>
      </c>
      <c r="E315" s="8" t="n">
        <v>813.55</v>
      </c>
      <c r="F315" s="8" t="n">
        <v>919.65</v>
      </c>
      <c r="G315" s="8" t="n">
        <v>492.7</v>
      </c>
      <c r="H315" s="8" t="n">
        <v>779.15</v>
      </c>
      <c r="I315" s="8" t="n">
        <v>402.95</v>
      </c>
      <c r="J315" s="8" t="n">
        <v>2143.45</v>
      </c>
      <c r="K315" s="8" t="n">
        <v>724.95</v>
      </c>
      <c r="L315" s="8" t="n">
        <v>1128.2</v>
      </c>
      <c r="M315" s="8" t="n">
        <v>1698.1</v>
      </c>
      <c r="N315" s="8" t="n">
        <v>594.86</v>
      </c>
      <c r="O315" s="8" t="n">
        <v>273.65</v>
      </c>
      <c r="P315" s="8" t="n">
        <v>1450.75</v>
      </c>
      <c r="Q315" s="8" t="n">
        <v>409.85</v>
      </c>
      <c r="R315" s="8" t="n">
        <v>739.95</v>
      </c>
      <c r="S315" s="8" t="n">
        <v>400.65</v>
      </c>
    </row>
    <row r="316" customFormat="false" ht="15" hidden="false" customHeight="false" outlineLevel="0" collapsed="false">
      <c r="A316" s="7" t="n">
        <v>45264</v>
      </c>
      <c r="B316" s="8" t="n">
        <v>20686.8</v>
      </c>
      <c r="C316" s="8" t="n">
        <v>18448.5</v>
      </c>
      <c r="D316" s="8" t="n">
        <v>1440</v>
      </c>
      <c r="E316" s="8" t="n">
        <v>825.15</v>
      </c>
      <c r="F316" s="8" t="n">
        <v>945.95</v>
      </c>
      <c r="G316" s="8" t="n">
        <v>507.55</v>
      </c>
      <c r="H316" s="8" t="n">
        <v>797.1</v>
      </c>
      <c r="I316" s="8" t="n">
        <v>407.75</v>
      </c>
      <c r="J316" s="8" t="n">
        <v>2151.9</v>
      </c>
      <c r="K316" s="8" t="n">
        <v>739.76</v>
      </c>
      <c r="L316" s="8" t="n">
        <v>1148.75</v>
      </c>
      <c r="M316" s="8" t="n">
        <v>1707.6</v>
      </c>
      <c r="N316" s="8" t="n">
        <v>614.34</v>
      </c>
      <c r="O316" s="8" t="n">
        <v>277.7</v>
      </c>
      <c r="P316" s="8" t="n">
        <v>1464.85</v>
      </c>
      <c r="Q316" s="8" t="n">
        <v>419.35</v>
      </c>
      <c r="R316" s="8" t="n">
        <v>751.7</v>
      </c>
      <c r="S316" s="8" t="n">
        <v>418.89</v>
      </c>
    </row>
    <row r="317" customFormat="false" ht="15" hidden="false" customHeight="false" outlineLevel="0" collapsed="false">
      <c r="A317" s="7" t="n">
        <v>45265</v>
      </c>
      <c r="B317" s="8" t="n">
        <v>20855.1</v>
      </c>
      <c r="C317" s="8" t="n">
        <v>18588.55</v>
      </c>
      <c r="D317" s="8" t="n">
        <v>1490.95</v>
      </c>
      <c r="E317" s="8" t="n">
        <v>836.85</v>
      </c>
      <c r="F317" s="8" t="n">
        <v>960.6</v>
      </c>
      <c r="G317" s="8" t="n">
        <v>498.5</v>
      </c>
      <c r="H317" s="8" t="n">
        <v>795.9</v>
      </c>
      <c r="I317" s="8" t="n">
        <v>400.15</v>
      </c>
      <c r="J317" s="8" t="n">
        <v>2165.95</v>
      </c>
      <c r="K317" s="8" t="n">
        <v>733.98</v>
      </c>
      <c r="L317" s="8" t="n">
        <v>1139.6</v>
      </c>
      <c r="M317" s="8" t="n">
        <v>1747.85</v>
      </c>
      <c r="N317" s="8" t="n">
        <v>607.78</v>
      </c>
      <c r="O317" s="8" t="n">
        <v>270.1</v>
      </c>
      <c r="P317" s="8" t="n">
        <v>1434.1</v>
      </c>
      <c r="Q317" s="8" t="n">
        <v>411.7</v>
      </c>
      <c r="R317" s="8" t="n">
        <v>748.1</v>
      </c>
      <c r="S317" s="8" t="n">
        <v>413.99</v>
      </c>
    </row>
    <row r="318" customFormat="false" ht="15" hidden="false" customHeight="false" outlineLevel="0" collapsed="false">
      <c r="A318" s="7" t="n">
        <v>45266</v>
      </c>
      <c r="B318" s="8" t="n">
        <v>20937.7</v>
      </c>
      <c r="C318" s="8" t="n">
        <v>18680</v>
      </c>
      <c r="D318" s="8" t="n">
        <v>1503.1</v>
      </c>
      <c r="E318" s="8" t="n">
        <v>788.75</v>
      </c>
      <c r="F318" s="8" t="n">
        <v>951.2</v>
      </c>
      <c r="G318" s="8" t="n">
        <v>505.15</v>
      </c>
      <c r="H318" s="8" t="n">
        <v>784.5</v>
      </c>
      <c r="I318" s="8" t="n">
        <v>400.2</v>
      </c>
      <c r="J318" s="8" t="n">
        <v>2256.4</v>
      </c>
      <c r="K318" s="8" t="n">
        <v>741.7</v>
      </c>
      <c r="L318" s="8" t="n">
        <v>1154.2</v>
      </c>
      <c r="M318" s="8" t="n">
        <v>1730.6</v>
      </c>
      <c r="N318" s="8" t="n">
        <v>618.08</v>
      </c>
      <c r="O318" s="8" t="n">
        <v>272.6</v>
      </c>
      <c r="P318" s="8" t="n">
        <v>1432.2</v>
      </c>
      <c r="Q318" s="8" t="n">
        <v>410.8</v>
      </c>
      <c r="R318" s="8" t="n">
        <v>748.1</v>
      </c>
      <c r="S318" s="8" t="n">
        <v>411.14</v>
      </c>
    </row>
    <row r="319" customFormat="false" ht="15" hidden="false" customHeight="false" outlineLevel="0" collapsed="false">
      <c r="A319" s="7" t="n">
        <v>45267</v>
      </c>
      <c r="B319" s="8" t="n">
        <v>20901.15</v>
      </c>
      <c r="C319" s="8" t="n">
        <v>18703.85</v>
      </c>
      <c r="D319" s="8" t="n">
        <v>1503.2</v>
      </c>
      <c r="E319" s="8" t="n">
        <v>797</v>
      </c>
      <c r="F319" s="8" t="n">
        <v>1025.55</v>
      </c>
      <c r="G319" s="8" t="n">
        <v>518.7</v>
      </c>
      <c r="H319" s="8" t="n">
        <v>792.15</v>
      </c>
      <c r="I319" s="8" t="n">
        <v>398.45</v>
      </c>
      <c r="J319" s="8" t="n">
        <v>2298.3</v>
      </c>
      <c r="K319" s="8" t="n">
        <v>738.12</v>
      </c>
      <c r="L319" s="8" t="n">
        <v>1137.25</v>
      </c>
      <c r="M319" s="8" t="n">
        <v>1714.75</v>
      </c>
      <c r="N319" s="8" t="n">
        <v>614.29</v>
      </c>
      <c r="O319" s="8" t="n">
        <v>274.15</v>
      </c>
      <c r="P319" s="8" t="n">
        <v>1450.55</v>
      </c>
      <c r="Q319" s="8" t="n">
        <v>421.35</v>
      </c>
      <c r="R319" s="8" t="n">
        <v>767.5</v>
      </c>
      <c r="S319" s="8" t="n">
        <v>406.96</v>
      </c>
    </row>
    <row r="320" customFormat="false" ht="15" hidden="false" customHeight="false" outlineLevel="0" collapsed="false">
      <c r="A320" s="7" t="n">
        <v>45268</v>
      </c>
      <c r="B320" s="8" t="n">
        <v>20969.4</v>
      </c>
      <c r="C320" s="8" t="n">
        <v>18703.5</v>
      </c>
      <c r="D320" s="8" t="n">
        <v>1490.95</v>
      </c>
      <c r="E320" s="8" t="n">
        <v>790.45</v>
      </c>
      <c r="F320" s="8" t="n">
        <v>1036.3</v>
      </c>
      <c r="G320" s="8" t="n">
        <v>532.3</v>
      </c>
      <c r="H320" s="8" t="n">
        <v>781.05</v>
      </c>
      <c r="I320" s="8" t="n">
        <v>402.6</v>
      </c>
      <c r="J320" s="8" t="n">
        <v>2266.35</v>
      </c>
      <c r="K320" s="8" t="n">
        <v>729.77</v>
      </c>
      <c r="L320" s="8" t="n">
        <v>1166.65</v>
      </c>
      <c r="M320" s="8" t="n">
        <v>1704.8</v>
      </c>
      <c r="N320" s="8" t="n">
        <v>613.51</v>
      </c>
      <c r="O320" s="8" t="n">
        <v>273.25</v>
      </c>
      <c r="P320" s="8" t="n">
        <v>1440.65</v>
      </c>
      <c r="Q320" s="8" t="n">
        <v>418.45</v>
      </c>
      <c r="R320" s="8" t="n">
        <v>759.95</v>
      </c>
      <c r="S320" s="8" t="n">
        <v>406.32</v>
      </c>
    </row>
    <row r="321" customFormat="false" ht="15" hidden="false" customHeight="false" outlineLevel="0" collapsed="false">
      <c r="A321" s="7" t="n">
        <v>45271</v>
      </c>
      <c r="B321" s="8" t="n">
        <v>20997.1</v>
      </c>
      <c r="C321" s="8" t="n">
        <v>18770.2</v>
      </c>
      <c r="D321" s="8" t="n">
        <v>1519.35</v>
      </c>
      <c r="E321" s="8" t="n">
        <v>755.65</v>
      </c>
      <c r="F321" s="8" t="n">
        <v>1019.95</v>
      </c>
      <c r="G321" s="8" t="n">
        <v>529.8</v>
      </c>
      <c r="H321" s="8" t="n">
        <v>786.55</v>
      </c>
      <c r="I321" s="8" t="n">
        <v>402.25</v>
      </c>
      <c r="J321" s="8" t="n">
        <v>2296.75</v>
      </c>
      <c r="K321" s="8" t="n">
        <v>728.28</v>
      </c>
      <c r="L321" s="8" t="n">
        <v>1175.2</v>
      </c>
      <c r="M321" s="8" t="n">
        <v>1739.4</v>
      </c>
      <c r="N321" s="8" t="n">
        <v>610.65</v>
      </c>
      <c r="O321" s="8" t="n">
        <v>270.75</v>
      </c>
      <c r="P321" s="8" t="n">
        <v>1445</v>
      </c>
      <c r="Q321" s="8" t="n">
        <v>425.1</v>
      </c>
      <c r="R321" s="8" t="n">
        <v>755.8</v>
      </c>
      <c r="S321" s="8" t="n">
        <v>409.42</v>
      </c>
    </row>
    <row r="322" customFormat="false" ht="15" hidden="false" customHeight="false" outlineLevel="0" collapsed="false">
      <c r="A322" s="7" t="n">
        <v>45272</v>
      </c>
      <c r="B322" s="8" t="n">
        <v>20906.4</v>
      </c>
      <c r="C322" s="8" t="n">
        <v>18686.8</v>
      </c>
      <c r="D322" s="8" t="n">
        <v>1547.25</v>
      </c>
      <c r="E322" s="8" t="n">
        <v>770.6</v>
      </c>
      <c r="F322" s="8" t="n">
        <v>1018.2</v>
      </c>
      <c r="G322" s="8" t="n">
        <v>528.25</v>
      </c>
      <c r="H322" s="8" t="n">
        <v>777.75</v>
      </c>
      <c r="I322" s="8" t="n">
        <v>390.85</v>
      </c>
      <c r="J322" s="8" t="n">
        <v>2376.35</v>
      </c>
      <c r="K322" s="8" t="n">
        <v>730.46</v>
      </c>
      <c r="L322" s="8" t="n">
        <v>1177.25</v>
      </c>
      <c r="M322" s="8" t="n">
        <v>1763.5</v>
      </c>
      <c r="N322" s="8" t="n">
        <v>638.96</v>
      </c>
      <c r="O322" s="8" t="n">
        <v>270.8</v>
      </c>
      <c r="P322" s="8" t="n">
        <v>1453.5</v>
      </c>
      <c r="Q322" s="8" t="n">
        <v>416.05</v>
      </c>
      <c r="R322" s="8" t="n">
        <v>755.95</v>
      </c>
      <c r="S322" s="8" t="n">
        <v>399.05</v>
      </c>
    </row>
    <row r="323" customFormat="false" ht="15" hidden="false" customHeight="false" outlineLevel="0" collapsed="false">
      <c r="A323" s="7" t="n">
        <v>45273</v>
      </c>
      <c r="B323" s="8" t="n">
        <v>20926.35</v>
      </c>
      <c r="C323" s="8" t="n">
        <v>18751.45</v>
      </c>
      <c r="D323" s="8" t="n">
        <v>1568.5</v>
      </c>
      <c r="E323" s="8" t="n">
        <v>775.5</v>
      </c>
      <c r="F323" s="8" t="n">
        <v>985.75</v>
      </c>
      <c r="G323" s="8" t="n">
        <v>531.45</v>
      </c>
      <c r="H323" s="8" t="n">
        <v>788.65</v>
      </c>
      <c r="I323" s="8" t="n">
        <v>394.85</v>
      </c>
      <c r="J323" s="8" t="n">
        <v>2419</v>
      </c>
      <c r="K323" s="8" t="n">
        <v>724.81</v>
      </c>
      <c r="L323" s="8" t="n">
        <v>1180.6</v>
      </c>
      <c r="M323" s="8" t="n">
        <v>1762.55</v>
      </c>
      <c r="N323" s="8" t="n">
        <v>645.13</v>
      </c>
      <c r="O323" s="8" t="n">
        <v>271.7</v>
      </c>
      <c r="P323" s="8" t="n">
        <v>1467.1</v>
      </c>
      <c r="Q323" s="8" t="n">
        <v>421.75</v>
      </c>
      <c r="R323" s="8" t="n">
        <v>749.95</v>
      </c>
      <c r="S323" s="8" t="n">
        <v>399.06</v>
      </c>
    </row>
    <row r="324" customFormat="false" ht="15" hidden="false" customHeight="false" outlineLevel="0" collapsed="false">
      <c r="A324" s="7" t="n">
        <v>45274</v>
      </c>
      <c r="B324" s="8" t="n">
        <v>21182.7</v>
      </c>
      <c r="C324" s="8" t="n">
        <v>18973.85</v>
      </c>
      <c r="D324" s="8" t="n">
        <v>1552</v>
      </c>
      <c r="E324" s="8" t="n">
        <v>791</v>
      </c>
      <c r="F324" s="8" t="n">
        <v>1008.35</v>
      </c>
      <c r="G324" s="8" t="n">
        <v>533.65</v>
      </c>
      <c r="H324" s="8" t="n">
        <v>784.3</v>
      </c>
      <c r="I324" s="8" t="n">
        <v>395.2</v>
      </c>
      <c r="J324" s="8" t="n">
        <v>2360.45</v>
      </c>
      <c r="K324" s="8" t="n">
        <v>746.4</v>
      </c>
      <c r="L324" s="8" t="n">
        <v>1228.9</v>
      </c>
      <c r="M324" s="8" t="n">
        <v>1754.45</v>
      </c>
      <c r="N324" s="8" t="n">
        <v>645.57</v>
      </c>
      <c r="O324" s="8" t="n">
        <v>289.35</v>
      </c>
      <c r="P324" s="8" t="n">
        <v>1481</v>
      </c>
      <c r="Q324" s="8" t="n">
        <v>434.85</v>
      </c>
      <c r="R324" s="8" t="n">
        <v>767.8</v>
      </c>
      <c r="S324" s="8" t="n">
        <v>423.66</v>
      </c>
    </row>
    <row r="325" customFormat="false" ht="15" hidden="false" customHeight="false" outlineLevel="0" collapsed="false">
      <c r="A325" s="7" t="n">
        <v>45275</v>
      </c>
      <c r="B325" s="8" t="n">
        <v>21456.65</v>
      </c>
      <c r="C325" s="8" t="n">
        <v>19145.05</v>
      </c>
      <c r="D325" s="8" t="n">
        <v>1546.15</v>
      </c>
      <c r="E325" s="8" t="n">
        <v>781.8</v>
      </c>
      <c r="F325" s="8" t="n">
        <v>1036.65</v>
      </c>
      <c r="G325" s="8" t="n">
        <v>540.45</v>
      </c>
      <c r="H325" s="8" t="n">
        <v>803.4</v>
      </c>
      <c r="I325" s="8" t="n">
        <v>404.95</v>
      </c>
      <c r="J325" s="8" t="n">
        <v>2364.15</v>
      </c>
      <c r="K325" s="8" t="n">
        <v>750.48</v>
      </c>
      <c r="L325" s="8" t="n">
        <v>1243.8</v>
      </c>
      <c r="M325" s="8" t="n">
        <v>1698.65</v>
      </c>
      <c r="N325" s="8" t="n">
        <v>630.07</v>
      </c>
      <c r="O325" s="8" t="n">
        <v>286.7</v>
      </c>
      <c r="P325" s="8" t="n">
        <v>1488</v>
      </c>
      <c r="Q325" s="8" t="n">
        <v>439.65</v>
      </c>
      <c r="R325" s="8" t="n">
        <v>776.35</v>
      </c>
      <c r="S325" s="8" t="n">
        <v>415.54</v>
      </c>
    </row>
    <row r="326" customFormat="false" ht="15" hidden="false" customHeight="false" outlineLevel="0" collapsed="false">
      <c r="A326" s="7" t="n">
        <v>45278</v>
      </c>
      <c r="B326" s="8" t="n">
        <v>21418.65</v>
      </c>
      <c r="C326" s="8" t="n">
        <v>19155.55</v>
      </c>
      <c r="D326" s="8" t="n">
        <v>1555.9</v>
      </c>
      <c r="E326" s="8" t="n">
        <v>783.55</v>
      </c>
      <c r="F326" s="8" t="n">
        <v>1023.45</v>
      </c>
      <c r="G326" s="8" t="n">
        <v>531.25</v>
      </c>
      <c r="H326" s="8" t="n">
        <v>812.95</v>
      </c>
      <c r="I326" s="8" t="n">
        <v>402.95</v>
      </c>
      <c r="J326" s="8" t="n">
        <v>2354.8</v>
      </c>
      <c r="K326" s="8" t="n">
        <v>757.73</v>
      </c>
      <c r="L326" s="8" t="n">
        <v>1248.3</v>
      </c>
      <c r="M326" s="8" t="n">
        <v>1689.25</v>
      </c>
      <c r="N326" s="8" t="n">
        <v>624.68</v>
      </c>
      <c r="O326" s="8" t="n">
        <v>282.1</v>
      </c>
      <c r="P326" s="8" t="n">
        <v>1478.6</v>
      </c>
      <c r="Q326" s="8" t="n">
        <v>440.55</v>
      </c>
      <c r="R326" s="8" t="n">
        <v>781.2</v>
      </c>
      <c r="S326" s="8" t="n">
        <v>409.6</v>
      </c>
    </row>
    <row r="327" customFormat="false" ht="15" hidden="false" customHeight="false" outlineLevel="0" collapsed="false">
      <c r="A327" s="7" t="n">
        <v>45279</v>
      </c>
      <c r="B327" s="8" t="n">
        <v>21453.1</v>
      </c>
      <c r="C327" s="8" t="n">
        <v>19169.25</v>
      </c>
      <c r="D327" s="8" t="n">
        <v>1529.05</v>
      </c>
      <c r="E327" s="8" t="n">
        <v>783.15</v>
      </c>
      <c r="F327" s="8" t="n">
        <v>1000.45</v>
      </c>
      <c r="G327" s="8" t="n">
        <v>529.65</v>
      </c>
      <c r="H327" s="8" t="n">
        <v>807.55</v>
      </c>
      <c r="I327" s="8" t="n">
        <v>399.45</v>
      </c>
      <c r="J327" s="8" t="n">
        <v>2426.95</v>
      </c>
      <c r="K327" s="8" t="n">
        <v>762.23</v>
      </c>
      <c r="L327" s="8" t="n">
        <v>1249.65</v>
      </c>
      <c r="M327" s="8" t="n">
        <v>1682.15</v>
      </c>
      <c r="N327" s="8" t="n">
        <v>644.79</v>
      </c>
      <c r="O327" s="8" t="n">
        <v>279.9</v>
      </c>
      <c r="P327" s="8" t="n">
        <v>1485.7</v>
      </c>
      <c r="Q327" s="8" t="n">
        <v>444.5</v>
      </c>
      <c r="R327" s="8" t="n">
        <v>776.8</v>
      </c>
      <c r="S327" s="8" t="n">
        <v>411.91</v>
      </c>
    </row>
    <row r="328" customFormat="false" ht="15" hidden="false" customHeight="false" outlineLevel="0" collapsed="false">
      <c r="A328" s="7" t="n">
        <v>45280</v>
      </c>
      <c r="B328" s="8" t="n">
        <v>21150.15</v>
      </c>
      <c r="C328" s="8" t="n">
        <v>18779.45</v>
      </c>
      <c r="D328" s="8" t="n">
        <v>1496.45</v>
      </c>
      <c r="E328" s="8" t="n">
        <v>753.8</v>
      </c>
      <c r="F328" s="8" t="n">
        <v>991.55</v>
      </c>
      <c r="G328" s="8" t="n">
        <v>513.55</v>
      </c>
      <c r="H328" s="8" t="n">
        <v>782</v>
      </c>
      <c r="I328" s="8" t="n">
        <v>381.9</v>
      </c>
      <c r="J328" s="8" t="n">
        <v>2312.8</v>
      </c>
      <c r="K328" s="8" t="n">
        <v>748.38</v>
      </c>
      <c r="L328" s="8" t="n">
        <v>1239.15</v>
      </c>
      <c r="M328" s="8" t="n">
        <v>1655.7</v>
      </c>
      <c r="N328" s="8" t="n">
        <v>601.52</v>
      </c>
      <c r="O328" s="8" t="n">
        <v>268.8</v>
      </c>
      <c r="P328" s="8" t="n">
        <v>1443.3</v>
      </c>
      <c r="Q328" s="8" t="n">
        <v>439.85</v>
      </c>
      <c r="R328" s="8" t="n">
        <v>759.8</v>
      </c>
      <c r="S328" s="8" t="n">
        <v>399.75</v>
      </c>
    </row>
    <row r="329" customFormat="false" ht="15" hidden="false" customHeight="false" outlineLevel="0" collapsed="false">
      <c r="A329" s="7" t="n">
        <v>45281</v>
      </c>
      <c r="B329" s="8" t="n">
        <v>21255.05</v>
      </c>
      <c r="C329" s="8" t="n">
        <v>18941.8</v>
      </c>
      <c r="D329" s="8" t="n">
        <v>1487.9</v>
      </c>
      <c r="E329" s="8" t="n">
        <v>759.8</v>
      </c>
      <c r="F329" s="8" t="n">
        <v>989.4</v>
      </c>
      <c r="G329" s="8" t="n">
        <v>518.6</v>
      </c>
      <c r="H329" s="8" t="n">
        <v>771.1</v>
      </c>
      <c r="I329" s="8" t="n">
        <v>397.4</v>
      </c>
      <c r="J329" s="8" t="n">
        <v>2641.45</v>
      </c>
      <c r="K329" s="8" t="n">
        <v>735.71</v>
      </c>
      <c r="L329" s="8" t="n">
        <v>1228.05</v>
      </c>
      <c r="M329" s="8" t="n">
        <v>1629.8</v>
      </c>
      <c r="N329" s="8" t="n">
        <v>578.1</v>
      </c>
      <c r="O329" s="8" t="n">
        <v>269.9</v>
      </c>
      <c r="P329" s="8" t="n">
        <v>1453.7</v>
      </c>
      <c r="Q329" s="8" t="n">
        <v>440.35</v>
      </c>
      <c r="R329" s="8" t="n">
        <v>765.2</v>
      </c>
      <c r="S329" s="8" t="n">
        <v>403.37</v>
      </c>
    </row>
    <row r="330" customFormat="false" ht="15" hidden="false" customHeight="false" outlineLevel="0" collapsed="false">
      <c r="A330" s="7" t="n">
        <v>45282</v>
      </c>
      <c r="B330" s="8" t="n">
        <v>21349.4</v>
      </c>
      <c r="C330" s="8" t="n">
        <v>19054.7</v>
      </c>
      <c r="D330" s="8" t="n">
        <v>1479.95</v>
      </c>
      <c r="E330" s="8" t="n">
        <v>764.55</v>
      </c>
      <c r="F330" s="8" t="n">
        <v>994.6</v>
      </c>
      <c r="G330" s="8" t="n">
        <v>517.3</v>
      </c>
      <c r="H330" s="8" t="n">
        <v>775.35</v>
      </c>
      <c r="I330" s="8" t="n">
        <v>396.75</v>
      </c>
      <c r="J330" s="8" t="n">
        <v>2609.7</v>
      </c>
      <c r="K330" s="8" t="n">
        <v>728.54</v>
      </c>
      <c r="L330" s="8" t="n">
        <v>1250.8</v>
      </c>
      <c r="M330" s="8" t="n">
        <v>1627.5</v>
      </c>
      <c r="N330" s="8" t="n">
        <v>556.2</v>
      </c>
      <c r="O330" s="8" t="n">
        <v>267.4</v>
      </c>
      <c r="P330" s="8" t="n">
        <v>1475.1</v>
      </c>
      <c r="Q330" s="8" t="n">
        <v>442.35</v>
      </c>
      <c r="R330" s="8" t="n">
        <v>773.15</v>
      </c>
      <c r="S330" s="8" t="n">
        <v>411.09</v>
      </c>
    </row>
    <row r="331" customFormat="false" ht="15" hidden="false" customHeight="false" outlineLevel="0" collapsed="false">
      <c r="A331" s="7" t="n">
        <v>45286</v>
      </c>
      <c r="B331" s="8" t="n">
        <v>21441.35</v>
      </c>
      <c r="C331" s="8" t="n">
        <v>19148.85</v>
      </c>
      <c r="D331" s="8" t="n">
        <v>1462.25</v>
      </c>
      <c r="E331" s="8" t="n">
        <v>775</v>
      </c>
      <c r="F331" s="8" t="n">
        <v>959.05</v>
      </c>
      <c r="G331" s="8" t="n">
        <v>513.8</v>
      </c>
      <c r="H331" s="8" t="n">
        <v>786.1</v>
      </c>
      <c r="I331" s="8" t="n">
        <v>396.75</v>
      </c>
      <c r="J331" s="8" t="n">
        <v>2508.85</v>
      </c>
      <c r="K331" s="8" t="n">
        <v>715.26</v>
      </c>
      <c r="L331" s="8" t="n">
        <v>1245.3</v>
      </c>
      <c r="M331" s="8" t="n">
        <v>1613.25</v>
      </c>
      <c r="N331" s="8" t="n">
        <v>575.43</v>
      </c>
      <c r="O331" s="8" t="n">
        <v>270.6</v>
      </c>
      <c r="P331" s="8" t="n">
        <v>1450.8</v>
      </c>
      <c r="Q331" s="8" t="n">
        <v>440.25</v>
      </c>
      <c r="R331" s="8" t="n">
        <v>768.1</v>
      </c>
      <c r="S331" s="8" t="n">
        <v>407.15</v>
      </c>
    </row>
    <row r="332" customFormat="false" ht="15" hidden="false" customHeight="false" outlineLevel="0" collapsed="false">
      <c r="A332" s="7" t="n">
        <v>45287</v>
      </c>
      <c r="B332" s="8" t="n">
        <v>21654.75</v>
      </c>
      <c r="C332" s="8" t="n">
        <v>19296.95</v>
      </c>
      <c r="D332" s="8" t="n">
        <v>1488.65</v>
      </c>
      <c r="E332" s="8" t="n">
        <v>778</v>
      </c>
      <c r="F332" s="8" t="n">
        <v>960.7</v>
      </c>
      <c r="G332" s="8" t="n">
        <v>523.95</v>
      </c>
      <c r="H332" s="8" t="n">
        <v>785.85</v>
      </c>
      <c r="I332" s="8" t="n">
        <v>396.5</v>
      </c>
      <c r="J332" s="8" t="n">
        <v>2591.6</v>
      </c>
      <c r="K332" s="8" t="n">
        <v>722.3</v>
      </c>
      <c r="L332" s="8" t="n">
        <v>1253.2</v>
      </c>
      <c r="M332" s="8" t="n">
        <v>1602.55</v>
      </c>
      <c r="N332" s="8" t="n">
        <v>568.68</v>
      </c>
      <c r="O332" s="8" t="n">
        <v>276.8</v>
      </c>
      <c r="P332" s="8" t="n">
        <v>1477.2</v>
      </c>
      <c r="Q332" s="8" t="n">
        <v>434.1</v>
      </c>
      <c r="R332" s="8" t="n">
        <v>764.75</v>
      </c>
      <c r="S332" s="8" t="n">
        <v>409.98</v>
      </c>
    </row>
    <row r="333" customFormat="false" ht="15" hidden="false" customHeight="false" outlineLevel="0" collapsed="false">
      <c r="A333" s="7" t="n">
        <v>45288</v>
      </c>
      <c r="B333" s="8" t="n">
        <v>21778.7</v>
      </c>
      <c r="C333" s="8" t="n">
        <v>19399.25</v>
      </c>
      <c r="D333" s="8" t="n">
        <v>1501.7</v>
      </c>
      <c r="E333" s="8" t="n">
        <v>776.95</v>
      </c>
      <c r="F333" s="8" t="n">
        <v>941.4</v>
      </c>
      <c r="G333" s="8" t="n">
        <v>527.2</v>
      </c>
      <c r="H333" s="8" t="n">
        <v>777.8</v>
      </c>
      <c r="I333" s="8" t="n">
        <v>392.85</v>
      </c>
      <c r="J333" s="8" t="n">
        <v>2455.2</v>
      </c>
      <c r="K333" s="8" t="n">
        <v>724.88</v>
      </c>
      <c r="L333" s="8" t="n">
        <v>1235.7</v>
      </c>
      <c r="M333" s="8" t="n">
        <v>1586.8</v>
      </c>
      <c r="N333" s="8" t="n">
        <v>580.29</v>
      </c>
      <c r="O333" s="8" t="n">
        <v>273.25</v>
      </c>
      <c r="P333" s="8" t="n">
        <v>1492</v>
      </c>
      <c r="Q333" s="8" t="n">
        <v>430.2</v>
      </c>
      <c r="R333" s="8" t="n">
        <v>760.25</v>
      </c>
      <c r="S333" s="8" t="n">
        <v>409.13</v>
      </c>
    </row>
    <row r="334" customFormat="false" ht="15" hidden="false" customHeight="false" outlineLevel="0" collapsed="false">
      <c r="A334" s="7" t="n">
        <v>45289</v>
      </c>
      <c r="B334" s="8" t="n">
        <v>21731.4</v>
      </c>
      <c r="C334" s="8" t="n">
        <v>19429.15</v>
      </c>
      <c r="D334" s="8" t="n">
        <v>1532.25</v>
      </c>
      <c r="E334" s="8" t="n">
        <v>777.65</v>
      </c>
      <c r="F334" s="8" t="n">
        <v>930.1</v>
      </c>
      <c r="G334" s="8" t="n">
        <v>536.1</v>
      </c>
      <c r="H334" s="8" t="n">
        <v>780.75</v>
      </c>
      <c r="I334" s="8" t="n">
        <v>392.4</v>
      </c>
      <c r="J334" s="8" t="n">
        <v>2437.7</v>
      </c>
      <c r="K334" s="8" t="n">
        <v>731.78</v>
      </c>
      <c r="L334" s="8" t="n">
        <v>1259.8</v>
      </c>
      <c r="M334" s="8" t="n">
        <v>1596.55</v>
      </c>
      <c r="N334" s="8" t="n">
        <v>581.02</v>
      </c>
      <c r="O334" s="8" t="n">
        <v>276.7</v>
      </c>
      <c r="P334" s="8" t="n">
        <v>1476.3</v>
      </c>
      <c r="Q334" s="8" t="n">
        <v>435.55</v>
      </c>
      <c r="R334" s="8" t="n">
        <v>759.65</v>
      </c>
      <c r="S334" s="8" t="n">
        <v>410.66</v>
      </c>
    </row>
    <row r="335" customFormat="false" ht="15" hidden="false" customHeight="false" outlineLevel="0" collapsed="false">
      <c r="A335" s="7" t="n">
        <v>45292</v>
      </c>
      <c r="B335" s="8" t="n">
        <v>21741.9</v>
      </c>
      <c r="C335" s="8" t="n">
        <v>19469.5</v>
      </c>
      <c r="D335" s="8" t="n">
        <v>1561.2</v>
      </c>
      <c r="E335" s="8" t="n">
        <v>776.9</v>
      </c>
      <c r="F335" s="8" t="n">
        <v>932.35</v>
      </c>
      <c r="G335" s="8" t="n">
        <v>563.05</v>
      </c>
      <c r="H335" s="8" t="n">
        <v>785.3</v>
      </c>
      <c r="I335" s="8" t="n">
        <v>408.05</v>
      </c>
      <c r="J335" s="8" t="n">
        <v>2536.4</v>
      </c>
      <c r="K335" s="8" t="n">
        <v>728.91</v>
      </c>
      <c r="L335" s="8" t="n">
        <v>1225.35</v>
      </c>
      <c r="M335" s="8" t="n">
        <v>1594.15</v>
      </c>
      <c r="N335" s="8" t="n">
        <v>585.49</v>
      </c>
      <c r="O335" s="8" t="n">
        <v>275.2</v>
      </c>
      <c r="P335" s="8" t="n">
        <v>1466</v>
      </c>
      <c r="Q335" s="8" t="n">
        <v>438</v>
      </c>
      <c r="R335" s="8" t="n">
        <v>766.35</v>
      </c>
      <c r="S335" s="8" t="n">
        <v>409.77</v>
      </c>
    </row>
    <row r="336" customFormat="false" ht="15" hidden="false" customHeight="false" outlineLevel="0" collapsed="false">
      <c r="A336" s="7" t="n">
        <v>45293</v>
      </c>
      <c r="B336" s="8" t="n">
        <v>21665.8</v>
      </c>
      <c r="C336" s="8" t="n">
        <v>19418.4</v>
      </c>
      <c r="D336" s="8" t="n">
        <v>1575.45</v>
      </c>
      <c r="E336" s="8" t="n">
        <v>766.1</v>
      </c>
      <c r="F336" s="8" t="n">
        <v>957.8</v>
      </c>
      <c r="G336" s="8" t="n">
        <v>559.6</v>
      </c>
      <c r="H336" s="8" t="n">
        <v>778.5</v>
      </c>
      <c r="I336" s="8" t="n">
        <v>410.95</v>
      </c>
      <c r="J336" s="8" t="n">
        <v>2563</v>
      </c>
      <c r="K336" s="8" t="n">
        <v>742</v>
      </c>
      <c r="L336" s="8" t="n">
        <v>1220.1</v>
      </c>
      <c r="M336" s="8" t="n">
        <v>1573.75</v>
      </c>
      <c r="N336" s="8" t="n">
        <v>597.68</v>
      </c>
      <c r="O336" s="8" t="n">
        <v>274.7</v>
      </c>
      <c r="P336" s="8" t="n">
        <v>1454.7</v>
      </c>
      <c r="Q336" s="8" t="n">
        <v>431</v>
      </c>
      <c r="R336" s="8" t="n">
        <v>773.15</v>
      </c>
      <c r="S336" s="8" t="n">
        <v>406.01</v>
      </c>
    </row>
    <row r="337" customFormat="false" ht="15" hidden="false" customHeight="false" outlineLevel="0" collapsed="false">
      <c r="A337" s="7" t="n">
        <v>45294</v>
      </c>
      <c r="B337" s="8" t="n">
        <v>21517.35</v>
      </c>
      <c r="C337" s="8" t="n">
        <v>19367.15</v>
      </c>
      <c r="D337" s="8" t="n">
        <v>1567.7</v>
      </c>
      <c r="E337" s="8" t="n">
        <v>765.95</v>
      </c>
      <c r="F337" s="8" t="n">
        <v>955.35</v>
      </c>
      <c r="G337" s="8" t="n">
        <v>557.6</v>
      </c>
      <c r="H337" s="8" t="n">
        <v>788.15</v>
      </c>
      <c r="I337" s="8" t="n">
        <v>412.35</v>
      </c>
      <c r="J337" s="8" t="n">
        <v>2591.25</v>
      </c>
      <c r="K337" s="8" t="n">
        <v>737.48</v>
      </c>
      <c r="L337" s="8" t="n">
        <v>1240.5</v>
      </c>
      <c r="M337" s="8" t="n">
        <v>1585.3</v>
      </c>
      <c r="N337" s="8" t="n">
        <v>589.62</v>
      </c>
      <c r="O337" s="8" t="n">
        <v>275.65</v>
      </c>
      <c r="P337" s="8" t="n">
        <v>1475.85</v>
      </c>
      <c r="Q337" s="8" t="n">
        <v>431.1</v>
      </c>
      <c r="R337" s="8" t="n">
        <v>769.85</v>
      </c>
      <c r="S337" s="8" t="n">
        <v>418.01</v>
      </c>
    </row>
    <row r="338" customFormat="false" ht="15" hidden="false" customHeight="false" outlineLevel="0" collapsed="false">
      <c r="A338" s="7" t="n">
        <v>45295</v>
      </c>
      <c r="B338" s="8" t="n">
        <v>21658.6</v>
      </c>
      <c r="C338" s="8" t="n">
        <v>19541.25</v>
      </c>
      <c r="D338" s="8" t="n">
        <v>1571.2</v>
      </c>
      <c r="E338" s="8" t="n">
        <v>785.75</v>
      </c>
      <c r="F338" s="8" t="n">
        <v>941.75</v>
      </c>
      <c r="G338" s="8" t="n">
        <v>572</v>
      </c>
      <c r="H338" s="8" t="n">
        <v>796.45</v>
      </c>
      <c r="I338" s="8" t="n">
        <v>419.6</v>
      </c>
      <c r="J338" s="8" t="n">
        <v>2589.45</v>
      </c>
      <c r="K338" s="8" t="n">
        <v>769.51</v>
      </c>
      <c r="L338" s="8" t="n">
        <v>1297.25</v>
      </c>
      <c r="M338" s="8" t="n">
        <v>1595.7</v>
      </c>
      <c r="N338" s="8" t="n">
        <v>616.47</v>
      </c>
      <c r="O338" s="8" t="n">
        <v>278</v>
      </c>
      <c r="P338" s="8" t="n">
        <v>1517.8</v>
      </c>
      <c r="Q338" s="8" t="n">
        <v>450.4</v>
      </c>
      <c r="R338" s="8" t="n">
        <v>770.1</v>
      </c>
      <c r="S338" s="8" t="n">
        <v>429.63</v>
      </c>
    </row>
    <row r="339" customFormat="false" ht="15" hidden="false" customHeight="false" outlineLevel="0" collapsed="false">
      <c r="A339" s="7" t="n">
        <v>45296</v>
      </c>
      <c r="B339" s="8" t="n">
        <v>21710.8</v>
      </c>
      <c r="C339" s="8" t="n">
        <v>19590.6</v>
      </c>
      <c r="D339" s="8" t="n">
        <v>1566.05</v>
      </c>
      <c r="E339" s="8" t="n">
        <v>781.4</v>
      </c>
      <c r="F339" s="8" t="n">
        <v>949.6</v>
      </c>
      <c r="G339" s="8" t="n">
        <v>574.8</v>
      </c>
      <c r="H339" s="8" t="n">
        <v>800.65</v>
      </c>
      <c r="I339" s="8" t="n">
        <v>414.65</v>
      </c>
      <c r="J339" s="8" t="n">
        <v>2581.65</v>
      </c>
      <c r="K339" s="8" t="n">
        <v>770.07</v>
      </c>
      <c r="L339" s="8" t="n">
        <v>1257.85</v>
      </c>
      <c r="M339" s="8" t="n">
        <v>1729.1</v>
      </c>
      <c r="N339" s="8" t="n">
        <v>623.27</v>
      </c>
      <c r="O339" s="8" t="n">
        <v>277.05</v>
      </c>
      <c r="P339" s="8" t="n">
        <v>1499.5</v>
      </c>
      <c r="Q339" s="8" t="n">
        <v>458.9</v>
      </c>
      <c r="R339" s="8" t="n">
        <v>771.6</v>
      </c>
      <c r="S339" s="8" t="n">
        <v>434.48</v>
      </c>
    </row>
    <row r="340" customFormat="false" ht="15" hidden="false" customHeight="false" outlineLevel="0" collapsed="false">
      <c r="A340" s="7" t="n">
        <v>45299</v>
      </c>
      <c r="B340" s="8" t="n">
        <v>21513</v>
      </c>
      <c r="C340" s="8" t="n">
        <v>19417.7</v>
      </c>
      <c r="D340" s="8" t="n">
        <v>1552.45</v>
      </c>
      <c r="E340" s="8" t="n">
        <v>771.05</v>
      </c>
      <c r="F340" s="8" t="n">
        <v>936.2</v>
      </c>
      <c r="G340" s="8" t="n">
        <v>561.8</v>
      </c>
      <c r="H340" s="8" t="n">
        <v>788.65</v>
      </c>
      <c r="I340" s="8" t="n">
        <v>411.15</v>
      </c>
      <c r="J340" s="8" t="n">
        <v>2498.6</v>
      </c>
      <c r="K340" s="8" t="n">
        <v>772.55</v>
      </c>
      <c r="L340" s="8" t="n">
        <v>1231.15</v>
      </c>
      <c r="M340" s="8" t="n">
        <v>1731.15</v>
      </c>
      <c r="N340" s="8" t="n">
        <v>603.46</v>
      </c>
      <c r="O340" s="8" t="n">
        <v>275.6</v>
      </c>
      <c r="P340" s="8" t="n">
        <v>1489.1</v>
      </c>
      <c r="Q340" s="8" t="n">
        <v>459.3</v>
      </c>
      <c r="R340" s="8" t="n">
        <v>767.65</v>
      </c>
      <c r="S340" s="8" t="n">
        <v>439.27</v>
      </c>
    </row>
    <row r="341" customFormat="false" ht="15" hidden="false" customHeight="false" outlineLevel="0" collapsed="false">
      <c r="A341" s="7" t="n">
        <v>45300</v>
      </c>
      <c r="B341" s="8" t="n">
        <v>21544.85</v>
      </c>
      <c r="C341" s="8" t="n">
        <v>19459.55</v>
      </c>
      <c r="D341" s="8" t="n">
        <v>1552.75</v>
      </c>
      <c r="E341" s="8" t="n">
        <v>775.05</v>
      </c>
      <c r="F341" s="8" t="n">
        <v>937.05</v>
      </c>
      <c r="G341" s="8" t="n">
        <v>562.4</v>
      </c>
      <c r="H341" s="8" t="n">
        <v>788</v>
      </c>
      <c r="I341" s="8" t="n">
        <v>412.75</v>
      </c>
      <c r="J341" s="8" t="n">
        <v>2420.35</v>
      </c>
      <c r="K341" s="8" t="n">
        <v>771.5</v>
      </c>
      <c r="L341" s="8" t="n">
        <v>1231.45</v>
      </c>
      <c r="M341" s="8" t="n">
        <v>1757.5</v>
      </c>
      <c r="N341" s="8" t="n">
        <v>609.14</v>
      </c>
      <c r="O341" s="8" t="n">
        <v>274</v>
      </c>
      <c r="P341" s="8" t="n">
        <v>1480.45</v>
      </c>
      <c r="Q341" s="8" t="n">
        <v>474.8</v>
      </c>
      <c r="R341" s="8" t="n">
        <v>762.05</v>
      </c>
      <c r="S341" s="8" t="n">
        <v>433.57</v>
      </c>
    </row>
    <row r="342" customFormat="false" ht="15" hidden="false" customHeight="false" outlineLevel="0" collapsed="false">
      <c r="A342" s="7" t="n">
        <v>45301</v>
      </c>
      <c r="B342" s="8" t="n">
        <v>21618.7</v>
      </c>
      <c r="C342" s="8" t="n">
        <v>19517.85</v>
      </c>
      <c r="D342" s="8" t="n">
        <v>1568.7</v>
      </c>
      <c r="E342" s="8" t="n">
        <v>759.7</v>
      </c>
      <c r="F342" s="8" t="n">
        <v>942.55</v>
      </c>
      <c r="G342" s="8" t="n">
        <v>567.75</v>
      </c>
      <c r="H342" s="8" t="n">
        <v>782.95</v>
      </c>
      <c r="I342" s="8" t="n">
        <v>411.2</v>
      </c>
      <c r="J342" s="8" t="n">
        <v>2473.95</v>
      </c>
      <c r="K342" s="8" t="n">
        <v>767.01</v>
      </c>
      <c r="L342" s="8" t="n">
        <v>1216.25</v>
      </c>
      <c r="M342" s="8" t="n">
        <v>1753</v>
      </c>
      <c r="N342" s="8" t="n">
        <v>608.95</v>
      </c>
      <c r="O342" s="8" t="n">
        <v>269.2</v>
      </c>
      <c r="P342" s="8" t="n">
        <v>1475.35</v>
      </c>
      <c r="Q342" s="8" t="n">
        <v>481.35</v>
      </c>
      <c r="R342" s="8" t="n">
        <v>765.45</v>
      </c>
      <c r="S342" s="8" t="n">
        <v>430</v>
      </c>
    </row>
    <row r="343" customFormat="false" ht="15" hidden="false" customHeight="false" outlineLevel="0" collapsed="false">
      <c r="A343" s="7" t="n">
        <v>45302</v>
      </c>
      <c r="B343" s="8" t="n">
        <v>21647.2</v>
      </c>
      <c r="C343" s="8" t="n">
        <v>19584.35</v>
      </c>
      <c r="D343" s="8" t="n">
        <v>1578.75</v>
      </c>
      <c r="E343" s="8" t="n">
        <v>769.75</v>
      </c>
      <c r="F343" s="8" t="n">
        <v>971.65</v>
      </c>
      <c r="G343" s="8" t="n">
        <v>578.2</v>
      </c>
      <c r="H343" s="8" t="n">
        <v>779.45</v>
      </c>
      <c r="I343" s="8" t="n">
        <v>416.1</v>
      </c>
      <c r="J343" s="8" t="n">
        <v>2454.1</v>
      </c>
      <c r="K343" s="8" t="n">
        <v>765.93</v>
      </c>
      <c r="L343" s="8" t="n">
        <v>1231.35</v>
      </c>
      <c r="M343" s="8" t="n">
        <v>1728.1</v>
      </c>
      <c r="N343" s="8" t="n">
        <v>634.93</v>
      </c>
      <c r="O343" s="8" t="n">
        <v>277.65</v>
      </c>
      <c r="P343" s="8" t="n">
        <v>1489.35</v>
      </c>
      <c r="Q343" s="8" t="n">
        <v>491.4</v>
      </c>
      <c r="R343" s="8" t="n">
        <v>762.35</v>
      </c>
      <c r="S343" s="8" t="n">
        <v>455.95</v>
      </c>
    </row>
    <row r="344" customFormat="false" ht="15" hidden="false" customHeight="false" outlineLevel="0" collapsed="false">
      <c r="A344" s="7" t="n">
        <v>45303</v>
      </c>
      <c r="B344" s="8" t="n">
        <v>21894.55</v>
      </c>
      <c r="C344" s="8" t="n">
        <v>19745.6</v>
      </c>
      <c r="D344" s="8" t="n">
        <v>1591.55</v>
      </c>
      <c r="E344" s="8" t="n">
        <v>767.3</v>
      </c>
      <c r="F344" s="8" t="n">
        <v>974.9</v>
      </c>
      <c r="G344" s="8" t="n">
        <v>573.8</v>
      </c>
      <c r="H344" s="8" t="n">
        <v>799.45</v>
      </c>
      <c r="I344" s="8" t="n">
        <v>431.45</v>
      </c>
      <c r="J344" s="8" t="n">
        <v>2499.15</v>
      </c>
      <c r="K344" s="8" t="n">
        <v>765.06</v>
      </c>
      <c r="L344" s="8" t="n">
        <v>1246.5</v>
      </c>
      <c r="M344" s="8" t="n">
        <v>1703.55</v>
      </c>
      <c r="N344" s="8" t="n">
        <v>630.71</v>
      </c>
      <c r="O344" s="8" t="n">
        <v>280.05</v>
      </c>
      <c r="P344" s="8" t="n">
        <v>1474.2</v>
      </c>
      <c r="Q344" s="8" t="n">
        <v>496.25</v>
      </c>
      <c r="R344" s="8" t="n">
        <v>766.7</v>
      </c>
      <c r="S344" s="8" t="n">
        <v>458.56</v>
      </c>
    </row>
    <row r="345" customFormat="false" ht="15" hidden="false" customHeight="false" outlineLevel="0" collapsed="false">
      <c r="A345" s="7" t="n">
        <v>45306</v>
      </c>
      <c r="B345" s="8" t="n">
        <v>22097.45</v>
      </c>
      <c r="C345" s="8" t="n">
        <v>19885.55</v>
      </c>
      <c r="D345" s="8" t="n">
        <v>1613</v>
      </c>
      <c r="E345" s="8" t="n">
        <v>763.9</v>
      </c>
      <c r="F345" s="8" t="n">
        <v>965.75</v>
      </c>
      <c r="G345" s="8" t="n">
        <v>578.1</v>
      </c>
      <c r="H345" s="8" t="n">
        <v>797.2</v>
      </c>
      <c r="I345" s="8" t="n">
        <v>421.5</v>
      </c>
      <c r="J345" s="8" t="n">
        <v>2492.85</v>
      </c>
      <c r="K345" s="8" t="n">
        <v>746.78</v>
      </c>
      <c r="L345" s="8" t="n">
        <v>1278.25</v>
      </c>
      <c r="M345" s="8" t="n">
        <v>1671.8</v>
      </c>
      <c r="N345" s="8" t="n">
        <v>642.26</v>
      </c>
      <c r="O345" s="8" t="n">
        <v>282.05</v>
      </c>
      <c r="P345" s="8" t="n">
        <v>1452.8</v>
      </c>
      <c r="Q345" s="8" t="n">
        <v>501.55</v>
      </c>
      <c r="R345" s="8" t="n">
        <v>768.05</v>
      </c>
      <c r="S345" s="8" t="n">
        <v>463.91</v>
      </c>
    </row>
    <row r="346" customFormat="false" ht="15" hidden="false" customHeight="false" outlineLevel="0" collapsed="false">
      <c r="A346" s="7" t="n">
        <v>45307</v>
      </c>
      <c r="B346" s="8" t="n">
        <v>22032.3</v>
      </c>
      <c r="C346" s="8" t="n">
        <v>19827.55</v>
      </c>
      <c r="D346" s="8" t="n">
        <v>1568.85</v>
      </c>
      <c r="E346" s="8" t="n">
        <v>756.6</v>
      </c>
      <c r="F346" s="8" t="n">
        <v>956.05</v>
      </c>
      <c r="G346" s="8" t="n">
        <v>583.95</v>
      </c>
      <c r="H346" s="8" t="n">
        <v>848</v>
      </c>
      <c r="I346" s="8" t="n">
        <v>413.1</v>
      </c>
      <c r="J346" s="8" t="n">
        <v>2453.5</v>
      </c>
      <c r="K346" s="8" t="n">
        <v>744.65</v>
      </c>
      <c r="L346" s="8" t="n">
        <v>1299.45</v>
      </c>
      <c r="M346" s="8" t="n">
        <v>1704.35</v>
      </c>
      <c r="N346" s="8" t="n">
        <v>625.41</v>
      </c>
      <c r="O346" s="8" t="n">
        <v>282.15</v>
      </c>
      <c r="P346" s="8" t="n">
        <v>1437</v>
      </c>
      <c r="Q346" s="8" t="n">
        <v>492.65</v>
      </c>
      <c r="R346" s="8" t="n">
        <v>767.3</v>
      </c>
      <c r="S346" s="8" t="n">
        <v>461.94</v>
      </c>
    </row>
    <row r="347" customFormat="false" ht="15" hidden="false" customHeight="false" outlineLevel="0" collapsed="false">
      <c r="A347" s="7" t="n">
        <v>45308</v>
      </c>
      <c r="B347" s="8" t="n">
        <v>21571.95</v>
      </c>
      <c r="C347" s="8" t="n">
        <v>19487.6</v>
      </c>
      <c r="D347" s="8" t="n">
        <v>1529.65</v>
      </c>
      <c r="E347" s="8" t="n">
        <v>764.1</v>
      </c>
      <c r="F347" s="8" t="n">
        <v>965</v>
      </c>
      <c r="G347" s="8" t="n">
        <v>575.25</v>
      </c>
      <c r="H347" s="8" t="n">
        <v>827.55</v>
      </c>
      <c r="I347" s="8" t="n">
        <v>404.2</v>
      </c>
      <c r="J347" s="8" t="n">
        <v>2417.5</v>
      </c>
      <c r="K347" s="8" t="n">
        <v>734.88</v>
      </c>
      <c r="L347" s="8" t="n">
        <v>1288.1</v>
      </c>
      <c r="M347" s="8" t="n">
        <v>1656.3</v>
      </c>
      <c r="N347" s="8" t="n">
        <v>631.82</v>
      </c>
      <c r="O347" s="8" t="n">
        <v>279.35</v>
      </c>
      <c r="P347" s="8" t="n">
        <v>1417</v>
      </c>
      <c r="Q347" s="8" t="n">
        <v>483.55</v>
      </c>
      <c r="R347" s="8" t="n">
        <v>752.2</v>
      </c>
      <c r="S347" s="8" t="n">
        <v>457.6</v>
      </c>
    </row>
    <row r="348" customFormat="false" ht="15" hidden="false" customHeight="false" outlineLevel="0" collapsed="false">
      <c r="A348" s="7" t="n">
        <v>45309</v>
      </c>
      <c r="B348" s="8" t="n">
        <v>21462.25</v>
      </c>
      <c r="C348" s="8" t="n">
        <v>19414.8</v>
      </c>
      <c r="D348" s="8" t="n">
        <v>1501.15</v>
      </c>
      <c r="E348" s="8" t="n">
        <v>777.9</v>
      </c>
      <c r="F348" s="8" t="n">
        <v>983.95</v>
      </c>
      <c r="G348" s="8" t="n">
        <v>576.15</v>
      </c>
      <c r="H348" s="8" t="n">
        <v>856.2</v>
      </c>
      <c r="I348" s="8" t="n">
        <v>404</v>
      </c>
      <c r="J348" s="8" t="n">
        <v>2498.9</v>
      </c>
      <c r="K348" s="8" t="n">
        <v>725.57</v>
      </c>
      <c r="L348" s="8" t="n">
        <v>1291.65</v>
      </c>
      <c r="M348" s="8" t="n">
        <v>1648.7</v>
      </c>
      <c r="N348" s="8" t="n">
        <v>620.51</v>
      </c>
      <c r="O348" s="8" t="n">
        <v>277.8</v>
      </c>
      <c r="P348" s="8" t="n">
        <v>1380.3</v>
      </c>
      <c r="Q348" s="8" t="n">
        <v>490.4</v>
      </c>
      <c r="R348" s="8" t="n">
        <v>750.25</v>
      </c>
      <c r="S348" s="8" t="n">
        <v>451.08</v>
      </c>
    </row>
    <row r="349" customFormat="false" ht="15" hidden="false" customHeight="false" outlineLevel="0" collapsed="false">
      <c r="A349" s="7" t="n">
        <v>45310</v>
      </c>
      <c r="B349" s="8" t="n">
        <v>21622.4</v>
      </c>
      <c r="C349" s="8" t="n">
        <v>19606.4</v>
      </c>
      <c r="D349" s="8" t="n">
        <v>1488.8</v>
      </c>
      <c r="E349" s="8" t="n">
        <v>794.15</v>
      </c>
      <c r="F349" s="8" t="n">
        <v>1009.15</v>
      </c>
      <c r="G349" s="8" t="n">
        <v>584.35</v>
      </c>
      <c r="H349" s="8" t="n">
        <v>876.9</v>
      </c>
      <c r="I349" s="8" t="n">
        <v>411.8</v>
      </c>
      <c r="J349" s="8" t="n">
        <v>2509.45</v>
      </c>
      <c r="K349" s="8" t="n">
        <v>730.92</v>
      </c>
      <c r="L349" s="8" t="n">
        <v>1265.55</v>
      </c>
      <c r="M349" s="8" t="n">
        <v>1675.45</v>
      </c>
      <c r="N349" s="8" t="n">
        <v>636.87</v>
      </c>
      <c r="O349" s="8" t="n">
        <v>282.35</v>
      </c>
      <c r="P349" s="8" t="n">
        <v>1431.1</v>
      </c>
      <c r="Q349" s="8" t="n">
        <v>503.65</v>
      </c>
      <c r="R349" s="8" t="n">
        <v>749.2</v>
      </c>
      <c r="S349" s="8" t="n">
        <v>460.37</v>
      </c>
    </row>
    <row r="350" customFormat="false" ht="15" hidden="false" customHeight="false" outlineLevel="0" collapsed="false">
      <c r="A350" s="7" t="n">
        <v>45311</v>
      </c>
      <c r="B350" s="8" t="n">
        <v>21571.8</v>
      </c>
      <c r="C350" s="8" t="n">
        <v>19601.9</v>
      </c>
      <c r="D350" s="8" t="n">
        <v>1520</v>
      </c>
      <c r="E350" s="8" t="n">
        <v>768.35</v>
      </c>
      <c r="F350" s="8" t="n">
        <v>989</v>
      </c>
      <c r="G350" s="8" t="n">
        <v>577.75</v>
      </c>
      <c r="H350" s="8" t="n">
        <v>868.9</v>
      </c>
      <c r="I350" s="8" t="n">
        <v>405.2</v>
      </c>
      <c r="J350" s="8" t="n">
        <v>2490</v>
      </c>
      <c r="K350" s="8" t="n">
        <v>729.14</v>
      </c>
      <c r="L350" s="8" t="n">
        <v>1261.05</v>
      </c>
      <c r="M350" s="8" t="n">
        <v>1667.85</v>
      </c>
      <c r="N350" s="8" t="n">
        <v>641.55</v>
      </c>
      <c r="O350" s="8" t="n">
        <v>281.6</v>
      </c>
      <c r="P350" s="8" t="n">
        <v>1408.3</v>
      </c>
      <c r="Q350" s="8" t="n">
        <v>488.95</v>
      </c>
      <c r="R350" s="8" t="n">
        <v>745</v>
      </c>
      <c r="S350" s="8" t="n">
        <v>459.8</v>
      </c>
    </row>
    <row r="351" customFormat="false" ht="15" hidden="false" customHeight="false" outlineLevel="0" collapsed="false">
      <c r="A351" s="7" t="n">
        <v>45314</v>
      </c>
      <c r="B351" s="8" t="n">
        <v>21238.8</v>
      </c>
      <c r="C351" s="8" t="n">
        <v>19206.45</v>
      </c>
      <c r="D351" s="8" t="n">
        <v>1502.15</v>
      </c>
      <c r="E351" s="8" t="n">
        <v>725.4</v>
      </c>
      <c r="F351" s="8" t="n">
        <v>990.35</v>
      </c>
      <c r="G351" s="8" t="n">
        <v>560.75</v>
      </c>
      <c r="H351" s="8" t="n">
        <v>863.6</v>
      </c>
      <c r="I351" s="8" t="n">
        <v>400.6</v>
      </c>
      <c r="J351" s="8" t="n">
        <v>2394.8</v>
      </c>
      <c r="K351" s="8" t="n">
        <v>706.11</v>
      </c>
      <c r="L351" s="8" t="n">
        <v>1220.25</v>
      </c>
      <c r="M351" s="8" t="n">
        <v>1624.5</v>
      </c>
      <c r="N351" s="8" t="n">
        <v>606.96</v>
      </c>
      <c r="O351" s="8" t="n">
        <v>270.55</v>
      </c>
      <c r="P351" s="8" t="n">
        <v>1363.95</v>
      </c>
      <c r="Q351" s="8" t="n">
        <v>482.75</v>
      </c>
      <c r="R351" s="8" t="n">
        <v>729.9</v>
      </c>
      <c r="S351" s="8" t="n">
        <v>455.9</v>
      </c>
    </row>
    <row r="352" customFormat="false" ht="15" hidden="false" customHeight="false" outlineLevel="0" collapsed="false">
      <c r="A352" s="7" t="n">
        <v>45315</v>
      </c>
      <c r="B352" s="8" t="n">
        <v>21453.95</v>
      </c>
      <c r="C352" s="8" t="n">
        <v>19451</v>
      </c>
      <c r="D352" s="8" t="n">
        <v>1493.7</v>
      </c>
      <c r="E352" s="8" t="n">
        <v>745.65</v>
      </c>
      <c r="F352" s="8" t="n">
        <v>997.1</v>
      </c>
      <c r="G352" s="8" t="n">
        <v>577.4</v>
      </c>
      <c r="H352" s="8" t="n">
        <v>859.8</v>
      </c>
      <c r="I352" s="8" t="n">
        <v>403.9</v>
      </c>
      <c r="J352" s="8" t="n">
        <v>2349.9</v>
      </c>
      <c r="K352" s="8" t="n">
        <v>704.57</v>
      </c>
      <c r="L352" s="8" t="n">
        <v>1245.8</v>
      </c>
      <c r="M352" s="8" t="n">
        <v>1553.8</v>
      </c>
      <c r="N352" s="8" t="n">
        <v>595.01</v>
      </c>
      <c r="O352" s="8" t="n">
        <v>272.55</v>
      </c>
      <c r="P352" s="8" t="n">
        <v>1403.75</v>
      </c>
      <c r="Q352" s="8" t="n">
        <v>477.85</v>
      </c>
      <c r="R352" s="8" t="n">
        <v>746.95</v>
      </c>
      <c r="S352" s="8" t="n">
        <v>460.49</v>
      </c>
    </row>
    <row r="353" customFormat="false" ht="15" hidden="false" customHeight="false" outlineLevel="0" collapsed="false">
      <c r="A353" s="7" t="n">
        <v>45316</v>
      </c>
      <c r="B353" s="8" t="n">
        <v>21352.6</v>
      </c>
      <c r="C353" s="8" t="n">
        <v>19393</v>
      </c>
      <c r="D353" s="8" t="n">
        <v>1508.25</v>
      </c>
      <c r="E353" s="8" t="n">
        <v>770.5</v>
      </c>
      <c r="F353" s="8" t="n">
        <v>964.5</v>
      </c>
      <c r="G353" s="8" t="n">
        <v>579.2</v>
      </c>
      <c r="H353" s="8" t="n">
        <v>820.9</v>
      </c>
      <c r="I353" s="8" t="n">
        <v>394.7</v>
      </c>
      <c r="J353" s="8" t="n">
        <v>2338.95</v>
      </c>
      <c r="K353" s="8" t="n">
        <v>707.59</v>
      </c>
      <c r="L353" s="8" t="n">
        <v>1244.7</v>
      </c>
      <c r="M353" s="8" t="n">
        <v>1591.4</v>
      </c>
      <c r="N353" s="8" t="n">
        <v>584.52</v>
      </c>
      <c r="O353" s="8" t="n">
        <v>270.15</v>
      </c>
      <c r="P353" s="8" t="n">
        <v>1388.15</v>
      </c>
      <c r="Q353" s="8" t="n">
        <v>477.7</v>
      </c>
      <c r="R353" s="8" t="n">
        <v>759.85</v>
      </c>
      <c r="S353" s="8" t="n">
        <v>461.43</v>
      </c>
    </row>
    <row r="354" customFormat="false" ht="15" hidden="false" customHeight="false" outlineLevel="0" collapsed="false">
      <c r="A354" s="7" t="n">
        <v>45320</v>
      </c>
      <c r="B354" s="8" t="n">
        <v>21737.6</v>
      </c>
      <c r="C354" s="8" t="n">
        <v>19711.65</v>
      </c>
      <c r="D354" s="8" t="n">
        <v>1516.25</v>
      </c>
      <c r="E354" s="8" t="n">
        <v>766</v>
      </c>
      <c r="F354" s="8" t="n">
        <v>986.35</v>
      </c>
      <c r="G354" s="8" t="n">
        <v>600</v>
      </c>
      <c r="H354" s="8" t="n">
        <v>791.25</v>
      </c>
      <c r="I354" s="8" t="n">
        <v>403.3</v>
      </c>
      <c r="J354" s="8" t="n">
        <v>2321.8</v>
      </c>
      <c r="K354" s="8" t="n">
        <v>718.19</v>
      </c>
      <c r="L354" s="8" t="n">
        <v>1230.8</v>
      </c>
      <c r="M354" s="8" t="n">
        <v>1558.45</v>
      </c>
      <c r="N354" s="8" t="n">
        <v>599.77</v>
      </c>
      <c r="O354" s="8" t="n">
        <v>278.6</v>
      </c>
      <c r="P354" s="8" t="n">
        <v>1393.95</v>
      </c>
      <c r="Q354" s="8" t="n">
        <v>482.9</v>
      </c>
      <c r="R354" s="8" t="n">
        <v>715.55</v>
      </c>
      <c r="S354" s="8" t="n">
        <v>481.8</v>
      </c>
    </row>
    <row r="355" customFormat="false" ht="15" hidden="false" customHeight="false" outlineLevel="0" collapsed="false">
      <c r="A355" s="7" t="n">
        <v>45321</v>
      </c>
      <c r="B355" s="8" t="n">
        <v>21522.1</v>
      </c>
      <c r="C355" s="8" t="n">
        <v>19574.2</v>
      </c>
      <c r="D355" s="8" t="n">
        <v>1494.3</v>
      </c>
      <c r="E355" s="8" t="n">
        <v>764.35</v>
      </c>
      <c r="F355" s="8" t="n">
        <v>973.2</v>
      </c>
      <c r="G355" s="8" t="n">
        <v>617.35</v>
      </c>
      <c r="H355" s="8" t="n">
        <v>763.15</v>
      </c>
      <c r="I355" s="8" t="n">
        <v>411.05</v>
      </c>
      <c r="J355" s="8" t="n">
        <v>2292.75</v>
      </c>
      <c r="K355" s="8" t="n">
        <v>680.79</v>
      </c>
      <c r="L355" s="8" t="n">
        <v>1214.05</v>
      </c>
      <c r="M355" s="8" t="n">
        <v>1559.55</v>
      </c>
      <c r="N355" s="8" t="n">
        <v>595.01</v>
      </c>
      <c r="O355" s="8" t="n">
        <v>279.55</v>
      </c>
      <c r="P355" s="8" t="n">
        <v>1389.85</v>
      </c>
      <c r="Q355" s="8" t="n">
        <v>474.05</v>
      </c>
      <c r="R355" s="8" t="n">
        <v>712.55</v>
      </c>
      <c r="S355" s="8" t="n">
        <v>490.59</v>
      </c>
    </row>
    <row r="356" customFormat="false" ht="15" hidden="false" customHeight="false" outlineLevel="0" collapsed="false">
      <c r="A356" s="7" t="n">
        <v>45322</v>
      </c>
      <c r="B356" s="8" t="n">
        <v>21725.7</v>
      </c>
      <c r="C356" s="8" t="n">
        <v>19802.1</v>
      </c>
      <c r="D356" s="8" t="n">
        <v>1476.55</v>
      </c>
      <c r="E356" s="8" t="n">
        <v>776.4</v>
      </c>
      <c r="F356" s="8" t="n">
        <v>984.7</v>
      </c>
      <c r="G356" s="8" t="n">
        <v>625.6</v>
      </c>
      <c r="H356" s="8" t="n">
        <v>784.6</v>
      </c>
      <c r="I356" s="8" t="n">
        <v>407.1</v>
      </c>
      <c r="J356" s="8" t="n">
        <v>2332.8</v>
      </c>
      <c r="K356" s="8" t="n">
        <v>685.36</v>
      </c>
      <c r="L356" s="8" t="n">
        <v>1184.15</v>
      </c>
      <c r="M356" s="8" t="n">
        <v>1589.8</v>
      </c>
      <c r="N356" s="8" t="n">
        <v>605.59</v>
      </c>
      <c r="O356" s="8" t="n">
        <v>289.2</v>
      </c>
      <c r="P356" s="8" t="n">
        <v>1394.95</v>
      </c>
      <c r="Q356" s="8" t="n">
        <v>478.3</v>
      </c>
      <c r="R356" s="8" t="n">
        <v>715.35</v>
      </c>
      <c r="S356" s="8" t="n">
        <v>493.36</v>
      </c>
    </row>
    <row r="357" customFormat="false" ht="15" hidden="false" customHeight="false" outlineLevel="0" collapsed="false">
      <c r="A357" s="7" t="n">
        <v>45323</v>
      </c>
      <c r="B357" s="8" t="n">
        <v>21697.45</v>
      </c>
      <c r="C357" s="8" t="n">
        <v>19777.35</v>
      </c>
      <c r="D357" s="8" t="n">
        <v>1504.85</v>
      </c>
      <c r="E357" s="8" t="n">
        <v>794.95</v>
      </c>
      <c r="F357" s="8" t="n">
        <v>990</v>
      </c>
      <c r="G357" s="8" t="n">
        <v>629.65</v>
      </c>
      <c r="H357" s="8" t="n">
        <v>820.1</v>
      </c>
      <c r="I357" s="8" t="n">
        <v>452.95</v>
      </c>
      <c r="J357" s="8" t="n">
        <v>2330.3</v>
      </c>
      <c r="K357" s="8" t="n">
        <v>673.41</v>
      </c>
      <c r="L357" s="8" t="n">
        <v>1145.05</v>
      </c>
      <c r="M357" s="8" t="n">
        <v>1593.85</v>
      </c>
      <c r="N357" s="8" t="n">
        <v>588.6</v>
      </c>
      <c r="O357" s="8" t="n">
        <v>284.55</v>
      </c>
      <c r="P357" s="8" t="n">
        <v>1360.85</v>
      </c>
      <c r="Q357" s="8" t="n">
        <v>476.1</v>
      </c>
      <c r="R357" s="8" t="n">
        <v>711.95</v>
      </c>
      <c r="S357" s="8" t="n">
        <v>479.44</v>
      </c>
    </row>
    <row r="358" customFormat="false" ht="15" hidden="false" customHeight="false" outlineLevel="0" collapsed="false">
      <c r="A358" s="7" t="n">
        <v>45324</v>
      </c>
      <c r="B358" s="8" t="n">
        <v>21853.8</v>
      </c>
      <c r="C358" s="8" t="n">
        <v>19910.8</v>
      </c>
      <c r="D358" s="8" t="n">
        <v>1484.05</v>
      </c>
      <c r="E358" s="8" t="n">
        <v>828.85</v>
      </c>
      <c r="F358" s="8" t="n">
        <v>981.75</v>
      </c>
      <c r="G358" s="8" t="n">
        <v>634.25</v>
      </c>
      <c r="H358" s="8" t="n">
        <v>800.9</v>
      </c>
      <c r="I358" s="8" t="n">
        <v>455.3</v>
      </c>
      <c r="J358" s="8" t="n">
        <v>2435.95</v>
      </c>
      <c r="K358" s="8" t="n">
        <v>683.9</v>
      </c>
      <c r="L358" s="8" t="n">
        <v>1160.85</v>
      </c>
      <c r="M358" s="8" t="n">
        <v>1608.05</v>
      </c>
      <c r="N358" s="8" t="n">
        <v>581.12</v>
      </c>
      <c r="O358" s="8" t="n">
        <v>287.45</v>
      </c>
      <c r="P358" s="8" t="n">
        <v>1377.45</v>
      </c>
      <c r="Q358" s="8" t="n">
        <v>467.7</v>
      </c>
      <c r="R358" s="8" t="n">
        <v>711.25</v>
      </c>
      <c r="S358" s="8" t="n">
        <v>481.1</v>
      </c>
    </row>
    <row r="359" customFormat="false" ht="15" hidden="false" customHeight="false" outlineLevel="0" collapsed="false">
      <c r="A359" s="7" t="n">
        <v>45327</v>
      </c>
      <c r="B359" s="8" t="n">
        <v>21771.7</v>
      </c>
      <c r="C359" s="8" t="n">
        <v>19853.5</v>
      </c>
      <c r="D359" s="8" t="n">
        <v>1438.5</v>
      </c>
      <c r="E359" s="8" t="n">
        <v>801.75</v>
      </c>
      <c r="F359" s="8" t="n">
        <v>971.6</v>
      </c>
      <c r="G359" s="8" t="n">
        <v>640.4</v>
      </c>
      <c r="H359" s="8" t="n">
        <v>791.7</v>
      </c>
      <c r="I359" s="8" t="n">
        <v>447.9</v>
      </c>
      <c r="J359" s="8" t="n">
        <v>2260.85</v>
      </c>
      <c r="K359" s="8" t="n">
        <v>659.92</v>
      </c>
      <c r="L359" s="8" t="n">
        <v>1136.35</v>
      </c>
      <c r="M359" s="8" t="n">
        <v>1578.95</v>
      </c>
      <c r="N359" s="8" t="n">
        <v>576.99</v>
      </c>
      <c r="O359" s="8" t="n">
        <v>286.7</v>
      </c>
      <c r="P359" s="8" t="n">
        <v>1364.4</v>
      </c>
      <c r="Q359" s="8" t="n">
        <v>480.1</v>
      </c>
      <c r="R359" s="8" t="n">
        <v>703.15</v>
      </c>
      <c r="S359" s="8" t="n">
        <v>471.42</v>
      </c>
    </row>
    <row r="360" customFormat="false" ht="15" hidden="false" customHeight="false" outlineLevel="0" collapsed="false">
      <c r="A360" s="7" t="n">
        <v>45328</v>
      </c>
      <c r="B360" s="8" t="n">
        <v>21929.4</v>
      </c>
      <c r="C360" s="8" t="n">
        <v>20033.75</v>
      </c>
      <c r="D360" s="8" t="n">
        <v>1447</v>
      </c>
      <c r="E360" s="8" t="n">
        <v>818.1</v>
      </c>
      <c r="F360" s="8" t="n">
        <v>969.3</v>
      </c>
      <c r="G360" s="8" t="n">
        <v>648.5</v>
      </c>
      <c r="H360" s="8" t="n">
        <v>806.55</v>
      </c>
      <c r="I360" s="8" t="n">
        <v>452.35</v>
      </c>
      <c r="J360" s="8" t="n">
        <v>2343.65</v>
      </c>
      <c r="K360" s="8" t="n">
        <v>658.92</v>
      </c>
      <c r="L360" s="8" t="n">
        <v>1157.05</v>
      </c>
      <c r="M360" s="8" t="n">
        <v>1619.1</v>
      </c>
      <c r="N360" s="8" t="n">
        <v>577.62</v>
      </c>
      <c r="O360" s="8" t="n">
        <v>291.75</v>
      </c>
      <c r="P360" s="8" t="n">
        <v>1390.5</v>
      </c>
      <c r="Q360" s="8" t="n">
        <v>488.55</v>
      </c>
      <c r="R360" s="8" t="n">
        <v>708.6</v>
      </c>
      <c r="S360" s="8" t="n">
        <v>479.29</v>
      </c>
    </row>
    <row r="361" customFormat="false" ht="15" hidden="false" customHeight="false" outlineLevel="0" collapsed="false">
      <c r="A361" s="7" t="n">
        <v>45329</v>
      </c>
      <c r="B361" s="8" t="n">
        <v>21930.5</v>
      </c>
      <c r="C361" s="8" t="n">
        <v>20109.55</v>
      </c>
      <c r="D361" s="8" t="n">
        <v>1438.45</v>
      </c>
      <c r="E361" s="8" t="n">
        <v>850.95</v>
      </c>
      <c r="F361" s="8" t="n">
        <v>995.3</v>
      </c>
      <c r="G361" s="8" t="n">
        <v>646</v>
      </c>
      <c r="H361" s="8" t="n">
        <v>821.3</v>
      </c>
      <c r="I361" s="8" t="n">
        <v>474.85</v>
      </c>
      <c r="J361" s="8" t="n">
        <v>2303.85</v>
      </c>
      <c r="K361" s="8" t="n">
        <v>670.01</v>
      </c>
      <c r="L361" s="8" t="n">
        <v>1159.8</v>
      </c>
      <c r="M361" s="8" t="n">
        <v>1616.7</v>
      </c>
      <c r="N361" s="8" t="n">
        <v>588.65</v>
      </c>
      <c r="O361" s="8" t="n">
        <v>296.8</v>
      </c>
      <c r="P361" s="8" t="n">
        <v>1425.15</v>
      </c>
      <c r="Q361" s="8" t="n">
        <v>494</v>
      </c>
      <c r="R361" s="8" t="n">
        <v>725.15</v>
      </c>
      <c r="S361" s="8" t="n">
        <v>482.73</v>
      </c>
    </row>
    <row r="362" customFormat="false" ht="15" hidden="false" customHeight="false" outlineLevel="0" collapsed="false">
      <c r="A362" s="7" t="n">
        <v>45330</v>
      </c>
      <c r="B362" s="8" t="n">
        <v>21717.95</v>
      </c>
      <c r="C362" s="8" t="n">
        <v>19987.55</v>
      </c>
      <c r="D362" s="8" t="n">
        <v>1418.05</v>
      </c>
      <c r="E362" s="8" t="n">
        <v>813.3</v>
      </c>
      <c r="F362" s="8" t="n">
        <v>998.9</v>
      </c>
      <c r="G362" s="8" t="n">
        <v>647.6</v>
      </c>
      <c r="H362" s="8" t="n">
        <v>808.55</v>
      </c>
      <c r="I362" s="8" t="n">
        <v>468.15</v>
      </c>
      <c r="J362" s="8" t="n">
        <v>2274.35</v>
      </c>
      <c r="K362" s="8" t="n">
        <v>656.67</v>
      </c>
      <c r="L362" s="8" t="n">
        <v>1133.45</v>
      </c>
      <c r="M362" s="8" t="n">
        <v>1550.4</v>
      </c>
      <c r="N362" s="8" t="n">
        <v>574.41</v>
      </c>
      <c r="O362" s="8" t="n">
        <v>291.85</v>
      </c>
      <c r="P362" s="8" t="n">
        <v>1359.75</v>
      </c>
      <c r="Q362" s="8" t="n">
        <v>488.6</v>
      </c>
      <c r="R362" s="8" t="n">
        <v>721.45</v>
      </c>
      <c r="S362" s="8" t="n">
        <v>469.59</v>
      </c>
    </row>
    <row r="363" customFormat="false" ht="15" hidden="false" customHeight="false" outlineLevel="0" collapsed="false">
      <c r="A363" s="7" t="n">
        <v>45331</v>
      </c>
      <c r="B363" s="8" t="n">
        <v>21782.5</v>
      </c>
      <c r="C363" s="8" t="n">
        <v>19961.5</v>
      </c>
      <c r="D363" s="8" t="n">
        <v>1408.5</v>
      </c>
      <c r="E363" s="8" t="n">
        <v>809.15</v>
      </c>
      <c r="F363" s="8" t="n">
        <v>983.55</v>
      </c>
      <c r="G363" s="8" t="n">
        <v>650.2</v>
      </c>
      <c r="H363" s="8" t="n">
        <v>825.85</v>
      </c>
      <c r="I363" s="8" t="n">
        <v>458.15</v>
      </c>
      <c r="J363" s="8" t="n">
        <v>2294.15</v>
      </c>
      <c r="K363" s="8" t="n">
        <v>664.55</v>
      </c>
      <c r="L363" s="8" t="n">
        <v>1122.3</v>
      </c>
      <c r="M363" s="8" t="n">
        <v>1596.05</v>
      </c>
      <c r="N363" s="8" t="n">
        <v>565.91</v>
      </c>
      <c r="O363" s="8" t="n">
        <v>288.85</v>
      </c>
      <c r="P363" s="8" t="n">
        <v>1377.7</v>
      </c>
      <c r="Q363" s="8" t="n">
        <v>480.85</v>
      </c>
      <c r="R363" s="8" t="n">
        <v>718.4</v>
      </c>
      <c r="S363" s="8" t="n">
        <v>466.82</v>
      </c>
    </row>
    <row r="364" customFormat="false" ht="15" hidden="false" customHeight="false" outlineLevel="0" collapsed="false">
      <c r="A364" s="7" t="n">
        <v>45334</v>
      </c>
      <c r="B364" s="8" t="n">
        <v>21616.05</v>
      </c>
      <c r="C364" s="8" t="n">
        <v>19675.2</v>
      </c>
      <c r="D364" s="8" t="n">
        <v>1385.45</v>
      </c>
      <c r="E364" s="8" t="n">
        <v>784.15</v>
      </c>
      <c r="F364" s="8" t="n">
        <v>953.1</v>
      </c>
      <c r="G364" s="8" t="n">
        <v>620.45</v>
      </c>
      <c r="H364" s="8" t="n">
        <v>787.35</v>
      </c>
      <c r="I364" s="8" t="n">
        <v>424.5</v>
      </c>
      <c r="J364" s="8" t="n">
        <v>2204</v>
      </c>
      <c r="K364" s="8" t="n">
        <v>656.02</v>
      </c>
      <c r="L364" s="8" t="n">
        <v>1101.55</v>
      </c>
      <c r="M364" s="8" t="n">
        <v>1624.8</v>
      </c>
      <c r="N364" s="8" t="n">
        <v>556.15</v>
      </c>
      <c r="O364" s="8" t="n">
        <v>280.55</v>
      </c>
      <c r="P364" s="8" t="n">
        <v>1351.2</v>
      </c>
      <c r="Q364" s="8" t="n">
        <v>470.55</v>
      </c>
      <c r="R364" s="8" t="n">
        <v>712.85</v>
      </c>
      <c r="S364" s="8" t="n">
        <v>452.45</v>
      </c>
    </row>
    <row r="365" customFormat="false" ht="15" hidden="false" customHeight="false" outlineLevel="0" collapsed="false">
      <c r="A365" s="7" t="n">
        <v>45335</v>
      </c>
      <c r="B365" s="8" t="n">
        <v>21743.25</v>
      </c>
      <c r="C365" s="8" t="n">
        <v>19782.9</v>
      </c>
      <c r="D365" s="8" t="n">
        <v>1412.25</v>
      </c>
      <c r="E365" s="8" t="n">
        <v>797.55</v>
      </c>
      <c r="F365" s="8" t="n">
        <v>954.3</v>
      </c>
      <c r="G365" s="8" t="n">
        <v>631</v>
      </c>
      <c r="H365" s="8" t="n">
        <v>777.7</v>
      </c>
      <c r="I365" s="8" t="n">
        <v>456.2</v>
      </c>
      <c r="J365" s="8" t="n">
        <v>2239.55</v>
      </c>
      <c r="K365" s="8" t="n">
        <v>659.47</v>
      </c>
      <c r="L365" s="8" t="n">
        <v>1141.7</v>
      </c>
      <c r="M365" s="8" t="n">
        <v>1631.4</v>
      </c>
      <c r="N365" s="8" t="n">
        <v>558.58</v>
      </c>
      <c r="O365" s="8" t="n">
        <v>286.55</v>
      </c>
      <c r="P365" s="8" t="n">
        <v>1367.4</v>
      </c>
      <c r="Q365" s="8" t="n">
        <v>483.6</v>
      </c>
      <c r="R365" s="8" t="n">
        <v>721</v>
      </c>
      <c r="S365" s="8" t="n">
        <v>466.13</v>
      </c>
    </row>
    <row r="366" customFormat="false" ht="15" hidden="false" customHeight="false" outlineLevel="0" collapsed="false">
      <c r="A366" s="7" t="n">
        <v>45336</v>
      </c>
      <c r="B366" s="8" t="n">
        <v>21840.05</v>
      </c>
      <c r="C366" s="8" t="n">
        <v>19922.3</v>
      </c>
      <c r="D366" s="8" t="n">
        <v>1436.85</v>
      </c>
      <c r="E366" s="8" t="n">
        <v>804.1</v>
      </c>
      <c r="F366" s="8" t="n">
        <v>935.3</v>
      </c>
      <c r="G366" s="8" t="n">
        <v>636.6</v>
      </c>
      <c r="H366" s="8" t="n">
        <v>783.95</v>
      </c>
      <c r="I366" s="8" t="n">
        <v>476.7</v>
      </c>
      <c r="J366" s="8" t="n">
        <v>2299.7</v>
      </c>
      <c r="K366" s="8" t="n">
        <v>663.75</v>
      </c>
      <c r="L366" s="8" t="n">
        <v>1125.2</v>
      </c>
      <c r="M366" s="8" t="n">
        <v>1594.65</v>
      </c>
      <c r="N366" s="8" t="n">
        <v>557.95</v>
      </c>
      <c r="O366" s="8" t="n">
        <v>289</v>
      </c>
      <c r="P366" s="8" t="n">
        <v>1379.25</v>
      </c>
      <c r="Q366" s="8" t="n">
        <v>486</v>
      </c>
      <c r="R366" s="8" t="n">
        <v>719.15</v>
      </c>
      <c r="S366" s="8" t="n">
        <v>478.66</v>
      </c>
    </row>
    <row r="367" customFormat="false" ht="15" hidden="false" customHeight="false" outlineLevel="0" collapsed="false">
      <c r="A367" s="7" t="n">
        <v>45337</v>
      </c>
      <c r="B367" s="8" t="n">
        <v>21910.75</v>
      </c>
      <c r="C367" s="8" t="n">
        <v>20037</v>
      </c>
      <c r="D367" s="8" t="n">
        <v>1420.2</v>
      </c>
      <c r="E367" s="8" t="n">
        <v>816.85</v>
      </c>
      <c r="F367" s="8" t="n">
        <v>929.15</v>
      </c>
      <c r="G367" s="8" t="n">
        <v>637.95</v>
      </c>
      <c r="H367" s="8" t="n">
        <v>781.85</v>
      </c>
      <c r="I367" s="8" t="n">
        <v>470</v>
      </c>
      <c r="J367" s="8" t="n">
        <v>2325</v>
      </c>
      <c r="K367" s="8" t="n">
        <v>661.04</v>
      </c>
      <c r="L367" s="8" t="n">
        <v>1124.5</v>
      </c>
      <c r="M367" s="8" t="n">
        <v>1557.1</v>
      </c>
      <c r="N367" s="8" t="n">
        <v>562.61</v>
      </c>
      <c r="O367" s="8" t="n">
        <v>286.45</v>
      </c>
      <c r="P367" s="8" t="n">
        <v>1343.35</v>
      </c>
      <c r="Q367" s="8" t="n">
        <v>492.1</v>
      </c>
      <c r="R367" s="8" t="n">
        <v>713.55</v>
      </c>
      <c r="S367" s="8" t="n">
        <v>487.52</v>
      </c>
    </row>
    <row r="368" customFormat="false" ht="15" hidden="false" customHeight="false" outlineLevel="0" collapsed="false">
      <c r="A368" s="7" t="n">
        <v>45338</v>
      </c>
      <c r="B368" s="8" t="n">
        <v>22040.7</v>
      </c>
      <c r="C368" s="8" t="n">
        <v>20164.9</v>
      </c>
      <c r="D368" s="8" t="n">
        <v>1422.75</v>
      </c>
      <c r="E368" s="8" t="n">
        <v>807.25</v>
      </c>
      <c r="F368" s="8" t="n">
        <v>939</v>
      </c>
      <c r="G368" s="8" t="n">
        <v>641.75</v>
      </c>
      <c r="H368" s="8" t="n">
        <v>768.8</v>
      </c>
      <c r="I368" s="8" t="n">
        <v>455.95</v>
      </c>
      <c r="J368" s="8" t="n">
        <v>2324.35</v>
      </c>
      <c r="K368" s="8" t="n">
        <v>661.02</v>
      </c>
      <c r="L368" s="8" t="n">
        <v>1144</v>
      </c>
      <c r="M368" s="8" t="n">
        <v>1558.4</v>
      </c>
      <c r="N368" s="8" t="n">
        <v>589.03</v>
      </c>
      <c r="O368" s="8" t="n">
        <v>289.5</v>
      </c>
      <c r="P368" s="8" t="n">
        <v>1357</v>
      </c>
      <c r="Q368" s="8" t="n">
        <v>468.1</v>
      </c>
      <c r="R368" s="8" t="n">
        <v>718.05</v>
      </c>
      <c r="S368" s="8" t="n">
        <v>489.88</v>
      </c>
    </row>
    <row r="369" customFormat="false" ht="15" hidden="false" customHeight="false" outlineLevel="0" collapsed="false">
      <c r="A369" s="7" t="n">
        <v>45341</v>
      </c>
      <c r="B369" s="8" t="n">
        <v>22122.25</v>
      </c>
      <c r="C369" s="8" t="n">
        <v>20241.1</v>
      </c>
      <c r="D369" s="8" t="n">
        <v>1442.25</v>
      </c>
      <c r="E369" s="8" t="n">
        <v>801.45</v>
      </c>
      <c r="F369" s="8" t="n">
        <v>882.9</v>
      </c>
      <c r="G369" s="8" t="n">
        <v>634.85</v>
      </c>
      <c r="H369" s="8" t="n">
        <v>747.2</v>
      </c>
      <c r="I369" s="8" t="n">
        <v>483.1</v>
      </c>
      <c r="J369" s="8" t="n">
        <v>2380</v>
      </c>
      <c r="K369" s="8" t="n">
        <v>670.37</v>
      </c>
      <c r="L369" s="8" t="n">
        <v>1133.35</v>
      </c>
      <c r="M369" s="8" t="n">
        <v>1530.9</v>
      </c>
      <c r="N369" s="8" t="n">
        <v>596.17</v>
      </c>
      <c r="O369" s="8" t="n">
        <v>288.65</v>
      </c>
      <c r="P369" s="8" t="n">
        <v>1354.95</v>
      </c>
      <c r="Q369" s="8" t="n">
        <v>473.2</v>
      </c>
      <c r="R369" s="8" t="n">
        <v>728.4</v>
      </c>
      <c r="S369" s="8" t="n">
        <v>487.98</v>
      </c>
    </row>
    <row r="370" customFormat="false" ht="15" hidden="false" customHeight="false" outlineLevel="0" collapsed="false">
      <c r="A370" s="7" t="n">
        <v>45342</v>
      </c>
      <c r="B370" s="8" t="n">
        <v>22196.95</v>
      </c>
      <c r="C370" s="8" t="n">
        <v>20271.9</v>
      </c>
      <c r="D370" s="8" t="n">
        <v>1437.55</v>
      </c>
      <c r="E370" s="8" t="n">
        <v>797.95</v>
      </c>
      <c r="F370" s="8" t="n">
        <v>928.9</v>
      </c>
      <c r="G370" s="8" t="n">
        <v>638.95</v>
      </c>
      <c r="H370" s="8" t="n">
        <v>742.7</v>
      </c>
      <c r="I370" s="8" t="n">
        <v>481.7</v>
      </c>
      <c r="J370" s="8" t="n">
        <v>2318.5</v>
      </c>
      <c r="K370" s="8" t="n">
        <v>675.44</v>
      </c>
      <c r="L370" s="8" t="n">
        <v>1099.9</v>
      </c>
      <c r="M370" s="8" t="n">
        <v>1499.25</v>
      </c>
      <c r="N370" s="8" t="n">
        <v>582.57</v>
      </c>
      <c r="O370" s="8" t="n">
        <v>290.15</v>
      </c>
      <c r="P370" s="8" t="n">
        <v>1338.5</v>
      </c>
      <c r="Q370" s="8" t="n">
        <v>468.85</v>
      </c>
      <c r="R370" s="8" t="n">
        <v>739.75</v>
      </c>
      <c r="S370" s="8" t="n">
        <v>483.33</v>
      </c>
    </row>
    <row r="371" customFormat="false" ht="15" hidden="false" customHeight="false" outlineLevel="0" collapsed="false">
      <c r="A371" s="7" t="n">
        <v>45343</v>
      </c>
      <c r="B371" s="8" t="n">
        <v>22055.05</v>
      </c>
      <c r="C371" s="8" t="n">
        <v>20128.3</v>
      </c>
      <c r="D371" s="8" t="n">
        <v>1443.15</v>
      </c>
      <c r="E371" s="8" t="n">
        <v>786.1</v>
      </c>
      <c r="F371" s="8" t="n">
        <v>915.4</v>
      </c>
      <c r="G371" s="8" t="n">
        <v>640.9</v>
      </c>
      <c r="H371" s="8" t="n">
        <v>726.75</v>
      </c>
      <c r="I371" s="8" t="n">
        <v>463.3</v>
      </c>
      <c r="J371" s="8" t="n">
        <v>2259.6</v>
      </c>
      <c r="K371" s="8" t="n">
        <v>667.97</v>
      </c>
      <c r="L371" s="8" t="n">
        <v>1085.55</v>
      </c>
      <c r="M371" s="8" t="n">
        <v>1467.8</v>
      </c>
      <c r="N371" s="8" t="n">
        <v>585.2</v>
      </c>
      <c r="O371" s="8" t="n">
        <v>289</v>
      </c>
      <c r="P371" s="8" t="n">
        <v>1324.2</v>
      </c>
      <c r="Q371" s="8" t="n">
        <v>459.15</v>
      </c>
      <c r="R371" s="8" t="n">
        <v>739.25</v>
      </c>
      <c r="S371" s="8" t="n">
        <v>471.19</v>
      </c>
    </row>
    <row r="372" customFormat="false" ht="15" hidden="false" customHeight="false" outlineLevel="0" collapsed="false">
      <c r="A372" s="7" t="n">
        <v>45344</v>
      </c>
      <c r="B372" s="8" t="n">
        <v>22217.45</v>
      </c>
      <c r="C372" s="8" t="n">
        <v>20283.95</v>
      </c>
      <c r="D372" s="8" t="n">
        <v>1460.1</v>
      </c>
      <c r="E372" s="8" t="n">
        <v>794.85</v>
      </c>
      <c r="F372" s="8" t="n">
        <v>946.9</v>
      </c>
      <c r="G372" s="8" t="n">
        <v>642.25</v>
      </c>
      <c r="H372" s="8" t="n">
        <v>716.75</v>
      </c>
      <c r="I372" s="8" t="n">
        <v>460.85</v>
      </c>
      <c r="J372" s="8" t="n">
        <v>2254.35</v>
      </c>
      <c r="K372" s="8" t="n">
        <v>666.59</v>
      </c>
      <c r="L372" s="8" t="n">
        <v>1082.45</v>
      </c>
      <c r="M372" s="8" t="n">
        <v>1466.25</v>
      </c>
      <c r="N372" s="8" t="n">
        <v>581.94</v>
      </c>
      <c r="O372" s="8" t="n">
        <v>290.65</v>
      </c>
      <c r="P372" s="8" t="n">
        <v>1336.4</v>
      </c>
      <c r="Q372" s="8" t="n">
        <v>466.05</v>
      </c>
      <c r="R372" s="8" t="n">
        <v>740.75</v>
      </c>
      <c r="S372" s="8" t="n">
        <v>479.04</v>
      </c>
    </row>
    <row r="373" customFormat="false" ht="15" hidden="false" customHeight="false" outlineLevel="0" collapsed="false">
      <c r="A373" s="7" t="n">
        <v>45345</v>
      </c>
      <c r="B373" s="8" t="n">
        <v>22212.7</v>
      </c>
      <c r="C373" s="8" t="n">
        <v>20313.5</v>
      </c>
      <c r="D373" s="8" t="n">
        <v>1467.7</v>
      </c>
      <c r="E373" s="8" t="n">
        <v>799.65</v>
      </c>
      <c r="F373" s="8" t="n">
        <v>959.1</v>
      </c>
      <c r="G373" s="8" t="n">
        <v>642.3</v>
      </c>
      <c r="H373" s="8" t="n">
        <v>702.75</v>
      </c>
      <c r="I373" s="8" t="n">
        <v>451.35</v>
      </c>
      <c r="J373" s="8" t="n">
        <v>2283.75</v>
      </c>
      <c r="K373" s="8" t="n">
        <v>668.87</v>
      </c>
      <c r="L373" s="8" t="n">
        <v>1105.4</v>
      </c>
      <c r="M373" s="8" t="n">
        <v>1470.25</v>
      </c>
      <c r="N373" s="8" t="n">
        <v>583.79</v>
      </c>
      <c r="O373" s="8" t="n">
        <v>292.95</v>
      </c>
      <c r="P373" s="8" t="n">
        <v>1320.15</v>
      </c>
      <c r="Q373" s="8" t="n">
        <v>459.8</v>
      </c>
      <c r="R373" s="8" t="n">
        <v>739.05</v>
      </c>
      <c r="S373" s="8" t="n">
        <v>489.09</v>
      </c>
    </row>
    <row r="374" customFormat="false" ht="15" hidden="false" customHeight="false" outlineLevel="0" collapsed="false">
      <c r="A374" s="7" t="n">
        <v>45348</v>
      </c>
      <c r="B374" s="8" t="n">
        <v>22122.05</v>
      </c>
      <c r="C374" s="8" t="n">
        <v>20255.8</v>
      </c>
      <c r="D374" s="8" t="n">
        <v>1466.55</v>
      </c>
      <c r="E374" s="8" t="n">
        <v>799.3</v>
      </c>
      <c r="F374" s="8" t="n">
        <v>928.25</v>
      </c>
      <c r="G374" s="8" t="n">
        <v>659.15</v>
      </c>
      <c r="H374" s="8" t="n">
        <v>723.95</v>
      </c>
      <c r="I374" s="8" t="n">
        <v>456.3</v>
      </c>
      <c r="J374" s="8" t="n">
        <v>2286.15</v>
      </c>
      <c r="K374" s="8" t="n">
        <v>663.42</v>
      </c>
      <c r="L374" s="8" t="n">
        <v>1110.85</v>
      </c>
      <c r="M374" s="8" t="n">
        <v>1468.45</v>
      </c>
      <c r="N374" s="8" t="n">
        <v>591.8</v>
      </c>
      <c r="O374" s="8" t="n">
        <v>290.75</v>
      </c>
      <c r="P374" s="8" t="n">
        <v>1306.7</v>
      </c>
      <c r="Q374" s="8" t="n">
        <v>472.85</v>
      </c>
      <c r="R374" s="8" t="n">
        <v>729.9</v>
      </c>
      <c r="S374" s="8" t="n">
        <v>497.03</v>
      </c>
    </row>
    <row r="375" customFormat="false" ht="15" hidden="false" customHeight="false" outlineLevel="0" collapsed="false">
      <c r="A375" s="7" t="n">
        <v>45349</v>
      </c>
      <c r="B375" s="8" t="n">
        <v>22198.35</v>
      </c>
      <c r="C375" s="8" t="n">
        <v>20292.85</v>
      </c>
      <c r="D375" s="8" t="n">
        <v>1459.65</v>
      </c>
      <c r="E375" s="8" t="n">
        <v>791.55</v>
      </c>
      <c r="F375" s="8" t="n">
        <v>901.6</v>
      </c>
      <c r="G375" s="8" t="n">
        <v>649.55</v>
      </c>
      <c r="H375" s="8" t="n">
        <v>715.1</v>
      </c>
      <c r="I375" s="8" t="n">
        <v>442.35</v>
      </c>
      <c r="J375" s="8" t="n">
        <v>2280.4</v>
      </c>
      <c r="K375" s="8" t="n">
        <v>654.73</v>
      </c>
      <c r="L375" s="8" t="n">
        <v>1098.65</v>
      </c>
      <c r="M375" s="8" t="n">
        <v>1487.05</v>
      </c>
      <c r="N375" s="8" t="n">
        <v>590.49</v>
      </c>
      <c r="O375" s="8" t="n">
        <v>289</v>
      </c>
      <c r="P375" s="8" t="n">
        <v>1294.3</v>
      </c>
      <c r="Q375" s="8" t="n">
        <v>473.25</v>
      </c>
      <c r="R375" s="8" t="n">
        <v>731.8</v>
      </c>
      <c r="S375" s="8" t="n">
        <v>474.48</v>
      </c>
    </row>
    <row r="376" customFormat="false" ht="15" hidden="false" customHeight="false" outlineLevel="0" collapsed="false">
      <c r="A376" s="7" t="n">
        <v>45350</v>
      </c>
      <c r="B376" s="8" t="n">
        <v>21951.15</v>
      </c>
      <c r="C376" s="8" t="n">
        <v>20020.4</v>
      </c>
      <c r="D376" s="8" t="n">
        <v>1474.5</v>
      </c>
      <c r="E376" s="8" t="n">
        <v>767.7</v>
      </c>
      <c r="F376" s="8" t="n">
        <v>888.25</v>
      </c>
      <c r="G376" s="8" t="n">
        <v>638.15</v>
      </c>
      <c r="H376" s="8" t="n">
        <v>701.75</v>
      </c>
      <c r="I376" s="8" t="n">
        <v>436.6</v>
      </c>
      <c r="J376" s="8" t="n">
        <v>2200.4</v>
      </c>
      <c r="K376" s="8" t="n">
        <v>648.99</v>
      </c>
      <c r="L376" s="8" t="n">
        <v>1069.7</v>
      </c>
      <c r="M376" s="8" t="n">
        <v>1470.6</v>
      </c>
      <c r="N376" s="8" t="n">
        <v>564.6</v>
      </c>
      <c r="O376" s="8" t="n">
        <v>281.45</v>
      </c>
      <c r="P376" s="8" t="n">
        <v>1274.7</v>
      </c>
      <c r="Q376" s="8" t="n">
        <v>456</v>
      </c>
      <c r="R376" s="8" t="n">
        <v>729.45</v>
      </c>
      <c r="S376" s="8" t="n">
        <v>469.76</v>
      </c>
    </row>
    <row r="377" customFormat="false" ht="15" hidden="false" customHeight="false" outlineLevel="0" collapsed="false">
      <c r="A377" s="7" t="n">
        <v>45351</v>
      </c>
      <c r="B377" s="8" t="n">
        <v>21982.8</v>
      </c>
      <c r="C377" s="8" t="n">
        <v>20090.05</v>
      </c>
      <c r="D377" s="8" t="n">
        <v>1454.9</v>
      </c>
      <c r="E377" s="8" t="n">
        <v>774.45</v>
      </c>
      <c r="F377" s="8" t="n">
        <v>868.2</v>
      </c>
      <c r="G377" s="8" t="n">
        <v>647.95</v>
      </c>
      <c r="H377" s="8" t="n">
        <v>694.25</v>
      </c>
      <c r="I377" s="8" t="n">
        <v>436.8</v>
      </c>
      <c r="J377" s="8" t="n">
        <v>2073.7</v>
      </c>
      <c r="K377" s="8" t="n">
        <v>648.65</v>
      </c>
      <c r="L377" s="8" t="n">
        <v>1089.2</v>
      </c>
      <c r="M377" s="8" t="n">
        <v>1470.1</v>
      </c>
      <c r="N377" s="8" t="n">
        <v>573.44</v>
      </c>
      <c r="O377" s="8" t="n">
        <v>283.4</v>
      </c>
      <c r="P377" s="8" t="n">
        <v>1303.75</v>
      </c>
      <c r="Q377" s="8" t="n">
        <v>467</v>
      </c>
      <c r="R377" s="8" t="n">
        <v>719.65</v>
      </c>
      <c r="S377" s="8" t="n">
        <v>487.72</v>
      </c>
    </row>
    <row r="378" customFormat="false" ht="15" hidden="false" customHeight="false" outlineLevel="0" collapsed="false">
      <c r="A378" s="7" t="n">
        <v>45352</v>
      </c>
      <c r="B378" s="8" t="n">
        <v>22338.75</v>
      </c>
      <c r="C378" s="8" t="n">
        <v>20349.8</v>
      </c>
      <c r="D378" s="8" t="n">
        <v>1436.9</v>
      </c>
      <c r="E378" s="8" t="n">
        <v>792.55</v>
      </c>
      <c r="F378" s="8" t="n">
        <v>906.7</v>
      </c>
      <c r="G378" s="8" t="n">
        <v>648.75</v>
      </c>
      <c r="H378" s="8" t="n">
        <v>725.45</v>
      </c>
      <c r="I378" s="8" t="n">
        <v>434.65</v>
      </c>
      <c r="J378" s="8" t="n">
        <v>2054.5</v>
      </c>
      <c r="K378" s="8" t="n">
        <v>656.25</v>
      </c>
      <c r="L378" s="8" t="n">
        <v>1095.85</v>
      </c>
      <c r="M378" s="8" t="n">
        <v>1484.05</v>
      </c>
      <c r="N378" s="8" t="n">
        <v>604.48</v>
      </c>
      <c r="O378" s="8" t="n">
        <v>287.75</v>
      </c>
      <c r="P378" s="8" t="n">
        <v>1321.35</v>
      </c>
      <c r="Q378" s="8" t="n">
        <v>462.75</v>
      </c>
      <c r="R378" s="8" t="n">
        <v>717.9</v>
      </c>
      <c r="S378" s="8" t="n">
        <v>490.09</v>
      </c>
    </row>
    <row r="379" customFormat="false" ht="15" hidden="false" customHeight="false" outlineLevel="0" collapsed="false">
      <c r="A379" s="7" t="n">
        <v>45353</v>
      </c>
      <c r="B379" s="8" t="n">
        <v>22378.4</v>
      </c>
      <c r="C379" s="8" t="n">
        <v>20421.35</v>
      </c>
      <c r="D379" s="8" t="n">
        <v>1454.35</v>
      </c>
      <c r="E379" s="8" t="n">
        <v>790.45</v>
      </c>
      <c r="F379" s="8" t="n">
        <v>911</v>
      </c>
      <c r="G379" s="8" t="n">
        <v>648.4</v>
      </c>
      <c r="H379" s="8" t="n">
        <v>732.55</v>
      </c>
      <c r="I379" s="8" t="n">
        <v>443</v>
      </c>
      <c r="J379" s="8" t="n">
        <v>2077</v>
      </c>
      <c r="K379" s="8" t="n">
        <v>657.54</v>
      </c>
      <c r="L379" s="8" t="n">
        <v>1098.4</v>
      </c>
      <c r="M379" s="8" t="n">
        <v>1494</v>
      </c>
      <c r="N379" s="8" t="n">
        <v>622.55</v>
      </c>
      <c r="O379" s="8" t="n">
        <v>287.65</v>
      </c>
      <c r="P379" s="8" t="n">
        <v>1324</v>
      </c>
      <c r="Q379" s="8" t="n">
        <v>465.4</v>
      </c>
      <c r="R379" s="8" t="n">
        <v>721.3</v>
      </c>
      <c r="S379" s="8" t="n">
        <v>491.43</v>
      </c>
    </row>
    <row r="380" customFormat="false" ht="15" hidden="false" customHeight="false" outlineLevel="0" collapsed="false">
      <c r="A380" s="7" t="n">
        <v>45355</v>
      </c>
      <c r="B380" s="8" t="n">
        <v>22405.6</v>
      </c>
      <c r="C380" s="8" t="n">
        <v>20432.05</v>
      </c>
      <c r="D380" s="8" t="n">
        <v>1431.7</v>
      </c>
      <c r="E380" s="8" t="n">
        <v>790.8</v>
      </c>
      <c r="F380" s="8" t="n">
        <v>893.95</v>
      </c>
      <c r="G380" s="8" t="n">
        <v>657.75</v>
      </c>
      <c r="H380" s="8" t="n">
        <v>719.85</v>
      </c>
      <c r="I380" s="8" t="n">
        <v>441</v>
      </c>
      <c r="J380" s="8" t="n">
        <v>2039.25</v>
      </c>
      <c r="K380" s="8" t="n">
        <v>659.35</v>
      </c>
      <c r="L380" s="8" t="n">
        <v>1075.55</v>
      </c>
      <c r="M380" s="8" t="n">
        <v>1444.85</v>
      </c>
      <c r="N380" s="8" t="n">
        <v>580.05</v>
      </c>
      <c r="O380" s="8" t="n">
        <v>287.5</v>
      </c>
      <c r="P380" s="8" t="n">
        <v>1337.9</v>
      </c>
      <c r="Q380" s="8" t="n">
        <v>460.8</v>
      </c>
      <c r="R380" s="8" t="n">
        <v>716.9</v>
      </c>
      <c r="S380" s="8" t="n">
        <v>489.3</v>
      </c>
    </row>
    <row r="381" customFormat="false" ht="15" hidden="false" customHeight="false" outlineLevel="0" collapsed="false">
      <c r="A381" s="7" t="n">
        <v>45356</v>
      </c>
      <c r="B381" s="8" t="n">
        <v>22356.3</v>
      </c>
      <c r="C381" s="8" t="n">
        <v>20382</v>
      </c>
      <c r="D381" s="8" t="n">
        <v>1358.1</v>
      </c>
      <c r="E381" s="8" t="n">
        <v>791.95</v>
      </c>
      <c r="F381" s="8" t="n">
        <v>866.4</v>
      </c>
      <c r="G381" s="8" t="n">
        <v>656</v>
      </c>
      <c r="H381" s="8" t="n">
        <v>693.15</v>
      </c>
      <c r="I381" s="8" t="n">
        <v>431.45</v>
      </c>
      <c r="J381" s="8" t="n">
        <v>1978.95</v>
      </c>
      <c r="K381" s="8" t="n">
        <v>631.57</v>
      </c>
      <c r="L381" s="8" t="n">
        <v>1046.9</v>
      </c>
      <c r="M381" s="8" t="n">
        <v>1434.85</v>
      </c>
      <c r="N381" s="8" t="n">
        <v>464.07</v>
      </c>
      <c r="O381" s="8" t="n">
        <v>290.8</v>
      </c>
      <c r="P381" s="8" t="n">
        <v>1362.4</v>
      </c>
      <c r="Q381" s="8" t="n">
        <v>457.8</v>
      </c>
      <c r="R381" s="8" t="n">
        <v>716.05</v>
      </c>
      <c r="S381" s="8" t="n">
        <v>486.3</v>
      </c>
    </row>
    <row r="382" customFormat="false" ht="15" hidden="false" customHeight="false" outlineLevel="0" collapsed="false">
      <c r="A382" s="7" t="n">
        <v>45357</v>
      </c>
      <c r="B382" s="8" t="n">
        <v>22474.05</v>
      </c>
      <c r="C382" s="8" t="n">
        <v>20379.55</v>
      </c>
      <c r="D382" s="8" t="n">
        <v>1387.3</v>
      </c>
      <c r="E382" s="8" t="n">
        <v>784.8</v>
      </c>
      <c r="F382" s="8" t="n">
        <v>830.1</v>
      </c>
      <c r="G382" s="8" t="n">
        <v>640.15</v>
      </c>
      <c r="H382" s="8" t="n">
        <v>676.15</v>
      </c>
      <c r="I382" s="8" t="n">
        <v>407.3</v>
      </c>
      <c r="J382" s="8" t="n">
        <v>1903.8</v>
      </c>
      <c r="K382" s="8" t="n">
        <v>630.27</v>
      </c>
      <c r="L382" s="8" t="n">
        <v>1019.6</v>
      </c>
      <c r="M382" s="8" t="n">
        <v>1381.45</v>
      </c>
      <c r="N382" s="8" t="n">
        <v>371.25</v>
      </c>
      <c r="O382" s="8" t="n">
        <v>284.2</v>
      </c>
      <c r="P382" s="8" t="n">
        <v>1392.7</v>
      </c>
      <c r="Q382" s="8" t="n">
        <v>442.4</v>
      </c>
      <c r="R382" s="8" t="n">
        <v>702.2</v>
      </c>
      <c r="S382" s="8" t="n">
        <v>474.92</v>
      </c>
    </row>
    <row r="383" customFormat="false" ht="15" hidden="false" customHeight="false" outlineLevel="0" collapsed="false">
      <c r="A383" s="7" t="n">
        <v>45358</v>
      </c>
      <c r="B383" s="8" t="n">
        <v>22493.55</v>
      </c>
      <c r="C383" s="8" t="n">
        <v>20434.8</v>
      </c>
      <c r="D383" s="8" t="n">
        <v>1414.8</v>
      </c>
      <c r="E383" s="8" t="n">
        <v>786.6</v>
      </c>
      <c r="F383" s="8" t="n">
        <v>868.8</v>
      </c>
      <c r="G383" s="8" t="n">
        <v>637.6</v>
      </c>
      <c r="H383" s="8" t="n">
        <v>702.8</v>
      </c>
      <c r="I383" s="8" t="n">
        <v>415.7</v>
      </c>
      <c r="J383" s="8" t="n">
        <v>1888.95</v>
      </c>
      <c r="K383" s="8" t="n">
        <v>641.23</v>
      </c>
      <c r="L383" s="8" t="n">
        <v>1083.25</v>
      </c>
      <c r="M383" s="8" t="n">
        <v>1396.55</v>
      </c>
      <c r="N383" s="8" t="n">
        <v>408.21</v>
      </c>
      <c r="O383" s="8" t="n">
        <v>286.95</v>
      </c>
      <c r="P383" s="8" t="n">
        <v>1377.15</v>
      </c>
      <c r="Q383" s="8" t="n">
        <v>432.7</v>
      </c>
      <c r="R383" s="8" t="n">
        <v>707.5</v>
      </c>
      <c r="S383" s="8" t="n">
        <v>489.91</v>
      </c>
    </row>
    <row r="384" customFormat="false" ht="15" hidden="false" customHeight="false" outlineLevel="0" collapsed="false">
      <c r="A384" s="7" t="n">
        <v>45362</v>
      </c>
      <c r="B384" s="8" t="n">
        <v>22332.65</v>
      </c>
      <c r="C384" s="8" t="n">
        <v>20288.75</v>
      </c>
      <c r="D384" s="8" t="n">
        <v>1390.1</v>
      </c>
      <c r="E384" s="8" t="n">
        <v>771</v>
      </c>
      <c r="F384" s="8" t="n">
        <v>853.2</v>
      </c>
      <c r="G384" s="8" t="n">
        <v>634.6</v>
      </c>
      <c r="H384" s="8" t="n">
        <v>678.05</v>
      </c>
      <c r="I384" s="8" t="n">
        <v>421.95</v>
      </c>
      <c r="J384" s="8" t="n">
        <v>1862.6</v>
      </c>
      <c r="K384" s="8" t="n">
        <v>642.5</v>
      </c>
      <c r="L384" s="8" t="n">
        <v>1095.45</v>
      </c>
      <c r="M384" s="8" t="n">
        <v>1322.2</v>
      </c>
      <c r="N384" s="8" t="n">
        <v>379.02</v>
      </c>
      <c r="O384" s="8" t="n">
        <v>286.05</v>
      </c>
      <c r="P384" s="8" t="n">
        <v>1401.65</v>
      </c>
      <c r="Q384" s="8" t="n">
        <v>453.5</v>
      </c>
      <c r="R384" s="8" t="n">
        <v>704.8</v>
      </c>
      <c r="S384" s="8" t="n">
        <v>496.19</v>
      </c>
    </row>
    <row r="385" customFormat="false" ht="15" hidden="false" customHeight="false" outlineLevel="0" collapsed="false">
      <c r="A385" s="7" t="n">
        <v>45363</v>
      </c>
      <c r="B385" s="8" t="n">
        <v>22335.7</v>
      </c>
      <c r="C385" s="8" t="n">
        <v>20171.4</v>
      </c>
      <c r="D385" s="8" t="n">
        <v>1379.05</v>
      </c>
      <c r="E385" s="8" t="n">
        <v>760.3</v>
      </c>
      <c r="F385" s="8" t="n">
        <v>844.55</v>
      </c>
      <c r="G385" s="8" t="n">
        <v>624.1</v>
      </c>
      <c r="H385" s="8" t="n">
        <v>661.1</v>
      </c>
      <c r="I385" s="8" t="n">
        <v>404.45</v>
      </c>
      <c r="J385" s="8" t="n">
        <v>1844.3</v>
      </c>
      <c r="K385" s="8" t="n">
        <v>642.73</v>
      </c>
      <c r="L385" s="8" t="n">
        <v>1066.45</v>
      </c>
      <c r="M385" s="8" t="n">
        <v>1326.75</v>
      </c>
      <c r="N385" s="8" t="n">
        <v>385.87</v>
      </c>
      <c r="O385" s="8" t="n">
        <v>281.45</v>
      </c>
      <c r="P385" s="8" t="n">
        <v>1400.15</v>
      </c>
      <c r="Q385" s="8" t="n">
        <v>471.95</v>
      </c>
      <c r="R385" s="8" t="n">
        <v>700.55</v>
      </c>
      <c r="S385" s="8" t="n">
        <v>484.35</v>
      </c>
    </row>
    <row r="386" customFormat="false" ht="15" hidden="false" customHeight="false" outlineLevel="0" collapsed="false">
      <c r="A386" s="7" t="n">
        <v>45364</v>
      </c>
      <c r="B386" s="8" t="n">
        <v>21997.7</v>
      </c>
      <c r="C386" s="8" t="n">
        <v>19646.3</v>
      </c>
      <c r="D386" s="8" t="n">
        <v>1339.65</v>
      </c>
      <c r="E386" s="8" t="n">
        <v>721.45</v>
      </c>
      <c r="F386" s="8" t="n">
        <v>818</v>
      </c>
      <c r="G386" s="8" t="n">
        <v>590.45</v>
      </c>
      <c r="H386" s="8" t="n">
        <v>611.85</v>
      </c>
      <c r="I386" s="8" t="n">
        <v>375.4</v>
      </c>
      <c r="J386" s="8" t="n">
        <v>1788.2</v>
      </c>
      <c r="K386" s="8" t="n">
        <v>644.74</v>
      </c>
      <c r="L386" s="8" t="n">
        <v>1048.3</v>
      </c>
      <c r="M386" s="8" t="n">
        <v>1311.15</v>
      </c>
      <c r="N386" s="8" t="n">
        <v>373.15</v>
      </c>
      <c r="O386" s="8" t="n">
        <v>264.4</v>
      </c>
      <c r="P386" s="8" t="n">
        <v>1350.5</v>
      </c>
      <c r="Q386" s="8" t="n">
        <v>465.35</v>
      </c>
      <c r="R386" s="8" t="n">
        <v>685.3</v>
      </c>
      <c r="S386" s="8" t="n">
        <v>464.28</v>
      </c>
    </row>
    <row r="387" customFormat="false" ht="15" hidden="false" customHeight="false" outlineLevel="0" collapsed="false">
      <c r="A387" s="7" t="n">
        <v>45365</v>
      </c>
      <c r="B387" s="8" t="n">
        <v>22146.65</v>
      </c>
      <c r="C387" s="8" t="n">
        <v>19916.35</v>
      </c>
      <c r="D387" s="8" t="n">
        <v>1378.9</v>
      </c>
      <c r="E387" s="8" t="n">
        <v>729.45</v>
      </c>
      <c r="F387" s="8" t="n">
        <v>815.4</v>
      </c>
      <c r="G387" s="8" t="n">
        <v>591.8</v>
      </c>
      <c r="H387" s="8" t="n">
        <v>646.7</v>
      </c>
      <c r="I387" s="8" t="n">
        <v>405.85</v>
      </c>
      <c r="J387" s="8" t="n">
        <v>1884.6</v>
      </c>
      <c r="K387" s="8" t="n">
        <v>638.88</v>
      </c>
      <c r="L387" s="8" t="n">
        <v>1070.85</v>
      </c>
      <c r="M387" s="8" t="n">
        <v>1382.75</v>
      </c>
      <c r="N387" s="8" t="n">
        <v>359.94</v>
      </c>
      <c r="O387" s="8" t="n">
        <v>266.9</v>
      </c>
      <c r="P387" s="8" t="n">
        <v>1366.8</v>
      </c>
      <c r="Q387" s="8" t="n">
        <v>459.6</v>
      </c>
      <c r="R387" s="8" t="n">
        <v>702.35</v>
      </c>
      <c r="S387" s="8" t="n">
        <v>458.3</v>
      </c>
    </row>
    <row r="388" customFormat="false" ht="15" hidden="false" customHeight="false" outlineLevel="0" collapsed="false">
      <c r="A388" s="7" t="n">
        <v>45366</v>
      </c>
      <c r="B388" s="8" t="n">
        <v>22023.35</v>
      </c>
      <c r="C388" s="8" t="n">
        <v>19825.2</v>
      </c>
      <c r="D388" s="8" t="n">
        <v>1364.45</v>
      </c>
      <c r="E388" s="8" t="n">
        <v>724.45</v>
      </c>
      <c r="F388" s="8" t="n">
        <v>823.25</v>
      </c>
      <c r="G388" s="8" t="n">
        <v>584.6</v>
      </c>
      <c r="H388" s="8" t="n">
        <v>627.2</v>
      </c>
      <c r="I388" s="8" t="n">
        <v>400</v>
      </c>
      <c r="J388" s="8" t="n">
        <v>1857.9</v>
      </c>
      <c r="K388" s="8" t="n">
        <v>650.55</v>
      </c>
      <c r="L388" s="8" t="n">
        <v>1067.85</v>
      </c>
      <c r="M388" s="8" t="n">
        <v>1421.25</v>
      </c>
      <c r="N388" s="8" t="n">
        <v>357.17</v>
      </c>
      <c r="O388" s="8" t="n">
        <v>261.65</v>
      </c>
      <c r="P388" s="8" t="n">
        <v>1341.3</v>
      </c>
      <c r="Q388" s="8" t="n">
        <v>462.9</v>
      </c>
      <c r="R388" s="8" t="n">
        <v>699.3</v>
      </c>
      <c r="S388" s="8" t="n">
        <v>453.36</v>
      </c>
    </row>
    <row r="389" customFormat="false" ht="15" hidden="false" customHeight="false" outlineLevel="0" collapsed="false">
      <c r="A389" s="7" t="n">
        <v>45369</v>
      </c>
      <c r="B389" s="8" t="n">
        <v>22055.7</v>
      </c>
      <c r="C389" s="8" t="n">
        <v>19843.1</v>
      </c>
      <c r="D389" s="8" t="n">
        <v>1378.3</v>
      </c>
      <c r="E389" s="8" t="n">
        <v>719.55</v>
      </c>
      <c r="F389" s="8" t="n">
        <v>844.2</v>
      </c>
      <c r="G389" s="8" t="n">
        <v>575.1</v>
      </c>
      <c r="H389" s="8" t="n">
        <v>624.7</v>
      </c>
      <c r="I389" s="8" t="n">
        <v>391.3</v>
      </c>
      <c r="J389" s="8" t="n">
        <v>1864</v>
      </c>
      <c r="K389" s="8" t="n">
        <v>649.58</v>
      </c>
      <c r="L389" s="8" t="n">
        <v>1056.4</v>
      </c>
      <c r="M389" s="8" t="n">
        <v>1400.2</v>
      </c>
      <c r="N389" s="8" t="n">
        <v>357.32</v>
      </c>
      <c r="O389" s="8" t="n">
        <v>260.75</v>
      </c>
      <c r="P389" s="8" t="n">
        <v>1339.4</v>
      </c>
      <c r="Q389" s="8" t="n">
        <v>471.55</v>
      </c>
      <c r="R389" s="8" t="n">
        <v>701.5</v>
      </c>
      <c r="S389" s="8" t="n">
        <v>461.79</v>
      </c>
    </row>
    <row r="390" customFormat="false" ht="15" hidden="false" customHeight="false" outlineLevel="0" collapsed="false">
      <c r="A390" s="7" t="n">
        <v>45370</v>
      </c>
      <c r="B390" s="8" t="n">
        <v>21817.45</v>
      </c>
      <c r="C390" s="8" t="n">
        <v>19610.55</v>
      </c>
      <c r="D390" s="8" t="n">
        <v>1371</v>
      </c>
      <c r="E390" s="8" t="n">
        <v>709</v>
      </c>
      <c r="F390" s="8" t="n">
        <v>847.15</v>
      </c>
      <c r="G390" s="8" t="n">
        <v>570.75</v>
      </c>
      <c r="H390" s="8" t="n">
        <v>626.8</v>
      </c>
      <c r="I390" s="8" t="n">
        <v>395.65</v>
      </c>
      <c r="J390" s="8" t="n">
        <v>1913.35</v>
      </c>
      <c r="K390" s="8" t="n">
        <v>658.73</v>
      </c>
      <c r="L390" s="8" t="n">
        <v>1046.75</v>
      </c>
      <c r="M390" s="8" t="n">
        <v>1412</v>
      </c>
      <c r="N390" s="8" t="n">
        <v>349.16</v>
      </c>
      <c r="O390" s="8" t="n">
        <v>258.6</v>
      </c>
      <c r="P390" s="8" t="n">
        <v>1325.05</v>
      </c>
      <c r="Q390" s="8" t="n">
        <v>464.6</v>
      </c>
      <c r="R390" s="8" t="n">
        <v>698.5</v>
      </c>
      <c r="S390" s="8" t="n">
        <v>457.4</v>
      </c>
    </row>
    <row r="391" customFormat="false" ht="15" hidden="false" customHeight="false" outlineLevel="0" collapsed="false">
      <c r="A391" s="7" t="n">
        <v>45371</v>
      </c>
      <c r="B391" s="8" t="n">
        <v>21839.1</v>
      </c>
      <c r="C391" s="8" t="n">
        <v>19632.05</v>
      </c>
      <c r="D391" s="8" t="n">
        <v>1351.25</v>
      </c>
      <c r="E391" s="8" t="n">
        <v>718.05</v>
      </c>
      <c r="F391" s="8" t="n">
        <v>873.2</v>
      </c>
      <c r="G391" s="8" t="n">
        <v>570.05</v>
      </c>
      <c r="H391" s="8" t="n">
        <v>613.25</v>
      </c>
      <c r="I391" s="8" t="n">
        <v>387.1</v>
      </c>
      <c r="J391" s="8" t="n">
        <v>1872.55</v>
      </c>
      <c r="K391" s="8" t="n">
        <v>664.05</v>
      </c>
      <c r="L391" s="8" t="n">
        <v>1044.8</v>
      </c>
      <c r="M391" s="8" t="n">
        <v>1383.15</v>
      </c>
      <c r="N391" s="8" t="n">
        <v>326.91</v>
      </c>
      <c r="O391" s="8" t="n">
        <v>261.25</v>
      </c>
      <c r="P391" s="8" t="n">
        <v>1338.85</v>
      </c>
      <c r="Q391" s="8" t="n">
        <v>465.5</v>
      </c>
      <c r="R391" s="8" t="n">
        <v>692.3</v>
      </c>
      <c r="S391" s="8" t="n">
        <v>462.84</v>
      </c>
    </row>
    <row r="392" customFormat="false" ht="15" hidden="false" customHeight="false" outlineLevel="0" collapsed="false">
      <c r="A392" s="7" t="n">
        <v>45372</v>
      </c>
      <c r="B392" s="8" t="n">
        <v>22011.95</v>
      </c>
      <c r="C392" s="8" t="n">
        <v>19897.4</v>
      </c>
      <c r="D392" s="8" t="n">
        <v>1349.2</v>
      </c>
      <c r="E392" s="8" t="n">
        <v>738.2</v>
      </c>
      <c r="F392" s="8" t="n">
        <v>866.55</v>
      </c>
      <c r="G392" s="8" t="n">
        <v>591.35</v>
      </c>
      <c r="H392" s="8" t="n">
        <v>642.5</v>
      </c>
      <c r="I392" s="8" t="n">
        <v>400.7</v>
      </c>
      <c r="J392" s="8" t="n">
        <v>1929.35</v>
      </c>
      <c r="K392" s="8" t="n">
        <v>670.66</v>
      </c>
      <c r="L392" s="8" t="n">
        <v>1074.2</v>
      </c>
      <c r="M392" s="8" t="n">
        <v>1399.45</v>
      </c>
      <c r="N392" s="8" t="n">
        <v>326.67</v>
      </c>
      <c r="O392" s="8" t="n">
        <v>268.2</v>
      </c>
      <c r="P392" s="8" t="n">
        <v>1434.45</v>
      </c>
      <c r="Q392" s="8" t="n">
        <v>469.05</v>
      </c>
      <c r="R392" s="8" t="n">
        <v>702.65</v>
      </c>
      <c r="S392" s="8" t="n">
        <v>462.16</v>
      </c>
    </row>
    <row r="393" customFormat="false" ht="15" hidden="false" customHeight="false" outlineLevel="0" collapsed="false">
      <c r="A393" s="7" t="n">
        <v>45373</v>
      </c>
      <c r="B393" s="8" t="n">
        <v>22096.75</v>
      </c>
      <c r="C393" s="8" t="n">
        <v>19994.6</v>
      </c>
      <c r="D393" s="8" t="n">
        <v>1356.1</v>
      </c>
      <c r="E393" s="8" t="n">
        <v>747.1</v>
      </c>
      <c r="F393" s="8" t="n">
        <v>880.55</v>
      </c>
      <c r="G393" s="8" t="n">
        <v>595.5</v>
      </c>
      <c r="H393" s="8" t="n">
        <v>640.15</v>
      </c>
      <c r="I393" s="8" t="n">
        <v>405.1</v>
      </c>
      <c r="J393" s="8" t="n">
        <v>1905</v>
      </c>
      <c r="K393" s="8" t="n">
        <v>675.17</v>
      </c>
      <c r="L393" s="8" t="n">
        <v>1089.4</v>
      </c>
      <c r="M393" s="8" t="n">
        <v>1381.3</v>
      </c>
      <c r="N393" s="8" t="n">
        <v>324.68</v>
      </c>
      <c r="O393" s="8" t="n">
        <v>273.6</v>
      </c>
      <c r="P393" s="8" t="n">
        <v>1424.35</v>
      </c>
      <c r="Q393" s="8" t="n">
        <v>463</v>
      </c>
      <c r="R393" s="8" t="n">
        <v>704.1</v>
      </c>
      <c r="S393" s="8" t="n">
        <v>466.14</v>
      </c>
    </row>
    <row r="394" customFormat="false" ht="15" hidden="false" customHeight="false" outlineLevel="0" collapsed="false">
      <c r="A394" s="7" t="n">
        <v>45377</v>
      </c>
      <c r="B394" s="8" t="n">
        <v>22004.7</v>
      </c>
      <c r="C394" s="8" t="n">
        <v>20005.25</v>
      </c>
      <c r="D394" s="8" t="n">
        <v>1325.15</v>
      </c>
      <c r="E394" s="8" t="n">
        <v>754.45</v>
      </c>
      <c r="F394" s="8" t="n">
        <v>896.25</v>
      </c>
      <c r="G394" s="8" t="n">
        <v>592.75</v>
      </c>
      <c r="H394" s="8" t="n">
        <v>628.6</v>
      </c>
      <c r="I394" s="8" t="n">
        <v>408.1</v>
      </c>
      <c r="J394" s="8" t="n">
        <v>1838.95</v>
      </c>
      <c r="K394" s="8" t="n">
        <v>690.07</v>
      </c>
      <c r="L394" s="8" t="n">
        <v>1115.2</v>
      </c>
      <c r="M394" s="8" t="n">
        <v>1400.9</v>
      </c>
      <c r="N394" s="8" t="n">
        <v>312.2</v>
      </c>
      <c r="O394" s="8" t="n">
        <v>273.85</v>
      </c>
      <c r="P394" s="8" t="n">
        <v>1483.15</v>
      </c>
      <c r="Q394" s="8" t="n">
        <v>478.3</v>
      </c>
      <c r="R394" s="8" t="n">
        <v>696.85</v>
      </c>
      <c r="S394" s="8" t="n">
        <v>474.51</v>
      </c>
    </row>
    <row r="395" customFormat="false" ht="15" hidden="false" customHeight="false" outlineLevel="0" collapsed="false">
      <c r="A395" s="7" t="n">
        <v>45378</v>
      </c>
      <c r="B395" s="8" t="n">
        <v>22123.65</v>
      </c>
      <c r="C395" s="8" t="n">
        <v>20087.8</v>
      </c>
      <c r="D395" s="8" t="n">
        <v>1323.4</v>
      </c>
      <c r="E395" s="8" t="n">
        <v>757.15</v>
      </c>
      <c r="F395" s="8" t="n">
        <v>915.55</v>
      </c>
      <c r="G395" s="8" t="n">
        <v>591.4</v>
      </c>
      <c r="H395" s="8" t="n">
        <v>630.35</v>
      </c>
      <c r="I395" s="8" t="n">
        <v>401.8</v>
      </c>
      <c r="J395" s="8" t="n">
        <v>1858.7</v>
      </c>
      <c r="K395" s="8" t="n">
        <v>701.32</v>
      </c>
      <c r="L395" s="8" t="n">
        <v>1130.2</v>
      </c>
      <c r="M395" s="8" t="n">
        <v>1422.55</v>
      </c>
      <c r="N395" s="8" t="n">
        <v>341.87</v>
      </c>
      <c r="O395" s="8" t="n">
        <v>274.45</v>
      </c>
      <c r="P395" s="8" t="n">
        <v>1478.2</v>
      </c>
      <c r="Q395" s="8" t="n">
        <v>475.25</v>
      </c>
      <c r="R395" s="8" t="n">
        <v>692.55</v>
      </c>
      <c r="S395" s="8" t="n">
        <v>477.27</v>
      </c>
    </row>
    <row r="396" customFormat="false" ht="15" hidden="false" customHeight="false" outlineLevel="0" collapsed="false">
      <c r="A396" s="7" t="n">
        <v>45379</v>
      </c>
      <c r="B396" s="8" t="n">
        <v>22326.9</v>
      </c>
      <c r="C396" s="8" t="n">
        <v>20255.15</v>
      </c>
      <c r="D396" s="8" t="n">
        <v>1315.65</v>
      </c>
      <c r="E396" s="8" t="n">
        <v>752.95</v>
      </c>
      <c r="F396" s="8" t="n">
        <v>897.8</v>
      </c>
      <c r="G396" s="8" t="n">
        <v>610.95</v>
      </c>
      <c r="H396" s="8" t="n">
        <v>629.85</v>
      </c>
      <c r="I396" s="8" t="n">
        <v>400.7</v>
      </c>
      <c r="J396" s="8" t="n">
        <v>1834.7</v>
      </c>
      <c r="K396" s="8" t="n">
        <v>723.54</v>
      </c>
      <c r="L396" s="8" t="n">
        <v>1156.6</v>
      </c>
      <c r="M396" s="8" t="n">
        <v>1441.4</v>
      </c>
      <c r="N396" s="8" t="n">
        <v>330.36</v>
      </c>
      <c r="O396" s="8" t="n">
        <v>278.8</v>
      </c>
      <c r="P396" s="8" t="n">
        <v>1480.45</v>
      </c>
      <c r="Q396" s="8" t="n">
        <v>465.6</v>
      </c>
      <c r="R396" s="8" t="n">
        <v>682.55</v>
      </c>
      <c r="S396" s="8" t="n">
        <v>471.96</v>
      </c>
    </row>
    <row r="397" customFormat="false" ht="15" hidden="false" customHeight="false" outlineLevel="0" collapsed="false">
      <c r="A397" s="7" t="n">
        <v>45383</v>
      </c>
      <c r="B397" s="8" t="n">
        <v>22462</v>
      </c>
      <c r="C397" s="8" t="n">
        <v>20492.55</v>
      </c>
      <c r="D397" s="8" t="n">
        <v>1418.55</v>
      </c>
      <c r="E397" s="8" t="n">
        <v>792.25</v>
      </c>
      <c r="F397" s="8" t="n">
        <v>919.75</v>
      </c>
      <c r="G397" s="8" t="n">
        <v>636.2</v>
      </c>
      <c r="H397" s="8" t="n">
        <v>749.3</v>
      </c>
      <c r="I397" s="8" t="n">
        <v>443.6</v>
      </c>
      <c r="J397" s="8" t="n">
        <v>1950.6</v>
      </c>
      <c r="K397" s="8" t="n">
        <v>724.11</v>
      </c>
      <c r="L397" s="8" t="n">
        <v>1185.4</v>
      </c>
      <c r="M397" s="8" t="n">
        <v>1408.7</v>
      </c>
      <c r="N397" s="8" t="n">
        <v>335.56</v>
      </c>
      <c r="O397" s="8" t="n">
        <v>286.95</v>
      </c>
      <c r="P397" s="8" t="n">
        <v>1563.7</v>
      </c>
      <c r="Q397" s="8" t="n">
        <v>475</v>
      </c>
      <c r="R397" s="8" t="n">
        <v>688.05</v>
      </c>
      <c r="S397" s="8" t="n">
        <v>486.35</v>
      </c>
    </row>
    <row r="398" customFormat="false" ht="15" hidden="false" customHeight="false" outlineLevel="0" collapsed="false">
      <c r="A398" s="7" t="n">
        <v>45384</v>
      </c>
      <c r="B398" s="8" t="n">
        <v>22453.3</v>
      </c>
      <c r="C398" s="8" t="n">
        <v>20569.75</v>
      </c>
      <c r="D398" s="8" t="n">
        <v>1415.45</v>
      </c>
      <c r="E398" s="8" t="n">
        <v>793.05</v>
      </c>
      <c r="F398" s="8" t="n">
        <v>945.45</v>
      </c>
      <c r="G398" s="8" t="n">
        <v>639.1</v>
      </c>
      <c r="H398" s="8" t="n">
        <v>724.05</v>
      </c>
      <c r="I398" s="8" t="n">
        <v>446.25</v>
      </c>
      <c r="J398" s="8" t="n">
        <v>1968.95</v>
      </c>
      <c r="K398" s="8" t="n">
        <v>719.76</v>
      </c>
      <c r="L398" s="8" t="n">
        <v>1197.25</v>
      </c>
      <c r="M398" s="8" t="n">
        <v>1402.05</v>
      </c>
      <c r="N398" s="8" t="n">
        <v>339.64</v>
      </c>
      <c r="O398" s="8" t="n">
        <v>296.05</v>
      </c>
      <c r="P398" s="8" t="n">
        <v>1562.75</v>
      </c>
      <c r="Q398" s="8" t="n">
        <v>474.55</v>
      </c>
      <c r="R398" s="8" t="n">
        <v>692.35</v>
      </c>
      <c r="S398" s="8" t="n">
        <v>493.19</v>
      </c>
    </row>
    <row r="399" customFormat="false" ht="15" hidden="false" customHeight="false" outlineLevel="0" collapsed="false">
      <c r="A399" s="7" t="n">
        <v>45385</v>
      </c>
      <c r="B399" s="8" t="n">
        <v>22434.65</v>
      </c>
      <c r="C399" s="8" t="n">
        <v>20605.7</v>
      </c>
      <c r="D399" s="8" t="n">
        <v>1395.55</v>
      </c>
      <c r="E399" s="8" t="n">
        <v>805.2</v>
      </c>
      <c r="F399" s="8" t="n">
        <v>930</v>
      </c>
      <c r="G399" s="8" t="n">
        <v>641.4</v>
      </c>
      <c r="H399" s="8" t="n">
        <v>735</v>
      </c>
      <c r="I399" s="8" t="n">
        <v>453</v>
      </c>
      <c r="J399" s="8" t="n">
        <v>2027.95</v>
      </c>
      <c r="K399" s="8" t="n">
        <v>729.93</v>
      </c>
      <c r="L399" s="8" t="n">
        <v>1194.75</v>
      </c>
      <c r="M399" s="8" t="n">
        <v>1421.6</v>
      </c>
      <c r="N399" s="8" t="n">
        <v>341.63</v>
      </c>
      <c r="O399" s="8" t="n">
        <v>295.4</v>
      </c>
      <c r="P399" s="8" t="n">
        <v>1630.2</v>
      </c>
      <c r="Q399" s="8" t="n">
        <v>494.6</v>
      </c>
      <c r="R399" s="8" t="n">
        <v>695.2</v>
      </c>
      <c r="S399" s="8" t="n">
        <v>511.29</v>
      </c>
    </row>
    <row r="400" customFormat="false" ht="15" hidden="false" customHeight="false" outlineLevel="0" collapsed="false">
      <c r="A400" s="7" t="n">
        <v>45386</v>
      </c>
      <c r="B400" s="8" t="n">
        <v>22514.65</v>
      </c>
      <c r="C400" s="8" t="n">
        <v>20664.65</v>
      </c>
      <c r="D400" s="8" t="n">
        <v>1452.15</v>
      </c>
      <c r="E400" s="8" t="n">
        <v>808.7</v>
      </c>
      <c r="F400" s="8" t="n">
        <v>953.25</v>
      </c>
      <c r="G400" s="8" t="n">
        <v>643.85</v>
      </c>
      <c r="H400" s="8" t="n">
        <v>769.65</v>
      </c>
      <c r="I400" s="8" t="n">
        <v>444.55</v>
      </c>
      <c r="J400" s="8" t="n">
        <v>2083.05</v>
      </c>
      <c r="K400" s="8" t="n">
        <v>727.35</v>
      </c>
      <c r="L400" s="8" t="n">
        <v>1196.35</v>
      </c>
      <c r="M400" s="8" t="n">
        <v>1478.15</v>
      </c>
      <c r="N400" s="8" t="n">
        <v>344.93</v>
      </c>
      <c r="O400" s="8" t="n">
        <v>294.1</v>
      </c>
      <c r="P400" s="8" t="n">
        <v>1666.55</v>
      </c>
      <c r="Q400" s="8" t="n">
        <v>493.7</v>
      </c>
      <c r="R400" s="8" t="n">
        <v>694.15</v>
      </c>
      <c r="S400" s="8" t="n">
        <v>499.86</v>
      </c>
    </row>
    <row r="401" customFormat="false" ht="15" hidden="false" customHeight="false" outlineLevel="0" collapsed="false">
      <c r="A401" s="7" t="n">
        <v>45387</v>
      </c>
      <c r="B401" s="8" t="n">
        <v>22513.7</v>
      </c>
      <c r="C401" s="8" t="n">
        <v>20715.1</v>
      </c>
      <c r="D401" s="8" t="n">
        <v>1598.55</v>
      </c>
      <c r="E401" s="8" t="n">
        <v>798.85</v>
      </c>
      <c r="F401" s="8" t="n">
        <v>960.05</v>
      </c>
      <c r="G401" s="8" t="n">
        <v>644.3</v>
      </c>
      <c r="H401" s="8" t="n">
        <v>772.3</v>
      </c>
      <c r="I401" s="8" t="n">
        <v>441.3</v>
      </c>
      <c r="J401" s="8" t="n">
        <v>2118.55</v>
      </c>
      <c r="K401" s="8" t="n">
        <v>716.59</v>
      </c>
      <c r="L401" s="8" t="n">
        <v>1217.65</v>
      </c>
      <c r="M401" s="8" t="n">
        <v>1481.4</v>
      </c>
      <c r="N401" s="8" t="n">
        <v>389.76</v>
      </c>
      <c r="O401" s="8" t="n">
        <v>298.5</v>
      </c>
      <c r="P401" s="8" t="n">
        <v>1654.75</v>
      </c>
      <c r="Q401" s="8" t="n">
        <v>497.4</v>
      </c>
      <c r="R401" s="8" t="n">
        <v>730.35</v>
      </c>
      <c r="S401" s="8" t="n">
        <v>503.77</v>
      </c>
    </row>
    <row r="402" customFormat="false" ht="15" hidden="false" customHeight="false" outlineLevel="0" collapsed="false">
      <c r="A402" s="7" t="n">
        <v>45390</v>
      </c>
      <c r="B402" s="8" t="n">
        <v>22666.3</v>
      </c>
      <c r="C402" s="8" t="n">
        <v>20819.1</v>
      </c>
      <c r="D402" s="8" t="n">
        <v>1626</v>
      </c>
      <c r="E402" s="8" t="n">
        <v>798.95</v>
      </c>
      <c r="F402" s="8" t="n">
        <v>951.05</v>
      </c>
      <c r="G402" s="8" t="n">
        <v>646.8</v>
      </c>
      <c r="H402" s="8" t="n">
        <v>763.9</v>
      </c>
      <c r="I402" s="8" t="n">
        <v>448.5</v>
      </c>
      <c r="J402" s="8" t="n">
        <v>2053.15</v>
      </c>
      <c r="K402" s="8" t="n">
        <v>716.88</v>
      </c>
      <c r="L402" s="8" t="n">
        <v>1203.05</v>
      </c>
      <c r="M402" s="8" t="n">
        <v>1471.95</v>
      </c>
      <c r="N402" s="8" t="n">
        <v>412.68</v>
      </c>
      <c r="O402" s="8" t="n">
        <v>298.9</v>
      </c>
      <c r="P402" s="8" t="n">
        <v>1674.2</v>
      </c>
      <c r="Q402" s="8" t="n">
        <v>488.7</v>
      </c>
      <c r="R402" s="8" t="n">
        <v>723.3</v>
      </c>
      <c r="S402" s="8" t="n">
        <v>513.84</v>
      </c>
    </row>
    <row r="403" customFormat="false" ht="15" hidden="false" customHeight="false" outlineLevel="0" collapsed="false">
      <c r="A403" s="7" t="n">
        <v>45391</v>
      </c>
      <c r="B403" s="8" t="n">
        <v>22642.75</v>
      </c>
      <c r="C403" s="8" t="n">
        <v>20790.7</v>
      </c>
      <c r="D403" s="8" t="n">
        <v>1584</v>
      </c>
      <c r="E403" s="8" t="n">
        <v>810.55</v>
      </c>
      <c r="F403" s="8" t="n">
        <v>936.45</v>
      </c>
      <c r="G403" s="8" t="n">
        <v>651.35</v>
      </c>
      <c r="H403" s="8" t="n">
        <v>764.5</v>
      </c>
      <c r="I403" s="8" t="n">
        <v>438.7</v>
      </c>
      <c r="J403" s="8" t="n">
        <v>2040.8</v>
      </c>
      <c r="K403" s="8" t="n">
        <v>718.38</v>
      </c>
      <c r="L403" s="8" t="n">
        <v>1210.1</v>
      </c>
      <c r="M403" s="8" t="n">
        <v>1452.25</v>
      </c>
      <c r="N403" s="8" t="n">
        <v>431.09</v>
      </c>
      <c r="O403" s="8" t="n">
        <v>299.55</v>
      </c>
      <c r="P403" s="8" t="n">
        <v>1675.75</v>
      </c>
      <c r="Q403" s="8" t="n">
        <v>491.3</v>
      </c>
      <c r="R403" s="8" t="n">
        <v>752.1</v>
      </c>
      <c r="S403" s="8" t="n">
        <v>510.08</v>
      </c>
    </row>
    <row r="404" customFormat="false" ht="15" hidden="false" customHeight="false" outlineLevel="0" collapsed="false">
      <c r="A404" s="7" t="n">
        <v>45392</v>
      </c>
      <c r="B404" s="8" t="n">
        <v>22753.8</v>
      </c>
      <c r="C404" s="8" t="n">
        <v>20915.2</v>
      </c>
      <c r="D404" s="8" t="n">
        <v>1579.5</v>
      </c>
      <c r="E404" s="8" t="n">
        <v>808.05</v>
      </c>
      <c r="F404" s="8" t="n">
        <v>899.8</v>
      </c>
      <c r="G404" s="8" t="n">
        <v>649.05</v>
      </c>
      <c r="H404" s="8" t="n">
        <v>769</v>
      </c>
      <c r="I404" s="8" t="n">
        <v>437.9</v>
      </c>
      <c r="J404" s="8" t="n">
        <v>2080.75</v>
      </c>
      <c r="K404" s="8" t="n">
        <v>722.04</v>
      </c>
      <c r="L404" s="8" t="n">
        <v>1191.8</v>
      </c>
      <c r="M404" s="8" t="n">
        <v>1428.35</v>
      </c>
      <c r="N404" s="8" t="n">
        <v>423.66</v>
      </c>
      <c r="O404" s="8" t="n">
        <v>302.1</v>
      </c>
      <c r="P404" s="8" t="n">
        <v>1649.45</v>
      </c>
      <c r="Q404" s="8" t="n">
        <v>494.7</v>
      </c>
      <c r="R404" s="8" t="n">
        <v>748</v>
      </c>
      <c r="S404" s="8" t="n">
        <v>505.61</v>
      </c>
    </row>
    <row r="405" customFormat="false" ht="15" hidden="false" customHeight="false" outlineLevel="0" collapsed="false">
      <c r="A405" s="7" t="n">
        <v>45394</v>
      </c>
      <c r="B405" s="8" t="n">
        <v>22519.4</v>
      </c>
      <c r="C405" s="8" t="n">
        <v>20745.5</v>
      </c>
      <c r="D405" s="8" t="n">
        <v>1568.95</v>
      </c>
      <c r="E405" s="8" t="n">
        <v>785.75</v>
      </c>
      <c r="F405" s="8" t="n">
        <v>898.75</v>
      </c>
      <c r="G405" s="8" t="n">
        <v>648.5</v>
      </c>
      <c r="H405" s="8" t="n">
        <v>762.85</v>
      </c>
      <c r="I405" s="8" t="n">
        <v>461.3</v>
      </c>
      <c r="J405" s="8" t="n">
        <v>1993.9</v>
      </c>
      <c r="K405" s="8" t="n">
        <v>721.97</v>
      </c>
      <c r="L405" s="8" t="n">
        <v>1177.6</v>
      </c>
      <c r="M405" s="8" t="n">
        <v>1471.4</v>
      </c>
      <c r="N405" s="8" t="n">
        <v>408.41</v>
      </c>
      <c r="O405" s="8" t="n">
        <v>303.45</v>
      </c>
      <c r="P405" s="8" t="n">
        <v>1667.35</v>
      </c>
      <c r="Q405" s="8" t="n">
        <v>493.25</v>
      </c>
      <c r="R405" s="8" t="n">
        <v>737.65</v>
      </c>
      <c r="S405" s="8" t="n">
        <v>497.12</v>
      </c>
    </row>
    <row r="406" customFormat="false" ht="15" hidden="false" customHeight="false" outlineLevel="0" collapsed="false">
      <c r="A406" s="7" t="n">
        <v>45397</v>
      </c>
      <c r="B406" s="8" t="n">
        <v>22272.5</v>
      </c>
      <c r="C406" s="8" t="n">
        <v>20478.75</v>
      </c>
      <c r="D406" s="8" t="n">
        <v>1549.95</v>
      </c>
      <c r="E406" s="8" t="n">
        <v>775.8</v>
      </c>
      <c r="F406" s="8" t="n">
        <v>897.1</v>
      </c>
      <c r="G406" s="8" t="n">
        <v>638.45</v>
      </c>
      <c r="H406" s="8" t="n">
        <v>738.15</v>
      </c>
      <c r="I406" s="8" t="n">
        <v>444.55</v>
      </c>
      <c r="J406" s="8" t="n">
        <v>1951.95</v>
      </c>
      <c r="K406" s="8" t="n">
        <v>706.66</v>
      </c>
      <c r="L406" s="8" t="n">
        <v>1161.7</v>
      </c>
      <c r="M406" s="8" t="n">
        <v>1470.4</v>
      </c>
      <c r="N406" s="8" t="n">
        <v>418.85</v>
      </c>
      <c r="O406" s="8" t="n">
        <v>290.8</v>
      </c>
      <c r="P406" s="8" t="n">
        <v>1647.7</v>
      </c>
      <c r="Q406" s="8" t="n">
        <v>481.1</v>
      </c>
      <c r="R406" s="8" t="n">
        <v>721.4</v>
      </c>
      <c r="S406" s="8" t="n">
        <v>482.93</v>
      </c>
    </row>
    <row r="407" customFormat="false" ht="15" hidden="false" customHeight="false" outlineLevel="0" collapsed="false">
      <c r="A407" s="7" t="n">
        <v>45398</v>
      </c>
      <c r="B407" s="8" t="n">
        <v>22147.9</v>
      </c>
      <c r="C407" s="8" t="n">
        <v>20423</v>
      </c>
      <c r="D407" s="8" t="n">
        <v>1541.95</v>
      </c>
      <c r="E407" s="8" t="n">
        <v>765.2</v>
      </c>
      <c r="F407" s="8" t="n">
        <v>886.3</v>
      </c>
      <c r="G407" s="8" t="n">
        <v>654.05</v>
      </c>
      <c r="H407" s="8" t="n">
        <v>748.45</v>
      </c>
      <c r="I407" s="8" t="n">
        <v>463.5</v>
      </c>
      <c r="J407" s="8" t="n">
        <v>2001.45</v>
      </c>
      <c r="K407" s="8" t="n">
        <v>694.48</v>
      </c>
      <c r="L407" s="8" t="n">
        <v>1130</v>
      </c>
      <c r="M407" s="8" t="n">
        <v>1448.05</v>
      </c>
      <c r="N407" s="8" t="n">
        <v>409.96</v>
      </c>
      <c r="O407" s="8" t="n">
        <v>288</v>
      </c>
      <c r="P407" s="8" t="n">
        <v>1633.25</v>
      </c>
      <c r="Q407" s="8" t="n">
        <v>489.25</v>
      </c>
      <c r="R407" s="8" t="n">
        <v>725.8</v>
      </c>
      <c r="S407" s="8" t="n">
        <v>480.15</v>
      </c>
    </row>
    <row r="408" customFormat="false" ht="15" hidden="false" customHeight="false" outlineLevel="0" collapsed="false">
      <c r="A408" s="7" t="n">
        <v>45400</v>
      </c>
      <c r="B408" s="8" t="n">
        <v>21995.85</v>
      </c>
      <c r="C408" s="8" t="n">
        <v>20324.7</v>
      </c>
      <c r="D408" s="8" t="n">
        <v>1529</v>
      </c>
      <c r="E408" s="8" t="n">
        <v>762.1</v>
      </c>
      <c r="F408" s="8" t="n">
        <v>881.3</v>
      </c>
      <c r="G408" s="8" t="n">
        <v>642.4</v>
      </c>
      <c r="H408" s="8" t="n">
        <v>752.1</v>
      </c>
      <c r="I408" s="8" t="n">
        <v>469.1</v>
      </c>
      <c r="J408" s="8" t="n">
        <v>1995.2</v>
      </c>
      <c r="K408" s="8" t="n">
        <v>688.38</v>
      </c>
      <c r="L408" s="8" t="n">
        <v>1118.8</v>
      </c>
      <c r="M408" s="8" t="n">
        <v>1425.65</v>
      </c>
      <c r="N408" s="8" t="n">
        <v>407.63</v>
      </c>
      <c r="O408" s="8" t="n">
        <v>291.1</v>
      </c>
      <c r="P408" s="8" t="n">
        <v>1655.7</v>
      </c>
      <c r="Q408" s="8" t="n">
        <v>500.5</v>
      </c>
      <c r="R408" s="8" t="n">
        <v>726</v>
      </c>
      <c r="S408" s="8" t="n">
        <v>474.29</v>
      </c>
    </row>
    <row r="409" customFormat="false" ht="15" hidden="false" customHeight="false" outlineLevel="0" collapsed="false">
      <c r="A409" s="7" t="n">
        <v>45401</v>
      </c>
      <c r="B409" s="8" t="n">
        <v>22147</v>
      </c>
      <c r="C409" s="8" t="n">
        <v>20385.2</v>
      </c>
      <c r="D409" s="8" t="n">
        <v>1548.35</v>
      </c>
      <c r="E409" s="8" t="n">
        <v>754.8</v>
      </c>
      <c r="F409" s="8" t="n">
        <v>880.25</v>
      </c>
      <c r="G409" s="8" t="n">
        <v>642.95</v>
      </c>
      <c r="H409" s="8" t="n">
        <v>771.85</v>
      </c>
      <c r="I409" s="8" t="n">
        <v>500.75</v>
      </c>
      <c r="J409" s="8" t="n">
        <v>1962.45</v>
      </c>
      <c r="K409" s="8" t="n">
        <v>710.98</v>
      </c>
      <c r="L409" s="8" t="n">
        <v>1128.15</v>
      </c>
      <c r="M409" s="8" t="n">
        <v>1437.25</v>
      </c>
      <c r="N409" s="8" t="n">
        <v>394.47</v>
      </c>
      <c r="O409" s="8" t="n">
        <v>283.15</v>
      </c>
      <c r="P409" s="8" t="n">
        <v>1651.75</v>
      </c>
      <c r="Q409" s="8" t="n">
        <v>498.8</v>
      </c>
      <c r="R409" s="8" t="n">
        <v>732.1</v>
      </c>
      <c r="S409" s="8" t="n">
        <v>473.31</v>
      </c>
    </row>
    <row r="410" customFormat="false" ht="15" hidden="false" customHeight="false" outlineLevel="0" collapsed="false">
      <c r="A410" s="7" t="n">
        <v>45404</v>
      </c>
      <c r="B410" s="8" t="n">
        <v>22336.4</v>
      </c>
      <c r="C410" s="8" t="n">
        <v>20574.85</v>
      </c>
      <c r="D410" s="8" t="n">
        <v>1549.05</v>
      </c>
      <c r="E410" s="8" t="n">
        <v>752.85</v>
      </c>
      <c r="F410" s="8" t="n">
        <v>865.85</v>
      </c>
      <c r="G410" s="8" t="n">
        <v>663.2</v>
      </c>
      <c r="H410" s="8" t="n">
        <v>769.9</v>
      </c>
      <c r="I410" s="8" t="n">
        <v>513.95</v>
      </c>
      <c r="J410" s="8" t="n">
        <v>2004.95</v>
      </c>
      <c r="K410" s="8" t="n">
        <v>728.23</v>
      </c>
      <c r="L410" s="8" t="n">
        <v>1140</v>
      </c>
      <c r="M410" s="8" t="n">
        <v>1482.15</v>
      </c>
      <c r="N410" s="8" t="n">
        <v>408.36</v>
      </c>
      <c r="O410" s="8" t="n">
        <v>278.85</v>
      </c>
      <c r="P410" s="8" t="n">
        <v>1641.15</v>
      </c>
      <c r="Q410" s="8" t="n">
        <v>493.65</v>
      </c>
      <c r="R410" s="8" t="n">
        <v>739.7</v>
      </c>
      <c r="S410" s="8" t="n">
        <v>484.93</v>
      </c>
    </row>
    <row r="411" customFormat="false" ht="15" hidden="false" customHeight="false" outlineLevel="0" collapsed="false">
      <c r="A411" s="7" t="n">
        <v>45405</v>
      </c>
      <c r="B411" s="8" t="n">
        <v>22368</v>
      </c>
      <c r="C411" s="8" t="n">
        <v>20652.65</v>
      </c>
      <c r="D411" s="8" t="n">
        <v>1607.25</v>
      </c>
      <c r="E411" s="8" t="n">
        <v>744.2</v>
      </c>
      <c r="F411" s="8" t="n">
        <v>857.45</v>
      </c>
      <c r="G411" s="8" t="n">
        <v>671.2</v>
      </c>
      <c r="H411" s="8" t="n">
        <v>772.1</v>
      </c>
      <c r="I411" s="8" t="n">
        <v>511.3</v>
      </c>
      <c r="J411" s="8" t="n">
        <v>2039.05</v>
      </c>
      <c r="K411" s="8" t="n">
        <v>725</v>
      </c>
      <c r="L411" s="8" t="n">
        <v>1143.25</v>
      </c>
      <c r="M411" s="8" t="n">
        <v>1504.6</v>
      </c>
      <c r="N411" s="8" t="n">
        <v>410.2</v>
      </c>
      <c r="O411" s="8" t="n">
        <v>263.45</v>
      </c>
      <c r="P411" s="8" t="n">
        <v>1617.5</v>
      </c>
      <c r="Q411" s="8" t="n">
        <v>494.15</v>
      </c>
      <c r="R411" s="8" t="n">
        <v>747.6</v>
      </c>
      <c r="S411" s="8" t="n">
        <v>485.39</v>
      </c>
    </row>
    <row r="412" customFormat="false" ht="15" hidden="false" customHeight="false" outlineLevel="0" collapsed="false">
      <c r="A412" s="7" t="n">
        <v>45406</v>
      </c>
      <c r="B412" s="8" t="n">
        <v>22402.4</v>
      </c>
      <c r="C412" s="8" t="n">
        <v>20730.65</v>
      </c>
      <c r="D412" s="8" t="n">
        <v>1638.2</v>
      </c>
      <c r="E412" s="8" t="n">
        <v>743.85</v>
      </c>
      <c r="F412" s="8" t="n">
        <v>876.2</v>
      </c>
      <c r="G412" s="8" t="n">
        <v>673.45</v>
      </c>
      <c r="H412" s="8" t="n">
        <v>776.65</v>
      </c>
      <c r="I412" s="8" t="n">
        <v>514.65</v>
      </c>
      <c r="J412" s="8" t="n">
        <v>2031.1</v>
      </c>
      <c r="K412" s="8" t="n">
        <v>731.92</v>
      </c>
      <c r="L412" s="8" t="n">
        <v>1168.8</v>
      </c>
      <c r="M412" s="8" t="n">
        <v>1502</v>
      </c>
      <c r="N412" s="8" t="n">
        <v>410.55</v>
      </c>
      <c r="O412" s="8" t="n">
        <v>257.95</v>
      </c>
      <c r="P412" s="8" t="n">
        <v>1642.9</v>
      </c>
      <c r="Q412" s="8" t="n">
        <v>493.75</v>
      </c>
      <c r="R412" s="8" t="n">
        <v>749.45</v>
      </c>
      <c r="S412" s="8" t="n">
        <v>492.21</v>
      </c>
    </row>
    <row r="413" customFormat="false" ht="15" hidden="false" customHeight="false" outlineLevel="0" collapsed="false">
      <c r="A413" s="7" t="n">
        <v>45407</v>
      </c>
      <c r="B413" s="8" t="n">
        <v>22570.35</v>
      </c>
      <c r="C413" s="8" t="n">
        <v>20867.9</v>
      </c>
      <c r="D413" s="8" t="n">
        <v>1605.4</v>
      </c>
      <c r="E413" s="8" t="n">
        <v>745.4</v>
      </c>
      <c r="F413" s="8" t="n">
        <v>866.4</v>
      </c>
      <c r="G413" s="8" t="n">
        <v>661.25</v>
      </c>
      <c r="H413" s="8" t="n">
        <v>783.25</v>
      </c>
      <c r="I413" s="8" t="n">
        <v>520.85</v>
      </c>
      <c r="J413" s="8" t="n">
        <v>1992.9</v>
      </c>
      <c r="K413" s="8" t="n">
        <v>728.5</v>
      </c>
      <c r="L413" s="8" t="n">
        <v>1155.35</v>
      </c>
      <c r="M413" s="8" t="n">
        <v>1477.95</v>
      </c>
      <c r="N413" s="8" t="n">
        <v>418.15</v>
      </c>
      <c r="O413" s="8" t="n">
        <v>257.75</v>
      </c>
      <c r="P413" s="8" t="n">
        <v>1655.05</v>
      </c>
      <c r="Q413" s="8" t="n">
        <v>493</v>
      </c>
      <c r="R413" s="8" t="n">
        <v>758.4</v>
      </c>
      <c r="S413" s="8" t="n">
        <v>498.37</v>
      </c>
    </row>
    <row r="414" customFormat="false" ht="15" hidden="false" customHeight="false" outlineLevel="0" collapsed="false">
      <c r="A414" s="7" t="n">
        <v>45408</v>
      </c>
      <c r="B414" s="8" t="n">
        <v>22419.95</v>
      </c>
      <c r="C414" s="8" t="n">
        <v>20839.35</v>
      </c>
      <c r="D414" s="8" t="n">
        <v>1610.05</v>
      </c>
      <c r="E414" s="8" t="n">
        <v>746.95</v>
      </c>
      <c r="F414" s="8" t="n">
        <v>872.8</v>
      </c>
      <c r="G414" s="8" t="n">
        <v>661.35</v>
      </c>
      <c r="H414" s="8" t="n">
        <v>784.75</v>
      </c>
      <c r="I414" s="8" t="n">
        <v>530.1</v>
      </c>
      <c r="J414" s="8" t="n">
        <v>1984.75</v>
      </c>
      <c r="K414" s="8" t="n">
        <v>672.21</v>
      </c>
      <c r="L414" s="8" t="n">
        <v>1171.7</v>
      </c>
      <c r="M414" s="8" t="n">
        <v>1467.9</v>
      </c>
      <c r="N414" s="8" t="n">
        <v>414.95</v>
      </c>
      <c r="O414" s="8" t="n">
        <v>258.65</v>
      </c>
      <c r="P414" s="8" t="n">
        <v>1687.95</v>
      </c>
      <c r="Q414" s="8" t="n">
        <v>484.95</v>
      </c>
      <c r="R414" s="8" t="n">
        <v>750.45</v>
      </c>
      <c r="S414" s="8" t="n">
        <v>499.72</v>
      </c>
    </row>
    <row r="415" customFormat="false" ht="15" hidden="false" customHeight="false" outlineLevel="0" collapsed="false">
      <c r="A415" s="7" t="n">
        <v>45411</v>
      </c>
      <c r="B415" s="8" t="n">
        <v>22643.4</v>
      </c>
      <c r="C415" s="8" t="n">
        <v>20992.2</v>
      </c>
      <c r="D415" s="8" t="n">
        <v>1619.7</v>
      </c>
      <c r="E415" s="8" t="n">
        <v>746.3</v>
      </c>
      <c r="F415" s="8" t="n">
        <v>885.2</v>
      </c>
      <c r="G415" s="8" t="n">
        <v>666.85</v>
      </c>
      <c r="H415" s="8" t="n">
        <v>802.6</v>
      </c>
      <c r="I415" s="8" t="n">
        <v>517</v>
      </c>
      <c r="J415" s="8" t="n">
        <v>2013.55</v>
      </c>
      <c r="K415" s="8" t="n">
        <v>681.73</v>
      </c>
      <c r="L415" s="8" t="n">
        <v>1170.9</v>
      </c>
      <c r="M415" s="8" t="n">
        <v>1483.1</v>
      </c>
      <c r="N415" s="8" t="n">
        <v>412.55</v>
      </c>
      <c r="O415" s="8" t="n">
        <v>261.5</v>
      </c>
      <c r="P415" s="8" t="n">
        <v>1697.8</v>
      </c>
      <c r="Q415" s="8" t="n">
        <v>488.95</v>
      </c>
      <c r="R415" s="8" t="n">
        <v>724.1</v>
      </c>
      <c r="S415" s="8" t="n">
        <v>498.44</v>
      </c>
    </row>
    <row r="416" customFormat="false" ht="15" hidden="false" customHeight="false" outlineLevel="0" collapsed="false">
      <c r="A416" s="7" t="n">
        <v>45412</v>
      </c>
      <c r="B416" s="8" t="n">
        <v>22604.85</v>
      </c>
      <c r="C416" s="8" t="n">
        <v>20997.2</v>
      </c>
      <c r="D416" s="8" t="n">
        <v>1624.1</v>
      </c>
      <c r="E416" s="8" t="n">
        <v>762.65</v>
      </c>
      <c r="F416" s="8" t="n">
        <v>912.55</v>
      </c>
      <c r="G416" s="8" t="n">
        <v>673.85</v>
      </c>
      <c r="H416" s="8" t="n">
        <v>795.8</v>
      </c>
      <c r="I416" s="8" t="n">
        <v>520.2</v>
      </c>
      <c r="J416" s="8" t="n">
        <v>2017.45</v>
      </c>
      <c r="K416" s="8" t="n">
        <v>691.41</v>
      </c>
      <c r="L416" s="8" t="n">
        <v>1193.3</v>
      </c>
      <c r="M416" s="8" t="n">
        <v>1508.45</v>
      </c>
      <c r="N416" s="8" t="n">
        <v>406</v>
      </c>
      <c r="O416" s="8" t="n">
        <v>261.15</v>
      </c>
      <c r="P416" s="8" t="n">
        <v>1720.65</v>
      </c>
      <c r="Q416" s="8" t="n">
        <v>490.65</v>
      </c>
      <c r="R416" s="8" t="n">
        <v>728.3</v>
      </c>
      <c r="S416" s="8" t="n">
        <v>510.34</v>
      </c>
    </row>
    <row r="417" customFormat="false" ht="15" hidden="false" customHeight="false" outlineLevel="0" collapsed="false">
      <c r="A417" s="7" t="n">
        <v>45414</v>
      </c>
      <c r="B417" s="8" t="n">
        <v>22648.2</v>
      </c>
      <c r="C417" s="8" t="n">
        <v>21083.6</v>
      </c>
      <c r="D417" s="8" t="n">
        <v>1597.35</v>
      </c>
      <c r="E417" s="8" t="n">
        <v>775.95</v>
      </c>
      <c r="F417" s="8" t="n">
        <v>890.3</v>
      </c>
      <c r="G417" s="8" t="n">
        <v>669.1</v>
      </c>
      <c r="H417" s="8" t="n">
        <v>797</v>
      </c>
      <c r="I417" s="8" t="n">
        <v>522.25</v>
      </c>
      <c r="J417" s="8" t="n">
        <v>2047</v>
      </c>
      <c r="K417" s="8" t="n">
        <v>687.33</v>
      </c>
      <c r="L417" s="8" t="n">
        <v>1301.6</v>
      </c>
      <c r="M417" s="8" t="n">
        <v>1466.95</v>
      </c>
      <c r="N417" s="8" t="n">
        <v>397.8</v>
      </c>
      <c r="O417" s="8" t="n">
        <v>264.7</v>
      </c>
      <c r="P417" s="8" t="n">
        <v>1716.85</v>
      </c>
      <c r="Q417" s="8" t="n">
        <v>492.25</v>
      </c>
      <c r="R417" s="8" t="n">
        <v>729.4</v>
      </c>
      <c r="S417" s="8" t="n">
        <v>516.42</v>
      </c>
    </row>
    <row r="418" customFormat="false" ht="15" hidden="false" customHeight="false" outlineLevel="0" collapsed="false">
      <c r="A418" s="7" t="n">
        <v>45415</v>
      </c>
      <c r="B418" s="8" t="n">
        <v>22475.85</v>
      </c>
      <c r="C418" s="8" t="n">
        <v>20959.55</v>
      </c>
      <c r="D418" s="8" t="n">
        <v>1586.05</v>
      </c>
      <c r="E418" s="8" t="n">
        <v>768.85</v>
      </c>
      <c r="F418" s="8" t="n">
        <v>901.6</v>
      </c>
      <c r="G418" s="8" t="n">
        <v>654.05</v>
      </c>
      <c r="H418" s="8" t="n">
        <v>796.3</v>
      </c>
      <c r="I418" s="8" t="n">
        <v>517.6</v>
      </c>
      <c r="J418" s="8" t="n">
        <v>2025.55</v>
      </c>
      <c r="K418" s="8" t="n">
        <v>692.21</v>
      </c>
      <c r="L418" s="8" t="n">
        <v>1309.7</v>
      </c>
      <c r="M418" s="8" t="n">
        <v>1467</v>
      </c>
      <c r="N418" s="8" t="n">
        <v>401.35</v>
      </c>
      <c r="O418" s="8" t="n">
        <v>267.1</v>
      </c>
      <c r="P418" s="8" t="n">
        <v>1700.95</v>
      </c>
      <c r="Q418" s="8" t="n">
        <v>483.7</v>
      </c>
      <c r="R418" s="8" t="n">
        <v>722.25</v>
      </c>
      <c r="S418" s="8" t="n">
        <v>517.71</v>
      </c>
    </row>
    <row r="419" customFormat="false" ht="15" hidden="false" customHeight="false" outlineLevel="0" collapsed="false">
      <c r="A419" s="7" t="n">
        <v>45418</v>
      </c>
      <c r="B419" s="8" t="n">
        <v>22442.7</v>
      </c>
      <c r="C419" s="8" t="n">
        <v>20864.95</v>
      </c>
      <c r="D419" s="8" t="n">
        <v>1564.4</v>
      </c>
      <c r="E419" s="8" t="n">
        <v>759.55</v>
      </c>
      <c r="F419" s="8" t="n">
        <v>898.3</v>
      </c>
      <c r="G419" s="8" t="n">
        <v>634.05</v>
      </c>
      <c r="H419" s="8" t="n">
        <v>773.55</v>
      </c>
      <c r="I419" s="8" t="n">
        <v>513.7</v>
      </c>
      <c r="J419" s="8" t="n">
        <v>2015.65</v>
      </c>
      <c r="K419" s="8" t="n">
        <v>685.05</v>
      </c>
      <c r="L419" s="8" t="n">
        <v>1326</v>
      </c>
      <c r="M419" s="8" t="n">
        <v>1434.55</v>
      </c>
      <c r="N419" s="8" t="n">
        <v>381</v>
      </c>
      <c r="O419" s="8" t="n">
        <v>259.9</v>
      </c>
      <c r="P419" s="8" t="n">
        <v>1674.45</v>
      </c>
      <c r="Q419" s="8" t="n">
        <v>478.15</v>
      </c>
      <c r="R419" s="8" t="n">
        <v>718</v>
      </c>
      <c r="S419" s="8" t="n">
        <v>509.51</v>
      </c>
    </row>
    <row r="420" customFormat="false" ht="15" hidden="false" customHeight="false" outlineLevel="0" collapsed="false">
      <c r="A420" s="7" t="n">
        <v>45419</v>
      </c>
      <c r="B420" s="8" t="n">
        <v>22302.5</v>
      </c>
      <c r="C420" s="8" t="n">
        <v>20636.05</v>
      </c>
      <c r="D420" s="8" t="n">
        <v>1593.6</v>
      </c>
      <c r="E420" s="8" t="n">
        <v>739.4</v>
      </c>
      <c r="F420" s="8" t="n">
        <v>878.05</v>
      </c>
      <c r="G420" s="8" t="n">
        <v>623.15</v>
      </c>
      <c r="H420" s="8" t="n">
        <v>759.8</v>
      </c>
      <c r="I420" s="8" t="n">
        <v>496.65</v>
      </c>
      <c r="J420" s="8" t="n">
        <v>2026.1</v>
      </c>
      <c r="K420" s="8" t="n">
        <v>686.32</v>
      </c>
      <c r="L420" s="8" t="n">
        <v>1306.35</v>
      </c>
      <c r="M420" s="8" t="n">
        <v>1420.75</v>
      </c>
      <c r="N420" s="8" t="n">
        <v>389</v>
      </c>
      <c r="O420" s="8" t="n">
        <v>256.9</v>
      </c>
      <c r="P420" s="8" t="n">
        <v>1675.9</v>
      </c>
      <c r="Q420" s="8" t="n">
        <v>471.55</v>
      </c>
      <c r="R420" s="8" t="n">
        <v>715.55</v>
      </c>
      <c r="S420" s="8" t="n">
        <v>497.16</v>
      </c>
    </row>
    <row r="421" customFormat="false" ht="15" hidden="false" customHeight="false" outlineLevel="0" collapsed="false">
      <c r="A421" s="7" t="n">
        <v>45420</v>
      </c>
      <c r="B421" s="8" t="n">
        <v>22302.5</v>
      </c>
      <c r="C421" s="8" t="n">
        <v>20704.9</v>
      </c>
      <c r="D421" s="8" t="n">
        <v>1592.7</v>
      </c>
      <c r="E421" s="8" t="n">
        <v>742.25</v>
      </c>
      <c r="F421" s="8" t="n">
        <v>891.85</v>
      </c>
      <c r="G421" s="8" t="n">
        <v>635.6</v>
      </c>
      <c r="H421" s="8" t="n">
        <v>756.9</v>
      </c>
      <c r="I421" s="8" t="n">
        <v>505.35</v>
      </c>
      <c r="J421" s="8" t="n">
        <v>2050.15</v>
      </c>
      <c r="K421" s="8" t="n">
        <v>679.02</v>
      </c>
      <c r="L421" s="8" t="n">
        <v>1263.95</v>
      </c>
      <c r="M421" s="8" t="n">
        <v>1428.65</v>
      </c>
      <c r="N421" s="8" t="n">
        <v>389.75</v>
      </c>
      <c r="O421" s="8" t="n">
        <v>254.85</v>
      </c>
      <c r="P421" s="8" t="n">
        <v>1659.3</v>
      </c>
      <c r="Q421" s="8" t="n">
        <v>468.8</v>
      </c>
      <c r="R421" s="8" t="n">
        <v>711.9</v>
      </c>
      <c r="S421" s="8" t="n">
        <v>489.6</v>
      </c>
    </row>
    <row r="422" customFormat="false" ht="15" hidden="false" customHeight="false" outlineLevel="0" collapsed="false">
      <c r="A422" s="7" t="n">
        <v>45421</v>
      </c>
      <c r="B422" s="8" t="n">
        <v>21957.5</v>
      </c>
      <c r="C422" s="8" t="n">
        <v>20344.8</v>
      </c>
      <c r="D422" s="8" t="n">
        <v>1550.8</v>
      </c>
      <c r="E422" s="8" t="n">
        <v>719.6</v>
      </c>
      <c r="F422" s="8" t="n">
        <v>849.15</v>
      </c>
      <c r="G422" s="8" t="n">
        <v>620.1</v>
      </c>
      <c r="H422" s="8" t="n">
        <v>755.95</v>
      </c>
      <c r="I422" s="8" t="n">
        <v>483.75</v>
      </c>
      <c r="J422" s="8" t="n">
        <v>2014.6</v>
      </c>
      <c r="K422" s="8" t="n">
        <v>659.62</v>
      </c>
      <c r="L422" s="8" t="n">
        <v>1222.5</v>
      </c>
      <c r="M422" s="8" t="n">
        <v>1420.3</v>
      </c>
      <c r="N422" s="8" t="n">
        <v>376.4</v>
      </c>
      <c r="O422" s="8" t="n">
        <v>252.95</v>
      </c>
      <c r="P422" s="8" t="n">
        <v>1598.4</v>
      </c>
      <c r="Q422" s="8" t="n">
        <v>452.2</v>
      </c>
      <c r="R422" s="8" t="n">
        <v>710.4</v>
      </c>
      <c r="S422" s="8" t="n">
        <v>472.18</v>
      </c>
    </row>
    <row r="423" customFormat="false" ht="15" hidden="false" customHeight="false" outlineLevel="0" collapsed="false">
      <c r="A423" s="7" t="n">
        <v>45422</v>
      </c>
      <c r="B423" s="8" t="n">
        <v>22055.2</v>
      </c>
      <c r="C423" s="8" t="n">
        <v>20469.1</v>
      </c>
      <c r="D423" s="8" t="n">
        <v>1599.65</v>
      </c>
      <c r="E423" s="8" t="n">
        <v>734.95</v>
      </c>
      <c r="F423" s="8" t="n">
        <v>817.7</v>
      </c>
      <c r="G423" s="8" t="n">
        <v>626.5</v>
      </c>
      <c r="H423" s="8" t="n">
        <v>739.6</v>
      </c>
      <c r="I423" s="8" t="n">
        <v>481</v>
      </c>
      <c r="J423" s="8" t="n">
        <v>2031.15</v>
      </c>
      <c r="K423" s="8" t="n">
        <v>667.51</v>
      </c>
      <c r="L423" s="8" t="n">
        <v>1272.65</v>
      </c>
      <c r="M423" s="8" t="n">
        <v>1413.8</v>
      </c>
      <c r="N423" s="8" t="n">
        <v>399.8</v>
      </c>
      <c r="O423" s="8" t="n">
        <v>250.55</v>
      </c>
      <c r="P423" s="8" t="n">
        <v>1663.25</v>
      </c>
      <c r="Q423" s="8" t="n">
        <v>462.85</v>
      </c>
      <c r="R423" s="8" t="n">
        <v>720.4</v>
      </c>
      <c r="S423" s="8" t="n">
        <v>468.87</v>
      </c>
    </row>
    <row r="424" customFormat="false" ht="15" hidden="false" customHeight="false" outlineLevel="0" collapsed="false">
      <c r="A424" s="7" t="n">
        <v>45425</v>
      </c>
      <c r="B424" s="8" t="n">
        <v>22104.05</v>
      </c>
      <c r="C424" s="8" t="n">
        <v>20511</v>
      </c>
      <c r="D424" s="8" t="n">
        <v>1580.85</v>
      </c>
      <c r="E424" s="8" t="n">
        <v>738.75</v>
      </c>
      <c r="F424" s="8" t="n">
        <v>791.1</v>
      </c>
      <c r="G424" s="8" t="n">
        <v>625.05</v>
      </c>
      <c r="H424" s="8" t="n">
        <v>727.75</v>
      </c>
      <c r="I424" s="8" t="n">
        <v>479.05</v>
      </c>
      <c r="J424" s="8" t="n">
        <v>2001.9</v>
      </c>
      <c r="K424" s="8" t="n">
        <v>670.96</v>
      </c>
      <c r="L424" s="8" t="n">
        <v>1282.6</v>
      </c>
      <c r="M424" s="8" t="n">
        <v>1402.3</v>
      </c>
      <c r="N424" s="8" t="n">
        <v>396.15</v>
      </c>
      <c r="O424" s="8" t="n">
        <v>263.75</v>
      </c>
      <c r="P424" s="8" t="n">
        <v>1691.7</v>
      </c>
      <c r="Q424" s="8" t="n">
        <v>456.7</v>
      </c>
      <c r="R424" s="8" t="n">
        <v>720.75</v>
      </c>
      <c r="S424" s="8" t="n">
        <v>460.36</v>
      </c>
    </row>
    <row r="425" customFormat="false" ht="15" hidden="false" customHeight="false" outlineLevel="0" collapsed="false">
      <c r="A425" s="7" t="n">
        <v>45426</v>
      </c>
      <c r="B425" s="8" t="n">
        <v>22217.85</v>
      </c>
      <c r="C425" s="8" t="n">
        <v>20683.8</v>
      </c>
      <c r="D425" s="8" t="n">
        <v>1560.2</v>
      </c>
      <c r="E425" s="8" t="n">
        <v>750</v>
      </c>
      <c r="F425" s="8" t="n">
        <v>827.65</v>
      </c>
      <c r="G425" s="8" t="n">
        <v>633.75</v>
      </c>
      <c r="H425" s="8" t="n">
        <v>732.3</v>
      </c>
      <c r="I425" s="8" t="n">
        <v>483.45</v>
      </c>
      <c r="J425" s="8" t="n">
        <v>2064.8</v>
      </c>
      <c r="K425" s="8" t="n">
        <v>666.66</v>
      </c>
      <c r="L425" s="8" t="n">
        <v>1252.05</v>
      </c>
      <c r="M425" s="8" t="n">
        <v>1380.1</v>
      </c>
      <c r="N425" s="8" t="n">
        <v>400.85</v>
      </c>
      <c r="O425" s="8" t="n">
        <v>263.75</v>
      </c>
      <c r="P425" s="8" t="n">
        <v>1677.3</v>
      </c>
      <c r="Q425" s="8" t="n">
        <v>468.65</v>
      </c>
      <c r="R425" s="8" t="n">
        <v>718.4</v>
      </c>
      <c r="S425" s="8" t="n">
        <v>466.07</v>
      </c>
    </row>
    <row r="426" customFormat="false" ht="15" hidden="false" customHeight="false" outlineLevel="0" collapsed="false">
      <c r="A426" s="7" t="n">
        <v>45427</v>
      </c>
      <c r="B426" s="8" t="n">
        <v>22200.55</v>
      </c>
      <c r="C426" s="8" t="n">
        <v>20741.85</v>
      </c>
      <c r="D426" s="8" t="n">
        <v>1577.3</v>
      </c>
      <c r="E426" s="8" t="n">
        <v>753</v>
      </c>
      <c r="F426" s="8" t="n">
        <v>829.6</v>
      </c>
      <c r="G426" s="8" t="n">
        <v>631</v>
      </c>
      <c r="H426" s="8" t="n">
        <v>736.75</v>
      </c>
      <c r="I426" s="8" t="n">
        <v>508.4</v>
      </c>
      <c r="J426" s="8" t="n">
        <v>2058.7</v>
      </c>
      <c r="K426" s="8" t="n">
        <v>667.09</v>
      </c>
      <c r="L426" s="8" t="n">
        <v>1231.35</v>
      </c>
      <c r="M426" s="8" t="n">
        <v>1413.7</v>
      </c>
      <c r="N426" s="8" t="n">
        <v>395.8</v>
      </c>
      <c r="O426" s="8" t="n">
        <v>266.9</v>
      </c>
      <c r="P426" s="8" t="n">
        <v>1671.5</v>
      </c>
      <c r="Q426" s="8" t="n">
        <v>465.95</v>
      </c>
      <c r="R426" s="8" t="n">
        <v>713.45</v>
      </c>
      <c r="S426" s="8" t="n">
        <v>464</v>
      </c>
    </row>
    <row r="427" customFormat="false" ht="15" hidden="false" customHeight="false" outlineLevel="0" collapsed="false">
      <c r="A427" s="7" t="n">
        <v>45428</v>
      </c>
      <c r="B427" s="8" t="n">
        <v>22403.85</v>
      </c>
      <c r="C427" s="8" t="n">
        <v>20929.05</v>
      </c>
      <c r="D427" s="8" t="n">
        <v>1589.8</v>
      </c>
      <c r="E427" s="8" t="n">
        <v>760.25</v>
      </c>
      <c r="F427" s="8" t="n">
        <v>828.15</v>
      </c>
      <c r="G427" s="8" t="n">
        <v>653.15</v>
      </c>
      <c r="H427" s="8" t="n">
        <v>743.7</v>
      </c>
      <c r="I427" s="8" t="n">
        <v>502.9</v>
      </c>
      <c r="J427" s="8" t="n">
        <v>2050.5</v>
      </c>
      <c r="K427" s="8" t="n">
        <v>673.8</v>
      </c>
      <c r="L427" s="8" t="n">
        <v>1262</v>
      </c>
      <c r="M427" s="8" t="n">
        <v>1419.55</v>
      </c>
      <c r="N427" s="8" t="n">
        <v>393.7</v>
      </c>
      <c r="O427" s="8" t="n">
        <v>266.65</v>
      </c>
      <c r="P427" s="8" t="n">
        <v>1696.75</v>
      </c>
      <c r="Q427" s="8" t="n">
        <v>467.95</v>
      </c>
      <c r="R427" s="8" t="n">
        <v>713.75</v>
      </c>
      <c r="S427" s="8" t="n">
        <v>467.74</v>
      </c>
    </row>
    <row r="428" customFormat="false" ht="15" hidden="false" customHeight="false" outlineLevel="0" collapsed="false">
      <c r="A428" s="7" t="n">
        <v>45429</v>
      </c>
      <c r="B428" s="8" t="n">
        <v>22466.1</v>
      </c>
      <c r="C428" s="8" t="n">
        <v>21064.55</v>
      </c>
      <c r="D428" s="8" t="n">
        <v>1597.05</v>
      </c>
      <c r="E428" s="8" t="n">
        <v>757.75</v>
      </c>
      <c r="F428" s="8" t="n">
        <v>841.15</v>
      </c>
      <c r="G428" s="8" t="n">
        <v>652</v>
      </c>
      <c r="H428" s="8" t="n">
        <v>735.3</v>
      </c>
      <c r="I428" s="8" t="n">
        <v>500.3</v>
      </c>
      <c r="J428" s="8" t="n">
        <v>2063.1</v>
      </c>
      <c r="K428" s="8" t="n">
        <v>671.83</v>
      </c>
      <c r="L428" s="8" t="n">
        <v>1285</v>
      </c>
      <c r="M428" s="8" t="n">
        <v>1411.2</v>
      </c>
      <c r="N428" s="8" t="n">
        <v>399.7</v>
      </c>
      <c r="O428" s="8" t="n">
        <v>263.8</v>
      </c>
      <c r="P428" s="8" t="n">
        <v>1679.55</v>
      </c>
      <c r="Q428" s="8" t="n">
        <v>463.5</v>
      </c>
      <c r="R428" s="8" t="n">
        <v>714.9</v>
      </c>
      <c r="S428" s="8" t="n">
        <v>474.32</v>
      </c>
    </row>
    <row r="429" customFormat="false" ht="15" hidden="false" customHeight="false" outlineLevel="0" collapsed="false">
      <c r="A429" s="7" t="n">
        <v>45430</v>
      </c>
      <c r="B429" s="8" t="n">
        <v>22502</v>
      </c>
      <c r="C429" s="8" t="n">
        <v>21144.45</v>
      </c>
      <c r="D429" s="8" t="n">
        <v>1581.2</v>
      </c>
      <c r="E429" s="8" t="n">
        <v>758.35</v>
      </c>
      <c r="F429" s="8" t="n">
        <v>844.7</v>
      </c>
      <c r="G429" s="8" t="n">
        <v>644.85</v>
      </c>
      <c r="H429" s="8" t="n">
        <v>747.3</v>
      </c>
      <c r="I429" s="8" t="n">
        <v>510.35</v>
      </c>
      <c r="J429" s="8" t="n">
        <v>2075.9</v>
      </c>
      <c r="K429" s="8" t="n">
        <v>672.88</v>
      </c>
      <c r="L429" s="8" t="n">
        <v>1281.85</v>
      </c>
      <c r="M429" s="8" t="n">
        <v>1429</v>
      </c>
      <c r="N429" s="8" t="n">
        <v>401.5</v>
      </c>
      <c r="O429" s="8" t="n">
        <v>264.5</v>
      </c>
      <c r="P429" s="8" t="n">
        <v>1703.4</v>
      </c>
      <c r="Q429" s="8" t="n">
        <v>465.2</v>
      </c>
      <c r="R429" s="8" t="n">
        <v>714.75</v>
      </c>
      <c r="S429" s="8" t="n">
        <v>474.09</v>
      </c>
    </row>
    <row r="430" customFormat="false" ht="15" hidden="false" customHeight="false" outlineLevel="0" collapsed="false">
      <c r="A430" s="7" t="n">
        <v>45433</v>
      </c>
      <c r="B430" s="8" t="n">
        <v>22529.05</v>
      </c>
      <c r="C430" s="8" t="n">
        <v>21187.65</v>
      </c>
      <c r="D430" s="8" t="n">
        <v>1611.5</v>
      </c>
      <c r="E430" s="8" t="n">
        <v>744.9</v>
      </c>
      <c r="F430" s="8" t="n">
        <v>819.45</v>
      </c>
      <c r="G430" s="8" t="n">
        <v>651.65</v>
      </c>
      <c r="H430" s="8" t="n">
        <v>740.55</v>
      </c>
      <c r="I430" s="8" t="n">
        <v>495.4</v>
      </c>
      <c r="J430" s="8" t="n">
        <v>2037.75</v>
      </c>
      <c r="K430" s="8" t="n">
        <v>673.37</v>
      </c>
      <c r="L430" s="8" t="n">
        <v>1292.45</v>
      </c>
      <c r="M430" s="8" t="n">
        <v>1415.55</v>
      </c>
      <c r="N430" s="8" t="n">
        <v>398.05</v>
      </c>
      <c r="O430" s="8" t="n">
        <v>263.4</v>
      </c>
      <c r="P430" s="8" t="n">
        <v>1703.4</v>
      </c>
      <c r="Q430" s="8" t="n">
        <v>458.65</v>
      </c>
      <c r="R430" s="8" t="n">
        <v>709.85</v>
      </c>
      <c r="S430" s="8" t="n">
        <v>474.65</v>
      </c>
    </row>
    <row r="431" customFormat="false" ht="15" hidden="false" customHeight="false" outlineLevel="0" collapsed="false">
      <c r="A431" s="7" t="n">
        <v>45434</v>
      </c>
      <c r="B431" s="8" t="n">
        <v>22597.8</v>
      </c>
      <c r="C431" s="8" t="n">
        <v>21237.75</v>
      </c>
      <c r="D431" s="8" t="n">
        <v>1602.05</v>
      </c>
      <c r="E431" s="8" t="n">
        <v>739.5</v>
      </c>
      <c r="F431" s="8" t="n">
        <v>820.4</v>
      </c>
      <c r="G431" s="8" t="n">
        <v>655.55</v>
      </c>
      <c r="H431" s="8" t="n">
        <v>745.35</v>
      </c>
      <c r="I431" s="8" t="n">
        <v>501.15</v>
      </c>
      <c r="J431" s="8" t="n">
        <v>2090.95</v>
      </c>
      <c r="K431" s="8" t="n">
        <v>673.54</v>
      </c>
      <c r="L431" s="8" t="n">
        <v>1269.75</v>
      </c>
      <c r="M431" s="8" t="n">
        <v>1408.7</v>
      </c>
      <c r="N431" s="8" t="n">
        <v>399.7</v>
      </c>
      <c r="O431" s="8" t="n">
        <v>266.05</v>
      </c>
      <c r="P431" s="8" t="n">
        <v>1708.15</v>
      </c>
      <c r="Q431" s="8" t="n">
        <v>455.4</v>
      </c>
      <c r="R431" s="8" t="n">
        <v>708.05</v>
      </c>
      <c r="S431" s="8" t="n">
        <v>467.35</v>
      </c>
    </row>
    <row r="432" customFormat="false" ht="15" hidden="false" customHeight="false" outlineLevel="0" collapsed="false">
      <c r="A432" s="7" t="n">
        <v>45435</v>
      </c>
      <c r="B432" s="8" t="n">
        <v>22967.65</v>
      </c>
      <c r="C432" s="8" t="n">
        <v>21489.55</v>
      </c>
      <c r="D432" s="8" t="n">
        <v>1609.6</v>
      </c>
      <c r="E432" s="8" t="n">
        <v>744.6</v>
      </c>
      <c r="F432" s="8" t="n">
        <v>817.95</v>
      </c>
      <c r="G432" s="8" t="n">
        <v>654.1</v>
      </c>
      <c r="H432" s="8" t="n">
        <v>798.65</v>
      </c>
      <c r="I432" s="8" t="n">
        <v>515.75</v>
      </c>
      <c r="J432" s="8" t="n">
        <v>2099.1</v>
      </c>
      <c r="K432" s="8" t="n">
        <v>681.74</v>
      </c>
      <c r="L432" s="8" t="n">
        <v>1279.25</v>
      </c>
      <c r="M432" s="8" t="n">
        <v>1406.45</v>
      </c>
      <c r="N432" s="8" t="n">
        <v>397.3</v>
      </c>
      <c r="O432" s="8" t="n">
        <v>269.05</v>
      </c>
      <c r="P432" s="8" t="n">
        <v>1718.55</v>
      </c>
      <c r="Q432" s="8" t="n">
        <v>460.85</v>
      </c>
      <c r="R432" s="8" t="n">
        <v>710.6</v>
      </c>
      <c r="S432" s="8" t="n">
        <v>480.09</v>
      </c>
    </row>
    <row r="433" customFormat="false" ht="15" hidden="false" customHeight="false" outlineLevel="0" collapsed="false">
      <c r="A433" s="7" t="n">
        <v>45436</v>
      </c>
      <c r="B433" s="8" t="n">
        <v>22957.1</v>
      </c>
      <c r="C433" s="8" t="n">
        <v>21483.75</v>
      </c>
      <c r="D433" s="8" t="n">
        <v>1619.25</v>
      </c>
      <c r="E433" s="8" t="n">
        <v>738.55</v>
      </c>
      <c r="F433" s="8" t="n">
        <v>803.35</v>
      </c>
      <c r="G433" s="8" t="n">
        <v>649.1</v>
      </c>
      <c r="H433" s="8" t="n">
        <v>796.45</v>
      </c>
      <c r="I433" s="8" t="n">
        <v>502.95</v>
      </c>
      <c r="J433" s="8" t="n">
        <v>2070.5</v>
      </c>
      <c r="K433" s="8" t="n">
        <v>682.76</v>
      </c>
      <c r="L433" s="8" t="n">
        <v>1260.95</v>
      </c>
      <c r="M433" s="8" t="n">
        <v>1394.75</v>
      </c>
      <c r="N433" s="8" t="n">
        <v>393.4</v>
      </c>
      <c r="O433" s="8" t="n">
        <v>271.4</v>
      </c>
      <c r="P433" s="8" t="n">
        <v>1694.95</v>
      </c>
      <c r="Q433" s="8" t="n">
        <v>458.25</v>
      </c>
      <c r="R433" s="8" t="n">
        <v>709.55</v>
      </c>
      <c r="S433" s="8" t="n">
        <v>479.5</v>
      </c>
    </row>
    <row r="434" customFormat="false" ht="15" hidden="false" customHeight="false" outlineLevel="0" collapsed="false">
      <c r="A434" s="7" t="n">
        <v>45439</v>
      </c>
      <c r="B434" s="8" t="n">
        <v>22932.45</v>
      </c>
      <c r="C434" s="8" t="n">
        <v>21493</v>
      </c>
      <c r="D434" s="8" t="n">
        <v>1628.15</v>
      </c>
      <c r="E434" s="8" t="n">
        <v>742</v>
      </c>
      <c r="F434" s="8" t="n">
        <v>818.5</v>
      </c>
      <c r="G434" s="8" t="n">
        <v>640.7</v>
      </c>
      <c r="H434" s="8" t="n">
        <v>798.85</v>
      </c>
      <c r="I434" s="8" t="n">
        <v>496.8</v>
      </c>
      <c r="J434" s="8" t="n">
        <v>2089.7</v>
      </c>
      <c r="K434" s="8" t="n">
        <v>688.61</v>
      </c>
      <c r="L434" s="8" t="n">
        <v>1270</v>
      </c>
      <c r="M434" s="8" t="n">
        <v>1377.45</v>
      </c>
      <c r="N434" s="8" t="n">
        <v>398.6</v>
      </c>
      <c r="O434" s="8" t="n">
        <v>269.25</v>
      </c>
      <c r="P434" s="8" t="n">
        <v>1708.25</v>
      </c>
      <c r="Q434" s="8" t="n">
        <v>449.05</v>
      </c>
      <c r="R434" s="8" t="n">
        <v>702.8</v>
      </c>
      <c r="S434" s="8" t="n">
        <v>476</v>
      </c>
    </row>
    <row r="435" customFormat="false" ht="15" hidden="false" customHeight="false" outlineLevel="0" collapsed="false">
      <c r="A435" s="7" t="n">
        <v>45440</v>
      </c>
      <c r="B435" s="8" t="n">
        <v>22888.15</v>
      </c>
      <c r="C435" s="8" t="n">
        <v>21387.35</v>
      </c>
      <c r="D435" s="8" t="n">
        <v>1588.65</v>
      </c>
      <c r="E435" s="8" t="n">
        <v>744.95</v>
      </c>
      <c r="F435" s="8" t="n">
        <v>808.55</v>
      </c>
      <c r="G435" s="8" t="n">
        <v>645.4</v>
      </c>
      <c r="H435" s="8" t="n">
        <v>787.8</v>
      </c>
      <c r="I435" s="8" t="n">
        <v>484.8</v>
      </c>
      <c r="J435" s="8" t="n">
        <v>2074.05</v>
      </c>
      <c r="K435" s="8" t="n">
        <v>686.37</v>
      </c>
      <c r="L435" s="8" t="n">
        <v>1259.7</v>
      </c>
      <c r="M435" s="8" t="n">
        <v>1348.15</v>
      </c>
      <c r="N435" s="8" t="n">
        <v>399.15</v>
      </c>
      <c r="O435" s="8" t="n">
        <v>269.75</v>
      </c>
      <c r="P435" s="8" t="n">
        <v>1745.4</v>
      </c>
      <c r="Q435" s="8" t="n">
        <v>444.9</v>
      </c>
      <c r="R435" s="8" t="n">
        <v>705.45</v>
      </c>
      <c r="S435" s="8" t="n">
        <v>478.74</v>
      </c>
    </row>
    <row r="436" customFormat="false" ht="15" hidden="false" customHeight="false" outlineLevel="0" collapsed="false">
      <c r="A436" s="7" t="n">
        <v>45441</v>
      </c>
      <c r="B436" s="8" t="n">
        <v>22704.7</v>
      </c>
      <c r="C436" s="8" t="n">
        <v>21256.3</v>
      </c>
      <c r="D436" s="8" t="n">
        <v>1574.05</v>
      </c>
      <c r="E436" s="8" t="n">
        <v>722.2</v>
      </c>
      <c r="F436" s="8" t="n">
        <v>814.9</v>
      </c>
      <c r="G436" s="8" t="n">
        <v>646.8</v>
      </c>
      <c r="H436" s="8" t="n">
        <v>735.75</v>
      </c>
      <c r="I436" s="8" t="n">
        <v>484.3</v>
      </c>
      <c r="J436" s="8" t="n">
        <v>2056</v>
      </c>
      <c r="K436" s="8" t="n">
        <v>679.74</v>
      </c>
      <c r="L436" s="8" t="n">
        <v>1240.4</v>
      </c>
      <c r="M436" s="8" t="n">
        <v>1323.2</v>
      </c>
      <c r="N436" s="8" t="n">
        <v>411.15</v>
      </c>
      <c r="O436" s="8" t="n">
        <v>268.45</v>
      </c>
      <c r="P436" s="8" t="n">
        <v>1738.9</v>
      </c>
      <c r="Q436" s="8" t="n">
        <v>449.5</v>
      </c>
      <c r="R436" s="8" t="n">
        <v>697.3</v>
      </c>
      <c r="S436" s="8" t="n">
        <v>474.93</v>
      </c>
    </row>
    <row r="437" customFormat="false" ht="15" hidden="false" customHeight="false" outlineLevel="0" collapsed="false">
      <c r="A437" s="7" t="n">
        <v>45442</v>
      </c>
      <c r="B437" s="8" t="n">
        <v>22488.65</v>
      </c>
      <c r="C437" s="8" t="n">
        <v>21038.55</v>
      </c>
      <c r="D437" s="8" t="n">
        <v>1564.8</v>
      </c>
      <c r="E437" s="8" t="n">
        <v>720.65</v>
      </c>
      <c r="F437" s="8" t="n">
        <v>813.4</v>
      </c>
      <c r="G437" s="8" t="n">
        <v>631.3</v>
      </c>
      <c r="H437" s="8" t="n">
        <v>745.4</v>
      </c>
      <c r="I437" s="8" t="n">
        <v>469.75</v>
      </c>
      <c r="J437" s="8" t="n">
        <v>2016</v>
      </c>
      <c r="K437" s="8" t="n">
        <v>660.75</v>
      </c>
      <c r="L437" s="8" t="n">
        <v>1212.85</v>
      </c>
      <c r="M437" s="8" t="n">
        <v>1317.25</v>
      </c>
      <c r="N437" s="8" t="n">
        <v>406.1</v>
      </c>
      <c r="O437" s="8" t="n">
        <v>263.15</v>
      </c>
      <c r="P437" s="8" t="n">
        <v>1674</v>
      </c>
      <c r="Q437" s="8" t="n">
        <v>448.55</v>
      </c>
      <c r="R437" s="8" t="n">
        <v>694.05</v>
      </c>
      <c r="S437" s="8" t="n">
        <v>460.54</v>
      </c>
    </row>
    <row r="438" customFormat="false" ht="15" hidden="false" customHeight="false" outlineLevel="0" collapsed="false">
      <c r="A438" s="7" t="n">
        <v>45443</v>
      </c>
      <c r="B438" s="8" t="n">
        <v>22530.7</v>
      </c>
      <c r="C438" s="8" t="n">
        <v>21103.3</v>
      </c>
      <c r="D438" s="8" t="n">
        <v>1596.8</v>
      </c>
      <c r="E438" s="8" t="n">
        <v>727.2</v>
      </c>
      <c r="F438" s="8" t="n">
        <v>817.95</v>
      </c>
      <c r="G438" s="8" t="n">
        <v>632.7</v>
      </c>
      <c r="H438" s="8" t="n">
        <v>722.9</v>
      </c>
      <c r="I438" s="8" t="n">
        <v>469.9</v>
      </c>
      <c r="J438" s="8" t="n">
        <v>2006.05</v>
      </c>
      <c r="K438" s="8" t="n">
        <v>668.86</v>
      </c>
      <c r="L438" s="8" t="n">
        <v>1241.1</v>
      </c>
      <c r="M438" s="8" t="n">
        <v>1323.85</v>
      </c>
      <c r="N438" s="8" t="n">
        <v>399.25</v>
      </c>
      <c r="O438" s="8" t="n">
        <v>267.6</v>
      </c>
      <c r="P438" s="8" t="n">
        <v>1683.45</v>
      </c>
      <c r="Q438" s="8" t="n">
        <v>449.1</v>
      </c>
      <c r="R438" s="8" t="n">
        <v>692.1</v>
      </c>
      <c r="S438" s="8" t="n">
        <v>470.81</v>
      </c>
    </row>
    <row r="439" customFormat="false" ht="15" hidden="false" customHeight="false" outlineLevel="0" collapsed="false">
      <c r="A439" s="7" t="n">
        <v>45446</v>
      </c>
      <c r="B439" s="8" t="n">
        <v>23263.9</v>
      </c>
      <c r="C439" s="8" t="n">
        <v>21797.4</v>
      </c>
      <c r="D439" s="8" t="n">
        <v>1625.2</v>
      </c>
      <c r="E439" s="8" t="n">
        <v>752.15</v>
      </c>
      <c r="F439" s="8" t="n">
        <v>816.95</v>
      </c>
      <c r="G439" s="8" t="n">
        <v>680.95</v>
      </c>
      <c r="H439" s="8" t="n">
        <v>729.15</v>
      </c>
      <c r="I439" s="8" t="n">
        <v>480.35</v>
      </c>
      <c r="J439" s="8" t="n">
        <v>2001.45</v>
      </c>
      <c r="K439" s="8" t="n">
        <v>690.62</v>
      </c>
      <c r="L439" s="8" t="n">
        <v>1288.65</v>
      </c>
      <c r="M439" s="8" t="n">
        <v>1319.3</v>
      </c>
      <c r="N439" s="8" t="n">
        <v>400.8</v>
      </c>
      <c r="O439" s="8" t="n">
        <v>273.3</v>
      </c>
      <c r="P439" s="8" t="n">
        <v>1705.7</v>
      </c>
      <c r="Q439" s="8" t="n">
        <v>450.95</v>
      </c>
      <c r="R439" s="8" t="n">
        <v>705.2</v>
      </c>
      <c r="S439" s="8" t="n">
        <v>501.83</v>
      </c>
    </row>
    <row r="440" customFormat="false" ht="15" hidden="false" customHeight="false" outlineLevel="0" collapsed="false">
      <c r="A440" s="7" t="n">
        <v>45447</v>
      </c>
      <c r="B440" s="8" t="n">
        <v>21884.5</v>
      </c>
      <c r="C440" s="8" t="n">
        <v>20323.85</v>
      </c>
      <c r="D440" s="8" t="n">
        <v>1525.2</v>
      </c>
      <c r="E440" s="8" t="n">
        <v>698.95</v>
      </c>
      <c r="F440" s="8" t="n">
        <v>815.6</v>
      </c>
      <c r="G440" s="8" t="n">
        <v>577</v>
      </c>
      <c r="H440" s="8" t="n">
        <v>671.95</v>
      </c>
      <c r="I440" s="8" t="n">
        <v>441.3</v>
      </c>
      <c r="J440" s="8" t="n">
        <v>1924.05</v>
      </c>
      <c r="K440" s="8" t="n">
        <v>650.07</v>
      </c>
      <c r="L440" s="8" t="n">
        <v>1231.4</v>
      </c>
      <c r="M440" s="8" t="n">
        <v>1265.6</v>
      </c>
      <c r="N440" s="8" t="n">
        <v>382.6</v>
      </c>
      <c r="O440" s="8" t="n">
        <v>259.5</v>
      </c>
      <c r="P440" s="8" t="n">
        <v>1646.7</v>
      </c>
      <c r="Q440" s="8" t="n">
        <v>423.05</v>
      </c>
      <c r="R440" s="8" t="n">
        <v>677.4</v>
      </c>
      <c r="S440" s="8" t="n">
        <v>452.14</v>
      </c>
    </row>
    <row r="441" customFormat="false" ht="15" hidden="false" customHeight="false" outlineLevel="0" collapsed="false">
      <c r="A441" s="7" t="n">
        <v>45448</v>
      </c>
      <c r="B441" s="8" t="n">
        <v>22620.35</v>
      </c>
      <c r="C441" s="8" t="n">
        <v>21054.4</v>
      </c>
      <c r="D441" s="8" t="n">
        <v>1550.35</v>
      </c>
      <c r="E441" s="8" t="n">
        <v>745.25</v>
      </c>
      <c r="F441" s="8" t="n">
        <v>811.25</v>
      </c>
      <c r="G441" s="8" t="n">
        <v>622.3</v>
      </c>
      <c r="H441" s="8" t="n">
        <v>713.1</v>
      </c>
      <c r="I441" s="8" t="n">
        <v>460.85</v>
      </c>
      <c r="J441" s="8" t="n">
        <v>2079.4</v>
      </c>
      <c r="K441" s="8" t="n">
        <v>682.74</v>
      </c>
      <c r="L441" s="8" t="n">
        <v>1288.5</v>
      </c>
      <c r="M441" s="8" t="n">
        <v>1404.3</v>
      </c>
      <c r="N441" s="8" t="n">
        <v>402.4</v>
      </c>
      <c r="O441" s="8" t="n">
        <v>274.3</v>
      </c>
      <c r="P441" s="8" t="n">
        <v>1747.35</v>
      </c>
      <c r="Q441" s="8" t="n">
        <v>435.1</v>
      </c>
      <c r="R441" s="8" t="n">
        <v>699.65</v>
      </c>
      <c r="S441" s="8" t="n">
        <v>477.49</v>
      </c>
    </row>
    <row r="442" customFormat="false" ht="15" hidden="false" customHeight="false" outlineLevel="0" collapsed="false">
      <c r="A442" s="7" t="n">
        <v>45449</v>
      </c>
      <c r="B442" s="8" t="n">
        <v>22821.4</v>
      </c>
      <c r="C442" s="8" t="n">
        <v>21365</v>
      </c>
      <c r="D442" s="8" t="n">
        <v>1632.3</v>
      </c>
      <c r="E442" s="8" t="n">
        <v>763.95</v>
      </c>
      <c r="F442" s="8" t="n">
        <v>866.85</v>
      </c>
      <c r="G442" s="8" t="n">
        <v>651.05</v>
      </c>
      <c r="H442" s="8" t="n">
        <v>739.4</v>
      </c>
      <c r="I442" s="8" t="n">
        <v>488.95</v>
      </c>
      <c r="J442" s="8" t="n">
        <v>2287.75</v>
      </c>
      <c r="K442" s="8" t="n">
        <v>691.64</v>
      </c>
      <c r="L442" s="8" t="n">
        <v>1335.7</v>
      </c>
      <c r="M442" s="8" t="n">
        <v>1500.3</v>
      </c>
      <c r="N442" s="8" t="n">
        <v>414.2</v>
      </c>
      <c r="O442" s="8" t="n">
        <v>278.15</v>
      </c>
      <c r="P442" s="8" t="n">
        <v>1753.25</v>
      </c>
      <c r="Q442" s="8" t="n">
        <v>451.75</v>
      </c>
      <c r="R442" s="8" t="n">
        <v>703.7</v>
      </c>
      <c r="S442" s="8" t="n">
        <v>494.96</v>
      </c>
    </row>
    <row r="443" customFormat="false" ht="15" hidden="false" customHeight="false" outlineLevel="0" collapsed="false">
      <c r="A443" s="7" t="n">
        <v>45450</v>
      </c>
      <c r="B443" s="8" t="n">
        <v>23290.15</v>
      </c>
      <c r="C443" s="8" t="n">
        <v>21764.15</v>
      </c>
      <c r="D443" s="8" t="n">
        <v>1674.95</v>
      </c>
      <c r="E443" s="8" t="n">
        <v>774.3</v>
      </c>
      <c r="F443" s="8" t="n">
        <v>854.35</v>
      </c>
      <c r="G443" s="8" t="n">
        <v>662.1</v>
      </c>
      <c r="H443" s="8" t="n">
        <v>746.5</v>
      </c>
      <c r="I443" s="8" t="n">
        <v>495.45</v>
      </c>
      <c r="J443" s="8" t="n">
        <v>2240.35</v>
      </c>
      <c r="K443" s="8" t="n">
        <v>718.16</v>
      </c>
      <c r="L443" s="8" t="n">
        <v>1337.85</v>
      </c>
      <c r="M443" s="8" t="n">
        <v>1500.25</v>
      </c>
      <c r="N443" s="8" t="n">
        <v>470.5</v>
      </c>
      <c r="O443" s="8" t="n">
        <v>282.45</v>
      </c>
      <c r="P443" s="8" t="n">
        <v>1773.15</v>
      </c>
      <c r="Q443" s="8" t="n">
        <v>465.5</v>
      </c>
      <c r="R443" s="8" t="n">
        <v>715.55</v>
      </c>
      <c r="S443" s="8" t="n">
        <v>499.59</v>
      </c>
    </row>
    <row r="444" customFormat="false" ht="15" hidden="false" customHeight="false" outlineLevel="0" collapsed="false">
      <c r="A444" s="7" t="n">
        <v>45453</v>
      </c>
      <c r="B444" s="8" t="n">
        <v>23259.2</v>
      </c>
      <c r="C444" s="8" t="n">
        <v>21808.25</v>
      </c>
      <c r="D444" s="8" t="n">
        <v>1735.3</v>
      </c>
      <c r="E444" s="8" t="n">
        <v>773.35</v>
      </c>
      <c r="F444" s="8" t="n">
        <v>864.6</v>
      </c>
      <c r="G444" s="8" t="n">
        <v>674.4</v>
      </c>
      <c r="H444" s="8" t="n">
        <v>764.1</v>
      </c>
      <c r="I444" s="8" t="n">
        <v>540.7</v>
      </c>
      <c r="J444" s="8" t="n">
        <v>2233.55</v>
      </c>
      <c r="K444" s="8" t="n">
        <v>707.92</v>
      </c>
      <c r="L444" s="8" t="n">
        <v>1359.95</v>
      </c>
      <c r="M444" s="8" t="n">
        <v>1505.6</v>
      </c>
      <c r="N444" s="8" t="n">
        <v>489.95</v>
      </c>
      <c r="O444" s="8" t="n">
        <v>284.05</v>
      </c>
      <c r="P444" s="8" t="n">
        <v>1759.4</v>
      </c>
      <c r="Q444" s="8" t="n">
        <v>426.35</v>
      </c>
      <c r="R444" s="8" t="n">
        <v>717.1</v>
      </c>
      <c r="S444" s="8" t="n">
        <v>503.82</v>
      </c>
    </row>
    <row r="445" customFormat="false" ht="15" hidden="false" customHeight="false" outlineLevel="0" collapsed="false">
      <c r="A445" s="7" t="n">
        <v>45454</v>
      </c>
      <c r="B445" s="8" t="n">
        <v>23264.85</v>
      </c>
      <c r="C445" s="8" t="n">
        <v>21852</v>
      </c>
      <c r="D445" s="8" t="n">
        <v>1847.7</v>
      </c>
      <c r="E445" s="8" t="n">
        <v>790.7</v>
      </c>
      <c r="F445" s="8" t="n">
        <v>924.5</v>
      </c>
      <c r="G445" s="8" t="n">
        <v>680.1</v>
      </c>
      <c r="H445" s="8" t="n">
        <v>808.15</v>
      </c>
      <c r="I445" s="8" t="n">
        <v>536.1</v>
      </c>
      <c r="J445" s="8" t="n">
        <v>2293.95</v>
      </c>
      <c r="K445" s="8" t="n">
        <v>712.84</v>
      </c>
      <c r="L445" s="8" t="n">
        <v>1332.3</v>
      </c>
      <c r="M445" s="8" t="n">
        <v>1496.45</v>
      </c>
      <c r="N445" s="8" t="n">
        <v>472.1</v>
      </c>
      <c r="O445" s="8" t="n">
        <v>290.7</v>
      </c>
      <c r="P445" s="8" t="n">
        <v>1756.8</v>
      </c>
      <c r="Q445" s="8" t="n">
        <v>439.6</v>
      </c>
      <c r="R445" s="8" t="n">
        <v>712.8</v>
      </c>
      <c r="S445" s="8" t="n">
        <v>506.6</v>
      </c>
    </row>
    <row r="446" customFormat="false" ht="15" hidden="false" customHeight="false" outlineLevel="0" collapsed="false">
      <c r="A446" s="7" t="n">
        <v>45455</v>
      </c>
      <c r="B446" s="8" t="n">
        <v>23322.95</v>
      </c>
      <c r="C446" s="8" t="n">
        <v>21960.95</v>
      </c>
      <c r="D446" s="8" t="n">
        <v>1907.45</v>
      </c>
      <c r="E446" s="8" t="n">
        <v>804.5</v>
      </c>
      <c r="F446" s="8" t="n">
        <v>966.45</v>
      </c>
      <c r="G446" s="8" t="n">
        <v>715.4</v>
      </c>
      <c r="H446" s="8" t="n">
        <v>816.75</v>
      </c>
      <c r="I446" s="8" t="n">
        <v>541.05</v>
      </c>
      <c r="J446" s="8" t="n">
        <v>2453.8</v>
      </c>
      <c r="K446" s="8" t="n">
        <v>720.79</v>
      </c>
      <c r="L446" s="8" t="n">
        <v>1359.05</v>
      </c>
      <c r="M446" s="8" t="n">
        <v>1477.4</v>
      </c>
      <c r="N446" s="8" t="n">
        <v>473.15</v>
      </c>
      <c r="O446" s="8" t="n">
        <v>290.15</v>
      </c>
      <c r="P446" s="8" t="n">
        <v>1778.95</v>
      </c>
      <c r="Q446" s="8" t="n">
        <v>442.2</v>
      </c>
      <c r="R446" s="8" t="n">
        <v>717.45</v>
      </c>
      <c r="S446" s="8" t="n">
        <v>513.39</v>
      </c>
    </row>
    <row r="447" customFormat="false" ht="15" hidden="false" customHeight="false" outlineLevel="0" collapsed="false">
      <c r="A447" s="7" t="n">
        <v>45456</v>
      </c>
      <c r="B447" s="8" t="n">
        <v>23398.9</v>
      </c>
      <c r="C447" s="8" t="n">
        <v>22074.3</v>
      </c>
      <c r="D447" s="8" t="n">
        <v>1837.6</v>
      </c>
      <c r="E447" s="8" t="n">
        <v>817.35</v>
      </c>
      <c r="F447" s="8" t="n">
        <v>1022.1</v>
      </c>
      <c r="G447" s="8" t="n">
        <v>719.3</v>
      </c>
      <c r="H447" s="8" t="n">
        <v>832.3</v>
      </c>
      <c r="I447" s="8" t="n">
        <v>537.2</v>
      </c>
      <c r="J447" s="8" t="n">
        <v>2434.05</v>
      </c>
      <c r="K447" s="8" t="n">
        <v>728.5</v>
      </c>
      <c r="L447" s="8" t="n">
        <v>1436.1</v>
      </c>
      <c r="M447" s="8" t="n">
        <v>1482.65</v>
      </c>
      <c r="N447" s="8" t="n">
        <v>472.35</v>
      </c>
      <c r="O447" s="8" t="n">
        <v>293.3</v>
      </c>
      <c r="P447" s="8" t="n">
        <v>1792.7</v>
      </c>
      <c r="Q447" s="8" t="n">
        <v>436.1</v>
      </c>
      <c r="R447" s="8" t="n">
        <v>727.05</v>
      </c>
      <c r="S447" s="8" t="n">
        <v>536.86</v>
      </c>
    </row>
    <row r="448" customFormat="false" ht="15" hidden="false" customHeight="false" outlineLevel="0" collapsed="false">
      <c r="A448" s="7" t="n">
        <v>45457</v>
      </c>
      <c r="B448" s="8" t="n">
        <v>23465.6</v>
      </c>
      <c r="C448" s="8" t="n">
        <v>22214.3</v>
      </c>
      <c r="D448" s="8" t="n">
        <v>1853.8</v>
      </c>
      <c r="E448" s="8" t="n">
        <v>834.9</v>
      </c>
      <c r="F448" s="8" t="n">
        <v>1072.3</v>
      </c>
      <c r="G448" s="8" t="n">
        <v>731.65</v>
      </c>
      <c r="H448" s="8" t="n">
        <v>832.95</v>
      </c>
      <c r="I448" s="8" t="n">
        <v>536.15</v>
      </c>
      <c r="J448" s="8" t="n">
        <v>2456.15</v>
      </c>
      <c r="K448" s="8" t="n">
        <v>733.16</v>
      </c>
      <c r="L448" s="8" t="n">
        <v>1447</v>
      </c>
      <c r="M448" s="8" t="n">
        <v>1475.2</v>
      </c>
      <c r="N448" s="8" t="n">
        <v>470.65</v>
      </c>
      <c r="O448" s="8" t="n">
        <v>298.95</v>
      </c>
      <c r="P448" s="8" t="n">
        <v>1770</v>
      </c>
      <c r="Q448" s="8" t="n">
        <v>437.35</v>
      </c>
      <c r="R448" s="8" t="n">
        <v>728.35</v>
      </c>
      <c r="S448" s="8" t="n">
        <v>546.43</v>
      </c>
    </row>
    <row r="449" customFormat="false" ht="15" hidden="false" customHeight="false" outlineLevel="0" collapsed="false">
      <c r="A449" s="7" t="n">
        <v>45461</v>
      </c>
      <c r="B449" s="8" t="n">
        <v>23557.9</v>
      </c>
      <c r="C449" s="8" t="n">
        <v>22329.6</v>
      </c>
      <c r="D449" s="8" t="n">
        <v>1900.45</v>
      </c>
      <c r="E449" s="8" t="n">
        <v>889.25</v>
      </c>
      <c r="F449" s="8" t="n">
        <v>1069.2</v>
      </c>
      <c r="G449" s="8" t="n">
        <v>748.85</v>
      </c>
      <c r="H449" s="8" t="n">
        <v>864.8</v>
      </c>
      <c r="I449" s="8" t="n">
        <v>522.55</v>
      </c>
      <c r="J449" s="8" t="n">
        <v>2416.45</v>
      </c>
      <c r="K449" s="8" t="n">
        <v>732.47</v>
      </c>
      <c r="L449" s="8" t="n">
        <v>1454.15</v>
      </c>
      <c r="M449" s="8" t="n">
        <v>1496.05</v>
      </c>
      <c r="N449" s="8" t="n">
        <v>481.75</v>
      </c>
      <c r="O449" s="8" t="n">
        <v>307.7</v>
      </c>
      <c r="P449" s="8" t="n">
        <v>1748.7</v>
      </c>
      <c r="Q449" s="8" t="n">
        <v>433.55</v>
      </c>
      <c r="R449" s="8" t="n">
        <v>726.35</v>
      </c>
      <c r="S449" s="8" t="n">
        <v>565.95</v>
      </c>
    </row>
    <row r="450" customFormat="false" ht="15" hidden="false" customHeight="false" outlineLevel="0" collapsed="false">
      <c r="A450" s="7" t="n">
        <v>45462</v>
      </c>
      <c r="B450" s="8" t="n">
        <v>23516</v>
      </c>
      <c r="C450" s="8" t="n">
        <v>22224.9</v>
      </c>
      <c r="D450" s="8" t="n">
        <v>1935.75</v>
      </c>
      <c r="E450" s="8" t="n">
        <v>866.25</v>
      </c>
      <c r="F450" s="8" t="n">
        <v>1074.65</v>
      </c>
      <c r="G450" s="8" t="n">
        <v>736.4</v>
      </c>
      <c r="H450" s="8" t="n">
        <v>840</v>
      </c>
      <c r="I450" s="8" t="n">
        <v>527</v>
      </c>
      <c r="J450" s="8" t="n">
        <v>2480.6</v>
      </c>
      <c r="K450" s="8" t="n">
        <v>722.41</v>
      </c>
      <c r="L450" s="8" t="n">
        <v>1450.65</v>
      </c>
      <c r="M450" s="8" t="n">
        <v>1474.75</v>
      </c>
      <c r="N450" s="8" t="n">
        <v>473.2</v>
      </c>
      <c r="O450" s="8" t="n">
        <v>306.45</v>
      </c>
      <c r="P450" s="8" t="n">
        <v>1740.45</v>
      </c>
      <c r="Q450" s="8" t="n">
        <v>423.9</v>
      </c>
      <c r="R450" s="8" t="n">
        <v>730</v>
      </c>
      <c r="S450" s="8" t="n">
        <v>558.25</v>
      </c>
    </row>
    <row r="451" customFormat="false" ht="15" hidden="false" customHeight="false" outlineLevel="0" collapsed="false">
      <c r="A451" s="7" t="n">
        <v>45463</v>
      </c>
      <c r="B451" s="8" t="n">
        <v>23567</v>
      </c>
      <c r="C451" s="8" t="n">
        <v>22305.1</v>
      </c>
      <c r="D451" s="8" t="n">
        <v>1891.05</v>
      </c>
      <c r="E451" s="8" t="n">
        <v>862.5</v>
      </c>
      <c r="F451" s="8" t="n">
        <v>1042.45</v>
      </c>
      <c r="G451" s="8" t="n">
        <v>739.7</v>
      </c>
      <c r="H451" s="8" t="n">
        <v>791.8</v>
      </c>
      <c r="I451" s="8" t="n">
        <v>526.7</v>
      </c>
      <c r="J451" s="8" t="n">
        <v>2418.2</v>
      </c>
      <c r="K451" s="8" t="n">
        <v>719.73</v>
      </c>
      <c r="L451" s="8" t="n">
        <v>1438.7</v>
      </c>
      <c r="M451" s="8" t="n">
        <v>1481.2</v>
      </c>
      <c r="N451" s="8" t="n">
        <v>475.95</v>
      </c>
      <c r="O451" s="8" t="n">
        <v>307.15</v>
      </c>
      <c r="P451" s="8" t="n">
        <v>1742.25</v>
      </c>
      <c r="Q451" s="8" t="n">
        <v>422.4</v>
      </c>
      <c r="R451" s="8" t="n">
        <v>732.5</v>
      </c>
      <c r="S451" s="8" t="n">
        <v>561.04</v>
      </c>
    </row>
    <row r="452" customFormat="false" ht="15" hidden="false" customHeight="false" outlineLevel="0" collapsed="false">
      <c r="A452" s="7" t="n">
        <v>45464</v>
      </c>
      <c r="B452" s="8" t="n">
        <v>23501.1</v>
      </c>
      <c r="C452" s="8" t="n">
        <v>22236.2</v>
      </c>
      <c r="D452" s="8" t="n">
        <v>1914.7</v>
      </c>
      <c r="E452" s="8" t="n">
        <v>860.85</v>
      </c>
      <c r="F452" s="8" t="n">
        <v>1050.05</v>
      </c>
      <c r="G452" s="8" t="n">
        <v>731.75</v>
      </c>
      <c r="H452" s="8" t="n">
        <v>783.5</v>
      </c>
      <c r="I452" s="8" t="n">
        <v>515.05</v>
      </c>
      <c r="J452" s="8" t="n">
        <v>2456.95</v>
      </c>
      <c r="K452" s="8" t="n">
        <v>712.46</v>
      </c>
      <c r="L452" s="8" t="n">
        <v>1401.55</v>
      </c>
      <c r="M452" s="8" t="n">
        <v>1472.6</v>
      </c>
      <c r="N452" s="8" t="n">
        <v>475.55</v>
      </c>
      <c r="O452" s="8" t="n">
        <v>306.05</v>
      </c>
      <c r="P452" s="8" t="n">
        <v>1717.35</v>
      </c>
      <c r="Q452" s="8" t="n">
        <v>421.15</v>
      </c>
      <c r="R452" s="8" t="n">
        <v>725.35</v>
      </c>
      <c r="S452" s="8" t="n">
        <v>564.33</v>
      </c>
    </row>
    <row r="453" customFormat="false" ht="15" hidden="false" customHeight="false" outlineLevel="0" collapsed="false">
      <c r="A453" s="7" t="n">
        <v>45467</v>
      </c>
      <c r="B453" s="8" t="n">
        <v>23537.85</v>
      </c>
      <c r="C453" s="8" t="n">
        <v>22289.1</v>
      </c>
      <c r="D453" s="8" t="n">
        <v>1879.4</v>
      </c>
      <c r="E453" s="8" t="n">
        <v>882.65</v>
      </c>
      <c r="F453" s="8" t="n">
        <v>1011.95</v>
      </c>
      <c r="G453" s="8" t="n">
        <v>733.9</v>
      </c>
      <c r="H453" s="8" t="n">
        <v>768.4</v>
      </c>
      <c r="I453" s="8" t="n">
        <v>529.2</v>
      </c>
      <c r="J453" s="8" t="n">
        <v>2312.2</v>
      </c>
      <c r="K453" s="8" t="n">
        <v>707.22</v>
      </c>
      <c r="L453" s="8" t="n">
        <v>1434.75</v>
      </c>
      <c r="M453" s="8" t="n">
        <v>1407.7</v>
      </c>
      <c r="N453" s="8" t="n">
        <v>470.65</v>
      </c>
      <c r="O453" s="8" t="n">
        <v>305.35</v>
      </c>
      <c r="P453" s="8" t="n">
        <v>1731.6</v>
      </c>
      <c r="Q453" s="8" t="n">
        <v>417.25</v>
      </c>
      <c r="R453" s="8" t="n">
        <v>729.95</v>
      </c>
      <c r="S453" s="8" t="n">
        <v>576.45</v>
      </c>
    </row>
    <row r="454" customFormat="false" ht="15" hidden="false" customHeight="false" outlineLevel="0" collapsed="false">
      <c r="A454" s="7" t="n">
        <v>45468</v>
      </c>
      <c r="B454" s="8" t="n">
        <v>23721.3</v>
      </c>
      <c r="C454" s="8" t="n">
        <v>22370.65</v>
      </c>
      <c r="D454" s="8" t="n">
        <v>1855.15</v>
      </c>
      <c r="E454" s="8" t="n">
        <v>899.6</v>
      </c>
      <c r="F454" s="8" t="n">
        <v>1012.55</v>
      </c>
      <c r="G454" s="8" t="n">
        <v>769.85</v>
      </c>
      <c r="H454" s="8" t="n">
        <v>781.6</v>
      </c>
      <c r="I454" s="8" t="n">
        <v>533.15</v>
      </c>
      <c r="J454" s="8" t="n">
        <v>2176.4</v>
      </c>
      <c r="K454" s="8" t="n">
        <v>706.48</v>
      </c>
      <c r="L454" s="8" t="n">
        <v>1431.35</v>
      </c>
      <c r="M454" s="8" t="n">
        <v>1359.1</v>
      </c>
      <c r="N454" s="8" t="n">
        <v>460.1</v>
      </c>
      <c r="O454" s="8" t="n">
        <v>306.05</v>
      </c>
      <c r="P454" s="8" t="n">
        <v>1780.8</v>
      </c>
      <c r="Q454" s="8" t="n">
        <v>424.7</v>
      </c>
      <c r="R454" s="8" t="n">
        <v>732</v>
      </c>
      <c r="S454" s="8" t="n">
        <v>597.97</v>
      </c>
    </row>
    <row r="455" customFormat="false" ht="15" hidden="false" customHeight="false" outlineLevel="0" collapsed="false">
      <c r="A455" s="7" t="n">
        <v>45469</v>
      </c>
      <c r="B455" s="8" t="n">
        <v>23868.8</v>
      </c>
      <c r="C455" s="8" t="n">
        <v>22436.8</v>
      </c>
      <c r="D455" s="8" t="n">
        <v>1869.5</v>
      </c>
      <c r="E455" s="8" t="n">
        <v>901.25</v>
      </c>
      <c r="F455" s="8" t="n">
        <v>1047.35</v>
      </c>
      <c r="G455" s="8" t="n">
        <v>778.8</v>
      </c>
      <c r="H455" s="8" t="n">
        <v>791.85</v>
      </c>
      <c r="I455" s="8" t="n">
        <v>527.9</v>
      </c>
      <c r="J455" s="8" t="n">
        <v>2115.3</v>
      </c>
      <c r="K455" s="8" t="n">
        <v>714.85</v>
      </c>
      <c r="L455" s="8" t="n">
        <v>1430.25</v>
      </c>
      <c r="M455" s="8" t="n">
        <v>1359.05</v>
      </c>
      <c r="N455" s="8" t="n">
        <v>493.55</v>
      </c>
      <c r="O455" s="8" t="n">
        <v>308.1</v>
      </c>
      <c r="P455" s="8" t="n">
        <v>1775.4</v>
      </c>
      <c r="Q455" s="8" t="n">
        <v>416.6</v>
      </c>
      <c r="R455" s="8" t="n">
        <v>732</v>
      </c>
      <c r="S455" s="8" t="n">
        <v>597.81</v>
      </c>
    </row>
    <row r="456" customFormat="false" ht="15" hidden="false" customHeight="false" outlineLevel="0" collapsed="false">
      <c r="A456" s="7" t="n">
        <v>45470</v>
      </c>
      <c r="B456" s="8" t="n">
        <v>24044.5</v>
      </c>
      <c r="C456" s="8" t="n">
        <v>22537.4</v>
      </c>
      <c r="D456" s="8" t="n">
        <v>1872.5</v>
      </c>
      <c r="E456" s="8" t="n">
        <v>910.85</v>
      </c>
      <c r="F456" s="8" t="n">
        <v>1020.05</v>
      </c>
      <c r="G456" s="8" t="n">
        <v>787.6</v>
      </c>
      <c r="H456" s="8" t="n">
        <v>785.4</v>
      </c>
      <c r="I456" s="8" t="n">
        <v>546</v>
      </c>
      <c r="J456" s="8" t="n">
        <v>2042.1</v>
      </c>
      <c r="K456" s="8" t="n">
        <v>715.7</v>
      </c>
      <c r="L456" s="8" t="n">
        <v>1438.1</v>
      </c>
      <c r="M456" s="8" t="n">
        <v>1329.75</v>
      </c>
      <c r="N456" s="8" t="n">
        <v>479.85</v>
      </c>
      <c r="O456" s="8" t="n">
        <v>300.65</v>
      </c>
      <c r="P456" s="8" t="n">
        <v>1829.3</v>
      </c>
      <c r="Q456" s="8" t="n">
        <v>406.35</v>
      </c>
      <c r="R456" s="8" t="n">
        <v>730.35</v>
      </c>
      <c r="S456" s="8" t="n">
        <v>590.21</v>
      </c>
    </row>
    <row r="457" customFormat="false" ht="15" hidden="false" customHeight="false" outlineLevel="0" collapsed="false">
      <c r="A457" s="7" t="n">
        <v>45471</v>
      </c>
      <c r="B457" s="8" t="n">
        <v>24010.6</v>
      </c>
      <c r="C457" s="8" t="n">
        <v>22559.7</v>
      </c>
      <c r="D457" s="8" t="n">
        <v>1853.1</v>
      </c>
      <c r="E457" s="8" t="n">
        <v>915.2</v>
      </c>
      <c r="F457" s="8" t="n">
        <v>1035.5</v>
      </c>
      <c r="G457" s="8" t="n">
        <v>796.8</v>
      </c>
      <c r="H457" s="8" t="n">
        <v>784.8</v>
      </c>
      <c r="I457" s="8" t="n">
        <v>549.15</v>
      </c>
      <c r="J457" s="8" t="n">
        <v>2088.85</v>
      </c>
      <c r="K457" s="8" t="n">
        <v>710.59</v>
      </c>
      <c r="L457" s="8" t="n">
        <v>1423.5</v>
      </c>
      <c r="M457" s="8" t="n">
        <v>1322.1</v>
      </c>
      <c r="N457" s="8" t="n">
        <v>517.6</v>
      </c>
      <c r="O457" s="8" t="n">
        <v>300.6</v>
      </c>
      <c r="P457" s="8" t="n">
        <v>1795.85</v>
      </c>
      <c r="Q457" s="8" t="n">
        <v>409.1</v>
      </c>
      <c r="R457" s="8" t="n">
        <v>724.6</v>
      </c>
      <c r="S457" s="8" t="n">
        <v>582.3</v>
      </c>
    </row>
    <row r="458" customFormat="false" ht="15" hidden="false" customHeight="false" outlineLevel="0" collapsed="false">
      <c r="A458" s="7" t="n">
        <v>45474</v>
      </c>
      <c r="B458" s="8" t="n">
        <v>24141.95</v>
      </c>
      <c r="C458" s="8" t="n">
        <v>22727.6</v>
      </c>
      <c r="D458" s="8" t="n">
        <v>1855.05</v>
      </c>
      <c r="E458" s="8" t="n">
        <v>923.45</v>
      </c>
      <c r="F458" s="8" t="n">
        <v>1126.3</v>
      </c>
      <c r="G458" s="8" t="n">
        <v>816.35</v>
      </c>
      <c r="H458" s="8" t="n">
        <v>800.25</v>
      </c>
      <c r="I458" s="8" t="n">
        <v>559.05</v>
      </c>
      <c r="J458" s="8" t="n">
        <v>2132.2</v>
      </c>
      <c r="K458" s="8" t="n">
        <v>726.69</v>
      </c>
      <c r="L458" s="8" t="n">
        <v>1434.6</v>
      </c>
      <c r="M458" s="8" t="n">
        <v>1374.4</v>
      </c>
      <c r="N458" s="8" t="n">
        <v>510.85</v>
      </c>
      <c r="O458" s="8" t="n">
        <v>306.6</v>
      </c>
      <c r="P458" s="8" t="n">
        <v>1788.6</v>
      </c>
      <c r="Q458" s="8" t="n">
        <v>422</v>
      </c>
      <c r="R458" s="8" t="n">
        <v>723</v>
      </c>
      <c r="S458" s="8" t="n">
        <v>584.85</v>
      </c>
    </row>
    <row r="459" customFormat="false" ht="15" hidden="false" customHeight="false" outlineLevel="0" collapsed="false">
      <c r="A459" s="7" t="n">
        <v>45475</v>
      </c>
      <c r="B459" s="8" t="n">
        <v>24123.85</v>
      </c>
      <c r="C459" s="8" t="n">
        <v>22677.8</v>
      </c>
      <c r="D459" s="8" t="n">
        <v>1859.55</v>
      </c>
      <c r="E459" s="8" t="n">
        <v>889.8</v>
      </c>
      <c r="F459" s="8" t="n">
        <v>1098.5</v>
      </c>
      <c r="G459" s="8" t="n">
        <v>795.45</v>
      </c>
      <c r="H459" s="8" t="n">
        <v>796.4</v>
      </c>
      <c r="I459" s="8" t="n">
        <v>551.5</v>
      </c>
      <c r="J459" s="8" t="n">
        <v>2133.95</v>
      </c>
      <c r="K459" s="8" t="n">
        <v>715.59</v>
      </c>
      <c r="L459" s="8" t="n">
        <v>1400.25</v>
      </c>
      <c r="M459" s="8" t="n">
        <v>1341.65</v>
      </c>
      <c r="N459" s="8" t="n">
        <v>519.7</v>
      </c>
      <c r="O459" s="8" t="n">
        <v>302.45</v>
      </c>
      <c r="P459" s="8" t="n">
        <v>1797</v>
      </c>
      <c r="Q459" s="8" t="n">
        <v>419.65</v>
      </c>
      <c r="R459" s="8" t="n">
        <v>711.15</v>
      </c>
      <c r="S459" s="8" t="n">
        <v>564.98</v>
      </c>
    </row>
    <row r="460" customFormat="false" ht="15" hidden="false" customHeight="false" outlineLevel="0" collapsed="false">
      <c r="A460" s="7" t="n">
        <v>45476</v>
      </c>
      <c r="B460" s="8" t="n">
        <v>24286.5</v>
      </c>
      <c r="C460" s="8" t="n">
        <v>22851.2</v>
      </c>
      <c r="D460" s="8" t="n">
        <v>1859</v>
      </c>
      <c r="E460" s="8" t="n">
        <v>902.85</v>
      </c>
      <c r="F460" s="8" t="n">
        <v>1121.5</v>
      </c>
      <c r="G460" s="8" t="n">
        <v>799.55</v>
      </c>
      <c r="H460" s="8" t="n">
        <v>800.55</v>
      </c>
      <c r="I460" s="8" t="n">
        <v>557.65</v>
      </c>
      <c r="J460" s="8" t="n">
        <v>2113.35</v>
      </c>
      <c r="K460" s="8" t="n">
        <v>724.89</v>
      </c>
      <c r="L460" s="8" t="n">
        <v>1435.3</v>
      </c>
      <c r="M460" s="8" t="n">
        <v>1325.15</v>
      </c>
      <c r="N460" s="8" t="n">
        <v>523.95</v>
      </c>
      <c r="O460" s="8" t="n">
        <v>303.4</v>
      </c>
      <c r="P460" s="8" t="n">
        <v>1791.3</v>
      </c>
      <c r="Q460" s="8" t="n">
        <v>416.85</v>
      </c>
      <c r="R460" s="8" t="n">
        <v>715.25</v>
      </c>
      <c r="S460" s="8" t="n">
        <v>570.09</v>
      </c>
    </row>
    <row r="461" customFormat="false" ht="15" hidden="false" customHeight="false" outlineLevel="0" collapsed="false">
      <c r="A461" s="7" t="n">
        <v>45477</v>
      </c>
      <c r="B461" s="8" t="n">
        <v>24302.15</v>
      </c>
      <c r="C461" s="8" t="n">
        <v>22914.2</v>
      </c>
      <c r="D461" s="8" t="n">
        <v>1794.85</v>
      </c>
      <c r="E461" s="8" t="n">
        <v>890.6</v>
      </c>
      <c r="F461" s="8" t="n">
        <v>1068.7</v>
      </c>
      <c r="G461" s="8" t="n">
        <v>793</v>
      </c>
      <c r="H461" s="8" t="n">
        <v>808.85</v>
      </c>
      <c r="I461" s="8" t="n">
        <v>555.5</v>
      </c>
      <c r="J461" s="8" t="n">
        <v>2097.05</v>
      </c>
      <c r="K461" s="8" t="n">
        <v>709.74</v>
      </c>
      <c r="L461" s="8" t="n">
        <v>1421.7</v>
      </c>
      <c r="M461" s="8" t="n">
        <v>1329.25</v>
      </c>
      <c r="N461" s="8" t="n">
        <v>520.5</v>
      </c>
      <c r="O461" s="8" t="n">
        <v>298.2</v>
      </c>
      <c r="P461" s="8" t="n">
        <v>1804.15</v>
      </c>
      <c r="Q461" s="8" t="n">
        <v>419.25</v>
      </c>
      <c r="R461" s="8" t="n">
        <v>718.9</v>
      </c>
      <c r="S461" s="8" t="n">
        <v>566.75</v>
      </c>
    </row>
    <row r="462" customFormat="false" ht="15" hidden="false" customHeight="false" outlineLevel="0" collapsed="false">
      <c r="A462" s="7" t="n">
        <v>45478</v>
      </c>
      <c r="B462" s="8" t="n">
        <v>24323.85</v>
      </c>
      <c r="C462" s="8" t="n">
        <v>22987.65</v>
      </c>
      <c r="D462" s="8" t="n">
        <v>1779.05</v>
      </c>
      <c r="E462" s="8" t="n">
        <v>886.9</v>
      </c>
      <c r="F462" s="8" t="n">
        <v>1055.7</v>
      </c>
      <c r="G462" s="8" t="n">
        <v>795.7</v>
      </c>
      <c r="H462" s="8" t="n">
        <v>792.6</v>
      </c>
      <c r="I462" s="8" t="n">
        <v>568.55</v>
      </c>
      <c r="J462" s="8" t="n">
        <v>2090.85</v>
      </c>
      <c r="K462" s="8" t="n">
        <v>712.83</v>
      </c>
      <c r="L462" s="8" t="n">
        <v>1431.6</v>
      </c>
      <c r="M462" s="8" t="n">
        <v>1329.85</v>
      </c>
      <c r="N462" s="8" t="n">
        <v>523.1</v>
      </c>
      <c r="O462" s="8" t="n">
        <v>300.5</v>
      </c>
      <c r="P462" s="8" t="n">
        <v>1810.6</v>
      </c>
      <c r="Q462" s="8" t="n">
        <v>428.7</v>
      </c>
      <c r="R462" s="8" t="n">
        <v>721.95</v>
      </c>
      <c r="S462" s="8" t="n">
        <v>573.17</v>
      </c>
    </row>
    <row r="463" customFormat="false" ht="15" hidden="false" customHeight="false" outlineLevel="0" collapsed="false">
      <c r="A463" s="7" t="n">
        <v>45481</v>
      </c>
      <c r="B463" s="8" t="n">
        <v>24320.55</v>
      </c>
      <c r="C463" s="8" t="n">
        <v>22971.15</v>
      </c>
      <c r="D463" s="8" t="n">
        <v>1797.15</v>
      </c>
      <c r="E463" s="8" t="n">
        <v>886.85</v>
      </c>
      <c r="F463" s="8" t="n">
        <v>1049.25</v>
      </c>
      <c r="G463" s="8" t="n">
        <v>782.15</v>
      </c>
      <c r="H463" s="8" t="n">
        <v>793.1</v>
      </c>
      <c r="I463" s="8" t="n">
        <v>563.5</v>
      </c>
      <c r="J463" s="8" t="n">
        <v>2082.15</v>
      </c>
      <c r="K463" s="8" t="n">
        <v>708.86</v>
      </c>
      <c r="L463" s="8" t="n">
        <v>1412.15</v>
      </c>
      <c r="M463" s="8" t="n">
        <v>1310.35</v>
      </c>
      <c r="N463" s="8" t="n">
        <v>511.6</v>
      </c>
      <c r="O463" s="8" t="n">
        <v>302.8</v>
      </c>
      <c r="P463" s="8" t="n">
        <v>1784.4</v>
      </c>
      <c r="Q463" s="8" t="n">
        <v>423.05</v>
      </c>
      <c r="R463" s="8" t="n">
        <v>735.65</v>
      </c>
      <c r="S463" s="8" t="n">
        <v>561.62</v>
      </c>
    </row>
    <row r="464" customFormat="false" ht="15" hidden="false" customHeight="false" outlineLevel="0" collapsed="false">
      <c r="A464" s="7" t="n">
        <v>45482</v>
      </c>
      <c r="B464" s="8" t="n">
        <v>24433.2</v>
      </c>
      <c r="C464" s="8" t="n">
        <v>23067.35</v>
      </c>
      <c r="D464" s="8" t="n">
        <v>1800.4</v>
      </c>
      <c r="E464" s="8" t="n">
        <v>879.3</v>
      </c>
      <c r="F464" s="8" t="n">
        <v>1039.65</v>
      </c>
      <c r="G464" s="8" t="n">
        <v>771.45</v>
      </c>
      <c r="H464" s="8" t="n">
        <v>793.3</v>
      </c>
      <c r="I464" s="8" t="n">
        <v>560.7</v>
      </c>
      <c r="J464" s="8" t="n">
        <v>2077.2</v>
      </c>
      <c r="K464" s="8" t="n">
        <v>705.84</v>
      </c>
      <c r="L464" s="8" t="n">
        <v>1403.5</v>
      </c>
      <c r="M464" s="8" t="n">
        <v>1282.95</v>
      </c>
      <c r="N464" s="8" t="n">
        <v>501.3</v>
      </c>
      <c r="O464" s="8" t="n">
        <v>302.25</v>
      </c>
      <c r="P464" s="8" t="n">
        <v>1807</v>
      </c>
      <c r="Q464" s="8" t="n">
        <v>417.2</v>
      </c>
      <c r="R464" s="8" t="n">
        <v>729.9</v>
      </c>
      <c r="S464" s="8" t="n">
        <v>558.4</v>
      </c>
    </row>
    <row r="465" customFormat="false" ht="15" hidden="false" customHeight="false" outlineLevel="0" collapsed="false">
      <c r="A465" s="7" t="n">
        <v>45483</v>
      </c>
      <c r="B465" s="8" t="n">
        <v>24324.45</v>
      </c>
      <c r="C465" s="8" t="n">
        <v>22977.65</v>
      </c>
      <c r="D465" s="8" t="n">
        <v>1801.5</v>
      </c>
      <c r="E465" s="8" t="n">
        <v>883.25</v>
      </c>
      <c r="F465" s="8" t="n">
        <v>1054.85</v>
      </c>
      <c r="G465" s="8" t="n">
        <v>779.85</v>
      </c>
      <c r="H465" s="8" t="n">
        <v>807.15</v>
      </c>
      <c r="I465" s="8" t="n">
        <v>546.55</v>
      </c>
      <c r="J465" s="8" t="n">
        <v>2082.9</v>
      </c>
      <c r="K465" s="8" t="n">
        <v>704.54</v>
      </c>
      <c r="L465" s="8" t="n">
        <v>1421.05</v>
      </c>
      <c r="M465" s="8" t="n">
        <v>1254.1</v>
      </c>
      <c r="N465" s="8" t="n">
        <v>483.2</v>
      </c>
      <c r="O465" s="8" t="n">
        <v>299.1</v>
      </c>
      <c r="P465" s="8" t="n">
        <v>1823.7</v>
      </c>
      <c r="Q465" s="8" t="n">
        <v>406</v>
      </c>
      <c r="R465" s="8" t="n">
        <v>745.3</v>
      </c>
      <c r="S465" s="8" t="n">
        <v>552.42</v>
      </c>
    </row>
    <row r="466" customFormat="false" ht="15" hidden="false" customHeight="false" outlineLevel="0" collapsed="false">
      <c r="A466" s="7" t="n">
        <v>45484</v>
      </c>
      <c r="B466" s="8" t="n">
        <v>24315.95</v>
      </c>
      <c r="C466" s="8" t="n">
        <v>23005.25</v>
      </c>
      <c r="D466" s="8" t="n">
        <v>1789.9</v>
      </c>
      <c r="E466" s="8" t="n">
        <v>878.25</v>
      </c>
      <c r="F466" s="8" t="n">
        <v>1054.55</v>
      </c>
      <c r="G466" s="8" t="n">
        <v>790.75</v>
      </c>
      <c r="H466" s="8" t="n">
        <v>799.75</v>
      </c>
      <c r="I466" s="8" t="n">
        <v>559.7</v>
      </c>
      <c r="J466" s="8" t="n">
        <v>2047.85</v>
      </c>
      <c r="K466" s="8" t="n">
        <v>694.09</v>
      </c>
      <c r="L466" s="8" t="n">
        <v>1404.8</v>
      </c>
      <c r="M466" s="8" t="n">
        <v>1274.75</v>
      </c>
      <c r="N466" s="8" t="n">
        <v>498.35</v>
      </c>
      <c r="O466" s="8" t="n">
        <v>301.15</v>
      </c>
      <c r="P466" s="8" t="n">
        <v>1831.9</v>
      </c>
      <c r="Q466" s="8" t="n">
        <v>405</v>
      </c>
      <c r="R466" s="8" t="n">
        <v>741.2</v>
      </c>
      <c r="S466" s="8" t="n">
        <v>547.8</v>
      </c>
    </row>
    <row r="467" customFormat="false" ht="15" hidden="false" customHeight="false" outlineLevel="0" collapsed="false">
      <c r="A467" s="7" t="n">
        <v>45485</v>
      </c>
      <c r="B467" s="8" t="n">
        <v>24502.15</v>
      </c>
      <c r="C467" s="8" t="n">
        <v>23095.45</v>
      </c>
      <c r="D467" s="8" t="n">
        <v>1778</v>
      </c>
      <c r="E467" s="8" t="n">
        <v>868.25</v>
      </c>
      <c r="F467" s="8" t="n">
        <v>1060.25</v>
      </c>
      <c r="G467" s="8" t="n">
        <v>779.7</v>
      </c>
      <c r="H467" s="8" t="n">
        <v>809.85</v>
      </c>
      <c r="I467" s="8" t="n">
        <v>558.9</v>
      </c>
      <c r="J467" s="8" t="n">
        <v>2064.75</v>
      </c>
      <c r="K467" s="8" t="n">
        <v>699.48</v>
      </c>
      <c r="L467" s="8" t="n">
        <v>1380.7</v>
      </c>
      <c r="M467" s="8" t="n">
        <v>1292.6</v>
      </c>
      <c r="N467" s="8" t="n">
        <v>490.75</v>
      </c>
      <c r="O467" s="8" t="n">
        <v>298.2</v>
      </c>
      <c r="P467" s="8" t="n">
        <v>1846.75</v>
      </c>
      <c r="Q467" s="8" t="n">
        <v>404.35</v>
      </c>
      <c r="R467" s="8" t="n">
        <v>738.65</v>
      </c>
      <c r="S467" s="8" t="n">
        <v>558.88</v>
      </c>
    </row>
    <row r="468" customFormat="false" ht="15" hidden="false" customHeight="false" outlineLevel="0" collapsed="false">
      <c r="A468" s="7" t="n">
        <v>45488</v>
      </c>
      <c r="B468" s="8" t="n">
        <v>24586.7</v>
      </c>
      <c r="C468" s="8" t="n">
        <v>23209.85</v>
      </c>
      <c r="D468" s="8" t="n">
        <v>1782.8</v>
      </c>
      <c r="E468" s="8" t="n">
        <v>878.45</v>
      </c>
      <c r="F468" s="8" t="n">
        <v>1098.6</v>
      </c>
      <c r="G468" s="8" t="n">
        <v>803.3</v>
      </c>
      <c r="H468" s="8" t="n">
        <v>800.6</v>
      </c>
      <c r="I468" s="8" t="n">
        <v>545.5</v>
      </c>
      <c r="J468" s="8" t="n">
        <v>2059.05</v>
      </c>
      <c r="K468" s="8" t="n">
        <v>705.42</v>
      </c>
      <c r="L468" s="8" t="n">
        <v>1413.5</v>
      </c>
      <c r="M468" s="8" t="n">
        <v>1282.9</v>
      </c>
      <c r="N468" s="8" t="n">
        <v>487.5</v>
      </c>
      <c r="O468" s="8" t="n">
        <v>303.05</v>
      </c>
      <c r="P468" s="8" t="n">
        <v>1836.15</v>
      </c>
      <c r="Q468" s="8" t="n">
        <v>400.6</v>
      </c>
      <c r="R468" s="8" t="n">
        <v>738.55</v>
      </c>
      <c r="S468" s="8" t="n">
        <v>576.46</v>
      </c>
    </row>
    <row r="469" customFormat="false" ht="15" hidden="false" customHeight="false" outlineLevel="0" collapsed="false">
      <c r="A469" s="7" t="n">
        <v>45489</v>
      </c>
      <c r="B469" s="8" t="n">
        <v>24613</v>
      </c>
      <c r="C469" s="8" t="n">
        <v>23204.25</v>
      </c>
      <c r="D469" s="8" t="n">
        <v>1788.3</v>
      </c>
      <c r="E469" s="8" t="n">
        <v>887.7</v>
      </c>
      <c r="F469" s="8" t="n">
        <v>1074.45</v>
      </c>
      <c r="G469" s="8" t="n">
        <v>807</v>
      </c>
      <c r="H469" s="8" t="n">
        <v>799.3</v>
      </c>
      <c r="I469" s="8" t="n">
        <v>549.95</v>
      </c>
      <c r="J469" s="8" t="n">
        <v>2019.75</v>
      </c>
      <c r="K469" s="8" t="n">
        <v>704.95</v>
      </c>
      <c r="L469" s="8" t="n">
        <v>1408.2</v>
      </c>
      <c r="M469" s="8" t="n">
        <v>1277.8</v>
      </c>
      <c r="N469" s="8" t="n">
        <v>484.55</v>
      </c>
      <c r="O469" s="8" t="n">
        <v>297.3</v>
      </c>
      <c r="P469" s="8" t="n">
        <v>1834.65</v>
      </c>
      <c r="Q469" s="8" t="n">
        <v>415.6</v>
      </c>
      <c r="R469" s="8" t="n">
        <v>730.9</v>
      </c>
      <c r="S469" s="8" t="n">
        <v>562.7</v>
      </c>
    </row>
    <row r="470" customFormat="false" ht="15" hidden="false" customHeight="false" outlineLevel="0" collapsed="false">
      <c r="A470" s="7" t="n">
        <v>45491</v>
      </c>
      <c r="B470" s="8" t="n">
        <v>24800.85</v>
      </c>
      <c r="C470" s="8" t="n">
        <v>23210.05</v>
      </c>
      <c r="D470" s="8" t="n">
        <v>1775.3</v>
      </c>
      <c r="E470" s="8" t="n">
        <v>877.1</v>
      </c>
      <c r="F470" s="8" t="n">
        <v>1099.45</v>
      </c>
      <c r="G470" s="8" t="n">
        <v>795.7</v>
      </c>
      <c r="H470" s="8" t="n">
        <v>789.2</v>
      </c>
      <c r="I470" s="8" t="n">
        <v>552.6</v>
      </c>
      <c r="J470" s="8" t="n">
        <v>2001.35</v>
      </c>
      <c r="K470" s="8" t="n">
        <v>710.03</v>
      </c>
      <c r="L470" s="8" t="n">
        <v>1449.85</v>
      </c>
      <c r="M470" s="8" t="n">
        <v>1297.15</v>
      </c>
      <c r="N470" s="8" t="n">
        <v>471.95</v>
      </c>
      <c r="O470" s="8" t="n">
        <v>295.2</v>
      </c>
      <c r="P470" s="8" t="n">
        <v>1848.15</v>
      </c>
      <c r="Q470" s="8" t="n">
        <v>413.25</v>
      </c>
      <c r="R470" s="8" t="n">
        <v>733.5</v>
      </c>
      <c r="S470" s="8" t="n">
        <v>573.46</v>
      </c>
    </row>
    <row r="471" customFormat="false" ht="15" hidden="false" customHeight="false" outlineLevel="0" collapsed="false">
      <c r="A471" s="7" t="n">
        <v>45492</v>
      </c>
      <c r="B471" s="8" t="n">
        <v>24530.9</v>
      </c>
      <c r="C471" s="8" t="n">
        <v>22853.6</v>
      </c>
      <c r="D471" s="8" t="n">
        <v>1738.4</v>
      </c>
      <c r="E471" s="8" t="n">
        <v>849.3</v>
      </c>
      <c r="F471" s="8" t="n">
        <v>1078.1</v>
      </c>
      <c r="G471" s="8" t="n">
        <v>771.6</v>
      </c>
      <c r="H471" s="8" t="n">
        <v>780.8</v>
      </c>
      <c r="I471" s="8" t="n">
        <v>531.5</v>
      </c>
      <c r="J471" s="8" t="n">
        <v>2003.25</v>
      </c>
      <c r="K471" s="8" t="n">
        <v>692.29</v>
      </c>
      <c r="L471" s="8" t="n">
        <v>1426.7</v>
      </c>
      <c r="M471" s="8" t="n">
        <v>1284.5</v>
      </c>
      <c r="N471" s="8" t="n">
        <v>465.3</v>
      </c>
      <c r="O471" s="8" t="n">
        <v>290.25</v>
      </c>
      <c r="P471" s="8" t="n">
        <v>1841.25</v>
      </c>
      <c r="Q471" s="8" t="n">
        <v>411.8</v>
      </c>
      <c r="R471" s="8" t="n">
        <v>718.6</v>
      </c>
      <c r="S471" s="8" t="n">
        <v>562.17</v>
      </c>
    </row>
    <row r="472" customFormat="false" ht="15" hidden="false" customHeight="false" outlineLevel="0" collapsed="false">
      <c r="A472" s="7" t="n">
        <v>45495</v>
      </c>
      <c r="B472" s="8" t="n">
        <v>24509.25</v>
      </c>
      <c r="C472" s="8" t="n">
        <v>22942.65</v>
      </c>
      <c r="D472" s="8" t="n">
        <v>1791</v>
      </c>
      <c r="E472" s="8" t="n">
        <v>845.25</v>
      </c>
      <c r="F472" s="8" t="n">
        <v>1099.5</v>
      </c>
      <c r="G472" s="8" t="n">
        <v>793.85</v>
      </c>
      <c r="H472" s="8" t="n">
        <v>791.9</v>
      </c>
      <c r="I472" s="8" t="n">
        <v>537.95</v>
      </c>
      <c r="J472" s="8" t="n">
        <v>1950.7</v>
      </c>
      <c r="K472" s="8" t="n">
        <v>687.49</v>
      </c>
      <c r="L472" s="8" t="n">
        <v>1403.35</v>
      </c>
      <c r="M472" s="8" t="n">
        <v>1267.15</v>
      </c>
      <c r="N472" s="8" t="n">
        <v>465.55</v>
      </c>
      <c r="O472" s="8" t="n">
        <v>292.4</v>
      </c>
      <c r="P472" s="8" t="n">
        <v>1812.05</v>
      </c>
      <c r="Q472" s="8" t="n">
        <v>404.05</v>
      </c>
      <c r="R472" s="8" t="n">
        <v>727.75</v>
      </c>
      <c r="S472" s="8" t="n">
        <v>565.48</v>
      </c>
    </row>
    <row r="473" customFormat="false" ht="15" hidden="false" customHeight="false" outlineLevel="0" collapsed="false">
      <c r="A473" s="7" t="n">
        <v>45496</v>
      </c>
      <c r="B473" s="8" t="n">
        <v>24479.05</v>
      </c>
      <c r="C473" s="8" t="n">
        <v>22865.2</v>
      </c>
      <c r="D473" s="8" t="n">
        <v>1777.2</v>
      </c>
      <c r="E473" s="8" t="n">
        <v>842.8</v>
      </c>
      <c r="F473" s="8" t="n">
        <v>1062.9</v>
      </c>
      <c r="G473" s="8" t="n">
        <v>770.2</v>
      </c>
      <c r="H473" s="8" t="n">
        <v>757.4</v>
      </c>
      <c r="I473" s="8" t="n">
        <v>534.25</v>
      </c>
      <c r="J473" s="8" t="n">
        <v>1960.1</v>
      </c>
      <c r="K473" s="8" t="n">
        <v>671.8</v>
      </c>
      <c r="L473" s="8" t="n">
        <v>1395.65</v>
      </c>
      <c r="M473" s="8" t="n">
        <v>1303.1</v>
      </c>
      <c r="N473" s="8" t="n">
        <v>450.35</v>
      </c>
      <c r="O473" s="8" t="n">
        <v>295.85</v>
      </c>
      <c r="P473" s="8" t="n">
        <v>1733.95</v>
      </c>
      <c r="Q473" s="8" t="n">
        <v>391.25</v>
      </c>
      <c r="R473" s="8" t="n">
        <v>730.85</v>
      </c>
      <c r="S473" s="8" t="n">
        <v>547.84</v>
      </c>
    </row>
    <row r="474" customFormat="false" ht="15" hidden="false" customHeight="false" outlineLevel="0" collapsed="false">
      <c r="A474" s="7" t="n">
        <v>45497</v>
      </c>
      <c r="B474" s="8" t="n">
        <v>24413.5</v>
      </c>
      <c r="C474" s="8" t="n">
        <v>22921.45</v>
      </c>
      <c r="D474" s="8" t="n">
        <v>1759.25</v>
      </c>
      <c r="E474" s="8" t="n">
        <v>850.25</v>
      </c>
      <c r="F474" s="8" t="n">
        <v>1041.6</v>
      </c>
      <c r="G474" s="8" t="n">
        <v>782.05</v>
      </c>
      <c r="H474" s="8" t="n">
        <v>775.95</v>
      </c>
      <c r="I474" s="8" t="n">
        <v>536.35</v>
      </c>
      <c r="J474" s="8" t="n">
        <v>1998.65</v>
      </c>
      <c r="K474" s="8" t="n">
        <v>659.82</v>
      </c>
      <c r="L474" s="8" t="n">
        <v>1388.9</v>
      </c>
      <c r="M474" s="8" t="n">
        <v>1299.45</v>
      </c>
      <c r="N474" s="8" t="n">
        <v>464.4</v>
      </c>
      <c r="O474" s="8" t="n">
        <v>298.7</v>
      </c>
      <c r="P474" s="8" t="n">
        <v>1742.65</v>
      </c>
      <c r="Q474" s="8" t="n">
        <v>380.55</v>
      </c>
      <c r="R474" s="8" t="n">
        <v>743.6</v>
      </c>
      <c r="S474" s="8" t="n">
        <v>544.85</v>
      </c>
    </row>
    <row r="475" customFormat="false" ht="15" hidden="false" customHeight="false" outlineLevel="0" collapsed="false">
      <c r="A475" s="7" t="n">
        <v>45498</v>
      </c>
      <c r="B475" s="8" t="n">
        <v>24406.1</v>
      </c>
      <c r="C475" s="8" t="n">
        <v>22917.25</v>
      </c>
      <c r="D475" s="8" t="n">
        <v>1778.2</v>
      </c>
      <c r="E475" s="8" t="n">
        <v>827.8</v>
      </c>
      <c r="F475" s="8" t="n">
        <v>1030.1</v>
      </c>
      <c r="G475" s="8" t="n">
        <v>766.9</v>
      </c>
      <c r="H475" s="8" t="n">
        <v>781.25</v>
      </c>
      <c r="I475" s="8" t="n">
        <v>532.45</v>
      </c>
      <c r="J475" s="8" t="n">
        <v>1908.4</v>
      </c>
      <c r="K475" s="8" t="n">
        <v>663.87</v>
      </c>
      <c r="L475" s="8" t="n">
        <v>1363.65</v>
      </c>
      <c r="M475" s="8" t="n">
        <v>1271.1</v>
      </c>
      <c r="N475" s="8" t="n">
        <v>453</v>
      </c>
      <c r="O475" s="8" t="n">
        <v>289.85</v>
      </c>
      <c r="P475" s="8" t="n">
        <v>1742.5</v>
      </c>
      <c r="Q475" s="8" t="n">
        <v>365.65</v>
      </c>
      <c r="R475" s="8" t="n">
        <v>730.5</v>
      </c>
      <c r="S475" s="8" t="n">
        <v>535.8</v>
      </c>
    </row>
    <row r="476" customFormat="false" ht="15" hidden="false" customHeight="false" outlineLevel="0" collapsed="false">
      <c r="A476" s="7" t="n">
        <v>45499</v>
      </c>
      <c r="B476" s="8" t="n">
        <v>24834.85</v>
      </c>
      <c r="C476" s="8" t="n">
        <v>23292.05</v>
      </c>
      <c r="D476" s="8" t="n">
        <v>1746.95</v>
      </c>
      <c r="E476" s="8" t="n">
        <v>856.9</v>
      </c>
      <c r="F476" s="8" t="n">
        <v>1061.5</v>
      </c>
      <c r="G476" s="8" t="n">
        <v>791.3</v>
      </c>
      <c r="H476" s="8" t="n">
        <v>793.85</v>
      </c>
      <c r="I476" s="8" t="n">
        <v>541.7</v>
      </c>
      <c r="J476" s="8" t="n">
        <v>1900.95</v>
      </c>
      <c r="K476" s="8" t="n">
        <v>678.05</v>
      </c>
      <c r="L476" s="8" t="n">
        <v>1410.95</v>
      </c>
      <c r="M476" s="8" t="n">
        <v>1311.95</v>
      </c>
      <c r="N476" s="8" t="n">
        <v>451.15</v>
      </c>
      <c r="O476" s="8" t="n">
        <v>293.65</v>
      </c>
      <c r="P476" s="8" t="n">
        <v>1783.2</v>
      </c>
      <c r="Q476" s="8" t="n">
        <v>375.7</v>
      </c>
      <c r="R476" s="8" t="n">
        <v>721.7</v>
      </c>
      <c r="S476" s="8" t="n">
        <v>585</v>
      </c>
    </row>
    <row r="477" customFormat="false" ht="15" hidden="false" customHeight="false" outlineLevel="0" collapsed="false">
      <c r="A477" s="7" t="n">
        <v>45502</v>
      </c>
      <c r="B477" s="8" t="n">
        <v>24836.1</v>
      </c>
      <c r="C477" s="8" t="n">
        <v>23394.2</v>
      </c>
      <c r="D477" s="8" t="n">
        <v>1730.4</v>
      </c>
      <c r="E477" s="8" t="n">
        <v>855.75</v>
      </c>
      <c r="F477" s="8" t="n">
        <v>1077.25</v>
      </c>
      <c r="G477" s="8" t="n">
        <v>791.55</v>
      </c>
      <c r="H477" s="8" t="n">
        <v>794.9</v>
      </c>
      <c r="I477" s="8" t="n">
        <v>538.25</v>
      </c>
      <c r="J477" s="8" t="n">
        <v>1904.15</v>
      </c>
      <c r="K477" s="8" t="n">
        <v>680.32</v>
      </c>
      <c r="L477" s="8" t="n">
        <v>1433.4</v>
      </c>
      <c r="M477" s="8" t="n">
        <v>1315.4</v>
      </c>
      <c r="N477" s="8" t="n">
        <v>445.35</v>
      </c>
      <c r="O477" s="8" t="n">
        <v>303.15</v>
      </c>
      <c r="P477" s="8" t="n">
        <v>1781.05</v>
      </c>
      <c r="Q477" s="8" t="n">
        <v>381.05</v>
      </c>
      <c r="R477" s="8" t="n">
        <v>707.9</v>
      </c>
      <c r="S477" s="8" t="n">
        <v>588.6</v>
      </c>
    </row>
    <row r="478" customFormat="false" ht="15" hidden="false" customHeight="false" outlineLevel="0" collapsed="false">
      <c r="A478" s="7" t="n">
        <v>45503</v>
      </c>
      <c r="B478" s="8" t="n">
        <v>24857.3</v>
      </c>
      <c r="C478" s="8" t="n">
        <v>23440.9</v>
      </c>
      <c r="D478" s="8" t="n">
        <v>1717.3</v>
      </c>
      <c r="E478" s="8" t="n">
        <v>851.55</v>
      </c>
      <c r="F478" s="8" t="n">
        <v>1054.35</v>
      </c>
      <c r="G478" s="8" t="n">
        <v>774</v>
      </c>
      <c r="H478" s="8" t="n">
        <v>779.95</v>
      </c>
      <c r="I478" s="8" t="n">
        <v>535.15</v>
      </c>
      <c r="J478" s="8" t="n">
        <v>1910.6</v>
      </c>
      <c r="K478" s="8" t="n">
        <v>681.43</v>
      </c>
      <c r="L478" s="8" t="n">
        <v>1417.85</v>
      </c>
      <c r="M478" s="8" t="n">
        <v>1325.9</v>
      </c>
      <c r="N478" s="8" t="n">
        <v>438.45</v>
      </c>
      <c r="O478" s="8" t="n">
        <v>304</v>
      </c>
      <c r="P478" s="8" t="n">
        <v>1808.4</v>
      </c>
      <c r="Q478" s="8" t="n">
        <v>370.85</v>
      </c>
      <c r="R478" s="8" t="n">
        <v>719</v>
      </c>
      <c r="S478" s="8" t="n">
        <v>582.41</v>
      </c>
    </row>
    <row r="479" customFormat="false" ht="15" hidden="false" customHeight="false" outlineLevel="0" collapsed="false">
      <c r="A479" s="7" t="n">
        <v>45504</v>
      </c>
      <c r="B479" s="8" t="n">
        <v>24951.15</v>
      </c>
      <c r="C479" s="8" t="n">
        <v>23530.8</v>
      </c>
      <c r="D479" s="8" t="n">
        <v>1675.65</v>
      </c>
      <c r="E479" s="8" t="n">
        <v>848.65</v>
      </c>
      <c r="F479" s="8" t="n">
        <v>1040.1</v>
      </c>
      <c r="G479" s="8" t="n">
        <v>767.25</v>
      </c>
      <c r="H479" s="8" t="n">
        <v>805.5</v>
      </c>
      <c r="I479" s="8" t="n">
        <v>557</v>
      </c>
      <c r="J479" s="8" t="n">
        <v>1874.05</v>
      </c>
      <c r="K479" s="8" t="n">
        <v>679.77</v>
      </c>
      <c r="L479" s="8" t="n">
        <v>1416.6</v>
      </c>
      <c r="M479" s="8" t="n">
        <v>1327.65</v>
      </c>
      <c r="N479" s="8" t="n">
        <v>442.05</v>
      </c>
      <c r="O479" s="8" t="n">
        <v>303.25</v>
      </c>
      <c r="P479" s="8" t="n">
        <v>1838.1</v>
      </c>
      <c r="Q479" s="8" t="n">
        <v>369.05</v>
      </c>
      <c r="R479" s="8" t="n">
        <v>726.85</v>
      </c>
      <c r="S479" s="8" t="n">
        <v>586.39</v>
      </c>
    </row>
    <row r="480" customFormat="false" ht="15" hidden="false" customHeight="false" outlineLevel="0" collapsed="false">
      <c r="A480" s="7" t="n">
        <v>45505</v>
      </c>
      <c r="B480" s="8" t="n">
        <v>25010.9</v>
      </c>
      <c r="C480" s="8" t="n">
        <v>23506.6</v>
      </c>
      <c r="D480" s="8" t="n">
        <v>1664.1</v>
      </c>
      <c r="E480" s="8" t="n">
        <v>835</v>
      </c>
      <c r="F480" s="8" t="n">
        <v>1025.35</v>
      </c>
      <c r="G480" s="8" t="n">
        <v>757.55</v>
      </c>
      <c r="H480" s="8" t="n">
        <v>809.55</v>
      </c>
      <c r="I480" s="8" t="n">
        <v>542.55</v>
      </c>
      <c r="J480" s="8" t="n">
        <v>1779.7</v>
      </c>
      <c r="K480" s="8" t="n">
        <v>676.24</v>
      </c>
      <c r="L480" s="8" t="n">
        <v>1390.65</v>
      </c>
      <c r="M480" s="8" t="n">
        <v>1322.55</v>
      </c>
      <c r="N480" s="8" t="n">
        <v>456.8</v>
      </c>
      <c r="O480" s="8" t="n">
        <v>306.45</v>
      </c>
      <c r="P480" s="8" t="n">
        <v>1864.35</v>
      </c>
      <c r="Q480" s="8" t="n">
        <v>359.8</v>
      </c>
      <c r="R480" s="8" t="n">
        <v>720.45</v>
      </c>
      <c r="S480" s="8" t="n">
        <v>597.85</v>
      </c>
    </row>
    <row r="481" customFormat="false" ht="15" hidden="false" customHeight="false" outlineLevel="0" collapsed="false">
      <c r="A481" s="7" t="n">
        <v>45506</v>
      </c>
      <c r="B481" s="8" t="n">
        <v>24717.7</v>
      </c>
      <c r="C481" s="8" t="n">
        <v>23259.45</v>
      </c>
      <c r="D481" s="8" t="n">
        <v>1673.4</v>
      </c>
      <c r="E481" s="8" t="n">
        <v>836.6</v>
      </c>
      <c r="F481" s="8" t="n">
        <v>1026.1</v>
      </c>
      <c r="G481" s="8" t="n">
        <v>748.6</v>
      </c>
      <c r="H481" s="8" t="n">
        <v>810.55</v>
      </c>
      <c r="I481" s="8" t="n">
        <v>504.65</v>
      </c>
      <c r="J481" s="8" t="n">
        <v>1861.05</v>
      </c>
      <c r="K481" s="8" t="n">
        <v>671.59</v>
      </c>
      <c r="L481" s="8" t="n">
        <v>1385.1</v>
      </c>
      <c r="M481" s="8" t="n">
        <v>1311.8</v>
      </c>
      <c r="N481" s="8" t="n">
        <v>450.55</v>
      </c>
      <c r="O481" s="8" t="n">
        <v>305.45</v>
      </c>
      <c r="P481" s="8" t="n">
        <v>1877.65</v>
      </c>
      <c r="Q481" s="8" t="n">
        <v>362.5</v>
      </c>
      <c r="R481" s="8" t="n">
        <v>714.55</v>
      </c>
      <c r="S481" s="8" t="n">
        <v>598.42</v>
      </c>
    </row>
    <row r="482" customFormat="false" ht="15" hidden="false" customHeight="false" outlineLevel="0" collapsed="false">
      <c r="A482" s="7" t="n">
        <v>45509</v>
      </c>
      <c r="B482" s="8" t="n">
        <v>24055.6</v>
      </c>
      <c r="C482" s="8" t="n">
        <v>22542.45</v>
      </c>
      <c r="D482" s="8" t="n">
        <v>1629.25</v>
      </c>
      <c r="E482" s="8" t="n">
        <v>782</v>
      </c>
      <c r="F482" s="8" t="n">
        <v>981.2</v>
      </c>
      <c r="G482" s="8" t="n">
        <v>686.15</v>
      </c>
      <c r="H482" s="8" t="n">
        <v>774.9</v>
      </c>
      <c r="I482" s="8" t="n">
        <v>491.1</v>
      </c>
      <c r="J482" s="8" t="n">
        <v>1790.25</v>
      </c>
      <c r="K482" s="8" t="n">
        <v>658.77</v>
      </c>
      <c r="L482" s="8" t="n">
        <v>1346.85</v>
      </c>
      <c r="M482" s="8" t="n">
        <v>1278.75</v>
      </c>
      <c r="N482" s="8" t="n">
        <v>424.9</v>
      </c>
      <c r="O482" s="8" t="n">
        <v>292.6</v>
      </c>
      <c r="P482" s="8" t="n">
        <v>1824.15</v>
      </c>
      <c r="Q482" s="8" t="n">
        <v>345.75</v>
      </c>
      <c r="R482" s="8" t="n">
        <v>702.35</v>
      </c>
      <c r="S482" s="8" t="n">
        <v>578.29</v>
      </c>
    </row>
    <row r="483" customFormat="false" ht="15" hidden="false" customHeight="false" outlineLevel="0" collapsed="false">
      <c r="A483" s="7" t="n">
        <v>45510</v>
      </c>
      <c r="B483" s="8" t="n">
        <v>23992.55</v>
      </c>
      <c r="C483" s="8" t="n">
        <v>22443.3</v>
      </c>
      <c r="D483" s="8" t="n">
        <v>1630</v>
      </c>
      <c r="E483" s="8" t="n">
        <v>772.4</v>
      </c>
      <c r="F483" s="8" t="n">
        <v>1040.75</v>
      </c>
      <c r="G483" s="8" t="n">
        <v>651.85</v>
      </c>
      <c r="H483" s="8" t="n">
        <v>790.85</v>
      </c>
      <c r="I483" s="8" t="n">
        <v>466.2</v>
      </c>
      <c r="J483" s="8" t="n">
        <v>1767.4</v>
      </c>
      <c r="K483" s="8" t="n">
        <v>652.95</v>
      </c>
      <c r="L483" s="8" t="n">
        <v>1335.35</v>
      </c>
      <c r="M483" s="8" t="n">
        <v>1308.6</v>
      </c>
      <c r="N483" s="8" t="n">
        <v>430.85</v>
      </c>
      <c r="O483" s="8" t="n">
        <v>293.15</v>
      </c>
      <c r="P483" s="8" t="n">
        <v>1787.95</v>
      </c>
      <c r="Q483" s="8" t="n">
        <v>342.5</v>
      </c>
      <c r="R483" s="8" t="n">
        <v>698.65</v>
      </c>
      <c r="S483" s="8" t="n">
        <v>567.36</v>
      </c>
    </row>
    <row r="484" customFormat="false" ht="15" hidden="false" customHeight="false" outlineLevel="0" collapsed="false">
      <c r="A484" s="7" t="n">
        <v>45511</v>
      </c>
      <c r="B484" s="8" t="n">
        <v>24297.5</v>
      </c>
      <c r="C484" s="8" t="n">
        <v>22848.9</v>
      </c>
      <c r="D484" s="8" t="n">
        <v>1632.75</v>
      </c>
      <c r="E484" s="8" t="n">
        <v>787.55</v>
      </c>
      <c r="F484" s="8" t="n">
        <v>1011.55</v>
      </c>
      <c r="G484" s="8" t="n">
        <v>637.15</v>
      </c>
      <c r="H484" s="8" t="n">
        <v>809.35</v>
      </c>
      <c r="I484" s="8" t="n">
        <v>475.7</v>
      </c>
      <c r="J484" s="8" t="n">
        <v>1741.4</v>
      </c>
      <c r="K484" s="8" t="n">
        <v>662.81</v>
      </c>
      <c r="L484" s="8" t="n">
        <v>1377.7</v>
      </c>
      <c r="M484" s="8" t="n">
        <v>1285.4</v>
      </c>
      <c r="N484" s="8" t="n">
        <v>440.55</v>
      </c>
      <c r="O484" s="8" t="n">
        <v>303.8</v>
      </c>
      <c r="P484" s="8" t="n">
        <v>1855.4</v>
      </c>
      <c r="Q484" s="8" t="n">
        <v>351.85</v>
      </c>
      <c r="R484" s="8" t="n">
        <v>713.9</v>
      </c>
      <c r="S484" s="8" t="n">
        <v>585.01</v>
      </c>
    </row>
    <row r="485" customFormat="false" ht="15" hidden="false" customHeight="false" outlineLevel="0" collapsed="false">
      <c r="A485" s="7" t="n">
        <v>45512</v>
      </c>
      <c r="B485" s="8" t="n">
        <v>24117</v>
      </c>
      <c r="C485" s="8" t="n">
        <v>22705.7</v>
      </c>
      <c r="D485" s="8" t="n">
        <v>1648.15</v>
      </c>
      <c r="E485" s="8" t="n">
        <v>786.1</v>
      </c>
      <c r="F485" s="8" t="n">
        <v>1027.35</v>
      </c>
      <c r="G485" s="8" t="n">
        <v>640</v>
      </c>
      <c r="H485" s="8" t="n">
        <v>804.2</v>
      </c>
      <c r="I485" s="8" t="n">
        <v>452.05</v>
      </c>
      <c r="J485" s="8" t="n">
        <v>1713.05</v>
      </c>
      <c r="K485" s="8" t="n">
        <v>657.33</v>
      </c>
      <c r="L485" s="8" t="n">
        <v>1350.25</v>
      </c>
      <c r="M485" s="8" t="n">
        <v>1252.85</v>
      </c>
      <c r="N485" s="8" t="n">
        <v>429.45</v>
      </c>
      <c r="O485" s="8" t="n">
        <v>295.9</v>
      </c>
      <c r="P485" s="8" t="n">
        <v>1848.05</v>
      </c>
      <c r="Q485" s="8" t="n">
        <v>368.8</v>
      </c>
      <c r="R485" s="8" t="n">
        <v>715.6</v>
      </c>
      <c r="S485" s="8" t="n">
        <v>574.44</v>
      </c>
    </row>
    <row r="486" customFormat="false" ht="15" hidden="false" customHeight="false" outlineLevel="0" collapsed="false">
      <c r="A486" s="7" t="n">
        <v>45513</v>
      </c>
      <c r="B486" s="8" t="n">
        <v>24367.5</v>
      </c>
      <c r="C486" s="8" t="n">
        <v>22923.5</v>
      </c>
      <c r="D486" s="8" t="n">
        <v>1644.95</v>
      </c>
      <c r="E486" s="8" t="n">
        <v>803.15</v>
      </c>
      <c r="F486" s="8" t="n">
        <v>1044.2</v>
      </c>
      <c r="G486" s="8" t="n">
        <v>638.15</v>
      </c>
      <c r="H486" s="8" t="n">
        <v>821</v>
      </c>
      <c r="I486" s="8" t="n">
        <v>477.75</v>
      </c>
      <c r="J486" s="8" t="n">
        <v>1756.35</v>
      </c>
      <c r="K486" s="8" t="n">
        <v>660.92</v>
      </c>
      <c r="L486" s="8" t="n">
        <v>1348.65</v>
      </c>
      <c r="M486" s="8" t="n">
        <v>1252.2</v>
      </c>
      <c r="N486" s="8" t="n">
        <v>423</v>
      </c>
      <c r="O486" s="8" t="n">
        <v>300.1</v>
      </c>
      <c r="P486" s="8" t="n">
        <v>1879.2</v>
      </c>
      <c r="Q486" s="8" t="n">
        <v>365.8</v>
      </c>
      <c r="R486" s="8" t="n">
        <v>709.8</v>
      </c>
      <c r="S486" s="8" t="n">
        <v>591.62</v>
      </c>
    </row>
    <row r="487" customFormat="false" ht="15" hidden="false" customHeight="false" outlineLevel="0" collapsed="false">
      <c r="A487" s="7" t="n">
        <v>45516</v>
      </c>
      <c r="B487" s="8" t="n">
        <v>24347</v>
      </c>
      <c r="C487" s="8" t="n">
        <v>22915.85</v>
      </c>
      <c r="D487" s="8" t="n">
        <v>1716.25</v>
      </c>
      <c r="E487" s="8" t="n">
        <v>818.2</v>
      </c>
      <c r="F487" s="8" t="n">
        <v>1015.55</v>
      </c>
      <c r="G487" s="8" t="n">
        <v>646.65</v>
      </c>
      <c r="H487" s="8" t="n">
        <v>836.1</v>
      </c>
      <c r="I487" s="8" t="n">
        <v>488.15</v>
      </c>
      <c r="J487" s="8" t="n">
        <v>1741.15</v>
      </c>
      <c r="K487" s="8" t="n">
        <v>659.92</v>
      </c>
      <c r="L487" s="8" t="n">
        <v>1348.75</v>
      </c>
      <c r="M487" s="8" t="n">
        <v>1245.05</v>
      </c>
      <c r="N487" s="8" t="n">
        <v>419.15</v>
      </c>
      <c r="O487" s="8" t="n">
        <v>298.75</v>
      </c>
      <c r="P487" s="8" t="n">
        <v>1890.1</v>
      </c>
      <c r="Q487" s="8" t="n">
        <v>363.2</v>
      </c>
      <c r="R487" s="8" t="n">
        <v>699.95</v>
      </c>
      <c r="S487" s="8" t="n">
        <v>595.22</v>
      </c>
    </row>
    <row r="488" customFormat="false" ht="15" hidden="false" customHeight="false" outlineLevel="0" collapsed="false">
      <c r="A488" s="7" t="n">
        <v>45517</v>
      </c>
      <c r="B488" s="8" t="n">
        <v>24139</v>
      </c>
      <c r="C488" s="8" t="n">
        <v>22705.8</v>
      </c>
      <c r="D488" s="8" t="n">
        <v>1703.25</v>
      </c>
      <c r="E488" s="8" t="n">
        <v>802.85</v>
      </c>
      <c r="F488" s="8" t="n">
        <v>1012.05</v>
      </c>
      <c r="G488" s="8" t="n">
        <v>641.7</v>
      </c>
      <c r="H488" s="8" t="n">
        <v>803.6</v>
      </c>
      <c r="I488" s="8" t="n">
        <v>475.6</v>
      </c>
      <c r="J488" s="8" t="n">
        <v>1750.25</v>
      </c>
      <c r="K488" s="8" t="n">
        <v>645.63</v>
      </c>
      <c r="L488" s="8" t="n">
        <v>1314.9</v>
      </c>
      <c r="M488" s="8" t="n">
        <v>1202.95</v>
      </c>
      <c r="N488" s="8" t="n">
        <v>405.65</v>
      </c>
      <c r="O488" s="8" t="n">
        <v>290</v>
      </c>
      <c r="P488" s="8" t="n">
        <v>1853.1</v>
      </c>
      <c r="Q488" s="8" t="n">
        <v>356.15</v>
      </c>
      <c r="R488" s="8" t="n">
        <v>691.9</v>
      </c>
      <c r="S488" s="8" t="n">
        <v>578.27</v>
      </c>
    </row>
    <row r="489" customFormat="false" ht="15" hidden="false" customHeight="false" outlineLevel="0" collapsed="false">
      <c r="A489" s="7" t="n">
        <v>45518</v>
      </c>
      <c r="B489" s="8" t="n">
        <v>24143.75</v>
      </c>
      <c r="C489" s="8" t="n">
        <v>22672.65</v>
      </c>
      <c r="D489" s="8" t="n">
        <v>1675.55</v>
      </c>
      <c r="E489" s="8" t="n">
        <v>805.4</v>
      </c>
      <c r="F489" s="8" t="n">
        <v>992.65</v>
      </c>
      <c r="G489" s="8" t="n">
        <v>643.55</v>
      </c>
      <c r="H489" s="8" t="n">
        <v>830.4</v>
      </c>
      <c r="I489" s="8" t="n">
        <v>469.8</v>
      </c>
      <c r="J489" s="8" t="n">
        <v>1798.4</v>
      </c>
      <c r="K489" s="8" t="n">
        <v>644.97</v>
      </c>
      <c r="L489" s="8" t="n">
        <v>1344</v>
      </c>
      <c r="M489" s="8" t="n">
        <v>1177.65</v>
      </c>
      <c r="N489" s="8" t="n">
        <v>401.3</v>
      </c>
      <c r="O489" s="8" t="n">
        <v>287.9</v>
      </c>
      <c r="P489" s="8" t="n">
        <v>1816.45</v>
      </c>
      <c r="Q489" s="8" t="n">
        <v>354.35</v>
      </c>
      <c r="R489" s="8" t="n">
        <v>689.65</v>
      </c>
      <c r="S489" s="8" t="n">
        <v>579.02</v>
      </c>
    </row>
    <row r="490" customFormat="false" ht="15" hidden="false" customHeight="false" outlineLevel="0" collapsed="false">
      <c r="A490" s="7" t="n">
        <v>45520</v>
      </c>
      <c r="B490" s="8" t="n">
        <v>24541.15</v>
      </c>
      <c r="C490" s="8" t="n">
        <v>23056.5</v>
      </c>
      <c r="D490" s="8" t="n">
        <v>1680.1</v>
      </c>
      <c r="E490" s="8" t="n">
        <v>834.55</v>
      </c>
      <c r="F490" s="8" t="n">
        <v>1006.45</v>
      </c>
      <c r="G490" s="8" t="n">
        <v>658.25</v>
      </c>
      <c r="H490" s="8" t="n">
        <v>824.6</v>
      </c>
      <c r="I490" s="8" t="n">
        <v>480.05</v>
      </c>
      <c r="J490" s="8" t="n">
        <v>1692.75</v>
      </c>
      <c r="K490" s="8" t="n">
        <v>658.19</v>
      </c>
      <c r="L490" s="8" t="n">
        <v>1369.15</v>
      </c>
      <c r="M490" s="8" t="n">
        <v>1211.5</v>
      </c>
      <c r="N490" s="8" t="n">
        <v>404.95</v>
      </c>
      <c r="O490" s="8" t="n">
        <v>295.85</v>
      </c>
      <c r="P490" s="8" t="n">
        <v>1833.95</v>
      </c>
      <c r="Q490" s="8" t="n">
        <v>362.35</v>
      </c>
      <c r="R490" s="8" t="n">
        <v>698.65</v>
      </c>
      <c r="S490" s="8" t="n">
        <v>596.3</v>
      </c>
    </row>
    <row r="491" customFormat="false" ht="15" hidden="false" customHeight="false" outlineLevel="0" collapsed="false">
      <c r="A491" s="7" t="n">
        <v>45523</v>
      </c>
      <c r="B491" s="8" t="n">
        <v>24572.65</v>
      </c>
      <c r="C491" s="8" t="n">
        <v>23139.75</v>
      </c>
      <c r="D491" s="8" t="n">
        <v>1661.85</v>
      </c>
      <c r="E491" s="8" t="n">
        <v>843.75</v>
      </c>
      <c r="F491" s="8" t="n">
        <v>1019.15</v>
      </c>
      <c r="G491" s="8" t="n">
        <v>668.1</v>
      </c>
      <c r="H491" s="8" t="n">
        <v>822.4</v>
      </c>
      <c r="I491" s="8" t="n">
        <v>480.7</v>
      </c>
      <c r="J491" s="8" t="n">
        <v>1632.5</v>
      </c>
      <c r="K491" s="8" t="n">
        <v>660.74</v>
      </c>
      <c r="L491" s="8" t="n">
        <v>1349.7</v>
      </c>
      <c r="M491" s="8" t="n">
        <v>1226.45</v>
      </c>
      <c r="N491" s="8" t="n">
        <v>454.05</v>
      </c>
      <c r="O491" s="8" t="n">
        <v>296.4</v>
      </c>
      <c r="P491" s="8" t="n">
        <v>1840.35</v>
      </c>
      <c r="Q491" s="8" t="n">
        <v>371</v>
      </c>
      <c r="R491" s="8" t="n">
        <v>699.9</v>
      </c>
      <c r="S491" s="8" t="n">
        <v>615.12</v>
      </c>
    </row>
    <row r="492" customFormat="false" ht="15" hidden="false" customHeight="false" outlineLevel="0" collapsed="false">
      <c r="A492" s="7" t="n">
        <v>45524</v>
      </c>
      <c r="B492" s="8" t="n">
        <v>24698.85</v>
      </c>
      <c r="C492" s="8" t="n">
        <v>23280.35</v>
      </c>
      <c r="D492" s="8" t="n">
        <v>1673.3</v>
      </c>
      <c r="E492" s="8" t="n">
        <v>847.65</v>
      </c>
      <c r="F492" s="8" t="n">
        <v>1032.95</v>
      </c>
      <c r="G492" s="8" t="n">
        <v>674.7</v>
      </c>
      <c r="H492" s="8" t="n">
        <v>810.9</v>
      </c>
      <c r="I492" s="8" t="n">
        <v>490.2</v>
      </c>
      <c r="J492" s="8" t="n">
        <v>1616.4</v>
      </c>
      <c r="K492" s="8" t="n">
        <v>671.31</v>
      </c>
      <c r="L492" s="8" t="n">
        <v>1387.85</v>
      </c>
      <c r="M492" s="8" t="n">
        <v>1228.65</v>
      </c>
      <c r="N492" s="8" t="n">
        <v>459.9</v>
      </c>
      <c r="O492" s="8" t="n">
        <v>303.65</v>
      </c>
      <c r="P492" s="8" t="n">
        <v>1875.3</v>
      </c>
      <c r="Q492" s="8" t="n">
        <v>399.75</v>
      </c>
      <c r="R492" s="8" t="n">
        <v>710.7</v>
      </c>
      <c r="S492" s="8" t="n">
        <v>631.97</v>
      </c>
    </row>
    <row r="493" customFormat="false" ht="15" hidden="false" customHeight="false" outlineLevel="0" collapsed="false">
      <c r="A493" s="7" t="n">
        <v>45525</v>
      </c>
      <c r="B493" s="8" t="n">
        <v>24770.2</v>
      </c>
      <c r="C493" s="8" t="n">
        <v>23368.65</v>
      </c>
      <c r="D493" s="8" t="n">
        <v>1700.05</v>
      </c>
      <c r="E493" s="8" t="n">
        <v>847</v>
      </c>
      <c r="F493" s="8" t="n">
        <v>1044.9</v>
      </c>
      <c r="G493" s="8" t="n">
        <v>678.9</v>
      </c>
      <c r="H493" s="8" t="n">
        <v>892.85</v>
      </c>
      <c r="I493" s="8" t="n">
        <v>494.15</v>
      </c>
      <c r="J493" s="8" t="n">
        <v>1613.45</v>
      </c>
      <c r="K493" s="8" t="n">
        <v>672.62</v>
      </c>
      <c r="L493" s="8" t="n">
        <v>1400.4</v>
      </c>
      <c r="M493" s="8" t="n">
        <v>1222.4</v>
      </c>
      <c r="N493" s="8" t="n">
        <v>464.55</v>
      </c>
      <c r="O493" s="8" t="n">
        <v>307.75</v>
      </c>
      <c r="P493" s="8" t="n">
        <v>1915.55</v>
      </c>
      <c r="Q493" s="8" t="n">
        <v>399.95</v>
      </c>
      <c r="R493" s="8" t="n">
        <v>709.55</v>
      </c>
      <c r="S493" s="8" t="n">
        <v>631.81</v>
      </c>
    </row>
    <row r="494" customFormat="false" ht="15" hidden="false" customHeight="false" outlineLevel="0" collapsed="false">
      <c r="A494" s="7" t="n">
        <v>45526</v>
      </c>
      <c r="B494" s="8" t="n">
        <v>24811.5</v>
      </c>
      <c r="C494" s="8" t="n">
        <v>23440.7</v>
      </c>
      <c r="D494" s="8" t="n">
        <v>1694.15</v>
      </c>
      <c r="E494" s="8" t="n">
        <v>849.6</v>
      </c>
      <c r="F494" s="8" t="n">
        <v>1048.2</v>
      </c>
      <c r="G494" s="8" t="n">
        <v>682.35</v>
      </c>
      <c r="H494" s="8" t="n">
        <v>867.15</v>
      </c>
      <c r="I494" s="8" t="n">
        <v>493.3</v>
      </c>
      <c r="J494" s="8" t="n">
        <v>1670.1</v>
      </c>
      <c r="K494" s="8" t="n">
        <v>673.44</v>
      </c>
      <c r="L494" s="8" t="n">
        <v>1365.65</v>
      </c>
      <c r="M494" s="8" t="n">
        <v>1220.5</v>
      </c>
      <c r="N494" s="8" t="n">
        <v>467.75</v>
      </c>
      <c r="O494" s="8" t="n">
        <v>313.7</v>
      </c>
      <c r="P494" s="8" t="n">
        <v>1928.2</v>
      </c>
      <c r="Q494" s="8" t="n">
        <v>403</v>
      </c>
      <c r="R494" s="8" t="n">
        <v>714.45</v>
      </c>
      <c r="S494" s="8" t="n">
        <v>628.72</v>
      </c>
    </row>
    <row r="495" customFormat="false" ht="15" hidden="false" customHeight="false" outlineLevel="0" collapsed="false">
      <c r="A495" s="7" t="n">
        <v>45527</v>
      </c>
      <c r="B495" s="8" t="n">
        <v>24823.15</v>
      </c>
      <c r="C495" s="8" t="n">
        <v>23418.65</v>
      </c>
      <c r="D495" s="8" t="n">
        <v>1682.45</v>
      </c>
      <c r="E495" s="8" t="n">
        <v>850.1</v>
      </c>
      <c r="F495" s="8" t="n">
        <v>1054.05</v>
      </c>
      <c r="G495" s="8" t="n">
        <v>672.6</v>
      </c>
      <c r="H495" s="8" t="n">
        <v>866.6</v>
      </c>
      <c r="I495" s="8" t="n">
        <v>502.4</v>
      </c>
      <c r="J495" s="8" t="n">
        <v>1685.75</v>
      </c>
      <c r="K495" s="8" t="n">
        <v>672.67</v>
      </c>
      <c r="L495" s="8" t="n">
        <v>1348.8</v>
      </c>
      <c r="M495" s="8" t="n">
        <v>1203.6</v>
      </c>
      <c r="N495" s="8" t="n">
        <v>458.7</v>
      </c>
      <c r="O495" s="8" t="n">
        <v>305</v>
      </c>
      <c r="P495" s="8" t="n">
        <v>1900.8</v>
      </c>
      <c r="Q495" s="8" t="n">
        <v>400.4</v>
      </c>
      <c r="R495" s="8" t="n">
        <v>716.65</v>
      </c>
      <c r="S495" s="8" t="n">
        <v>625.31</v>
      </c>
    </row>
    <row r="496" customFormat="false" ht="15" hidden="false" customHeight="false" outlineLevel="0" collapsed="false">
      <c r="A496" s="7" t="n">
        <v>45530</v>
      </c>
      <c r="B496" s="8" t="n">
        <v>25010.6</v>
      </c>
      <c r="C496" s="8" t="n">
        <v>23561.75</v>
      </c>
      <c r="D496" s="8" t="n">
        <v>1686.95</v>
      </c>
      <c r="E496" s="8" t="n">
        <v>852.35</v>
      </c>
      <c r="F496" s="8" t="n">
        <v>1092.75</v>
      </c>
      <c r="G496" s="8" t="n">
        <v>665.85</v>
      </c>
      <c r="H496" s="8" t="n">
        <v>878.1</v>
      </c>
      <c r="I496" s="8" t="n">
        <v>502.85</v>
      </c>
      <c r="J496" s="8" t="n">
        <v>1700.9</v>
      </c>
      <c r="K496" s="8" t="n">
        <v>676.91</v>
      </c>
      <c r="L496" s="8" t="n">
        <v>1395.05</v>
      </c>
      <c r="M496" s="8" t="n">
        <v>1211.6</v>
      </c>
      <c r="N496" s="8" t="n">
        <v>460.1</v>
      </c>
      <c r="O496" s="8" t="n">
        <v>315.35</v>
      </c>
      <c r="P496" s="8" t="n">
        <v>1936.25</v>
      </c>
      <c r="Q496" s="8" t="n">
        <v>406.45</v>
      </c>
      <c r="R496" s="8" t="n">
        <v>720.35</v>
      </c>
      <c r="S496" s="8" t="n">
        <v>632.43</v>
      </c>
    </row>
    <row r="497" customFormat="false" ht="15" hidden="false" customHeight="false" outlineLevel="0" collapsed="false">
      <c r="A497" s="7" t="n">
        <v>45531</v>
      </c>
      <c r="B497" s="8" t="n">
        <v>25017.75</v>
      </c>
      <c r="C497" s="8" t="n">
        <v>23604.85</v>
      </c>
      <c r="D497" s="8" t="n">
        <v>1690.35</v>
      </c>
      <c r="E497" s="8" t="n">
        <v>861.3</v>
      </c>
      <c r="F497" s="8" t="n">
        <v>1099.3</v>
      </c>
      <c r="G497" s="8" t="n">
        <v>684.1</v>
      </c>
      <c r="H497" s="8" t="n">
        <v>880.75</v>
      </c>
      <c r="I497" s="8" t="n">
        <v>502</v>
      </c>
      <c r="J497" s="8" t="n">
        <v>1730.85</v>
      </c>
      <c r="K497" s="8" t="n">
        <v>685.43</v>
      </c>
      <c r="L497" s="8" t="n">
        <v>1443.8</v>
      </c>
      <c r="M497" s="8" t="n">
        <v>1211.9</v>
      </c>
      <c r="N497" s="8" t="n">
        <v>462.85</v>
      </c>
      <c r="O497" s="8" t="n">
        <v>320.35</v>
      </c>
      <c r="P497" s="8" t="n">
        <v>1986.25</v>
      </c>
      <c r="Q497" s="8" t="n">
        <v>402.55</v>
      </c>
      <c r="R497" s="8" t="n">
        <v>736.75</v>
      </c>
      <c r="S497" s="8" t="n">
        <v>645.89</v>
      </c>
    </row>
    <row r="498" customFormat="false" ht="15" hidden="false" customHeight="false" outlineLevel="0" collapsed="false">
      <c r="A498" s="7" t="n">
        <v>45532</v>
      </c>
      <c r="B498" s="8" t="n">
        <v>25052.35</v>
      </c>
      <c r="C498" s="8" t="n">
        <v>23615.95</v>
      </c>
      <c r="D498" s="8" t="n">
        <v>1720.1</v>
      </c>
      <c r="E498" s="8" t="n">
        <v>873.7</v>
      </c>
      <c r="F498" s="8" t="n">
        <v>1095.75</v>
      </c>
      <c r="G498" s="8" t="n">
        <v>674.9</v>
      </c>
      <c r="H498" s="8" t="n">
        <v>902.5</v>
      </c>
      <c r="I498" s="8" t="n">
        <v>529.05</v>
      </c>
      <c r="J498" s="8" t="n">
        <v>1726.55</v>
      </c>
      <c r="K498" s="8" t="n">
        <v>689.06</v>
      </c>
      <c r="L498" s="8" t="n">
        <v>1450.7</v>
      </c>
      <c r="M498" s="8" t="n">
        <v>1201.75</v>
      </c>
      <c r="N498" s="8" t="n">
        <v>455.75</v>
      </c>
      <c r="O498" s="8" t="n">
        <v>315.25</v>
      </c>
      <c r="P498" s="8" t="n">
        <v>1958.45</v>
      </c>
      <c r="Q498" s="8" t="n">
        <v>399.7</v>
      </c>
      <c r="R498" s="8" t="n">
        <v>731.3</v>
      </c>
      <c r="S498" s="8" t="n">
        <v>640.37</v>
      </c>
    </row>
    <row r="499" customFormat="false" ht="15" hidden="false" customHeight="false" outlineLevel="0" collapsed="false">
      <c r="A499" s="7" t="n">
        <v>45533</v>
      </c>
      <c r="B499" s="8" t="n">
        <v>25151.95</v>
      </c>
      <c r="C499" s="8" t="n">
        <v>23631.4</v>
      </c>
      <c r="D499" s="8" t="n">
        <v>1710.65</v>
      </c>
      <c r="E499" s="8" t="n">
        <v>882.9</v>
      </c>
      <c r="F499" s="8" t="n">
        <v>1109.1</v>
      </c>
      <c r="G499" s="8" t="n">
        <v>675.95</v>
      </c>
      <c r="H499" s="8" t="n">
        <v>946.9</v>
      </c>
      <c r="I499" s="8" t="n">
        <v>521.2</v>
      </c>
      <c r="J499" s="8" t="n">
        <v>1702.1</v>
      </c>
      <c r="K499" s="8" t="n">
        <v>705.4</v>
      </c>
      <c r="L499" s="8" t="n">
        <v>1455.6</v>
      </c>
      <c r="M499" s="8" t="n">
        <v>1192.75</v>
      </c>
      <c r="N499" s="8" t="n">
        <v>450.9</v>
      </c>
      <c r="O499" s="8" t="n">
        <v>313.4</v>
      </c>
      <c r="P499" s="8" t="n">
        <v>1973.75</v>
      </c>
      <c r="Q499" s="8" t="n">
        <v>392.55</v>
      </c>
      <c r="R499" s="8" t="n">
        <v>721.2</v>
      </c>
      <c r="S499" s="8" t="n">
        <v>640.1</v>
      </c>
    </row>
    <row r="500" customFormat="false" ht="15" hidden="false" customHeight="false" outlineLevel="0" collapsed="false">
      <c r="A500" s="7" t="n">
        <v>45534</v>
      </c>
      <c r="B500" s="8" t="n">
        <v>25235.9</v>
      </c>
      <c r="C500" s="8" t="n">
        <v>23734.55</v>
      </c>
      <c r="D500" s="8" t="n">
        <v>1720.75</v>
      </c>
      <c r="E500" s="8" t="n">
        <v>863.55</v>
      </c>
      <c r="F500" s="8" t="n">
        <v>1153</v>
      </c>
      <c r="G500" s="8" t="n">
        <v>674.4</v>
      </c>
      <c r="H500" s="8" t="n">
        <v>977.45</v>
      </c>
      <c r="I500" s="8" t="n">
        <v>523.1</v>
      </c>
      <c r="J500" s="8" t="n">
        <v>1751.25</v>
      </c>
      <c r="K500" s="8" t="n">
        <v>719.04</v>
      </c>
      <c r="L500" s="8" t="n">
        <v>1455.6</v>
      </c>
      <c r="M500" s="8" t="n">
        <v>1221.05</v>
      </c>
      <c r="N500" s="8" t="n">
        <v>456.3</v>
      </c>
      <c r="O500" s="8" t="n">
        <v>314.35</v>
      </c>
      <c r="P500" s="8" t="n">
        <v>1965.85</v>
      </c>
      <c r="Q500" s="8" t="n">
        <v>387.3</v>
      </c>
      <c r="R500" s="8" t="n">
        <v>723.2</v>
      </c>
      <c r="S500" s="8" t="n">
        <v>640.9</v>
      </c>
    </row>
    <row r="501" customFormat="false" ht="15" hidden="false" customHeight="false" outlineLevel="0" collapsed="false">
      <c r="A501" s="7" t="n">
        <v>45537</v>
      </c>
      <c r="B501" s="8" t="n">
        <v>25278.7</v>
      </c>
      <c r="C501" s="8" t="n">
        <v>23760.7</v>
      </c>
      <c r="D501" s="8" t="n">
        <v>1709.6</v>
      </c>
      <c r="E501" s="8" t="n">
        <v>879.9</v>
      </c>
      <c r="F501" s="8" t="n">
        <v>1142.25</v>
      </c>
      <c r="G501" s="8" t="n">
        <v>675.6</v>
      </c>
      <c r="H501" s="8" t="n">
        <v>974.7</v>
      </c>
      <c r="I501" s="8" t="n">
        <v>516.6</v>
      </c>
      <c r="J501" s="8" t="n">
        <v>1730.7</v>
      </c>
      <c r="K501" s="8" t="n">
        <v>742.99</v>
      </c>
      <c r="L501" s="8" t="n">
        <v>1486.3</v>
      </c>
      <c r="M501" s="8" t="n">
        <v>1207.75</v>
      </c>
      <c r="N501" s="8" t="n">
        <v>457.7</v>
      </c>
      <c r="O501" s="8" t="n">
        <v>322.2</v>
      </c>
      <c r="P501" s="8" t="n">
        <v>1965</v>
      </c>
      <c r="Q501" s="8" t="n">
        <v>388.2</v>
      </c>
      <c r="R501" s="8" t="n">
        <v>744.35</v>
      </c>
      <c r="S501" s="8" t="n">
        <v>645.05</v>
      </c>
    </row>
    <row r="502" customFormat="false" ht="15" hidden="false" customHeight="false" outlineLevel="0" collapsed="false">
      <c r="A502" s="7" t="n">
        <v>45538</v>
      </c>
      <c r="B502" s="8" t="n">
        <v>25279.85</v>
      </c>
      <c r="C502" s="8" t="n">
        <v>23788.45</v>
      </c>
      <c r="D502" s="8" t="n">
        <v>1725.75</v>
      </c>
      <c r="E502" s="8" t="n">
        <v>882.9</v>
      </c>
      <c r="F502" s="8" t="n">
        <v>1129.05</v>
      </c>
      <c r="G502" s="8" t="n">
        <v>694.05</v>
      </c>
      <c r="H502" s="8" t="n">
        <v>1002.8</v>
      </c>
      <c r="I502" s="8" t="n">
        <v>522.15</v>
      </c>
      <c r="J502" s="8" t="n">
        <v>1733.5</v>
      </c>
      <c r="K502" s="8" t="n">
        <v>734.38</v>
      </c>
      <c r="L502" s="8" t="n">
        <v>1500</v>
      </c>
      <c r="M502" s="8" t="n">
        <v>1209.7</v>
      </c>
      <c r="N502" s="8" t="n">
        <v>470.1</v>
      </c>
      <c r="O502" s="8" t="n">
        <v>325.1</v>
      </c>
      <c r="P502" s="8" t="n">
        <v>1978.55</v>
      </c>
      <c r="Q502" s="8" t="n">
        <v>384.4</v>
      </c>
      <c r="R502" s="8" t="n">
        <v>766.05</v>
      </c>
      <c r="S502" s="8" t="n">
        <v>654.32</v>
      </c>
    </row>
    <row r="503" customFormat="false" ht="15" hidden="false" customHeight="false" outlineLevel="0" collapsed="false">
      <c r="A503" s="7" t="n">
        <v>45539</v>
      </c>
      <c r="B503" s="8" t="n">
        <v>25198.7</v>
      </c>
      <c r="C503" s="8" t="n">
        <v>23748.9</v>
      </c>
      <c r="D503" s="8" t="n">
        <v>1741.45</v>
      </c>
      <c r="E503" s="8" t="n">
        <v>881.9</v>
      </c>
      <c r="F503" s="8" t="n">
        <v>1121.5</v>
      </c>
      <c r="G503" s="8" t="n">
        <v>691.2</v>
      </c>
      <c r="H503" s="8" t="n">
        <v>1052.85</v>
      </c>
      <c r="I503" s="8" t="n">
        <v>520.75</v>
      </c>
      <c r="J503" s="8" t="n">
        <v>1699.55</v>
      </c>
      <c r="K503" s="8" t="n">
        <v>728.96</v>
      </c>
      <c r="L503" s="8" t="n">
        <v>1487.3</v>
      </c>
      <c r="M503" s="8" t="n">
        <v>1185.85</v>
      </c>
      <c r="N503" s="8" t="n">
        <v>460.8</v>
      </c>
      <c r="O503" s="8" t="n">
        <v>324.45</v>
      </c>
      <c r="P503" s="8" t="n">
        <v>1958</v>
      </c>
      <c r="Q503" s="8" t="n">
        <v>385.25</v>
      </c>
      <c r="R503" s="8" t="n">
        <v>768.55</v>
      </c>
      <c r="S503" s="8" t="n">
        <v>648.79</v>
      </c>
    </row>
    <row r="504" customFormat="false" ht="15" hidden="false" customHeight="false" outlineLevel="0" collapsed="false">
      <c r="A504" s="7" t="n">
        <v>45540</v>
      </c>
      <c r="B504" s="8" t="n">
        <v>25145.1</v>
      </c>
      <c r="C504" s="8" t="n">
        <v>23762.8</v>
      </c>
      <c r="D504" s="8" t="n">
        <v>1815.75</v>
      </c>
      <c r="E504" s="8" t="n">
        <v>885.6</v>
      </c>
      <c r="F504" s="8" t="n">
        <v>1178.35</v>
      </c>
      <c r="G504" s="8" t="n">
        <v>707.4</v>
      </c>
      <c r="H504" s="8" t="n">
        <v>1038.1</v>
      </c>
      <c r="I504" s="8" t="n">
        <v>535.25</v>
      </c>
      <c r="J504" s="8" t="n">
        <v>1670.15</v>
      </c>
      <c r="K504" s="8" t="n">
        <v>723.51</v>
      </c>
      <c r="L504" s="8" t="n">
        <v>1533.6</v>
      </c>
      <c r="M504" s="8" t="n">
        <v>1179.25</v>
      </c>
      <c r="N504" s="8" t="n">
        <v>468.9</v>
      </c>
      <c r="O504" s="8" t="n">
        <v>329.1</v>
      </c>
      <c r="P504" s="8" t="n">
        <v>1989.25</v>
      </c>
      <c r="Q504" s="8" t="n">
        <v>390.1</v>
      </c>
      <c r="R504" s="8" t="n">
        <v>767.7</v>
      </c>
      <c r="S504" s="8" t="n">
        <v>649.1</v>
      </c>
    </row>
    <row r="505" customFormat="false" ht="15" hidden="false" customHeight="false" outlineLevel="0" collapsed="false">
      <c r="A505" s="7" t="n">
        <v>45541</v>
      </c>
      <c r="B505" s="8" t="n">
        <v>24852.15</v>
      </c>
      <c r="C505" s="8" t="n">
        <v>23477.7</v>
      </c>
      <c r="D505" s="8" t="n">
        <v>1875.85</v>
      </c>
      <c r="E505" s="8" t="n">
        <v>870.75</v>
      </c>
      <c r="F505" s="8" t="n">
        <v>1145.65</v>
      </c>
      <c r="G505" s="8" t="n">
        <v>694.6</v>
      </c>
      <c r="H505" s="8" t="n">
        <v>1023.4</v>
      </c>
      <c r="I505" s="8" t="n">
        <v>532.05</v>
      </c>
      <c r="J505" s="8" t="n">
        <v>1693.15</v>
      </c>
      <c r="K505" s="8" t="n">
        <v>730.72</v>
      </c>
      <c r="L505" s="8" t="n">
        <v>1511.35</v>
      </c>
      <c r="M505" s="8" t="n">
        <v>1208.85</v>
      </c>
      <c r="N505" s="8" t="n">
        <v>466.55</v>
      </c>
      <c r="O505" s="8" t="n">
        <v>327.2</v>
      </c>
      <c r="P505" s="8" t="n">
        <v>1976.55</v>
      </c>
      <c r="Q505" s="8" t="n">
        <v>385.3</v>
      </c>
      <c r="R505" s="8" t="n">
        <v>800.65</v>
      </c>
      <c r="S505" s="8" t="n">
        <v>647.13</v>
      </c>
    </row>
    <row r="506" customFormat="false" ht="15" hidden="false" customHeight="false" outlineLevel="0" collapsed="false">
      <c r="A506" s="7" t="n">
        <v>45544</v>
      </c>
      <c r="B506" s="8" t="n">
        <v>24936.4</v>
      </c>
      <c r="C506" s="8" t="n">
        <v>23502.15</v>
      </c>
      <c r="D506" s="8" t="n">
        <v>1839.55</v>
      </c>
      <c r="E506" s="8" t="n">
        <v>869.25</v>
      </c>
      <c r="F506" s="8" t="n">
        <v>1084.3</v>
      </c>
      <c r="G506" s="8" t="n">
        <v>699.9</v>
      </c>
      <c r="H506" s="8" t="n">
        <v>1078.2</v>
      </c>
      <c r="I506" s="8" t="n">
        <v>533.65</v>
      </c>
      <c r="J506" s="8" t="n">
        <v>1655.85</v>
      </c>
      <c r="K506" s="8" t="n">
        <v>733.75</v>
      </c>
      <c r="L506" s="8" t="n">
        <v>1538.25</v>
      </c>
      <c r="M506" s="8" t="n">
        <v>1205.85</v>
      </c>
      <c r="N506" s="8" t="n">
        <v>467</v>
      </c>
      <c r="O506" s="8" t="n">
        <v>324.5</v>
      </c>
      <c r="P506" s="8" t="n">
        <v>1989.3</v>
      </c>
      <c r="Q506" s="8" t="n">
        <v>380.25</v>
      </c>
      <c r="R506" s="8" t="n">
        <v>802.35</v>
      </c>
      <c r="S506" s="8" t="n">
        <v>663.14</v>
      </c>
    </row>
    <row r="507" customFormat="false" ht="15" hidden="false" customHeight="false" outlineLevel="0" collapsed="false">
      <c r="A507" s="7" t="n">
        <v>45545</v>
      </c>
      <c r="B507" s="8" t="n">
        <v>25041.1</v>
      </c>
      <c r="C507" s="8" t="n">
        <v>23643.65</v>
      </c>
      <c r="D507" s="8" t="n">
        <v>1832.95</v>
      </c>
      <c r="E507" s="8" t="n">
        <v>848.7</v>
      </c>
      <c r="F507" s="8" t="n">
        <v>1065.55</v>
      </c>
      <c r="G507" s="8" t="n">
        <v>686.65</v>
      </c>
      <c r="H507" s="8" t="n">
        <v>1050.9</v>
      </c>
      <c r="I507" s="8" t="n">
        <v>545.3</v>
      </c>
      <c r="J507" s="8" t="n">
        <v>1670.9</v>
      </c>
      <c r="K507" s="8" t="n">
        <v>723.2</v>
      </c>
      <c r="L507" s="8" t="n">
        <v>1507.6</v>
      </c>
      <c r="M507" s="8" t="n">
        <v>1213.7</v>
      </c>
      <c r="N507" s="8" t="n">
        <v>470.25</v>
      </c>
      <c r="O507" s="8" t="n">
        <v>325.65</v>
      </c>
      <c r="P507" s="8" t="n">
        <v>1959.75</v>
      </c>
      <c r="Q507" s="8" t="n">
        <v>392.2</v>
      </c>
      <c r="R507" s="8" t="n">
        <v>793.9</v>
      </c>
      <c r="S507" s="8" t="n">
        <v>652.01</v>
      </c>
    </row>
    <row r="508" customFormat="false" ht="15" hidden="false" customHeight="false" outlineLevel="0" collapsed="false">
      <c r="A508" s="7" t="n">
        <v>45546</v>
      </c>
      <c r="B508" s="8" t="n">
        <v>24918.45</v>
      </c>
      <c r="C508" s="8" t="n">
        <v>23531.25</v>
      </c>
      <c r="D508" s="8" t="n">
        <v>1777.05</v>
      </c>
      <c r="E508" s="8" t="n">
        <v>865.5</v>
      </c>
      <c r="F508" s="8" t="n">
        <v>1108.65</v>
      </c>
      <c r="G508" s="8" t="n">
        <v>676.3</v>
      </c>
      <c r="H508" s="8" t="n">
        <v>1108.35</v>
      </c>
      <c r="I508" s="8" t="n">
        <v>544.8</v>
      </c>
      <c r="J508" s="8" t="n">
        <v>1644.55</v>
      </c>
      <c r="K508" s="8" t="n">
        <v>733.56</v>
      </c>
      <c r="L508" s="8" t="n">
        <v>1521.45</v>
      </c>
      <c r="M508" s="8" t="n">
        <v>1211.45</v>
      </c>
      <c r="N508" s="8" t="n">
        <v>467.9</v>
      </c>
      <c r="O508" s="8" t="n">
        <v>322.4</v>
      </c>
      <c r="P508" s="8" t="n">
        <v>1948.6</v>
      </c>
      <c r="Q508" s="8" t="n">
        <v>394</v>
      </c>
      <c r="R508" s="8" t="n">
        <v>796.85</v>
      </c>
      <c r="S508" s="8" t="n">
        <v>655.98</v>
      </c>
    </row>
    <row r="509" customFormat="false" ht="15" hidden="false" customHeight="false" outlineLevel="0" collapsed="false">
      <c r="A509" s="7" t="n">
        <v>45547</v>
      </c>
      <c r="B509" s="8" t="n">
        <v>25388.9</v>
      </c>
      <c r="C509" s="8" t="n">
        <v>23907.35</v>
      </c>
      <c r="D509" s="8" t="n">
        <v>1799</v>
      </c>
      <c r="E509" s="8" t="n">
        <v>908.35</v>
      </c>
      <c r="F509" s="8" t="n">
        <v>1129</v>
      </c>
      <c r="G509" s="8" t="n">
        <v>703.7</v>
      </c>
      <c r="H509" s="8" t="n">
        <v>1109</v>
      </c>
      <c r="I509" s="8" t="n">
        <v>542.7</v>
      </c>
      <c r="J509" s="8" t="n">
        <v>1606.8</v>
      </c>
      <c r="K509" s="8" t="n">
        <v>741.82</v>
      </c>
      <c r="L509" s="8" t="n">
        <v>1575.55</v>
      </c>
      <c r="M509" s="8" t="n">
        <v>1253.65</v>
      </c>
      <c r="N509" s="8" t="n">
        <v>486.5</v>
      </c>
      <c r="O509" s="8" t="n">
        <v>331.45</v>
      </c>
      <c r="P509" s="8" t="n">
        <v>1986.4</v>
      </c>
      <c r="Q509" s="8" t="n">
        <v>396.75</v>
      </c>
      <c r="R509" s="8" t="n">
        <v>802.25</v>
      </c>
      <c r="S509" s="8" t="n">
        <v>680.15</v>
      </c>
    </row>
    <row r="510" customFormat="false" ht="15" hidden="false" customHeight="false" outlineLevel="0" collapsed="false">
      <c r="A510" s="7" t="n">
        <v>45548</v>
      </c>
      <c r="B510" s="8" t="n">
        <v>25356.5</v>
      </c>
      <c r="C510" s="8" t="n">
        <v>23928.2</v>
      </c>
      <c r="D510" s="8" t="n">
        <v>1846.5</v>
      </c>
      <c r="E510" s="8" t="n">
        <v>931.2</v>
      </c>
      <c r="F510" s="8" t="n">
        <v>1203.15</v>
      </c>
      <c r="G510" s="8" t="n">
        <v>723.3</v>
      </c>
      <c r="H510" s="8" t="n">
        <v>1137.05</v>
      </c>
      <c r="I510" s="8" t="n">
        <v>558.15</v>
      </c>
      <c r="J510" s="8" t="n">
        <v>1697.8</v>
      </c>
      <c r="K510" s="8" t="n">
        <v>758.82</v>
      </c>
      <c r="L510" s="8" t="n">
        <v>1574.5</v>
      </c>
      <c r="M510" s="8" t="n">
        <v>1260.95</v>
      </c>
      <c r="N510" s="8" t="n">
        <v>521.45</v>
      </c>
      <c r="O510" s="8" t="n">
        <v>332.95</v>
      </c>
      <c r="P510" s="8" t="n">
        <v>2013.05</v>
      </c>
      <c r="Q510" s="8" t="n">
        <v>400.6</v>
      </c>
      <c r="R510" s="8" t="n">
        <v>805.2</v>
      </c>
      <c r="S510" s="8" t="n">
        <v>673.65</v>
      </c>
    </row>
    <row r="511" customFormat="false" ht="15" hidden="false" customHeight="false" outlineLevel="0" collapsed="false">
      <c r="A511" s="7" t="n">
        <v>45551</v>
      </c>
      <c r="B511" s="8" t="n">
        <v>25383.75</v>
      </c>
      <c r="C511" s="8" t="n">
        <v>23968.2</v>
      </c>
      <c r="D511" s="8" t="n">
        <v>1802.9</v>
      </c>
      <c r="E511" s="8" t="n">
        <v>903.5</v>
      </c>
      <c r="F511" s="8" t="n">
        <v>1187.4</v>
      </c>
      <c r="G511" s="8" t="n">
        <v>680.75</v>
      </c>
      <c r="H511" s="8" t="n">
        <v>1061.5</v>
      </c>
      <c r="I511" s="8" t="n">
        <v>548.9</v>
      </c>
      <c r="J511" s="8" t="n">
        <v>1783.7</v>
      </c>
      <c r="K511" s="8" t="n">
        <v>733.58</v>
      </c>
      <c r="L511" s="8" t="n">
        <v>1564.75</v>
      </c>
      <c r="M511" s="8" t="n">
        <v>1264</v>
      </c>
      <c r="N511" s="8" t="n">
        <v>506.65</v>
      </c>
      <c r="O511" s="8" t="n">
        <v>331</v>
      </c>
      <c r="P511" s="8" t="n">
        <v>2013.6</v>
      </c>
      <c r="Q511" s="8" t="n">
        <v>394</v>
      </c>
      <c r="R511" s="8" t="n">
        <v>800.5</v>
      </c>
      <c r="S511" s="8" t="n">
        <v>683.79</v>
      </c>
    </row>
    <row r="512" customFormat="false" ht="15" hidden="false" customHeight="false" outlineLevel="0" collapsed="false">
      <c r="A512" s="7" t="n">
        <v>45552</v>
      </c>
      <c r="B512" s="8" t="n">
        <v>25418.55</v>
      </c>
      <c r="C512" s="8" t="n">
        <v>23969.9</v>
      </c>
      <c r="D512" s="8" t="n">
        <v>1827.85</v>
      </c>
      <c r="E512" s="8" t="n">
        <v>881.35</v>
      </c>
      <c r="F512" s="8" t="n">
        <v>1175</v>
      </c>
      <c r="G512" s="8" t="n">
        <v>674.9</v>
      </c>
      <c r="H512" s="8" t="n">
        <v>1049.95</v>
      </c>
      <c r="I512" s="8" t="n">
        <v>557.35</v>
      </c>
      <c r="J512" s="8" t="n">
        <v>1793.95</v>
      </c>
      <c r="K512" s="8" t="n">
        <v>735.55</v>
      </c>
      <c r="L512" s="8" t="n">
        <v>1573.95</v>
      </c>
      <c r="M512" s="8" t="n">
        <v>1252.9</v>
      </c>
      <c r="N512" s="8" t="n">
        <v>515.7</v>
      </c>
      <c r="O512" s="8" t="n">
        <v>327.6</v>
      </c>
      <c r="P512" s="8" t="n">
        <v>2023.85</v>
      </c>
      <c r="Q512" s="8" t="n">
        <v>400.2</v>
      </c>
      <c r="R512" s="8" t="n">
        <v>792.45</v>
      </c>
      <c r="S512" s="8" t="n">
        <v>684.92</v>
      </c>
    </row>
    <row r="513" customFormat="false" ht="15" hidden="false" customHeight="false" outlineLevel="0" collapsed="false">
      <c r="A513" s="7" t="n">
        <v>45553</v>
      </c>
      <c r="B513" s="8" t="n">
        <v>25377.55</v>
      </c>
      <c r="C513" s="8" t="n">
        <v>23898.65</v>
      </c>
      <c r="D513" s="8" t="n">
        <v>1819.55</v>
      </c>
      <c r="E513" s="8" t="n">
        <v>877.4</v>
      </c>
      <c r="F513" s="8" t="n">
        <v>1230.05</v>
      </c>
      <c r="G513" s="8" t="n">
        <v>674.6</v>
      </c>
      <c r="H513" s="8" t="n">
        <v>1075.1</v>
      </c>
      <c r="I513" s="8" t="n">
        <v>540</v>
      </c>
      <c r="J513" s="8" t="n">
        <v>1784.65</v>
      </c>
      <c r="K513" s="8" t="n">
        <v>762.07</v>
      </c>
      <c r="L513" s="8" t="n">
        <v>1590.15</v>
      </c>
      <c r="M513" s="8" t="n">
        <v>1240.4</v>
      </c>
      <c r="N513" s="8" t="n">
        <v>528.85</v>
      </c>
      <c r="O513" s="8" t="n">
        <v>327.5</v>
      </c>
      <c r="P513" s="8" t="n">
        <v>2017</v>
      </c>
      <c r="Q513" s="8" t="n">
        <v>396.35</v>
      </c>
      <c r="R513" s="8" t="n">
        <v>779.85</v>
      </c>
      <c r="S513" s="8" t="n">
        <v>714.94</v>
      </c>
    </row>
    <row r="514" customFormat="false" ht="15" hidden="false" customHeight="false" outlineLevel="0" collapsed="false">
      <c r="A514" s="7" t="n">
        <v>45554</v>
      </c>
      <c r="B514" s="8" t="n">
        <v>25415.8</v>
      </c>
      <c r="C514" s="8" t="n">
        <v>23853.95</v>
      </c>
      <c r="D514" s="8" t="n">
        <v>1869.3</v>
      </c>
      <c r="E514" s="8" t="n">
        <v>851.85</v>
      </c>
      <c r="F514" s="8" t="n">
        <v>1213.35</v>
      </c>
      <c r="G514" s="8" t="n">
        <v>663.65</v>
      </c>
      <c r="H514" s="8" t="n">
        <v>1015.3</v>
      </c>
      <c r="I514" s="8" t="n">
        <v>542.95</v>
      </c>
      <c r="J514" s="8" t="n">
        <v>1778.9</v>
      </c>
      <c r="K514" s="8" t="n">
        <v>758</v>
      </c>
      <c r="L514" s="8" t="n">
        <v>1596.3</v>
      </c>
      <c r="M514" s="8" t="n">
        <v>1269.75</v>
      </c>
      <c r="N514" s="8" t="n">
        <v>495.95</v>
      </c>
      <c r="O514" s="8" t="n">
        <v>323.65</v>
      </c>
      <c r="P514" s="8" t="n">
        <v>2035.45</v>
      </c>
      <c r="Q514" s="8" t="n">
        <v>397.4</v>
      </c>
      <c r="R514" s="8" t="n">
        <v>795.15</v>
      </c>
      <c r="S514" s="8" t="n">
        <v>705.07</v>
      </c>
    </row>
    <row r="515" customFormat="false" ht="15" hidden="false" customHeight="false" outlineLevel="0" collapsed="false">
      <c r="A515" s="7" t="n">
        <v>45555</v>
      </c>
      <c r="B515" s="8" t="n">
        <v>25790.95</v>
      </c>
      <c r="C515" s="8" t="n">
        <v>24193.8</v>
      </c>
      <c r="D515" s="8" t="n">
        <v>1862.8</v>
      </c>
      <c r="E515" s="8" t="n">
        <v>862.65</v>
      </c>
      <c r="F515" s="8" t="n">
        <v>1268.5</v>
      </c>
      <c r="G515" s="8" t="n">
        <v>667.8</v>
      </c>
      <c r="H515" s="8" t="n">
        <v>1008.7</v>
      </c>
      <c r="I515" s="8" t="n">
        <v>538.15</v>
      </c>
      <c r="J515" s="8" t="n">
        <v>1824.05</v>
      </c>
      <c r="K515" s="8" t="n">
        <v>757.21</v>
      </c>
      <c r="L515" s="8" t="n">
        <v>1604.3</v>
      </c>
      <c r="M515" s="8" t="n">
        <v>1274.25</v>
      </c>
      <c r="N515" s="8" t="n">
        <v>530.35</v>
      </c>
      <c r="O515" s="8" t="n">
        <v>320.75</v>
      </c>
      <c r="P515" s="8" t="n">
        <v>1989.65</v>
      </c>
      <c r="Q515" s="8" t="n">
        <v>405.15</v>
      </c>
      <c r="R515" s="8" t="n">
        <v>786.95</v>
      </c>
      <c r="S515" s="8" t="n">
        <v>706.42</v>
      </c>
    </row>
    <row r="516" customFormat="false" ht="15" hidden="false" customHeight="false" outlineLevel="0" collapsed="false">
      <c r="A516" s="7" t="n">
        <v>45558</v>
      </c>
      <c r="B516" s="8" t="n">
        <v>25939.05</v>
      </c>
      <c r="C516" s="8" t="n">
        <v>24379.2</v>
      </c>
      <c r="D516" s="8" t="n">
        <v>1898.85</v>
      </c>
      <c r="E516" s="8" t="n">
        <v>880</v>
      </c>
      <c r="F516" s="8" t="n">
        <v>1296.45</v>
      </c>
      <c r="G516" s="8" t="n">
        <v>680.75</v>
      </c>
      <c r="H516" s="8" t="n">
        <v>1013.35</v>
      </c>
      <c r="I516" s="8" t="n">
        <v>542.15</v>
      </c>
      <c r="J516" s="8" t="n">
        <v>1789.6</v>
      </c>
      <c r="K516" s="8" t="n">
        <v>758.48</v>
      </c>
      <c r="L516" s="8" t="n">
        <v>1633.85</v>
      </c>
      <c r="M516" s="8" t="n">
        <v>1243.45</v>
      </c>
      <c r="N516" s="8" t="n">
        <v>511.2</v>
      </c>
      <c r="O516" s="8" t="n">
        <v>332</v>
      </c>
      <c r="P516" s="8" t="n">
        <v>2024.9</v>
      </c>
      <c r="Q516" s="8" t="n">
        <v>400.9</v>
      </c>
      <c r="R516" s="8" t="n">
        <v>795.05</v>
      </c>
      <c r="S516" s="8" t="n">
        <v>713.54</v>
      </c>
    </row>
    <row r="517" customFormat="false" ht="15" hidden="false" customHeight="false" outlineLevel="0" collapsed="false">
      <c r="A517" s="7" t="n">
        <v>45559</v>
      </c>
      <c r="B517" s="8" t="n">
        <v>25940.4</v>
      </c>
      <c r="C517" s="8" t="n">
        <v>24389.7</v>
      </c>
      <c r="D517" s="8" t="n">
        <v>1895.2</v>
      </c>
      <c r="E517" s="8" t="n">
        <v>861.4</v>
      </c>
      <c r="F517" s="8" t="n">
        <v>1340.75</v>
      </c>
      <c r="G517" s="8" t="n">
        <v>685.95</v>
      </c>
      <c r="H517" s="8" t="n">
        <v>995.7</v>
      </c>
      <c r="I517" s="8" t="n">
        <v>539.95</v>
      </c>
      <c r="J517" s="8" t="n">
        <v>1764.05</v>
      </c>
      <c r="K517" s="8" t="n">
        <v>754.39</v>
      </c>
      <c r="L517" s="8" t="n">
        <v>1614.3</v>
      </c>
      <c r="M517" s="8" t="n">
        <v>1215.25</v>
      </c>
      <c r="N517" s="8" t="n">
        <v>513.85</v>
      </c>
      <c r="O517" s="8" t="n">
        <v>328.6</v>
      </c>
      <c r="P517" s="8" t="n">
        <v>1991</v>
      </c>
      <c r="Q517" s="8" t="n">
        <v>397.45</v>
      </c>
      <c r="R517" s="8" t="n">
        <v>779.95</v>
      </c>
      <c r="S517" s="8" t="n">
        <v>703.26</v>
      </c>
    </row>
    <row r="518" customFormat="false" ht="15" hidden="false" customHeight="false" outlineLevel="0" collapsed="false">
      <c r="A518" s="7" t="n">
        <v>45560</v>
      </c>
      <c r="B518" s="8" t="n">
        <v>26004.15</v>
      </c>
      <c r="C518" s="8" t="n">
        <v>24371.25</v>
      </c>
      <c r="D518" s="8" t="n">
        <v>1888.25</v>
      </c>
      <c r="E518" s="8" t="n">
        <v>868.05</v>
      </c>
      <c r="F518" s="8" t="n">
        <v>1302.9</v>
      </c>
      <c r="G518" s="8" t="n">
        <v>665.1</v>
      </c>
      <c r="H518" s="8" t="n">
        <v>997.75</v>
      </c>
      <c r="I518" s="8" t="n">
        <v>541.5</v>
      </c>
      <c r="J518" s="8" t="n">
        <v>1681.2</v>
      </c>
      <c r="K518" s="8" t="n">
        <v>761.35</v>
      </c>
      <c r="L518" s="8" t="n">
        <v>1618.3</v>
      </c>
      <c r="M518" s="8" t="n">
        <v>1218.85</v>
      </c>
      <c r="N518" s="8" t="n">
        <v>499.15</v>
      </c>
      <c r="O518" s="8" t="n">
        <v>332.15</v>
      </c>
      <c r="P518" s="8" t="n">
        <v>2042.6</v>
      </c>
      <c r="Q518" s="8" t="n">
        <v>404.1</v>
      </c>
      <c r="R518" s="8" t="n">
        <v>771.85</v>
      </c>
      <c r="S518" s="8" t="n">
        <v>704.81</v>
      </c>
    </row>
    <row r="519" customFormat="false" ht="15" hidden="false" customHeight="false" outlineLevel="0" collapsed="false">
      <c r="A519" s="7" t="n">
        <v>45561</v>
      </c>
      <c r="B519" s="8" t="n">
        <v>26216.05</v>
      </c>
      <c r="C519" s="8" t="n">
        <v>24496.9</v>
      </c>
      <c r="D519" s="8" t="n">
        <v>1885.05</v>
      </c>
      <c r="E519" s="8" t="n">
        <v>885.25</v>
      </c>
      <c r="F519" s="8" t="n">
        <v>1297.1</v>
      </c>
      <c r="G519" s="8" t="n">
        <v>666.45</v>
      </c>
      <c r="H519" s="8" t="n">
        <v>997.8</v>
      </c>
      <c r="I519" s="8" t="n">
        <v>535.5</v>
      </c>
      <c r="J519" s="8" t="n">
        <v>1670.65</v>
      </c>
      <c r="K519" s="8" t="n">
        <v>775.78</v>
      </c>
      <c r="L519" s="8" t="n">
        <v>1641.75</v>
      </c>
      <c r="M519" s="8" t="n">
        <v>1218.1</v>
      </c>
      <c r="N519" s="8" t="n">
        <v>489</v>
      </c>
      <c r="O519" s="8" t="n">
        <v>340.5</v>
      </c>
      <c r="P519" s="8" t="n">
        <v>2047.5</v>
      </c>
      <c r="Q519" s="8" t="n">
        <v>399.6</v>
      </c>
      <c r="R519" s="8" t="n">
        <v>781.25</v>
      </c>
      <c r="S519" s="8" t="n">
        <v>725.69</v>
      </c>
    </row>
    <row r="520" customFormat="false" ht="15" hidden="false" customHeight="false" outlineLevel="0" collapsed="false">
      <c r="A520" s="7" t="n">
        <v>45562</v>
      </c>
      <c r="B520" s="8" t="n">
        <v>26178.95</v>
      </c>
      <c r="C520" s="8" t="n">
        <v>24489.55</v>
      </c>
      <c r="D520" s="8" t="n">
        <v>1819.85</v>
      </c>
      <c r="E520" s="8" t="n">
        <v>884.3</v>
      </c>
      <c r="F520" s="8" t="n">
        <v>1205.75</v>
      </c>
      <c r="G520" s="8" t="n">
        <v>664</v>
      </c>
      <c r="H520" s="8" t="n">
        <v>971.95</v>
      </c>
      <c r="I520" s="8" t="n">
        <v>533.55</v>
      </c>
      <c r="J520" s="8" t="n">
        <v>1653.5</v>
      </c>
      <c r="K520" s="8" t="n">
        <v>774.55</v>
      </c>
      <c r="L520" s="8" t="n">
        <v>1609</v>
      </c>
      <c r="M520" s="8" t="n">
        <v>1204.3</v>
      </c>
      <c r="N520" s="8" t="n">
        <v>477.8</v>
      </c>
      <c r="O520" s="8" t="n">
        <v>333.5</v>
      </c>
      <c r="P520" s="8" t="n">
        <v>2057.75</v>
      </c>
      <c r="Q520" s="8" t="n">
        <v>395.8</v>
      </c>
      <c r="R520" s="8" t="n">
        <v>786.3</v>
      </c>
      <c r="S520" s="8" t="n">
        <v>724.21</v>
      </c>
    </row>
    <row r="521" customFormat="false" ht="15" hidden="false" customHeight="false" outlineLevel="0" collapsed="false">
      <c r="A521" s="7" t="n">
        <v>45565</v>
      </c>
      <c r="B521" s="8" t="n">
        <v>25810.85</v>
      </c>
      <c r="C521" s="8" t="n">
        <v>24245.2</v>
      </c>
      <c r="D521" s="8" t="n">
        <v>1816.45</v>
      </c>
      <c r="E521" s="8" t="n">
        <v>892.25</v>
      </c>
      <c r="F521" s="8" t="n">
        <v>1186.4</v>
      </c>
      <c r="G521" s="8" t="n">
        <v>662.45</v>
      </c>
      <c r="H521" s="8" t="n">
        <v>982.95</v>
      </c>
      <c r="I521" s="8" t="n">
        <v>527.8</v>
      </c>
      <c r="J521" s="8" t="n">
        <v>1693.2</v>
      </c>
      <c r="K521" s="8" t="n">
        <v>769.25</v>
      </c>
      <c r="L521" s="8" t="n">
        <v>1608</v>
      </c>
      <c r="M521" s="8" t="n">
        <v>1197.6</v>
      </c>
      <c r="N521" s="8" t="n">
        <v>462.8</v>
      </c>
      <c r="O521" s="8" t="n">
        <v>338.35</v>
      </c>
      <c r="P521" s="8" t="n">
        <v>2031.85</v>
      </c>
      <c r="Q521" s="8" t="n">
        <v>394.45</v>
      </c>
      <c r="R521" s="8" t="n">
        <v>773.7</v>
      </c>
      <c r="S521" s="8" t="n">
        <v>715.39</v>
      </c>
    </row>
    <row r="522" customFormat="false" ht="15" hidden="false" customHeight="false" outlineLevel="0" collapsed="false">
      <c r="A522" s="7" t="n">
        <v>45566</v>
      </c>
      <c r="B522" s="8" t="n">
        <v>25796.9</v>
      </c>
      <c r="C522" s="8" t="n">
        <v>24271.3</v>
      </c>
      <c r="D522" s="8" t="n">
        <v>1850.6</v>
      </c>
      <c r="E522" s="8" t="n">
        <v>901.95</v>
      </c>
      <c r="F522" s="8" t="n">
        <v>1184.45</v>
      </c>
      <c r="G522" s="8" t="n">
        <v>659.25</v>
      </c>
      <c r="H522" s="8" t="n">
        <v>971.8</v>
      </c>
      <c r="I522" s="8" t="n">
        <v>534.95</v>
      </c>
      <c r="J522" s="8" t="n">
        <v>1682.65</v>
      </c>
      <c r="K522" s="8" t="n">
        <v>769.25</v>
      </c>
      <c r="L522" s="8" t="n">
        <v>1581.85</v>
      </c>
      <c r="M522" s="8" t="n">
        <v>1196.7</v>
      </c>
      <c r="N522" s="8" t="n">
        <v>467.25</v>
      </c>
      <c r="O522" s="8" t="n">
        <v>330.1</v>
      </c>
      <c r="P522" s="8" t="n">
        <v>1955.9</v>
      </c>
      <c r="Q522" s="8" t="n">
        <v>400.9</v>
      </c>
      <c r="R522" s="8" t="n">
        <v>770.2</v>
      </c>
      <c r="S522" s="8" t="n">
        <v>714.08</v>
      </c>
    </row>
    <row r="523" customFormat="false" ht="15" hidden="false" customHeight="false" outlineLevel="0" collapsed="false">
      <c r="A523" s="7" t="n">
        <v>45568</v>
      </c>
      <c r="B523" s="8" t="n">
        <v>25250.1</v>
      </c>
      <c r="C523" s="8" t="n">
        <v>23755.45</v>
      </c>
      <c r="D523" s="8" t="n">
        <v>1778.4</v>
      </c>
      <c r="E523" s="8" t="n">
        <v>883.9</v>
      </c>
      <c r="F523" s="8" t="n">
        <v>1182.05</v>
      </c>
      <c r="G523" s="8" t="n">
        <v>636.6</v>
      </c>
      <c r="H523" s="8" t="n">
        <v>938.75</v>
      </c>
      <c r="I523" s="8" t="n">
        <v>525.1</v>
      </c>
      <c r="J523" s="8" t="n">
        <v>1620.9</v>
      </c>
      <c r="K523" s="8" t="n">
        <v>742.37</v>
      </c>
      <c r="L523" s="8" t="n">
        <v>1516.25</v>
      </c>
      <c r="M523" s="8" t="n">
        <v>1170.5</v>
      </c>
      <c r="N523" s="8" t="n">
        <v>455.65</v>
      </c>
      <c r="O523" s="8" t="n">
        <v>322.25</v>
      </c>
      <c r="P523" s="8" t="n">
        <v>1964.05</v>
      </c>
      <c r="Q523" s="8" t="n">
        <v>393.35</v>
      </c>
      <c r="R523" s="8" t="n">
        <v>749.75</v>
      </c>
      <c r="S523" s="8" t="n">
        <v>681.9</v>
      </c>
    </row>
    <row r="524" customFormat="false" ht="15" hidden="false" customHeight="false" outlineLevel="0" collapsed="false">
      <c r="A524" s="7" t="n">
        <v>45569</v>
      </c>
      <c r="B524" s="8" t="n">
        <v>25014.6</v>
      </c>
      <c r="C524" s="8" t="n">
        <v>23534.95</v>
      </c>
      <c r="D524" s="8" t="n">
        <v>1776.9</v>
      </c>
      <c r="E524" s="8" t="n">
        <v>847.15</v>
      </c>
      <c r="F524" s="8" t="n">
        <v>1247.85</v>
      </c>
      <c r="G524" s="8" t="n">
        <v>634.85</v>
      </c>
      <c r="H524" s="8" t="n">
        <v>944.85</v>
      </c>
      <c r="I524" s="8" t="n">
        <v>516.4</v>
      </c>
      <c r="J524" s="8" t="n">
        <v>1619.6</v>
      </c>
      <c r="K524" s="8" t="n">
        <v>720.15</v>
      </c>
      <c r="L524" s="8" t="n">
        <v>1497.4</v>
      </c>
      <c r="M524" s="8" t="n">
        <v>1150.15</v>
      </c>
      <c r="N524" s="8" t="n">
        <v>461</v>
      </c>
      <c r="O524" s="8" t="n">
        <v>300.45</v>
      </c>
      <c r="P524" s="8" t="n">
        <v>1930.35</v>
      </c>
      <c r="Q524" s="8" t="n">
        <v>394.95</v>
      </c>
      <c r="R524" s="8" t="n">
        <v>743.15</v>
      </c>
      <c r="S524" s="8" t="n">
        <v>667.26</v>
      </c>
    </row>
    <row r="525" customFormat="false" ht="15" hidden="false" customHeight="false" outlineLevel="0" collapsed="false">
      <c r="A525" s="7" t="n">
        <v>45572</v>
      </c>
      <c r="B525" s="8" t="n">
        <v>24795.75</v>
      </c>
      <c r="C525" s="8" t="n">
        <v>23181.95</v>
      </c>
      <c r="D525" s="8" t="n">
        <v>1727.3</v>
      </c>
      <c r="E525" s="8" t="n">
        <v>824.1</v>
      </c>
      <c r="F525" s="8" t="n">
        <v>1240</v>
      </c>
      <c r="G525" s="8" t="n">
        <v>607.5</v>
      </c>
      <c r="H525" s="8" t="n">
        <v>934.85</v>
      </c>
      <c r="I525" s="8" t="n">
        <v>498.95</v>
      </c>
      <c r="J525" s="8" t="n">
        <v>1578.4</v>
      </c>
      <c r="K525" s="8" t="n">
        <v>725.95</v>
      </c>
      <c r="L525" s="8" t="n">
        <v>1478.45</v>
      </c>
      <c r="M525" s="8" t="n">
        <v>1144.95</v>
      </c>
      <c r="N525" s="8" t="n">
        <v>436.5</v>
      </c>
      <c r="O525" s="8" t="n">
        <v>291.95</v>
      </c>
      <c r="P525" s="8" t="n">
        <v>1882</v>
      </c>
      <c r="Q525" s="8" t="n">
        <v>379.95</v>
      </c>
      <c r="R525" s="8" t="n">
        <v>730.95</v>
      </c>
      <c r="S525" s="8" t="n">
        <v>659.87</v>
      </c>
    </row>
    <row r="526" customFormat="false" ht="15" hidden="false" customHeight="false" outlineLevel="0" collapsed="false">
      <c r="A526" s="7" t="n">
        <v>45573</v>
      </c>
      <c r="B526" s="8" t="n">
        <v>25013.15</v>
      </c>
      <c r="C526" s="8" t="n">
        <v>23512.55</v>
      </c>
      <c r="D526" s="8" t="n">
        <v>1741.8</v>
      </c>
      <c r="E526" s="8" t="n">
        <v>854.45</v>
      </c>
      <c r="F526" s="8" t="n">
        <v>1283.85</v>
      </c>
      <c r="G526" s="8" t="n">
        <v>615.25</v>
      </c>
      <c r="H526" s="8" t="n">
        <v>939.1</v>
      </c>
      <c r="I526" s="8" t="n">
        <v>503.4</v>
      </c>
      <c r="J526" s="8" t="n">
        <v>1588.95</v>
      </c>
      <c r="K526" s="8" t="n">
        <v>717.72</v>
      </c>
      <c r="L526" s="8" t="n">
        <v>1530.95</v>
      </c>
      <c r="M526" s="8" t="n">
        <v>1142.35</v>
      </c>
      <c r="N526" s="8" t="n">
        <v>458.55</v>
      </c>
      <c r="O526" s="8" t="n">
        <v>288.9</v>
      </c>
      <c r="P526" s="8" t="n">
        <v>1884.05</v>
      </c>
      <c r="Q526" s="8" t="n">
        <v>374.25</v>
      </c>
      <c r="R526" s="8" t="n">
        <v>732.25</v>
      </c>
      <c r="S526" s="8" t="n">
        <v>665.86</v>
      </c>
    </row>
    <row r="527" customFormat="false" ht="15" hidden="false" customHeight="false" outlineLevel="0" collapsed="false">
      <c r="A527" s="7" t="n">
        <v>45574</v>
      </c>
      <c r="B527" s="8" t="n">
        <v>24981.95</v>
      </c>
      <c r="C527" s="8" t="n">
        <v>23599.6</v>
      </c>
      <c r="D527" s="8" t="n">
        <v>1722.55</v>
      </c>
      <c r="E527" s="8" t="n">
        <v>870.2</v>
      </c>
      <c r="F527" s="8" t="n">
        <v>1309.35</v>
      </c>
      <c r="G527" s="8" t="n">
        <v>617.2</v>
      </c>
      <c r="H527" s="8" t="n">
        <v>946.05</v>
      </c>
      <c r="I527" s="8" t="n">
        <v>500.6</v>
      </c>
      <c r="J527" s="8" t="n">
        <v>1585.45</v>
      </c>
      <c r="K527" s="8" t="n">
        <v>729.05</v>
      </c>
      <c r="L527" s="8" t="n">
        <v>1561.55</v>
      </c>
      <c r="M527" s="8" t="n">
        <v>1151.8</v>
      </c>
      <c r="N527" s="8" t="n">
        <v>453.5</v>
      </c>
      <c r="O527" s="8" t="n">
        <v>285.75</v>
      </c>
      <c r="P527" s="8" t="n">
        <v>1933.7</v>
      </c>
      <c r="Q527" s="8" t="n">
        <v>390.25</v>
      </c>
      <c r="R527" s="8" t="n">
        <v>739.2</v>
      </c>
      <c r="S527" s="8" t="n">
        <v>677.59</v>
      </c>
    </row>
    <row r="528" customFormat="false" ht="15" hidden="false" customHeight="false" outlineLevel="0" collapsed="false">
      <c r="A528" s="7" t="n">
        <v>45575</v>
      </c>
      <c r="B528" s="8" t="n">
        <v>24998.45</v>
      </c>
      <c r="C528" s="8" t="n">
        <v>23598.15</v>
      </c>
      <c r="D528" s="8" t="n">
        <v>1721.5</v>
      </c>
      <c r="E528" s="8" t="n">
        <v>858.1</v>
      </c>
      <c r="F528" s="8" t="n">
        <v>1241.65</v>
      </c>
      <c r="G528" s="8" t="n">
        <v>616.1</v>
      </c>
      <c r="H528" s="8" t="n">
        <v>950.25</v>
      </c>
      <c r="I528" s="8" t="n">
        <v>500.3</v>
      </c>
      <c r="J528" s="8" t="n">
        <v>1562.9</v>
      </c>
      <c r="K528" s="8" t="n">
        <v>730.98</v>
      </c>
      <c r="L528" s="8" t="n">
        <v>1517.1</v>
      </c>
      <c r="M528" s="8" t="n">
        <v>1119.2</v>
      </c>
      <c r="N528" s="8" t="n">
        <v>454.6</v>
      </c>
      <c r="O528" s="8" t="n">
        <v>284.45</v>
      </c>
      <c r="P528" s="8" t="n">
        <v>1943.4</v>
      </c>
      <c r="Q528" s="8" t="n">
        <v>388.1</v>
      </c>
      <c r="R528" s="8" t="n">
        <v>737.3</v>
      </c>
      <c r="S528" s="8" t="n">
        <v>667.53</v>
      </c>
    </row>
    <row r="529" customFormat="false" ht="15" hidden="false" customHeight="false" outlineLevel="0" collapsed="false">
      <c r="A529" s="7" t="n">
        <v>45576</v>
      </c>
      <c r="B529" s="8" t="n">
        <v>24964.25</v>
      </c>
      <c r="C529" s="8" t="n">
        <v>23611.25</v>
      </c>
      <c r="D529" s="8" t="n">
        <v>1718.85</v>
      </c>
      <c r="E529" s="8" t="n">
        <v>867.75</v>
      </c>
      <c r="F529" s="8" t="n">
        <v>1216.65</v>
      </c>
      <c r="G529" s="8" t="n">
        <v>619.5</v>
      </c>
      <c r="H529" s="8" t="n">
        <v>973.95</v>
      </c>
      <c r="I529" s="8" t="n">
        <v>497.55</v>
      </c>
      <c r="J529" s="8" t="n">
        <v>1541.4</v>
      </c>
      <c r="K529" s="8" t="n">
        <v>729.21</v>
      </c>
      <c r="L529" s="8" t="n">
        <v>1501.05</v>
      </c>
      <c r="M529" s="8" t="n">
        <v>1075.25</v>
      </c>
      <c r="N529" s="8" t="n">
        <v>469.55</v>
      </c>
      <c r="O529" s="8" t="n">
        <v>284.05</v>
      </c>
      <c r="P529" s="8" t="n">
        <v>1945.45</v>
      </c>
      <c r="Q529" s="8" t="n">
        <v>380.7</v>
      </c>
      <c r="R529" s="8" t="n">
        <v>733.75</v>
      </c>
      <c r="S529" s="8" t="n">
        <v>668.24</v>
      </c>
    </row>
    <row r="530" customFormat="false" ht="15" hidden="false" customHeight="false" outlineLevel="0" collapsed="false">
      <c r="A530" s="7" t="n">
        <v>45579</v>
      </c>
      <c r="B530" s="8" t="n">
        <v>25127.95</v>
      </c>
      <c r="C530" s="8" t="n">
        <v>23727.05</v>
      </c>
      <c r="D530" s="8" t="n">
        <v>1728.05</v>
      </c>
      <c r="E530" s="8" t="n">
        <v>871.9</v>
      </c>
      <c r="F530" s="8" t="n">
        <v>1214.55</v>
      </c>
      <c r="G530" s="8" t="n">
        <v>617.75</v>
      </c>
      <c r="H530" s="8" t="n">
        <v>989.5</v>
      </c>
      <c r="I530" s="8" t="n">
        <v>509</v>
      </c>
      <c r="J530" s="8" t="n">
        <v>1538.05</v>
      </c>
      <c r="K530" s="8" t="n">
        <v>719.9</v>
      </c>
      <c r="L530" s="8" t="n">
        <v>1512.9</v>
      </c>
      <c r="M530" s="8" t="n">
        <v>1054.9</v>
      </c>
      <c r="N530" s="8" t="n">
        <v>471.45</v>
      </c>
      <c r="O530" s="8" t="n">
        <v>283.25</v>
      </c>
      <c r="P530" s="8" t="n">
        <v>1949.95</v>
      </c>
      <c r="Q530" s="8" t="n">
        <v>380.3</v>
      </c>
      <c r="R530" s="8" t="n">
        <v>737.55</v>
      </c>
      <c r="S530" s="8" t="n">
        <v>679.06</v>
      </c>
    </row>
    <row r="531" customFormat="false" ht="15" hidden="false" customHeight="false" outlineLevel="0" collapsed="false">
      <c r="A531" s="7" t="n">
        <v>45580</v>
      </c>
      <c r="B531" s="8" t="n">
        <v>25057.35</v>
      </c>
      <c r="C531" s="8" t="n">
        <v>23735.7</v>
      </c>
      <c r="D531" s="8" t="n">
        <v>1776.35</v>
      </c>
      <c r="E531" s="8" t="n">
        <v>890.8</v>
      </c>
      <c r="F531" s="8" t="n">
        <v>1200.2</v>
      </c>
      <c r="G531" s="8" t="n">
        <v>625.95</v>
      </c>
      <c r="H531" s="8" t="n">
        <v>981.85</v>
      </c>
      <c r="I531" s="8" t="n">
        <v>508.8</v>
      </c>
      <c r="J531" s="8" t="n">
        <v>1524.7</v>
      </c>
      <c r="K531" s="8" t="n">
        <v>700.74</v>
      </c>
      <c r="L531" s="8" t="n">
        <v>1503.05</v>
      </c>
      <c r="M531" s="8" t="n">
        <v>1054.75</v>
      </c>
      <c r="N531" s="8" t="n">
        <v>477.35</v>
      </c>
      <c r="O531" s="8" t="n">
        <v>286.4</v>
      </c>
      <c r="P531" s="8" t="n">
        <v>1956.95</v>
      </c>
      <c r="Q531" s="8" t="n">
        <v>379.9</v>
      </c>
      <c r="R531" s="8" t="n">
        <v>739.05</v>
      </c>
      <c r="S531" s="8" t="n">
        <v>680.23</v>
      </c>
    </row>
    <row r="532" customFormat="false" ht="15" hidden="false" customHeight="false" outlineLevel="0" collapsed="false">
      <c r="A532" s="7" t="n">
        <v>45581</v>
      </c>
      <c r="B532" s="8" t="n">
        <v>24971.3</v>
      </c>
      <c r="C532" s="8" t="n">
        <v>23673.15</v>
      </c>
      <c r="D532" s="8" t="n">
        <v>1746.6</v>
      </c>
      <c r="E532" s="8" t="n">
        <v>882.35</v>
      </c>
      <c r="F532" s="8" t="n">
        <v>1209.75</v>
      </c>
      <c r="G532" s="8" t="n">
        <v>626.1</v>
      </c>
      <c r="H532" s="8" t="n">
        <v>959.45</v>
      </c>
      <c r="I532" s="8" t="n">
        <v>503.75</v>
      </c>
      <c r="J532" s="8" t="n">
        <v>1531.4</v>
      </c>
      <c r="K532" s="8" t="n">
        <v>694.69</v>
      </c>
      <c r="L532" s="8" t="n">
        <v>1485.2</v>
      </c>
      <c r="M532" s="8" t="n">
        <v>1024.1</v>
      </c>
      <c r="N532" s="8" t="n">
        <v>468.95</v>
      </c>
      <c r="O532" s="8" t="n">
        <v>290</v>
      </c>
      <c r="P532" s="8" t="n">
        <v>1956.8</v>
      </c>
      <c r="Q532" s="8" t="n">
        <v>381</v>
      </c>
      <c r="R532" s="8" t="n">
        <v>740.8</v>
      </c>
      <c r="S532" s="8" t="n">
        <v>678.08</v>
      </c>
    </row>
    <row r="533" customFormat="false" ht="15" hidden="false" customHeight="false" outlineLevel="0" collapsed="false">
      <c r="A533" s="7" t="n">
        <v>45582</v>
      </c>
      <c r="B533" s="8" t="n">
        <v>24749.85</v>
      </c>
      <c r="C533" s="8" t="n">
        <v>23377</v>
      </c>
      <c r="D533" s="8" t="n">
        <v>1728</v>
      </c>
      <c r="E533" s="8" t="n">
        <v>857.6</v>
      </c>
      <c r="F533" s="8" t="n">
        <v>1200.85</v>
      </c>
      <c r="G533" s="8" t="n">
        <v>611.8</v>
      </c>
      <c r="H533" s="8" t="n">
        <v>933.65</v>
      </c>
      <c r="I533" s="8" t="n">
        <v>496.95</v>
      </c>
      <c r="J533" s="8" t="n">
        <v>1527.65</v>
      </c>
      <c r="K533" s="8" t="n">
        <v>689.01</v>
      </c>
      <c r="L533" s="8" t="n">
        <v>1456.55</v>
      </c>
      <c r="M533" s="8" t="n">
        <v>1047.35</v>
      </c>
      <c r="N533" s="8" t="n">
        <v>460</v>
      </c>
      <c r="O533" s="8" t="n">
        <v>282.15</v>
      </c>
      <c r="P533" s="8" t="n">
        <v>1955.45</v>
      </c>
      <c r="Q533" s="8" t="n">
        <v>376.45</v>
      </c>
      <c r="R533" s="8" t="n">
        <v>740</v>
      </c>
      <c r="S533" s="8" t="n">
        <v>651.72</v>
      </c>
    </row>
    <row r="534" customFormat="false" ht="15" hidden="false" customHeight="false" outlineLevel="0" collapsed="false">
      <c r="A534" s="7" t="n">
        <v>45583</v>
      </c>
      <c r="B534" s="8" t="n">
        <v>24854.05</v>
      </c>
      <c r="C534" s="8" t="n">
        <v>23440.7</v>
      </c>
      <c r="D534" s="8" t="n">
        <v>1731.15</v>
      </c>
      <c r="E534" s="8" t="n">
        <v>861.1</v>
      </c>
      <c r="F534" s="8" t="n">
        <v>1171</v>
      </c>
      <c r="G534" s="8" t="n">
        <v>618.6</v>
      </c>
      <c r="H534" s="8" t="n">
        <v>932.75</v>
      </c>
      <c r="I534" s="8" t="n">
        <v>497.55</v>
      </c>
      <c r="J534" s="8" t="n">
        <v>1524.25</v>
      </c>
      <c r="K534" s="8" t="n">
        <v>689.02</v>
      </c>
      <c r="L534" s="8" t="n">
        <v>1460.3</v>
      </c>
      <c r="M534" s="8" t="n">
        <v>1026</v>
      </c>
      <c r="N534" s="8" t="n">
        <v>450.45</v>
      </c>
      <c r="O534" s="8" t="n">
        <v>291</v>
      </c>
      <c r="P534" s="8" t="n">
        <v>1968.75</v>
      </c>
      <c r="Q534" s="8" t="n">
        <v>376</v>
      </c>
      <c r="R534" s="8" t="n">
        <v>740.15</v>
      </c>
      <c r="S534" s="8" t="n">
        <v>668.93</v>
      </c>
    </row>
    <row r="535" customFormat="false" ht="15" hidden="false" customHeight="false" outlineLevel="0" collapsed="false">
      <c r="A535" s="7" t="n">
        <v>45586</v>
      </c>
      <c r="B535" s="8" t="n">
        <v>24781.1</v>
      </c>
      <c r="C535" s="8" t="n">
        <v>23263.25</v>
      </c>
      <c r="D535" s="8" t="n">
        <v>1706.3</v>
      </c>
      <c r="E535" s="8" t="n">
        <v>859.45</v>
      </c>
      <c r="F535" s="8" t="n">
        <v>1124.5</v>
      </c>
      <c r="G535" s="8" t="n">
        <v>607.75</v>
      </c>
      <c r="H535" s="8" t="n">
        <v>915.1</v>
      </c>
      <c r="I535" s="8" t="n">
        <v>501.75</v>
      </c>
      <c r="J535" s="8" t="n">
        <v>1486.4</v>
      </c>
      <c r="K535" s="8" t="n">
        <v>677.17</v>
      </c>
      <c r="L535" s="8" t="n">
        <v>1438.7</v>
      </c>
      <c r="M535" s="8" t="n">
        <v>1014.35</v>
      </c>
      <c r="N535" s="8" t="n">
        <v>436.65</v>
      </c>
      <c r="O535" s="8" t="n">
        <v>289.15</v>
      </c>
      <c r="P535" s="8" t="n">
        <v>1945</v>
      </c>
      <c r="Q535" s="8" t="n">
        <v>376.7</v>
      </c>
      <c r="R535" s="8" t="n">
        <v>718.95</v>
      </c>
      <c r="S535" s="8" t="n">
        <v>662.66</v>
      </c>
    </row>
    <row r="536" customFormat="false" ht="15" hidden="false" customHeight="false" outlineLevel="0" collapsed="false">
      <c r="A536" s="7" t="n">
        <v>45587</v>
      </c>
      <c r="B536" s="8" t="n">
        <v>24472.1</v>
      </c>
      <c r="C536" s="8" t="n">
        <v>22814.45</v>
      </c>
      <c r="D536" s="8" t="n">
        <v>1681.3</v>
      </c>
      <c r="E536" s="8" t="n">
        <v>832.9</v>
      </c>
      <c r="F536" s="8" t="n">
        <v>1102.35</v>
      </c>
      <c r="G536" s="8" t="n">
        <v>587.55</v>
      </c>
      <c r="H536" s="8" t="n">
        <v>874.4</v>
      </c>
      <c r="I536" s="8" t="n">
        <v>499.5</v>
      </c>
      <c r="J536" s="8" t="n">
        <v>1487.85</v>
      </c>
      <c r="K536" s="8" t="n">
        <v>666.88</v>
      </c>
      <c r="L536" s="8" t="n">
        <v>1411.2</v>
      </c>
      <c r="M536" s="8" t="n">
        <v>1000.1</v>
      </c>
      <c r="N536" s="8" t="n">
        <v>417.95</v>
      </c>
      <c r="O536" s="8" t="n">
        <v>281.65</v>
      </c>
      <c r="P536" s="8" t="n">
        <v>1910.5</v>
      </c>
      <c r="Q536" s="8" t="n">
        <v>363.3</v>
      </c>
      <c r="R536" s="8" t="n">
        <v>703.95</v>
      </c>
      <c r="S536" s="8" t="n">
        <v>650.9</v>
      </c>
    </row>
    <row r="537" customFormat="false" ht="15" hidden="false" customHeight="false" outlineLevel="0" collapsed="false">
      <c r="A537" s="7" t="n">
        <v>45588</v>
      </c>
      <c r="B537" s="8" t="n">
        <v>24435.5</v>
      </c>
      <c r="C537" s="8" t="n">
        <v>22841.1</v>
      </c>
      <c r="D537" s="8" t="n">
        <v>1684.85</v>
      </c>
      <c r="E537" s="8" t="n">
        <v>871.3</v>
      </c>
      <c r="F537" s="8" t="n">
        <v>1115.25</v>
      </c>
      <c r="G537" s="8" t="n">
        <v>600.6</v>
      </c>
      <c r="H537" s="8" t="n">
        <v>947.65</v>
      </c>
      <c r="I537" s="8" t="n">
        <v>501.75</v>
      </c>
      <c r="J537" s="8" t="n">
        <v>1505.3</v>
      </c>
      <c r="K537" s="8" t="n">
        <v>698.63</v>
      </c>
      <c r="L537" s="8" t="n">
        <v>1406.7</v>
      </c>
      <c r="M537" s="8" t="n">
        <v>993.1</v>
      </c>
      <c r="N537" s="8" t="n">
        <v>420.05</v>
      </c>
      <c r="O537" s="8" t="n">
        <v>267.55</v>
      </c>
      <c r="P537" s="8" t="n">
        <v>1925.05</v>
      </c>
      <c r="Q537" s="8" t="n">
        <v>360.65</v>
      </c>
      <c r="R537" s="8" t="n">
        <v>705.9</v>
      </c>
      <c r="S537" s="8" t="n">
        <v>639.55</v>
      </c>
    </row>
    <row r="538" customFormat="false" ht="15" hidden="false" customHeight="false" outlineLevel="0" collapsed="false">
      <c r="A538" s="7" t="n">
        <v>45589</v>
      </c>
      <c r="B538" s="8" t="n">
        <v>24399.4</v>
      </c>
      <c r="C538" s="8" t="n">
        <v>22787.85</v>
      </c>
      <c r="D538" s="8" t="n">
        <v>1668.95</v>
      </c>
      <c r="E538" s="8" t="n">
        <v>845.45</v>
      </c>
      <c r="F538" s="8" t="n">
        <v>1113</v>
      </c>
      <c r="G538" s="8" t="n">
        <v>600.25</v>
      </c>
      <c r="H538" s="8" t="n">
        <v>934.45</v>
      </c>
      <c r="I538" s="8" t="n">
        <v>501.65</v>
      </c>
      <c r="J538" s="8" t="n">
        <v>1475.7</v>
      </c>
      <c r="K538" s="8" t="n">
        <v>703.13</v>
      </c>
      <c r="L538" s="8" t="n">
        <v>1386.15</v>
      </c>
      <c r="M538" s="8" t="n">
        <v>983.75</v>
      </c>
      <c r="N538" s="8" t="n">
        <v>407.15</v>
      </c>
      <c r="O538" s="8" t="n">
        <v>268.9</v>
      </c>
      <c r="P538" s="8" t="n">
        <v>1930.15</v>
      </c>
      <c r="Q538" s="8" t="n">
        <v>358.7</v>
      </c>
      <c r="R538" s="8" t="n">
        <v>712.2</v>
      </c>
      <c r="S538" s="8" t="n">
        <v>649.02</v>
      </c>
    </row>
    <row r="539" customFormat="false" ht="15" hidden="false" customHeight="false" outlineLevel="0" collapsed="false">
      <c r="A539" s="7" t="n">
        <v>45590</v>
      </c>
      <c r="B539" s="8" t="n">
        <v>24180.8</v>
      </c>
      <c r="C539" s="8" t="n">
        <v>22499.05</v>
      </c>
      <c r="D539" s="8" t="n">
        <v>1673.95</v>
      </c>
      <c r="E539" s="8" t="n">
        <v>850.65</v>
      </c>
      <c r="F539" s="8" t="n">
        <v>1102</v>
      </c>
      <c r="G539" s="8" t="n">
        <v>598.25</v>
      </c>
      <c r="H539" s="8" t="n">
        <v>947.75</v>
      </c>
      <c r="I539" s="8" t="n">
        <v>495.8</v>
      </c>
      <c r="J539" s="8" t="n">
        <v>1465.95</v>
      </c>
      <c r="K539" s="8" t="n">
        <v>690.08</v>
      </c>
      <c r="L539" s="8" t="n">
        <v>1372.2</v>
      </c>
      <c r="M539" s="8" t="n">
        <v>981.5</v>
      </c>
      <c r="N539" s="8" t="n">
        <v>397.45</v>
      </c>
      <c r="O539" s="8" t="n">
        <v>268.25</v>
      </c>
      <c r="P539" s="8" t="n">
        <v>1923.55</v>
      </c>
      <c r="Q539" s="8" t="n">
        <v>297.05</v>
      </c>
      <c r="R539" s="8" t="n">
        <v>691.45</v>
      </c>
      <c r="S539" s="8" t="n">
        <v>618.53</v>
      </c>
    </row>
    <row r="540" customFormat="false" ht="15" hidden="false" customHeight="false" outlineLevel="0" collapsed="false">
      <c r="A540" s="7" t="n">
        <v>45593</v>
      </c>
      <c r="B540" s="8" t="n">
        <v>24339.15</v>
      </c>
      <c r="C540" s="8" t="n">
        <v>22649.95</v>
      </c>
      <c r="D540" s="8" t="n">
        <v>1648.8</v>
      </c>
      <c r="E540" s="8" t="n">
        <v>847.75</v>
      </c>
      <c r="F540" s="8" t="n">
        <v>1103.05</v>
      </c>
      <c r="G540" s="8" t="n">
        <v>618.45</v>
      </c>
      <c r="H540" s="8" t="n">
        <v>903.6</v>
      </c>
      <c r="I540" s="8" t="n">
        <v>478.05</v>
      </c>
      <c r="J540" s="8" t="n">
        <v>1448.9</v>
      </c>
      <c r="K540" s="8" t="n">
        <v>690.2</v>
      </c>
      <c r="L540" s="8" t="n">
        <v>1280.35</v>
      </c>
      <c r="M540" s="8" t="n">
        <v>957.45</v>
      </c>
      <c r="N540" s="8" t="n">
        <v>408</v>
      </c>
      <c r="O540" s="8" t="n">
        <v>273.1</v>
      </c>
      <c r="P540" s="8" t="n">
        <v>1926.1</v>
      </c>
      <c r="Q540" s="8" t="n">
        <v>319.65</v>
      </c>
      <c r="R540" s="8" t="n">
        <v>667.55</v>
      </c>
      <c r="S540" s="8" t="n">
        <v>651.86</v>
      </c>
    </row>
    <row r="541" customFormat="false" ht="15" hidden="false" customHeight="false" outlineLevel="0" collapsed="false">
      <c r="A541" s="7" t="n">
        <v>45594</v>
      </c>
      <c r="B541" s="8" t="n">
        <v>24466.85</v>
      </c>
      <c r="C541" s="8" t="n">
        <v>22795.05</v>
      </c>
      <c r="D541" s="8" t="n">
        <v>1656</v>
      </c>
      <c r="E541" s="8" t="n">
        <v>862.6</v>
      </c>
      <c r="F541" s="8" t="n">
        <v>1185.3</v>
      </c>
      <c r="G541" s="8" t="n">
        <v>637.45</v>
      </c>
      <c r="H541" s="8" t="n">
        <v>921.4</v>
      </c>
      <c r="I541" s="8" t="n">
        <v>472.25</v>
      </c>
      <c r="J541" s="8" t="n">
        <v>1458.65</v>
      </c>
      <c r="K541" s="8" t="n">
        <v>701.3</v>
      </c>
      <c r="L541" s="8" t="n">
        <v>1292.4</v>
      </c>
      <c r="M541" s="8" t="n">
        <v>938.65</v>
      </c>
      <c r="N541" s="8" t="n">
        <v>423.9</v>
      </c>
      <c r="O541" s="8" t="n">
        <v>278.9</v>
      </c>
      <c r="P541" s="8" t="n">
        <v>1960.35</v>
      </c>
      <c r="Q541" s="8" t="n">
        <v>339.55</v>
      </c>
      <c r="R541" s="8" t="n">
        <v>685.2</v>
      </c>
      <c r="S541" s="8" t="n">
        <v>653.16</v>
      </c>
    </row>
    <row r="542" customFormat="false" ht="15" hidden="false" customHeight="false" outlineLevel="0" collapsed="false">
      <c r="A542" s="7" t="n">
        <v>45595</v>
      </c>
      <c r="B542" s="8" t="n">
        <v>24340.85</v>
      </c>
      <c r="C542" s="8" t="n">
        <v>22749.8</v>
      </c>
      <c r="D542" s="8" t="n">
        <v>1668.75</v>
      </c>
      <c r="E542" s="8" t="n">
        <v>884.8</v>
      </c>
      <c r="F542" s="8" t="n">
        <v>1210.65</v>
      </c>
      <c r="G542" s="8" t="n">
        <v>633</v>
      </c>
      <c r="H542" s="8" t="n">
        <v>923</v>
      </c>
      <c r="I542" s="8" t="n">
        <v>478.35</v>
      </c>
      <c r="J542" s="8" t="n">
        <v>1452.25</v>
      </c>
      <c r="K542" s="8" t="n">
        <v>694.55</v>
      </c>
      <c r="L542" s="8" t="n">
        <v>1274.5</v>
      </c>
      <c r="M542" s="8" t="n">
        <v>983.5</v>
      </c>
      <c r="N542" s="8" t="n">
        <v>421.55</v>
      </c>
      <c r="O542" s="8" t="n">
        <v>274.15</v>
      </c>
      <c r="P542" s="8" t="n">
        <v>1968.5</v>
      </c>
      <c r="Q542" s="8" t="n">
        <v>376</v>
      </c>
      <c r="R542" s="8" t="n">
        <v>684</v>
      </c>
      <c r="S542" s="8" t="n">
        <v>637.16</v>
      </c>
    </row>
    <row r="543" customFormat="false" ht="15" hidden="false" customHeight="false" outlineLevel="0" collapsed="false">
      <c r="A543" s="7" t="n">
        <v>45596</v>
      </c>
      <c r="B543" s="8" t="n">
        <v>24205.35</v>
      </c>
      <c r="C543" s="8" t="n">
        <v>22689.35</v>
      </c>
      <c r="D543" s="8" t="n">
        <v>1672.65</v>
      </c>
      <c r="E543" s="8" t="n">
        <v>867.95</v>
      </c>
      <c r="F543" s="8" t="n">
        <v>1179.8</v>
      </c>
      <c r="G543" s="8" t="n">
        <v>631.05</v>
      </c>
      <c r="H543" s="8" t="n">
        <v>967.05</v>
      </c>
      <c r="I543" s="8" t="n">
        <v>470.4</v>
      </c>
      <c r="J543" s="8" t="n">
        <v>1481.4</v>
      </c>
      <c r="K543" s="8" t="n">
        <v>688.04</v>
      </c>
      <c r="L543" s="8" t="n">
        <v>1272.75</v>
      </c>
      <c r="M543" s="8" t="n">
        <v>981.95</v>
      </c>
      <c r="N543" s="8" t="n">
        <v>436.8</v>
      </c>
      <c r="O543" s="8" t="n">
        <v>270.6</v>
      </c>
      <c r="P543" s="8" t="n">
        <v>1930.45</v>
      </c>
      <c r="Q543" s="8" t="n">
        <v>374.5</v>
      </c>
      <c r="R543" s="8" t="n">
        <v>688.4</v>
      </c>
      <c r="S543" s="8" t="n">
        <v>627.78</v>
      </c>
    </row>
    <row r="544" customFormat="false" ht="15" hidden="false" customHeight="false" outlineLevel="0" collapsed="false">
      <c r="A544" s="7" t="n">
        <v>45597</v>
      </c>
      <c r="B544" s="8" t="n">
        <v>24304.35</v>
      </c>
      <c r="C544" s="8" t="n">
        <v>22823.55</v>
      </c>
      <c r="D544" s="8" t="n">
        <v>1682.8</v>
      </c>
      <c r="E544" s="8" t="n">
        <v>876.05</v>
      </c>
      <c r="F544" s="8" t="n">
        <v>1191.6</v>
      </c>
      <c r="G544" s="8" t="n">
        <v>634.05</v>
      </c>
      <c r="H544" s="8" t="n">
        <v>968.15</v>
      </c>
      <c r="I544" s="8" t="n">
        <v>478.35</v>
      </c>
      <c r="J544" s="8" t="n">
        <v>1504.95</v>
      </c>
      <c r="K544" s="8" t="n">
        <v>691.42</v>
      </c>
      <c r="L544" s="8" t="n">
        <v>1283.2</v>
      </c>
      <c r="M544" s="8" t="n">
        <v>997.45</v>
      </c>
      <c r="N544" s="8" t="n">
        <v>453.35</v>
      </c>
      <c r="O544" s="8" t="n">
        <v>273.4</v>
      </c>
      <c r="P544" s="8" t="n">
        <v>1931.45</v>
      </c>
      <c r="Q544" s="8" t="n">
        <v>378.25</v>
      </c>
      <c r="R544" s="8" t="n">
        <v>694.8</v>
      </c>
      <c r="S544" s="8" t="n">
        <v>630.19</v>
      </c>
    </row>
    <row r="545" customFormat="false" ht="15" hidden="false" customHeight="false" outlineLevel="0" collapsed="false">
      <c r="A545" s="7" t="n">
        <v>45600</v>
      </c>
      <c r="B545" s="8" t="n">
        <v>23995.35</v>
      </c>
      <c r="C545" s="8" t="n">
        <v>22518.3</v>
      </c>
      <c r="D545" s="8" t="n">
        <v>1688.7</v>
      </c>
      <c r="E545" s="8" t="n">
        <v>856.35</v>
      </c>
      <c r="F545" s="8" t="n">
        <v>1148.15</v>
      </c>
      <c r="G545" s="8" t="n">
        <v>622.85</v>
      </c>
      <c r="H545" s="8" t="n">
        <v>951.1</v>
      </c>
      <c r="I545" s="8" t="n">
        <v>476.8</v>
      </c>
      <c r="J545" s="8" t="n">
        <v>1475.75</v>
      </c>
      <c r="K545" s="8" t="n">
        <v>683.44</v>
      </c>
      <c r="L545" s="8" t="n">
        <v>1251.25</v>
      </c>
      <c r="M545" s="8" t="n">
        <v>955</v>
      </c>
      <c r="N545" s="8" t="n">
        <v>448.35</v>
      </c>
      <c r="O545" s="8" t="n">
        <v>273.7</v>
      </c>
      <c r="P545" s="8" t="n">
        <v>1901.05</v>
      </c>
      <c r="Q545" s="8" t="n">
        <v>375.8</v>
      </c>
      <c r="R545" s="8" t="n">
        <v>688.45</v>
      </c>
      <c r="S545" s="8" t="n">
        <v>629.58</v>
      </c>
    </row>
    <row r="546" customFormat="false" ht="15" hidden="false" customHeight="false" outlineLevel="0" collapsed="false">
      <c r="A546" s="7" t="n">
        <v>45601</v>
      </c>
      <c r="B546" s="8" t="n">
        <v>24213.3</v>
      </c>
      <c r="C546" s="8" t="n">
        <v>22679.85</v>
      </c>
      <c r="D546" s="8" t="n">
        <v>1679.3</v>
      </c>
      <c r="E546" s="8" t="n">
        <v>865.8</v>
      </c>
      <c r="F546" s="8" t="n">
        <v>1147.35</v>
      </c>
      <c r="G546" s="8" t="n">
        <v>632.1</v>
      </c>
      <c r="H546" s="8" t="n">
        <v>985.7</v>
      </c>
      <c r="I546" s="8" t="n">
        <v>476.25</v>
      </c>
      <c r="J546" s="8" t="n">
        <v>1455</v>
      </c>
      <c r="K546" s="8" t="n">
        <v>692.09</v>
      </c>
      <c r="L546" s="8" t="n">
        <v>1283</v>
      </c>
      <c r="M546" s="8" t="n">
        <v>926.9</v>
      </c>
      <c r="N546" s="8" t="n">
        <v>448.25</v>
      </c>
      <c r="O546" s="8" t="n">
        <v>276.9</v>
      </c>
      <c r="P546" s="8" t="n">
        <v>1913.35</v>
      </c>
      <c r="Q546" s="8" t="n">
        <v>369.85</v>
      </c>
      <c r="R546" s="8" t="n">
        <v>694.95</v>
      </c>
      <c r="S546" s="8" t="n">
        <v>632.46</v>
      </c>
    </row>
    <row r="547" customFormat="false" ht="15" hidden="false" customHeight="false" outlineLevel="0" collapsed="false">
      <c r="A547" s="7" t="n">
        <v>45602</v>
      </c>
      <c r="B547" s="8" t="n">
        <v>24484.05</v>
      </c>
      <c r="C547" s="8" t="n">
        <v>23031.2</v>
      </c>
      <c r="D547" s="8" t="n">
        <v>1684.7</v>
      </c>
      <c r="E547" s="8" t="n">
        <v>869.8</v>
      </c>
      <c r="F547" s="8" t="n">
        <v>1166.45</v>
      </c>
      <c r="G547" s="8" t="n">
        <v>634.45</v>
      </c>
      <c r="H547" s="8" t="n">
        <v>999.25</v>
      </c>
      <c r="I547" s="8" t="n">
        <v>488.3</v>
      </c>
      <c r="J547" s="8" t="n">
        <v>1444.55</v>
      </c>
      <c r="K547" s="8" t="n">
        <v>699.67</v>
      </c>
      <c r="L547" s="8" t="n">
        <v>1304.55</v>
      </c>
      <c r="M547" s="8" t="n">
        <v>949.2</v>
      </c>
      <c r="N547" s="8" t="n">
        <v>457.05</v>
      </c>
      <c r="O547" s="8" t="n">
        <v>277.25</v>
      </c>
      <c r="P547" s="8" t="n">
        <v>1893.9</v>
      </c>
      <c r="Q547" s="8" t="n">
        <v>379.4</v>
      </c>
      <c r="R547" s="8" t="n">
        <v>700.05</v>
      </c>
      <c r="S547" s="8" t="n">
        <v>637.34</v>
      </c>
    </row>
    <row r="548" customFormat="false" ht="15" hidden="false" customHeight="false" outlineLevel="0" collapsed="false">
      <c r="A548" s="7" t="n">
        <v>45603</v>
      </c>
      <c r="B548" s="8" t="n">
        <v>24199.35</v>
      </c>
      <c r="C548" s="8" t="n">
        <v>22806.25</v>
      </c>
      <c r="D548" s="8" t="n">
        <v>1705.9</v>
      </c>
      <c r="E548" s="8" t="n">
        <v>858.55</v>
      </c>
      <c r="F548" s="8" t="n">
        <v>1142.95</v>
      </c>
      <c r="G548" s="8" t="n">
        <v>638.7</v>
      </c>
      <c r="H548" s="8" t="n">
        <v>970.3</v>
      </c>
      <c r="I548" s="8" t="n">
        <v>488.9</v>
      </c>
      <c r="J548" s="8" t="n">
        <v>1434.7</v>
      </c>
      <c r="K548" s="8" t="n">
        <v>689.51</v>
      </c>
      <c r="L548" s="8" t="n">
        <v>1283</v>
      </c>
      <c r="M548" s="8" t="n">
        <v>947.35</v>
      </c>
      <c r="N548" s="8" t="n">
        <v>454</v>
      </c>
      <c r="O548" s="8" t="n">
        <v>272.55</v>
      </c>
      <c r="P548" s="8" t="n">
        <v>1823.85</v>
      </c>
      <c r="Q548" s="8" t="n">
        <v>376.05</v>
      </c>
      <c r="R548" s="8" t="n">
        <v>700.35</v>
      </c>
      <c r="S548" s="8" t="n">
        <v>614.03</v>
      </c>
    </row>
    <row r="549" customFormat="false" ht="15" hidden="false" customHeight="false" outlineLevel="0" collapsed="false">
      <c r="A549" s="7" t="n">
        <v>45604</v>
      </c>
      <c r="B549" s="8" t="n">
        <v>24148.2</v>
      </c>
      <c r="C549" s="8" t="n">
        <v>22645.65</v>
      </c>
      <c r="D549" s="8" t="n">
        <v>1662.4</v>
      </c>
      <c r="E549" s="8" t="n">
        <v>849.6</v>
      </c>
      <c r="F549" s="8" t="n">
        <v>1092.15</v>
      </c>
      <c r="G549" s="8" t="n">
        <v>635</v>
      </c>
      <c r="H549" s="8" t="n">
        <v>947.2</v>
      </c>
      <c r="I549" s="8" t="n">
        <v>479.65</v>
      </c>
      <c r="J549" s="8" t="n">
        <v>1427.25</v>
      </c>
      <c r="K549" s="8" t="n">
        <v>688.66</v>
      </c>
      <c r="L549" s="8" t="n">
        <v>1260.7</v>
      </c>
      <c r="M549" s="8" t="n">
        <v>920.5</v>
      </c>
      <c r="N549" s="8" t="n">
        <v>442.9</v>
      </c>
      <c r="O549" s="8" t="n">
        <v>276.15</v>
      </c>
      <c r="P549" s="8" t="n">
        <v>1804.55</v>
      </c>
      <c r="Q549" s="8" t="n">
        <v>365.9</v>
      </c>
      <c r="R549" s="8" t="n">
        <v>699.4</v>
      </c>
      <c r="S549" s="8" t="n">
        <v>601.59</v>
      </c>
    </row>
    <row r="550" customFormat="false" ht="15" hidden="false" customHeight="false" outlineLevel="0" collapsed="false">
      <c r="A550" s="7" t="n">
        <v>45607</v>
      </c>
      <c r="B550" s="8" t="n">
        <v>24141.3</v>
      </c>
      <c r="C550" s="8" t="n">
        <v>22591.4</v>
      </c>
      <c r="D550" s="8" t="n">
        <v>1656.3</v>
      </c>
      <c r="E550" s="8" t="n">
        <v>838.65</v>
      </c>
      <c r="F550" s="8" t="n">
        <v>1061.3</v>
      </c>
      <c r="G550" s="8" t="n">
        <v>625.95</v>
      </c>
      <c r="H550" s="8" t="n">
        <v>966.85</v>
      </c>
      <c r="I550" s="8" t="n">
        <v>475.9</v>
      </c>
      <c r="J550" s="8" t="n">
        <v>1398.85</v>
      </c>
      <c r="K550" s="8" t="n">
        <v>676.96</v>
      </c>
      <c r="L550" s="8" t="n">
        <v>1262.55</v>
      </c>
      <c r="M550" s="8" t="n">
        <v>917.35</v>
      </c>
      <c r="N550" s="8" t="n">
        <v>441.35</v>
      </c>
      <c r="O550" s="8" t="n">
        <v>269.6</v>
      </c>
      <c r="P550" s="8" t="n">
        <v>1817.15</v>
      </c>
      <c r="Q550" s="8" t="n">
        <v>360.95</v>
      </c>
      <c r="R550" s="8" t="n">
        <v>692.55</v>
      </c>
      <c r="S550" s="8" t="n">
        <v>599.89</v>
      </c>
    </row>
    <row r="551" customFormat="false" ht="15" hidden="false" customHeight="false" outlineLevel="0" collapsed="false">
      <c r="A551" s="7" t="n">
        <v>45608</v>
      </c>
      <c r="B551" s="8" t="n">
        <v>23883.45</v>
      </c>
      <c r="C551" s="8" t="n">
        <v>22331.05</v>
      </c>
      <c r="D551" s="8" t="n">
        <v>1654.55</v>
      </c>
      <c r="E551" s="8" t="n">
        <v>828.85</v>
      </c>
      <c r="F551" s="8" t="n">
        <v>1048.15</v>
      </c>
      <c r="G551" s="8" t="n">
        <v>616.95</v>
      </c>
      <c r="H551" s="8" t="n">
        <v>983.15</v>
      </c>
      <c r="I551" s="8" t="n">
        <v>461.9</v>
      </c>
      <c r="J551" s="8" t="n">
        <v>1362.15</v>
      </c>
      <c r="K551" s="8" t="n">
        <v>662.92</v>
      </c>
      <c r="L551" s="8" t="n">
        <v>1239.75</v>
      </c>
      <c r="M551" s="8" t="n">
        <v>913.9</v>
      </c>
      <c r="N551" s="8" t="n">
        <v>433.1</v>
      </c>
      <c r="O551" s="8" t="n">
        <v>265.4</v>
      </c>
      <c r="P551" s="8" t="n">
        <v>1792.7</v>
      </c>
      <c r="Q551" s="8" t="n">
        <v>361.65</v>
      </c>
      <c r="R551" s="8" t="n">
        <v>679.25</v>
      </c>
      <c r="S551" s="8" t="n">
        <v>586.24</v>
      </c>
    </row>
    <row r="552" customFormat="false" ht="15" hidden="false" customHeight="false" outlineLevel="0" collapsed="false">
      <c r="A552" s="7" t="n">
        <v>45609</v>
      </c>
      <c r="B552" s="8" t="n">
        <v>23559.05</v>
      </c>
      <c r="C552" s="8" t="n">
        <v>21914.95</v>
      </c>
      <c r="D552" s="8" t="n">
        <v>1659.25</v>
      </c>
      <c r="E552" s="8" t="n">
        <v>815.6</v>
      </c>
      <c r="F552" s="8" t="n">
        <v>1027.95</v>
      </c>
      <c r="G552" s="8" t="n">
        <v>606.85</v>
      </c>
      <c r="H552" s="8" t="n">
        <v>924.65</v>
      </c>
      <c r="I552" s="8" t="n">
        <v>462.85</v>
      </c>
      <c r="J552" s="8" t="n">
        <v>1298</v>
      </c>
      <c r="K552" s="8" t="n">
        <v>655.71</v>
      </c>
      <c r="L552" s="8" t="n">
        <v>1205.05</v>
      </c>
      <c r="M552" s="8" t="n">
        <v>897</v>
      </c>
      <c r="N552" s="8" t="n">
        <v>420.25</v>
      </c>
      <c r="O552" s="8" t="n">
        <v>258.25</v>
      </c>
      <c r="P552" s="8" t="n">
        <v>1770.3</v>
      </c>
      <c r="Q552" s="8" t="n">
        <v>347.45</v>
      </c>
      <c r="R552" s="8" t="n">
        <v>680.3</v>
      </c>
      <c r="S552" s="8" t="n">
        <v>570.77</v>
      </c>
    </row>
    <row r="553" customFormat="false" ht="15" hidden="false" customHeight="false" outlineLevel="0" collapsed="false">
      <c r="A553" s="7" t="n">
        <v>45610</v>
      </c>
      <c r="B553" s="8" t="n">
        <v>23532.7</v>
      </c>
      <c r="C553" s="8" t="n">
        <v>21963.1</v>
      </c>
      <c r="D553" s="8" t="n">
        <v>1650.2</v>
      </c>
      <c r="E553" s="8" t="n">
        <v>822.95</v>
      </c>
      <c r="F553" s="8" t="n">
        <v>1049.2</v>
      </c>
      <c r="G553" s="8" t="n">
        <v>608.15</v>
      </c>
      <c r="H553" s="8" t="n">
        <v>904</v>
      </c>
      <c r="I553" s="8" t="n">
        <v>459.3</v>
      </c>
      <c r="J553" s="8" t="n">
        <v>1275.5</v>
      </c>
      <c r="K553" s="8" t="n">
        <v>654.02</v>
      </c>
      <c r="L553" s="8" t="n">
        <v>1205.7</v>
      </c>
      <c r="M553" s="8" t="n">
        <v>884.7</v>
      </c>
      <c r="N553" s="8" t="n">
        <v>422.15</v>
      </c>
      <c r="O553" s="8" t="n">
        <v>256.85</v>
      </c>
      <c r="P553" s="8" t="n">
        <v>1775.85</v>
      </c>
      <c r="Q553" s="8" t="n">
        <v>355.95</v>
      </c>
      <c r="R553" s="8" t="n">
        <v>683.35</v>
      </c>
      <c r="S553" s="8" t="n">
        <v>564.52</v>
      </c>
    </row>
    <row r="554" customFormat="false" ht="15" hidden="false" customHeight="false" outlineLevel="0" collapsed="false">
      <c r="A554" s="7" t="n">
        <v>45614</v>
      </c>
      <c r="B554" s="8" t="n">
        <v>23453.8</v>
      </c>
      <c r="C554" s="8" t="n">
        <v>21899.4</v>
      </c>
      <c r="D554" s="8" t="n">
        <v>1641.2</v>
      </c>
      <c r="E554" s="8" t="n">
        <v>829.5</v>
      </c>
      <c r="F554" s="8" t="n">
        <v>1049.2</v>
      </c>
      <c r="G554" s="8" t="n">
        <v>611.15</v>
      </c>
      <c r="H554" s="8" t="n">
        <v>871.15</v>
      </c>
      <c r="I554" s="8" t="n">
        <v>450.9</v>
      </c>
      <c r="J554" s="8" t="n">
        <v>1277.55</v>
      </c>
      <c r="K554" s="8" t="n">
        <v>655.9</v>
      </c>
      <c r="L554" s="8" t="n">
        <v>1242.8</v>
      </c>
      <c r="M554" s="8" t="n">
        <v>880.35</v>
      </c>
      <c r="N554" s="8" t="n">
        <v>417.6</v>
      </c>
      <c r="O554" s="8" t="n">
        <v>258.2</v>
      </c>
      <c r="P554" s="8" t="n">
        <v>1885.65</v>
      </c>
      <c r="Q554" s="8" t="n">
        <v>356.3</v>
      </c>
      <c r="R554" s="8" t="n">
        <v>677.05</v>
      </c>
      <c r="S554" s="8" t="n">
        <v>569.63</v>
      </c>
    </row>
    <row r="555" customFormat="false" ht="15" hidden="false" customHeight="false" outlineLevel="0" collapsed="false">
      <c r="A555" s="7" t="n">
        <v>45615</v>
      </c>
      <c r="B555" s="8" t="n">
        <v>23518.5</v>
      </c>
      <c r="C555" s="8" t="n">
        <v>22004.35</v>
      </c>
      <c r="D555" s="8" t="n">
        <v>1640.55</v>
      </c>
      <c r="E555" s="8" t="n">
        <v>832.65</v>
      </c>
      <c r="F555" s="8" t="n">
        <v>1052</v>
      </c>
      <c r="G555" s="8" t="n">
        <v>616.45</v>
      </c>
      <c r="H555" s="8" t="n">
        <v>865.15</v>
      </c>
      <c r="I555" s="8" t="n">
        <v>449.2</v>
      </c>
      <c r="J555" s="8" t="n">
        <v>1274.05</v>
      </c>
      <c r="K555" s="8" t="n">
        <v>658.63</v>
      </c>
      <c r="L555" s="8" t="n">
        <v>1236</v>
      </c>
      <c r="M555" s="8" t="n">
        <v>884.6</v>
      </c>
      <c r="N555" s="8" t="n">
        <v>416.3</v>
      </c>
      <c r="O555" s="8" t="n">
        <v>259.8</v>
      </c>
      <c r="P555" s="8" t="n">
        <v>1896.45</v>
      </c>
      <c r="Q555" s="8" t="n">
        <v>358.3</v>
      </c>
      <c r="R555" s="8" t="n">
        <v>684.55</v>
      </c>
      <c r="S555" s="8" t="n">
        <v>564.95</v>
      </c>
    </row>
    <row r="556" customFormat="false" ht="15" hidden="false" customHeight="false" outlineLevel="0" collapsed="false">
      <c r="A556" s="7" t="n">
        <v>45617</v>
      </c>
      <c r="B556" s="8" t="n">
        <v>23349.9</v>
      </c>
      <c r="C556" s="8" t="n">
        <v>21820.85</v>
      </c>
      <c r="D556" s="8" t="n">
        <v>1641.3</v>
      </c>
      <c r="E556" s="8" t="n">
        <v>822.65</v>
      </c>
      <c r="F556" s="8" t="n">
        <v>1069.6</v>
      </c>
      <c r="G556" s="8" t="n">
        <v>611.25</v>
      </c>
      <c r="H556" s="8" t="n">
        <v>866.05</v>
      </c>
      <c r="I556" s="8" t="n">
        <v>441.15</v>
      </c>
      <c r="J556" s="8" t="n">
        <v>1256.7</v>
      </c>
      <c r="K556" s="8" t="n">
        <v>645.69</v>
      </c>
      <c r="L556" s="8" t="n">
        <v>1204.9</v>
      </c>
      <c r="M556" s="8" t="n">
        <v>861.45</v>
      </c>
      <c r="N556" s="8" t="n">
        <v>408.2</v>
      </c>
      <c r="O556" s="8" t="n">
        <v>256.25</v>
      </c>
      <c r="P556" s="8" t="n">
        <v>1899.55</v>
      </c>
      <c r="Q556" s="8" t="n">
        <v>360.2</v>
      </c>
      <c r="R556" s="8" t="n">
        <v>675.05</v>
      </c>
      <c r="S556" s="8" t="n">
        <v>560.44</v>
      </c>
    </row>
    <row r="557" customFormat="false" ht="15" hidden="false" customHeight="false" outlineLevel="0" collapsed="false">
      <c r="A557" s="7" t="n">
        <v>45618</v>
      </c>
      <c r="B557" s="8" t="n">
        <v>23907.25</v>
      </c>
      <c r="C557" s="8" t="n">
        <v>22225.55</v>
      </c>
      <c r="D557" s="8" t="n">
        <v>1637.4</v>
      </c>
      <c r="E557" s="8" t="n">
        <v>842.8</v>
      </c>
      <c r="F557" s="8" t="n">
        <v>1086.7</v>
      </c>
      <c r="G557" s="8" t="n">
        <v>617.45</v>
      </c>
      <c r="H557" s="8" t="n">
        <v>854.6</v>
      </c>
      <c r="I557" s="8" t="n">
        <v>448.4</v>
      </c>
      <c r="J557" s="8" t="n">
        <v>1244.25</v>
      </c>
      <c r="K557" s="8" t="n">
        <v>667.49</v>
      </c>
      <c r="L557" s="8" t="n">
        <v>1208.4</v>
      </c>
      <c r="M557" s="8" t="n">
        <v>890.55</v>
      </c>
      <c r="N557" s="8" t="n">
        <v>408.5</v>
      </c>
      <c r="O557" s="8" t="n">
        <v>263.8</v>
      </c>
      <c r="P557" s="8" t="n">
        <v>1927.35</v>
      </c>
      <c r="Q557" s="8" t="n">
        <v>355.65</v>
      </c>
      <c r="R557" s="8" t="n">
        <v>679.7</v>
      </c>
      <c r="S557" s="8" t="n">
        <v>570.01</v>
      </c>
    </row>
    <row r="558" customFormat="false" ht="15" hidden="false" customHeight="false" outlineLevel="0" collapsed="false">
      <c r="A558" s="7" t="n">
        <v>45621</v>
      </c>
      <c r="B558" s="8" t="n">
        <v>24221.9</v>
      </c>
      <c r="C558" s="8" t="n">
        <v>22553.5</v>
      </c>
      <c r="D558" s="8" t="n">
        <v>1653</v>
      </c>
      <c r="E558" s="8" t="n">
        <v>844.25</v>
      </c>
      <c r="F558" s="8" t="n">
        <v>1143.5</v>
      </c>
      <c r="G558" s="8" t="n">
        <v>627.5</v>
      </c>
      <c r="H558" s="8" t="n">
        <v>866.3</v>
      </c>
      <c r="I558" s="8" t="n">
        <v>476.7</v>
      </c>
      <c r="J558" s="8" t="n">
        <v>1261.55</v>
      </c>
      <c r="K558" s="8" t="n">
        <v>667.63</v>
      </c>
      <c r="L558" s="8" t="n">
        <v>1239.9</v>
      </c>
      <c r="M558" s="8" t="n">
        <v>929.45</v>
      </c>
      <c r="N558" s="8" t="n">
        <v>413.45</v>
      </c>
      <c r="O558" s="8" t="n">
        <v>272.65</v>
      </c>
      <c r="P558" s="8" t="n">
        <v>1932.3</v>
      </c>
      <c r="Q558" s="8" t="n">
        <v>360.05</v>
      </c>
      <c r="R558" s="8" t="n">
        <v>694.75</v>
      </c>
      <c r="S558" s="8" t="n">
        <v>589.56</v>
      </c>
    </row>
    <row r="559" customFormat="false" ht="15" hidden="false" customHeight="false" outlineLevel="0" collapsed="false">
      <c r="A559" s="7" t="n">
        <v>45622</v>
      </c>
      <c r="B559" s="8" t="n">
        <v>24194.5</v>
      </c>
      <c r="C559" s="8" t="n">
        <v>22562.45</v>
      </c>
      <c r="D559" s="8" t="n">
        <v>1657.6</v>
      </c>
      <c r="E559" s="8" t="n">
        <v>821.05</v>
      </c>
      <c r="F559" s="8" t="n">
        <v>1108.95</v>
      </c>
      <c r="G559" s="8" t="n">
        <v>621.5</v>
      </c>
      <c r="H559" s="8" t="n">
        <v>859.55</v>
      </c>
      <c r="I559" s="8" t="n">
        <v>464.7</v>
      </c>
      <c r="J559" s="8" t="n">
        <v>1315.45</v>
      </c>
      <c r="K559" s="8" t="n">
        <v>660.9</v>
      </c>
      <c r="L559" s="8" t="n">
        <v>1265.45</v>
      </c>
      <c r="M559" s="8" t="n">
        <v>973.15</v>
      </c>
      <c r="N559" s="8" t="n">
        <v>411.4</v>
      </c>
      <c r="O559" s="8" t="n">
        <v>270.3</v>
      </c>
      <c r="P559" s="8" t="n">
        <v>1951.8</v>
      </c>
      <c r="Q559" s="8" t="n">
        <v>363.6</v>
      </c>
      <c r="R559" s="8" t="n">
        <v>699</v>
      </c>
      <c r="S559" s="8" t="n">
        <v>609.27</v>
      </c>
    </row>
    <row r="560" customFormat="false" ht="15" hidden="false" customHeight="false" outlineLevel="0" collapsed="false">
      <c r="A560" s="7" t="n">
        <v>45623</v>
      </c>
      <c r="B560" s="8" t="n">
        <v>24274.9</v>
      </c>
      <c r="C560" s="8" t="n">
        <v>22691.7</v>
      </c>
      <c r="D560" s="8" t="n">
        <v>1671.7</v>
      </c>
      <c r="E560" s="8" t="n">
        <v>826.25</v>
      </c>
      <c r="F560" s="8" t="n">
        <v>1094.5</v>
      </c>
      <c r="G560" s="8" t="n">
        <v>627.55</v>
      </c>
      <c r="H560" s="8" t="n">
        <v>876.45</v>
      </c>
      <c r="I560" s="8" t="n">
        <v>464.75</v>
      </c>
      <c r="J560" s="8" t="n">
        <v>1312.85</v>
      </c>
      <c r="K560" s="8" t="n">
        <v>669.61</v>
      </c>
      <c r="L560" s="8" t="n">
        <v>1279.15</v>
      </c>
      <c r="M560" s="8" t="n">
        <v>983.1</v>
      </c>
      <c r="N560" s="8" t="n">
        <v>420.25</v>
      </c>
      <c r="O560" s="8" t="n">
        <v>272.35</v>
      </c>
      <c r="P560" s="8" t="n">
        <v>1940.4</v>
      </c>
      <c r="Q560" s="8" t="n">
        <v>362.65</v>
      </c>
      <c r="R560" s="8" t="n">
        <v>705.5</v>
      </c>
      <c r="S560" s="8" t="n">
        <v>603.8</v>
      </c>
    </row>
    <row r="561" customFormat="false" ht="15" hidden="false" customHeight="false" outlineLevel="0" collapsed="false">
      <c r="A561" s="7" t="n">
        <v>45624</v>
      </c>
      <c r="B561" s="8" t="n">
        <v>23914.15</v>
      </c>
      <c r="C561" s="8" t="n">
        <v>22514.35</v>
      </c>
      <c r="D561" s="8" t="n">
        <v>1670.35</v>
      </c>
      <c r="E561" s="8" t="n">
        <v>821.85</v>
      </c>
      <c r="F561" s="8" t="n">
        <v>1092.45</v>
      </c>
      <c r="G561" s="8" t="n">
        <v>634.7</v>
      </c>
      <c r="H561" s="8" t="n">
        <v>883.4</v>
      </c>
      <c r="I561" s="8" t="n">
        <v>505.45</v>
      </c>
      <c r="J561" s="8" t="n">
        <v>1341.4</v>
      </c>
      <c r="K561" s="8" t="n">
        <v>650.06</v>
      </c>
      <c r="L561" s="8" t="n">
        <v>1268.35</v>
      </c>
      <c r="M561" s="8" t="n">
        <v>986.3</v>
      </c>
      <c r="N561" s="8" t="n">
        <v>421.45</v>
      </c>
      <c r="O561" s="8" t="n">
        <v>272</v>
      </c>
      <c r="P561" s="8" t="n">
        <v>1911.95</v>
      </c>
      <c r="Q561" s="8" t="n">
        <v>372.7</v>
      </c>
      <c r="R561" s="8" t="n">
        <v>711.9</v>
      </c>
      <c r="S561" s="8" t="n">
        <v>608.74</v>
      </c>
    </row>
    <row r="562" customFormat="false" ht="15" hidden="false" customHeight="false" outlineLevel="0" collapsed="false">
      <c r="A562" s="7" t="n">
        <v>45625</v>
      </c>
      <c r="B562" s="8" t="n">
        <v>24131.1</v>
      </c>
      <c r="C562" s="8" t="n">
        <v>22687</v>
      </c>
      <c r="D562" s="8" t="n">
        <v>1673.15</v>
      </c>
      <c r="E562" s="8" t="n">
        <v>823.95</v>
      </c>
      <c r="F562" s="8" t="n">
        <v>1052.15</v>
      </c>
      <c r="G562" s="8" t="n">
        <v>638.8</v>
      </c>
      <c r="H562" s="8" t="n">
        <v>891.7</v>
      </c>
      <c r="I562" s="8" t="n">
        <v>493</v>
      </c>
      <c r="J562" s="8" t="n">
        <v>1322.4</v>
      </c>
      <c r="K562" s="8" t="n">
        <v>656.7</v>
      </c>
      <c r="L562" s="8" t="n">
        <v>1233.95</v>
      </c>
      <c r="M562" s="8" t="n">
        <v>902</v>
      </c>
      <c r="N562" s="8" t="n">
        <v>420.4</v>
      </c>
      <c r="O562" s="8" t="n">
        <v>273.4</v>
      </c>
      <c r="P562" s="8" t="n">
        <v>1917.05</v>
      </c>
      <c r="Q562" s="8" t="n">
        <v>354.45</v>
      </c>
      <c r="R562" s="8" t="n">
        <v>700.6</v>
      </c>
      <c r="S562" s="8" t="n">
        <v>603.93</v>
      </c>
    </row>
    <row r="563" customFormat="false" ht="15" hidden="false" customHeight="false" outlineLevel="0" collapsed="false">
      <c r="A563" s="7" t="n">
        <v>45628</v>
      </c>
      <c r="B563" s="8" t="n">
        <v>24276.05</v>
      </c>
      <c r="C563" s="8" t="n">
        <v>22835.85</v>
      </c>
      <c r="D563" s="8" t="n">
        <v>1663.45</v>
      </c>
      <c r="E563" s="8" t="n">
        <v>814.55</v>
      </c>
      <c r="F563" s="8" t="n">
        <v>1074.75</v>
      </c>
      <c r="G563" s="8" t="n">
        <v>626.85</v>
      </c>
      <c r="H563" s="8" t="n">
        <v>884</v>
      </c>
      <c r="I563" s="8" t="n">
        <v>482.25</v>
      </c>
      <c r="J563" s="8" t="n">
        <v>1323.45</v>
      </c>
      <c r="K563" s="8" t="n">
        <v>664.16</v>
      </c>
      <c r="L563" s="8" t="n">
        <v>1249.2</v>
      </c>
      <c r="M563" s="8" t="n">
        <v>877.2</v>
      </c>
      <c r="N563" s="8" t="n">
        <v>428.95</v>
      </c>
      <c r="O563" s="8" t="n">
        <v>277.4</v>
      </c>
      <c r="P563" s="8" t="n">
        <v>1935.55</v>
      </c>
      <c r="Q563" s="8" t="n">
        <v>344.3</v>
      </c>
      <c r="R563" s="8" t="n">
        <v>703.05</v>
      </c>
      <c r="S563" s="8" t="n">
        <v>618.84</v>
      </c>
    </row>
    <row r="564" customFormat="false" ht="15" hidden="false" customHeight="false" outlineLevel="0" collapsed="false">
      <c r="A564" s="7" t="n">
        <v>45629</v>
      </c>
      <c r="B564" s="8" t="n">
        <v>24457.15</v>
      </c>
      <c r="C564" s="8" t="n">
        <v>23020.85</v>
      </c>
      <c r="D564" s="8" t="n">
        <v>1677.7</v>
      </c>
      <c r="E564" s="8" t="n">
        <v>834.6</v>
      </c>
      <c r="F564" s="8" t="n">
        <v>1050.7</v>
      </c>
      <c r="G564" s="8" t="n">
        <v>635.35</v>
      </c>
      <c r="H564" s="8" t="n">
        <v>884.95</v>
      </c>
      <c r="I564" s="8" t="n">
        <v>489.6</v>
      </c>
      <c r="J564" s="8" t="n">
        <v>1335.65</v>
      </c>
      <c r="K564" s="8" t="n">
        <v>666.64</v>
      </c>
      <c r="L564" s="8" t="n">
        <v>1253.65</v>
      </c>
      <c r="M564" s="8" t="n">
        <v>886.45</v>
      </c>
      <c r="N564" s="8" t="n">
        <v>433.8</v>
      </c>
      <c r="O564" s="8" t="n">
        <v>285.3</v>
      </c>
      <c r="P564" s="8" t="n">
        <v>1932.8</v>
      </c>
      <c r="Q564" s="8" t="n">
        <v>348.55</v>
      </c>
      <c r="R564" s="8" t="n">
        <v>704.4</v>
      </c>
      <c r="S564" s="8" t="n">
        <v>631.11</v>
      </c>
    </row>
    <row r="565" customFormat="false" ht="15" hidden="false" customHeight="false" outlineLevel="0" collapsed="false">
      <c r="A565" s="7" t="n">
        <v>45630</v>
      </c>
      <c r="B565" s="8" t="n">
        <v>24467.45</v>
      </c>
      <c r="C565" s="8" t="n">
        <v>23099.5</v>
      </c>
      <c r="D565" s="8" t="n">
        <v>1659.6</v>
      </c>
      <c r="E565" s="8" t="n">
        <v>844.15</v>
      </c>
      <c r="F565" s="8" t="n">
        <v>1058.55</v>
      </c>
      <c r="G565" s="8" t="n">
        <v>638.25</v>
      </c>
      <c r="H565" s="8" t="n">
        <v>914.25</v>
      </c>
      <c r="I565" s="8" t="n">
        <v>486.8</v>
      </c>
      <c r="J565" s="8" t="n">
        <v>1343.45</v>
      </c>
      <c r="K565" s="8" t="n">
        <v>673.08</v>
      </c>
      <c r="L565" s="8" t="n">
        <v>1292.25</v>
      </c>
      <c r="M565" s="8" t="n">
        <v>884.8</v>
      </c>
      <c r="N565" s="8" t="n">
        <v>437.8</v>
      </c>
      <c r="O565" s="8" t="n">
        <v>285.35</v>
      </c>
      <c r="P565" s="8" t="n">
        <v>1947.8</v>
      </c>
      <c r="Q565" s="8" t="n">
        <v>358.6</v>
      </c>
      <c r="R565" s="8" t="n">
        <v>714.7</v>
      </c>
      <c r="S565" s="8" t="n">
        <v>626.46</v>
      </c>
    </row>
    <row r="566" customFormat="false" ht="15" hidden="false" customHeight="false" outlineLevel="0" collapsed="false">
      <c r="A566" s="7" t="n">
        <v>45631</v>
      </c>
      <c r="B566" s="8" t="n">
        <v>24708.4</v>
      </c>
      <c r="C566" s="8" t="n">
        <v>23277.95</v>
      </c>
      <c r="D566" s="8" t="n">
        <v>1664.15</v>
      </c>
      <c r="E566" s="8" t="n">
        <v>835.55</v>
      </c>
      <c r="F566" s="8" t="n">
        <v>1052.9</v>
      </c>
      <c r="G566" s="8" t="n">
        <v>638.7</v>
      </c>
      <c r="H566" s="8" t="n">
        <v>943.1</v>
      </c>
      <c r="I566" s="8" t="n">
        <v>476.05</v>
      </c>
      <c r="J566" s="8" t="n">
        <v>1340.35</v>
      </c>
      <c r="K566" s="8" t="n">
        <v>684.11</v>
      </c>
      <c r="L566" s="8" t="n">
        <v>1291.45</v>
      </c>
      <c r="M566" s="8" t="n">
        <v>938</v>
      </c>
      <c r="N566" s="8" t="n">
        <v>434.75</v>
      </c>
      <c r="O566" s="8" t="n">
        <v>286.25</v>
      </c>
      <c r="P566" s="8" t="n">
        <v>1937.55</v>
      </c>
      <c r="Q566" s="8" t="n">
        <v>358.45</v>
      </c>
      <c r="R566" s="8" t="n">
        <v>724.4</v>
      </c>
      <c r="S566" s="8" t="n">
        <v>625.26</v>
      </c>
    </row>
    <row r="567" customFormat="false" ht="15" hidden="false" customHeight="false" outlineLevel="0" collapsed="false">
      <c r="A567" s="7" t="n">
        <v>45632</v>
      </c>
      <c r="B567" s="8" t="n">
        <v>24677.8</v>
      </c>
      <c r="C567" s="8" t="n">
        <v>23312.1</v>
      </c>
      <c r="D567" s="8" t="n">
        <v>1653.15</v>
      </c>
      <c r="E567" s="8" t="n">
        <v>802.95</v>
      </c>
      <c r="F567" s="8" t="n">
        <v>1045.7</v>
      </c>
      <c r="G567" s="8" t="n">
        <v>641.25</v>
      </c>
      <c r="H567" s="8" t="n">
        <v>963.15</v>
      </c>
      <c r="I567" s="8" t="n">
        <v>474.55</v>
      </c>
      <c r="J567" s="8" t="n">
        <v>1362.25</v>
      </c>
      <c r="K567" s="8" t="n">
        <v>684.1</v>
      </c>
      <c r="L567" s="8" t="n">
        <v>1275.1</v>
      </c>
      <c r="M567" s="8" t="n">
        <v>933.3</v>
      </c>
      <c r="N567" s="8" t="n">
        <v>434.6</v>
      </c>
      <c r="O567" s="8" t="n">
        <v>278</v>
      </c>
      <c r="P567" s="8" t="n">
        <v>1951.55</v>
      </c>
      <c r="Q567" s="8" t="n">
        <v>353.3</v>
      </c>
      <c r="R567" s="8" t="n">
        <v>717.4</v>
      </c>
      <c r="S567" s="8" t="n">
        <v>625.27</v>
      </c>
    </row>
    <row r="568" customFormat="false" ht="15" hidden="false" customHeight="false" outlineLevel="0" collapsed="false">
      <c r="A568" s="7" t="n">
        <v>45635</v>
      </c>
      <c r="B568" s="8" t="n">
        <v>24619</v>
      </c>
      <c r="C568" s="8" t="n">
        <v>23292</v>
      </c>
      <c r="D568" s="8" t="n">
        <v>1660.2</v>
      </c>
      <c r="E568" s="8" t="n">
        <v>804.5</v>
      </c>
      <c r="F568" s="8" t="n">
        <v>1036.25</v>
      </c>
      <c r="G568" s="8" t="n">
        <v>630.15</v>
      </c>
      <c r="H568" s="8" t="n">
        <v>959.3</v>
      </c>
      <c r="I568" s="8" t="n">
        <v>474.65</v>
      </c>
      <c r="J568" s="8" t="n">
        <v>1364.6</v>
      </c>
      <c r="K568" s="8" t="n">
        <v>685.9</v>
      </c>
      <c r="L568" s="8" t="n">
        <v>1282.25</v>
      </c>
      <c r="M568" s="8" t="n">
        <v>938.45</v>
      </c>
      <c r="N568" s="8" t="n">
        <v>432.6</v>
      </c>
      <c r="O568" s="8" t="n">
        <v>279.15</v>
      </c>
      <c r="P568" s="8" t="n">
        <v>1991.3</v>
      </c>
      <c r="Q568" s="8" t="n">
        <v>359.85</v>
      </c>
      <c r="R568" s="8" t="n">
        <v>719.65</v>
      </c>
      <c r="S568" s="8" t="n">
        <v>621.38</v>
      </c>
    </row>
    <row r="569" customFormat="false" ht="15" hidden="false" customHeight="false" outlineLevel="0" collapsed="false">
      <c r="A569" s="7" t="n">
        <v>45636</v>
      </c>
      <c r="B569" s="8" t="n">
        <v>24610.05</v>
      </c>
      <c r="C569" s="8" t="n">
        <v>23314.9</v>
      </c>
      <c r="D569" s="8" t="n">
        <v>1683.55</v>
      </c>
      <c r="E569" s="8" t="n">
        <v>818.85</v>
      </c>
      <c r="F569" s="8" t="n">
        <v>1022.25</v>
      </c>
      <c r="G569" s="8" t="n">
        <v>630.45</v>
      </c>
      <c r="H569" s="8" t="n">
        <v>964.5</v>
      </c>
      <c r="I569" s="8" t="n">
        <v>471.1</v>
      </c>
      <c r="J569" s="8" t="n">
        <v>1394.05</v>
      </c>
      <c r="K569" s="8" t="n">
        <v>692.68</v>
      </c>
      <c r="L569" s="8" t="n">
        <v>1336.3</v>
      </c>
      <c r="M569" s="8" t="n">
        <v>916.6</v>
      </c>
      <c r="N569" s="8" t="n">
        <v>442.75</v>
      </c>
      <c r="O569" s="8" t="n">
        <v>284.55</v>
      </c>
      <c r="P569" s="8" t="n">
        <v>2033.25</v>
      </c>
      <c r="Q569" s="8" t="n">
        <v>358.9</v>
      </c>
      <c r="R569" s="8" t="n">
        <v>729.5</v>
      </c>
      <c r="S569" s="8" t="n">
        <v>637.3</v>
      </c>
    </row>
    <row r="570" customFormat="false" ht="15" hidden="false" customHeight="false" outlineLevel="0" collapsed="false">
      <c r="A570" s="7" t="n">
        <v>45637</v>
      </c>
      <c r="B570" s="8" t="n">
        <v>24641.8</v>
      </c>
      <c r="C570" s="8" t="n">
        <v>23358.15</v>
      </c>
      <c r="D570" s="8" t="n">
        <v>1673.8</v>
      </c>
      <c r="E570" s="8" t="n">
        <v>819.95</v>
      </c>
      <c r="F570" s="8" t="n">
        <v>1029.85</v>
      </c>
      <c r="G570" s="8" t="n">
        <v>636.85</v>
      </c>
      <c r="H570" s="8" t="n">
        <v>939.9</v>
      </c>
      <c r="I570" s="8" t="n">
        <v>470.6</v>
      </c>
      <c r="J570" s="8" t="n">
        <v>1350.1</v>
      </c>
      <c r="K570" s="8" t="n">
        <v>710.54</v>
      </c>
      <c r="L570" s="8" t="n">
        <v>1348.95</v>
      </c>
      <c r="M570" s="8" t="n">
        <v>903.4</v>
      </c>
      <c r="N570" s="8" t="n">
        <v>445.1</v>
      </c>
      <c r="O570" s="8" t="n">
        <v>283.05</v>
      </c>
      <c r="P570" s="8" t="n">
        <v>2064.5</v>
      </c>
      <c r="Q570" s="8" t="n">
        <v>364.35</v>
      </c>
      <c r="R570" s="8" t="n">
        <v>730.75</v>
      </c>
      <c r="S570" s="8" t="n">
        <v>649.65</v>
      </c>
    </row>
    <row r="571" customFormat="false" ht="15" hidden="false" customHeight="false" outlineLevel="0" collapsed="false">
      <c r="A571" s="7" t="n">
        <v>45638</v>
      </c>
      <c r="B571" s="8" t="n">
        <v>24548.7</v>
      </c>
      <c r="C571" s="8" t="n">
        <v>23256.4</v>
      </c>
      <c r="D571" s="8" t="n">
        <v>1678.05</v>
      </c>
      <c r="E571" s="8" t="n">
        <v>810.85</v>
      </c>
      <c r="F571" s="8" t="n">
        <v>1040.1</v>
      </c>
      <c r="G571" s="8" t="n">
        <v>632.3</v>
      </c>
      <c r="H571" s="8" t="n">
        <v>927.95</v>
      </c>
      <c r="I571" s="8" t="n">
        <v>458.6</v>
      </c>
      <c r="J571" s="8" t="n">
        <v>1329.75</v>
      </c>
      <c r="K571" s="8" t="n">
        <v>711.61</v>
      </c>
      <c r="L571" s="8" t="n">
        <v>1343.05</v>
      </c>
      <c r="M571" s="8" t="n">
        <v>893.8</v>
      </c>
      <c r="N571" s="8" t="n">
        <v>433.55</v>
      </c>
      <c r="O571" s="8" t="n">
        <v>279.9</v>
      </c>
      <c r="P571" s="8" t="n">
        <v>2127.35</v>
      </c>
      <c r="Q571" s="8" t="n">
        <v>358.25</v>
      </c>
      <c r="R571" s="8" t="n">
        <v>726.8</v>
      </c>
      <c r="S571" s="8" t="n">
        <v>649.62</v>
      </c>
    </row>
    <row r="572" customFormat="false" ht="15" hidden="false" customHeight="false" outlineLevel="0" collapsed="false">
      <c r="A572" s="7" t="n">
        <v>45639</v>
      </c>
      <c r="B572" s="8" t="n">
        <v>24768.3</v>
      </c>
      <c r="C572" s="8" t="n">
        <v>23358.95</v>
      </c>
      <c r="D572" s="8" t="n">
        <v>1663.85</v>
      </c>
      <c r="E572" s="8" t="n">
        <v>803.1</v>
      </c>
      <c r="F572" s="8" t="n">
        <v>1053.4</v>
      </c>
      <c r="G572" s="8" t="n">
        <v>624.35</v>
      </c>
      <c r="H572" s="8" t="n">
        <v>934.1</v>
      </c>
      <c r="I572" s="8" t="n">
        <v>459.6</v>
      </c>
      <c r="J572" s="8" t="n">
        <v>1322.65</v>
      </c>
      <c r="K572" s="8" t="n">
        <v>717.3</v>
      </c>
      <c r="L572" s="8" t="n">
        <v>1304.85</v>
      </c>
      <c r="M572" s="8" t="n">
        <v>897.85</v>
      </c>
      <c r="N572" s="8" t="n">
        <v>436.15</v>
      </c>
      <c r="O572" s="8" t="n">
        <v>274.75</v>
      </c>
      <c r="P572" s="8" t="n">
        <v>2092.85</v>
      </c>
      <c r="Q572" s="8" t="n">
        <v>349.95</v>
      </c>
      <c r="R572" s="8" t="n">
        <v>725.45</v>
      </c>
      <c r="S572" s="8" t="n">
        <v>632.51</v>
      </c>
    </row>
    <row r="573" customFormat="false" ht="15" hidden="false" customHeight="false" outlineLevel="0" collapsed="false">
      <c r="A573" s="7" t="n">
        <v>45642</v>
      </c>
      <c r="B573" s="8" t="n">
        <v>24668.25</v>
      </c>
      <c r="C573" s="8" t="n">
        <v>23352.45</v>
      </c>
      <c r="D573" s="8" t="n">
        <v>1669.5</v>
      </c>
      <c r="E573" s="8" t="n">
        <v>801.95</v>
      </c>
      <c r="F573" s="8" t="n">
        <v>1050.8</v>
      </c>
      <c r="G573" s="8" t="n">
        <v>625.95</v>
      </c>
      <c r="H573" s="8" t="n">
        <v>921.75</v>
      </c>
      <c r="I573" s="8" t="n">
        <v>459.4</v>
      </c>
      <c r="J573" s="8" t="n">
        <v>1325.75</v>
      </c>
      <c r="K573" s="8" t="n">
        <v>719.86</v>
      </c>
      <c r="L573" s="8" t="n">
        <v>1285.7</v>
      </c>
      <c r="M573" s="8" t="n">
        <v>894.5</v>
      </c>
      <c r="N573" s="8" t="n">
        <v>426.9</v>
      </c>
      <c r="O573" s="8" t="n">
        <v>276.75</v>
      </c>
      <c r="P573" s="8" t="n">
        <v>2119.2</v>
      </c>
      <c r="Q573" s="8" t="n">
        <v>344.95</v>
      </c>
      <c r="R573" s="8" t="n">
        <v>728.35</v>
      </c>
      <c r="S573" s="8" t="n">
        <v>627.49</v>
      </c>
    </row>
    <row r="574" customFormat="false" ht="15" hidden="false" customHeight="false" outlineLevel="0" collapsed="false">
      <c r="A574" s="7" t="n">
        <v>45643</v>
      </c>
      <c r="B574" s="8" t="n">
        <v>24336</v>
      </c>
      <c r="C574" s="8" t="n">
        <v>23095.75</v>
      </c>
      <c r="D574" s="8" t="n">
        <v>1664.1</v>
      </c>
      <c r="E574" s="8" t="n">
        <v>781.45</v>
      </c>
      <c r="F574" s="8" t="n">
        <v>1038.45</v>
      </c>
      <c r="G574" s="8" t="n">
        <v>604.85</v>
      </c>
      <c r="H574" s="8" t="n">
        <v>889.4</v>
      </c>
      <c r="I574" s="8" t="n">
        <v>447.95</v>
      </c>
      <c r="J574" s="8" t="n">
        <v>1321.7</v>
      </c>
      <c r="K574" s="8" t="n">
        <v>714.31</v>
      </c>
      <c r="L574" s="8" t="n">
        <v>1246.8</v>
      </c>
      <c r="M574" s="8" t="n">
        <v>873</v>
      </c>
      <c r="N574" s="8" t="n">
        <v>416.4</v>
      </c>
      <c r="O574" s="8" t="n">
        <v>269.5</v>
      </c>
      <c r="P574" s="8" t="n">
        <v>2104.9</v>
      </c>
      <c r="Q574" s="8" t="n">
        <v>340.8</v>
      </c>
      <c r="R574" s="8" t="n">
        <v>715.35</v>
      </c>
      <c r="S574" s="8" t="n">
        <v>595.38</v>
      </c>
    </row>
    <row r="575" customFormat="false" ht="15" hidden="false" customHeight="false" outlineLevel="0" collapsed="false">
      <c r="A575" s="7" t="n">
        <v>45644</v>
      </c>
      <c r="B575" s="8" t="n">
        <v>24198.85</v>
      </c>
      <c r="C575" s="8" t="n">
        <v>22934.4</v>
      </c>
      <c r="D575" s="8" t="n">
        <v>1682.35</v>
      </c>
      <c r="E575" s="8" t="n">
        <v>772.95</v>
      </c>
      <c r="F575" s="8" t="n">
        <v>1004.6</v>
      </c>
      <c r="G575" s="8" t="n">
        <v>598.95</v>
      </c>
      <c r="H575" s="8" t="n">
        <v>873</v>
      </c>
      <c r="I575" s="8" t="n">
        <v>440.35</v>
      </c>
      <c r="J575" s="8" t="n">
        <v>1300.2</v>
      </c>
      <c r="K575" s="8" t="n">
        <v>706.48</v>
      </c>
      <c r="L575" s="8" t="n">
        <v>1242.75</v>
      </c>
      <c r="M575" s="8" t="n">
        <v>859.85</v>
      </c>
      <c r="N575" s="8" t="n">
        <v>426.65</v>
      </c>
      <c r="O575" s="8" t="n">
        <v>269.3</v>
      </c>
      <c r="P575" s="8" t="n">
        <v>2114.7</v>
      </c>
      <c r="Q575" s="8" t="n">
        <v>329.85</v>
      </c>
      <c r="R575" s="8" t="n">
        <v>710.55</v>
      </c>
      <c r="S575" s="8" t="n">
        <v>586.28</v>
      </c>
    </row>
    <row r="576" customFormat="false" ht="15" hidden="false" customHeight="false" outlineLevel="0" collapsed="false">
      <c r="A576" s="7" t="n">
        <v>45645</v>
      </c>
      <c r="B576" s="8" t="n">
        <v>23951.7</v>
      </c>
      <c r="C576" s="8" t="n">
        <v>22752.15</v>
      </c>
      <c r="D576" s="8" t="n">
        <v>1679.3</v>
      </c>
      <c r="E576" s="8" t="n">
        <v>770.55</v>
      </c>
      <c r="F576" s="8" t="n">
        <v>1031.75</v>
      </c>
      <c r="G576" s="8" t="n">
        <v>591.85</v>
      </c>
      <c r="H576" s="8" t="n">
        <v>872.1</v>
      </c>
      <c r="I576" s="8" t="n">
        <v>439.15</v>
      </c>
      <c r="J576" s="8" t="n">
        <v>1265.55</v>
      </c>
      <c r="K576" s="8" t="n">
        <v>690.91</v>
      </c>
      <c r="L576" s="8" t="n">
        <v>1213.75</v>
      </c>
      <c r="M576" s="8" t="n">
        <v>841.2</v>
      </c>
      <c r="N576" s="8" t="n">
        <v>419.65</v>
      </c>
      <c r="O576" s="8" t="n">
        <v>272.05</v>
      </c>
      <c r="P576" s="8" t="n">
        <v>2136.85</v>
      </c>
      <c r="Q576" s="8" t="n">
        <v>324.4</v>
      </c>
      <c r="R576" s="8" t="n">
        <v>703.4</v>
      </c>
      <c r="S576" s="8" t="n">
        <v>589.09</v>
      </c>
    </row>
    <row r="577" customFormat="false" ht="15" hidden="false" customHeight="false" outlineLevel="0" collapsed="false">
      <c r="A577" s="7" t="n">
        <v>45646</v>
      </c>
      <c r="B577" s="8" t="n">
        <v>23587.5</v>
      </c>
      <c r="C577" s="8" t="n">
        <v>22319.4</v>
      </c>
      <c r="D577" s="8" t="n">
        <v>1665.3</v>
      </c>
      <c r="E577" s="8" t="n">
        <v>747.7</v>
      </c>
      <c r="F577" s="8" t="n">
        <v>1000.1</v>
      </c>
      <c r="G577" s="8" t="n">
        <v>582.25</v>
      </c>
      <c r="H577" s="8" t="n">
        <v>868.85</v>
      </c>
      <c r="I577" s="8" t="n">
        <v>419.8</v>
      </c>
      <c r="J577" s="8" t="n">
        <v>1253.9</v>
      </c>
      <c r="K577" s="8" t="n">
        <v>683.89</v>
      </c>
      <c r="L577" s="8" t="n">
        <v>1189.55</v>
      </c>
      <c r="M577" s="8" t="n">
        <v>813.9</v>
      </c>
      <c r="N577" s="8" t="n">
        <v>407.25</v>
      </c>
      <c r="O577" s="8" t="n">
        <v>266.05</v>
      </c>
      <c r="P577" s="8" t="n">
        <v>2075.65</v>
      </c>
      <c r="Q577" s="8" t="n">
        <v>318.85</v>
      </c>
      <c r="R577" s="8" t="n">
        <v>687</v>
      </c>
      <c r="S577" s="8" t="n">
        <v>575.45</v>
      </c>
    </row>
    <row r="578" customFormat="false" ht="15" hidden="false" customHeight="false" outlineLevel="0" collapsed="false">
      <c r="A578" s="7" t="n">
        <v>45649</v>
      </c>
      <c r="B578" s="8" t="n">
        <v>23753.45</v>
      </c>
      <c r="C578" s="8" t="n">
        <v>22412.3</v>
      </c>
      <c r="D578" s="8" t="n">
        <v>1672.55</v>
      </c>
      <c r="E578" s="8" t="n">
        <v>726.55</v>
      </c>
      <c r="F578" s="8" t="n">
        <v>1000.25</v>
      </c>
      <c r="G578" s="8" t="n">
        <v>583.25</v>
      </c>
      <c r="H578" s="8" t="n">
        <v>842.95</v>
      </c>
      <c r="I578" s="8" t="n">
        <v>416.95</v>
      </c>
      <c r="J578" s="8" t="n">
        <v>1203.4</v>
      </c>
      <c r="K578" s="8" t="n">
        <v>685.74</v>
      </c>
      <c r="L578" s="8" t="n">
        <v>1171.1</v>
      </c>
      <c r="M578" s="8" t="n">
        <v>826.15</v>
      </c>
      <c r="N578" s="8" t="n">
        <v>408.1</v>
      </c>
      <c r="O578" s="8" t="n">
        <v>265.15</v>
      </c>
      <c r="P578" s="8" t="n">
        <v>2067.55</v>
      </c>
      <c r="Q578" s="8" t="n">
        <v>318.3</v>
      </c>
      <c r="R578" s="8" t="n">
        <v>691.3</v>
      </c>
      <c r="S578" s="8" t="n">
        <v>576.58</v>
      </c>
    </row>
    <row r="579" customFormat="false" ht="15" hidden="false" customHeight="false" outlineLevel="0" collapsed="false">
      <c r="A579" s="7" t="n">
        <v>45650</v>
      </c>
      <c r="B579" s="8" t="n">
        <v>23727.65</v>
      </c>
      <c r="C579" s="8" t="n">
        <v>22402.7</v>
      </c>
      <c r="D579" s="8" t="n">
        <v>1669.05</v>
      </c>
      <c r="E579" s="8" t="n">
        <v>726.2</v>
      </c>
      <c r="F579" s="8" t="n">
        <v>1003.8</v>
      </c>
      <c r="G579" s="8" t="n">
        <v>585.05</v>
      </c>
      <c r="H579" s="8" t="n">
        <v>846.75</v>
      </c>
      <c r="I579" s="8" t="n">
        <v>414.7</v>
      </c>
      <c r="J579" s="8" t="n">
        <v>1196.9</v>
      </c>
      <c r="K579" s="8" t="n">
        <v>679.89</v>
      </c>
      <c r="L579" s="8" t="n">
        <v>1185.45</v>
      </c>
      <c r="M579" s="8" t="n">
        <v>826.6</v>
      </c>
      <c r="N579" s="8" t="n">
        <v>414.6</v>
      </c>
      <c r="O579" s="8" t="n">
        <v>264.05</v>
      </c>
      <c r="P579" s="8" t="n">
        <v>2035</v>
      </c>
      <c r="Q579" s="8" t="n">
        <v>321.95</v>
      </c>
      <c r="R579" s="8" t="n">
        <v>695.9</v>
      </c>
      <c r="S579" s="8" t="n">
        <v>576.59</v>
      </c>
    </row>
    <row r="580" customFormat="false" ht="15" hidden="false" customHeight="false" outlineLevel="0" collapsed="false">
      <c r="A580" s="7" t="n">
        <v>45652</v>
      </c>
      <c r="B580" s="8" t="n">
        <v>23750.2</v>
      </c>
      <c r="C580" s="8" t="n">
        <v>22430.35</v>
      </c>
      <c r="D580" s="8" t="n">
        <v>1663.9</v>
      </c>
      <c r="E580" s="8" t="n">
        <v>723.95</v>
      </c>
      <c r="F580" s="8" t="n">
        <v>1002.55</v>
      </c>
      <c r="G580" s="8" t="n">
        <v>588.2</v>
      </c>
      <c r="H580" s="8" t="n">
        <v>850.4</v>
      </c>
      <c r="I580" s="8" t="n">
        <v>415.55</v>
      </c>
      <c r="J580" s="8" t="n">
        <v>1182.5</v>
      </c>
      <c r="K580" s="8" t="n">
        <v>680.65</v>
      </c>
      <c r="L580" s="8" t="n">
        <v>1189.35</v>
      </c>
      <c r="M580" s="8" t="n">
        <v>834.95</v>
      </c>
      <c r="N580" s="8" t="n">
        <v>409.85</v>
      </c>
      <c r="O580" s="8" t="n">
        <v>265.6</v>
      </c>
      <c r="P580" s="8" t="n">
        <v>2062.5</v>
      </c>
      <c r="Q580" s="8" t="n">
        <v>320.45</v>
      </c>
      <c r="R580" s="8" t="n">
        <v>679.2</v>
      </c>
      <c r="S580" s="8" t="n">
        <v>585.38</v>
      </c>
    </row>
    <row r="581" customFormat="false" ht="15" hidden="false" customHeight="false" outlineLevel="0" collapsed="false">
      <c r="A581" s="7" t="n">
        <v>45653</v>
      </c>
      <c r="B581" s="8" t="n">
        <v>23813.4</v>
      </c>
      <c r="C581" s="8" t="n">
        <v>22445.2</v>
      </c>
      <c r="D581" s="8" t="n">
        <v>1661.55</v>
      </c>
      <c r="E581" s="8" t="n">
        <v>750.55</v>
      </c>
      <c r="F581" s="8" t="n">
        <v>1029.9</v>
      </c>
      <c r="G581" s="8" t="n">
        <v>596.6</v>
      </c>
      <c r="H581" s="8" t="n">
        <v>851</v>
      </c>
      <c r="I581" s="8" t="n">
        <v>411.9</v>
      </c>
      <c r="J581" s="8" t="n">
        <v>1286.75</v>
      </c>
      <c r="K581" s="8" t="n">
        <v>689.84</v>
      </c>
      <c r="L581" s="8" t="n">
        <v>1193.85</v>
      </c>
      <c r="M581" s="8" t="n">
        <v>839.65</v>
      </c>
      <c r="N581" s="8" t="n">
        <v>412.2</v>
      </c>
      <c r="O581" s="8" t="n">
        <v>267</v>
      </c>
      <c r="P581" s="8" t="n">
        <v>2069.6</v>
      </c>
      <c r="Q581" s="8" t="n">
        <v>320.65</v>
      </c>
      <c r="R581" s="8" t="n">
        <v>675.3</v>
      </c>
      <c r="S581" s="8" t="n">
        <v>579.78</v>
      </c>
    </row>
    <row r="582" customFormat="false" ht="15" hidden="false" customHeight="false" outlineLevel="0" collapsed="false">
      <c r="A582" s="7" t="n">
        <v>45656</v>
      </c>
      <c r="B582" s="8" t="n">
        <v>23644.9</v>
      </c>
      <c r="C582" s="8" t="n">
        <v>22357.15</v>
      </c>
      <c r="D582" s="8" t="n">
        <v>1659.1</v>
      </c>
      <c r="E582" s="8" t="n">
        <v>754.3</v>
      </c>
      <c r="F582" s="8" t="n">
        <v>1051.25</v>
      </c>
      <c r="G582" s="8" t="n">
        <v>590.8</v>
      </c>
      <c r="H582" s="8" t="n">
        <v>869.7</v>
      </c>
      <c r="I582" s="8" t="n">
        <v>411.1</v>
      </c>
      <c r="J582" s="8" t="n">
        <v>1207.4</v>
      </c>
      <c r="K582" s="8" t="n">
        <v>687.89</v>
      </c>
      <c r="L582" s="8" t="n">
        <v>1212.4</v>
      </c>
      <c r="M582" s="8" t="n">
        <v>909.25</v>
      </c>
      <c r="N582" s="8" t="n">
        <v>413</v>
      </c>
      <c r="O582" s="8" t="n">
        <v>264.1</v>
      </c>
      <c r="P582" s="8" t="n">
        <v>2101.5</v>
      </c>
      <c r="Q582" s="8" t="n">
        <v>315.35</v>
      </c>
      <c r="R582" s="8" t="n">
        <v>669.5</v>
      </c>
      <c r="S582" s="8" t="n">
        <v>583.8</v>
      </c>
    </row>
    <row r="583" customFormat="false" ht="15" hidden="false" customHeight="false" outlineLevel="0" collapsed="false">
      <c r="A583" s="7" t="n">
        <v>45657</v>
      </c>
      <c r="B583" s="8" t="n">
        <v>23644.8</v>
      </c>
      <c r="C583" s="8" t="n">
        <v>22375.4</v>
      </c>
      <c r="D583" s="8" t="n">
        <v>1679.55</v>
      </c>
      <c r="E583" s="8" t="n">
        <v>759.3</v>
      </c>
      <c r="F583" s="8" t="n">
        <v>1055.55</v>
      </c>
      <c r="G583" s="8" t="n">
        <v>598.05</v>
      </c>
      <c r="H583" s="8" t="n">
        <v>877.7</v>
      </c>
      <c r="I583" s="8" t="n">
        <v>407.75</v>
      </c>
      <c r="J583" s="8" t="n">
        <v>1237.65</v>
      </c>
      <c r="K583" s="8" t="n">
        <v>681.37</v>
      </c>
      <c r="L583" s="8" t="n">
        <v>1185.95</v>
      </c>
      <c r="M583" s="8" t="n">
        <v>886.55</v>
      </c>
      <c r="N583" s="8" t="n">
        <v>413.5</v>
      </c>
      <c r="O583" s="8" t="n">
        <v>264.95</v>
      </c>
      <c r="P583" s="8" t="n">
        <v>2136.15</v>
      </c>
      <c r="Q583" s="8" t="n">
        <v>314.35</v>
      </c>
      <c r="R583" s="8" t="n">
        <v>663.85</v>
      </c>
      <c r="S583" s="8" t="n">
        <v>577.83</v>
      </c>
    </row>
    <row r="584" customFormat="false" ht="15" hidden="false" customHeight="false" outlineLevel="0" collapsed="false">
      <c r="A584" s="7" t="n">
        <v>45658</v>
      </c>
      <c r="B584" s="8" t="n">
        <v>23742.9</v>
      </c>
      <c r="C584" s="8" t="n">
        <v>22481.8</v>
      </c>
      <c r="D584" s="8" t="n">
        <v>1677.85</v>
      </c>
      <c r="E584" s="8" t="n">
        <v>730.35</v>
      </c>
      <c r="F584" s="8" t="n">
        <v>1045</v>
      </c>
      <c r="G584" s="8" t="n">
        <v>600.3</v>
      </c>
      <c r="H584" s="8" t="n">
        <v>908.1</v>
      </c>
      <c r="I584" s="8" t="n">
        <v>432.55</v>
      </c>
      <c r="J584" s="8" t="n">
        <v>1293.65</v>
      </c>
      <c r="K584" s="8" t="n">
        <v>692.59</v>
      </c>
      <c r="L584" s="8" t="n">
        <v>1184.35</v>
      </c>
      <c r="M584" s="8" t="n">
        <v>890.9</v>
      </c>
      <c r="N584" s="8" t="n">
        <v>418.25</v>
      </c>
      <c r="O584" s="8" t="n">
        <v>265.55</v>
      </c>
      <c r="P584" s="8" t="n">
        <v>2215.05</v>
      </c>
      <c r="Q584" s="8" t="n">
        <v>314.1</v>
      </c>
      <c r="R584" s="8" t="n">
        <v>677.8</v>
      </c>
      <c r="S584" s="8" t="n">
        <v>583.73</v>
      </c>
    </row>
    <row r="585" customFormat="false" ht="15" hidden="false" customHeight="false" outlineLevel="0" collapsed="false">
      <c r="A585" s="7" t="n">
        <v>45659</v>
      </c>
      <c r="B585" s="8" t="n">
        <v>24188.65</v>
      </c>
      <c r="C585" s="8" t="n">
        <v>22819.75</v>
      </c>
      <c r="D585" s="8" t="n">
        <v>1695.65</v>
      </c>
      <c r="E585" s="8" t="n">
        <v>729.45</v>
      </c>
      <c r="F585" s="8" t="n">
        <v>1076.15</v>
      </c>
      <c r="G585" s="8" t="n">
        <v>606.05</v>
      </c>
      <c r="H585" s="8" t="n">
        <v>924.8</v>
      </c>
      <c r="I585" s="8" t="n">
        <v>439.45</v>
      </c>
      <c r="J585" s="8" t="n">
        <v>1288.4</v>
      </c>
      <c r="K585" s="8" t="n">
        <v>737.92</v>
      </c>
      <c r="L585" s="8" t="n">
        <v>1271.5</v>
      </c>
      <c r="M585" s="8" t="n">
        <v>954.65</v>
      </c>
      <c r="N585" s="8" t="n">
        <v>431.5</v>
      </c>
      <c r="O585" s="8" t="n">
        <v>275.7</v>
      </c>
      <c r="P585" s="8" t="n">
        <v>2256.9</v>
      </c>
      <c r="Q585" s="8" t="n">
        <v>321.45</v>
      </c>
      <c r="R585" s="8" t="n">
        <v>702.7</v>
      </c>
      <c r="S585" s="8" t="n">
        <v>612.01</v>
      </c>
    </row>
    <row r="586" customFormat="false" ht="15" hidden="false" customHeight="false" outlineLevel="0" collapsed="false">
      <c r="A586" s="7" t="n">
        <v>45660</v>
      </c>
      <c r="B586" s="8" t="n">
        <v>24004.75</v>
      </c>
      <c r="C586" s="8" t="n">
        <v>22708.15</v>
      </c>
      <c r="D586" s="8" t="n">
        <v>1701.35</v>
      </c>
      <c r="E586" s="8" t="n">
        <v>721.15</v>
      </c>
      <c r="F586" s="8" t="n">
        <v>1068.05</v>
      </c>
      <c r="G586" s="8" t="n">
        <v>609.45</v>
      </c>
      <c r="H586" s="8" t="n">
        <v>926.65</v>
      </c>
      <c r="I586" s="8" t="n">
        <v>435.8</v>
      </c>
      <c r="J586" s="8" t="n">
        <v>1251.65</v>
      </c>
      <c r="K586" s="8" t="n">
        <v>739.72</v>
      </c>
      <c r="L586" s="8" t="n">
        <v>1320.25</v>
      </c>
      <c r="M586" s="8" t="n">
        <v>934.55</v>
      </c>
      <c r="N586" s="8" t="n">
        <v>421</v>
      </c>
      <c r="O586" s="8" t="n">
        <v>276.45</v>
      </c>
      <c r="P586" s="8" t="n">
        <v>2237.25</v>
      </c>
      <c r="Q586" s="8" t="n">
        <v>319.6</v>
      </c>
      <c r="R586" s="8" t="n">
        <v>723.55</v>
      </c>
      <c r="S586" s="8" t="n">
        <v>609.67</v>
      </c>
    </row>
    <row r="587" customFormat="false" ht="15" hidden="false" customHeight="false" outlineLevel="0" collapsed="false">
      <c r="A587" s="7" t="n">
        <v>45663</v>
      </c>
      <c r="B587" s="8" t="n">
        <v>23616.05</v>
      </c>
      <c r="C587" s="8" t="n">
        <v>22225.4</v>
      </c>
      <c r="D587" s="8" t="n">
        <v>1691</v>
      </c>
      <c r="E587" s="8" t="n">
        <v>697.75</v>
      </c>
      <c r="F587" s="8" t="n">
        <v>1036.65</v>
      </c>
      <c r="G587" s="8" t="n">
        <v>594.3</v>
      </c>
      <c r="H587" s="8" t="n">
        <v>897.15</v>
      </c>
      <c r="I587" s="8" t="n">
        <v>414.15</v>
      </c>
      <c r="J587" s="8" t="n">
        <v>1212.05</v>
      </c>
      <c r="K587" s="8" t="n">
        <v>733.94</v>
      </c>
      <c r="L587" s="8" t="n">
        <v>1294.2</v>
      </c>
      <c r="M587" s="8" t="n">
        <v>911.25</v>
      </c>
      <c r="N587" s="8" t="n">
        <v>404.45</v>
      </c>
      <c r="O587" s="8" t="n">
        <v>271</v>
      </c>
      <c r="P587" s="8" t="n">
        <v>2185.8</v>
      </c>
      <c r="Q587" s="8" t="n">
        <v>313.3</v>
      </c>
      <c r="R587" s="8" t="n">
        <v>730.5</v>
      </c>
      <c r="S587" s="8" t="n">
        <v>593.91</v>
      </c>
    </row>
    <row r="588" customFormat="false" ht="15" hidden="false" customHeight="false" outlineLevel="0" collapsed="false">
      <c r="A588" s="7" t="n">
        <v>45664</v>
      </c>
      <c r="B588" s="8" t="n">
        <v>23707.9</v>
      </c>
      <c r="C588" s="8" t="n">
        <v>22341.65</v>
      </c>
      <c r="D588" s="8" t="n">
        <v>1699.45</v>
      </c>
      <c r="E588" s="8" t="n">
        <v>714.8</v>
      </c>
      <c r="F588" s="8" t="n">
        <v>1061.3</v>
      </c>
      <c r="G588" s="8" t="n">
        <v>585.15</v>
      </c>
      <c r="H588" s="8" t="n">
        <v>885.6</v>
      </c>
      <c r="I588" s="8" t="n">
        <v>417.15</v>
      </c>
      <c r="J588" s="8" t="n">
        <v>1239.2</v>
      </c>
      <c r="K588" s="8" t="n">
        <v>734.4</v>
      </c>
      <c r="L588" s="8" t="n">
        <v>1276</v>
      </c>
      <c r="M588" s="8" t="n">
        <v>911.1</v>
      </c>
      <c r="N588" s="8" t="n">
        <v>421.4</v>
      </c>
      <c r="O588" s="8" t="n">
        <v>277.15</v>
      </c>
      <c r="P588" s="8" t="n">
        <v>2209.15</v>
      </c>
      <c r="Q588" s="8" t="n">
        <v>316.6</v>
      </c>
      <c r="R588" s="8" t="n">
        <v>732.95</v>
      </c>
      <c r="S588" s="8" t="n">
        <v>591.68</v>
      </c>
    </row>
    <row r="589" customFormat="false" ht="15" hidden="false" customHeight="false" outlineLevel="0" collapsed="false">
      <c r="A589" s="7" t="n">
        <v>45665</v>
      </c>
      <c r="B589" s="8" t="n">
        <v>23688.95</v>
      </c>
      <c r="C589" s="8" t="n">
        <v>22231.8</v>
      </c>
      <c r="D589" s="8" t="n">
        <v>1680.75</v>
      </c>
      <c r="E589" s="8" t="n">
        <v>705.4</v>
      </c>
      <c r="F589" s="8" t="n">
        <v>1054.7</v>
      </c>
      <c r="G589" s="8" t="n">
        <v>582.85</v>
      </c>
      <c r="H589" s="8" t="n">
        <v>873.9</v>
      </c>
      <c r="I589" s="8" t="n">
        <v>410.8</v>
      </c>
      <c r="J589" s="8" t="n">
        <v>1302.95</v>
      </c>
      <c r="K589" s="8" t="n">
        <v>734.54</v>
      </c>
      <c r="L589" s="8" t="n">
        <v>1275.25</v>
      </c>
      <c r="M589" s="8" t="n">
        <v>1029.1</v>
      </c>
      <c r="N589" s="8" t="n">
        <v>434.6</v>
      </c>
      <c r="O589" s="8" t="n">
        <v>278.75</v>
      </c>
      <c r="P589" s="8" t="n">
        <v>2179.2</v>
      </c>
      <c r="Q589" s="8" t="n">
        <v>321.8</v>
      </c>
      <c r="R589" s="8" t="n">
        <v>737.25</v>
      </c>
      <c r="S589" s="8" t="n">
        <v>579.75</v>
      </c>
    </row>
    <row r="590" customFormat="false" ht="15" hidden="false" customHeight="false" outlineLevel="0" collapsed="false">
      <c r="A590" s="7" t="n">
        <v>45666</v>
      </c>
      <c r="B590" s="8" t="n">
        <v>23526.5</v>
      </c>
      <c r="C590" s="8" t="n">
        <v>22046.55</v>
      </c>
      <c r="D590" s="8" t="n">
        <v>1679.75</v>
      </c>
      <c r="E590" s="8" t="n">
        <v>693.1</v>
      </c>
      <c r="F590" s="8" t="n">
        <v>1041</v>
      </c>
      <c r="G590" s="8" t="n">
        <v>573.45</v>
      </c>
      <c r="H590" s="8" t="n">
        <v>890.75</v>
      </c>
      <c r="I590" s="8" t="n">
        <v>408.65</v>
      </c>
      <c r="J590" s="8" t="n">
        <v>1300.05</v>
      </c>
      <c r="K590" s="8" t="n">
        <v>726.76</v>
      </c>
      <c r="L590" s="8" t="n">
        <v>1288.2</v>
      </c>
      <c r="M590" s="8" t="n">
        <v>999.55</v>
      </c>
      <c r="N590" s="8" t="n">
        <v>429.3</v>
      </c>
      <c r="O590" s="8" t="n">
        <v>279.75</v>
      </c>
      <c r="P590" s="8" t="n">
        <v>2135.1</v>
      </c>
      <c r="Q590" s="8" t="n">
        <v>313.45</v>
      </c>
      <c r="R590" s="8" t="n">
        <v>730.7</v>
      </c>
      <c r="S590" s="8" t="n">
        <v>561.97</v>
      </c>
    </row>
    <row r="591" customFormat="false" ht="15" hidden="false" customHeight="false" outlineLevel="0" collapsed="false">
      <c r="A591" s="7" t="n">
        <v>45667</v>
      </c>
      <c r="B591" s="8" t="n">
        <v>23431.5</v>
      </c>
      <c r="C591" s="8" t="n">
        <v>21799</v>
      </c>
      <c r="D591" s="8" t="n">
        <v>1667.55</v>
      </c>
      <c r="E591" s="8" t="n">
        <v>679.35</v>
      </c>
      <c r="F591" s="8" t="n">
        <v>1036.7</v>
      </c>
      <c r="G591" s="8" t="n">
        <v>554.9</v>
      </c>
      <c r="H591" s="8" t="n">
        <v>855.3</v>
      </c>
      <c r="I591" s="8" t="n">
        <v>402.4</v>
      </c>
      <c r="J591" s="8" t="n">
        <v>1299.45</v>
      </c>
      <c r="K591" s="8" t="n">
        <v>727.81</v>
      </c>
      <c r="L591" s="8" t="n">
        <v>1255.05</v>
      </c>
      <c r="M591" s="8" t="n">
        <v>976.2</v>
      </c>
      <c r="N591" s="8" t="n">
        <v>415.35</v>
      </c>
      <c r="O591" s="8" t="n">
        <v>275.55</v>
      </c>
      <c r="P591" s="8" t="n">
        <v>2136.55</v>
      </c>
      <c r="Q591" s="8" t="n">
        <v>308.25</v>
      </c>
      <c r="R591" s="8" t="n">
        <v>722.55</v>
      </c>
      <c r="S591" s="8" t="n">
        <v>532</v>
      </c>
    </row>
    <row r="592" customFormat="false" ht="15" hidden="false" customHeight="false" outlineLevel="0" collapsed="false">
      <c r="A592" s="7" t="n">
        <v>45670</v>
      </c>
      <c r="B592" s="8" t="n">
        <v>23085.95</v>
      </c>
      <c r="C592" s="8" t="n">
        <v>21243.45</v>
      </c>
      <c r="D592" s="8" t="n">
        <v>1637</v>
      </c>
      <c r="E592" s="8" t="n">
        <v>651.75</v>
      </c>
      <c r="F592" s="8" t="n">
        <v>1018.4</v>
      </c>
      <c r="G592" s="8" t="n">
        <v>533.6</v>
      </c>
      <c r="H592" s="8" t="n">
        <v>809.4</v>
      </c>
      <c r="I592" s="8" t="n">
        <v>399.15</v>
      </c>
      <c r="J592" s="8" t="n">
        <v>1231.65</v>
      </c>
      <c r="K592" s="8" t="n">
        <v>714.12</v>
      </c>
      <c r="L592" s="8" t="n">
        <v>1222.55</v>
      </c>
      <c r="M592" s="8" t="n">
        <v>915.05</v>
      </c>
      <c r="N592" s="8" t="n">
        <v>392.6</v>
      </c>
      <c r="O592" s="8" t="n">
        <v>263.2</v>
      </c>
      <c r="P592" s="8" t="n">
        <v>2096.5</v>
      </c>
      <c r="Q592" s="8" t="n">
        <v>302.25</v>
      </c>
      <c r="R592" s="8" t="n">
        <v>713.55</v>
      </c>
      <c r="S592" s="8" t="n">
        <v>521.1</v>
      </c>
    </row>
    <row r="593" customFormat="false" ht="15" hidden="false" customHeight="false" outlineLevel="0" collapsed="false">
      <c r="A593" s="7" t="n">
        <v>45671</v>
      </c>
      <c r="B593" s="8" t="n">
        <v>23176.05</v>
      </c>
      <c r="C593" s="8" t="n">
        <v>21481.05</v>
      </c>
      <c r="D593" s="8" t="n">
        <v>1638.2</v>
      </c>
      <c r="E593" s="8" t="n">
        <v>670.8</v>
      </c>
      <c r="F593" s="8" t="n">
        <v>1041.15</v>
      </c>
      <c r="G593" s="8" t="n">
        <v>552.4</v>
      </c>
      <c r="H593" s="8" t="n">
        <v>840.95</v>
      </c>
      <c r="I593" s="8" t="n">
        <v>416.05</v>
      </c>
      <c r="J593" s="8" t="n">
        <v>1284.65</v>
      </c>
      <c r="K593" s="8" t="n">
        <v>732.5</v>
      </c>
      <c r="L593" s="8" t="n">
        <v>1270.7</v>
      </c>
      <c r="M593" s="8" t="n">
        <v>959.05</v>
      </c>
      <c r="N593" s="8" t="n">
        <v>402.05</v>
      </c>
      <c r="O593" s="8" t="n">
        <v>266.8</v>
      </c>
      <c r="P593" s="8" t="n">
        <v>2123.85</v>
      </c>
      <c r="Q593" s="8" t="n">
        <v>308.85</v>
      </c>
      <c r="R593" s="8" t="n">
        <v>734.7</v>
      </c>
      <c r="S593" s="8" t="n">
        <v>544.1</v>
      </c>
    </row>
    <row r="594" customFormat="false" ht="15" hidden="false" customHeight="false" outlineLevel="0" collapsed="false">
      <c r="A594" s="7" t="n">
        <v>45672</v>
      </c>
      <c r="B594" s="8" t="n">
        <v>23213.2</v>
      </c>
      <c r="C594" s="8" t="n">
        <v>21551.2</v>
      </c>
      <c r="D594" s="8" t="n">
        <v>1638.4</v>
      </c>
      <c r="E594" s="8" t="n">
        <v>673.15</v>
      </c>
      <c r="F594" s="8" t="n">
        <v>1027.25</v>
      </c>
      <c r="G594" s="8" t="n">
        <v>552.95</v>
      </c>
      <c r="H594" s="8" t="n">
        <v>856.6</v>
      </c>
      <c r="I594" s="8" t="n">
        <v>414.5</v>
      </c>
      <c r="J594" s="8" t="n">
        <v>1291.7</v>
      </c>
      <c r="K594" s="8" t="n">
        <v>716.76</v>
      </c>
      <c r="L594" s="8" t="n">
        <v>1253.85</v>
      </c>
      <c r="M594" s="8" t="n">
        <v>900.6</v>
      </c>
      <c r="N594" s="8" t="n">
        <v>393.25</v>
      </c>
      <c r="O594" s="8" t="n">
        <v>267.85</v>
      </c>
      <c r="P594" s="8" t="n">
        <v>2179.55</v>
      </c>
      <c r="Q594" s="8" t="n">
        <v>310.25</v>
      </c>
      <c r="R594" s="8" t="n">
        <v>735.2</v>
      </c>
      <c r="S594" s="8" t="n">
        <v>533.2</v>
      </c>
    </row>
    <row r="595" customFormat="false" ht="15" hidden="false" customHeight="false" outlineLevel="0" collapsed="false">
      <c r="A595" s="7" t="n">
        <v>45673</v>
      </c>
      <c r="B595" s="8" t="n">
        <v>23311.8</v>
      </c>
      <c r="C595" s="8" t="n">
        <v>21714.55</v>
      </c>
      <c r="D595" s="8" t="n">
        <v>1639.15</v>
      </c>
      <c r="E595" s="8" t="n">
        <v>687.6</v>
      </c>
      <c r="F595" s="8" t="n">
        <v>1048.45</v>
      </c>
      <c r="G595" s="8" t="n">
        <v>565.45</v>
      </c>
      <c r="H595" s="8" t="n">
        <v>895.6</v>
      </c>
      <c r="I595" s="8" t="n">
        <v>413.55</v>
      </c>
      <c r="J595" s="8" t="n">
        <v>1305.75</v>
      </c>
      <c r="K595" s="8" t="n">
        <v>724.99</v>
      </c>
      <c r="L595" s="8" t="n">
        <v>1282.1</v>
      </c>
      <c r="M595" s="8" t="n">
        <v>906.05</v>
      </c>
      <c r="N595" s="8" t="n">
        <v>399.05</v>
      </c>
      <c r="O595" s="8" t="n">
        <v>269.85</v>
      </c>
      <c r="P595" s="8" t="n">
        <v>2180</v>
      </c>
      <c r="Q595" s="8" t="n">
        <v>311.25</v>
      </c>
      <c r="R595" s="8" t="n">
        <v>752.75</v>
      </c>
      <c r="S595" s="8" t="n">
        <v>546.8</v>
      </c>
    </row>
    <row r="596" customFormat="false" ht="15" hidden="false" customHeight="false" outlineLevel="0" collapsed="false">
      <c r="A596" s="7" t="n">
        <v>45674</v>
      </c>
      <c r="B596" s="8" t="n">
        <v>23203.2</v>
      </c>
      <c r="C596" s="8" t="n">
        <v>21680.25</v>
      </c>
      <c r="D596" s="8" t="n">
        <v>1638.25</v>
      </c>
      <c r="E596" s="8" t="n">
        <v>691.5</v>
      </c>
      <c r="F596" s="8" t="n">
        <v>1030.2</v>
      </c>
      <c r="G596" s="8" t="n">
        <v>562.7</v>
      </c>
      <c r="H596" s="8" t="n">
        <v>903.9</v>
      </c>
      <c r="I596" s="8" t="n">
        <v>409.3</v>
      </c>
      <c r="J596" s="8" t="n">
        <v>1338.35</v>
      </c>
      <c r="K596" s="8" t="n">
        <v>717.23</v>
      </c>
      <c r="L596" s="8" t="n">
        <v>1257.4</v>
      </c>
      <c r="M596" s="8" t="n">
        <v>910.95</v>
      </c>
      <c r="N596" s="8" t="n">
        <v>399.15</v>
      </c>
      <c r="O596" s="8" t="n">
        <v>268.55</v>
      </c>
      <c r="P596" s="8" t="n">
        <v>2149.6</v>
      </c>
      <c r="Q596" s="8" t="n">
        <v>314.05</v>
      </c>
      <c r="R596" s="8" t="n">
        <v>740.85</v>
      </c>
      <c r="S596" s="8" t="n">
        <v>526.5</v>
      </c>
    </row>
    <row r="597" customFormat="false" ht="15" hidden="false" customHeight="false" outlineLevel="0" collapsed="false">
      <c r="A597" s="7" t="n">
        <v>45677</v>
      </c>
      <c r="B597" s="8" t="n">
        <v>23344.75</v>
      </c>
      <c r="C597" s="8" t="n">
        <v>21809</v>
      </c>
      <c r="D597" s="8" t="n">
        <v>1666.1</v>
      </c>
      <c r="E597" s="8" t="n">
        <v>708</v>
      </c>
      <c r="F597" s="8" t="n">
        <v>1038.2</v>
      </c>
      <c r="G597" s="8" t="n">
        <v>569.9</v>
      </c>
      <c r="H597" s="8" t="n">
        <v>912.45</v>
      </c>
      <c r="I597" s="8" t="n">
        <v>413.2</v>
      </c>
      <c r="J597" s="8" t="n">
        <v>1418.8</v>
      </c>
      <c r="K597" s="8" t="n">
        <v>743</v>
      </c>
      <c r="L597" s="8" t="n">
        <v>1246.9</v>
      </c>
      <c r="M597" s="8" t="n">
        <v>999.5</v>
      </c>
      <c r="N597" s="8" t="n">
        <v>402</v>
      </c>
      <c r="O597" s="8" t="n">
        <v>267.65</v>
      </c>
      <c r="P597" s="8" t="n">
        <v>2142.2</v>
      </c>
      <c r="Q597" s="8" t="n">
        <v>319.25</v>
      </c>
      <c r="R597" s="8" t="n">
        <v>761.5</v>
      </c>
      <c r="S597" s="8" t="n">
        <v>516.7</v>
      </c>
    </row>
    <row r="598" customFormat="false" ht="15" hidden="false" customHeight="false" outlineLevel="0" collapsed="false">
      <c r="A598" s="7" t="n">
        <v>45678</v>
      </c>
      <c r="B598" s="8" t="n">
        <v>23024.65</v>
      </c>
      <c r="C598" s="8" t="n">
        <v>21433.2</v>
      </c>
      <c r="D598" s="8" t="n">
        <v>1700.7</v>
      </c>
      <c r="E598" s="8" t="n">
        <v>691.8</v>
      </c>
      <c r="F598" s="8" t="n">
        <v>1020.4</v>
      </c>
      <c r="G598" s="8" t="n">
        <v>560.4</v>
      </c>
      <c r="H598" s="8" t="n">
        <v>898.5</v>
      </c>
      <c r="I598" s="8" t="n">
        <v>399.85</v>
      </c>
      <c r="J598" s="8" t="n">
        <v>1413.8</v>
      </c>
      <c r="K598" s="8" t="n">
        <v>728.17</v>
      </c>
      <c r="L598" s="8" t="n">
        <v>1240.5</v>
      </c>
      <c r="M598" s="8" t="n">
        <v>959.5</v>
      </c>
      <c r="N598" s="8" t="n">
        <v>391</v>
      </c>
      <c r="O598" s="8" t="n">
        <v>265.25</v>
      </c>
      <c r="P598" s="8" t="n">
        <v>2165.05</v>
      </c>
      <c r="Q598" s="8" t="n">
        <v>323.85</v>
      </c>
      <c r="R598" s="8" t="n">
        <v>762.6</v>
      </c>
      <c r="S598" s="8" t="n">
        <v>520.3</v>
      </c>
    </row>
    <row r="599" customFormat="false" ht="15" hidden="false" customHeight="false" outlineLevel="0" collapsed="false">
      <c r="A599" s="7" t="n">
        <v>45679</v>
      </c>
      <c r="B599" s="8" t="n">
        <v>23155.35</v>
      </c>
      <c r="C599" s="8" t="n">
        <v>21396.55</v>
      </c>
      <c r="D599" s="8" t="n">
        <v>1685.95</v>
      </c>
      <c r="E599" s="8" t="n">
        <v>686</v>
      </c>
      <c r="F599" s="8" t="n">
        <v>987.45</v>
      </c>
      <c r="G599" s="8" t="n">
        <v>554.8</v>
      </c>
      <c r="H599" s="8" t="n">
        <v>911.45</v>
      </c>
      <c r="I599" s="8" t="n">
        <v>394.6</v>
      </c>
      <c r="J599" s="8" t="n">
        <v>1367.85</v>
      </c>
      <c r="K599" s="8" t="n">
        <v>738.71</v>
      </c>
      <c r="L599" s="8" t="n">
        <v>1257.1</v>
      </c>
      <c r="M599" s="8" t="n">
        <v>959.7</v>
      </c>
      <c r="N599" s="8" t="n">
        <v>385.5</v>
      </c>
      <c r="O599" s="8" t="n">
        <v>265.85</v>
      </c>
      <c r="P599" s="8" t="n">
        <v>2197.45</v>
      </c>
      <c r="Q599" s="8" t="n">
        <v>327.1</v>
      </c>
      <c r="R599" s="8" t="n">
        <v>756.55</v>
      </c>
      <c r="S599" s="8" t="n">
        <v>518.65</v>
      </c>
    </row>
    <row r="600" customFormat="false" ht="15" hidden="false" customHeight="false" outlineLevel="0" collapsed="false">
      <c r="A600" s="7" t="n">
        <v>45680</v>
      </c>
      <c r="B600" s="8" t="n">
        <v>23205.35</v>
      </c>
      <c r="C600" s="8" t="n">
        <v>21538.05</v>
      </c>
      <c r="D600" s="8" t="n">
        <v>1727.85</v>
      </c>
      <c r="E600" s="8" t="n">
        <v>690.95</v>
      </c>
      <c r="F600" s="8" t="n">
        <v>993.7</v>
      </c>
      <c r="G600" s="8" t="n">
        <v>579.95</v>
      </c>
      <c r="H600" s="8" t="n">
        <v>883.75</v>
      </c>
      <c r="I600" s="8" t="n">
        <v>397.2</v>
      </c>
      <c r="J600" s="8" t="n">
        <v>1437.6</v>
      </c>
      <c r="K600" s="8" t="n">
        <v>743.31</v>
      </c>
      <c r="L600" s="8" t="n">
        <v>1246.05</v>
      </c>
      <c r="M600" s="8" t="n">
        <v>971.3</v>
      </c>
      <c r="N600" s="8" t="n">
        <v>386.45</v>
      </c>
      <c r="O600" s="8" t="n">
        <v>275.45</v>
      </c>
      <c r="P600" s="8" t="n">
        <v>2195.1</v>
      </c>
      <c r="Q600" s="8" t="n">
        <v>332.8</v>
      </c>
      <c r="R600" s="8" t="n">
        <v>760</v>
      </c>
      <c r="S600" s="8" t="n">
        <v>529.8</v>
      </c>
    </row>
    <row r="601" customFormat="false" ht="15" hidden="false" customHeight="false" outlineLevel="0" collapsed="false">
      <c r="A601" s="7" t="n">
        <v>45681</v>
      </c>
      <c r="B601" s="8" t="n">
        <v>23092.2</v>
      </c>
      <c r="C601" s="8" t="n">
        <v>21318.9</v>
      </c>
      <c r="D601" s="8" t="n">
        <v>1725.05</v>
      </c>
      <c r="E601" s="8" t="n">
        <v>682.7</v>
      </c>
      <c r="F601" s="8" t="n">
        <v>995.9</v>
      </c>
      <c r="G601" s="8" t="n">
        <v>573.3</v>
      </c>
      <c r="H601" s="8" t="n">
        <v>863.4</v>
      </c>
      <c r="I601" s="8" t="n">
        <v>387.95</v>
      </c>
      <c r="J601" s="8" t="n">
        <v>1341.95</v>
      </c>
      <c r="K601" s="8" t="n">
        <v>742.85</v>
      </c>
      <c r="L601" s="8" t="n">
        <v>1223.05</v>
      </c>
      <c r="M601" s="8" t="n">
        <v>916.6</v>
      </c>
      <c r="N601" s="8" t="n">
        <v>375.9</v>
      </c>
      <c r="O601" s="8" t="n">
        <v>268.05</v>
      </c>
      <c r="P601" s="8" t="n">
        <v>2173.4</v>
      </c>
      <c r="Q601" s="8" t="n">
        <v>317</v>
      </c>
      <c r="R601" s="8" t="n">
        <v>758.3</v>
      </c>
      <c r="S601" s="8" t="n">
        <v>527.45</v>
      </c>
    </row>
    <row r="602" customFormat="false" ht="15" hidden="false" customHeight="false" outlineLevel="0" collapsed="false">
      <c r="A602" s="7" t="n">
        <v>45684</v>
      </c>
      <c r="B602" s="8" t="n">
        <v>22829.15</v>
      </c>
      <c r="C602" s="8" t="n">
        <v>20910.95</v>
      </c>
      <c r="D602" s="8" t="n">
        <v>1667.35</v>
      </c>
      <c r="E602" s="8" t="n">
        <v>674.05</v>
      </c>
      <c r="F602" s="8" t="n">
        <v>977.1</v>
      </c>
      <c r="G602" s="8" t="n">
        <v>563.9</v>
      </c>
      <c r="H602" s="8" t="n">
        <v>813.3</v>
      </c>
      <c r="I602" s="8" t="n">
        <v>370.2</v>
      </c>
      <c r="J602" s="8" t="n">
        <v>1298.7</v>
      </c>
      <c r="K602" s="8" t="n">
        <v>728.55</v>
      </c>
      <c r="L602" s="8" t="n">
        <v>1175.35</v>
      </c>
      <c r="M602" s="8" t="n">
        <v>923.8</v>
      </c>
      <c r="N602" s="8" t="n">
        <v>357.85</v>
      </c>
      <c r="O602" s="8" t="n">
        <v>259.75</v>
      </c>
      <c r="P602" s="8" t="n">
        <v>2139</v>
      </c>
      <c r="Q602" s="8" t="n">
        <v>309.55</v>
      </c>
      <c r="R602" s="8" t="n">
        <v>753.7</v>
      </c>
      <c r="S602" s="8" t="n">
        <v>511.65</v>
      </c>
    </row>
    <row r="603" customFormat="false" ht="15" hidden="false" customHeight="false" outlineLevel="0" collapsed="false">
      <c r="A603" s="7" t="n">
        <v>45685</v>
      </c>
      <c r="B603" s="8" t="n">
        <v>22957.25</v>
      </c>
      <c r="C603" s="8" t="n">
        <v>20924.75</v>
      </c>
      <c r="D603" s="8" t="n">
        <v>1672.6</v>
      </c>
      <c r="E603" s="8" t="n">
        <v>662.95</v>
      </c>
      <c r="F603" s="8" t="n">
        <v>961.95</v>
      </c>
      <c r="G603" s="8" t="n">
        <v>570.5</v>
      </c>
      <c r="H603" s="8" t="n">
        <v>843.05</v>
      </c>
      <c r="I603" s="8" t="n">
        <v>364.4</v>
      </c>
      <c r="J603" s="8" t="n">
        <v>1301.15</v>
      </c>
      <c r="K603" s="8" t="n">
        <v>759.63</v>
      </c>
      <c r="L603" s="8" t="n">
        <v>1241.7</v>
      </c>
      <c r="M603" s="8" t="n">
        <v>961</v>
      </c>
      <c r="N603" s="8" t="n">
        <v>350.05</v>
      </c>
      <c r="O603" s="8" t="n">
        <v>272</v>
      </c>
      <c r="P603" s="8" t="n">
        <v>2135.9</v>
      </c>
      <c r="Q603" s="8" t="n">
        <v>308.7</v>
      </c>
      <c r="R603" s="8" t="n">
        <v>759.1</v>
      </c>
      <c r="S603" s="8" t="n">
        <v>530.1</v>
      </c>
    </row>
    <row r="604" customFormat="false" ht="15" hidden="false" customHeight="false" outlineLevel="0" collapsed="false">
      <c r="A604" s="7" t="n">
        <v>45686</v>
      </c>
      <c r="B604" s="8" t="n">
        <v>23163.1</v>
      </c>
      <c r="C604" s="8" t="n">
        <v>21245.5</v>
      </c>
      <c r="D604" s="8" t="n">
        <v>1689.7</v>
      </c>
      <c r="E604" s="8" t="n">
        <v>667.45</v>
      </c>
      <c r="F604" s="8" t="n">
        <v>969.9</v>
      </c>
      <c r="G604" s="8" t="n">
        <v>574.6</v>
      </c>
      <c r="H604" s="8" t="n">
        <v>871.15</v>
      </c>
      <c r="I604" s="8" t="n">
        <v>383.15</v>
      </c>
      <c r="J604" s="8" t="n">
        <v>1383.9</v>
      </c>
      <c r="K604" s="8" t="n">
        <v>774.91</v>
      </c>
      <c r="L604" s="8" t="n">
        <v>1296.55</v>
      </c>
      <c r="M604" s="8" t="n">
        <v>1069.2</v>
      </c>
      <c r="N604" s="8" t="n">
        <v>347.9</v>
      </c>
      <c r="O604" s="8" t="n">
        <v>270</v>
      </c>
      <c r="P604" s="8" t="n">
        <v>2210.6</v>
      </c>
      <c r="Q604" s="8" t="n">
        <v>314.9</v>
      </c>
      <c r="R604" s="8" t="n">
        <v>761.4</v>
      </c>
      <c r="S604" s="8" t="n">
        <v>553.5</v>
      </c>
    </row>
    <row r="605" customFormat="false" ht="15" hidden="false" customHeight="false" outlineLevel="0" collapsed="false">
      <c r="A605" s="7" t="n">
        <v>45687</v>
      </c>
      <c r="B605" s="8" t="n">
        <v>23249.5</v>
      </c>
      <c r="C605" s="8" t="n">
        <v>21297.5</v>
      </c>
      <c r="D605" s="8" t="n">
        <v>1703.85</v>
      </c>
      <c r="E605" s="8" t="n">
        <v>653.7</v>
      </c>
      <c r="F605" s="8" t="n">
        <v>945.1</v>
      </c>
      <c r="G605" s="8" t="n">
        <v>584.35</v>
      </c>
      <c r="H605" s="8" t="n">
        <v>861.7</v>
      </c>
      <c r="I605" s="8" t="n">
        <v>393.2</v>
      </c>
      <c r="J605" s="8" t="n">
        <v>1404.4</v>
      </c>
      <c r="K605" s="8" t="n">
        <v>789.09</v>
      </c>
      <c r="L605" s="8" t="n">
        <v>1279.4</v>
      </c>
      <c r="M605" s="8" t="n">
        <v>1067.65</v>
      </c>
      <c r="N605" s="8" t="n">
        <v>353.4</v>
      </c>
      <c r="O605" s="8" t="n">
        <v>276.65</v>
      </c>
      <c r="P605" s="8" t="n">
        <v>2209.65</v>
      </c>
      <c r="Q605" s="8" t="n">
        <v>308.6</v>
      </c>
      <c r="R605" s="8" t="n">
        <v>774.8</v>
      </c>
      <c r="S605" s="8" t="n">
        <v>538.3</v>
      </c>
    </row>
    <row r="606" customFormat="false" ht="15" hidden="false" customHeight="false" outlineLevel="0" collapsed="false">
      <c r="A606" s="7" t="n">
        <v>45688</v>
      </c>
      <c r="B606" s="8" t="n">
        <v>23508.4</v>
      </c>
      <c r="C606" s="8" t="n">
        <v>21580.9</v>
      </c>
      <c r="D606" s="8" t="n">
        <v>1712.8</v>
      </c>
      <c r="E606" s="8" t="n">
        <v>667.7</v>
      </c>
      <c r="F606" s="8" t="n">
        <v>995.95</v>
      </c>
      <c r="G606" s="8" t="n">
        <v>598.1</v>
      </c>
      <c r="H606" s="8" t="n">
        <v>878.2</v>
      </c>
      <c r="I606" s="8" t="n">
        <v>393.2</v>
      </c>
      <c r="J606" s="8" t="n">
        <v>1403.1</v>
      </c>
      <c r="K606" s="8" t="n">
        <v>787.44</v>
      </c>
      <c r="L606" s="8" t="n">
        <v>1285.85</v>
      </c>
      <c r="M606" s="8" t="n">
        <v>1082.85</v>
      </c>
      <c r="N606" s="8" t="n">
        <v>356.45</v>
      </c>
      <c r="O606" s="8" t="n">
        <v>284.95</v>
      </c>
      <c r="P606" s="8" t="n">
        <v>2258.8</v>
      </c>
      <c r="Q606" s="8" t="n">
        <v>310.4</v>
      </c>
      <c r="R606" s="8" t="n">
        <v>778.2</v>
      </c>
      <c r="S606" s="8" t="n">
        <v>543.75</v>
      </c>
    </row>
    <row r="607" customFormat="false" ht="15" hidden="false" customHeight="false" outlineLevel="0" collapsed="false">
      <c r="A607" s="7" t="n">
        <v>45689</v>
      </c>
      <c r="B607" s="8" t="n">
        <v>23482.15</v>
      </c>
      <c r="C607" s="8" t="n">
        <v>21581.75</v>
      </c>
      <c r="D607" s="8" t="n">
        <v>1688.6</v>
      </c>
      <c r="E607" s="8" t="n">
        <v>660.7</v>
      </c>
      <c r="F607" s="8" t="n">
        <v>962.6</v>
      </c>
      <c r="G607" s="8" t="n">
        <v>584.7</v>
      </c>
      <c r="H607" s="8" t="n">
        <v>893.95</v>
      </c>
      <c r="I607" s="8" t="n">
        <v>397.6</v>
      </c>
      <c r="J607" s="8" t="n">
        <v>1430.1</v>
      </c>
      <c r="K607" s="8" t="n">
        <v>798.92</v>
      </c>
      <c r="L607" s="8" t="n">
        <v>1265.5</v>
      </c>
      <c r="M607" s="8" t="n">
        <v>1024.65</v>
      </c>
      <c r="N607" s="8" t="n">
        <v>357.9</v>
      </c>
      <c r="O607" s="8" t="n">
        <v>283.25</v>
      </c>
      <c r="P607" s="8" t="n">
        <v>2182.45</v>
      </c>
      <c r="Q607" s="8" t="n">
        <v>308.6</v>
      </c>
      <c r="R607" s="8" t="n">
        <v>824.95</v>
      </c>
      <c r="S607" s="8" t="n">
        <v>531.8</v>
      </c>
    </row>
    <row r="608" customFormat="false" ht="15" hidden="false" customHeight="false" outlineLevel="0" collapsed="false">
      <c r="A608" s="7" t="n">
        <v>45691</v>
      </c>
      <c r="B608" s="8" t="n">
        <v>23361.05</v>
      </c>
      <c r="C608" s="8" t="n">
        <v>21402.55</v>
      </c>
      <c r="D608" s="8" t="n">
        <v>1718.5</v>
      </c>
      <c r="E608" s="8" t="n">
        <v>648.3</v>
      </c>
      <c r="F608" s="8" t="n">
        <v>992.85</v>
      </c>
      <c r="G608" s="8" t="n">
        <v>557.6</v>
      </c>
      <c r="H608" s="8" t="n">
        <v>879.9</v>
      </c>
      <c r="I608" s="8" t="n">
        <v>378.95</v>
      </c>
      <c r="J608" s="8" t="n">
        <v>1415.85</v>
      </c>
      <c r="K608" s="8" t="n">
        <v>841.43</v>
      </c>
      <c r="L608" s="8" t="n">
        <v>1337.65</v>
      </c>
      <c r="M608" s="8" t="n">
        <v>1016.7</v>
      </c>
      <c r="N608" s="8" t="n">
        <v>346.5</v>
      </c>
      <c r="O608" s="8" t="n">
        <v>291.85</v>
      </c>
      <c r="P608" s="8" t="n">
        <v>2172.45</v>
      </c>
      <c r="Q608" s="8" t="n">
        <v>308</v>
      </c>
      <c r="R608" s="8" t="n">
        <v>825.3</v>
      </c>
      <c r="S608" s="8" t="n">
        <v>546.15</v>
      </c>
    </row>
    <row r="609" customFormat="false" ht="15" hidden="false" customHeight="false" outlineLevel="0" collapsed="false">
      <c r="A609" s="7" t="n">
        <v>45692</v>
      </c>
      <c r="B609" s="8" t="n">
        <v>23739.25</v>
      </c>
      <c r="C609" s="8" t="n">
        <v>21727.45</v>
      </c>
      <c r="D609" s="8" t="n">
        <v>1709.15</v>
      </c>
      <c r="E609" s="8" t="n">
        <v>663.6</v>
      </c>
      <c r="F609" s="8" t="n">
        <v>998.7</v>
      </c>
      <c r="G609" s="8" t="n">
        <v>576.5</v>
      </c>
      <c r="H609" s="8" t="n">
        <v>868.85</v>
      </c>
      <c r="I609" s="8" t="n">
        <v>394.25</v>
      </c>
      <c r="J609" s="8" t="n">
        <v>1413.4</v>
      </c>
      <c r="K609" s="8" t="n">
        <v>846.38</v>
      </c>
      <c r="L609" s="8" t="n">
        <v>1394.9</v>
      </c>
      <c r="M609" s="8" t="n">
        <v>1002.2</v>
      </c>
      <c r="N609" s="8" t="n">
        <v>352.2</v>
      </c>
      <c r="O609" s="8" t="n">
        <v>297.8</v>
      </c>
      <c r="P609" s="8" t="n">
        <v>2239</v>
      </c>
      <c r="Q609" s="8" t="n">
        <v>312.95</v>
      </c>
      <c r="R609" s="8" t="n">
        <v>835.75</v>
      </c>
      <c r="S609" s="8" t="n">
        <v>576.75</v>
      </c>
    </row>
    <row r="610" customFormat="false" ht="15" hidden="false" customHeight="false" outlineLevel="0" collapsed="false">
      <c r="A610" s="7" t="n">
        <v>45693</v>
      </c>
      <c r="B610" s="8" t="n">
        <v>23696.3</v>
      </c>
      <c r="C610" s="8" t="n">
        <v>21784.25</v>
      </c>
      <c r="D610" s="8" t="n">
        <v>1716.35</v>
      </c>
      <c r="E610" s="8" t="n">
        <v>673.45</v>
      </c>
      <c r="F610" s="8" t="n">
        <v>1000.95</v>
      </c>
      <c r="G610" s="8" t="n">
        <v>574.1</v>
      </c>
      <c r="H610" s="8" t="n">
        <v>900.85</v>
      </c>
      <c r="I610" s="8" t="n">
        <v>395.4</v>
      </c>
      <c r="J610" s="8" t="n">
        <v>1471</v>
      </c>
      <c r="K610" s="8" t="n">
        <v>849.79</v>
      </c>
      <c r="L610" s="8" t="n">
        <v>1388</v>
      </c>
      <c r="M610" s="8" t="n">
        <v>1067.7</v>
      </c>
      <c r="N610" s="8" t="n">
        <v>361.9</v>
      </c>
      <c r="O610" s="8" t="n">
        <v>298.45</v>
      </c>
      <c r="P610" s="8" t="n">
        <v>2266.15</v>
      </c>
      <c r="Q610" s="8" t="n">
        <v>317.2</v>
      </c>
      <c r="R610" s="8" t="n">
        <v>821.35</v>
      </c>
      <c r="S610" s="8" t="n">
        <v>571.3</v>
      </c>
    </row>
    <row r="611" customFormat="false" ht="15" hidden="false" customHeight="false" outlineLevel="0" collapsed="false">
      <c r="A611" s="7" t="n">
        <v>45694</v>
      </c>
      <c r="B611" s="8" t="n">
        <v>23603.35</v>
      </c>
      <c r="C611" s="8" t="n">
        <v>21672.45</v>
      </c>
      <c r="D611" s="8" t="n">
        <v>1724.35</v>
      </c>
      <c r="E611" s="8" t="n">
        <v>667.05</v>
      </c>
      <c r="F611" s="8" t="n">
        <v>1015.95</v>
      </c>
      <c r="G611" s="8" t="n">
        <v>576.2</v>
      </c>
      <c r="H611" s="8" t="n">
        <v>907</v>
      </c>
      <c r="I611" s="8" t="n">
        <v>397.2</v>
      </c>
      <c r="J611" s="8" t="n">
        <v>1507.35</v>
      </c>
      <c r="K611" s="8" t="n">
        <v>849.57</v>
      </c>
      <c r="L611" s="8" t="n">
        <v>1381.9</v>
      </c>
      <c r="M611" s="8" t="n">
        <v>1077</v>
      </c>
      <c r="N611" s="8" t="n">
        <v>359.5</v>
      </c>
      <c r="O611" s="8" t="n">
        <v>297.05</v>
      </c>
      <c r="P611" s="8" t="n">
        <v>2233.6</v>
      </c>
      <c r="Q611" s="8" t="n">
        <v>318.7</v>
      </c>
      <c r="R611" s="8" t="n">
        <v>810.7</v>
      </c>
      <c r="S611" s="8" t="n">
        <v>566.35</v>
      </c>
    </row>
    <row r="612" customFormat="false" ht="15" hidden="false" customHeight="false" outlineLevel="0" collapsed="false">
      <c r="A612" s="7" t="n">
        <v>45695</v>
      </c>
      <c r="B612" s="8" t="n">
        <v>23559.95</v>
      </c>
      <c r="C612" s="8" t="n">
        <v>21646.15</v>
      </c>
      <c r="D612" s="8" t="n">
        <v>1716.6</v>
      </c>
      <c r="E612" s="8" t="n">
        <v>669.3</v>
      </c>
      <c r="F612" s="8" t="n">
        <v>1005.3</v>
      </c>
      <c r="G612" s="8" t="n">
        <v>578.2</v>
      </c>
      <c r="H612" s="8" t="n">
        <v>888.85</v>
      </c>
      <c r="I612" s="8" t="n">
        <v>392.8</v>
      </c>
      <c r="J612" s="8" t="n">
        <v>1481.25</v>
      </c>
      <c r="K612" s="8" t="n">
        <v>846.27</v>
      </c>
      <c r="L612" s="8" t="n">
        <v>1380.15</v>
      </c>
      <c r="M612" s="8" t="n">
        <v>1072.8</v>
      </c>
      <c r="N612" s="8" t="n">
        <v>364.6</v>
      </c>
      <c r="O612" s="8" t="n">
        <v>297.7</v>
      </c>
      <c r="P612" s="8" t="n">
        <v>2244.55</v>
      </c>
      <c r="Q612" s="8" t="n">
        <v>316.7</v>
      </c>
      <c r="R612" s="8" t="n">
        <v>815.55</v>
      </c>
      <c r="S612" s="8" t="n">
        <v>559.55</v>
      </c>
    </row>
    <row r="613" customFormat="false" ht="15" hidden="false" customHeight="false" outlineLevel="0" collapsed="false">
      <c r="A613" s="7" t="n">
        <v>45698</v>
      </c>
      <c r="B613" s="8" t="n">
        <v>23381.6</v>
      </c>
      <c r="C613" s="8" t="n">
        <v>21371.3</v>
      </c>
      <c r="D613" s="8" t="n">
        <v>1709.7</v>
      </c>
      <c r="E613" s="8" t="n">
        <v>649.3</v>
      </c>
      <c r="F613" s="8" t="n">
        <v>981.1</v>
      </c>
      <c r="G613" s="8" t="n">
        <v>562.85</v>
      </c>
      <c r="H613" s="8" t="n">
        <v>866.5</v>
      </c>
      <c r="I613" s="8" t="n">
        <v>390.25</v>
      </c>
      <c r="J613" s="8" t="n">
        <v>1418.9</v>
      </c>
      <c r="K613" s="8" t="n">
        <v>827.55</v>
      </c>
      <c r="L613" s="8" t="n">
        <v>1347.75</v>
      </c>
      <c r="M613" s="8" t="n">
        <v>1055.05</v>
      </c>
      <c r="N613" s="8" t="n">
        <v>356.85</v>
      </c>
      <c r="O613" s="8" t="n">
        <v>296.35</v>
      </c>
      <c r="P613" s="8" t="n">
        <v>2201.85</v>
      </c>
      <c r="Q613" s="8" t="n">
        <v>309.4</v>
      </c>
      <c r="R613" s="8" t="n">
        <v>799.1</v>
      </c>
      <c r="S613" s="8" t="n">
        <v>560.8</v>
      </c>
    </row>
    <row r="614" customFormat="false" ht="15" hidden="false" customHeight="false" outlineLevel="0" collapsed="false">
      <c r="A614" s="7" t="n">
        <v>45699</v>
      </c>
      <c r="B614" s="8" t="n">
        <v>23071.8</v>
      </c>
      <c r="C614" s="8" t="n">
        <v>20950.45</v>
      </c>
      <c r="D614" s="8" t="n">
        <v>1680.85</v>
      </c>
      <c r="E614" s="8" t="n">
        <v>620.65</v>
      </c>
      <c r="F614" s="8" t="n">
        <v>959.35</v>
      </c>
      <c r="G614" s="8" t="n">
        <v>544.6</v>
      </c>
      <c r="H614" s="8" t="n">
        <v>830.55</v>
      </c>
      <c r="I614" s="8" t="n">
        <v>376.35</v>
      </c>
      <c r="J614" s="8" t="n">
        <v>1398.6</v>
      </c>
      <c r="K614" s="8" t="n">
        <v>818.01</v>
      </c>
      <c r="L614" s="8" t="n">
        <v>1310.3</v>
      </c>
      <c r="M614" s="8" t="n">
        <v>996.1</v>
      </c>
      <c r="N614" s="8" t="n">
        <v>343.95</v>
      </c>
      <c r="O614" s="8" t="n">
        <v>281.55</v>
      </c>
      <c r="P614" s="8" t="n">
        <v>2188.2</v>
      </c>
      <c r="Q614" s="8" t="n">
        <v>299.65</v>
      </c>
      <c r="R614" s="8" t="n">
        <v>784.35</v>
      </c>
      <c r="S614" s="8" t="n">
        <v>538.55</v>
      </c>
    </row>
    <row r="615" customFormat="false" ht="15" hidden="false" customHeight="false" outlineLevel="0" collapsed="false">
      <c r="A615" s="7" t="n">
        <v>45700</v>
      </c>
      <c r="B615" s="8" t="n">
        <v>23045.25</v>
      </c>
      <c r="C615" s="8" t="n">
        <v>20907.85</v>
      </c>
      <c r="D615" s="8" t="n">
        <v>1701.35</v>
      </c>
      <c r="E615" s="8" t="n">
        <v>616.45</v>
      </c>
      <c r="F615" s="8" t="n">
        <v>939.65</v>
      </c>
      <c r="G615" s="8" t="n">
        <v>542.85</v>
      </c>
      <c r="H615" s="8" t="n">
        <v>818.7</v>
      </c>
      <c r="I615" s="8" t="n">
        <v>370.65</v>
      </c>
      <c r="J615" s="8" t="n">
        <v>1386.25</v>
      </c>
      <c r="K615" s="8" t="n">
        <v>820.29</v>
      </c>
      <c r="L615" s="8" t="n">
        <v>1351.85</v>
      </c>
      <c r="M615" s="8" t="n">
        <v>998.5</v>
      </c>
      <c r="N615" s="8" t="n">
        <v>335.65</v>
      </c>
      <c r="O615" s="8" t="n">
        <v>276.05</v>
      </c>
      <c r="P615" s="8" t="n">
        <v>2182.85</v>
      </c>
      <c r="Q615" s="8" t="n">
        <v>291.5</v>
      </c>
      <c r="R615" s="8" t="n">
        <v>816.4</v>
      </c>
      <c r="S615" s="8" t="n">
        <v>547.15</v>
      </c>
    </row>
    <row r="616" customFormat="false" ht="15" hidden="false" customHeight="false" outlineLevel="0" collapsed="false">
      <c r="A616" s="7" t="n">
        <v>45701</v>
      </c>
      <c r="B616" s="8" t="n">
        <v>23031.4</v>
      </c>
      <c r="C616" s="8" t="n">
        <v>20904.35</v>
      </c>
      <c r="D616" s="8" t="n">
        <v>1697.85</v>
      </c>
      <c r="E616" s="8" t="n">
        <v>611.4</v>
      </c>
      <c r="F616" s="8" t="n">
        <v>969.6</v>
      </c>
      <c r="G616" s="8" t="n">
        <v>551.25</v>
      </c>
      <c r="H616" s="8" t="n">
        <v>806.15</v>
      </c>
      <c r="I616" s="8" t="n">
        <v>358.8</v>
      </c>
      <c r="J616" s="8" t="n">
        <v>1420</v>
      </c>
      <c r="K616" s="8" t="n">
        <v>839.76</v>
      </c>
      <c r="L616" s="8" t="n">
        <v>1390.8</v>
      </c>
      <c r="M616" s="8" t="n">
        <v>1045.65</v>
      </c>
      <c r="N616" s="8" t="n">
        <v>331.5</v>
      </c>
      <c r="O616" s="8" t="n">
        <v>282.6</v>
      </c>
      <c r="P616" s="8" t="n">
        <v>2317.8</v>
      </c>
      <c r="Q616" s="8" t="n">
        <v>298.7</v>
      </c>
      <c r="R616" s="8" t="n">
        <v>859.85</v>
      </c>
      <c r="S616" s="8" t="n">
        <v>548.65</v>
      </c>
    </row>
    <row r="617" customFormat="false" ht="15" hidden="false" customHeight="false" outlineLevel="0" collapsed="false">
      <c r="A617" s="7" t="n">
        <v>45702</v>
      </c>
      <c r="B617" s="8" t="n">
        <v>22929.25</v>
      </c>
      <c r="C617" s="8" t="n">
        <v>20633.1</v>
      </c>
      <c r="D617" s="8" t="n">
        <v>1685.05</v>
      </c>
      <c r="E617" s="8" t="n">
        <v>607.3</v>
      </c>
      <c r="F617" s="8" t="n">
        <v>936.3</v>
      </c>
      <c r="G617" s="8" t="n">
        <v>533.55</v>
      </c>
      <c r="H617" s="8" t="n">
        <v>792.7</v>
      </c>
      <c r="I617" s="8" t="n">
        <v>335.7</v>
      </c>
      <c r="J617" s="8" t="n">
        <v>1330.05</v>
      </c>
      <c r="K617" s="8" t="n">
        <v>838.09</v>
      </c>
      <c r="L617" s="8" t="n">
        <v>1376</v>
      </c>
      <c r="M617" s="8" t="n">
        <v>966.1</v>
      </c>
      <c r="N617" s="8" t="n">
        <v>314.35</v>
      </c>
      <c r="O617" s="8" t="n">
        <v>271.25</v>
      </c>
      <c r="P617" s="8" t="n">
        <v>2254.9</v>
      </c>
      <c r="Q617" s="8" t="n">
        <v>286.55</v>
      </c>
      <c r="R617" s="8" t="n">
        <v>859</v>
      </c>
      <c r="S617" s="8" t="n">
        <v>539.15</v>
      </c>
    </row>
    <row r="618" customFormat="false" ht="15" hidden="false" customHeight="false" outlineLevel="0" collapsed="false">
      <c r="A618" s="7" t="n">
        <v>45705</v>
      </c>
      <c r="B618" s="8" t="n">
        <v>22959.5</v>
      </c>
      <c r="C618" s="8" t="n">
        <v>20652.35</v>
      </c>
      <c r="D618" s="8" t="n">
        <v>1686</v>
      </c>
      <c r="E618" s="8" t="n">
        <v>608.85</v>
      </c>
      <c r="F618" s="8" t="n">
        <v>954.75</v>
      </c>
      <c r="G618" s="8" t="n">
        <v>538.5</v>
      </c>
      <c r="H618" s="8" t="n">
        <v>781.25</v>
      </c>
      <c r="I618" s="8" t="n">
        <v>336.95</v>
      </c>
      <c r="J618" s="8" t="n">
        <v>1256.4</v>
      </c>
      <c r="K618" s="8" t="n">
        <v>841.51</v>
      </c>
      <c r="L618" s="8" t="n">
        <v>1356.95</v>
      </c>
      <c r="M618" s="8" t="n">
        <v>1015.35</v>
      </c>
      <c r="N618" s="8" t="n">
        <v>314.5</v>
      </c>
      <c r="O618" s="8" t="n">
        <v>276.85</v>
      </c>
      <c r="P618" s="8" t="n">
        <v>2243.9</v>
      </c>
      <c r="Q618" s="8" t="n">
        <v>285.3</v>
      </c>
      <c r="R618" s="8" t="n">
        <v>853.1</v>
      </c>
      <c r="S618" s="8" t="n">
        <v>550.35</v>
      </c>
    </row>
    <row r="619" customFormat="false" ht="15" hidden="false" customHeight="false" outlineLevel="0" collapsed="false">
      <c r="A619" s="7" t="n">
        <v>45706</v>
      </c>
      <c r="B619" s="8" t="n">
        <v>22945.3</v>
      </c>
      <c r="C619" s="8" t="n">
        <v>20611.4</v>
      </c>
      <c r="D619" s="8" t="n">
        <v>1680.2</v>
      </c>
      <c r="E619" s="8" t="n">
        <v>598.6</v>
      </c>
      <c r="F619" s="8" t="n">
        <v>932.8</v>
      </c>
      <c r="G619" s="8" t="n">
        <v>530.55</v>
      </c>
      <c r="H619" s="8" t="n">
        <v>800.3</v>
      </c>
      <c r="I619" s="8" t="n">
        <v>322.25</v>
      </c>
      <c r="J619" s="8" t="n">
        <v>1274.95</v>
      </c>
      <c r="K619" s="8" t="n">
        <v>845.44</v>
      </c>
      <c r="L619" s="8" t="n">
        <v>1350.4</v>
      </c>
      <c r="M619" s="8" t="n">
        <v>962.9</v>
      </c>
      <c r="N619" s="8" t="n">
        <v>305.5</v>
      </c>
      <c r="O619" s="8" t="n">
        <v>272.8</v>
      </c>
      <c r="P619" s="8" t="n">
        <v>2244.5</v>
      </c>
      <c r="Q619" s="8" t="n">
        <v>290.6</v>
      </c>
      <c r="R619" s="8" t="n">
        <v>865.35</v>
      </c>
      <c r="S619" s="8" t="n">
        <v>553.35</v>
      </c>
    </row>
    <row r="620" customFormat="false" ht="15" hidden="false" customHeight="false" outlineLevel="0" collapsed="false">
      <c r="A620" s="7" t="n">
        <v>45707</v>
      </c>
      <c r="B620" s="8" t="n">
        <v>22932.9</v>
      </c>
      <c r="C620" s="8" t="n">
        <v>20731.45</v>
      </c>
      <c r="D620" s="8" t="n">
        <v>1683.7</v>
      </c>
      <c r="E620" s="8" t="n">
        <v>600.8</v>
      </c>
      <c r="F620" s="8" t="n">
        <v>926.45</v>
      </c>
      <c r="G620" s="8" t="n">
        <v>541</v>
      </c>
      <c r="H620" s="8" t="n">
        <v>810.9</v>
      </c>
      <c r="I620" s="8" t="n">
        <v>333.75</v>
      </c>
      <c r="J620" s="8" t="n">
        <v>1279.65</v>
      </c>
      <c r="K620" s="8" t="n">
        <v>842.8</v>
      </c>
      <c r="L620" s="8" t="n">
        <v>1375.4</v>
      </c>
      <c r="M620" s="8" t="n">
        <v>893.1</v>
      </c>
      <c r="N620" s="8" t="n">
        <v>314.15</v>
      </c>
      <c r="O620" s="8" t="n">
        <v>278.4</v>
      </c>
      <c r="P620" s="8" t="n">
        <v>2264.2</v>
      </c>
      <c r="Q620" s="8" t="n">
        <v>285.6</v>
      </c>
      <c r="R620" s="8" t="n">
        <v>857.9</v>
      </c>
      <c r="S620" s="8" t="n">
        <v>557.8</v>
      </c>
    </row>
    <row r="621" customFormat="false" ht="15" hidden="false" customHeight="false" outlineLevel="0" collapsed="false">
      <c r="A621" s="7" t="n">
        <v>45708</v>
      </c>
      <c r="B621" s="8" t="n">
        <v>22913.15</v>
      </c>
      <c r="C621" s="8" t="n">
        <v>20831.1</v>
      </c>
      <c r="D621" s="8" t="n">
        <v>1690.2</v>
      </c>
      <c r="E621" s="8" t="n">
        <v>605.05</v>
      </c>
      <c r="F621" s="8" t="n">
        <v>941.95</v>
      </c>
      <c r="G621" s="8" t="n">
        <v>545.3</v>
      </c>
      <c r="H621" s="8" t="n">
        <v>826.65</v>
      </c>
      <c r="I621" s="8" t="n">
        <v>340.4</v>
      </c>
      <c r="J621" s="8" t="n">
        <v>1313</v>
      </c>
      <c r="K621" s="8" t="n">
        <v>838.8</v>
      </c>
      <c r="L621" s="8" t="n">
        <v>1395.25</v>
      </c>
      <c r="M621" s="8" t="n">
        <v>875.1</v>
      </c>
      <c r="N621" s="8" t="n">
        <v>318.4</v>
      </c>
      <c r="O621" s="8" t="n">
        <v>280.5</v>
      </c>
      <c r="P621" s="8" t="n">
        <v>2276.25</v>
      </c>
      <c r="Q621" s="8" t="n">
        <v>290.35</v>
      </c>
      <c r="R621" s="8" t="n">
        <v>849.8</v>
      </c>
      <c r="S621" s="8" t="n">
        <v>580.85</v>
      </c>
    </row>
    <row r="622" customFormat="false" ht="15" hidden="false" customHeight="false" outlineLevel="0" collapsed="false">
      <c r="A622" s="7" t="n">
        <v>45709</v>
      </c>
      <c r="B622" s="8" t="n">
        <v>22795.9</v>
      </c>
      <c r="C622" s="8" t="n">
        <v>20690.25</v>
      </c>
      <c r="D622" s="8" t="n">
        <v>1690.75</v>
      </c>
      <c r="E622" s="8" t="n">
        <v>598.55</v>
      </c>
      <c r="F622" s="8" t="n">
        <v>933.65</v>
      </c>
      <c r="G622" s="8" t="n">
        <v>544.05</v>
      </c>
      <c r="H622" s="8" t="n">
        <v>804.7</v>
      </c>
      <c r="I622" s="8" t="n">
        <v>341.3</v>
      </c>
      <c r="J622" s="8" t="n">
        <v>1334.15</v>
      </c>
      <c r="K622" s="8" t="n">
        <v>838.53</v>
      </c>
      <c r="L622" s="8" t="n">
        <v>1384.15</v>
      </c>
      <c r="M622" s="8" t="n">
        <v>866.35</v>
      </c>
      <c r="N622" s="8" t="n">
        <v>319.5</v>
      </c>
      <c r="O622" s="8" t="n">
        <v>270.45</v>
      </c>
      <c r="P622" s="8" t="n">
        <v>2212.1</v>
      </c>
      <c r="Q622" s="8" t="n">
        <v>290.6</v>
      </c>
      <c r="R622" s="8" t="n">
        <v>835.2</v>
      </c>
      <c r="S622" s="8" t="n">
        <v>585.1</v>
      </c>
    </row>
    <row r="623" customFormat="false" ht="15" hidden="false" customHeight="false" outlineLevel="0" collapsed="false">
      <c r="A623" s="7" t="n">
        <v>45712</v>
      </c>
      <c r="B623" s="8" t="n">
        <v>22553.35</v>
      </c>
      <c r="C623" s="8" t="n">
        <v>20468.45</v>
      </c>
      <c r="D623" s="8" t="n">
        <v>1683.1</v>
      </c>
      <c r="E623" s="8" t="n">
        <v>605.2</v>
      </c>
      <c r="F623" s="8" t="n">
        <v>908.3</v>
      </c>
      <c r="G623" s="8" t="n">
        <v>537.25</v>
      </c>
      <c r="H623" s="8" t="n">
        <v>789</v>
      </c>
      <c r="I623" s="8" t="n">
        <v>334.8</v>
      </c>
      <c r="J623" s="8" t="n">
        <v>1299.5</v>
      </c>
      <c r="K623" s="8" t="n">
        <v>834.36</v>
      </c>
      <c r="L623" s="8" t="n">
        <v>1377.25</v>
      </c>
      <c r="M623" s="8" t="n">
        <v>853.5</v>
      </c>
      <c r="N623" s="8" t="n">
        <v>310.95</v>
      </c>
      <c r="O623" s="8" t="n">
        <v>271.35</v>
      </c>
      <c r="P623" s="8" t="n">
        <v>2188.55</v>
      </c>
      <c r="Q623" s="8" t="n">
        <v>282.95</v>
      </c>
      <c r="R623" s="8" t="n">
        <v>839.25</v>
      </c>
      <c r="S623" s="8" t="n">
        <v>577.2</v>
      </c>
    </row>
    <row r="624" customFormat="false" ht="15" hidden="false" customHeight="false" outlineLevel="0" collapsed="false">
      <c r="A624" s="7" t="n">
        <v>45713</v>
      </c>
      <c r="B624" s="8" t="n">
        <v>22547.55</v>
      </c>
      <c r="C624" s="8" t="n">
        <v>20418.75</v>
      </c>
      <c r="D624" s="8" t="n">
        <v>1698.05</v>
      </c>
      <c r="E624" s="8" t="n">
        <v>577.85</v>
      </c>
      <c r="F624" s="8" t="n">
        <v>885</v>
      </c>
      <c r="G624" s="8" t="n">
        <v>521.45</v>
      </c>
      <c r="H624" s="8" t="n">
        <v>792.2</v>
      </c>
      <c r="I624" s="8" t="n">
        <v>336.2</v>
      </c>
      <c r="J624" s="8" t="n">
        <v>1301.55</v>
      </c>
      <c r="K624" s="8" t="n">
        <v>847.73</v>
      </c>
      <c r="L624" s="8" t="n">
        <v>1367.8</v>
      </c>
      <c r="M624" s="8" t="n">
        <v>866.45</v>
      </c>
      <c r="N624" s="8" t="n">
        <v>312.5</v>
      </c>
      <c r="O624" s="8" t="n">
        <v>271</v>
      </c>
      <c r="P624" s="8" t="n">
        <v>2183.25</v>
      </c>
      <c r="Q624" s="8" t="n">
        <v>276.2</v>
      </c>
      <c r="R624" s="8" t="n">
        <v>840.7</v>
      </c>
      <c r="S624" s="8" t="n">
        <v>574.25</v>
      </c>
    </row>
    <row r="625" customFormat="false" ht="15" hidden="false" customHeight="false" outlineLevel="0" collapsed="false">
      <c r="A625" s="7" t="n">
        <v>45715</v>
      </c>
      <c r="B625" s="8" t="n">
        <v>22545.05</v>
      </c>
      <c r="C625" s="8" t="n">
        <v>20315.55</v>
      </c>
      <c r="D625" s="8" t="n">
        <v>1690.35</v>
      </c>
      <c r="E625" s="8" t="n">
        <v>574.8</v>
      </c>
      <c r="F625" s="8" t="n">
        <v>924.9</v>
      </c>
      <c r="G625" s="8" t="n">
        <v>513.45</v>
      </c>
      <c r="H625" s="8" t="n">
        <v>784.7</v>
      </c>
      <c r="I625" s="8" t="n">
        <v>341.9</v>
      </c>
      <c r="J625" s="8" t="n">
        <v>1283</v>
      </c>
      <c r="K625" s="8" t="n">
        <v>869.36</v>
      </c>
      <c r="L625" s="8" t="n">
        <v>1438.65</v>
      </c>
      <c r="M625" s="8" t="n">
        <v>971.45</v>
      </c>
      <c r="N625" s="8" t="n">
        <v>316.9</v>
      </c>
      <c r="O625" s="8" t="n">
        <v>281.9</v>
      </c>
      <c r="P625" s="8" t="n">
        <v>2208.65</v>
      </c>
      <c r="Q625" s="8" t="n">
        <v>282.95</v>
      </c>
      <c r="R625" s="8" t="n">
        <v>856.75</v>
      </c>
      <c r="S625" s="8" t="n">
        <v>606.8</v>
      </c>
    </row>
    <row r="626" customFormat="false" ht="15" hidden="false" customHeight="false" outlineLevel="0" collapsed="false">
      <c r="A626" s="7" t="n">
        <v>45716</v>
      </c>
      <c r="B626" s="8" t="n">
        <v>22124.7</v>
      </c>
      <c r="C626" s="8" t="n">
        <v>19880.9</v>
      </c>
      <c r="D626" s="8" t="n">
        <v>1685.55</v>
      </c>
      <c r="E626" s="8" t="n">
        <v>577.65</v>
      </c>
      <c r="F626" s="8" t="n">
        <v>1018.65</v>
      </c>
      <c r="G626" s="8" t="n">
        <v>496.9</v>
      </c>
      <c r="H626" s="8" t="n">
        <v>763.35</v>
      </c>
      <c r="I626" s="8" t="n">
        <v>330.5</v>
      </c>
      <c r="J626" s="8" t="n">
        <v>1278.55</v>
      </c>
      <c r="K626" s="8" t="n">
        <v>851.87</v>
      </c>
      <c r="L626" s="8" t="n">
        <v>1400.75</v>
      </c>
      <c r="M626" s="8" t="n">
        <v>919.1</v>
      </c>
      <c r="N626" s="8" t="n">
        <v>301.9</v>
      </c>
      <c r="O626" s="8" t="n">
        <v>270.6</v>
      </c>
      <c r="P626" s="8" t="n">
        <v>2132.8</v>
      </c>
      <c r="Q626" s="8" t="n">
        <v>281.3</v>
      </c>
      <c r="R626" s="8" t="n">
        <v>838.8</v>
      </c>
      <c r="S626" s="8" t="n">
        <v>617.3</v>
      </c>
    </row>
    <row r="627" customFormat="false" ht="15" hidden="false" customHeight="false" outlineLevel="0" collapsed="false">
      <c r="A627" s="7" t="n">
        <v>45719</v>
      </c>
      <c r="B627" s="8" t="n">
        <v>22119.3</v>
      </c>
      <c r="C627" s="8" t="n">
        <v>19896.95</v>
      </c>
      <c r="D627" s="8" t="n">
        <v>1677.95</v>
      </c>
      <c r="E627" s="8" t="n">
        <v>578.7</v>
      </c>
      <c r="F627" s="8" t="n">
        <v>998.9</v>
      </c>
      <c r="G627" s="8" t="n">
        <v>500.85</v>
      </c>
      <c r="H627" s="8" t="n">
        <v>766.05</v>
      </c>
      <c r="I627" s="8" t="n">
        <v>320.85</v>
      </c>
      <c r="J627" s="8" t="n">
        <v>1276</v>
      </c>
      <c r="K627" s="8" t="n">
        <v>861.61</v>
      </c>
      <c r="L627" s="8" t="n">
        <v>1419.75</v>
      </c>
      <c r="M627" s="8" t="n">
        <v>897.15</v>
      </c>
      <c r="N627" s="8" t="n">
        <v>291.85</v>
      </c>
      <c r="O627" s="8" t="n">
        <v>270.4</v>
      </c>
      <c r="P627" s="8" t="n">
        <v>2146.3</v>
      </c>
      <c r="Q627" s="8" t="n">
        <v>273.8</v>
      </c>
      <c r="R627" s="8" t="n">
        <v>827.95</v>
      </c>
      <c r="S627" s="8" t="n">
        <v>621.3</v>
      </c>
    </row>
    <row r="628" customFormat="false" ht="15" hidden="false" customHeight="false" outlineLevel="0" collapsed="false">
      <c r="A628" s="7" t="n">
        <v>45720</v>
      </c>
      <c r="B628" s="8" t="n">
        <v>22082.65</v>
      </c>
      <c r="C628" s="8" t="n">
        <v>19917.85</v>
      </c>
      <c r="D628" s="8" t="n">
        <v>1677.75</v>
      </c>
      <c r="E628" s="8" t="n">
        <v>592.6</v>
      </c>
      <c r="F628" s="8" t="n">
        <v>998.65</v>
      </c>
      <c r="G628" s="8" t="n">
        <v>503.2</v>
      </c>
      <c r="H628" s="8" t="n">
        <v>785.5</v>
      </c>
      <c r="I628" s="8" t="n">
        <v>320.45</v>
      </c>
      <c r="J628" s="8" t="n">
        <v>1253.85</v>
      </c>
      <c r="K628" s="8" t="n">
        <v>857.43</v>
      </c>
      <c r="L628" s="8" t="n">
        <v>1449.6</v>
      </c>
      <c r="M628" s="8" t="n">
        <v>902.55</v>
      </c>
      <c r="N628" s="8" t="n">
        <v>283.6</v>
      </c>
      <c r="O628" s="8" t="n">
        <v>266.55</v>
      </c>
      <c r="P628" s="8" t="n">
        <v>2151.75</v>
      </c>
      <c r="Q628" s="8" t="n">
        <v>276.25</v>
      </c>
      <c r="R628" s="8" t="n">
        <v>834.65</v>
      </c>
      <c r="S628" s="8" t="n">
        <v>632.9</v>
      </c>
    </row>
    <row r="629" customFormat="false" ht="15" hidden="false" customHeight="false" outlineLevel="0" collapsed="false">
      <c r="A629" s="7" t="n">
        <v>45721</v>
      </c>
      <c r="B629" s="8" t="n">
        <v>22337.3</v>
      </c>
      <c r="C629" s="8" t="n">
        <v>20256.5</v>
      </c>
      <c r="D629" s="8" t="n">
        <v>1701.1</v>
      </c>
      <c r="E629" s="8" t="n">
        <v>603.05</v>
      </c>
      <c r="F629" s="8" t="n">
        <v>1009.75</v>
      </c>
      <c r="G629" s="8" t="n">
        <v>520.55</v>
      </c>
      <c r="H629" s="8" t="n">
        <v>805</v>
      </c>
      <c r="I629" s="8" t="n">
        <v>324.85</v>
      </c>
      <c r="J629" s="8" t="n">
        <v>1238.85</v>
      </c>
      <c r="K629" s="8" t="n">
        <v>828.74</v>
      </c>
      <c r="L629" s="8" t="n">
        <v>1446.9</v>
      </c>
      <c r="M629" s="8" t="n">
        <v>920.25</v>
      </c>
      <c r="N629" s="8" t="n">
        <v>313.7</v>
      </c>
      <c r="O629" s="8" t="n">
        <v>276</v>
      </c>
      <c r="P629" s="8" t="n">
        <v>2125.9</v>
      </c>
      <c r="Q629" s="8" t="n">
        <v>285.25</v>
      </c>
      <c r="R629" s="8" t="n">
        <v>844</v>
      </c>
      <c r="S629" s="8" t="n">
        <v>631.3</v>
      </c>
    </row>
    <row r="630" customFormat="false" ht="15" hidden="false" customHeight="false" outlineLevel="0" collapsed="false">
      <c r="A630" s="7" t="n">
        <v>45722</v>
      </c>
      <c r="B630" s="8" t="n">
        <v>22544.7</v>
      </c>
      <c r="C630" s="8" t="n">
        <v>20447.1</v>
      </c>
      <c r="D630" s="8" t="n">
        <v>1706</v>
      </c>
      <c r="E630" s="8" t="n">
        <v>606.2</v>
      </c>
      <c r="F630" s="8" t="n">
        <v>1000.7</v>
      </c>
      <c r="G630" s="8" t="n">
        <v>530.15</v>
      </c>
      <c r="H630" s="8" t="n">
        <v>818.15</v>
      </c>
      <c r="I630" s="8" t="n">
        <v>326.25</v>
      </c>
      <c r="J630" s="8" t="n">
        <v>1237.45</v>
      </c>
      <c r="K630" s="8" t="n">
        <v>839.94</v>
      </c>
      <c r="L630" s="8" t="n">
        <v>1458.6</v>
      </c>
      <c r="M630" s="8" t="n">
        <v>985</v>
      </c>
      <c r="N630" s="8" t="n">
        <v>325.85</v>
      </c>
      <c r="O630" s="8" t="n">
        <v>279.1</v>
      </c>
      <c r="P630" s="8" t="n">
        <v>2176.85</v>
      </c>
      <c r="Q630" s="8" t="n">
        <v>286.25</v>
      </c>
      <c r="R630" s="8" t="n">
        <v>839.05</v>
      </c>
      <c r="S630" s="8" t="n">
        <v>644.35</v>
      </c>
    </row>
    <row r="631" customFormat="false" ht="15" hidden="false" customHeight="false" outlineLevel="0" collapsed="false">
      <c r="A631" s="7" t="n">
        <v>45723</v>
      </c>
      <c r="B631" s="8" t="n">
        <v>22552.5</v>
      </c>
      <c r="C631" s="8" t="n">
        <v>20443.4</v>
      </c>
      <c r="D631" s="8" t="n">
        <v>1699.2</v>
      </c>
      <c r="E631" s="8" t="n">
        <v>629.6</v>
      </c>
      <c r="F631" s="8" t="n">
        <v>999.55</v>
      </c>
      <c r="G631" s="8" t="n">
        <v>532.4</v>
      </c>
      <c r="H631" s="8" t="n">
        <v>818.2</v>
      </c>
      <c r="I631" s="8" t="n">
        <v>325.7</v>
      </c>
      <c r="J631" s="8" t="n">
        <v>1274.45</v>
      </c>
      <c r="K631" s="8" t="n">
        <v>839.31</v>
      </c>
      <c r="L631" s="8" t="n">
        <v>1457.35</v>
      </c>
      <c r="M631" s="8" t="n">
        <v>964.75</v>
      </c>
      <c r="N631" s="8" t="n">
        <v>322.1</v>
      </c>
      <c r="O631" s="8" t="n">
        <v>274.65</v>
      </c>
      <c r="P631" s="8" t="n">
        <v>2179.45</v>
      </c>
      <c r="Q631" s="8" t="n">
        <v>288.45</v>
      </c>
      <c r="R631" s="8" t="n">
        <v>834.8</v>
      </c>
      <c r="S631" s="8" t="n">
        <v>630.85</v>
      </c>
    </row>
    <row r="632" customFormat="false" ht="15" hidden="false" customHeight="false" outlineLevel="0" collapsed="false">
      <c r="A632" s="7" t="n">
        <v>45726</v>
      </c>
      <c r="B632" s="8" t="n">
        <v>22460.3</v>
      </c>
      <c r="C632" s="8" t="n">
        <v>20266.5</v>
      </c>
      <c r="D632" s="8" t="n">
        <v>1752.35</v>
      </c>
      <c r="E632" s="8" t="n">
        <v>622.65</v>
      </c>
      <c r="F632" s="8" t="n">
        <v>1004.75</v>
      </c>
      <c r="G632" s="8" t="n">
        <v>528.45</v>
      </c>
      <c r="H632" s="8" t="n">
        <v>786.8</v>
      </c>
      <c r="I632" s="8" t="n">
        <v>324.7</v>
      </c>
      <c r="J632" s="8" t="n">
        <v>1244.9</v>
      </c>
      <c r="K632" s="8" t="n">
        <v>833.13</v>
      </c>
      <c r="L632" s="8" t="n">
        <v>1419.55</v>
      </c>
      <c r="M632" s="8" t="n">
        <v>936.75</v>
      </c>
      <c r="N632" s="8" t="n">
        <v>313.7</v>
      </c>
      <c r="O632" s="8" t="n">
        <v>272.15</v>
      </c>
      <c r="P632" s="8" t="n">
        <v>2184.6</v>
      </c>
      <c r="Q632" s="8" t="n">
        <v>289.05</v>
      </c>
      <c r="R632" s="8" t="n">
        <v>843.25</v>
      </c>
      <c r="S632" s="8" t="n">
        <v>625.6</v>
      </c>
    </row>
    <row r="633" customFormat="false" ht="15" hidden="false" customHeight="false" outlineLevel="0" collapsed="false">
      <c r="A633" s="7" t="n">
        <v>45727</v>
      </c>
      <c r="B633" s="8" t="n">
        <v>22497.9</v>
      </c>
      <c r="C633" s="8" t="n">
        <v>20302.5</v>
      </c>
      <c r="D633" s="8" t="n">
        <v>1770.8</v>
      </c>
      <c r="E633" s="8" t="n">
        <v>612.8</v>
      </c>
      <c r="F633" s="8" t="n">
        <v>985.05</v>
      </c>
      <c r="G633" s="8" t="n">
        <v>533.6</v>
      </c>
      <c r="H633" s="8" t="n">
        <v>791.7</v>
      </c>
      <c r="I633" s="8" t="n">
        <v>317.4</v>
      </c>
      <c r="J633" s="8" t="n">
        <v>1209.7</v>
      </c>
      <c r="K633" s="8" t="n">
        <v>832.91</v>
      </c>
      <c r="L633" s="8" t="n">
        <v>1448.75</v>
      </c>
      <c r="M633" s="8" t="n">
        <v>929.75</v>
      </c>
      <c r="N633" s="8" t="n">
        <v>311.95</v>
      </c>
      <c r="O633" s="8" t="n">
        <v>268.6</v>
      </c>
      <c r="P633" s="8" t="n">
        <v>2184.6</v>
      </c>
      <c r="Q633" s="8" t="n">
        <v>283.85</v>
      </c>
      <c r="R633" s="8" t="n">
        <v>838.6</v>
      </c>
      <c r="S633" s="8" t="n">
        <v>638.25</v>
      </c>
    </row>
    <row r="634" customFormat="false" ht="15" hidden="false" customHeight="false" outlineLevel="0" collapsed="false">
      <c r="A634" s="7" t="n">
        <v>45728</v>
      </c>
      <c r="B634" s="8" t="n">
        <v>22470.5</v>
      </c>
      <c r="C634" s="8" t="n">
        <v>20264.35</v>
      </c>
      <c r="D634" s="8" t="n">
        <v>1816.25</v>
      </c>
      <c r="E634" s="8" t="n">
        <v>602.4</v>
      </c>
      <c r="F634" s="8" t="n">
        <v>999.2</v>
      </c>
      <c r="G634" s="8" t="n">
        <v>523.7</v>
      </c>
      <c r="H634" s="8" t="n">
        <v>801</v>
      </c>
      <c r="I634" s="8" t="n">
        <v>313</v>
      </c>
      <c r="J634" s="8" t="n">
        <v>1159.7</v>
      </c>
      <c r="K634" s="8" t="n">
        <v>847.29</v>
      </c>
      <c r="L634" s="8" t="n">
        <v>1451.5</v>
      </c>
      <c r="M634" s="8" t="n">
        <v>925.4</v>
      </c>
      <c r="N634" s="8" t="n">
        <v>313.1</v>
      </c>
      <c r="O634" s="8" t="n">
        <v>270.25</v>
      </c>
      <c r="P634" s="8" t="n">
        <v>2209</v>
      </c>
      <c r="Q634" s="8" t="n">
        <v>282.85</v>
      </c>
      <c r="R634" s="8" t="n">
        <v>835.35</v>
      </c>
      <c r="S634" s="8" t="n">
        <v>636.95</v>
      </c>
    </row>
    <row r="635" customFormat="false" ht="15" hidden="false" customHeight="false" outlineLevel="0" collapsed="false">
      <c r="A635" s="7" t="n">
        <v>45729</v>
      </c>
      <c r="B635" s="8" t="n">
        <v>22397.2</v>
      </c>
      <c r="C635" s="8" t="n">
        <v>20176.05</v>
      </c>
      <c r="D635" s="8" t="n">
        <v>1872.45</v>
      </c>
      <c r="E635" s="8" t="n">
        <v>601.75</v>
      </c>
      <c r="F635" s="8" t="n">
        <v>992.95</v>
      </c>
      <c r="G635" s="8" t="n">
        <v>515.6</v>
      </c>
      <c r="H635" s="8" t="n">
        <v>803.45</v>
      </c>
      <c r="I635" s="8" t="n">
        <v>311.25</v>
      </c>
      <c r="J635" s="8" t="n">
        <v>1157.75</v>
      </c>
      <c r="K635" s="8" t="n">
        <v>840.9</v>
      </c>
      <c r="L635" s="8" t="n">
        <v>1444.7</v>
      </c>
      <c r="M635" s="8" t="n">
        <v>923.25</v>
      </c>
      <c r="N635" s="8" t="n">
        <v>313.25</v>
      </c>
      <c r="O635" s="8" t="n">
        <v>271.35</v>
      </c>
      <c r="P635" s="8" t="n">
        <v>2196.35</v>
      </c>
      <c r="Q635" s="8" t="n">
        <v>281.35</v>
      </c>
      <c r="R635" s="8" t="n">
        <v>829.85</v>
      </c>
      <c r="S635" s="8" t="n">
        <v>619.55</v>
      </c>
    </row>
    <row r="636" customFormat="false" ht="15" hidden="false" customHeight="false" outlineLevel="0" collapsed="false">
      <c r="A636" s="7" t="n">
        <v>45733</v>
      </c>
      <c r="B636" s="8" t="n">
        <v>22508.75</v>
      </c>
      <c r="C636" s="8" t="n">
        <v>20288.3</v>
      </c>
      <c r="D636" s="8" t="n">
        <v>1909.9</v>
      </c>
      <c r="E636" s="8" t="n">
        <v>625.5</v>
      </c>
      <c r="F636" s="8" t="n">
        <v>1002.3</v>
      </c>
      <c r="G636" s="8" t="n">
        <v>520.7</v>
      </c>
      <c r="H636" s="8" t="n">
        <v>801.1</v>
      </c>
      <c r="I636" s="8" t="n">
        <v>316.5</v>
      </c>
      <c r="J636" s="8" t="n">
        <v>1120.8</v>
      </c>
      <c r="K636" s="8" t="n">
        <v>856.87</v>
      </c>
      <c r="L636" s="8" t="n">
        <v>1455.6</v>
      </c>
      <c r="M636" s="8" t="n">
        <v>919.55</v>
      </c>
      <c r="N636" s="8" t="n">
        <v>307.45</v>
      </c>
      <c r="O636" s="8" t="n">
        <v>275.25</v>
      </c>
      <c r="P636" s="8" t="n">
        <v>2290.2</v>
      </c>
      <c r="Q636" s="8" t="n">
        <v>289.65</v>
      </c>
      <c r="R636" s="8" t="n">
        <v>843</v>
      </c>
      <c r="S636" s="8" t="n">
        <v>623.25</v>
      </c>
    </row>
    <row r="637" customFormat="false" ht="15" hidden="false" customHeight="false" outlineLevel="0" collapsed="false">
      <c r="A637" s="7" t="n">
        <v>45734</v>
      </c>
      <c r="B637" s="8" t="n">
        <v>22834.3</v>
      </c>
      <c r="C637" s="8" t="n">
        <v>20657.2</v>
      </c>
      <c r="D637" s="8" t="n">
        <v>1865.1</v>
      </c>
      <c r="E637" s="8" t="n">
        <v>643.55</v>
      </c>
      <c r="F637" s="8" t="n">
        <v>992.9</v>
      </c>
      <c r="G637" s="8" t="n">
        <v>539.8</v>
      </c>
      <c r="H637" s="8" t="n">
        <v>817.5</v>
      </c>
      <c r="I637" s="8" t="n">
        <v>318.25</v>
      </c>
      <c r="J637" s="8" t="n">
        <v>1152.35</v>
      </c>
      <c r="K637" s="8" t="n">
        <v>867.07</v>
      </c>
      <c r="L637" s="8" t="n">
        <v>1515.25</v>
      </c>
      <c r="M637" s="8" t="n">
        <v>934.7</v>
      </c>
      <c r="N637" s="8" t="n">
        <v>325.85</v>
      </c>
      <c r="O637" s="8" t="n">
        <v>282.05</v>
      </c>
      <c r="P637" s="8" t="n">
        <v>2317.9</v>
      </c>
      <c r="Q637" s="8" t="n">
        <v>306.25</v>
      </c>
      <c r="R637" s="8" t="n">
        <v>839.3</v>
      </c>
      <c r="S637" s="8" t="n">
        <v>642.3</v>
      </c>
    </row>
    <row r="638" customFormat="false" ht="15" hidden="false" customHeight="false" outlineLevel="0" collapsed="false">
      <c r="A638" s="7" t="n">
        <v>45735</v>
      </c>
      <c r="B638" s="8" t="n">
        <v>22907.6</v>
      </c>
      <c r="C638" s="8" t="n">
        <v>20864.5</v>
      </c>
      <c r="D638" s="8" t="n">
        <v>1918.05</v>
      </c>
      <c r="E638" s="8" t="n">
        <v>660.05</v>
      </c>
      <c r="F638" s="8" t="n">
        <v>991</v>
      </c>
      <c r="G638" s="8" t="n">
        <v>549.8</v>
      </c>
      <c r="H638" s="8" t="n">
        <v>833.85</v>
      </c>
      <c r="I638" s="8" t="n">
        <v>331.8</v>
      </c>
      <c r="J638" s="8" t="n">
        <v>1182.55</v>
      </c>
      <c r="K638" s="8" t="n">
        <v>871.97</v>
      </c>
      <c r="L638" s="8" t="n">
        <v>1513.25</v>
      </c>
      <c r="M638" s="8" t="n">
        <v>943.8</v>
      </c>
      <c r="N638" s="8" t="n">
        <v>330.55</v>
      </c>
      <c r="O638" s="8" t="n">
        <v>287.15</v>
      </c>
      <c r="P638" s="8" t="n">
        <v>2416.45</v>
      </c>
      <c r="Q638" s="8" t="n">
        <v>323.6</v>
      </c>
      <c r="R638" s="8" t="n">
        <v>846.5</v>
      </c>
      <c r="S638" s="8" t="n">
        <v>667.95</v>
      </c>
    </row>
    <row r="639" customFormat="false" ht="15" hidden="false" customHeight="false" outlineLevel="0" collapsed="false">
      <c r="A639" s="7" t="n">
        <v>45736</v>
      </c>
      <c r="B639" s="8" t="n">
        <v>23190.65</v>
      </c>
      <c r="C639" s="8" t="n">
        <v>21070.05</v>
      </c>
      <c r="D639" s="8" t="n">
        <v>1980</v>
      </c>
      <c r="E639" s="8" t="n">
        <v>676.5</v>
      </c>
      <c r="F639" s="8" t="n">
        <v>1010.6</v>
      </c>
      <c r="G639" s="8" t="n">
        <v>555.8</v>
      </c>
      <c r="H639" s="8" t="n">
        <v>826.05</v>
      </c>
      <c r="I639" s="8" t="n">
        <v>335.4</v>
      </c>
      <c r="J639" s="8" t="n">
        <v>1251.3</v>
      </c>
      <c r="K639" s="8" t="n">
        <v>866.79</v>
      </c>
      <c r="L639" s="8" t="n">
        <v>1493.2</v>
      </c>
      <c r="M639" s="8" t="n">
        <v>971.55</v>
      </c>
      <c r="N639" s="8" t="n">
        <v>326.75</v>
      </c>
      <c r="O639" s="8" t="n">
        <v>287.65</v>
      </c>
      <c r="P639" s="8" t="n">
        <v>2374.75</v>
      </c>
      <c r="Q639" s="8" t="n">
        <v>318.2</v>
      </c>
      <c r="R639" s="8" t="n">
        <v>856.85</v>
      </c>
      <c r="S639" s="8" t="n">
        <v>667.9</v>
      </c>
    </row>
    <row r="640" customFormat="false" ht="15" hidden="false" customHeight="false" outlineLevel="0" collapsed="false">
      <c r="A640" s="7" t="n">
        <v>45737</v>
      </c>
      <c r="B640" s="8" t="n">
        <v>23350.4</v>
      </c>
      <c r="C640" s="8" t="n">
        <v>21273.9</v>
      </c>
      <c r="D640" s="8" t="n">
        <v>1981.05</v>
      </c>
      <c r="E640" s="8" t="n">
        <v>675.65</v>
      </c>
      <c r="F640" s="8" t="n">
        <v>1103.15</v>
      </c>
      <c r="G640" s="8" t="n">
        <v>571.7</v>
      </c>
      <c r="H640" s="8" t="n">
        <v>860.8</v>
      </c>
      <c r="I640" s="8" t="n">
        <v>345.55</v>
      </c>
      <c r="J640" s="8" t="n">
        <v>1433</v>
      </c>
      <c r="K640" s="8" t="n">
        <v>890.4</v>
      </c>
      <c r="L640" s="8" t="n">
        <v>1538.5</v>
      </c>
      <c r="M640" s="8" t="n">
        <v>1009.5</v>
      </c>
      <c r="N640" s="8" t="n">
        <v>340</v>
      </c>
      <c r="O640" s="8" t="n">
        <v>291.35</v>
      </c>
      <c r="P640" s="8" t="n">
        <v>2356.6</v>
      </c>
      <c r="Q640" s="8" t="n">
        <v>334.8</v>
      </c>
      <c r="R640" s="8" t="n">
        <v>857.5</v>
      </c>
      <c r="S640" s="8" t="n">
        <v>676.8</v>
      </c>
    </row>
    <row r="641" customFormat="false" ht="15" hidden="false" customHeight="false" outlineLevel="0" collapsed="false">
      <c r="A641" s="7" t="n">
        <v>45740</v>
      </c>
      <c r="B641" s="8" t="n">
        <v>23658.35</v>
      </c>
      <c r="C641" s="8" t="n">
        <v>21538.1</v>
      </c>
      <c r="D641" s="8" t="n">
        <v>2005.3</v>
      </c>
      <c r="E641" s="8" t="n">
        <v>685.3</v>
      </c>
      <c r="F641" s="8" t="n">
        <v>1086.5</v>
      </c>
      <c r="G641" s="8" t="n">
        <v>578.3</v>
      </c>
      <c r="H641" s="8" t="n">
        <v>872.95</v>
      </c>
      <c r="I641" s="8" t="n">
        <v>354.3</v>
      </c>
      <c r="J641" s="8" t="n">
        <v>1400.15</v>
      </c>
      <c r="K641" s="8" t="n">
        <v>907.77</v>
      </c>
      <c r="L641" s="8" t="n">
        <v>1529.3</v>
      </c>
      <c r="M641" s="8" t="n">
        <v>995.85</v>
      </c>
      <c r="N641" s="8" t="n">
        <v>337</v>
      </c>
      <c r="O641" s="8" t="n">
        <v>293.1</v>
      </c>
      <c r="P641" s="8" t="n">
        <v>2352.55</v>
      </c>
      <c r="Q641" s="8" t="n">
        <v>347.3</v>
      </c>
      <c r="R641" s="8" t="n">
        <v>854.5</v>
      </c>
      <c r="S641" s="8" t="n">
        <v>682</v>
      </c>
    </row>
    <row r="642" customFormat="false" ht="15" hidden="false" customHeight="false" outlineLevel="0" collapsed="false">
      <c r="A642" s="7" t="n">
        <v>45741</v>
      </c>
      <c r="B642" s="8" t="n">
        <v>23668.65</v>
      </c>
      <c r="C642" s="8" t="n">
        <v>21437.75</v>
      </c>
      <c r="D642" s="8" t="n">
        <v>1957.05</v>
      </c>
      <c r="E642" s="8" t="n">
        <v>680.1</v>
      </c>
      <c r="F642" s="8" t="n">
        <v>1027.8</v>
      </c>
      <c r="G642" s="8" t="n">
        <v>570.6</v>
      </c>
      <c r="H642" s="8" t="n">
        <v>870.65</v>
      </c>
      <c r="I642" s="8" t="n">
        <v>340.15</v>
      </c>
      <c r="J642" s="8" t="n">
        <v>1363.8</v>
      </c>
      <c r="K642" s="8" t="n">
        <v>905.49</v>
      </c>
      <c r="L642" s="8" t="n">
        <v>1529.05</v>
      </c>
      <c r="M642" s="8" t="n">
        <v>966.95</v>
      </c>
      <c r="N642" s="8" t="n">
        <v>328.25</v>
      </c>
      <c r="O642" s="8" t="n">
        <v>289.2</v>
      </c>
      <c r="P642" s="8" t="n">
        <v>2345.45</v>
      </c>
      <c r="Q642" s="8" t="n">
        <v>346.55</v>
      </c>
      <c r="R642" s="8" t="n">
        <v>859.2</v>
      </c>
      <c r="S642" s="8" t="n">
        <v>678.35</v>
      </c>
    </row>
    <row r="643" customFormat="false" ht="15" hidden="false" customHeight="false" outlineLevel="0" collapsed="false">
      <c r="A643" s="7" t="n">
        <v>45742</v>
      </c>
      <c r="B643" s="8" t="n">
        <v>23486.85</v>
      </c>
      <c r="C643" s="8" t="n">
        <v>21275.45</v>
      </c>
      <c r="D643" s="8" t="n">
        <v>2013.6</v>
      </c>
      <c r="E643" s="8" t="n">
        <v>670.65</v>
      </c>
      <c r="F643" s="8" t="n">
        <v>1016.7</v>
      </c>
      <c r="G643" s="8" t="n">
        <v>561.15</v>
      </c>
      <c r="H643" s="8" t="n">
        <v>851.95</v>
      </c>
      <c r="I643" s="8" t="n">
        <v>335.1</v>
      </c>
      <c r="J643" s="8" t="n">
        <v>1326.85</v>
      </c>
      <c r="K643" s="8" t="n">
        <v>885.4</v>
      </c>
      <c r="L643" s="8" t="n">
        <v>1522.25</v>
      </c>
      <c r="M643" s="8" t="n">
        <v>921.55</v>
      </c>
      <c r="N643" s="8" t="n">
        <v>328.4</v>
      </c>
      <c r="O643" s="8" t="n">
        <v>287.2</v>
      </c>
      <c r="P643" s="8" t="n">
        <v>2313.55</v>
      </c>
      <c r="Q643" s="8" t="n">
        <v>342.25</v>
      </c>
      <c r="R643" s="8" t="n">
        <v>868.6</v>
      </c>
      <c r="S643" s="8" t="n">
        <v>672</v>
      </c>
    </row>
    <row r="644" customFormat="false" ht="15" hidden="false" customHeight="false" outlineLevel="0" collapsed="false">
      <c r="A644" s="7" t="n">
        <v>45743</v>
      </c>
      <c r="B644" s="8" t="n">
        <v>23591.95</v>
      </c>
      <c r="C644" s="8" t="n">
        <v>21407.95</v>
      </c>
      <c r="D644" s="8" t="n">
        <v>2087.2</v>
      </c>
      <c r="E644" s="8" t="n">
        <v>666.9</v>
      </c>
      <c r="F644" s="8" t="n">
        <v>1049.45</v>
      </c>
      <c r="G644" s="8" t="n">
        <v>569.5</v>
      </c>
      <c r="H644" s="8" t="n">
        <v>871</v>
      </c>
      <c r="I644" s="8" t="n">
        <v>335.55</v>
      </c>
      <c r="J644" s="8" t="n">
        <v>1272.05</v>
      </c>
      <c r="K644" s="8" t="n">
        <v>899.16</v>
      </c>
      <c r="L644" s="8" t="n">
        <v>1531.7</v>
      </c>
      <c r="M644" s="8" t="n">
        <v>985.65</v>
      </c>
      <c r="N644" s="8" t="n">
        <v>336.9</v>
      </c>
      <c r="O644" s="8" t="n">
        <v>290.1</v>
      </c>
      <c r="P644" s="8" t="n">
        <v>2337.9</v>
      </c>
      <c r="Q644" s="8" t="n">
        <v>338.6</v>
      </c>
      <c r="R644" s="8" t="n">
        <v>870.5</v>
      </c>
      <c r="S644" s="8" t="n">
        <v>678.5</v>
      </c>
    </row>
    <row r="645" customFormat="false" ht="15" hidden="false" customHeight="false" outlineLevel="0" collapsed="false">
      <c r="A645" s="7" t="n">
        <v>45744</v>
      </c>
      <c r="B645" s="8" t="n">
        <v>23519.35</v>
      </c>
      <c r="C645" s="8" t="n">
        <v>21339.55</v>
      </c>
      <c r="D645" s="8" t="n">
        <v>2084.05</v>
      </c>
      <c r="E645" s="8" t="n">
        <v>669.45</v>
      </c>
      <c r="F645" s="8" t="n">
        <v>1014.15</v>
      </c>
      <c r="G645" s="8" t="n">
        <v>563.85</v>
      </c>
      <c r="H645" s="8" t="n">
        <v>881.5</v>
      </c>
      <c r="I645" s="8" t="n">
        <v>335.1</v>
      </c>
      <c r="J645" s="8" t="n">
        <v>1289.4</v>
      </c>
      <c r="K645" s="8" t="n">
        <v>893.34</v>
      </c>
      <c r="L645" s="8" t="n">
        <v>1519.95</v>
      </c>
      <c r="M645" s="8" t="n">
        <v>951.95</v>
      </c>
      <c r="N645" s="8" t="n">
        <v>327.65</v>
      </c>
      <c r="O645" s="8" t="n">
        <v>283</v>
      </c>
      <c r="P645" s="8" t="n">
        <v>2382.9</v>
      </c>
      <c r="Q645" s="8" t="n">
        <v>350.45</v>
      </c>
      <c r="R645" s="8" t="n">
        <v>881.1</v>
      </c>
      <c r="S645" s="8" t="n">
        <v>656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4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9" min="1" style="0" width="12"/>
  </cols>
  <sheetData>
    <row r="1" customFormat="false" ht="15" hidden="false" customHeight="false" outlineLevel="0" collapsed="false">
      <c r="A1" s="6" t="s">
        <v>106</v>
      </c>
    </row>
    <row r="2" customFormat="false" ht="15" hidden="false" customHeight="false" outlineLevel="0" collapsed="false">
      <c r="A2" s="2" t="s">
        <v>107</v>
      </c>
    </row>
    <row r="4" customFormat="false" ht="42" hidden="false" customHeight="true" outlineLevel="0" collapsed="false">
      <c r="A4" s="3" t="s">
        <v>49</v>
      </c>
      <c r="B4" s="3" t="s">
        <v>88</v>
      </c>
      <c r="C4" s="3" t="s">
        <v>89</v>
      </c>
      <c r="D4" s="3" t="s">
        <v>90</v>
      </c>
      <c r="E4" s="3" t="s">
        <v>91</v>
      </c>
      <c r="F4" s="3" t="s">
        <v>92</v>
      </c>
      <c r="G4" s="3" t="s">
        <v>93</v>
      </c>
      <c r="H4" s="3" t="s">
        <v>94</v>
      </c>
      <c r="I4" s="3" t="s">
        <v>95</v>
      </c>
      <c r="J4" s="3" t="s">
        <v>96</v>
      </c>
      <c r="K4" s="3" t="s">
        <v>97</v>
      </c>
      <c r="L4" s="3" t="s">
        <v>98</v>
      </c>
      <c r="M4" s="3" t="s">
        <v>99</v>
      </c>
      <c r="N4" s="3" t="s">
        <v>100</v>
      </c>
      <c r="O4" s="3" t="s">
        <v>101</v>
      </c>
      <c r="P4" s="3" t="s">
        <v>102</v>
      </c>
      <c r="Q4" s="3" t="s">
        <v>103</v>
      </c>
      <c r="R4" s="3" t="s">
        <v>104</v>
      </c>
      <c r="S4" s="3" t="s">
        <v>105</v>
      </c>
    </row>
    <row r="5" customFormat="false" ht="15" hidden="false" customHeight="false" outlineLevel="0" collapsed="false">
      <c r="A5" s="13" t="n">
        <f aca="false">Share_Prices!A5</f>
        <v>44805</v>
      </c>
    </row>
    <row r="6" customFormat="false" ht="15" hidden="false" customHeight="false" outlineLevel="0" collapsed="false">
      <c r="A6" s="13" t="n">
        <f aca="false">Share_Prices!A6</f>
        <v>44806</v>
      </c>
      <c r="B6" s="14" t="n">
        <f aca="false">Share_Prices!B6/Share_Prices!B5-1</f>
        <v>-0.000190961534076606</v>
      </c>
      <c r="C6" s="14" t="n">
        <f aca="false">Share_Prices!C6/Share_Prices!C5-1</f>
        <v>-0.000631113916061854</v>
      </c>
      <c r="D6" s="14" t="n">
        <f aca="false">Share_Prices!D6/Share_Prices!D5-1</f>
        <v>-0.0130900264401196</v>
      </c>
      <c r="E6" s="14" t="n">
        <f aca="false">Share_Prices!E6/Share_Prices!E5-1</f>
        <v>-0.0117336234361646</v>
      </c>
      <c r="F6" s="14" t="n">
        <f aca="false">Share_Prices!F6/Share_Prices!F5-1</f>
        <v>-0.00710394188655061</v>
      </c>
      <c r="G6" s="14" t="n">
        <f aca="false">Share_Prices!G6/Share_Prices!G5-1</f>
        <v>0.00239779402949281</v>
      </c>
      <c r="H6" s="14" t="n">
        <f aca="false">Share_Prices!H6/Share_Prices!H5-1</f>
        <v>0.054711857588253</v>
      </c>
      <c r="I6" s="14" t="n">
        <f aca="false">Share_Prices!I6/Share_Prices!I5-1</f>
        <v>-0.00553732567678433</v>
      </c>
      <c r="J6" s="14" t="n">
        <f aca="false">Share_Prices!J6/Share_Prices!J5-1</f>
        <v>0.0159471994291829</v>
      </c>
      <c r="K6" s="14" t="n">
        <f aca="false">Share_Prices!K6/Share_Prices!K5-1</f>
        <v>0.00126891166422638</v>
      </c>
      <c r="L6" s="14" t="n">
        <f aca="false">Share_Prices!L6/Share_Prices!L5-1</f>
        <v>0.00152033447358435</v>
      </c>
      <c r="M6" s="14" t="n">
        <f aca="false">Share_Prices!M6/Share_Prices!M5-1</f>
        <v>0.0131284347649094</v>
      </c>
      <c r="N6" s="14" t="n">
        <f aca="false">Share_Prices!N6/Share_Prices!N5-1</f>
        <v>-0.00188402763240525</v>
      </c>
      <c r="O6" s="14" t="n">
        <f aca="false">Share_Prices!O6/Share_Prices!O5-1</f>
        <v>0.0108774474256708</v>
      </c>
      <c r="P6" s="14" t="n">
        <f aca="false">Share_Prices!P6/Share_Prices!P5-1</f>
        <v>-0.0141182100981095</v>
      </c>
      <c r="Q6" s="14" t="n">
        <f aca="false">Share_Prices!Q6/Share_Prices!Q5-1</f>
        <v>-0.00147155003270105</v>
      </c>
      <c r="R6" s="14" t="n">
        <f aca="false">Share_Prices!R6/Share_Prices!R5-1</f>
        <v>0.00479500026938218</v>
      </c>
      <c r="S6" s="14" t="n">
        <f aca="false">Share_Prices!S6/Share_Prices!S5-1</f>
        <v>-0.015535076170773</v>
      </c>
    </row>
    <row r="7" customFormat="false" ht="15" hidden="false" customHeight="false" outlineLevel="0" collapsed="false">
      <c r="A7" s="13" t="n">
        <f aca="false">Share_Prices!A7</f>
        <v>44809</v>
      </c>
      <c r="B7" s="14" t="n">
        <f aca="false">Share_Prices!B7/Share_Prices!B6-1</f>
        <v>0.00720376066524309</v>
      </c>
      <c r="C7" s="14" t="n">
        <f aca="false">Share_Prices!C7/Share_Prices!C6-1</f>
        <v>0.00610462056625605</v>
      </c>
      <c r="D7" s="14" t="n">
        <f aca="false">Share_Prices!D7/Share_Prices!D6-1</f>
        <v>0.00485308972726073</v>
      </c>
      <c r="E7" s="14" t="n">
        <f aca="false">Share_Prices!E7/Share_Prices!E6-1</f>
        <v>0.00424595062116695</v>
      </c>
      <c r="F7" s="14" t="n">
        <f aca="false">Share_Prices!F7/Share_Prices!F6-1</f>
        <v>-0.0172682769379742</v>
      </c>
      <c r="G7" s="14" t="n">
        <f aca="false">Share_Prices!G7/Share_Prices!G6-1</f>
        <v>0.017940437746681</v>
      </c>
      <c r="H7" s="14" t="n">
        <f aca="false">Share_Prices!H7/Share_Prices!H6-1</f>
        <v>-0.0109341724674994</v>
      </c>
      <c r="I7" s="14" t="n">
        <f aca="false">Share_Prices!I7/Share_Prices!I6-1</f>
        <v>-0.0220664054444215</v>
      </c>
      <c r="J7" s="14" t="n">
        <f aca="false">Share_Prices!J7/Share_Prices!J6-1</f>
        <v>-0.00312532921304898</v>
      </c>
      <c r="K7" s="14" t="n">
        <f aca="false">Share_Prices!K7/Share_Prices!K6-1</f>
        <v>0.000807731944405754</v>
      </c>
      <c r="L7" s="14" t="n">
        <f aca="false">Share_Prices!L7/Share_Prices!L6-1</f>
        <v>0.0117014547754586</v>
      </c>
      <c r="M7" s="14" t="n">
        <f aca="false">Share_Prices!M7/Share_Prices!M6-1</f>
        <v>0.0217478653942742</v>
      </c>
      <c r="N7" s="14" t="n">
        <f aca="false">Share_Prices!N7/Share_Prices!N6-1</f>
        <v>-0.0147111697027803</v>
      </c>
      <c r="O7" s="14" t="n">
        <f aca="false">Share_Prices!O7/Share_Prices!O6-1</f>
        <v>0.027737924438068</v>
      </c>
      <c r="P7" s="14" t="n">
        <f aca="false">Share_Prices!P7/Share_Prices!P6-1</f>
        <v>0.000582524271844465</v>
      </c>
      <c r="Q7" s="14" t="n">
        <f aca="false">Share_Prices!Q7/Share_Prices!Q6-1</f>
        <v>-0.00573112821352551</v>
      </c>
      <c r="R7" s="14" t="n">
        <f aca="false">Share_Prices!R7/Share_Prices!R6-1</f>
        <v>0.00412868632707775</v>
      </c>
      <c r="S7" s="14" t="n">
        <f aca="false">Share_Prices!S7/Share_Prices!S6-1</f>
        <v>0.00932294054714955</v>
      </c>
    </row>
    <row r="8" customFormat="false" ht="15" hidden="false" customHeight="false" outlineLevel="0" collapsed="false">
      <c r="A8" s="13" t="n">
        <f aca="false">Share_Prices!A8</f>
        <v>44810</v>
      </c>
      <c r="B8" s="14" t="n">
        <f aca="false">Share_Prices!B8/Share_Prices!B7-1</f>
        <v>-0.000577386815202252</v>
      </c>
      <c r="C8" s="14" t="n">
        <f aca="false">Share_Prices!C8/Share_Prices!C7-1</f>
        <v>0.00121940056491265</v>
      </c>
      <c r="D8" s="14" t="n">
        <f aca="false">Share_Prices!D8/Share_Prices!D7-1</f>
        <v>-0.00201053344697211</v>
      </c>
      <c r="E8" s="14" t="n">
        <f aca="false">Share_Prices!E8/Share_Prices!E7-1</f>
        <v>0.00963044159098025</v>
      </c>
      <c r="F8" s="14" t="n">
        <f aca="false">Share_Prices!F8/Share_Prices!F7-1</f>
        <v>-0.029778848259251</v>
      </c>
      <c r="G8" s="14" t="n">
        <f aca="false">Share_Prices!G8/Share_Prices!G7-1</f>
        <v>-0.00751968041358242</v>
      </c>
      <c r="H8" s="14" t="n">
        <f aca="false">Share_Prices!H8/Share_Prices!H7-1</f>
        <v>-0.0208889031718996</v>
      </c>
      <c r="I8" s="14" t="n">
        <f aca="false">Share_Prices!I8/Share_Prices!I7-1</f>
        <v>-0.0175031632222691</v>
      </c>
      <c r="J8" s="14" t="n">
        <f aca="false">Share_Prices!J8/Share_Prices!J7-1</f>
        <v>-0.00338171058193615</v>
      </c>
      <c r="K8" s="14" t="n">
        <f aca="false">Share_Prices!K8/Share_Prices!K7-1</f>
        <v>-0.0106729377713458</v>
      </c>
      <c r="L8" s="14" t="n">
        <f aca="false">Share_Prices!L8/Share_Prices!L7-1</f>
        <v>0.00256330103157221</v>
      </c>
      <c r="M8" s="14" t="n">
        <f aca="false">Share_Prices!M8/Share_Prices!M7-1</f>
        <v>0.0349997542152092</v>
      </c>
      <c r="N8" s="14" t="n">
        <f aca="false">Share_Prices!N8/Share_Prices!N7-1</f>
        <v>-0.017272312604531</v>
      </c>
      <c r="O8" s="14" t="n">
        <f aca="false">Share_Prices!O8/Share_Prices!O7-1</f>
        <v>0.0228013029315961</v>
      </c>
      <c r="P8" s="14" t="n">
        <f aca="false">Share_Prices!P8/Share_Prices!P7-1</f>
        <v>0</v>
      </c>
      <c r="Q8" s="14" t="n">
        <f aca="false">Share_Prices!Q8/Share_Prices!Q7-1</f>
        <v>-0.0135046113306984</v>
      </c>
      <c r="R8" s="14" t="n">
        <f aca="false">Share_Prices!R8/Share_Prices!R7-1</f>
        <v>0.0148448763816949</v>
      </c>
      <c r="S8" s="14" t="n">
        <f aca="false">Share_Prices!S8/Share_Prices!S7-1</f>
        <v>0.0484176256814051</v>
      </c>
    </row>
    <row r="9" customFormat="false" ht="15" hidden="false" customHeight="false" outlineLevel="0" collapsed="false">
      <c r="A9" s="13" t="n">
        <f aca="false">Share_Prices!A9</f>
        <v>44811</v>
      </c>
      <c r="B9" s="14" t="n">
        <f aca="false">Share_Prices!B9/Share_Prices!B8-1</f>
        <v>-0.00176714470196404</v>
      </c>
      <c r="C9" s="14" t="n">
        <f aca="false">Share_Prices!C9/Share_Prices!C8-1</f>
        <v>0.000414678982959105</v>
      </c>
      <c r="D9" s="14" t="n">
        <f aca="false">Share_Prices!D9/Share_Prices!D8-1</f>
        <v>0.00129196137254484</v>
      </c>
      <c r="E9" s="14" t="n">
        <f aca="false">Share_Prices!E9/Share_Prices!E8-1</f>
        <v>-0.00488561457929426</v>
      </c>
      <c r="F9" s="14" t="n">
        <f aca="false">Share_Prices!F9/Share_Prices!F8-1</f>
        <v>-0.0305235838411194</v>
      </c>
      <c r="G9" s="14" t="n">
        <f aca="false">Share_Prices!G9/Share_Prices!G8-1</f>
        <v>0.00295963063809634</v>
      </c>
      <c r="H9" s="14" t="n">
        <f aca="false">Share_Prices!H9/Share_Prices!H8-1</f>
        <v>0.00964978501329306</v>
      </c>
      <c r="I9" s="14" t="n">
        <f aca="false">Share_Prices!I9/Share_Prices!I8-1</f>
        <v>0.0216784717750591</v>
      </c>
      <c r="J9" s="14" t="n">
        <f aca="false">Share_Prices!J9/Share_Prices!J8-1</f>
        <v>-0.00710448183232004</v>
      </c>
      <c r="K9" s="14" t="n">
        <f aca="false">Share_Prices!K9/Share_Prices!K8-1</f>
        <v>0.00662475209924462</v>
      </c>
      <c r="L9" s="14" t="n">
        <f aca="false">Share_Prices!L9/Share_Prices!L8-1</f>
        <v>0.000498877525567654</v>
      </c>
      <c r="M9" s="14" t="n">
        <f aca="false">Share_Prices!M9/Share_Prices!M8-1</f>
        <v>-0.0131560199477558</v>
      </c>
      <c r="N9" s="14" t="n">
        <f aca="false">Share_Prices!N9/Share_Prices!N8-1</f>
        <v>0.00105207785376105</v>
      </c>
      <c r="O9" s="14" t="n">
        <f aca="false">Share_Prices!O9/Share_Prices!O8-1</f>
        <v>0.0113739763421292</v>
      </c>
      <c r="P9" s="14" t="n">
        <f aca="false">Share_Prices!P9/Share_Prices!P8-1</f>
        <v>0.00514263535804393</v>
      </c>
      <c r="Q9" s="14" t="n">
        <f aca="false">Share_Prices!Q9/Share_Prices!Q8-1</f>
        <v>0.000500834724540766</v>
      </c>
      <c r="R9" s="14" t="n">
        <f aca="false">Share_Prices!R9/Share_Prices!R8-1</f>
        <v>0.00831360168376749</v>
      </c>
      <c r="S9" s="14" t="n">
        <f aca="false">Share_Prices!S9/Share_Prices!S8-1</f>
        <v>-0.013107059035927</v>
      </c>
    </row>
    <row r="10" customFormat="false" ht="15" hidden="false" customHeight="false" outlineLevel="0" collapsed="false">
      <c r="A10" s="13" t="n">
        <f aca="false">Share_Prices!A10</f>
        <v>44812</v>
      </c>
      <c r="B10" s="14" t="n">
        <f aca="false">Share_Prices!B10/Share_Prices!B9-1</f>
        <v>0.00989253534872092</v>
      </c>
      <c r="C10" s="14" t="n">
        <f aca="false">Share_Prices!C10/Share_Prices!C9-1</f>
        <v>0.0079180646761623</v>
      </c>
      <c r="D10" s="14" t="n">
        <f aca="false">Share_Prices!D10/Share_Prices!D9-1</f>
        <v>0.0019245068451208</v>
      </c>
      <c r="E10" s="14" t="n">
        <f aca="false">Share_Prices!E10/Share_Prices!E9-1</f>
        <v>0.00802680798004984</v>
      </c>
      <c r="F10" s="14" t="n">
        <f aca="false">Share_Prices!F10/Share_Prices!F9-1</f>
        <v>0.032590350928243</v>
      </c>
      <c r="G10" s="14" t="n">
        <f aca="false">Share_Prices!G10/Share_Prices!G9-1</f>
        <v>0.0217186024551463</v>
      </c>
      <c r="H10" s="14" t="n">
        <f aca="false">Share_Prices!H10/Share_Prices!H9-1</f>
        <v>-0.00243815220571508</v>
      </c>
      <c r="I10" s="14" t="n">
        <f aca="false">Share_Prices!I10/Share_Prices!I9-1</f>
        <v>-0.011344537815126</v>
      </c>
      <c r="J10" s="14" t="n">
        <f aca="false">Share_Prices!J10/Share_Prices!J9-1</f>
        <v>0.00135274643124128</v>
      </c>
      <c r="K10" s="14" t="n">
        <f aca="false">Share_Prices!K10/Share_Prices!K9-1</f>
        <v>0.0127151799687011</v>
      </c>
      <c r="L10" s="14" t="n">
        <f aca="false">Share_Prices!L10/Share_Prices!L9-1</f>
        <v>-0.000997257541760277</v>
      </c>
      <c r="M10" s="14" t="n">
        <f aca="false">Share_Prices!M10/Share_Prices!M9-1</f>
        <v>0.000336894792569042</v>
      </c>
      <c r="N10" s="14" t="n">
        <f aca="false">Share_Prices!N10/Share_Prices!N9-1</f>
        <v>0.0066149423510864</v>
      </c>
      <c r="O10" s="14" t="n">
        <f aca="false">Share_Prices!O10/Share_Prices!O9-1</f>
        <v>-0.00629779577148004</v>
      </c>
      <c r="P10" s="14" t="n">
        <f aca="false">Share_Prices!P10/Share_Prices!P9-1</f>
        <v>0.00429578144608533</v>
      </c>
      <c r="Q10" s="14" t="n">
        <f aca="false">Share_Prices!Q10/Share_Prices!Q9-1</f>
        <v>0.0115134323377275</v>
      </c>
      <c r="R10" s="14" t="n">
        <f aca="false">Share_Prices!R10/Share_Prices!R9-1</f>
        <v>0.00527057350101767</v>
      </c>
      <c r="S10" s="14" t="n">
        <f aca="false">Share_Prices!S10/Share_Prices!S9-1</f>
        <v>-0.00376847651104917</v>
      </c>
    </row>
    <row r="11" customFormat="false" ht="15" hidden="false" customHeight="false" outlineLevel="0" collapsed="false">
      <c r="A11" s="13" t="n">
        <f aca="false">Share_Prices!A11</f>
        <v>44813</v>
      </c>
      <c r="B11" s="14" t="n">
        <f aca="false">Share_Prices!B11/Share_Prices!B10-1</f>
        <v>0.00194395673853487</v>
      </c>
      <c r="C11" s="14" t="n">
        <f aca="false">Share_Prices!C11/Share_Prices!C10-1</f>
        <v>0.00172919621519751</v>
      </c>
      <c r="D11" s="14" t="n">
        <f aca="false">Share_Prices!D11/Share_Prices!D10-1</f>
        <v>0.00984415244248482</v>
      </c>
      <c r="E11" s="14" t="n">
        <f aca="false">Share_Prices!E11/Share_Prices!E10-1</f>
        <v>0.000463857750289787</v>
      </c>
      <c r="F11" s="14" t="n">
        <f aca="false">Share_Prices!F11/Share_Prices!F10-1</f>
        <v>-0.0149918277630614</v>
      </c>
      <c r="G11" s="14" t="n">
        <f aca="false">Share_Prices!G11/Share_Prices!G10-1</f>
        <v>0.00901109057301297</v>
      </c>
      <c r="H11" s="14" t="n">
        <f aca="false">Share_Prices!H11/Share_Prices!H10-1</f>
        <v>0.00593104347259343</v>
      </c>
      <c r="I11" s="14" t="n">
        <f aca="false">Share_Prices!I11/Share_Prices!I10-1</f>
        <v>-0.0161495962600935</v>
      </c>
      <c r="J11" s="14" t="n">
        <f aca="false">Share_Prices!J11/Share_Prices!J10-1</f>
        <v>-0.0029151409577306</v>
      </c>
      <c r="K11" s="14" t="n">
        <f aca="false">Share_Prices!K11/Share_Prices!K10-1</f>
        <v>-0.0105825215927591</v>
      </c>
      <c r="L11" s="14" t="n">
        <f aca="false">Share_Prices!L11/Share_Prices!L10-1</f>
        <v>-0.0132892438233092</v>
      </c>
      <c r="M11" s="14" t="n">
        <f aca="false">Share_Prices!M11/Share_Prices!M10-1</f>
        <v>-0.00918931922059174</v>
      </c>
      <c r="N11" s="14" t="n">
        <f aca="false">Share_Prices!N11/Share_Prices!N10-1</f>
        <v>0.00178105327805933</v>
      </c>
      <c r="O11" s="14" t="n">
        <f aca="false">Share_Prices!O11/Share_Prices!O10-1</f>
        <v>0.0169760072430964</v>
      </c>
      <c r="P11" s="14" t="n">
        <f aca="false">Share_Prices!P11/Share_Prices!P10-1</f>
        <v>0.0048060748786467</v>
      </c>
      <c r="Q11" s="14" t="n">
        <f aca="false">Share_Prices!Q11/Share_Prices!Q10-1</f>
        <v>0.00709336852523923</v>
      </c>
      <c r="R11" s="14" t="n">
        <f aca="false">Share_Prices!R11/Share_Prices!R10-1</f>
        <v>-0.0207122093023256</v>
      </c>
      <c r="S11" s="14" t="n">
        <f aca="false">Share_Prices!S11/Share_Prices!S10-1</f>
        <v>-0.0274339858239379</v>
      </c>
    </row>
    <row r="12" customFormat="false" ht="15" hidden="false" customHeight="false" outlineLevel="0" collapsed="false">
      <c r="A12" s="13" t="n">
        <f aca="false">Share_Prices!A12</f>
        <v>44816</v>
      </c>
      <c r="B12" s="14" t="n">
        <f aca="false">Share_Prices!B12/Share_Prices!B11-1</f>
        <v>0.00577569553673318</v>
      </c>
      <c r="C12" s="14" t="n">
        <f aca="false">Share_Prices!C12/Share_Prices!C11-1</f>
        <v>0.0071117317713385</v>
      </c>
      <c r="D12" s="14" t="n">
        <f aca="false">Share_Prices!D12/Share_Prices!D11-1</f>
        <v>-0.0022046903706906</v>
      </c>
      <c r="E12" s="14" t="n">
        <f aca="false">Share_Prices!E12/Share_Prices!E11-1</f>
        <v>0.0144501970481417</v>
      </c>
      <c r="F12" s="14" t="n">
        <f aca="false">Share_Prices!F12/Share_Prices!F11-1</f>
        <v>0.00652285861417856</v>
      </c>
      <c r="G12" s="14" t="n">
        <f aca="false">Share_Prices!G12/Share_Prices!G11-1</f>
        <v>0.00194641630409897</v>
      </c>
      <c r="H12" s="14" t="n">
        <f aca="false">Share_Prices!H12/Share_Prices!H11-1</f>
        <v>-0.00145782039652709</v>
      </c>
      <c r="I12" s="14" t="n">
        <f aca="false">Share_Prices!I12/Share_Prices!I11-1</f>
        <v>0.1</v>
      </c>
      <c r="J12" s="14" t="n">
        <f aca="false">Share_Prices!J12/Share_Prices!J11-1</f>
        <v>0.0128355973900951</v>
      </c>
      <c r="K12" s="14" t="n">
        <f aca="false">Share_Prices!K12/Share_Prices!K11-1</f>
        <v>0.0147676088745103</v>
      </c>
      <c r="L12" s="14" t="n">
        <f aca="false">Share_Prices!L12/Share_Prices!L11-1</f>
        <v>0.00942143534619033</v>
      </c>
      <c r="M12" s="14" t="n">
        <f aca="false">Share_Prices!M12/Share_Prices!M11-1</f>
        <v>0.01393609789259</v>
      </c>
      <c r="N12" s="14" t="n">
        <f aca="false">Share_Prices!N12/Share_Prices!N11-1</f>
        <v>0.00282009625111113</v>
      </c>
      <c r="O12" s="14" t="n">
        <f aca="false">Share_Prices!O12/Share_Prices!O11-1</f>
        <v>0.00356109503672375</v>
      </c>
      <c r="P12" s="14" t="n">
        <f aca="false">Share_Prices!P12/Share_Prices!P11-1</f>
        <v>0.000765293920696575</v>
      </c>
      <c r="Q12" s="14" t="n">
        <f aca="false">Share_Prices!Q12/Share_Prices!Q11-1</f>
        <v>-0.00655200655200661</v>
      </c>
      <c r="R12" s="14" t="n">
        <f aca="false">Share_Prices!R12/Share_Prices!R11-1</f>
        <v>0.00689106811555784</v>
      </c>
      <c r="S12" s="14" t="n">
        <f aca="false">Share_Prices!S12/Share_Prices!S11-1</f>
        <v>0.00332301185711037</v>
      </c>
    </row>
    <row r="13" customFormat="false" ht="15" hidden="false" customHeight="false" outlineLevel="0" collapsed="false">
      <c r="A13" s="13" t="n">
        <f aca="false">Share_Prices!A13</f>
        <v>44817</v>
      </c>
      <c r="B13" s="14" t="n">
        <f aca="false">Share_Prices!B13/Share_Prices!B12-1</f>
        <v>0.00745413643244031</v>
      </c>
      <c r="C13" s="14" t="n">
        <f aca="false">Share_Prices!C13/Share_Prices!C12-1</f>
        <v>0.00593488001848841</v>
      </c>
      <c r="D13" s="14" t="n">
        <f aca="false">Share_Prices!D13/Share_Prices!D12-1</f>
        <v>-0.0118276541819207</v>
      </c>
      <c r="E13" s="14" t="n">
        <f aca="false">Share_Prices!E13/Share_Prices!E12-1</f>
        <v>-0.00723644119439371</v>
      </c>
      <c r="F13" s="14" t="n">
        <f aca="false">Share_Prices!F13/Share_Prices!F12-1</f>
        <v>-0.0206355522710476</v>
      </c>
      <c r="G13" s="14" t="n">
        <f aca="false">Share_Prices!G13/Share_Prices!G12-1</f>
        <v>-0.000685635927322625</v>
      </c>
      <c r="H13" s="14" t="n">
        <f aca="false">Share_Prices!H13/Share_Prices!H12-1</f>
        <v>0.0815624695844013</v>
      </c>
      <c r="I13" s="14" t="n">
        <f aca="false">Share_Prices!I13/Share_Prices!I12-1</f>
        <v>-0.01826035735323</v>
      </c>
      <c r="J13" s="14" t="n">
        <f aca="false">Share_Prices!J13/Share_Prices!J12-1</f>
        <v>-0.00151371140915957</v>
      </c>
      <c r="K13" s="14" t="n">
        <f aca="false">Share_Prices!K13/Share_Prices!K12-1</f>
        <v>0.0159956025834822</v>
      </c>
      <c r="L13" s="14" t="n">
        <f aca="false">Share_Prices!L13/Share_Prices!L12-1</f>
        <v>-0.000375845652718754</v>
      </c>
      <c r="M13" s="14" t="n">
        <f aca="false">Share_Prices!M13/Share_Prices!M12-1</f>
        <v>-0.0130740864901105</v>
      </c>
      <c r="N13" s="14" t="n">
        <f aca="false">Share_Prices!N13/Share_Prices!N12-1</f>
        <v>0.0307504202965001</v>
      </c>
      <c r="O13" s="14" t="n">
        <f aca="false">Share_Prices!O13/Share_Prices!O12-1</f>
        <v>0.00177422931913962</v>
      </c>
      <c r="P13" s="14" t="n">
        <f aca="false">Share_Prices!P13/Share_Prices!P12-1</f>
        <v>0.00387133776227122</v>
      </c>
      <c r="Q13" s="14" t="n">
        <f aca="false">Share_Prices!Q13/Share_Prices!Q12-1</f>
        <v>-0.00577081615828523</v>
      </c>
      <c r="R13" s="14" t="n">
        <f aca="false">Share_Prices!R13/Share_Prices!R12-1</f>
        <v>0.00315872598052125</v>
      </c>
      <c r="S13" s="14" t="n">
        <f aca="false">Share_Prices!S13/Share_Prices!S12-1</f>
        <v>0.00308618742943168</v>
      </c>
    </row>
    <row r="14" customFormat="false" ht="15" hidden="false" customHeight="false" outlineLevel="0" collapsed="false">
      <c r="A14" s="13" t="n">
        <f aca="false">Share_Prices!A14</f>
        <v>44818</v>
      </c>
      <c r="B14" s="14" t="n">
        <f aca="false">Share_Prices!B14/Share_Prices!B13-1</f>
        <v>-0.00366905459586442</v>
      </c>
      <c r="C14" s="14" t="n">
        <f aca="false">Share_Prices!C14/Share_Prices!C13-1</f>
        <v>-0.00249842851080262</v>
      </c>
      <c r="D14" s="14" t="n">
        <f aca="false">Share_Prices!D14/Share_Prices!D13-1</f>
        <v>-0.00721222351316386</v>
      </c>
      <c r="E14" s="14" t="n">
        <f aca="false">Share_Prices!E14/Share_Prices!E13-1</f>
        <v>0.00283894728765444</v>
      </c>
      <c r="F14" s="14" t="n">
        <f aca="false">Share_Prices!F14/Share_Prices!F13-1</f>
        <v>0.00406315300673321</v>
      </c>
      <c r="G14" s="14" t="n">
        <f aca="false">Share_Prices!G14/Share_Prices!G13-1</f>
        <v>0.00388793596340764</v>
      </c>
      <c r="H14" s="14" t="n">
        <f aca="false">Share_Prices!H14/Share_Prices!H13-1</f>
        <v>0.00854905960344365</v>
      </c>
      <c r="I14" s="14" t="n">
        <f aca="false">Share_Prices!I14/Share_Prices!I13-1</f>
        <v>0.0344</v>
      </c>
      <c r="J14" s="14" t="n">
        <f aca="false">Share_Prices!J14/Share_Prices!J13-1</f>
        <v>-0.00719221548441695</v>
      </c>
      <c r="K14" s="14" t="n">
        <f aca="false">Share_Prices!K14/Share_Prices!K13-1</f>
        <v>0.0108069359158167</v>
      </c>
      <c r="L14" s="14" t="n">
        <f aca="false">Share_Prices!L14/Share_Prices!L13-1</f>
        <v>-0.00382253415214928</v>
      </c>
      <c r="M14" s="14" t="n">
        <f aca="false">Share_Prices!M14/Share_Prices!M13-1</f>
        <v>-0.0049010093167704</v>
      </c>
      <c r="N14" s="14" t="n">
        <f aca="false">Share_Prices!N14/Share_Prices!N13-1</f>
        <v>0.00676136532131322</v>
      </c>
      <c r="O14" s="14" t="n">
        <f aca="false">Share_Prices!O14/Share_Prices!O13-1</f>
        <v>0.0163825547930043</v>
      </c>
      <c r="P14" s="14" t="n">
        <f aca="false">Share_Prices!P14/Share_Prices!P13-1</f>
        <v>-0.00818891639687691</v>
      </c>
      <c r="Q14" s="14" t="n">
        <f aca="false">Share_Prices!Q14/Share_Prices!Q13-1</f>
        <v>-0.0164179104477612</v>
      </c>
      <c r="R14" s="14" t="n">
        <f aca="false">Share_Prices!R14/Share_Prices!R13-1</f>
        <v>0.00535292574127522</v>
      </c>
      <c r="S14" s="14" t="n">
        <f aca="false">Share_Prices!S14/Share_Prices!S13-1</f>
        <v>0.00153834609034975</v>
      </c>
    </row>
    <row r="15" customFormat="false" ht="15" hidden="false" customHeight="false" outlineLevel="0" collapsed="false">
      <c r="A15" s="13" t="n">
        <f aca="false">Share_Prices!A15</f>
        <v>44819</v>
      </c>
      <c r="B15" s="14" t="n">
        <f aca="false">Share_Prices!B15/Share_Prices!B14-1</f>
        <v>-0.00701798236478501</v>
      </c>
      <c r="C15" s="14" t="n">
        <f aca="false">Share_Prices!C15/Share_Prices!C14-1</f>
        <v>-0.00322122489715759</v>
      </c>
      <c r="D15" s="14" t="n">
        <f aca="false">Share_Prices!D15/Share_Prices!D14-1</f>
        <v>-0.0232953541777071</v>
      </c>
      <c r="E15" s="14" t="n">
        <f aca="false">Share_Prices!E15/Share_Prices!E14-1</f>
        <v>0.0166029074215761</v>
      </c>
      <c r="F15" s="14" t="n">
        <f aca="false">Share_Prices!F15/Share_Prices!F14-1</f>
        <v>0.0297144178517748</v>
      </c>
      <c r="G15" s="14" t="n">
        <f aca="false">Share_Prices!G15/Share_Prices!G14-1</f>
        <v>0.00318942931996813</v>
      </c>
      <c r="H15" s="14" t="n">
        <f aca="false">Share_Prices!H15/Share_Prices!H14-1</f>
        <v>0.0192136101362204</v>
      </c>
      <c r="I15" s="14" t="n">
        <f aca="false">Share_Prices!I15/Share_Prices!I14-1</f>
        <v>-0.0104408352668214</v>
      </c>
      <c r="J15" s="14" t="n">
        <f aca="false">Share_Prices!J15/Share_Prices!J14-1</f>
        <v>0.0684303977272727</v>
      </c>
      <c r="K15" s="14" t="n">
        <f aca="false">Share_Prices!K15/Share_Prices!K14-1</f>
        <v>-0.0129795404975045</v>
      </c>
      <c r="L15" s="14" t="n">
        <f aca="false">Share_Prices!L15/Share_Prices!L14-1</f>
        <v>-0.0025791029754042</v>
      </c>
      <c r="M15" s="14" t="n">
        <f aca="false">Share_Prices!M15/Share_Prices!M14-1</f>
        <v>-0.0241380991856438</v>
      </c>
      <c r="N15" s="14" t="n">
        <f aca="false">Share_Prices!N15/Share_Prices!N14-1</f>
        <v>0.0382043653715867</v>
      </c>
      <c r="O15" s="14" t="n">
        <f aca="false">Share_Prices!O15/Share_Prices!O14-1</f>
        <v>0.00152472228272704</v>
      </c>
      <c r="P15" s="14" t="n">
        <f aca="false">Share_Prices!P15/Share_Prices!P14-1</f>
        <v>0.0172331029185868</v>
      </c>
      <c r="Q15" s="14" t="n">
        <f aca="false">Share_Prices!Q15/Share_Prices!Q14-1</f>
        <v>0.0615410554712528</v>
      </c>
      <c r="R15" s="14" t="n">
        <f aca="false">Share_Prices!R15/Share_Prices!R14-1</f>
        <v>0.000835203841937693</v>
      </c>
      <c r="S15" s="14" t="n">
        <f aca="false">Share_Prices!S15/Share_Prices!S14-1</f>
        <v>-0.00651856291911745</v>
      </c>
    </row>
    <row r="16" customFormat="false" ht="15" hidden="false" customHeight="false" outlineLevel="0" collapsed="false">
      <c r="A16" s="13" t="n">
        <f aca="false">Share_Prices!A16</f>
        <v>44820</v>
      </c>
      <c r="B16" s="14" t="n">
        <f aca="false">Share_Prices!B16/Share_Prices!B15-1</f>
        <v>-0.0193848098716817</v>
      </c>
      <c r="C16" s="14" t="n">
        <f aca="false">Share_Prices!C16/Share_Prices!C15-1</f>
        <v>-0.0215912992968708</v>
      </c>
      <c r="D16" s="14" t="n">
        <f aca="false">Share_Prices!D16/Share_Prices!D15-1</f>
        <v>-0.0213641398955531</v>
      </c>
      <c r="E16" s="14" t="n">
        <f aca="false">Share_Prices!E16/Share_Prices!E15-1</f>
        <v>-0.044178520358245</v>
      </c>
      <c r="F16" s="14" t="n">
        <f aca="false">Share_Prices!F16/Share_Prices!F15-1</f>
        <v>-0.0253200089827084</v>
      </c>
      <c r="G16" s="14" t="n">
        <f aca="false">Share_Prices!G16/Share_Prices!G15-1</f>
        <v>-0.0221414783694788</v>
      </c>
      <c r="H16" s="14" t="n">
        <f aca="false">Share_Prices!H16/Share_Prices!H15-1</f>
        <v>-0.0066242558655305</v>
      </c>
      <c r="I16" s="14" t="n">
        <f aca="false">Share_Prices!I16/Share_Prices!I15-1</f>
        <v>-0.0935912465806956</v>
      </c>
      <c r="J16" s="14" t="n">
        <f aca="false">Share_Prices!J16/Share_Prices!J15-1</f>
        <v>-0.0248612357496593</v>
      </c>
      <c r="K16" s="14" t="n">
        <f aca="false">Share_Prices!K16/Share_Prices!K15-1</f>
        <v>-0.0151973211501701</v>
      </c>
      <c r="L16" s="14" t="n">
        <f aca="false">Share_Prices!L16/Share_Prices!L15-1</f>
        <v>-0.0305247225025226</v>
      </c>
      <c r="M16" s="14" t="n">
        <f aca="false">Share_Prices!M16/Share_Prices!M15-1</f>
        <v>0.0120427743353988</v>
      </c>
      <c r="N16" s="14" t="n">
        <f aca="false">Share_Prices!N16/Share_Prices!N15-1</f>
        <v>-0.00261022527378985</v>
      </c>
      <c r="O16" s="14" t="n">
        <f aca="false">Share_Prices!O16/Share_Prices!O15-1</f>
        <v>-0.0165289256198348</v>
      </c>
      <c r="P16" s="14" t="n">
        <f aca="false">Share_Prices!P16/Share_Prices!P15-1</f>
        <v>-0.0246802888018497</v>
      </c>
      <c r="Q16" s="14" t="n">
        <f aca="false">Share_Prices!Q16/Share_Prices!Q15-1</f>
        <v>-0.00381194409148666</v>
      </c>
      <c r="R16" s="14" t="n">
        <f aca="false">Share_Prices!R16/Share_Prices!R15-1</f>
        <v>-0.0256610859020497</v>
      </c>
      <c r="S16" s="14" t="n">
        <f aca="false">Share_Prices!S16/Share_Prices!S15-1</f>
        <v>-0.031599984916475</v>
      </c>
    </row>
    <row r="17" customFormat="false" ht="15" hidden="false" customHeight="false" outlineLevel="0" collapsed="false">
      <c r="A17" s="13" t="n">
        <f aca="false">Share_Prices!A17</f>
        <v>44823</v>
      </c>
      <c r="B17" s="14" t="n">
        <f aca="false">Share_Prices!B17/Share_Prices!B16-1</f>
        <v>0.00521366619416641</v>
      </c>
      <c r="C17" s="14" t="n">
        <f aca="false">Share_Prices!C17/Share_Prices!C16-1</f>
        <v>0.00325374984830029</v>
      </c>
      <c r="D17" s="14" t="n">
        <f aca="false">Share_Prices!D17/Share_Prices!D16-1</f>
        <v>0.0326649417852523</v>
      </c>
      <c r="E17" s="14" t="n">
        <f aca="false">Share_Prices!E17/Share_Prices!E16-1</f>
        <v>-0.0710236220472441</v>
      </c>
      <c r="F17" s="14" t="n">
        <f aca="false">Share_Prices!F17/Share_Prices!F16-1</f>
        <v>0.0233281493001556</v>
      </c>
      <c r="G17" s="14" t="n">
        <f aca="false">Share_Prices!G17/Share_Prices!G16-1</f>
        <v>-0.0397120297259638</v>
      </c>
      <c r="H17" s="14" t="n">
        <f aca="false">Share_Prices!H17/Share_Prices!H16-1</f>
        <v>0.0822243764871771</v>
      </c>
      <c r="I17" s="14" t="n">
        <f aca="false">Share_Prices!I17/Share_Prices!I16-1</f>
        <v>0.00948480275921537</v>
      </c>
      <c r="J17" s="14" t="n">
        <f aca="false">Share_Prices!J17/Share_Prices!J16-1</f>
        <v>-0.0214390401854188</v>
      </c>
      <c r="K17" s="14" t="n">
        <f aca="false">Share_Prices!K17/Share_Prices!K16-1</f>
        <v>0.0305195341537954</v>
      </c>
      <c r="L17" s="14" t="n">
        <f aca="false">Share_Prices!L17/Share_Prices!L16-1</f>
        <v>0.022183190215977</v>
      </c>
      <c r="M17" s="14" t="n">
        <f aca="false">Share_Prices!M17/Share_Prices!M16-1</f>
        <v>-0.023502690959364</v>
      </c>
      <c r="N17" s="14" t="n">
        <f aca="false">Share_Prices!N17/Share_Prices!N16-1</f>
        <v>0.00662797974625917</v>
      </c>
      <c r="O17" s="14" t="n">
        <f aca="false">Share_Prices!O17/Share_Prices!O16-1</f>
        <v>-0.0119416187527642</v>
      </c>
      <c r="P17" s="14" t="n">
        <f aca="false">Share_Prices!P17/Share_Prices!P16-1</f>
        <v>-0.00512870137410504</v>
      </c>
      <c r="Q17" s="14" t="n">
        <f aca="false">Share_Prices!Q17/Share_Prices!Q16-1</f>
        <v>0.0392219387755099</v>
      </c>
      <c r="R17" s="14" t="n">
        <f aca="false">Share_Prices!R17/Share_Prices!R16-1</f>
        <v>0.0094213371875167</v>
      </c>
      <c r="S17" s="14" t="n">
        <f aca="false">Share_Prices!S17/Share_Prices!S16-1</f>
        <v>0.00221953973754907</v>
      </c>
    </row>
    <row r="18" customFormat="false" ht="15" hidden="false" customHeight="false" outlineLevel="0" collapsed="false">
      <c r="A18" s="13" t="n">
        <f aca="false">Share_Prices!A18</f>
        <v>44824</v>
      </c>
      <c r="B18" s="14" t="n">
        <f aca="false">Share_Prices!B18/Share_Prices!B17-1</f>
        <v>0.0110088098852303</v>
      </c>
      <c r="C18" s="14" t="n">
        <f aca="false">Share_Prices!C18/Share_Prices!C17-1</f>
        <v>0.0115604290697713</v>
      </c>
      <c r="D18" s="14" t="n">
        <f aca="false">Share_Prices!D18/Share_Prices!D17-1</f>
        <v>-0.00568207239049701</v>
      </c>
      <c r="E18" s="14" t="n">
        <f aca="false">Share_Prices!E18/Share_Prices!E17-1</f>
        <v>-0.0416172232581793</v>
      </c>
      <c r="F18" s="14" t="n">
        <f aca="false">Share_Prices!F18/Share_Prices!F17-1</f>
        <v>0.0210514465833616</v>
      </c>
      <c r="G18" s="14" t="n">
        <f aca="false">Share_Prices!G18/Share_Prices!G17-1</f>
        <v>0.0274486094316808</v>
      </c>
      <c r="H18" s="14" t="n">
        <f aca="false">Share_Prices!H18/Share_Prices!H17-1</f>
        <v>-0.026872964169381</v>
      </c>
      <c r="I18" s="14" t="n">
        <f aca="false">Share_Prices!I18/Share_Prices!I17-1</f>
        <v>0.0277599829169335</v>
      </c>
      <c r="J18" s="14" t="n">
        <f aca="false">Share_Prices!J18/Share_Prices!J17-1</f>
        <v>0.0027516544757924</v>
      </c>
      <c r="K18" s="14" t="n">
        <f aca="false">Share_Prices!K18/Share_Prices!K17-1</f>
        <v>0.0185816000748074</v>
      </c>
      <c r="L18" s="14" t="n">
        <f aca="false">Share_Prices!L18/Share_Prices!L17-1</f>
        <v>0.00108190670145736</v>
      </c>
      <c r="M18" s="14" t="n">
        <f aca="false">Share_Prices!M18/Share_Prices!M17-1</f>
        <v>0.010062193457046</v>
      </c>
      <c r="N18" s="14" t="n">
        <f aca="false">Share_Prices!N18/Share_Prices!N17-1</f>
        <v>-0.0142707774041315</v>
      </c>
      <c r="O18" s="14" t="n">
        <f aca="false">Share_Prices!O18/Share_Prices!O17-1</f>
        <v>0.0176812891674127</v>
      </c>
      <c r="P18" s="14" t="n">
        <f aca="false">Share_Prices!P18/Share_Prices!P17-1</f>
        <v>0.00569010796615133</v>
      </c>
      <c r="Q18" s="14" t="n">
        <f aca="false">Share_Prices!Q18/Share_Prices!Q17-1</f>
        <v>-0.00874501380791648</v>
      </c>
      <c r="R18" s="14" t="n">
        <f aca="false">Share_Prices!R18/Share_Prices!R17-1</f>
        <v>0.0152198122713052</v>
      </c>
      <c r="S18" s="14" t="n">
        <f aca="false">Share_Prices!S18/Share_Prices!S17-1</f>
        <v>0.00714896262335851</v>
      </c>
    </row>
    <row r="19" customFormat="false" ht="15" hidden="false" customHeight="false" outlineLevel="0" collapsed="false">
      <c r="A19" s="13" t="n">
        <f aca="false">Share_Prices!A19</f>
        <v>44825</v>
      </c>
      <c r="B19" s="14" t="n">
        <f aca="false">Share_Prices!B19/Share_Prices!B18-1</f>
        <v>-0.00549498351224309</v>
      </c>
      <c r="C19" s="14" t="n">
        <f aca="false">Share_Prices!C19/Share_Prices!C18-1</f>
        <v>-0.00705219985326777</v>
      </c>
      <c r="D19" s="14" t="n">
        <f aca="false">Share_Prices!D19/Share_Prices!D18-1</f>
        <v>-0.0232406407487401</v>
      </c>
      <c r="E19" s="14" t="n">
        <f aca="false">Share_Prices!E19/Share_Prices!E18-1</f>
        <v>-0.0229061643229859</v>
      </c>
      <c r="F19" s="14" t="n">
        <f aca="false">Share_Prices!F19/Share_Prices!F18-1</f>
        <v>-0.00711135611907388</v>
      </c>
      <c r="G19" s="14" t="n">
        <f aca="false">Share_Prices!G19/Share_Prices!G18-1</f>
        <v>-0.00976815346592919</v>
      </c>
      <c r="H19" s="14" t="n">
        <f aca="false">Share_Prices!H19/Share_Prices!H18-1</f>
        <v>-0.0318828451882846</v>
      </c>
      <c r="I19" s="14" t="n">
        <f aca="false">Share_Prices!I19/Share_Prices!I18-1</f>
        <v>-0.026386868896738</v>
      </c>
      <c r="J19" s="14" t="n">
        <f aca="false">Share_Prices!J19/Share_Prices!J18-1</f>
        <v>-0.00489770398416056</v>
      </c>
      <c r="K19" s="14" t="n">
        <f aca="false">Share_Prices!K19/Share_Prices!K18-1</f>
        <v>0.00723934426229511</v>
      </c>
      <c r="L19" s="14" t="n">
        <f aca="false">Share_Prices!L19/Share_Prices!L18-1</f>
        <v>-0.017546090273363</v>
      </c>
      <c r="M19" s="14" t="n">
        <f aca="false">Share_Prices!M19/Share_Prices!M18-1</f>
        <v>-0.000450540648778475</v>
      </c>
      <c r="N19" s="14" t="n">
        <f aca="false">Share_Prices!N19/Share_Prices!N18-1</f>
        <v>0.0303308296542628</v>
      </c>
      <c r="O19" s="14" t="n">
        <f aca="false">Share_Prices!O19/Share_Prices!O18-1</f>
        <v>-0.0158346162304817</v>
      </c>
      <c r="P19" s="14" t="n">
        <f aca="false">Share_Prices!P19/Share_Prices!P18-1</f>
        <v>0.00236955365346492</v>
      </c>
      <c r="Q19" s="14" t="n">
        <f aca="false">Share_Prices!Q19/Share_Prices!Q18-1</f>
        <v>-0.0111437857916732</v>
      </c>
      <c r="R19" s="14" t="n">
        <f aca="false">Share_Prices!R19/Share_Prices!R18-1</f>
        <v>-0.00919348098620987</v>
      </c>
      <c r="S19" s="14" t="n">
        <f aca="false">Share_Prices!S19/Share_Prices!S18-1</f>
        <v>-0.0179770079469178</v>
      </c>
    </row>
    <row r="20" customFormat="false" ht="15" hidden="false" customHeight="false" outlineLevel="0" collapsed="false">
      <c r="A20" s="13" t="n">
        <f aca="false">Share_Prices!A20</f>
        <v>44826</v>
      </c>
      <c r="B20" s="14" t="n">
        <f aca="false">Share_Prices!B20/Share_Prices!B19-1</f>
        <v>-0.00499764368578337</v>
      </c>
      <c r="C20" s="14" t="n">
        <f aca="false">Share_Prices!C20/Share_Prices!C19-1</f>
        <v>-0.00168931564814068</v>
      </c>
      <c r="D20" s="14" t="n">
        <f aca="false">Share_Prices!D20/Share_Prices!D19-1</f>
        <v>0.0132673039272142</v>
      </c>
      <c r="E20" s="14" t="n">
        <f aca="false">Share_Prices!E20/Share_Prices!E19-1</f>
        <v>-0.0176502534395365</v>
      </c>
      <c r="F20" s="14" t="n">
        <f aca="false">Share_Prices!F20/Share_Prices!F19-1</f>
        <v>0.00866137360501917</v>
      </c>
      <c r="G20" s="14" t="n">
        <f aca="false">Share_Prices!G20/Share_Prices!G19-1</f>
        <v>0.00415973377703827</v>
      </c>
      <c r="H20" s="14" t="n">
        <f aca="false">Share_Prices!H20/Share_Prices!H19-1</f>
        <v>-0.00501339787362787</v>
      </c>
      <c r="I20" s="14" t="n">
        <f aca="false">Share_Prices!I20/Share_Prices!I19-1</f>
        <v>0.00533504054630818</v>
      </c>
      <c r="J20" s="14" t="n">
        <f aca="false">Share_Prices!J20/Share_Prices!J19-1</f>
        <v>-0.0138229544819884</v>
      </c>
      <c r="K20" s="14" t="n">
        <f aca="false">Share_Prices!K20/Share_Prices!K19-1</f>
        <v>0.00376292284055091</v>
      </c>
      <c r="L20" s="14" t="n">
        <f aca="false">Share_Prices!L20/Share_Prices!L19-1</f>
        <v>0.0147534618868901</v>
      </c>
      <c r="M20" s="14" t="n">
        <f aca="false">Share_Prices!M20/Share_Prices!M19-1</f>
        <v>0.00135223118144934</v>
      </c>
      <c r="N20" s="14" t="n">
        <f aca="false">Share_Prices!N20/Share_Prices!N19-1</f>
        <v>0.0386477462437398</v>
      </c>
      <c r="O20" s="14" t="n">
        <f aca="false">Share_Prices!O20/Share_Prices!O19-1</f>
        <v>-0.000223463687150871</v>
      </c>
      <c r="P20" s="14" t="n">
        <f aca="false">Share_Prices!P20/Share_Prices!P19-1</f>
        <v>-0.021323813199537</v>
      </c>
      <c r="Q20" s="14" t="n">
        <f aca="false">Share_Prices!Q20/Share_Prices!Q19-1</f>
        <v>-0.00563468461418071</v>
      </c>
      <c r="R20" s="14" t="n">
        <f aca="false">Share_Prices!R20/Share_Prices!R19-1</f>
        <v>-0.00416490932096159</v>
      </c>
      <c r="S20" s="14" t="n">
        <f aca="false">Share_Prices!S20/Share_Prices!S19-1</f>
        <v>-0.0122564424890006</v>
      </c>
    </row>
    <row r="21" customFormat="false" ht="15" hidden="false" customHeight="false" outlineLevel="0" collapsed="false">
      <c r="A21" s="13" t="n">
        <f aca="false">Share_Prices!A21</f>
        <v>44827</v>
      </c>
      <c r="B21" s="14" t="n">
        <f aca="false">Share_Prices!B21/Share_Prices!B20-1</f>
        <v>-0.0171556115214013</v>
      </c>
      <c r="C21" s="14" t="n">
        <f aca="false">Share_Prices!C21/Share_Prices!C20-1</f>
        <v>-0.0181052864958625</v>
      </c>
      <c r="D21" s="14" t="n">
        <f aca="false">Share_Prices!D21/Share_Prices!D20-1</f>
        <v>-0.0108658589256894</v>
      </c>
      <c r="E21" s="14" t="n">
        <f aca="false">Share_Prices!E21/Share_Prices!E20-1</f>
        <v>-0.0464387726895787</v>
      </c>
      <c r="F21" s="14" t="n">
        <f aca="false">Share_Prices!F21/Share_Prices!F20-1</f>
        <v>-0.0415038256178786</v>
      </c>
      <c r="G21" s="14" t="n">
        <f aca="false">Share_Prices!G21/Share_Prices!G20-1</f>
        <v>-0.048526452834655</v>
      </c>
      <c r="H21" s="14" t="n">
        <f aca="false">Share_Prices!H21/Share_Prices!H20-1</f>
        <v>-0.0298555005357195</v>
      </c>
      <c r="I21" s="14" t="n">
        <f aca="false">Share_Prices!I21/Share_Prices!I20-1</f>
        <v>0.001910422415623</v>
      </c>
      <c r="J21" s="14" t="n">
        <f aca="false">Share_Prices!J21/Share_Prices!J20-1</f>
        <v>-0.00651281325215902</v>
      </c>
      <c r="K21" s="14" t="n">
        <f aca="false">Share_Prices!K21/Share_Prices!K20-1</f>
        <v>-0.0275259109364256</v>
      </c>
      <c r="L21" s="14" t="n">
        <f aca="false">Share_Prices!L21/Share_Prices!L20-1</f>
        <v>-0.0581558474684352</v>
      </c>
      <c r="M21" s="14" t="n">
        <f aca="false">Share_Prices!M21/Share_Prices!M20-1</f>
        <v>-0.00620186055816752</v>
      </c>
      <c r="N21" s="14" t="n">
        <f aca="false">Share_Prices!N21/Share_Prices!N20-1</f>
        <v>-0.0246992954539367</v>
      </c>
      <c r="O21" s="14" t="n">
        <f aca="false">Share_Prices!O21/Share_Prices!O20-1</f>
        <v>-0.130978989718373</v>
      </c>
      <c r="P21" s="14" t="n">
        <f aca="false">Share_Prices!P21/Share_Prices!P20-1</f>
        <v>-0.0116336389628314</v>
      </c>
      <c r="Q21" s="14" t="n">
        <f aca="false">Share_Prices!Q21/Share_Prices!Q20-1</f>
        <v>-0.035573744687549</v>
      </c>
      <c r="R21" s="14" t="n">
        <f aca="false">Share_Prices!R21/Share_Prices!R20-1</f>
        <v>-0.0305998200010589</v>
      </c>
      <c r="S21" s="14" t="n">
        <f aca="false">Share_Prices!S21/Share_Prices!S20-1</f>
        <v>-0.0429923639834553</v>
      </c>
    </row>
    <row r="22" customFormat="false" ht="15" hidden="false" customHeight="false" outlineLevel="0" collapsed="false">
      <c r="A22" s="13" t="n">
        <f aca="false">Share_Prices!A22</f>
        <v>44830</v>
      </c>
      <c r="B22" s="14" t="n">
        <f aca="false">Share_Prices!B22/Share_Prices!B21-1</f>
        <v>-0.0179513889890837</v>
      </c>
      <c r="C22" s="14" t="n">
        <f aca="false">Share_Prices!C22/Share_Prices!C21-1</f>
        <v>-0.0220452726687098</v>
      </c>
      <c r="D22" s="14" t="n">
        <f aca="false">Share_Prices!D22/Share_Prices!D21-1</f>
        <v>0.00627398708431959</v>
      </c>
      <c r="E22" s="14" t="n">
        <f aca="false">Share_Prices!E22/Share_Prices!E21-1</f>
        <v>-0.0761426224756016</v>
      </c>
      <c r="F22" s="14" t="n">
        <f aca="false">Share_Prices!F22/Share_Prices!F21-1</f>
        <v>-0.0282547521966348</v>
      </c>
      <c r="G22" s="14" t="n">
        <f aca="false">Share_Prices!G22/Share_Prices!G21-1</f>
        <v>-0.0190322179375544</v>
      </c>
      <c r="H22" s="14" t="n">
        <f aca="false">Share_Prices!H22/Share_Prices!H21-1</f>
        <v>-0.0588323085188943</v>
      </c>
      <c r="I22" s="14" t="n">
        <f aca="false">Share_Prices!I22/Share_Prices!I21-1</f>
        <v>-0.0220338983050847</v>
      </c>
      <c r="J22" s="14" t="n">
        <f aca="false">Share_Prices!J22/Share_Prices!J21-1</f>
        <v>-0.0402593701011829</v>
      </c>
      <c r="K22" s="14" t="n">
        <f aca="false">Share_Prices!K22/Share_Prices!K21-1</f>
        <v>-0.0329869679467514</v>
      </c>
      <c r="L22" s="14" t="n">
        <f aca="false">Share_Prices!L22/Share_Prices!L21-1</f>
        <v>-0.0332430602572782</v>
      </c>
      <c r="M22" s="14" t="n">
        <f aca="false">Share_Prices!M22/Share_Prices!M21-1</f>
        <v>-0.0142425767488676</v>
      </c>
      <c r="N22" s="14" t="n">
        <f aca="false">Share_Prices!N22/Share_Prices!N21-1</f>
        <v>-0.0596313895679402</v>
      </c>
      <c r="O22" s="14" t="n">
        <f aca="false">Share_Prices!O22/Share_Prices!O21-1</f>
        <v>-0.0573559670781894</v>
      </c>
      <c r="P22" s="14" t="n">
        <f aca="false">Share_Prices!P22/Share_Prices!P21-1</f>
        <v>-0.0461845386533666</v>
      </c>
      <c r="Q22" s="14" t="n">
        <f aca="false">Share_Prices!Q22/Share_Prices!Q21-1</f>
        <v>-0.0690386812469399</v>
      </c>
      <c r="R22" s="14" t="n">
        <f aca="false">Share_Prices!R22/Share_Prices!R21-1</f>
        <v>-0.0435257495494511</v>
      </c>
      <c r="S22" s="14" t="n">
        <f aca="false">Share_Prices!S22/Share_Prices!S21-1</f>
        <v>-0.0234384740057348</v>
      </c>
    </row>
    <row r="23" customFormat="false" ht="15" hidden="false" customHeight="false" outlineLevel="0" collapsed="false">
      <c r="A23" s="13" t="n">
        <f aca="false">Share_Prices!A23</f>
        <v>44831</v>
      </c>
      <c r="B23" s="14" t="n">
        <f aca="false">Share_Prices!B23/Share_Prices!B22-1</f>
        <v>-0.000523027920288022</v>
      </c>
      <c r="C23" s="14" t="n">
        <f aca="false">Share_Prices!C23/Share_Prices!C22-1</f>
        <v>0.00010865357843759</v>
      </c>
      <c r="D23" s="14" t="n">
        <f aca="false">Share_Prices!D23/Share_Prices!D22-1</f>
        <v>-0.00283195541954062</v>
      </c>
      <c r="E23" s="14" t="n">
        <f aca="false">Share_Prices!E23/Share_Prices!E22-1</f>
        <v>-0.0337830770839871</v>
      </c>
      <c r="F23" s="14" t="n">
        <f aca="false">Share_Prices!F23/Share_Prices!F22-1</f>
        <v>0.0218663199574494</v>
      </c>
      <c r="G23" s="14" t="n">
        <f aca="false">Share_Prices!G23/Share_Prices!G22-1</f>
        <v>0.00672077098655843</v>
      </c>
      <c r="H23" s="14" t="n">
        <f aca="false">Share_Prices!H23/Share_Prices!H22-1</f>
        <v>0.0303510830611144</v>
      </c>
      <c r="I23" s="14" t="n">
        <f aca="false">Share_Prices!I23/Share_Prices!I22-1</f>
        <v>-0.0080155979202774</v>
      </c>
      <c r="J23" s="14" t="n">
        <f aca="false">Share_Prices!J23/Share_Prices!J22-1</f>
        <v>-0.00631078773479843</v>
      </c>
      <c r="K23" s="14" t="n">
        <f aca="false">Share_Prices!K23/Share_Prices!K22-1</f>
        <v>-0.00228978150518666</v>
      </c>
      <c r="L23" s="14" t="n">
        <f aca="false">Share_Prices!L23/Share_Prices!L22-1</f>
        <v>0.00938441067301632</v>
      </c>
      <c r="M23" s="14" t="n">
        <f aca="false">Share_Prices!M23/Share_Prices!M22-1</f>
        <v>0.0127125134017461</v>
      </c>
      <c r="N23" s="14" t="n">
        <f aca="false">Share_Prices!N23/Share_Prices!N22-1</f>
        <v>0.0146045098726486</v>
      </c>
      <c r="O23" s="14" t="n">
        <f aca="false">Share_Prices!O23/Share_Prices!O22-1</f>
        <v>-0.00136425648021832</v>
      </c>
      <c r="P23" s="14" t="n">
        <f aca="false">Share_Prices!P23/Share_Prices!P22-1</f>
        <v>0.0584082827860279</v>
      </c>
      <c r="Q23" s="14" t="n">
        <f aca="false">Share_Prices!Q23/Share_Prices!Q22-1</f>
        <v>0.0187587657784012</v>
      </c>
      <c r="R23" s="14" t="n">
        <f aca="false">Share_Prices!R23/Share_Prices!R22-1</f>
        <v>0.0328308781546192</v>
      </c>
      <c r="S23" s="14" t="n">
        <f aca="false">Share_Prices!S23/Share_Prices!S22-1</f>
        <v>-0.00842589046342401</v>
      </c>
    </row>
    <row r="24" customFormat="false" ht="15" hidden="false" customHeight="false" outlineLevel="0" collapsed="false">
      <c r="A24" s="13" t="n">
        <f aca="false">Share_Prices!A24</f>
        <v>44832</v>
      </c>
      <c r="B24" s="14" t="n">
        <f aca="false">Share_Prices!B24/Share_Prices!B23-1</f>
        <v>-0.00874913273045863</v>
      </c>
      <c r="C24" s="14" t="n">
        <f aca="false">Share_Prices!C24/Share_Prices!C23-1</f>
        <v>-0.00724504831163886</v>
      </c>
      <c r="D24" s="14" t="n">
        <f aca="false">Share_Prices!D24/Share_Prices!D23-1</f>
        <v>0.00453483578397695</v>
      </c>
      <c r="E24" s="14" t="n">
        <f aca="false">Share_Prices!E24/Share_Prices!E23-1</f>
        <v>0.00422169300714459</v>
      </c>
      <c r="F24" s="14" t="n">
        <f aca="false">Share_Prices!F24/Share_Prices!F23-1</f>
        <v>0.0106992076802961</v>
      </c>
      <c r="G24" s="14" t="n">
        <f aca="false">Share_Prices!G24/Share_Prices!G23-1</f>
        <v>-0.00226728807154553</v>
      </c>
      <c r="H24" s="14" t="n">
        <f aca="false">Share_Prices!H24/Share_Prices!H23-1</f>
        <v>-0.0365981285397685</v>
      </c>
      <c r="I24" s="14" t="n">
        <f aca="false">Share_Prices!I24/Share_Prices!I23-1</f>
        <v>-0.00502293077091054</v>
      </c>
      <c r="J24" s="14" t="n">
        <f aca="false">Share_Prices!J24/Share_Prices!J23-1</f>
        <v>-0.0320905558876271</v>
      </c>
      <c r="K24" s="14" t="n">
        <f aca="false">Share_Prices!K24/Share_Prices!K23-1</f>
        <v>-0.00557168533112118</v>
      </c>
      <c r="L24" s="14" t="n">
        <f aca="false">Share_Prices!L24/Share_Prices!L23-1</f>
        <v>-0.00111010892943864</v>
      </c>
      <c r="M24" s="14" t="n">
        <f aca="false">Share_Prices!M24/Share_Prices!M23-1</f>
        <v>-0.00413389796329899</v>
      </c>
      <c r="N24" s="14" t="n">
        <f aca="false">Share_Prices!N24/Share_Prices!N23-1</f>
        <v>-0.0177625518194381</v>
      </c>
      <c r="O24" s="14" t="n">
        <f aca="false">Share_Prices!O24/Share_Prices!O23-1</f>
        <v>-0.0289617486338798</v>
      </c>
      <c r="P24" s="14" t="n">
        <f aca="false">Share_Prices!P24/Share_Prices!P23-1</f>
        <v>0.0361642211353195</v>
      </c>
      <c r="Q24" s="14" t="n">
        <f aca="false">Share_Prices!Q24/Share_Prices!Q23-1</f>
        <v>-0.00326966098778181</v>
      </c>
      <c r="R24" s="14" t="n">
        <f aca="false">Share_Prices!R24/Share_Prices!R23-1</f>
        <v>-0.00768422798385759</v>
      </c>
      <c r="S24" s="14" t="n">
        <f aca="false">Share_Prices!S24/Share_Prices!S23-1</f>
        <v>0.0084545727651173</v>
      </c>
    </row>
    <row r="25" customFormat="false" ht="15" hidden="false" customHeight="false" outlineLevel="0" collapsed="false">
      <c r="A25" s="13" t="n">
        <f aca="false">Share_Prices!A25</f>
        <v>44833</v>
      </c>
      <c r="B25" s="14" t="n">
        <f aca="false">Share_Prices!B25/Share_Prices!B24-1</f>
        <v>-0.00240233471343998</v>
      </c>
      <c r="C25" s="14" t="n">
        <f aca="false">Share_Prices!C25/Share_Prices!C24-1</f>
        <v>-0.00123797928949565</v>
      </c>
      <c r="D25" s="14" t="n">
        <f aca="false">Share_Prices!D25/Share_Prices!D24-1</f>
        <v>-0.0143638850889193</v>
      </c>
      <c r="E25" s="14" t="n">
        <f aca="false">Share_Prices!E25/Share_Prices!E24-1</f>
        <v>0.0144443246739248</v>
      </c>
      <c r="F25" s="14" t="n">
        <f aca="false">Share_Prices!F25/Share_Prices!F24-1</f>
        <v>0.0143625543602657</v>
      </c>
      <c r="G25" s="14" t="n">
        <f aca="false">Share_Prices!G25/Share_Prices!G24-1</f>
        <v>-0.00277742709253892</v>
      </c>
      <c r="H25" s="14" t="n">
        <f aca="false">Share_Prices!H25/Share_Prices!H24-1</f>
        <v>-0.00712482826927385</v>
      </c>
      <c r="I25" s="14" t="n">
        <f aca="false">Share_Prices!I25/Share_Prices!I24-1</f>
        <v>0.00658472344161543</v>
      </c>
      <c r="J25" s="14" t="n">
        <f aca="false">Share_Prices!J25/Share_Prices!J24-1</f>
        <v>0.0183333976610445</v>
      </c>
      <c r="K25" s="14" t="n">
        <f aca="false">Share_Prices!K25/Share_Prices!K24-1</f>
        <v>-0.0135693133315723</v>
      </c>
      <c r="L25" s="14" t="n">
        <f aca="false">Share_Prices!L25/Share_Prices!L24-1</f>
        <v>0.0108355907480724</v>
      </c>
      <c r="M25" s="14" t="n">
        <f aca="false">Share_Prices!M25/Share_Prices!M24-1</f>
        <v>0.0129594006277209</v>
      </c>
      <c r="N25" s="14" t="n">
        <f aca="false">Share_Prices!N25/Share_Prices!N24-1</f>
        <v>0.00996512207274525</v>
      </c>
      <c r="O25" s="14" t="n">
        <f aca="false">Share_Prices!O25/Share_Prices!O24-1</f>
        <v>0.023072594259989</v>
      </c>
      <c r="P25" s="14" t="n">
        <f aca="false">Share_Prices!P25/Share_Prices!P24-1</f>
        <v>-0.0145901873837793</v>
      </c>
      <c r="Q25" s="14" t="n">
        <f aca="false">Share_Prices!Q25/Share_Prices!Q24-1</f>
        <v>0.0112223756906078</v>
      </c>
      <c r="R25" s="14" t="n">
        <f aca="false">Share_Prices!R25/Share_Prices!R24-1</f>
        <v>0.00657381615598873</v>
      </c>
      <c r="S25" s="14" t="n">
        <f aca="false">Share_Prices!S25/Share_Prices!S24-1</f>
        <v>0.029236530768576</v>
      </c>
    </row>
    <row r="26" customFormat="false" ht="15" hidden="false" customHeight="false" outlineLevel="0" collapsed="false">
      <c r="A26" s="13" t="n">
        <f aca="false">Share_Prices!A26</f>
        <v>44834</v>
      </c>
      <c r="B26" s="14" t="n">
        <f aca="false">Share_Prices!B26/Share_Prices!B25-1</f>
        <v>0.0164257555847569</v>
      </c>
      <c r="C26" s="14" t="n">
        <f aca="false">Share_Prices!C26/Share_Prices!C25-1</f>
        <v>0.0155350111282315</v>
      </c>
      <c r="D26" s="14" t="n">
        <f aca="false">Share_Prices!D26/Share_Prices!D25-1</f>
        <v>0.0371038630580614</v>
      </c>
      <c r="E26" s="14" t="n">
        <f aca="false">Share_Prices!E26/Share_Prices!E25-1</f>
        <v>0.019657847200085</v>
      </c>
      <c r="F26" s="14" t="n">
        <f aca="false">Share_Prices!F26/Share_Prices!F25-1</f>
        <v>-0.014441247814069</v>
      </c>
      <c r="G26" s="14" t="n">
        <f aca="false">Share_Prices!G26/Share_Prices!G25-1</f>
        <v>0.0478541587542727</v>
      </c>
      <c r="H26" s="14" t="n">
        <f aca="false">Share_Prices!H26/Share_Prices!H25-1</f>
        <v>0.0456944265671257</v>
      </c>
      <c r="I26" s="14" t="n">
        <f aca="false">Share_Prices!I26/Share_Prices!I25-1</f>
        <v>0.00283471434801563</v>
      </c>
      <c r="J26" s="14" t="n">
        <f aca="false">Share_Prices!J26/Share_Prices!J25-1</f>
        <v>0.033164038811401</v>
      </c>
      <c r="K26" s="14" t="n">
        <f aca="false">Share_Prices!K26/Share_Prices!K25-1</f>
        <v>0.0325153979506985</v>
      </c>
      <c r="L26" s="14" t="n">
        <f aca="false">Share_Prices!L26/Share_Prices!L25-1</f>
        <v>0.0062530062530064</v>
      </c>
      <c r="M26" s="14" t="n">
        <f aca="false">Share_Prices!M26/Share_Prices!M25-1</f>
        <v>-0.00639680159920042</v>
      </c>
      <c r="N26" s="14" t="n">
        <f aca="false">Share_Prices!N26/Share_Prices!N25-1</f>
        <v>-0.00858991845381463</v>
      </c>
      <c r="O26" s="14" t="n">
        <f aca="false">Share_Prices!O26/Share_Prices!O25-1</f>
        <v>0.0189768976897688</v>
      </c>
      <c r="P26" s="14" t="n">
        <f aca="false">Share_Prices!P26/Share_Prices!P25-1</f>
        <v>0.00648376639086479</v>
      </c>
      <c r="Q26" s="14" t="n">
        <f aca="false">Share_Prices!Q26/Share_Prices!Q25-1</f>
        <v>0.0442205907461157</v>
      </c>
      <c r="R26" s="14" t="n">
        <f aca="false">Share_Prices!R26/Share_Prices!R25-1</f>
        <v>0.0111799867168474</v>
      </c>
      <c r="S26" s="14" t="n">
        <f aca="false">Share_Prices!S26/Share_Prices!S25-1</f>
        <v>-0.00967541864792232</v>
      </c>
    </row>
    <row r="27" customFormat="false" ht="15" hidden="false" customHeight="false" outlineLevel="0" collapsed="false">
      <c r="A27" s="13" t="n">
        <f aca="false">Share_Prices!A27</f>
        <v>44837</v>
      </c>
      <c r="B27" s="14" t="n">
        <f aca="false">Share_Prices!B27/Share_Prices!B26-1</f>
        <v>-0.0121092641720802</v>
      </c>
      <c r="C27" s="14" t="n">
        <f aca="false">Share_Prices!C27/Share_Prices!C26-1</f>
        <v>-0.0128697481683284</v>
      </c>
      <c r="D27" s="14" t="n">
        <f aca="false">Share_Prices!D27/Share_Prices!D26-1</f>
        <v>-0.00504081723691829</v>
      </c>
      <c r="E27" s="14" t="n">
        <f aca="false">Share_Prices!E27/Share_Prices!E26-1</f>
        <v>0.00229262192580237</v>
      </c>
      <c r="F27" s="14" t="n">
        <f aca="false">Share_Prices!F27/Share_Prices!F26-1</f>
        <v>-0.00017171312460651</v>
      </c>
      <c r="G27" s="14" t="n">
        <f aca="false">Share_Prices!G27/Share_Prices!G26-1</f>
        <v>-0.0279086625588981</v>
      </c>
      <c r="H27" s="14" t="n">
        <f aca="false">Share_Prices!H27/Share_Prices!H26-1</f>
        <v>-0.00304652880354495</v>
      </c>
      <c r="I27" s="14" t="n">
        <f aca="false">Share_Prices!I27/Share_Prices!I26-1</f>
        <v>0.0100021743857361</v>
      </c>
      <c r="J27" s="14" t="n">
        <f aca="false">Share_Prices!J27/Share_Prices!J26-1</f>
        <v>-0.017535492864742</v>
      </c>
      <c r="K27" s="14" t="n">
        <f aca="false">Share_Prices!K27/Share_Prices!K26-1</f>
        <v>-0.0223456823828114</v>
      </c>
      <c r="L27" s="14" t="n">
        <f aca="false">Share_Prices!L27/Share_Prices!L26-1</f>
        <v>-0.0445916416279706</v>
      </c>
      <c r="M27" s="14" t="n">
        <f aca="false">Share_Prices!M27/Share_Prices!M26-1</f>
        <v>0.000402374006639228</v>
      </c>
      <c r="N27" s="14" t="n">
        <f aca="false">Share_Prices!N27/Share_Prices!N26-1</f>
        <v>0.0171823317624331</v>
      </c>
      <c r="O27" s="14" t="n">
        <f aca="false">Share_Prices!O27/Share_Prices!O26-1</f>
        <v>-0.029689608636977</v>
      </c>
      <c r="P27" s="14" t="n">
        <f aca="false">Share_Prices!P27/Share_Prices!P26-1</f>
        <v>-0.0100475938656796</v>
      </c>
      <c r="Q27" s="14" t="n">
        <f aca="false">Share_Prices!Q27/Share_Prices!Q26-1</f>
        <v>0.00245258338783527</v>
      </c>
      <c r="R27" s="14" t="n">
        <f aca="false">Share_Prices!R27/Share_Prices!R26-1</f>
        <v>-0.0374931581828134</v>
      </c>
      <c r="S27" s="14" t="n">
        <f aca="false">Share_Prices!S27/Share_Prices!S26-1</f>
        <v>-0.0232975658636382</v>
      </c>
    </row>
    <row r="28" customFormat="false" ht="15" hidden="false" customHeight="false" outlineLevel="0" collapsed="false">
      <c r="A28" s="13" t="n">
        <f aca="false">Share_Prices!A28</f>
        <v>44838</v>
      </c>
      <c r="B28" s="14" t="n">
        <f aca="false">Share_Prices!B28/Share_Prices!B27-1</f>
        <v>0.0229136010090394</v>
      </c>
      <c r="C28" s="14" t="n">
        <f aca="false">Share_Prices!C28/Share_Prices!C27-1</f>
        <v>0.0223588482426478</v>
      </c>
      <c r="D28" s="14" t="n">
        <f aca="false">Share_Prices!D28/Share_Prices!D27-1</f>
        <v>-0.015400824964132</v>
      </c>
      <c r="E28" s="14" t="n">
        <f aca="false">Share_Prices!E28/Share_Prices!E27-1</f>
        <v>0.0299438552713662</v>
      </c>
      <c r="F28" s="14" t="n">
        <f aca="false">Share_Prices!F28/Share_Prices!F27-1</f>
        <v>0.00858713075337758</v>
      </c>
      <c r="G28" s="14" t="n">
        <f aca="false">Share_Prices!G28/Share_Prices!G27-1</f>
        <v>0.0381556052696992</v>
      </c>
      <c r="H28" s="14" t="n">
        <f aca="false">Share_Prices!H28/Share_Prices!H27-1</f>
        <v>0.0127789610149087</v>
      </c>
      <c r="I28" s="14" t="n">
        <f aca="false">Share_Prices!I28/Share_Prices!I27-1</f>
        <v>0.00839612486544672</v>
      </c>
      <c r="J28" s="14" t="n">
        <f aca="false">Share_Prices!J28/Share_Prices!J27-1</f>
        <v>0.0209850266980323</v>
      </c>
      <c r="K28" s="14" t="n">
        <f aca="false">Share_Prices!K28/Share_Prices!K27-1</f>
        <v>0.0441769871964925</v>
      </c>
      <c r="L28" s="14" t="n">
        <f aca="false">Share_Prices!L28/Share_Prices!L27-1</f>
        <v>0.0546065327710672</v>
      </c>
      <c r="M28" s="14" t="n">
        <f aca="false">Share_Prices!M28/Share_Prices!M27-1</f>
        <v>0.00201106083459024</v>
      </c>
      <c r="N28" s="14" t="n">
        <f aca="false">Share_Prices!N28/Share_Prices!N27-1</f>
        <v>-0.00670503597122296</v>
      </c>
      <c r="O28" s="14" t="n">
        <f aca="false">Share_Prices!O28/Share_Prices!O27-1</f>
        <v>0.114881780250348</v>
      </c>
      <c r="P28" s="14" t="n">
        <f aca="false">Share_Prices!P28/Share_Prices!P27-1</f>
        <v>0.0101495726495726</v>
      </c>
      <c r="Q28" s="14" t="n">
        <f aca="false">Share_Prices!Q28/Share_Prices!Q27-1</f>
        <v>0.0303376284456043</v>
      </c>
      <c r="R28" s="14" t="n">
        <f aca="false">Share_Prices!R28/Share_Prices!R27-1</f>
        <v>0.017401194199602</v>
      </c>
      <c r="S28" s="14" t="n">
        <f aca="false">Share_Prices!S28/Share_Prices!S27-1</f>
        <v>0.0258196896507501</v>
      </c>
    </row>
    <row r="29" customFormat="false" ht="15" hidden="false" customHeight="false" outlineLevel="0" collapsed="false">
      <c r="A29" s="13" t="n">
        <f aca="false">Share_Prices!A29</f>
        <v>44840</v>
      </c>
      <c r="B29" s="14" t="n">
        <f aca="false">Share_Prices!B29/Share_Prices!B28-1</f>
        <v>0.00332864428659918</v>
      </c>
      <c r="C29" s="14" t="n">
        <f aca="false">Share_Prices!C29/Share_Prices!C28-1</f>
        <v>0.00582995897312544</v>
      </c>
      <c r="D29" s="14" t="n">
        <f aca="false">Share_Prices!D29/Share_Prices!D28-1</f>
        <v>-0.00742241752236983</v>
      </c>
      <c r="E29" s="14" t="n">
        <f aca="false">Share_Prices!E29/Share_Prices!E28-1</f>
        <v>0.0120129214617404</v>
      </c>
      <c r="F29" s="14" t="n">
        <f aca="false">Share_Prices!F29/Share_Prices!F28-1</f>
        <v>0.00578953343171751</v>
      </c>
      <c r="G29" s="14" t="n">
        <f aca="false">Share_Prices!G29/Share_Prices!G28-1</f>
        <v>0.0211899916197773</v>
      </c>
      <c r="H29" s="14" t="n">
        <f aca="false">Share_Prices!H29/Share_Prices!H28-1</f>
        <v>0.0143854195239401</v>
      </c>
      <c r="I29" s="14" t="n">
        <f aca="false">Share_Prices!I29/Share_Prices!I28-1</f>
        <v>-0.00320239111870202</v>
      </c>
      <c r="J29" s="14" t="n">
        <f aca="false">Share_Prices!J29/Share_Prices!J28-1</f>
        <v>0.0273927513440366</v>
      </c>
      <c r="K29" s="14" t="n">
        <f aca="false">Share_Prices!K29/Share_Prices!K28-1</f>
        <v>-0.0112856856321456</v>
      </c>
      <c r="L29" s="14" t="n">
        <f aca="false">Share_Prices!L29/Share_Prices!L28-1</f>
        <v>-0.012267028126059</v>
      </c>
      <c r="M29" s="14" t="n">
        <f aca="false">Share_Prices!M29/Share_Prices!M28-1</f>
        <v>0.00456598093326632</v>
      </c>
      <c r="N29" s="14" t="n">
        <f aca="false">Share_Prices!N29/Share_Prices!N28-1</f>
        <v>0.0488454964220528</v>
      </c>
      <c r="O29" s="14" t="n">
        <f aca="false">Share_Prices!O29/Share_Prices!O28-1</f>
        <v>-0.000748502994011968</v>
      </c>
      <c r="P29" s="14" t="n">
        <f aca="false">Share_Prices!P29/Share_Prices!P28-1</f>
        <v>0.00374981972020594</v>
      </c>
      <c r="Q29" s="14" t="n">
        <f aca="false">Share_Prices!Q29/Share_Prices!Q28-1</f>
        <v>0.0196295709988918</v>
      </c>
      <c r="R29" s="14" t="n">
        <f aca="false">Share_Prices!R29/Share_Prices!R28-1</f>
        <v>-0.00916662008831248</v>
      </c>
      <c r="S29" s="14" t="n">
        <f aca="false">Share_Prices!S29/Share_Prices!S28-1</f>
        <v>-0.00175021877734716</v>
      </c>
    </row>
    <row r="30" customFormat="false" ht="15" hidden="false" customHeight="false" outlineLevel="0" collapsed="false">
      <c r="A30" s="13" t="n">
        <f aca="false">Share_Prices!A30</f>
        <v>44841</v>
      </c>
      <c r="B30" s="14" t="n">
        <f aca="false">Share_Prices!B30/Share_Prices!B29-1</f>
        <v>-0.000989510610553857</v>
      </c>
      <c r="C30" s="14" t="n">
        <f aca="false">Share_Prices!C30/Share_Prices!C29-1</f>
        <v>-0.00108615861901729</v>
      </c>
      <c r="D30" s="14" t="n">
        <f aca="false">Share_Prices!D30/Share_Prices!D29-1</f>
        <v>-0.0399357724509692</v>
      </c>
      <c r="E30" s="14" t="n">
        <f aca="false">Share_Prices!E30/Share_Prices!E29-1</f>
        <v>-0.00109725685785533</v>
      </c>
      <c r="F30" s="14" t="n">
        <f aca="false">Share_Prices!F30/Share_Prices!F29-1</f>
        <v>-0.00891647855530475</v>
      </c>
      <c r="G30" s="14" t="n">
        <f aca="false">Share_Prices!G30/Share_Prices!G29-1</f>
        <v>-0.00222743259085578</v>
      </c>
      <c r="H30" s="14" t="n">
        <f aca="false">Share_Prices!H30/Share_Prices!H29-1</f>
        <v>0.0251179280713878</v>
      </c>
      <c r="I30" s="14" t="n">
        <f aca="false">Share_Prices!I30/Share_Prices!I29-1</f>
        <v>-0.00428357249946454</v>
      </c>
      <c r="J30" s="14" t="n">
        <f aca="false">Share_Prices!J30/Share_Prices!J29-1</f>
        <v>-0.0327139399117186</v>
      </c>
      <c r="K30" s="14" t="n">
        <f aca="false">Share_Prices!K30/Share_Prices!K29-1</f>
        <v>-0.0079658105787046</v>
      </c>
      <c r="L30" s="14" t="n">
        <f aca="false">Share_Prices!L30/Share_Prices!L29-1</f>
        <v>0.0115959928640044</v>
      </c>
      <c r="M30" s="14" t="n">
        <f aca="false">Share_Prices!M30/Share_Prices!M29-1</f>
        <v>-0.00144847909694812</v>
      </c>
      <c r="N30" s="14" t="n">
        <f aca="false">Share_Prices!N30/Share_Prices!N29-1</f>
        <v>-0.0115460044747672</v>
      </c>
      <c r="O30" s="14" t="n">
        <f aca="false">Share_Prices!O30/Share_Prices!O29-1</f>
        <v>0.00299625468164799</v>
      </c>
      <c r="P30" s="14" t="n">
        <f aca="false">Share_Prices!P30/Share_Prices!P29-1</f>
        <v>0.0138416590832895</v>
      </c>
      <c r="Q30" s="14" t="n">
        <f aca="false">Share_Prices!Q30/Share_Prices!Q29-1</f>
        <v>0.024996118615122</v>
      </c>
      <c r="R30" s="14" t="n">
        <f aca="false">Share_Prices!R30/Share_Prices!R29-1</f>
        <v>-0.000902577988379338</v>
      </c>
      <c r="S30" s="14" t="n">
        <f aca="false">Share_Prices!S30/Share_Prices!S29-1</f>
        <v>0.0011271133375077</v>
      </c>
    </row>
    <row r="31" customFormat="false" ht="15" hidden="false" customHeight="false" outlineLevel="0" collapsed="false">
      <c r="A31" s="13" t="n">
        <f aca="false">Share_Prices!A31</f>
        <v>44844</v>
      </c>
      <c r="B31" s="14" t="n">
        <f aca="false">Share_Prices!B31/Share_Prices!B30-1</f>
        <v>-0.00425362337673596</v>
      </c>
      <c r="C31" s="14" t="n">
        <f aca="false">Share_Prices!C31/Share_Prices!C30-1</f>
        <v>-0.00565616125878687</v>
      </c>
      <c r="D31" s="14" t="n">
        <f aca="false">Share_Prices!D31/Share_Prices!D30-1</f>
        <v>-0.000549529316194231</v>
      </c>
      <c r="E31" s="14" t="n">
        <f aca="false">Share_Prices!E31/Share_Prices!E30-1</f>
        <v>-0.00699021370081887</v>
      </c>
      <c r="F31" s="14" t="n">
        <f aca="false">Share_Prices!F31/Share_Prices!F30-1</f>
        <v>-0.0182211593212618</v>
      </c>
      <c r="G31" s="14" t="n">
        <f aca="false">Share_Prices!G31/Share_Prices!G30-1</f>
        <v>-0.0219715662084362</v>
      </c>
      <c r="H31" s="14" t="n">
        <f aca="false">Share_Prices!H31/Share_Prices!H30-1</f>
        <v>-0.0152700841173539</v>
      </c>
      <c r="I31" s="14" t="n">
        <f aca="false">Share_Prices!I31/Share_Prices!I30-1</f>
        <v>-0.0107550010755001</v>
      </c>
      <c r="J31" s="14" t="n">
        <f aca="false">Share_Prices!J31/Share_Prices!J30-1</f>
        <v>-0.0114451845582013</v>
      </c>
      <c r="K31" s="14" t="n">
        <f aca="false">Share_Prices!K31/Share_Prices!K30-1</f>
        <v>-0.00704820591122257</v>
      </c>
      <c r="L31" s="14" t="n">
        <f aca="false">Share_Prices!L31/Share_Prices!L30-1</f>
        <v>-0.00990300481584472</v>
      </c>
      <c r="M31" s="14" t="n">
        <f aca="false">Share_Prices!M31/Share_Prices!M30-1</f>
        <v>-0.00395158063225298</v>
      </c>
      <c r="N31" s="14" t="n">
        <f aca="false">Share_Prices!N31/Share_Prices!N30-1</f>
        <v>-0.0198127707139864</v>
      </c>
      <c r="O31" s="14" t="n">
        <f aca="false">Share_Prices!O31/Share_Prices!O30-1</f>
        <v>0.0174259397560368</v>
      </c>
      <c r="P31" s="14" t="n">
        <f aca="false">Share_Prices!P31/Share_Prices!P30-1</f>
        <v>-0.00557445200302353</v>
      </c>
      <c r="Q31" s="14" t="n">
        <f aca="false">Share_Prices!Q31/Share_Prices!Q30-1</f>
        <v>-0.013329294153287</v>
      </c>
      <c r="R31" s="14" t="n">
        <f aca="false">Share_Prices!R31/Share_Prices!R30-1</f>
        <v>-0.00293602845689112</v>
      </c>
      <c r="S31" s="14" t="n">
        <f aca="false">Share_Prices!S31/Share_Prices!S30-1</f>
        <v>-0.0178050204319906</v>
      </c>
    </row>
    <row r="32" customFormat="false" ht="15" hidden="false" customHeight="false" outlineLevel="0" collapsed="false">
      <c r="A32" s="13" t="n">
        <f aca="false">Share_Prices!A32</f>
        <v>44845</v>
      </c>
      <c r="B32" s="14" t="n">
        <f aca="false">Share_Prices!B32/Share_Prices!B31-1</f>
        <v>-0.0149324285134274</v>
      </c>
      <c r="C32" s="14" t="n">
        <f aca="false">Share_Prices!C32/Share_Prices!C31-1</f>
        <v>-0.0153661970417981</v>
      </c>
      <c r="D32" s="14" t="n">
        <f aca="false">Share_Prices!D32/Share_Prices!D31-1</f>
        <v>-0.0206784442160121</v>
      </c>
      <c r="E32" s="14" t="n">
        <f aca="false">Share_Prices!E32/Share_Prices!E31-1</f>
        <v>-0.0332864038616251</v>
      </c>
      <c r="F32" s="14" t="n">
        <f aca="false">Share_Prices!F32/Share_Prices!F31-1</f>
        <v>-0.0154274446119941</v>
      </c>
      <c r="G32" s="14" t="n">
        <f aca="false">Share_Prices!G32/Share_Prices!G31-1</f>
        <v>-0.027871215761653</v>
      </c>
      <c r="H32" s="14" t="n">
        <f aca="false">Share_Prices!H32/Share_Prices!H31-1</f>
        <v>-0.0479492826953986</v>
      </c>
      <c r="I32" s="14" t="n">
        <f aca="false">Share_Prices!I32/Share_Prices!I31-1</f>
        <v>-0.0530550119591215</v>
      </c>
      <c r="J32" s="14" t="n">
        <f aca="false">Share_Prices!J32/Share_Prices!J31-1</f>
        <v>0.0171245625791081</v>
      </c>
      <c r="K32" s="14" t="n">
        <f aca="false">Share_Prices!K32/Share_Prices!K31-1</f>
        <v>-0.0124253449577814</v>
      </c>
      <c r="L32" s="14" t="n">
        <f aca="false">Share_Prices!L32/Share_Prices!L31-1</f>
        <v>-0.014592039460163</v>
      </c>
      <c r="M32" s="14" t="n">
        <f aca="false">Share_Prices!M32/Share_Prices!M31-1</f>
        <v>-0.0124039572138804</v>
      </c>
      <c r="N32" s="14" t="n">
        <f aca="false">Share_Prices!N32/Share_Prices!N31-1</f>
        <v>-0.0105200136845707</v>
      </c>
      <c r="O32" s="14" t="n">
        <f aca="false">Share_Prices!O32/Share_Prices!O31-1</f>
        <v>-0.0229997553217518</v>
      </c>
      <c r="P32" s="14" t="n">
        <f aca="false">Share_Prices!P32/Share_Prices!P31-1</f>
        <v>-0.0239429928741093</v>
      </c>
      <c r="Q32" s="14" t="n">
        <f aca="false">Share_Prices!Q32/Share_Prices!Q31-1</f>
        <v>0.00230273257599012</v>
      </c>
      <c r="R32" s="14" t="n">
        <f aca="false">Share_Prices!R32/Share_Prices!R31-1</f>
        <v>-0.0118353247635767</v>
      </c>
      <c r="S32" s="14" t="n">
        <f aca="false">Share_Prices!S32/Share_Prices!S31-1</f>
        <v>-0.00331139885374654</v>
      </c>
    </row>
    <row r="33" customFormat="false" ht="15" hidden="false" customHeight="false" outlineLevel="0" collapsed="false">
      <c r="A33" s="13" t="n">
        <f aca="false">Share_Prices!A33</f>
        <v>44846</v>
      </c>
      <c r="B33" s="14" t="n">
        <f aca="false">Share_Prices!B33/Share_Prices!B32-1</f>
        <v>0.00824621471953746</v>
      </c>
      <c r="C33" s="14" t="n">
        <f aca="false">Share_Prices!C33/Share_Prices!C32-1</f>
        <v>0.00733940591907301</v>
      </c>
      <c r="D33" s="14" t="n">
        <f aca="false">Share_Prices!D33/Share_Prices!D32-1</f>
        <v>0.030976907679539</v>
      </c>
      <c r="E33" s="14" t="n">
        <f aca="false">Share_Prices!E33/Share_Prices!E32-1</f>
        <v>0.0238219078331428</v>
      </c>
      <c r="F33" s="14" t="n">
        <f aca="false">Share_Prices!F33/Share_Prices!F32-1</f>
        <v>-0.012841658812441</v>
      </c>
      <c r="G33" s="14" t="n">
        <f aca="false">Share_Prices!G33/Share_Prices!G32-1</f>
        <v>0.013964409293129</v>
      </c>
      <c r="H33" s="14" t="n">
        <f aca="false">Share_Prices!H33/Share_Prices!H32-1</f>
        <v>0.00828461562509752</v>
      </c>
      <c r="I33" s="14" t="n">
        <f aca="false">Share_Prices!I33/Share_Prices!I32-1</f>
        <v>0.00597014925373141</v>
      </c>
      <c r="J33" s="14" t="n">
        <f aca="false">Share_Prices!J33/Share_Prices!J32-1</f>
        <v>0.00468486933606616</v>
      </c>
      <c r="K33" s="14" t="n">
        <f aca="false">Share_Prices!K33/Share_Prices!K32-1</f>
        <v>0.00325316279716392</v>
      </c>
      <c r="L33" s="14" t="n">
        <f aca="false">Share_Prices!L33/Share_Prices!L32-1</f>
        <v>0.0353170189098999</v>
      </c>
      <c r="M33" s="14" t="n">
        <f aca="false">Share_Prices!M33/Share_Prices!M32-1</f>
        <v>0.00371199023695734</v>
      </c>
      <c r="N33" s="14" t="n">
        <f aca="false">Share_Prices!N33/Share_Prices!N32-1</f>
        <v>-0.012331806263866</v>
      </c>
      <c r="O33" s="14" t="n">
        <f aca="false">Share_Prices!O33/Share_Prices!O32-1</f>
        <v>0.0370648635111446</v>
      </c>
      <c r="P33" s="14" t="n">
        <f aca="false">Share_Prices!P33/Share_Prices!P32-1</f>
        <v>0.00141146695220495</v>
      </c>
      <c r="Q33" s="14" t="n">
        <f aca="false">Share_Prices!Q33/Share_Prices!Q32-1</f>
        <v>0.00873028028794609</v>
      </c>
      <c r="R33" s="14" t="n">
        <f aca="false">Share_Prices!R33/Share_Prices!R32-1</f>
        <v>0.00177650429799425</v>
      </c>
      <c r="S33" s="14" t="n">
        <f aca="false">Share_Prices!S33/Share_Prices!S32-1</f>
        <v>0.0324998935127998</v>
      </c>
    </row>
    <row r="34" customFormat="false" ht="15" hidden="false" customHeight="false" outlineLevel="0" collapsed="false">
      <c r="A34" s="13" t="n">
        <f aca="false">Share_Prices!A34</f>
        <v>44847</v>
      </c>
      <c r="B34" s="14" t="n">
        <f aca="false">Share_Prices!B34/Share_Prices!B33-1</f>
        <v>-0.0063800836272746</v>
      </c>
      <c r="C34" s="14" t="n">
        <f aca="false">Share_Prices!C34/Share_Prices!C33-1</f>
        <v>-0.00671951018041206</v>
      </c>
      <c r="D34" s="14" t="n">
        <f aca="false">Share_Prices!D34/Share_Prices!D33-1</f>
        <v>-0.0186811885876642</v>
      </c>
      <c r="E34" s="14" t="n">
        <f aca="false">Share_Prices!E34/Share_Prices!E33-1</f>
        <v>0.0206258890469417</v>
      </c>
      <c r="F34" s="14" t="n">
        <f aca="false">Share_Prices!F34/Share_Prices!F33-1</f>
        <v>-0.0192743764172335</v>
      </c>
      <c r="G34" s="14" t="n">
        <f aca="false">Share_Prices!G34/Share_Prices!G33-1</f>
        <v>-0.0146252285191956</v>
      </c>
      <c r="H34" s="14" t="n">
        <f aca="false">Share_Prices!H34/Share_Prices!H33-1</f>
        <v>0.000496093265534014</v>
      </c>
      <c r="I34" s="14" t="n">
        <f aca="false">Share_Prices!I34/Share_Prices!I33-1</f>
        <v>-0.014380278475234</v>
      </c>
      <c r="J34" s="14" t="n">
        <f aca="false">Share_Prices!J34/Share_Prices!J33-1</f>
        <v>0.00229508196721318</v>
      </c>
      <c r="K34" s="14" t="n">
        <f aca="false">Share_Prices!K34/Share_Prices!K33-1</f>
        <v>-0.010323707111579</v>
      </c>
      <c r="L34" s="14" t="n">
        <f aca="false">Share_Prices!L34/Share_Prices!L33-1</f>
        <v>-0.0267929089443998</v>
      </c>
      <c r="M34" s="14" t="n">
        <f aca="false">Share_Prices!M34/Share_Prices!M33-1</f>
        <v>0.00491412938852021</v>
      </c>
      <c r="N34" s="14" t="n">
        <f aca="false">Share_Prices!N34/Share_Prices!N33-1</f>
        <v>-0.00708888824061382</v>
      </c>
      <c r="O34" s="14" t="n">
        <f aca="false">Share_Prices!O34/Share_Prices!O33-1</f>
        <v>-0.00458826370441934</v>
      </c>
      <c r="P34" s="14" t="n">
        <f aca="false">Share_Prices!P34/Share_Prices!P33-1</f>
        <v>-0.00831105710814095</v>
      </c>
      <c r="Q34" s="14" t="n">
        <f aca="false">Share_Prices!Q34/Share_Prices!Q33-1</f>
        <v>-0.023382933495293</v>
      </c>
      <c r="R34" s="14" t="n">
        <f aca="false">Share_Prices!R34/Share_Prices!R33-1</f>
        <v>-0.014587266174704</v>
      </c>
      <c r="S34" s="14" t="n">
        <f aca="false">Share_Prices!S34/Share_Prices!S33-1</f>
        <v>-0.018976897689769</v>
      </c>
    </row>
    <row r="35" customFormat="false" ht="15" hidden="false" customHeight="false" outlineLevel="0" collapsed="false">
      <c r="A35" s="13" t="n">
        <f aca="false">Share_Prices!A35</f>
        <v>44848</v>
      </c>
      <c r="B35" s="14" t="n">
        <f aca="false">Share_Prices!B35/Share_Prices!B34-1</f>
        <v>0.0100709107312358</v>
      </c>
      <c r="C35" s="14" t="n">
        <f aca="false">Share_Prices!C35/Share_Prices!C34-1</f>
        <v>0.00575684134063814</v>
      </c>
      <c r="D35" s="14" t="n">
        <f aca="false">Share_Prices!D35/Share_Prices!D34-1</f>
        <v>0.0020267335810451</v>
      </c>
      <c r="E35" s="14" t="n">
        <f aca="false">Share_Prices!E35/Share_Prices!E34-1</f>
        <v>0.00258835241413635</v>
      </c>
      <c r="F35" s="14" t="n">
        <f aca="false">Share_Prices!F35/Share_Prices!F34-1</f>
        <v>0.0051110435047157</v>
      </c>
      <c r="G35" s="14" t="n">
        <f aca="false">Share_Prices!G35/Share_Prices!G34-1</f>
        <v>0.00420531849103267</v>
      </c>
      <c r="H35" s="14" t="n">
        <f aca="false">Share_Prices!H35/Share_Prices!H34-1</f>
        <v>0.00232428412049091</v>
      </c>
      <c r="I35" s="14" t="n">
        <f aca="false">Share_Prices!I35/Share_Prices!I34-1</f>
        <v>-0.0233904585456231</v>
      </c>
      <c r="J35" s="14" t="n">
        <f aca="false">Share_Prices!J35/Share_Prices!J34-1</f>
        <v>-0.00327118089630352</v>
      </c>
      <c r="K35" s="14" t="n">
        <f aca="false">Share_Prices!K35/Share_Prices!K34-1</f>
        <v>0.016900264635461</v>
      </c>
      <c r="L35" s="14" t="n">
        <f aca="false">Share_Prices!L35/Share_Prices!L34-1</f>
        <v>0.00269095425377786</v>
      </c>
      <c r="M35" s="14" t="n">
        <f aca="false">Share_Prices!M35/Share_Prices!M34-1</f>
        <v>-0.0147711232103246</v>
      </c>
      <c r="N35" s="14" t="n">
        <f aca="false">Share_Prices!N35/Share_Prices!N34-1</f>
        <v>-0.00854977083088504</v>
      </c>
      <c r="O35" s="14" t="n">
        <f aca="false">Share_Prices!O35/Share_Prices!O34-1</f>
        <v>0.00849102377486655</v>
      </c>
      <c r="P35" s="14" t="n">
        <f aca="false">Share_Prices!P35/Share_Prices!P34-1</f>
        <v>-0.00499901980003925</v>
      </c>
      <c r="Q35" s="14" t="n">
        <f aca="false">Share_Prices!Q35/Share_Prices!Q34-1</f>
        <v>0.00435323383084563</v>
      </c>
      <c r="R35" s="14" t="n">
        <f aca="false">Share_Prices!R35/Share_Prices!R34-1</f>
        <v>-0.016776965052827</v>
      </c>
      <c r="S35" s="14" t="n">
        <f aca="false">Share_Prices!S35/Share_Prices!S34-1</f>
        <v>-0.00428931875525651</v>
      </c>
    </row>
    <row r="36" customFormat="false" ht="15" hidden="false" customHeight="false" outlineLevel="0" collapsed="false">
      <c r="A36" s="13" t="n">
        <f aca="false">Share_Prices!A36</f>
        <v>44851</v>
      </c>
      <c r="B36" s="14" t="n">
        <f aca="false">Share_Prices!B36/Share_Prices!B35-1</f>
        <v>0.0073374957086414</v>
      </c>
      <c r="C36" s="14" t="n">
        <f aca="false">Share_Prices!C36/Share_Prices!C35-1</f>
        <v>0.0061457566941836</v>
      </c>
      <c r="D36" s="14" t="n">
        <f aca="false">Share_Prices!D36/Share_Prices!D35-1</f>
        <v>-0.011365278112208</v>
      </c>
      <c r="E36" s="14" t="n">
        <f aca="false">Share_Prices!E36/Share_Prices!E35-1</f>
        <v>-0.00268096514745309</v>
      </c>
      <c r="F36" s="14" t="n">
        <f aca="false">Share_Prices!F36/Share_Prices!F35-1</f>
        <v>0.011320297838852</v>
      </c>
      <c r="G36" s="14" t="n">
        <f aca="false">Share_Prices!G36/Share_Prices!G35-1</f>
        <v>0.00578889025742102</v>
      </c>
      <c r="H36" s="14" t="n">
        <f aca="false">Share_Prices!H36/Share_Prices!H35-1</f>
        <v>-0.00562718362551395</v>
      </c>
      <c r="I36" s="14" t="n">
        <f aca="false">Share_Prices!I36/Share_Prices!I35-1</f>
        <v>0.00118567702157923</v>
      </c>
      <c r="J36" s="14" t="n">
        <f aca="false">Share_Prices!J36/Share_Prices!J35-1</f>
        <v>0.000656383327863441</v>
      </c>
      <c r="K36" s="14" t="n">
        <f aca="false">Share_Prices!K36/Share_Prices!K35-1</f>
        <v>0.0113733373722908</v>
      </c>
      <c r="L36" s="14" t="n">
        <f aca="false">Share_Prices!L36/Share_Prices!L35-1</f>
        <v>0.00791357005229831</v>
      </c>
      <c r="M36" s="14" t="n">
        <f aca="false">Share_Prices!M36/Share_Prices!M35-1</f>
        <v>-0.0427262958604103</v>
      </c>
      <c r="N36" s="14" t="n">
        <f aca="false">Share_Prices!N36/Share_Prices!N35-1</f>
        <v>0.00749740702326274</v>
      </c>
      <c r="O36" s="14" t="n">
        <f aca="false">Share_Prices!O36/Share_Prices!O35-1</f>
        <v>0.017320182824152</v>
      </c>
      <c r="P36" s="14" t="n">
        <f aca="false">Share_Prices!P36/Share_Prices!P35-1</f>
        <v>0.00684661609693626</v>
      </c>
      <c r="Q36" s="14" t="n">
        <f aca="false">Share_Prices!Q36/Share_Prices!Q35-1</f>
        <v>0.00526315789473686</v>
      </c>
      <c r="R36" s="14" t="n">
        <f aca="false">Share_Prices!R36/Share_Prices!R35-1</f>
        <v>0.0137568636712522</v>
      </c>
      <c r="S36" s="14" t="n">
        <f aca="false">Share_Prices!S36/Share_Prices!S35-1</f>
        <v>0.00717966044429419</v>
      </c>
    </row>
    <row r="37" customFormat="false" ht="15" hidden="false" customHeight="false" outlineLevel="0" collapsed="false">
      <c r="A37" s="13" t="n">
        <f aca="false">Share_Prices!A37</f>
        <v>44852</v>
      </c>
      <c r="B37" s="14" t="n">
        <f aca="false">Share_Prices!B37/Share_Prices!B36-1</f>
        <v>0.0101173765870679</v>
      </c>
      <c r="C37" s="14" t="n">
        <f aca="false">Share_Prices!C37/Share_Prices!C36-1</f>
        <v>0.0100897951516656</v>
      </c>
      <c r="D37" s="14" t="n">
        <f aca="false">Share_Prices!D37/Share_Prices!D36-1</f>
        <v>-0.00336109893321646</v>
      </c>
      <c r="E37" s="14" t="n">
        <f aca="false">Share_Prices!E37/Share_Prices!E36-1</f>
        <v>0.0440063719633612</v>
      </c>
      <c r="F37" s="14" t="n">
        <f aca="false">Share_Prices!F37/Share_Prices!F36-1</f>
        <v>-0.00119717466778402</v>
      </c>
      <c r="G37" s="14" t="n">
        <f aca="false">Share_Prices!G37/Share_Prices!G36-1</f>
        <v>0.0167768797452852</v>
      </c>
      <c r="H37" s="14" t="n">
        <f aca="false">Share_Prices!H37/Share_Prices!H36-1</f>
        <v>0.0136189795093435</v>
      </c>
      <c r="I37" s="14" t="n">
        <f aca="false">Share_Prices!I37/Share_Prices!I36-1</f>
        <v>0.00544765513974421</v>
      </c>
      <c r="J37" s="14" t="n">
        <f aca="false">Share_Prices!J37/Share_Prices!J36-1</f>
        <v>0.0176378411865457</v>
      </c>
      <c r="K37" s="14" t="n">
        <f aca="false">Share_Prices!K37/Share_Prices!K36-1</f>
        <v>0.00479224527582645</v>
      </c>
      <c r="L37" s="14" t="n">
        <f aca="false">Share_Prices!L37/Share_Prices!L36-1</f>
        <v>0.0197310029357547</v>
      </c>
      <c r="M37" s="14" t="n">
        <f aca="false">Share_Prices!M37/Share_Prices!M36-1</f>
        <v>0.00662818045755831</v>
      </c>
      <c r="N37" s="14" t="n">
        <f aca="false">Share_Prices!N37/Share_Prices!N36-1</f>
        <v>0.0075592681922465</v>
      </c>
      <c r="O37" s="14" t="n">
        <f aca="false">Share_Prices!O37/Share_Prices!O36-1</f>
        <v>0.00685741310002364</v>
      </c>
      <c r="P37" s="14" t="n">
        <f aca="false">Share_Prices!P37/Share_Prices!P36-1</f>
        <v>0.0183944034049215</v>
      </c>
      <c r="Q37" s="14" t="n">
        <f aca="false">Share_Prices!Q37/Share_Prices!Q36-1</f>
        <v>0.00923929781336619</v>
      </c>
      <c r="R37" s="14" t="n">
        <f aca="false">Share_Prices!R37/Share_Prices!R36-1</f>
        <v>0.029353523587653</v>
      </c>
      <c r="S37" s="14" t="n">
        <f aca="false">Share_Prices!S37/Share_Prices!S36-1</f>
        <v>0.0266269708151627</v>
      </c>
    </row>
    <row r="38" customFormat="false" ht="15" hidden="false" customHeight="false" outlineLevel="0" collapsed="false">
      <c r="A38" s="13" t="n">
        <f aca="false">Share_Prices!A38</f>
        <v>44853</v>
      </c>
      <c r="B38" s="14" t="n">
        <f aca="false">Share_Prices!B38/Share_Prices!B37-1</f>
        <v>0.00144679318005703</v>
      </c>
      <c r="C38" s="14" t="n">
        <f aca="false">Share_Prices!C38/Share_Prices!C37-1</f>
        <v>0.000800316141480018</v>
      </c>
      <c r="D38" s="14" t="n">
        <f aca="false">Share_Prices!D38/Share_Prices!D37-1</f>
        <v>-0.00601173020527857</v>
      </c>
      <c r="E38" s="14" t="n">
        <f aca="false">Share_Prices!E38/Share_Prices!E37-1</f>
        <v>-0.00915506389471665</v>
      </c>
      <c r="F38" s="14" t="n">
        <f aca="false">Share_Prices!F38/Share_Prices!F37-1</f>
        <v>0.0164808821766751</v>
      </c>
      <c r="G38" s="14" t="n">
        <f aca="false">Share_Prices!G38/Share_Prices!G37-1</f>
        <v>-0.0107190172226905</v>
      </c>
      <c r="H38" s="14" t="n">
        <f aca="false">Share_Prices!H38/Share_Prices!H37-1</f>
        <v>0.0803092119390165</v>
      </c>
      <c r="I38" s="14" t="n">
        <f aca="false">Share_Prices!I38/Share_Prices!I37-1</f>
        <v>0.0416961130742048</v>
      </c>
      <c r="J38" s="14" t="n">
        <f aca="false">Share_Prices!J38/Share_Prices!J37-1</f>
        <v>0.028325872873769</v>
      </c>
      <c r="K38" s="14" t="n">
        <f aca="false">Share_Prices!K38/Share_Prices!K37-1</f>
        <v>-0.00135494011164705</v>
      </c>
      <c r="L38" s="14" t="n">
        <f aca="false">Share_Prices!L38/Share_Prices!L37-1</f>
        <v>-0.000468666309587418</v>
      </c>
      <c r="M38" s="14" t="n">
        <f aca="false">Share_Prices!M38/Share_Prices!M37-1</f>
        <v>0.0350467289719627</v>
      </c>
      <c r="N38" s="14" t="n">
        <f aca="false">Share_Prices!N38/Share_Prices!N37-1</f>
        <v>0.00709385491169168</v>
      </c>
      <c r="O38" s="14" t="n">
        <f aca="false">Share_Prices!O38/Share_Prices!O37-1</f>
        <v>0.0119774542038515</v>
      </c>
      <c r="P38" s="14" t="n">
        <f aca="false">Share_Prices!P38/Share_Prices!P37-1</f>
        <v>0.00864677907479461</v>
      </c>
      <c r="Q38" s="14" t="n">
        <f aca="false">Share_Prices!Q38/Share_Prices!Q37-1</f>
        <v>0.0199877937137627</v>
      </c>
      <c r="R38" s="14" t="n">
        <f aca="false">Share_Prices!R38/Share_Prices!R37-1</f>
        <v>0.00311191580853221</v>
      </c>
      <c r="S38" s="14" t="n">
        <f aca="false">Share_Prices!S38/Share_Prices!S37-1</f>
        <v>-0.0078421762038966</v>
      </c>
    </row>
    <row r="39" customFormat="false" ht="15" hidden="false" customHeight="false" outlineLevel="0" collapsed="false">
      <c r="A39" s="13" t="n">
        <f aca="false">Share_Prices!A39</f>
        <v>44854</v>
      </c>
      <c r="B39" s="14" t="n">
        <f aca="false">Share_Prices!B39/Share_Prices!B38-1</f>
        <v>0.00295221916087307</v>
      </c>
      <c r="C39" s="14" t="n">
        <f aca="false">Share_Prices!C39/Share_Prices!C38-1</f>
        <v>0.00288679771179812</v>
      </c>
      <c r="D39" s="14" t="n">
        <f aca="false">Share_Prices!D39/Share_Prices!D38-1</f>
        <v>0.0128337512907508</v>
      </c>
      <c r="E39" s="14" t="n">
        <f aca="false">Share_Prices!E39/Share_Prices!E38-1</f>
        <v>0.00336862367661217</v>
      </c>
      <c r="F39" s="14" t="n">
        <f aca="false">Share_Prices!F39/Share_Prices!F38-1</f>
        <v>-0.053357702965627</v>
      </c>
      <c r="G39" s="14" t="n">
        <f aca="false">Share_Prices!G39/Share_Prices!G38-1</f>
        <v>0.0209398587776968</v>
      </c>
      <c r="H39" s="14" t="n">
        <f aca="false">Share_Prices!H39/Share_Prices!H38-1</f>
        <v>0.0443251838600676</v>
      </c>
      <c r="I39" s="14" t="n">
        <f aca="false">Share_Prices!I39/Share_Prices!I38-1</f>
        <v>-0.0174129353233831</v>
      </c>
      <c r="J39" s="14" t="n">
        <f aca="false">Share_Prices!J39/Share_Prices!J38-1</f>
        <v>0.0273715002089427</v>
      </c>
      <c r="K39" s="14" t="n">
        <f aca="false">Share_Prices!K39/Share_Prices!K38-1</f>
        <v>0.00704168023445129</v>
      </c>
      <c r="L39" s="14" t="n">
        <f aca="false">Share_Prices!L39/Share_Prices!L38-1</f>
        <v>-0.0226404983588989</v>
      </c>
      <c r="M39" s="14" t="n">
        <f aca="false">Share_Prices!M39/Share_Prices!M38-1</f>
        <v>-0.00210342704699373</v>
      </c>
      <c r="N39" s="14" t="n">
        <f aca="false">Share_Prices!N39/Share_Prices!N38-1</f>
        <v>0.00901501536320937</v>
      </c>
      <c r="O39" s="14" t="n">
        <f aca="false">Share_Prices!O39/Share_Prices!O38-1</f>
        <v>-0.0148526340218148</v>
      </c>
      <c r="P39" s="14" t="n">
        <f aca="false">Share_Prices!P39/Share_Prices!P38-1</f>
        <v>-0.00176215649854727</v>
      </c>
      <c r="Q39" s="14" t="n">
        <f aca="false">Share_Prices!Q39/Share_Prices!Q38-1</f>
        <v>-0.00972326103216159</v>
      </c>
      <c r="R39" s="14" t="n">
        <f aca="false">Share_Prices!R39/Share_Prices!R38-1</f>
        <v>0.000564047605617901</v>
      </c>
      <c r="S39" s="14" t="n">
        <f aca="false">Share_Prices!S39/Share_Prices!S38-1</f>
        <v>0.00102918776501593</v>
      </c>
    </row>
    <row r="40" customFormat="false" ht="15" hidden="false" customHeight="false" outlineLevel="0" collapsed="false">
      <c r="A40" s="13" t="n">
        <f aca="false">Share_Prices!A40</f>
        <v>44855</v>
      </c>
      <c r="B40" s="14" t="n">
        <f aca="false">Share_Prices!B40/Share_Prices!B39-1</f>
        <v>0.000703144793739341</v>
      </c>
      <c r="C40" s="14" t="n">
        <f aca="false">Share_Prices!C40/Share_Prices!C39-1</f>
        <v>-0.00205133634637145</v>
      </c>
      <c r="D40" s="14" t="n">
        <f aca="false">Share_Prices!D40/Share_Prices!D39-1</f>
        <v>-0.0338625109233908</v>
      </c>
      <c r="E40" s="14" t="n">
        <f aca="false">Share_Prices!E40/Share_Prices!E39-1</f>
        <v>-0.000191846522781813</v>
      </c>
      <c r="F40" s="14" t="n">
        <f aca="false">Share_Prices!F40/Share_Prices!F39-1</f>
        <v>-0.0606003986048829</v>
      </c>
      <c r="G40" s="14" t="n">
        <f aca="false">Share_Prices!G40/Share_Prices!G39-1</f>
        <v>-0.0133555926544241</v>
      </c>
      <c r="H40" s="14" t="n">
        <f aca="false">Share_Prices!H40/Share_Prices!H39-1</f>
        <v>-0.0369242481918538</v>
      </c>
      <c r="I40" s="14" t="n">
        <f aca="false">Share_Prices!I40/Share_Prices!I39-1</f>
        <v>0.00805523590333723</v>
      </c>
      <c r="J40" s="14" t="n">
        <f aca="false">Share_Prices!J40/Share_Prices!J39-1</f>
        <v>-0.0284387499152599</v>
      </c>
      <c r="K40" s="14" t="n">
        <f aca="false">Share_Prices!K40/Share_Prices!K39-1</f>
        <v>-0.0322406801126336</v>
      </c>
      <c r="L40" s="14" t="n">
        <f aca="false">Share_Prices!L40/Share_Prices!L39-1</f>
        <v>-0.023439106298403</v>
      </c>
      <c r="M40" s="14" t="n">
        <f aca="false">Share_Prices!M40/Share_Prices!M39-1</f>
        <v>-0.0154233715490206</v>
      </c>
      <c r="N40" s="14" t="n">
        <f aca="false">Share_Prices!N40/Share_Prices!N39-1</f>
        <v>-0.0106007067137809</v>
      </c>
      <c r="O40" s="14" t="n">
        <f aca="false">Share_Prices!O40/Share_Prices!O39-1</f>
        <v>-0.0287396937573616</v>
      </c>
      <c r="P40" s="14" t="n">
        <f aca="false">Share_Prices!P40/Share_Prices!P39-1</f>
        <v>-0.0143129770992366</v>
      </c>
      <c r="Q40" s="14" t="n">
        <f aca="false">Share_Prices!Q40/Share_Prices!Q39-1</f>
        <v>-0.0459214501510574</v>
      </c>
      <c r="R40" s="14" t="n">
        <f aca="false">Share_Prices!R40/Share_Prices!R39-1</f>
        <v>-0.0242403743164779</v>
      </c>
      <c r="S40" s="14" t="n">
        <f aca="false">Share_Prices!S40/Share_Prices!S39-1</f>
        <v>-0.0148873169929264</v>
      </c>
    </row>
    <row r="41" customFormat="false" ht="15" hidden="false" customHeight="false" outlineLevel="0" collapsed="false">
      <c r="A41" s="13" t="n">
        <f aca="false">Share_Prices!A41</f>
        <v>44858</v>
      </c>
      <c r="B41" s="14" t="n">
        <f aca="false">Share_Prices!B41/Share_Prices!B40-1</f>
        <v>0.00878740121641086</v>
      </c>
      <c r="C41" s="14" t="n">
        <f aca="false">Share_Prices!C41/Share_Prices!C40-1</f>
        <v>0.00780115508815671</v>
      </c>
      <c r="D41" s="14" t="n">
        <f aca="false">Share_Prices!D41/Share_Prices!D40-1</f>
        <v>0.0105022486872191</v>
      </c>
      <c r="E41" s="14" t="n">
        <f aca="false">Share_Prices!E41/Share_Prices!E40-1</f>
        <v>0.00690780005756508</v>
      </c>
      <c r="F41" s="14" t="n">
        <f aca="false">Share_Prices!F41/Share_Prices!F40-1</f>
        <v>0.0135251607770339</v>
      </c>
      <c r="G41" s="14" t="n">
        <f aca="false">Share_Prices!G41/Share_Prices!G40-1</f>
        <v>0.00568044476673935</v>
      </c>
      <c r="H41" s="14" t="n">
        <f aca="false">Share_Prices!H41/Share_Prices!H40-1</f>
        <v>0.0151891586674195</v>
      </c>
      <c r="I41" s="14" t="n">
        <f aca="false">Share_Prices!I41/Share_Prices!I40-1</f>
        <v>0.00136986301369868</v>
      </c>
      <c r="J41" s="14" t="n">
        <f aca="false">Share_Prices!J41/Share_Prices!J40-1</f>
        <v>0.010885113212155</v>
      </c>
      <c r="K41" s="14" t="n">
        <f aca="false">Share_Prices!K41/Share_Prices!K40-1</f>
        <v>0.00190728108032845</v>
      </c>
      <c r="L41" s="14" t="n">
        <f aca="false">Share_Prices!L41/Share_Prices!L40-1</f>
        <v>0.0011228858165484</v>
      </c>
      <c r="M41" s="14" t="n">
        <f aca="false">Share_Prices!M41/Share_Prices!M40-1</f>
        <v>0.0308600073103233</v>
      </c>
      <c r="N41" s="14" t="n">
        <f aca="false">Share_Prices!N41/Share_Prices!N40-1</f>
        <v>0.0188734030197444</v>
      </c>
      <c r="O41" s="14" t="n">
        <f aca="false">Share_Prices!O41/Share_Prices!O40-1</f>
        <v>-0.00873150618481688</v>
      </c>
      <c r="P41" s="14" t="n">
        <f aca="false">Share_Prices!P41/Share_Prices!P40-1</f>
        <v>0.00227492739593416</v>
      </c>
      <c r="Q41" s="14" t="n">
        <f aca="false">Share_Prices!Q41/Share_Prices!Q40-1</f>
        <v>0.0101329955668144</v>
      </c>
      <c r="R41" s="14" t="n">
        <f aca="false">Share_Prices!R41/Share_Prices!R40-1</f>
        <v>-0.011496909122422</v>
      </c>
      <c r="S41" s="14" t="n">
        <f aca="false">Share_Prices!S41/Share_Prices!S40-1</f>
        <v>0.00108541370961013</v>
      </c>
    </row>
    <row r="42" customFormat="false" ht="15" hidden="false" customHeight="false" outlineLevel="0" collapsed="false">
      <c r="A42" s="13" t="n">
        <f aca="false">Share_Prices!A42</f>
        <v>44859</v>
      </c>
      <c r="B42" s="14" t="n">
        <f aca="false">Share_Prices!B42/Share_Prices!B41-1</f>
        <v>-0.0041960999957702</v>
      </c>
      <c r="C42" s="14" t="n">
        <f aca="false">Share_Prices!C42/Share_Prices!C41-1</f>
        <v>-0.00267456205280037</v>
      </c>
      <c r="D42" s="14" t="n">
        <f aca="false">Share_Prices!D42/Share_Prices!D41-1</f>
        <v>-0.019418682712151</v>
      </c>
      <c r="E42" s="14" t="n">
        <f aca="false">Share_Prices!E42/Share_Prices!E41-1</f>
        <v>0.00209623630300149</v>
      </c>
      <c r="F42" s="14" t="n">
        <f aca="false">Share_Prices!F42/Share_Prices!F41-1</f>
        <v>-0.0444168247530582</v>
      </c>
      <c r="G42" s="14" t="n">
        <f aca="false">Share_Prices!G42/Share_Prices!G41-1</f>
        <v>0.00925369546929455</v>
      </c>
      <c r="H42" s="14" t="n">
        <f aca="false">Share_Prices!H42/Share_Prices!H41-1</f>
        <v>-0.00678569442126931</v>
      </c>
      <c r="I42" s="14" t="n">
        <f aca="false">Share_Prices!I42/Share_Prices!I41-1</f>
        <v>-0.0155038759689923</v>
      </c>
      <c r="J42" s="14" t="n">
        <f aca="false">Share_Prices!J42/Share_Prices!J41-1</f>
        <v>0.00158757549611721</v>
      </c>
      <c r="K42" s="14" t="n">
        <f aca="false">Share_Prices!K42/Share_Prices!K41-1</f>
        <v>-0.0143815915627995</v>
      </c>
      <c r="L42" s="14" t="n">
        <f aca="false">Share_Prices!L42/Share_Prices!L41-1</f>
        <v>0.00350508236943559</v>
      </c>
      <c r="M42" s="14" t="n">
        <f aca="false">Share_Prices!M42/Share_Prices!M41-1</f>
        <v>-0.0108398338567521</v>
      </c>
      <c r="N42" s="14" t="n">
        <f aca="false">Share_Prices!N42/Share_Prices!N41-1</f>
        <v>0.00803647762895432</v>
      </c>
      <c r="O42" s="14" t="n">
        <f aca="false">Share_Prices!O42/Share_Prices!O41-1</f>
        <v>-0.000489356496207405</v>
      </c>
      <c r="P42" s="14" t="n">
        <f aca="false">Share_Prices!P42/Share_Prices!P41-1</f>
        <v>0.016129811174965</v>
      </c>
      <c r="Q42" s="14" t="n">
        <f aca="false">Share_Prices!Q42/Share_Prices!Q41-1</f>
        <v>-0.0178683385579937</v>
      </c>
      <c r="R42" s="14" t="n">
        <f aca="false">Share_Prices!R42/Share_Prices!R41-1</f>
        <v>-0.0124488603156049</v>
      </c>
      <c r="S42" s="14" t="n">
        <f aca="false">Share_Prices!S42/Share_Prices!S41-1</f>
        <v>0.0150959132610509</v>
      </c>
    </row>
    <row r="43" customFormat="false" ht="15" hidden="false" customHeight="false" outlineLevel="0" collapsed="false">
      <c r="A43" s="13" t="n">
        <f aca="false">Share_Prices!A43</f>
        <v>44861</v>
      </c>
      <c r="B43" s="14" t="n">
        <f aca="false">Share_Prices!B43/Share_Prices!B42-1</f>
        <v>0.00456492989774238</v>
      </c>
      <c r="C43" s="14" t="n">
        <f aca="false">Share_Prices!C43/Share_Prices!C42-1</f>
        <v>0.00568342998132998</v>
      </c>
      <c r="D43" s="14" t="n">
        <f aca="false">Share_Prices!D43/Share_Prices!D42-1</f>
        <v>0.00849434555504836</v>
      </c>
      <c r="E43" s="14" t="n">
        <f aca="false">Share_Prices!E43/Share_Prices!E42-1</f>
        <v>-0.0130265284777028</v>
      </c>
      <c r="F43" s="14" t="n">
        <f aca="false">Share_Prices!F43/Share_Prices!F42-1</f>
        <v>-0.0308050383351588</v>
      </c>
      <c r="G43" s="14" t="n">
        <f aca="false">Share_Prices!G43/Share_Prices!G42-1</f>
        <v>0.00500119075970473</v>
      </c>
      <c r="H43" s="14" t="n">
        <f aca="false">Share_Prices!H43/Share_Prices!H42-1</f>
        <v>0.0503164025312204</v>
      </c>
      <c r="I43" s="14" t="n">
        <f aca="false">Share_Prices!I43/Share_Prices!I42-1</f>
        <v>0.0217693376563224</v>
      </c>
      <c r="J43" s="14" t="n">
        <f aca="false">Share_Prices!J43/Share_Prices!J42-1</f>
        <v>-0.0304951586781985</v>
      </c>
      <c r="K43" s="14" t="n">
        <f aca="false">Share_Prices!K43/Share_Prices!K42-1</f>
        <v>-0.0185529803191791</v>
      </c>
      <c r="L43" s="14" t="n">
        <f aca="false">Share_Prices!L43/Share_Prices!L42-1</f>
        <v>0.00279427174292701</v>
      </c>
      <c r="M43" s="14" t="n">
        <f aca="false">Share_Prices!M43/Share_Prices!M42-1</f>
        <v>-0.00122900450634977</v>
      </c>
      <c r="N43" s="14" t="n">
        <f aca="false">Share_Prices!N43/Share_Prices!N42-1</f>
        <v>0.100927287119756</v>
      </c>
      <c r="O43" s="14" t="n">
        <f aca="false">Share_Prices!O43/Share_Prices!O42-1</f>
        <v>0.0156670746634027</v>
      </c>
      <c r="P43" s="14" t="n">
        <f aca="false">Share_Prices!P43/Share_Prices!P42-1</f>
        <v>-0.00974288294282588</v>
      </c>
      <c r="Q43" s="14" t="n">
        <f aca="false">Share_Prices!Q43/Share_Prices!Q42-1</f>
        <v>-0.0108522183210981</v>
      </c>
      <c r="R43" s="14" t="n">
        <f aca="false">Share_Prices!R43/Share_Prices!R42-1</f>
        <v>0.0157424394862993</v>
      </c>
      <c r="S43" s="14" t="n">
        <f aca="false">Share_Prices!S43/Share_Prices!S42-1</f>
        <v>0.0244844302029414</v>
      </c>
    </row>
    <row r="44" customFormat="false" ht="15" hidden="false" customHeight="false" outlineLevel="0" collapsed="false">
      <c r="A44" s="13" t="n">
        <f aca="false">Share_Prices!A44</f>
        <v>44862</v>
      </c>
      <c r="B44" s="14" t="n">
        <f aca="false">Share_Prices!B44/Share_Prices!B43-1</f>
        <v>0.00281051702801216</v>
      </c>
      <c r="C44" s="14" t="n">
        <f aca="false">Share_Prices!C44/Share_Prices!C43-1</f>
        <v>-0.000173836036538311</v>
      </c>
      <c r="D44" s="14" t="n">
        <f aca="false">Share_Prices!D44/Share_Prices!D43-1</f>
        <v>-0.0121439167274282</v>
      </c>
      <c r="E44" s="14" t="n">
        <f aca="false">Share_Prices!E44/Share_Prices!E43-1</f>
        <v>-0.00510597302504812</v>
      </c>
      <c r="F44" s="14" t="n">
        <f aca="false">Share_Prices!F44/Share_Prices!F43-1</f>
        <v>0.0320666760841928</v>
      </c>
      <c r="G44" s="14" t="n">
        <f aca="false">Share_Prices!G44/Share_Prices!G43-1</f>
        <v>-0.00189573459715642</v>
      </c>
      <c r="H44" s="14" t="n">
        <f aca="false">Share_Prices!H44/Share_Prices!H43-1</f>
        <v>-0.0100503852203355</v>
      </c>
      <c r="I44" s="14" t="n">
        <f aca="false">Share_Prices!I44/Share_Prices!I43-1</f>
        <v>-0.0231187669990933</v>
      </c>
      <c r="J44" s="14" t="n">
        <f aca="false">Share_Prices!J44/Share_Prices!J43-1</f>
        <v>0.0304591981802673</v>
      </c>
      <c r="K44" s="14" t="n">
        <f aca="false">Share_Prices!K44/Share_Prices!K43-1</f>
        <v>0.00512813146403124</v>
      </c>
      <c r="L44" s="14" t="n">
        <f aca="false">Share_Prices!L44/Share_Prices!L43-1</f>
        <v>-0.0016718913270638</v>
      </c>
      <c r="M44" s="14" t="n">
        <f aca="false">Share_Prices!M44/Share_Prices!M43-1</f>
        <v>-0.0226620180475801</v>
      </c>
      <c r="N44" s="14" t="n">
        <f aca="false">Share_Prices!N44/Share_Prices!N43-1</f>
        <v>0.0243182168352933</v>
      </c>
      <c r="O44" s="14" t="n">
        <f aca="false">Share_Prices!O44/Share_Prices!O43-1</f>
        <v>-0.00795372378886472</v>
      </c>
      <c r="P44" s="14" t="n">
        <f aca="false">Share_Prices!P44/Share_Prices!P43-1</f>
        <v>0.00556728738721435</v>
      </c>
      <c r="Q44" s="14" t="n">
        <f aca="false">Share_Prices!Q44/Share_Prices!Q43-1</f>
        <v>0</v>
      </c>
      <c r="R44" s="14" t="n">
        <f aca="false">Share_Prices!R44/Share_Prices!R43-1</f>
        <v>-0.0557594826079357</v>
      </c>
      <c r="S44" s="14" t="n">
        <f aca="false">Share_Prices!S44/Share_Prices!S43-1</f>
        <v>0.022295292324966</v>
      </c>
    </row>
    <row r="45" customFormat="false" ht="15" hidden="false" customHeight="false" outlineLevel="0" collapsed="false">
      <c r="A45" s="13" t="n">
        <f aca="false">Share_Prices!A45</f>
        <v>44865</v>
      </c>
      <c r="B45" s="14" t="n">
        <f aca="false">Share_Prices!B45/Share_Prices!B44-1</f>
        <v>0.0126723187982101</v>
      </c>
      <c r="C45" s="14" t="n">
        <f aca="false">Share_Prices!C45/Share_Prices!C44-1</f>
        <v>0.0119672475330674</v>
      </c>
      <c r="D45" s="14" t="n">
        <f aca="false">Share_Prices!D45/Share_Prices!D44-1</f>
        <v>0.027640621023161</v>
      </c>
      <c r="E45" s="14" t="n">
        <f aca="false">Share_Prices!E45/Share_Prices!E44-1</f>
        <v>0.015493366902295</v>
      </c>
      <c r="F45" s="14" t="n">
        <f aca="false">Share_Prices!F45/Share_Prices!F44-1</f>
        <v>-0.00595401040240906</v>
      </c>
      <c r="G45" s="14" t="n">
        <f aca="false">Share_Prices!G45/Share_Prices!G44-1</f>
        <v>-0.0377492877492877</v>
      </c>
      <c r="H45" s="14" t="n">
        <f aca="false">Share_Prices!H45/Share_Prices!H44-1</f>
        <v>-0.0186082835137609</v>
      </c>
      <c r="I45" s="14" t="n">
        <f aca="false">Share_Prices!I45/Share_Prices!I44-1</f>
        <v>-0.0201856148491879</v>
      </c>
      <c r="J45" s="14" t="n">
        <f aca="false">Share_Prices!J45/Share_Prices!J44-1</f>
        <v>0.0150381126478805</v>
      </c>
      <c r="K45" s="14" t="n">
        <f aca="false">Share_Prices!K45/Share_Prices!K44-1</f>
        <v>0.0195932716905092</v>
      </c>
      <c r="L45" s="14" t="n">
        <f aca="false">Share_Prices!L45/Share_Prices!L44-1</f>
        <v>-0.010048147372828</v>
      </c>
      <c r="M45" s="14" t="n">
        <f aca="false">Share_Prices!M45/Share_Prices!M44-1</f>
        <v>0.023187493442451</v>
      </c>
      <c r="N45" s="14" t="n">
        <f aca="false">Share_Prices!N45/Share_Prices!N44-1</f>
        <v>0.0225124721101055</v>
      </c>
      <c r="O45" s="14" t="n">
        <f aca="false">Share_Prices!O45/Share_Prices!O44-1</f>
        <v>-0.0184645286686104</v>
      </c>
      <c r="P45" s="14" t="n">
        <f aca="false">Share_Prices!P45/Share_Prices!P44-1</f>
        <v>-0.00396143566246643</v>
      </c>
      <c r="Q45" s="14" t="n">
        <f aca="false">Share_Prices!Q45/Share_Prices!Q44-1</f>
        <v>0.0145208131655372</v>
      </c>
      <c r="R45" s="14" t="n">
        <f aca="false">Share_Prices!R45/Share_Prices!R44-1</f>
        <v>0.0201777119585338</v>
      </c>
      <c r="S45" s="14" t="n">
        <f aca="false">Share_Prices!S45/Share_Prices!S44-1</f>
        <v>-0.0357338981721189</v>
      </c>
    </row>
    <row r="46" customFormat="false" ht="15" hidden="false" customHeight="false" outlineLevel="0" collapsed="false">
      <c r="A46" s="13" t="n">
        <f aca="false">Share_Prices!A46</f>
        <v>44866</v>
      </c>
      <c r="B46" s="14" t="n">
        <f aca="false">Share_Prices!B46/Share_Prices!B45-1</f>
        <v>0.007394987841574</v>
      </c>
      <c r="C46" s="14" t="n">
        <f aca="false">Share_Prices!C46/Share_Prices!C45-1</f>
        <v>0.00735217842323643</v>
      </c>
      <c r="D46" s="14" t="n">
        <f aca="false">Share_Prices!D46/Share_Prices!D45-1</f>
        <v>-0.0182781850604319</v>
      </c>
      <c r="E46" s="14" t="n">
        <f aca="false">Share_Prices!E46/Share_Prices!E45-1</f>
        <v>-0.00638886240106806</v>
      </c>
      <c r="F46" s="14" t="n">
        <f aca="false">Share_Prices!F46/Share_Prices!F45-1</f>
        <v>0.0192082616179001</v>
      </c>
      <c r="G46" s="14" t="n">
        <f aca="false">Share_Prices!G46/Share_Prices!G45-1</f>
        <v>-0.0118430792005921</v>
      </c>
      <c r="H46" s="14" t="n">
        <f aca="false">Share_Prices!H46/Share_Prices!H45-1</f>
        <v>-0.00694234832478124</v>
      </c>
      <c r="I46" s="14" t="n">
        <f aca="false">Share_Prices!I46/Share_Prices!I45-1</f>
        <v>0.00757755150367045</v>
      </c>
      <c r="J46" s="14" t="n">
        <f aca="false">Share_Prices!J46/Share_Prices!J45-1</f>
        <v>-0.0236501410173638</v>
      </c>
      <c r="K46" s="14" t="n">
        <f aca="false">Share_Prices!K46/Share_Prices!K45-1</f>
        <v>0.0091528369589593</v>
      </c>
      <c r="L46" s="14" t="n">
        <f aca="false">Share_Prices!L46/Share_Prices!L45-1</f>
        <v>0.000211461196870433</v>
      </c>
      <c r="M46" s="14" t="n">
        <f aca="false">Share_Prices!M46/Share_Prices!M45-1</f>
        <v>0.00738310090237904</v>
      </c>
      <c r="N46" s="14" t="n">
        <f aca="false">Share_Prices!N46/Share_Prices!N45-1</f>
        <v>-0.00737980238801572</v>
      </c>
      <c r="O46" s="14" t="n">
        <f aca="false">Share_Prices!O46/Share_Prices!O45-1</f>
        <v>-0.0190594059405941</v>
      </c>
      <c r="P46" s="14" t="n">
        <f aca="false">Share_Prices!P46/Share_Prices!P45-1</f>
        <v>0.0233360486846519</v>
      </c>
      <c r="Q46" s="14" t="n">
        <f aca="false">Share_Prices!Q46/Share_Prices!Q45-1</f>
        <v>0.00667938931297707</v>
      </c>
      <c r="R46" s="14" t="n">
        <f aca="false">Share_Prices!R46/Share_Prices!R45-1</f>
        <v>-0.00127018689892933</v>
      </c>
      <c r="S46" s="14" t="n">
        <f aca="false">Share_Prices!S46/Share_Prices!S45-1</f>
        <v>-0.0174510840824961</v>
      </c>
    </row>
    <row r="47" customFormat="false" ht="15" hidden="false" customHeight="false" outlineLevel="0" collapsed="false">
      <c r="A47" s="13" t="n">
        <f aca="false">Share_Prices!A47</f>
        <v>44867</v>
      </c>
      <c r="B47" s="14" t="n">
        <f aca="false">Share_Prices!B47/Share_Prices!B46-1</f>
        <v>-0.00344715465076562</v>
      </c>
      <c r="C47" s="14" t="n">
        <f aca="false">Share_Prices!C47/Share_Prices!C46-1</f>
        <v>-0.00256477917798348</v>
      </c>
      <c r="D47" s="14" t="n">
        <f aca="false">Share_Prices!D47/Share_Prices!D46-1</f>
        <v>-0.0106968060951612</v>
      </c>
      <c r="E47" s="14" t="n">
        <f aca="false">Share_Prices!E47/Share_Prices!E46-1</f>
        <v>-0.026295585412668</v>
      </c>
      <c r="F47" s="14" t="n">
        <f aca="false">Share_Prices!F47/Share_Prices!F46-1</f>
        <v>-0.00716022696568508</v>
      </c>
      <c r="G47" s="14" t="n">
        <f aca="false">Share_Prices!G47/Share_Prices!G46-1</f>
        <v>-0.0845193508114857</v>
      </c>
      <c r="H47" s="14" t="n">
        <f aca="false">Share_Prices!H47/Share_Prices!H46-1</f>
        <v>-0.0314727825366123</v>
      </c>
      <c r="I47" s="14" t="n">
        <f aca="false">Share_Prices!I47/Share_Prices!I46-1</f>
        <v>-0.0138660399529964</v>
      </c>
      <c r="J47" s="14" t="n">
        <f aca="false">Share_Prices!J47/Share_Prices!J46-1</f>
        <v>0.0209515191591549</v>
      </c>
      <c r="K47" s="14" t="n">
        <f aca="false">Share_Prices!K47/Share_Prices!K46-1</f>
        <v>-0.00738919677208783</v>
      </c>
      <c r="L47" s="14" t="n">
        <f aca="false">Share_Prices!L47/Share_Prices!L46-1</f>
        <v>0.0496124031007752</v>
      </c>
      <c r="M47" s="14" t="n">
        <f aca="false">Share_Prices!M47/Share_Prices!M46-1</f>
        <v>0.0122658794788275</v>
      </c>
      <c r="N47" s="14" t="n">
        <f aca="false">Share_Prices!N47/Share_Prices!N46-1</f>
        <v>-0.0185990218841081</v>
      </c>
      <c r="O47" s="14" t="n">
        <f aca="false">Share_Prices!O47/Share_Prices!O46-1</f>
        <v>-0.02296240222054</v>
      </c>
      <c r="P47" s="14" t="n">
        <f aca="false">Share_Prices!P47/Share_Prices!P46-1</f>
        <v>-0.00678966098520317</v>
      </c>
      <c r="Q47" s="14" t="n">
        <f aca="false">Share_Prices!Q47/Share_Prices!Q46-1</f>
        <v>-0.0115323854660346</v>
      </c>
      <c r="R47" s="14" t="n">
        <f aca="false">Share_Prices!R47/Share_Prices!R46-1</f>
        <v>0.0124757751937985</v>
      </c>
      <c r="S47" s="14" t="n">
        <f aca="false">Share_Prices!S47/Share_Prices!S46-1</f>
        <v>8.28020203693658E-005</v>
      </c>
    </row>
    <row r="48" customFormat="false" ht="15" hidden="false" customHeight="false" outlineLevel="0" collapsed="false">
      <c r="A48" s="13" t="n">
        <f aca="false">Share_Prices!A48</f>
        <v>44868</v>
      </c>
      <c r="B48" s="14" t="n">
        <f aca="false">Share_Prices!B48/Share_Prices!B47-1</f>
        <v>-0.00166732567045558</v>
      </c>
      <c r="C48" s="14" t="n">
        <f aca="false">Share_Prices!C48/Share_Prices!C47-1</f>
        <v>-0.000829163319363335</v>
      </c>
      <c r="D48" s="14" t="n">
        <f aca="false">Share_Prices!D48/Share_Prices!D47-1</f>
        <v>-0.0473555362880604</v>
      </c>
      <c r="E48" s="14" t="n">
        <f aca="false">Share_Prices!E48/Share_Prices!E47-1</f>
        <v>0.0273013995663316</v>
      </c>
      <c r="F48" s="14" t="n">
        <f aca="false">Share_Prices!F48/Share_Prices!F47-1</f>
        <v>-0.00367396924751662</v>
      </c>
      <c r="G48" s="14" t="n">
        <f aca="false">Share_Prices!G48/Share_Prices!G47-1</f>
        <v>0.00886403927451251</v>
      </c>
      <c r="H48" s="14" t="n">
        <f aca="false">Share_Prices!H48/Share_Prices!H47-1</f>
        <v>-0.00188297052865816</v>
      </c>
      <c r="I48" s="14" t="n">
        <f aca="false">Share_Prices!I48/Share_Prices!I47-1</f>
        <v>0.03860819828408</v>
      </c>
      <c r="J48" s="14" t="n">
        <f aca="false">Share_Prices!J48/Share_Prices!J47-1</f>
        <v>0.0674279870461907</v>
      </c>
      <c r="K48" s="14" t="n">
        <f aca="false">Share_Prices!K48/Share_Prices!K47-1</f>
        <v>-0.00484153081928207</v>
      </c>
      <c r="L48" s="14" t="n">
        <f aca="false">Share_Prices!L48/Share_Prices!L47-1</f>
        <v>0.018665234322546</v>
      </c>
      <c r="M48" s="14" t="n">
        <f aca="false">Share_Prices!M48/Share_Prices!M47-1</f>
        <v>-0.0206646890240837</v>
      </c>
      <c r="N48" s="14" t="n">
        <f aca="false">Share_Prices!N48/Share_Prices!N47-1</f>
        <v>0.00405204741650511</v>
      </c>
      <c r="O48" s="14" t="n">
        <f aca="false">Share_Prices!O48/Share_Prices!O47-1</f>
        <v>0.135847107438017</v>
      </c>
      <c r="P48" s="14" t="n">
        <f aca="false">Share_Prices!P48/Share_Prices!P47-1</f>
        <v>-0.00216868605912024</v>
      </c>
      <c r="Q48" s="14" t="n">
        <f aca="false">Share_Prices!Q48/Share_Prices!Q47-1</f>
        <v>-0.019657983058974</v>
      </c>
      <c r="R48" s="14" t="n">
        <f aca="false">Share_Prices!R48/Share_Prices!R47-1</f>
        <v>-0.00807512860390003</v>
      </c>
      <c r="S48" s="14" t="n">
        <f aca="false">Share_Prices!S48/Share_Prices!S47-1</f>
        <v>0.0268670309653916</v>
      </c>
    </row>
    <row r="49" customFormat="false" ht="15" hidden="false" customHeight="false" outlineLevel="0" collapsed="false">
      <c r="A49" s="13" t="n">
        <f aca="false">Share_Prices!A49</f>
        <v>44869</v>
      </c>
      <c r="B49" s="14" t="n">
        <f aca="false">Share_Prices!B49/Share_Prices!B48-1</f>
        <v>0.00357010308707295</v>
      </c>
      <c r="C49" s="14" t="n">
        <f aca="false">Share_Prices!C49/Share_Prices!C48-1</f>
        <v>0.00298036125982426</v>
      </c>
      <c r="D49" s="14" t="n">
        <f aca="false">Share_Prices!D49/Share_Prices!D48-1</f>
        <v>0.0145354284337609</v>
      </c>
      <c r="E49" s="14" t="n">
        <f aca="false">Share_Prices!E49/Share_Prices!E48-1</f>
        <v>-0.0094022834116857</v>
      </c>
      <c r="F49" s="14" t="n">
        <f aca="false">Share_Prices!F49/Share_Prices!F48-1</f>
        <v>-0.00300464354001651</v>
      </c>
      <c r="G49" s="14" t="n">
        <f aca="false">Share_Prices!G49/Share_Prices!G48-1</f>
        <v>0.00662341173290093</v>
      </c>
      <c r="H49" s="14" t="n">
        <f aca="false">Share_Prices!H49/Share_Prices!H48-1</f>
        <v>0.0198942403887379</v>
      </c>
      <c r="I49" s="14" t="n">
        <f aca="false">Share_Prices!I49/Share_Prices!I48-1</f>
        <v>0.0998164295548416</v>
      </c>
      <c r="J49" s="14" t="n">
        <f aca="false">Share_Prices!J49/Share_Prices!J48-1</f>
        <v>-0.00587615367419281</v>
      </c>
      <c r="K49" s="14" t="n">
        <f aca="false">Share_Prices!K49/Share_Prices!K48-1</f>
        <v>0.0126970289233537</v>
      </c>
      <c r="L49" s="14" t="n">
        <f aca="false">Share_Prices!L49/Share_Prices!L48-1</f>
        <v>0.00659108884787774</v>
      </c>
      <c r="M49" s="14" t="n">
        <f aca="false">Share_Prices!M49/Share_Prices!M48-1</f>
        <v>0.00718759626244991</v>
      </c>
      <c r="N49" s="14" t="n">
        <f aca="false">Share_Prices!N49/Share_Prices!N48-1</f>
        <v>0.000601594224695523</v>
      </c>
      <c r="O49" s="14" t="n">
        <f aca="false">Share_Prices!O49/Share_Prices!O48-1</f>
        <v>-0.00818553888130968</v>
      </c>
      <c r="P49" s="14" t="n">
        <f aca="false">Share_Prices!P49/Share_Prices!P48-1</f>
        <v>0.0168202220647296</v>
      </c>
      <c r="Q49" s="14" t="n">
        <f aca="false">Share_Prices!Q49/Share_Prices!Q48-1</f>
        <v>0.0241278121943269</v>
      </c>
      <c r="R49" s="14" t="n">
        <f aca="false">Share_Prices!R49/Share_Prices!R48-1</f>
        <v>-0.0215280709159983</v>
      </c>
      <c r="S49" s="14" t="n">
        <f aca="false">Share_Prices!S49/Share_Prices!S48-1</f>
        <v>0.0155613787542834</v>
      </c>
    </row>
    <row r="50" customFormat="false" ht="15" hidden="false" customHeight="false" outlineLevel="0" collapsed="false">
      <c r="A50" s="13" t="n">
        <f aca="false">Share_Prices!A50</f>
        <v>44872</v>
      </c>
      <c r="B50" s="14" t="n">
        <f aca="false">Share_Prices!B50/Share_Prices!B49-1</f>
        <v>0.00472756476598124</v>
      </c>
      <c r="C50" s="14" t="n">
        <f aca="false">Share_Prices!C50/Share_Prices!C49-1</f>
        <v>0.00542790639276025</v>
      </c>
      <c r="D50" s="14" t="n">
        <f aca="false">Share_Prices!D50/Share_Prices!D49-1</f>
        <v>0.0101319261213721</v>
      </c>
      <c r="E50" s="14" t="n">
        <f aca="false">Share_Prices!E50/Share_Prices!E49-1</f>
        <v>0.0107506053268764</v>
      </c>
      <c r="F50" s="14" t="n">
        <f aca="false">Share_Prices!F50/Share_Prices!F49-1</f>
        <v>-0.0281506849315067</v>
      </c>
      <c r="G50" s="14" t="n">
        <f aca="false">Share_Prices!G50/Share_Prices!G49-1</f>
        <v>0.0280649926144756</v>
      </c>
      <c r="H50" s="14" t="n">
        <f aca="false">Share_Prices!H50/Share_Prices!H49-1</f>
        <v>0.00336313444129921</v>
      </c>
      <c r="I50" s="14" t="n">
        <f aca="false">Share_Prices!I50/Share_Prices!I49-1</f>
        <v>-0.00375547673690801</v>
      </c>
      <c r="J50" s="14" t="n">
        <f aca="false">Share_Prices!J50/Share_Prices!J49-1</f>
        <v>-0.000128497542484562</v>
      </c>
      <c r="K50" s="14" t="n">
        <f aca="false">Share_Prices!K50/Share_Prices!K49-1</f>
        <v>-0.00304073755241463</v>
      </c>
      <c r="L50" s="14" t="n">
        <f aca="false">Share_Prices!L50/Share_Prices!L49-1</f>
        <v>-0.019971189104243</v>
      </c>
      <c r="M50" s="14" t="n">
        <f aca="false">Share_Prices!M50/Share_Prices!M49-1</f>
        <v>0.0193699663574269</v>
      </c>
      <c r="N50" s="14" t="n">
        <f aca="false">Share_Prices!N50/Share_Prices!N49-1</f>
        <v>-0.0133774237186233</v>
      </c>
      <c r="O50" s="14" t="n">
        <f aca="false">Share_Prices!O50/Share_Prices!O49-1</f>
        <v>0.00412654745529584</v>
      </c>
      <c r="P50" s="14" t="n">
        <f aca="false">Share_Prices!P50/Share_Prices!P49-1</f>
        <v>0.0345708842525905</v>
      </c>
      <c r="Q50" s="14" t="n">
        <f aca="false">Share_Prices!Q50/Share_Prices!Q49-1</f>
        <v>-0.010028653295129</v>
      </c>
      <c r="R50" s="14" t="n">
        <f aca="false">Share_Prices!R50/Share_Prices!R49-1</f>
        <v>-0.00591643042031298</v>
      </c>
      <c r="S50" s="14" t="n">
        <f aca="false">Share_Prices!S50/Share_Prices!S49-1</f>
        <v>0.0235004565122463</v>
      </c>
    </row>
    <row r="51" customFormat="false" ht="15" hidden="false" customHeight="false" outlineLevel="0" collapsed="false">
      <c r="A51" s="13" t="n">
        <f aca="false">Share_Prices!A51</f>
        <v>44874</v>
      </c>
      <c r="B51" s="14" t="n">
        <f aca="false">Share_Prices!B51/Share_Prices!B50-1</f>
        <v>-0.00251609642472583</v>
      </c>
      <c r="C51" s="14" t="n">
        <f aca="false">Share_Prices!C51/Share_Prices!C50-1</f>
        <v>-0.00306753377329061</v>
      </c>
      <c r="D51" s="14" t="n">
        <f aca="false">Share_Prices!D51/Share_Prices!D50-1</f>
        <v>0.0455803991223487</v>
      </c>
      <c r="E51" s="14" t="n">
        <f aca="false">Share_Prices!E51/Share_Prices!E50-1</f>
        <v>0.0249137600613263</v>
      </c>
      <c r="F51" s="14" t="n">
        <f aca="false">Share_Prices!F51/Share_Prices!F50-1</f>
        <v>-0.0133906547325393</v>
      </c>
      <c r="G51" s="14" t="n">
        <f aca="false">Share_Prices!G51/Share_Prices!G50-1</f>
        <v>-0.00914315569487978</v>
      </c>
      <c r="H51" s="14" t="n">
        <f aca="false">Share_Prices!H51/Share_Prices!H50-1</f>
        <v>-0.0115639227954526</v>
      </c>
      <c r="I51" s="14" t="n">
        <f aca="false">Share_Prices!I51/Share_Prices!I50-1</f>
        <v>-0.00670157068062827</v>
      </c>
      <c r="J51" s="14" t="n">
        <f aca="false">Share_Prices!J51/Share_Prices!J50-1</f>
        <v>0.00581526104417662</v>
      </c>
      <c r="K51" s="14" t="n">
        <f aca="false">Share_Prices!K51/Share_Prices!K50-1</f>
        <v>-0.00640641755915494</v>
      </c>
      <c r="L51" s="14" t="n">
        <f aca="false">Share_Prices!L51/Share_Prices!L50-1</f>
        <v>-0.00494421059664607</v>
      </c>
      <c r="M51" s="14" t="n">
        <f aca="false">Share_Prices!M51/Share_Prices!M50-1</f>
        <v>-0.00310031003100308</v>
      </c>
      <c r="N51" s="14" t="n">
        <f aca="false">Share_Prices!N51/Share_Prices!N50-1</f>
        <v>-0.00358013406459468</v>
      </c>
      <c r="O51" s="14" t="n">
        <f aca="false">Share_Prices!O51/Share_Prices!O50-1</f>
        <v>0.00913242009132431</v>
      </c>
      <c r="P51" s="14" t="n">
        <f aca="false">Share_Prices!P51/Share_Prices!P50-1</f>
        <v>0.00426678643611056</v>
      </c>
      <c r="Q51" s="14" t="n">
        <f aca="false">Share_Prices!Q51/Share_Prices!Q50-1</f>
        <v>0.0270139893873613</v>
      </c>
      <c r="R51" s="14" t="n">
        <f aca="false">Share_Prices!R51/Share_Prices!R50-1</f>
        <v>0.00960942343459403</v>
      </c>
      <c r="S51" s="14" t="n">
        <f aca="false">Share_Prices!S51/Share_Prices!S50-1</f>
        <v>-0.0107435131675909</v>
      </c>
    </row>
    <row r="52" customFormat="false" ht="15" hidden="false" customHeight="false" outlineLevel="0" collapsed="false">
      <c r="A52" s="13" t="n">
        <f aca="false">Share_Prices!A52</f>
        <v>44875</v>
      </c>
      <c r="B52" s="14" t="n">
        <f aca="false">Share_Prices!B52/Share_Prices!B51-1</f>
        <v>-0.00709368287712719</v>
      </c>
      <c r="C52" s="14" t="n">
        <f aca="false">Share_Prices!C52/Share_Prices!C51-1</f>
        <v>-0.00817421188713485</v>
      </c>
      <c r="D52" s="14" t="n">
        <f aca="false">Share_Prices!D52/Share_Prices!D51-1</f>
        <v>0.00442179419920552</v>
      </c>
      <c r="E52" s="14" t="n">
        <f aca="false">Share_Prices!E52/Share_Prices!E51-1</f>
        <v>-0.00701196709050111</v>
      </c>
      <c r="F52" s="14" t="n">
        <f aca="false">Share_Prices!F52/Share_Prices!F51-1</f>
        <v>0.00121437245517519</v>
      </c>
      <c r="G52" s="14" t="n">
        <f aca="false">Share_Prices!G52/Share_Prices!G51-1</f>
        <v>0.0121276034800948</v>
      </c>
      <c r="H52" s="14" t="n">
        <f aca="false">Share_Prices!H52/Share_Prices!H51-1</f>
        <v>-0.0158250204877498</v>
      </c>
      <c r="I52" s="14" t="n">
        <f aca="false">Share_Prices!I52/Share_Prices!I51-1</f>
        <v>-0.00780096985030565</v>
      </c>
      <c r="J52" s="14" t="n">
        <f aca="false">Share_Prices!J52/Share_Prices!J51-1</f>
        <v>-0.0116910496390468</v>
      </c>
      <c r="K52" s="14" t="n">
        <f aca="false">Share_Prices!K52/Share_Prices!K51-1</f>
        <v>-0.023646328301305</v>
      </c>
      <c r="L52" s="14" t="n">
        <f aca="false">Share_Prices!L52/Share_Prices!L51-1</f>
        <v>-0.03028268313973</v>
      </c>
      <c r="M52" s="14" t="n">
        <f aca="false">Share_Prices!M52/Share_Prices!M51-1</f>
        <v>-0.0029594703049759</v>
      </c>
      <c r="N52" s="14" t="n">
        <f aca="false">Share_Prices!N52/Share_Prices!N51-1</f>
        <v>-0.013480111102617</v>
      </c>
      <c r="O52" s="14" t="n">
        <f aca="false">Share_Prices!O52/Share_Prices!O51-1</f>
        <v>-0.00316742081447963</v>
      </c>
      <c r="P52" s="14" t="n">
        <f aca="false">Share_Prices!P52/Share_Prices!P51-1</f>
        <v>-0.0112254025044722</v>
      </c>
      <c r="Q52" s="14" t="n">
        <f aca="false">Share_Prices!Q52/Share_Prices!Q51-1</f>
        <v>-0.013621418506341</v>
      </c>
      <c r="R52" s="14" t="n">
        <f aca="false">Share_Prices!R52/Share_Prices!R51-1</f>
        <v>-0.0093951489100399</v>
      </c>
      <c r="S52" s="14" t="n">
        <f aca="false">Share_Prices!S52/Share_Prices!S51-1</f>
        <v>-0.0236414961185604</v>
      </c>
    </row>
    <row r="53" customFormat="false" ht="15" hidden="false" customHeight="false" outlineLevel="0" collapsed="false">
      <c r="A53" s="13" t="n">
        <f aca="false">Share_Prices!A53</f>
        <v>44876</v>
      </c>
      <c r="B53" s="14" t="n">
        <f aca="false">Share_Prices!B53/Share_Prices!B52-1</f>
        <v>0.0178331724742349</v>
      </c>
      <c r="C53" s="14" t="n">
        <f aca="false">Share_Prices!C53/Share_Prices!C52-1</f>
        <v>0.0135427461139896</v>
      </c>
      <c r="D53" s="14" t="n">
        <f aca="false">Share_Prices!D53/Share_Prices!D52-1</f>
        <v>-0.000820773018952337</v>
      </c>
      <c r="E53" s="14" t="n">
        <f aca="false">Share_Prices!E53/Share_Prices!E52-1</f>
        <v>0.00847377836361929</v>
      </c>
      <c r="F53" s="14" t="n">
        <f aca="false">Share_Prices!F53/Share_Prices!F52-1</f>
        <v>-0.0265410958904109</v>
      </c>
      <c r="G53" s="14" t="n">
        <f aca="false">Share_Prices!G53/Share_Prices!G52-1</f>
        <v>-0.0195363375879135</v>
      </c>
      <c r="H53" s="14" t="n">
        <f aca="false">Share_Prices!H53/Share_Prices!H52-1</f>
        <v>0.000373273609555858</v>
      </c>
      <c r="I53" s="14" t="n">
        <f aca="false">Share_Prices!I53/Share_Prices!I52-1</f>
        <v>0.00807479813004663</v>
      </c>
      <c r="J53" s="14" t="n">
        <f aca="false">Share_Prices!J53/Share_Prices!J52-1</f>
        <v>0.0130898513251454</v>
      </c>
      <c r="K53" s="14" t="n">
        <f aca="false">Share_Prices!K53/Share_Prices!K52-1</f>
        <v>0.010953830251522</v>
      </c>
      <c r="L53" s="14" t="n">
        <f aca="false">Share_Prices!L53/Share_Prices!L52-1</f>
        <v>0.00886303836033786</v>
      </c>
      <c r="M53" s="14" t="n">
        <f aca="false">Share_Prices!M53/Share_Prices!M52-1</f>
        <v>0.00181113850178605</v>
      </c>
      <c r="N53" s="14" t="n">
        <f aca="false">Share_Prices!N53/Share_Prices!N52-1</f>
        <v>0.00439117631864439</v>
      </c>
      <c r="O53" s="14" t="n">
        <f aca="false">Share_Prices!O53/Share_Prices!O52-1</f>
        <v>0.00703586019064906</v>
      </c>
      <c r="P53" s="14" t="n">
        <f aca="false">Share_Prices!P53/Share_Prices!P52-1</f>
        <v>-0.0284951829571668</v>
      </c>
      <c r="Q53" s="14" t="n">
        <f aca="false">Share_Prices!Q53/Share_Prices!Q52-1</f>
        <v>-0.00238095238095237</v>
      </c>
      <c r="R53" s="14" t="n">
        <f aca="false">Share_Prices!R53/Share_Prices!R52-1</f>
        <v>0.00712868832134883</v>
      </c>
      <c r="S53" s="14" t="n">
        <f aca="false">Share_Prices!S53/Share_Prices!S52-1</f>
        <v>0.0253784684576155</v>
      </c>
    </row>
    <row r="54" customFormat="false" ht="15" hidden="false" customHeight="false" outlineLevel="0" collapsed="false">
      <c r="A54" s="13" t="n">
        <f aca="false">Share_Prices!A54</f>
        <v>44879</v>
      </c>
      <c r="B54" s="14" t="n">
        <f aca="false">Share_Prices!B54/Share_Prices!B53-1</f>
        <v>-0.00111990931731853</v>
      </c>
      <c r="C54" s="14" t="n">
        <f aca="false">Share_Prices!C54/Share_Prices!C53-1</f>
        <v>7.02915822634598E-005</v>
      </c>
      <c r="D54" s="14" t="n">
        <f aca="false">Share_Prices!D54/Share_Prices!D53-1</f>
        <v>0.00774151793493139</v>
      </c>
      <c r="E54" s="14" t="n">
        <f aca="false">Share_Prices!E54/Share_Prices!E53-1</f>
        <v>0.00214732517972194</v>
      </c>
      <c r="F54" s="14" t="n">
        <f aca="false">Share_Prices!F54/Share_Prices!F53-1</f>
        <v>-0.0306361770741719</v>
      </c>
      <c r="G54" s="14" t="n">
        <f aca="false">Share_Prices!G54/Share_Prices!G53-1</f>
        <v>-0.00770456960680122</v>
      </c>
      <c r="H54" s="14" t="n">
        <f aca="false">Share_Prices!H54/Share_Prices!H53-1</f>
        <v>0.0153272101033295</v>
      </c>
      <c r="I54" s="14" t="n">
        <f aca="false">Share_Prices!I54/Share_Prices!I53-1</f>
        <v>0.0999156829679595</v>
      </c>
      <c r="J54" s="14" t="n">
        <f aca="false">Share_Prices!J54/Share_Prices!J53-1</f>
        <v>0.00408358589886748</v>
      </c>
      <c r="K54" s="14" t="n">
        <f aca="false">Share_Prices!K54/Share_Prices!K53-1</f>
        <v>-0.00363538249620143</v>
      </c>
      <c r="L54" s="14" t="n">
        <f aca="false">Share_Prices!L54/Share_Prices!L53-1</f>
        <v>-0.0109814687714482</v>
      </c>
      <c r="M54" s="14" t="n">
        <f aca="false">Share_Prices!M54/Share_Prices!M53-1</f>
        <v>-0.00562446642896608</v>
      </c>
      <c r="N54" s="14" t="n">
        <f aca="false">Share_Prices!N54/Share_Prices!N53-1</f>
        <v>0.0504577718341734</v>
      </c>
      <c r="O54" s="14" t="n">
        <f aca="false">Share_Prices!O54/Share_Prices!O53-1</f>
        <v>-0.0277214334009466</v>
      </c>
      <c r="P54" s="14" t="n">
        <f aca="false">Share_Prices!P54/Share_Prices!P53-1</f>
        <v>0.0124307463103495</v>
      </c>
      <c r="Q54" s="14" t="n">
        <f aca="false">Share_Prices!Q54/Share_Prices!Q53-1</f>
        <v>-0.00922832140015906</v>
      </c>
      <c r="R54" s="14" t="n">
        <f aca="false">Share_Prices!R54/Share_Prices!R53-1</f>
        <v>-0.00393918877331201</v>
      </c>
      <c r="S54" s="14" t="n">
        <f aca="false">Share_Prices!S54/Share_Prices!S53-1</f>
        <v>-0.00861562561190521</v>
      </c>
    </row>
    <row r="55" customFormat="false" ht="15" hidden="false" customHeight="false" outlineLevel="0" collapsed="false">
      <c r="A55" s="13" t="n">
        <f aca="false">Share_Prices!A55</f>
        <v>44880</v>
      </c>
      <c r="B55" s="14" t="n">
        <f aca="false">Share_Prices!B55/Share_Prices!B54-1</f>
        <v>0.00405092434728283</v>
      </c>
      <c r="C55" s="14" t="n">
        <f aca="false">Share_Prices!C55/Share_Prices!C54-1</f>
        <v>0.00279229658406921</v>
      </c>
      <c r="D55" s="14" t="n">
        <f aca="false">Share_Prices!D55/Share_Prices!D54-1</f>
        <v>0.00518723446299774</v>
      </c>
      <c r="E55" s="14" t="n">
        <f aca="false">Share_Prices!E55/Share_Prices!E54-1</f>
        <v>-0.00139742873113469</v>
      </c>
      <c r="F55" s="14" t="n">
        <f aca="false">Share_Prices!F55/Share_Prices!F54-1</f>
        <v>0.0151217299259034</v>
      </c>
      <c r="G55" s="14" t="n">
        <f aca="false">Share_Prices!G55/Share_Prices!G54-1</f>
        <v>0.0045515394912985</v>
      </c>
      <c r="H55" s="14" t="n">
        <f aca="false">Share_Prices!H55/Share_Prices!H54-1</f>
        <v>-0.0149827556962742</v>
      </c>
      <c r="I55" s="14" t="n">
        <f aca="false">Share_Prices!I55/Share_Prices!I54-1</f>
        <v>-0.0456113453430432</v>
      </c>
      <c r="J55" s="14" t="n">
        <f aca="false">Share_Prices!J55/Share_Prices!J54-1</f>
        <v>0.0024783147459726</v>
      </c>
      <c r="K55" s="14" t="n">
        <f aca="false">Share_Prices!K55/Share_Prices!K54-1</f>
        <v>-1.42525262603055E-005</v>
      </c>
      <c r="L55" s="14" t="n">
        <f aca="false">Share_Prices!L55/Share_Prices!L54-1</f>
        <v>0.00138792505204721</v>
      </c>
      <c r="M55" s="14" t="n">
        <f aca="false">Share_Prices!M55/Share_Prices!M54-1</f>
        <v>-0.0154537649613655</v>
      </c>
      <c r="N55" s="14" t="n">
        <f aca="false">Share_Prices!N55/Share_Prices!N54-1</f>
        <v>0.00261959555403224</v>
      </c>
      <c r="O55" s="14" t="n">
        <f aca="false">Share_Prices!O55/Share_Prices!O54-1</f>
        <v>-0.0122855818266109</v>
      </c>
      <c r="P55" s="14" t="n">
        <f aca="false">Share_Prices!P55/Share_Prices!P54-1</f>
        <v>0.0301204819277108</v>
      </c>
      <c r="Q55" s="14" t="n">
        <f aca="false">Share_Prices!Q55/Share_Prices!Q54-1</f>
        <v>0.00192709169744654</v>
      </c>
      <c r="R55" s="14" t="n">
        <f aca="false">Share_Prices!R55/Share_Prices!R54-1</f>
        <v>0.00228634987332388</v>
      </c>
      <c r="S55" s="14" t="n">
        <f aca="false">Share_Prices!S55/Share_Prices!S54-1</f>
        <v>-0.0103100928303378</v>
      </c>
    </row>
    <row r="56" customFormat="false" ht="15" hidden="false" customHeight="false" outlineLevel="0" collapsed="false">
      <c r="A56" s="13" t="n">
        <f aca="false">Share_Prices!A56</f>
        <v>44881</v>
      </c>
      <c r="B56" s="14" t="n">
        <f aca="false">Share_Prices!B56/Share_Prices!B55-1</f>
        <v>0.000339611158807651</v>
      </c>
      <c r="C56" s="14" t="n">
        <f aca="false">Share_Prices!C56/Share_Prices!C55-1</f>
        <v>-0.00194980215242868</v>
      </c>
      <c r="D56" s="14" t="n">
        <f aca="false">Share_Prices!D56/Share_Prices!D55-1</f>
        <v>-0.00577480709686928</v>
      </c>
      <c r="E56" s="14" t="n">
        <f aca="false">Share_Prices!E56/Share_Prices!E55-1</f>
        <v>-0.0280809777031441</v>
      </c>
      <c r="F56" s="14" t="n">
        <f aca="false">Share_Prices!F56/Share_Prices!F55-1</f>
        <v>0.0686727245642782</v>
      </c>
      <c r="G56" s="14" t="n">
        <f aca="false">Share_Prices!G56/Share_Prices!G55-1</f>
        <v>0.0146588486140724</v>
      </c>
      <c r="H56" s="14" t="n">
        <f aca="false">Share_Prices!H56/Share_Prices!H55-1</f>
        <v>-0.00143496728274595</v>
      </c>
      <c r="I56" s="14" t="n">
        <f aca="false">Share_Prices!I56/Share_Prices!I55-1</f>
        <v>-0.0208835341365461</v>
      </c>
      <c r="J56" s="14" t="n">
        <f aca="false">Share_Prices!J56/Share_Prices!J55-1</f>
        <v>-0.00938163608126519</v>
      </c>
      <c r="K56" s="14" t="n">
        <f aca="false">Share_Prices!K56/Share_Prices!K55-1</f>
        <v>-0.0185998118639719</v>
      </c>
      <c r="L56" s="14" t="n">
        <f aca="false">Share_Prices!L56/Share_Prices!L55-1</f>
        <v>-0.0198891198891199</v>
      </c>
      <c r="M56" s="14" t="n">
        <f aca="false">Share_Prices!M56/Share_Prices!M55-1</f>
        <v>-0.00369325468068737</v>
      </c>
      <c r="N56" s="14" t="n">
        <f aca="false">Share_Prices!N56/Share_Prices!N55-1</f>
        <v>-0.0110370424633116</v>
      </c>
      <c r="O56" s="14" t="n">
        <f aca="false">Share_Prices!O56/Share_Prices!O55-1</f>
        <v>-0.0227646092466558</v>
      </c>
      <c r="P56" s="14" t="n">
        <f aca="false">Share_Prices!P56/Share_Prices!P55-1</f>
        <v>-0.0353109236194812</v>
      </c>
      <c r="Q56" s="14" t="n">
        <f aca="false">Share_Prices!Q56/Share_Prices!Q55-1</f>
        <v>-0.0165090559384516</v>
      </c>
      <c r="R56" s="14" t="n">
        <f aca="false">Share_Prices!R56/Share_Prices!R55-1</f>
        <v>6.16522811343057E-005</v>
      </c>
      <c r="S56" s="14" t="n">
        <f aca="false">Share_Prices!S56/Share_Prices!S55-1</f>
        <v>-0.015207152550491</v>
      </c>
    </row>
    <row r="57" customFormat="false" ht="15" hidden="false" customHeight="false" outlineLevel="0" collapsed="false">
      <c r="A57" s="13" t="n">
        <f aca="false">Share_Prices!A57</f>
        <v>44882</v>
      </c>
      <c r="B57" s="14" t="n">
        <f aca="false">Share_Prices!B57/Share_Prices!B56-1</f>
        <v>-0.00357149647060107</v>
      </c>
      <c r="C57" s="14" t="n">
        <f aca="false">Share_Prices!C57/Share_Prices!C56-1</f>
        <v>-0.00421686362388507</v>
      </c>
      <c r="D57" s="14" t="n">
        <f aca="false">Share_Prices!D57/Share_Prices!D56-1</f>
        <v>-0.0298821028695717</v>
      </c>
      <c r="E57" s="14" t="n">
        <f aca="false">Share_Prices!E57/Share_Prices!E56-1</f>
        <v>-0.00393549625647904</v>
      </c>
      <c r="F57" s="14" t="n">
        <f aca="false">Share_Prices!F57/Share_Prices!F56-1</f>
        <v>0.0217451909673823</v>
      </c>
      <c r="G57" s="14" t="n">
        <f aca="false">Share_Prices!G57/Share_Prices!G56-1</f>
        <v>-0.0118203309692672</v>
      </c>
      <c r="H57" s="14" t="n">
        <f aca="false">Share_Prices!H57/Share_Prices!H56-1</f>
        <v>-0.00261539345864237</v>
      </c>
      <c r="I57" s="14" t="n">
        <f aca="false">Share_Prices!I57/Share_Prices!I56-1</f>
        <v>0.0209187858900739</v>
      </c>
      <c r="J57" s="14" t="n">
        <f aca="false">Share_Prices!J57/Share_Prices!J56-1</f>
        <v>-0.00841465365541516</v>
      </c>
      <c r="K57" s="14" t="n">
        <f aca="false">Share_Prices!K57/Share_Prices!K56-1</f>
        <v>0</v>
      </c>
      <c r="L57" s="14" t="n">
        <f aca="false">Share_Prices!L57/Share_Prices!L56-1</f>
        <v>-0.0136463268047797</v>
      </c>
      <c r="M57" s="14" t="n">
        <f aca="false">Share_Prices!M57/Share_Prices!M56-1</f>
        <v>0.00411882819337905</v>
      </c>
      <c r="N57" s="14" t="n">
        <f aca="false">Share_Prices!N57/Share_Prices!N56-1</f>
        <v>0.00659242981654784</v>
      </c>
      <c r="O57" s="14" t="n">
        <f aca="false">Share_Prices!O57/Share_Prices!O56-1</f>
        <v>-0.0204130643611912</v>
      </c>
      <c r="P57" s="14" t="n">
        <f aca="false">Share_Prices!P57/Share_Prices!P56-1</f>
        <v>0.0025451180009255</v>
      </c>
      <c r="Q57" s="14" t="n">
        <f aca="false">Share_Prices!Q57/Share_Prices!Q56-1</f>
        <v>0.0192307692307692</v>
      </c>
      <c r="R57" s="14" t="n">
        <f aca="false">Share_Prices!R57/Share_Prices!R56-1</f>
        <v>-0.0168916836199987</v>
      </c>
      <c r="S57" s="14" t="n">
        <f aca="false">Share_Prices!S57/Share_Prices!S56-1</f>
        <v>0.0340453126899851</v>
      </c>
    </row>
    <row r="58" customFormat="false" ht="15" hidden="false" customHeight="false" outlineLevel="0" collapsed="false">
      <c r="A58" s="13" t="n">
        <f aca="false">Share_Prices!A58</f>
        <v>44883</v>
      </c>
      <c r="B58" s="14" t="n">
        <f aca="false">Share_Prices!B58/Share_Prices!B57-1</f>
        <v>-0.00197613375563543</v>
      </c>
      <c r="C58" s="14" t="n">
        <f aca="false">Share_Prices!C58/Share_Prices!C57-1</f>
        <v>-0.00297488339290575</v>
      </c>
      <c r="D58" s="14" t="n">
        <f aca="false">Share_Prices!D58/Share_Prices!D57-1</f>
        <v>-0.0339872611464969</v>
      </c>
      <c r="E58" s="14" t="n">
        <f aca="false">Share_Prices!E58/Share_Prices!E57-1</f>
        <v>-0.013009540329575</v>
      </c>
      <c r="F58" s="14" t="n">
        <f aca="false">Share_Prices!F58/Share_Prices!F57-1</f>
        <v>-0.0169849931787177</v>
      </c>
      <c r="G58" s="14" t="n">
        <f aca="false">Share_Prices!G58/Share_Prices!G57-1</f>
        <v>-0.00691121743753309</v>
      </c>
      <c r="H58" s="14" t="n">
        <f aca="false">Share_Prices!H58/Share_Prices!H57-1</f>
        <v>-0.0015560614356106</v>
      </c>
      <c r="I58" s="14" t="n">
        <f aca="false">Share_Prices!I58/Share_Prices!I57-1</f>
        <v>-0.0359582161510648</v>
      </c>
      <c r="J58" s="14" t="n">
        <f aca="false">Share_Prices!J58/Share_Prices!J57-1</f>
        <v>-0.0247805885389777</v>
      </c>
      <c r="K58" s="14" t="n">
        <f aca="false">Share_Prices!K58/Share_Prices!K57-1</f>
        <v>-0.0150166286652047</v>
      </c>
      <c r="L58" s="14" t="n">
        <f aca="false">Share_Prices!L58/Share_Prices!L57-1</f>
        <v>0.0233691756272401</v>
      </c>
      <c r="M58" s="14" t="n">
        <f aca="false">Share_Prices!M58/Share_Prices!M57-1</f>
        <v>-0.00246115982156592</v>
      </c>
      <c r="N58" s="14" t="n">
        <f aca="false">Share_Prices!N58/Share_Prices!N57-1</f>
        <v>0.0619603610675039</v>
      </c>
      <c r="O58" s="14" t="n">
        <f aca="false">Share_Prices!O58/Share_Prices!O57-1</f>
        <v>-0.00759990193674909</v>
      </c>
      <c r="P58" s="14" t="n">
        <f aca="false">Share_Prices!P58/Share_Prices!P57-1</f>
        <v>-0.0201246249711516</v>
      </c>
      <c r="Q58" s="14" t="n">
        <f aca="false">Share_Prices!Q58/Share_Prices!Q57-1</f>
        <v>-0.0139110968979852</v>
      </c>
      <c r="R58" s="14" t="n">
        <f aca="false">Share_Prices!R58/Share_Prices!R57-1</f>
        <v>-0.00520474070358057</v>
      </c>
      <c r="S58" s="14" t="n">
        <f aca="false">Share_Prices!S58/Share_Prices!S57-1</f>
        <v>-0.0191275036256027</v>
      </c>
    </row>
    <row r="59" customFormat="false" ht="15" hidden="false" customHeight="false" outlineLevel="0" collapsed="false">
      <c r="A59" s="13" t="n">
        <f aca="false">Share_Prices!A59</f>
        <v>44886</v>
      </c>
      <c r="B59" s="14" t="n">
        <f aca="false">Share_Prices!B59/Share_Prices!B58-1</f>
        <v>-0.00806766570258888</v>
      </c>
      <c r="C59" s="14" t="n">
        <f aca="false">Share_Prices!C59/Share_Prices!C58-1</f>
        <v>-0.00624081641839525</v>
      </c>
      <c r="D59" s="14" t="n">
        <f aca="false">Share_Prices!D59/Share_Prices!D58-1</f>
        <v>0.0137672750290117</v>
      </c>
      <c r="E59" s="14" t="n">
        <f aca="false">Share_Prices!E59/Share_Prices!E58-1</f>
        <v>-0.00292911540714702</v>
      </c>
      <c r="F59" s="14" t="n">
        <f aca="false">Share_Prices!F59/Share_Prices!F58-1</f>
        <v>-0.0322670182499479</v>
      </c>
      <c r="G59" s="14" t="n">
        <f aca="false">Share_Prices!G59/Share_Prices!G58-1</f>
        <v>-0.00401498929336186</v>
      </c>
      <c r="H59" s="14" t="n">
        <f aca="false">Share_Prices!H59/Share_Prices!H58-1</f>
        <v>-0.0026263384224654</v>
      </c>
      <c r="I59" s="14" t="n">
        <f aca="false">Share_Prices!I59/Share_Prices!I58-1</f>
        <v>-0.0360491769118565</v>
      </c>
      <c r="J59" s="14" t="n">
        <f aca="false">Share_Prices!J59/Share_Prices!J58-1</f>
        <v>0.0181974589730016</v>
      </c>
      <c r="K59" s="14" t="n">
        <f aca="false">Share_Prices!K59/Share_Prices!K58-1</f>
        <v>-0.0165578048744527</v>
      </c>
      <c r="L59" s="14" t="n">
        <f aca="false">Share_Prices!L59/Share_Prices!L58-1</f>
        <v>0.000280190529560187</v>
      </c>
      <c r="M59" s="14" t="n">
        <f aca="false">Share_Prices!M59/Share_Prices!M58-1</f>
        <v>-0.00395785145206895</v>
      </c>
      <c r="N59" s="14" t="n">
        <f aca="false">Share_Prices!N59/Share_Prices!N58-1</f>
        <v>0.0085231209867418</v>
      </c>
      <c r="O59" s="14" t="n">
        <f aca="false">Share_Prices!O59/Share_Prices!O58-1</f>
        <v>0.0037055335968379</v>
      </c>
      <c r="P59" s="14" t="n">
        <f aca="false">Share_Prices!P59/Share_Prices!P58-1</f>
        <v>-0.00202553111310011</v>
      </c>
      <c r="Q59" s="14" t="n">
        <f aca="false">Share_Prices!Q59/Share_Prices!Q58-1</f>
        <v>-0.00810766985568345</v>
      </c>
      <c r="R59" s="14" t="n">
        <f aca="false">Share_Prices!R59/Share_Prices!R58-1</f>
        <v>0.000945537065052848</v>
      </c>
      <c r="S59" s="14" t="n">
        <f aca="false">Share_Prices!S59/Share_Prices!S58-1</f>
        <v>0.0390809190809189</v>
      </c>
    </row>
    <row r="60" customFormat="false" ht="15" hidden="false" customHeight="false" outlineLevel="0" collapsed="false">
      <c r="A60" s="13" t="n">
        <f aca="false">Share_Prices!A60</f>
        <v>44887</v>
      </c>
      <c r="B60" s="14" t="n">
        <f aca="false">Share_Prices!B60/Share_Prices!B59-1</f>
        <v>0.00463932995410232</v>
      </c>
      <c r="C60" s="14" t="n">
        <f aca="false">Share_Prices!C60/Share_Prices!C59-1</f>
        <v>0.00358487880003633</v>
      </c>
      <c r="D60" s="14" t="n">
        <f aca="false">Share_Prices!D60/Share_Prices!D59-1</f>
        <v>0.00564545501847125</v>
      </c>
      <c r="E60" s="14" t="n">
        <f aca="false">Share_Prices!E60/Share_Prices!E59-1</f>
        <v>0.00724637681159401</v>
      </c>
      <c r="F60" s="14" t="n">
        <f aca="false">Share_Prices!F60/Share_Prices!F59-1</f>
        <v>0.0163487738419621</v>
      </c>
      <c r="G60" s="14" t="n">
        <f aca="false">Share_Prices!G60/Share_Prices!G59-1</f>
        <v>0.000537489922064038</v>
      </c>
      <c r="H60" s="14" t="n">
        <f aca="false">Share_Prices!H60/Share_Prices!H59-1</f>
        <v>0.00442733954511265</v>
      </c>
      <c r="I60" s="14" t="n">
        <f aca="false">Share_Prices!I60/Share_Prices!I59-1</f>
        <v>-0.0103761348897536</v>
      </c>
      <c r="J60" s="14" t="n">
        <f aca="false">Share_Prices!J60/Share_Prices!J59-1</f>
        <v>-0.0306752453369727</v>
      </c>
      <c r="K60" s="14" t="n">
        <f aca="false">Share_Prices!K60/Share_Prices!K59-1</f>
        <v>0.000899550224887635</v>
      </c>
      <c r="L60" s="14" t="n">
        <f aca="false">Share_Prices!L60/Share_Prices!L59-1</f>
        <v>-0.00413165266106452</v>
      </c>
      <c r="M60" s="14" t="n">
        <f aca="false">Share_Prices!M60/Share_Prices!M59-1</f>
        <v>-0.00433481267416647</v>
      </c>
      <c r="N60" s="14" t="n">
        <f aca="false">Share_Prices!N60/Share_Prices!N59-1</f>
        <v>0.0275748345280902</v>
      </c>
      <c r="O60" s="14" t="n">
        <f aca="false">Share_Prices!O60/Share_Prices!O59-1</f>
        <v>0.00492247108048249</v>
      </c>
      <c r="P60" s="14" t="n">
        <f aca="false">Share_Prices!P60/Share_Prices!P59-1</f>
        <v>-0.00486170112338324</v>
      </c>
      <c r="Q60" s="14" t="n">
        <f aca="false">Share_Prices!Q60/Share_Prices!Q59-1</f>
        <v>0.0207618113454306</v>
      </c>
      <c r="R60" s="14" t="n">
        <f aca="false">Share_Prices!R60/Share_Prices!R59-1</f>
        <v>0.00642357831097673</v>
      </c>
      <c r="S60" s="14" t="n">
        <f aca="false">Share_Prices!S60/Share_Prices!S59-1</f>
        <v>0.0356497327231475</v>
      </c>
    </row>
    <row r="61" customFormat="false" ht="15" hidden="false" customHeight="false" outlineLevel="0" collapsed="false">
      <c r="A61" s="13" t="n">
        <f aca="false">Share_Prices!A61</f>
        <v>44888</v>
      </c>
      <c r="B61" s="14" t="n">
        <f aca="false">Share_Prices!B61/Share_Prices!B60-1</f>
        <v>0.00126341522237206</v>
      </c>
      <c r="C61" s="14" t="n">
        <f aca="false">Share_Prices!C61/Share_Prices!C60-1</f>
        <v>0.001866633997885</v>
      </c>
      <c r="D61" s="14" t="n">
        <f aca="false">Share_Prices!D61/Share_Prices!D60-1</f>
        <v>-0.0106325184322856</v>
      </c>
      <c r="E61" s="14" t="n">
        <f aca="false">Share_Prices!E61/Share_Prices!E60-1</f>
        <v>0.0220688314213495</v>
      </c>
      <c r="F61" s="14" t="n">
        <f aca="false">Share_Prices!F61/Share_Prices!F60-1</f>
        <v>-0.00275151686185982</v>
      </c>
      <c r="G61" s="14" t="n">
        <f aca="false">Share_Prices!G61/Share_Prices!G60-1</f>
        <v>-0.0041633091592802</v>
      </c>
      <c r="H61" s="14" t="n">
        <f aca="false">Share_Prices!H61/Share_Prices!H60-1</f>
        <v>0.00276569387225956</v>
      </c>
      <c r="I61" s="14" t="n">
        <f aca="false">Share_Prices!I61/Share_Prices!I60-1</f>
        <v>-0.0249017038007865</v>
      </c>
      <c r="J61" s="14" t="n">
        <f aca="false">Share_Prices!J61/Share_Prices!J60-1</f>
        <v>-0.0131411330874958</v>
      </c>
      <c r="K61" s="14" t="n">
        <f aca="false">Share_Prices!K61/Share_Prices!K60-1</f>
        <v>0.0142001198322348</v>
      </c>
      <c r="L61" s="14" t="n">
        <f aca="false">Share_Prices!L61/Share_Prices!L60-1</f>
        <v>0.0106884185359679</v>
      </c>
      <c r="M61" s="14" t="n">
        <f aca="false">Share_Prices!M61/Share_Prices!M60-1</f>
        <v>-0.0116098268891884</v>
      </c>
      <c r="N61" s="14" t="n">
        <f aca="false">Share_Prices!N61/Share_Prices!N60-1</f>
        <v>0.0176521719749481</v>
      </c>
      <c r="O61" s="14" t="n">
        <f aca="false">Share_Prices!O61/Share_Prices!O60-1</f>
        <v>0.0134704873867255</v>
      </c>
      <c r="P61" s="14" t="n">
        <f aca="false">Share_Prices!P61/Share_Prices!P60-1</f>
        <v>-0.00066404211924298</v>
      </c>
      <c r="Q61" s="14" t="n">
        <f aca="false">Share_Prices!Q61/Share_Prices!Q60-1</f>
        <v>-0.00256245996156312</v>
      </c>
      <c r="R61" s="14" t="n">
        <f aca="false">Share_Prices!R61/Share_Prices!R60-1</f>
        <v>-0.000375445841937272</v>
      </c>
      <c r="S61" s="14" t="n">
        <f aca="false">Share_Prices!S61/Share_Prices!S60-1</f>
        <v>-0.00909766060155959</v>
      </c>
    </row>
    <row r="62" customFormat="false" ht="15" hidden="false" customHeight="false" outlineLevel="0" collapsed="false">
      <c r="A62" s="13" t="n">
        <f aca="false">Share_Prices!A62</f>
        <v>44889</v>
      </c>
      <c r="B62" s="14" t="n">
        <f aca="false">Share_Prices!B62/Share_Prices!B61-1</f>
        <v>0.0118709712737275</v>
      </c>
      <c r="C62" s="14" t="n">
        <f aca="false">Share_Prices!C62/Share_Prices!C61-1</f>
        <v>0.00918062961163324</v>
      </c>
      <c r="D62" s="14" t="n">
        <f aca="false">Share_Prices!D62/Share_Prices!D61-1</f>
        <v>-0.00277167660286581</v>
      </c>
      <c r="E62" s="14" t="n">
        <f aca="false">Share_Prices!E62/Share_Prices!E61-1</f>
        <v>-0.00199752687149235</v>
      </c>
      <c r="F62" s="14" t="n">
        <f aca="false">Share_Prices!F62/Share_Prices!F61-1</f>
        <v>0.00233463035019454</v>
      </c>
      <c r="G62" s="14" t="n">
        <f aca="false">Share_Prices!G62/Share_Prices!G61-1</f>
        <v>0.00148347943358051</v>
      </c>
      <c r="H62" s="14" t="n">
        <f aca="false">Share_Prices!H62/Share_Prices!H61-1</f>
        <v>0.0440141350877696</v>
      </c>
      <c r="I62" s="14" t="n">
        <f aca="false">Share_Prices!I62/Share_Prices!I61-1</f>
        <v>0.0291218637992832</v>
      </c>
      <c r="J62" s="14" t="n">
        <f aca="false">Share_Prices!J62/Share_Prices!J61-1</f>
        <v>0.00142672735919547</v>
      </c>
      <c r="K62" s="14" t="n">
        <f aca="false">Share_Prices!K62/Share_Prices!K61-1</f>
        <v>-0.0012849294027294</v>
      </c>
      <c r="L62" s="14" t="n">
        <f aca="false">Share_Prices!L62/Share_Prices!L61-1</f>
        <v>0.00473109302163777</v>
      </c>
      <c r="M62" s="14" t="n">
        <f aca="false">Share_Prices!M62/Share_Prices!M61-1</f>
        <v>0.0142108023072889</v>
      </c>
      <c r="N62" s="14" t="n">
        <f aca="false">Share_Prices!N62/Share_Prices!N61-1</f>
        <v>0.0155281543616812</v>
      </c>
      <c r="O62" s="14" t="n">
        <f aca="false">Share_Prices!O62/Share_Prices!O61-1</f>
        <v>0.00821652972450448</v>
      </c>
      <c r="P62" s="14" t="n">
        <f aca="false">Share_Prices!P62/Share_Prices!P61-1</f>
        <v>0.0195547961459963</v>
      </c>
      <c r="Q62" s="14" t="n">
        <f aca="false">Share_Prices!Q62/Share_Prices!Q61-1</f>
        <v>-0.00658317276814369</v>
      </c>
      <c r="R62" s="14" t="n">
        <f aca="false">Share_Prices!R62/Share_Prices!R61-1</f>
        <v>0.000876369327073689</v>
      </c>
      <c r="S62" s="14" t="n">
        <f aca="false">Share_Prices!S62/Share_Prices!S61-1</f>
        <v>-0.0169008806445571</v>
      </c>
    </row>
    <row r="63" customFormat="false" ht="15" hidden="false" customHeight="false" outlineLevel="0" collapsed="false">
      <c r="A63" s="13" t="n">
        <f aca="false">Share_Prices!A63</f>
        <v>44890</v>
      </c>
      <c r="B63" s="14" t="n">
        <f aca="false">Share_Prices!B63/Share_Prices!B62-1</f>
        <v>0.00154998079430446</v>
      </c>
      <c r="C63" s="14" t="n">
        <f aca="false">Share_Prices!C63/Share_Prices!C62-1</f>
        <v>0.00296222131523916</v>
      </c>
      <c r="D63" s="14" t="n">
        <f aca="false">Share_Prices!D63/Share_Prices!D62-1</f>
        <v>-0.000524411348261533</v>
      </c>
      <c r="E63" s="14" t="n">
        <f aca="false">Share_Prices!E63/Share_Prices!E62-1</f>
        <v>0.0383149065955013</v>
      </c>
      <c r="F63" s="14" t="n">
        <f aca="false">Share_Prices!F63/Share_Prices!F62-1</f>
        <v>0.0165866741953697</v>
      </c>
      <c r="G63" s="14" t="n">
        <f aca="false">Share_Prices!G63/Share_Prices!G62-1</f>
        <v>0.0321842176137894</v>
      </c>
      <c r="H63" s="14" t="n">
        <f aca="false">Share_Prices!H63/Share_Prices!H62-1</f>
        <v>0.0116128677178788</v>
      </c>
      <c r="I63" s="14" t="n">
        <f aca="false">Share_Prices!I63/Share_Prices!I62-1</f>
        <v>-0.0156726164562473</v>
      </c>
      <c r="J63" s="14" t="n">
        <f aca="false">Share_Prices!J63/Share_Prices!J62-1</f>
        <v>0.0363297150610584</v>
      </c>
      <c r="K63" s="14" t="n">
        <f aca="false">Share_Prices!K63/Share_Prices!K62-1</f>
        <v>-0.00351961668712386</v>
      </c>
      <c r="L63" s="14" t="n">
        <f aca="false">Share_Prices!L63/Share_Prices!L62-1</f>
        <v>-0.00180042933314861</v>
      </c>
      <c r="M63" s="14" t="n">
        <f aca="false">Share_Prices!M63/Share_Prices!M62-1</f>
        <v>0.0133912414042707</v>
      </c>
      <c r="N63" s="14" t="n">
        <f aca="false">Share_Prices!N63/Share_Prices!N62-1</f>
        <v>-0.00524068322981364</v>
      </c>
      <c r="O63" s="14" t="n">
        <f aca="false">Share_Prices!O63/Share_Prices!O62-1</f>
        <v>0.0194151486097796</v>
      </c>
      <c r="P63" s="14" t="n">
        <f aca="false">Share_Prices!P63/Share_Prices!P62-1</f>
        <v>0.00367766863740049</v>
      </c>
      <c r="Q63" s="14" t="n">
        <f aca="false">Share_Prices!Q63/Share_Prices!Q62-1</f>
        <v>0.00824309035073534</v>
      </c>
      <c r="R63" s="14" t="n">
        <f aca="false">Share_Prices!R63/Share_Prices!R62-1</f>
        <v>0.00925636375007821</v>
      </c>
      <c r="S63" s="14" t="n">
        <f aca="false">Share_Prices!S63/Share_Prices!S62-1</f>
        <v>-0.0240527559655409</v>
      </c>
    </row>
    <row r="64" customFormat="false" ht="15" hidden="false" customHeight="false" outlineLevel="0" collapsed="false">
      <c r="A64" s="13" t="n">
        <f aca="false">Share_Prices!A64</f>
        <v>44893</v>
      </c>
      <c r="B64" s="14" t="n">
        <f aca="false">Share_Prices!B64/Share_Prices!B63-1</f>
        <v>0.0027008413120686</v>
      </c>
      <c r="C64" s="14" t="n">
        <f aca="false">Share_Prices!C64/Share_Prices!C63-1</f>
        <v>0.00363699947543283</v>
      </c>
      <c r="D64" s="14" t="n">
        <f aca="false">Share_Prices!D64/Share_Prices!D63-1</f>
        <v>0.00941812267170361</v>
      </c>
      <c r="E64" s="14" t="n">
        <f aca="false">Share_Prices!E64/Share_Prices!E63-1</f>
        <v>0.00229484119698919</v>
      </c>
      <c r="F64" s="14" t="n">
        <f aca="false">Share_Prices!F64/Share_Prices!F63-1</f>
        <v>-0.00298548913420815</v>
      </c>
      <c r="G64" s="14" t="n">
        <f aca="false">Share_Prices!G64/Share_Prices!G63-1</f>
        <v>0.0189171559034573</v>
      </c>
      <c r="H64" s="14" t="n">
        <f aca="false">Share_Prices!H64/Share_Prices!H63-1</f>
        <v>-0.00348195098065895</v>
      </c>
      <c r="I64" s="14" t="n">
        <f aca="false">Share_Prices!I64/Share_Prices!I63-1</f>
        <v>0.0130473241928351</v>
      </c>
      <c r="J64" s="14" t="n">
        <f aca="false">Share_Prices!J64/Share_Prices!J63-1</f>
        <v>-0.0101796995188373</v>
      </c>
      <c r="K64" s="14" t="n">
        <f aca="false">Share_Prices!K64/Share_Prices!K63-1</f>
        <v>0.00443732098600536</v>
      </c>
      <c r="L64" s="14" t="n">
        <f aca="false">Share_Prices!L64/Share_Prices!L63-1</f>
        <v>-0.000624349635796162</v>
      </c>
      <c r="M64" s="14" t="n">
        <f aca="false">Share_Prices!M64/Share_Prices!M63-1</f>
        <v>0.00224489795918381</v>
      </c>
      <c r="N64" s="14" t="n">
        <f aca="false">Share_Prices!N64/Share_Prices!N63-1</f>
        <v>0.0133766937669377</v>
      </c>
      <c r="O64" s="14" t="n">
        <f aca="false">Share_Prices!O64/Share_Prices!O63-1</f>
        <v>0.00916999764871851</v>
      </c>
      <c r="P64" s="14" t="n">
        <f aca="false">Share_Prices!P64/Share_Prices!P63-1</f>
        <v>0.011178107606679</v>
      </c>
      <c r="Q64" s="14" t="n">
        <f aca="false">Share_Prices!Q64/Share_Prices!Q63-1</f>
        <v>0.00977877524847703</v>
      </c>
      <c r="R64" s="14" t="n">
        <f aca="false">Share_Prices!R64/Share_Prices!R63-1</f>
        <v>0.00725041829336304</v>
      </c>
      <c r="S64" s="14" t="n">
        <f aca="false">Share_Prices!S64/Share_Prices!S63-1</f>
        <v>-0.0120298402530953</v>
      </c>
    </row>
    <row r="65" customFormat="false" ht="15" hidden="false" customHeight="false" outlineLevel="0" collapsed="false">
      <c r="A65" s="13" t="n">
        <f aca="false">Share_Prices!A65</f>
        <v>44894</v>
      </c>
      <c r="B65" s="14" t="n">
        <f aca="false">Share_Prices!B65/Share_Prices!B64-1</f>
        <v>0.00297908445677497</v>
      </c>
      <c r="C65" s="14" t="n">
        <f aca="false">Share_Prices!C65/Share_Prices!C64-1</f>
        <v>0.00177389772846071</v>
      </c>
      <c r="D65" s="14" t="n">
        <f aca="false">Share_Prices!D65/Share_Prices!D64-1</f>
        <v>0.00657535670660403</v>
      </c>
      <c r="E65" s="14" t="n">
        <f aca="false">Share_Prices!E65/Share_Prices!E64-1</f>
        <v>0.00595292609213294</v>
      </c>
      <c r="F65" s="14" t="n">
        <f aca="false">Share_Prices!F65/Share_Prices!F64-1</f>
        <v>0.0096796657381617</v>
      </c>
      <c r="G65" s="14" t="n">
        <f aca="false">Share_Prices!G65/Share_Prices!G64-1</f>
        <v>-0.0115236875800256</v>
      </c>
      <c r="H65" s="14" t="n">
        <f aca="false">Share_Prices!H65/Share_Prices!H64-1</f>
        <v>-0.011765348183332</v>
      </c>
      <c r="I65" s="14" t="n">
        <f aca="false">Share_Prices!I65/Share_Prices!I64-1</f>
        <v>-0.0032743942370661</v>
      </c>
      <c r="J65" s="14" t="n">
        <f aca="false">Share_Prices!J65/Share_Prices!J64-1</f>
        <v>-0.0424272486772488</v>
      </c>
      <c r="K65" s="14" t="n">
        <f aca="false">Share_Prices!K65/Share_Prices!K64-1</f>
        <v>-0.00638279010667542</v>
      </c>
      <c r="L65" s="14" t="n">
        <f aca="false">Share_Prices!L65/Share_Prices!L64-1</f>
        <v>-0.00770512286547265</v>
      </c>
      <c r="M65" s="14" t="n">
        <f aca="false">Share_Prices!M65/Share_Prices!M64-1</f>
        <v>-0.0151700264711873</v>
      </c>
      <c r="N65" s="14" t="n">
        <f aca="false">Share_Prices!N65/Share_Prices!N64-1</f>
        <v>-0.04313037525138</v>
      </c>
      <c r="O65" s="14" t="n">
        <f aca="false">Share_Prices!O65/Share_Prices!O64-1</f>
        <v>-0.00163094128611363</v>
      </c>
      <c r="P65" s="14" t="n">
        <f aca="false">Share_Prices!P65/Share_Prices!P64-1</f>
        <v>-0.00275216733177375</v>
      </c>
      <c r="Q65" s="14" t="n">
        <f aca="false">Share_Prices!Q65/Share_Prices!Q64-1</f>
        <v>-0.00523892681377991</v>
      </c>
      <c r="R65" s="14" t="n">
        <f aca="false">Share_Prices!R65/Share_Prices!R64-1</f>
        <v>0.00566014519502889</v>
      </c>
      <c r="S65" s="14" t="n">
        <f aca="false">Share_Prices!S65/Share_Prices!S64-1</f>
        <v>0.0043882190156157</v>
      </c>
    </row>
    <row r="66" customFormat="false" ht="15" hidden="false" customHeight="false" outlineLevel="0" collapsed="false">
      <c r="A66" s="13" t="n">
        <f aca="false">Share_Prices!A66</f>
        <v>44895</v>
      </c>
      <c r="B66" s="14" t="n">
        <f aca="false">Share_Prices!B66/Share_Prices!B65-1</f>
        <v>0.00753569788457975</v>
      </c>
      <c r="C66" s="14" t="n">
        <f aca="false">Share_Prices!C66/Share_Prices!C65-1</f>
        <v>0.00845536270470415</v>
      </c>
      <c r="D66" s="14" t="n">
        <f aca="false">Share_Prices!D66/Share_Prices!D65-1</f>
        <v>-0.0117479989672089</v>
      </c>
      <c r="E66" s="14" t="n">
        <f aca="false">Share_Prices!E66/Share_Prices!E65-1</f>
        <v>0.00701019664967206</v>
      </c>
      <c r="F66" s="14" t="n">
        <f aca="false">Share_Prices!F66/Share_Prices!F65-1</f>
        <v>0.0120697979170978</v>
      </c>
      <c r="G66" s="14" t="n">
        <f aca="false">Share_Prices!G66/Share_Prices!G65-1</f>
        <v>0.00155440414507768</v>
      </c>
      <c r="H66" s="14" t="n">
        <f aca="false">Share_Prices!H66/Share_Prices!H65-1</f>
        <v>0.0248328821612065</v>
      </c>
      <c r="I66" s="14" t="n">
        <f aca="false">Share_Prices!I66/Share_Prices!I65-1</f>
        <v>0.0779675865089793</v>
      </c>
      <c r="J66" s="14" t="n">
        <f aca="false">Share_Prices!J66/Share_Prices!J65-1</f>
        <v>-0.016127361259799</v>
      </c>
      <c r="K66" s="14" t="n">
        <f aca="false">Share_Prices!K66/Share_Prices!K65-1</f>
        <v>-0.00196282527881053</v>
      </c>
      <c r="L66" s="14" t="n">
        <f aca="false">Share_Prices!L66/Share_Prices!L65-1</f>
        <v>0.000139909059111654</v>
      </c>
      <c r="M66" s="14" t="n">
        <f aca="false">Share_Prices!M66/Share_Prices!M65-1</f>
        <v>-0.00728832833660698</v>
      </c>
      <c r="N66" s="14" t="n">
        <f aca="false">Share_Prices!N66/Share_Prices!N65-1</f>
        <v>0.0133702991548541</v>
      </c>
      <c r="O66" s="14" t="n">
        <f aca="false">Share_Prices!O66/Share_Prices!O65-1</f>
        <v>0.00350058343057169</v>
      </c>
      <c r="P66" s="14" t="n">
        <f aca="false">Share_Prices!P66/Share_Prices!P65-1</f>
        <v>-0.00579550158686348</v>
      </c>
      <c r="Q66" s="14" t="n">
        <f aca="false">Share_Prices!Q66/Share_Prices!Q65-1</f>
        <v>-0.00718161506543247</v>
      </c>
      <c r="R66" s="14" t="n">
        <f aca="false">Share_Prices!R66/Share_Prices!R65-1</f>
        <v>0.00850360944573603</v>
      </c>
      <c r="S66" s="14" t="n">
        <f aca="false">Share_Prices!S66/Share_Prices!S65-1</f>
        <v>0.062741084783122</v>
      </c>
    </row>
    <row r="67" customFormat="false" ht="15" hidden="false" customHeight="false" outlineLevel="0" collapsed="false">
      <c r="A67" s="13" t="n">
        <f aca="false">Share_Prices!A67</f>
        <v>44896</v>
      </c>
      <c r="B67" s="14" t="n">
        <f aca="false">Share_Prices!B67/Share_Prices!B66-1</f>
        <v>0.00288671444983168</v>
      </c>
      <c r="C67" s="14" t="n">
        <f aca="false">Share_Prices!C67/Share_Prices!C66-1</f>
        <v>0.00362469937884691</v>
      </c>
      <c r="D67" s="14" t="n">
        <f aca="false">Share_Prices!D67/Share_Prices!D66-1</f>
        <v>-0.00715871979098626</v>
      </c>
      <c r="E67" s="14" t="n">
        <f aca="false">Share_Prices!E67/Share_Prices!E66-1</f>
        <v>-0.00759425006780568</v>
      </c>
      <c r="F67" s="14" t="n">
        <f aca="false">Share_Prices!F67/Share_Prices!F66-1</f>
        <v>0.0217391304347825</v>
      </c>
      <c r="G67" s="14" t="n">
        <f aca="false">Share_Prices!G67/Share_Prices!G66-1</f>
        <v>0.0191412312467667</v>
      </c>
      <c r="H67" s="14" t="n">
        <f aca="false">Share_Prices!H67/Share_Prices!H66-1</f>
        <v>-0.010835287458559</v>
      </c>
      <c r="I67" s="14" t="n">
        <f aca="false">Share_Prices!I67/Share_Prices!I66-1</f>
        <v>0.00711093051605038</v>
      </c>
      <c r="J67" s="14" t="n">
        <f aca="false">Share_Prices!J67/Share_Prices!J66-1</f>
        <v>0.0188487188487188</v>
      </c>
      <c r="K67" s="14" t="n">
        <f aca="false">Share_Prices!K67/Share_Prices!K66-1</f>
        <v>0.00399296760928514</v>
      </c>
      <c r="L67" s="14" t="n">
        <f aca="false">Share_Prices!L67/Share_Prices!L66-1</f>
        <v>0.0196544729663566</v>
      </c>
      <c r="M67" s="14" t="n">
        <f aca="false">Share_Prices!M67/Share_Prices!M66-1</f>
        <v>-0.0124967456391565</v>
      </c>
      <c r="N67" s="14" t="n">
        <f aca="false">Share_Prices!N67/Share_Prices!N66-1</f>
        <v>-0.0151134057011738</v>
      </c>
      <c r="O67" s="14" t="n">
        <f aca="false">Share_Prices!O67/Share_Prices!O66-1</f>
        <v>0.0246511627906978</v>
      </c>
      <c r="P67" s="14" t="n">
        <f aca="false">Share_Prices!P67/Share_Prices!P66-1</f>
        <v>0.0283136710617626</v>
      </c>
      <c r="Q67" s="14" t="n">
        <f aca="false">Share_Prices!Q67/Share_Prices!Q66-1</f>
        <v>-0.0115737019771741</v>
      </c>
      <c r="R67" s="14" t="n">
        <f aca="false">Share_Prices!R67/Share_Prices!R66-1</f>
        <v>0.0123748862602366</v>
      </c>
      <c r="S67" s="14" t="n">
        <f aca="false">Share_Prices!S67/Share_Prices!S66-1</f>
        <v>-0.0467777777777778</v>
      </c>
    </row>
    <row r="68" customFormat="false" ht="15" hidden="false" customHeight="false" outlineLevel="0" collapsed="false">
      <c r="A68" s="13" t="n">
        <f aca="false">Share_Prices!A68</f>
        <v>44897</v>
      </c>
      <c r="B68" s="14" t="n">
        <f aca="false">Share_Prices!B68/Share_Prices!B67-1</f>
        <v>-0.00618737541528247</v>
      </c>
      <c r="C68" s="14" t="n">
        <f aca="false">Share_Prices!C68/Share_Prices!C67-1</f>
        <v>-0.002527501023185</v>
      </c>
      <c r="D68" s="14" t="n">
        <f aca="false">Share_Prices!D68/Share_Prices!D67-1</f>
        <v>0.00752611773374379</v>
      </c>
      <c r="E68" s="14" t="n">
        <f aca="false">Share_Prices!E68/Share_Prices!E67-1</f>
        <v>0.00537487473808862</v>
      </c>
      <c r="F68" s="14" t="n">
        <f aca="false">Share_Prices!F68/Share_Prices!F67-1</f>
        <v>0.010671646768492</v>
      </c>
      <c r="G68" s="14" t="n">
        <f aca="false">Share_Prices!G68/Share_Prices!G67-1</f>
        <v>-0.0010152284263959</v>
      </c>
      <c r="H68" s="14" t="n">
        <f aca="false">Share_Prices!H68/Share_Prices!H67-1</f>
        <v>0.00711191040627823</v>
      </c>
      <c r="I68" s="14" t="n">
        <f aca="false">Share_Prices!I68/Share_Prices!I67-1</f>
        <v>-0.0125075650595118</v>
      </c>
      <c r="J68" s="14" t="n">
        <f aca="false">Share_Prices!J68/Share_Prices!J67-1</f>
        <v>-0.0156750611499639</v>
      </c>
      <c r="K68" s="14" t="n">
        <f aca="false">Share_Prices!K68/Share_Prices!K67-1</f>
        <v>-0.0106698720802542</v>
      </c>
      <c r="L68" s="14" t="n">
        <f aca="false">Share_Prices!L68/Share_Prices!L67-1</f>
        <v>0.0037728083413362</v>
      </c>
      <c r="M68" s="14" t="n">
        <f aca="false">Share_Prices!M68/Share_Prices!M67-1</f>
        <v>-0.000474558397047242</v>
      </c>
      <c r="N68" s="14" t="n">
        <f aca="false">Share_Prices!N68/Share_Prices!N67-1</f>
        <v>0.00716861936871349</v>
      </c>
      <c r="O68" s="14" t="n">
        <f aca="false">Share_Prices!O68/Share_Prices!O67-1</f>
        <v>0.0394916023604175</v>
      </c>
      <c r="P68" s="14" t="n">
        <f aca="false">Share_Prices!P68/Share_Prices!P67-1</f>
        <v>0.021955279614883</v>
      </c>
      <c r="Q68" s="14" t="n">
        <f aca="false">Share_Prices!Q68/Share_Prices!Q67-1</f>
        <v>0.00130102455683856</v>
      </c>
      <c r="R68" s="14" t="n">
        <f aca="false">Share_Prices!R68/Share_Prices!R67-1</f>
        <v>0.00467373719216258</v>
      </c>
      <c r="S68" s="14" t="n">
        <f aca="false">Share_Prices!S68/Share_Prices!S67-1</f>
        <v>0.0027198197148075</v>
      </c>
    </row>
    <row r="69" customFormat="false" ht="15" hidden="false" customHeight="false" outlineLevel="0" collapsed="false">
      <c r="A69" s="13" t="n">
        <f aca="false">Share_Prices!A69</f>
        <v>44900</v>
      </c>
      <c r="B69" s="14" t="n">
        <f aca="false">Share_Prices!B69/Share_Prices!B68-1</f>
        <v>0.000264761099908473</v>
      </c>
      <c r="C69" s="14" t="n">
        <f aca="false">Share_Prices!C69/Share_Prices!C68-1</f>
        <v>0.00023177874526259</v>
      </c>
      <c r="D69" s="14" t="n">
        <f aca="false">Share_Prices!D69/Share_Prices!D68-1</f>
        <v>-0.012667485047144</v>
      </c>
      <c r="E69" s="14" t="n">
        <f aca="false">Share_Prices!E69/Share_Prices!E68-1</f>
        <v>0.0212033345415006</v>
      </c>
      <c r="F69" s="14" t="n">
        <f aca="false">Share_Prices!F69/Share_Prices!F68-1</f>
        <v>-0.0135286741899294</v>
      </c>
      <c r="G69" s="14" t="n">
        <f aca="false">Share_Prices!G69/Share_Prices!G68-1</f>
        <v>0.0240091463414633</v>
      </c>
      <c r="H69" s="14" t="n">
        <f aca="false">Share_Prices!H69/Share_Prices!H68-1</f>
        <v>-0.00110930735930748</v>
      </c>
      <c r="I69" s="14" t="n">
        <f aca="false">Share_Prices!I69/Share_Prices!I68-1</f>
        <v>0.00592441266598565</v>
      </c>
      <c r="J69" s="14" t="n">
        <f aca="false">Share_Prices!J69/Share_Prices!J68-1</f>
        <v>0.00538989220215602</v>
      </c>
      <c r="K69" s="14" t="n">
        <f aca="false">Share_Prices!K69/Share_Prices!K68-1</f>
        <v>-0.00229498852505738</v>
      </c>
      <c r="L69" s="14" t="n">
        <f aca="false">Share_Prices!L69/Share_Prices!L68-1</f>
        <v>0.00826898107018392</v>
      </c>
      <c r="M69" s="14" t="n">
        <f aca="false">Share_Prices!M69/Share_Prices!M68-1</f>
        <v>-0.0174614897657733</v>
      </c>
      <c r="N69" s="14" t="n">
        <f aca="false">Share_Prices!N69/Share_Prices!N68-1</f>
        <v>0.0225761249138103</v>
      </c>
      <c r="O69" s="14" t="n">
        <f aca="false">Share_Prices!O69/Share_Prices!O68-1</f>
        <v>0.053056768558952</v>
      </c>
      <c r="P69" s="14" t="n">
        <f aca="false">Share_Prices!P69/Share_Prices!P68-1</f>
        <v>0.00559101915034121</v>
      </c>
      <c r="Q69" s="14" t="n">
        <f aca="false">Share_Prices!Q69/Share_Prices!Q68-1</f>
        <v>-0.0069839207406206</v>
      </c>
      <c r="R69" s="14" t="n">
        <f aca="false">Share_Prices!R69/Share_Prices!R68-1</f>
        <v>-0.00858829844337095</v>
      </c>
      <c r="S69" s="14" t="n">
        <f aca="false">Share_Prices!S69/Share_Prices!S68-1</f>
        <v>0.00348742589219997</v>
      </c>
    </row>
    <row r="70" customFormat="false" ht="15" hidden="false" customHeight="false" outlineLevel="0" collapsed="false">
      <c r="A70" s="13" t="n">
        <f aca="false">Share_Prices!A70</f>
        <v>44901</v>
      </c>
      <c r="B70" s="14" t="n">
        <f aca="false">Share_Prices!B70/Share_Prices!B69-1</f>
        <v>-0.00311747201360346</v>
      </c>
      <c r="C70" s="14" t="n">
        <f aca="false">Share_Prices!C70/Share_Prices!C69-1</f>
        <v>-0.00277756901648385</v>
      </c>
      <c r="D70" s="14" t="n">
        <f aca="false">Share_Prices!D70/Share_Prices!D69-1</f>
        <v>-0.00613724141579808</v>
      </c>
      <c r="E70" s="14" t="n">
        <f aca="false">Share_Prices!E70/Share_Prices!E69-1</f>
        <v>-0.00869565217391299</v>
      </c>
      <c r="F70" s="14" t="n">
        <f aca="false">Share_Prices!F70/Share_Prices!F69-1</f>
        <v>-0.00113727588975121</v>
      </c>
      <c r="G70" s="14" t="n">
        <f aca="false">Share_Prices!G70/Share_Prices!G69-1</f>
        <v>0.0148864905098622</v>
      </c>
      <c r="H70" s="14" t="n">
        <f aca="false">Share_Prices!H70/Share_Prices!H69-1</f>
        <v>-0.0188520815840082</v>
      </c>
      <c r="I70" s="14" t="n">
        <f aca="false">Share_Prices!I70/Share_Prices!I69-1</f>
        <v>-0.00934199837530458</v>
      </c>
      <c r="J70" s="14" t="n">
        <f aca="false">Share_Prices!J70/Share_Prices!J69-1</f>
        <v>-0.0022975701455128</v>
      </c>
      <c r="K70" s="14" t="n">
        <f aca="false">Share_Prices!K70/Share_Prices!K69-1</f>
        <v>0.00571308295997852</v>
      </c>
      <c r="L70" s="14" t="n">
        <f aca="false">Share_Prices!L70/Share_Prices!L69-1</f>
        <v>-0.00393113731869332</v>
      </c>
      <c r="M70" s="14" t="n">
        <f aca="false">Share_Prices!M70/Share_Prices!M69-1</f>
        <v>-0.0329127516778524</v>
      </c>
      <c r="N70" s="14" t="n">
        <f aca="false">Share_Prices!N70/Share_Prices!N69-1</f>
        <v>-0.00939661547831383</v>
      </c>
      <c r="O70" s="14" t="n">
        <f aca="false">Share_Prices!O70/Share_Prices!O69-1</f>
        <v>-0.00601285506945892</v>
      </c>
      <c r="P70" s="14" t="n">
        <f aca="false">Share_Prices!P70/Share_Prices!P69-1</f>
        <v>-0.0229839768846861</v>
      </c>
      <c r="Q70" s="14" t="n">
        <f aca="false">Share_Prices!Q70/Share_Prices!Q69-1</f>
        <v>-0.0230618253189402</v>
      </c>
      <c r="R70" s="14" t="n">
        <f aca="false">Share_Prices!R70/Share_Prices!R69-1</f>
        <v>-0.0163027131083439</v>
      </c>
      <c r="S70" s="14" t="n">
        <f aca="false">Share_Prices!S70/Share_Prices!S69-1</f>
        <v>0.0244816001853496</v>
      </c>
    </row>
    <row r="71" customFormat="false" ht="15" hidden="false" customHeight="false" outlineLevel="0" collapsed="false">
      <c r="A71" s="13" t="n">
        <f aca="false">Share_Prices!A71</f>
        <v>44902</v>
      </c>
      <c r="B71" s="14" t="n">
        <f aca="false">Share_Prices!B71/Share_Prices!B70-1</f>
        <v>-0.00441190275039893</v>
      </c>
      <c r="C71" s="14" t="n">
        <f aca="false">Share_Prices!C71/Share_Prices!C70-1</f>
        <v>-0.0038215520462731</v>
      </c>
      <c r="D71" s="14" t="n">
        <f aca="false">Share_Prices!D71/Share_Prices!D70-1</f>
        <v>0.0239552834708545</v>
      </c>
      <c r="E71" s="14" t="n">
        <f aca="false">Share_Prices!E71/Share_Prices!E70-1</f>
        <v>-0.0136949516648764</v>
      </c>
      <c r="F71" s="14" t="n">
        <f aca="false">Share_Prices!F71/Share_Prices!F70-1</f>
        <v>0.0217667939186927</v>
      </c>
      <c r="G71" s="14" t="n">
        <f aca="false">Share_Prices!G71/Share_Prices!G70-1</f>
        <v>-0.0172350568390173</v>
      </c>
      <c r="H71" s="14" t="n">
        <f aca="false">Share_Prices!H71/Share_Prices!H70-1</f>
        <v>-0.00924826767523401</v>
      </c>
      <c r="I71" s="14" t="n">
        <f aca="false">Share_Prices!I71/Share_Prices!I70-1</f>
        <v>-0.00676506765067653</v>
      </c>
      <c r="J71" s="14" t="n">
        <f aca="false">Share_Prices!J71/Share_Prices!J70-1</f>
        <v>0.0222958827634334</v>
      </c>
      <c r="K71" s="14" t="n">
        <f aca="false">Share_Prices!K71/Share_Prices!K70-1</f>
        <v>-0.0109426854426407</v>
      </c>
      <c r="L71" s="14" t="n">
        <f aca="false">Share_Prices!L71/Share_Prices!L70-1</f>
        <v>0.00136091453456721</v>
      </c>
      <c r="M71" s="14" t="n">
        <f aca="false">Share_Prices!M71/Share_Prices!M70-1</f>
        <v>0.00993781923162329</v>
      </c>
      <c r="N71" s="14" t="n">
        <f aca="false">Share_Prices!N71/Share_Prices!N70-1</f>
        <v>0.0124939616178472</v>
      </c>
      <c r="O71" s="14" t="n">
        <f aca="false">Share_Prices!O71/Share_Prices!O70-1</f>
        <v>0.000625782227784644</v>
      </c>
      <c r="P71" s="14" t="n">
        <f aca="false">Share_Prices!P71/Share_Prices!P70-1</f>
        <v>-0.00690056907290393</v>
      </c>
      <c r="Q71" s="14" t="n">
        <f aca="false">Share_Prices!Q71/Share_Prices!Q70-1</f>
        <v>-0.0165745856353591</v>
      </c>
      <c r="R71" s="14" t="n">
        <f aca="false">Share_Prices!R71/Share_Prices!R70-1</f>
        <v>-0.00752201565557731</v>
      </c>
      <c r="S71" s="14" t="n">
        <f aca="false">Share_Prices!S71/Share_Prices!S70-1</f>
        <v>0.00652067392861189</v>
      </c>
    </row>
    <row r="72" customFormat="false" ht="15" hidden="false" customHeight="false" outlineLevel="0" collapsed="false">
      <c r="A72" s="13" t="n">
        <f aca="false">Share_Prices!A72</f>
        <v>44903</v>
      </c>
      <c r="B72" s="14" t="n">
        <f aca="false">Share_Prices!B72/Share_Prices!B71-1</f>
        <v>0.00263193340696644</v>
      </c>
      <c r="C72" s="14" t="n">
        <f aca="false">Share_Prices!C72/Share_Prices!C71-1</f>
        <v>0.00309544824107944</v>
      </c>
      <c r="D72" s="14" t="n">
        <f aca="false">Share_Prices!D72/Share_Prices!D71-1</f>
        <v>0.00681050168962827</v>
      </c>
      <c r="E72" s="14" t="n">
        <f aca="false">Share_Prices!E72/Share_Prices!E71-1</f>
        <v>0.00980125238224883</v>
      </c>
      <c r="F72" s="14" t="n">
        <f aca="false">Share_Prices!F72/Share_Prices!F71-1</f>
        <v>-0.00511274252753013</v>
      </c>
      <c r="G72" s="14" t="n">
        <f aca="false">Share_Prices!G72/Share_Prices!G71-1</f>
        <v>0.000621890547263693</v>
      </c>
      <c r="H72" s="14" t="n">
        <f aca="false">Share_Prices!H72/Share_Prices!H71-1</f>
        <v>0.00426326348640216</v>
      </c>
      <c r="I72" s="14" t="n">
        <f aca="false">Share_Prices!I72/Share_Prices!I71-1</f>
        <v>0.0012383900928794</v>
      </c>
      <c r="J72" s="14" t="n">
        <f aca="false">Share_Prices!J72/Share_Prices!J71-1</f>
        <v>0.00406157206730606</v>
      </c>
      <c r="K72" s="14" t="n">
        <f aca="false">Share_Prices!K72/Share_Prices!K71-1</f>
        <v>-0.00652942776820542</v>
      </c>
      <c r="L72" s="14" t="n">
        <f aca="false">Share_Prices!L72/Share_Prices!L71-1</f>
        <v>0.00958140799130214</v>
      </c>
      <c r="M72" s="14" t="n">
        <f aca="false">Share_Prices!M72/Share_Prices!M71-1</f>
        <v>-0.0105546698917046</v>
      </c>
      <c r="N72" s="14" t="n">
        <f aca="false">Share_Prices!N72/Share_Prices!N71-1</f>
        <v>0.0142048535056711</v>
      </c>
      <c r="O72" s="14" t="n">
        <f aca="false">Share_Prices!O72/Share_Prices!O71-1</f>
        <v>0.000625390869293252</v>
      </c>
      <c r="P72" s="14" t="n">
        <f aca="false">Share_Prices!P72/Share_Prices!P71-1</f>
        <v>0.0117763840635292</v>
      </c>
      <c r="Q72" s="14" t="n">
        <f aca="false">Share_Prices!Q72/Share_Prices!Q71-1</f>
        <v>0.00102145045965285</v>
      </c>
      <c r="R72" s="14" t="n">
        <f aca="false">Share_Prices!R72/Share_Prices!R71-1</f>
        <v>0.0038203216464352</v>
      </c>
      <c r="S72" s="14" t="n">
        <f aca="false">Share_Prices!S72/Share_Prices!S71-1</f>
        <v>0.00224685440383454</v>
      </c>
    </row>
    <row r="73" customFormat="false" ht="15" hidden="false" customHeight="false" outlineLevel="0" collapsed="false">
      <c r="A73" s="13" t="n">
        <f aca="false">Share_Prices!A73</f>
        <v>44904</v>
      </c>
      <c r="B73" s="14" t="n">
        <f aca="false">Share_Prices!B73/Share_Prices!B72-1</f>
        <v>-0.00605878227880075</v>
      </c>
      <c r="C73" s="14" t="n">
        <f aca="false">Share_Prices!C73/Share_Prices!C72-1</f>
        <v>-0.00618121940029293</v>
      </c>
      <c r="D73" s="14" t="n">
        <f aca="false">Share_Prices!D73/Share_Prices!D72-1</f>
        <v>-0.000103273778787494</v>
      </c>
      <c r="E73" s="14" t="n">
        <f aca="false">Share_Prices!E73/Share_Prices!E72-1</f>
        <v>0.00143794374045103</v>
      </c>
      <c r="F73" s="14" t="n">
        <f aca="false">Share_Prices!F73/Share_Prices!F72-1</f>
        <v>-0.00474370799841883</v>
      </c>
      <c r="G73" s="14" t="n">
        <f aca="false">Share_Prices!G73/Share_Prices!G72-1</f>
        <v>-0.000124300807955335</v>
      </c>
      <c r="H73" s="14" t="n">
        <f aca="false">Share_Prices!H73/Share_Prices!H72-1</f>
        <v>-0.0226408812186122</v>
      </c>
      <c r="I73" s="14" t="n">
        <f aca="false">Share_Prices!I73/Share_Prices!I72-1</f>
        <v>-0.0086580086580087</v>
      </c>
      <c r="J73" s="14" t="n">
        <f aca="false">Share_Prices!J73/Share_Prices!J72-1</f>
        <v>0.0182881229179412</v>
      </c>
      <c r="K73" s="14" t="n">
        <f aca="false">Share_Prices!K73/Share_Prices!K72-1</f>
        <v>-0.00979765708200209</v>
      </c>
      <c r="L73" s="14" t="n">
        <f aca="false">Share_Prices!L73/Share_Prices!L72-1</f>
        <v>0.00168270848758167</v>
      </c>
      <c r="M73" s="14" t="n">
        <f aca="false">Share_Prices!M73/Share_Prices!M72-1</f>
        <v>-0.0401688982721263</v>
      </c>
      <c r="N73" s="14" t="n">
        <f aca="false">Share_Prices!N73/Share_Prices!N72-1</f>
        <v>0.0166146345635718</v>
      </c>
      <c r="O73" s="14" t="n">
        <f aca="false">Share_Prices!O73/Share_Prices!O72-1</f>
        <v>-0.04125</v>
      </c>
      <c r="P73" s="14" t="n">
        <f aca="false">Share_Prices!P73/Share_Prices!P72-1</f>
        <v>-0.0159650374598646</v>
      </c>
      <c r="Q73" s="14" t="n">
        <f aca="false">Share_Prices!Q73/Share_Prices!Q72-1</f>
        <v>0.0188775510204082</v>
      </c>
      <c r="R73" s="14" t="n">
        <f aca="false">Share_Prices!R73/Share_Prices!R72-1</f>
        <v>-0.0161438831256522</v>
      </c>
      <c r="S73" s="14" t="n">
        <f aca="false">Share_Prices!S73/Share_Prices!S72-1</f>
        <v>0.00437154386489325</v>
      </c>
    </row>
    <row r="74" customFormat="false" ht="15" hidden="false" customHeight="false" outlineLevel="0" collapsed="false">
      <c r="A74" s="13" t="n">
        <f aca="false">Share_Prices!A74</f>
        <v>44907</v>
      </c>
      <c r="B74" s="14" t="n">
        <f aca="false">Share_Prices!B74/Share_Prices!B73-1</f>
        <v>2.97351945763857E-005</v>
      </c>
      <c r="C74" s="14" t="n">
        <f aca="false">Share_Prices!C74/Share_Prices!C73-1</f>
        <v>0.000964411629855722</v>
      </c>
      <c r="D74" s="14" t="n">
        <f aca="false">Share_Prices!D74/Share_Prices!D73-1</f>
        <v>-0.00560318116091718</v>
      </c>
      <c r="E74" s="14" t="n">
        <f aca="false">Share_Prices!E74/Share_Prices!E73-1</f>
        <v>-0.00960244099434626</v>
      </c>
      <c r="F74" s="14" t="n">
        <f aca="false">Share_Prices!F74/Share_Prices!F73-1</f>
        <v>-0.00483251688070963</v>
      </c>
      <c r="G74" s="14" t="n">
        <f aca="false">Share_Prices!G74/Share_Prices!G73-1</f>
        <v>-0.00335653903530575</v>
      </c>
      <c r="H74" s="14" t="n">
        <f aca="false">Share_Prices!H74/Share_Prices!H73-1</f>
        <v>0.00471256210078086</v>
      </c>
      <c r="I74" s="14" t="n">
        <f aca="false">Share_Prices!I74/Share_Prices!I73-1</f>
        <v>0.0253690996049076</v>
      </c>
      <c r="J74" s="14" t="n">
        <f aca="false">Share_Prices!J74/Share_Prices!J73-1</f>
        <v>0.002870877286687</v>
      </c>
      <c r="K74" s="14" t="n">
        <f aca="false">Share_Prices!K74/Share_Prices!K73-1</f>
        <v>-0.00167470731032793</v>
      </c>
      <c r="L74" s="14" t="n">
        <f aca="false">Share_Prices!L74/Share_Prices!L73-1</f>
        <v>0.00335976347265143</v>
      </c>
      <c r="M74" s="14" t="n">
        <f aca="false">Share_Prices!M74/Share_Prices!M73-1</f>
        <v>0.0278999768464923</v>
      </c>
      <c r="N74" s="14" t="n">
        <f aca="false">Share_Prices!N74/Share_Prices!N73-1</f>
        <v>0.0145131775445386</v>
      </c>
      <c r="O74" s="14" t="n">
        <f aca="false">Share_Prices!O74/Share_Prices!O73-1</f>
        <v>-0.000434593654932591</v>
      </c>
      <c r="P74" s="14" t="n">
        <f aca="false">Share_Prices!P74/Share_Prices!P73-1</f>
        <v>-0.00725097434967825</v>
      </c>
      <c r="Q74" s="14" t="n">
        <f aca="false">Share_Prices!Q74/Share_Prices!Q73-1</f>
        <v>0.0258721415456518</v>
      </c>
      <c r="R74" s="14" t="n">
        <f aca="false">Share_Prices!R74/Share_Prices!R73-1</f>
        <v>0.00293236835537813</v>
      </c>
      <c r="S74" s="14" t="n">
        <f aca="false">Share_Prices!S74/Share_Prices!S73-1</f>
        <v>0.0145083888248205</v>
      </c>
    </row>
    <row r="75" customFormat="false" ht="15" hidden="false" customHeight="false" outlineLevel="0" collapsed="false">
      <c r="A75" s="13" t="n">
        <f aca="false">Share_Prices!A75</f>
        <v>44908</v>
      </c>
      <c r="B75" s="14" t="n">
        <f aca="false">Share_Prices!B75/Share_Prices!B74-1</f>
        <v>0.00599281510935468</v>
      </c>
      <c r="C75" s="14" t="n">
        <f aca="false">Share_Prices!C75/Share_Prices!C74-1</f>
        <v>0.00483320697498102</v>
      </c>
      <c r="D75" s="14" t="n">
        <f aca="false">Share_Prices!D75/Share_Prices!D74-1</f>
        <v>-0.00340162550959466</v>
      </c>
      <c r="E75" s="14" t="n">
        <f aca="false">Share_Prices!E75/Share_Prices!E74-1</f>
        <v>-0.0217470097861544</v>
      </c>
      <c r="F75" s="14" t="n">
        <f aca="false">Share_Prices!F75/Share_Prices!F74-1</f>
        <v>-0.00146344708308388</v>
      </c>
      <c r="G75" s="14" t="n">
        <f aca="false">Share_Prices!G75/Share_Prices!G74-1</f>
        <v>0.0253211924660097</v>
      </c>
      <c r="H75" s="14" t="n">
        <f aca="false">Share_Prices!H75/Share_Prices!H74-1</f>
        <v>0.0368455256986238</v>
      </c>
      <c r="I75" s="14" t="n">
        <f aca="false">Share_Prices!I75/Share_Prices!I74-1</f>
        <v>-0.00425877104035699</v>
      </c>
      <c r="J75" s="14" t="n">
        <f aca="false">Share_Prices!J75/Share_Prices!J74-1</f>
        <v>-0.0123493775381133</v>
      </c>
      <c r="K75" s="14" t="n">
        <f aca="false">Share_Prices!K75/Share_Prices!K74-1</f>
        <v>0.0174523292857474</v>
      </c>
      <c r="L75" s="14" t="n">
        <f aca="false">Share_Prices!L75/Share_Prices!L74-1</f>
        <v>0.00669702652022508</v>
      </c>
      <c r="M75" s="14" t="n">
        <f aca="false">Share_Prices!M75/Share_Prices!M74-1</f>
        <v>0.0142470998986373</v>
      </c>
      <c r="N75" s="14" t="n">
        <f aca="false">Share_Prices!N75/Share_Prices!N74-1</f>
        <v>0.00240499243256687</v>
      </c>
      <c r="O75" s="14" t="n">
        <f aca="false">Share_Prices!O75/Share_Prices!O74-1</f>
        <v>0.0163043478260869</v>
      </c>
      <c r="P75" s="14" t="n">
        <f aca="false">Share_Prices!P75/Share_Prices!P74-1</f>
        <v>0.00917556833744171</v>
      </c>
      <c r="Q75" s="14" t="n">
        <f aca="false">Share_Prices!Q75/Share_Prices!Q74-1</f>
        <v>-0.0126911812561017</v>
      </c>
      <c r="R75" s="14" t="n">
        <f aca="false">Share_Prices!R75/Share_Prices!R74-1</f>
        <v>-0.00709175738724732</v>
      </c>
      <c r="S75" s="14" t="n">
        <f aca="false">Share_Prices!S75/Share_Prices!S74-1</f>
        <v>0.00168677349565494</v>
      </c>
    </row>
    <row r="76" customFormat="false" ht="15" hidden="false" customHeight="false" outlineLevel="0" collapsed="false">
      <c r="A76" s="13" t="n">
        <f aca="false">Share_Prices!A76</f>
        <v>44909</v>
      </c>
      <c r="B76" s="14" t="n">
        <f aca="false">Share_Prices!B76/Share_Prices!B75-1</f>
        <v>0.00281061908856395</v>
      </c>
      <c r="C76" s="14" t="n">
        <f aca="false">Share_Prices!C76/Share_Prices!C75-1</f>
        <v>0.0037285045113018</v>
      </c>
      <c r="D76" s="14" t="n">
        <f aca="false">Share_Prices!D76/Share_Prices!D75-1</f>
        <v>0.0359822824387701</v>
      </c>
      <c r="E76" s="14" t="n">
        <f aca="false">Share_Prices!E76/Share_Prices!E75-1</f>
        <v>0.0127825120414971</v>
      </c>
      <c r="F76" s="14" t="n">
        <f aca="false">Share_Prices!F76/Share_Prices!F75-1</f>
        <v>-0.00113250283125699</v>
      </c>
      <c r="G76" s="14" t="n">
        <f aca="false">Share_Prices!G76/Share_Prices!G75-1</f>
        <v>0.0143552311435522</v>
      </c>
      <c r="H76" s="14" t="n">
        <f aca="false">Share_Prices!H76/Share_Prices!H75-1</f>
        <v>0.0857610028614253</v>
      </c>
      <c r="I76" s="14" t="n">
        <f aca="false">Share_Prices!I76/Share_Prices!I75-1</f>
        <v>-0.00896130346232171</v>
      </c>
      <c r="J76" s="14" t="n">
        <f aca="false">Share_Prices!J76/Share_Prices!J75-1</f>
        <v>-0.0178625594014358</v>
      </c>
      <c r="K76" s="14" t="n">
        <f aca="false">Share_Prices!K76/Share_Prices!K75-1</f>
        <v>0.00530925262059268</v>
      </c>
      <c r="L76" s="14" t="n">
        <f aca="false">Share_Prices!L76/Share_Prices!L75-1</f>
        <v>0.000665247472059649</v>
      </c>
      <c r="M76" s="14" t="n">
        <f aca="false">Share_Prices!M76/Share_Prices!M75-1</f>
        <v>0.00727333296318933</v>
      </c>
      <c r="N76" s="14" t="n">
        <f aca="false">Share_Prices!N76/Share_Prices!N75-1</f>
        <v>-0.0205795362882376</v>
      </c>
      <c r="O76" s="14" t="n">
        <f aca="false">Share_Prices!O76/Share_Prices!O75-1</f>
        <v>0.0145454545454546</v>
      </c>
      <c r="P76" s="14" t="n">
        <f aca="false">Share_Prices!P76/Share_Prices!P75-1</f>
        <v>0.00294024517121283</v>
      </c>
      <c r="Q76" s="14" t="n">
        <f aca="false">Share_Prices!Q76/Share_Prices!Q75-1</f>
        <v>-0.00444957152274217</v>
      </c>
      <c r="R76" s="14" t="n">
        <f aca="false">Share_Prices!R76/Share_Prices!R75-1</f>
        <v>0.00187958147985712</v>
      </c>
      <c r="S76" s="14" t="n">
        <f aca="false">Share_Prices!S76/Share_Prices!S75-1</f>
        <v>0.00929823919171202</v>
      </c>
    </row>
    <row r="77" customFormat="false" ht="15" hidden="false" customHeight="false" outlineLevel="0" collapsed="false">
      <c r="A77" s="13" t="n">
        <f aca="false">Share_Prices!A77</f>
        <v>44910</v>
      </c>
      <c r="B77" s="14" t="n">
        <f aca="false">Share_Prices!B77/Share_Prices!B76-1</f>
        <v>-0.0131509139724441</v>
      </c>
      <c r="C77" s="14" t="n">
        <f aca="false">Share_Prices!C77/Share_Prices!C76-1</f>
        <v>-0.0112755108432829</v>
      </c>
      <c r="D77" s="14" t="n">
        <f aca="false">Share_Prices!D77/Share_Prices!D76-1</f>
        <v>-0.00847564196071526</v>
      </c>
      <c r="E77" s="14" t="n">
        <f aca="false">Share_Prices!E77/Share_Prices!E76-1</f>
        <v>-0.0148161697457473</v>
      </c>
      <c r="F77" s="14" t="n">
        <f aca="false">Share_Prices!F77/Share_Prices!F76-1</f>
        <v>0.014672535680939</v>
      </c>
      <c r="G77" s="14" t="n">
        <f aca="false">Share_Prices!G77/Share_Prices!G76-1</f>
        <v>-0.00923482849604218</v>
      </c>
      <c r="H77" s="14" t="n">
        <f aca="false">Share_Prices!H77/Share_Prices!H76-1</f>
        <v>0.0322272978264142</v>
      </c>
      <c r="I77" s="14" t="n">
        <f aca="false">Share_Prices!I77/Share_Prices!I76-1</f>
        <v>-0.0143855322646937</v>
      </c>
      <c r="J77" s="14" t="n">
        <f aca="false">Share_Prices!J77/Share_Prices!J76-1</f>
        <v>-0.0287567344977865</v>
      </c>
      <c r="K77" s="14" t="n">
        <f aca="false">Share_Prices!K77/Share_Prices!K76-1</f>
        <v>-0.00448376515903826</v>
      </c>
      <c r="L77" s="14" t="n">
        <f aca="false">Share_Prices!L77/Share_Prices!L76-1</f>
        <v>-0.00598324690865582</v>
      </c>
      <c r="M77" s="14" t="n">
        <f aca="false">Share_Prices!M77/Share_Prices!M76-1</f>
        <v>0.00314188071877419</v>
      </c>
      <c r="N77" s="14" t="n">
        <f aca="false">Share_Prices!N77/Share_Prices!N76-1</f>
        <v>0.0203995438611311</v>
      </c>
      <c r="O77" s="14" t="n">
        <f aca="false">Share_Prices!O77/Share_Prices!O76-1</f>
        <v>0.00653594771241828</v>
      </c>
      <c r="P77" s="14" t="n">
        <f aca="false">Share_Prices!P77/Share_Prices!P76-1</f>
        <v>-0.00572794515605257</v>
      </c>
      <c r="Q77" s="14" t="n">
        <f aca="false">Share_Prices!Q77/Share_Prices!Q76-1</f>
        <v>-0.0441979804668102</v>
      </c>
      <c r="R77" s="14" t="n">
        <f aca="false">Share_Prices!R77/Share_Prices!R76-1</f>
        <v>-0.00112563316865733</v>
      </c>
      <c r="S77" s="14" t="n">
        <f aca="false">Share_Prices!S77/Share_Prices!S76-1</f>
        <v>0.0106271081933917</v>
      </c>
    </row>
    <row r="78" customFormat="false" ht="15" hidden="false" customHeight="false" outlineLevel="0" collapsed="false">
      <c r="A78" s="13" t="n">
        <f aca="false">Share_Prices!A78</f>
        <v>44911</v>
      </c>
      <c r="B78" s="14" t="n">
        <f aca="false">Share_Prices!B78/Share_Prices!B77-1</f>
        <v>-0.00792293197356497</v>
      </c>
      <c r="C78" s="14" t="n">
        <f aca="false">Share_Prices!C78/Share_Prices!C77-1</f>
        <v>-0.00934185684055799</v>
      </c>
      <c r="D78" s="14" t="n">
        <f aca="false">Share_Prices!D78/Share_Prices!D77-1</f>
        <v>0.00727982954545459</v>
      </c>
      <c r="E78" s="14" t="n">
        <f aca="false">Share_Prices!E78/Share_Prices!E77-1</f>
        <v>-0.026550315633123</v>
      </c>
      <c r="F78" s="14" t="n">
        <f aca="false">Share_Prices!F78/Share_Prices!F77-1</f>
        <v>-0.0312869725253058</v>
      </c>
      <c r="G78" s="14" t="n">
        <f aca="false">Share_Prices!G78/Share_Prices!G77-1</f>
        <v>-0.0223943832465803</v>
      </c>
      <c r="H78" s="14" t="n">
        <f aca="false">Share_Prices!H78/Share_Prices!H77-1</f>
        <v>-0.0586003987744979</v>
      </c>
      <c r="I78" s="14" t="n">
        <f aca="false">Share_Prices!I78/Share_Prices!I77-1</f>
        <v>-0.0266889074228523</v>
      </c>
      <c r="J78" s="14" t="n">
        <f aca="false">Share_Prices!J78/Share_Prices!J77-1</f>
        <v>0.0250503480196445</v>
      </c>
      <c r="K78" s="14" t="n">
        <f aca="false">Share_Prices!K78/Share_Prices!K77-1</f>
        <v>-0.00430747838703827</v>
      </c>
      <c r="L78" s="14" t="n">
        <f aca="false">Share_Prices!L78/Share_Prices!L77-1</f>
        <v>-0.0237426431246656</v>
      </c>
      <c r="M78" s="14" t="n">
        <f aca="false">Share_Prices!M78/Share_Prices!M77-1</f>
        <v>-0.0339579097752625</v>
      </c>
      <c r="N78" s="14" t="n">
        <f aca="false">Share_Prices!N78/Share_Prices!N77-1</f>
        <v>0.00010347682119205</v>
      </c>
      <c r="O78" s="14" t="n">
        <f aca="false">Share_Prices!O78/Share_Prices!O77-1</f>
        <v>-0.0201089233347297</v>
      </c>
      <c r="P78" s="14" t="n">
        <f aca="false">Share_Prices!P78/Share_Prices!P77-1</f>
        <v>-0.0214561124971649</v>
      </c>
      <c r="Q78" s="14" t="n">
        <f aca="false">Share_Prices!Q78/Share_Prices!Q77-1</f>
        <v>0.000519570488396459</v>
      </c>
      <c r="R78" s="14" t="n">
        <f aca="false">Share_Prices!R78/Share_Prices!R77-1</f>
        <v>-0.00976648093658039</v>
      </c>
      <c r="S78" s="14" t="n">
        <f aca="false">Share_Prices!S78/Share_Prices!S77-1</f>
        <v>-0.016329313809934</v>
      </c>
    </row>
    <row r="79" customFormat="false" ht="15" hidden="false" customHeight="false" outlineLevel="0" collapsed="false">
      <c r="A79" s="13" t="n">
        <f aca="false">Share_Prices!A79</f>
        <v>44914</v>
      </c>
      <c r="B79" s="14" t="n">
        <f aca="false">Share_Prices!B79/Share_Prices!B78-1</f>
        <v>0.00828999945262465</v>
      </c>
      <c r="C79" s="14" t="n">
        <f aca="false">Share_Prices!C79/Share_Prices!C78-1</f>
        <v>0.00760087872169657</v>
      </c>
      <c r="D79" s="14" t="n">
        <f aca="false">Share_Prices!D79/Share_Prices!D78-1</f>
        <v>-0.00629548487824527</v>
      </c>
      <c r="E79" s="14" t="n">
        <f aca="false">Share_Prices!E79/Share_Prices!E78-1</f>
        <v>0.0329963761205419</v>
      </c>
      <c r="F79" s="14" t="n">
        <f aca="false">Share_Prices!F79/Share_Prices!F78-1</f>
        <v>-0.021780431537522</v>
      </c>
      <c r="G79" s="14" t="n">
        <f aca="false">Share_Prices!G79/Share_Prices!G78-1</f>
        <v>0.0139920752847944</v>
      </c>
      <c r="H79" s="14" t="n">
        <f aca="false">Share_Prices!H79/Share_Prices!H78-1</f>
        <v>0.0839704514929227</v>
      </c>
      <c r="I79" s="14" t="n">
        <f aca="false">Share_Prices!I79/Share_Prices!I78-1</f>
        <v>0.0400599828620394</v>
      </c>
      <c r="J79" s="14" t="n">
        <f aca="false">Share_Prices!J79/Share_Prices!J78-1</f>
        <v>-0.0040672825037914</v>
      </c>
      <c r="K79" s="14" t="n">
        <f aca="false">Share_Prices!K79/Share_Prices!K78-1</f>
        <v>0.0136614095538792</v>
      </c>
      <c r="L79" s="14" t="n">
        <f aca="false">Share_Prices!L79/Share_Prices!L78-1</f>
        <v>0.0209632116188256</v>
      </c>
      <c r="M79" s="14" t="n">
        <f aca="false">Share_Prices!M79/Share_Prices!M78-1</f>
        <v>0.0291792275752234</v>
      </c>
      <c r="N79" s="14" t="n">
        <f aca="false">Share_Prices!N79/Share_Prices!N78-1</f>
        <v>0.00513191929643053</v>
      </c>
      <c r="O79" s="14" t="n">
        <f aca="false">Share_Prices!O79/Share_Prices!O78-1</f>
        <v>0.0091919623770842</v>
      </c>
      <c r="P79" s="14" t="n">
        <f aca="false">Share_Prices!P79/Share_Prices!P78-1</f>
        <v>0.0102447617281662</v>
      </c>
      <c r="Q79" s="14" t="n">
        <f aca="false">Share_Prices!Q79/Share_Prices!Q78-1</f>
        <v>-0.00571230742599982</v>
      </c>
      <c r="R79" s="14" t="n">
        <f aca="false">Share_Prices!R79/Share_Prices!R78-1</f>
        <v>0.00708098880950869</v>
      </c>
      <c r="S79" s="14" t="n">
        <f aca="false">Share_Prices!S79/Share_Prices!S78-1</f>
        <v>0.00131343719216326</v>
      </c>
    </row>
    <row r="80" customFormat="false" ht="15" hidden="false" customHeight="false" outlineLevel="0" collapsed="false">
      <c r="A80" s="13" t="n">
        <f aca="false">Share_Prices!A80</f>
        <v>44915</v>
      </c>
      <c r="B80" s="14" t="n">
        <f aca="false">Share_Prices!B80/Share_Prices!B79-1</f>
        <v>-0.00190820528271574</v>
      </c>
      <c r="C80" s="14" t="n">
        <f aca="false">Share_Prices!C80/Share_Prices!C79-1</f>
        <v>-0.00184066213059819</v>
      </c>
      <c r="D80" s="14" t="n">
        <f aca="false">Share_Prices!D80/Share_Prices!D79-1</f>
        <v>0.00288892830896326</v>
      </c>
      <c r="E80" s="14" t="n">
        <f aca="false">Share_Prices!E80/Share_Prices!E79-1</f>
        <v>0.00858567208271777</v>
      </c>
      <c r="F80" s="14" t="n">
        <f aca="false">Share_Prices!F80/Share_Prices!F79-1</f>
        <v>0.00173406395227849</v>
      </c>
      <c r="G80" s="14" t="n">
        <f aca="false">Share_Prices!G80/Share_Prices!G79-1</f>
        <v>0.0117230431066064</v>
      </c>
      <c r="H80" s="14" t="n">
        <f aca="false">Share_Prices!H80/Share_Prices!H79-1</f>
        <v>0.0472752400695784</v>
      </c>
      <c r="I80" s="14" t="n">
        <f aca="false">Share_Prices!I80/Share_Prices!I79-1</f>
        <v>-0.0140061791967044</v>
      </c>
      <c r="J80" s="14" t="n">
        <f aca="false">Share_Prices!J80/Share_Prices!J79-1</f>
        <v>-0.0112826192289056</v>
      </c>
      <c r="K80" s="14" t="n">
        <f aca="false">Share_Prices!K80/Share_Prices!K79-1</f>
        <v>-0.00660387247487981</v>
      </c>
      <c r="L80" s="14" t="n">
        <f aca="false">Share_Prices!L80/Share_Prices!L79-1</f>
        <v>0.00254982218345301</v>
      </c>
      <c r="M80" s="14" t="n">
        <f aca="false">Share_Prices!M80/Share_Prices!M79-1</f>
        <v>0.000718470211119593</v>
      </c>
      <c r="N80" s="14" t="n">
        <f aca="false">Share_Prices!N80/Share_Prices!N79-1</f>
        <v>0.0233874786403969</v>
      </c>
      <c r="O80" s="14" t="n">
        <f aca="false">Share_Prices!O80/Share_Prices!O79-1</f>
        <v>-0.00847278119042572</v>
      </c>
      <c r="P80" s="14" t="n">
        <f aca="false">Share_Prices!P80/Share_Prices!P79-1</f>
        <v>0.00188133804432611</v>
      </c>
      <c r="Q80" s="14" t="n">
        <f aca="false">Share_Prices!Q80/Share_Prices!Q79-1</f>
        <v>0.00835654596100288</v>
      </c>
      <c r="R80" s="14" t="n">
        <f aca="false">Share_Prices!R80/Share_Prices!R79-1</f>
        <v>-0.000439450059639634</v>
      </c>
      <c r="S80" s="14" t="n">
        <f aca="false">Share_Prices!S80/Share_Prices!S79-1</f>
        <v>0.0123884131900165</v>
      </c>
    </row>
    <row r="81" customFormat="false" ht="15" hidden="false" customHeight="false" outlineLevel="0" collapsed="false">
      <c r="A81" s="13" t="n">
        <f aca="false">Share_Prices!A81</f>
        <v>44916</v>
      </c>
      <c r="B81" s="14" t="n">
        <f aca="false">Share_Prices!B81/Share_Prices!B80-1</f>
        <v>-0.0101276563341366</v>
      </c>
      <c r="C81" s="14" t="n">
        <f aca="false">Share_Prices!C81/Share_Prices!C80-1</f>
        <v>-0.0126317864455495</v>
      </c>
      <c r="D81" s="14" t="n">
        <f aca="false">Share_Prices!D81/Share_Prices!D80-1</f>
        <v>-0.00166771951989886</v>
      </c>
      <c r="E81" s="14" t="n">
        <f aca="false">Share_Prices!E81/Share_Prices!E80-1</f>
        <v>-0.0213272311212814</v>
      </c>
      <c r="F81" s="14" t="n">
        <f aca="false">Share_Prices!F81/Share_Prices!F80-1</f>
        <v>-0.00914000830909845</v>
      </c>
      <c r="G81" s="14" t="n">
        <f aca="false">Share_Prices!G81/Share_Prices!G80-1</f>
        <v>-0.0072420036210018</v>
      </c>
      <c r="H81" s="14" t="n">
        <f aca="false">Share_Prices!H81/Share_Prices!H80-1</f>
        <v>-0.0792473436326818</v>
      </c>
      <c r="I81" s="14" t="n">
        <f aca="false">Share_Prices!I81/Share_Prices!I80-1</f>
        <v>-0.0261123877167329</v>
      </c>
      <c r="J81" s="14" t="n">
        <f aca="false">Share_Prices!J81/Share_Prices!J80-1</f>
        <v>-0.0165569868384207</v>
      </c>
      <c r="K81" s="14" t="n">
        <f aca="false">Share_Prices!K81/Share_Prices!K80-1</f>
        <v>-0.0174862070005125</v>
      </c>
      <c r="L81" s="14" t="n">
        <f aca="false">Share_Prices!L81/Share_Prices!L80-1</f>
        <v>-0.0327956629409009</v>
      </c>
      <c r="M81" s="14" t="n">
        <f aca="false">Share_Prices!M81/Share_Prices!M80-1</f>
        <v>0.00298227204948365</v>
      </c>
      <c r="N81" s="14" t="n">
        <f aca="false">Share_Prices!N81/Share_Prices!N80-1</f>
        <v>-0.0402542799090708</v>
      </c>
      <c r="O81" s="14" t="n">
        <f aca="false">Share_Prices!O81/Share_Prices!O80-1</f>
        <v>-0.0311899166844691</v>
      </c>
      <c r="P81" s="14" t="n">
        <f aca="false">Share_Prices!P81/Share_Prices!P80-1</f>
        <v>-0.00215260602729706</v>
      </c>
      <c r="Q81" s="14" t="n">
        <f aca="false">Share_Prices!Q81/Share_Prices!Q80-1</f>
        <v>-0.0531767955801106</v>
      </c>
      <c r="R81" s="14" t="n">
        <f aca="false">Share_Prices!R81/Share_Prices!R80-1</f>
        <v>-0.00558975003140316</v>
      </c>
      <c r="S81" s="14" t="n">
        <f aca="false">Share_Prices!S81/Share_Prices!S80-1</f>
        <v>-0.0142882850458882</v>
      </c>
    </row>
    <row r="82" customFormat="false" ht="15" hidden="false" customHeight="false" outlineLevel="0" collapsed="false">
      <c r="A82" s="13" t="n">
        <f aca="false">Share_Prices!A82</f>
        <v>44917</v>
      </c>
      <c r="B82" s="14" t="n">
        <f aca="false">Share_Prices!B82/Share_Prices!B81-1</f>
        <v>-0.00394250265122997</v>
      </c>
      <c r="C82" s="14" t="n">
        <f aca="false">Share_Prices!C82/Share_Prices!C81-1</f>
        <v>-0.00618577946939469</v>
      </c>
      <c r="D82" s="14" t="n">
        <f aca="false">Share_Prices!D82/Share_Prices!D81-1</f>
        <v>-0.027613961375889</v>
      </c>
      <c r="E82" s="14" t="n">
        <f aca="false">Share_Prices!E82/Share_Prices!E81-1</f>
        <v>-0.0241301907968574</v>
      </c>
      <c r="F82" s="14" t="n">
        <f aca="false">Share_Prices!F82/Share_Prices!F81-1</f>
        <v>-0.00922431865828099</v>
      </c>
      <c r="G82" s="14" t="n">
        <f aca="false">Share_Prices!G82/Share_Prices!G81-1</f>
        <v>-0.000607902735562327</v>
      </c>
      <c r="H82" s="14" t="n">
        <f aca="false">Share_Prices!H82/Share_Prices!H81-1</f>
        <v>0.0424532964317486</v>
      </c>
      <c r="I82" s="14" t="n">
        <f aca="false">Share_Prices!I82/Share_Prices!I81-1</f>
        <v>-0.0534105534105533</v>
      </c>
      <c r="J82" s="14" t="n">
        <f aca="false">Share_Prices!J82/Share_Prices!J81-1</f>
        <v>0.0123509521267129</v>
      </c>
      <c r="K82" s="14" t="n">
        <f aca="false">Share_Prices!K82/Share_Prices!K81-1</f>
        <v>-0.00552333609500144</v>
      </c>
      <c r="L82" s="14" t="n">
        <f aca="false">Share_Prices!L82/Share_Prices!L81-1</f>
        <v>-0.00788872742370761</v>
      </c>
      <c r="M82" s="14" t="n">
        <f aca="false">Share_Prices!M82/Share_Prices!M81-1</f>
        <v>-0.0241726777159847</v>
      </c>
      <c r="N82" s="14" t="n">
        <f aca="false">Share_Prices!N82/Share_Prices!N81-1</f>
        <v>-0.0276892764316257</v>
      </c>
      <c r="O82" s="14" t="n">
        <f aca="false">Share_Prices!O82/Share_Prices!O81-1</f>
        <v>0.00485115766262401</v>
      </c>
      <c r="P82" s="14" t="n">
        <f aca="false">Share_Prices!P82/Share_Prices!P81-1</f>
        <v>-0.00339652086106379</v>
      </c>
      <c r="Q82" s="14" t="n">
        <f aca="false">Share_Prices!Q82/Share_Prices!Q81-1</f>
        <v>-0.0330051057622174</v>
      </c>
      <c r="R82" s="14" t="n">
        <f aca="false">Share_Prices!R82/Share_Prices!R81-1</f>
        <v>-0.00606328554285351</v>
      </c>
      <c r="S82" s="14" t="n">
        <f aca="false">Share_Prices!S82/Share_Prices!S81-1</f>
        <v>-0.0219074047027895</v>
      </c>
    </row>
    <row r="83" customFormat="false" ht="15" hidden="false" customHeight="false" outlineLevel="0" collapsed="false">
      <c r="A83" s="13" t="n">
        <f aca="false">Share_Prices!A83</f>
        <v>44918</v>
      </c>
      <c r="B83" s="14" t="n">
        <f aca="false">Share_Prices!B83/Share_Prices!B82-1</f>
        <v>-0.0176832245198553</v>
      </c>
      <c r="C83" s="14" t="n">
        <f aca="false">Share_Prices!C83/Share_Prices!C82-1</f>
        <v>-0.0249813692771279</v>
      </c>
      <c r="D83" s="14" t="n">
        <f aca="false">Share_Prices!D83/Share_Prices!D82-1</f>
        <v>-0.0254828465823312</v>
      </c>
      <c r="E83" s="14" t="n">
        <f aca="false">Share_Prices!E83/Share_Prices!E82-1</f>
        <v>-0.0615296147211041</v>
      </c>
      <c r="F83" s="14" t="n">
        <f aca="false">Share_Prices!F83/Share_Prices!F82-1</f>
        <v>-0.0196078431372548</v>
      </c>
      <c r="G83" s="14" t="n">
        <f aca="false">Share_Prices!G83/Share_Prices!G82-1</f>
        <v>-0.0388077858880779</v>
      </c>
      <c r="H83" s="14" t="n">
        <f aca="false">Share_Prices!H83/Share_Prices!H82-1</f>
        <v>-0.0791968899634951</v>
      </c>
      <c r="I83" s="14" t="n">
        <f aca="false">Share_Prices!I83/Share_Prices!I82-1</f>
        <v>-0.0561975980058918</v>
      </c>
      <c r="J83" s="14" t="n">
        <f aca="false">Share_Prices!J83/Share_Prices!J82-1</f>
        <v>-0.0514380142043456</v>
      </c>
      <c r="K83" s="14" t="n">
        <f aca="false">Share_Prices!K83/Share_Prices!K82-1</f>
        <v>-0.0178808355703661</v>
      </c>
      <c r="L83" s="14" t="n">
        <f aca="false">Share_Prices!L83/Share_Prices!L82-1</f>
        <v>-0.0245518588268118</v>
      </c>
      <c r="M83" s="14" t="n">
        <f aca="false">Share_Prices!M83/Share_Prices!M82-1</f>
        <v>-0.0316555693488321</v>
      </c>
      <c r="N83" s="14" t="n">
        <f aca="false">Share_Prices!N83/Share_Prices!N82-1</f>
        <v>-0.0727574535969129</v>
      </c>
      <c r="O83" s="14" t="n">
        <f aca="false">Share_Prices!O83/Share_Prices!O82-1</f>
        <v>-0.0311608514373491</v>
      </c>
      <c r="P83" s="14" t="n">
        <f aca="false">Share_Prices!P83/Share_Prices!P82-1</f>
        <v>-0.0388707226085755</v>
      </c>
      <c r="Q83" s="14" t="n">
        <f aca="false">Share_Prices!Q83/Share_Prices!Q82-1</f>
        <v>-0.071846124834999</v>
      </c>
      <c r="R83" s="14" t="n">
        <f aca="false">Share_Prices!R83/Share_Prices!R82-1</f>
        <v>-0.0198258880345682</v>
      </c>
      <c r="S83" s="14" t="n">
        <f aca="false">Share_Prices!S83/Share_Prices!S82-1</f>
        <v>-0.0282962520531581</v>
      </c>
    </row>
    <row r="84" customFormat="false" ht="15" hidden="false" customHeight="false" outlineLevel="0" collapsed="false">
      <c r="A84" s="13" t="n">
        <f aca="false">Share_Prices!A84</f>
        <v>44921</v>
      </c>
      <c r="B84" s="14" t="n">
        <f aca="false">Share_Prices!B84/Share_Prices!B83-1</f>
        <v>0.0116696992160299</v>
      </c>
      <c r="C84" s="14" t="n">
        <f aca="false">Share_Prices!C84/Share_Prices!C83-1</f>
        <v>0.0167851920776285</v>
      </c>
      <c r="D84" s="14" t="n">
        <f aca="false">Share_Prices!D84/Share_Prices!D83-1</f>
        <v>-0.0132749272149364</v>
      </c>
      <c r="E84" s="14" t="n">
        <f aca="false">Share_Prices!E84/Share_Prices!E83-1</f>
        <v>0.0614787581699348</v>
      </c>
      <c r="F84" s="14" t="n">
        <f aca="false">Share_Prices!F84/Share_Prices!F83-1</f>
        <v>0.0154676258992805</v>
      </c>
      <c r="G84" s="14" t="n">
        <f aca="false">Share_Prices!G84/Share_Prices!G83-1</f>
        <v>0.0324009619035566</v>
      </c>
      <c r="H84" s="14" t="n">
        <f aca="false">Share_Prices!H84/Share_Prices!H83-1</f>
        <v>0.0399536619899601</v>
      </c>
      <c r="I84" s="14" t="n">
        <f aca="false">Share_Prices!I84/Share_Prices!I83-1</f>
        <v>0.0374549819927972</v>
      </c>
      <c r="J84" s="14" t="n">
        <f aca="false">Share_Prices!J84/Share_Prices!J83-1</f>
        <v>0.0270951480781347</v>
      </c>
      <c r="K84" s="14" t="n">
        <f aca="false">Share_Prices!K84/Share_Prices!K83-1</f>
        <v>0.009283840462464</v>
      </c>
      <c r="L84" s="14" t="n">
        <f aca="false">Share_Prices!L84/Share_Prices!L83-1</f>
        <v>0.0163746871648196</v>
      </c>
      <c r="M84" s="14" t="n">
        <f aca="false">Share_Prices!M84/Share_Prices!M83-1</f>
        <v>0.0365946040440535</v>
      </c>
      <c r="N84" s="14" t="n">
        <f aca="false">Share_Prices!N84/Share_Prices!N83-1</f>
        <v>0.0753045661675811</v>
      </c>
      <c r="O84" s="14" t="n">
        <f aca="false">Share_Prices!O84/Share_Prices!O83-1</f>
        <v>0.0321630804077009</v>
      </c>
      <c r="P84" s="14" t="n">
        <f aca="false">Share_Prices!P84/Share_Prices!P83-1</f>
        <v>0.0201734630312904</v>
      </c>
      <c r="Q84" s="14" t="n">
        <f aca="false">Share_Prices!Q84/Share_Prices!Q83-1</f>
        <v>0.139577407557903</v>
      </c>
      <c r="R84" s="14" t="n">
        <f aca="false">Share_Prices!R84/Share_Prices!R83-1</f>
        <v>0.0278119935170178</v>
      </c>
      <c r="S84" s="14" t="n">
        <f aca="false">Share_Prices!S84/Share_Prices!S83-1</f>
        <v>0.0381482904341146</v>
      </c>
    </row>
    <row r="85" customFormat="false" ht="15" hidden="false" customHeight="false" outlineLevel="0" collapsed="false">
      <c r="A85" s="13" t="n">
        <f aca="false">Share_Prices!A85</f>
        <v>44922</v>
      </c>
      <c r="B85" s="14" t="n">
        <f aca="false">Share_Prices!B85/Share_Prices!B84-1</f>
        <v>0.0065335894219134</v>
      </c>
      <c r="C85" s="14" t="n">
        <f aca="false">Share_Prices!C85/Share_Prices!C84-1</f>
        <v>0.00783080749482812</v>
      </c>
      <c r="D85" s="14" t="n">
        <f aca="false">Share_Prices!D85/Share_Prices!D84-1</f>
        <v>-0.00473715554111853</v>
      </c>
      <c r="E85" s="14" t="n">
        <f aca="false">Share_Prices!E85/Share_Prices!E84-1</f>
        <v>0.0185684048489512</v>
      </c>
      <c r="F85" s="14" t="n">
        <f aca="false">Share_Prices!F85/Share_Prices!F84-1</f>
        <v>0.0325185972369819</v>
      </c>
      <c r="G85" s="14" t="n">
        <f aca="false">Share_Prices!G85/Share_Prices!G84-1</f>
        <v>0.0147112909157778</v>
      </c>
      <c r="H85" s="14" t="n">
        <f aca="false">Share_Prices!H85/Share_Prices!H84-1</f>
        <v>0.0447062900710447</v>
      </c>
      <c r="I85" s="14" t="n">
        <f aca="false">Share_Prices!I85/Share_Prices!I84-1</f>
        <v>0.0430455912983105</v>
      </c>
      <c r="J85" s="14" t="n">
        <f aca="false">Share_Prices!J85/Share_Prices!J84-1</f>
        <v>0.0115842656080838</v>
      </c>
      <c r="K85" s="14" t="n">
        <f aca="false">Share_Prices!K85/Share_Prices!K84-1</f>
        <v>0.0110350194552529</v>
      </c>
      <c r="L85" s="14" t="n">
        <f aca="false">Share_Prices!L85/Share_Prices!L84-1</f>
        <v>-0.00506542845082314</v>
      </c>
      <c r="M85" s="14" t="n">
        <f aca="false">Share_Prices!M85/Share_Prices!M84-1</f>
        <v>0.00337287087526006</v>
      </c>
      <c r="N85" s="14" t="n">
        <f aca="false">Share_Prices!N85/Share_Prices!N84-1</f>
        <v>-0.00849711357592264</v>
      </c>
      <c r="O85" s="14" t="n">
        <f aca="false">Share_Prices!O85/Share_Prices!O84-1</f>
        <v>0.00548606539389951</v>
      </c>
      <c r="P85" s="14" t="n">
        <f aca="false">Share_Prices!P85/Share_Prices!P84-1</f>
        <v>0.00131517144199167</v>
      </c>
      <c r="Q85" s="14" t="n">
        <f aca="false">Share_Prices!Q85/Share_Prices!Q84-1</f>
        <v>0.0418969513282226</v>
      </c>
      <c r="R85" s="14" t="n">
        <f aca="false">Share_Prices!R85/Share_Prices!R84-1</f>
        <v>0.00826289895294563</v>
      </c>
      <c r="S85" s="14" t="n">
        <f aca="false">Share_Prices!S85/Share_Prices!S84-1</f>
        <v>0.0205380601709653</v>
      </c>
    </row>
    <row r="86" customFormat="false" ht="15" hidden="false" customHeight="false" outlineLevel="0" collapsed="false">
      <c r="A86" s="13" t="n">
        <f aca="false">Share_Prices!A86</f>
        <v>44923</v>
      </c>
      <c r="B86" s="14" t="n">
        <f aca="false">Share_Prices!B86/Share_Prices!B85-1</f>
        <v>-0.000540471975425061</v>
      </c>
      <c r="C86" s="14" t="n">
        <f aca="false">Share_Prices!C86/Share_Prices!C85-1</f>
        <v>0.000937194965738852</v>
      </c>
      <c r="D86" s="14" t="n">
        <f aca="false">Share_Prices!D86/Share_Prices!D85-1</f>
        <v>0.00459651317757781</v>
      </c>
      <c r="E86" s="14" t="n">
        <f aca="false">Share_Prices!E86/Share_Prices!E85-1</f>
        <v>-0.00717861528289421</v>
      </c>
      <c r="F86" s="14" t="n">
        <f aca="false">Share_Prices!F86/Share_Prices!F85-1</f>
        <v>-0.00679291889666533</v>
      </c>
      <c r="G86" s="14" t="n">
        <f aca="false">Share_Prices!G86/Share_Prices!G85-1</f>
        <v>0.00640328621481201</v>
      </c>
      <c r="H86" s="14" t="n">
        <f aca="false">Share_Prices!H86/Share_Prices!H85-1</f>
        <v>-0.0119659739828921</v>
      </c>
      <c r="I86" s="14" t="n">
        <f aca="false">Share_Prices!I86/Share_Prices!I85-1</f>
        <v>-0.012425116485467</v>
      </c>
      <c r="J86" s="14" t="n">
        <f aca="false">Share_Prices!J86/Share_Prices!J85-1</f>
        <v>-0.00656416110734548</v>
      </c>
      <c r="K86" s="14" t="n">
        <f aca="false">Share_Prices!K86/Share_Prices!K85-1</f>
        <v>-0.00440277713634751</v>
      </c>
      <c r="L86" s="14" t="n">
        <f aca="false">Share_Prices!L86/Share_Prices!L85-1</f>
        <v>0.026446047235186</v>
      </c>
      <c r="M86" s="14" t="n">
        <f aca="false">Share_Prices!M86/Share_Prices!M85-1</f>
        <v>0.0219620146786934</v>
      </c>
      <c r="N86" s="14" t="n">
        <f aca="false">Share_Prices!N86/Share_Prices!N85-1</f>
        <v>-0.00115574163722787</v>
      </c>
      <c r="O86" s="14" t="n">
        <f aca="false">Share_Prices!O86/Share_Prices!O85-1</f>
        <v>0.011567001309472</v>
      </c>
      <c r="P86" s="14" t="n">
        <f aca="false">Share_Prices!P86/Share_Prices!P85-1</f>
        <v>0.0114926353316447</v>
      </c>
      <c r="Q86" s="14" t="n">
        <f aca="false">Share_Prices!Q86/Share_Prices!Q85-1</f>
        <v>0.0349075975359343</v>
      </c>
      <c r="R86" s="14" t="n">
        <f aca="false">Share_Prices!R86/Share_Prices!R85-1</f>
        <v>-0.00538004379105406</v>
      </c>
      <c r="S86" s="14" t="n">
        <f aca="false">Share_Prices!S86/Share_Prices!S85-1</f>
        <v>0.00703459279135554</v>
      </c>
    </row>
    <row r="87" customFormat="false" ht="15" hidden="false" customHeight="false" outlineLevel="0" collapsed="false">
      <c r="A87" s="13" t="n">
        <f aca="false">Share_Prices!A87</f>
        <v>44924</v>
      </c>
      <c r="B87" s="14" t="n">
        <f aca="false">Share_Prices!B87/Share_Prices!B86-1</f>
        <v>0.00377983170092433</v>
      </c>
      <c r="C87" s="14" t="n">
        <f aca="false">Share_Prices!C87/Share_Prices!C86-1</f>
        <v>0.00339536571458199</v>
      </c>
      <c r="D87" s="14" t="n">
        <f aca="false">Share_Prices!D87/Share_Prices!D86-1</f>
        <v>0.00438596491228083</v>
      </c>
      <c r="E87" s="14" t="n">
        <f aca="false">Share_Prices!E87/Share_Prices!E86-1</f>
        <v>0.00951384264104283</v>
      </c>
      <c r="F87" s="14" t="n">
        <f aca="false">Share_Prices!F87/Share_Prices!F86-1</f>
        <v>0.0112607944732297</v>
      </c>
      <c r="G87" s="14" t="n">
        <f aca="false">Share_Prices!G87/Share_Prices!G86-1</f>
        <v>-0.00132052821128459</v>
      </c>
      <c r="H87" s="14" t="n">
        <f aca="false">Share_Prices!H87/Share_Prices!H86-1</f>
        <v>-0.000887332725790224</v>
      </c>
      <c r="I87" s="14" t="n">
        <f aca="false">Share_Prices!I87/Share_Prices!I86-1</f>
        <v>0.00876207593799139</v>
      </c>
      <c r="J87" s="14" t="n">
        <f aca="false">Share_Prices!J87/Share_Prices!J86-1</f>
        <v>0.0319962653068555</v>
      </c>
      <c r="K87" s="14" t="n">
        <f aca="false">Share_Prices!K87/Share_Prices!K86-1</f>
        <v>0.00538091630201176</v>
      </c>
      <c r="L87" s="14" t="n">
        <f aca="false">Share_Prices!L87/Share_Prices!L86-1</f>
        <v>-0.0148801322678424</v>
      </c>
      <c r="M87" s="14" t="n">
        <f aca="false">Share_Prices!M87/Share_Prices!M86-1</f>
        <v>-0.0135409242914313</v>
      </c>
      <c r="N87" s="14" t="n">
        <f aca="false">Share_Prices!N87/Share_Prices!N86-1</f>
        <v>0.0191900447549394</v>
      </c>
      <c r="O87" s="14" t="n">
        <f aca="false">Share_Prices!O87/Share_Prices!O86-1</f>
        <v>-0.0112189859762675</v>
      </c>
      <c r="P87" s="14" t="n">
        <f aca="false">Share_Prices!P87/Share_Prices!P86-1</f>
        <v>-0.0199879423085844</v>
      </c>
      <c r="Q87" s="14" t="n">
        <f aca="false">Share_Prices!Q87/Share_Prices!Q86-1</f>
        <v>0.0142195767195767</v>
      </c>
      <c r="R87" s="14" t="n">
        <f aca="false">Share_Prices!R87/Share_Prices!R86-1</f>
        <v>-0.0123278193597083</v>
      </c>
      <c r="S87" s="14" t="n">
        <f aca="false">Share_Prices!S87/Share_Prices!S86-1</f>
        <v>-0.0549834365548035</v>
      </c>
    </row>
    <row r="88" customFormat="false" ht="15" hidden="false" customHeight="false" outlineLevel="0" collapsed="false">
      <c r="A88" s="13" t="n">
        <f aca="false">Share_Prices!A88</f>
        <v>44925</v>
      </c>
      <c r="B88" s="14" t="n">
        <f aca="false">Share_Prices!B88/Share_Prices!B87-1</f>
        <v>-0.00471112088395365</v>
      </c>
      <c r="C88" s="14" t="n">
        <f aca="false">Share_Prices!C88/Share_Prices!C87-1</f>
        <v>-0.00234740268126987</v>
      </c>
      <c r="D88" s="14" t="n">
        <f aca="false">Share_Prices!D88/Share_Prices!D87-1</f>
        <v>-0.00487896921666942</v>
      </c>
      <c r="E88" s="14" t="n">
        <f aca="false">Share_Prices!E88/Share_Prices!E87-1</f>
        <v>0.00848176420695501</v>
      </c>
      <c r="F88" s="14" t="n">
        <f aca="false">Share_Prices!F88/Share_Prices!F87-1</f>
        <v>-0.000341576718130843</v>
      </c>
      <c r="G88" s="14" t="n">
        <f aca="false">Share_Prices!G88/Share_Prices!G87-1</f>
        <v>-0.00432744320230805</v>
      </c>
      <c r="H88" s="14" t="n">
        <f aca="false">Share_Prices!H88/Share_Prices!H87-1</f>
        <v>0.0607282590432299</v>
      </c>
      <c r="I88" s="14" t="n">
        <f aca="false">Share_Prices!I88/Share_Prices!I87-1</f>
        <v>0.0267260579064588</v>
      </c>
      <c r="J88" s="14" t="n">
        <f aca="false">Share_Prices!J88/Share_Prices!J87-1</f>
        <v>0.000800334052474039</v>
      </c>
      <c r="K88" s="14" t="n">
        <f aca="false">Share_Prices!K88/Share_Prices!K87-1</f>
        <v>0.00987373310161321</v>
      </c>
      <c r="L88" s="14" t="n">
        <f aca="false">Share_Prices!L88/Share_Prices!L87-1</f>
        <v>0.0110489510489511</v>
      </c>
      <c r="M88" s="14" t="n">
        <f aca="false">Share_Prices!M88/Share_Prices!M87-1</f>
        <v>0.0173391130376792</v>
      </c>
      <c r="N88" s="14" t="n">
        <f aca="false">Share_Prices!N88/Share_Prices!N87-1</f>
        <v>0.00124239568160411</v>
      </c>
      <c r="O88" s="14" t="n">
        <f aca="false">Share_Prices!O88/Share_Prices!O87-1</f>
        <v>0.0237835478943922</v>
      </c>
      <c r="P88" s="14" t="n">
        <f aca="false">Share_Prices!P88/Share_Prices!P87-1</f>
        <v>0.0061044860874504</v>
      </c>
      <c r="Q88" s="14" t="n">
        <f aca="false">Share_Prices!Q88/Share_Prices!Q87-1</f>
        <v>0.00521682425823289</v>
      </c>
      <c r="R88" s="14" t="n">
        <f aca="false">Share_Prices!R88/Share_Prices!R87-1</f>
        <v>0.0131821944851303</v>
      </c>
      <c r="S88" s="14" t="n">
        <f aca="false">Share_Prices!S88/Share_Prices!S87-1</f>
        <v>0.0492665269575157</v>
      </c>
    </row>
    <row r="89" customFormat="false" ht="15" hidden="false" customHeight="false" outlineLevel="0" collapsed="false">
      <c r="A89" s="13" t="n">
        <f aca="false">Share_Prices!A89</f>
        <v>44928</v>
      </c>
      <c r="B89" s="14" t="n">
        <f aca="false">Share_Prices!B89/Share_Prices!B88-1</f>
        <v>0.00508966987567194</v>
      </c>
      <c r="C89" s="14" t="n">
        <f aca="false">Share_Prices!C89/Share_Prices!C88-1</f>
        <v>0.00484178433993465</v>
      </c>
      <c r="D89" s="14" t="n">
        <f aca="false">Share_Prices!D89/Share_Prices!D88-1</f>
        <v>-0.0203971070238643</v>
      </c>
      <c r="E89" s="14" t="n">
        <f aca="false">Share_Prices!E89/Share_Prices!E88-1</f>
        <v>0.021119521540043</v>
      </c>
      <c r="F89" s="14" t="n">
        <f aca="false">Share_Prices!F89/Share_Prices!F88-1</f>
        <v>0.0263103943142213</v>
      </c>
      <c r="G89" s="14" t="n">
        <f aca="false">Share_Prices!G89/Share_Prices!G88-1</f>
        <v>0.0248702161052758</v>
      </c>
      <c r="H89" s="14" t="n">
        <f aca="false">Share_Prices!H89/Share_Prices!H88-1</f>
        <v>0.0742232581294833</v>
      </c>
      <c r="I89" s="14" t="n">
        <f aca="false">Share_Prices!I89/Share_Prices!I88-1</f>
        <v>0.00629067245119308</v>
      </c>
      <c r="J89" s="14" t="n">
        <f aca="false">Share_Prices!J89/Share_Prices!J88-1</f>
        <v>0.00170369597719144</v>
      </c>
      <c r="K89" s="14" t="n">
        <f aca="false">Share_Prices!K89/Share_Prices!K88-1</f>
        <v>-0.00327429450375394</v>
      </c>
      <c r="L89" s="14" t="n">
        <f aca="false">Share_Prices!L89/Share_Prices!L88-1</f>
        <v>0.0123806888919631</v>
      </c>
      <c r="M89" s="14" t="n">
        <f aca="false">Share_Prices!M89/Share_Prices!M88-1</f>
        <v>-0.0154047853162896</v>
      </c>
      <c r="N89" s="14" t="n">
        <f aca="false">Share_Prices!N89/Share_Prices!N88-1</f>
        <v>-0.0101835608232425</v>
      </c>
      <c r="O89" s="14" t="n">
        <f aca="false">Share_Prices!O89/Share_Prices!O88-1</f>
        <v>0.0274936061381075</v>
      </c>
      <c r="P89" s="14" t="n">
        <f aca="false">Share_Prices!P89/Share_Prices!P88-1</f>
        <v>0.0269507549033443</v>
      </c>
      <c r="Q89" s="14" t="n">
        <f aca="false">Share_Prices!Q89/Share_Prices!Q88-1</f>
        <v>-0.0157314304249109</v>
      </c>
      <c r="R89" s="14" t="n">
        <f aca="false">Share_Prices!R89/Share_Prices!R88-1</f>
        <v>-0.000817096165933395</v>
      </c>
      <c r="S89" s="14" t="n">
        <f aca="false">Share_Prices!S89/Share_Prices!S88-1</f>
        <v>0.00646379548260589</v>
      </c>
    </row>
    <row r="90" customFormat="false" ht="15" hidden="false" customHeight="false" outlineLevel="0" collapsed="false">
      <c r="A90" s="13" t="n">
        <f aca="false">Share_Prices!A90</f>
        <v>44929</v>
      </c>
      <c r="B90" s="14" t="n">
        <f aca="false">Share_Prices!B90/Share_Prices!B89-1</f>
        <v>0.00192884167836693</v>
      </c>
      <c r="C90" s="14" t="n">
        <f aca="false">Share_Prices!C90/Share_Prices!C89-1</f>
        <v>0.00219986923178506</v>
      </c>
      <c r="D90" s="14" t="n">
        <f aca="false">Share_Prices!D90/Share_Prices!D89-1</f>
        <v>-0.00561331711093915</v>
      </c>
      <c r="E90" s="14" t="n">
        <f aca="false">Share_Prices!E90/Share_Prices!E89-1</f>
        <v>0.00420975565113935</v>
      </c>
      <c r="F90" s="14" t="n">
        <f aca="false">Share_Prices!F90/Share_Prices!F89-1</f>
        <v>-0.0146490877613531</v>
      </c>
      <c r="G90" s="14" t="n">
        <f aca="false">Share_Prices!G90/Share_Prices!G89-1</f>
        <v>-0.00671457179879842</v>
      </c>
      <c r="H90" s="14" t="n">
        <f aca="false">Share_Prices!H90/Share_Prices!H89-1</f>
        <v>-0.000105327463082672</v>
      </c>
      <c r="I90" s="14" t="n">
        <f aca="false">Share_Prices!I90/Share_Prices!I89-1</f>
        <v>-0.00495796507868063</v>
      </c>
      <c r="J90" s="14" t="n">
        <f aca="false">Share_Prices!J90/Share_Prices!J89-1</f>
        <v>0.00350572717806319</v>
      </c>
      <c r="K90" s="14" t="n">
        <f aca="false">Share_Prices!K90/Share_Prices!K89-1</f>
        <v>0.00802163549688295</v>
      </c>
      <c r="L90" s="14" t="n">
        <f aca="false">Share_Prices!L90/Share_Prices!L89-1</f>
        <v>-0.00457744073239053</v>
      </c>
      <c r="M90" s="14" t="n">
        <f aca="false">Share_Prices!M90/Share_Prices!M89-1</f>
        <v>-0.011040834442965</v>
      </c>
      <c r="N90" s="14" t="n">
        <f aca="false">Share_Prices!N90/Share_Prices!N89-1</f>
        <v>-0.0207928068127783</v>
      </c>
      <c r="O90" s="14" t="n">
        <f aca="false">Share_Prices!O90/Share_Prices!O89-1</f>
        <v>-0.0282099149554035</v>
      </c>
      <c r="P90" s="14" t="n">
        <f aca="false">Share_Prices!P90/Share_Prices!P89-1</f>
        <v>-0.00407621141339198</v>
      </c>
      <c r="Q90" s="14" t="n">
        <f aca="false">Share_Prices!Q90/Share_Prices!Q89-1</f>
        <v>0.00131817432855508</v>
      </c>
      <c r="R90" s="14" t="n">
        <f aca="false">Share_Prices!R90/Share_Prices!R89-1</f>
        <v>-0.00308234258036111</v>
      </c>
      <c r="S90" s="14" t="n">
        <f aca="false">Share_Prices!S90/Share_Prices!S89-1</f>
        <v>-0.0260860152980229</v>
      </c>
    </row>
    <row r="91" customFormat="false" ht="15" hidden="false" customHeight="false" outlineLevel="0" collapsed="false">
      <c r="A91" s="13" t="n">
        <f aca="false">Share_Prices!A91</f>
        <v>44930</v>
      </c>
      <c r="B91" s="14" t="n">
        <f aca="false">Share_Prices!B91/Share_Prices!B90-1</f>
        <v>-0.0103989842342404</v>
      </c>
      <c r="C91" s="14" t="n">
        <f aca="false">Share_Prices!C91/Share_Prices!C90-1</f>
        <v>-0.010592757330728</v>
      </c>
      <c r="D91" s="14" t="n">
        <f aca="false">Share_Prices!D91/Share_Prices!D90-1</f>
        <v>-0.0202441533883929</v>
      </c>
      <c r="E91" s="14" t="n">
        <f aca="false">Share_Prices!E91/Share_Prices!E90-1</f>
        <v>-0.0102068714116468</v>
      </c>
      <c r="F91" s="14" t="n">
        <f aca="false">Share_Prices!F91/Share_Prices!F90-1</f>
        <v>0.021354237059062</v>
      </c>
      <c r="G91" s="14" t="n">
        <f aca="false">Share_Prices!G91/Share_Prices!G90-1</f>
        <v>-0.000711574952561689</v>
      </c>
      <c r="H91" s="14" t="n">
        <f aca="false">Share_Prices!H91/Share_Prices!H90-1</f>
        <v>-0.029916150507732</v>
      </c>
      <c r="I91" s="14" t="n">
        <f aca="false">Share_Prices!I91/Share_Prices!I90-1</f>
        <v>-0.00931542461005197</v>
      </c>
      <c r="J91" s="14" t="n">
        <f aca="false">Share_Prices!J91/Share_Prices!J90-1</f>
        <v>-0.00833592750164292</v>
      </c>
      <c r="K91" s="14" t="n">
        <f aca="false">Share_Prices!K91/Share_Prices!K90-1</f>
        <v>-0.00533551604444238</v>
      </c>
      <c r="L91" s="14" t="n">
        <f aca="false">Share_Prices!L91/Share_Prices!L90-1</f>
        <v>-0.0137268359643102</v>
      </c>
      <c r="M91" s="14" t="n">
        <f aca="false">Share_Prices!M91/Share_Prices!M90-1</f>
        <v>-0.00678821879382885</v>
      </c>
      <c r="N91" s="14" t="n">
        <f aca="false">Share_Prices!N91/Share_Prices!N90-1</f>
        <v>-0.00920448525516515</v>
      </c>
      <c r="O91" s="14" t="n">
        <f aca="false">Share_Prices!O91/Share_Prices!O90-1</f>
        <v>-0.000640341515474985</v>
      </c>
      <c r="P91" s="14" t="n">
        <f aca="false">Share_Prices!P91/Share_Prices!P90-1</f>
        <v>0.0025753046677397</v>
      </c>
      <c r="Q91" s="14" t="n">
        <f aca="false">Share_Prices!Q91/Share_Prices!Q90-1</f>
        <v>-0.018101036695738</v>
      </c>
      <c r="R91" s="14" t="n">
        <f aca="false">Share_Prices!R91/Share_Prices!R90-1</f>
        <v>-0.0106007067137809</v>
      </c>
      <c r="S91" s="14" t="n">
        <f aca="false">Share_Prices!S91/Share_Prices!S90-1</f>
        <v>-0.0157818693735412</v>
      </c>
    </row>
    <row r="92" customFormat="false" ht="15" hidden="false" customHeight="false" outlineLevel="0" collapsed="false">
      <c r="A92" s="13" t="n">
        <f aca="false">Share_Prices!A92</f>
        <v>44931</v>
      </c>
      <c r="B92" s="14" t="n">
        <f aca="false">Share_Prices!B92/Share_Prices!B91-1</f>
        <v>-0.00281550411656628</v>
      </c>
      <c r="C92" s="14" t="n">
        <f aca="false">Share_Prices!C92/Share_Prices!C91-1</f>
        <v>-0.00044175924121348</v>
      </c>
      <c r="D92" s="14" t="n">
        <f aca="false">Share_Prices!D92/Share_Prices!D91-1</f>
        <v>-0.0170294893991428</v>
      </c>
      <c r="E92" s="14" t="n">
        <f aca="false">Share_Prices!E92/Share_Prices!E91-1</f>
        <v>0.00441948255225144</v>
      </c>
      <c r="F92" s="14" t="n">
        <f aca="false">Share_Prices!F92/Share_Prices!F91-1</f>
        <v>-0.00741034802170182</v>
      </c>
      <c r="G92" s="14" t="n">
        <f aca="false">Share_Prices!G92/Share_Prices!G91-1</f>
        <v>-0.00201756468075009</v>
      </c>
      <c r="H92" s="14" t="n">
        <f aca="false">Share_Prices!H92/Share_Prices!H91-1</f>
        <v>0.0119662945749903</v>
      </c>
      <c r="I92" s="14" t="n">
        <f aca="false">Share_Prices!I92/Share_Prices!I91-1</f>
        <v>0.00962169254318823</v>
      </c>
      <c r="J92" s="14" t="n">
        <f aca="false">Share_Prices!J92/Share_Prices!J91-1</f>
        <v>0.012033484478549</v>
      </c>
      <c r="K92" s="14" t="n">
        <f aca="false">Share_Prices!K92/Share_Prices!K91-1</f>
        <v>-0.0716691303088951</v>
      </c>
      <c r="L92" s="14" t="n">
        <f aca="false">Share_Prices!L92/Share_Prices!L91-1</f>
        <v>-0.0490605427974948</v>
      </c>
      <c r="M92" s="14" t="n">
        <f aca="false">Share_Prices!M92/Share_Prices!M91-1</f>
        <v>-0.0163804789877994</v>
      </c>
      <c r="N92" s="14" t="n">
        <f aca="false">Share_Prices!N92/Share_Prices!N91-1</f>
        <v>0.00984694900527994</v>
      </c>
      <c r="O92" s="14" t="n">
        <f aca="false">Share_Prices!O92/Share_Prices!O91-1</f>
        <v>0.00704826997009822</v>
      </c>
      <c r="P92" s="14" t="n">
        <f aca="false">Share_Prices!P92/Share_Prices!P91-1</f>
        <v>-0.00761432961790742</v>
      </c>
      <c r="Q92" s="14" t="n">
        <f aca="false">Share_Prices!Q92/Share_Prices!Q91-1</f>
        <v>-0.0187699011228424</v>
      </c>
      <c r="R92" s="14" t="n">
        <f aca="false">Share_Prices!R92/Share_Prices!R91-1</f>
        <v>-0.00567602040816329</v>
      </c>
      <c r="S92" s="14" t="n">
        <f aca="false">Share_Prices!S92/Share_Prices!S91-1</f>
        <v>-0.00636127526630781</v>
      </c>
    </row>
    <row r="93" customFormat="false" ht="15" hidden="false" customHeight="false" outlineLevel="0" collapsed="false">
      <c r="A93" s="13" t="n">
        <f aca="false">Share_Prices!A93</f>
        <v>44932</v>
      </c>
      <c r="B93" s="14" t="n">
        <f aca="false">Share_Prices!B93/Share_Prices!B92-1</f>
        <v>-0.00737543873300306</v>
      </c>
      <c r="C93" s="14" t="n">
        <f aca="false">Share_Prices!C93/Share_Prices!C92-1</f>
        <v>-0.00742223550974253</v>
      </c>
      <c r="D93" s="14" t="n">
        <f aca="false">Share_Prices!D93/Share_Prices!D92-1</f>
        <v>0.00874888112493855</v>
      </c>
      <c r="E93" s="14" t="n">
        <f aca="false">Share_Prices!E93/Share_Prices!E92-1</f>
        <v>-0.00375836465303891</v>
      </c>
      <c r="F93" s="14" t="n">
        <f aca="false">Share_Prices!F93/Share_Prices!F92-1</f>
        <v>-0.0153979469404081</v>
      </c>
      <c r="G93" s="14" t="n">
        <f aca="false">Share_Prices!G93/Share_Prices!G92-1</f>
        <v>-0.036865263408253</v>
      </c>
      <c r="H93" s="14" t="n">
        <f aca="false">Share_Prices!H93/Share_Prices!H92-1</f>
        <v>-0.023992960920231</v>
      </c>
      <c r="I93" s="14" t="n">
        <f aca="false">Share_Prices!I93/Share_Prices!I92-1</f>
        <v>0.00043318171973139</v>
      </c>
      <c r="J93" s="14" t="n">
        <f aca="false">Share_Prices!J93/Share_Prices!J92-1</f>
        <v>-0.0163019128037223</v>
      </c>
      <c r="K93" s="14" t="n">
        <f aca="false">Share_Prices!K93/Share_Prices!K92-1</f>
        <v>-0.0196165337010407</v>
      </c>
      <c r="L93" s="14" t="n">
        <f aca="false">Share_Prices!L93/Share_Prices!L92-1</f>
        <v>-0.0224661544090743</v>
      </c>
      <c r="M93" s="14" t="n">
        <f aca="false">Share_Prices!M93/Share_Prices!M92-1</f>
        <v>0.000918800964740951</v>
      </c>
      <c r="N93" s="14" t="n">
        <f aca="false">Share_Prices!N93/Share_Prices!N92-1</f>
        <v>-0.0191930110966491</v>
      </c>
      <c r="O93" s="14" t="n">
        <f aca="false">Share_Prices!O93/Share_Prices!O92-1</f>
        <v>-0.00827147401908801</v>
      </c>
      <c r="P93" s="14" t="n">
        <f aca="false">Share_Prices!P93/Share_Prices!P92-1</f>
        <v>-0.0087820660966027</v>
      </c>
      <c r="Q93" s="14" t="n">
        <f aca="false">Share_Prices!Q93/Share_Prices!Q92-1</f>
        <v>-0.0119555935098207</v>
      </c>
      <c r="R93" s="14" t="n">
        <f aca="false">Share_Prices!R93/Share_Prices!R92-1</f>
        <v>-0.00686293374382641</v>
      </c>
      <c r="S93" s="14" t="n">
        <f aca="false">Share_Prices!S93/Share_Prices!S92-1</f>
        <v>-0.0191302371391773</v>
      </c>
    </row>
    <row r="94" customFormat="false" ht="15" hidden="false" customHeight="false" outlineLevel="0" collapsed="false">
      <c r="A94" s="13" t="n">
        <f aca="false">Share_Prices!A94</f>
        <v>44935</v>
      </c>
      <c r="B94" s="14" t="n">
        <f aca="false">Share_Prices!B94/Share_Prices!B93-1</f>
        <v>0.0135362511163557</v>
      </c>
      <c r="C94" s="14" t="n">
        <f aca="false">Share_Prices!C94/Share_Prices!C93-1</f>
        <v>0.0116618648507072</v>
      </c>
      <c r="D94" s="14" t="n">
        <f aca="false">Share_Prices!D94/Share_Prices!D93-1</f>
        <v>0.0197790245019465</v>
      </c>
      <c r="E94" s="14" t="n">
        <f aca="false">Share_Prices!E94/Share_Prices!E93-1</f>
        <v>0.0196908354803091</v>
      </c>
      <c r="F94" s="14" t="n">
        <f aca="false">Share_Prices!F94/Share_Prices!F93-1</f>
        <v>-0.0186852616613634</v>
      </c>
      <c r="G94" s="14" t="n">
        <f aca="false">Share_Prices!G94/Share_Prices!G93-1</f>
        <v>-0.00629707371280408</v>
      </c>
      <c r="H94" s="14" t="n">
        <f aca="false">Share_Prices!H94/Share_Prices!H93-1</f>
        <v>0.035225048923679</v>
      </c>
      <c r="I94" s="14" t="n">
        <f aca="false">Share_Prices!I94/Share_Prices!I93-1</f>
        <v>0.035072526520892</v>
      </c>
      <c r="J94" s="14" t="n">
        <f aca="false">Share_Prices!J94/Share_Prices!J93-1</f>
        <v>0.0130684605143299</v>
      </c>
      <c r="K94" s="14" t="n">
        <f aca="false">Share_Prices!K94/Share_Prices!K93-1</f>
        <v>0.00215997187013373</v>
      </c>
      <c r="L94" s="14" t="n">
        <f aca="false">Share_Prices!L94/Share_Prices!L93-1</f>
        <v>0.0169187004042521</v>
      </c>
      <c r="M94" s="14" t="n">
        <f aca="false">Share_Prices!M94/Share_Prices!M93-1</f>
        <v>0.0148594377510041</v>
      </c>
      <c r="N94" s="14" t="n">
        <f aca="false">Share_Prices!N94/Share_Prices!N93-1</f>
        <v>0.0345261926719001</v>
      </c>
      <c r="O94" s="14" t="n">
        <f aca="false">Share_Prices!O94/Share_Prices!O93-1</f>
        <v>0.0134730538922154</v>
      </c>
      <c r="P94" s="14" t="n">
        <f aca="false">Share_Prices!P94/Share_Prices!P93-1</f>
        <v>0.0042900442993703</v>
      </c>
      <c r="Q94" s="14" t="n">
        <f aca="false">Share_Prices!Q94/Share_Prices!Q93-1</f>
        <v>0.0108902333621435</v>
      </c>
      <c r="R94" s="14" t="n">
        <f aca="false">Share_Prices!R94/Share_Prices!R93-1</f>
        <v>0.010204081632653</v>
      </c>
      <c r="S94" s="14" t="n">
        <f aca="false">Share_Prices!S94/Share_Prices!S93-1</f>
        <v>0.0184992082802302</v>
      </c>
    </row>
    <row r="95" customFormat="false" ht="15" hidden="false" customHeight="false" outlineLevel="0" collapsed="false">
      <c r="A95" s="13" t="n">
        <f aca="false">Share_Prices!A95</f>
        <v>44936</v>
      </c>
      <c r="B95" s="14" t="n">
        <f aca="false">Share_Prices!B95/Share_Prices!B94-1</f>
        <v>-0.0103335690451462</v>
      </c>
      <c r="C95" s="14" t="n">
        <f aca="false">Share_Prices!C95/Share_Prices!C94-1</f>
        <v>-0.0080808538456062</v>
      </c>
      <c r="D95" s="14" t="n">
        <f aca="false">Share_Prices!D95/Share_Prices!D94-1</f>
        <v>0.0251494652931765</v>
      </c>
      <c r="E95" s="14" t="n">
        <f aca="false">Share_Prices!E95/Share_Prices!E94-1</f>
        <v>-0.0138061721710883</v>
      </c>
      <c r="F95" s="14" t="n">
        <f aca="false">Share_Prices!F95/Share_Prices!F94-1</f>
        <v>-0.00372542255950337</v>
      </c>
      <c r="G95" s="14" t="n">
        <f aca="false">Share_Prices!G95/Share_Prices!G94-1</f>
        <v>-0.0168986083499005</v>
      </c>
      <c r="H95" s="14" t="n">
        <f aca="false">Share_Prices!H95/Share_Prices!H94-1</f>
        <v>-0.0207514708693528</v>
      </c>
      <c r="I95" s="14" t="n">
        <f aca="false">Share_Prices!I95/Share_Prices!I94-1</f>
        <v>-0.0150596109600503</v>
      </c>
      <c r="J95" s="14" t="n">
        <f aca="false">Share_Prices!J95/Share_Prices!J94-1</f>
        <v>-0.0021442158049455</v>
      </c>
      <c r="K95" s="14" t="n">
        <f aca="false">Share_Prices!K95/Share_Prices!K94-1</f>
        <v>-0.0148867205774242</v>
      </c>
      <c r="L95" s="14" t="n">
        <f aca="false">Share_Prices!L95/Share_Prices!L94-1</f>
        <v>-0.0150176678445231</v>
      </c>
      <c r="M95" s="14" t="n">
        <f aca="false">Share_Prices!M95/Share_Prices!M94-1</f>
        <v>-0.00757532930069538</v>
      </c>
      <c r="N95" s="14" t="n">
        <f aca="false">Share_Prices!N95/Share_Prices!N94-1</f>
        <v>-0.0116102100273948</v>
      </c>
      <c r="O95" s="14" t="n">
        <f aca="false">Share_Prices!O95/Share_Prices!O94-1</f>
        <v>-0.00949567419286768</v>
      </c>
      <c r="P95" s="14" t="n">
        <f aca="false">Share_Prices!P95/Share_Prices!P94-1</f>
        <v>-0.00232158610762878</v>
      </c>
      <c r="Q95" s="14" t="n">
        <f aca="false">Share_Prices!Q95/Share_Prices!Q94-1</f>
        <v>-0.00649794801641579</v>
      </c>
      <c r="R95" s="14" t="n">
        <f aca="false">Share_Prices!R95/Share_Prices!R94-1</f>
        <v>-0.000127860887354614</v>
      </c>
      <c r="S95" s="14" t="n">
        <f aca="false">Share_Prices!S95/Share_Prices!S94-1</f>
        <v>0.0116032155316241</v>
      </c>
    </row>
    <row r="96" customFormat="false" ht="15" hidden="false" customHeight="false" outlineLevel="0" collapsed="false">
      <c r="A96" s="13" t="n">
        <f aca="false">Share_Prices!A96</f>
        <v>44937</v>
      </c>
      <c r="B96" s="14" t="n">
        <f aca="false">Share_Prices!B96/Share_Prices!B95-1</f>
        <v>-0.00102991210858461</v>
      </c>
      <c r="C96" s="14" t="n">
        <f aca="false">Share_Prices!C96/Share_Prices!C95-1</f>
        <v>-0.00155951778926933</v>
      </c>
      <c r="D96" s="14" t="n">
        <f aca="false">Share_Prices!D96/Share_Prices!D95-1</f>
        <v>0.0159899241573802</v>
      </c>
      <c r="E96" s="14" t="n">
        <f aca="false">Share_Prices!E96/Share_Prices!E95-1</f>
        <v>0.00686247598133405</v>
      </c>
      <c r="F96" s="14" t="n">
        <f aca="false">Share_Prices!F96/Share_Prices!F95-1</f>
        <v>-0.000969461948618466</v>
      </c>
      <c r="G96" s="14" t="n">
        <f aca="false">Share_Prices!G96/Share_Prices!G95-1</f>
        <v>0.0178210313447926</v>
      </c>
      <c r="H96" s="14" t="n">
        <f aca="false">Share_Prices!H96/Share_Prices!H95-1</f>
        <v>0.0197596737810168</v>
      </c>
      <c r="I96" s="14" t="n">
        <f aca="false">Share_Prices!I96/Share_Prices!I95-1</f>
        <v>0.00891909110214484</v>
      </c>
      <c r="J96" s="14" t="n">
        <f aca="false">Share_Prices!J96/Share_Prices!J95-1</f>
        <v>0.0110213842581359</v>
      </c>
      <c r="K96" s="14" t="n">
        <f aca="false">Share_Prices!K96/Share_Prices!K95-1</f>
        <v>-0.00142467054493656</v>
      </c>
      <c r="L96" s="14" t="n">
        <f aca="false">Share_Prices!L96/Share_Prices!L95-1</f>
        <v>-0.00455904334828094</v>
      </c>
      <c r="M96" s="14" t="n">
        <f aca="false">Share_Prices!M96/Share_Prices!M95-1</f>
        <v>-0.00934206778695534</v>
      </c>
      <c r="N96" s="14" t="n">
        <f aca="false">Share_Prices!N96/Share_Prices!N95-1</f>
        <v>-0.00503739551253857</v>
      </c>
      <c r="O96" s="14" t="n">
        <f aca="false">Share_Prices!O96/Share_Prices!O95-1</f>
        <v>0.00724328930549656</v>
      </c>
      <c r="P96" s="14" t="n">
        <f aca="false">Share_Prices!P96/Share_Prices!P95-1</f>
        <v>-0.00605016987015405</v>
      </c>
      <c r="Q96" s="14" t="n">
        <f aca="false">Share_Prices!Q96/Share_Prices!Q95-1</f>
        <v>0.0160068846815833</v>
      </c>
      <c r="R96" s="14" t="n">
        <f aca="false">Share_Prices!R96/Share_Prices!R95-1</f>
        <v>-0.00498721227621479</v>
      </c>
      <c r="S96" s="14" t="n">
        <f aca="false">Share_Prices!S96/Share_Prices!S95-1</f>
        <v>0.00044980883124679</v>
      </c>
    </row>
    <row r="97" customFormat="false" ht="15" hidden="false" customHeight="false" outlineLevel="0" collapsed="false">
      <c r="A97" s="13" t="n">
        <f aca="false">Share_Prices!A97</f>
        <v>44938</v>
      </c>
      <c r="B97" s="14" t="n">
        <f aca="false">Share_Prices!B97/Share_Prices!B96-1</f>
        <v>-0.00209547544940969</v>
      </c>
      <c r="C97" s="14" t="n">
        <f aca="false">Share_Prices!C97/Share_Prices!C96-1</f>
        <v>-0.00142144320599158</v>
      </c>
      <c r="D97" s="14" t="n">
        <f aca="false">Share_Prices!D97/Share_Prices!D96-1</f>
        <v>-0.0144447139353761</v>
      </c>
      <c r="E97" s="14" t="n">
        <f aca="false">Share_Prices!E97/Share_Prices!E96-1</f>
        <v>-0.00481643038894963</v>
      </c>
      <c r="F97" s="14" t="n">
        <f aca="false">Share_Prices!F97/Share_Prices!F96-1</f>
        <v>0.0176058778678865</v>
      </c>
      <c r="G97" s="14" t="n">
        <f aca="false">Share_Prices!G97/Share_Prices!G96-1</f>
        <v>-0.00620886626102069</v>
      </c>
      <c r="H97" s="14" t="n">
        <f aca="false">Share_Prices!H97/Share_Prices!H96-1</f>
        <v>0.0355843879612889</v>
      </c>
      <c r="I97" s="14" t="n">
        <f aca="false">Share_Prices!I97/Share_Prices!I96-1</f>
        <v>0.00357819406440751</v>
      </c>
      <c r="J97" s="14" t="n">
        <f aca="false">Share_Prices!J97/Share_Prices!J96-1</f>
        <v>0.0305097528367213</v>
      </c>
      <c r="K97" s="14" t="n">
        <f aca="false">Share_Prices!K97/Share_Prices!K96-1</f>
        <v>0.000458583147918468</v>
      </c>
      <c r="L97" s="14" t="n">
        <f aca="false">Share_Prices!L97/Share_Prices!L96-1</f>
        <v>0.0295067197237029</v>
      </c>
      <c r="M97" s="14" t="n">
        <f aca="false">Share_Prices!M97/Share_Prices!M96-1</f>
        <v>0.0186303260307057</v>
      </c>
      <c r="N97" s="14" t="n">
        <f aca="false">Share_Prices!N97/Share_Prices!N96-1</f>
        <v>0.0249165395414648</v>
      </c>
      <c r="O97" s="14" t="n">
        <f aca="false">Share_Prices!O97/Share_Prices!O96-1</f>
        <v>-0.0150169204737733</v>
      </c>
      <c r="P97" s="14" t="n">
        <f aca="false">Share_Prices!P97/Share_Prices!P96-1</f>
        <v>-0.00426089806620777</v>
      </c>
      <c r="Q97" s="14" t="n">
        <f aca="false">Share_Prices!Q97/Share_Prices!Q96-1</f>
        <v>-0.0203286464509571</v>
      </c>
      <c r="R97" s="14" t="n">
        <f aca="false">Share_Prices!R97/Share_Prices!R96-1</f>
        <v>0.0027631409844493</v>
      </c>
      <c r="S97" s="14" t="n">
        <f aca="false">Share_Prices!S97/Share_Prices!S96-1</f>
        <v>-0.016373173473211</v>
      </c>
    </row>
    <row r="98" customFormat="false" ht="15" hidden="false" customHeight="false" outlineLevel="0" collapsed="false">
      <c r="A98" s="13" t="n">
        <f aca="false">Share_Prices!A98</f>
        <v>44939</v>
      </c>
      <c r="B98" s="14" t="n">
        <f aca="false">Share_Prices!B98/Share_Prices!B97-1</f>
        <v>0.00551007380363067</v>
      </c>
      <c r="C98" s="14" t="n">
        <f aca="false">Share_Prices!C98/Share_Prices!C97-1</f>
        <v>0.00435220817298876</v>
      </c>
      <c r="D98" s="14" t="n">
        <f aca="false">Share_Prices!D98/Share_Prices!D97-1</f>
        <v>-0.00590631921467832</v>
      </c>
      <c r="E98" s="14" t="n">
        <f aca="false">Share_Prices!E98/Share_Prices!E97-1</f>
        <v>0.00365263446260622</v>
      </c>
      <c r="F98" s="14" t="n">
        <f aca="false">Share_Prices!F98/Share_Prices!F97-1</f>
        <v>0.00292895579320218</v>
      </c>
      <c r="G98" s="14" t="n">
        <f aca="false">Share_Prices!G98/Share_Prices!G97-1</f>
        <v>0.00687242284143452</v>
      </c>
      <c r="H98" s="14" t="n">
        <f aca="false">Share_Prices!H98/Share_Prices!H97-1</f>
        <v>-0.0129189944134078</v>
      </c>
      <c r="I98" s="14" t="n">
        <f aca="false">Share_Prices!I98/Share_Prices!I97-1</f>
        <v>-0.00692114093959739</v>
      </c>
      <c r="J98" s="14" t="n">
        <f aca="false">Share_Prices!J98/Share_Prices!J97-1</f>
        <v>0.00412494594324886</v>
      </c>
      <c r="K98" s="14" t="n">
        <f aca="false">Share_Prices!K98/Share_Prices!K97-1</f>
        <v>0.0134625831862014</v>
      </c>
      <c r="L98" s="14" t="n">
        <f aca="false">Share_Prices!L98/Share_Prices!L97-1</f>
        <v>0.038068844807468</v>
      </c>
      <c r="M98" s="14" t="n">
        <f aca="false">Share_Prices!M98/Share_Prices!M97-1</f>
        <v>-0.0023708721422524</v>
      </c>
      <c r="N98" s="14" t="n">
        <f aca="false">Share_Prices!N98/Share_Prices!N97-1</f>
        <v>-0.00114327624142541</v>
      </c>
      <c r="O98" s="14" t="n">
        <f aca="false">Share_Prices!O98/Share_Prices!O97-1</f>
        <v>0.00944814258106086</v>
      </c>
      <c r="P98" s="14" t="n">
        <f aca="false">Share_Prices!P98/Share_Prices!P97-1</f>
        <v>-0.000611304429605775</v>
      </c>
      <c r="Q98" s="14" t="n">
        <f aca="false">Share_Prices!Q98/Share_Prices!Q97-1</f>
        <v>-0.00380425384748384</v>
      </c>
      <c r="R98" s="14" t="n">
        <f aca="false">Share_Prices!R98/Share_Prices!R97-1</f>
        <v>0.0090996475488625</v>
      </c>
      <c r="S98" s="14" t="n">
        <f aca="false">Share_Prices!S98/Share_Prices!S97-1</f>
        <v>-0.0224355311773892</v>
      </c>
    </row>
    <row r="99" customFormat="false" ht="15" hidden="false" customHeight="false" outlineLevel="0" collapsed="false">
      <c r="A99" s="13" t="n">
        <f aca="false">Share_Prices!A99</f>
        <v>44942</v>
      </c>
      <c r="B99" s="14" t="n">
        <f aca="false">Share_Prices!B99/Share_Prices!B98-1</f>
        <v>-0.00343884699776131</v>
      </c>
      <c r="C99" s="14" t="n">
        <f aca="false">Share_Prices!C99/Share_Prices!C98-1</f>
        <v>-0.00264888147477205</v>
      </c>
      <c r="D99" s="14" t="n">
        <f aca="false">Share_Prices!D99/Share_Prices!D98-1</f>
        <v>0.0285242745151972</v>
      </c>
      <c r="E99" s="14" t="n">
        <f aca="false">Share_Prices!E99/Share_Prices!E98-1</f>
        <v>-0.0121008097534346</v>
      </c>
      <c r="F99" s="14" t="n">
        <f aca="false">Share_Prices!F99/Share_Prices!F98-1</f>
        <v>0.00156207552295573</v>
      </c>
      <c r="G99" s="14" t="n">
        <f aca="false">Share_Prices!G99/Share_Prices!G98-1</f>
        <v>-0.0182427401340282</v>
      </c>
      <c r="H99" s="14" t="n">
        <f aca="false">Share_Prices!H99/Share_Prices!H98-1</f>
        <v>-0.0205164485320126</v>
      </c>
      <c r="I99" s="14" t="n">
        <f aca="false">Share_Prices!I99/Share_Prices!I98-1</f>
        <v>-0.0234424498416052</v>
      </c>
      <c r="J99" s="14" t="n">
        <f aca="false">Share_Prices!J99/Share_Prices!J98-1</f>
        <v>-0.0193804869968527</v>
      </c>
      <c r="K99" s="14" t="n">
        <f aca="false">Share_Prices!K99/Share_Prices!K98-1</f>
        <v>0.00552791597567714</v>
      </c>
      <c r="L99" s="14" t="n">
        <f aca="false">Share_Prices!L99/Share_Prices!L98-1</f>
        <v>-0.0286637628214137</v>
      </c>
      <c r="M99" s="14" t="n">
        <f aca="false">Share_Prices!M99/Share_Prices!M98-1</f>
        <v>-0.0126747015220958</v>
      </c>
      <c r="N99" s="14" t="n">
        <f aca="false">Share_Prices!N99/Share_Prices!N98-1</f>
        <v>-0.00902710290465392</v>
      </c>
      <c r="O99" s="14" t="n">
        <f aca="false">Share_Prices!O99/Share_Prices!O98-1</f>
        <v>-0.0127632418634334</v>
      </c>
      <c r="P99" s="14" t="n">
        <f aca="false">Share_Prices!P99/Share_Prices!P98-1</f>
        <v>-0.000611678351291722</v>
      </c>
      <c r="Q99" s="14" t="n">
        <f aca="false">Share_Prices!Q99/Share_Prices!Q98-1</f>
        <v>-0.00121506682867567</v>
      </c>
      <c r="R99" s="14" t="n">
        <f aca="false">Share_Prices!R99/Share_Prices!R98-1</f>
        <v>-0.0159395440401348</v>
      </c>
      <c r="S99" s="14" t="n">
        <f aca="false">Share_Prices!S99/Share_Prices!S98-1</f>
        <v>-0.00818266832917702</v>
      </c>
    </row>
    <row r="100" customFormat="false" ht="15" hidden="false" customHeight="false" outlineLevel="0" collapsed="false">
      <c r="A100" s="13" t="n">
        <f aca="false">Share_Prices!A100</f>
        <v>44943</v>
      </c>
      <c r="B100" s="14" t="n">
        <f aca="false">Share_Prices!B100/Share_Prices!B99-1</f>
        <v>0.00885450283182032</v>
      </c>
      <c r="C100" s="14" t="n">
        <f aca="false">Share_Prices!C100/Share_Prices!C99-1</f>
        <v>0.0059259936819891</v>
      </c>
      <c r="D100" s="14" t="n">
        <f aca="false">Share_Prices!D100/Share_Prices!D99-1</f>
        <v>0.000668592212237806</v>
      </c>
      <c r="E100" s="14" t="n">
        <f aca="false">Share_Prices!E100/Share_Prices!E99-1</f>
        <v>-0.0310370233928901</v>
      </c>
      <c r="F100" s="14" t="n">
        <f aca="false">Share_Prices!F100/Share_Prices!F99-1</f>
        <v>-0.0104428019258155</v>
      </c>
      <c r="G100" s="14" t="n">
        <f aca="false">Share_Prices!G100/Share_Prices!G99-1</f>
        <v>-0.00480343825053731</v>
      </c>
      <c r="H100" s="14" t="n">
        <f aca="false">Share_Prices!H100/Share_Prices!H99-1</f>
        <v>-0.0398529942854715</v>
      </c>
      <c r="I100" s="14" t="n">
        <f aca="false">Share_Prices!I100/Share_Prices!I99-1</f>
        <v>-0.0160034602076125</v>
      </c>
      <c r="J100" s="14" t="n">
        <f aca="false">Share_Prices!J100/Share_Prices!J99-1</f>
        <v>-0.0100675675675677</v>
      </c>
      <c r="K100" s="14" t="n">
        <f aca="false">Share_Prices!K100/Share_Prices!K99-1</f>
        <v>-0.00431472504039854</v>
      </c>
      <c r="L100" s="14" t="n">
        <f aca="false">Share_Prices!L100/Share_Prices!L99-1</f>
        <v>-0.0143208447851872</v>
      </c>
      <c r="M100" s="14" t="n">
        <f aca="false">Share_Prices!M100/Share_Prices!M99-1</f>
        <v>0.0106023267809043</v>
      </c>
      <c r="N100" s="14" t="n">
        <f aca="false">Share_Prices!N100/Share_Prices!N99-1</f>
        <v>0.0896550221195545</v>
      </c>
      <c r="O100" s="14" t="n">
        <f aca="false">Share_Prices!O100/Share_Prices!O99-1</f>
        <v>-0.00883430295195009</v>
      </c>
      <c r="P100" s="14" t="n">
        <f aca="false">Share_Prices!P100/Share_Prices!P99-1</f>
        <v>-0.00706214689265539</v>
      </c>
      <c r="Q100" s="14" t="n">
        <f aca="false">Share_Prices!Q100/Share_Prices!Q99-1</f>
        <v>0.0205074730622177</v>
      </c>
      <c r="R100" s="14" t="n">
        <f aca="false">Share_Prices!R100/Share_Prices!R99-1</f>
        <v>-0.0109705730511099</v>
      </c>
      <c r="S100" s="14" t="n">
        <f aca="false">Share_Prices!S100/Share_Prices!S99-1</f>
        <v>-0.000825017678950157</v>
      </c>
    </row>
    <row r="101" customFormat="false" ht="15" hidden="false" customHeight="false" outlineLevel="0" collapsed="false">
      <c r="A101" s="13" t="n">
        <f aca="false">Share_Prices!A101</f>
        <v>44944</v>
      </c>
      <c r="B101" s="14" t="n">
        <f aca="false">Share_Prices!B101/Share_Prices!B100-1</f>
        <v>0.00620662150410167</v>
      </c>
      <c r="C101" s="14" t="n">
        <f aca="false">Share_Prices!C101/Share_Prices!C100-1</f>
        <v>0.00455958145380508</v>
      </c>
      <c r="D101" s="14" t="n">
        <f aca="false">Share_Prices!D101/Share_Prices!D100-1</f>
        <v>-0.0279017558863617</v>
      </c>
      <c r="E101" s="14" t="n">
        <f aca="false">Share_Prices!E101/Share_Prices!E100-1</f>
        <v>0.0141621518867028</v>
      </c>
      <c r="F101" s="14" t="n">
        <f aca="false">Share_Prices!F101/Share_Prices!F100-1</f>
        <v>0</v>
      </c>
      <c r="G101" s="14" t="n">
        <f aca="false">Share_Prices!G101/Share_Prices!G100-1</f>
        <v>0.00698590118125231</v>
      </c>
      <c r="H101" s="14" t="n">
        <f aca="false">Share_Prices!H101/Share_Prices!H100-1</f>
        <v>0.0110848065137066</v>
      </c>
      <c r="I101" s="14" t="n">
        <f aca="false">Share_Prices!I101/Share_Prices!I100-1</f>
        <v>0.023076923076923</v>
      </c>
      <c r="J101" s="14" t="n">
        <f aca="false">Share_Prices!J101/Share_Prices!J100-1</f>
        <v>-0.015903351307078</v>
      </c>
      <c r="K101" s="14" t="n">
        <f aca="false">Share_Prices!K101/Share_Prices!K100-1</f>
        <v>0.00229219649310664</v>
      </c>
      <c r="L101" s="14" t="n">
        <f aca="false">Share_Prices!L101/Share_Prices!L100-1</f>
        <v>0.0157029644848841</v>
      </c>
      <c r="M101" s="14" t="n">
        <f aca="false">Share_Prices!M101/Share_Prices!M100-1</f>
        <v>0.0148009527050017</v>
      </c>
      <c r="N101" s="14" t="n">
        <f aca="false">Share_Prices!N101/Share_Prices!N100-1</f>
        <v>-0.012339753204936</v>
      </c>
      <c r="O101" s="14" t="n">
        <f aca="false">Share_Prices!O101/Share_Prices!O100-1</f>
        <v>0.00934782608695661</v>
      </c>
      <c r="P101" s="14" t="n">
        <f aca="false">Share_Prices!P101/Share_Prices!P100-1</f>
        <v>4.74158368894972E-005</v>
      </c>
      <c r="Q101" s="14" t="n">
        <f aca="false">Share_Prices!Q101/Share_Prices!Q100-1</f>
        <v>0.0263964577656677</v>
      </c>
      <c r="R101" s="14" t="n">
        <f aca="false">Share_Prices!R101/Share_Prices!R100-1</f>
        <v>-0.00156596633172379</v>
      </c>
      <c r="S101" s="14" t="n">
        <f aca="false">Share_Prices!S101/Share_Prices!S100-1</f>
        <v>0.00971179176660253</v>
      </c>
    </row>
    <row r="102" customFormat="false" ht="15" hidden="false" customHeight="false" outlineLevel="0" collapsed="false">
      <c r="A102" s="13" t="n">
        <f aca="false">Share_Prices!A102</f>
        <v>44945</v>
      </c>
      <c r="B102" s="14" t="n">
        <f aca="false">Share_Prices!B102/Share_Prices!B101-1</f>
        <v>-0.00316536703118853</v>
      </c>
      <c r="C102" s="14" t="n">
        <f aca="false">Share_Prices!C102/Share_Prices!C101-1</f>
        <v>-0.0030162255477213</v>
      </c>
      <c r="D102" s="14" t="n">
        <f aca="false">Share_Prices!D102/Share_Prices!D101-1</f>
        <v>0.0111071399114726</v>
      </c>
      <c r="E102" s="14" t="n">
        <f aca="false">Share_Prices!E102/Share_Prices!E101-1</f>
        <v>-0.00590440487347699</v>
      </c>
      <c r="F102" s="14" t="n">
        <f aca="false">Share_Prices!F102/Share_Prices!F101-1</f>
        <v>0.00294661824162268</v>
      </c>
      <c r="G102" s="14" t="n">
        <f aca="false">Share_Prices!G102/Share_Prices!G101-1</f>
        <v>-0.0119828456104945</v>
      </c>
      <c r="H102" s="14" t="n">
        <f aca="false">Share_Prices!H102/Share_Prices!H101-1</f>
        <v>-0.0163026828307585</v>
      </c>
      <c r="I102" s="14" t="n">
        <f aca="false">Share_Prices!I102/Share_Prices!I101-1</f>
        <v>0.00816326530612255</v>
      </c>
      <c r="J102" s="14" t="n">
        <f aca="false">Share_Prices!J102/Share_Prices!J101-1</f>
        <v>0.0147732001664587</v>
      </c>
      <c r="K102" s="14" t="n">
        <f aca="false">Share_Prices!K102/Share_Prices!K101-1</f>
        <v>0.0023036474417828</v>
      </c>
      <c r="L102" s="14" t="n">
        <f aca="false">Share_Prices!L102/Share_Prices!L101-1</f>
        <v>0.0132206328565236</v>
      </c>
      <c r="M102" s="14" t="n">
        <f aca="false">Share_Prices!M102/Share_Prices!M101-1</f>
        <v>0.0183850237496508</v>
      </c>
      <c r="N102" s="14" t="n">
        <f aca="false">Share_Prices!N102/Share_Prices!N101-1</f>
        <v>-0.0116029483233435</v>
      </c>
      <c r="O102" s="14" t="n">
        <f aca="false">Share_Prices!O102/Share_Prices!O101-1</f>
        <v>0.0109842774068489</v>
      </c>
      <c r="P102" s="14" t="n">
        <f aca="false">Share_Prices!P102/Share_Prices!P101-1</f>
        <v>-0.0039827414537007</v>
      </c>
      <c r="Q102" s="14" t="n">
        <f aca="false">Share_Prices!Q102/Share_Prices!Q101-1</f>
        <v>-0.00813008130081316</v>
      </c>
      <c r="R102" s="14" t="n">
        <f aca="false">Share_Prices!R102/Share_Prices!R101-1</f>
        <v>0.00529342569598734</v>
      </c>
      <c r="S102" s="14" t="n">
        <f aca="false">Share_Prices!S102/Share_Prices!S101-1</f>
        <v>0.00841121495327091</v>
      </c>
    </row>
    <row r="103" customFormat="false" ht="15" hidden="false" customHeight="false" outlineLevel="0" collapsed="false">
      <c r="A103" s="13" t="n">
        <f aca="false">Share_Prices!A103</f>
        <v>44946</v>
      </c>
      <c r="B103" s="14" t="n">
        <f aca="false">Share_Prices!B103/Share_Prices!B102-1</f>
        <v>-0.00442901835391818</v>
      </c>
      <c r="C103" s="14" t="n">
        <f aca="false">Share_Prices!C103/Share_Prices!C102-1</f>
        <v>-0.00465638112284938</v>
      </c>
      <c r="D103" s="14" t="n">
        <f aca="false">Share_Prices!D103/Share_Prices!D102-1</f>
        <v>-0.00946243576148131</v>
      </c>
      <c r="E103" s="14" t="n">
        <f aca="false">Share_Prices!E103/Share_Prices!E102-1</f>
        <v>-0.017441312340907</v>
      </c>
      <c r="F103" s="14" t="n">
        <f aca="false">Share_Prices!F103/Share_Prices!F102-1</f>
        <v>0.00778901339163718</v>
      </c>
      <c r="G103" s="14" t="n">
        <f aca="false">Share_Prices!G103/Share_Prices!G102-1</f>
        <v>-0.00548959530192772</v>
      </c>
      <c r="H103" s="14" t="n">
        <f aca="false">Share_Prices!H103/Share_Prices!H102-1</f>
        <v>-0.00894267345894595</v>
      </c>
      <c r="I103" s="14" t="n">
        <f aca="false">Share_Prices!I103/Share_Prices!I102-1</f>
        <v>0.00596633283613901</v>
      </c>
      <c r="J103" s="14" t="n">
        <f aca="false">Share_Prices!J103/Share_Prices!J102-1</f>
        <v>0.0274759073200739</v>
      </c>
      <c r="K103" s="14" t="n">
        <f aca="false">Share_Prices!K103/Share_Prices!K102-1</f>
        <v>-0.0252985360491647</v>
      </c>
      <c r="L103" s="14" t="n">
        <f aca="false">Share_Prices!L103/Share_Prices!L102-1</f>
        <v>0.00713012477718356</v>
      </c>
      <c r="M103" s="14" t="n">
        <f aca="false">Share_Prices!M103/Share_Prices!M102-1</f>
        <v>0.00378621597892881</v>
      </c>
      <c r="N103" s="14" t="n">
        <f aca="false">Share_Prices!N103/Share_Prices!N102-1</f>
        <v>-0.0222900575689906</v>
      </c>
      <c r="O103" s="14" t="n">
        <f aca="false">Share_Prices!O103/Share_Prices!O102-1</f>
        <v>-0.000852151682999569</v>
      </c>
      <c r="P103" s="14" t="n">
        <f aca="false">Share_Prices!P103/Share_Prices!P102-1</f>
        <v>0.00199933355548154</v>
      </c>
      <c r="Q103" s="14" t="n">
        <f aca="false">Share_Prices!Q103/Share_Prices!Q102-1</f>
        <v>-0.0235864837738372</v>
      </c>
      <c r="R103" s="14" t="n">
        <f aca="false">Share_Prices!R103/Share_Prices!R102-1</f>
        <v>-0.0217122797893778</v>
      </c>
      <c r="S103" s="14" t="n">
        <f aca="false">Share_Prices!S103/Share_Prices!S102-1</f>
        <v>-0.0135156008649984</v>
      </c>
    </row>
    <row r="104" customFormat="false" ht="15" hidden="false" customHeight="false" outlineLevel="0" collapsed="false">
      <c r="A104" s="13" t="n">
        <f aca="false">Share_Prices!A104</f>
        <v>44949</v>
      </c>
      <c r="B104" s="14" t="n">
        <f aca="false">Share_Prices!B104/Share_Prices!B103-1</f>
        <v>0.00504225453678098</v>
      </c>
      <c r="C104" s="14" t="n">
        <f aca="false">Share_Prices!C104/Share_Prices!C103-1</f>
        <v>0.0036030987952751</v>
      </c>
      <c r="D104" s="14" t="n">
        <f aca="false">Share_Prices!D104/Share_Prices!D103-1</f>
        <v>0.0206977957122074</v>
      </c>
      <c r="E104" s="14" t="n">
        <f aca="false">Share_Prices!E104/Share_Prices!E103-1</f>
        <v>0.0590097869890616</v>
      </c>
      <c r="F104" s="14" t="n">
        <f aca="false">Share_Prices!F104/Share_Prices!F103-1</f>
        <v>0.0216949152542374</v>
      </c>
      <c r="G104" s="14" t="n">
        <f aca="false">Share_Prices!G104/Share_Prices!G103-1</f>
        <v>0.0102695763799743</v>
      </c>
      <c r="H104" s="14" t="n">
        <f aca="false">Share_Prices!H104/Share_Prices!H103-1</f>
        <v>-0.0131983569392382</v>
      </c>
      <c r="I104" s="14" t="n">
        <f aca="false">Share_Prices!I104/Share_Prices!I103-1</f>
        <v>-0.00910823977970776</v>
      </c>
      <c r="J104" s="14" t="n">
        <f aca="false">Share_Prices!J104/Share_Prices!J103-1</f>
        <v>-3.32601609791539E-005</v>
      </c>
      <c r="K104" s="14" t="n">
        <f aca="false">Share_Prices!K104/Share_Prices!K103-1</f>
        <v>0.000444262183036059</v>
      </c>
      <c r="L104" s="14" t="n">
        <f aca="false">Share_Prices!L104/Share_Prices!L103-1</f>
        <v>0.00927433628318575</v>
      </c>
      <c r="M104" s="14" t="n">
        <f aca="false">Share_Prices!M104/Share_Prices!M103-1</f>
        <v>-0.0175476958399388</v>
      </c>
      <c r="N104" s="14" t="n">
        <f aca="false">Share_Prices!N104/Share_Prices!N103-1</f>
        <v>-0.0281834754730425</v>
      </c>
      <c r="O104" s="14" t="n">
        <f aca="false">Share_Prices!O104/Share_Prices!O103-1</f>
        <v>0.00788912579957346</v>
      </c>
      <c r="P104" s="14" t="n">
        <f aca="false">Share_Prices!P104/Share_Prices!P103-1</f>
        <v>0.00650862273742203</v>
      </c>
      <c r="Q104" s="14" t="n">
        <f aca="false">Share_Prices!Q104/Share_Prices!Q103-1</f>
        <v>-0.00359773856433099</v>
      </c>
      <c r="R104" s="14" t="n">
        <f aca="false">Share_Prices!R104/Share_Prices!R103-1</f>
        <v>0.0195361818061</v>
      </c>
      <c r="S104" s="14" t="n">
        <f aca="false">Share_Prices!S104/Share_Prices!S103-1</f>
        <v>0.00571518045878028</v>
      </c>
    </row>
    <row r="105" customFormat="false" ht="15" hidden="false" customHeight="false" outlineLevel="0" collapsed="false">
      <c r="A105" s="13" t="n">
        <f aca="false">Share_Prices!A105</f>
        <v>44950</v>
      </c>
      <c r="B105" s="14" t="n">
        <f aca="false">Share_Prices!B105/Share_Prices!B104-1</f>
        <v>-1.37980136379889E-005</v>
      </c>
      <c r="C105" s="14" t="n">
        <f aca="false">Share_Prices!C105/Share_Prices!C104-1</f>
        <v>-0.000951101069907701</v>
      </c>
      <c r="D105" s="14" t="n">
        <f aca="false">Share_Prices!D105/Share_Prices!D104-1</f>
        <v>-0.0212731624667187</v>
      </c>
      <c r="E105" s="14" t="n">
        <f aca="false">Share_Prices!E105/Share_Prices!E104-1</f>
        <v>0.0212920177584488</v>
      </c>
      <c r="F105" s="14" t="n">
        <f aca="false">Share_Prices!F105/Share_Prices!F104-1</f>
        <v>0.00238885202388839</v>
      </c>
      <c r="G105" s="14" t="n">
        <f aca="false">Share_Prices!G105/Share_Prices!G104-1</f>
        <v>0.00266836086404076</v>
      </c>
      <c r="H105" s="14" t="n">
        <f aca="false">Share_Prices!H105/Share_Prices!H104-1</f>
        <v>0.0482223688101358</v>
      </c>
      <c r="I105" s="14" t="n">
        <f aca="false">Share_Prices!I105/Share_Prices!I104-1</f>
        <v>0.0136810602821718</v>
      </c>
      <c r="J105" s="14" t="n">
        <f aca="false">Share_Prices!J105/Share_Prices!J104-1</f>
        <v>0.0146682188591385</v>
      </c>
      <c r="K105" s="14" t="n">
        <f aca="false">Share_Prices!K105/Share_Prices!K104-1</f>
        <v>-0.00134927412467967</v>
      </c>
      <c r="L105" s="14" t="n">
        <f aca="false">Share_Prices!L105/Share_Prices!L104-1</f>
        <v>0.0178170594837261</v>
      </c>
      <c r="M105" s="14" t="n">
        <f aca="false">Share_Prices!M105/Share_Prices!M104-1</f>
        <v>0.00823503227242384</v>
      </c>
      <c r="N105" s="14" t="n">
        <f aca="false">Share_Prices!N105/Share_Prices!N104-1</f>
        <v>-0.0161283367113717</v>
      </c>
      <c r="O105" s="14" t="n">
        <f aca="false">Share_Prices!O105/Share_Prices!O104-1</f>
        <v>-0.00951977998730691</v>
      </c>
      <c r="P105" s="14" t="n">
        <f aca="false">Share_Prices!P105/Share_Prices!P104-1</f>
        <v>-0.000896818653828069</v>
      </c>
      <c r="Q105" s="14" t="n">
        <f aca="false">Share_Prices!Q105/Share_Prices!Q104-1</f>
        <v>0.0398899587345254</v>
      </c>
      <c r="R105" s="14" t="n">
        <f aca="false">Share_Prices!R105/Share_Prices!R104-1</f>
        <v>-0.0288731017402072</v>
      </c>
      <c r="S105" s="14" t="n">
        <f aca="false">Share_Prices!S105/Share_Prices!S104-1</f>
        <v>-0.0150241320255333</v>
      </c>
    </row>
    <row r="106" customFormat="false" ht="15" hidden="false" customHeight="false" outlineLevel="0" collapsed="false">
      <c r="A106" s="13" t="n">
        <f aca="false">Share_Prices!A106</f>
        <v>44951</v>
      </c>
      <c r="B106" s="14" t="n">
        <f aca="false">Share_Prices!B106/Share_Prices!B105-1</f>
        <v>-0.0124928939249267</v>
      </c>
      <c r="C106" s="14" t="n">
        <f aca="false">Share_Prices!C106/Share_Prices!C105-1</f>
        <v>-0.0140754002163945</v>
      </c>
      <c r="D106" s="14" t="n">
        <f aca="false">Share_Prices!D106/Share_Prices!D105-1</f>
        <v>0.0451472851176082</v>
      </c>
      <c r="E106" s="14" t="n">
        <f aca="false">Share_Prices!E106/Share_Prices!E105-1</f>
        <v>-0.0121540099361249</v>
      </c>
      <c r="F106" s="14" t="n">
        <f aca="false">Share_Prices!F106/Share_Prices!F105-1</f>
        <v>0.0494505494505495</v>
      </c>
      <c r="G106" s="14" t="n">
        <f aca="false">Share_Prices!G106/Share_Prices!G105-1</f>
        <v>-0.0115321252059308</v>
      </c>
      <c r="H106" s="14" t="n">
        <f aca="false">Share_Prices!H106/Share_Prices!H105-1</f>
        <v>-0.0118481869669943</v>
      </c>
      <c r="I106" s="14" t="n">
        <f aca="false">Share_Prices!I106/Share_Prices!I105-1</f>
        <v>0.00168705187684526</v>
      </c>
      <c r="J106" s="14" t="n">
        <f aca="false">Share_Prices!J106/Share_Prices!J105-1</f>
        <v>0.00930964400445822</v>
      </c>
      <c r="K106" s="14" t="n">
        <f aca="false">Share_Prices!K106/Share_Prices!K105-1</f>
        <v>-0.0101075746951481</v>
      </c>
      <c r="L106" s="14" t="n">
        <f aca="false">Share_Prices!L106/Share_Prices!L105-1</f>
        <v>-0.00978635423845631</v>
      </c>
      <c r="M106" s="14" t="n">
        <f aca="false">Share_Prices!M106/Share_Prices!M105-1</f>
        <v>0</v>
      </c>
      <c r="N106" s="14" t="n">
        <f aca="false">Share_Prices!N106/Share_Prices!N105-1</f>
        <v>0.0154284461976768</v>
      </c>
      <c r="O106" s="14" t="n">
        <f aca="false">Share_Prices!O106/Share_Prices!O105-1</f>
        <v>-0.0190089705254164</v>
      </c>
      <c r="P106" s="14" t="n">
        <f aca="false">Share_Prices!P106/Share_Prices!P105-1</f>
        <v>-0.0172910662824207</v>
      </c>
      <c r="Q106" s="14" t="n">
        <f aca="false">Share_Prices!Q106/Share_Prices!Q105-1</f>
        <v>-0.0112433862433862</v>
      </c>
      <c r="R106" s="14" t="n">
        <f aca="false">Share_Prices!R106/Share_Prices!R105-1</f>
        <v>-0.0401342281879195</v>
      </c>
      <c r="S106" s="14" t="n">
        <f aca="false">Share_Prices!S106/Share_Prices!S105-1</f>
        <v>-0.0087726230933376</v>
      </c>
    </row>
    <row r="107" customFormat="false" ht="15" hidden="false" customHeight="false" outlineLevel="0" collapsed="false">
      <c r="A107" s="13" t="n">
        <f aca="false">Share_Prices!A107</f>
        <v>44953</v>
      </c>
      <c r="B107" s="14" t="n">
        <f aca="false">Share_Prices!B107/Share_Prices!B106-1</f>
        <v>-0.0160742680367429</v>
      </c>
      <c r="C107" s="14" t="n">
        <f aca="false">Share_Prices!C107/Share_Prices!C106-1</f>
        <v>-0.0195887806115892</v>
      </c>
      <c r="D107" s="14" t="n">
        <f aca="false">Share_Prices!D107/Share_Prices!D106-1</f>
        <v>-0.00612593663730776</v>
      </c>
      <c r="E107" s="14" t="n">
        <f aca="false">Share_Prices!E107/Share_Prices!E106-1</f>
        <v>-0.0306241580601706</v>
      </c>
      <c r="F107" s="14" t="n">
        <f aca="false">Share_Prices!F107/Share_Prices!F106-1</f>
        <v>-0.0424525326436637</v>
      </c>
      <c r="G107" s="14" t="n">
        <f aca="false">Share_Prices!G107/Share_Prices!G106-1</f>
        <v>-0.00948717948717948</v>
      </c>
      <c r="H107" s="14" t="n">
        <f aca="false">Share_Prices!H107/Share_Prices!H106-1</f>
        <v>-0.0296462217537388</v>
      </c>
      <c r="I107" s="14" t="n">
        <f aca="false">Share_Prices!I107/Share_Prices!I106-1</f>
        <v>-0.0218947368421052</v>
      </c>
      <c r="J107" s="14" t="n">
        <f aca="false">Share_Prices!J107/Share_Prices!J106-1</f>
        <v>-0.026761935693407</v>
      </c>
      <c r="K107" s="14" t="n">
        <f aca="false">Share_Prices!K107/Share_Prices!K106-1</f>
        <v>-0.00606427090532136</v>
      </c>
      <c r="L107" s="14" t="n">
        <f aca="false">Share_Prices!L107/Share_Prices!L106-1</f>
        <v>-0.0118318485523385</v>
      </c>
      <c r="M107" s="14" t="n">
        <f aca="false">Share_Prices!M107/Share_Prices!M106-1</f>
        <v>-0.0404525386313466</v>
      </c>
      <c r="N107" s="14" t="n">
        <f aca="false">Share_Prices!N107/Share_Prices!N106-1</f>
        <v>-0.0344887123926274</v>
      </c>
      <c r="O107" s="14" t="n">
        <f aca="false">Share_Prices!O107/Share_Prices!O106-1</f>
        <v>-0.01807097757457</v>
      </c>
      <c r="P107" s="14" t="n">
        <f aca="false">Share_Prices!P107/Share_Prices!P106-1</f>
        <v>-0.0287486178549108</v>
      </c>
      <c r="Q107" s="14" t="n">
        <f aca="false">Share_Prices!Q107/Share_Prices!Q106-1</f>
        <v>-0.0439799331103679</v>
      </c>
      <c r="R107" s="14" t="n">
        <f aca="false">Share_Prices!R107/Share_Prices!R106-1</f>
        <v>-0.0220248916235491</v>
      </c>
      <c r="S107" s="14" t="n">
        <f aca="false">Share_Prices!S107/Share_Prices!S106-1</f>
        <v>-0.0104847711688726</v>
      </c>
    </row>
    <row r="108" customFormat="false" ht="15" hidden="false" customHeight="false" outlineLevel="0" collapsed="false">
      <c r="A108" s="13" t="n">
        <f aca="false">Share_Prices!A108</f>
        <v>44956</v>
      </c>
      <c r="B108" s="14" t="n">
        <f aca="false">Share_Prices!B108/Share_Prices!B107-1</f>
        <v>0.00253346474024907</v>
      </c>
      <c r="C108" s="14" t="n">
        <f aca="false">Share_Prices!C108/Share_Prices!C107-1</f>
        <v>-0.00138153582413147</v>
      </c>
      <c r="D108" s="14" t="n">
        <f aca="false">Share_Prices!D108/Share_Prices!D107-1</f>
        <v>-0.0158457224485477</v>
      </c>
      <c r="E108" s="14" t="n">
        <f aca="false">Share_Prices!E108/Share_Prices!E107-1</f>
        <v>0.00185288123031313</v>
      </c>
      <c r="F108" s="14" t="n">
        <f aca="false">Share_Prices!F108/Share_Prices!F107-1</f>
        <v>-0.016798418972332</v>
      </c>
      <c r="G108" s="14" t="n">
        <f aca="false">Share_Prices!G108/Share_Prices!G107-1</f>
        <v>0.00737768573647424</v>
      </c>
      <c r="H108" s="14" t="n">
        <f aca="false">Share_Prices!H108/Share_Prices!H107-1</f>
        <v>-0.0102292529476995</v>
      </c>
      <c r="I108" s="14" t="n">
        <f aca="false">Share_Prices!I108/Share_Prices!I107-1</f>
        <v>-0.0413258717176066</v>
      </c>
      <c r="J108" s="14" t="n">
        <f aca="false">Share_Prices!J108/Share_Prices!J107-1</f>
        <v>0.00710805579656948</v>
      </c>
      <c r="K108" s="14" t="n">
        <f aca="false">Share_Prices!K108/Share_Prices!K107-1</f>
        <v>0.0453162752698639</v>
      </c>
      <c r="L108" s="14" t="n">
        <f aca="false">Share_Prices!L108/Share_Prices!L107-1</f>
        <v>0.00119735173968172</v>
      </c>
      <c r="M108" s="14" t="n">
        <f aca="false">Share_Prices!M108/Share_Prices!M107-1</f>
        <v>-0.0171392419623857</v>
      </c>
      <c r="N108" s="14" t="n">
        <f aca="false">Share_Prices!N108/Share_Prices!N107-1</f>
        <v>0.0205203862660945</v>
      </c>
      <c r="O108" s="14" t="n">
        <f aca="false">Share_Prices!O108/Share_Prices!O107-1</f>
        <v>0.000221729490022193</v>
      </c>
      <c r="P108" s="14" t="n">
        <f aca="false">Share_Prices!P108/Share_Prices!P107-1</f>
        <v>0.0129188734346384</v>
      </c>
      <c r="Q108" s="14" t="n">
        <f aca="false">Share_Prices!Q108/Share_Prices!Q107-1</f>
        <v>0.011719433269197</v>
      </c>
      <c r="R108" s="14" t="n">
        <f aca="false">Share_Prices!R108/Share_Prices!R107-1</f>
        <v>0.0243797812254236</v>
      </c>
      <c r="S108" s="14" t="n">
        <f aca="false">Share_Prices!S108/Share_Prices!S107-1</f>
        <v>0.00225615406309165</v>
      </c>
    </row>
    <row r="109" customFormat="false" ht="15" hidden="false" customHeight="false" outlineLevel="0" collapsed="false">
      <c r="A109" s="13" t="n">
        <f aca="false">Share_Prices!A109</f>
        <v>44957</v>
      </c>
      <c r="B109" s="14" t="n">
        <f aca="false">Share_Prices!B109/Share_Prices!B108-1</f>
        <v>0.000747919847922995</v>
      </c>
      <c r="C109" s="14" t="n">
        <f aca="false">Share_Prices!C109/Share_Prices!C108-1</f>
        <v>0.0054731994991315</v>
      </c>
      <c r="D109" s="14" t="n">
        <f aca="false">Share_Prices!D109/Share_Prices!D108-1</f>
        <v>-0.027363384673279</v>
      </c>
      <c r="E109" s="14" t="n">
        <f aca="false">Share_Prices!E109/Share_Prices!E108-1</f>
        <v>0.0496578509339742</v>
      </c>
      <c r="F109" s="14" t="n">
        <f aca="false">Share_Prices!F109/Share_Prices!F108-1</f>
        <v>-0.0105192629815746</v>
      </c>
      <c r="G109" s="14" t="n">
        <f aca="false">Share_Prices!G109/Share_Prices!G108-1</f>
        <v>0.0309649235513298</v>
      </c>
      <c r="H109" s="14" t="n">
        <f aca="false">Share_Prices!H109/Share_Prices!H108-1</f>
        <v>0.049617011546816</v>
      </c>
      <c r="I109" s="14" t="n">
        <f aca="false">Share_Prices!I109/Share_Prices!I108-1</f>
        <v>0.022002694207454</v>
      </c>
      <c r="J109" s="14" t="n">
        <f aca="false">Share_Prices!J109/Share_Prices!J108-1</f>
        <v>0.018290864508433</v>
      </c>
      <c r="K109" s="14" t="n">
        <f aca="false">Share_Prices!K109/Share_Prices!K108-1</f>
        <v>-0.0224823732872156</v>
      </c>
      <c r="L109" s="14" t="n">
        <f aca="false">Share_Prices!L109/Share_Prices!L108-1</f>
        <v>-0.00534646500175862</v>
      </c>
      <c r="M109" s="14" t="n">
        <f aca="false">Share_Prices!M109/Share_Prices!M108-1</f>
        <v>0.00708057814968699</v>
      </c>
      <c r="N109" s="14" t="n">
        <f aca="false">Share_Prices!N109/Share_Prices!N108-1</f>
        <v>0.0922372628904367</v>
      </c>
      <c r="O109" s="14" t="n">
        <f aca="false">Share_Prices!O109/Share_Prices!O108-1</f>
        <v>0.0319219685213921</v>
      </c>
      <c r="P109" s="14" t="n">
        <f aca="false">Share_Prices!P109/Share_Prices!P108-1</f>
        <v>0.0204261141516808</v>
      </c>
      <c r="Q109" s="14" t="n">
        <f aca="false">Share_Prices!Q109/Share_Prices!Q108-1</f>
        <v>0.0283540802213</v>
      </c>
      <c r="R109" s="14" t="n">
        <f aca="false">Share_Prices!R109/Share_Prices!R108-1</f>
        <v>0.00900335008375208</v>
      </c>
      <c r="S109" s="14" t="n">
        <f aca="false">Share_Prices!S109/Share_Prices!S108-1</f>
        <v>0.0343690959520842</v>
      </c>
    </row>
    <row r="110" customFormat="false" ht="15" hidden="false" customHeight="false" outlineLevel="0" collapsed="false">
      <c r="A110" s="13" t="n">
        <f aca="false">Share_Prices!A110</f>
        <v>44958</v>
      </c>
      <c r="B110" s="14" t="n">
        <f aca="false">Share_Prices!B110/Share_Prices!B109-1</f>
        <v>-0.00259594669958085</v>
      </c>
      <c r="C110" s="14" t="n">
        <f aca="false">Share_Prices!C110/Share_Prices!C109-1</f>
        <v>-0.00588195909075695</v>
      </c>
      <c r="D110" s="14" t="n">
        <f aca="false">Share_Prices!D110/Share_Prices!D109-1</f>
        <v>0.0180185159596518</v>
      </c>
      <c r="E110" s="14" t="n">
        <f aca="false">Share_Prices!E110/Share_Prices!E109-1</f>
        <v>-0.0453704519425602</v>
      </c>
      <c r="F110" s="14" t="n">
        <f aca="false">Share_Prices!F110/Share_Prices!F109-1</f>
        <v>0.0287107258938246</v>
      </c>
      <c r="G110" s="14" t="n">
        <f aca="false">Share_Prices!G110/Share_Prices!G109-1</f>
        <v>-0.0356430707876371</v>
      </c>
      <c r="H110" s="14" t="n">
        <f aca="false">Share_Prices!H110/Share_Prices!H109-1</f>
        <v>-0.0274262062956105</v>
      </c>
      <c r="I110" s="14" t="n">
        <f aca="false">Share_Prices!I110/Share_Prices!I109-1</f>
        <v>-0.00505272407732871</v>
      </c>
      <c r="J110" s="14" t="n">
        <f aca="false">Share_Prices!J110/Share_Prices!J109-1</f>
        <v>-0.035338908593928</v>
      </c>
      <c r="K110" s="14" t="n">
        <f aca="false">Share_Prices!K110/Share_Prices!K109-1</f>
        <v>-0.0117548992923245</v>
      </c>
      <c r="L110" s="14" t="n">
        <f aca="false">Share_Prices!L110/Share_Prices!L109-1</f>
        <v>0.0606124902751255</v>
      </c>
      <c r="M110" s="14" t="n">
        <f aca="false">Share_Prices!M110/Share_Prices!M109-1</f>
        <v>0.0468913422428821</v>
      </c>
      <c r="N110" s="14" t="n">
        <f aca="false">Share_Prices!N110/Share_Prices!N109-1</f>
        <v>0.0127544369798456</v>
      </c>
      <c r="O110" s="14" t="n">
        <f aca="false">Share_Prices!O110/Share_Prices!O109-1</f>
        <v>0.00472610096670234</v>
      </c>
      <c r="P110" s="14" t="n">
        <f aca="false">Share_Prices!P110/Share_Prices!P109-1</f>
        <v>-0.0272962359927209</v>
      </c>
      <c r="Q110" s="14" t="n">
        <f aca="false">Share_Prices!Q110/Share_Prices!Q109-1</f>
        <v>-0.0247141896435775</v>
      </c>
      <c r="R110" s="14" t="n">
        <f aca="false">Share_Prices!R110/Share_Prices!R109-1</f>
        <v>0.0233105070208204</v>
      </c>
      <c r="S110" s="14" t="n">
        <f aca="false">Share_Prices!S110/Share_Prices!S109-1</f>
        <v>0.0083553551997515</v>
      </c>
    </row>
    <row r="111" customFormat="false" ht="15" hidden="false" customHeight="false" outlineLevel="0" collapsed="false">
      <c r="A111" s="13" t="n">
        <f aca="false">Share_Prices!A111</f>
        <v>44959</v>
      </c>
      <c r="B111" s="14" t="n">
        <f aca="false">Share_Prices!B111/Share_Prices!B110-1</f>
        <v>-0.000334917093827714</v>
      </c>
      <c r="C111" s="14" t="n">
        <f aca="false">Share_Prices!C111/Share_Prices!C110-1</f>
        <v>-0.000555643485669499</v>
      </c>
      <c r="D111" s="14" t="n">
        <f aca="false">Share_Prices!D111/Share_Prices!D110-1</f>
        <v>0.0106143279854496</v>
      </c>
      <c r="E111" s="14" t="n">
        <f aca="false">Share_Prices!E111/Share_Prices!E110-1</f>
        <v>0.0550941306755262</v>
      </c>
      <c r="F111" s="14" t="n">
        <f aca="false">Share_Prices!F111/Share_Prices!F110-1</f>
        <v>-0.0256055818852028</v>
      </c>
      <c r="G111" s="14" t="n">
        <f aca="false">Share_Prices!G111/Share_Prices!G110-1</f>
        <v>0.0205479452054795</v>
      </c>
      <c r="H111" s="14" t="n">
        <f aca="false">Share_Prices!H111/Share_Prices!H110-1</f>
        <v>0.00992250145589746</v>
      </c>
      <c r="I111" s="14" t="n">
        <f aca="false">Share_Prices!I111/Share_Prices!I110-1</f>
        <v>0.0141311547803047</v>
      </c>
      <c r="J111" s="14" t="n">
        <f aca="false">Share_Prices!J111/Share_Prices!J110-1</f>
        <v>0.00873671782762697</v>
      </c>
      <c r="K111" s="14" t="n">
        <f aca="false">Share_Prices!K111/Share_Prices!K110-1</f>
        <v>-0.0171104952403903</v>
      </c>
      <c r="L111" s="14" t="n">
        <f aca="false">Share_Prices!L111/Share_Prices!L110-1</f>
        <v>0.0336089623899707</v>
      </c>
      <c r="M111" s="14" t="n">
        <f aca="false">Share_Prices!M111/Share_Prices!M110-1</f>
        <v>-0.00455125714602878</v>
      </c>
      <c r="N111" s="14" t="n">
        <f aca="false">Share_Prices!N111/Share_Prices!N110-1</f>
        <v>-0.000297023821310471</v>
      </c>
      <c r="O111" s="14" t="n">
        <f aca="false">Share_Prices!O111/Share_Prices!O110-1</f>
        <v>0.0168911695531324</v>
      </c>
      <c r="P111" s="14" t="n">
        <f aca="false">Share_Prices!P111/Share_Prices!P110-1</f>
        <v>0.0102402520677432</v>
      </c>
      <c r="Q111" s="14" t="n">
        <f aca="false">Share_Prices!Q111/Share_Prices!Q110-1</f>
        <v>0.0037924495776589</v>
      </c>
      <c r="R111" s="14" t="n">
        <f aca="false">Share_Prices!R111/Share_Prices!R110-1</f>
        <v>-0.00317696363390563</v>
      </c>
      <c r="S111" s="14" t="n">
        <f aca="false">Share_Prices!S111/Share_Prices!S110-1</f>
        <v>-0.0253208463406175</v>
      </c>
    </row>
    <row r="112" customFormat="false" ht="15" hidden="false" customHeight="false" outlineLevel="0" collapsed="false">
      <c r="A112" s="13" t="n">
        <f aca="false">Share_Prices!A112</f>
        <v>44960</v>
      </c>
      <c r="B112" s="14" t="n">
        <f aca="false">Share_Prices!B112/Share_Prices!B111-1</f>
        <v>0.0138355744332892</v>
      </c>
      <c r="C112" s="14" t="n">
        <f aca="false">Share_Prices!C112/Share_Prices!C111-1</f>
        <v>0.00828537541949137</v>
      </c>
      <c r="D112" s="14" t="n">
        <f aca="false">Share_Prices!D112/Share_Prices!D111-1</f>
        <v>0.0737348232513162</v>
      </c>
      <c r="E112" s="14" t="n">
        <f aca="false">Share_Prices!E112/Share_Prices!E111-1</f>
        <v>0.0112831277879821</v>
      </c>
      <c r="F112" s="14" t="n">
        <f aca="false">Share_Prices!F112/Share_Prices!F111-1</f>
        <v>-0.00547186381138953</v>
      </c>
      <c r="G112" s="14" t="n">
        <f aca="false">Share_Prices!G112/Share_Prices!G111-1</f>
        <v>0.0122831454982903</v>
      </c>
      <c r="H112" s="14" t="n">
        <f aca="false">Share_Prices!H112/Share_Prices!H111-1</f>
        <v>-0.0105568985783672</v>
      </c>
      <c r="I112" s="14" t="n">
        <f aca="false">Share_Prices!I112/Share_Prices!I111-1</f>
        <v>-0.0226431526235577</v>
      </c>
      <c r="J112" s="14" t="n">
        <f aca="false">Share_Prices!J112/Share_Prices!J111-1</f>
        <v>-0.0156500802568219</v>
      </c>
      <c r="K112" s="14" t="n">
        <f aca="false">Share_Prices!K112/Share_Prices!K111-1</f>
        <v>0.0518748139196834</v>
      </c>
      <c r="L112" s="14" t="n">
        <f aca="false">Share_Prices!L112/Share_Prices!L111-1</f>
        <v>0.00793548387096776</v>
      </c>
      <c r="M112" s="14" t="n">
        <f aca="false">Share_Prices!M112/Share_Prices!M111-1</f>
        <v>0.00334541399498178</v>
      </c>
      <c r="N112" s="14" t="n">
        <f aca="false">Share_Prices!N112/Share_Prices!N111-1</f>
        <v>-0.0246206869231074</v>
      </c>
      <c r="O112" s="14" t="n">
        <f aca="false">Share_Prices!O112/Share_Prices!O111-1</f>
        <v>0.024390243902439</v>
      </c>
      <c r="P112" s="14" t="n">
        <f aca="false">Share_Prices!P112/Share_Prices!P111-1</f>
        <v>0.00146198830409361</v>
      </c>
      <c r="Q112" s="14" t="n">
        <f aca="false">Share_Prices!Q112/Share_Prices!Q111-1</f>
        <v>-0.00171732783788425</v>
      </c>
      <c r="R112" s="14" t="n">
        <f aca="false">Share_Prices!R112/Share_Prices!R111-1</f>
        <v>0.0226486743066385</v>
      </c>
      <c r="S112" s="14" t="n">
        <f aca="false">Share_Prices!S112/Share_Prices!S111-1</f>
        <v>0.0115065243179122</v>
      </c>
    </row>
    <row r="113" customFormat="false" ht="15" hidden="false" customHeight="false" outlineLevel="0" collapsed="false">
      <c r="A113" s="13" t="n">
        <f aca="false">Share_Prices!A113</f>
        <v>44963</v>
      </c>
      <c r="B113" s="14" t="n">
        <f aca="false">Share_Prices!B113/Share_Prices!B112-1</f>
        <v>-0.00501006774373325</v>
      </c>
      <c r="C113" s="14" t="n">
        <f aca="false">Share_Prices!C113/Share_Prices!C112-1</f>
        <v>-0.00188473067399175</v>
      </c>
      <c r="D113" s="14" t="n">
        <f aca="false">Share_Prices!D113/Share_Prices!D112-1</f>
        <v>-0.00470317464288395</v>
      </c>
      <c r="E113" s="14" t="n">
        <f aca="false">Share_Prices!E113/Share_Prices!E112-1</f>
        <v>0.00657325722193392</v>
      </c>
      <c r="F113" s="14" t="n">
        <f aca="false">Share_Prices!F113/Share_Prices!F112-1</f>
        <v>0.0164379839695694</v>
      </c>
      <c r="G113" s="14" t="n">
        <f aca="false">Share_Prices!G113/Share_Prices!G112-1</f>
        <v>-0.028771578684013</v>
      </c>
      <c r="H113" s="14" t="n">
        <f aca="false">Share_Prices!H113/Share_Prices!H112-1</f>
        <v>0.0021294241588774</v>
      </c>
      <c r="I113" s="14" t="n">
        <f aca="false">Share_Prices!I113/Share_Prices!I112-1</f>
        <v>0.00690576965916701</v>
      </c>
      <c r="J113" s="14" t="n">
        <f aca="false">Share_Prices!J113/Share_Prices!J112-1</f>
        <v>0.0406644924582145</v>
      </c>
      <c r="K113" s="14" t="n">
        <f aca="false">Share_Prices!K113/Share_Prices!K112-1</f>
        <v>0.0149514660095569</v>
      </c>
      <c r="L113" s="14" t="n">
        <f aca="false">Share_Prices!L113/Share_Prices!L112-1</f>
        <v>-6.40081930486369E-005</v>
      </c>
      <c r="M113" s="14" t="n">
        <f aca="false">Share_Prices!M113/Share_Prices!M112-1</f>
        <v>-0.0171714365101417</v>
      </c>
      <c r="N113" s="14" t="n">
        <f aca="false">Share_Prices!N113/Share_Prices!N112-1</f>
        <v>-0.0282070548098207</v>
      </c>
      <c r="O113" s="14" t="n">
        <f aca="false">Share_Prices!O113/Share_Prices!O112-1</f>
        <v>0.0749178981937604</v>
      </c>
      <c r="P113" s="14" t="n">
        <f aca="false">Share_Prices!P113/Share_Prices!P112-1</f>
        <v>0.00968369829683713</v>
      </c>
      <c r="Q113" s="14" t="n">
        <f aca="false">Share_Prices!Q113/Share_Prices!Q112-1</f>
        <v>0.0048167899535525</v>
      </c>
      <c r="R113" s="14" t="n">
        <f aca="false">Share_Prices!R113/Share_Prices!R112-1</f>
        <v>0.00324912141104705</v>
      </c>
      <c r="S113" s="14" t="n">
        <f aca="false">Share_Prices!S113/Share_Prices!S112-1</f>
        <v>0.0114147218638834</v>
      </c>
    </row>
    <row r="114" customFormat="false" ht="15" hidden="false" customHeight="false" outlineLevel="0" collapsed="false">
      <c r="A114" s="13" t="n">
        <f aca="false">Share_Prices!A114</f>
        <v>44964</v>
      </c>
      <c r="B114" s="14" t="n">
        <f aca="false">Share_Prices!B114/Share_Prices!B113-1</f>
        <v>-0.00242617340103346</v>
      </c>
      <c r="C114" s="14" t="n">
        <f aca="false">Share_Prices!C114/Share_Prices!C113-1</f>
        <v>-0.00213939193057511</v>
      </c>
      <c r="D114" s="14" t="n">
        <f aca="false">Share_Prices!D114/Share_Prices!D113-1</f>
        <v>-0.0158602488375016</v>
      </c>
      <c r="E114" s="14" t="n">
        <f aca="false">Share_Prices!E114/Share_Prices!E113-1</f>
        <v>-0.00360886750300737</v>
      </c>
      <c r="F114" s="14" t="n">
        <f aca="false">Share_Prices!F114/Share_Prices!F113-1</f>
        <v>-0.00100240577385724</v>
      </c>
      <c r="G114" s="14" t="n">
        <f aca="false">Share_Prices!G114/Share_Prices!G113-1</f>
        <v>-0.0311695002575991</v>
      </c>
      <c r="H114" s="14" t="n">
        <f aca="false">Share_Prices!H114/Share_Prices!H113-1</f>
        <v>0.0315827145029972</v>
      </c>
      <c r="I114" s="14" t="n">
        <f aca="false">Share_Prices!I114/Share_Prices!I113-1</f>
        <v>-0.00376106194690262</v>
      </c>
      <c r="J114" s="14" t="n">
        <f aca="false">Share_Prices!J114/Share_Prices!J113-1</f>
        <v>0.0351581627656448</v>
      </c>
      <c r="K114" s="14" t="n">
        <f aca="false">Share_Prices!K114/Share_Prices!K113-1</f>
        <v>0.00923571580898641</v>
      </c>
      <c r="L114" s="14" t="n">
        <f aca="false">Share_Prices!L114/Share_Prices!L113-1</f>
        <v>0.000384073742158542</v>
      </c>
      <c r="M114" s="14" t="n">
        <f aca="false">Share_Prices!M114/Share_Prices!M113-1</f>
        <v>0.0192807870632139</v>
      </c>
      <c r="N114" s="14" t="n">
        <f aca="false">Share_Prices!N114/Share_Prices!N113-1</f>
        <v>-0.030843816608852</v>
      </c>
      <c r="O114" s="14" t="n">
        <f aca="false">Share_Prices!O114/Share_Prices!O113-1</f>
        <v>0.021386289860607</v>
      </c>
      <c r="P114" s="14" t="n">
        <f aca="false">Share_Prices!P114/Share_Prices!P113-1</f>
        <v>-0.0257361800568703</v>
      </c>
      <c r="Q114" s="14" t="n">
        <f aca="false">Share_Prices!Q114/Share_Prices!Q113-1</f>
        <v>0.0292758089368259</v>
      </c>
      <c r="R114" s="14" t="n">
        <f aca="false">Share_Prices!R114/Share_Prices!R113-1</f>
        <v>-0.0076668869795109</v>
      </c>
      <c r="S114" s="14" t="n">
        <f aca="false">Share_Prices!S114/Share_Prices!S113-1</f>
        <v>-0.00181656553163545</v>
      </c>
    </row>
    <row r="115" customFormat="false" ht="15" hidden="false" customHeight="false" outlineLevel="0" collapsed="false">
      <c r="A115" s="13" t="n">
        <f aca="false">Share_Prices!A115</f>
        <v>44965</v>
      </c>
      <c r="B115" s="14" t="n">
        <f aca="false">Share_Prices!B115/Share_Prices!B114-1</f>
        <v>0.00847558050955066</v>
      </c>
      <c r="C115" s="14" t="n">
        <f aca="false">Share_Prices!C115/Share_Prices!C114-1</f>
        <v>0.00846183784944499</v>
      </c>
      <c r="D115" s="14" t="n">
        <f aca="false">Share_Prices!D115/Share_Prices!D114-1</f>
        <v>0.0168309751238698</v>
      </c>
      <c r="E115" s="14" t="n">
        <f aca="false">Share_Prices!E115/Share_Prices!E114-1</f>
        <v>0.0204380820972749</v>
      </c>
      <c r="F115" s="14" t="n">
        <f aca="false">Share_Prices!F115/Share_Prices!F114-1</f>
        <v>0.00608736370325769</v>
      </c>
      <c r="G115" s="14" t="n">
        <f aca="false">Share_Prices!G115/Share_Prices!G114-1</f>
        <v>0.026987503323584</v>
      </c>
      <c r="H115" s="14" t="n">
        <f aca="false">Share_Prices!H115/Share_Prices!H114-1</f>
        <v>0.0463356461405031</v>
      </c>
      <c r="I115" s="14" t="n">
        <f aca="false">Share_Prices!I115/Share_Prices!I114-1</f>
        <v>0.0501887630468576</v>
      </c>
      <c r="J115" s="14" t="n">
        <f aca="false">Share_Prices!J115/Share_Prices!J114-1</f>
        <v>-0.0140334279407127</v>
      </c>
      <c r="K115" s="14" t="n">
        <f aca="false">Share_Prices!K115/Share_Prices!K114-1</f>
        <v>0.0310132960566951</v>
      </c>
      <c r="L115" s="14" t="n">
        <f aca="false">Share_Prices!L115/Share_Prices!L114-1</f>
        <v>0.018748400307141</v>
      </c>
      <c r="M115" s="14" t="n">
        <f aca="false">Share_Prices!M115/Share_Prices!M114-1</f>
        <v>0.0612969434736783</v>
      </c>
      <c r="N115" s="14" t="n">
        <f aca="false">Share_Prices!N115/Share_Prices!N114-1</f>
        <v>0.0196860580447626</v>
      </c>
      <c r="O115" s="14" t="n">
        <f aca="false">Share_Prices!O115/Share_Prices!O114-1</f>
        <v>0.00598242662179849</v>
      </c>
      <c r="P115" s="14" t="n">
        <f aca="false">Share_Prices!P115/Share_Prices!P114-1</f>
        <v>-0.00435320306702947</v>
      </c>
      <c r="Q115" s="14" t="n">
        <f aca="false">Share_Prices!Q115/Share_Prices!Q114-1</f>
        <v>0.00216234198270127</v>
      </c>
      <c r="R115" s="14" t="n">
        <f aca="false">Share_Prices!R115/Share_Prices!R114-1</f>
        <v>0.00133209004928725</v>
      </c>
      <c r="S115" s="14" t="n">
        <f aca="false">Share_Prices!S115/Share_Prices!S114-1</f>
        <v>0.0126616587934638</v>
      </c>
    </row>
    <row r="116" customFormat="false" ht="15" hidden="false" customHeight="false" outlineLevel="0" collapsed="false">
      <c r="A116" s="13" t="n">
        <f aca="false">Share_Prices!A116</f>
        <v>44966</v>
      </c>
      <c r="B116" s="14" t="n">
        <f aca="false">Share_Prices!B116/Share_Prices!B115-1</f>
        <v>0.00121700789516388</v>
      </c>
      <c r="C116" s="14" t="n">
        <f aca="false">Share_Prices!C116/Share_Prices!C115-1</f>
        <v>0.000119774026337005</v>
      </c>
      <c r="D116" s="14" t="n">
        <f aca="false">Share_Prices!D116/Share_Prices!D115-1</f>
        <v>0.00241127269987196</v>
      </c>
      <c r="E116" s="14" t="n">
        <f aca="false">Share_Prices!E116/Share_Prices!E115-1</f>
        <v>0.0147046395673118</v>
      </c>
      <c r="F116" s="14" t="n">
        <f aca="false">Share_Prices!F116/Share_Prices!F115-1</f>
        <v>0.0245345744680852</v>
      </c>
      <c r="G116" s="14" t="n">
        <f aca="false">Share_Prices!G116/Share_Prices!G115-1</f>
        <v>-0.0161812297734628</v>
      </c>
      <c r="H116" s="14" t="n">
        <f aca="false">Share_Prices!H116/Share_Prices!H115-1</f>
        <v>0.00370930642186629</v>
      </c>
      <c r="I116" s="14" t="n">
        <f aca="false">Share_Prices!I116/Share_Prices!I115-1</f>
        <v>-0.0109959822372594</v>
      </c>
      <c r="J116" s="14" t="n">
        <f aca="false">Share_Prices!J116/Share_Prices!J115-1</f>
        <v>0.0260674876059492</v>
      </c>
      <c r="K116" s="14" t="n">
        <f aca="false">Share_Prices!K116/Share_Prices!K115-1</f>
        <v>0.0162699038309948</v>
      </c>
      <c r="L116" s="14" t="n">
        <f aca="false">Share_Prices!L116/Share_Prices!L115-1</f>
        <v>6.28101249922075E-005</v>
      </c>
      <c r="M116" s="14" t="n">
        <f aca="false">Share_Prices!M116/Share_Prices!M115-1</f>
        <v>0.0032929123980765</v>
      </c>
      <c r="N116" s="14" t="n">
        <f aca="false">Share_Prices!N116/Share_Prices!N115-1</f>
        <v>-0.0152037385549048</v>
      </c>
      <c r="O116" s="14" t="n">
        <f aca="false">Share_Prices!O116/Share_Prices!O115-1</f>
        <v>0.00501765471102011</v>
      </c>
      <c r="P116" s="14" t="n">
        <f aca="false">Share_Prices!P116/Share_Prices!P115-1</f>
        <v>0.0112783822725693</v>
      </c>
      <c r="Q116" s="14" t="n">
        <f aca="false">Share_Prices!Q116/Share_Prices!Q115-1</f>
        <v>0.00348547717842318</v>
      </c>
      <c r="R116" s="14" t="n">
        <f aca="false">Share_Prices!R116/Share_Prices!R115-1</f>
        <v>0.00738326460023941</v>
      </c>
      <c r="S116" s="14" t="n">
        <f aca="false">Share_Prices!S116/Share_Prices!S115-1</f>
        <v>0.00565900661492003</v>
      </c>
    </row>
    <row r="117" customFormat="false" ht="15" hidden="false" customHeight="false" outlineLevel="0" collapsed="false">
      <c r="A117" s="13" t="n">
        <f aca="false">Share_Prices!A117</f>
        <v>44967</v>
      </c>
      <c r="B117" s="14" t="n">
        <f aca="false">Share_Prices!B117/Share_Prices!B116-1</f>
        <v>-0.00206500143907407</v>
      </c>
      <c r="C117" s="14" t="n">
        <f aca="false">Share_Prices!C117/Share_Prices!C116-1</f>
        <v>-0.000948097484381294</v>
      </c>
      <c r="D117" s="14" t="n">
        <f aca="false">Share_Prices!D117/Share_Prices!D116-1</f>
        <v>0.0139567516099126</v>
      </c>
      <c r="E117" s="14" t="n">
        <f aca="false">Share_Prices!E117/Share_Prices!E116-1</f>
        <v>-0.00499708503373031</v>
      </c>
      <c r="F117" s="14" t="n">
        <f aca="false">Share_Prices!F117/Share_Prices!F116-1</f>
        <v>0.00791745084041784</v>
      </c>
      <c r="G117" s="14" t="n">
        <f aca="false">Share_Prices!G117/Share_Prices!G116-1</f>
        <v>-0.00552631578947371</v>
      </c>
      <c r="H117" s="14" t="n">
        <f aca="false">Share_Prices!H117/Share_Prices!H116-1</f>
        <v>-0.0293376827153358</v>
      </c>
      <c r="I117" s="14" t="n">
        <f aca="false">Share_Prices!I117/Share_Prices!I116-1</f>
        <v>0.0173187940987813</v>
      </c>
      <c r="J117" s="14" t="n">
        <f aca="false">Share_Prices!J117/Share_Prices!J116-1</f>
        <v>0.0288029925187032</v>
      </c>
      <c r="K117" s="14" t="n">
        <f aca="false">Share_Prices!K117/Share_Prices!K116-1</f>
        <v>-0.00300952499146789</v>
      </c>
      <c r="L117" s="14" t="n">
        <f aca="false">Share_Prices!L117/Share_Prices!L116-1</f>
        <v>-0.0233010928275343</v>
      </c>
      <c r="M117" s="14" t="n">
        <f aca="false">Share_Prices!M117/Share_Prices!M116-1</f>
        <v>-0.0107319614482938</v>
      </c>
      <c r="N117" s="14" t="n">
        <f aca="false">Share_Prices!N117/Share_Prices!N116-1</f>
        <v>-0.0160611526238942</v>
      </c>
      <c r="O117" s="14" t="n">
        <f aca="false">Share_Prices!O117/Share_Prices!O116-1</f>
        <v>-0.0197855029585797</v>
      </c>
      <c r="P117" s="14" t="n">
        <f aca="false">Share_Prices!P117/Share_Prices!P116-1</f>
        <v>-0.0036847794045396</v>
      </c>
      <c r="Q117" s="14" t="n">
        <f aca="false">Share_Prices!Q117/Share_Prices!Q116-1</f>
        <v>-0.00479655970889836</v>
      </c>
      <c r="R117" s="14" t="n">
        <f aca="false">Share_Prices!R117/Share_Prices!R116-1</f>
        <v>-0.00468801584681411</v>
      </c>
      <c r="S117" s="14" t="n">
        <f aca="false">Share_Prices!S117/Share_Prices!S116-1</f>
        <v>-0.0277175772784305</v>
      </c>
    </row>
    <row r="118" customFormat="false" ht="15" hidden="false" customHeight="false" outlineLevel="0" collapsed="false">
      <c r="A118" s="13" t="n">
        <f aca="false">Share_Prices!A118</f>
        <v>44970</v>
      </c>
      <c r="B118" s="14" t="n">
        <f aca="false">Share_Prices!B118/Share_Prices!B117-1</f>
        <v>-0.00479377257581259</v>
      </c>
      <c r="C118" s="14" t="n">
        <f aca="false">Share_Prices!C118/Share_Prices!C117-1</f>
        <v>-0.00768188281049698</v>
      </c>
      <c r="D118" s="14" t="n">
        <f aca="false">Share_Prices!D118/Share_Prices!D117-1</f>
        <v>-0.00402807295013086</v>
      </c>
      <c r="E118" s="14" t="n">
        <f aca="false">Share_Prices!E118/Share_Prices!E117-1</f>
        <v>-0.0105465807315646</v>
      </c>
      <c r="F118" s="14" t="n">
        <f aca="false">Share_Prices!F118/Share_Prices!F117-1</f>
        <v>-0.0186723327538472</v>
      </c>
      <c r="G118" s="14" t="n">
        <f aca="false">Share_Prices!G118/Share_Prices!G117-1</f>
        <v>-0.0211696215930141</v>
      </c>
      <c r="H118" s="14" t="n">
        <f aca="false">Share_Prices!H118/Share_Prices!H117-1</f>
        <v>0.0014888865255771</v>
      </c>
      <c r="I118" s="14" t="n">
        <f aca="false">Share_Prices!I118/Share_Prices!I117-1</f>
        <v>-0.0323665405632619</v>
      </c>
      <c r="J118" s="14" t="n">
        <f aca="false">Share_Prices!J118/Share_Prices!J117-1</f>
        <v>-0.0147860865349655</v>
      </c>
      <c r="K118" s="14" t="n">
        <f aca="false">Share_Prices!K118/Share_Prices!K117-1</f>
        <v>-0.013988298997946</v>
      </c>
      <c r="L118" s="14" t="n">
        <f aca="false">Share_Prices!L118/Share_Prices!L117-1</f>
        <v>-0.00816667738409094</v>
      </c>
      <c r="M118" s="14" t="n">
        <f aca="false">Share_Prices!M118/Share_Prices!M117-1</f>
        <v>-0.034914950760967</v>
      </c>
      <c r="N118" s="14" t="n">
        <f aca="false">Share_Prices!N118/Share_Prices!N117-1</f>
        <v>-0.00931826117318435</v>
      </c>
      <c r="O118" s="14" t="n">
        <f aca="false">Share_Prices!O118/Share_Prices!O117-1</f>
        <v>-0.0162233540841351</v>
      </c>
      <c r="P118" s="14" t="n">
        <f aca="false">Share_Prices!P118/Share_Prices!P117-1</f>
        <v>-0.0127225208343608</v>
      </c>
      <c r="Q118" s="14" t="n">
        <f aca="false">Share_Prices!Q118/Share_Prices!Q117-1</f>
        <v>0.0043210902443076</v>
      </c>
      <c r="R118" s="14" t="n">
        <f aca="false">Share_Prices!R118/Share_Prices!R117-1</f>
        <v>-0.0148600238821813</v>
      </c>
      <c r="S118" s="14" t="n">
        <f aca="false">Share_Prices!S118/Share_Prices!S117-1</f>
        <v>-0.0175973721257625</v>
      </c>
    </row>
    <row r="119" customFormat="false" ht="15" hidden="false" customHeight="false" outlineLevel="0" collapsed="false">
      <c r="A119" s="13" t="n">
        <f aca="false">Share_Prices!A119</f>
        <v>44971</v>
      </c>
      <c r="B119" s="14" t="n">
        <f aca="false">Share_Prices!B119/Share_Prices!B118-1</f>
        <v>0.00894439786392343</v>
      </c>
      <c r="C119" s="14" t="n">
        <f aca="false">Share_Prices!C119/Share_Prices!C118-1</f>
        <v>0.00459044998489988</v>
      </c>
      <c r="D119" s="14" t="n">
        <f aca="false">Share_Prices!D119/Share_Prices!D118-1</f>
        <v>-0.0163263280649084</v>
      </c>
      <c r="E119" s="14" t="n">
        <f aca="false">Share_Prices!E119/Share_Prices!E118-1</f>
        <v>-0.00109973775484307</v>
      </c>
      <c r="F119" s="14" t="n">
        <f aca="false">Share_Prices!F119/Share_Prices!F118-1</f>
        <v>-0.0215865100715176</v>
      </c>
      <c r="G119" s="14" t="n">
        <f aca="false">Share_Prices!G119/Share_Prices!G118-1</f>
        <v>0.00405515004055146</v>
      </c>
      <c r="H119" s="14" t="n">
        <f aca="false">Share_Prices!H119/Share_Prices!H118-1</f>
        <v>0.00660507592651571</v>
      </c>
      <c r="I119" s="14" t="n">
        <f aca="false">Share_Prices!I119/Share_Prices!I118-1</f>
        <v>-0.0314943527367506</v>
      </c>
      <c r="J119" s="14" t="n">
        <f aca="false">Share_Prices!J119/Share_Prices!J118-1</f>
        <v>-0.0706113913150449</v>
      </c>
      <c r="K119" s="14" t="n">
        <f aca="false">Share_Prices!K119/Share_Prices!K118-1</f>
        <v>0.0178320629961022</v>
      </c>
      <c r="L119" s="14" t="n">
        <f aca="false">Share_Prices!L119/Share_Prices!L118-1</f>
        <v>0.00641856846473021</v>
      </c>
      <c r="M119" s="14" t="n">
        <f aca="false">Share_Prices!M119/Share_Prices!M118-1</f>
        <v>-0.0153879733711666</v>
      </c>
      <c r="N119" s="14" t="n">
        <f aca="false">Share_Prices!N119/Share_Prices!N118-1</f>
        <v>-0.00718109126153721</v>
      </c>
      <c r="O119" s="14" t="n">
        <f aca="false">Share_Prices!O119/Share_Prices!O118-1</f>
        <v>0.0051773729626079</v>
      </c>
      <c r="P119" s="14" t="n">
        <f aca="false">Share_Prices!P119/Share_Prices!P118-1</f>
        <v>-0.000649318215873329</v>
      </c>
      <c r="Q119" s="14" t="n">
        <f aca="false">Share_Prices!Q119/Share_Prices!Q118-1</f>
        <v>0.0349164322356446</v>
      </c>
      <c r="R119" s="14" t="n">
        <f aca="false">Share_Prices!R119/Share_Prices!R118-1</f>
        <v>0.00707070707070701</v>
      </c>
      <c r="S119" s="14" t="n">
        <f aca="false">Share_Prices!S119/Share_Prices!S118-1</f>
        <v>0.011225220921901</v>
      </c>
    </row>
    <row r="120" customFormat="false" ht="15" hidden="false" customHeight="false" outlineLevel="0" collapsed="false">
      <c r="A120" s="13" t="n">
        <f aca="false">Share_Prices!A120</f>
        <v>44972</v>
      </c>
      <c r="B120" s="14" t="n">
        <f aca="false">Share_Prices!B120/Share_Prices!B119-1</f>
        <v>0.00479647068993883</v>
      </c>
      <c r="C120" s="14" t="n">
        <f aca="false">Share_Prices!C120/Share_Prices!C119-1</f>
        <v>0.00472646620660178</v>
      </c>
      <c r="D120" s="14" t="n">
        <f aca="false">Share_Prices!D120/Share_Prices!D119-1</f>
        <v>-0.0184386429562365</v>
      </c>
      <c r="E120" s="14" t="n">
        <f aca="false">Share_Prices!E120/Share_Prices!E119-1</f>
        <v>0.00745257452574522</v>
      </c>
      <c r="F120" s="14" t="n">
        <f aca="false">Share_Prices!F120/Share_Prices!F119-1</f>
        <v>0.00321888412017168</v>
      </c>
      <c r="G120" s="14" t="n">
        <f aca="false">Share_Prices!G120/Share_Prices!G119-1</f>
        <v>0.00350026925148095</v>
      </c>
      <c r="H120" s="14" t="n">
        <f aca="false">Share_Prices!H120/Share_Prices!H119-1</f>
        <v>-0.0140729175457843</v>
      </c>
      <c r="I120" s="14" t="n">
        <f aca="false">Share_Prices!I120/Share_Prices!I119-1</f>
        <v>-0.020632428795694</v>
      </c>
      <c r="J120" s="14" t="n">
        <f aca="false">Share_Prices!J120/Share_Prices!J119-1</f>
        <v>0.00238252812706818</v>
      </c>
      <c r="K120" s="14" t="n">
        <f aca="false">Share_Prices!K120/Share_Prices!K119-1</f>
        <v>0.00483728429898145</v>
      </c>
      <c r="L120" s="14" t="n">
        <f aca="false">Share_Prices!L120/Share_Prices!L119-1</f>
        <v>0.00837466984474644</v>
      </c>
      <c r="M120" s="14" t="n">
        <f aca="false">Share_Prices!M120/Share_Prices!M119-1</f>
        <v>0.0320328086898691</v>
      </c>
      <c r="N120" s="14" t="n">
        <f aca="false">Share_Prices!N120/Share_Prices!N119-1</f>
        <v>-0.0221872157262986</v>
      </c>
      <c r="O120" s="14" t="n">
        <f aca="false">Share_Prices!O120/Share_Prices!O119-1</f>
        <v>0.00305227012590592</v>
      </c>
      <c r="P120" s="14" t="n">
        <f aca="false">Share_Prices!P120/Share_Prices!P119-1</f>
        <v>-0.00149940023990403</v>
      </c>
      <c r="Q120" s="14" t="n">
        <f aca="false">Share_Prices!Q120/Share_Prices!Q119-1</f>
        <v>0.00767508794371619</v>
      </c>
      <c r="R120" s="14" t="n">
        <f aca="false">Share_Prices!R120/Share_Prices!R119-1</f>
        <v>0.0115680374456704</v>
      </c>
      <c r="S120" s="14" t="n">
        <f aca="false">Share_Prices!S120/Share_Prices!S119-1</f>
        <v>0.00196819398519921</v>
      </c>
    </row>
    <row r="121" customFormat="false" ht="15" hidden="false" customHeight="false" outlineLevel="0" collapsed="false">
      <c r="A121" s="13" t="n">
        <f aca="false">Share_Prices!A121</f>
        <v>44973</v>
      </c>
      <c r="B121" s="14" t="n">
        <f aca="false">Share_Prices!B121/Share_Prices!B120-1</f>
        <v>0.00111013357682266</v>
      </c>
      <c r="C121" s="14" t="n">
        <f aca="false">Share_Prices!C121/Share_Prices!C120-1</f>
        <v>0.00293224908824352</v>
      </c>
      <c r="D121" s="14" t="n">
        <f aca="false">Share_Prices!D121/Share_Prices!D120-1</f>
        <v>-0.0255178085007967</v>
      </c>
      <c r="E121" s="14" t="n">
        <f aca="false">Share_Prices!E121/Share_Prices!E120-1</f>
        <v>-0.0138702084734365</v>
      </c>
      <c r="F121" s="14" t="n">
        <f aca="false">Share_Prices!F121/Share_Prices!F120-1</f>
        <v>-0.0171791443850268</v>
      </c>
      <c r="G121" s="14" t="n">
        <f aca="false">Share_Prices!G121/Share_Prices!G120-1</f>
        <v>-0.00160987389321166</v>
      </c>
      <c r="H121" s="14" t="n">
        <f aca="false">Share_Prices!H121/Share_Prices!H120-1</f>
        <v>0.0390977765413341</v>
      </c>
      <c r="I121" s="14" t="n">
        <f aca="false">Share_Prices!I121/Share_Prices!I120-1</f>
        <v>-0.0194641630409892</v>
      </c>
      <c r="J121" s="14" t="n">
        <f aca="false">Share_Prices!J121/Share_Prices!J120-1</f>
        <v>-0.00855011224085556</v>
      </c>
      <c r="K121" s="14" t="n">
        <f aca="false">Share_Prices!K121/Share_Prices!K120-1</f>
        <v>-0.00810047677091852</v>
      </c>
      <c r="L121" s="14" t="n">
        <f aca="false">Share_Prices!L121/Share_Prices!L120-1</f>
        <v>-0.000511084137226114</v>
      </c>
      <c r="M121" s="14" t="n">
        <f aca="false">Share_Prices!M121/Share_Prices!M120-1</f>
        <v>0.0226076683492642</v>
      </c>
      <c r="N121" s="14" t="n">
        <f aca="false">Share_Prices!N121/Share_Prices!N120-1</f>
        <v>0.00780558644006257</v>
      </c>
      <c r="O121" s="14" t="n">
        <f aca="false">Share_Prices!O121/Share_Prices!O120-1</f>
        <v>0.0155952833777102</v>
      </c>
      <c r="P121" s="14" t="n">
        <f aca="false">Share_Prices!P121/Share_Prices!P120-1</f>
        <v>-0.0080588647512263</v>
      </c>
      <c r="Q121" s="14" t="n">
        <f aca="false">Share_Prices!Q121/Share_Prices!Q120-1</f>
        <v>0.0195176134560455</v>
      </c>
      <c r="R121" s="14" t="n">
        <f aca="false">Share_Prices!R121/Share_Prices!R120-1</f>
        <v>0.00482548915917502</v>
      </c>
      <c r="S121" s="14" t="n">
        <f aca="false">Share_Prices!S121/Share_Prices!S120-1</f>
        <v>-0.0110002357193367</v>
      </c>
    </row>
    <row r="122" customFormat="false" ht="15" hidden="false" customHeight="false" outlineLevel="0" collapsed="false">
      <c r="A122" s="13" t="n">
        <f aca="false">Share_Prices!A122</f>
        <v>44974</v>
      </c>
      <c r="B122" s="14" t="n">
        <f aca="false">Share_Prices!B122/Share_Prices!B121-1</f>
        <v>-0.00508154592104049</v>
      </c>
      <c r="C122" s="14" t="n">
        <f aca="false">Share_Prices!C122/Share_Prices!C121-1</f>
        <v>-0.00529046158945878</v>
      </c>
      <c r="D122" s="14" t="n">
        <f aca="false">Share_Prices!D122/Share_Prices!D121-1</f>
        <v>-0.00398196250098892</v>
      </c>
      <c r="E122" s="14" t="n">
        <f aca="false">Share_Prices!E122/Share_Prices!E121-1</f>
        <v>-0.0131276106043814</v>
      </c>
      <c r="F122" s="14" t="n">
        <f aca="false">Share_Prices!F122/Share_Prices!F121-1</f>
        <v>0.0375433584982656</v>
      </c>
      <c r="G122" s="14" t="n">
        <f aca="false">Share_Prices!G122/Share_Prices!G121-1</f>
        <v>-0.0155872077398549</v>
      </c>
      <c r="H122" s="14" t="n">
        <f aca="false">Share_Prices!H122/Share_Prices!H121-1</f>
        <v>0.0127893566191613</v>
      </c>
      <c r="I122" s="14" t="n">
        <f aca="false">Share_Prices!I122/Share_Prices!I121-1</f>
        <v>0.00256889304063535</v>
      </c>
      <c r="J122" s="14" t="n">
        <f aca="false">Share_Prices!J122/Share_Prices!J121-1</f>
        <v>-0.0203775846568776</v>
      </c>
      <c r="K122" s="14" t="n">
        <f aca="false">Share_Prices!K122/Share_Prices!K121-1</f>
        <v>-0.00320443020253247</v>
      </c>
      <c r="L122" s="14" t="n">
        <f aca="false">Share_Prices!L122/Share_Prices!L121-1</f>
        <v>-0.00370725471396605</v>
      </c>
      <c r="M122" s="14" t="n">
        <f aca="false">Share_Prices!M122/Share_Prices!M121-1</f>
        <v>0.00236307304521355</v>
      </c>
      <c r="N122" s="14" t="n">
        <f aca="false">Share_Prices!N122/Share_Prices!N121-1</f>
        <v>-0.00468310255544291</v>
      </c>
      <c r="O122" s="14" t="n">
        <f aca="false">Share_Prices!O122/Share_Prices!O121-1</f>
        <v>-0.0177902621722846</v>
      </c>
      <c r="P122" s="14" t="n">
        <f aca="false">Share_Prices!P122/Share_Prices!P121-1</f>
        <v>-0.00968865115809658</v>
      </c>
      <c r="Q122" s="14" t="n">
        <f aca="false">Share_Prices!Q122/Share_Prices!Q121-1</f>
        <v>-0.0216342412451361</v>
      </c>
      <c r="R122" s="14" t="n">
        <f aca="false">Share_Prices!R122/Share_Prices!R121-1</f>
        <v>-0.00177619893428049</v>
      </c>
      <c r="S122" s="14" t="n">
        <f aca="false">Share_Prices!S122/Share_Prices!S121-1</f>
        <v>-0.0195439739413681</v>
      </c>
    </row>
    <row r="123" customFormat="false" ht="15" hidden="false" customHeight="false" outlineLevel="0" collapsed="false">
      <c r="A123" s="13" t="n">
        <f aca="false">Share_Prices!A123</f>
        <v>44977</v>
      </c>
      <c r="B123" s="14" t="n">
        <f aca="false">Share_Prices!B123/Share_Prices!B122-1</f>
        <v>-0.00555054000735622</v>
      </c>
      <c r="C123" s="14" t="n">
        <f aca="false">Share_Prices!C123/Share_Prices!C122-1</f>
        <v>-0.00435218725735564</v>
      </c>
      <c r="D123" s="14" t="n">
        <f aca="false">Share_Prices!D123/Share_Prices!D122-1</f>
        <v>0.0120995499073338</v>
      </c>
      <c r="E123" s="14" t="n">
        <f aca="false">Share_Prices!E123/Share_Prices!E122-1</f>
        <v>0.0192623304828539</v>
      </c>
      <c r="F123" s="14" t="n">
        <f aca="false">Share_Prices!F123/Share_Prices!F122-1</f>
        <v>-0.00858734841035724</v>
      </c>
      <c r="G123" s="14" t="n">
        <f aca="false">Share_Prices!G123/Share_Prices!G122-1</f>
        <v>-0.0166530166530167</v>
      </c>
      <c r="H123" s="14" t="n">
        <f aca="false">Share_Prices!H123/Share_Prices!H122-1</f>
        <v>-0.0217378042580881</v>
      </c>
      <c r="I123" s="14" t="n">
        <f aca="false">Share_Prices!I123/Share_Prices!I122-1</f>
        <v>0.000465874679711042</v>
      </c>
      <c r="J123" s="14" t="n">
        <f aca="false">Share_Prices!J123/Share_Prices!J122-1</f>
        <v>-0.0300465653784712</v>
      </c>
      <c r="K123" s="14" t="n">
        <f aca="false">Share_Prices!K123/Share_Prices!K122-1</f>
        <v>-0.00769350811485636</v>
      </c>
      <c r="L123" s="14" t="n">
        <f aca="false">Share_Prices!L123/Share_Prices!L122-1</f>
        <v>-0.0118688650798743</v>
      </c>
      <c r="M123" s="14" t="n">
        <f aca="false">Share_Prices!M123/Share_Prices!M122-1</f>
        <v>0.0484073763621125</v>
      </c>
      <c r="N123" s="14" t="n">
        <f aca="false">Share_Prices!N123/Share_Prices!N122-1</f>
        <v>-0.00692198068179251</v>
      </c>
      <c r="O123" s="14" t="n">
        <f aca="false">Share_Prices!O123/Share_Prices!O122-1</f>
        <v>-0.00743565300285987</v>
      </c>
      <c r="P123" s="14" t="n">
        <f aca="false">Share_Prices!P123/Share_Prices!P122-1</f>
        <v>0.0089171974522293</v>
      </c>
      <c r="Q123" s="14" t="n">
        <f aca="false">Share_Prices!Q123/Share_Prices!Q122-1</f>
        <v>-0.00731784918867329</v>
      </c>
      <c r="R123" s="14" t="n">
        <f aca="false">Share_Prices!R123/Share_Prices!R122-1</f>
        <v>-0.00210887043627261</v>
      </c>
      <c r="S123" s="14" t="n">
        <f aca="false">Share_Prices!S123/Share_Prices!S122-1</f>
        <v>0.00251195202981935</v>
      </c>
    </row>
    <row r="124" customFormat="false" ht="15" hidden="false" customHeight="false" outlineLevel="0" collapsed="false">
      <c r="A124" s="13" t="n">
        <f aca="false">Share_Prices!A124</f>
        <v>44978</v>
      </c>
      <c r="B124" s="14" t="n">
        <f aca="false">Share_Prices!B124/Share_Prices!B123-1</f>
        <v>-0.00100310458065733</v>
      </c>
      <c r="C124" s="14" t="n">
        <f aca="false">Share_Prices!C124/Share_Prices!C123-1</f>
        <v>-0.00165342919206213</v>
      </c>
      <c r="D124" s="14" t="n">
        <f aca="false">Share_Prices!D124/Share_Prices!D123-1</f>
        <v>-0.00551965887984929</v>
      </c>
      <c r="E124" s="14" t="n">
        <f aca="false">Share_Prices!E124/Share_Prices!E123-1</f>
        <v>-0.0198305084745763</v>
      </c>
      <c r="F124" s="14" t="n">
        <f aca="false">Share_Prices!F124/Share_Prices!F123-1</f>
        <v>-0.0281671515472098</v>
      </c>
      <c r="G124" s="14" t="n">
        <f aca="false">Share_Prices!G124/Share_Prices!G123-1</f>
        <v>-0.00541365907828983</v>
      </c>
      <c r="H124" s="14" t="n">
        <f aca="false">Share_Prices!H124/Share_Prices!H123-1</f>
        <v>-0.0175438596491228</v>
      </c>
      <c r="I124" s="14" t="n">
        <f aca="false">Share_Prices!I124/Share_Prices!I123-1</f>
        <v>0.00791618160651919</v>
      </c>
      <c r="J124" s="14" t="n">
        <f aca="false">Share_Prices!J124/Share_Prices!J123-1</f>
        <v>0.00325892700704356</v>
      </c>
      <c r="K124" s="14" t="n">
        <f aca="false">Share_Prices!K124/Share_Prices!K123-1</f>
        <v>0.0018714517118279</v>
      </c>
      <c r="L124" s="14" t="n">
        <f aca="false">Share_Prices!L124/Share_Prices!L123-1</f>
        <v>0.00428515777171801</v>
      </c>
      <c r="M124" s="14" t="n">
        <f aca="false">Share_Prices!M124/Share_Prices!M123-1</f>
        <v>-0.0122426544073556</v>
      </c>
      <c r="N124" s="14" t="n">
        <f aca="false">Share_Prices!N124/Share_Prices!N123-1</f>
        <v>-0.0274481219106627</v>
      </c>
      <c r="O124" s="14" t="n">
        <f aca="false">Share_Prices!O124/Share_Prices!O123-1</f>
        <v>-0.0161352285824049</v>
      </c>
      <c r="P124" s="14" t="n">
        <f aca="false">Share_Prices!P124/Share_Prices!P123-1</f>
        <v>-0.00424242424242427</v>
      </c>
      <c r="Q124" s="14" t="n">
        <f aca="false">Share_Prices!Q124/Share_Prices!Q123-1</f>
        <v>-0.0113782051282052</v>
      </c>
      <c r="R124" s="14" t="n">
        <f aca="false">Share_Prices!R124/Share_Prices!R123-1</f>
        <v>-0.0151895390305111</v>
      </c>
      <c r="S124" s="14" t="n">
        <f aca="false">Share_Prices!S124/Share_Prices!S123-1</f>
        <v>-0.0179841577756223</v>
      </c>
    </row>
    <row r="125" customFormat="false" ht="15" hidden="false" customHeight="false" outlineLevel="0" collapsed="false">
      <c r="A125" s="13" t="n">
        <f aca="false">Share_Prices!A125</f>
        <v>44979</v>
      </c>
      <c r="B125" s="14" t="n">
        <f aca="false">Share_Prices!B125/Share_Prices!B124-1</f>
        <v>-0.0152804501113499</v>
      </c>
      <c r="C125" s="14" t="n">
        <f aca="false">Share_Prices!C125/Share_Prices!C124-1</f>
        <v>-0.014218231923803</v>
      </c>
      <c r="D125" s="14" t="n">
        <f aca="false">Share_Prices!D125/Share_Prices!D124-1</f>
        <v>0.00265677609427617</v>
      </c>
      <c r="E125" s="14" t="n">
        <f aca="false">Share_Prices!E125/Share_Prices!E124-1</f>
        <v>-0.0246411896939305</v>
      </c>
      <c r="F125" s="14" t="n">
        <f aca="false">Share_Prices!F125/Share_Prices!F124-1</f>
        <v>0.00231323989658461</v>
      </c>
      <c r="G125" s="14" t="n">
        <f aca="false">Share_Prices!G125/Share_Prices!G124-1</f>
        <v>-0.0139567341242149</v>
      </c>
      <c r="H125" s="14" t="n">
        <f aca="false">Share_Prices!H125/Share_Prices!H124-1</f>
        <v>0.0237389979688558</v>
      </c>
      <c r="I125" s="14" t="n">
        <f aca="false">Share_Prices!I125/Share_Prices!I124-1</f>
        <v>-0.0482790482790483</v>
      </c>
      <c r="J125" s="14" t="n">
        <f aca="false">Share_Prices!J125/Share_Prices!J124-1</f>
        <v>-0.0174641983932937</v>
      </c>
      <c r="K125" s="14" t="n">
        <f aca="false">Share_Prices!K125/Share_Prices!K124-1</f>
        <v>-0.0283175839010453</v>
      </c>
      <c r="L125" s="14" t="n">
        <f aca="false">Share_Prices!L125/Share_Prices!L124-1</f>
        <v>-0.0103439358675976</v>
      </c>
      <c r="M125" s="14" t="n">
        <f aca="false">Share_Prices!M125/Share_Prices!M124-1</f>
        <v>-0.0140132544139222</v>
      </c>
      <c r="N125" s="14" t="n">
        <f aca="false">Share_Prices!N125/Share_Prices!N124-1</f>
        <v>-0.0087596027730934</v>
      </c>
      <c r="O125" s="14" t="n">
        <f aca="false">Share_Prices!O125/Share_Prices!O124-1</f>
        <v>-0.00331901600937146</v>
      </c>
      <c r="P125" s="14" t="n">
        <f aca="false">Share_Prices!P125/Share_Prices!P124-1</f>
        <v>-0.0145059849868127</v>
      </c>
      <c r="Q125" s="14" t="n">
        <f aca="false">Share_Prices!Q125/Share_Prices!Q124-1</f>
        <v>-0.036796887664127</v>
      </c>
      <c r="R125" s="14" t="n">
        <f aca="false">Share_Prices!R125/Share_Prices!R124-1</f>
        <v>-0.00274946351931338</v>
      </c>
      <c r="S125" s="14" t="n">
        <f aca="false">Share_Prices!S125/Share_Prices!S124-1</f>
        <v>-0.00567924605950865</v>
      </c>
    </row>
    <row r="126" customFormat="false" ht="15" hidden="false" customHeight="false" outlineLevel="0" collapsed="false">
      <c r="A126" s="13" t="n">
        <f aca="false">Share_Prices!A126</f>
        <v>44980</v>
      </c>
      <c r="B126" s="14" t="n">
        <f aca="false">Share_Prices!B126/Share_Prices!B125-1</f>
        <v>-0.00245239058236435</v>
      </c>
      <c r="C126" s="14" t="n">
        <f aca="false">Share_Prices!C126/Share_Prices!C125-1</f>
        <v>-0.0023908474414871</v>
      </c>
      <c r="D126" s="14" t="n">
        <f aca="false">Share_Prices!D126/Share_Prices!D125-1</f>
        <v>0.00209880105989457</v>
      </c>
      <c r="E126" s="14" t="n">
        <f aca="false">Share_Prices!E126/Share_Prices!E125-1</f>
        <v>-0.00124102473184984</v>
      </c>
      <c r="F126" s="14" t="n">
        <f aca="false">Share_Prices!F126/Share_Prices!F125-1</f>
        <v>0.0247081183817539</v>
      </c>
      <c r="G126" s="14" t="n">
        <f aca="false">Share_Prices!G126/Share_Prices!G125-1</f>
        <v>-0.00254777070063683</v>
      </c>
      <c r="H126" s="14" t="n">
        <f aca="false">Share_Prices!H126/Share_Prices!H125-1</f>
        <v>0.0106022403174473</v>
      </c>
      <c r="I126" s="14" t="n">
        <f aca="false">Share_Prices!I126/Share_Prices!I125-1</f>
        <v>-0.0230582524271845</v>
      </c>
      <c r="J126" s="14" t="n">
        <f aca="false">Share_Prices!J126/Share_Prices!J125-1</f>
        <v>-0.0215428368290082</v>
      </c>
      <c r="K126" s="14" t="n">
        <f aca="false">Share_Prices!K126/Share_Prices!K125-1</f>
        <v>0.00059771897515426</v>
      </c>
      <c r="L126" s="14" t="n">
        <f aca="false">Share_Prices!L126/Share_Prices!L125-1</f>
        <v>-0.0181604389861511</v>
      </c>
      <c r="M126" s="14" t="n">
        <f aca="false">Share_Prices!M126/Share_Prices!M125-1</f>
        <v>0.0188814776808619</v>
      </c>
      <c r="N126" s="14" t="n">
        <f aca="false">Share_Prices!N126/Share_Prices!N125-1</f>
        <v>-0.00172487122536746</v>
      </c>
      <c r="O126" s="14" t="n">
        <f aca="false">Share_Prices!O126/Share_Prices!O125-1</f>
        <v>0.00117531831537709</v>
      </c>
      <c r="P126" s="14" t="n">
        <f aca="false">Share_Prices!P126/Share_Prices!P125-1</f>
        <v>-0.014873906330417</v>
      </c>
      <c r="Q126" s="14" t="n">
        <f aca="false">Share_Prices!Q126/Share_Prices!Q125-1</f>
        <v>0.0065634466509592</v>
      </c>
      <c r="R126" s="14" t="n">
        <f aca="false">Share_Prices!R126/Share_Prices!R125-1</f>
        <v>-0.00585031268912639</v>
      </c>
      <c r="S126" s="14" t="n">
        <f aca="false">Share_Prices!S126/Share_Prices!S125-1</f>
        <v>-0.0064152973800754</v>
      </c>
    </row>
    <row r="127" customFormat="false" ht="15" hidden="false" customHeight="false" outlineLevel="0" collapsed="false">
      <c r="A127" s="13" t="n">
        <f aca="false">Share_Prices!A127</f>
        <v>44981</v>
      </c>
      <c r="B127" s="14" t="n">
        <f aca="false">Share_Prices!B127/Share_Prices!B126-1</f>
        <v>-0.00259547433792562</v>
      </c>
      <c r="C127" s="14" t="n">
        <f aca="false">Share_Prices!C127/Share_Prices!C126-1</f>
        <v>-0.00247498593757989</v>
      </c>
      <c r="D127" s="14" t="n">
        <f aca="false">Share_Prices!D127/Share_Prices!D126-1</f>
        <v>-0.00251328638374737</v>
      </c>
      <c r="E127" s="14" t="n">
        <f aca="false">Share_Prices!E127/Share_Prices!E126-1</f>
        <v>0.00550279577527291</v>
      </c>
      <c r="F127" s="14" t="n">
        <f aca="false">Share_Prices!F127/Share_Prices!F126-1</f>
        <v>-0.00384207737148912</v>
      </c>
      <c r="G127" s="14" t="n">
        <f aca="false">Share_Prices!G127/Share_Prices!G126-1</f>
        <v>-0.00510855683269484</v>
      </c>
      <c r="H127" s="14" t="n">
        <f aca="false">Share_Prices!H127/Share_Prices!H126-1</f>
        <v>-0.0149082803329312</v>
      </c>
      <c r="I127" s="14" t="n">
        <f aca="false">Share_Prices!I127/Share_Prices!I126-1</f>
        <v>-0.0121739130434783</v>
      </c>
      <c r="J127" s="14" t="n">
        <f aca="false">Share_Prices!J127/Share_Prices!J126-1</f>
        <v>0.0100276122656591</v>
      </c>
      <c r="K127" s="14" t="n">
        <f aca="false">Share_Prices!K127/Share_Prices!K126-1</f>
        <v>0.00547312678603129</v>
      </c>
      <c r="L127" s="14" t="n">
        <f aca="false">Share_Prices!L127/Share_Prices!L126-1</f>
        <v>0.0151031270791751</v>
      </c>
      <c r="M127" s="14" t="n">
        <f aca="false">Share_Prices!M127/Share_Prices!M126-1</f>
        <v>0.00830899385638029</v>
      </c>
      <c r="N127" s="14" t="n">
        <f aca="false">Share_Prices!N127/Share_Prices!N126-1</f>
        <v>-0.00262728111907973</v>
      </c>
      <c r="O127" s="14" t="n">
        <f aca="false">Share_Prices!O127/Share_Prices!O126-1</f>
        <v>0.00508706711015461</v>
      </c>
      <c r="P127" s="14" t="n">
        <f aca="false">Share_Prices!P127/Share_Prices!P126-1</f>
        <v>0.00872472702575622</v>
      </c>
      <c r="Q127" s="14" t="n">
        <f aca="false">Share_Prices!Q127/Share_Prices!Q126-1</f>
        <v>-0.0145460625313494</v>
      </c>
      <c r="R127" s="14" t="n">
        <f aca="false">Share_Prices!R127/Share_Prices!R126-1</f>
        <v>0.00967261904761907</v>
      </c>
      <c r="S127" s="14" t="n">
        <f aca="false">Share_Prices!S127/Share_Prices!S126-1</f>
        <v>0.0151212196950763</v>
      </c>
    </row>
    <row r="128" customFormat="false" ht="15" hidden="false" customHeight="false" outlineLevel="0" collapsed="false">
      <c r="A128" s="13" t="n">
        <f aca="false">Share_Prices!A128</f>
        <v>44984</v>
      </c>
      <c r="B128" s="14" t="n">
        <f aca="false">Share_Prices!B128/Share_Prices!B127-1</f>
        <v>-0.00418532217247414</v>
      </c>
      <c r="C128" s="14" t="n">
        <f aca="false">Share_Prices!C128/Share_Prices!C127-1</f>
        <v>-0.00558766135012934</v>
      </c>
      <c r="D128" s="14" t="n">
        <f aca="false">Share_Prices!D128/Share_Prices!D127-1</f>
        <v>-0.0204719036245767</v>
      </c>
      <c r="E128" s="14" t="n">
        <f aca="false">Share_Prices!E128/Share_Prices!E127-1</f>
        <v>0.00662017830346895</v>
      </c>
      <c r="F128" s="14" t="n">
        <f aca="false">Share_Prices!F128/Share_Prices!F127-1</f>
        <v>-0.0158930708870859</v>
      </c>
      <c r="G128" s="14" t="n">
        <f aca="false">Share_Prices!G128/Share_Prices!G127-1</f>
        <v>-0.000142633005277504</v>
      </c>
      <c r="H128" s="14" t="n">
        <f aca="false">Share_Prices!H128/Share_Prices!H127-1</f>
        <v>-0.00763960971559063</v>
      </c>
      <c r="I128" s="14" t="n">
        <f aca="false">Share_Prices!I128/Share_Prices!I127-1</f>
        <v>-0.0394869215291752</v>
      </c>
      <c r="J128" s="14" t="n">
        <f aca="false">Share_Prices!J128/Share_Prices!J127-1</f>
        <v>0.0040287769784173</v>
      </c>
      <c r="K128" s="14" t="n">
        <f aca="false">Share_Prices!K128/Share_Prices!K127-1</f>
        <v>-0.00669578342271737</v>
      </c>
      <c r="L128" s="14" t="n">
        <f aca="false">Share_Prices!L128/Share_Prices!L127-1</f>
        <v>-0.000917611588123535</v>
      </c>
      <c r="M128" s="14" t="n">
        <f aca="false">Share_Prices!M128/Share_Prices!M127-1</f>
        <v>-0.0233231783449034</v>
      </c>
      <c r="N128" s="14" t="n">
        <f aca="false">Share_Prices!N128/Share_Prices!N127-1</f>
        <v>-0.0176325406996061</v>
      </c>
      <c r="O128" s="14" t="n">
        <f aca="false">Share_Prices!O128/Share_Prices!O127-1</f>
        <v>-0.0190772824605803</v>
      </c>
      <c r="P128" s="14" t="n">
        <f aca="false">Share_Prices!P128/Share_Prices!P127-1</f>
        <v>-0.00688833644085352</v>
      </c>
      <c r="Q128" s="14" t="n">
        <f aca="false">Share_Prices!Q128/Share_Prices!Q127-1</f>
        <v>-0.01017984390906</v>
      </c>
      <c r="R128" s="14" t="n">
        <f aca="false">Share_Prices!R128/Share_Prices!R127-1</f>
        <v>0.000200978093387816</v>
      </c>
      <c r="S128" s="14" t="n">
        <f aca="false">Share_Prices!S128/Share_Prices!S127-1</f>
        <v>-0.0127621158028642</v>
      </c>
    </row>
    <row r="129" customFormat="false" ht="15" hidden="false" customHeight="false" outlineLevel="0" collapsed="false">
      <c r="A129" s="13" t="n">
        <f aca="false">Share_Prices!A129</f>
        <v>44985</v>
      </c>
      <c r="B129" s="14" t="n">
        <f aca="false">Share_Prices!B129/Share_Prices!B128-1</f>
        <v>-0.00510271550708052</v>
      </c>
      <c r="C129" s="14" t="n">
        <f aca="false">Share_Prices!C129/Share_Prices!C128-1</f>
        <v>-0.00205860317416684</v>
      </c>
      <c r="D129" s="14" t="n">
        <f aca="false">Share_Prices!D129/Share_Prices!D128-1</f>
        <v>-0.0204442539053079</v>
      </c>
      <c r="E129" s="14" t="n">
        <f aca="false">Share_Prices!E129/Share_Prices!E128-1</f>
        <v>0.00876885303402308</v>
      </c>
      <c r="F129" s="14" t="n">
        <f aca="false">Share_Prices!F129/Share_Prices!F128-1</f>
        <v>-0.0206770727751876</v>
      </c>
      <c r="G129" s="14" t="n">
        <f aca="false">Share_Prices!G129/Share_Prices!G128-1</f>
        <v>0.000142653352353861</v>
      </c>
      <c r="H129" s="14" t="n">
        <f aca="false">Share_Prices!H129/Share_Prices!H128-1</f>
        <v>0.0347475001045983</v>
      </c>
      <c r="I129" s="14" t="n">
        <f aca="false">Share_Prices!I129/Share_Prices!I128-1</f>
        <v>0.0199004975124379</v>
      </c>
      <c r="J129" s="14" t="n">
        <f aca="false">Share_Prices!J129/Share_Prices!J128-1</f>
        <v>-0.00583978217254222</v>
      </c>
      <c r="K129" s="14" t="n">
        <f aca="false">Share_Prices!K129/Share_Prices!K128-1</f>
        <v>-0.0133040203035839</v>
      </c>
      <c r="L129" s="14" t="n">
        <f aca="false">Share_Prices!L129/Share_Prices!L128-1</f>
        <v>-0.00741323886374068</v>
      </c>
      <c r="M129" s="14" t="n">
        <f aca="false">Share_Prices!M129/Share_Prices!M128-1</f>
        <v>-0.0131417467784822</v>
      </c>
      <c r="N129" s="14" t="n">
        <f aca="false">Share_Prices!N129/Share_Prices!N128-1</f>
        <v>0.00584611668075863</v>
      </c>
      <c r="O129" s="14" t="n">
        <f aca="false">Share_Prices!O129/Share_Prices!O128-1</f>
        <v>-0.000595356221472443</v>
      </c>
      <c r="P129" s="14" t="n">
        <f aca="false">Share_Prices!P129/Share_Prices!P128-1</f>
        <v>0.0144458930899609</v>
      </c>
      <c r="Q129" s="14" t="n">
        <f aca="false">Share_Prices!Q129/Share_Prices!Q128-1</f>
        <v>-0.00891326705519357</v>
      </c>
      <c r="R129" s="14" t="n">
        <f aca="false">Share_Prices!R129/Share_Prices!R128-1</f>
        <v>0.00529135967849981</v>
      </c>
      <c r="S129" s="14" t="n">
        <f aca="false">Share_Prices!S129/Share_Prices!S128-1</f>
        <v>0.000374095934824181</v>
      </c>
    </row>
    <row r="130" customFormat="false" ht="15" hidden="false" customHeight="false" outlineLevel="0" collapsed="false">
      <c r="A130" s="13" t="n">
        <f aca="false">Share_Prices!A130</f>
        <v>44986</v>
      </c>
      <c r="B130" s="14" t="n">
        <f aca="false">Share_Prices!B130/Share_Prices!B129-1</f>
        <v>0.00849228066424135</v>
      </c>
      <c r="C130" s="14" t="n">
        <f aca="false">Share_Prices!C130/Share_Prices!C129-1</f>
        <v>0.0100628497632371</v>
      </c>
      <c r="D130" s="14" t="n">
        <f aca="false">Share_Prices!D130/Share_Prices!D129-1</f>
        <v>0.0131571749001587</v>
      </c>
      <c r="E130" s="14" t="n">
        <f aca="false">Share_Prices!E130/Share_Prices!E129-1</f>
        <v>0.00295549374130721</v>
      </c>
      <c r="F130" s="14" t="n">
        <f aca="false">Share_Prices!F130/Share_Prices!F129-1</f>
        <v>0.0117298005933899</v>
      </c>
      <c r="G130" s="14" t="n">
        <f aca="false">Share_Prices!G130/Share_Prices!G129-1</f>
        <v>0.017971758664955</v>
      </c>
      <c r="H130" s="14" t="n">
        <f aca="false">Share_Prices!H130/Share_Prices!H129-1</f>
        <v>0.00291126700766231</v>
      </c>
      <c r="I130" s="14" t="n">
        <f aca="false">Share_Prices!I130/Share_Prices!I129-1</f>
        <v>-0.0015404364569962</v>
      </c>
      <c r="J130" s="14" t="n">
        <f aca="false">Share_Prices!J130/Share_Prices!J129-1</f>
        <v>0.00706331759703049</v>
      </c>
      <c r="K130" s="14" t="n">
        <f aca="false">Share_Prices!K130/Share_Prices!K129-1</f>
        <v>0.00699564205904513</v>
      </c>
      <c r="L130" s="14" t="n">
        <f aca="false">Share_Prices!L130/Share_Prices!L129-1</f>
        <v>0.0135492399206874</v>
      </c>
      <c r="M130" s="14" t="n">
        <f aca="false">Share_Prices!M130/Share_Prices!M129-1</f>
        <v>0.0021762785636561</v>
      </c>
      <c r="N130" s="14" t="n">
        <f aca="false">Share_Prices!N130/Share_Prices!N129-1</f>
        <v>0.0179647909311431</v>
      </c>
      <c r="O130" s="14" t="n">
        <f aca="false">Share_Prices!O130/Share_Prices!O129-1</f>
        <v>0.0131056393963462</v>
      </c>
      <c r="P130" s="14" t="n">
        <f aca="false">Share_Prices!P130/Share_Prices!P129-1</f>
        <v>-0.0125436973061897</v>
      </c>
      <c r="Q130" s="14" t="n">
        <f aca="false">Share_Prices!Q130/Share_Prices!Q129-1</f>
        <v>0.0103770321687997</v>
      </c>
      <c r="R130" s="14" t="n">
        <f aca="false">Share_Prices!R130/Share_Prices!R129-1</f>
        <v>0.0016656672663069</v>
      </c>
      <c r="S130" s="14" t="n">
        <f aca="false">Share_Prices!S130/Share_Prices!S129-1</f>
        <v>0.0152075456018617</v>
      </c>
    </row>
    <row r="131" customFormat="false" ht="15" hidden="false" customHeight="false" outlineLevel="0" collapsed="false">
      <c r="A131" s="13" t="n">
        <f aca="false">Share_Prices!A131</f>
        <v>44987</v>
      </c>
      <c r="B131" s="14" t="n">
        <f aca="false">Share_Prices!B131/Share_Prices!B130-1</f>
        <v>-0.00739216888527239</v>
      </c>
      <c r="C131" s="14" t="n">
        <f aca="false">Share_Prices!C131/Share_Prices!C130-1</f>
        <v>-0.00529156452333301</v>
      </c>
      <c r="D131" s="14" t="n">
        <f aca="false">Share_Prices!D131/Share_Prices!D130-1</f>
        <v>-0.00845055212073764</v>
      </c>
      <c r="E131" s="14" t="n">
        <f aca="false">Share_Prices!E131/Share_Prices!E130-1</f>
        <v>-0.0173340266944011</v>
      </c>
      <c r="F131" s="14" t="n">
        <f aca="false">Share_Prices!F131/Share_Prices!F130-1</f>
        <v>0.0289845188569871</v>
      </c>
      <c r="G131" s="14" t="n">
        <f aca="false">Share_Prices!G131/Share_Prices!G130-1</f>
        <v>-0.00546448087431706</v>
      </c>
      <c r="H131" s="14" t="n">
        <f aca="false">Share_Prices!H131/Share_Prices!H130-1</f>
        <v>-0.0162678654222186</v>
      </c>
      <c r="I131" s="14" t="n">
        <f aca="false">Share_Prices!I131/Share_Prices!I130-1</f>
        <v>-0.00257135510413986</v>
      </c>
      <c r="J131" s="14" t="n">
        <f aca="false">Share_Prices!J131/Share_Prices!J130-1</f>
        <v>-0.0316693505099303</v>
      </c>
      <c r="K131" s="14" t="n">
        <f aca="false">Share_Prices!K131/Share_Prices!K130-1</f>
        <v>-0.0116814447246399</v>
      </c>
      <c r="L131" s="14" t="n">
        <f aca="false">Share_Prices!L131/Share_Prices!L130-1</f>
        <v>-0.0218454515813499</v>
      </c>
      <c r="M131" s="14" t="n">
        <f aca="false">Share_Prices!M131/Share_Prices!M130-1</f>
        <v>0.0238870792616721</v>
      </c>
      <c r="N131" s="14" t="n">
        <f aca="false">Share_Prices!N131/Share_Prices!N130-1</f>
        <v>0.0167276159018519</v>
      </c>
      <c r="O131" s="14" t="n">
        <f aca="false">Share_Prices!O131/Share_Prices!O130-1</f>
        <v>-0.00999607996863972</v>
      </c>
      <c r="P131" s="14" t="n">
        <f aca="false">Share_Prices!P131/Share_Prices!P130-1</f>
        <v>-0.00583090379008744</v>
      </c>
      <c r="Q131" s="14" t="n">
        <f aca="false">Share_Prices!Q131/Share_Prices!Q130-1</f>
        <v>-0.0114686751112634</v>
      </c>
      <c r="R131" s="14" t="n">
        <f aca="false">Share_Prices!R131/Share_Prices!R130-1</f>
        <v>-0.00585339896235215</v>
      </c>
      <c r="S131" s="14" t="n">
        <f aca="false">Share_Prices!S131/Share_Prices!S130-1</f>
        <v>-0.00986370891826638</v>
      </c>
    </row>
    <row r="132" customFormat="false" ht="15" hidden="false" customHeight="false" outlineLevel="0" collapsed="false">
      <c r="A132" s="13" t="n">
        <f aca="false">Share_Prices!A132</f>
        <v>44988</v>
      </c>
      <c r="B132" s="14" t="n">
        <f aca="false">Share_Prices!B132/Share_Prices!B131-1</f>
        <v>0.0157286440863875</v>
      </c>
      <c r="C132" s="14" t="n">
        <f aca="false">Share_Prices!C132/Share_Prices!C131-1</f>
        <v>0.012853690723063</v>
      </c>
      <c r="D132" s="14" t="n">
        <f aca="false">Share_Prices!D132/Share_Prices!D131-1</f>
        <v>-0.00451995861242716</v>
      </c>
      <c r="E132" s="14" t="n">
        <f aca="false">Share_Prices!E132/Share_Prices!E131-1</f>
        <v>-0.00555653554418767</v>
      </c>
      <c r="F132" s="14" t="n">
        <f aca="false">Share_Prices!F132/Share_Prices!F131-1</f>
        <v>-0.0139846235418876</v>
      </c>
      <c r="G132" s="14" t="n">
        <f aca="false">Share_Prices!G132/Share_Prices!G131-1</f>
        <v>0.0111298957452806</v>
      </c>
      <c r="H132" s="14" t="n">
        <f aca="false">Share_Prices!H132/Share_Prices!H131-1</f>
        <v>-0.00637295081967215</v>
      </c>
      <c r="I132" s="14" t="n">
        <f aca="false">Share_Prices!I132/Share_Prices!I131-1</f>
        <v>0.0283578241814901</v>
      </c>
      <c r="J132" s="14" t="n">
        <f aca="false">Share_Prices!J132/Share_Prices!J131-1</f>
        <v>0.0098669623059866</v>
      </c>
      <c r="K132" s="14" t="n">
        <f aca="false">Share_Prices!K132/Share_Prices!K131-1</f>
        <v>0.00281495382488006</v>
      </c>
      <c r="L132" s="14" t="n">
        <f aca="false">Share_Prices!L132/Share_Prices!L131-1</f>
        <v>0.000266666666666637</v>
      </c>
      <c r="M132" s="14" t="n">
        <f aca="false">Share_Prices!M132/Share_Prices!M131-1</f>
        <v>-0.0237842751098318</v>
      </c>
      <c r="N132" s="14" t="n">
        <f aca="false">Share_Prices!N132/Share_Prices!N131-1</f>
        <v>0.00587088689840809</v>
      </c>
      <c r="O132" s="14" t="n">
        <f aca="false">Share_Prices!O132/Share_Prices!O131-1</f>
        <v>0.00554345674123935</v>
      </c>
      <c r="P132" s="14" t="n">
        <f aca="false">Share_Prices!P132/Share_Prices!P131-1</f>
        <v>-0.00481776288227886</v>
      </c>
      <c r="Q132" s="14" t="n">
        <f aca="false">Share_Prices!Q132/Share_Prices!Q131-1</f>
        <v>0.00987012987013003</v>
      </c>
      <c r="R132" s="14" t="n">
        <f aca="false">Share_Prices!R132/Share_Prices!R131-1</f>
        <v>0.00408135956108668</v>
      </c>
      <c r="S132" s="14" t="n">
        <f aca="false">Share_Prices!S132/Share_Prices!S131-1</f>
        <v>0.00603505291005302</v>
      </c>
    </row>
    <row r="133" customFormat="false" ht="15" hidden="false" customHeight="false" outlineLevel="0" collapsed="false">
      <c r="A133" s="13" t="n">
        <f aca="false">Share_Prices!A133</f>
        <v>44991</v>
      </c>
      <c r="B133" s="14" t="n">
        <f aca="false">Share_Prices!B133/Share_Prices!B132-1</f>
        <v>0.00665554567233251</v>
      </c>
      <c r="C133" s="14" t="n">
        <f aca="false">Share_Prices!C133/Share_Prices!C132-1</f>
        <v>0.00719132303423065</v>
      </c>
      <c r="D133" s="14" t="n">
        <f aca="false">Share_Prices!D133/Share_Prices!D132-1</f>
        <v>-0.000410284463895017</v>
      </c>
      <c r="E133" s="14" t="n">
        <f aca="false">Share_Prices!E133/Share_Prices!E132-1</f>
        <v>0.0101108647450112</v>
      </c>
      <c r="F133" s="14" t="n">
        <f aca="false">Share_Prices!F133/Share_Prices!F132-1</f>
        <v>0.00396585333064459</v>
      </c>
      <c r="G133" s="14" t="n">
        <f aca="false">Share_Prices!G133/Share_Prices!G132-1</f>
        <v>0.00320468162184762</v>
      </c>
      <c r="H133" s="14" t="n">
        <f aca="false">Share_Prices!H133/Share_Prices!H132-1</f>
        <v>0.00385654478335296</v>
      </c>
      <c r="I133" s="14" t="n">
        <f aca="false">Share_Prices!I133/Share_Prices!I132-1</f>
        <v>0.000250689395838721</v>
      </c>
      <c r="J133" s="14" t="n">
        <f aca="false">Share_Prices!J133/Share_Prices!J132-1</f>
        <v>-0.0130640026347568</v>
      </c>
      <c r="K133" s="14" t="n">
        <f aca="false">Share_Prices!K133/Share_Prices!K132-1</f>
        <v>0.00569618175251985</v>
      </c>
      <c r="L133" s="14" t="n">
        <f aca="false">Share_Prices!L133/Share_Prices!L132-1</f>
        <v>0.0254598773660355</v>
      </c>
      <c r="M133" s="14" t="n">
        <f aca="false">Share_Prices!M133/Share_Prices!M132-1</f>
        <v>-0.00750051727705359</v>
      </c>
      <c r="N133" s="14" t="n">
        <f aca="false">Share_Prices!N133/Share_Prices!N132-1</f>
        <v>0.0171407479179642</v>
      </c>
      <c r="O133" s="14" t="n">
        <f aca="false">Share_Prices!O133/Share_Prices!O132-1</f>
        <v>0.00886001181334906</v>
      </c>
      <c r="P133" s="14" t="n">
        <f aca="false">Share_Prices!P133/Share_Prices!P132-1</f>
        <v>0.00284150705114716</v>
      </c>
      <c r="Q133" s="14" t="n">
        <f aca="false">Share_Prices!Q133/Share_Prices!Q132-1</f>
        <v>0.0195473251028806</v>
      </c>
      <c r="R133" s="14" t="n">
        <f aca="false">Share_Prices!R133/Share_Prices!R132-1</f>
        <v>0.00906243752915303</v>
      </c>
      <c r="S133" s="14" t="n">
        <f aca="false">Share_Prices!S133/Share_Prices!S132-1</f>
        <v>0.0246117183005998</v>
      </c>
    </row>
    <row r="134" customFormat="false" ht="15" hidden="false" customHeight="false" outlineLevel="0" collapsed="false">
      <c r="A134" s="13" t="n">
        <f aca="false">Share_Prices!A134</f>
        <v>44993</v>
      </c>
      <c r="B134" s="14" t="n">
        <f aca="false">Share_Prices!B134/Share_Prices!B133-1</f>
        <v>0.00242498496735166</v>
      </c>
      <c r="C134" s="14" t="n">
        <f aca="false">Share_Prices!C134/Share_Prices!C133-1</f>
        <v>0.00275183119414013</v>
      </c>
      <c r="D134" s="14" t="n">
        <f aca="false">Share_Prices!D134/Share_Prices!D133-1</f>
        <v>-0.000738815159392448</v>
      </c>
      <c r="E134" s="14" t="n">
        <f aca="false">Share_Prices!E134/Share_Prices!E133-1</f>
        <v>-0.00895601018526648</v>
      </c>
      <c r="F134" s="14" t="n">
        <f aca="false">Share_Prices!F134/Share_Prices!F133-1</f>
        <v>-0.0121853240492767</v>
      </c>
      <c r="G134" s="14" t="n">
        <f aca="false">Share_Prices!G134/Share_Prices!G133-1</f>
        <v>-0.00236111111111115</v>
      </c>
      <c r="H134" s="14" t="n">
        <f aca="false">Share_Prices!H134/Share_Prices!H133-1</f>
        <v>0.0609129755937217</v>
      </c>
      <c r="I134" s="14" t="n">
        <f aca="false">Share_Prices!I134/Share_Prices!I133-1</f>
        <v>0.00350877192982457</v>
      </c>
      <c r="J134" s="14" t="n">
        <f aca="false">Share_Prices!J134/Share_Prices!J133-1</f>
        <v>-0.00893585465331848</v>
      </c>
      <c r="K134" s="14" t="n">
        <f aca="false">Share_Prices!K134/Share_Prices!K133-1</f>
        <v>-0.0224924508283685</v>
      </c>
      <c r="L134" s="14" t="n">
        <f aca="false">Share_Prices!L134/Share_Prices!L133-1</f>
        <v>-0.00350968412842834</v>
      </c>
      <c r="M134" s="14" t="n">
        <f aca="false">Share_Prices!M134/Share_Prices!M133-1</f>
        <v>-0.0113097409704488</v>
      </c>
      <c r="N134" s="14" t="n">
        <f aca="false">Share_Prices!N134/Share_Prices!N133-1</f>
        <v>-0.0104558856883646</v>
      </c>
      <c r="O134" s="14" t="n">
        <f aca="false">Share_Prices!O134/Share_Prices!O133-1</f>
        <v>-0.00897736143637773</v>
      </c>
      <c r="P134" s="14" t="n">
        <f aca="false">Share_Prices!P134/Share_Prices!P133-1</f>
        <v>-0.00472242627767872</v>
      </c>
      <c r="Q134" s="14" t="n">
        <f aca="false">Share_Prices!Q134/Share_Prices!Q133-1</f>
        <v>-0.00891355533131533</v>
      </c>
      <c r="R134" s="14" t="n">
        <f aca="false">Share_Prices!R134/Share_Prices!R133-1</f>
        <v>-0.00924519580003957</v>
      </c>
      <c r="S134" s="14" t="n">
        <f aca="false">Share_Prices!S134/Share_Prices!S133-1</f>
        <v>0.018927697798452</v>
      </c>
    </row>
    <row r="135" customFormat="false" ht="15" hidden="false" customHeight="false" outlineLevel="0" collapsed="false">
      <c r="A135" s="13" t="n">
        <f aca="false">Share_Prices!A135</f>
        <v>44994</v>
      </c>
      <c r="B135" s="14" t="n">
        <f aca="false">Share_Prices!B135/Share_Prices!B134-1</f>
        <v>-0.00928220610102304</v>
      </c>
      <c r="C135" s="14" t="n">
        <f aca="false">Share_Prices!C135/Share_Prices!C134-1</f>
        <v>-0.00790781365706228</v>
      </c>
      <c r="D135" s="14" t="n">
        <f aca="false">Share_Prices!D135/Share_Prices!D134-1</f>
        <v>-0.00399802836957131</v>
      </c>
      <c r="E135" s="14" t="n">
        <f aca="false">Share_Prices!E135/Share_Prices!E134-1</f>
        <v>0.00735359262868784</v>
      </c>
      <c r="F135" s="14" t="n">
        <f aca="false">Share_Prices!F135/Share_Prices!F134-1</f>
        <v>-0.0778771858479057</v>
      </c>
      <c r="G135" s="14" t="n">
        <f aca="false">Share_Prices!G135/Share_Prices!G134-1</f>
        <v>-0.0115550605596547</v>
      </c>
      <c r="H135" s="14" t="n">
        <f aca="false">Share_Prices!H135/Share_Prices!H134-1</f>
        <v>0.013632578764935</v>
      </c>
      <c r="I135" s="14" t="n">
        <f aca="false">Share_Prices!I135/Share_Prices!I134-1</f>
        <v>-0.02997002997003</v>
      </c>
      <c r="J135" s="14" t="n">
        <f aca="false">Share_Prices!J135/Share_Prices!J134-1</f>
        <v>0.0031426540461672</v>
      </c>
      <c r="K135" s="14" t="n">
        <f aca="false">Share_Prices!K135/Share_Prices!K134-1</f>
        <v>-0.0159300015028303</v>
      </c>
      <c r="L135" s="14" t="n">
        <f aca="false">Share_Prices!L135/Share_Prices!L134-1</f>
        <v>6.52230628750417E-005</v>
      </c>
      <c r="M135" s="14" t="n">
        <f aca="false">Share_Prices!M135/Share_Prices!M134-1</f>
        <v>-0.00869794412229841</v>
      </c>
      <c r="N135" s="14" t="n">
        <f aca="false">Share_Prices!N135/Share_Prices!N134-1</f>
        <v>-0.00155859634646682</v>
      </c>
      <c r="O135" s="14" t="n">
        <f aca="false">Share_Prices!O135/Share_Prices!O134-1</f>
        <v>-0.0120126033871604</v>
      </c>
      <c r="P135" s="14" t="n">
        <f aca="false">Share_Prices!P135/Share_Prices!P134-1</f>
        <v>-0.00479755377477853</v>
      </c>
      <c r="Q135" s="14" t="n">
        <f aca="false">Share_Prices!Q135/Share_Prices!Q134-1</f>
        <v>0.0122178856270152</v>
      </c>
      <c r="R135" s="14" t="n">
        <f aca="false">Share_Prices!R135/Share_Prices!R134-1</f>
        <v>0.0225954809038194</v>
      </c>
      <c r="S135" s="14" t="n">
        <f aca="false">Share_Prices!S135/Share_Prices!S134-1</f>
        <v>0.0157030973277184</v>
      </c>
    </row>
    <row r="136" customFormat="false" ht="15" hidden="false" customHeight="false" outlineLevel="0" collapsed="false">
      <c r="A136" s="13" t="n">
        <f aca="false">Share_Prices!A136</f>
        <v>44995</v>
      </c>
      <c r="B136" s="14" t="n">
        <f aca="false">Share_Prices!B136/Share_Prices!B135-1</f>
        <v>-0.0100457088279436</v>
      </c>
      <c r="C136" s="14" t="n">
        <f aca="false">Share_Prices!C136/Share_Prices!C135-1</f>
        <v>-0.00838289780767976</v>
      </c>
      <c r="D136" s="14" t="n">
        <f aca="false">Share_Prices!D136/Share_Prices!D135-1</f>
        <v>-0.0167986363136479</v>
      </c>
      <c r="E136" s="14" t="n">
        <f aca="false">Share_Prices!E136/Share_Prices!E135-1</f>
        <v>-0.0200527704485488</v>
      </c>
      <c r="F136" s="14" t="n">
        <f aca="false">Share_Prices!F136/Share_Prices!F135-1</f>
        <v>-0.0031606027195884</v>
      </c>
      <c r="G136" s="14" t="n">
        <f aca="false">Share_Prices!G136/Share_Prices!G135-1</f>
        <v>-0.0105633802816901</v>
      </c>
      <c r="H136" s="14" t="n">
        <f aca="false">Share_Prices!H136/Share_Prices!H135-1</f>
        <v>-0.0390104116916612</v>
      </c>
      <c r="I136" s="14" t="n">
        <f aca="false">Share_Prices!I136/Share_Prices!I135-1</f>
        <v>0.011071060762101</v>
      </c>
      <c r="J136" s="14" t="n">
        <f aca="false">Share_Prices!J136/Share_Prices!J135-1</f>
        <v>-0.00652668481706631</v>
      </c>
      <c r="K136" s="14" t="n">
        <f aca="false">Share_Prices!K136/Share_Prices!K135-1</f>
        <v>-0.00459844229888184</v>
      </c>
      <c r="L136" s="14" t="n">
        <f aca="false">Share_Prices!L136/Share_Prices!L135-1</f>
        <v>-0.0181308289310637</v>
      </c>
      <c r="M136" s="14" t="n">
        <f aca="false">Share_Prices!M136/Share_Prices!M135-1</f>
        <v>0.00404147833023116</v>
      </c>
      <c r="N136" s="14" t="n">
        <f aca="false">Share_Prices!N136/Share_Prices!N135-1</f>
        <v>-0.0279837469295929</v>
      </c>
      <c r="O136" s="14" t="n">
        <f aca="false">Share_Prices!O136/Share_Prices!O135-1</f>
        <v>-0.0231213872832369</v>
      </c>
      <c r="P136" s="14" t="n">
        <f aca="false">Share_Prices!P136/Share_Prices!P135-1</f>
        <v>-0.00116543942363723</v>
      </c>
      <c r="Q136" s="14" t="n">
        <f aca="false">Share_Prices!Q136/Share_Prices!Q135-1</f>
        <v>-0.00972338642078785</v>
      </c>
      <c r="R136" s="14" t="n">
        <f aca="false">Share_Prices!R136/Share_Prices!R135-1</f>
        <v>-0.0174032068830661</v>
      </c>
      <c r="S136" s="14" t="n">
        <f aca="false">Share_Prices!S136/Share_Prices!S135-1</f>
        <v>-0.016080285182889</v>
      </c>
    </row>
    <row r="137" customFormat="false" ht="15" hidden="false" customHeight="false" outlineLevel="0" collapsed="false">
      <c r="A137" s="13" t="n">
        <f aca="false">Share_Prices!A137</f>
        <v>44998</v>
      </c>
      <c r="B137" s="14" t="n">
        <f aca="false">Share_Prices!B137/Share_Prices!B136-1</f>
        <v>-0.0148510586978621</v>
      </c>
      <c r="C137" s="14" t="n">
        <f aca="false">Share_Prices!C137/Share_Prices!C136-1</f>
        <v>-0.0153543803240496</v>
      </c>
      <c r="D137" s="14" t="n">
        <f aca="false">Share_Prices!D137/Share_Prices!D136-1</f>
        <v>-0.0133944800201337</v>
      </c>
      <c r="E137" s="14" t="n">
        <f aca="false">Share_Prices!E137/Share_Prices!E136-1</f>
        <v>-0.0306946688206785</v>
      </c>
      <c r="F137" s="14" t="n">
        <f aca="false">Share_Prices!F137/Share_Prices!F136-1</f>
        <v>-0.00376050729980837</v>
      </c>
      <c r="G137" s="14" t="n">
        <f aca="false">Share_Prices!G137/Share_Prices!G136-1</f>
        <v>-0.0167971530249109</v>
      </c>
      <c r="H137" s="14" t="n">
        <f aca="false">Share_Prices!H137/Share_Prices!H136-1</f>
        <v>-0.0366379738782974</v>
      </c>
      <c r="I137" s="14" t="n">
        <f aca="false">Share_Prices!I137/Share_Prices!I136-1</f>
        <v>-0.076139546727782</v>
      </c>
      <c r="J137" s="14" t="n">
        <f aca="false">Share_Prices!J137/Share_Prices!J136-1</f>
        <v>-0.0321720849913658</v>
      </c>
      <c r="K137" s="14" t="n">
        <f aca="false">Share_Prices!K137/Share_Prices!K136-1</f>
        <v>-0.00692100507994964</v>
      </c>
      <c r="L137" s="14" t="n">
        <f aca="false">Share_Prices!L137/Share_Prices!L136-1</f>
        <v>-0.0172035868482232</v>
      </c>
      <c r="M137" s="14" t="n">
        <f aca="false">Share_Prices!M137/Share_Prices!M136-1</f>
        <v>-0.0309835284148086</v>
      </c>
      <c r="N137" s="14" t="n">
        <f aca="false">Share_Prices!N137/Share_Prices!N136-1</f>
        <v>-0.0294978980681121</v>
      </c>
      <c r="O137" s="14" t="n">
        <f aca="false">Share_Prices!O137/Share_Prices!O136-1</f>
        <v>-0.0267292389308305</v>
      </c>
      <c r="P137" s="14" t="n">
        <f aca="false">Share_Prices!P137/Share_Prices!P136-1</f>
        <v>-0.0144789180588703</v>
      </c>
      <c r="Q137" s="14" t="n">
        <f aca="false">Share_Prices!Q137/Share_Prices!Q136-1</f>
        <v>-0.032165227695954</v>
      </c>
      <c r="R137" s="14" t="n">
        <f aca="false">Share_Prices!R137/Share_Prices!R136-1</f>
        <v>-0.0248756218905473</v>
      </c>
      <c r="S137" s="14" t="n">
        <f aca="false">Share_Prices!S137/Share_Prices!S136-1</f>
        <v>-0.00913637616666008</v>
      </c>
    </row>
    <row r="138" customFormat="false" ht="15" hidden="false" customHeight="false" outlineLevel="0" collapsed="false">
      <c r="A138" s="13" t="n">
        <f aca="false">Share_Prices!A138</f>
        <v>44999</v>
      </c>
      <c r="B138" s="14" t="n">
        <f aca="false">Share_Prices!B138/Share_Prices!B137-1</f>
        <v>-0.00647068082055224</v>
      </c>
      <c r="C138" s="14" t="n">
        <f aca="false">Share_Prices!C138/Share_Prices!C137-1</f>
        <v>-0.00663463500859607</v>
      </c>
      <c r="D138" s="14" t="n">
        <f aca="false">Share_Prices!D138/Share_Prices!D137-1</f>
        <v>-0.00291933563856917</v>
      </c>
      <c r="E138" s="14" t="n">
        <f aca="false">Share_Prices!E138/Share_Prices!E137-1</f>
        <v>-0.0214814814814815</v>
      </c>
      <c r="F138" s="14" t="n">
        <f aca="false">Share_Prices!F138/Share_Prices!F137-1</f>
        <v>-0.0159869735770852</v>
      </c>
      <c r="G138" s="14" t="n">
        <f aca="false">Share_Prices!G138/Share_Prices!G137-1</f>
        <v>0.000434341971912389</v>
      </c>
      <c r="H138" s="14" t="n">
        <f aca="false">Share_Prices!H138/Share_Prices!H137-1</f>
        <v>-0.10724308708213</v>
      </c>
      <c r="I138" s="14" t="n">
        <f aca="false">Share_Prices!I138/Share_Prices!I137-1</f>
        <v>-0.0239801543550165</v>
      </c>
      <c r="J138" s="14" t="n">
        <f aca="false">Share_Prices!J138/Share_Prices!J137-1</f>
        <v>0.000930918117993951</v>
      </c>
      <c r="K138" s="14" t="n">
        <f aca="false">Share_Prices!K138/Share_Prices!K137-1</f>
        <v>-0.0174745948915133</v>
      </c>
      <c r="L138" s="14" t="n">
        <f aca="false">Share_Prices!L138/Share_Prices!L137-1</f>
        <v>0.00594755339280906</v>
      </c>
      <c r="M138" s="14" t="n">
        <f aca="false">Share_Prices!M138/Share_Prices!M137-1</f>
        <v>-0.0307717533887188</v>
      </c>
      <c r="N138" s="14" t="n">
        <f aca="false">Share_Prices!N138/Share_Prices!N137-1</f>
        <v>-0.00695982284087315</v>
      </c>
      <c r="O138" s="14" t="n">
        <f aca="false">Share_Prices!O138/Share_Prices!O137-1</f>
        <v>0.019287211740042</v>
      </c>
      <c r="P138" s="14" t="n">
        <f aca="false">Share_Prices!P138/Share_Prices!P137-1</f>
        <v>-0.00532773651921215</v>
      </c>
      <c r="Q138" s="14" t="n">
        <f aca="false">Share_Prices!Q138/Share_Prices!Q137-1</f>
        <v>-0.0110197656113348</v>
      </c>
      <c r="R138" s="14" t="n">
        <f aca="false">Share_Prices!R138/Share_Prices!R137-1</f>
        <v>-0.0133333333333333</v>
      </c>
      <c r="S138" s="14" t="n">
        <f aca="false">Share_Prices!S138/Share_Prices!S137-1</f>
        <v>-0.0151424824132587</v>
      </c>
    </row>
    <row r="139" customFormat="false" ht="15" hidden="false" customHeight="false" outlineLevel="0" collapsed="false">
      <c r="A139" s="13" t="n">
        <f aca="false">Share_Prices!A139</f>
        <v>45000</v>
      </c>
      <c r="B139" s="14" t="n">
        <f aca="false">Share_Prices!B139/Share_Prices!B138-1</f>
        <v>-0.00417466101048492</v>
      </c>
      <c r="C139" s="14" t="n">
        <f aca="false">Share_Prices!C139/Share_Prices!C138-1</f>
        <v>-0.00266391801400556</v>
      </c>
      <c r="D139" s="14" t="n">
        <f aca="false">Share_Prices!D139/Share_Prices!D138-1</f>
        <v>-0.00315529150913896</v>
      </c>
      <c r="E139" s="14" t="n">
        <f aca="false">Share_Prices!E139/Share_Prices!E138-1</f>
        <v>-0.0163701741105223</v>
      </c>
      <c r="F139" s="14" t="n">
        <f aca="false">Share_Prices!F139/Share_Prices!F138-1</f>
        <v>0.00940203083866109</v>
      </c>
      <c r="G139" s="14" t="n">
        <f aca="false">Share_Prices!G139/Share_Prices!G138-1</f>
        <v>-0.00651230101302458</v>
      </c>
      <c r="H139" s="14" t="n">
        <f aca="false">Share_Prices!H139/Share_Prices!H138-1</f>
        <v>-9.24577583616415E-005</v>
      </c>
      <c r="I139" s="14" t="n">
        <f aca="false">Share_Prices!I139/Share_Prices!I138-1</f>
        <v>0.00593052809940686</v>
      </c>
      <c r="J139" s="14" t="n">
        <f aca="false">Share_Prices!J139/Share_Prices!J138-1</f>
        <v>-0.00643286184847891</v>
      </c>
      <c r="K139" s="14" t="n">
        <f aca="false">Share_Prices!K139/Share_Prices!K138-1</f>
        <v>-0.0022362765994618</v>
      </c>
      <c r="L139" s="14" t="n">
        <f aca="false">Share_Prices!L139/Share_Prices!L138-1</f>
        <v>0.00241870464928784</v>
      </c>
      <c r="M139" s="14" t="n">
        <f aca="false">Share_Prices!M139/Share_Prices!M138-1</f>
        <v>0.0105453110020866</v>
      </c>
      <c r="N139" s="14" t="n">
        <f aca="false">Share_Prices!N139/Share_Prices!N138-1</f>
        <v>0.0183301884480604</v>
      </c>
      <c r="O139" s="14" t="n">
        <f aca="false">Share_Prices!O139/Share_Prices!O138-1</f>
        <v>-0.00473056355409296</v>
      </c>
      <c r="P139" s="14" t="n">
        <f aca="false">Share_Prices!P139/Share_Prices!P138-1</f>
        <v>-0.00903532976248445</v>
      </c>
      <c r="Q139" s="14" t="n">
        <f aca="false">Share_Prices!Q139/Share_Prices!Q138-1</f>
        <v>-0.0107888220728688</v>
      </c>
      <c r="R139" s="14" t="n">
        <f aca="false">Share_Prices!R139/Share_Prices!R138-1</f>
        <v>0.011238279095422</v>
      </c>
      <c r="S139" s="14" t="n">
        <f aca="false">Share_Prices!S139/Share_Prices!S138-1</f>
        <v>-0.00762711864406784</v>
      </c>
    </row>
    <row r="140" customFormat="false" ht="15" hidden="false" customHeight="false" outlineLevel="0" collapsed="false">
      <c r="A140" s="13" t="n">
        <f aca="false">Share_Prices!A140</f>
        <v>45001</v>
      </c>
      <c r="B140" s="14" t="n">
        <f aca="false">Share_Prices!B140/Share_Prices!B139-1</f>
        <v>0.000792474730661574</v>
      </c>
      <c r="C140" s="14" t="n">
        <f aca="false">Share_Prices!C140/Share_Prices!C139-1</f>
        <v>0.000701800939924446</v>
      </c>
      <c r="D140" s="14" t="n">
        <f aca="false">Share_Prices!D140/Share_Prices!D139-1</f>
        <v>-0.010322801414395</v>
      </c>
      <c r="E140" s="14" t="n">
        <f aca="false">Share_Prices!E140/Share_Prices!E139-1</f>
        <v>0.00269360269360264</v>
      </c>
      <c r="F140" s="14" t="n">
        <f aca="false">Share_Prices!F140/Share_Prices!F139-1</f>
        <v>0.000521609538002954</v>
      </c>
      <c r="G140" s="14" t="n">
        <f aca="false">Share_Prices!G140/Share_Prices!G139-1</f>
        <v>0.0112163146394757</v>
      </c>
      <c r="H140" s="14" t="n">
        <f aca="false">Share_Prices!H140/Share_Prices!H139-1</f>
        <v>-0.04662613560184</v>
      </c>
      <c r="I140" s="14" t="n">
        <f aca="false">Share_Prices!I140/Share_Prices!I139-1</f>
        <v>-0.0179674340258281</v>
      </c>
      <c r="J140" s="14" t="n">
        <f aca="false">Share_Prices!J140/Share_Prices!J139-1</f>
        <v>-0.029564335582511</v>
      </c>
      <c r="K140" s="14" t="n">
        <f aca="false">Share_Prices!K140/Share_Prices!K139-1</f>
        <v>-0.000647872526702842</v>
      </c>
      <c r="L140" s="14" t="n">
        <f aca="false">Share_Prices!L140/Share_Prices!L139-1</f>
        <v>0.000871313672922147</v>
      </c>
      <c r="M140" s="14" t="n">
        <f aca="false">Share_Prices!M140/Share_Prices!M139-1</f>
        <v>-0.00150669642857149</v>
      </c>
      <c r="N140" s="14" t="n">
        <f aca="false">Share_Prices!N140/Share_Prices!N139-1</f>
        <v>0.00163638551317535</v>
      </c>
      <c r="O140" s="14" t="n">
        <f aca="false">Share_Prices!O140/Share_Prices!O139-1</f>
        <v>0.000826617069642488</v>
      </c>
      <c r="P140" s="14" t="n">
        <f aca="false">Share_Prices!P140/Share_Prices!P139-1</f>
        <v>0.015833151343088</v>
      </c>
      <c r="Q140" s="14" t="n">
        <f aca="false">Share_Prices!Q140/Share_Prices!Q139-1</f>
        <v>0.00590023243339899</v>
      </c>
      <c r="R140" s="14" t="n">
        <f aca="false">Share_Prices!R140/Share_Prices!R139-1</f>
        <v>-0.0077043703552192</v>
      </c>
      <c r="S140" s="14" t="n">
        <f aca="false">Share_Prices!S140/Share_Prices!S139-1</f>
        <v>0.0167947623114146</v>
      </c>
    </row>
    <row r="141" customFormat="false" ht="15" hidden="false" customHeight="false" outlineLevel="0" collapsed="false">
      <c r="A141" s="13" t="n">
        <f aca="false">Share_Prices!A141</f>
        <v>45002</v>
      </c>
      <c r="B141" s="14" t="n">
        <f aca="false">Share_Prices!B141/Share_Prices!B140-1</f>
        <v>0.00673806047475511</v>
      </c>
      <c r="C141" s="14" t="n">
        <f aca="false">Share_Prices!C141/Share_Prices!C140-1</f>
        <v>0.0063152679453049</v>
      </c>
      <c r="D141" s="14" t="n">
        <f aca="false">Share_Prices!D141/Share_Prices!D140-1</f>
        <v>-0.042125280931251</v>
      </c>
      <c r="E141" s="14" t="n">
        <f aca="false">Share_Prices!E141/Share_Prices!E140-1</f>
        <v>0.0172695001439125</v>
      </c>
      <c r="F141" s="14" t="n">
        <f aca="false">Share_Prices!F141/Share_Prices!F140-1</f>
        <v>-0.00335145602144937</v>
      </c>
      <c r="G141" s="14" t="n">
        <f aca="false">Share_Prices!G141/Share_Prices!G140-1</f>
        <v>0.00244886199942362</v>
      </c>
      <c r="H141" s="14" t="n">
        <f aca="false">Share_Prices!H141/Share_Prices!H140-1</f>
        <v>0.0209010232287474</v>
      </c>
      <c r="I141" s="14" t="n">
        <f aca="false">Share_Prices!I141/Share_Prices!I140-1</f>
        <v>0.017724413950829</v>
      </c>
      <c r="J141" s="14" t="n">
        <f aca="false">Share_Prices!J141/Share_Prices!J140-1</f>
        <v>-0.0174028375065309</v>
      </c>
      <c r="K141" s="14" t="n">
        <f aca="false">Share_Prices!K141/Share_Prices!K140-1</f>
        <v>0.00303120564890591</v>
      </c>
      <c r="L141" s="14" t="n">
        <f aca="false">Share_Prices!L141/Share_Prices!L140-1</f>
        <v>0.0228353311457845</v>
      </c>
      <c r="M141" s="14" t="n">
        <f aca="false">Share_Prices!M141/Share_Prices!M140-1</f>
        <v>0.00955680992566932</v>
      </c>
      <c r="N141" s="14" t="n">
        <f aca="false">Share_Prices!N141/Share_Prices!N140-1</f>
        <v>0.00653484852125019</v>
      </c>
      <c r="O141" s="14" t="n">
        <f aca="false">Share_Prices!O141/Share_Prices!O140-1</f>
        <v>-0.0262234152384885</v>
      </c>
      <c r="P141" s="14" t="n">
        <f aca="false">Share_Prices!P141/Share_Prices!P140-1</f>
        <v>-0.00182736751585499</v>
      </c>
      <c r="Q141" s="14" t="n">
        <f aca="false">Share_Prices!Q141/Share_Prices!Q140-1</f>
        <v>0.0216850337717738</v>
      </c>
      <c r="R141" s="14" t="n">
        <f aca="false">Share_Prices!R141/Share_Prices!R140-1</f>
        <v>-0.00515322248179195</v>
      </c>
      <c r="S141" s="14" t="n">
        <f aca="false">Share_Prices!S141/Share_Prices!S140-1</f>
        <v>-0.00335946248600227</v>
      </c>
    </row>
    <row r="142" customFormat="false" ht="15" hidden="false" customHeight="false" outlineLevel="0" collapsed="false">
      <c r="A142" s="13" t="n">
        <f aca="false">Share_Prices!A142</f>
        <v>45005</v>
      </c>
      <c r="B142" s="14" t="n">
        <f aca="false">Share_Prices!B142/Share_Prices!B141-1</f>
        <v>-0.00652922067479322</v>
      </c>
      <c r="C142" s="14" t="n">
        <f aca="false">Share_Prices!C142/Share_Prices!C141-1</f>
        <v>-0.00719444415551096</v>
      </c>
      <c r="D142" s="14" t="n">
        <f aca="false">Share_Prices!D142/Share_Prices!D141-1</f>
        <v>0.00881362050294787</v>
      </c>
      <c r="E142" s="14" t="n">
        <f aca="false">Share_Prices!E142/Share_Prices!E141-1</f>
        <v>9.43129303028201E-005</v>
      </c>
      <c r="F142" s="14" t="n">
        <f aca="false">Share_Prices!F142/Share_Prices!F141-1</f>
        <v>0.00298908982214918</v>
      </c>
      <c r="G142" s="14" t="n">
        <f aca="false">Share_Prices!G142/Share_Prices!G141-1</f>
        <v>-0.00905302485989357</v>
      </c>
      <c r="H142" s="14" t="n">
        <f aca="false">Share_Prices!H142/Share_Prices!H141-1</f>
        <v>-0.00059376781303444</v>
      </c>
      <c r="I142" s="14" t="n">
        <f aca="false">Share_Prices!I142/Share_Prices!I141-1</f>
        <v>0.00646067415730345</v>
      </c>
      <c r="J142" s="14" t="n">
        <f aca="false">Share_Prices!J142/Share_Prices!J141-1</f>
        <v>0.0579188481675392</v>
      </c>
      <c r="K142" s="14" t="n">
        <f aca="false">Share_Prices!K142/Share_Prices!K141-1</f>
        <v>-0.0316703350452433</v>
      </c>
      <c r="L142" s="14" t="n">
        <f aca="false">Share_Prices!L142/Share_Prices!L141-1</f>
        <v>-0.0232421107764829</v>
      </c>
      <c r="M142" s="14" t="n">
        <f aca="false">Share_Prices!M142/Share_Prices!M141-1</f>
        <v>0.00636625332152341</v>
      </c>
      <c r="N142" s="14" t="n">
        <f aca="false">Share_Prices!N142/Share_Prices!N141-1</f>
        <v>-0.0142737796873135</v>
      </c>
      <c r="O142" s="14" t="n">
        <f aca="false">Share_Prices!O142/Share_Prices!O141-1</f>
        <v>-0.0436810856658185</v>
      </c>
      <c r="P142" s="14" t="n">
        <f aca="false">Share_Prices!P142/Share_Prices!P141-1</f>
        <v>0.018845573982339</v>
      </c>
      <c r="Q142" s="14" t="n">
        <f aca="false">Share_Prices!Q142/Share_Prices!Q141-1</f>
        <v>-0.0407098121085595</v>
      </c>
      <c r="R142" s="14" t="n">
        <f aca="false">Share_Prices!R142/Share_Prices!R141-1</f>
        <v>-0.0184405000345328</v>
      </c>
      <c r="S142" s="14" t="n">
        <f aca="false">Share_Prices!S142/Share_Prices!S141-1</f>
        <v>-0.0211075441412519</v>
      </c>
    </row>
    <row r="143" customFormat="false" ht="15" hidden="false" customHeight="false" outlineLevel="0" collapsed="false">
      <c r="A143" s="13" t="n">
        <f aca="false">Share_Prices!A143</f>
        <v>45006</v>
      </c>
      <c r="B143" s="14" t="n">
        <f aca="false">Share_Prices!B143/Share_Prices!B142-1</f>
        <v>0.00701066610157519</v>
      </c>
      <c r="C143" s="14" t="n">
        <f aca="false">Share_Prices!C143/Share_Prices!C142-1</f>
        <v>0.00657954474020572</v>
      </c>
      <c r="D143" s="14" t="n">
        <f aca="false">Share_Prices!D143/Share_Prices!D142-1</f>
        <v>0.00808062736678905</v>
      </c>
      <c r="E143" s="14" t="n">
        <f aca="false">Share_Prices!E143/Share_Prices!E142-1</f>
        <v>0.00282912108638245</v>
      </c>
      <c r="F143" s="14" t="n">
        <f aca="false">Share_Prices!F143/Share_Prices!F142-1</f>
        <v>0.0337505587840858</v>
      </c>
      <c r="G143" s="14" t="n">
        <f aca="false">Share_Prices!G143/Share_Prices!G142-1</f>
        <v>-0.00377030162412995</v>
      </c>
      <c r="H143" s="14" t="n">
        <f aca="false">Share_Prices!H143/Share_Prices!H142-1</f>
        <v>-0.0138786568121867</v>
      </c>
      <c r="I143" s="14" t="n">
        <f aca="false">Share_Prices!I143/Share_Prices!I142-1</f>
        <v>-0.0103265420039073</v>
      </c>
      <c r="J143" s="14" t="n">
        <f aca="false">Share_Prices!J143/Share_Prices!J142-1</f>
        <v>0.0332895143829259</v>
      </c>
      <c r="K143" s="14" t="n">
        <f aca="false">Share_Prices!K143/Share_Prices!K142-1</f>
        <v>0.0286832753053234</v>
      </c>
      <c r="L143" s="14" t="n">
        <f aca="false">Share_Prices!L143/Share_Prices!L142-1</f>
        <v>0.0115959514712782</v>
      </c>
      <c r="M143" s="14" t="n">
        <f aca="false">Share_Prices!M143/Share_Prices!M142-1</f>
        <v>0.0454370427416249</v>
      </c>
      <c r="N143" s="14" t="n">
        <f aca="false">Share_Prices!N143/Share_Prices!N142-1</f>
        <v>-0.0114051868174444</v>
      </c>
      <c r="O143" s="14" t="n">
        <f aca="false">Share_Prices!O143/Share_Prices!O142-1</f>
        <v>0.0179600886917961</v>
      </c>
      <c r="P143" s="14" t="n">
        <f aca="false">Share_Prices!P143/Share_Prices!P142-1</f>
        <v>0.0260543282951062</v>
      </c>
      <c r="Q143" s="14" t="n">
        <f aca="false">Share_Prices!Q143/Share_Prices!Q142-1</f>
        <v>0.0195865070729055</v>
      </c>
      <c r="R143" s="14" t="n">
        <f aca="false">Share_Prices!R143/Share_Prices!R142-1</f>
        <v>0.00963974106388976</v>
      </c>
      <c r="S143" s="14" t="n">
        <f aca="false">Share_Prices!S143/Share_Prices!S142-1</f>
        <v>0.0334508485693203</v>
      </c>
    </row>
    <row r="144" customFormat="false" ht="15" hidden="false" customHeight="false" outlineLevel="0" collapsed="false">
      <c r="A144" s="13" t="n">
        <f aca="false">Share_Prices!A144</f>
        <v>45007</v>
      </c>
      <c r="B144" s="14" t="n">
        <f aca="false">Share_Prices!B144/Share_Prices!B143-1</f>
        <v>0.00259535291538815</v>
      </c>
      <c r="C144" s="14" t="n">
        <f aca="false">Share_Prices!C144/Share_Prices!C143-1</f>
        <v>0.00337929263841574</v>
      </c>
      <c r="D144" s="14" t="n">
        <f aca="false">Share_Prices!D144/Share_Prices!D143-1</f>
        <v>0.0138132986275437</v>
      </c>
      <c r="E144" s="14" t="n">
        <f aca="false">Share_Prices!E144/Share_Prices!E143-1</f>
        <v>0.0302802332142185</v>
      </c>
      <c r="F144" s="14" t="n">
        <f aca="false">Share_Prices!F144/Share_Prices!F143-1</f>
        <v>0.0322162162162163</v>
      </c>
      <c r="G144" s="14" t="n">
        <f aca="false">Share_Prices!G144/Share_Prices!G143-1</f>
        <v>-0.00742358078602623</v>
      </c>
      <c r="H144" s="14" t="n">
        <f aca="false">Share_Prices!H144/Share_Prices!H143-1</f>
        <v>0.0126762260513316</v>
      </c>
      <c r="I144" s="14" t="n">
        <f aca="false">Share_Prices!I144/Share_Prices!I143-1</f>
        <v>0.012408347433728</v>
      </c>
      <c r="J144" s="14" t="n">
        <f aca="false">Share_Prices!J144/Share_Prices!J143-1</f>
        <v>0.0289616463985034</v>
      </c>
      <c r="K144" s="14" t="n">
        <f aca="false">Share_Prices!K144/Share_Prices!K143-1</f>
        <v>0.0217456114199532</v>
      </c>
      <c r="L144" s="14" t="n">
        <f aca="false">Share_Prices!L144/Share_Prices!L143-1</f>
        <v>-0.00993904055128547</v>
      </c>
      <c r="M144" s="14" t="n">
        <f aca="false">Share_Prices!M144/Share_Prices!M143-1</f>
        <v>0.00589318600368327</v>
      </c>
      <c r="N144" s="14" t="n">
        <f aca="false">Share_Prices!N144/Share_Prices!N143-1</f>
        <v>0.0222652231421154</v>
      </c>
      <c r="O144" s="14" t="n">
        <f aca="false">Share_Prices!O144/Share_Prices!O143-1</f>
        <v>0.00392071444129805</v>
      </c>
      <c r="P144" s="14" t="n">
        <f aca="false">Share_Prices!P144/Share_Prices!P143-1</f>
        <v>0.000927118207571409</v>
      </c>
      <c r="Q144" s="14" t="n">
        <f aca="false">Share_Prices!Q144/Share_Prices!Q143-1</f>
        <v>0.0145855567413731</v>
      </c>
      <c r="R144" s="14" t="n">
        <f aca="false">Share_Prices!R144/Share_Prices!R143-1</f>
        <v>0.0136594884660952</v>
      </c>
      <c r="S144" s="14" t="n">
        <f aca="false">Share_Prices!S144/Share_Prices!S143-1</f>
        <v>-0.0113843712812376</v>
      </c>
    </row>
    <row r="145" customFormat="false" ht="15" hidden="false" customHeight="false" outlineLevel="0" collapsed="false">
      <c r="A145" s="13" t="n">
        <f aca="false">Share_Prices!A145</f>
        <v>45008</v>
      </c>
      <c r="B145" s="14" t="n">
        <f aca="false">Share_Prices!B145/Share_Prices!B144-1</f>
        <v>-0.0043726934042293</v>
      </c>
      <c r="C145" s="14" t="n">
        <f aca="false">Share_Prices!C145/Share_Prices!C144-1</f>
        <v>-0.00390041493775928</v>
      </c>
      <c r="D145" s="14" t="n">
        <f aca="false">Share_Prices!D145/Share_Prices!D144-1</f>
        <v>-0.00752735229759305</v>
      </c>
      <c r="E145" s="14" t="n">
        <f aca="false">Share_Prices!E145/Share_Prices!E144-1</f>
        <v>-0.0137824023366191</v>
      </c>
      <c r="F145" s="14" t="n">
        <f aca="false">Share_Prices!F145/Share_Prices!F144-1</f>
        <v>-0.0334450495740819</v>
      </c>
      <c r="G145" s="14" t="n">
        <f aca="false">Share_Prices!G145/Share_Prices!G144-1</f>
        <v>-0.0167179938407391</v>
      </c>
      <c r="H145" s="14" t="n">
        <f aca="false">Share_Prices!H145/Share_Prices!H144-1</f>
        <v>0.00649675162418806</v>
      </c>
      <c r="I145" s="14" t="n">
        <f aca="false">Share_Prices!I145/Share_Prices!I144-1</f>
        <v>-0.000835654596100355</v>
      </c>
      <c r="J145" s="14" t="n">
        <f aca="false">Share_Prices!J145/Share_Prices!J144-1</f>
        <v>0.0133095748936325</v>
      </c>
      <c r="K145" s="14" t="n">
        <f aca="false">Share_Prices!K145/Share_Prices!K144-1</f>
        <v>-0.000205962617784827</v>
      </c>
      <c r="L145" s="14" t="n">
        <f aca="false">Share_Prices!L145/Share_Prices!L144-1</f>
        <v>-0.000535403560433689</v>
      </c>
      <c r="M145" s="14" t="n">
        <f aca="false">Share_Prices!M145/Share_Prices!M144-1</f>
        <v>-0.0218130459800178</v>
      </c>
      <c r="N145" s="14" t="n">
        <f aca="false">Share_Prices!N145/Share_Prices!N144-1</f>
        <v>0</v>
      </c>
      <c r="O145" s="14" t="n">
        <f aca="false">Share_Prices!O145/Share_Prices!O144-1</f>
        <v>-0.0119331742243437</v>
      </c>
      <c r="P145" s="14" t="n">
        <f aca="false">Share_Prices!P145/Share_Prices!P144-1</f>
        <v>0.0104976071630731</v>
      </c>
      <c r="Q145" s="14" t="n">
        <f aca="false">Share_Prices!Q145/Share_Prices!Q144-1</f>
        <v>0.00333099579242635</v>
      </c>
      <c r="R145" s="14" t="n">
        <f aca="false">Share_Prices!R145/Share_Prices!R144-1</f>
        <v>-0.00969405293915426</v>
      </c>
      <c r="S145" s="14" t="n">
        <f aca="false">Share_Prices!S145/Share_Prices!S144-1</f>
        <v>0.0115555912209606</v>
      </c>
    </row>
    <row r="146" customFormat="false" ht="15" hidden="false" customHeight="false" outlineLevel="0" collapsed="false">
      <c r="A146" s="13" t="n">
        <f aca="false">Share_Prices!A146</f>
        <v>45009</v>
      </c>
      <c r="B146" s="14" t="n">
        <f aca="false">Share_Prices!B146/Share_Prices!B145-1</f>
        <v>-0.00772095637967096</v>
      </c>
      <c r="C146" s="14" t="n">
        <f aca="false">Share_Prices!C146/Share_Prices!C145-1</f>
        <v>-0.00865061512399679</v>
      </c>
      <c r="D146" s="14" t="n">
        <f aca="false">Share_Prices!D146/Share_Prices!D145-1</f>
        <v>-0.0105535467560336</v>
      </c>
      <c r="E146" s="14" t="n">
        <f aca="false">Share_Prices!E146/Share_Prices!E145-1</f>
        <v>-0.0284127718648775</v>
      </c>
      <c r="F146" s="14" t="n">
        <f aca="false">Share_Prices!F146/Share_Prices!F145-1</f>
        <v>-0.00577909412699562</v>
      </c>
      <c r="G146" s="14" t="n">
        <f aca="false">Share_Prices!G146/Share_Prices!G145-1</f>
        <v>-0.0435495898583148</v>
      </c>
      <c r="H146" s="14" t="n">
        <f aca="false">Share_Prices!H146/Share_Prices!H145-1</f>
        <v>-0.027403414195867</v>
      </c>
      <c r="I146" s="14" t="n">
        <f aca="false">Share_Prices!I146/Share_Prices!I145-1</f>
        <v>-0.0342904934485643</v>
      </c>
      <c r="J146" s="14" t="n">
        <f aca="false">Share_Prices!J146/Share_Prices!J145-1</f>
        <v>-0.0391889467073389</v>
      </c>
      <c r="K146" s="14" t="n">
        <f aca="false">Share_Prices!K146/Share_Prices!K145-1</f>
        <v>-0.0315016051226589</v>
      </c>
      <c r="L146" s="14" t="n">
        <f aca="false">Share_Prices!L146/Share_Prices!L145-1</f>
        <v>-0.0255122539172359</v>
      </c>
      <c r="M146" s="14" t="n">
        <f aca="false">Share_Prices!M146/Share_Prices!M145-1</f>
        <v>-0.0216577540106951</v>
      </c>
      <c r="N146" s="14" t="n">
        <f aca="false">Share_Prices!N146/Share_Prices!N145-1</f>
        <v>-0.0116449023601294</v>
      </c>
      <c r="O146" s="14" t="n">
        <f aca="false">Share_Prices!O146/Share_Prices!O145-1</f>
        <v>-0.0316205533596837</v>
      </c>
      <c r="P146" s="14" t="n">
        <f aca="false">Share_Prices!P146/Share_Prices!P145-1</f>
        <v>-0.01986046748485</v>
      </c>
      <c r="Q146" s="14" t="n">
        <f aca="false">Share_Prices!Q146/Share_Prices!Q145-1</f>
        <v>-0.0246374279224182</v>
      </c>
      <c r="R146" s="14" t="n">
        <f aca="false">Share_Prices!R146/Share_Prices!R145-1</f>
        <v>0.004651485698417</v>
      </c>
      <c r="S146" s="14" t="n">
        <f aca="false">Share_Prices!S146/Share_Prices!S145-1</f>
        <v>-0.0216968783467535</v>
      </c>
    </row>
    <row r="147" customFormat="false" ht="15" hidden="false" customHeight="false" outlineLevel="0" collapsed="false">
      <c r="A147" s="13" t="n">
        <f aca="false">Share_Prices!A147</f>
        <v>45012</v>
      </c>
      <c r="B147" s="14" t="n">
        <f aca="false">Share_Prices!B147/Share_Prices!B146-1</f>
        <v>0.0023989306611667</v>
      </c>
      <c r="C147" s="14" t="n">
        <f aca="false">Share_Prices!C147/Share_Prices!C146-1</f>
        <v>-0.00114153652216542</v>
      </c>
      <c r="D147" s="14" t="n">
        <f aca="false">Share_Prices!D147/Share_Prices!D146-1</f>
        <v>-0.0359498484758453</v>
      </c>
      <c r="E147" s="14" t="n">
        <f aca="false">Share_Prices!E147/Share_Prices!E146-1</f>
        <v>-0.00952562392836731</v>
      </c>
      <c r="F147" s="14" t="n">
        <f aca="false">Share_Prices!F147/Share_Prices!F146-1</f>
        <v>-0.0140231054275957</v>
      </c>
      <c r="G147" s="14" t="n">
        <f aca="false">Share_Prices!G147/Share_Prices!G146-1</f>
        <v>0.000467799781693534</v>
      </c>
      <c r="H147" s="14" t="n">
        <f aca="false">Share_Prices!H147/Share_Prices!H146-1</f>
        <v>-0.0569831044123009</v>
      </c>
      <c r="I147" s="14" t="n">
        <f aca="false">Share_Prices!I147/Share_Prices!I146-1</f>
        <v>-0.00548498845265577</v>
      </c>
      <c r="J147" s="14" t="n">
        <f aca="false">Share_Prices!J147/Share_Prices!J146-1</f>
        <v>-0.0304411160497516</v>
      </c>
      <c r="K147" s="14" t="n">
        <f aca="false">Share_Prices!K147/Share_Prices!K146-1</f>
        <v>-0.00996171298922288</v>
      </c>
      <c r="L147" s="14" t="n">
        <f aca="false">Share_Prices!L147/Share_Prices!L146-1</f>
        <v>-0.016216587645159</v>
      </c>
      <c r="M147" s="14" t="n">
        <f aca="false">Share_Prices!M147/Share_Prices!M146-1</f>
        <v>-0.018201694452036</v>
      </c>
      <c r="N147" s="14" t="n">
        <f aca="false">Share_Prices!N147/Share_Prices!N146-1</f>
        <v>-0.00341826468520456</v>
      </c>
      <c r="O147" s="14" t="n">
        <f aca="false">Share_Prices!O147/Share_Prices!O146-1</f>
        <v>-0.010657596371882</v>
      </c>
      <c r="P147" s="14" t="n">
        <f aca="false">Share_Prices!P147/Share_Prices!P146-1</f>
        <v>0.00379279887774708</v>
      </c>
      <c r="Q147" s="14" t="n">
        <f aca="false">Share_Prices!Q147/Share_Prices!Q146-1</f>
        <v>-0.0123611608742388</v>
      </c>
      <c r="R147" s="14" t="n">
        <f aca="false">Share_Prices!R147/Share_Prices!R146-1</f>
        <v>-0.0073249948172206</v>
      </c>
      <c r="S147" s="14" t="n">
        <f aca="false">Share_Prices!S147/Share_Prices!S146-1</f>
        <v>-0.0192993837171586</v>
      </c>
    </row>
    <row r="148" customFormat="false" ht="15" hidden="false" customHeight="false" outlineLevel="0" collapsed="false">
      <c r="A148" s="13" t="n">
        <f aca="false">Share_Prices!A148</f>
        <v>45013</v>
      </c>
      <c r="B148" s="14" t="n">
        <f aca="false">Share_Prices!B148/Share_Prices!B147-1</f>
        <v>-0.00200168376928833</v>
      </c>
      <c r="C148" s="14" t="n">
        <f aca="false">Share_Prices!C148/Share_Prices!C147-1</f>
        <v>-0.00356874925505002</v>
      </c>
      <c r="D148" s="14" t="n">
        <f aca="false">Share_Prices!D148/Share_Prices!D147-1</f>
        <v>-0.00240384615384626</v>
      </c>
      <c r="E148" s="14" t="n">
        <f aca="false">Share_Prices!E148/Share_Prices!E147-1</f>
        <v>-0.00201961915753024</v>
      </c>
      <c r="F148" s="14" t="n">
        <f aca="false">Share_Prices!F148/Share_Prices!F147-1</f>
        <v>-0.0125276344878408</v>
      </c>
      <c r="G148" s="14" t="n">
        <f aca="false">Share_Prices!G148/Share_Prices!G147-1</f>
        <v>-0.00670199501246893</v>
      </c>
      <c r="H148" s="14" t="n">
        <f aca="false">Share_Prices!H148/Share_Prices!H147-1</f>
        <v>0.0355494831275296</v>
      </c>
      <c r="I148" s="14" t="n">
        <f aca="false">Share_Prices!I148/Share_Prices!I147-1</f>
        <v>0.0156748911465892</v>
      </c>
      <c r="J148" s="14" t="n">
        <f aca="false">Share_Prices!J148/Share_Prices!J147-1</f>
        <v>0.0258879728792665</v>
      </c>
      <c r="K148" s="14" t="n">
        <f aca="false">Share_Prices!K148/Share_Prices!K147-1</f>
        <v>-0.0104737350950691</v>
      </c>
      <c r="L148" s="14" t="n">
        <f aca="false">Share_Prices!L148/Share_Prices!L147-1</f>
        <v>0.0227701334078367</v>
      </c>
      <c r="M148" s="14" t="n">
        <f aca="false">Share_Prices!M148/Share_Prices!M147-1</f>
        <v>-0.000445384701035501</v>
      </c>
      <c r="N148" s="14" t="n">
        <f aca="false">Share_Prices!N148/Share_Prices!N147-1</f>
        <v>0.0303590541986962</v>
      </c>
      <c r="O148" s="14" t="n">
        <f aca="false">Share_Prices!O148/Share_Prices!O147-1</f>
        <v>0.0148980059592023</v>
      </c>
      <c r="P148" s="14" t="n">
        <f aca="false">Share_Prices!P148/Share_Prices!P147-1</f>
        <v>0.000310559006211131</v>
      </c>
      <c r="Q148" s="14" t="n">
        <f aca="false">Share_Prices!Q148/Share_Prices!Q147-1</f>
        <v>0.0244875748231452</v>
      </c>
      <c r="R148" s="14" t="n">
        <f aca="false">Share_Prices!R148/Share_Prices!R147-1</f>
        <v>-0.00995475113122168</v>
      </c>
      <c r="S148" s="14" t="n">
        <f aca="false">Share_Prices!S148/Share_Prices!S147-1</f>
        <v>0.0136431288242105</v>
      </c>
    </row>
    <row r="149" customFormat="false" ht="15" hidden="false" customHeight="false" outlineLevel="0" collapsed="false">
      <c r="A149" s="13" t="n">
        <f aca="false">Share_Prices!A149</f>
        <v>45014</v>
      </c>
      <c r="B149" s="14" t="n">
        <f aca="false">Share_Prices!B149/Share_Prices!B148-1</f>
        <v>0.00760985623860733</v>
      </c>
      <c r="C149" s="14" t="n">
        <f aca="false">Share_Prices!C149/Share_Prices!C148-1</f>
        <v>0.00941471171843133</v>
      </c>
      <c r="D149" s="14" t="n">
        <f aca="false">Share_Prices!D149/Share_Prices!D148-1</f>
        <v>-0.00747605807846763</v>
      </c>
      <c r="E149" s="14" t="n">
        <f aca="false">Share_Prices!E149/Share_Prices!E148-1</f>
        <v>-0.00664932061289403</v>
      </c>
      <c r="F149" s="14" t="n">
        <f aca="false">Share_Prices!F149/Share_Prices!F148-1</f>
        <v>0.0529104477611941</v>
      </c>
      <c r="G149" s="14" t="n">
        <f aca="false">Share_Prices!G149/Share_Prices!G148-1</f>
        <v>0.0122391338459125</v>
      </c>
      <c r="H149" s="14" t="n">
        <f aca="false">Share_Prices!H149/Share_Prices!H148-1</f>
        <v>0.000821508588498832</v>
      </c>
      <c r="I149" s="14" t="n">
        <f aca="false">Share_Prices!I149/Share_Prices!I148-1</f>
        <v>0.0362960845955989</v>
      </c>
      <c r="J149" s="14" t="n">
        <f aca="false">Share_Prices!J149/Share_Prices!J148-1</f>
        <v>0.0115283514832893</v>
      </c>
      <c r="K149" s="14" t="n">
        <f aca="false">Share_Prices!K149/Share_Prices!K148-1</f>
        <v>0.016410646112649</v>
      </c>
      <c r="L149" s="14" t="n">
        <f aca="false">Share_Prices!L149/Share_Prices!L148-1</f>
        <v>0.0214436932322613</v>
      </c>
      <c r="M149" s="14" t="n">
        <f aca="false">Share_Prices!M149/Share_Prices!M148-1</f>
        <v>-0.00690653893282844</v>
      </c>
      <c r="N149" s="14" t="n">
        <f aca="false">Share_Prices!N149/Share_Prices!N148-1</f>
        <v>0.0726933610350364</v>
      </c>
      <c r="O149" s="14" t="n">
        <f aca="false">Share_Prices!O149/Share_Prices!O148-1</f>
        <v>0.0239385727190604</v>
      </c>
      <c r="P149" s="14" t="n">
        <f aca="false">Share_Prices!P149/Share_Prices!P148-1</f>
        <v>0.00869295249922386</v>
      </c>
      <c r="Q149" s="14" t="n">
        <f aca="false">Share_Prices!Q149/Share_Prices!Q148-1</f>
        <v>0.0217776203966007</v>
      </c>
      <c r="R149" s="14" t="n">
        <f aca="false">Share_Prices!R149/Share_Prices!R148-1</f>
        <v>0.0127267613556461</v>
      </c>
      <c r="S149" s="14" t="n">
        <f aca="false">Share_Prices!S149/Share_Prices!S148-1</f>
        <v>0.0211273350191696</v>
      </c>
    </row>
    <row r="150" customFormat="false" ht="15" hidden="false" customHeight="false" outlineLevel="0" collapsed="false">
      <c r="A150" s="13" t="n">
        <f aca="false">Share_Prices!A150</f>
        <v>45016</v>
      </c>
      <c r="B150" s="14" t="n">
        <f aca="false">Share_Prices!B150/Share_Prices!B149-1</f>
        <v>0.0163371524586229</v>
      </c>
      <c r="C150" s="14" t="n">
        <f aca="false">Share_Prices!C150/Share_Prices!C149-1</f>
        <v>0.0147954773589114</v>
      </c>
      <c r="D150" s="14" t="n">
        <f aca="false">Share_Prices!D150/Share_Prices!D149-1</f>
        <v>0.00270791832669315</v>
      </c>
      <c r="E150" s="14" t="n">
        <f aca="false">Share_Prices!E150/Share_Prices!E149-1</f>
        <v>0.0267753201396974</v>
      </c>
      <c r="F150" s="14" t="n">
        <f aca="false">Share_Prices!F150/Share_Prices!F149-1</f>
        <v>0.0525905450421715</v>
      </c>
      <c r="G150" s="14" t="n">
        <f aca="false">Share_Prices!G150/Share_Prices!G149-1</f>
        <v>0.0192218260734769</v>
      </c>
      <c r="H150" s="14" t="n">
        <f aca="false">Share_Prices!H150/Share_Prices!H149-1</f>
        <v>0.0571599134392957</v>
      </c>
      <c r="I150" s="14" t="n">
        <f aca="false">Share_Prices!I150/Share_Prices!I149-1</f>
        <v>-0.00854936569222287</v>
      </c>
      <c r="J150" s="14" t="n">
        <f aca="false">Share_Prices!J150/Share_Prices!J149-1</f>
        <v>-0.0129190332999219</v>
      </c>
      <c r="K150" s="14" t="n">
        <f aca="false">Share_Prices!K150/Share_Prices!K149-1</f>
        <v>-0.00151310168043295</v>
      </c>
      <c r="L150" s="14" t="n">
        <f aca="false">Share_Prices!L150/Share_Prices!L149-1</f>
        <v>0.0179848900180517</v>
      </c>
      <c r="M150" s="14" t="n">
        <f aca="false">Share_Prices!M150/Share_Prices!M149-1</f>
        <v>0.026584408300617</v>
      </c>
      <c r="N150" s="14" t="n">
        <f aca="false">Share_Prices!N150/Share_Prices!N149-1</f>
        <v>0.0435127104655002</v>
      </c>
      <c r="O150" s="14" t="n">
        <f aca="false">Share_Prices!O150/Share_Prices!O149-1</f>
        <v>0.021835024261138</v>
      </c>
      <c r="P150" s="14" t="n">
        <f aca="false">Share_Prices!P150/Share_Prices!P149-1</f>
        <v>0.00538627269929215</v>
      </c>
      <c r="Q150" s="14" t="n">
        <f aca="false">Share_Prices!Q150/Share_Prices!Q149-1</f>
        <v>0.0136891353318316</v>
      </c>
      <c r="R150" s="14" t="n">
        <f aca="false">Share_Prices!R150/Share_Prices!R149-1</f>
        <v>0.0278414219259877</v>
      </c>
      <c r="S150" s="14" t="n">
        <f aca="false">Share_Prices!S150/Share_Prices!S149-1</f>
        <v>0.00607125738935932</v>
      </c>
    </row>
    <row r="151" customFormat="false" ht="15" hidden="false" customHeight="false" outlineLevel="0" collapsed="false">
      <c r="A151" s="13" t="n">
        <f aca="false">Share_Prices!A151</f>
        <v>45019</v>
      </c>
      <c r="B151" s="14" t="n">
        <f aca="false">Share_Prices!B151/Share_Prices!B150-1</f>
        <v>0.00220625297023291</v>
      </c>
      <c r="C151" s="14" t="n">
        <f aca="false">Share_Prices!C151/Share_Prices!C150-1</f>
        <v>0.00302929347396774</v>
      </c>
      <c r="D151" s="14" t="n">
        <f aca="false">Share_Prices!D151/Share_Prices!D150-1</f>
        <v>0.0128821977339748</v>
      </c>
      <c r="E151" s="14" t="n">
        <f aca="false">Share_Prices!E151/Share_Prices!E150-1</f>
        <v>0.0306122448979591</v>
      </c>
      <c r="F151" s="14" t="n">
        <f aca="false">Share_Prices!F151/Share_Prices!F150-1</f>
        <v>-0.0321190492222745</v>
      </c>
      <c r="G151" s="14" t="n">
        <f aca="false">Share_Prices!G151/Share_Prices!G150-1</f>
        <v>0.0146007604562739</v>
      </c>
      <c r="H151" s="14" t="n">
        <f aca="false">Share_Prices!H151/Share_Prices!H150-1</f>
        <v>0.0540693160160939</v>
      </c>
      <c r="I151" s="14" t="n">
        <f aca="false">Share_Prices!I151/Share_Prices!I150-1</f>
        <v>0.0183588317107093</v>
      </c>
      <c r="J151" s="14" t="n">
        <f aca="false">Share_Prices!J151/Share_Prices!J150-1</f>
        <v>0.011470909022528</v>
      </c>
      <c r="K151" s="14" t="n">
        <f aca="false">Share_Prices!K151/Share_Prices!K150-1</f>
        <v>0.0175072649801218</v>
      </c>
      <c r="L151" s="14" t="n">
        <f aca="false">Share_Prices!L151/Share_Prices!L150-1</f>
        <v>0.0227242874031264</v>
      </c>
      <c r="M151" s="14" t="n">
        <f aca="false">Share_Prices!M151/Share_Prices!M150-1</f>
        <v>0.0119645979020979</v>
      </c>
      <c r="N151" s="14" t="n">
        <f aca="false">Share_Prices!N151/Share_Prices!N150-1</f>
        <v>-0.0357504429258415</v>
      </c>
      <c r="O151" s="14" t="n">
        <f aca="false">Share_Prices!O151/Share_Prices!O150-1</f>
        <v>0.0274120440319448</v>
      </c>
      <c r="P151" s="14" t="n">
        <f aca="false">Share_Prices!P151/Share_Prices!P150-1</f>
        <v>0.00127557528445332</v>
      </c>
      <c r="Q151" s="14" t="n">
        <f aca="false">Share_Prices!Q151/Share_Prices!Q150-1</f>
        <v>-0.00461538461538469</v>
      </c>
      <c r="R151" s="14" t="n">
        <f aca="false">Share_Prices!R151/Share_Prices!R150-1</f>
        <v>0.0095244528505809</v>
      </c>
      <c r="S151" s="14" t="n">
        <f aca="false">Share_Prices!S151/Share_Prices!S150-1</f>
        <v>0.0214784818167382</v>
      </c>
    </row>
    <row r="152" customFormat="false" ht="15" hidden="false" customHeight="false" outlineLevel="0" collapsed="false">
      <c r="A152" s="13" t="n">
        <f aca="false">Share_Prices!A152</f>
        <v>45021</v>
      </c>
      <c r="B152" s="14" t="n">
        <f aca="false">Share_Prices!B152/Share_Prices!B151-1</f>
        <v>0.009138955227741</v>
      </c>
      <c r="C152" s="14" t="n">
        <f aca="false">Share_Prices!C152/Share_Prices!C151-1</f>
        <v>0.00735860621355355</v>
      </c>
      <c r="D152" s="14" t="n">
        <f aca="false">Share_Prices!D152/Share_Prices!D151-1</f>
        <v>0.0246092552865462</v>
      </c>
      <c r="E152" s="14" t="n">
        <f aca="false">Share_Prices!E152/Share_Prices!E151-1</f>
        <v>-0.00220022002200204</v>
      </c>
      <c r="F152" s="14" t="n">
        <f aca="false">Share_Prices!F152/Share_Prices!F151-1</f>
        <v>-0.0103659385000696</v>
      </c>
      <c r="G152" s="14" t="n">
        <f aca="false">Share_Prices!G152/Share_Prices!G151-1</f>
        <v>-0.0155898665867186</v>
      </c>
      <c r="H152" s="14" t="n">
        <f aca="false">Share_Prices!H152/Share_Prices!H151-1</f>
        <v>0.0338400410723454</v>
      </c>
      <c r="I152" s="14" t="n">
        <f aca="false">Share_Prices!I152/Share_Prices!I151-1</f>
        <v>-0.00464354001638911</v>
      </c>
      <c r="J152" s="14" t="n">
        <f aca="false">Share_Prices!J152/Share_Prices!J151-1</f>
        <v>0.0344686547185245</v>
      </c>
      <c r="K152" s="14" t="n">
        <f aca="false">Share_Prices!K152/Share_Prices!K151-1</f>
        <v>0.00809489601037261</v>
      </c>
      <c r="L152" s="14" t="n">
        <f aca="false">Share_Prices!L152/Share_Prices!L151-1</f>
        <v>0.0052016439763678</v>
      </c>
      <c r="M152" s="14" t="n">
        <f aca="false">Share_Prices!M152/Share_Prices!M151-1</f>
        <v>0.0323921610970146</v>
      </c>
      <c r="N152" s="14" t="n">
        <f aca="false">Share_Prices!N152/Share_Prices!N151-1</f>
        <v>-0.0210425006015268</v>
      </c>
      <c r="O152" s="14" t="n">
        <f aca="false">Share_Prices!O152/Share_Prices!O151-1</f>
        <v>0.00630252100840334</v>
      </c>
      <c r="P152" s="14" t="n">
        <f aca="false">Share_Prices!P152/Share_Prices!P151-1</f>
        <v>0.00871381981247454</v>
      </c>
      <c r="Q152" s="14" t="n">
        <f aca="false">Share_Prices!Q152/Share_Prices!Q151-1</f>
        <v>-0.000343465567576695</v>
      </c>
      <c r="R152" s="14" t="n">
        <f aca="false">Share_Prices!R152/Share_Prices!R151-1</f>
        <v>-0.00956841753094673</v>
      </c>
      <c r="S152" s="14" t="n">
        <f aca="false">Share_Prices!S152/Share_Prices!S151-1</f>
        <v>0.00202106572350269</v>
      </c>
    </row>
    <row r="153" customFormat="false" ht="15" hidden="false" customHeight="false" outlineLevel="0" collapsed="false">
      <c r="A153" s="13" t="n">
        <f aca="false">Share_Prices!A153</f>
        <v>45022</v>
      </c>
      <c r="B153" s="14" t="n">
        <f aca="false">Share_Prices!B153/Share_Prices!B152-1</f>
        <v>0.00239789714103456</v>
      </c>
      <c r="C153" s="14" t="n">
        <f aca="false">Share_Prices!C153/Share_Prices!C152-1</f>
        <v>0.00338559016683226</v>
      </c>
      <c r="D153" s="14" t="n">
        <f aca="false">Share_Prices!D153/Share_Prices!D152-1</f>
        <v>-0.0215056979630904</v>
      </c>
      <c r="E153" s="14" t="n">
        <f aca="false">Share_Prices!E153/Share_Prices!E152-1</f>
        <v>0.0421719955898565</v>
      </c>
      <c r="F153" s="14" t="n">
        <f aca="false">Share_Prices!F153/Share_Prices!F152-1</f>
        <v>-0.00878734622144117</v>
      </c>
      <c r="G153" s="14" t="n">
        <f aca="false">Share_Prices!G153/Share_Prices!G152-1</f>
        <v>0.0254301812090756</v>
      </c>
      <c r="H153" s="14" t="n">
        <f aca="false">Share_Prices!H153/Share_Prices!H152-1</f>
        <v>-0.00917629277771781</v>
      </c>
      <c r="I153" s="14" t="n">
        <f aca="false">Share_Prices!I153/Share_Prices!I152-1</f>
        <v>-0.00109769484083422</v>
      </c>
      <c r="J153" s="14" t="n">
        <f aca="false">Share_Prices!J153/Share_Prices!J152-1</f>
        <v>0.0209553934078575</v>
      </c>
      <c r="K153" s="14" t="n">
        <f aca="false">Share_Prices!K153/Share_Prices!K152-1</f>
        <v>0.0296515164682367</v>
      </c>
      <c r="L153" s="14" t="n">
        <f aca="false">Share_Prices!L153/Share_Prices!L152-1</f>
        <v>0.0750654826550821</v>
      </c>
      <c r="M153" s="14" t="n">
        <f aca="false">Share_Prices!M153/Share_Prices!M152-1</f>
        <v>-0.00245777336192021</v>
      </c>
      <c r="N153" s="14" t="n">
        <f aca="false">Share_Prices!N153/Share_Prices!N152-1</f>
        <v>0.0325773656574684</v>
      </c>
      <c r="O153" s="14" t="n">
        <f aca="false">Share_Prices!O153/Share_Prices!O152-1</f>
        <v>0.0528183716075157</v>
      </c>
      <c r="P153" s="14" t="n">
        <f aca="false">Share_Prices!P153/Share_Prices!P152-1</f>
        <v>0.0307148269765092</v>
      </c>
      <c r="Q153" s="14" t="n">
        <f aca="false">Share_Prices!Q153/Share_Prices!Q152-1</f>
        <v>-0.00360762755540289</v>
      </c>
      <c r="R153" s="14" t="n">
        <f aca="false">Share_Prices!R153/Share_Prices!R152-1</f>
        <v>0.0142548304283205</v>
      </c>
      <c r="S153" s="14" t="n">
        <f aca="false">Share_Prices!S153/Share_Prices!S152-1</f>
        <v>0.0114813234552578</v>
      </c>
    </row>
    <row r="154" customFormat="false" ht="15" hidden="false" customHeight="false" outlineLevel="0" collapsed="false">
      <c r="A154" s="13" t="n">
        <f aca="false">Share_Prices!A154</f>
        <v>45026</v>
      </c>
      <c r="B154" s="14" t="n">
        <f aca="false">Share_Prices!B154/Share_Prices!B153-1</f>
        <v>0.00141484105766465</v>
      </c>
      <c r="C154" s="14" t="n">
        <f aca="false">Share_Prices!C154/Share_Prices!C153-1</f>
        <v>0.00212409886714715</v>
      </c>
      <c r="D154" s="14" t="n">
        <f aca="false">Share_Prices!D154/Share_Prices!D153-1</f>
        <v>0.0228953964663448</v>
      </c>
      <c r="E154" s="14" t="n">
        <f aca="false">Share_Prices!E154/Share_Prices!E153-1</f>
        <v>0.0264480296217933</v>
      </c>
      <c r="F154" s="14" t="n">
        <f aca="false">Share_Prices!F154/Share_Prices!F153-1</f>
        <v>-0.0182978723404255</v>
      </c>
      <c r="G154" s="14" t="n">
        <f aca="false">Share_Prices!G154/Share_Prices!G153-1</f>
        <v>-0.00965250965250963</v>
      </c>
      <c r="H154" s="14" t="n">
        <f aca="false">Share_Prices!H154/Share_Prices!H153-1</f>
        <v>-0.0188494225321421</v>
      </c>
      <c r="I154" s="14" t="n">
        <f aca="false">Share_Prices!I154/Share_Prices!I153-1</f>
        <v>0.0387362637362638</v>
      </c>
      <c r="J154" s="14" t="n">
        <f aca="false">Share_Prices!J154/Share_Prices!J153-1</f>
        <v>-0.0171454724686665</v>
      </c>
      <c r="K154" s="14" t="n">
        <f aca="false">Share_Prices!K154/Share_Prices!K153-1</f>
        <v>-0.0174203676507823</v>
      </c>
      <c r="L154" s="14" t="n">
        <f aca="false">Share_Prices!L154/Share_Prices!L153-1</f>
        <v>-0.0144996434513904</v>
      </c>
      <c r="M154" s="14" t="n">
        <f aca="false">Share_Prices!M154/Share_Prices!M153-1</f>
        <v>0.00581882994338434</v>
      </c>
      <c r="N154" s="14" t="n">
        <f aca="false">Share_Prices!N154/Share_Prices!N153-1</f>
        <v>-0.0112522450392747</v>
      </c>
      <c r="O154" s="14" t="n">
        <f aca="false">Share_Prices!O154/Share_Prices!O153-1</f>
        <v>-0.00495736664683721</v>
      </c>
      <c r="P154" s="14" t="n">
        <f aca="false">Share_Prices!P154/Share_Prices!P153-1</f>
        <v>0.0076459344214086</v>
      </c>
      <c r="Q154" s="14" t="n">
        <f aca="false">Share_Prices!Q154/Share_Prices!Q153-1</f>
        <v>-0.0129310344827587</v>
      </c>
      <c r="R154" s="14" t="n">
        <f aca="false">Share_Prices!R154/Share_Prices!R153-1</f>
        <v>-0.0148537933790714</v>
      </c>
      <c r="S154" s="14" t="n">
        <f aca="false">Share_Prices!S154/Share_Prices!S153-1</f>
        <v>0.000690263450550344</v>
      </c>
    </row>
    <row r="155" customFormat="false" ht="15" hidden="false" customHeight="false" outlineLevel="0" collapsed="false">
      <c r="A155" s="13" t="n">
        <f aca="false">Share_Prices!A155</f>
        <v>45027</v>
      </c>
      <c r="B155" s="14" t="n">
        <f aca="false">Share_Prices!B155/Share_Prices!B154-1</f>
        <v>0.0055747685690859</v>
      </c>
      <c r="C155" s="14" t="n">
        <f aca="false">Share_Prices!C155/Share_Prices!C154-1</f>
        <v>0.00518574359979862</v>
      </c>
      <c r="D155" s="14" t="n">
        <f aca="false">Share_Prices!D155/Share_Prices!D154-1</f>
        <v>0.0114454770941039</v>
      </c>
      <c r="E155" s="14" t="n">
        <f aca="false">Share_Prices!E155/Share_Prices!E154-1</f>
        <v>-0.0123679464055655</v>
      </c>
      <c r="F155" s="14" t="n">
        <f aca="false">Share_Prices!F155/Share_Prices!F154-1</f>
        <v>0.0242017049559313</v>
      </c>
      <c r="G155" s="14" t="n">
        <f aca="false">Share_Prices!G155/Share_Prices!G154-1</f>
        <v>-0.00119958014694854</v>
      </c>
      <c r="H155" s="14" t="n">
        <f aca="false">Share_Prices!H155/Share_Prices!H154-1</f>
        <v>-0.0137701277068295</v>
      </c>
      <c r="I155" s="14" t="n">
        <f aca="false">Share_Prices!I155/Share_Prices!I154-1</f>
        <v>0.00423168473948676</v>
      </c>
      <c r="J155" s="14" t="n">
        <f aca="false">Share_Prices!J155/Share_Prices!J154-1</f>
        <v>0.0102088333273633</v>
      </c>
      <c r="K155" s="14" t="n">
        <f aca="false">Share_Prices!K155/Share_Prices!K154-1</f>
        <v>0.00152897318284118</v>
      </c>
      <c r="L155" s="14" t="n">
        <f aca="false">Share_Prices!L155/Share_Prices!L154-1</f>
        <v>0.0140496864447661</v>
      </c>
      <c r="M155" s="14" t="n">
        <f aca="false">Share_Prices!M155/Share_Prices!M154-1</f>
        <v>-0.00958982644498885</v>
      </c>
      <c r="N155" s="14" t="n">
        <f aca="false">Share_Prices!N155/Share_Prices!N154-1</f>
        <v>-0.0241393648917778</v>
      </c>
      <c r="O155" s="14" t="n">
        <f aca="false">Share_Prices!O155/Share_Prices!O154-1</f>
        <v>0.00199282582702276</v>
      </c>
      <c r="P155" s="14" t="n">
        <f aca="false">Share_Prices!P155/Share_Prices!P154-1</f>
        <v>-0.000194561992314823</v>
      </c>
      <c r="Q155" s="14" t="n">
        <f aca="false">Share_Prices!Q155/Share_Prices!Q154-1</f>
        <v>0.0101310043668121</v>
      </c>
      <c r="R155" s="14" t="n">
        <f aca="false">Share_Prices!R155/Share_Prices!R154-1</f>
        <v>-0.00243407707910748</v>
      </c>
      <c r="S155" s="14" t="n">
        <f aca="false">Share_Prices!S155/Share_Prices!S154-1</f>
        <v>-0.00724276681356573</v>
      </c>
    </row>
    <row r="156" customFormat="false" ht="15" hidden="false" customHeight="false" outlineLevel="0" collapsed="false">
      <c r="A156" s="13" t="n">
        <f aca="false">Share_Prices!A156</f>
        <v>45028</v>
      </c>
      <c r="B156" s="14" t="n">
        <f aca="false">Share_Prices!B156/Share_Prices!B155-1</f>
        <v>0.00508399022700234</v>
      </c>
      <c r="C156" s="14" t="n">
        <f aca="false">Share_Prices!C156/Share_Prices!C155-1</f>
        <v>0.00499756175486388</v>
      </c>
      <c r="D156" s="14" t="n">
        <f aca="false">Share_Prices!D156/Share_Prices!D155-1</f>
        <v>0.0292796785439933</v>
      </c>
      <c r="E156" s="14" t="n">
        <f aca="false">Share_Prices!E156/Share_Prices!E155-1</f>
        <v>-0.00930515697017131</v>
      </c>
      <c r="F156" s="14" t="n">
        <f aca="false">Share_Prices!F156/Share_Prices!F155-1</f>
        <v>0.00846441419200117</v>
      </c>
      <c r="G156" s="14" t="n">
        <f aca="false">Share_Prices!G156/Share_Prices!G155-1</f>
        <v>-0.00840714607416304</v>
      </c>
      <c r="H156" s="14" t="n">
        <f aca="false">Share_Prices!H156/Share_Prices!H155-1</f>
        <v>-0.0117103929737642</v>
      </c>
      <c r="I156" s="14" t="n">
        <f aca="false">Share_Prices!I156/Share_Prices!I155-1</f>
        <v>-0.00131682907558595</v>
      </c>
      <c r="J156" s="14" t="n">
        <f aca="false">Share_Prices!J156/Share_Prices!J155-1</f>
        <v>0.00858095170555284</v>
      </c>
      <c r="K156" s="14" t="n">
        <f aca="false">Share_Prices!K156/Share_Prices!K155-1</f>
        <v>0.00329342344505812</v>
      </c>
      <c r="L156" s="14" t="n">
        <f aca="false">Share_Prices!L156/Share_Prices!L155-1</f>
        <v>-0.0244990188499733</v>
      </c>
      <c r="M156" s="14" t="n">
        <f aca="false">Share_Prices!M156/Share_Prices!M155-1</f>
        <v>-0.00905120244171975</v>
      </c>
      <c r="N156" s="14" t="n">
        <f aca="false">Share_Prices!N156/Share_Prices!N155-1</f>
        <v>-0.00152500560663815</v>
      </c>
      <c r="O156" s="14" t="n">
        <f aca="false">Share_Prices!O156/Share_Prices!O155-1</f>
        <v>0.0149164677804297</v>
      </c>
      <c r="P156" s="14" t="n">
        <f aca="false">Share_Prices!P156/Share_Prices!P155-1</f>
        <v>-0.00267574799318904</v>
      </c>
      <c r="Q156" s="14" t="n">
        <f aca="false">Share_Prices!Q156/Share_Prices!Q155-1</f>
        <v>0.000172920629431195</v>
      </c>
      <c r="R156" s="14" t="n">
        <f aca="false">Share_Prices!R156/Share_Prices!R155-1</f>
        <v>0.00569337128914182</v>
      </c>
      <c r="S156" s="14" t="n">
        <f aca="false">Share_Prices!S156/Share_Prices!S155-1</f>
        <v>0.0105767003782908</v>
      </c>
    </row>
    <row r="157" customFormat="false" ht="15" hidden="false" customHeight="false" outlineLevel="0" collapsed="false">
      <c r="A157" s="13" t="n">
        <f aca="false">Share_Prices!A157</f>
        <v>45029</v>
      </c>
      <c r="B157" s="14" t="n">
        <f aca="false">Share_Prices!B157/Share_Prices!B156-1</f>
        <v>0.000875794390424511</v>
      </c>
      <c r="C157" s="14" t="n">
        <f aca="false">Share_Prices!C157/Share_Prices!C156-1</f>
        <v>0.000849978750531388</v>
      </c>
      <c r="D157" s="14" t="n">
        <f aca="false">Share_Prices!D157/Share_Prices!D156-1</f>
        <v>0.0290495737290812</v>
      </c>
      <c r="E157" s="14" t="n">
        <f aca="false">Share_Prices!E157/Share_Prices!E156-1</f>
        <v>-0.00500351123595511</v>
      </c>
      <c r="F157" s="14" t="n">
        <f aca="false">Share_Prices!F157/Share_Prices!F156-1</f>
        <v>0.0021682870532278</v>
      </c>
      <c r="G157" s="14" t="n">
        <f aca="false">Share_Prices!G157/Share_Prices!G156-1</f>
        <v>-0.00862982588947769</v>
      </c>
      <c r="H157" s="14" t="n">
        <f aca="false">Share_Prices!H157/Share_Prices!H156-1</f>
        <v>-0.0350917169875813</v>
      </c>
      <c r="I157" s="14" t="n">
        <f aca="false">Share_Prices!I157/Share_Prices!I156-1</f>
        <v>-0.00184599156118137</v>
      </c>
      <c r="J157" s="14" t="n">
        <f aca="false">Share_Prices!J157/Share_Prices!J156-1</f>
        <v>0.0328012937702151</v>
      </c>
      <c r="K157" s="14" t="n">
        <f aca="false">Share_Prices!K157/Share_Prices!K156-1</f>
        <v>0.00810394939305859</v>
      </c>
      <c r="L157" s="14" t="n">
        <f aca="false">Share_Prices!L157/Share_Prices!L156-1</f>
        <v>0.000853398354160317</v>
      </c>
      <c r="M157" s="14" t="n">
        <f aca="false">Share_Prices!M157/Share_Prices!M156-1</f>
        <v>0.0142318517338433</v>
      </c>
      <c r="N157" s="14" t="n">
        <f aca="false">Share_Prices!N157/Share_Prices!N156-1</f>
        <v>0.00534567180270429</v>
      </c>
      <c r="O157" s="14" t="n">
        <f aca="false">Share_Prices!O157/Share_Prices!O156-1</f>
        <v>0.0166568685087203</v>
      </c>
      <c r="P157" s="14" t="n">
        <f aca="false">Share_Prices!P157/Share_Prices!P156-1</f>
        <v>0.00814634146341464</v>
      </c>
      <c r="Q157" s="14" t="n">
        <f aca="false">Share_Prices!Q157/Share_Prices!Q156-1</f>
        <v>0.0127939142461964</v>
      </c>
      <c r="R157" s="14" t="n">
        <f aca="false">Share_Prices!R157/Share_Prices!R156-1</f>
        <v>0.0227119557891899</v>
      </c>
      <c r="S157" s="14" t="n">
        <f aca="false">Share_Prices!S157/Share_Prices!S156-1</f>
        <v>-0.00947288006111546</v>
      </c>
    </row>
    <row r="158" customFormat="false" ht="15" hidden="false" customHeight="false" outlineLevel="0" collapsed="false">
      <c r="A158" s="13" t="n">
        <f aca="false">Share_Prices!A158</f>
        <v>45033</v>
      </c>
      <c r="B158" s="14" t="n">
        <f aca="false">Share_Prices!B158/Share_Prices!B157-1</f>
        <v>-0.00679549024007187</v>
      </c>
      <c r="C158" s="14" t="n">
        <f aca="false">Share_Prices!C158/Share_Prices!C157-1</f>
        <v>-0.00334018757209498</v>
      </c>
      <c r="D158" s="14" t="n">
        <f aca="false">Share_Prices!D158/Share_Prices!D157-1</f>
        <v>0.00122737035900578</v>
      </c>
      <c r="E158" s="14" t="n">
        <f aca="false">Share_Prices!E158/Share_Prices!E157-1</f>
        <v>0.00644022937803257</v>
      </c>
      <c r="F158" s="14" t="n">
        <f aca="false">Share_Prices!F158/Share_Prices!F157-1</f>
        <v>0.00530429927414855</v>
      </c>
      <c r="G158" s="14" t="n">
        <f aca="false">Share_Prices!G158/Share_Prices!G157-1</f>
        <v>0.0140500916310324</v>
      </c>
      <c r="H158" s="14" t="n">
        <f aca="false">Share_Prices!H158/Share_Prices!H157-1</f>
        <v>-0.0281024914393671</v>
      </c>
      <c r="I158" s="14" t="n">
        <f aca="false">Share_Prices!I158/Share_Prices!I157-1</f>
        <v>0.00634081902245698</v>
      </c>
      <c r="J158" s="14" t="n">
        <f aca="false">Share_Prices!J158/Share_Prices!J157-1</f>
        <v>-0.0196071756816557</v>
      </c>
      <c r="K158" s="14" t="n">
        <f aca="false">Share_Prices!K158/Share_Prices!K157-1</f>
        <v>0.00964995590529827</v>
      </c>
      <c r="L158" s="14" t="n">
        <f aca="false">Share_Prices!L158/Share_Prices!L157-1</f>
        <v>0.0188805651988551</v>
      </c>
      <c r="M158" s="14" t="n">
        <f aca="false">Share_Prices!M158/Share_Prices!M157-1</f>
        <v>-0.0125137441750878</v>
      </c>
      <c r="N158" s="14" t="n">
        <f aca="false">Share_Prices!N158/Share_Prices!N157-1</f>
        <v>-0.00422252010723867</v>
      </c>
      <c r="O158" s="14" t="n">
        <f aca="false">Share_Prices!O158/Share_Prices!O157-1</f>
        <v>0.0048188126445643</v>
      </c>
      <c r="P158" s="14" t="n">
        <f aca="false">Share_Prices!P158/Share_Prices!P157-1</f>
        <v>0.0149997580684182</v>
      </c>
      <c r="Q158" s="14" t="n">
        <f aca="false">Share_Prices!Q158/Share_Prices!Q157-1</f>
        <v>0.0317514510071697</v>
      </c>
      <c r="R158" s="14" t="n">
        <f aca="false">Share_Prices!R158/Share_Prices!R157-1</f>
        <v>0.00448105436573298</v>
      </c>
      <c r="S158" s="14" t="n">
        <f aca="false">Share_Prices!S158/Share_Prices!S157-1</f>
        <v>0.0190883850069412</v>
      </c>
    </row>
    <row r="159" customFormat="false" ht="15" hidden="false" customHeight="false" outlineLevel="0" collapsed="false">
      <c r="A159" s="13" t="n">
        <f aca="false">Share_Prices!A159</f>
        <v>45034</v>
      </c>
      <c r="B159" s="14" t="n">
        <f aca="false">Share_Prices!B159/Share_Prices!B158-1</f>
        <v>-0.00263739739140489</v>
      </c>
      <c r="C159" s="14" t="n">
        <f aca="false">Share_Prices!C159/Share_Prices!C158-1</f>
        <v>-0.000489791536670614</v>
      </c>
      <c r="D159" s="14" t="n">
        <f aca="false">Share_Prices!D159/Share_Prices!D158-1</f>
        <v>-0.026606859276182</v>
      </c>
      <c r="E159" s="14" t="n">
        <f aca="false">Share_Prices!E159/Share_Prices!E158-1</f>
        <v>-0.0139375876577839</v>
      </c>
      <c r="F159" s="14" t="n">
        <f aca="false">Share_Prices!F159/Share_Prices!F158-1</f>
        <v>0.0127048042210496</v>
      </c>
      <c r="G159" s="14" t="n">
        <f aca="false">Share_Prices!G159/Share_Prices!G158-1</f>
        <v>0.00120481927710836</v>
      </c>
      <c r="H159" s="14" t="n">
        <f aca="false">Share_Prices!H159/Share_Prices!H158-1</f>
        <v>0.00303729801968178</v>
      </c>
      <c r="I159" s="14" t="n">
        <f aca="false">Share_Prices!I159/Share_Prices!I158-1</f>
        <v>-0.034392228931478</v>
      </c>
      <c r="J159" s="14" t="n">
        <f aca="false">Share_Prices!J159/Share_Prices!J158-1</f>
        <v>-0.0151383632512759</v>
      </c>
      <c r="K159" s="14" t="n">
        <f aca="false">Share_Prices!K159/Share_Prices!K158-1</f>
        <v>-0.00767641476156089</v>
      </c>
      <c r="L159" s="14" t="n">
        <f aca="false">Share_Prices!L159/Share_Prices!L158-1</f>
        <v>0.00376591547611937</v>
      </c>
      <c r="M159" s="14" t="n">
        <f aca="false">Share_Prices!M159/Share_Prices!M158-1</f>
        <v>0.0393425238600211</v>
      </c>
      <c r="N159" s="14" t="n">
        <f aca="false">Share_Prices!N159/Share_Prices!N158-1</f>
        <v>0.00435260595454445</v>
      </c>
      <c r="O159" s="14" t="n">
        <f aca="false">Share_Prices!O159/Share_Prices!O158-1</f>
        <v>-0.00364473431805101</v>
      </c>
      <c r="P159" s="14" t="n">
        <f aca="false">Share_Prices!P159/Share_Prices!P158-1</f>
        <v>0.00128712399294484</v>
      </c>
      <c r="Q159" s="14" t="n">
        <f aca="false">Share_Prices!Q159/Share_Prices!Q158-1</f>
        <v>0.0238252812706816</v>
      </c>
      <c r="R159" s="14" t="n">
        <f aca="false">Share_Prices!R159/Share_Prices!R158-1</f>
        <v>0.0103654136324871</v>
      </c>
      <c r="S159" s="14" t="n">
        <f aca="false">Share_Prices!S159/Share_Prices!S158-1</f>
        <v>0.0135089113406743</v>
      </c>
    </row>
    <row r="160" customFormat="false" ht="15" hidden="false" customHeight="false" outlineLevel="0" collapsed="false">
      <c r="A160" s="13" t="n">
        <f aca="false">Share_Prices!A160</f>
        <v>45035</v>
      </c>
      <c r="B160" s="14" t="n">
        <f aca="false">Share_Prices!B160/Share_Prices!B159-1</f>
        <v>-0.00234426094908602</v>
      </c>
      <c r="C160" s="14" t="n">
        <f aca="false">Share_Prices!C160/Share_Prices!C159-1</f>
        <v>-0.00269181714439148</v>
      </c>
      <c r="D160" s="14" t="n">
        <f aca="false">Share_Prices!D160/Share_Prices!D159-1</f>
        <v>0.00732726544163942</v>
      </c>
      <c r="E160" s="14" t="n">
        <f aca="false">Share_Prices!E160/Share_Prices!E159-1</f>
        <v>0.00373366521468554</v>
      </c>
      <c r="F160" s="14" t="n">
        <f aca="false">Share_Prices!F160/Share_Prices!F159-1</f>
        <v>-0.0249537259203401</v>
      </c>
      <c r="G160" s="14" t="n">
        <f aca="false">Share_Prices!G160/Share_Prices!G159-1</f>
        <v>-0.00451263537906133</v>
      </c>
      <c r="H160" s="14" t="n">
        <f aca="false">Share_Prices!H160/Share_Prices!H159-1</f>
        <v>0.0110222868217054</v>
      </c>
      <c r="I160" s="14" t="n">
        <f aca="false">Share_Prices!I160/Share_Prices!I159-1</f>
        <v>0.0217509516041328</v>
      </c>
      <c r="J160" s="14" t="n">
        <f aca="false">Share_Prices!J160/Share_Prices!J159-1</f>
        <v>0.0235148951172219</v>
      </c>
      <c r="K160" s="14" t="n">
        <f aca="false">Share_Prices!K160/Share_Prices!K159-1</f>
        <v>0.00543367865122901</v>
      </c>
      <c r="L160" s="14" t="n">
        <f aca="false">Share_Prices!L160/Share_Prices!L159-1</f>
        <v>0.00869461648404002</v>
      </c>
      <c r="M160" s="14" t="n">
        <f aca="false">Share_Prices!M160/Share_Prices!M159-1</f>
        <v>0.00290786654423014</v>
      </c>
      <c r="N160" s="14" t="n">
        <f aca="false">Share_Prices!N160/Share_Prices!N159-1</f>
        <v>-0.0109460516028147</v>
      </c>
      <c r="O160" s="14" t="n">
        <f aca="false">Share_Prices!O160/Share_Prices!O159-1</f>
        <v>0.00500577589526374</v>
      </c>
      <c r="P160" s="14" t="n">
        <f aca="false">Share_Prices!P160/Share_Prices!P159-1</f>
        <v>-0.00771281660636081</v>
      </c>
      <c r="Q160" s="14" t="n">
        <f aca="false">Share_Prices!Q160/Share_Prices!Q159-1</f>
        <v>0.0054945054945057</v>
      </c>
      <c r="R160" s="14" t="n">
        <f aca="false">Share_Prices!R160/Share_Prices!R159-1</f>
        <v>-0.0141549250048698</v>
      </c>
      <c r="S160" s="14" t="n">
        <f aca="false">Share_Prices!S160/Share_Prices!S159-1</f>
        <v>0.020422640382318</v>
      </c>
    </row>
    <row r="161" customFormat="false" ht="15" hidden="false" customHeight="false" outlineLevel="0" collapsed="false">
      <c r="A161" s="13" t="n">
        <f aca="false">Share_Prices!A161</f>
        <v>45036</v>
      </c>
      <c r="B161" s="14" t="n">
        <f aca="false">Share_Prices!B161/Share_Prices!B160-1</f>
        <v>0.000323518978361248</v>
      </c>
      <c r="C161" s="14" t="n">
        <f aca="false">Share_Prices!C161/Share_Prices!C160-1</f>
        <v>0.00032644764385581</v>
      </c>
      <c r="D161" s="14" t="n">
        <f aca="false">Share_Prices!D161/Share_Prices!D160-1</f>
        <v>-0.0520543274421778</v>
      </c>
      <c r="E161" s="14" t="n">
        <f aca="false">Share_Prices!E161/Share_Prices!E160-1</f>
        <v>-0.00212558675050911</v>
      </c>
      <c r="F161" s="14" t="n">
        <f aca="false">Share_Prices!F161/Share_Prices!F160-1</f>
        <v>0.0206707445686565</v>
      </c>
      <c r="G161" s="14" t="n">
        <f aca="false">Share_Prices!G161/Share_Prices!G160-1</f>
        <v>0.00407978241160478</v>
      </c>
      <c r="H161" s="14" t="n">
        <f aca="false">Share_Prices!H161/Share_Prices!H160-1</f>
        <v>0.0220438480891338</v>
      </c>
      <c r="I161" s="14" t="n">
        <f aca="false">Share_Prices!I161/Share_Prices!I160-1</f>
        <v>-0.00425758382118158</v>
      </c>
      <c r="J161" s="14" t="n">
        <f aca="false">Share_Prices!J161/Share_Prices!J160-1</f>
        <v>-0.0138123449986222</v>
      </c>
      <c r="K161" s="14" t="n">
        <f aca="false">Share_Prices!K161/Share_Prices!K160-1</f>
        <v>-0.00589255349596785</v>
      </c>
      <c r="L161" s="14" t="n">
        <f aca="false">Share_Prices!L161/Share_Prices!L160-1</f>
        <v>-0.00425079702444209</v>
      </c>
      <c r="M161" s="14" t="n">
        <f aca="false">Share_Prices!M161/Share_Prices!M160-1</f>
        <v>0.00966478457703857</v>
      </c>
      <c r="N161" s="14" t="n">
        <f aca="false">Share_Prices!N161/Share_Prices!N160-1</f>
        <v>0.0093280632411068</v>
      </c>
      <c r="O161" s="14" t="n">
        <f aca="false">Share_Prices!O161/Share_Prices!O160-1</f>
        <v>-0.000191570881226122</v>
      </c>
      <c r="P161" s="14" t="n">
        <f aca="false">Share_Prices!P161/Share_Prices!P160-1</f>
        <v>-0.0026868822569811</v>
      </c>
      <c r="Q161" s="14" t="n">
        <f aca="false">Share_Prices!Q161/Share_Prices!Q160-1</f>
        <v>0.00353584056573442</v>
      </c>
      <c r="R161" s="14" t="n">
        <f aca="false">Share_Prices!R161/Share_Prices!R160-1</f>
        <v>-0.00711321873147597</v>
      </c>
      <c r="S161" s="14" t="n">
        <f aca="false">Share_Prices!S161/Share_Prices!S160-1</f>
        <v>-0.0199041381581354</v>
      </c>
    </row>
    <row r="162" customFormat="false" ht="15" hidden="false" customHeight="false" outlineLevel="0" collapsed="false">
      <c r="A162" s="13" t="n">
        <f aca="false">Share_Prices!A162</f>
        <v>45037</v>
      </c>
      <c r="B162" s="14" t="n">
        <f aca="false">Share_Prices!B162/Share_Prices!B161-1</f>
        <v>-2.26957436970654E-005</v>
      </c>
      <c r="C162" s="14" t="n">
        <f aca="false">Share_Prices!C162/Share_Prices!C161-1</f>
        <v>-0.000985752014399322</v>
      </c>
      <c r="D162" s="14" t="n">
        <f aca="false">Share_Prices!D162/Share_Prices!D161-1</f>
        <v>-0.0534140639050417</v>
      </c>
      <c r="E162" s="14" t="n">
        <f aca="false">Share_Prices!E162/Share_Prices!E161-1</f>
        <v>-0.00239637880536081</v>
      </c>
      <c r="F162" s="14" t="n">
        <f aca="false">Share_Prices!F162/Share_Prices!F161-1</f>
        <v>-0.0208720810084728</v>
      </c>
      <c r="G162" s="14" t="n">
        <f aca="false">Share_Prices!G162/Share_Prices!G161-1</f>
        <v>-0.00316027088036119</v>
      </c>
      <c r="H162" s="14" t="n">
        <f aca="false">Share_Prices!H162/Share_Prices!H161-1</f>
        <v>0.00375102567108176</v>
      </c>
      <c r="I162" s="14" t="n">
        <f aca="false">Share_Prices!I162/Share_Prices!I161-1</f>
        <v>-0.00454302512025651</v>
      </c>
      <c r="J162" s="14" t="n">
        <f aca="false">Share_Prices!J162/Share_Prices!J161-1</f>
        <v>-0.00712514407460452</v>
      </c>
      <c r="K162" s="14" t="n">
        <f aca="false">Share_Prices!K162/Share_Prices!K161-1</f>
        <v>0.00425085101698652</v>
      </c>
      <c r="L162" s="14" t="n">
        <f aca="false">Share_Prices!L162/Share_Prices!L161-1</f>
        <v>-0.00705561484643658</v>
      </c>
      <c r="M162" s="14" t="n">
        <f aca="false">Share_Prices!M162/Share_Prices!M161-1</f>
        <v>-0.00141065041060007</v>
      </c>
      <c r="N162" s="14" t="n">
        <f aca="false">Share_Prices!N162/Share_Prices!N161-1</f>
        <v>-0.0156641604010025</v>
      </c>
      <c r="O162" s="14" t="n">
        <f aca="false">Share_Prices!O162/Share_Prices!O161-1</f>
        <v>-0.0137957463115538</v>
      </c>
      <c r="P162" s="14" t="n">
        <f aca="false">Share_Prices!P162/Share_Prices!P161-1</f>
        <v>-0.00408929086885401</v>
      </c>
      <c r="Q162" s="14" t="n">
        <f aca="false">Share_Prices!Q162/Share_Prices!Q161-1</f>
        <v>-0.00640614990390775</v>
      </c>
      <c r="R162" s="14" t="n">
        <f aca="false">Share_Prices!R162/Share_Prices!R161-1</f>
        <v>0.0114096185737977</v>
      </c>
      <c r="S162" s="14" t="n">
        <f aca="false">Share_Prices!S162/Share_Prices!S161-1</f>
        <v>0.0145593011535445</v>
      </c>
    </row>
    <row r="163" customFormat="false" ht="15" hidden="false" customHeight="false" outlineLevel="0" collapsed="false">
      <c r="A163" s="13" t="n">
        <f aca="false">Share_Prices!A163</f>
        <v>45040</v>
      </c>
      <c r="B163" s="14" t="n">
        <f aca="false">Share_Prices!B163/Share_Prices!B162-1</f>
        <v>0.00677199622107305</v>
      </c>
      <c r="C163" s="14" t="n">
        <f aca="false">Share_Prices!C163/Share_Prices!C162-1</f>
        <v>0.00559368496204638</v>
      </c>
      <c r="D163" s="14" t="n">
        <f aca="false">Share_Prices!D163/Share_Prices!D162-1</f>
        <v>-0.0132678910702977</v>
      </c>
      <c r="E163" s="14" t="n">
        <f aca="false">Share_Prices!E163/Share_Prices!E162-1</f>
        <v>0.0268683274021353</v>
      </c>
      <c r="F163" s="14" t="n">
        <f aca="false">Share_Prices!F163/Share_Prices!F162-1</f>
        <v>-0.00175882932320248</v>
      </c>
      <c r="G163" s="14" t="n">
        <f aca="false">Share_Prices!G163/Share_Prices!G162-1</f>
        <v>0.0211352657004831</v>
      </c>
      <c r="H163" s="14" t="n">
        <f aca="false">Share_Prices!H163/Share_Prices!H162-1</f>
        <v>0.00163494102534179</v>
      </c>
      <c r="I163" s="14" t="n">
        <f aca="false">Share_Prices!I163/Share_Prices!I162-1</f>
        <v>-0.00214765100671144</v>
      </c>
      <c r="J163" s="14" t="n">
        <f aca="false">Share_Prices!J163/Share_Prices!J162-1</f>
        <v>-0.00932212333345062</v>
      </c>
      <c r="K163" s="14" t="n">
        <f aca="false">Share_Prices!K163/Share_Prices!K162-1</f>
        <v>-0.000691422982225354</v>
      </c>
      <c r="L163" s="14" t="n">
        <f aca="false">Share_Prices!L163/Share_Prices!L162-1</f>
        <v>0.00358273123544506</v>
      </c>
      <c r="M163" s="14" t="n">
        <f aca="false">Share_Prices!M163/Share_Prices!M162-1</f>
        <v>-0.0118056606629332</v>
      </c>
      <c r="N163" s="14" t="n">
        <f aca="false">Share_Prices!N163/Share_Prices!N162-1</f>
        <v>0.00441029371646806</v>
      </c>
      <c r="O163" s="14" t="n">
        <f aca="false">Share_Prices!O163/Share_Prices!O162-1</f>
        <v>-0.00854866912764729</v>
      </c>
      <c r="P163" s="14" t="n">
        <f aca="false">Share_Prices!P163/Share_Prices!P162-1</f>
        <v>-0.0154098835805033</v>
      </c>
      <c r="Q163" s="14" t="n">
        <f aca="false">Share_Prices!Q163/Share_Prices!Q162-1</f>
        <v>0.0157962604771116</v>
      </c>
      <c r="R163" s="14" t="n">
        <f aca="false">Share_Prices!R163/Share_Prices!R162-1</f>
        <v>0.0136420279399225</v>
      </c>
      <c r="S163" s="14" t="n">
        <f aca="false">Share_Prices!S163/Share_Prices!S162-1</f>
        <v>0.0248371784965229</v>
      </c>
    </row>
    <row r="164" customFormat="false" ht="15" hidden="false" customHeight="false" outlineLevel="0" collapsed="false">
      <c r="A164" s="13" t="n">
        <f aca="false">Share_Prices!A164</f>
        <v>45041</v>
      </c>
      <c r="B164" s="14" t="n">
        <f aca="false">Share_Prices!B164/Share_Prices!B163-1</f>
        <v>0.00145687974119957</v>
      </c>
      <c r="C164" s="14" t="n">
        <f aca="false">Share_Prices!C164/Share_Prices!C163-1</f>
        <v>0.00171130229769978</v>
      </c>
      <c r="D164" s="14" t="n">
        <f aca="false">Share_Prices!D164/Share_Prices!D163-1</f>
        <v>-0.0267000417188151</v>
      </c>
      <c r="E164" s="14" t="n">
        <f aca="false">Share_Prices!E164/Share_Prices!E163-1</f>
        <v>0.0122162536822041</v>
      </c>
      <c r="F164" s="14" t="n">
        <f aca="false">Share_Prices!F164/Share_Prices!F163-1</f>
        <v>-0.00458101346113182</v>
      </c>
      <c r="G164" s="14" t="n">
        <f aca="false">Share_Prices!G164/Share_Prices!G163-1</f>
        <v>0.00206978119455936</v>
      </c>
      <c r="H164" s="14" t="n">
        <f aca="false">Share_Prices!H164/Share_Prices!H163-1</f>
        <v>0.0369593097819749</v>
      </c>
      <c r="I164" s="14" t="n">
        <f aca="false">Share_Prices!I164/Share_Prices!I163-1</f>
        <v>0.00672585418348137</v>
      </c>
      <c r="J164" s="14" t="n">
        <f aca="false">Share_Prices!J164/Share_Prices!J163-1</f>
        <v>0.0308926922803778</v>
      </c>
      <c r="K164" s="14" t="n">
        <f aca="false">Share_Prices!K164/Share_Prices!K163-1</f>
        <v>0.0238452841014563</v>
      </c>
      <c r="L164" s="14" t="n">
        <f aca="false">Share_Prices!L164/Share_Prices!L163-1</f>
        <v>-0.00214196465758321</v>
      </c>
      <c r="M164" s="14" t="n">
        <f aca="false">Share_Prices!M164/Share_Prices!M163-1</f>
        <v>-0.00413539592586931</v>
      </c>
      <c r="N164" s="14" t="n">
        <f aca="false">Share_Prices!N164/Share_Prices!N163-1</f>
        <v>0.0130822506903265</v>
      </c>
      <c r="O164" s="14" t="n">
        <f aca="false">Share_Prices!O164/Share_Prices!O163-1</f>
        <v>-0.0160689790319419</v>
      </c>
      <c r="P164" s="14" t="n">
        <f aca="false">Share_Prices!P164/Share_Prices!P163-1</f>
        <v>-0.00260033362771073</v>
      </c>
      <c r="Q164" s="14" t="n">
        <f aca="false">Share_Prices!Q164/Share_Prices!Q163-1</f>
        <v>0.00428435417327822</v>
      </c>
      <c r="R164" s="14" t="n">
        <f aca="false">Share_Prices!R164/Share_Prices!R163-1</f>
        <v>-0.000129407958589511</v>
      </c>
      <c r="S164" s="14" t="n">
        <f aca="false">Share_Prices!S164/Share_Prices!S163-1</f>
        <v>0.028830963665087</v>
      </c>
    </row>
    <row r="165" customFormat="false" ht="15" hidden="false" customHeight="false" outlineLevel="0" collapsed="false">
      <c r="A165" s="13" t="n">
        <f aca="false">Share_Prices!A165</f>
        <v>45042</v>
      </c>
      <c r="B165" s="14" t="n">
        <f aca="false">Share_Prices!B165/Share_Prices!B164-1</f>
        <v>0.00249588474471341</v>
      </c>
      <c r="C165" s="14" t="n">
        <f aca="false">Share_Prices!C165/Share_Prices!C164-1</f>
        <v>0.00258764216987495</v>
      </c>
      <c r="D165" s="14" t="n">
        <f aca="false">Share_Prices!D165/Share_Prices!D164-1</f>
        <v>-0.0537439414421841</v>
      </c>
      <c r="E165" s="14" t="n">
        <f aca="false">Share_Prices!E165/Share_Prices!E164-1</f>
        <v>0.00171188906958819</v>
      </c>
      <c r="F165" s="14" t="n">
        <f aca="false">Share_Prices!F165/Share_Prices!F164-1</f>
        <v>0.0034692721608609</v>
      </c>
      <c r="G165" s="14" t="n">
        <f aca="false">Share_Prices!G165/Share_Prices!G164-1</f>
        <v>0.00324579521982882</v>
      </c>
      <c r="H165" s="14" t="n">
        <f aca="false">Share_Prices!H165/Share_Prices!H164-1</f>
        <v>-0.016078255003373</v>
      </c>
      <c r="I165" s="14" t="n">
        <f aca="false">Share_Prices!I165/Share_Prices!I164-1</f>
        <v>-0.000801710315339377</v>
      </c>
      <c r="J165" s="14" t="n">
        <f aca="false">Share_Prices!J165/Share_Prices!J164-1</f>
        <v>0.00902452466244164</v>
      </c>
      <c r="K165" s="14" t="n">
        <f aca="false">Share_Prices!K165/Share_Prices!K164-1</f>
        <v>-0.0031811438931928</v>
      </c>
      <c r="L165" s="14" t="n">
        <f aca="false">Share_Prices!L165/Share_Prices!L164-1</f>
        <v>-0.000298133683143575</v>
      </c>
      <c r="M165" s="14" t="n">
        <f aca="false">Share_Prices!M165/Share_Prices!M164-1</f>
        <v>-0.00666461601558499</v>
      </c>
      <c r="N165" s="14" t="n">
        <f aca="false">Share_Prices!N165/Share_Prices!N164-1</f>
        <v>0.028865058087578</v>
      </c>
      <c r="O165" s="14" t="n">
        <f aca="false">Share_Prices!O165/Share_Prices!O164-1</f>
        <v>0.000398327026488676</v>
      </c>
      <c r="P165" s="14" t="n">
        <f aca="false">Share_Prices!P165/Share_Prices!P164-1</f>
        <v>0.000442717300408235</v>
      </c>
      <c r="Q165" s="14" t="n">
        <f aca="false">Share_Prices!Q165/Share_Prices!Q164-1</f>
        <v>-0.0270184863327541</v>
      </c>
      <c r="R165" s="14" t="n">
        <f aca="false">Share_Prices!R165/Share_Prices!R164-1</f>
        <v>0.00459457710476929</v>
      </c>
      <c r="S165" s="14" t="n">
        <f aca="false">Share_Prices!S165/Share_Prices!S164-1</f>
        <v>-0.0185656953411272</v>
      </c>
    </row>
    <row r="166" customFormat="false" ht="15" hidden="false" customHeight="false" outlineLevel="0" collapsed="false">
      <c r="A166" s="13" t="n">
        <f aca="false">Share_Prices!A166</f>
        <v>45043</v>
      </c>
      <c r="B166" s="14" t="n">
        <f aca="false">Share_Prices!B166/Share_Prices!B165-1</f>
        <v>0.00569508689989684</v>
      </c>
      <c r="C166" s="14" t="n">
        <f aca="false">Share_Prices!C166/Share_Prices!C165-1</f>
        <v>0.00537867470522335</v>
      </c>
      <c r="D166" s="14" t="n">
        <f aca="false">Share_Prices!D166/Share_Prices!D165-1</f>
        <v>-0.0237290497926757</v>
      </c>
      <c r="E166" s="14" t="n">
        <f aca="false">Share_Prices!E166/Share_Prices!E165-1</f>
        <v>0.0137571562847134</v>
      </c>
      <c r="F166" s="14" t="n">
        <f aca="false">Share_Prices!F166/Share_Prices!F165-1</f>
        <v>-0.00388061807662454</v>
      </c>
      <c r="G166" s="14" t="n">
        <f aca="false">Share_Prices!G166/Share_Prices!G165-1</f>
        <v>-0.000735294117647056</v>
      </c>
      <c r="H166" s="14" t="n">
        <f aca="false">Share_Prices!H166/Share_Prices!H165-1</f>
        <v>0.0193120786195864</v>
      </c>
      <c r="I166" s="14" t="n">
        <f aca="false">Share_Prices!I166/Share_Prices!I165-1</f>
        <v>0.0120353035571008</v>
      </c>
      <c r="J166" s="14" t="n">
        <f aca="false">Share_Prices!J166/Share_Prices!J165-1</f>
        <v>-0.0151908240595344</v>
      </c>
      <c r="K166" s="14" t="n">
        <f aca="false">Share_Prices!K166/Share_Prices!K165-1</f>
        <v>0.0237941696843429</v>
      </c>
      <c r="L166" s="14" t="n">
        <f aca="false">Share_Prices!L166/Share_Prices!L165-1</f>
        <v>0.0192055350113325</v>
      </c>
      <c r="M166" s="14" t="n">
        <f aca="false">Share_Prices!M166/Share_Prices!M165-1</f>
        <v>0.00428364987613561</v>
      </c>
      <c r="N166" s="14" t="n">
        <f aca="false">Share_Prices!N166/Share_Prices!N165-1</f>
        <v>0.0194128376617737</v>
      </c>
      <c r="O166" s="14" t="n">
        <f aca="false">Share_Prices!O166/Share_Prices!O165-1</f>
        <v>0.0226956002389012</v>
      </c>
      <c r="P166" s="14" t="n">
        <f aca="false">Share_Prices!P166/Share_Prices!P165-1</f>
        <v>-0.00472022814436024</v>
      </c>
      <c r="Q166" s="14" t="n">
        <f aca="false">Share_Prices!Q166/Share_Prices!Q165-1</f>
        <v>0.0368626177330302</v>
      </c>
      <c r="R166" s="14" t="n">
        <f aca="false">Share_Prices!R166/Share_Prices!R165-1</f>
        <v>0.0103066220046379</v>
      </c>
      <c r="S166" s="14" t="n">
        <f aca="false">Share_Prices!S166/Share_Prices!S165-1</f>
        <v>-0.000426697009565102</v>
      </c>
    </row>
    <row r="167" customFormat="false" ht="15" hidden="false" customHeight="false" outlineLevel="0" collapsed="false">
      <c r="A167" s="13" t="n">
        <f aca="false">Share_Prices!A167</f>
        <v>45044</v>
      </c>
      <c r="B167" s="14" t="n">
        <f aca="false">Share_Prices!B167/Share_Prices!B166-1</f>
        <v>0.00837005757728848</v>
      </c>
      <c r="C167" s="14" t="n">
        <f aca="false">Share_Prices!C167/Share_Prices!C166-1</f>
        <v>0.00958537450953734</v>
      </c>
      <c r="D167" s="14" t="n">
        <f aca="false">Share_Prices!D167/Share_Prices!D166-1</f>
        <v>-0.0097794275108859</v>
      </c>
      <c r="E167" s="14" t="n">
        <f aca="false">Share_Prices!E167/Share_Prices!E166-1</f>
        <v>0.039615643964936</v>
      </c>
      <c r="F167" s="14" t="n">
        <f aca="false">Share_Prices!F167/Share_Prices!F166-1</f>
        <v>0.00927893469329932</v>
      </c>
      <c r="G167" s="14" t="n">
        <f aca="false">Share_Prices!G167/Share_Prices!G166-1</f>
        <v>0.0130978660779986</v>
      </c>
      <c r="H167" s="14" t="n">
        <f aca="false">Share_Prices!H167/Share_Prices!H166-1</f>
        <v>-0.00022421524663685</v>
      </c>
      <c r="I167" s="14" t="n">
        <f aca="false">Share_Prices!I167/Share_Prices!I166-1</f>
        <v>0.00554968287526436</v>
      </c>
      <c r="J167" s="14" t="n">
        <f aca="false">Share_Prices!J167/Share_Prices!J166-1</f>
        <v>0.0127214114873999</v>
      </c>
      <c r="K167" s="14" t="n">
        <f aca="false">Share_Prices!K167/Share_Prices!K166-1</f>
        <v>0.0129207313133923</v>
      </c>
      <c r="L167" s="14" t="n">
        <f aca="false">Share_Prices!L167/Share_Prices!L166-1</f>
        <v>0.0195458801498127</v>
      </c>
      <c r="M167" s="14" t="n">
        <f aca="false">Share_Prices!M167/Share_Prices!M166-1</f>
        <v>-0.00889048769207057</v>
      </c>
      <c r="N167" s="14" t="n">
        <f aca="false">Share_Prices!N167/Share_Prices!N166-1</f>
        <v>-0.0073488689132194</v>
      </c>
      <c r="O167" s="14" t="n">
        <f aca="false">Share_Prices!O167/Share_Prices!O166-1</f>
        <v>0.00837064434494828</v>
      </c>
      <c r="P167" s="14" t="n">
        <f aca="false">Share_Prices!P167/Share_Prices!P166-1</f>
        <v>0.00849718407272015</v>
      </c>
      <c r="Q167" s="14" t="n">
        <f aca="false">Share_Prices!Q167/Share_Prices!Q166-1</f>
        <v>0.0122161315583398</v>
      </c>
      <c r="R167" s="14" t="n">
        <f aca="false">Share_Prices!R167/Share_Prices!R166-1</f>
        <v>-0.0152384595766387</v>
      </c>
      <c r="S167" s="14" t="n">
        <f aca="false">Share_Prices!S167/Share_Prices!S166-1</f>
        <v>-0.0519013909145887</v>
      </c>
    </row>
    <row r="168" customFormat="false" ht="15" hidden="false" customHeight="false" outlineLevel="0" collapsed="false">
      <c r="A168" s="13" t="n">
        <f aca="false">Share_Prices!A168</f>
        <v>45048</v>
      </c>
      <c r="B168" s="14" t="n">
        <f aca="false">Share_Prices!B168/Share_Prices!B167-1</f>
        <v>0.00457514530860781</v>
      </c>
      <c r="C168" s="14" t="n">
        <f aca="false">Share_Prices!C168/Share_Prices!C167-1</f>
        <v>0.00533524315764922</v>
      </c>
      <c r="D168" s="14" t="n">
        <f aca="false">Share_Prices!D168/Share_Prices!D167-1</f>
        <v>0.00861447520184555</v>
      </c>
      <c r="E168" s="14" t="n">
        <f aca="false">Share_Prices!E168/Share_Prices!E167-1</f>
        <v>0.0171882600940487</v>
      </c>
      <c r="F168" s="14" t="n">
        <f aca="false">Share_Prices!F168/Share_Prices!F167-1</f>
        <v>0.000982525089479935</v>
      </c>
      <c r="G168" s="14" t="n">
        <f aca="false">Share_Prices!G168/Share_Prices!G167-1</f>
        <v>0.0318128994770481</v>
      </c>
      <c r="H168" s="14" t="n">
        <f aca="false">Share_Prices!H168/Share_Prices!H167-1</f>
        <v>0.0274725274725274</v>
      </c>
      <c r="I168" s="14" t="n">
        <f aca="false">Share_Prices!I168/Share_Prices!I167-1</f>
        <v>0.00131406044678051</v>
      </c>
      <c r="J168" s="14" t="n">
        <f aca="false">Share_Prices!J168/Share_Prices!J167-1</f>
        <v>-0.00790662650602403</v>
      </c>
      <c r="K168" s="14" t="n">
        <f aca="false">Share_Prices!K168/Share_Prices!K167-1</f>
        <v>-0.00492697238344264</v>
      </c>
      <c r="L168" s="14" t="n">
        <f aca="false">Share_Prices!L168/Share_Prices!L167-1</f>
        <v>0.00413270577430835</v>
      </c>
      <c r="M168" s="14" t="n">
        <f aca="false">Share_Prices!M168/Share_Prices!M167-1</f>
        <v>0.0117183449134088</v>
      </c>
      <c r="N168" s="14" t="n">
        <f aca="false">Share_Prices!N168/Share_Prices!N167-1</f>
        <v>-0.0266732473552069</v>
      </c>
      <c r="O168" s="14" t="n">
        <f aca="false">Share_Prices!O168/Share_Prices!O167-1</f>
        <v>0.0281853281853282</v>
      </c>
      <c r="P168" s="14" t="n">
        <f aca="false">Share_Prices!P168/Share_Prices!P167-1</f>
        <v>0.00656412266091899</v>
      </c>
      <c r="Q168" s="14" t="n">
        <f aca="false">Share_Prices!Q168/Share_Prices!Q167-1</f>
        <v>-0.0021661766981278</v>
      </c>
      <c r="R168" s="14" t="n">
        <f aca="false">Share_Prices!R168/Share_Prices!R167-1</f>
        <v>0.0125606992554226</v>
      </c>
      <c r="S168" s="14" t="n">
        <f aca="false">Share_Prices!S168/Share_Prices!S167-1</f>
        <v>-0.00547801290709882</v>
      </c>
    </row>
    <row r="169" customFormat="false" ht="15" hidden="false" customHeight="false" outlineLevel="0" collapsed="false">
      <c r="A169" s="13" t="n">
        <f aca="false">Share_Prices!A169</f>
        <v>45049</v>
      </c>
      <c r="B169" s="14" t="n">
        <f aca="false">Share_Prices!B169/Share_Prices!B168-1</f>
        <v>-0.00318498538378265</v>
      </c>
      <c r="C169" s="14" t="n">
        <f aca="false">Share_Prices!C169/Share_Prices!C168-1</f>
        <v>-0.0015914252569319</v>
      </c>
      <c r="D169" s="14" t="n">
        <f aca="false">Share_Prices!D169/Share_Prices!D168-1</f>
        <v>0.02976807347318</v>
      </c>
      <c r="E169" s="14" t="n">
        <f aca="false">Share_Prices!E169/Share_Prices!E168-1</f>
        <v>0.00996333492746682</v>
      </c>
      <c r="F169" s="14" t="n">
        <f aca="false">Share_Prices!F169/Share_Prices!F168-1</f>
        <v>-0.00687092477038487</v>
      </c>
      <c r="G169" s="14" t="n">
        <f aca="false">Share_Prices!G169/Share_Prices!G168-1</f>
        <v>0.00183021258623128</v>
      </c>
      <c r="H169" s="14" t="n">
        <f aca="false">Share_Prices!H169/Share_Prices!H168-1</f>
        <v>0.0591509331005129</v>
      </c>
      <c r="I169" s="14" t="n">
        <f aca="false">Share_Prices!I169/Share_Prices!I168-1</f>
        <v>0.0110236220472442</v>
      </c>
      <c r="J169" s="14" t="n">
        <f aca="false">Share_Prices!J169/Share_Prices!J168-1</f>
        <v>0.00158702777298592</v>
      </c>
      <c r="K169" s="14" t="n">
        <f aca="false">Share_Prices!K169/Share_Prices!K168-1</f>
        <v>-0.0110244043136186</v>
      </c>
      <c r="L169" s="14" t="n">
        <f aca="false">Share_Prices!L169/Share_Prices!L168-1</f>
        <v>0.013604664456385</v>
      </c>
      <c r="M169" s="14" t="n">
        <f aca="false">Share_Prices!M169/Share_Prices!M168-1</f>
        <v>0.00410004100040995</v>
      </c>
      <c r="N169" s="14" t="n">
        <f aca="false">Share_Prices!N169/Share_Prices!N168-1</f>
        <v>-0.00449755280215169</v>
      </c>
      <c r="O169" s="14" t="n">
        <f aca="false">Share_Prices!O169/Share_Prices!O168-1</f>
        <v>0.0195268494179497</v>
      </c>
      <c r="P169" s="14" t="n">
        <f aca="false">Share_Prices!P169/Share_Prices!P168-1</f>
        <v>-0.00807864512361312</v>
      </c>
      <c r="Q169" s="14" t="n">
        <f aca="false">Share_Prices!Q169/Share_Prices!Q168-1</f>
        <v>0.00914870522561628</v>
      </c>
      <c r="R169" s="14" t="n">
        <f aca="false">Share_Prices!R169/Share_Prices!R168-1</f>
        <v>0.00607455719675176</v>
      </c>
      <c r="S169" s="14" t="n">
        <f aca="false">Share_Prices!S169/Share_Prices!S168-1</f>
        <v>-0.00471591337810307</v>
      </c>
    </row>
    <row r="170" customFormat="false" ht="15" hidden="false" customHeight="false" outlineLevel="0" collapsed="false">
      <c r="A170" s="13" t="n">
        <f aca="false">Share_Prices!A170</f>
        <v>45050</v>
      </c>
      <c r="B170" s="14" t="n">
        <f aca="false">Share_Prices!B170/Share_Prices!B169-1</f>
        <v>0.00917365262840764</v>
      </c>
      <c r="C170" s="14" t="n">
        <f aca="false">Share_Prices!C170/Share_Prices!C169-1</f>
        <v>0.00845094393967161</v>
      </c>
      <c r="D170" s="14" t="n">
        <f aca="false">Share_Prices!D170/Share_Prices!D169-1</f>
        <v>-0.0287340366463075</v>
      </c>
      <c r="E170" s="14" t="n">
        <f aca="false">Share_Prices!E170/Share_Prices!E169-1</f>
        <v>0.00607686843974431</v>
      </c>
      <c r="F170" s="14" t="n">
        <f aca="false">Share_Prices!F170/Share_Prices!F169-1</f>
        <v>-0.00240028238616319</v>
      </c>
      <c r="G170" s="14" t="n">
        <f aca="false">Share_Prices!G170/Share_Prices!G169-1</f>
        <v>0.0400505902192243</v>
      </c>
      <c r="H170" s="14" t="n">
        <f aca="false">Share_Prices!H170/Share_Prices!H169-1</f>
        <v>0.0174137042761462</v>
      </c>
      <c r="I170" s="14" t="n">
        <f aca="false">Share_Prices!I170/Share_Prices!I169-1</f>
        <v>0.0267393561786085</v>
      </c>
      <c r="J170" s="14" t="n">
        <f aca="false">Share_Prices!J170/Share_Prices!J169-1</f>
        <v>0.00520133650235954</v>
      </c>
      <c r="K170" s="14" t="n">
        <f aca="false">Share_Prices!K170/Share_Prices!K169-1</f>
        <v>0.0339765712341418</v>
      </c>
      <c r="L170" s="14" t="n">
        <f aca="false">Share_Prices!L170/Share_Prices!L169-1</f>
        <v>0.0717347168960072</v>
      </c>
      <c r="M170" s="14" t="n">
        <f aca="false">Share_Prices!M170/Share_Prices!M169-1</f>
        <v>0.00535933033891389</v>
      </c>
      <c r="N170" s="14" t="n">
        <f aca="false">Share_Prices!N170/Share_Prices!N169-1</f>
        <v>0.010430969570802</v>
      </c>
      <c r="O170" s="14" t="n">
        <f aca="false">Share_Prices!O170/Share_Prices!O169-1</f>
        <v>0.0620626151012893</v>
      </c>
      <c r="P170" s="14" t="n">
        <f aca="false">Share_Prices!P170/Share_Prices!P169-1</f>
        <v>0.027671474830733</v>
      </c>
      <c r="Q170" s="14" t="n">
        <f aca="false">Share_Prices!Q170/Share_Prices!Q169-1</f>
        <v>0.0167486170866626</v>
      </c>
      <c r="R170" s="14" t="n">
        <f aca="false">Share_Prices!R170/Share_Prices!R169-1</f>
        <v>0.0125206559044106</v>
      </c>
      <c r="S170" s="14" t="n">
        <f aca="false">Share_Prices!S170/Share_Prices!S169-1</f>
        <v>0.0065577498957583</v>
      </c>
    </row>
    <row r="171" customFormat="false" ht="15" hidden="false" customHeight="false" outlineLevel="0" collapsed="false">
      <c r="A171" s="13" t="n">
        <f aca="false">Share_Prices!A171</f>
        <v>45051</v>
      </c>
      <c r="B171" s="14" t="n">
        <f aca="false">Share_Prices!B171/Share_Prices!B170-1</f>
        <v>-0.0102323645088136</v>
      </c>
      <c r="C171" s="14" t="n">
        <f aca="false">Share_Prices!C171/Share_Prices!C170-1</f>
        <v>-0.00823731784103077</v>
      </c>
      <c r="D171" s="14" t="n">
        <f aca="false">Share_Prices!D171/Share_Prices!D170-1</f>
        <v>0.0277261683578676</v>
      </c>
      <c r="E171" s="14" t="n">
        <f aca="false">Share_Prices!E171/Share_Prices!E170-1</f>
        <v>0.00996234703482912</v>
      </c>
      <c r="F171" s="14" t="n">
        <f aca="false">Share_Prices!F171/Share_Prices!F170-1</f>
        <v>-0.0185407968296651</v>
      </c>
      <c r="G171" s="14" t="n">
        <f aca="false">Share_Prices!G171/Share_Prices!G170-1</f>
        <v>-0.0147277394946629</v>
      </c>
      <c r="H171" s="14" t="n">
        <f aca="false">Share_Prices!H171/Share_Prices!H170-1</f>
        <v>-0.0339274863277294</v>
      </c>
      <c r="I171" s="14" t="n">
        <f aca="false">Share_Prices!I171/Share_Prices!I170-1</f>
        <v>-0.031858407079646</v>
      </c>
      <c r="J171" s="14" t="n">
        <f aca="false">Share_Prices!J171/Share_Prices!J170-1</f>
        <v>-0.00918374340346784</v>
      </c>
      <c r="K171" s="14" t="n">
        <f aca="false">Share_Prices!K171/Share_Prices!K170-1</f>
        <v>-6.26802055909703E-005</v>
      </c>
      <c r="L171" s="14" t="n">
        <f aca="false">Share_Prices!L171/Share_Prices!L170-1</f>
        <v>0.0438328772889918</v>
      </c>
      <c r="M171" s="14" t="n">
        <f aca="false">Share_Prices!M171/Share_Prices!M170-1</f>
        <v>0.00639691323551794</v>
      </c>
      <c r="N171" s="14" t="n">
        <f aca="false">Share_Prices!N171/Share_Prices!N170-1</f>
        <v>-0.0115068493150685</v>
      </c>
      <c r="O171" s="14" t="n">
        <f aca="false">Share_Prices!O171/Share_Prices!O170-1</f>
        <v>-0.00676261487775287</v>
      </c>
      <c r="P171" s="14" t="n">
        <f aca="false">Share_Prices!P171/Share_Prices!P170-1</f>
        <v>0.00983481332951386</v>
      </c>
      <c r="Q171" s="14" t="n">
        <f aca="false">Share_Prices!Q171/Share_Prices!Q170-1</f>
        <v>-0.0166238476651051</v>
      </c>
      <c r="R171" s="14" t="n">
        <f aca="false">Share_Prices!R171/Share_Prices!R170-1</f>
        <v>0.00508442658966812</v>
      </c>
      <c r="S171" s="14" t="n">
        <f aca="false">Share_Prices!S171/Share_Prices!S170-1</f>
        <v>-0.00666566242374045</v>
      </c>
    </row>
    <row r="172" customFormat="false" ht="15" hidden="false" customHeight="false" outlineLevel="0" collapsed="false">
      <c r="A172" s="13" t="n">
        <f aca="false">Share_Prices!A172</f>
        <v>45054</v>
      </c>
      <c r="B172" s="14" t="n">
        <f aca="false">Share_Prices!B172/Share_Prices!B171-1</f>
        <v>0.0108141014998064</v>
      </c>
      <c r="C172" s="14" t="n">
        <f aca="false">Share_Prices!C172/Share_Prices!C171-1</f>
        <v>0.0097194769154243</v>
      </c>
      <c r="D172" s="14" t="n">
        <f aca="false">Share_Prices!D172/Share_Prices!D171-1</f>
        <v>0.0269781671533862</v>
      </c>
      <c r="E172" s="14" t="n">
        <f aca="false">Share_Prices!E172/Share_Prices!E171-1</f>
        <v>0.0205825242718447</v>
      </c>
      <c r="F172" s="14" t="n">
        <f aca="false">Share_Prices!F172/Share_Prices!F171-1</f>
        <v>0.00187468454827311</v>
      </c>
      <c r="G172" s="14" t="n">
        <f aca="false">Share_Prices!G172/Share_Prices!G171-1</f>
        <v>0.0171420735052112</v>
      </c>
      <c r="H172" s="14" t="n">
        <f aca="false">Share_Prices!H172/Share_Prices!H171-1</f>
        <v>0.0201278960058706</v>
      </c>
      <c r="I172" s="14" t="n">
        <f aca="false">Share_Prices!I172/Share_Prices!I171-1</f>
        <v>0.0446591799425438</v>
      </c>
      <c r="J172" s="14" t="n">
        <f aca="false">Share_Prices!J172/Share_Prices!J171-1</f>
        <v>0.0124161305941759</v>
      </c>
      <c r="K172" s="14" t="n">
        <f aca="false">Share_Prices!K172/Share_Prices!K171-1</f>
        <v>0.0419513571115151</v>
      </c>
      <c r="L172" s="14" t="n">
        <f aca="false">Share_Prices!L172/Share_Prices!L171-1</f>
        <v>0.0101325805313304</v>
      </c>
      <c r="M172" s="14" t="n">
        <f aca="false">Share_Prices!M172/Share_Prices!M171-1</f>
        <v>-0.00282500126116125</v>
      </c>
      <c r="N172" s="14" t="n">
        <f aca="false">Share_Prices!N172/Share_Prices!N171-1</f>
        <v>-0.0115077605321507</v>
      </c>
      <c r="O172" s="14" t="n">
        <f aca="false">Share_Prices!O172/Share_Prices!O171-1</f>
        <v>0.0270600558659218</v>
      </c>
      <c r="P172" s="14" t="n">
        <f aca="false">Share_Prices!P172/Share_Prices!P171-1</f>
        <v>0.00959720121028762</v>
      </c>
      <c r="Q172" s="14" t="n">
        <f aca="false">Share_Prices!Q172/Share_Prices!Q171-1</f>
        <v>0.00276625172890732</v>
      </c>
      <c r="R172" s="14" t="n">
        <f aca="false">Share_Prices!R172/Share_Prices!R171-1</f>
        <v>0.0178616037971522</v>
      </c>
      <c r="S172" s="14" t="n">
        <f aca="false">Share_Prices!S172/Share_Prices!S171-1</f>
        <v>0.0220267657428821</v>
      </c>
    </row>
    <row r="173" customFormat="false" ht="15" hidden="false" customHeight="false" outlineLevel="0" collapsed="false">
      <c r="A173" s="13" t="n">
        <f aca="false">Share_Prices!A173</f>
        <v>45055</v>
      </c>
      <c r="B173" s="14" t="n">
        <f aca="false">Share_Prices!B173/Share_Prices!B172-1</f>
        <v>8.48645452355967E-005</v>
      </c>
      <c r="C173" s="14" t="n">
        <f aca="false">Share_Prices!C173/Share_Prices!C172-1</f>
        <v>-0.000421336479312417</v>
      </c>
      <c r="D173" s="14" t="n">
        <f aca="false">Share_Prices!D173/Share_Prices!D172-1</f>
        <v>0.00873392010832785</v>
      </c>
      <c r="E173" s="14" t="n">
        <f aca="false">Share_Prices!E173/Share_Prices!E172-1</f>
        <v>-0.0169710806697108</v>
      </c>
      <c r="F173" s="14" t="n">
        <f aca="false">Share_Prices!F173/Share_Prices!F172-1</f>
        <v>0.0247571068729759</v>
      </c>
      <c r="G173" s="14" t="n">
        <f aca="false">Share_Prices!G173/Share_Prices!G172-1</f>
        <v>-0.00579749224753956</v>
      </c>
      <c r="H173" s="14" t="n">
        <f aca="false">Share_Prices!H173/Share_Prices!H172-1</f>
        <v>-0.0348371184873085</v>
      </c>
      <c r="I173" s="14" t="n">
        <f aca="false">Share_Prices!I173/Share_Prices!I172-1</f>
        <v>0.0177500000000002</v>
      </c>
      <c r="J173" s="14" t="n">
        <f aca="false">Share_Prices!J173/Share_Prices!J172-1</f>
        <v>-0.00990673999931679</v>
      </c>
      <c r="K173" s="14" t="n">
        <f aca="false">Share_Prices!K173/Share_Prices!K172-1</f>
        <v>-0.0158823263998555</v>
      </c>
      <c r="L173" s="14" t="n">
        <f aca="false">Share_Prices!L173/Share_Prices!L172-1</f>
        <v>-0.0183152011178761</v>
      </c>
      <c r="M173" s="14" t="n">
        <f aca="false">Share_Prices!M173/Share_Prices!M172-1</f>
        <v>0.0126979308949258</v>
      </c>
      <c r="N173" s="14" t="n">
        <f aca="false">Share_Prices!N173/Share_Prices!N172-1</f>
        <v>-0.0188645387048295</v>
      </c>
      <c r="O173" s="14" t="n">
        <f aca="false">Share_Prices!O173/Share_Prices!O172-1</f>
        <v>-0.0185279619241883</v>
      </c>
      <c r="P173" s="14" t="n">
        <f aca="false">Share_Prices!P173/Share_Prices!P172-1</f>
        <v>-0.00346523062514637</v>
      </c>
      <c r="Q173" s="14" t="n">
        <f aca="false">Share_Prices!Q173/Share_Prices!Q172-1</f>
        <v>-0.00888888888888884</v>
      </c>
      <c r="R173" s="14" t="n">
        <f aca="false">Share_Prices!R173/Share_Prices!R172-1</f>
        <v>0.00711743772241991</v>
      </c>
      <c r="S173" s="14" t="n">
        <f aca="false">Share_Prices!S173/Share_Prices!S172-1</f>
        <v>0.000259663179761116</v>
      </c>
    </row>
    <row r="174" customFormat="false" ht="15" hidden="false" customHeight="false" outlineLevel="0" collapsed="false">
      <c r="A174" s="13" t="n">
        <f aca="false">Share_Prices!A174</f>
        <v>45056</v>
      </c>
      <c r="B174" s="14" t="n">
        <f aca="false">Share_Prices!B174/Share_Prices!B173-1</f>
        <v>0.00269079900032554</v>
      </c>
      <c r="C174" s="14" t="n">
        <f aca="false">Share_Prices!C174/Share_Prices!C173-1</f>
        <v>0.00294735613400254</v>
      </c>
      <c r="D174" s="14" t="n">
        <f aca="false">Share_Prices!D174/Share_Prices!D173-1</f>
        <v>0.00453050540304711</v>
      </c>
      <c r="E174" s="14" t="n">
        <f aca="false">Share_Prices!E174/Share_Prices!E173-1</f>
        <v>0.000929008283657273</v>
      </c>
      <c r="F174" s="14" t="n">
        <f aca="false">Share_Prices!F174/Share_Prices!F173-1</f>
        <v>-0.00210688952875904</v>
      </c>
      <c r="G174" s="14" t="n">
        <f aca="false">Share_Prices!G174/Share_Prices!G173-1</f>
        <v>0.0101708706265256</v>
      </c>
      <c r="H174" s="14" t="n">
        <f aca="false">Share_Prices!H174/Share_Prices!H173-1</f>
        <v>-0.0124574105621806</v>
      </c>
      <c r="I174" s="14" t="n">
        <f aca="false">Share_Prices!I174/Share_Prices!I173-1</f>
        <v>0.00982559567673791</v>
      </c>
      <c r="J174" s="14" t="n">
        <f aca="false">Share_Prices!J174/Share_Prices!J173-1</f>
        <v>0.0130766311285926</v>
      </c>
      <c r="K174" s="14" t="n">
        <f aca="false">Share_Prices!K174/Share_Prices!K173-1</f>
        <v>0.0121039842281416</v>
      </c>
      <c r="L174" s="14" t="n">
        <f aca="false">Share_Prices!L174/Share_Prices!L173-1</f>
        <v>0.00615118702658735</v>
      </c>
      <c r="M174" s="14" t="n">
        <f aca="false">Share_Prices!M174/Share_Prices!M173-1</f>
        <v>0.0300229793186133</v>
      </c>
      <c r="N174" s="14" t="n">
        <f aca="false">Share_Prices!N174/Share_Prices!N173-1</f>
        <v>-0.00708733424782804</v>
      </c>
      <c r="O174" s="14" t="n">
        <f aca="false">Share_Prices!O174/Share_Prices!O173-1</f>
        <v>-0.00987183927952884</v>
      </c>
      <c r="P174" s="14" t="n">
        <f aca="false">Share_Prices!P174/Share_Prices!P173-1</f>
        <v>0.00390019266011943</v>
      </c>
      <c r="Q174" s="14" t="n">
        <f aca="false">Share_Prices!Q174/Share_Prices!Q173-1</f>
        <v>-0.000618524818308486</v>
      </c>
      <c r="R174" s="14" t="n">
        <f aca="false">Share_Prices!R174/Share_Prices!R173-1</f>
        <v>0.00432557572803693</v>
      </c>
      <c r="S174" s="14" t="n">
        <f aca="false">Share_Prices!S174/Share_Prices!S173-1</f>
        <v>0.00356017059150759</v>
      </c>
    </row>
    <row r="175" customFormat="false" ht="15" hidden="false" customHeight="false" outlineLevel="0" collapsed="false">
      <c r="A175" s="13" t="n">
        <f aca="false">Share_Prices!A175</f>
        <v>45057</v>
      </c>
      <c r="B175" s="14" t="n">
        <f aca="false">Share_Prices!B175/Share_Prices!B174-1</f>
        <v>-0.000988255592380027</v>
      </c>
      <c r="C175" s="14" t="n">
        <f aca="false">Share_Prices!C175/Share_Prices!C174-1</f>
        <v>0.00116383950653209</v>
      </c>
      <c r="D175" s="14" t="n">
        <f aca="false">Share_Prices!D175/Share_Prices!D174-1</f>
        <v>-0.024421207363111</v>
      </c>
      <c r="E175" s="14" t="n">
        <f aca="false">Share_Prices!E175/Share_Prices!E174-1</f>
        <v>-0.00386727511795193</v>
      </c>
      <c r="F175" s="14" t="n">
        <f aca="false">Share_Prices!F175/Share_Prices!F174-1</f>
        <v>0.00914913083257085</v>
      </c>
      <c r="G175" s="14" t="n">
        <f aca="false">Share_Prices!G175/Share_Prices!G174-1</f>
        <v>0.0143643442072763</v>
      </c>
      <c r="H175" s="14" t="n">
        <f aca="false">Share_Prices!H175/Share_Prices!H174-1</f>
        <v>0.0197304582210243</v>
      </c>
      <c r="I175" s="14" t="n">
        <f aca="false">Share_Prices!I175/Share_Prices!I174-1</f>
        <v>0.0145949890537582</v>
      </c>
      <c r="J175" s="14" t="n">
        <f aca="false">Share_Prices!J175/Share_Prices!J174-1</f>
        <v>-0.0043593760643007</v>
      </c>
      <c r="K175" s="14" t="n">
        <f aca="false">Share_Prices!K175/Share_Prices!K174-1</f>
        <v>0.0048169120422803</v>
      </c>
      <c r="L175" s="14" t="n">
        <f aca="false">Share_Prices!L175/Share_Prices!L174-1</f>
        <v>0.0093472109943411</v>
      </c>
      <c r="M175" s="14" t="n">
        <f aca="false">Share_Prices!M175/Share_Prices!M174-1</f>
        <v>0.0195935787380572</v>
      </c>
      <c r="N175" s="14" t="n">
        <f aca="false">Share_Prices!N175/Share_Prices!N174-1</f>
        <v>-0.0110752935758692</v>
      </c>
      <c r="O175" s="14" t="n">
        <f aca="false">Share_Prices!O175/Share_Prices!O174-1</f>
        <v>-0.00104950148679384</v>
      </c>
      <c r="P175" s="14" t="n">
        <f aca="false">Share_Prices!P175/Share_Prices!P174-1</f>
        <v>0.000280846283467362</v>
      </c>
      <c r="Q175" s="14" t="n">
        <f aca="false">Share_Prices!Q175/Share_Prices!Q174-1</f>
        <v>0.00649853009438339</v>
      </c>
      <c r="R175" s="14" t="n">
        <f aca="false">Share_Prices!R175/Share_Prices!R174-1</f>
        <v>0.0502274795268425</v>
      </c>
      <c r="S175" s="14" t="n">
        <f aca="false">Share_Prices!S175/Share_Prices!S174-1</f>
        <v>0.00831454861239411</v>
      </c>
    </row>
    <row r="176" customFormat="false" ht="15" hidden="false" customHeight="false" outlineLevel="0" collapsed="false">
      <c r="A176" s="13" t="n">
        <f aca="false">Share_Prices!A176</f>
        <v>45058</v>
      </c>
      <c r="B176" s="14" t="n">
        <f aca="false">Share_Prices!B176/Share_Prices!B175-1</f>
        <v>0.000972837077116484</v>
      </c>
      <c r="C176" s="14" t="n">
        <f aca="false">Share_Prices!C176/Share_Prices!C175-1</f>
        <v>-0.000432703330200956</v>
      </c>
      <c r="D176" s="14" t="n">
        <f aca="false">Share_Prices!D176/Share_Prices!D175-1</f>
        <v>0.000821861516334455</v>
      </c>
      <c r="E176" s="14" t="n">
        <f aca="false">Share_Prices!E176/Share_Prices!E175-1</f>
        <v>-0.000465874679711265</v>
      </c>
      <c r="F176" s="14" t="n">
        <f aca="false">Share_Prices!F176/Share_Prices!F175-1</f>
        <v>0.0117162982076853</v>
      </c>
      <c r="G176" s="14" t="n">
        <f aca="false">Share_Prices!G176/Share_Prices!G175-1</f>
        <v>-0.00754367390153521</v>
      </c>
      <c r="H176" s="14" t="n">
        <f aca="false">Share_Prices!H176/Share_Prices!H175-1</f>
        <v>-0.00771833368576858</v>
      </c>
      <c r="I176" s="14" t="n">
        <f aca="false">Share_Prices!I176/Share_Prices!I175-1</f>
        <v>-0.0270918245025175</v>
      </c>
      <c r="J176" s="14" t="n">
        <f aca="false">Share_Prices!J176/Share_Prices!J175-1</f>
        <v>-0.00991995621536568</v>
      </c>
      <c r="K176" s="14" t="n">
        <f aca="false">Share_Prices!K176/Share_Prices!K175-1</f>
        <v>0.00764907429670592</v>
      </c>
      <c r="L176" s="14" t="n">
        <f aca="false">Share_Prices!L176/Share_Prices!L175-1</f>
        <v>0.00620713820894014</v>
      </c>
      <c r="M176" s="14" t="n">
        <f aca="false">Share_Prices!M176/Share_Prices!M175-1</f>
        <v>-0.0176949055796034</v>
      </c>
      <c r="N176" s="14" t="n">
        <f aca="false">Share_Prices!N176/Share_Prices!N175-1</f>
        <v>-0.00260774406854647</v>
      </c>
      <c r="O176" s="14" t="n">
        <f aca="false">Share_Prices!O176/Share_Prices!O175-1</f>
        <v>-0.0131325512169498</v>
      </c>
      <c r="P176" s="14" t="n">
        <f aca="false">Share_Prices!P176/Share_Prices!P175-1</f>
        <v>-0.00823584464202143</v>
      </c>
      <c r="Q176" s="14" t="n">
        <f aca="false">Share_Prices!Q176/Share_Prices!Q175-1</f>
        <v>-0.000614911606456547</v>
      </c>
      <c r="R176" s="14" t="n">
        <f aca="false">Share_Prices!R176/Share_Prices!R175-1</f>
        <v>0.00138624155259048</v>
      </c>
      <c r="S176" s="14" t="n">
        <f aca="false">Share_Prices!S176/Share_Prices!S175-1</f>
        <v>-0.0106648097925677</v>
      </c>
    </row>
    <row r="177" customFormat="false" ht="15" hidden="false" customHeight="false" outlineLevel="0" collapsed="false">
      <c r="A177" s="13" t="n">
        <f aca="false">Share_Prices!A177</f>
        <v>45061</v>
      </c>
      <c r="B177" s="14" t="n">
        <f aca="false">Share_Prices!B177/Share_Prices!B176-1</f>
        <v>0.00458918470308167</v>
      </c>
      <c r="C177" s="14" t="n">
        <f aca="false">Share_Prices!C177/Share_Prices!C176-1</f>
        <v>0.00467457284354245</v>
      </c>
      <c r="D177" s="14" t="n">
        <f aca="false">Share_Prices!D177/Share_Prices!D176-1</f>
        <v>-0.0239170601519195</v>
      </c>
      <c r="E177" s="14" t="n">
        <f aca="false">Share_Prices!E177/Share_Prices!E176-1</f>
        <v>0.0237706828245166</v>
      </c>
      <c r="F177" s="14" t="n">
        <f aca="false">Share_Prices!F177/Share_Prices!F176-1</f>
        <v>-0.0429447852760736</v>
      </c>
      <c r="G177" s="14" t="n">
        <f aca="false">Share_Prices!G177/Share_Prices!G176-1</f>
        <v>0.0182691025470063</v>
      </c>
      <c r="H177" s="14" t="n">
        <f aca="false">Share_Prices!H177/Share_Prices!H176-1</f>
        <v>0.0193926478423017</v>
      </c>
      <c r="I177" s="14" t="n">
        <f aca="false">Share_Prices!I177/Share_Prices!I176-1</f>
        <v>0.0300640709709217</v>
      </c>
      <c r="J177" s="14" t="n">
        <f aca="false">Share_Prices!J177/Share_Prices!J176-1</f>
        <v>-0.00753178551686018</v>
      </c>
      <c r="K177" s="14" t="n">
        <f aca="false">Share_Prices!K177/Share_Prices!K176-1</f>
        <v>-0.000313185092389534</v>
      </c>
      <c r="L177" s="14" t="n">
        <f aca="false">Share_Prices!L177/Share_Prices!L176-1</f>
        <v>-0.00154221183025716</v>
      </c>
      <c r="M177" s="14" t="n">
        <f aca="false">Share_Prices!M177/Share_Prices!M176-1</f>
        <v>0.0344777492615371</v>
      </c>
      <c r="N177" s="14" t="n">
        <f aca="false">Share_Prices!N177/Share_Prices!N176-1</f>
        <v>0.0176949833088218</v>
      </c>
      <c r="O177" s="14" t="n">
        <f aca="false">Share_Prices!O177/Share_Prices!O176-1</f>
        <v>0.00638750887154016</v>
      </c>
      <c r="P177" s="14" t="n">
        <f aca="false">Share_Prices!P177/Share_Prices!P176-1</f>
        <v>0.00844578654336137</v>
      </c>
      <c r="Q177" s="14" t="n">
        <f aca="false">Share_Prices!Q177/Share_Prices!Q176-1</f>
        <v>0.0161513613290263</v>
      </c>
      <c r="R177" s="14" t="n">
        <f aca="false">Share_Prices!R177/Share_Prices!R176-1</f>
        <v>0.0278018111553326</v>
      </c>
      <c r="S177" s="14" t="n">
        <f aca="false">Share_Prices!S177/Share_Prices!S176-1</f>
        <v>-0.00677903315428774</v>
      </c>
    </row>
    <row r="178" customFormat="false" ht="15" hidden="false" customHeight="false" outlineLevel="0" collapsed="false">
      <c r="A178" s="13" t="n">
        <f aca="false">Share_Prices!A178</f>
        <v>45062</v>
      </c>
      <c r="B178" s="14" t="n">
        <f aca="false">Share_Prices!B178/Share_Prices!B177-1</f>
        <v>-0.00610635990836372</v>
      </c>
      <c r="C178" s="14" t="n">
        <f aca="false">Share_Prices!C178/Share_Prices!C177-1</f>
        <v>-0.00368495855225515</v>
      </c>
      <c r="D178" s="14" t="n">
        <f aca="false">Share_Prices!D178/Share_Prices!D177-1</f>
        <v>-0.00501279489606332</v>
      </c>
      <c r="E178" s="14" t="n">
        <f aca="false">Share_Prices!E178/Share_Prices!E177-1</f>
        <v>-0.000682904620987967</v>
      </c>
      <c r="F178" s="14" t="n">
        <f aca="false">Share_Prices!F178/Share_Prices!F177-1</f>
        <v>0.000648228176318044</v>
      </c>
      <c r="G178" s="14" t="n">
        <f aca="false">Share_Prices!G178/Share_Prices!G177-1</f>
        <v>0.033787323205867</v>
      </c>
      <c r="H178" s="14" t="n">
        <f aca="false">Share_Prices!H178/Share_Prices!H177-1</f>
        <v>-0.0124385909898611</v>
      </c>
      <c r="I178" s="14" t="n">
        <f aca="false">Share_Prices!I178/Share_Prices!I177-1</f>
        <v>0.0038277511961724</v>
      </c>
      <c r="J178" s="14" t="n">
        <f aca="false">Share_Prices!J178/Share_Prices!J177-1</f>
        <v>0.0103042539859362</v>
      </c>
      <c r="K178" s="14" t="n">
        <f aca="false">Share_Prices!K178/Share_Prices!K177-1</f>
        <v>0.0107709750566891</v>
      </c>
      <c r="L178" s="14" t="n">
        <f aca="false">Share_Prices!L178/Share_Prices!L177-1</f>
        <v>0.0168410563029398</v>
      </c>
      <c r="M178" s="14" t="n">
        <f aca="false">Share_Prices!M178/Share_Prices!M177-1</f>
        <v>0.0166175162664419</v>
      </c>
      <c r="N178" s="14" t="n">
        <f aca="false">Share_Prices!N178/Share_Prices!N177-1</f>
        <v>-0.0199564170203005</v>
      </c>
      <c r="O178" s="14" t="n">
        <f aca="false">Share_Prices!O178/Share_Prices!O177-1</f>
        <v>0.0010578279266571</v>
      </c>
      <c r="P178" s="14" t="n">
        <f aca="false">Share_Prices!P178/Share_Prices!P177-1</f>
        <v>-0.00533383240537133</v>
      </c>
      <c r="Q178" s="14" t="n">
        <f aca="false">Share_Prices!Q178/Share_Prices!Q177-1</f>
        <v>-0.0151377535573721</v>
      </c>
      <c r="R178" s="14" t="n">
        <f aca="false">Share_Prices!R178/Share_Prices!R177-1</f>
        <v>-0.0150962455805601</v>
      </c>
      <c r="S178" s="14" t="n">
        <f aca="false">Share_Prices!S178/Share_Prices!S177-1</f>
        <v>-0.00895121587348935</v>
      </c>
    </row>
    <row r="179" customFormat="false" ht="15" hidden="false" customHeight="false" outlineLevel="0" collapsed="false">
      <c r="A179" s="13" t="n">
        <f aca="false">Share_Prices!A179</f>
        <v>45063</v>
      </c>
      <c r="B179" s="14" t="n">
        <f aca="false">Share_Prices!B179/Share_Prices!B178-1</f>
        <v>-0.00572826948842042</v>
      </c>
      <c r="C179" s="14" t="n">
        <f aca="false">Share_Prices!C179/Share_Prices!C178-1</f>
        <v>-0.00426338075443433</v>
      </c>
      <c r="D179" s="14" t="n">
        <f aca="false">Share_Prices!D179/Share_Prices!D178-1</f>
        <v>-0.0035935738444195</v>
      </c>
      <c r="E179" s="14" t="n">
        <f aca="false">Share_Prices!E179/Share_Prices!E178-1</f>
        <v>0.018299164768413</v>
      </c>
      <c r="F179" s="14" t="n">
        <f aca="false">Share_Prices!F179/Share_Prices!F178-1</f>
        <v>0.012164399337796</v>
      </c>
      <c r="G179" s="14" t="n">
        <f aca="false">Share_Prices!G179/Share_Prices!G178-1</f>
        <v>-0.0614390676463137</v>
      </c>
      <c r="H179" s="14" t="n">
        <f aca="false">Share_Prices!H179/Share_Prices!H178-1</f>
        <v>-0.00783234546994072</v>
      </c>
      <c r="I179" s="14" t="n">
        <f aca="false">Share_Prices!I179/Share_Prices!I178-1</f>
        <v>0.00619637750238322</v>
      </c>
      <c r="J179" s="14" t="n">
        <f aca="false">Share_Prices!J179/Share_Prices!J178-1</f>
        <v>0.00547860243952858</v>
      </c>
      <c r="K179" s="14" t="n">
        <f aca="false">Share_Prices!K179/Share_Prices!K178-1</f>
        <v>-0.0117336245830504</v>
      </c>
      <c r="L179" s="14" t="n">
        <f aca="false">Share_Prices!L179/Share_Prices!L178-1</f>
        <v>-0.00862406899255186</v>
      </c>
      <c r="M179" s="14" t="n">
        <f aca="false">Share_Prices!M179/Share_Prices!M178-1</f>
        <v>0.0788286214200202</v>
      </c>
      <c r="N179" s="14" t="n">
        <f aca="false">Share_Prices!N179/Share_Prices!N178-1</f>
        <v>0.0557050906963137</v>
      </c>
      <c r="O179" s="14" t="n">
        <f aca="false">Share_Prices!O179/Share_Prices!O178-1</f>
        <v>0.00405072208524149</v>
      </c>
      <c r="P179" s="14" t="n">
        <f aca="false">Share_Prices!P179/Share_Prices!P178-1</f>
        <v>-0.0054565125358671</v>
      </c>
      <c r="Q179" s="14" t="n">
        <f aca="false">Share_Prices!Q179/Share_Prices!Q178-1</f>
        <v>0.00999077774362123</v>
      </c>
      <c r="R179" s="14" t="n">
        <f aca="false">Share_Prices!R179/Share_Prices!R178-1</f>
        <v>0.00216524216524205</v>
      </c>
      <c r="S179" s="14" t="n">
        <f aca="false">Share_Prices!S179/Share_Prices!S178-1</f>
        <v>0.0117416829745596</v>
      </c>
    </row>
    <row r="180" customFormat="false" ht="15" hidden="false" customHeight="false" outlineLevel="0" collapsed="false">
      <c r="A180" s="13" t="n">
        <f aca="false">Share_Prices!A180</f>
        <v>45064</v>
      </c>
      <c r="B180" s="14" t="n">
        <f aca="false">Share_Prices!B180/Share_Prices!B179-1</f>
        <v>-0.00284901068379007</v>
      </c>
      <c r="C180" s="14" t="n">
        <f aca="false">Share_Prices!C180/Share_Prices!C179-1</f>
        <v>-0.00419736360188894</v>
      </c>
      <c r="D180" s="14" t="n">
        <f aca="false">Share_Prices!D180/Share_Prices!D179-1</f>
        <v>-0.0123753624213281</v>
      </c>
      <c r="E180" s="14" t="n">
        <f aca="false">Share_Prices!E180/Share_Prices!E179-1</f>
        <v>0.00730743419580948</v>
      </c>
      <c r="F180" s="14" t="n">
        <f aca="false">Share_Prices!F180/Share_Prices!F179-1</f>
        <v>-0.00689802304081921</v>
      </c>
      <c r="G180" s="14" t="n">
        <f aca="false">Share_Prices!G180/Share_Prices!G179-1</f>
        <v>-0.0125523012552301</v>
      </c>
      <c r="H180" s="14" t="n">
        <f aca="false">Share_Prices!H180/Share_Prices!H179-1</f>
        <v>0.0249626626840196</v>
      </c>
      <c r="I180" s="14" t="n">
        <f aca="false">Share_Prices!I180/Share_Prices!I179-1</f>
        <v>-0.0239223117006158</v>
      </c>
      <c r="J180" s="14" t="n">
        <f aca="false">Share_Prices!J180/Share_Prices!J179-1</f>
        <v>0.0545903156163257</v>
      </c>
      <c r="K180" s="14" t="n">
        <f aca="false">Share_Prices!K180/Share_Prices!K179-1</f>
        <v>0.0125897937543868</v>
      </c>
      <c r="L180" s="14" t="n">
        <f aca="false">Share_Prices!L180/Share_Prices!L179-1</f>
        <v>0.030347963621985</v>
      </c>
      <c r="M180" s="14" t="n">
        <f aca="false">Share_Prices!M180/Share_Prices!M179-1</f>
        <v>0.0102432778489117</v>
      </c>
      <c r="N180" s="14" t="n">
        <f aca="false">Share_Prices!N180/Share_Prices!N179-1</f>
        <v>-0.0077596718767321</v>
      </c>
      <c r="O180" s="14" t="n">
        <f aca="false">Share_Prices!O180/Share_Prices!O179-1</f>
        <v>0.000175407823189033</v>
      </c>
      <c r="P180" s="14" t="n">
        <f aca="false">Share_Prices!P180/Share_Prices!P179-1</f>
        <v>-0.00638509199262172</v>
      </c>
      <c r="Q180" s="14" t="n">
        <f aca="false">Share_Prices!Q180/Share_Prices!Q179-1</f>
        <v>0.0226753918733831</v>
      </c>
      <c r="R180" s="14" t="n">
        <f aca="false">Share_Prices!R180/Share_Prices!R179-1</f>
        <v>0.00818740050034128</v>
      </c>
      <c r="S180" s="14" t="n">
        <f aca="false">Share_Prices!S180/Share_Prices!S179-1</f>
        <v>0.00141348013688458</v>
      </c>
    </row>
    <row r="181" customFormat="false" ht="15" hidden="false" customHeight="false" outlineLevel="0" collapsed="false">
      <c r="A181" s="13" t="n">
        <f aca="false">Share_Prices!A181</f>
        <v>45065</v>
      </c>
      <c r="B181" s="14" t="n">
        <f aca="false">Share_Prices!B181/Share_Prices!B180-1</f>
        <v>0.00405130736709158</v>
      </c>
      <c r="C181" s="14" t="n">
        <f aca="false">Share_Prices!C181/Share_Prices!C180-1</f>
        <v>0.0029912248724091</v>
      </c>
      <c r="D181" s="14" t="n">
        <f aca="false">Share_Prices!D181/Share_Prices!D180-1</f>
        <v>-0.00293570098811391</v>
      </c>
      <c r="E181" s="14" t="n">
        <f aca="false">Share_Prices!E181/Share_Prices!E180-1</f>
        <v>-0.0134724998149383</v>
      </c>
      <c r="F181" s="14" t="n">
        <f aca="false">Share_Prices!F181/Share_Prices!F180-1</f>
        <v>0.00286430361618328</v>
      </c>
      <c r="G181" s="14" t="n">
        <f aca="false">Share_Prices!G181/Share_Prices!G180-1</f>
        <v>0.0191361399671952</v>
      </c>
      <c r="H181" s="14" t="n">
        <f aca="false">Share_Prices!H181/Share_Prices!H180-1</f>
        <v>-0.0305995004163198</v>
      </c>
      <c r="I181" s="14" t="n">
        <f aca="false">Share_Prices!I181/Share_Prices!I180-1</f>
        <v>0.0131036156272748</v>
      </c>
      <c r="J181" s="14" t="n">
        <f aca="false">Share_Prices!J181/Share_Prices!J180-1</f>
        <v>-0.0153701176317671</v>
      </c>
      <c r="K181" s="14" t="n">
        <f aca="false">Share_Prices!K181/Share_Prices!K180-1</f>
        <v>-0.000766939028347236</v>
      </c>
      <c r="L181" s="14" t="n">
        <f aca="false">Share_Prices!L181/Share_Prices!L180-1</f>
        <v>0.00105535834212822</v>
      </c>
      <c r="M181" s="14" t="n">
        <f aca="false">Share_Prices!M181/Share_Prices!M180-1</f>
        <v>0.0309252217997464</v>
      </c>
      <c r="N181" s="14" t="n">
        <f aca="false">Share_Prices!N181/Share_Prices!N180-1</f>
        <v>-0.0138755446318848</v>
      </c>
      <c r="O181" s="14" t="n">
        <f aca="false">Share_Prices!O181/Share_Prices!O180-1</f>
        <v>-0.0115748860049106</v>
      </c>
      <c r="P181" s="14" t="n">
        <f aca="false">Share_Prices!P181/Share_Prices!P180-1</f>
        <v>-0.0147562833206397</v>
      </c>
      <c r="Q181" s="14" t="n">
        <f aca="false">Share_Prices!Q181/Share_Prices!Q180-1</f>
        <v>-0.00431547619047612</v>
      </c>
      <c r="R181" s="14" t="n">
        <f aca="false">Share_Prices!R181/Share_Prices!R180-1</f>
        <v>0.00558312655086835</v>
      </c>
      <c r="S181" s="14" t="n">
        <f aca="false">Share_Prices!S181/Share_Prices!S180-1</f>
        <v>-0.00505163063665404</v>
      </c>
    </row>
    <row r="182" customFormat="false" ht="15" hidden="false" customHeight="false" outlineLevel="0" collapsed="false">
      <c r="A182" s="13" t="n">
        <f aca="false">Share_Prices!A182</f>
        <v>45068</v>
      </c>
      <c r="B182" s="14" t="n">
        <f aca="false">Share_Prices!B182/Share_Prices!B181-1</f>
        <v>0.00609776195655765</v>
      </c>
      <c r="C182" s="14" t="n">
        <f aca="false">Share_Prices!C182/Share_Prices!C181-1</f>
        <v>0.00625991802720094</v>
      </c>
      <c r="D182" s="14" t="n">
        <f aca="false">Share_Prices!D182/Share_Prices!D181-1</f>
        <v>-0.00362657091561935</v>
      </c>
      <c r="E182" s="14" t="n">
        <f aca="false">Share_Prices!E182/Share_Prices!E181-1</f>
        <v>0.00562767314474377</v>
      </c>
      <c r="F182" s="14" t="n">
        <f aca="false">Share_Prices!F182/Share_Prices!F181-1</f>
        <v>-0.00835415922884686</v>
      </c>
      <c r="G182" s="14" t="n">
        <f aca="false">Share_Prices!G182/Share_Prices!G181-1</f>
        <v>-0.00147532188841204</v>
      </c>
      <c r="H182" s="14" t="n">
        <f aca="false">Share_Prices!H182/Share_Prices!H181-1</f>
        <v>0.0186815546489156</v>
      </c>
      <c r="I182" s="14" t="n">
        <f aca="false">Share_Prices!I182/Share_Prices!I181-1</f>
        <v>-0.010059880239521</v>
      </c>
      <c r="J182" s="14" t="n">
        <f aca="false">Share_Prices!J182/Share_Prices!J181-1</f>
        <v>0.00306920563677782</v>
      </c>
      <c r="K182" s="14" t="n">
        <f aca="false">Share_Prices!K182/Share_Prices!K181-1</f>
        <v>0.00129889298892993</v>
      </c>
      <c r="L182" s="14" t="n">
        <f aca="false">Share_Prices!L182/Share_Prices!L181-1</f>
        <v>0.00987157370136083</v>
      </c>
      <c r="M182" s="14" t="n">
        <f aca="false">Share_Prices!M182/Share_Prices!M181-1</f>
        <v>0.0307351856405214</v>
      </c>
      <c r="N182" s="14" t="n">
        <f aca="false">Share_Prices!N182/Share_Prices!N181-1</f>
        <v>-0.0237685231340915</v>
      </c>
      <c r="O182" s="14" t="n">
        <f aca="false">Share_Prices!O182/Share_Prices!O181-1</f>
        <v>0.00479063165365501</v>
      </c>
      <c r="P182" s="14" t="n">
        <f aca="false">Share_Prices!P182/Share_Prices!P181-1</f>
        <v>0.0862885302927818</v>
      </c>
      <c r="Q182" s="14" t="n">
        <f aca="false">Share_Prices!Q182/Share_Prices!Q181-1</f>
        <v>0.0360185323568973</v>
      </c>
      <c r="R182" s="14" t="n">
        <f aca="false">Share_Prices!R182/Share_Prices!R181-1</f>
        <v>-0.00386966518983789</v>
      </c>
      <c r="S182" s="14" t="n">
        <f aca="false">Share_Prices!S182/Share_Prices!S181-1</f>
        <v>-0.0149331740461435</v>
      </c>
    </row>
    <row r="183" customFormat="false" ht="15" hidden="false" customHeight="false" outlineLevel="0" collapsed="false">
      <c r="A183" s="13" t="n">
        <f aca="false">Share_Prices!A183</f>
        <v>45069</v>
      </c>
      <c r="B183" s="14" t="n">
        <f aca="false">Share_Prices!B183/Share_Prices!B182-1</f>
        <v>0.00183462193683659</v>
      </c>
      <c r="C183" s="14" t="n">
        <f aca="false">Share_Prices!C183/Share_Prices!C182-1</f>
        <v>0.00262835397316819</v>
      </c>
      <c r="D183" s="14" t="n">
        <f aca="false">Share_Prices!D183/Share_Prices!D182-1</f>
        <v>-0.00115319470971942</v>
      </c>
      <c r="E183" s="14" t="n">
        <f aca="false">Share_Prices!E183/Share_Prices!E182-1</f>
        <v>0.0102223548724072</v>
      </c>
      <c r="F183" s="14" t="n">
        <f aca="false">Share_Prices!F183/Share_Prices!F182-1</f>
        <v>-0.00316820276497687</v>
      </c>
      <c r="G183" s="14" t="n">
        <f aca="false">Share_Prices!G183/Share_Prices!G182-1</f>
        <v>0.00214909335124247</v>
      </c>
      <c r="H183" s="14" t="n">
        <f aca="false">Share_Prices!H183/Share_Prices!H182-1</f>
        <v>-0.00505902192242824</v>
      </c>
      <c r="I183" s="14" t="n">
        <f aca="false">Share_Prices!I183/Share_Prices!I182-1</f>
        <v>0.104524558432131</v>
      </c>
      <c r="J183" s="14" t="n">
        <f aca="false">Share_Prices!J183/Share_Prices!J182-1</f>
        <v>0.00470487596236091</v>
      </c>
      <c r="K183" s="14" t="n">
        <f aca="false">Share_Prices!K183/Share_Prices!K182-1</f>
        <v>-0.0018426250773903</v>
      </c>
      <c r="L183" s="14" t="n">
        <f aca="false">Share_Prices!L183/Share_Prices!L182-1</f>
        <v>0.00659580525766357</v>
      </c>
      <c r="M183" s="14" t="n">
        <f aca="false">Share_Prices!M183/Share_Prices!M182-1</f>
        <v>-0.017612913486005</v>
      </c>
      <c r="N183" s="14" t="n">
        <f aca="false">Share_Prices!N183/Share_Prices!N182-1</f>
        <v>-0.00204247417894854</v>
      </c>
      <c r="O183" s="14" t="n">
        <f aca="false">Share_Prices!O183/Share_Prices!O182-1</f>
        <v>0.0088292424509977</v>
      </c>
      <c r="P183" s="14" t="n">
        <f aca="false">Share_Prices!P183/Share_Prices!P182-1</f>
        <v>0.00355808574986649</v>
      </c>
      <c r="Q183" s="14" t="n">
        <f aca="false">Share_Prices!Q183/Share_Prices!Q182-1</f>
        <v>-0.000432775533756535</v>
      </c>
      <c r="R183" s="14" t="n">
        <f aca="false">Share_Prices!R183/Share_Prices!R182-1</f>
        <v>-0.000281499831100152</v>
      </c>
      <c r="S183" s="14" t="n">
        <f aca="false">Share_Prices!S183/Share_Prices!S182-1</f>
        <v>0.0333510194800273</v>
      </c>
    </row>
    <row r="184" customFormat="false" ht="15" hidden="false" customHeight="false" outlineLevel="0" collapsed="false">
      <c r="A184" s="13" t="n">
        <f aca="false">Share_Prices!A184</f>
        <v>45070</v>
      </c>
      <c r="B184" s="14" t="n">
        <f aca="false">Share_Prices!B184/Share_Prices!B183-1</f>
        <v>-0.00341181600174401</v>
      </c>
      <c r="C184" s="14" t="n">
        <f aca="false">Share_Prices!C184/Share_Prices!C183-1</f>
        <v>-0.00185271554704958</v>
      </c>
      <c r="D184" s="14" t="n">
        <f aca="false">Share_Prices!D184/Share_Prices!D183-1</f>
        <v>-0.000396868347945278</v>
      </c>
      <c r="E184" s="14" t="n">
        <f aca="false">Share_Prices!E184/Share_Prices!E183-1</f>
        <v>0.00347145283994377</v>
      </c>
      <c r="F184" s="14" t="n">
        <f aca="false">Share_Prices!F184/Share_Prices!F183-1</f>
        <v>0.000866801502455772</v>
      </c>
      <c r="G184" s="14" t="n">
        <f aca="false">Share_Prices!G184/Share_Prices!G183-1</f>
        <v>0.00844390832328101</v>
      </c>
      <c r="H184" s="14" t="n">
        <f aca="false">Share_Prices!H184/Share_Prices!H183-1</f>
        <v>-0.00858050847457625</v>
      </c>
      <c r="I184" s="14" t="n">
        <f aca="false">Share_Prices!I184/Share_Prices!I183-1</f>
        <v>0.00328587075575038</v>
      </c>
      <c r="J184" s="14" t="n">
        <f aca="false">Share_Prices!J184/Share_Prices!J183-1</f>
        <v>0.0116907358286669</v>
      </c>
      <c r="K184" s="14" t="n">
        <f aca="false">Share_Prices!K184/Share_Prices!K183-1</f>
        <v>0.000797483496522089</v>
      </c>
      <c r="L184" s="14" t="n">
        <f aca="false">Share_Prices!L184/Share_Prices!L183-1</f>
        <v>-0.00796681280346956</v>
      </c>
      <c r="M184" s="14" t="n">
        <f aca="false">Share_Prices!M184/Share_Prices!M183-1</f>
        <v>-0.00360192642357038</v>
      </c>
      <c r="N184" s="14" t="n">
        <f aca="false">Share_Prices!N184/Share_Prices!N183-1</f>
        <v>0.00283740726097159</v>
      </c>
      <c r="O184" s="14" t="n">
        <f aca="false">Share_Prices!O184/Share_Prices!O183-1</f>
        <v>-0.00717661473831599</v>
      </c>
      <c r="P184" s="14" t="n">
        <f aca="false">Share_Prices!P184/Share_Prices!P183-1</f>
        <v>-0.0217603261833008</v>
      </c>
      <c r="Q184" s="14" t="n">
        <f aca="false">Share_Prices!Q184/Share_Prices!Q183-1</f>
        <v>0.00490691297445522</v>
      </c>
      <c r="R184" s="14" t="n">
        <f aca="false">Share_Prices!R184/Share_Prices!R183-1</f>
        <v>0.00168947457340773</v>
      </c>
      <c r="S184" s="14" t="n">
        <f aca="false">Share_Prices!S184/Share_Prices!S183-1</f>
        <v>0.00465781559451317</v>
      </c>
    </row>
    <row r="185" customFormat="false" ht="15" hidden="false" customHeight="false" outlineLevel="0" collapsed="false">
      <c r="A185" s="13" t="n">
        <f aca="false">Share_Prices!A185</f>
        <v>45071</v>
      </c>
      <c r="B185" s="14" t="n">
        <f aca="false">Share_Prices!B185/Share_Prices!B184-1</f>
        <v>0.00195511172848284</v>
      </c>
      <c r="C185" s="14" t="n">
        <f aca="false">Share_Prices!C185/Share_Prices!C184-1</f>
        <v>0.00253287745835729</v>
      </c>
      <c r="D185" s="14" t="n">
        <f aca="false">Share_Prices!D185/Share_Prices!D184-1</f>
        <v>0.0133184147838015</v>
      </c>
      <c r="E185" s="14" t="n">
        <f aca="false">Share_Prices!E185/Share_Prices!E184-1</f>
        <v>-0.00301781245399668</v>
      </c>
      <c r="F185" s="14" t="n">
        <f aca="false">Share_Prices!F185/Share_Prices!F184-1</f>
        <v>-0.000577367205542689</v>
      </c>
      <c r="G185" s="14" t="n">
        <f aca="false">Share_Prices!G185/Share_Prices!G184-1</f>
        <v>-0.00305688463583198</v>
      </c>
      <c r="H185" s="14" t="n">
        <f aca="false">Share_Prices!H185/Share_Prices!H184-1</f>
        <v>-0.0159205043273853</v>
      </c>
      <c r="I185" s="14" t="n">
        <f aca="false">Share_Prices!I185/Share_Prices!I184-1</f>
        <v>-0.0196506550218341</v>
      </c>
      <c r="J185" s="14" t="n">
        <f aca="false">Share_Prices!J185/Share_Prices!J184-1</f>
        <v>0.00190975593966458</v>
      </c>
      <c r="K185" s="14" t="n">
        <f aca="false">Share_Prices!K185/Share_Prices!K184-1</f>
        <v>0.00814555757226976</v>
      </c>
      <c r="L185" s="14" t="n">
        <f aca="false">Share_Prices!L185/Share_Prices!L184-1</f>
        <v>0.0068903250332637</v>
      </c>
      <c r="M185" s="14" t="n">
        <f aca="false">Share_Prices!M185/Share_Prices!M184-1</f>
        <v>-0.00426482534524775</v>
      </c>
      <c r="N185" s="14" t="n">
        <f aca="false">Share_Prices!N185/Share_Prices!N184-1</f>
        <v>-0.00823302952294813</v>
      </c>
      <c r="O185" s="14" t="n">
        <f aca="false">Share_Prices!O185/Share_Prices!O184-1</f>
        <v>-0.00158674188998609</v>
      </c>
      <c r="P185" s="14" t="n">
        <f aca="false">Share_Prices!P185/Share_Prices!P184-1</f>
        <v>0.00665972001993387</v>
      </c>
      <c r="Q185" s="14" t="n">
        <f aca="false">Share_Prices!Q185/Share_Prices!Q184-1</f>
        <v>-0.00359040643400832</v>
      </c>
      <c r="R185" s="14" t="n">
        <f aca="false">Share_Prices!R185/Share_Prices!R184-1</f>
        <v>0.00618429189857772</v>
      </c>
      <c r="S185" s="14" t="n">
        <f aca="false">Share_Prices!S185/Share_Prices!S184-1</f>
        <v>0.00416164713612965</v>
      </c>
    </row>
    <row r="186" customFormat="false" ht="15" hidden="false" customHeight="false" outlineLevel="0" collapsed="false">
      <c r="A186" s="13" t="n">
        <f aca="false">Share_Prices!A186</f>
        <v>45072</v>
      </c>
      <c r="B186" s="14" t="n">
        <f aca="false">Share_Prices!B186/Share_Prices!B185-1</f>
        <v>0.00972646367722541</v>
      </c>
      <c r="C186" s="14" t="n">
        <f aca="false">Share_Prices!C186/Share_Prices!C185-1</f>
        <v>0.00909660725478534</v>
      </c>
      <c r="D186" s="14" t="n">
        <f aca="false">Share_Prices!D186/Share_Prices!D185-1</f>
        <v>-0.0251825467497773</v>
      </c>
      <c r="E186" s="14" t="n">
        <f aca="false">Share_Prices!E186/Share_Prices!E185-1</f>
        <v>-0.000664451827242618</v>
      </c>
      <c r="F186" s="14" t="n">
        <f aca="false">Share_Prices!F186/Share_Prices!F185-1</f>
        <v>0.000361062969381765</v>
      </c>
      <c r="G186" s="14" t="n">
        <f aca="false">Share_Prices!G186/Share_Prices!G185-1</f>
        <v>0.00653246233835492</v>
      </c>
      <c r="H186" s="14" t="n">
        <f aca="false">Share_Prices!H186/Share_Prices!H185-1</f>
        <v>0.0288816503800218</v>
      </c>
      <c r="I186" s="14" t="n">
        <f aca="false">Share_Prices!I186/Share_Prices!I185-1</f>
        <v>-0.0438752783964365</v>
      </c>
      <c r="J186" s="14" t="n">
        <f aca="false">Share_Prices!J186/Share_Prices!J185-1</f>
        <v>0.0226149323167384</v>
      </c>
      <c r="K186" s="14" t="n">
        <f aca="false">Share_Prices!K186/Share_Prices!K185-1</f>
        <v>0.0092507208829169</v>
      </c>
      <c r="L186" s="14" t="n">
        <f aca="false">Share_Prices!L186/Share_Prices!L185-1</f>
        <v>-0.00920288829109439</v>
      </c>
      <c r="M186" s="14" t="n">
        <f aca="false">Share_Prices!M186/Share_Prices!M185-1</f>
        <v>-0.00995308994493172</v>
      </c>
      <c r="N186" s="14" t="n">
        <f aca="false">Share_Prices!N186/Share_Prices!N185-1</f>
        <v>-0.00636049013188655</v>
      </c>
      <c r="O186" s="14" t="n">
        <f aca="false">Share_Prices!O186/Share_Prices!O185-1</f>
        <v>-0.010948260639237</v>
      </c>
      <c r="P186" s="14" t="n">
        <f aca="false">Share_Prices!P186/Share_Prices!P185-1</f>
        <v>-0.00225022502250227</v>
      </c>
      <c r="Q186" s="14" t="n">
        <f aca="false">Share_Prices!Q186/Share_Prices!Q185-1</f>
        <v>-0.00230614009801078</v>
      </c>
      <c r="R186" s="14" t="n">
        <f aca="false">Share_Prices!R186/Share_Prices!R185-1</f>
        <v>0.00743141308599205</v>
      </c>
      <c r="S186" s="14" t="n">
        <f aca="false">Share_Prices!S186/Share_Prices!S185-1</f>
        <v>0.00599847311593416</v>
      </c>
    </row>
    <row r="187" customFormat="false" ht="15" hidden="false" customHeight="false" outlineLevel="0" collapsed="false">
      <c r="A187" s="13" t="n">
        <f aca="false">Share_Prices!A187</f>
        <v>45075</v>
      </c>
      <c r="B187" s="14" t="n">
        <f aca="false">Share_Prices!B187/Share_Prices!B186-1</f>
        <v>0.00536775616440588</v>
      </c>
      <c r="C187" s="14" t="n">
        <f aca="false">Share_Prices!C187/Share_Prices!C186-1</f>
        <v>0.00481628362559139</v>
      </c>
      <c r="D187" s="14" t="n">
        <f aca="false">Share_Prices!D187/Share_Prices!D186-1</f>
        <v>0.0155656240865243</v>
      </c>
      <c r="E187" s="14" t="n">
        <f aca="false">Share_Prices!E187/Share_Prices!E186-1</f>
        <v>0.0197251773049645</v>
      </c>
      <c r="F187" s="14" t="n">
        <f aca="false">Share_Prices!F187/Share_Prices!F186-1</f>
        <v>0.00642460116942178</v>
      </c>
      <c r="G187" s="14" t="n">
        <f aca="false">Share_Prices!G187/Share_Prices!G186-1</f>
        <v>0.00675496688741717</v>
      </c>
      <c r="H187" s="14" t="n">
        <f aca="false">Share_Prices!H187/Share_Prices!H186-1</f>
        <v>0.01424651751794</v>
      </c>
      <c r="I187" s="14" t="n">
        <f aca="false">Share_Prices!I187/Share_Prices!I186-1</f>
        <v>0.0840903796878638</v>
      </c>
      <c r="J187" s="14" t="n">
        <f aca="false">Share_Prices!J187/Share_Prices!J186-1</f>
        <v>-0.00963573752882818</v>
      </c>
      <c r="K187" s="14" t="n">
        <f aca="false">Share_Prices!K187/Share_Prices!K186-1</f>
        <v>0.00398833954547428</v>
      </c>
      <c r="L187" s="14" t="n">
        <f aca="false">Share_Prices!L187/Share_Prices!L186-1</f>
        <v>0.00543012289225486</v>
      </c>
      <c r="M187" s="14" t="n">
        <f aca="false">Share_Prices!M187/Share_Prices!M186-1</f>
        <v>4.12014338098121E-005</v>
      </c>
      <c r="N187" s="14" t="n">
        <f aca="false">Share_Prices!N187/Share_Prices!N186-1</f>
        <v>-0.00376541466629021</v>
      </c>
      <c r="O187" s="14" t="n">
        <f aca="false">Share_Prices!O187/Share_Prices!O186-1</f>
        <v>0.0232101410462418</v>
      </c>
      <c r="P187" s="14" t="n">
        <f aca="false">Share_Prices!P187/Share_Prices!P186-1</f>
        <v>0.00672079386558422</v>
      </c>
      <c r="Q187" s="14" t="n">
        <f aca="false">Share_Prices!Q187/Share_Prices!Q186-1</f>
        <v>-0.0151690262929789</v>
      </c>
      <c r="R187" s="14" t="n">
        <f aca="false">Share_Prices!R187/Share_Prices!R186-1</f>
        <v>0.00465890183028295</v>
      </c>
      <c r="S187" s="14" t="n">
        <f aca="false">Share_Prices!S187/Share_Prices!S186-1</f>
        <v>0.0182133564614049</v>
      </c>
    </row>
    <row r="188" customFormat="false" ht="15" hidden="false" customHeight="false" outlineLevel="0" collapsed="false">
      <c r="A188" s="13" t="n">
        <f aca="false">Share_Prices!A188</f>
        <v>45076</v>
      </c>
      <c r="B188" s="14" t="n">
        <f aca="false">Share_Prices!B188/Share_Prices!B187-1</f>
        <v>0.00189261048516953</v>
      </c>
      <c r="C188" s="14" t="n">
        <f aca="false">Share_Prices!C188/Share_Prices!C187-1</f>
        <v>0.00171819671767359</v>
      </c>
      <c r="D188" s="14" t="n">
        <f aca="false">Share_Prices!D188/Share_Prices!D187-1</f>
        <v>0.00107936964812549</v>
      </c>
      <c r="E188" s="14" t="n">
        <f aca="false">Share_Prices!E188/Share_Prices!E187-1</f>
        <v>0.000217344055640112</v>
      </c>
      <c r="F188" s="14" t="n">
        <f aca="false">Share_Prices!F188/Share_Prices!F187-1</f>
        <v>0.0185052359776214</v>
      </c>
      <c r="G188" s="14" t="n">
        <f aca="false">Share_Prices!G188/Share_Prices!G187-1</f>
        <v>-0.00131561636626765</v>
      </c>
      <c r="H188" s="14" t="n">
        <f aca="false">Share_Prices!H188/Share_Prices!H187-1</f>
        <v>0.00541046717303084</v>
      </c>
      <c r="I188" s="14" t="n">
        <f aca="false">Share_Prices!I188/Share_Prices!I187-1</f>
        <v>0.103566824237215</v>
      </c>
      <c r="J188" s="14" t="n">
        <f aca="false">Share_Prices!J188/Share_Prices!J187-1</f>
        <v>0.0102717876738547</v>
      </c>
      <c r="K188" s="14" t="n">
        <f aca="false">Share_Prices!K188/Share_Prices!K187-1</f>
        <v>0.0106462889665733</v>
      </c>
      <c r="L188" s="14" t="n">
        <f aca="false">Share_Prices!L188/Share_Prices!L187-1</f>
        <v>-0.0086223232897481</v>
      </c>
      <c r="M188" s="14" t="n">
        <f aca="false">Share_Prices!M188/Share_Prices!M187-1</f>
        <v>-0.00914634146341453</v>
      </c>
      <c r="N188" s="14" t="n">
        <f aca="false">Share_Prices!N188/Share_Prices!N187-1</f>
        <v>-0.00137012189360286</v>
      </c>
      <c r="O188" s="14" t="n">
        <f aca="false">Share_Prices!O188/Share_Prices!O187-1</f>
        <v>-0.00139591694294205</v>
      </c>
      <c r="P188" s="14" t="n">
        <f aca="false">Share_Prices!P188/Share_Prices!P187-1</f>
        <v>0.000403243872933334</v>
      </c>
      <c r="Q188" s="14" t="n">
        <f aca="false">Share_Prices!Q188/Share_Prices!Q187-1</f>
        <v>-0.00264045767933119</v>
      </c>
      <c r="R188" s="14" t="n">
        <f aca="false">Share_Prices!R188/Share_Prices!R187-1</f>
        <v>0.0125317434028926</v>
      </c>
      <c r="S188" s="14" t="n">
        <f aca="false">Share_Prices!S188/Share_Prices!S187-1</f>
        <v>0.00567859170925611</v>
      </c>
    </row>
    <row r="189" customFormat="false" ht="15" hidden="false" customHeight="false" outlineLevel="0" collapsed="false">
      <c r="A189" s="13" t="n">
        <f aca="false">Share_Prices!A189</f>
        <v>45077</v>
      </c>
      <c r="B189" s="14" t="n">
        <f aca="false">Share_Prices!B189/Share_Prices!B188-1</f>
        <v>-0.005337061315831</v>
      </c>
      <c r="C189" s="14" t="n">
        <f aca="false">Share_Prices!C189/Share_Prices!C188-1</f>
        <v>-0.00209184496928694</v>
      </c>
      <c r="D189" s="14" t="n">
        <f aca="false">Share_Prices!D189/Share_Prices!D188-1</f>
        <v>0.00478004600345017</v>
      </c>
      <c r="E189" s="14" t="n">
        <f aca="false">Share_Prices!E189/Share_Prices!E188-1</f>
        <v>0.024482109227872</v>
      </c>
      <c r="F189" s="14" t="n">
        <f aca="false">Share_Prices!F189/Share_Prices!F188-1</f>
        <v>0.0153521126760563</v>
      </c>
      <c r="G189" s="14" t="n">
        <f aca="false">Share_Prices!G189/Share_Prices!G188-1</f>
        <v>-0.0198919773415888</v>
      </c>
      <c r="H189" s="14" t="n">
        <f aca="false">Share_Prices!H189/Share_Prices!H188-1</f>
        <v>0.0457414881506779</v>
      </c>
      <c r="I189" s="14" t="n">
        <f aca="false">Share_Prices!I189/Share_Prices!I188-1</f>
        <v>0.0159657320872273</v>
      </c>
      <c r="J189" s="14" t="n">
        <f aca="false">Share_Prices!J189/Share_Prices!J188-1</f>
        <v>0.196526681401958</v>
      </c>
      <c r="K189" s="14" t="n">
        <f aca="false">Share_Prices!K189/Share_Prices!K188-1</f>
        <v>-0.00227262981861842</v>
      </c>
      <c r="L189" s="14" t="n">
        <f aca="false">Share_Prices!L189/Share_Prices!L188-1</f>
        <v>0.0043964446143554</v>
      </c>
      <c r="M189" s="14" t="n">
        <f aca="false">Share_Prices!M189/Share_Prices!M188-1</f>
        <v>0.0262785862785861</v>
      </c>
      <c r="N189" s="14" t="n">
        <f aca="false">Share_Prices!N189/Share_Prices!N188-1</f>
        <v>0.0243412026304584</v>
      </c>
      <c r="O189" s="14" t="n">
        <f aca="false">Share_Prices!O189/Share_Prices!O188-1</f>
        <v>-0.00646514066049264</v>
      </c>
      <c r="P189" s="14" t="n">
        <f aca="false">Share_Prices!P189/Share_Prices!P188-1</f>
        <v>-0.000806162665711319</v>
      </c>
      <c r="Q189" s="14" t="n">
        <f aca="false">Share_Prices!Q189/Share_Prices!Q188-1</f>
        <v>0.0170613325489042</v>
      </c>
      <c r="R189" s="14" t="n">
        <f aca="false">Share_Prices!R189/Share_Prices!R188-1</f>
        <v>-0.000109045308325562</v>
      </c>
      <c r="S189" s="14" t="n">
        <f aca="false">Share_Prices!S189/Share_Prices!S188-1</f>
        <v>-0.0120341614906834</v>
      </c>
    </row>
    <row r="190" customFormat="false" ht="15" hidden="false" customHeight="false" outlineLevel="0" collapsed="false">
      <c r="A190" s="13" t="n">
        <f aca="false">Share_Prices!A190</f>
        <v>45078</v>
      </c>
      <c r="B190" s="14" t="n">
        <f aca="false">Share_Prices!B190/Share_Prices!B189-1</f>
        <v>-0.00251694147099457</v>
      </c>
      <c r="C190" s="14" t="n">
        <f aca="false">Share_Prices!C190/Share_Prices!C189-1</f>
        <v>-0.000383727420336877</v>
      </c>
      <c r="D190" s="14" t="n">
        <f aca="false">Share_Prices!D190/Share_Prices!D189-1</f>
        <v>-0.00500769038165749</v>
      </c>
      <c r="E190" s="14" t="n">
        <f aca="false">Share_Prices!E190/Share_Prices!E189-1</f>
        <v>0.0295531674208145</v>
      </c>
      <c r="F190" s="14" t="n">
        <f aca="false">Share_Prices!F190/Share_Prices!F189-1</f>
        <v>0.0118601747815232</v>
      </c>
      <c r="G190" s="14" t="n">
        <f aca="false">Share_Prices!G190/Share_Prices!G189-1</f>
        <v>0.0137096774193548</v>
      </c>
      <c r="H190" s="14" t="n">
        <f aca="false">Share_Prices!H190/Share_Prices!H189-1</f>
        <v>0.0622464126669966</v>
      </c>
      <c r="I190" s="14" t="n">
        <f aca="false">Share_Prices!I190/Share_Prices!I189-1</f>
        <v>0.0214641625143734</v>
      </c>
      <c r="J190" s="14" t="n">
        <f aca="false">Share_Prices!J190/Share_Prices!J189-1</f>
        <v>0.0126933023697682</v>
      </c>
      <c r="K190" s="14" t="n">
        <f aca="false">Share_Prices!K190/Share_Prices!K189-1</f>
        <v>0.0072345424330984</v>
      </c>
      <c r="L190" s="14" t="n">
        <f aca="false">Share_Prices!L190/Share_Prices!L189-1</f>
        <v>-0.00666095727471694</v>
      </c>
      <c r="M190" s="14" t="n">
        <f aca="false">Share_Prices!M190/Share_Prices!M189-1</f>
        <v>0.0130054290576129</v>
      </c>
      <c r="N190" s="14" t="n">
        <f aca="false">Share_Prices!N190/Share_Prices!N189-1</f>
        <v>-0.00639678544211708</v>
      </c>
      <c r="O190" s="14" t="n">
        <f aca="false">Share_Prices!O190/Share_Prices!O189-1</f>
        <v>0.0342947590573337</v>
      </c>
      <c r="P190" s="14" t="n">
        <f aca="false">Share_Prices!P190/Share_Prices!P189-1</f>
        <v>0.00945764231286406</v>
      </c>
      <c r="Q190" s="14" t="n">
        <f aca="false">Share_Prices!Q190/Share_Prices!Q189-1</f>
        <v>-0.00578452639190163</v>
      </c>
      <c r="R190" s="14" t="n">
        <f aca="false">Share_Prices!R190/Share_Prices!R189-1</f>
        <v>-0.00703418943235734</v>
      </c>
      <c r="S190" s="14" t="n">
        <f aca="false">Share_Prices!S190/Share_Prices!S189-1</f>
        <v>0.00750133952491527</v>
      </c>
    </row>
    <row r="191" customFormat="false" ht="15" hidden="false" customHeight="false" outlineLevel="0" collapsed="false">
      <c r="A191" s="13" t="n">
        <f aca="false">Share_Prices!A191</f>
        <v>45079</v>
      </c>
      <c r="B191" s="14" t="n">
        <f aca="false">Share_Prices!B191/Share_Prices!B190-1</f>
        <v>0.00250706548931046</v>
      </c>
      <c r="C191" s="14" t="n">
        <f aca="false">Share_Prices!C191/Share_Prices!C190-1</f>
        <v>0.0032264511892186</v>
      </c>
      <c r="D191" s="14" t="n">
        <f aca="false">Share_Prices!D191/Share_Prices!D190-1</f>
        <v>0.00230075133910912</v>
      </c>
      <c r="E191" s="14" t="n">
        <f aca="false">Share_Prices!E191/Share_Prices!E190-1</f>
        <v>-0.00302156297211931</v>
      </c>
      <c r="F191" s="14" t="n">
        <f aca="false">Share_Prices!F191/Share_Prices!F190-1</f>
        <v>0.044554116114881</v>
      </c>
      <c r="G191" s="14" t="n">
        <f aca="false">Share_Prices!G191/Share_Prices!G190-1</f>
        <v>0.00556881463802705</v>
      </c>
      <c r="H191" s="14" t="n">
        <f aca="false">Share_Prices!H191/Share_Prices!H190-1</f>
        <v>-0.0117384013415317</v>
      </c>
      <c r="I191" s="14" t="n">
        <f aca="false">Share_Prices!I191/Share_Prices!I190-1</f>
        <v>0.00562851782363971</v>
      </c>
      <c r="J191" s="14" t="n">
        <f aca="false">Share_Prices!J191/Share_Prices!J190-1</f>
        <v>0.00534201954397395</v>
      </c>
      <c r="K191" s="14" t="n">
        <f aca="false">Share_Prices!K191/Share_Prices!K190-1</f>
        <v>-0.00234678348433337</v>
      </c>
      <c r="L191" s="14" t="n">
        <f aca="false">Share_Prices!L191/Share_Prices!L190-1</f>
        <v>-0.00440655235175791</v>
      </c>
      <c r="M191" s="14" t="n">
        <f aca="false">Share_Prices!M191/Share_Prices!M190-1</f>
        <v>-0.0205975282966044</v>
      </c>
      <c r="N191" s="14" t="n">
        <f aca="false">Share_Prices!N191/Share_Prices!N190-1</f>
        <v>0.0634500069725283</v>
      </c>
      <c r="O191" s="14" t="n">
        <f aca="false">Share_Prices!O191/Share_Prices!O190-1</f>
        <v>0.0137731678286006</v>
      </c>
      <c r="P191" s="14" t="n">
        <f aca="false">Share_Prices!P191/Share_Prices!P190-1</f>
        <v>-0.00217574708050272</v>
      </c>
      <c r="Q191" s="14" t="n">
        <f aca="false">Share_Prices!Q191/Share_Prices!Q190-1</f>
        <v>0.00960000000000005</v>
      </c>
      <c r="R191" s="14" t="n">
        <f aca="false">Share_Prices!R191/Share_Prices!R190-1</f>
        <v>0.00428336079077418</v>
      </c>
      <c r="S191" s="14" t="n">
        <f aca="false">Share_Prices!S191/Share_Prices!S190-1</f>
        <v>0.00219819180996272</v>
      </c>
    </row>
    <row r="192" customFormat="false" ht="15" hidden="false" customHeight="false" outlineLevel="0" collapsed="false">
      <c r="A192" s="13" t="n">
        <f aca="false">Share_Prices!A192</f>
        <v>45082</v>
      </c>
      <c r="B192" s="14" t="n">
        <f aca="false">Share_Prices!B192/Share_Prices!B191-1</f>
        <v>0.00322378750519303</v>
      </c>
      <c r="C192" s="14" t="n">
        <f aca="false">Share_Prices!C192/Share_Prices!C191-1</f>
        <v>0.00305479659987862</v>
      </c>
      <c r="D192" s="14" t="n">
        <f aca="false">Share_Prices!D192/Share_Prices!D191-1</f>
        <v>-0.00408880599691552</v>
      </c>
      <c r="E192" s="14" t="n">
        <f aca="false">Share_Prices!E192/Share_Prices!E191-1</f>
        <v>-0.0166000826560132</v>
      </c>
      <c r="F192" s="14" t="n">
        <f aca="false">Share_Prices!F192/Share_Prices!F191-1</f>
        <v>0.00826825907211748</v>
      </c>
      <c r="G192" s="14" t="n">
        <f aca="false">Share_Prices!G192/Share_Prices!G191-1</f>
        <v>-0.00896624472573837</v>
      </c>
      <c r="H192" s="14" t="n">
        <f aca="false">Share_Prices!H192/Share_Prices!H191-1</f>
        <v>0.00952111613876339</v>
      </c>
      <c r="I192" s="14" t="n">
        <f aca="false">Share_Prices!I192/Share_Prices!I191-1</f>
        <v>0.0307835820895523</v>
      </c>
      <c r="J192" s="14" t="n">
        <f aca="false">Share_Prices!J192/Share_Prices!J191-1</f>
        <v>0.0393986521513738</v>
      </c>
      <c r="K192" s="14" t="n">
        <f aca="false">Share_Prices!K192/Share_Prices!K191-1</f>
        <v>0.00273722627737216</v>
      </c>
      <c r="L192" s="14" t="n">
        <f aca="false">Share_Prices!L192/Share_Prices!L191-1</f>
        <v>0.00890022130279999</v>
      </c>
      <c r="M192" s="14" t="n">
        <f aca="false">Share_Prices!M192/Share_Prices!M191-1</f>
        <v>0.00575792224763139</v>
      </c>
      <c r="N192" s="14" t="n">
        <f aca="false">Share_Prices!N192/Share_Prices!N191-1</f>
        <v>-0.00118017309205354</v>
      </c>
      <c r="O192" s="14" t="n">
        <f aca="false">Share_Prices!O192/Share_Prices!O191-1</f>
        <v>0.00972827910097274</v>
      </c>
      <c r="P192" s="14" t="n">
        <f aca="false">Share_Prices!P192/Share_Prices!P191-1</f>
        <v>0.00293698825204713</v>
      </c>
      <c r="Q192" s="14" t="n">
        <f aca="false">Share_Prices!Q192/Share_Prices!Q191-1</f>
        <v>-0.0100850021610719</v>
      </c>
      <c r="R192" s="14" t="n">
        <f aca="false">Share_Prices!R192/Share_Prices!R191-1</f>
        <v>0.00590551181102361</v>
      </c>
      <c r="S192" s="14" t="n">
        <f aca="false">Share_Prices!S192/Share_Prices!S191-1</f>
        <v>-0.0087734814447944</v>
      </c>
    </row>
    <row r="193" customFormat="false" ht="15" hidden="false" customHeight="false" outlineLevel="0" collapsed="false">
      <c r="A193" s="13" t="n">
        <f aca="false">Share_Prices!A193</f>
        <v>45083</v>
      </c>
      <c r="B193" s="14" t="n">
        <f aca="false">Share_Prices!B193/Share_Prices!B192-1</f>
        <v>0.000276973300311845</v>
      </c>
      <c r="C193" s="14" t="n">
        <f aca="false">Share_Prices!C193/Share_Prices!C192-1</f>
        <v>0.00119171474510549</v>
      </c>
      <c r="D193" s="14" t="n">
        <f aca="false">Share_Prices!D193/Share_Prices!D192-1</f>
        <v>0.00500594230561458</v>
      </c>
      <c r="E193" s="14" t="n">
        <f aca="false">Share_Prices!E193/Share_Prices!E192-1</f>
        <v>0.0057435035371578</v>
      </c>
      <c r="F193" s="14" t="n">
        <f aca="false">Share_Prices!F193/Share_Prices!F192-1</f>
        <v>0.0150341685649202</v>
      </c>
      <c r="G193" s="14" t="n">
        <f aca="false">Share_Prices!G193/Share_Prices!G192-1</f>
        <v>-0.0073177221926557</v>
      </c>
      <c r="H193" s="14" t="n">
        <f aca="false">Share_Prices!H193/Share_Prices!H192-1</f>
        <v>0.00037351760201676</v>
      </c>
      <c r="I193" s="14" t="n">
        <f aca="false">Share_Prices!I193/Share_Prices!I192-1</f>
        <v>-0.00434389140271485</v>
      </c>
      <c r="J193" s="14" t="n">
        <f aca="false">Share_Prices!J193/Share_Prices!J192-1</f>
        <v>-0.0191271820448877</v>
      </c>
      <c r="K193" s="14" t="n">
        <f aca="false">Share_Prices!K193/Share_Prices!K192-1</f>
        <v>0.0100517515923566</v>
      </c>
      <c r="L193" s="14" t="n">
        <f aca="false">Share_Prices!L193/Share_Prices!L192-1</f>
        <v>0.00829717228553717</v>
      </c>
      <c r="M193" s="14" t="n">
        <f aca="false">Share_Prices!M193/Share_Prices!M192-1</f>
        <v>0.0068212270088106</v>
      </c>
      <c r="N193" s="14" t="n">
        <f aca="false">Share_Prices!N193/Share_Prices!N192-1</f>
        <v>0.0122314121920266</v>
      </c>
      <c r="O193" s="14" t="n">
        <f aca="false">Share_Prices!O193/Share_Prices!O192-1</f>
        <v>-0.0225913621262459</v>
      </c>
      <c r="P193" s="14" t="n">
        <f aca="false">Share_Prices!P193/Share_Prices!P192-1</f>
        <v>-0.000221847546366116</v>
      </c>
      <c r="Q193" s="14" t="n">
        <f aca="false">Share_Prices!Q193/Share_Prices!Q192-1</f>
        <v>0.0107699024887207</v>
      </c>
      <c r="R193" s="14" t="n">
        <f aca="false">Share_Prices!R193/Share_Prices!R192-1</f>
        <v>0.00679495542509234</v>
      </c>
      <c r="S193" s="14" t="n">
        <f aca="false">Share_Prices!S193/Share_Prices!S192-1</f>
        <v>0.00567472072522213</v>
      </c>
    </row>
    <row r="194" customFormat="false" ht="15" hidden="false" customHeight="false" outlineLevel="0" collapsed="false">
      <c r="A194" s="13" t="n">
        <f aca="false">Share_Prices!A194</f>
        <v>45084</v>
      </c>
      <c r="B194" s="14" t="n">
        <f aca="false">Share_Prices!B194/Share_Prices!B193-1</f>
        <v>0.00684983063605582</v>
      </c>
      <c r="C194" s="14" t="n">
        <f aca="false">Share_Prices!C194/Share_Prices!C193-1</f>
        <v>0.00808015920999594</v>
      </c>
      <c r="D194" s="14" t="n">
        <f aca="false">Share_Prices!D194/Share_Prices!D193-1</f>
        <v>-0.00383430086719694</v>
      </c>
      <c r="E194" s="14" t="n">
        <f aca="false">Share_Prices!E194/Share_Prices!E193-1</f>
        <v>0.0438749216519256</v>
      </c>
      <c r="F194" s="14" t="n">
        <f aca="false">Share_Prices!F194/Share_Prices!F193-1</f>
        <v>0.0207745575788665</v>
      </c>
      <c r="G194" s="14" t="n">
        <f aca="false">Share_Prices!G194/Share_Prices!G193-1</f>
        <v>0.00991824152258403</v>
      </c>
      <c r="H194" s="14" t="n">
        <f aca="false">Share_Prices!H194/Share_Prices!H193-1</f>
        <v>0.0207224866984039</v>
      </c>
      <c r="I194" s="14" t="n">
        <f aca="false">Share_Prices!I194/Share_Prices!I193-1</f>
        <v>0.0423559352844936</v>
      </c>
      <c r="J194" s="14" t="n">
        <f aca="false">Share_Prices!J194/Share_Prices!J193-1</f>
        <v>-0.00373731980779501</v>
      </c>
      <c r="K194" s="14" t="n">
        <f aca="false">Share_Prices!K194/Share_Prices!K193-1</f>
        <v>-0.00478583393156251</v>
      </c>
      <c r="L194" s="14" t="n">
        <f aca="false">Share_Prices!L194/Share_Prices!L193-1</f>
        <v>0.0150863088200521</v>
      </c>
      <c r="M194" s="14" t="n">
        <f aca="false">Share_Prices!M194/Share_Prices!M193-1</f>
        <v>0.025769246279792</v>
      </c>
      <c r="N194" s="14" t="n">
        <f aca="false">Share_Prices!N194/Share_Prices!N193-1</f>
        <v>0.00157800306954003</v>
      </c>
      <c r="O194" s="14" t="n">
        <f aca="false">Share_Prices!O194/Share_Prices!O193-1</f>
        <v>-0.00866757307953781</v>
      </c>
      <c r="P194" s="14" t="n">
        <f aca="false">Share_Prices!P194/Share_Prices!P193-1</f>
        <v>0.000887587094483555</v>
      </c>
      <c r="Q194" s="14" t="n">
        <f aca="false">Share_Prices!Q194/Share_Prices!Q193-1</f>
        <v>0.00547156227501788</v>
      </c>
      <c r="R194" s="14" t="n">
        <f aca="false">Share_Prices!R194/Share_Prices!R193-1</f>
        <v>0.00178176124399343</v>
      </c>
      <c r="S194" s="14" t="n">
        <f aca="false">Share_Prices!S194/Share_Prices!S193-1</f>
        <v>-0.000390375470224802</v>
      </c>
    </row>
    <row r="195" customFormat="false" ht="15" hidden="false" customHeight="false" outlineLevel="0" collapsed="false">
      <c r="A195" s="13" t="n">
        <f aca="false">Share_Prices!A195</f>
        <v>45085</v>
      </c>
      <c r="B195" s="14" t="n">
        <f aca="false">Share_Prices!B195/Share_Prices!B194-1</f>
        <v>-0.00490484022556403</v>
      </c>
      <c r="C195" s="14" t="n">
        <f aca="false">Share_Prices!C195/Share_Prices!C194-1</f>
        <v>-0.00535088431719222</v>
      </c>
      <c r="D195" s="14" t="n">
        <f aca="false">Share_Prices!D195/Share_Prices!D194-1</f>
        <v>-0.00773409115435808</v>
      </c>
      <c r="E195" s="14" t="n">
        <f aca="false">Share_Prices!E195/Share_Prices!E194-1</f>
        <v>-0.0109413569951298</v>
      </c>
      <c r="F195" s="14" t="n">
        <f aca="false">Share_Prices!F195/Share_Prices!F194-1</f>
        <v>0.010929648241206</v>
      </c>
      <c r="G195" s="14" t="n">
        <f aca="false">Share_Prices!G195/Share_Prices!G194-1</f>
        <v>-0.0126078301260784</v>
      </c>
      <c r="H195" s="14" t="n">
        <f aca="false">Share_Prices!H195/Share_Prices!H194-1</f>
        <v>-0.00320073159579337</v>
      </c>
      <c r="I195" s="14" t="n">
        <f aca="false">Share_Prices!I195/Share_Prices!I194-1</f>
        <v>0.00191838158353685</v>
      </c>
      <c r="J195" s="14" t="n">
        <f aca="false">Share_Prices!J195/Share_Prices!J194-1</f>
        <v>-0.050528249885163</v>
      </c>
      <c r="K195" s="14" t="n">
        <f aca="false">Share_Prices!K195/Share_Prices!K194-1</f>
        <v>-0.0098581389757153</v>
      </c>
      <c r="L195" s="14" t="n">
        <f aca="false">Share_Prices!L195/Share_Prices!L194-1</f>
        <v>-0.0108087961237422</v>
      </c>
      <c r="M195" s="14" t="n">
        <f aca="false">Share_Prices!M195/Share_Prices!M194-1</f>
        <v>-0.0298395974209782</v>
      </c>
      <c r="N195" s="14" t="n">
        <f aca="false">Share_Prices!N195/Share_Prices!N194-1</f>
        <v>0.0127767945784953</v>
      </c>
      <c r="O195" s="14" t="n">
        <f aca="false">Share_Prices!O195/Share_Prices!O194-1</f>
        <v>-0.0229727412995028</v>
      </c>
      <c r="P195" s="14" t="n">
        <f aca="false">Share_Prices!P195/Share_Prices!P194-1</f>
        <v>-0.0022613399547734</v>
      </c>
      <c r="Q195" s="14" t="n">
        <f aca="false">Share_Prices!Q195/Share_Prices!Q194-1</f>
        <v>0.0110267793212087</v>
      </c>
      <c r="R195" s="14" t="n">
        <f aca="false">Share_Prices!R195/Share_Prices!R194-1</f>
        <v>-0.0135280801983401</v>
      </c>
      <c r="S195" s="14" t="n">
        <f aca="false">Share_Prices!S195/Share_Prices!S194-1</f>
        <v>0.00184613199843775</v>
      </c>
    </row>
    <row r="196" customFormat="false" ht="15" hidden="false" customHeight="false" outlineLevel="0" collapsed="false">
      <c r="A196" s="13" t="n">
        <f aca="false">Share_Prices!A196</f>
        <v>45086</v>
      </c>
      <c r="B196" s="14" t="n">
        <f aca="false">Share_Prices!B196/Share_Prices!B195-1</f>
        <v>-0.00381817645180582</v>
      </c>
      <c r="C196" s="14" t="n">
        <f aca="false">Share_Prices!C196/Share_Prices!C195-1</f>
        <v>-0.00274165334572785</v>
      </c>
      <c r="D196" s="14" t="n">
        <f aca="false">Share_Prices!D196/Share_Prices!D195-1</f>
        <v>-0.0182714617169374</v>
      </c>
      <c r="E196" s="14" t="n">
        <f aca="false">Share_Prices!E196/Share_Prices!E195-1</f>
        <v>0.000741989881956062</v>
      </c>
      <c r="F196" s="14" t="n">
        <f aca="false">Share_Prices!F196/Share_Prices!F195-1</f>
        <v>0.0139182303964209</v>
      </c>
      <c r="G196" s="14" t="n">
        <f aca="false">Share_Prices!G196/Share_Prices!G195-1</f>
        <v>-0.021505376344086</v>
      </c>
      <c r="H196" s="14" t="n">
        <f aca="false">Share_Prices!H196/Share_Prices!H195-1</f>
        <v>-0.018256880733945</v>
      </c>
      <c r="I196" s="14" t="n">
        <f aca="false">Share_Prices!I196/Share_Prices!I195-1</f>
        <v>0.00557006092254131</v>
      </c>
      <c r="J196" s="14" t="n">
        <f aca="false">Share_Prices!J196/Share_Prices!J195-1</f>
        <v>-0.0136805891522873</v>
      </c>
      <c r="K196" s="14" t="n">
        <f aca="false">Share_Prices!K196/Share_Prices!K195-1</f>
        <v>0.00385681227323387</v>
      </c>
      <c r="L196" s="14" t="n">
        <f aca="false">Share_Prices!L196/Share_Prices!L195-1</f>
        <v>0.00386209495101753</v>
      </c>
      <c r="M196" s="14" t="n">
        <f aca="false">Share_Prices!M196/Share_Prices!M195-1</f>
        <v>0.00085099485350737</v>
      </c>
      <c r="N196" s="14" t="n">
        <f aca="false">Share_Prices!N196/Share_Prices!N195-1</f>
        <v>0.0161530921024591</v>
      </c>
      <c r="O196" s="14" t="n">
        <f aca="false">Share_Prices!O196/Share_Prices!O195-1</f>
        <v>-0.00543955079838576</v>
      </c>
      <c r="P196" s="14" t="n">
        <f aca="false">Share_Prices!P196/Share_Prices!P195-1</f>
        <v>-0.00737712203359697</v>
      </c>
      <c r="Q196" s="14" t="n">
        <f aca="false">Share_Prices!Q196/Share_Prices!Q195-1</f>
        <v>-0.021671388101983</v>
      </c>
      <c r="R196" s="14" t="n">
        <f aca="false">Share_Prices!R196/Share_Prices!R195-1</f>
        <v>0.0116374364858221</v>
      </c>
      <c r="S196" s="14" t="n">
        <f aca="false">Share_Prices!S196/Share_Prices!S195-1</f>
        <v>0.00442963960452181</v>
      </c>
    </row>
    <row r="197" customFormat="false" ht="15" hidden="false" customHeight="false" outlineLevel="0" collapsed="false">
      <c r="A197" s="13" t="n">
        <f aca="false">Share_Prices!A197</f>
        <v>45089</v>
      </c>
      <c r="B197" s="14" t="n">
        <f aca="false">Share_Prices!B197/Share_Prices!B196-1</f>
        <v>0.0020524257409742</v>
      </c>
      <c r="C197" s="14" t="n">
        <f aca="false">Share_Prices!C197/Share_Prices!C196-1</f>
        <v>0.00325620063738397</v>
      </c>
      <c r="D197" s="14" t="n">
        <f aca="false">Share_Prices!D197/Share_Prices!D196-1</f>
        <v>-0.0125923190546529</v>
      </c>
      <c r="E197" s="14" t="n">
        <f aca="false">Share_Prices!E197/Share_Prices!E196-1</f>
        <v>0.00337018064168237</v>
      </c>
      <c r="F197" s="14" t="n">
        <f aca="false">Share_Prices!F197/Share_Prices!F196-1</f>
        <v>-0.0170976835396494</v>
      </c>
      <c r="G197" s="14" t="n">
        <f aca="false">Share_Prices!G197/Share_Prices!G196-1</f>
        <v>0.0173076923076922</v>
      </c>
      <c r="H197" s="14" t="n">
        <f aca="false">Share_Prices!H197/Share_Prices!H196-1</f>
        <v>0.0450425193907111</v>
      </c>
      <c r="I197" s="14" t="n">
        <f aca="false">Share_Prices!I197/Share_Prices!I196-1</f>
        <v>0.0566037735849057</v>
      </c>
      <c r="J197" s="14" t="n">
        <f aca="false">Share_Prices!J197/Share_Prices!J196-1</f>
        <v>0.0736844973703572</v>
      </c>
      <c r="K197" s="14" t="n">
        <f aca="false">Share_Prices!K197/Share_Prices!K196-1</f>
        <v>0.00860891342705905</v>
      </c>
      <c r="L197" s="14" t="n">
        <f aca="false">Share_Prices!L197/Share_Prices!L196-1</f>
        <v>0.00694379281223601</v>
      </c>
      <c r="M197" s="14" t="n">
        <f aca="false">Share_Prices!M197/Share_Prices!M196-1</f>
        <v>0.0117013523362215</v>
      </c>
      <c r="N197" s="14" t="n">
        <f aca="false">Share_Prices!N197/Share_Prices!N196-1</f>
        <v>-0.00977267007801352</v>
      </c>
      <c r="O197" s="14" t="n">
        <f aca="false">Share_Prices!O197/Share_Prices!O196-1</f>
        <v>0.0236414961185605</v>
      </c>
      <c r="P197" s="14" t="n">
        <f aca="false">Share_Prices!P197/Share_Prices!P196-1</f>
        <v>0.0145952722063036</v>
      </c>
      <c r="Q197" s="14" t="n">
        <f aca="false">Share_Prices!Q197/Share_Prices!Q196-1</f>
        <v>-0.0078181554944261</v>
      </c>
      <c r="R197" s="14" t="n">
        <f aca="false">Share_Prices!R197/Share_Prices!R196-1</f>
        <v>-0.00140419096997191</v>
      </c>
      <c r="S197" s="14" t="n">
        <f aca="false">Share_Prices!S197/Share_Prices!S196-1</f>
        <v>0.0248024273214791</v>
      </c>
    </row>
    <row r="198" customFormat="false" ht="15" hidden="false" customHeight="false" outlineLevel="0" collapsed="false">
      <c r="A198" s="13" t="n">
        <f aca="false">Share_Prices!A198</f>
        <v>45090</v>
      </c>
      <c r="B198" s="14" t="n">
        <f aca="false">Share_Prices!B198/Share_Prices!B197-1</f>
        <v>0.00616348143966894</v>
      </c>
      <c r="C198" s="14" t="n">
        <f aca="false">Share_Prices!C198/Share_Prices!C197-1</f>
        <v>0.00747688193306595</v>
      </c>
      <c r="D198" s="14" t="n">
        <f aca="false">Share_Prices!D198/Share_Prices!D197-1</f>
        <v>0.00968622611167214</v>
      </c>
      <c r="E198" s="14" t="n">
        <f aca="false">Share_Prices!E198/Share_Prices!E197-1</f>
        <v>0.00268708853956734</v>
      </c>
      <c r="F198" s="14" t="n">
        <f aca="false">Share_Prices!F198/Share_Prices!F197-1</f>
        <v>0.0117214290167715</v>
      </c>
      <c r="G198" s="14" t="n">
        <f aca="false">Share_Prices!G198/Share_Prices!G197-1</f>
        <v>0.00850661625708882</v>
      </c>
      <c r="H198" s="14" t="n">
        <f aca="false">Share_Prices!H198/Share_Prices!H197-1</f>
        <v>0.0294196548332291</v>
      </c>
      <c r="I198" s="14" t="n">
        <f aca="false">Share_Prices!I198/Share_Prices!I197-1</f>
        <v>0.00229357798165131</v>
      </c>
      <c r="J198" s="14" t="n">
        <f aca="false">Share_Prices!J198/Share_Prices!J197-1</f>
        <v>-0.00723331895129564</v>
      </c>
      <c r="K198" s="14" t="n">
        <f aca="false">Share_Prices!K198/Share_Prices!K197-1</f>
        <v>0.00972051748705582</v>
      </c>
      <c r="L198" s="14" t="n">
        <f aca="false">Share_Prices!L198/Share_Prices!L197-1</f>
        <v>0.0267449445531638</v>
      </c>
      <c r="M198" s="14" t="n">
        <f aca="false">Share_Prices!M198/Share_Prices!M197-1</f>
        <v>-0.00924480729979582</v>
      </c>
      <c r="N198" s="14" t="n">
        <f aca="false">Share_Prices!N198/Share_Prices!N197-1</f>
        <v>0.0319793299165572</v>
      </c>
      <c r="O198" s="14" t="n">
        <f aca="false">Share_Prices!O198/Share_Prices!O197-1</f>
        <v>0.0244743192002757</v>
      </c>
      <c r="P198" s="14" t="n">
        <f aca="false">Share_Prices!P198/Share_Prices!P197-1</f>
        <v>0.0205630570999913</v>
      </c>
      <c r="Q198" s="14" t="n">
        <f aca="false">Share_Prices!Q198/Share_Prices!Q197-1</f>
        <v>0.0147380709178462</v>
      </c>
      <c r="R198" s="14" t="n">
        <f aca="false">Share_Prices!R198/Share_Prices!R197-1</f>
        <v>0.0018929150892375</v>
      </c>
      <c r="S198" s="14" t="n">
        <f aca="false">Share_Prices!S198/Share_Prices!S197-1</f>
        <v>-0.0061624264123662</v>
      </c>
    </row>
    <row r="199" customFormat="false" ht="15" hidden="false" customHeight="false" outlineLevel="0" collapsed="false">
      <c r="A199" s="13" t="n">
        <f aca="false">Share_Prices!A199</f>
        <v>45091</v>
      </c>
      <c r="B199" s="14" t="n">
        <f aca="false">Share_Prices!B199/Share_Prices!B198-1</f>
        <v>0.00212383422872753</v>
      </c>
      <c r="C199" s="14" t="n">
        <f aca="false">Share_Prices!C199/Share_Prices!C198-1</f>
        <v>0.00223389539013708</v>
      </c>
      <c r="D199" s="14" t="n">
        <f aca="false">Share_Prices!D199/Share_Prices!D198-1</f>
        <v>0.000370397807244904</v>
      </c>
      <c r="E199" s="14" t="n">
        <f aca="false">Share_Prices!E199/Share_Prices!E198-1</f>
        <v>0.00341685649202739</v>
      </c>
      <c r="F199" s="14" t="n">
        <f aca="false">Share_Prices!F199/Share_Prices!F198-1</f>
        <v>-0.00517655758920321</v>
      </c>
      <c r="G199" s="14" t="n">
        <f aca="false">Share_Prices!G199/Share_Prices!G198-1</f>
        <v>-0.00160664078189843</v>
      </c>
      <c r="H199" s="14" t="n">
        <f aca="false">Share_Prices!H199/Share_Prices!H198-1</f>
        <v>-0.010858234885337</v>
      </c>
      <c r="I199" s="14" t="n">
        <f aca="false">Share_Prices!I199/Share_Prices!I198-1</f>
        <v>-0.0248447204968943</v>
      </c>
      <c r="J199" s="14" t="n">
        <f aca="false">Share_Prices!J199/Share_Prices!J198-1</f>
        <v>-0.00516412721137127</v>
      </c>
      <c r="K199" s="14" t="n">
        <f aca="false">Share_Prices!K199/Share_Prices!K198-1</f>
        <v>-0.00975268967444465</v>
      </c>
      <c r="L199" s="14" t="n">
        <f aca="false">Share_Prices!L199/Share_Prices!L198-1</f>
        <v>-0.00226901434017068</v>
      </c>
      <c r="M199" s="14" t="n">
        <f aca="false">Share_Prices!M199/Share_Prices!M198-1</f>
        <v>-0.0161173048957829</v>
      </c>
      <c r="N199" s="14" t="n">
        <f aca="false">Share_Prices!N199/Share_Prices!N198-1</f>
        <v>-0.0112461008044655</v>
      </c>
      <c r="O199" s="14" t="n">
        <f aca="false">Share_Prices!O199/Share_Prices!O198-1</f>
        <v>-0.0074024226110363</v>
      </c>
      <c r="P199" s="14" t="n">
        <f aca="false">Share_Prices!P199/Share_Prices!P198-1</f>
        <v>-0.00220511933587009</v>
      </c>
      <c r="Q199" s="14" t="n">
        <f aca="false">Share_Prices!Q199/Share_Prices!Q198-1</f>
        <v>-0.00589588725913148</v>
      </c>
      <c r="R199" s="14" t="n">
        <f aca="false">Share_Prices!R199/Share_Prices!R198-1</f>
        <v>-0.00507422402159252</v>
      </c>
      <c r="S199" s="14" t="n">
        <f aca="false">Share_Prices!S199/Share_Prices!S198-1</f>
        <v>-0.0246639878065679</v>
      </c>
    </row>
    <row r="200" customFormat="false" ht="15" hidden="false" customHeight="false" outlineLevel="0" collapsed="false">
      <c r="A200" s="13" t="n">
        <f aca="false">Share_Prices!A200</f>
        <v>45092</v>
      </c>
      <c r="B200" s="14" t="n">
        <f aca="false">Share_Prices!B200/Share_Prices!B199-1</f>
        <v>-0.00361486252325949</v>
      </c>
      <c r="C200" s="14" t="n">
        <f aca="false">Share_Prices!C200/Share_Prices!C199-1</f>
        <v>-0.00160407360086545</v>
      </c>
      <c r="D200" s="14" t="n">
        <f aca="false">Share_Prices!D200/Share_Prices!D199-1</f>
        <v>-0.00733116113744081</v>
      </c>
      <c r="E200" s="14" t="n">
        <f aca="false">Share_Prices!E200/Share_Prices!E199-1</f>
        <v>-0.0210322494491554</v>
      </c>
      <c r="F200" s="14" t="n">
        <f aca="false">Share_Prices!F200/Share_Prices!F199-1</f>
        <v>0.02155733135105</v>
      </c>
      <c r="G200" s="14" t="n">
        <f aca="false">Share_Prices!G200/Share_Prices!G199-1</f>
        <v>0.00965535738232526</v>
      </c>
      <c r="H200" s="14" t="n">
        <f aca="false">Share_Prices!H200/Share_Prices!H199-1</f>
        <v>-0.0143145692456309</v>
      </c>
      <c r="I200" s="14" t="n">
        <f aca="false">Share_Prices!I200/Share_Prices!I199-1</f>
        <v>-0.0175997318136104</v>
      </c>
      <c r="J200" s="14" t="n">
        <f aca="false">Share_Prices!J200/Share_Prices!J199-1</f>
        <v>-0.0127460554042247</v>
      </c>
      <c r="K200" s="14" t="n">
        <f aca="false">Share_Prices!K200/Share_Prices!K199-1</f>
        <v>0.00419065357263793</v>
      </c>
      <c r="L200" s="14" t="n">
        <f aca="false">Share_Prices!L200/Share_Prices!L199-1</f>
        <v>0.0123715091421814</v>
      </c>
      <c r="M200" s="14" t="n">
        <f aca="false">Share_Prices!M200/Share_Prices!M199-1</f>
        <v>-0.0233197848667733</v>
      </c>
      <c r="N200" s="14" t="n">
        <f aca="false">Share_Prices!N200/Share_Prices!N199-1</f>
        <v>0.00554171855541719</v>
      </c>
      <c r="O200" s="14" t="n">
        <f aca="false">Share_Prices!O200/Share_Prices!O199-1</f>
        <v>-0.00305084745762707</v>
      </c>
      <c r="P200" s="14" t="n">
        <f aca="false">Share_Prices!P200/Share_Prices!P199-1</f>
        <v>0.00173332755557487</v>
      </c>
      <c r="Q200" s="14" t="n">
        <f aca="false">Share_Prices!Q200/Share_Prices!Q199-1</f>
        <v>-0.0176479097352813</v>
      </c>
      <c r="R200" s="14" t="n">
        <f aca="false">Share_Prices!R200/Share_Prices!R199-1</f>
        <v>-0.00960338560034713</v>
      </c>
      <c r="S200" s="14" t="n">
        <f aca="false">Share_Prices!S200/Share_Prices!S199-1</f>
        <v>0.0045461002983378</v>
      </c>
    </row>
    <row r="201" customFormat="false" ht="15" hidden="false" customHeight="false" outlineLevel="0" collapsed="false">
      <c r="A201" s="13" t="n">
        <f aca="false">Share_Prices!A201</f>
        <v>45093</v>
      </c>
      <c r="B201" s="14" t="n">
        <f aca="false">Share_Prices!B201/Share_Prices!B200-1</f>
        <v>0.00737902729544482</v>
      </c>
      <c r="C201" s="14" t="n">
        <f aca="false">Share_Prices!C201/Share_Prices!C200-1</f>
        <v>0.00767206887425465</v>
      </c>
      <c r="D201" s="14" t="n">
        <f aca="false">Share_Prices!D201/Share_Prices!D200-1</f>
        <v>0.00988437150317045</v>
      </c>
      <c r="E201" s="14" t="n">
        <f aca="false">Share_Prices!E201/Share_Prices!E200-1</f>
        <v>0.0225753648888283</v>
      </c>
      <c r="F201" s="14" t="n">
        <f aca="false">Share_Prices!F201/Share_Prices!F200-1</f>
        <v>0.00448729610090348</v>
      </c>
      <c r="G201" s="14" t="n">
        <f aca="false">Share_Prices!G201/Share_Prices!G200-1</f>
        <v>0.0264311329525833</v>
      </c>
      <c r="H201" s="14" t="n">
        <f aca="false">Share_Prices!H201/Share_Prices!H200-1</f>
        <v>0.0155024946543121</v>
      </c>
      <c r="I201" s="14" t="n">
        <f aca="false">Share_Prices!I201/Share_Prices!I200-1</f>
        <v>-0.00272990957174546</v>
      </c>
      <c r="J201" s="14" t="n">
        <f aca="false">Share_Prices!J201/Share_Prices!J200-1</f>
        <v>-0.00562236451663289</v>
      </c>
      <c r="K201" s="14" t="n">
        <f aca="false">Share_Prices!K201/Share_Prices!K200-1</f>
        <v>0.0107490620916411</v>
      </c>
      <c r="L201" s="14" t="n">
        <f aca="false">Share_Prices!L201/Share_Prices!L200-1</f>
        <v>0.0123551082756761</v>
      </c>
      <c r="M201" s="14" t="n">
        <f aca="false">Share_Prices!M201/Share_Prices!M200-1</f>
        <v>-0.0102148051620498</v>
      </c>
      <c r="N201" s="14" t="n">
        <f aca="false">Share_Prices!N201/Share_Prices!N200-1</f>
        <v>0.0278655025078953</v>
      </c>
      <c r="O201" s="14" t="n">
        <f aca="false">Share_Prices!O201/Share_Prices!O200-1</f>
        <v>0.0370622237334239</v>
      </c>
      <c r="P201" s="14" t="n">
        <f aca="false">Share_Prices!P201/Share_Prices!P200-1</f>
        <v>0.0103819699788035</v>
      </c>
      <c r="Q201" s="14" t="n">
        <f aca="false">Share_Prices!Q201/Share_Prices!Q200-1</f>
        <v>0.0160506552790458</v>
      </c>
      <c r="R201" s="14" t="n">
        <f aca="false">Share_Prices!R201/Share_Prices!R200-1</f>
        <v>0.000219130053686678</v>
      </c>
      <c r="S201" s="14" t="n">
        <f aca="false">Share_Prices!S201/Share_Prices!S200-1</f>
        <v>-0.00898034224296407</v>
      </c>
    </row>
    <row r="202" customFormat="false" ht="15" hidden="false" customHeight="false" outlineLevel="0" collapsed="false">
      <c r="A202" s="13" t="n">
        <f aca="false">Share_Prices!A202</f>
        <v>45096</v>
      </c>
      <c r="B202" s="14" t="n">
        <f aca="false">Share_Prices!B202/Share_Prices!B201-1</f>
        <v>-0.00374747689365762</v>
      </c>
      <c r="C202" s="14" t="n">
        <f aca="false">Share_Prices!C202/Share_Prices!C201-1</f>
        <v>-0.00242870694529851</v>
      </c>
      <c r="D202" s="14" t="n">
        <f aca="false">Share_Prices!D202/Share_Prices!D201-1</f>
        <v>0.0132594644506001</v>
      </c>
      <c r="E202" s="14" t="n">
        <f aca="false">Share_Prices!E202/Share_Prices!E201-1</f>
        <v>-0.00593610351497353</v>
      </c>
      <c r="F202" s="14" t="n">
        <f aca="false">Share_Prices!F202/Share_Prices!F201-1</f>
        <v>0.000362209477814623</v>
      </c>
      <c r="G202" s="14" t="n">
        <f aca="false">Share_Prices!G202/Share_Prices!G201-1</f>
        <v>-0.00478778467908891</v>
      </c>
      <c r="H202" s="14" t="n">
        <f aca="false">Share_Prices!H202/Share_Prices!H201-1</f>
        <v>0.000877346902965481</v>
      </c>
      <c r="I202" s="14" t="n">
        <f aca="false">Share_Prices!I202/Share_Prices!I201-1</f>
        <v>-0.0200171086398632</v>
      </c>
      <c r="J202" s="14" t="n">
        <f aca="false">Share_Prices!J202/Share_Prices!J201-1</f>
        <v>0.00298413695618027</v>
      </c>
      <c r="K202" s="14" t="n">
        <f aca="false">Share_Prices!K202/Share_Prices!K201-1</f>
        <v>0.02541218339033</v>
      </c>
      <c r="L202" s="14" t="n">
        <f aca="false">Share_Prices!L202/Share_Prices!L201-1</f>
        <v>0.00497048772910835</v>
      </c>
      <c r="M202" s="14" t="n">
        <f aca="false">Share_Prices!M202/Share_Prices!M201-1</f>
        <v>0.0809904017667547</v>
      </c>
      <c r="N202" s="14" t="n">
        <f aca="false">Share_Prices!N202/Share_Prices!N201-1</f>
        <v>0.00526136112617226</v>
      </c>
      <c r="O202" s="14" t="n">
        <f aca="false">Share_Prices!O202/Share_Prices!O201-1</f>
        <v>0.0368852459016393</v>
      </c>
      <c r="P202" s="14" t="n">
        <f aca="false">Share_Prices!P202/Share_Prices!P201-1</f>
        <v>0.0108318705313184</v>
      </c>
      <c r="Q202" s="14" t="n">
        <f aca="false">Share_Prices!Q202/Share_Prices!Q201-1</f>
        <v>-0.0114492753623188</v>
      </c>
      <c r="R202" s="14" t="n">
        <f aca="false">Share_Prices!R202/Share_Prices!R201-1</f>
        <v>-0.00816080622193005</v>
      </c>
      <c r="S202" s="14" t="n">
        <f aca="false">Share_Prices!S202/Share_Prices!S201-1</f>
        <v>0.0487691758829825</v>
      </c>
    </row>
    <row r="203" customFormat="false" ht="15" hidden="false" customHeight="false" outlineLevel="0" collapsed="false">
      <c r="A203" s="13" t="n">
        <f aca="false">Share_Prices!A203</f>
        <v>45097</v>
      </c>
      <c r="B203" s="14" t="n">
        <f aca="false">Share_Prices!B203/Share_Prices!B202-1</f>
        <v>0.00326571743146653</v>
      </c>
      <c r="C203" s="14" t="n">
        <f aca="false">Share_Prices!C203/Share_Prices!C202-1</f>
        <v>0.00358068782659071</v>
      </c>
      <c r="D203" s="14" t="n">
        <f aca="false">Share_Prices!D203/Share_Prices!D202-1</f>
        <v>-0.00546766785740327</v>
      </c>
      <c r="E203" s="14" t="n">
        <f aca="false">Share_Prices!E203/Share_Prices!E202-1</f>
        <v>0.00805152979066026</v>
      </c>
      <c r="F203" s="14" t="n">
        <f aca="false">Share_Prices!F203/Share_Prices!F202-1</f>
        <v>-0.0213022750588378</v>
      </c>
      <c r="G203" s="14" t="n">
        <f aca="false">Share_Prices!G203/Share_Prices!G202-1</f>
        <v>0.0156026524509167</v>
      </c>
      <c r="H203" s="14" t="n">
        <f aca="false">Share_Prices!H203/Share_Prices!H202-1</f>
        <v>0.0323457223001404</v>
      </c>
      <c r="I203" s="14" t="n">
        <f aca="false">Share_Prices!I203/Share_Prices!I202-1</f>
        <v>0.0403282122905029</v>
      </c>
      <c r="J203" s="14" t="n">
        <f aca="false">Share_Prices!J203/Share_Prices!J202-1</f>
        <v>0.0170685875352334</v>
      </c>
      <c r="K203" s="14" t="n">
        <f aca="false">Share_Prices!K203/Share_Prices!K202-1</f>
        <v>-0.0186139204468426</v>
      </c>
      <c r="L203" s="14" t="n">
        <f aca="false">Share_Prices!L203/Share_Prices!L202-1</f>
        <v>-0.00914109074850955</v>
      </c>
      <c r="M203" s="14" t="n">
        <f aca="false">Share_Prices!M203/Share_Prices!M202-1</f>
        <v>0.0140258515695595</v>
      </c>
      <c r="N203" s="14" t="n">
        <f aca="false">Share_Prices!N203/Share_Prices!N202-1</f>
        <v>-0.0432689426476757</v>
      </c>
      <c r="O203" s="14" t="n">
        <f aca="false">Share_Prices!O203/Share_Prices!O202-1</f>
        <v>0.012806324110672</v>
      </c>
      <c r="P203" s="14" t="n">
        <f aca="false">Share_Prices!P203/Share_Prices!P202-1</f>
        <v>0.00910631088521807</v>
      </c>
      <c r="Q203" s="14" t="n">
        <f aca="false">Share_Prices!Q203/Share_Prices!Q202-1</f>
        <v>0.000293212138982479</v>
      </c>
      <c r="R203" s="14" t="n">
        <f aca="false">Share_Prices!R203/Share_Prices!R202-1</f>
        <v>-0.0128665304544703</v>
      </c>
      <c r="S203" s="14" t="n">
        <f aca="false">Share_Prices!S203/Share_Prices!S202-1</f>
        <v>0.061094669524101</v>
      </c>
    </row>
    <row r="204" customFormat="false" ht="15" hidden="false" customHeight="false" outlineLevel="0" collapsed="false">
      <c r="A204" s="13" t="n">
        <f aca="false">Share_Prices!A204</f>
        <v>45098</v>
      </c>
      <c r="B204" s="14" t="n">
        <f aca="false">Share_Prices!B204/Share_Prices!B203-1</f>
        <v>0.00213374289859525</v>
      </c>
      <c r="C204" s="14" t="n">
        <f aca="false">Share_Prices!C204/Share_Prices!C203-1</f>
        <v>0.00253087200886415</v>
      </c>
      <c r="D204" s="14" t="n">
        <f aca="false">Share_Prices!D204/Share_Prices!D203-1</f>
        <v>0.0140008796364168</v>
      </c>
      <c r="E204" s="14" t="n">
        <f aca="false">Share_Prices!E204/Share_Prices!E203-1</f>
        <v>-0.00931842385516501</v>
      </c>
      <c r="F204" s="14" t="n">
        <f aca="false">Share_Prices!F204/Share_Prices!F203-1</f>
        <v>-0.0553089160192379</v>
      </c>
      <c r="G204" s="14" t="n">
        <f aca="false">Share_Prices!G204/Share_Prices!G203-1</f>
        <v>0.0387914479580078</v>
      </c>
      <c r="H204" s="14" t="n">
        <f aca="false">Share_Prices!H204/Share_Prices!H203-1</f>
        <v>0.022841131018086</v>
      </c>
      <c r="I204" s="14" t="n">
        <f aca="false">Share_Prices!I204/Share_Prices!I203-1</f>
        <v>0.0515187111931532</v>
      </c>
      <c r="J204" s="14" t="n">
        <f aca="false">Share_Prices!J204/Share_Prices!J203-1</f>
        <v>0.00279702335129595</v>
      </c>
      <c r="K204" s="14" t="n">
        <f aca="false">Share_Prices!K204/Share_Prices!K203-1</f>
        <v>-0.00587105775739405</v>
      </c>
      <c r="L204" s="14" t="n">
        <f aca="false">Share_Prices!L204/Share_Prices!L203-1</f>
        <v>0.0110972457438272</v>
      </c>
      <c r="M204" s="14" t="n">
        <f aca="false">Share_Prices!M204/Share_Prices!M203-1</f>
        <v>0.0184812088337853</v>
      </c>
      <c r="N204" s="14" t="n">
        <f aca="false">Share_Prices!N204/Share_Prices!N203-1</f>
        <v>-0.0128828847639531</v>
      </c>
      <c r="O204" s="14" t="n">
        <f aca="false">Share_Prices!O204/Share_Prices!O203-1</f>
        <v>0.0173275054636279</v>
      </c>
      <c r="P204" s="14" t="n">
        <f aca="false">Share_Prices!P204/Share_Prices!P203-1</f>
        <v>0.0334522560335782</v>
      </c>
      <c r="Q204" s="14" t="n">
        <f aca="false">Share_Prices!Q204/Share_Prices!Q203-1</f>
        <v>0.0256485416972005</v>
      </c>
      <c r="R204" s="14" t="n">
        <f aca="false">Share_Prices!R204/Share_Prices!R203-1</f>
        <v>-0.00895054822107855</v>
      </c>
      <c r="S204" s="14" t="n">
        <f aca="false">Share_Prices!S204/Share_Prices!S203-1</f>
        <v>0.112012310454269</v>
      </c>
    </row>
    <row r="205" customFormat="false" ht="15" hidden="false" customHeight="false" outlineLevel="0" collapsed="false">
      <c r="A205" s="13" t="n">
        <f aca="false">Share_Prices!A205</f>
        <v>45099</v>
      </c>
      <c r="B205" s="14" t="n">
        <f aca="false">Share_Prices!B205/Share_Prices!B204-1</f>
        <v>-0.00453946443865216</v>
      </c>
      <c r="C205" s="14" t="n">
        <f aca="false">Share_Prices!C205/Share_Prices!C204-1</f>
        <v>-0.00616651119546585</v>
      </c>
      <c r="D205" s="14" t="n">
        <f aca="false">Share_Prices!D205/Share_Prices!D204-1</f>
        <v>-0.0048434902045833</v>
      </c>
      <c r="E205" s="14" t="n">
        <f aca="false">Share_Prices!E205/Share_Prices!E204-1</f>
        <v>-0.014713786616501</v>
      </c>
      <c r="F205" s="14" t="n">
        <f aca="false">Share_Prices!F205/Share_Prices!F204-1</f>
        <v>-0.0176228705698062</v>
      </c>
      <c r="G205" s="14" t="n">
        <f aca="false">Share_Prices!G205/Share_Prices!G204-1</f>
        <v>-0.00776435789992602</v>
      </c>
      <c r="H205" s="14" t="n">
        <f aca="false">Share_Prices!H205/Share_Prices!H204-1</f>
        <v>0.0146106591399635</v>
      </c>
      <c r="I205" s="14" t="n">
        <f aca="false">Share_Prices!I205/Share_Prices!I204-1</f>
        <v>0</v>
      </c>
      <c r="J205" s="14" t="n">
        <f aca="false">Share_Prices!J205/Share_Prices!J204-1</f>
        <v>0.0118989738734359</v>
      </c>
      <c r="K205" s="14" t="n">
        <f aca="false">Share_Prices!K205/Share_Prices!K204-1</f>
        <v>-0.0244566727808349</v>
      </c>
      <c r="L205" s="14" t="n">
        <f aca="false">Share_Prices!L205/Share_Prices!L204-1</f>
        <v>-0.0301053466743068</v>
      </c>
      <c r="M205" s="14" t="n">
        <f aca="false">Share_Prices!M205/Share_Prices!M204-1</f>
        <v>0.0160155209799522</v>
      </c>
      <c r="N205" s="14" t="n">
        <f aca="false">Share_Prices!N205/Share_Prices!N204-1</f>
        <v>-0.0176622387680853</v>
      </c>
      <c r="O205" s="14" t="n">
        <f aca="false">Share_Prices!O205/Share_Prices!O204-1</f>
        <v>-0.0398956575111248</v>
      </c>
      <c r="P205" s="14" t="n">
        <f aca="false">Share_Prices!P205/Share_Prices!P204-1</f>
        <v>-0.0172203720250181</v>
      </c>
      <c r="Q205" s="14" t="n">
        <f aca="false">Share_Prices!Q205/Share_Prices!Q204-1</f>
        <v>-0.00585881680480127</v>
      </c>
      <c r="R205" s="14" t="n">
        <f aca="false">Share_Prices!R205/Share_Prices!R204-1</f>
        <v>-0.00620907654097991</v>
      </c>
      <c r="S205" s="14" t="n">
        <f aca="false">Share_Prices!S205/Share_Prices!S204-1</f>
        <v>-0.00899472424827752</v>
      </c>
    </row>
    <row r="206" customFormat="false" ht="15" hidden="false" customHeight="false" outlineLevel="0" collapsed="false">
      <c r="A206" s="13" t="n">
        <f aca="false">Share_Prices!A206</f>
        <v>45100</v>
      </c>
      <c r="B206" s="14" t="n">
        <f aca="false">Share_Prices!B206/Share_Prices!B205-1</f>
        <v>-0.00563361523606576</v>
      </c>
      <c r="C206" s="14" t="n">
        <f aca="false">Share_Prices!C206/Share_Prices!C205-1</f>
        <v>-0.00799216891356069</v>
      </c>
      <c r="D206" s="14" t="n">
        <f aca="false">Share_Prices!D206/Share_Prices!D205-1</f>
        <v>0.0126761586517508</v>
      </c>
      <c r="E206" s="14" t="n">
        <f aca="false">Share_Prices!E206/Share_Prices!E205-1</f>
        <v>0.00456870098874873</v>
      </c>
      <c r="F206" s="14" t="n">
        <f aca="false">Share_Prices!F206/Share_Prices!F205-1</f>
        <v>0.00372068301109563</v>
      </c>
      <c r="G206" s="14" t="n">
        <f aca="false">Share_Prices!G206/Share_Prices!G205-1</f>
        <v>-0.0320457086076265</v>
      </c>
      <c r="H206" s="14" t="n">
        <f aca="false">Share_Prices!H206/Share_Prices!H205-1</f>
        <v>-0.0364097529045983</v>
      </c>
      <c r="I206" s="14" t="n">
        <f aca="false">Share_Prices!I206/Share_Prices!I205-1</f>
        <v>-0.0338333865304821</v>
      </c>
      <c r="J206" s="14" t="n">
        <f aca="false">Share_Prices!J206/Share_Prices!J205-1</f>
        <v>-0.00192190977139384</v>
      </c>
      <c r="K206" s="14" t="n">
        <f aca="false">Share_Prices!K206/Share_Prices!K205-1</f>
        <v>-0.00572616944903426</v>
      </c>
      <c r="L206" s="14" t="n">
        <f aca="false">Share_Prices!L206/Share_Prices!L205-1</f>
        <v>-0.00913470278131245</v>
      </c>
      <c r="M206" s="14" t="n">
        <f aca="false">Share_Prices!M206/Share_Prices!M205-1</f>
        <v>0.0361689381458739</v>
      </c>
      <c r="N206" s="14" t="n">
        <f aca="false">Share_Prices!N206/Share_Prices!N205-1</f>
        <v>-0.00867767705260447</v>
      </c>
      <c r="O206" s="14" t="n">
        <f aca="false">Share_Prices!O206/Share_Prices!O205-1</f>
        <v>-0.0228544030685633</v>
      </c>
      <c r="P206" s="14" t="n">
        <f aca="false">Share_Prices!P206/Share_Prices!P205-1</f>
        <v>0.00987684932639055</v>
      </c>
      <c r="Q206" s="14" t="n">
        <f aca="false">Share_Prices!Q206/Share_Prices!Q205-1</f>
        <v>-0.0199798763834987</v>
      </c>
      <c r="R206" s="14" t="n">
        <f aca="false">Share_Prices!R206/Share_Prices!R205-1</f>
        <v>-0.026354651823242</v>
      </c>
      <c r="S206" s="14" t="n">
        <f aca="false">Share_Prices!S206/Share_Prices!S205-1</f>
        <v>-0.0244945454545455</v>
      </c>
    </row>
    <row r="207" customFormat="false" ht="15" hidden="false" customHeight="false" outlineLevel="0" collapsed="false">
      <c r="A207" s="13" t="n">
        <f aca="false">Share_Prices!A207</f>
        <v>45103</v>
      </c>
      <c r="B207" s="14" t="n">
        <f aca="false">Share_Prices!B207/Share_Prices!B206-1</f>
        <v>0.00137687176877122</v>
      </c>
      <c r="C207" s="14" t="n">
        <f aca="false">Share_Prices!C207/Share_Prices!C206-1</f>
        <v>0.0033943716509075</v>
      </c>
      <c r="D207" s="14" t="n">
        <f aca="false">Share_Prices!D207/Share_Prices!D206-1</f>
        <v>0.0496036727520535</v>
      </c>
      <c r="E207" s="14" t="n">
        <f aca="false">Share_Prices!E207/Share_Prices!E206-1</f>
        <v>0.00787401574803148</v>
      </c>
      <c r="F207" s="14" t="n">
        <f aca="false">Share_Prices!F207/Share_Prices!F206-1</f>
        <v>-0.000794333752565102</v>
      </c>
      <c r="G207" s="14" t="n">
        <f aca="false">Share_Prices!G207/Share_Prices!G206-1</f>
        <v>0.00538945207237274</v>
      </c>
      <c r="H207" s="14" t="n">
        <f aca="false">Share_Prices!H207/Share_Prices!H206-1</f>
        <v>0.0219071070731085</v>
      </c>
      <c r="I207" s="14" t="n">
        <f aca="false">Share_Prices!I207/Share_Prices!I206-1</f>
        <v>-0.0061116617112652</v>
      </c>
      <c r="J207" s="14" t="n">
        <f aca="false">Share_Prices!J207/Share_Prices!J206-1</f>
        <v>0.0506993006993006</v>
      </c>
      <c r="K207" s="14" t="n">
        <f aca="false">Share_Prices!K207/Share_Prices!K206-1</f>
        <v>0.00128936133635138</v>
      </c>
      <c r="L207" s="14" t="n">
        <f aca="false">Share_Prices!L207/Share_Prices!L206-1</f>
        <v>-0.0115121772233181</v>
      </c>
      <c r="M207" s="14" t="n">
        <f aca="false">Share_Prices!M207/Share_Prices!M206-1</f>
        <v>-0.0409048204090483</v>
      </c>
      <c r="N207" s="14" t="n">
        <f aca="false">Share_Prices!N207/Share_Prices!N206-1</f>
        <v>0.0214170902298101</v>
      </c>
      <c r="O207" s="14" t="n">
        <f aca="false">Share_Prices!O207/Share_Prices!O206-1</f>
        <v>0.00997710173372601</v>
      </c>
      <c r="P207" s="14" t="n">
        <f aca="false">Share_Prices!P207/Share_Prices!P206-1</f>
        <v>0.0130130539755289</v>
      </c>
      <c r="Q207" s="14" t="n">
        <f aca="false">Share_Prices!Q207/Share_Prices!Q206-1</f>
        <v>-0.0108536227632736</v>
      </c>
      <c r="R207" s="14" t="n">
        <f aca="false">Share_Prices!R207/Share_Prices!R206-1</f>
        <v>-0.014292381285731</v>
      </c>
      <c r="S207" s="14" t="n">
        <f aca="false">Share_Prices!S207/Share_Prices!S206-1</f>
        <v>0.015924611576656</v>
      </c>
    </row>
    <row r="208" customFormat="false" ht="15" hidden="false" customHeight="false" outlineLevel="0" collapsed="false">
      <c r="A208" s="13" t="n">
        <f aca="false">Share_Prices!A208</f>
        <v>45104</v>
      </c>
      <c r="B208" s="14" t="n">
        <f aca="false">Share_Prices!B208/Share_Prices!B207-1</f>
        <v>0.00675184043828114</v>
      </c>
      <c r="C208" s="14" t="n">
        <f aca="false">Share_Prices!C208/Share_Prices!C207-1</f>
        <v>0.00605932348446903</v>
      </c>
      <c r="D208" s="14" t="n">
        <f aca="false">Share_Prices!D208/Share_Prices!D207-1</f>
        <v>0.031130399125205</v>
      </c>
      <c r="E208" s="14" t="n">
        <f aca="false">Share_Prices!E208/Share_Prices!E207-1</f>
        <v>0.05078125</v>
      </c>
      <c r="F208" s="14" t="n">
        <f aca="false">Share_Prices!F208/Share_Prices!F207-1</f>
        <v>0.0180192116594899</v>
      </c>
      <c r="G208" s="14" t="n">
        <f aca="false">Share_Prices!G208/Share_Prices!G207-1</f>
        <v>0.00804084237396285</v>
      </c>
      <c r="H208" s="14" t="n">
        <f aca="false">Share_Prices!H208/Share_Prices!H207-1</f>
        <v>-0.0125467386788533</v>
      </c>
      <c r="I208" s="14" t="n">
        <f aca="false">Share_Prices!I208/Share_Prices!I207-1</f>
        <v>-0.00265913245803562</v>
      </c>
      <c r="J208" s="14" t="n">
        <f aca="false">Share_Prices!J208/Share_Prices!J207-1</f>
        <v>0.049482746147725</v>
      </c>
      <c r="K208" s="14" t="n">
        <f aca="false">Share_Prices!K208/Share_Prices!K207-1</f>
        <v>0.002933096777886</v>
      </c>
      <c r="L208" s="14" t="n">
        <f aca="false">Share_Prices!L208/Share_Prices!L207-1</f>
        <v>0.0150798069784708</v>
      </c>
      <c r="M208" s="14" t="n">
        <f aca="false">Share_Prices!M208/Share_Prices!M207-1</f>
        <v>0.0201944088614272</v>
      </c>
      <c r="N208" s="14" t="n">
        <f aca="false">Share_Prices!N208/Share_Prices!N207-1</f>
        <v>0.0256039469207212</v>
      </c>
      <c r="O208" s="14" t="n">
        <f aca="false">Share_Prices!O208/Share_Prices!O207-1</f>
        <v>0.0278542510121458</v>
      </c>
      <c r="P208" s="14" t="n">
        <f aca="false">Share_Prices!P208/Share_Prices!P207-1</f>
        <v>0.000282771157341877</v>
      </c>
      <c r="Q208" s="14" t="n">
        <f aca="false">Share_Prices!Q208/Share_Prices!Q207-1</f>
        <v>0.0121589561091342</v>
      </c>
      <c r="R208" s="14" t="n">
        <f aca="false">Share_Prices!R208/Share_Prices!R207-1</f>
        <v>0.0189974551695566</v>
      </c>
      <c r="S208" s="14" t="n">
        <f aca="false">Share_Prices!S208/Share_Prices!S207-1</f>
        <v>-0.00422696451111049</v>
      </c>
    </row>
    <row r="209" customFormat="false" ht="15" hidden="false" customHeight="false" outlineLevel="0" collapsed="false">
      <c r="A209" s="13" t="n">
        <f aca="false">Share_Prices!A209</f>
        <v>45105</v>
      </c>
      <c r="B209" s="14" t="n">
        <f aca="false">Share_Prices!B209/Share_Prices!B208-1</f>
        <v>0.00822111450040897</v>
      </c>
      <c r="C209" s="14" t="n">
        <f aca="false">Share_Prices!C209/Share_Prices!C208-1</f>
        <v>0.00703436755653164</v>
      </c>
      <c r="D209" s="14" t="n">
        <f aca="false">Share_Prices!D209/Share_Prices!D208-1</f>
        <v>0.016006628003314</v>
      </c>
      <c r="E209" s="14" t="n">
        <f aca="false">Share_Prices!E209/Share_Prices!E208-1</f>
        <v>0.00256377387514428</v>
      </c>
      <c r="F209" s="14" t="n">
        <f aca="false">Share_Prices!F209/Share_Prices!F208-1</f>
        <v>0.0213444393830937</v>
      </c>
      <c r="G209" s="14" t="n">
        <f aca="false">Share_Prices!G209/Share_Prices!G208-1</f>
        <v>-0.00493795897695615</v>
      </c>
      <c r="H209" s="14" t="n">
        <f aca="false">Share_Prices!H209/Share_Prices!H208-1</f>
        <v>-0.00580612588354101</v>
      </c>
      <c r="I209" s="14" t="n">
        <f aca="false">Share_Prices!I209/Share_Prices!I208-1</f>
        <v>0.0303282786202299</v>
      </c>
      <c r="J209" s="14" t="n">
        <f aca="false">Share_Prices!J209/Share_Prices!J208-1</f>
        <v>0.0181981112566347</v>
      </c>
      <c r="K209" s="14" t="n">
        <f aca="false">Share_Prices!K209/Share_Prices!K208-1</f>
        <v>0.0101145555444597</v>
      </c>
      <c r="L209" s="14" t="n">
        <f aca="false">Share_Prices!L209/Share_Prices!L208-1</f>
        <v>0.030762901677561</v>
      </c>
      <c r="M209" s="14" t="n">
        <f aca="false">Share_Prices!M209/Share_Prices!M208-1</f>
        <v>-0.0208287170396633</v>
      </c>
      <c r="N209" s="14" t="n">
        <f aca="false">Share_Prices!N209/Share_Prices!N208-1</f>
        <v>0.0100771336153271</v>
      </c>
      <c r="O209" s="14" t="n">
        <f aca="false">Share_Prices!O209/Share_Prices!O208-1</f>
        <v>0.0286749645501811</v>
      </c>
      <c r="P209" s="14" t="n">
        <f aca="false">Share_Prices!P209/Share_Prices!P208-1</f>
        <v>0.00759227849123656</v>
      </c>
      <c r="Q209" s="14" t="n">
        <f aca="false">Share_Prices!Q209/Share_Prices!Q208-1</f>
        <v>0.0105479050688544</v>
      </c>
      <c r="R209" s="14" t="n">
        <f aca="false">Share_Prices!R209/Share_Prices!R208-1</f>
        <v>-0.00493669415727727</v>
      </c>
      <c r="S209" s="14" t="n">
        <f aca="false">Share_Prices!S209/Share_Prices!S208-1</f>
        <v>0.00285941691477754</v>
      </c>
    </row>
    <row r="210" customFormat="false" ht="15" hidden="false" customHeight="false" outlineLevel="0" collapsed="false">
      <c r="A210" s="13" t="n">
        <f aca="false">Share_Prices!A210</f>
        <v>45107</v>
      </c>
      <c r="B210" s="14" t="n">
        <f aca="false">Share_Prices!B210/Share_Prices!B209-1</f>
        <v>0.0114352127597894</v>
      </c>
      <c r="C210" s="14" t="n">
        <f aca="false">Share_Prices!C210/Share_Prices!C209-1</f>
        <v>0.00938736392008455</v>
      </c>
      <c r="D210" s="14" t="n">
        <f aca="false">Share_Prices!D210/Share_Prices!D209-1</f>
        <v>0.00264205101441717</v>
      </c>
      <c r="E210" s="14" t="n">
        <f aca="false">Share_Prices!E210/Share_Prices!E209-1</f>
        <v>-0.00607339214934155</v>
      </c>
      <c r="F210" s="14" t="n">
        <f aca="false">Share_Prices!F210/Share_Prices!F209-1</f>
        <v>-0.000955718381650206</v>
      </c>
      <c r="G210" s="14" t="n">
        <f aca="false">Share_Prices!G210/Share_Prices!G209-1</f>
        <v>-0.00190863977605293</v>
      </c>
      <c r="H210" s="14" t="n">
        <f aca="false">Share_Prices!H210/Share_Prices!H209-1</f>
        <v>-0.0395260262378333</v>
      </c>
      <c r="I210" s="14" t="n">
        <f aca="false">Share_Prices!I210/Share_Prices!I209-1</f>
        <v>0.00970402717127605</v>
      </c>
      <c r="J210" s="14" t="n">
        <f aca="false">Share_Prices!J210/Share_Prices!J209-1</f>
        <v>0.0039266129578226</v>
      </c>
      <c r="K210" s="14" t="n">
        <f aca="false">Share_Prices!K210/Share_Prices!K209-1</f>
        <v>0.00992853712962183</v>
      </c>
      <c r="L210" s="14" t="n">
        <f aca="false">Share_Prices!L210/Share_Prices!L209-1</f>
        <v>0.0128603104212861</v>
      </c>
      <c r="M210" s="14" t="n">
        <f aca="false">Share_Prices!M210/Share_Prices!M209-1</f>
        <v>-0.0588745568378969</v>
      </c>
      <c r="N210" s="14" t="n">
        <f aca="false">Share_Prices!N210/Share_Prices!N209-1</f>
        <v>0.00827277579340646</v>
      </c>
      <c r="O210" s="14" t="n">
        <f aca="false">Share_Prices!O210/Share_Prices!O209-1</f>
        <v>0.0306325624138459</v>
      </c>
      <c r="P210" s="14" t="n">
        <f aca="false">Share_Prices!P210/Share_Prices!P209-1</f>
        <v>-0.00629258517034059</v>
      </c>
      <c r="Q210" s="14" t="n">
        <f aca="false">Share_Prices!Q210/Share_Prices!Q209-1</f>
        <v>-0.0115975645114526</v>
      </c>
      <c r="R210" s="14" t="n">
        <f aca="false">Share_Prices!R210/Share_Prices!R209-1</f>
        <v>-0.0110313430222377</v>
      </c>
      <c r="S210" s="14" t="n">
        <f aca="false">Share_Prices!S210/Share_Prices!S209-1</f>
        <v>0.0201058201058202</v>
      </c>
    </row>
    <row r="211" customFormat="false" ht="15" hidden="false" customHeight="false" outlineLevel="0" collapsed="false">
      <c r="A211" s="13" t="n">
        <f aca="false">Share_Prices!A211</f>
        <v>45110</v>
      </c>
      <c r="B211" s="14" t="n">
        <f aca="false">Share_Prices!B211/Share_Prices!B210-1</f>
        <v>0.00695709271694023</v>
      </c>
      <c r="C211" s="14" t="n">
        <f aca="false">Share_Prices!C211/Share_Prices!C210-1</f>
        <v>0.0059616555082167</v>
      </c>
      <c r="D211" s="14" t="n">
        <f aca="false">Share_Prices!D211/Share_Prices!D210-1</f>
        <v>-0.000618107290412895</v>
      </c>
      <c r="E211" s="14" t="n">
        <f aca="false">Share_Prices!E211/Share_Prices!E210-1</f>
        <v>0.00141506399948543</v>
      </c>
      <c r="F211" s="14" t="n">
        <f aca="false">Share_Prices!F211/Share_Prices!F210-1</f>
        <v>0.00867346938775504</v>
      </c>
      <c r="G211" s="14" t="n">
        <f aca="false">Share_Prices!G211/Share_Prices!G210-1</f>
        <v>0.0109637939826619</v>
      </c>
      <c r="H211" s="14" t="n">
        <f aca="false">Share_Prices!H211/Share_Prices!H210-1</f>
        <v>-0.0037892139584067</v>
      </c>
      <c r="I211" s="14" t="n">
        <f aca="false">Share_Prices!I211/Share_Prices!I210-1</f>
        <v>-0.0110523786641038</v>
      </c>
      <c r="J211" s="14" t="n">
        <f aca="false">Share_Prices!J211/Share_Prices!J210-1</f>
        <v>-0.00305707285274337</v>
      </c>
      <c r="K211" s="14" t="n">
        <f aca="false">Share_Prices!K211/Share_Prices!K210-1</f>
        <v>0.0240669006698457</v>
      </c>
      <c r="L211" s="14" t="n">
        <f aca="false">Share_Prices!L211/Share_Prices!L210-1</f>
        <v>0.0237740805604203</v>
      </c>
      <c r="M211" s="14" t="n">
        <f aca="false">Share_Prices!M211/Share_Prices!M210-1</f>
        <v>0.0121829038592554</v>
      </c>
      <c r="N211" s="14" t="n">
        <f aca="false">Share_Prices!N211/Share_Prices!N210-1</f>
        <v>-0.0123582466355844</v>
      </c>
      <c r="O211" s="14" t="n">
        <f aca="false">Share_Prices!O211/Share_Prices!O210-1</f>
        <v>0.0216971318175063</v>
      </c>
      <c r="P211" s="14" t="n">
        <f aca="false">Share_Prices!P211/Share_Prices!P210-1</f>
        <v>0.0068971080546929</v>
      </c>
      <c r="Q211" s="14" t="n">
        <f aca="false">Share_Prices!Q211/Share_Prices!Q210-1</f>
        <v>0.00528014080375483</v>
      </c>
      <c r="R211" s="14" t="n">
        <f aca="false">Share_Prices!R211/Share_Prices!R210-1</f>
        <v>-0.00548866855524088</v>
      </c>
      <c r="S211" s="14" t="n">
        <f aca="false">Share_Prices!S211/Share_Prices!S210-1</f>
        <v>0.0131108805901337</v>
      </c>
    </row>
    <row r="212" customFormat="false" ht="15" hidden="false" customHeight="false" outlineLevel="0" collapsed="false">
      <c r="A212" s="13" t="n">
        <f aca="false">Share_Prices!A212</f>
        <v>45111</v>
      </c>
      <c r="B212" s="14" t="n">
        <f aca="false">Share_Prices!B212/Share_Prices!B211-1</f>
        <v>0.0034389870902134</v>
      </c>
      <c r="C212" s="14" t="n">
        <f aca="false">Share_Prices!C212/Share_Prices!C211-1</f>
        <v>0.0017001503513745</v>
      </c>
      <c r="D212" s="14" t="n">
        <f aca="false">Share_Prices!D212/Share_Prices!D211-1</f>
        <v>-0.00276692708333337</v>
      </c>
      <c r="E212" s="14" t="n">
        <f aca="false">Share_Prices!E212/Share_Prices!E211-1</f>
        <v>0.0249855482047658</v>
      </c>
      <c r="F212" s="14" t="n">
        <f aca="false">Share_Prices!F212/Share_Prices!F211-1</f>
        <v>0.0242159838138596</v>
      </c>
      <c r="G212" s="14" t="n">
        <f aca="false">Share_Prices!G212/Share_Prices!G211-1</f>
        <v>-0.0158890290037831</v>
      </c>
      <c r="H212" s="14" t="n">
        <f aca="false">Share_Prices!H212/Share_Prices!H211-1</f>
        <v>0.00318443166740368</v>
      </c>
      <c r="I212" s="14" t="n">
        <f aca="false">Share_Prices!I212/Share_Prices!I211-1</f>
        <v>-0.00712666018788466</v>
      </c>
      <c r="J212" s="14" t="n">
        <f aca="false">Share_Prices!J212/Share_Prices!J211-1</f>
        <v>-0.0162115848571623</v>
      </c>
      <c r="K212" s="14" t="n">
        <f aca="false">Share_Prices!K212/Share_Prices!K211-1</f>
        <v>0.0719377304383451</v>
      </c>
      <c r="L212" s="14" t="n">
        <f aca="false">Share_Prices!L212/Share_Prices!L211-1</f>
        <v>0.015481332592054</v>
      </c>
      <c r="M212" s="14" t="n">
        <f aca="false">Share_Prices!M212/Share_Prices!M211-1</f>
        <v>-0.00906679336421568</v>
      </c>
      <c r="N212" s="14" t="n">
        <f aca="false">Share_Prices!N212/Share_Prices!N211-1</f>
        <v>0.0106163677592248</v>
      </c>
      <c r="O212" s="14" t="n">
        <f aca="false">Share_Prices!O212/Share_Prices!O211-1</f>
        <v>-0.00218181818181817</v>
      </c>
      <c r="P212" s="14" t="n">
        <f aca="false">Share_Prices!P212/Share_Prices!P211-1</f>
        <v>-0.00484697965069691</v>
      </c>
      <c r="Q212" s="14" t="n">
        <f aca="false">Share_Prices!Q212/Share_Prices!Q211-1</f>
        <v>0.0468339655675518</v>
      </c>
      <c r="R212" s="14" t="n">
        <f aca="false">Share_Prices!R212/Share_Prices!R211-1</f>
        <v>-0.00433208711649158</v>
      </c>
      <c r="S212" s="14" t="n">
        <f aca="false">Share_Prices!S212/Share_Prices!S211-1</f>
        <v>0.011234676754174</v>
      </c>
    </row>
    <row r="213" customFormat="false" ht="15" hidden="false" customHeight="false" outlineLevel="0" collapsed="false">
      <c r="A213" s="13" t="n">
        <f aca="false">Share_Prices!A213</f>
        <v>45112</v>
      </c>
      <c r="B213" s="14" t="n">
        <f aca="false">Share_Prices!B213/Share_Prices!B212-1</f>
        <v>0.000489968538862184</v>
      </c>
      <c r="C213" s="14" t="n">
        <f aca="false">Share_Prices!C213/Share_Prices!C212-1</f>
        <v>0.00248549623853522</v>
      </c>
      <c r="D213" s="14" t="n">
        <f aca="false">Share_Prices!D213/Share_Prices!D212-1</f>
        <v>0.00558185082422069</v>
      </c>
      <c r="E213" s="14" t="n">
        <f aca="false">Share_Prices!E213/Share_Prices!E212-1</f>
        <v>-0.036345406692568</v>
      </c>
      <c r="F213" s="14" t="n">
        <f aca="false">Share_Prices!F213/Share_Prices!F212-1</f>
        <v>-0.0190752515587382</v>
      </c>
      <c r="G213" s="14" t="n">
        <f aca="false">Share_Prices!G213/Share_Prices!G212-1</f>
        <v>0.00909789851358278</v>
      </c>
      <c r="H213" s="14" t="n">
        <f aca="false">Share_Prices!H213/Share_Prices!H212-1</f>
        <v>-0.00925844281809363</v>
      </c>
      <c r="I213" s="14" t="n">
        <f aca="false">Share_Prices!I213/Share_Prices!I212-1</f>
        <v>0.0748776508972266</v>
      </c>
      <c r="J213" s="14" t="n">
        <f aca="false">Share_Prices!J213/Share_Prices!J212-1</f>
        <v>0.0132929959662633</v>
      </c>
      <c r="K213" s="14" t="n">
        <f aca="false">Share_Prices!K213/Share_Prices!K212-1</f>
        <v>-0.00276440164080627</v>
      </c>
      <c r="L213" s="14" t="n">
        <f aca="false">Share_Prices!L213/Share_Prices!L212-1</f>
        <v>-0.000673826068645966</v>
      </c>
      <c r="M213" s="14" t="n">
        <f aca="false">Share_Prices!M213/Share_Prices!M212-1</f>
        <v>-0.00115870225347614</v>
      </c>
      <c r="N213" s="14" t="n">
        <f aca="false">Share_Prices!N213/Share_Prices!N212-1</f>
        <v>0.00652728199898012</v>
      </c>
      <c r="O213" s="14" t="n">
        <f aca="false">Share_Prices!O213/Share_Prices!O212-1</f>
        <v>0.000583090379008722</v>
      </c>
      <c r="P213" s="14" t="n">
        <f aca="false">Share_Prices!P213/Share_Prices!P212-1</f>
        <v>0.0144507507144869</v>
      </c>
      <c r="Q213" s="14" t="n">
        <f aca="false">Share_Prices!Q213/Share_Prices!Q212-1</f>
        <v>0.0268989547038327</v>
      </c>
      <c r="R213" s="14" t="n">
        <f aca="false">Share_Prices!R213/Share_Prices!R212-1</f>
        <v>-0.0029204911193228</v>
      </c>
      <c r="S213" s="14" t="n">
        <f aca="false">Share_Prices!S213/Share_Prices!S212-1</f>
        <v>0.0138099791865893</v>
      </c>
    </row>
    <row r="214" customFormat="false" ht="15" hidden="false" customHeight="false" outlineLevel="0" collapsed="false">
      <c r="A214" s="13" t="n">
        <f aca="false">Share_Prices!A214</f>
        <v>45113</v>
      </c>
      <c r="B214" s="14" t="n">
        <f aca="false">Share_Prices!B214/Share_Prices!B213-1</f>
        <v>0.00509317730752379</v>
      </c>
      <c r="C214" s="14" t="n">
        <f aca="false">Share_Prices!C214/Share_Prices!C213-1</f>
        <v>0.00589557274721031</v>
      </c>
      <c r="D214" s="14" t="n">
        <f aca="false">Share_Prices!D214/Share_Prices!D213-1</f>
        <v>-0.00172044406933702</v>
      </c>
      <c r="E214" s="14" t="n">
        <f aca="false">Share_Prices!E214/Share_Prices!E213-1</f>
        <v>-0.000390167772141958</v>
      </c>
      <c r="F214" s="14" t="n">
        <f aca="false">Share_Prices!F214/Share_Prices!F213-1</f>
        <v>-0.0091881686595342</v>
      </c>
      <c r="G214" s="14" t="n">
        <f aca="false">Share_Prices!G214/Share_Prices!G213-1</f>
        <v>0.0114285714285713</v>
      </c>
      <c r="H214" s="14" t="n">
        <f aca="false">Share_Prices!H214/Share_Prices!H213-1</f>
        <v>0.0321288714845143</v>
      </c>
      <c r="I214" s="14" t="n">
        <f aca="false">Share_Prices!I214/Share_Prices!I213-1</f>
        <v>-0.0169980270147214</v>
      </c>
      <c r="J214" s="14" t="n">
        <f aca="false">Share_Prices!J214/Share_Prices!J213-1</f>
        <v>0.0109246358454718</v>
      </c>
      <c r="K214" s="14" t="n">
        <f aca="false">Share_Prices!K214/Share_Prices!K213-1</f>
        <v>-0.00924873213167932</v>
      </c>
      <c r="L214" s="14" t="n">
        <f aca="false">Share_Prices!L214/Share_Prices!L213-1</f>
        <v>-0.0176577184036412</v>
      </c>
      <c r="M214" s="14" t="n">
        <f aca="false">Share_Prices!M214/Share_Prices!M213-1</f>
        <v>0.0238409536381454</v>
      </c>
      <c r="N214" s="14" t="n">
        <f aca="false">Share_Prices!N214/Share_Prices!N213-1</f>
        <v>0.00836964231431758</v>
      </c>
      <c r="O214" s="14" t="n">
        <f aca="false">Share_Prices!O214/Share_Prices!O213-1</f>
        <v>-0.00655594405594406</v>
      </c>
      <c r="P214" s="14" t="n">
        <f aca="false">Share_Prices!P214/Share_Prices!P213-1</f>
        <v>0.000238076343147542</v>
      </c>
      <c r="Q214" s="14" t="n">
        <f aca="false">Share_Prices!Q214/Share_Prices!Q213-1</f>
        <v>-0.017372421281216</v>
      </c>
      <c r="R214" s="14" t="n">
        <f aca="false">Share_Prices!R214/Share_Prices!R213-1</f>
        <v>0.00520054994321217</v>
      </c>
      <c r="S214" s="14" t="n">
        <f aca="false">Share_Prices!S214/Share_Prices!S213-1</f>
        <v>-0.0171452351227632</v>
      </c>
    </row>
    <row r="215" customFormat="false" ht="15" hidden="false" customHeight="false" outlineLevel="0" collapsed="false">
      <c r="A215" s="13" t="n">
        <f aca="false">Share_Prices!A215</f>
        <v>45114</v>
      </c>
      <c r="B215" s="14" t="n">
        <f aca="false">Share_Prices!B215/Share_Prices!B214-1</f>
        <v>-0.00848835479784382</v>
      </c>
      <c r="C215" s="14" t="n">
        <f aca="false">Share_Prices!C215/Share_Prices!C214-1</f>
        <v>-0.00779572388222849</v>
      </c>
      <c r="D215" s="14" t="n">
        <f aca="false">Share_Prices!D215/Share_Prices!D214-1</f>
        <v>0.0170715052190029</v>
      </c>
      <c r="E215" s="14" t="n">
        <f aca="false">Share_Prices!E215/Share_Prices!E214-1</f>
        <v>0.00709081446786364</v>
      </c>
      <c r="F215" s="14" t="n">
        <f aca="false">Share_Prices!F215/Share_Prices!F214-1</f>
        <v>-0.00470020325203258</v>
      </c>
      <c r="G215" s="14" t="n">
        <f aca="false">Share_Prices!G215/Share_Prices!G214-1</f>
        <v>-0.0210922787193973</v>
      </c>
      <c r="H215" s="14" t="n">
        <f aca="false">Share_Prices!H215/Share_Prices!H214-1</f>
        <v>0.00569112701560748</v>
      </c>
      <c r="I215" s="14" t="n">
        <f aca="false">Share_Prices!I215/Share_Prices!I214-1</f>
        <v>-0.0250115794349236</v>
      </c>
      <c r="J215" s="14" t="n">
        <f aca="false">Share_Prices!J215/Share_Prices!J214-1</f>
        <v>0.00962076294887582</v>
      </c>
      <c r="K215" s="14" t="n">
        <f aca="false">Share_Prices!K215/Share_Prices!K214-1</f>
        <v>-0.0185283082120247</v>
      </c>
      <c r="L215" s="14" t="n">
        <f aca="false">Share_Prices!L215/Share_Prices!L214-1</f>
        <v>0.00965250965250974</v>
      </c>
      <c r="M215" s="14" t="n">
        <f aca="false">Share_Prices!M215/Share_Prices!M214-1</f>
        <v>0.00164094549716731</v>
      </c>
      <c r="N215" s="14" t="n">
        <f aca="false">Share_Prices!N215/Share_Prices!N214-1</f>
        <v>-0.00458217774026282</v>
      </c>
      <c r="O215" s="14" t="n">
        <f aca="false">Share_Prices!O215/Share_Prices!O214-1</f>
        <v>-0.0356357237131544</v>
      </c>
      <c r="P215" s="14" t="n">
        <f aca="false">Share_Prices!P215/Share_Prices!P214-1</f>
        <v>0.00622818152967297</v>
      </c>
      <c r="Q215" s="14" t="n">
        <f aca="false">Share_Prices!Q215/Share_Prices!Q214-1</f>
        <v>-0.00069060773480667</v>
      </c>
      <c r="R215" s="14" t="n">
        <f aca="false">Share_Prices!R215/Share_Prices!R214-1</f>
        <v>-0.00487630827783048</v>
      </c>
      <c r="S215" s="14" t="n">
        <f aca="false">Share_Prices!S215/Share_Prices!S214-1</f>
        <v>-0.0297795466734411</v>
      </c>
    </row>
    <row r="216" customFormat="false" ht="15" hidden="false" customHeight="false" outlineLevel="0" collapsed="false">
      <c r="A216" s="13" t="n">
        <f aca="false">Share_Prices!A216</f>
        <v>45117</v>
      </c>
      <c r="B216" s="14" t="n">
        <f aca="false">Share_Prices!B216/Share_Prices!B215-1</f>
        <v>0.00124665059642681</v>
      </c>
      <c r="C216" s="14" t="n">
        <f aca="false">Share_Prices!C216/Share_Prices!C215-1</f>
        <v>-0.00067311000971948</v>
      </c>
      <c r="D216" s="14" t="n">
        <f aca="false">Share_Prices!D216/Share_Prices!D215-1</f>
        <v>-0.0117654581494981</v>
      </c>
      <c r="E216" s="14" t="n">
        <f aca="false">Share_Prices!E216/Share_Prices!E215-1</f>
        <v>0.0056197920031007</v>
      </c>
      <c r="F216" s="14" t="n">
        <f aca="false">Share_Prices!F216/Share_Prices!F215-1</f>
        <v>0.00644543714103385</v>
      </c>
      <c r="G216" s="14" t="n">
        <f aca="false">Share_Prices!G216/Share_Prices!G215-1</f>
        <v>0.00012825445684217</v>
      </c>
      <c r="H216" s="14" t="n">
        <f aca="false">Share_Prices!H216/Share_Prices!H215-1</f>
        <v>0.0306096201663379</v>
      </c>
      <c r="I216" s="14" t="n">
        <f aca="false">Share_Prices!I216/Share_Prices!I215-1</f>
        <v>-0.00665083135391931</v>
      </c>
      <c r="J216" s="14" t="n">
        <f aca="false">Share_Prices!J216/Share_Prices!J215-1</f>
        <v>-0.0125872576177286</v>
      </c>
      <c r="K216" s="14" t="n">
        <f aca="false">Share_Prices!K216/Share_Prices!K215-1</f>
        <v>-0.0116920651602733</v>
      </c>
      <c r="L216" s="14" t="n">
        <f aca="false">Share_Prices!L216/Share_Prices!L215-1</f>
        <v>-0.0215848735925218</v>
      </c>
      <c r="M216" s="14" t="n">
        <f aca="false">Share_Prices!M216/Share_Prices!M215-1</f>
        <v>-0.00982954323828833</v>
      </c>
      <c r="N216" s="14" t="n">
        <f aca="false">Share_Prices!N216/Share_Prices!N215-1</f>
        <v>0.0591156874621441</v>
      </c>
      <c r="O216" s="14" t="n">
        <f aca="false">Share_Prices!O216/Share_Prices!O215-1</f>
        <v>-0.000912408759124128</v>
      </c>
      <c r="P216" s="14" t="n">
        <f aca="false">Share_Prices!P216/Share_Prices!P215-1</f>
        <v>-0.0101714961561207</v>
      </c>
      <c r="Q216" s="14" t="n">
        <f aca="false">Share_Prices!Q216/Share_Prices!Q215-1</f>
        <v>0.00317899101589481</v>
      </c>
      <c r="R216" s="14" t="n">
        <f aca="false">Share_Prices!R216/Share_Prices!R215-1</f>
        <v>-0.00101589578104466</v>
      </c>
      <c r="S216" s="14" t="n">
        <f aca="false">Share_Prices!S216/Share_Prices!S215-1</f>
        <v>0.00267659723030356</v>
      </c>
    </row>
    <row r="217" customFormat="false" ht="15" hidden="false" customHeight="false" outlineLevel="0" collapsed="false">
      <c r="A217" s="13" t="n">
        <f aca="false">Share_Prices!A217</f>
        <v>45118</v>
      </c>
      <c r="B217" s="14" t="n">
        <f aca="false">Share_Prices!B217/Share_Prices!B216-1</f>
        <v>0.00431393011949854</v>
      </c>
      <c r="C217" s="14" t="n">
        <f aca="false">Share_Prices!C217/Share_Prices!C216-1</f>
        <v>0.00569357396360348</v>
      </c>
      <c r="D217" s="14" t="n">
        <f aca="false">Share_Prices!D217/Share_Prices!D216-1</f>
        <v>0.00472339048851511</v>
      </c>
      <c r="E217" s="14" t="n">
        <f aca="false">Share_Prices!E217/Share_Prices!E216-1</f>
        <v>0.00578108941418298</v>
      </c>
      <c r="F217" s="14" t="n">
        <f aca="false">Share_Prices!F217/Share_Prices!F216-1</f>
        <v>0.0071650497749034</v>
      </c>
      <c r="G217" s="14" t="n">
        <f aca="false">Share_Prices!G217/Share_Prices!G216-1</f>
        <v>0.00756604257501925</v>
      </c>
      <c r="H217" s="14" t="n">
        <f aca="false">Share_Prices!H217/Share_Prices!H216-1</f>
        <v>0.00865224625623973</v>
      </c>
      <c r="I217" s="14" t="n">
        <f aca="false">Share_Prices!I217/Share_Prices!I216-1</f>
        <v>0.00701418778893692</v>
      </c>
      <c r="J217" s="14" t="n">
        <f aca="false">Share_Prices!J217/Share_Prices!J216-1</f>
        <v>0.00657584666831257</v>
      </c>
      <c r="K217" s="14" t="n">
        <f aca="false">Share_Prices!K217/Share_Prices!K216-1</f>
        <v>-0.0118436793832247</v>
      </c>
      <c r="L217" s="14" t="n">
        <f aca="false">Share_Prices!L217/Share_Prices!L216-1</f>
        <v>-0.0168063577539409</v>
      </c>
      <c r="M217" s="14" t="n">
        <f aca="false">Share_Prices!M217/Share_Prices!M216-1</f>
        <v>0.018081544219027</v>
      </c>
      <c r="N217" s="14" t="n">
        <f aca="false">Share_Prices!N217/Share_Prices!N216-1</f>
        <v>-0.00331693926569832</v>
      </c>
      <c r="O217" s="14" t="n">
        <f aca="false">Share_Prices!O217/Share_Prices!O216-1</f>
        <v>-0.00791476407914771</v>
      </c>
      <c r="P217" s="14" t="n">
        <f aca="false">Share_Prices!P217/Share_Prices!P216-1</f>
        <v>0.0123471541801092</v>
      </c>
      <c r="Q217" s="14" t="n">
        <f aca="false">Share_Prices!Q217/Share_Prices!Q216-1</f>
        <v>0.00523560209424101</v>
      </c>
      <c r="R217" s="14" t="n">
        <f aca="false">Share_Prices!R217/Share_Prices!R216-1</f>
        <v>-0.00185439971286727</v>
      </c>
      <c r="S217" s="14" t="n">
        <f aca="false">Share_Prices!S217/Share_Prices!S216-1</f>
        <v>0.0217618384401115</v>
      </c>
    </row>
    <row r="218" customFormat="false" ht="15" hidden="false" customHeight="false" outlineLevel="0" collapsed="false">
      <c r="A218" s="13" t="n">
        <f aca="false">Share_Prices!A218</f>
        <v>45119</v>
      </c>
      <c r="B218" s="14" t="n">
        <f aca="false">Share_Prices!B218/Share_Prices!B217-1</f>
        <v>-0.00283444962293089</v>
      </c>
      <c r="C218" s="14" t="n">
        <f aca="false">Share_Prices!C218/Share_Prices!C217-1</f>
        <v>-0.000417467563671337</v>
      </c>
      <c r="D218" s="14" t="n">
        <f aca="false">Share_Prices!D218/Share_Prices!D217-1</f>
        <v>-0.00247939206594539</v>
      </c>
      <c r="E218" s="14" t="n">
        <f aca="false">Share_Prices!E218/Share_Prices!E217-1</f>
        <v>0.0159662792182911</v>
      </c>
      <c r="F218" s="14" t="n">
        <f aca="false">Share_Prices!F218/Share_Prices!F217-1</f>
        <v>0.00547720977083843</v>
      </c>
      <c r="G218" s="14" t="n">
        <f aca="false">Share_Prices!G218/Share_Prices!G217-1</f>
        <v>-0.000254550082728788</v>
      </c>
      <c r="H218" s="14" t="n">
        <f aca="false">Share_Prices!H218/Share_Prices!H217-1</f>
        <v>0.00915539425932033</v>
      </c>
      <c r="I218" s="14" t="n">
        <f aca="false">Share_Prices!I218/Share_Prices!I217-1</f>
        <v>-0.0183631470634795</v>
      </c>
      <c r="J218" s="14" t="n">
        <f aca="false">Share_Prices!J218/Share_Prices!J217-1</f>
        <v>-0.00700111482720167</v>
      </c>
      <c r="K218" s="14" t="n">
        <f aca="false">Share_Prices!K218/Share_Prices!K217-1</f>
        <v>-0.00162767860746049</v>
      </c>
      <c r="L218" s="14" t="n">
        <f aca="false">Share_Prices!L218/Share_Prices!L217-1</f>
        <v>0.0146201413427562</v>
      </c>
      <c r="M218" s="14" t="n">
        <f aca="false">Share_Prices!M218/Share_Prices!M217-1</f>
        <v>0.00297941495124587</v>
      </c>
      <c r="N218" s="14" t="n">
        <f aca="false">Share_Prices!N218/Share_Prices!N217-1</f>
        <v>0.00770790299135493</v>
      </c>
      <c r="O218" s="14" t="n">
        <f aca="false">Share_Prices!O218/Share_Prices!O217-1</f>
        <v>-0.00490948143602321</v>
      </c>
      <c r="P218" s="14" t="n">
        <f aca="false">Share_Prices!P218/Share_Prices!P217-1</f>
        <v>0.0116457489082111</v>
      </c>
      <c r="Q218" s="14" t="n">
        <f aca="false">Share_Prices!Q218/Share_Prices!Q217-1</f>
        <v>0.00932017543859653</v>
      </c>
      <c r="R218" s="14" t="n">
        <f aca="false">Share_Prices!R218/Share_Prices!R217-1</f>
        <v>0.00425506412561427</v>
      </c>
      <c r="S218" s="14" t="n">
        <f aca="false">Share_Prices!S218/Share_Prices!S217-1</f>
        <v>0.0254444255125803</v>
      </c>
    </row>
    <row r="219" customFormat="false" ht="15" hidden="false" customHeight="false" outlineLevel="0" collapsed="false">
      <c r="A219" s="13" t="n">
        <f aca="false">Share_Prices!A219</f>
        <v>45120</v>
      </c>
      <c r="B219" s="14" t="n">
        <f aca="false">Share_Prices!B219/Share_Prices!B218-1</f>
        <v>0.00151927075003999</v>
      </c>
      <c r="C219" s="14" t="n">
        <f aca="false">Share_Prices!C219/Share_Prices!C218-1</f>
        <v>-0.00103058400761957</v>
      </c>
      <c r="D219" s="14" t="n">
        <f aca="false">Share_Prices!D219/Share_Prices!D218-1</f>
        <v>-0.0152684076309759</v>
      </c>
      <c r="E219" s="14" t="n">
        <f aca="false">Share_Prices!E219/Share_Prices!E218-1</f>
        <v>-0.00402313301483526</v>
      </c>
      <c r="F219" s="14" t="n">
        <f aca="false">Share_Prices!F219/Share_Prices!F218-1</f>
        <v>-0.00262976645169355</v>
      </c>
      <c r="G219" s="14" t="n">
        <f aca="false">Share_Prices!G219/Share_Prices!G218-1</f>
        <v>-0.0147676639083386</v>
      </c>
      <c r="H219" s="14" t="n">
        <f aca="false">Share_Prices!H219/Share_Prices!H218-1</f>
        <v>0.0102165917449939</v>
      </c>
      <c r="I219" s="14" t="n">
        <f aca="false">Share_Prices!I219/Share_Prices!I218-1</f>
        <v>0.000161264312207754</v>
      </c>
      <c r="J219" s="14" t="n">
        <f aca="false">Share_Prices!J219/Share_Prices!J218-1</f>
        <v>-0.0251706484641639</v>
      </c>
      <c r="K219" s="14" t="n">
        <f aca="false">Share_Prices!K219/Share_Prices!K218-1</f>
        <v>0.00573984747635348</v>
      </c>
      <c r="L219" s="14" t="n">
        <f aca="false">Share_Prices!L219/Share_Prices!L218-1</f>
        <v>0.00195899177223446</v>
      </c>
      <c r="M219" s="14" t="n">
        <f aca="false">Share_Prices!M219/Share_Prices!M218-1</f>
        <v>-0.0234558851896145</v>
      </c>
      <c r="N219" s="14" t="n">
        <f aca="false">Share_Prices!N219/Share_Prices!N218-1</f>
        <v>-0.0107996279917248</v>
      </c>
      <c r="O219" s="14" t="n">
        <f aca="false">Share_Prices!O219/Share_Prices!O218-1</f>
        <v>-0.0120259019426459</v>
      </c>
      <c r="P219" s="14" t="n">
        <f aca="false">Share_Prices!P219/Share_Prices!P218-1</f>
        <v>-0.00606697001516754</v>
      </c>
      <c r="Q219" s="14" t="n">
        <f aca="false">Share_Prices!Q219/Share_Prices!Q218-1</f>
        <v>0.00271591526344372</v>
      </c>
      <c r="R219" s="14" t="n">
        <f aca="false">Share_Prices!R219/Share_Prices!R218-1</f>
        <v>-0.00250641522945638</v>
      </c>
      <c r="S219" s="14" t="n">
        <f aca="false">Share_Prices!S219/Share_Prices!S218-1</f>
        <v>-0.0091387427305456</v>
      </c>
    </row>
    <row r="220" customFormat="false" ht="15" hidden="false" customHeight="false" outlineLevel="0" collapsed="false">
      <c r="A220" s="13" t="n">
        <f aca="false">Share_Prices!A220</f>
        <v>45121</v>
      </c>
      <c r="B220" s="14" t="n">
        <f aca="false">Share_Prices!B220/Share_Prices!B219-1</f>
        <v>0.00776511493142751</v>
      </c>
      <c r="C220" s="14" t="n">
        <f aca="false">Share_Prices!C220/Share_Prices!C219-1</f>
        <v>0.00851484910279776</v>
      </c>
      <c r="D220" s="14" t="n">
        <f aca="false">Share_Prices!D220/Share_Prices!D219-1</f>
        <v>0.0218645512358227</v>
      </c>
      <c r="E220" s="14" t="n">
        <f aca="false">Share_Prices!E220/Share_Prices!E219-1</f>
        <v>0.0128755364806865</v>
      </c>
      <c r="F220" s="14" t="n">
        <f aca="false">Share_Prices!F220/Share_Prices!F219-1</f>
        <v>0.00904011551258699</v>
      </c>
      <c r="G220" s="14" t="n">
        <f aca="false">Share_Prices!G220/Share_Prices!G219-1</f>
        <v>0.0143429383641298</v>
      </c>
      <c r="H220" s="14" t="n">
        <f aca="false">Share_Prices!H220/Share_Prices!H219-1</f>
        <v>0.00372168284789631</v>
      </c>
      <c r="I220" s="14" t="n">
        <f aca="false">Share_Prices!I220/Share_Prices!I219-1</f>
        <v>0.0209609803289261</v>
      </c>
      <c r="J220" s="14" t="n">
        <f aca="false">Share_Prices!J220/Share_Prices!J219-1</f>
        <v>0.000414603247725465</v>
      </c>
      <c r="K220" s="14" t="n">
        <f aca="false">Share_Prices!K220/Share_Prices!K219-1</f>
        <v>0.00104496007716626</v>
      </c>
      <c r="L220" s="14" t="n">
        <f aca="false">Share_Prices!L220/Share_Prices!L219-1</f>
        <v>0.0117744177963155</v>
      </c>
      <c r="M220" s="14" t="n">
        <f aca="false">Share_Prices!M220/Share_Prices!M219-1</f>
        <v>0.00794058388970087</v>
      </c>
      <c r="N220" s="14" t="n">
        <f aca="false">Share_Prices!N220/Share_Prices!N219-1</f>
        <v>0.0200506542845083</v>
      </c>
      <c r="O220" s="14" t="n">
        <f aca="false">Share_Prices!O220/Share_Prices!O219-1</f>
        <v>-0.0126404494382021</v>
      </c>
      <c r="P220" s="14" t="n">
        <f aca="false">Share_Prices!P220/Share_Prices!P219-1</f>
        <v>0.0233986774660564</v>
      </c>
      <c r="Q220" s="14" t="n">
        <f aca="false">Share_Prices!Q220/Share_Prices!Q219-1</f>
        <v>-0.000541711809317391</v>
      </c>
      <c r="R220" s="14" t="n">
        <f aca="false">Share_Prices!R220/Share_Prices!R219-1</f>
        <v>0.00484594675441219</v>
      </c>
      <c r="S220" s="14" t="n">
        <f aca="false">Share_Prices!S220/Share_Prices!S219-1</f>
        <v>-0.00285075461151496</v>
      </c>
    </row>
    <row r="221" customFormat="false" ht="15" hidden="false" customHeight="false" outlineLevel="0" collapsed="false">
      <c r="A221" s="13" t="n">
        <f aca="false">Share_Prices!A221</f>
        <v>45124</v>
      </c>
      <c r="B221" s="14" t="n">
        <f aca="false">Share_Prices!B221/Share_Prices!B220-1</f>
        <v>0.00751105318306111</v>
      </c>
      <c r="C221" s="14" t="n">
        <f aca="false">Share_Prices!C221/Share_Prices!C220-1</f>
        <v>0.00635831427131373</v>
      </c>
      <c r="D221" s="14" t="n">
        <f aca="false">Share_Prices!D221/Share_Prices!D220-1</f>
        <v>-0.017707631604273</v>
      </c>
      <c r="E221" s="14" t="n">
        <f aca="false">Share_Prices!E221/Share_Prices!E220-1</f>
        <v>0.0117148554336988</v>
      </c>
      <c r="F221" s="14" t="n">
        <f aca="false">Share_Prices!F221/Share_Prices!F220-1</f>
        <v>-0.00976793380202823</v>
      </c>
      <c r="G221" s="14" t="n">
        <f aca="false">Share_Prices!G221/Share_Prices!G220-1</f>
        <v>-0.00675159235668787</v>
      </c>
      <c r="H221" s="14" t="n">
        <f aca="false">Share_Prices!H221/Share_Prices!H220-1</f>
        <v>0.0372400451394488</v>
      </c>
      <c r="I221" s="14" t="n">
        <f aca="false">Share_Prices!I221/Share_Prices!I220-1</f>
        <v>-0.00789639924194563</v>
      </c>
      <c r="J221" s="14" t="n">
        <f aca="false">Share_Prices!J221/Share_Prices!J220-1</f>
        <v>0.0144360279050491</v>
      </c>
      <c r="K221" s="14" t="n">
        <f aca="false">Share_Prices!K221/Share_Prices!K220-1</f>
        <v>0.00381413773721273</v>
      </c>
      <c r="L221" s="14" t="n">
        <f aca="false">Share_Prices!L221/Share_Prices!L220-1</f>
        <v>0.000257654485335213</v>
      </c>
      <c r="M221" s="14" t="n">
        <f aca="false">Share_Prices!M221/Share_Prices!M220-1</f>
        <v>0.0130124637453946</v>
      </c>
      <c r="N221" s="14" t="n">
        <f aca="false">Share_Prices!N221/Share_Prices!N220-1</f>
        <v>0.00630137501645889</v>
      </c>
      <c r="O221" s="14" t="n">
        <f aca="false">Share_Prices!O221/Share_Prices!O220-1</f>
        <v>0.010747589694958</v>
      </c>
      <c r="P221" s="14" t="n">
        <f aca="false">Share_Prices!P221/Share_Prices!P220-1</f>
        <v>0.00225578283311023</v>
      </c>
      <c r="Q221" s="14" t="n">
        <f aca="false">Share_Prices!Q221/Share_Prices!Q220-1</f>
        <v>-0.00582655826558265</v>
      </c>
      <c r="R221" s="14" t="n">
        <f aca="false">Share_Prices!R221/Share_Prices!R220-1</f>
        <v>0.00887115979995246</v>
      </c>
      <c r="S221" s="14" t="n">
        <f aca="false">Share_Prices!S221/Share_Prices!S220-1</f>
        <v>-0.00807220135657827</v>
      </c>
    </row>
    <row r="222" customFormat="false" ht="15" hidden="false" customHeight="false" outlineLevel="0" collapsed="false">
      <c r="A222" s="13" t="n">
        <f aca="false">Share_Prices!A222</f>
        <v>45125</v>
      </c>
      <c r="B222" s="14" t="n">
        <f aca="false">Share_Prices!B222/Share_Prices!B221-1</f>
        <v>0.00191766714270125</v>
      </c>
      <c r="C222" s="14" t="n">
        <f aca="false">Share_Prices!C222/Share_Prices!C221-1</f>
        <v>-2.96348102335475E-006</v>
      </c>
      <c r="D222" s="14" t="n">
        <f aca="false">Share_Prices!D222/Share_Prices!D221-1</f>
        <v>0.0140753077953037</v>
      </c>
      <c r="E222" s="14" t="n">
        <f aca="false">Share_Prices!E222/Share_Prices!E221-1</f>
        <v>-0.017430401576743</v>
      </c>
      <c r="F222" s="14" t="n">
        <f aca="false">Share_Prices!F222/Share_Prices!F221-1</f>
        <v>0.00402111083186729</v>
      </c>
      <c r="G222" s="14" t="n">
        <f aca="false">Share_Prices!G222/Share_Prices!G221-1</f>
        <v>-0.0126971912273953</v>
      </c>
      <c r="H222" s="14" t="n">
        <f aca="false">Share_Prices!H222/Share_Prices!H221-1</f>
        <v>-0.0177183711532484</v>
      </c>
      <c r="I222" s="14" t="n">
        <f aca="false">Share_Prices!I222/Share_Prices!I221-1</f>
        <v>-0.0120980579433302</v>
      </c>
      <c r="J222" s="14" t="n">
        <f aca="false">Share_Prices!J222/Share_Prices!J221-1</f>
        <v>-0.0302768951429867</v>
      </c>
      <c r="K222" s="14" t="n">
        <f aca="false">Share_Prices!K222/Share_Prices!K221-1</f>
        <v>-0.0121055368165638</v>
      </c>
      <c r="L222" s="14" t="n">
        <f aca="false">Share_Prices!L222/Share_Prices!L221-1</f>
        <v>-0.0160563259348302</v>
      </c>
      <c r="M222" s="14" t="n">
        <f aca="false">Share_Prices!M222/Share_Prices!M221-1</f>
        <v>0.0114137584152287</v>
      </c>
      <c r="N222" s="14" t="n">
        <f aca="false">Share_Prices!N222/Share_Prices!N221-1</f>
        <v>0.00798160678903881</v>
      </c>
      <c r="O222" s="14" t="n">
        <f aca="false">Share_Prices!O222/Share_Prices!O221-1</f>
        <v>-0.00922595777951518</v>
      </c>
      <c r="P222" s="14" t="n">
        <f aca="false">Share_Prices!P222/Share_Prices!P221-1</f>
        <v>-0.0160219729915313</v>
      </c>
      <c r="Q222" s="14" t="n">
        <f aca="false">Share_Prices!Q222/Share_Prices!Q221-1</f>
        <v>0.0113125255554041</v>
      </c>
      <c r="R222" s="14" t="n">
        <f aca="false">Share_Prices!R222/Share_Prices!R221-1</f>
        <v>-0.00542933018589553</v>
      </c>
      <c r="S222" s="14" t="n">
        <f aca="false">Share_Prices!S222/Share_Prices!S221-1</f>
        <v>0.0082791749081661</v>
      </c>
    </row>
    <row r="223" customFormat="false" ht="15" hidden="false" customHeight="false" outlineLevel="0" collapsed="false">
      <c r="A223" s="13" t="n">
        <f aca="false">Share_Prices!A223</f>
        <v>45126</v>
      </c>
      <c r="B223" s="14" t="n">
        <f aca="false">Share_Prices!B223/Share_Prices!B222-1</f>
        <v>0.00424826259225042</v>
      </c>
      <c r="C223" s="14" t="n">
        <f aca="false">Share_Prices!C223/Share_Prices!C222-1</f>
        <v>0.00483048838312006</v>
      </c>
      <c r="D223" s="14" t="n">
        <f aca="false">Share_Prices!D223/Share_Prices!D222-1</f>
        <v>-0.00660182918974628</v>
      </c>
      <c r="E223" s="14" t="n">
        <f aca="false">Share_Prices!E223/Share_Prices!E222-1</f>
        <v>0.0258885476086002</v>
      </c>
      <c r="F223" s="14" t="n">
        <f aca="false">Share_Prices!F223/Share_Prices!F222-1</f>
        <v>0.00306633291614533</v>
      </c>
      <c r="G223" s="14" t="n">
        <f aca="false">Share_Prices!G223/Share_Prices!G222-1</f>
        <v>-0.00285788516497787</v>
      </c>
      <c r="H223" s="14" t="n">
        <f aca="false">Share_Prices!H223/Share_Prices!H222-1</f>
        <v>0.0134493670886076</v>
      </c>
      <c r="I223" s="14" t="n">
        <f aca="false">Share_Prices!I223/Share_Prices!I222-1</f>
        <v>-0.0130518852723172</v>
      </c>
      <c r="J223" s="14" t="n">
        <f aca="false">Share_Prices!J223/Share_Prices!J222-1</f>
        <v>-0.00997050975986524</v>
      </c>
      <c r="K223" s="14" t="n">
        <f aca="false">Share_Prices!K223/Share_Prices!K222-1</f>
        <v>0.0222000296900093</v>
      </c>
      <c r="L223" s="14" t="n">
        <f aca="false">Share_Prices!L223/Share_Prices!L222-1</f>
        <v>0.0212487455822679</v>
      </c>
      <c r="M223" s="14" t="n">
        <f aca="false">Share_Prices!M223/Share_Prices!M222-1</f>
        <v>-7.65081672468027E-005</v>
      </c>
      <c r="N223" s="14" t="n">
        <f aca="false">Share_Prices!N223/Share_Prices!N222-1</f>
        <v>0.000630505331479014</v>
      </c>
      <c r="O223" s="14" t="n">
        <f aca="false">Share_Prices!O223/Share_Prices!O222-1</f>
        <v>0.0096275252525253</v>
      </c>
      <c r="P223" s="14" t="n">
        <f aca="false">Share_Prices!P223/Share_Prices!P222-1</f>
        <v>0.00236489105993631</v>
      </c>
      <c r="Q223" s="14" t="n">
        <f aca="false">Share_Prices!Q223/Share_Prices!Q222-1</f>
        <v>-0.00552560646900269</v>
      </c>
      <c r="R223" s="14" t="n">
        <f aca="false">Share_Prices!R223/Share_Prices!R222-1</f>
        <v>0.0274135168812675</v>
      </c>
      <c r="S223" s="14" t="n">
        <f aca="false">Share_Prices!S223/Share_Prices!S222-1</f>
        <v>0.000896785584171722</v>
      </c>
    </row>
    <row r="224" customFormat="false" ht="15" hidden="false" customHeight="false" outlineLevel="0" collapsed="false">
      <c r="A224" s="13" t="n">
        <f aca="false">Share_Prices!A224</f>
        <v>45127</v>
      </c>
      <c r="B224" s="14" t="n">
        <f aca="false">Share_Prices!B224/Share_Prices!B223-1</f>
        <v>0.00736141258448608</v>
      </c>
      <c r="C224" s="14" t="n">
        <f aca="false">Share_Prices!C224/Share_Prices!C223-1</f>
        <v>0.00525260270740557</v>
      </c>
      <c r="D224" s="14" t="n">
        <f aca="false">Share_Prices!D224/Share_Prices!D223-1</f>
        <v>0.016468376179207</v>
      </c>
      <c r="E224" s="14" t="n">
        <f aca="false">Share_Prices!E224/Share_Prices!E223-1</f>
        <v>0.0156421850177197</v>
      </c>
      <c r="F224" s="14" t="n">
        <f aca="false">Share_Prices!F224/Share_Prices!F223-1</f>
        <v>0.011104872418741</v>
      </c>
      <c r="G224" s="14" t="n">
        <f aca="false">Share_Prices!G224/Share_Prices!G223-1</f>
        <v>0.0109431995831162</v>
      </c>
      <c r="H224" s="14" t="n">
        <f aca="false">Share_Prices!H224/Share_Prices!H223-1</f>
        <v>0.0186572989851679</v>
      </c>
      <c r="I224" s="14" t="n">
        <f aca="false">Share_Prices!I224/Share_Prices!I223-1</f>
        <v>0.011265306122449</v>
      </c>
      <c r="J224" s="14" t="n">
        <f aca="false">Share_Prices!J224/Share_Prices!J223-1</f>
        <v>-0.00113475177304967</v>
      </c>
      <c r="K224" s="14" t="n">
        <f aca="false">Share_Prices!K224/Share_Prices!K223-1</f>
        <v>0.0015710815378116</v>
      </c>
      <c r="L224" s="14" t="n">
        <f aca="false">Share_Prices!L224/Share_Prices!L223-1</f>
        <v>-0.0100401606425703</v>
      </c>
      <c r="M224" s="14" t="n">
        <f aca="false">Share_Prices!M224/Share_Prices!M223-1</f>
        <v>0.00688626190749453</v>
      </c>
      <c r="N224" s="14" t="n">
        <f aca="false">Share_Prices!N224/Share_Prices!N223-1</f>
        <v>0.0119720528549452</v>
      </c>
      <c r="O224" s="14" t="n">
        <f aca="false">Share_Prices!O224/Share_Prices!O223-1</f>
        <v>0.00468969829607624</v>
      </c>
      <c r="P224" s="14" t="n">
        <f aca="false">Share_Prices!P224/Share_Prices!P223-1</f>
        <v>0.00135370334558105</v>
      </c>
      <c r="Q224" s="14" t="n">
        <f aca="false">Share_Prices!Q224/Share_Prices!Q223-1</f>
        <v>0.00975741970456712</v>
      </c>
      <c r="R224" s="14" t="n">
        <f aca="false">Share_Prices!R224/Share_Prices!R223-1</f>
        <v>-0.0142073346809124</v>
      </c>
      <c r="S224" s="14" t="n">
        <f aca="false">Share_Prices!S224/Share_Prices!S223-1</f>
        <v>-0.00162396752064953</v>
      </c>
    </row>
    <row r="225" customFormat="false" ht="15" hidden="false" customHeight="false" outlineLevel="0" collapsed="false">
      <c r="A225" s="13" t="n">
        <f aca="false">Share_Prices!A225</f>
        <v>45128</v>
      </c>
      <c r="B225" s="14" t="n">
        <f aca="false">Share_Prices!B225/Share_Prices!B224-1</f>
        <v>-0.0117197178058126</v>
      </c>
      <c r="C225" s="14" t="n">
        <f aca="false">Share_Prices!C225/Share_Prices!C224-1</f>
        <v>-0.00811204895980944</v>
      </c>
      <c r="D225" s="14" t="n">
        <f aca="false">Share_Prices!D225/Share_Prices!D224-1</f>
        <v>0.00436931908786464</v>
      </c>
      <c r="E225" s="14" t="n">
        <f aca="false">Share_Prices!E225/Share_Prices!E224-1</f>
        <v>0.00788112140536623</v>
      </c>
      <c r="F225" s="14" t="n">
        <f aca="false">Share_Prices!F225/Share_Prices!F224-1</f>
        <v>0.0023446658851114</v>
      </c>
      <c r="G225" s="14" t="n">
        <f aca="false">Share_Prices!G225/Share_Prices!G224-1</f>
        <v>-0.00554123711340204</v>
      </c>
      <c r="H225" s="14" t="n">
        <f aca="false">Share_Prices!H225/Share_Prices!H224-1</f>
        <v>-0.00344854011801665</v>
      </c>
      <c r="I225" s="14" t="n">
        <f aca="false">Share_Prices!I225/Share_Prices!I224-1</f>
        <v>-0.0153374233128835</v>
      </c>
      <c r="J225" s="14" t="n">
        <f aca="false">Share_Prices!J225/Share_Prices!J224-1</f>
        <v>-0.00470983622077048</v>
      </c>
      <c r="K225" s="14" t="n">
        <f aca="false">Share_Prices!K225/Share_Prices!K224-1</f>
        <v>-0.00196406680463468</v>
      </c>
      <c r="L225" s="14" t="n">
        <f aca="false">Share_Prices!L225/Share_Prices!L224-1</f>
        <v>-0.020542920029347</v>
      </c>
      <c r="M225" s="14" t="n">
        <f aca="false">Share_Prices!M225/Share_Prices!M224-1</f>
        <v>-0.0018617728637107</v>
      </c>
      <c r="N225" s="14" t="n">
        <f aca="false">Share_Prices!N225/Share_Prices!N224-1</f>
        <v>0.0105851112535484</v>
      </c>
      <c r="O225" s="14" t="n">
        <f aca="false">Share_Prices!O225/Share_Prices!O224-1</f>
        <v>-0.0273844717597636</v>
      </c>
      <c r="P225" s="14" t="n">
        <f aca="false">Share_Prices!P225/Share_Prices!P224-1</f>
        <v>-0.00598686751641564</v>
      </c>
      <c r="Q225" s="14" t="n">
        <f aca="false">Share_Prices!Q225/Share_Prices!Q224-1</f>
        <v>0.00724734934908056</v>
      </c>
      <c r="R225" s="14" t="n">
        <f aca="false">Share_Prices!R225/Share_Prices!R224-1</f>
        <v>-0.00837776085300845</v>
      </c>
      <c r="S225" s="14" t="n">
        <f aca="false">Share_Prices!S225/Share_Prices!S224-1</f>
        <v>0.0272877695824103</v>
      </c>
    </row>
    <row r="226" customFormat="false" ht="15" hidden="false" customHeight="false" outlineLevel="0" collapsed="false">
      <c r="A226" s="13" t="n">
        <f aca="false">Share_Prices!A226</f>
        <v>45131</v>
      </c>
      <c r="B226" s="14" t="n">
        <f aca="false">Share_Prices!B226/Share_Prices!B225-1</f>
        <v>-0.00367941250949611</v>
      </c>
      <c r="C226" s="14" t="n">
        <f aca="false">Share_Prices!C226/Share_Prices!C225-1</f>
        <v>-0.00231597877463119</v>
      </c>
      <c r="D226" s="14" t="n">
        <f aca="false">Share_Prices!D226/Share_Prices!D225-1</f>
        <v>0.0183538676489268</v>
      </c>
      <c r="E226" s="14" t="n">
        <f aca="false">Share_Prices!E226/Share_Prices!E225-1</f>
        <v>0.0624365785232497</v>
      </c>
      <c r="F226" s="14" t="n">
        <f aca="false">Share_Prices!F226/Share_Prices!F225-1</f>
        <v>0.0270236995998769</v>
      </c>
      <c r="G226" s="14" t="n">
        <f aca="false">Share_Prices!G226/Share_Prices!G225-1</f>
        <v>0.011792147207464</v>
      </c>
      <c r="H226" s="14" t="n">
        <f aca="false">Share_Prices!H226/Share_Prices!H225-1</f>
        <v>0.0601353429713933</v>
      </c>
      <c r="I226" s="14" t="n">
        <f aca="false">Share_Prices!I226/Share_Prices!I225-1</f>
        <v>-0.0180357435645188</v>
      </c>
      <c r="J226" s="14" t="n">
        <f aca="false">Share_Prices!J226/Share_Prices!J225-1</f>
        <v>0.03317242527287</v>
      </c>
      <c r="K226" s="14" t="n">
        <f aca="false">Share_Prices!K226/Share_Prices!K225-1</f>
        <v>-1.32075970097345E-005</v>
      </c>
      <c r="L226" s="14" t="n">
        <f aca="false">Share_Prices!L226/Share_Prices!L225-1</f>
        <v>0.00934126459572582</v>
      </c>
      <c r="M226" s="14" t="n">
        <f aca="false">Share_Prices!M226/Share_Prices!M225-1</f>
        <v>0.0452988199467073</v>
      </c>
      <c r="N226" s="14" t="n">
        <f aca="false">Share_Prices!N226/Share_Prices!N225-1</f>
        <v>-0.00483844662305433</v>
      </c>
      <c r="O226" s="14" t="n">
        <f aca="false">Share_Prices!O226/Share_Prices!O225-1</f>
        <v>0.0278355463125899</v>
      </c>
      <c r="P226" s="14" t="n">
        <f aca="false">Share_Prices!P226/Share_Prices!P225-1</f>
        <v>0.00777151738877024</v>
      </c>
      <c r="Q226" s="14" t="n">
        <f aca="false">Share_Prices!Q226/Share_Prices!Q225-1</f>
        <v>-0.0181212524983345</v>
      </c>
      <c r="R226" s="14" t="n">
        <f aca="false">Share_Prices!R226/Share_Prices!R225-1</f>
        <v>0.0159517901453385</v>
      </c>
      <c r="S226" s="14" t="n">
        <f aca="false">Share_Prices!S226/Share_Prices!S225-1</f>
        <v>-0.0192192192192193</v>
      </c>
    </row>
    <row r="227" customFormat="false" ht="15" hidden="false" customHeight="false" outlineLevel="0" collapsed="false">
      <c r="A227" s="13" t="n">
        <f aca="false">Share_Prices!A227</f>
        <v>45132</v>
      </c>
      <c r="B227" s="14" t="n">
        <f aca="false">Share_Prices!B227/Share_Prices!B226-1</f>
        <v>0.000419370334505009</v>
      </c>
      <c r="C227" s="14" t="n">
        <f aca="false">Share_Prices!C227/Share_Prices!C226-1</f>
        <v>0.00188258035060462</v>
      </c>
      <c r="D227" s="14" t="n">
        <f aca="false">Share_Prices!D227/Share_Prices!D226-1</f>
        <v>0.00982226379794193</v>
      </c>
      <c r="E227" s="14" t="n">
        <f aca="false">Share_Prices!E227/Share_Prices!E226-1</f>
        <v>-0.0435417720096635</v>
      </c>
      <c r="F227" s="14" t="n">
        <f aca="false">Share_Prices!F227/Share_Prices!F226-1</f>
        <v>-0.013366099256773</v>
      </c>
      <c r="G227" s="14" t="n">
        <f aca="false">Share_Prices!G227/Share_Prices!G226-1</f>
        <v>0.00537909836065587</v>
      </c>
      <c r="H227" s="14" t="n">
        <f aca="false">Share_Prices!H227/Share_Prices!H226-1</f>
        <v>-0.00674597417670098</v>
      </c>
      <c r="I227" s="14" t="n">
        <f aca="false">Share_Prices!I227/Share_Prices!I226-1</f>
        <v>0.056770746368342</v>
      </c>
      <c r="J227" s="14" t="n">
        <f aca="false">Share_Prices!J227/Share_Prices!J226-1</f>
        <v>0.0165255017492174</v>
      </c>
      <c r="K227" s="14" t="n">
        <f aca="false">Share_Prices!K227/Share_Prices!K226-1</f>
        <v>0.00327552732027536</v>
      </c>
      <c r="L227" s="14" t="n">
        <f aca="false">Share_Prices!L227/Share_Prices!L226-1</f>
        <v>-0.0156720653075477</v>
      </c>
      <c r="M227" s="14" t="n">
        <f aca="false">Share_Prices!M227/Share_Prices!M226-1</f>
        <v>-0.00243991260014564</v>
      </c>
      <c r="N227" s="14" t="n">
        <f aca="false">Share_Prices!N227/Share_Prices!N226-1</f>
        <v>0.0170624226090756</v>
      </c>
      <c r="O227" s="14" t="n">
        <f aca="false">Share_Prices!O227/Share_Prices!O226-1</f>
        <v>-0.0171206225680934</v>
      </c>
      <c r="P227" s="14" t="n">
        <f aca="false">Share_Prices!P227/Share_Prices!P226-1</f>
        <v>0.0119915172546752</v>
      </c>
      <c r="Q227" s="14" t="n">
        <f aca="false">Share_Prices!Q227/Share_Prices!Q226-1</f>
        <v>0.0305333152395169</v>
      </c>
      <c r="R227" s="14" t="n">
        <f aca="false">Share_Prices!R227/Share_Prices!R226-1</f>
        <v>0.0193649685973483</v>
      </c>
      <c r="S227" s="14" t="n">
        <f aca="false">Share_Prices!S227/Share_Prices!S226-1</f>
        <v>0.0151422368201302</v>
      </c>
    </row>
    <row r="228" customFormat="false" ht="15" hidden="false" customHeight="false" outlineLevel="0" collapsed="false">
      <c r="A228" s="13" t="n">
        <f aca="false">Share_Prices!A228</f>
        <v>45133</v>
      </c>
      <c r="B228" s="14" t="n">
        <f aca="false">Share_Prices!B228/Share_Prices!B227-1</f>
        <v>0.00496427954432277</v>
      </c>
      <c r="C228" s="14" t="n">
        <f aca="false">Share_Prices!C228/Share_Prices!C227-1</f>
        <v>0.00462214962507912</v>
      </c>
      <c r="D228" s="14" t="n">
        <f aca="false">Share_Prices!D228/Share_Prices!D227-1</f>
        <v>-0.00188358808090161</v>
      </c>
      <c r="E228" s="14" t="n">
        <f aca="false">Share_Prices!E228/Share_Prices!E227-1</f>
        <v>-0.0939849624060151</v>
      </c>
      <c r="F228" s="14" t="n">
        <f aca="false">Share_Prices!F228/Share_Prices!F227-1</f>
        <v>0.0212016280906386</v>
      </c>
      <c r="G228" s="14" t="n">
        <f aca="false">Share_Prices!G228/Share_Prices!G227-1</f>
        <v>0.00828025477707017</v>
      </c>
      <c r="H228" s="14" t="n">
        <f aca="false">Share_Prices!H228/Share_Prices!H227-1</f>
        <v>-0.0447673994011538</v>
      </c>
      <c r="I228" s="14" t="n">
        <f aca="false">Share_Prices!I228/Share_Prices!I227-1</f>
        <v>0.00363406541317746</v>
      </c>
      <c r="J228" s="14" t="n">
        <f aca="false">Share_Prices!J228/Share_Prices!J227-1</f>
        <v>0.0363175293211973</v>
      </c>
      <c r="K228" s="14" t="n">
        <f aca="false">Share_Prices!K228/Share_Prices!K227-1</f>
        <v>-0.0227880096365241</v>
      </c>
      <c r="L228" s="14" t="n">
        <f aca="false">Share_Prices!L228/Share_Prices!L227-1</f>
        <v>0.0125510023061912</v>
      </c>
      <c r="M228" s="14" t="n">
        <f aca="false">Share_Prices!M228/Share_Prices!M227-1</f>
        <v>0.035264483627204</v>
      </c>
      <c r="N228" s="14" t="n">
        <f aca="false">Share_Prices!N228/Share_Prices!N227-1</f>
        <v>0.00773458901043811</v>
      </c>
      <c r="O228" s="14" t="n">
        <f aca="false">Share_Prices!O228/Share_Prices!O227-1</f>
        <v>0.0136183689627871</v>
      </c>
      <c r="P228" s="14" t="n">
        <f aca="false">Share_Prices!P228/Share_Prices!P227-1</f>
        <v>-0.00205745637430466</v>
      </c>
      <c r="Q228" s="14" t="n">
        <f aca="false">Share_Prices!Q228/Share_Prices!Q227-1</f>
        <v>-0.00355543850408213</v>
      </c>
      <c r="R228" s="14" t="n">
        <f aca="false">Share_Prices!R228/Share_Prices!R227-1</f>
        <v>-0.00610417023218668</v>
      </c>
      <c r="S228" s="14" t="n">
        <f aca="false">Share_Prices!S228/Share_Prices!S227-1</f>
        <v>-0.00238552234713463</v>
      </c>
    </row>
    <row r="229" customFormat="false" ht="15" hidden="false" customHeight="false" outlineLevel="0" collapsed="false">
      <c r="A229" s="13" t="n">
        <f aca="false">Share_Prices!A229</f>
        <v>45134</v>
      </c>
      <c r="B229" s="14" t="n">
        <f aca="false">Share_Prices!B229/Share_Prices!B228-1</f>
        <v>-0.00598635878715548</v>
      </c>
      <c r="C229" s="14" t="n">
        <f aca="false">Share_Prices!C229/Share_Prices!C228-1</f>
        <v>-0.00328718703976427</v>
      </c>
      <c r="D229" s="14" t="n">
        <f aca="false">Share_Prices!D229/Share_Prices!D228-1</f>
        <v>-0.0175102091325331</v>
      </c>
      <c r="E229" s="14" t="n">
        <f aca="false">Share_Prices!E229/Share_Prices!E228-1</f>
        <v>-0.0334543568464731</v>
      </c>
      <c r="F229" s="14" t="n">
        <f aca="false">Share_Prices!F229/Share_Prices!F228-1</f>
        <v>0.0336109458655562</v>
      </c>
      <c r="G229" s="14" t="n">
        <f aca="false">Share_Prices!G229/Share_Prices!G228-1</f>
        <v>0.00366392924826275</v>
      </c>
      <c r="H229" s="14" t="n">
        <f aca="false">Share_Prices!H229/Share_Prices!H228-1</f>
        <v>-0.0253058103975534</v>
      </c>
      <c r="I229" s="14" t="n">
        <f aca="false">Share_Prices!I229/Share_Prices!I228-1</f>
        <v>0.016845088161209</v>
      </c>
      <c r="J229" s="14" t="n">
        <f aca="false">Share_Prices!J229/Share_Prices!J228-1</f>
        <v>-0.0110552763819096</v>
      </c>
      <c r="K229" s="14" t="n">
        <f aca="false">Share_Prices!K229/Share_Prices!K228-1</f>
        <v>-0.0200458035834569</v>
      </c>
      <c r="L229" s="14" t="n">
        <f aca="false">Share_Prices!L229/Share_Prices!L228-1</f>
        <v>-0.00490561079234364</v>
      </c>
      <c r="M229" s="14" t="n">
        <f aca="false">Share_Prices!M229/Share_Prices!M228-1</f>
        <v>-0.033710638597976</v>
      </c>
      <c r="N229" s="14" t="n">
        <f aca="false">Share_Prices!N229/Share_Prices!N228-1</f>
        <v>0.00621835302478457</v>
      </c>
      <c r="O229" s="14" t="n">
        <f aca="false">Share_Prices!O229/Share_Prices!O228-1</f>
        <v>-0.0253085455397595</v>
      </c>
      <c r="P229" s="14" t="n">
        <f aca="false">Share_Prices!P229/Share_Prices!P228-1</f>
        <v>0.0170281001832622</v>
      </c>
      <c r="Q229" s="14" t="n">
        <f aca="false">Share_Prices!Q229/Share_Prices!Q228-1</f>
        <v>-0.0100436104136382</v>
      </c>
      <c r="R229" s="14" t="n">
        <f aca="false">Share_Prices!R229/Share_Prices!R228-1</f>
        <v>-0.0152680518884171</v>
      </c>
      <c r="S229" s="14" t="n">
        <f aca="false">Share_Prices!S229/Share_Prices!S228-1</f>
        <v>-0.00412280460654702</v>
      </c>
    </row>
    <row r="230" customFormat="false" ht="15" hidden="false" customHeight="false" outlineLevel="0" collapsed="false">
      <c r="A230" s="13" t="n">
        <f aca="false">Share_Prices!A230</f>
        <v>45135</v>
      </c>
      <c r="B230" s="14" t="n">
        <f aca="false">Share_Prices!B230/Share_Prices!B229-1</f>
        <v>-0.0007044796769059</v>
      </c>
      <c r="C230" s="14" t="n">
        <f aca="false">Share_Prices!C230/Share_Prices!C229-1</f>
        <v>0.00172289469951292</v>
      </c>
      <c r="D230" s="14" t="n">
        <f aca="false">Share_Prices!D230/Share_Prices!D229-1</f>
        <v>0.0109263807544555</v>
      </c>
      <c r="E230" s="14" t="n">
        <f aca="false">Share_Prices!E230/Share_Prices!E229-1</f>
        <v>-0.0170378320364903</v>
      </c>
      <c r="F230" s="14" t="n">
        <f aca="false">Share_Prices!F230/Share_Prices!F229-1</f>
        <v>-0.0163453237410073</v>
      </c>
      <c r="G230" s="14" t="n">
        <f aca="false">Share_Prices!G230/Share_Prices!G229-1</f>
        <v>0.0409113796576033</v>
      </c>
      <c r="H230" s="14" t="n">
        <f aca="false">Share_Prices!H230/Share_Prices!H229-1</f>
        <v>-0.0320025100007845</v>
      </c>
      <c r="I230" s="14" t="n">
        <f aca="false">Share_Prices!I230/Share_Prices!I229-1</f>
        <v>0.00123858182381187</v>
      </c>
      <c r="J230" s="14" t="n">
        <f aca="false">Share_Prices!J230/Share_Prices!J229-1</f>
        <v>0.0111125839519266</v>
      </c>
      <c r="K230" s="14" t="n">
        <f aca="false">Share_Prices!K230/Share_Prices!K229-1</f>
        <v>0.0133897885678149</v>
      </c>
      <c r="L230" s="14" t="n">
        <f aca="false">Share_Prices!L230/Share_Prices!L229-1</f>
        <v>0.00145252872045409</v>
      </c>
      <c r="M230" s="14" t="n">
        <f aca="false">Share_Prices!M230/Share_Prices!M229-1</f>
        <v>0.0199613181038572</v>
      </c>
      <c r="N230" s="14" t="n">
        <f aca="false">Share_Prices!N230/Share_Prices!N229-1</f>
        <v>-0.0235013684117597</v>
      </c>
      <c r="O230" s="14" t="n">
        <f aca="false">Share_Prices!O230/Share_Prices!O229-1</f>
        <v>-0.039589677832986</v>
      </c>
      <c r="P230" s="14" t="n">
        <f aca="false">Share_Prices!P230/Share_Prices!P229-1</f>
        <v>-0.00138899316765528</v>
      </c>
      <c r="Q230" s="14" t="n">
        <f aca="false">Share_Prices!Q230/Share_Prices!Q229-1</f>
        <v>0.0185556000533973</v>
      </c>
      <c r="R230" s="14" t="n">
        <f aca="false">Share_Prices!R230/Share_Prices!R229-1</f>
        <v>-0.000699463744462503</v>
      </c>
      <c r="S230" s="14" t="n">
        <f aca="false">Share_Prices!S230/Share_Prices!S229-1</f>
        <v>0.00342229459332666</v>
      </c>
    </row>
    <row r="231" customFormat="false" ht="15" hidden="false" customHeight="false" outlineLevel="0" collapsed="false">
      <c r="A231" s="13" t="n">
        <f aca="false">Share_Prices!A231</f>
        <v>45138</v>
      </c>
      <c r="B231" s="14" t="n">
        <f aca="false">Share_Prices!B231/Share_Prices!B230-1</f>
        <v>0.00548456305465983</v>
      </c>
      <c r="C231" s="14" t="n">
        <f aca="false">Share_Prices!C231/Share_Prices!C230-1</f>
        <v>0.00652865913200995</v>
      </c>
      <c r="D231" s="14" t="n">
        <f aca="false">Share_Prices!D231/Share_Prices!D230-1</f>
        <v>-0.0351658620152624</v>
      </c>
      <c r="E231" s="14" t="n">
        <f aca="false">Share_Prices!E231/Share_Prices!E230-1</f>
        <v>0.0255220417633411</v>
      </c>
      <c r="F231" s="14" t="n">
        <f aca="false">Share_Prices!F231/Share_Prices!F230-1</f>
        <v>0.0181967117196187</v>
      </c>
      <c r="G231" s="14" t="n">
        <f aca="false">Share_Prices!G231/Share_Prices!G230-1</f>
        <v>0.00955375498851119</v>
      </c>
      <c r="H231" s="14" t="n">
        <f aca="false">Share_Prices!H231/Share_Prices!H230-1</f>
        <v>0.0287659022769631</v>
      </c>
      <c r="I231" s="14" t="n">
        <f aca="false">Share_Prices!I231/Share_Prices!I230-1</f>
        <v>0.0156177516622853</v>
      </c>
      <c r="J231" s="14" t="n">
        <f aca="false">Share_Prices!J231/Share_Prices!J230-1</f>
        <v>-0.00192278279109404</v>
      </c>
      <c r="K231" s="14" t="n">
        <f aca="false">Share_Prices!K231/Share_Prices!K230-1</f>
        <v>-0.0110152477074177</v>
      </c>
      <c r="L231" s="14" t="n">
        <f aca="false">Share_Prices!L231/Share_Prices!L230-1</f>
        <v>-0.00483473980309424</v>
      </c>
      <c r="M231" s="14" t="n">
        <f aca="false">Share_Prices!M231/Share_Prices!M230-1</f>
        <v>0.0420393559928445</v>
      </c>
      <c r="N231" s="14" t="n">
        <f aca="false">Share_Prices!N231/Share_Prices!N230-1</f>
        <v>0.036543468826848</v>
      </c>
      <c r="O231" s="14" t="n">
        <f aca="false">Share_Prices!O231/Share_Prices!O230-1</f>
        <v>-0.00717623497997344</v>
      </c>
      <c r="P231" s="14" t="n">
        <f aca="false">Share_Prices!P231/Share_Prices!P230-1</f>
        <v>0.0153001766850871</v>
      </c>
      <c r="Q231" s="14" t="n">
        <f aca="false">Share_Prices!Q231/Share_Prices!Q230-1</f>
        <v>0.0269986893840106</v>
      </c>
      <c r="R231" s="14" t="n">
        <f aca="false">Share_Prices!R231/Share_Prices!R230-1</f>
        <v>-0.00215818945403645</v>
      </c>
      <c r="S231" s="14" t="n">
        <f aca="false">Share_Prices!S231/Share_Prices!S230-1</f>
        <v>0.04142255961713</v>
      </c>
    </row>
    <row r="232" customFormat="false" ht="15" hidden="false" customHeight="false" outlineLevel="0" collapsed="false">
      <c r="A232" s="13" t="n">
        <f aca="false">Share_Prices!A232</f>
        <v>45139</v>
      </c>
      <c r="B232" s="14" t="n">
        <f aca="false">Share_Prices!B232/Share_Prices!B231-1</f>
        <v>-0.00102511921756832</v>
      </c>
      <c r="C232" s="14" t="n">
        <f aca="false">Share_Prices!C232/Share_Prices!C231-1</f>
        <v>-0.000460167653438037</v>
      </c>
      <c r="D232" s="14" t="n">
        <f aca="false">Share_Prices!D232/Share_Prices!D231-1</f>
        <v>0.00445506198347112</v>
      </c>
      <c r="E232" s="14" t="n">
        <f aca="false">Share_Prices!E232/Share_Prices!E231-1</f>
        <v>-0.017700292786798</v>
      </c>
      <c r="F232" s="14" t="n">
        <f aca="false">Share_Prices!F232/Share_Prices!F231-1</f>
        <v>-0.0368348465693599</v>
      </c>
      <c r="G232" s="14" t="n">
        <f aca="false">Share_Prices!G232/Share_Prices!G231-1</f>
        <v>0.00143747005270733</v>
      </c>
      <c r="H232" s="14" t="n">
        <f aca="false">Share_Prices!H232/Share_Prices!H231-1</f>
        <v>-0.00811279143037169</v>
      </c>
      <c r="I232" s="14" t="n">
        <f aca="false">Share_Prices!I232/Share_Prices!I231-1</f>
        <v>0.0264920828258224</v>
      </c>
      <c r="J232" s="14" t="n">
        <f aca="false">Share_Prices!J232/Share_Prices!J231-1</f>
        <v>0.00941351605770713</v>
      </c>
      <c r="K232" s="14" t="n">
        <f aca="false">Share_Prices!K232/Share_Prices!K231-1</f>
        <v>-0.00419730055963996</v>
      </c>
      <c r="L232" s="14" t="n">
        <f aca="false">Share_Prices!L232/Share_Prices!L231-1</f>
        <v>-0.00145746842151739</v>
      </c>
      <c r="M232" s="14" t="n">
        <f aca="false">Share_Prices!M232/Share_Prices!M231-1</f>
        <v>0.0179914163090129</v>
      </c>
      <c r="N232" s="14" t="n">
        <f aca="false">Share_Prices!N232/Share_Prices!N231-1</f>
        <v>0.0498909725250765</v>
      </c>
      <c r="O232" s="14" t="n">
        <f aca="false">Share_Prices!O232/Share_Prices!O231-1</f>
        <v>-0.00537905530341221</v>
      </c>
      <c r="P232" s="14" t="n">
        <f aca="false">Share_Prices!P232/Share_Prices!P231-1</f>
        <v>-0.00244372037914709</v>
      </c>
      <c r="Q232" s="14" t="n">
        <f aca="false">Share_Prices!Q232/Share_Prices!Q231-1</f>
        <v>0.00969882593159777</v>
      </c>
      <c r="R232" s="14" t="n">
        <f aca="false">Share_Prices!R232/Share_Prices!R231-1</f>
        <v>0.0303969135441633</v>
      </c>
      <c r="S232" s="14" t="n">
        <f aca="false">Share_Prices!S232/Share_Prices!S231-1</f>
        <v>-0.0208382853973536</v>
      </c>
    </row>
    <row r="233" customFormat="false" ht="15" hidden="false" customHeight="false" outlineLevel="0" collapsed="false">
      <c r="A233" s="13" t="n">
        <f aca="false">Share_Prices!A233</f>
        <v>45140</v>
      </c>
      <c r="B233" s="14" t="n">
        <f aca="false">Share_Prices!B233/Share_Prices!B232-1</f>
        <v>-0.0104897496902483</v>
      </c>
      <c r="C233" s="14" t="n">
        <f aca="false">Share_Prices!C233/Share_Prices!C232-1</f>
        <v>-0.0112719669934286</v>
      </c>
      <c r="D233" s="14" t="n">
        <f aca="false">Share_Prices!D233/Share_Prices!D232-1</f>
        <v>0.00253904994536214</v>
      </c>
      <c r="E233" s="14" t="n">
        <f aca="false">Share_Prices!E233/Share_Prices!E232-1</f>
        <v>-0.0222192114889581</v>
      </c>
      <c r="F233" s="14" t="n">
        <f aca="false">Share_Prices!F233/Share_Prices!F232-1</f>
        <v>-0.00453433566016337</v>
      </c>
      <c r="G233" s="14" t="n">
        <f aca="false">Share_Prices!G233/Share_Prices!G232-1</f>
        <v>-0.00873205741626792</v>
      </c>
      <c r="H233" s="14" t="n">
        <f aca="false">Share_Prices!H233/Share_Prices!H232-1</f>
        <v>-0.0342253632970697</v>
      </c>
      <c r="I233" s="14" t="n">
        <f aca="false">Share_Prices!I233/Share_Prices!I232-1</f>
        <v>-0.0483536042717295</v>
      </c>
      <c r="J233" s="14" t="n">
        <f aca="false">Share_Prices!J233/Share_Prices!J232-1</f>
        <v>-0.0494263592790994</v>
      </c>
      <c r="K233" s="14" t="n">
        <f aca="false">Share_Prices!K233/Share_Prices!K232-1</f>
        <v>-0.00910493402022095</v>
      </c>
      <c r="L233" s="14" t="n">
        <f aca="false">Share_Prices!L233/Share_Prices!L232-1</f>
        <v>-0.0274669379450661</v>
      </c>
      <c r="M233" s="14" t="n">
        <f aca="false">Share_Prices!M233/Share_Prices!M232-1</f>
        <v>-0.0163580559209416</v>
      </c>
      <c r="N233" s="14" t="n">
        <f aca="false">Share_Prices!N233/Share_Prices!N232-1</f>
        <v>-0.050594001827698</v>
      </c>
      <c r="O233" s="14" t="n">
        <f aca="false">Share_Prices!O233/Share_Prices!O232-1</f>
        <v>-0.00828122359303718</v>
      </c>
      <c r="P233" s="14" t="n">
        <f aca="false">Share_Prices!P233/Share_Prices!P232-1</f>
        <v>0.00207853908395816</v>
      </c>
      <c r="Q233" s="14" t="n">
        <f aca="false">Share_Prices!Q233/Share_Prices!Q232-1</f>
        <v>-0.012639029322548</v>
      </c>
      <c r="R233" s="14" t="n">
        <f aca="false">Share_Prices!R233/Share_Prices!R232-1</f>
        <v>-0.0160549157542407</v>
      </c>
      <c r="S233" s="14" t="n">
        <f aca="false">Share_Prices!S233/Share_Prices!S232-1</f>
        <v>-0.0110859362356369</v>
      </c>
    </row>
    <row r="234" customFormat="false" ht="15" hidden="false" customHeight="false" outlineLevel="0" collapsed="false">
      <c r="A234" s="13" t="n">
        <f aca="false">Share_Prices!A234</f>
        <v>45141</v>
      </c>
      <c r="B234" s="14" t="n">
        <f aca="false">Share_Prices!B234/Share_Prices!B233-1</f>
        <v>-0.00742066570899613</v>
      </c>
      <c r="C234" s="14" t="n">
        <f aca="false">Share_Prices!C234/Share_Prices!C233-1</f>
        <v>-0.00513970324367774</v>
      </c>
      <c r="D234" s="14" t="n">
        <f aca="false">Share_Prices!D234/Share_Prices!D233-1</f>
        <v>0.00625140255826628</v>
      </c>
      <c r="E234" s="14" t="n">
        <f aca="false">Share_Prices!E234/Share_Prices!E233-1</f>
        <v>0.00769017597339605</v>
      </c>
      <c r="F234" s="14" t="n">
        <f aca="false">Share_Prices!F234/Share_Prices!F233-1</f>
        <v>0.00629307761462394</v>
      </c>
      <c r="G234" s="14" t="n">
        <f aca="false">Share_Prices!G234/Share_Prices!G233-1</f>
        <v>-0.0482683721491493</v>
      </c>
      <c r="H234" s="14" t="n">
        <f aca="false">Share_Prices!H234/Share_Prices!H233-1</f>
        <v>0.00287781614865978</v>
      </c>
      <c r="I234" s="14" t="n">
        <f aca="false">Share_Prices!I234/Share_Prices!I233-1</f>
        <v>0.0403678304239401</v>
      </c>
      <c r="J234" s="14" t="n">
        <f aca="false">Share_Prices!J234/Share_Prices!J233-1</f>
        <v>-0.00239561943874056</v>
      </c>
      <c r="K234" s="14" t="n">
        <f aca="false">Share_Prices!K234/Share_Prices!K233-1</f>
        <v>-0.0132059996941768</v>
      </c>
      <c r="L234" s="14" t="n">
        <f aca="false">Share_Prices!L234/Share_Prices!L233-1</f>
        <v>-0.0263325450245588</v>
      </c>
      <c r="M234" s="14" t="n">
        <f aca="false">Share_Prices!M234/Share_Prices!M233-1</f>
        <v>0.00116582087505157</v>
      </c>
      <c r="N234" s="14" t="n">
        <f aca="false">Share_Prices!N234/Share_Prices!N233-1</f>
        <v>-0.0216660833041652</v>
      </c>
      <c r="O234" s="14" t="n">
        <f aca="false">Share_Prices!O234/Share_Prices!O233-1</f>
        <v>-0.0260736196319018</v>
      </c>
      <c r="P234" s="14" t="n">
        <f aca="false">Share_Prices!P234/Share_Prices!P233-1</f>
        <v>-0.011074894436625</v>
      </c>
      <c r="Q234" s="14" t="n">
        <f aca="false">Share_Prices!Q234/Share_Prices!Q233-1</f>
        <v>0.0707885304659497</v>
      </c>
      <c r="R234" s="14" t="n">
        <f aca="false">Share_Prices!R234/Share_Prices!R233-1</f>
        <v>-0.00663053505535061</v>
      </c>
      <c r="S234" s="14" t="n">
        <f aca="false">Share_Prices!S234/Share_Prices!S233-1</f>
        <v>-0.00801898371655352</v>
      </c>
    </row>
    <row r="235" customFormat="false" ht="15" hidden="false" customHeight="false" outlineLevel="0" collapsed="false">
      <c r="A235" s="13" t="n">
        <f aca="false">Share_Prices!A235</f>
        <v>45142</v>
      </c>
      <c r="B235" s="14" t="n">
        <f aca="false">Share_Prices!B235/Share_Prices!B234-1</f>
        <v>0.00698340956523302</v>
      </c>
      <c r="C235" s="14" t="n">
        <f aca="false">Share_Prices!C235/Share_Prices!C234-1</f>
        <v>0.0070532962086296</v>
      </c>
      <c r="D235" s="14" t="n">
        <f aca="false">Share_Prices!D235/Share_Prices!D234-1</f>
        <v>-0.00614884669300375</v>
      </c>
      <c r="E235" s="14" t="n">
        <f aca="false">Share_Prices!E235/Share_Prices!E234-1</f>
        <v>0.00804400137504291</v>
      </c>
      <c r="F235" s="14" t="n">
        <f aca="false">Share_Prices!F235/Share_Prices!F234-1</f>
        <v>-0.00738534842167959</v>
      </c>
      <c r="G235" s="14" t="n">
        <f aca="false">Share_Prices!G235/Share_Prices!G234-1</f>
        <v>0.0819069354634208</v>
      </c>
      <c r="H235" s="14" t="n">
        <f aca="false">Share_Prices!H235/Share_Prices!H234-1</f>
        <v>0.0118061818479953</v>
      </c>
      <c r="I235" s="14" t="n">
        <f aca="false">Share_Prices!I235/Share_Prices!I234-1</f>
        <v>0.000749063670411942</v>
      </c>
      <c r="J235" s="14" t="n">
        <f aca="false">Share_Prices!J235/Share_Prices!J234-1</f>
        <v>0.0217038307604345</v>
      </c>
      <c r="K235" s="14" t="n">
        <f aca="false">Share_Prices!K235/Share_Prices!K234-1</f>
        <v>0.0056770958062744</v>
      </c>
      <c r="L235" s="14" t="n">
        <f aca="false">Share_Prices!L235/Share_Prices!L234-1</f>
        <v>0.0138726703722734</v>
      </c>
      <c r="M235" s="14" t="n">
        <f aca="false">Share_Prices!M235/Share_Prices!M234-1</f>
        <v>-0.00520583601616553</v>
      </c>
      <c r="N235" s="14" t="n">
        <f aca="false">Share_Prices!N235/Share_Prices!N234-1</f>
        <v>0.0337912775929305</v>
      </c>
      <c r="O235" s="14" t="n">
        <f aca="false">Share_Prices!O235/Share_Prices!O234-1</f>
        <v>0.0153980752405949</v>
      </c>
      <c r="P235" s="14" t="n">
        <f aca="false">Share_Prices!P235/Share_Prices!P234-1</f>
        <v>0.0105996479268886</v>
      </c>
      <c r="Q235" s="14" t="n">
        <f aca="false">Share_Prices!Q235/Share_Prices!Q234-1</f>
        <v>0.00322773460848791</v>
      </c>
      <c r="R235" s="14" t="n">
        <f aca="false">Share_Prices!R235/Share_Prices!R234-1</f>
        <v>0.0230425445469846</v>
      </c>
      <c r="S235" s="14" t="n">
        <f aca="false">Share_Prices!S235/Share_Prices!S234-1</f>
        <v>0.0102009953531854</v>
      </c>
    </row>
    <row r="236" customFormat="false" ht="15" hidden="false" customHeight="false" outlineLevel="0" collapsed="false">
      <c r="A236" s="13" t="n">
        <f aca="false">Share_Prices!A236</f>
        <v>45145</v>
      </c>
      <c r="B236" s="14" t="n">
        <f aca="false">Share_Prices!B236/Share_Prices!B235-1</f>
        <v>0.0041143618383972</v>
      </c>
      <c r="C236" s="14" t="n">
        <f aca="false">Share_Prices!C236/Share_Prices!C235-1</f>
        <v>0.00389269771352119</v>
      </c>
      <c r="D236" s="14" t="n">
        <f aca="false">Share_Prices!D236/Share_Prices!D235-1</f>
        <v>0.00750120211572369</v>
      </c>
      <c r="E236" s="14" t="n">
        <f aca="false">Share_Prices!E236/Share_Prices!E235-1</f>
        <v>0.0139135179375254</v>
      </c>
      <c r="F236" s="14" t="n">
        <f aca="false">Share_Prices!F236/Share_Prices!F235-1</f>
        <v>0.0193207728309133</v>
      </c>
      <c r="G236" s="14" t="n">
        <f aca="false">Share_Prices!G236/Share_Prices!G235-1</f>
        <v>0.0333997421774288</v>
      </c>
      <c r="H236" s="14" t="n">
        <f aca="false">Share_Prices!H236/Share_Prices!H235-1</f>
        <v>0.0204197390811118</v>
      </c>
      <c r="I236" s="14" t="n">
        <f aca="false">Share_Prices!I236/Share_Prices!I235-1</f>
        <v>0.0405688622754492</v>
      </c>
      <c r="J236" s="14" t="n">
        <f aca="false">Share_Prices!J236/Share_Prices!J235-1</f>
        <v>-0.0132067869454269</v>
      </c>
      <c r="K236" s="14" t="n">
        <f aca="false">Share_Prices!K236/Share_Prices!K235-1</f>
        <v>-0.00371200448242048</v>
      </c>
      <c r="L236" s="14" t="n">
        <f aca="false">Share_Prices!L236/Share_Prices!L235-1</f>
        <v>-0.0159863632175434</v>
      </c>
      <c r="M236" s="14" t="n">
        <f aca="false">Share_Prices!M236/Share_Prices!M235-1</f>
        <v>0.00685120154238117</v>
      </c>
      <c r="N236" s="14" t="n">
        <f aca="false">Share_Prices!N236/Share_Prices!N235-1</f>
        <v>-0.0116800193801803</v>
      </c>
      <c r="O236" s="14" t="n">
        <f aca="false">Share_Prices!O236/Share_Prices!O235-1</f>
        <v>0.0186110632431502</v>
      </c>
      <c r="P236" s="14" t="n">
        <f aca="false">Share_Prices!P236/Share_Prices!P235-1</f>
        <v>0.0095989919205397</v>
      </c>
      <c r="Q236" s="14" t="n">
        <f aca="false">Share_Prices!Q236/Share_Prices!Q235-1</f>
        <v>0.0370591039084842</v>
      </c>
      <c r="R236" s="14" t="n">
        <f aca="false">Share_Prices!R236/Share_Prices!R235-1</f>
        <v>-0.000567343696811551</v>
      </c>
      <c r="S236" s="14" t="n">
        <f aca="false">Share_Prices!S236/Share_Prices!S235-1</f>
        <v>0.00968971148611875</v>
      </c>
    </row>
    <row r="237" customFormat="false" ht="15" hidden="false" customHeight="false" outlineLevel="0" collapsed="false">
      <c r="A237" s="13" t="n">
        <f aca="false">Share_Prices!A237</f>
        <v>45146</v>
      </c>
      <c r="B237" s="14" t="n">
        <f aca="false">Share_Prices!B237/Share_Prices!B236-1</f>
        <v>-0.00134967572063505</v>
      </c>
      <c r="C237" s="14" t="n">
        <f aca="false">Share_Prices!C237/Share_Prices!C236-1</f>
        <v>-0.000418722189622134</v>
      </c>
      <c r="D237" s="14" t="n">
        <f aca="false">Share_Prices!D237/Share_Prices!D236-1</f>
        <v>0.0104998568201342</v>
      </c>
      <c r="E237" s="14" t="n">
        <f aca="false">Share_Prices!E237/Share_Prices!E236-1</f>
        <v>-0.00672675904749087</v>
      </c>
      <c r="F237" s="14" t="n">
        <f aca="false">Share_Prices!F237/Share_Prices!F236-1</f>
        <v>-0.0105368495408523</v>
      </c>
      <c r="G237" s="14" t="n">
        <f aca="false">Share_Prices!G237/Share_Prices!G236-1</f>
        <v>-0.0191653436153323</v>
      </c>
      <c r="H237" s="14" t="n">
        <f aca="false">Share_Prices!H237/Share_Prices!H236-1</f>
        <v>0.0146907011831969</v>
      </c>
      <c r="I237" s="14" t="n">
        <f aca="false">Share_Prices!I237/Share_Prices!I236-1</f>
        <v>-0.00316501222845644</v>
      </c>
      <c r="J237" s="14" t="n">
        <f aca="false">Share_Prices!J237/Share_Prices!J236-1</f>
        <v>0.0266536611922692</v>
      </c>
      <c r="K237" s="14" t="n">
        <f aca="false">Share_Prices!K237/Share_Prices!K236-1</f>
        <v>0.00722671353251325</v>
      </c>
      <c r="L237" s="14" t="n">
        <f aca="false">Share_Prices!L237/Share_Prices!L236-1</f>
        <v>-0.00950419027108018</v>
      </c>
      <c r="M237" s="14" t="n">
        <f aca="false">Share_Prices!M237/Share_Prices!M236-1</f>
        <v>-0.00871943922037954</v>
      </c>
      <c r="N237" s="14" t="n">
        <f aca="false">Share_Prices!N237/Share_Prices!N236-1</f>
        <v>0.00604033895931089</v>
      </c>
      <c r="O237" s="14" t="n">
        <f aca="false">Share_Prices!O237/Share_Prices!O236-1</f>
        <v>-0.013872441211301</v>
      </c>
      <c r="P237" s="14" t="n">
        <f aca="false">Share_Prices!P237/Share_Prices!P236-1</f>
        <v>0.00223927168606153</v>
      </c>
      <c r="Q237" s="14" t="n">
        <f aca="false">Share_Prices!Q237/Share_Prices!Q236-1</f>
        <v>0.0261978628059292</v>
      </c>
      <c r="R237" s="14" t="n">
        <f aca="false">Share_Prices!R237/Share_Prices!R236-1</f>
        <v>0.000510899182561309</v>
      </c>
      <c r="S237" s="14" t="n">
        <f aca="false">Share_Prices!S237/Share_Prices!S236-1</f>
        <v>0.00355833513047221</v>
      </c>
    </row>
    <row r="238" customFormat="false" ht="15" hidden="false" customHeight="false" outlineLevel="0" collapsed="false">
      <c r="A238" s="13" t="n">
        <f aca="false">Share_Prices!A238</f>
        <v>45147</v>
      </c>
      <c r="B238" s="14" t="n">
        <f aca="false">Share_Prices!B238/Share_Prices!B237-1</f>
        <v>0.00315264794324222</v>
      </c>
      <c r="C238" s="14" t="n">
        <f aca="false">Share_Prices!C238/Share_Prices!C237-1</f>
        <v>0.00322138147705653</v>
      </c>
      <c r="D238" s="14" t="n">
        <f aca="false">Share_Prices!D238/Share_Prices!D237-1</f>
        <v>0.00141692118769488</v>
      </c>
      <c r="E238" s="14" t="n">
        <f aca="false">Share_Prices!E238/Share_Prices!E237-1</f>
        <v>-0.00758499255045364</v>
      </c>
      <c r="F238" s="14" t="n">
        <f aca="false">Share_Prices!F238/Share_Prices!F237-1</f>
        <v>0.0108870248081385</v>
      </c>
      <c r="G238" s="14" t="n">
        <f aca="false">Share_Prices!G238/Share_Prices!G237-1</f>
        <v>-0.00381546999653137</v>
      </c>
      <c r="H238" s="14" t="n">
        <f aca="false">Share_Prices!H238/Share_Prices!H237-1</f>
        <v>-0.00680857724213491</v>
      </c>
      <c r="I238" s="14" t="n">
        <f aca="false">Share_Prices!I238/Share_Prices!I237-1</f>
        <v>0.10766344349834</v>
      </c>
      <c r="J238" s="14" t="n">
        <f aca="false">Share_Prices!J238/Share_Prices!J237-1</f>
        <v>0.00315959256722431</v>
      </c>
      <c r="K238" s="14" t="n">
        <f aca="false">Share_Prices!K238/Share_Prices!K237-1</f>
        <v>-0.00672817878529841</v>
      </c>
      <c r="L238" s="14" t="n">
        <f aca="false">Share_Prices!L238/Share_Prices!L237-1</f>
        <v>-0.00203252032520307</v>
      </c>
      <c r="M238" s="14" t="n">
        <f aca="false">Share_Prices!M238/Share_Prices!M237-1</f>
        <v>-0.00169023801310797</v>
      </c>
      <c r="N238" s="14" t="n">
        <f aca="false">Share_Prices!N238/Share_Prices!N237-1</f>
        <v>-0.0136962461495623</v>
      </c>
      <c r="O238" s="14" t="n">
        <f aca="false">Share_Prices!O238/Share_Prices!O237-1</f>
        <v>-0.00909246869102753</v>
      </c>
      <c r="P238" s="14" t="n">
        <f aca="false">Share_Prices!P238/Share_Prices!P237-1</f>
        <v>-0.00183136766537251</v>
      </c>
      <c r="Q238" s="14" t="n">
        <f aca="false">Share_Prices!Q238/Share_Prices!Q237-1</f>
        <v>-0.0191467920725563</v>
      </c>
      <c r="R238" s="14" t="n">
        <f aca="false">Share_Prices!R238/Share_Prices!R237-1</f>
        <v>-0.0113475177304965</v>
      </c>
      <c r="S238" s="14" t="n">
        <f aca="false">Share_Prices!S238/Share_Prices!S237-1</f>
        <v>-0.00671537552379931</v>
      </c>
    </row>
    <row r="239" customFormat="false" ht="15" hidden="false" customHeight="false" outlineLevel="0" collapsed="false">
      <c r="A239" s="13" t="n">
        <f aca="false">Share_Prices!A239</f>
        <v>45148</v>
      </c>
      <c r="B239" s="14" t="n">
        <f aca="false">Share_Prices!B239/Share_Prices!B238-1</f>
        <v>-0.00455620894891395</v>
      </c>
      <c r="C239" s="14" t="n">
        <f aca="false">Share_Prices!C239/Share_Prices!C238-1</f>
        <v>-0.00376385348024122</v>
      </c>
      <c r="D239" s="14" t="n">
        <f aca="false">Share_Prices!D239/Share_Prices!D238-1</f>
        <v>0.00676015595522572</v>
      </c>
      <c r="E239" s="14" t="n">
        <f aca="false">Share_Prices!E239/Share_Prices!E238-1</f>
        <v>0.0253173195032073</v>
      </c>
      <c r="F239" s="14" t="n">
        <f aca="false">Share_Prices!F239/Share_Prices!F238-1</f>
        <v>-0.0134769303201507</v>
      </c>
      <c r="G239" s="14" t="n">
        <f aca="false">Share_Prices!G239/Share_Prices!G238-1</f>
        <v>-0.0089368616527391</v>
      </c>
      <c r="H239" s="14" t="n">
        <f aca="false">Share_Prices!H239/Share_Prices!H238-1</f>
        <v>-0.0136317075092585</v>
      </c>
      <c r="I239" s="14" t="n">
        <f aca="false">Share_Prices!I239/Share_Prices!I238-1</f>
        <v>0.00247557003257337</v>
      </c>
      <c r="J239" s="14" t="n">
        <f aca="false">Share_Prices!J239/Share_Prices!J238-1</f>
        <v>-0.0127747676313819</v>
      </c>
      <c r="K239" s="14" t="n">
        <f aca="false">Share_Prices!K239/Share_Prices!K238-1</f>
        <v>0.00258583133071921</v>
      </c>
      <c r="L239" s="14" t="n">
        <f aca="false">Share_Prices!L239/Share_Prices!L238-1</f>
        <v>0.00435750485482878</v>
      </c>
      <c r="M239" s="14" t="n">
        <f aca="false">Share_Prices!M239/Share_Prices!M238-1</f>
        <v>-0.0332745931377629</v>
      </c>
      <c r="N239" s="14" t="n">
        <f aca="false">Share_Prices!N239/Share_Prices!N238-1</f>
        <v>-0.014998059074708</v>
      </c>
      <c r="O239" s="14" t="n">
        <f aca="false">Share_Prices!O239/Share_Prices!O238-1</f>
        <v>-0.0122922437673131</v>
      </c>
      <c r="P239" s="14" t="n">
        <f aca="false">Share_Prices!P239/Share_Prices!P238-1</f>
        <v>0.00165125495376484</v>
      </c>
      <c r="Q239" s="14" t="n">
        <f aca="false">Share_Prices!Q239/Share_Prices!Q238-1</f>
        <v>-0.0111872146118721</v>
      </c>
      <c r="R239" s="14" t="n">
        <f aca="false">Share_Prices!R239/Share_Prices!R238-1</f>
        <v>0.000918220946915405</v>
      </c>
      <c r="S239" s="14" t="n">
        <f aca="false">Share_Prices!S239/Share_Prices!S238-1</f>
        <v>0.000973551841635612</v>
      </c>
    </row>
    <row r="240" customFormat="false" ht="15" hidden="false" customHeight="false" outlineLevel="0" collapsed="false">
      <c r="A240" s="13" t="n">
        <f aca="false">Share_Prices!A240</f>
        <v>45149</v>
      </c>
      <c r="B240" s="14" t="n">
        <f aca="false">Share_Prices!B240/Share_Prices!B239-1</f>
        <v>-0.00587419600779815</v>
      </c>
      <c r="C240" s="14" t="n">
        <f aca="false">Share_Prices!C240/Share_Prices!C239-1</f>
        <v>-0.00470488227463628</v>
      </c>
      <c r="D240" s="14" t="n">
        <f aca="false">Share_Prices!D240/Share_Prices!D239-1</f>
        <v>0.00768293825541089</v>
      </c>
      <c r="E240" s="14" t="n">
        <f aca="false">Share_Prices!E240/Share_Prices!E239-1</f>
        <v>-0.0366722129783693</v>
      </c>
      <c r="F240" s="14" t="n">
        <f aca="false">Share_Prices!F240/Share_Prices!F239-1</f>
        <v>0.00608482968442403</v>
      </c>
      <c r="G240" s="14" t="n">
        <f aca="false">Share_Prices!G240/Share_Prices!G239-1</f>
        <v>-0.00468438927274861</v>
      </c>
      <c r="H240" s="14" t="n">
        <f aca="false">Share_Prices!H240/Share_Prices!H239-1</f>
        <v>0.0540022367790383</v>
      </c>
      <c r="I240" s="14" t="n">
        <f aca="false">Share_Prices!I240/Share_Prices!I239-1</f>
        <v>-0.0414608786067064</v>
      </c>
      <c r="J240" s="14" t="n">
        <f aca="false">Share_Prices!J240/Share_Prices!J239-1</f>
        <v>0.0202802195350498</v>
      </c>
      <c r="K240" s="14" t="n">
        <f aca="false">Share_Prices!K240/Share_Prices!K239-1</f>
        <v>-0.0116482807922512</v>
      </c>
      <c r="L240" s="14" t="n">
        <f aca="false">Share_Prices!L240/Share_Prices!L239-1</f>
        <v>-0.0160339542560717</v>
      </c>
      <c r="M240" s="14" t="n">
        <f aca="false">Share_Prices!M240/Share_Prices!M239-1</f>
        <v>-0.000965043963113921</v>
      </c>
      <c r="N240" s="14" t="n">
        <f aca="false">Share_Prices!N240/Share_Prices!N239-1</f>
        <v>-0.0071295500143308</v>
      </c>
      <c r="O240" s="14" t="n">
        <f aca="false">Share_Prices!O240/Share_Prices!O239-1</f>
        <v>-0.00771253286590701</v>
      </c>
      <c r="P240" s="14" t="n">
        <f aca="false">Share_Prices!P240/Share_Prices!P239-1</f>
        <v>-0.0108436824559475</v>
      </c>
      <c r="Q240" s="14" t="n">
        <f aca="false">Share_Prices!Q240/Share_Prices!Q239-1</f>
        <v>0.00900484876471941</v>
      </c>
      <c r="R240" s="14" t="n">
        <f aca="false">Share_Prices!R240/Share_Prices!R239-1</f>
        <v>-0.00602029700131879</v>
      </c>
      <c r="S240" s="14" t="n">
        <f aca="false">Share_Prices!S240/Share_Prices!S239-1</f>
        <v>-0.0230993678067758</v>
      </c>
    </row>
    <row r="241" customFormat="false" ht="15" hidden="false" customHeight="false" outlineLevel="0" collapsed="false">
      <c r="A241" s="13" t="n">
        <f aca="false">Share_Prices!A241</f>
        <v>45152</v>
      </c>
      <c r="B241" s="14" t="n">
        <f aca="false">Share_Prices!B241/Share_Prices!B240-1</f>
        <v>0.000321695670748357</v>
      </c>
      <c r="C241" s="14" t="n">
        <f aca="false">Share_Prices!C241/Share_Prices!C240-1</f>
        <v>-0.00205217628550169</v>
      </c>
      <c r="D241" s="14" t="n">
        <f aca="false">Share_Prices!D241/Share_Prices!D240-1</f>
        <v>-0.00774833410816678</v>
      </c>
      <c r="E241" s="14" t="n">
        <f aca="false">Share_Prices!E241/Share_Prices!E240-1</f>
        <v>0.0153378471742434</v>
      </c>
      <c r="F241" s="14" t="n">
        <f aca="false">Share_Prices!F241/Share_Prices!F240-1</f>
        <v>0.0114438185591461</v>
      </c>
      <c r="G241" s="14" t="n">
        <f aca="false">Share_Prices!G241/Share_Prices!G240-1</f>
        <v>-0.00682433227438517</v>
      </c>
      <c r="H241" s="14" t="n">
        <f aca="false">Share_Prices!H241/Share_Prices!H240-1</f>
        <v>-0.0164468697892982</v>
      </c>
      <c r="I241" s="14" t="n">
        <f aca="false">Share_Prices!I241/Share_Prices!I240-1</f>
        <v>0.0108474576271187</v>
      </c>
      <c r="J241" s="14" t="n">
        <f aca="false">Share_Prices!J241/Share_Prices!J240-1</f>
        <v>0.00938094509195064</v>
      </c>
      <c r="K241" s="14" t="n">
        <f aca="false">Share_Prices!K241/Share_Prices!K240-1</f>
        <v>-0.00602751382782585</v>
      </c>
      <c r="L241" s="14" t="n">
        <f aca="false">Share_Prices!L241/Share_Prices!L240-1</f>
        <v>-0.00522405942966697</v>
      </c>
      <c r="M241" s="14" t="n">
        <f aca="false">Share_Prices!M241/Share_Prices!M240-1</f>
        <v>-0.00672605631283307</v>
      </c>
      <c r="N241" s="14" t="n">
        <f aca="false">Share_Prices!N241/Share_Prices!N240-1</f>
        <v>-0.0173564753004005</v>
      </c>
      <c r="O241" s="14" t="n">
        <f aca="false">Share_Prices!O241/Share_Prices!O240-1</f>
        <v>-0.00759583112524298</v>
      </c>
      <c r="P241" s="14" t="n">
        <f aca="false">Share_Prices!P241/Share_Prices!P240-1</f>
        <v>-0.0502573978741527</v>
      </c>
      <c r="Q241" s="14" t="n">
        <f aca="false">Share_Prices!Q241/Share_Prices!Q240-1</f>
        <v>-0.00549199084668184</v>
      </c>
      <c r="R241" s="14" t="n">
        <f aca="false">Share_Prices!R241/Share_Prices!R240-1</f>
        <v>-0.0139593908629441</v>
      </c>
      <c r="S241" s="14" t="n">
        <f aca="false">Share_Prices!S241/Share_Prices!S240-1</f>
        <v>0.00309743079178082</v>
      </c>
    </row>
    <row r="242" customFormat="false" ht="15" hidden="false" customHeight="false" outlineLevel="0" collapsed="false">
      <c r="A242" s="13" t="n">
        <f aca="false">Share_Prices!A242</f>
        <v>45154</v>
      </c>
      <c r="B242" s="14" t="n">
        <f aca="false">Share_Prices!B242/Share_Prices!B241-1</f>
        <v>0.00156679727598541</v>
      </c>
      <c r="C242" s="14" t="n">
        <f aca="false">Share_Prices!C242/Share_Prices!C241-1</f>
        <v>0.00163441908288298</v>
      </c>
      <c r="D242" s="14" t="n">
        <f aca="false">Share_Prices!D242/Share_Prices!D241-1</f>
        <v>-0.00993284397938476</v>
      </c>
      <c r="E242" s="14" t="n">
        <f aca="false">Share_Prices!E242/Share_Prices!E241-1</f>
        <v>0.00217746325530754</v>
      </c>
      <c r="F242" s="14" t="n">
        <f aca="false">Share_Prices!F242/Share_Prices!F241-1</f>
        <v>-0.00756243404854018</v>
      </c>
      <c r="G242" s="14" t="n">
        <f aca="false">Share_Prices!G242/Share_Prices!G241-1</f>
        <v>0.000236938751332794</v>
      </c>
      <c r="H242" s="14" t="n">
        <f aca="false">Share_Prices!H242/Share_Prices!H241-1</f>
        <v>0.00331355475071282</v>
      </c>
      <c r="I242" s="14" t="n">
        <f aca="false">Share_Prices!I242/Share_Prices!I241-1</f>
        <v>0.0104627766599597</v>
      </c>
      <c r="J242" s="14" t="n">
        <f aca="false">Share_Prices!J242/Share_Prices!J241-1</f>
        <v>0.0608752166377817</v>
      </c>
      <c r="K242" s="14" t="n">
        <f aca="false">Share_Prices!K242/Share_Prices!K241-1</f>
        <v>-0.00520796176071914</v>
      </c>
      <c r="L242" s="14" t="n">
        <f aca="false">Share_Prices!L242/Share_Prices!L241-1</f>
        <v>-0.0198978608595105</v>
      </c>
      <c r="M242" s="14" t="n">
        <f aca="false">Share_Prices!M242/Share_Prices!M241-1</f>
        <v>0.00716781327666305</v>
      </c>
      <c r="N242" s="14" t="n">
        <f aca="false">Share_Prices!N242/Share_Prices!N241-1</f>
        <v>0.0138256462984723</v>
      </c>
      <c r="O242" s="14" t="n">
        <f aca="false">Share_Prices!O242/Share_Prices!O241-1</f>
        <v>-0.0124599501601994</v>
      </c>
      <c r="P242" s="14" t="n">
        <f aca="false">Share_Prices!P242/Share_Prices!P241-1</f>
        <v>-0.0203166432693808</v>
      </c>
      <c r="Q242" s="14" t="n">
        <f aca="false">Share_Prices!Q242/Share_Prices!Q241-1</f>
        <v>-0.0131155085135758</v>
      </c>
      <c r="R242" s="14" t="n">
        <f aca="false">Share_Prices!R242/Share_Prices!R241-1</f>
        <v>-0.00561600561600573</v>
      </c>
      <c r="S242" s="14" t="n">
        <f aca="false">Share_Prices!S242/Share_Prices!S241-1</f>
        <v>-0.00967715254611123</v>
      </c>
    </row>
    <row r="243" customFormat="false" ht="15" hidden="false" customHeight="false" outlineLevel="0" collapsed="false">
      <c r="A243" s="13" t="n">
        <f aca="false">Share_Prices!A243</f>
        <v>45155</v>
      </c>
      <c r="B243" s="14" t="n">
        <f aca="false">Share_Prices!B243/Share_Prices!B242-1</f>
        <v>-0.0051245825841254</v>
      </c>
      <c r="C243" s="14" t="n">
        <f aca="false">Share_Prices!C243/Share_Prices!C242-1</f>
        <v>-0.00301429118171481</v>
      </c>
      <c r="D243" s="14" t="n">
        <f aca="false">Share_Prices!D243/Share_Prices!D242-1</f>
        <v>-0.00848660756538466</v>
      </c>
      <c r="E243" s="14" t="n">
        <f aca="false">Share_Prices!E243/Share_Prices!E242-1</f>
        <v>-0.00142585551330787</v>
      </c>
      <c r="F243" s="14" t="n">
        <f aca="false">Share_Prices!F243/Share_Prices!F242-1</f>
        <v>0.0249276389627267</v>
      </c>
      <c r="G243" s="14" t="n">
        <f aca="false">Share_Prices!G243/Share_Prices!G242-1</f>
        <v>0.00521141774250866</v>
      </c>
      <c r="H243" s="14" t="n">
        <f aca="false">Share_Prices!H243/Share_Prices!H242-1</f>
        <v>0.00122887864823351</v>
      </c>
      <c r="I243" s="14" t="n">
        <f aca="false">Share_Prices!I243/Share_Prices!I242-1</f>
        <v>-0.00331873091729717</v>
      </c>
      <c r="J243" s="14" t="n">
        <f aca="false">Share_Prices!J243/Share_Prices!J242-1</f>
        <v>-0.0142332040024504</v>
      </c>
      <c r="K243" s="14" t="n">
        <f aca="false">Share_Prices!K243/Share_Prices!K242-1</f>
        <v>-0.0083476764199657</v>
      </c>
      <c r="L243" s="14" t="n">
        <f aca="false">Share_Prices!L243/Share_Prices!L242-1</f>
        <v>0.0035884579462222</v>
      </c>
      <c r="M243" s="14" t="n">
        <f aca="false">Share_Prices!M243/Share_Prices!M242-1</f>
        <v>0.00486374365209952</v>
      </c>
      <c r="N243" s="14" t="n">
        <f aca="false">Share_Prices!N243/Share_Prices!N242-1</f>
        <v>0.000706304217903853</v>
      </c>
      <c r="O243" s="14" t="n">
        <f aca="false">Share_Prices!O243/Share_Prices!O242-1</f>
        <v>0.00757029560201872</v>
      </c>
      <c r="P243" s="14" t="n">
        <f aca="false">Share_Prices!P243/Share_Prices!P242-1</f>
        <v>-0.00119412490546511</v>
      </c>
      <c r="Q243" s="14" t="n">
        <f aca="false">Share_Prices!Q243/Share_Prices!Q242-1</f>
        <v>-0.000349731872231196</v>
      </c>
      <c r="R243" s="14" t="n">
        <f aca="false">Share_Prices!R243/Share_Prices!R242-1</f>
        <v>0.000117660901282513</v>
      </c>
      <c r="S243" s="14" t="n">
        <f aca="false">Share_Prices!S243/Share_Prices!S242-1</f>
        <v>0.0269487750556794</v>
      </c>
    </row>
    <row r="244" customFormat="false" ht="15" hidden="false" customHeight="false" outlineLevel="0" collapsed="false">
      <c r="A244" s="13" t="n">
        <f aca="false">Share_Prices!A244</f>
        <v>45156</v>
      </c>
      <c r="B244" s="14" t="n">
        <f aca="false">Share_Prices!B244/Share_Prices!B243-1</f>
        <v>-0.0028453027975367</v>
      </c>
      <c r="C244" s="14" t="n">
        <f aca="false">Share_Prices!C244/Share_Prices!C243-1</f>
        <v>-0.00265143061197159</v>
      </c>
      <c r="D244" s="14" t="n">
        <f aca="false">Share_Prices!D244/Share_Prices!D243-1</f>
        <v>-0.00124093165330286</v>
      </c>
      <c r="E244" s="14" t="n">
        <f aca="false">Share_Prices!E244/Share_Prices!E243-1</f>
        <v>-0.011967090501122</v>
      </c>
      <c r="F244" s="14" t="n">
        <f aca="false">Share_Prices!F244/Share_Prices!F243-1</f>
        <v>-0.00559045588150531</v>
      </c>
      <c r="G244" s="14" t="n">
        <f aca="false">Share_Prices!G244/Share_Prices!G243-1</f>
        <v>-0.0249793802285849</v>
      </c>
      <c r="H244" s="14" t="n">
        <f aca="false">Share_Prices!H244/Share_Prices!H243-1</f>
        <v>-0.0252378030070572</v>
      </c>
      <c r="I244" s="14" t="n">
        <f aca="false">Share_Prices!I244/Share_Prices!I243-1</f>
        <v>-0.00692594565796478</v>
      </c>
      <c r="J244" s="14" t="n">
        <f aca="false">Share_Prices!J244/Share_Prices!J243-1</f>
        <v>-0.0194725830174217</v>
      </c>
      <c r="K244" s="14" t="n">
        <f aca="false">Share_Prices!K244/Share_Prices!K243-1</f>
        <v>-0.00882293384246002</v>
      </c>
      <c r="L244" s="14" t="n">
        <f aca="false">Share_Prices!L244/Share_Prices!L243-1</f>
        <v>-0.00377155172413779</v>
      </c>
      <c r="M244" s="14" t="n">
        <f aca="false">Share_Prices!M244/Share_Prices!M243-1</f>
        <v>-0.0259449071108264</v>
      </c>
      <c r="N244" s="14" t="n">
        <f aca="false">Share_Prices!N244/Share_Prices!N243-1</f>
        <v>0.0111662081945854</v>
      </c>
      <c r="O244" s="14" t="n">
        <f aca="false">Share_Prices!O244/Share_Prices!O243-1</f>
        <v>-0.0159212880143113</v>
      </c>
      <c r="P244" s="14" t="n">
        <f aca="false">Share_Prices!P244/Share_Prices!P243-1</f>
        <v>-0.0104013071374488</v>
      </c>
      <c r="Q244" s="14" t="n">
        <f aca="false">Share_Prices!Q244/Share_Prices!Q243-1</f>
        <v>-0.0187755102040816</v>
      </c>
      <c r="R244" s="14" t="n">
        <f aca="false">Share_Prices!R244/Share_Prices!R243-1</f>
        <v>-0.00888235294117645</v>
      </c>
      <c r="S244" s="14" t="n">
        <f aca="false">Share_Prices!S244/Share_Prices!S243-1</f>
        <v>-0.0129852526566906</v>
      </c>
    </row>
    <row r="245" customFormat="false" ht="15" hidden="false" customHeight="false" outlineLevel="0" collapsed="false">
      <c r="A245" s="13" t="n">
        <f aca="false">Share_Prices!A245</f>
        <v>45159</v>
      </c>
      <c r="B245" s="14" t="n">
        <f aca="false">Share_Prices!B245/Share_Prices!B244-1</f>
        <v>0.00432156145861096</v>
      </c>
      <c r="C245" s="14" t="n">
        <f aca="false">Share_Prices!C245/Share_Prices!C244-1</f>
        <v>0.00563024758767594</v>
      </c>
      <c r="D245" s="14" t="n">
        <f aca="false">Share_Prices!D245/Share_Prices!D244-1</f>
        <v>0.00286724648762315</v>
      </c>
      <c r="E245" s="14" t="n">
        <f aca="false">Share_Prices!E245/Share_Prices!E244-1</f>
        <v>0.0210584268116443</v>
      </c>
      <c r="F245" s="14" t="n">
        <f aca="false">Share_Prices!F245/Share_Prices!F244-1</f>
        <v>0.00938912715891949</v>
      </c>
      <c r="G245" s="14" t="n">
        <f aca="false">Share_Prices!G245/Share_Prices!G244-1</f>
        <v>0.0164350453172206</v>
      </c>
      <c r="H245" s="14" t="n">
        <f aca="false">Share_Prices!H245/Share_Prices!H244-1</f>
        <v>0.0354922483670417</v>
      </c>
      <c r="I245" s="14" t="n">
        <f aca="false">Share_Prices!I245/Share_Prices!I244-1</f>
        <v>0.0796673819742488</v>
      </c>
      <c r="J245" s="14" t="n">
        <f aca="false">Share_Prices!J245/Share_Prices!J244-1</f>
        <v>0.00940147465827224</v>
      </c>
      <c r="K245" s="14" t="n">
        <f aca="false">Share_Prices!K245/Share_Prices!K244-1</f>
        <v>0.0271130049031054</v>
      </c>
      <c r="L245" s="14" t="n">
        <f aca="false">Share_Prices!L245/Share_Prices!L244-1</f>
        <v>0.0274349771375189</v>
      </c>
      <c r="M245" s="14" t="n">
        <f aca="false">Share_Prices!M245/Share_Prices!M244-1</f>
        <v>0.0223610654390003</v>
      </c>
      <c r="N245" s="14" t="n">
        <f aca="false">Share_Prices!N245/Share_Prices!N244-1</f>
        <v>0.00442073989225578</v>
      </c>
      <c r="O245" s="14" t="n">
        <f aca="false">Share_Prices!O245/Share_Prices!O244-1</f>
        <v>0.0087256862388656</v>
      </c>
      <c r="P245" s="14" t="n">
        <f aca="false">Share_Prices!P245/Share_Prices!P244-1</f>
        <v>0.0162290592783505</v>
      </c>
      <c r="Q245" s="14" t="n">
        <f aca="false">Share_Prices!Q245/Share_Prices!Q244-1</f>
        <v>-0.000713097218920877</v>
      </c>
      <c r="R245" s="14" t="n">
        <f aca="false">Share_Prices!R245/Share_Prices!R244-1</f>
        <v>-0.00819039705620528</v>
      </c>
      <c r="S245" s="14" t="n">
        <f aca="false">Share_Prices!S245/Share_Prices!S244-1</f>
        <v>0.0125243758411382</v>
      </c>
    </row>
    <row r="246" customFormat="false" ht="15" hidden="false" customHeight="false" outlineLevel="0" collapsed="false">
      <c r="A246" s="13" t="n">
        <f aca="false">Share_Prices!A246</f>
        <v>45160</v>
      </c>
      <c r="B246" s="14" t="n">
        <f aca="false">Share_Prices!B246/Share_Prices!B245-1</f>
        <v>0.000146955696724849</v>
      </c>
      <c r="C246" s="14" t="n">
        <f aca="false">Share_Prices!C246/Share_Prices!C245-1</f>
        <v>0.00315688595749486</v>
      </c>
      <c r="D246" s="14" t="n">
        <f aca="false">Share_Prices!D246/Share_Prices!D245-1</f>
        <v>0.00298611772927981</v>
      </c>
      <c r="E246" s="14" t="n">
        <f aca="false">Share_Prices!E246/Share_Prices!E245-1</f>
        <v>0.00633551256992648</v>
      </c>
      <c r="F246" s="14" t="n">
        <f aca="false">Share_Prices!F246/Share_Prices!F245-1</f>
        <v>-0.0153307303628846</v>
      </c>
      <c r="G246" s="14" t="n">
        <f aca="false">Share_Prices!G246/Share_Prices!G245-1</f>
        <v>0.00558792058019253</v>
      </c>
      <c r="H246" s="14" t="n">
        <f aca="false">Share_Prices!H246/Share_Prices!H245-1</f>
        <v>-0.000455996352029087</v>
      </c>
      <c r="I246" s="14" t="n">
        <f aca="false">Share_Prices!I246/Share_Prices!I245-1</f>
        <v>0.00236024844720495</v>
      </c>
      <c r="J246" s="14" t="n">
        <f aca="false">Share_Prices!J246/Share_Prices!J245-1</f>
        <v>-0.00632090083301939</v>
      </c>
      <c r="K246" s="14" t="n">
        <f aca="false">Share_Prices!K246/Share_Prices!K245-1</f>
        <v>0.00308299946011981</v>
      </c>
      <c r="L246" s="14" t="n">
        <f aca="false">Share_Prices!L246/Share_Prices!L245-1</f>
        <v>0.0167488156194668</v>
      </c>
      <c r="M246" s="14" t="n">
        <f aca="false">Share_Prices!M246/Share_Prices!M245-1</f>
        <v>-0.0021800507487223</v>
      </c>
      <c r="N246" s="14" t="n">
        <f aca="false">Share_Prices!N246/Share_Prices!N245-1</f>
        <v>0.0528866714183891</v>
      </c>
      <c r="O246" s="14" t="n">
        <f aca="false">Share_Prices!O246/Share_Prices!O245-1</f>
        <v>0.0403676338078933</v>
      </c>
      <c r="P246" s="14" t="n">
        <f aca="false">Share_Prices!P246/Share_Prices!P245-1</f>
        <v>-0.00479492767980971</v>
      </c>
      <c r="Q246" s="14" t="n">
        <f aca="false">Share_Prices!Q246/Share_Prices!Q245-1</f>
        <v>0.044243577545195</v>
      </c>
      <c r="R246" s="14" t="n">
        <f aca="false">Share_Prices!R246/Share_Prices!R245-1</f>
        <v>-0.0065226497516605</v>
      </c>
      <c r="S246" s="14" t="n">
        <f aca="false">Share_Prices!S246/Share_Prices!S245-1</f>
        <v>0.000976536009765328</v>
      </c>
    </row>
    <row r="247" customFormat="false" ht="15" hidden="false" customHeight="false" outlineLevel="0" collapsed="false">
      <c r="A247" s="13" t="n">
        <f aca="false">Share_Prices!A247</f>
        <v>45161</v>
      </c>
      <c r="B247" s="14" t="n">
        <f aca="false">Share_Prices!B247/Share_Prices!B246-1</f>
        <v>0.00245147952331481</v>
      </c>
      <c r="C247" s="14" t="n">
        <f aca="false">Share_Prices!C247/Share_Prices!C246-1</f>
        <v>0.00266189497345493</v>
      </c>
      <c r="D247" s="14" t="n">
        <f aca="false">Share_Prices!D247/Share_Prices!D246-1</f>
        <v>0.00478256738352378</v>
      </c>
      <c r="E247" s="14" t="n">
        <f aca="false">Share_Prices!E247/Share_Prices!E246-1</f>
        <v>0.00174134351349542</v>
      </c>
      <c r="F247" s="14" t="n">
        <f aca="false">Share_Prices!F247/Share_Prices!F246-1</f>
        <v>0.00758061694559453</v>
      </c>
      <c r="G247" s="14" t="n">
        <f aca="false">Share_Prices!G247/Share_Prices!G246-1</f>
        <v>0.000236462520690539</v>
      </c>
      <c r="H247" s="14" t="n">
        <f aca="false">Share_Prices!H247/Share_Prices!H246-1</f>
        <v>-0.0180200729927008</v>
      </c>
      <c r="I247" s="14" t="n">
        <f aca="false">Share_Prices!I247/Share_Prices!I246-1</f>
        <v>-0.0234229768248854</v>
      </c>
      <c r="J247" s="14" t="n">
        <f aca="false">Share_Prices!J247/Share_Prices!J246-1</f>
        <v>-0.00522369197067996</v>
      </c>
      <c r="K247" s="14" t="n">
        <f aca="false">Share_Prices!K247/Share_Prices!K246-1</f>
        <v>0.00658612240273082</v>
      </c>
      <c r="L247" s="14" t="n">
        <f aca="false">Share_Prices!L247/Share_Prices!L246-1</f>
        <v>0.0226855556078507</v>
      </c>
      <c r="M247" s="14" t="n">
        <f aca="false">Share_Prices!M247/Share_Prices!M246-1</f>
        <v>-0.0166547277936963</v>
      </c>
      <c r="N247" s="14" t="n">
        <f aca="false">Share_Prices!N247/Share_Prices!N246-1</f>
        <v>-0.0406004603303547</v>
      </c>
      <c r="O247" s="14" t="n">
        <f aca="false">Share_Prices!O247/Share_Prices!O246-1</f>
        <v>0.0325653906114674</v>
      </c>
      <c r="P247" s="14" t="n">
        <f aca="false">Share_Prices!P247/Share_Prices!P246-1</f>
        <v>0.00724695389026042</v>
      </c>
      <c r="Q247" s="14" t="n">
        <f aca="false">Share_Prices!Q247/Share_Prices!Q246-1</f>
        <v>-0.00933940774487474</v>
      </c>
      <c r="R247" s="14" t="n">
        <f aca="false">Share_Prices!R247/Share_Prices!R246-1</f>
        <v>0.0122876761835922</v>
      </c>
      <c r="S247" s="14" t="n">
        <f aca="false">Share_Prices!S247/Share_Prices!S246-1</f>
        <v>0.00387523373350307</v>
      </c>
    </row>
    <row r="248" customFormat="false" ht="15" hidden="false" customHeight="false" outlineLevel="0" collapsed="false">
      <c r="A248" s="13" t="n">
        <f aca="false">Share_Prices!A248</f>
        <v>45162</v>
      </c>
      <c r="B248" s="14" t="n">
        <f aca="false">Share_Prices!B248/Share_Prices!B247-1</f>
        <v>-0.00294692450113143</v>
      </c>
      <c r="C248" s="14" t="n">
        <f aca="false">Share_Prices!C248/Share_Prices!C247-1</f>
        <v>-0.00118582321794658</v>
      </c>
      <c r="D248" s="14" t="n">
        <f aca="false">Share_Prices!D248/Share_Prices!D247-1</f>
        <v>-0.00201740007565254</v>
      </c>
      <c r="E248" s="14" t="n">
        <f aca="false">Share_Prices!E248/Share_Prices!E247-1</f>
        <v>0.000267433308818621</v>
      </c>
      <c r="F248" s="14" t="n">
        <f aca="false">Share_Prices!F248/Share_Prices!F247-1</f>
        <v>0.000578737195439549</v>
      </c>
      <c r="G248" s="14" t="n">
        <f aca="false">Share_Prices!G248/Share_Prices!G247-1</f>
        <v>-0.00342789598108739</v>
      </c>
      <c r="H248" s="14" t="n">
        <f aca="false">Share_Prices!H248/Share_Prices!H247-1</f>
        <v>0.00526519550909788</v>
      </c>
      <c r="I248" s="14" t="n">
        <f aca="false">Share_Prices!I248/Share_Prices!I247-1</f>
        <v>-0.0115482233502539</v>
      </c>
      <c r="J248" s="14" t="n">
        <f aca="false">Share_Prices!J248/Share_Prices!J247-1</f>
        <v>-0.0162827136444483</v>
      </c>
      <c r="K248" s="14" t="n">
        <f aca="false">Share_Prices!K248/Share_Prices!K247-1</f>
        <v>0.00295491641807844</v>
      </c>
      <c r="L248" s="14" t="n">
        <f aca="false">Share_Prices!L248/Share_Prices!L247-1</f>
        <v>-0.00128860048782742</v>
      </c>
      <c r="M248" s="14" t="n">
        <f aca="false">Share_Prices!M248/Share_Prices!M247-1</f>
        <v>0.018284465488982</v>
      </c>
      <c r="N248" s="14" t="n">
        <f aca="false">Share_Prices!N248/Share_Prices!N247-1</f>
        <v>0.000599763622572302</v>
      </c>
      <c r="O248" s="14" t="n">
        <f aca="false">Share_Prices!O248/Share_Prices!O247-1</f>
        <v>0.0201308505284348</v>
      </c>
      <c r="P248" s="14" t="n">
        <f aca="false">Share_Prices!P248/Share_Prices!P247-1</f>
        <v>0.000513915243516738</v>
      </c>
      <c r="Q248" s="14" t="n">
        <f aca="false">Share_Prices!Q248/Share_Prices!Q247-1</f>
        <v>0.0156357783398482</v>
      </c>
      <c r="R248" s="14" t="n">
        <f aca="false">Share_Prices!R248/Share_Prices!R247-1</f>
        <v>-0.0117815066047839</v>
      </c>
      <c r="S248" s="14" t="n">
        <f aca="false">Share_Prices!S248/Share_Prices!S247-1</f>
        <v>0.0125796350286147</v>
      </c>
    </row>
    <row r="249" customFormat="false" ht="15" hidden="false" customHeight="false" outlineLevel="0" collapsed="false">
      <c r="A249" s="13" t="n">
        <f aca="false">Share_Prices!A249</f>
        <v>45163</v>
      </c>
      <c r="B249" s="14" t="n">
        <f aca="false">Share_Prices!B249/Share_Prices!B248-1</f>
        <v>-0.00623623411926744</v>
      </c>
      <c r="C249" s="14" t="n">
        <f aca="false">Share_Prices!C249/Share_Prices!C248-1</f>
        <v>-0.00645593807497291</v>
      </c>
      <c r="D249" s="14" t="n">
        <f aca="false">Share_Prices!D249/Share_Prices!D248-1</f>
        <v>0.00521162349968418</v>
      </c>
      <c r="E249" s="14" t="n">
        <f aca="false">Share_Prices!E249/Share_Prices!E248-1</f>
        <v>-0.0122318026869861</v>
      </c>
      <c r="F249" s="14" t="n">
        <f aca="false">Share_Prices!F249/Share_Prices!F248-1</f>
        <v>-0.0176412747990051</v>
      </c>
      <c r="G249" s="14" t="n">
        <f aca="false">Share_Prices!G249/Share_Prices!G248-1</f>
        <v>-0.0102004507175899</v>
      </c>
      <c r="H249" s="14" t="n">
        <f aca="false">Share_Prices!H249/Share_Prices!H248-1</f>
        <v>-0.0150196410690904</v>
      </c>
      <c r="I249" s="14" t="n">
        <f aca="false">Share_Prices!I249/Share_Prices!I248-1</f>
        <v>-0.0155347284632174</v>
      </c>
      <c r="J249" s="14" t="n">
        <f aca="false">Share_Prices!J249/Share_Prices!J248-1</f>
        <v>-0.0117522977248756</v>
      </c>
      <c r="K249" s="14" t="n">
        <f aca="false">Share_Prices!K249/Share_Prices!K248-1</f>
        <v>0.0103678554392659</v>
      </c>
      <c r="L249" s="14" t="n">
        <f aca="false">Share_Prices!L249/Share_Prices!L248-1</f>
        <v>-0.00262660706879858</v>
      </c>
      <c r="M249" s="14" t="n">
        <f aca="false">Share_Prices!M249/Share_Prices!M248-1</f>
        <v>0.00890653503594807</v>
      </c>
      <c r="N249" s="14" t="n">
        <f aca="false">Share_Prices!N249/Share_Prices!N248-1</f>
        <v>0.00401953352255702</v>
      </c>
      <c r="O249" s="14" t="n">
        <f aca="false">Share_Prices!O249/Share_Prices!O248-1</f>
        <v>-0.0322315408649894</v>
      </c>
      <c r="P249" s="14" t="n">
        <f aca="false">Share_Prices!P249/Share_Prices!P248-1</f>
        <v>-0.0047413963412225</v>
      </c>
      <c r="Q249" s="14" t="n">
        <f aca="false">Share_Prices!Q249/Share_Prices!Q248-1</f>
        <v>-0.0247905818428797</v>
      </c>
      <c r="R249" s="14" t="n">
        <f aca="false">Share_Prices!R249/Share_Prices!R248-1</f>
        <v>-0.0116209055876686</v>
      </c>
      <c r="S249" s="14" t="n">
        <f aca="false">Share_Prices!S249/Share_Prices!S248-1</f>
        <v>-0.00605171954145567</v>
      </c>
    </row>
    <row r="250" customFormat="false" ht="15" hidden="false" customHeight="false" outlineLevel="0" collapsed="false">
      <c r="A250" s="13" t="n">
        <f aca="false">Share_Prices!A250</f>
        <v>45166</v>
      </c>
      <c r="B250" s="14" t="n">
        <f aca="false">Share_Prices!B250/Share_Prices!B249-1</f>
        <v>0.00208919432362009</v>
      </c>
      <c r="C250" s="14" t="n">
        <f aca="false">Share_Prices!C250/Share_Prices!C249-1</f>
        <v>0.00323705401332286</v>
      </c>
      <c r="D250" s="14" t="n">
        <f aca="false">Share_Prices!D250/Share_Prices!D249-1</f>
        <v>0.00490180675569518</v>
      </c>
      <c r="E250" s="14" t="n">
        <f aca="false">Share_Prices!E250/Share_Prices!E249-1</f>
        <v>0.00629313844904589</v>
      </c>
      <c r="F250" s="14" t="n">
        <f aca="false">Share_Prices!F250/Share_Prices!F249-1</f>
        <v>-0.01530852567122</v>
      </c>
      <c r="G250" s="14" t="n">
        <f aca="false">Share_Prices!G250/Share_Prices!G249-1</f>
        <v>0.00659077291791488</v>
      </c>
      <c r="H250" s="14" t="n">
        <f aca="false">Share_Prices!H250/Share_Prices!H249-1</f>
        <v>0.0197841726618704</v>
      </c>
      <c r="I250" s="14" t="n">
        <f aca="false">Share_Prices!I250/Share_Prices!I249-1</f>
        <v>0.0207355242566512</v>
      </c>
      <c r="J250" s="14" t="n">
        <f aca="false">Share_Prices!J250/Share_Prices!J249-1</f>
        <v>0.00731818874828472</v>
      </c>
      <c r="K250" s="14" t="n">
        <f aca="false">Share_Prices!K250/Share_Prices!K249-1</f>
        <v>0.0033464320924228</v>
      </c>
      <c r="L250" s="14" t="n">
        <f aca="false">Share_Prices!L250/Share_Prices!L249-1</f>
        <v>0.00993346885973012</v>
      </c>
      <c r="M250" s="14" t="n">
        <f aca="false">Share_Prices!M250/Share_Prices!M249-1</f>
        <v>-0.00088633624051615</v>
      </c>
      <c r="N250" s="14" t="n">
        <f aca="false">Share_Prices!N250/Share_Prices!N249-1</f>
        <v>0.0119400888483081</v>
      </c>
      <c r="O250" s="14" t="n">
        <f aca="false">Share_Prices!O250/Share_Prices!O249-1</f>
        <v>-0.00526762956669502</v>
      </c>
      <c r="P250" s="14" t="n">
        <f aca="false">Share_Prices!P250/Share_Prices!P249-1</f>
        <v>0.0226686251935369</v>
      </c>
      <c r="Q250" s="14" t="n">
        <f aca="false">Share_Prices!Q250/Share_Prices!Q249-1</f>
        <v>-0.0342426001160766</v>
      </c>
      <c r="R250" s="14" t="n">
        <f aca="false">Share_Prices!R250/Share_Prices!R249-1</f>
        <v>0.00359427353030761</v>
      </c>
      <c r="S250" s="14" t="n">
        <f aca="false">Share_Prices!S250/Share_Prices!S249-1</f>
        <v>-0.00123380629241199</v>
      </c>
    </row>
    <row r="251" customFormat="false" ht="15" hidden="false" customHeight="false" outlineLevel="0" collapsed="false">
      <c r="A251" s="13" t="n">
        <f aca="false">Share_Prices!A251</f>
        <v>45167</v>
      </c>
      <c r="B251" s="14" t="n">
        <f aca="false">Share_Prices!B251/Share_Prices!B250-1</f>
        <v>0.00189577878437075</v>
      </c>
      <c r="C251" s="14" t="n">
        <f aca="false">Share_Prices!C251/Share_Prices!C250-1</f>
        <v>0.00308142670056233</v>
      </c>
      <c r="D251" s="14" t="n">
        <f aca="false">Share_Prices!D251/Share_Prices!D250-1</f>
        <v>0.0012820111941465</v>
      </c>
      <c r="E251" s="14" t="n">
        <f aca="false">Share_Prices!E251/Share_Prices!E250-1</f>
        <v>0.00759868199852076</v>
      </c>
      <c r="F251" s="14" t="n">
        <f aca="false">Share_Prices!F251/Share_Prices!F250-1</f>
        <v>-0.0234393685721119</v>
      </c>
      <c r="G251" s="14" t="n">
        <f aca="false">Share_Prices!G251/Share_Prices!G250-1</f>
        <v>0.00785714285714279</v>
      </c>
      <c r="H251" s="14" t="n">
        <f aca="false">Share_Prices!H251/Share_Prices!H250-1</f>
        <v>-0.01456943485929</v>
      </c>
      <c r="I251" s="14" t="n">
        <f aca="false">Share_Prices!I251/Share_Prices!I250-1</f>
        <v>-0.00638814360546824</v>
      </c>
      <c r="J251" s="14" t="n">
        <f aca="false">Share_Prices!J251/Share_Prices!J250-1</f>
        <v>0.0349412960280222</v>
      </c>
      <c r="K251" s="14" t="n">
        <f aca="false">Share_Prices!K251/Share_Prices!K250-1</f>
        <v>0.00797143568878189</v>
      </c>
      <c r="L251" s="14" t="n">
        <f aca="false">Share_Prices!L251/Share_Prices!L250-1</f>
        <v>0.00558122512466253</v>
      </c>
      <c r="M251" s="14" t="n">
        <f aca="false">Share_Prices!M251/Share_Prices!M250-1</f>
        <v>-0.0113196834746816</v>
      </c>
      <c r="N251" s="14" t="n">
        <f aca="false">Share_Prices!N251/Share_Prices!N250-1</f>
        <v>-0.00910968055386863</v>
      </c>
      <c r="O251" s="14" t="n">
        <f aca="false">Share_Prices!O251/Share_Prices!O250-1</f>
        <v>0.00153741031773147</v>
      </c>
      <c r="P251" s="14" t="n">
        <f aca="false">Share_Prices!P251/Share_Prices!P250-1</f>
        <v>0.00850155279503118</v>
      </c>
      <c r="Q251" s="14" t="n">
        <f aca="false">Share_Prices!Q251/Share_Prices!Q250-1</f>
        <v>-0.0129807692307692</v>
      </c>
      <c r="R251" s="14" t="n">
        <f aca="false">Share_Prices!R251/Share_Prices!R250-1</f>
        <v>0.00103192910040062</v>
      </c>
      <c r="S251" s="14" t="n">
        <f aca="false">Share_Prices!S251/Share_Prices!S250-1</f>
        <v>0.00558584203883239</v>
      </c>
    </row>
    <row r="252" customFormat="false" ht="15" hidden="false" customHeight="false" outlineLevel="0" collapsed="false">
      <c r="A252" s="13" t="n">
        <f aca="false">Share_Prices!A252</f>
        <v>45168</v>
      </c>
      <c r="B252" s="14" t="n">
        <f aca="false">Share_Prices!B252/Share_Prices!B251-1</f>
        <v>0.000248156276414946</v>
      </c>
      <c r="C252" s="14" t="n">
        <f aca="false">Share_Prices!C252/Share_Prices!C251-1</f>
        <v>0.00246052235146776</v>
      </c>
      <c r="D252" s="14" t="n">
        <f aca="false">Share_Prices!D252/Share_Prices!D251-1</f>
        <v>-0.00886890262944218</v>
      </c>
      <c r="E252" s="14" t="n">
        <f aca="false">Share_Prices!E252/Share_Prices!E251-1</f>
        <v>0.000600640683395604</v>
      </c>
      <c r="F252" s="14" t="n">
        <f aca="false">Share_Prices!F252/Share_Prices!F251-1</f>
        <v>0.00226549106049467</v>
      </c>
      <c r="G252" s="14" t="n">
        <f aca="false">Share_Prices!G252/Share_Prices!G251-1</f>
        <v>-0.00531537916371372</v>
      </c>
      <c r="H252" s="14" t="n">
        <f aca="false">Share_Prices!H252/Share_Prices!H251-1</f>
        <v>0.00560267683448767</v>
      </c>
      <c r="I252" s="14" t="n">
        <f aca="false">Share_Prices!I252/Share_Prices!I251-1</f>
        <v>-0.00244310145300253</v>
      </c>
      <c r="J252" s="14" t="n">
        <f aca="false">Share_Prices!J252/Share_Prices!J251-1</f>
        <v>0.0074793690588113</v>
      </c>
      <c r="K252" s="14" t="n">
        <f aca="false">Share_Prices!K252/Share_Prices!K251-1</f>
        <v>-0.00345992256363781</v>
      </c>
      <c r="L252" s="14" t="n">
        <f aca="false">Share_Prices!L252/Share_Prices!L251-1</f>
        <v>0.0155133979345798</v>
      </c>
      <c r="M252" s="14" t="n">
        <f aca="false">Share_Prices!M252/Share_Prices!M251-1</f>
        <v>0.000825497092814542</v>
      </c>
      <c r="N252" s="14" t="n">
        <f aca="false">Share_Prices!N252/Share_Prices!N251-1</f>
        <v>-0.0175112947851365</v>
      </c>
      <c r="O252" s="14" t="n">
        <f aca="false">Share_Prices!O252/Share_Prices!O251-1</f>
        <v>0.0150093808630396</v>
      </c>
      <c r="P252" s="14" t="n">
        <f aca="false">Share_Prices!P252/Share_Prices!P251-1</f>
        <v>-0.0086993340775241</v>
      </c>
      <c r="Q252" s="14" t="n">
        <f aca="false">Share_Prices!Q252/Share_Prices!Q251-1</f>
        <v>-0.0152216268874817</v>
      </c>
      <c r="R252" s="14" t="n">
        <f aca="false">Share_Prices!R252/Share_Prices!R251-1</f>
        <v>0.000606391364986969</v>
      </c>
      <c r="S252" s="14" t="n">
        <f aca="false">Share_Prices!S252/Share_Prices!S251-1</f>
        <v>0.00632928294832413</v>
      </c>
    </row>
    <row r="253" customFormat="false" ht="15" hidden="false" customHeight="false" outlineLevel="0" collapsed="false">
      <c r="A253" s="13" t="n">
        <f aca="false">Share_Prices!A253</f>
        <v>45169</v>
      </c>
      <c r="B253" s="14" t="n">
        <f aca="false">Share_Prices!B253/Share_Prices!B252-1</f>
        <v>-0.00484043116793176</v>
      </c>
      <c r="C253" s="14" t="n">
        <f aca="false">Share_Prices!C253/Share_Prices!C252-1</f>
        <v>-0.00263127653744055</v>
      </c>
      <c r="D253" s="14" t="n">
        <f aca="false">Share_Prices!D253/Share_Prices!D252-1</f>
        <v>0.0286722540802824</v>
      </c>
      <c r="E253" s="14" t="n">
        <f aca="false">Share_Prices!E253/Share_Prices!E252-1</f>
        <v>0.00226772493830452</v>
      </c>
      <c r="F253" s="14" t="n">
        <f aca="false">Share_Prices!F253/Share_Prices!F252-1</f>
        <v>0.0193047834320972</v>
      </c>
      <c r="G253" s="14" t="n">
        <f aca="false">Share_Prices!G253/Share_Prices!G252-1</f>
        <v>0.0054625341408383</v>
      </c>
      <c r="H253" s="14" t="n">
        <f aca="false">Share_Prices!H253/Share_Prices!H252-1</f>
        <v>0.00665480151667586</v>
      </c>
      <c r="I253" s="14" t="n">
        <f aca="false">Share_Prices!I253/Share_Prices!I252-1</f>
        <v>0.000257798401650078</v>
      </c>
      <c r="J253" s="14" t="n">
        <f aca="false">Share_Prices!J253/Share_Prices!J252-1</f>
        <v>-0.00823258611036226</v>
      </c>
      <c r="K253" s="14" t="n">
        <f aca="false">Share_Prices!K253/Share_Prices!K252-1</f>
        <v>-0.0144526191066656</v>
      </c>
      <c r="L253" s="14" t="n">
        <f aca="false">Share_Prices!L253/Share_Prices!L252-1</f>
        <v>0.00515186811217627</v>
      </c>
      <c r="M253" s="14" t="n">
        <f aca="false">Share_Prices!M253/Share_Prices!M252-1</f>
        <v>0.0152770306616461</v>
      </c>
      <c r="N253" s="14" t="n">
        <f aca="false">Share_Prices!N253/Share_Prices!N252-1</f>
        <v>0.0503867679036112</v>
      </c>
      <c r="O253" s="14" t="n">
        <f aca="false">Share_Prices!O253/Share_Prices!O252-1</f>
        <v>0.000336077970088944</v>
      </c>
      <c r="P253" s="14" t="n">
        <f aca="false">Share_Prices!P253/Share_Prices!P252-1</f>
        <v>-0.021201413427562</v>
      </c>
      <c r="Q253" s="14" t="n">
        <f aca="false">Share_Prices!Q253/Share_Prices!Q252-1</f>
        <v>0.0309138122913317</v>
      </c>
      <c r="R253" s="14" t="n">
        <f aca="false">Share_Prices!R253/Share_Prices!R252-1</f>
        <v>-0.010302405914793</v>
      </c>
      <c r="S253" s="14" t="n">
        <f aca="false">Share_Prices!S253/Share_Prices!S252-1</f>
        <v>0.0234594766732128</v>
      </c>
    </row>
    <row r="254" customFormat="false" ht="15" hidden="false" customHeight="false" outlineLevel="0" collapsed="false">
      <c r="A254" s="13" t="n">
        <f aca="false">Share_Prices!A254</f>
        <v>45170</v>
      </c>
      <c r="B254" s="14" t="n">
        <f aca="false">Share_Prices!B254/Share_Prices!B253-1</f>
        <v>0.00942671057141964</v>
      </c>
      <c r="C254" s="14" t="n">
        <f aca="false">Share_Prices!C254/Share_Prices!C253-1</f>
        <v>0.00887776747044189</v>
      </c>
      <c r="D254" s="14" t="n">
        <f aca="false">Share_Prices!D254/Share_Prices!D253-1</f>
        <v>-0.00315486400392062</v>
      </c>
      <c r="E254" s="14" t="n">
        <f aca="false">Share_Prices!E254/Share_Prices!E253-1</f>
        <v>0.0115126106341918</v>
      </c>
      <c r="F254" s="14" t="n">
        <f aca="false">Share_Prices!F254/Share_Prices!F253-1</f>
        <v>0.0348216961342522</v>
      </c>
      <c r="G254" s="14" t="n">
        <f aca="false">Share_Prices!G254/Share_Prices!G253-1</f>
        <v>0.0232668005196646</v>
      </c>
      <c r="H254" s="14" t="n">
        <f aca="false">Share_Prices!H254/Share_Prices!H253-1</f>
        <v>0.00184487662387567</v>
      </c>
      <c r="I254" s="14" t="n">
        <f aca="false">Share_Prices!I254/Share_Prices!I253-1</f>
        <v>-0.00244845360824741</v>
      </c>
      <c r="J254" s="14" t="n">
        <f aca="false">Share_Prices!J254/Share_Prices!J253-1</f>
        <v>-0.0155145736628614</v>
      </c>
      <c r="K254" s="14" t="n">
        <f aca="false">Share_Prices!K254/Share_Prices!K253-1</f>
        <v>0.0220038303999552</v>
      </c>
      <c r="L254" s="14" t="n">
        <f aca="false">Share_Prices!L254/Share_Prices!L253-1</f>
        <v>0.00623969336364039</v>
      </c>
      <c r="M254" s="14" t="n">
        <f aca="false">Share_Prices!M254/Share_Prices!M253-1</f>
        <v>-0.00448588887711487</v>
      </c>
      <c r="N254" s="14" t="n">
        <f aca="false">Share_Prices!N254/Share_Prices!N253-1</f>
        <v>-0.0189706955356084</v>
      </c>
      <c r="O254" s="14" t="n">
        <f aca="false">Share_Prices!O254/Share_Prices!O253-1</f>
        <v>0.00503947589450693</v>
      </c>
      <c r="P254" s="14" t="n">
        <f aca="false">Share_Prices!P254/Share_Prices!P253-1</f>
        <v>0.000714087356686655</v>
      </c>
      <c r="Q254" s="14" t="n">
        <f aca="false">Share_Prices!Q254/Share_Prices!Q253-1</f>
        <v>-0.0169125584742713</v>
      </c>
      <c r="R254" s="14" t="n">
        <f aca="false">Share_Prices!R254/Share_Prices!R253-1</f>
        <v>0.0290857877655992</v>
      </c>
      <c r="S254" s="14" t="n">
        <f aca="false">Share_Prices!S254/Share_Prices!S253-1</f>
        <v>-0.008427111963906</v>
      </c>
    </row>
    <row r="255" customFormat="false" ht="15" hidden="false" customHeight="false" outlineLevel="0" collapsed="false">
      <c r="A255" s="13" t="n">
        <f aca="false">Share_Prices!A255</f>
        <v>45173</v>
      </c>
      <c r="B255" s="14" t="n">
        <f aca="false">Share_Prices!B255/Share_Prices!B254-1</f>
        <v>0.00481083389502612</v>
      </c>
      <c r="C255" s="14" t="n">
        <f aca="false">Share_Prices!C255/Share_Prices!C254-1</f>
        <v>0.0062314965840975</v>
      </c>
      <c r="D255" s="14" t="n">
        <f aca="false">Share_Prices!D255/Share_Prices!D254-1</f>
        <v>0.0112152404363191</v>
      </c>
      <c r="E255" s="14" t="n">
        <f aca="false">Share_Prices!E255/Share_Prices!E254-1</f>
        <v>0.00802631578947377</v>
      </c>
      <c r="F255" s="14" t="n">
        <f aca="false">Share_Prices!F255/Share_Prices!F254-1</f>
        <v>-0.0202131356423028</v>
      </c>
      <c r="G255" s="14" t="n">
        <f aca="false">Share_Prices!G255/Share_Prices!G254-1</f>
        <v>0.0337026777469991</v>
      </c>
      <c r="H255" s="14" t="n">
        <f aca="false">Share_Prices!H255/Share_Prices!H254-1</f>
        <v>0.0165733138954962</v>
      </c>
      <c r="I255" s="14" t="n">
        <f aca="false">Share_Prices!I255/Share_Prices!I254-1</f>
        <v>-0.00529647332385996</v>
      </c>
      <c r="J255" s="14" t="n">
        <f aca="false">Share_Prices!J255/Share_Prices!J254-1</f>
        <v>-0.0130617619573529</v>
      </c>
      <c r="K255" s="14" t="n">
        <f aca="false">Share_Prices!K255/Share_Prices!K254-1</f>
        <v>-0.00688032609736422</v>
      </c>
      <c r="L255" s="14" t="n">
        <f aca="false">Share_Prices!L255/Share_Prices!L254-1</f>
        <v>-0.0220578464809318</v>
      </c>
      <c r="M255" s="14" t="n">
        <f aca="false">Share_Prices!M255/Share_Prices!M254-1</f>
        <v>0.0348424638092535</v>
      </c>
      <c r="N255" s="14" t="n">
        <f aca="false">Share_Prices!N255/Share_Prices!N254-1</f>
        <v>0.00396090979849539</v>
      </c>
      <c r="O255" s="14" t="n">
        <f aca="false">Share_Prices!O255/Share_Prices!O254-1</f>
        <v>-0.0113655356844392</v>
      </c>
      <c r="P255" s="14" t="n">
        <f aca="false">Share_Prices!P255/Share_Prices!P254-1</f>
        <v>0.0133201189296333</v>
      </c>
      <c r="Q255" s="14" t="n">
        <f aca="false">Share_Prices!Q255/Share_Prices!Q254-1</f>
        <v>-0.0178135675939483</v>
      </c>
      <c r="R255" s="14" t="n">
        <f aca="false">Share_Prices!R255/Share_Prices!R254-1</f>
        <v>0.00172557419969066</v>
      </c>
      <c r="S255" s="14" t="n">
        <f aca="false">Share_Prices!S255/Share_Prices!S254-1</f>
        <v>-0.0094924295912765</v>
      </c>
    </row>
    <row r="256" customFormat="false" ht="15" hidden="false" customHeight="false" outlineLevel="0" collapsed="false">
      <c r="A256" s="13" t="n">
        <f aca="false">Share_Prices!A256</f>
        <v>45174</v>
      </c>
      <c r="B256" s="14" t="n">
        <f aca="false">Share_Prices!B256/Share_Prices!B255-1</f>
        <v>0.00236061611568572</v>
      </c>
      <c r="C256" s="14" t="n">
        <f aca="false">Share_Prices!C256/Share_Prices!C255-1</f>
        <v>0.00414121454285121</v>
      </c>
      <c r="D256" s="14" t="n">
        <f aca="false">Share_Prices!D256/Share_Prices!D255-1</f>
        <v>-0.00534791856578543</v>
      </c>
      <c r="E256" s="14" t="n">
        <f aca="false">Share_Prices!E256/Share_Prices!E255-1</f>
        <v>0.0219292520558674</v>
      </c>
      <c r="F256" s="14" t="n">
        <f aca="false">Share_Prices!F256/Share_Prices!F255-1</f>
        <v>0.0165513980020098</v>
      </c>
      <c r="G256" s="14" t="n">
        <f aca="false">Share_Prices!G256/Share_Prices!G255-1</f>
        <v>0.00725770433229123</v>
      </c>
      <c r="H256" s="14" t="n">
        <f aca="false">Share_Prices!H256/Share_Prices!H255-1</f>
        <v>0.0194731677862481</v>
      </c>
      <c r="I256" s="14" t="n">
        <f aca="false">Share_Prices!I256/Share_Prices!I255-1</f>
        <v>-0.00662337662337664</v>
      </c>
      <c r="J256" s="14" t="n">
        <f aca="false">Share_Prices!J256/Share_Prices!J255-1</f>
        <v>0.0268566140868105</v>
      </c>
      <c r="K256" s="14" t="n">
        <f aca="false">Share_Prices!K256/Share_Prices!K255-1</f>
        <v>0.0102886893284118</v>
      </c>
      <c r="L256" s="14" t="n">
        <f aca="false">Share_Prices!L256/Share_Prices!L255-1</f>
        <v>-0.00652203451243272</v>
      </c>
      <c r="M256" s="14" t="n">
        <f aca="false">Share_Prices!M256/Share_Prices!M255-1</f>
        <v>-0.00582870465610641</v>
      </c>
      <c r="N256" s="14" t="n">
        <f aca="false">Share_Prices!N256/Share_Prices!N255-1</f>
        <v>0.00785610915856916</v>
      </c>
      <c r="O256" s="14" t="n">
        <f aca="false">Share_Prices!O256/Share_Prices!O255-1</f>
        <v>-0.0104818258664413</v>
      </c>
      <c r="P256" s="14" t="n">
        <f aca="false">Share_Prices!P256/Share_Prices!P255-1</f>
        <v>0.00387308790735896</v>
      </c>
      <c r="Q256" s="14" t="n">
        <f aca="false">Share_Prices!Q256/Share_Prices!Q255-1</f>
        <v>0.0180124223602485</v>
      </c>
      <c r="R256" s="14" t="n">
        <f aca="false">Share_Prices!R256/Share_Prices!R255-1</f>
        <v>-0.00944460944460945</v>
      </c>
      <c r="S256" s="14" t="n">
        <f aca="false">Share_Prices!S256/Share_Prices!S255-1</f>
        <v>0.0103490152595174</v>
      </c>
    </row>
    <row r="257" customFormat="false" ht="15" hidden="false" customHeight="false" outlineLevel="0" collapsed="false">
      <c r="A257" s="13" t="n">
        <f aca="false">Share_Prices!A257</f>
        <v>45175</v>
      </c>
      <c r="B257" s="14" t="n">
        <f aca="false">Share_Prices!B257/Share_Prices!B256-1</f>
        <v>0.00184675272926027</v>
      </c>
      <c r="C257" s="14" t="n">
        <f aca="false">Share_Prices!C257/Share_Prices!C256-1</f>
        <v>0.00188382863535463</v>
      </c>
      <c r="D257" s="14" t="n">
        <f aca="false">Share_Prices!D257/Share_Prices!D256-1</f>
        <v>-0.00287163194232298</v>
      </c>
      <c r="E257" s="14" t="n">
        <f aca="false">Share_Prices!E257/Share_Prices!E256-1</f>
        <v>-0.00102184186997056</v>
      </c>
      <c r="F257" s="14" t="n">
        <f aca="false">Share_Prices!F257/Share_Prices!F256-1</f>
        <v>0.0131418270628598</v>
      </c>
      <c r="G257" s="14" t="n">
        <f aca="false">Share_Prices!G257/Share_Prices!G256-1</f>
        <v>-0.00399068839374794</v>
      </c>
      <c r="H257" s="14" t="n">
        <f aca="false">Share_Prices!H257/Share_Prices!H256-1</f>
        <v>-0.00540460501961937</v>
      </c>
      <c r="I257" s="14" t="n">
        <f aca="false">Share_Prices!I257/Share_Prices!I256-1</f>
        <v>0.0248398483461891</v>
      </c>
      <c r="J257" s="14" t="n">
        <f aca="false">Share_Prices!J257/Share_Prices!J256-1</f>
        <v>-0.028689984701469</v>
      </c>
      <c r="K257" s="14" t="n">
        <f aca="false">Share_Prices!K257/Share_Prices!K256-1</f>
        <v>0.00582132486264664</v>
      </c>
      <c r="L257" s="14" t="n">
        <f aca="false">Share_Prices!L257/Share_Prices!L256-1</f>
        <v>0.00738545703214033</v>
      </c>
      <c r="M257" s="14" t="n">
        <f aca="false">Share_Prices!M257/Share_Prices!M256-1</f>
        <v>0.00751827838322527</v>
      </c>
      <c r="N257" s="14" t="n">
        <f aca="false">Share_Prices!N257/Share_Prices!N256-1</f>
        <v>-0.0129401709401711</v>
      </c>
      <c r="O257" s="14" t="n">
        <f aca="false">Share_Prices!O257/Share_Prices!O256-1</f>
        <v>0.00580898684435338</v>
      </c>
      <c r="P257" s="14" t="n">
        <f aca="false">Share_Prices!P257/Share_Prices!P256-1</f>
        <v>-0.00428682774746692</v>
      </c>
      <c r="Q257" s="14" t="n">
        <f aca="false">Share_Prices!Q257/Share_Prices!Q256-1</f>
        <v>-0.028065893837706</v>
      </c>
      <c r="R257" s="14" t="n">
        <f aca="false">Share_Prices!R257/Share_Prices!R256-1</f>
        <v>-0.000839529863276511</v>
      </c>
      <c r="S257" s="14" t="n">
        <f aca="false">Share_Prices!S257/Share_Prices!S256-1</f>
        <v>-0.0109223935197282</v>
      </c>
    </row>
    <row r="258" customFormat="false" ht="15" hidden="false" customHeight="false" outlineLevel="0" collapsed="false">
      <c r="A258" s="13" t="n">
        <f aca="false">Share_Prices!A258</f>
        <v>45176</v>
      </c>
      <c r="B258" s="14" t="n">
        <f aca="false">Share_Prices!B258/Share_Prices!B257-1</f>
        <v>0.00591503259641879</v>
      </c>
      <c r="C258" s="14" t="n">
        <f aca="false">Share_Prices!C258/Share_Prices!C257-1</f>
        <v>0.00583756638857724</v>
      </c>
      <c r="D258" s="14" t="n">
        <f aca="false">Share_Prices!D258/Share_Prices!D257-1</f>
        <v>0.023345588235294</v>
      </c>
      <c r="E258" s="14" t="n">
        <f aca="false">Share_Prices!E258/Share_Prices!E257-1</f>
        <v>-0.0111238971998466</v>
      </c>
      <c r="F258" s="14" t="n">
        <f aca="false">Share_Prices!F258/Share_Prices!F257-1</f>
        <v>-0.0126843827125064</v>
      </c>
      <c r="G258" s="14" t="n">
        <f aca="false">Share_Prices!G258/Share_Prices!G257-1</f>
        <v>0.00389538119087374</v>
      </c>
      <c r="H258" s="14" t="n">
        <f aca="false">Share_Prices!H258/Share_Prices!H257-1</f>
        <v>0.000446627958910151</v>
      </c>
      <c r="I258" s="14" t="n">
        <f aca="false">Share_Prices!I258/Share_Prices!I257-1</f>
        <v>0.0117361908406686</v>
      </c>
      <c r="J258" s="14" t="n">
        <f aca="false">Share_Prices!J258/Share_Prices!J257-1</f>
        <v>0.00968758090963995</v>
      </c>
      <c r="K258" s="14" t="n">
        <f aca="false">Share_Prices!K258/Share_Prices!K257-1</f>
        <v>-0.00333432730624295</v>
      </c>
      <c r="L258" s="14" t="n">
        <f aca="false">Share_Prices!L258/Share_Prices!L257-1</f>
        <v>0.0220844458523783</v>
      </c>
      <c r="M258" s="14" t="n">
        <f aca="false">Share_Prices!M258/Share_Prices!M257-1</f>
        <v>-0.0126993907030876</v>
      </c>
      <c r="N258" s="14" t="n">
        <f aca="false">Share_Prices!N258/Share_Prices!N257-1</f>
        <v>-0.0095942365308348</v>
      </c>
      <c r="O258" s="14" t="n">
        <f aca="false">Share_Prices!O258/Share_Prices!O257-1</f>
        <v>0.0188551044674705</v>
      </c>
      <c r="P258" s="14" t="n">
        <f aca="false">Share_Prices!P258/Share_Prices!P257-1</f>
        <v>-0.000508806262231043</v>
      </c>
      <c r="Q258" s="14" t="n">
        <f aca="false">Share_Prices!Q258/Share_Prices!Q257-1</f>
        <v>-0.024105461393597</v>
      </c>
      <c r="R258" s="14" t="n">
        <f aca="false">Share_Prices!R258/Share_Prices!R257-1</f>
        <v>0.00186052094586486</v>
      </c>
      <c r="S258" s="14" t="n">
        <f aca="false">Share_Prices!S258/Share_Prices!S257-1</f>
        <v>0.000581211032442131</v>
      </c>
    </row>
    <row r="259" customFormat="false" ht="15" hidden="false" customHeight="false" outlineLevel="0" collapsed="false">
      <c r="A259" s="13" t="n">
        <f aca="false">Share_Prices!A259</f>
        <v>45177</v>
      </c>
      <c r="B259" s="14" t="n">
        <f aca="false">Share_Prices!B259/Share_Prices!B258-1</f>
        <v>0.00470926975903652</v>
      </c>
      <c r="C259" s="14" t="n">
        <f aca="false">Share_Prices!C259/Share_Prices!C258-1</f>
        <v>0.00586408213741341</v>
      </c>
      <c r="D259" s="14" t="n">
        <f aca="false">Share_Prices!D259/Share_Prices!D258-1</f>
        <v>-0.00302377103167473</v>
      </c>
      <c r="E259" s="14" t="n">
        <f aca="false">Share_Prices!E259/Share_Prices!E258-1</f>
        <v>0.000323247995862364</v>
      </c>
      <c r="F259" s="14" t="n">
        <f aca="false">Share_Prices!F259/Share_Prices!F258-1</f>
        <v>-0.000348796651552186</v>
      </c>
      <c r="G259" s="14" t="n">
        <f aca="false">Share_Prices!G259/Share_Prices!G258-1</f>
        <v>0.00432372505543244</v>
      </c>
      <c r="H259" s="14" t="n">
        <f aca="false">Share_Prices!H259/Share_Prices!H258-1</f>
        <v>0.00900297619047619</v>
      </c>
      <c r="I259" s="14" t="n">
        <f aca="false">Share_Prices!I259/Share_Prices!I258-1</f>
        <v>-0.00315218761820701</v>
      </c>
      <c r="J259" s="14" t="n">
        <f aca="false">Share_Prices!J259/Share_Prices!J258-1</f>
        <v>-0.00282069363420723</v>
      </c>
      <c r="K259" s="14" t="n">
        <f aca="false">Share_Prices!K259/Share_Prices!K258-1</f>
        <v>0.00644617309470696</v>
      </c>
      <c r="L259" s="14" t="n">
        <f aca="false">Share_Prices!L259/Share_Prices!L258-1</f>
        <v>0.0413548815585567</v>
      </c>
      <c r="M259" s="14" t="n">
        <f aca="false">Share_Prices!M259/Share_Prices!M258-1</f>
        <v>-0.00669139825954312</v>
      </c>
      <c r="N259" s="14" t="n">
        <f aca="false">Share_Prices!N259/Share_Prices!N258-1</f>
        <v>0.0438196156603543</v>
      </c>
      <c r="O259" s="14" t="n">
        <f aca="false">Share_Prices!O259/Share_Prices!O258-1</f>
        <v>0.00583527842614195</v>
      </c>
      <c r="P259" s="14" t="n">
        <f aca="false">Share_Prices!P259/Share_Prices!P258-1</f>
        <v>0.00575635352625614</v>
      </c>
      <c r="Q259" s="14" t="n">
        <f aca="false">Share_Prices!Q259/Share_Prices!Q258-1</f>
        <v>0.00334491187443708</v>
      </c>
      <c r="R259" s="14" t="n">
        <f aca="false">Share_Prices!R259/Share_Prices!R258-1</f>
        <v>0.00629006170251012</v>
      </c>
      <c r="S259" s="14" t="n">
        <f aca="false">Share_Prices!S259/Share_Prices!S258-1</f>
        <v>0.0317632148703595</v>
      </c>
    </row>
    <row r="260" customFormat="false" ht="15" hidden="false" customHeight="false" outlineLevel="0" collapsed="false">
      <c r="A260" s="13" t="n">
        <f aca="false">Share_Prices!A260</f>
        <v>45180</v>
      </c>
      <c r="B260" s="14" t="n">
        <f aca="false">Share_Prices!B260/Share_Prices!B259-1</f>
        <v>0.00890012336055324</v>
      </c>
      <c r="C260" s="14" t="n">
        <f aca="false">Share_Prices!C260/Share_Prices!C259-1</f>
        <v>0.00948680339329044</v>
      </c>
      <c r="D260" s="14" t="n">
        <f aca="false">Share_Prices!D260/Share_Prices!D259-1</f>
        <v>0.0321611963604695</v>
      </c>
      <c r="E260" s="14" t="n">
        <f aca="false">Share_Prices!E260/Share_Prices!E259-1</f>
        <v>0.0192593550054934</v>
      </c>
      <c r="F260" s="14" t="n">
        <f aca="false">Share_Prices!F260/Share_Prices!F259-1</f>
        <v>-0.010002326122354</v>
      </c>
      <c r="G260" s="14" t="n">
        <f aca="false">Share_Prices!G260/Share_Prices!G259-1</f>
        <v>0.00419472347941285</v>
      </c>
      <c r="H260" s="14" t="n">
        <f aca="false">Share_Prices!H260/Share_Prices!H259-1</f>
        <v>-0.00641545608730909</v>
      </c>
      <c r="I260" s="14" t="n">
        <f aca="false">Share_Prices!I260/Share_Prices!I259-1</f>
        <v>-0.00265621047305842</v>
      </c>
      <c r="J260" s="14" t="n">
        <f aca="false">Share_Prices!J260/Share_Prices!J259-1</f>
        <v>-0.0131576127718847</v>
      </c>
      <c r="K260" s="14" t="n">
        <f aca="false">Share_Prices!K260/Share_Prices!K259-1</f>
        <v>-0.00256735940329156</v>
      </c>
      <c r="L260" s="14" t="n">
        <f aca="false">Share_Prices!L260/Share_Prices!L259-1</f>
        <v>0.00718567966325101</v>
      </c>
      <c r="M260" s="14" t="n">
        <f aca="false">Share_Prices!M260/Share_Prices!M259-1</f>
        <v>0.0198603839441536</v>
      </c>
      <c r="N260" s="14" t="n">
        <f aca="false">Share_Prices!N260/Share_Prices!N259-1</f>
        <v>0.00552810118100333</v>
      </c>
      <c r="O260" s="14" t="n">
        <f aca="false">Share_Prices!O260/Share_Prices!O259-1</f>
        <v>0.00397812033814038</v>
      </c>
      <c r="P260" s="14" t="n">
        <f aca="false">Share_Prices!P260/Share_Prices!P259-1</f>
        <v>0.00961688210559086</v>
      </c>
      <c r="Q260" s="14" t="n">
        <f aca="false">Share_Prices!Q260/Share_Prices!Q259-1</f>
        <v>0.0105141684831389</v>
      </c>
      <c r="R260" s="14" t="n">
        <f aca="false">Share_Prices!R260/Share_Prices!R259-1</f>
        <v>0.0132158590308371</v>
      </c>
      <c r="S260" s="14" t="n">
        <f aca="false">Share_Prices!S260/Share_Prices!S259-1</f>
        <v>0.00171456355400879</v>
      </c>
    </row>
    <row r="261" customFormat="false" ht="15" hidden="false" customHeight="false" outlineLevel="0" collapsed="false">
      <c r="A261" s="13" t="n">
        <f aca="false">Share_Prices!A261</f>
        <v>45181</v>
      </c>
      <c r="B261" s="14" t="n">
        <f aca="false">Share_Prices!B261/Share_Prices!B260-1</f>
        <v>-0.000157528748996549</v>
      </c>
      <c r="C261" s="14" t="n">
        <f aca="false">Share_Prices!C261/Share_Prices!C260-1</f>
        <v>-0.0109214398400304</v>
      </c>
      <c r="D261" s="14" t="n">
        <f aca="false">Share_Prices!D261/Share_Prices!D260-1</f>
        <v>-0.0411672291399977</v>
      </c>
      <c r="E261" s="14" t="n">
        <f aca="false">Share_Prices!E261/Share_Prices!E260-1</f>
        <v>-0.0466045272969374</v>
      </c>
      <c r="F261" s="14" t="n">
        <f aca="false">Share_Prices!F261/Share_Prices!F260-1</f>
        <v>0.000881109022556448</v>
      </c>
      <c r="G261" s="14" t="n">
        <f aca="false">Share_Prices!G261/Share_Prices!G260-1</f>
        <v>-0.0338573155985491</v>
      </c>
      <c r="H261" s="14" t="n">
        <f aca="false">Share_Prices!H261/Share_Prices!H260-1</f>
        <v>-0.00853495621196376</v>
      </c>
      <c r="I261" s="14" t="n">
        <f aca="false">Share_Prices!I261/Share_Prices!I260-1</f>
        <v>-0.0498414711477488</v>
      </c>
      <c r="J261" s="14" t="n">
        <f aca="false">Share_Prices!J261/Share_Prices!J260-1</f>
        <v>-0.044407287572474</v>
      </c>
      <c r="K261" s="14" t="n">
        <f aca="false">Share_Prices!K261/Share_Prices!K260-1</f>
        <v>0.00536469058198774</v>
      </c>
      <c r="L261" s="14" t="n">
        <f aca="false">Share_Prices!L261/Share_Prices!L260-1</f>
        <v>-0.0154930766632896</v>
      </c>
      <c r="M261" s="14" t="n">
        <f aca="false">Share_Prices!M261/Share_Prices!M260-1</f>
        <v>-0.0500017112153051</v>
      </c>
      <c r="N261" s="14" t="n">
        <f aca="false">Share_Prices!N261/Share_Prices!N260-1</f>
        <v>-0.0640733027905041</v>
      </c>
      <c r="O261" s="14" t="n">
        <f aca="false">Share_Prices!O261/Share_Prices!O260-1</f>
        <v>-0.0320290572890871</v>
      </c>
      <c r="P261" s="14" t="n">
        <f aca="false">Share_Prices!P261/Share_Prices!P260-1</f>
        <v>-0.0192433766534265</v>
      </c>
      <c r="Q261" s="14" t="n">
        <f aca="false">Share_Prices!Q261/Share_Prices!Q260-1</f>
        <v>-0.0432686207334095</v>
      </c>
      <c r="R261" s="14" t="n">
        <f aca="false">Share_Prices!R261/Share_Prices!R260-1</f>
        <v>-0.018096357226792</v>
      </c>
      <c r="S261" s="14" t="n">
        <f aca="false">Share_Prices!S261/Share_Prices!S260-1</f>
        <v>-0.0235285101164929</v>
      </c>
    </row>
    <row r="262" customFormat="false" ht="15" hidden="false" customHeight="false" outlineLevel="0" collapsed="false">
      <c r="A262" s="13" t="n">
        <f aca="false">Share_Prices!A262</f>
        <v>45182</v>
      </c>
      <c r="B262" s="14" t="n">
        <f aca="false">Share_Prices!B262/Share_Prices!B261-1</f>
        <v>0.00384130604405497</v>
      </c>
      <c r="C262" s="14" t="n">
        <f aca="false">Share_Prices!C262/Share_Prices!C261-1</f>
        <v>0.00379140405084599</v>
      </c>
      <c r="D262" s="14" t="n">
        <f aca="false">Share_Prices!D262/Share_Prices!D261-1</f>
        <v>-0.000849591892465806</v>
      </c>
      <c r="E262" s="14" t="n">
        <f aca="false">Share_Prices!E262/Share_Prices!E261-1</f>
        <v>0.0309257781324821</v>
      </c>
      <c r="F262" s="14" t="n">
        <f aca="false">Share_Prices!F262/Share_Prices!F261-1</f>
        <v>-0.0181348670696637</v>
      </c>
      <c r="G262" s="14" t="n">
        <f aca="false">Share_Prices!G262/Share_Prices!G261-1</f>
        <v>0.025827739219479</v>
      </c>
      <c r="H262" s="14" t="n">
        <f aca="false">Share_Prices!H262/Share_Prices!H261-1</f>
        <v>0.0241784564712928</v>
      </c>
      <c r="I262" s="14" t="n">
        <f aca="false">Share_Prices!I262/Share_Prices!I261-1</f>
        <v>0.00453817405232249</v>
      </c>
      <c r="J262" s="14" t="n">
        <f aca="false">Share_Prices!J262/Share_Prices!J261-1</f>
        <v>0.0111348452483753</v>
      </c>
      <c r="K262" s="14" t="n">
        <f aca="false">Share_Prices!K262/Share_Prices!K261-1</f>
        <v>0.00599633482455664</v>
      </c>
      <c r="L262" s="14" t="n">
        <f aca="false">Share_Prices!L262/Share_Prices!L261-1</f>
        <v>-0.0050169375241198</v>
      </c>
      <c r="M262" s="14" t="n">
        <f aca="false">Share_Prices!M262/Share_Prices!M261-1</f>
        <v>0.0143742344549318</v>
      </c>
      <c r="N262" s="14" t="n">
        <f aca="false">Share_Prices!N262/Share_Prices!N261-1</f>
        <v>0.0107157478773208</v>
      </c>
      <c r="O262" s="14" t="n">
        <f aca="false">Share_Prices!O262/Share_Prices!O261-1</f>
        <v>0.0158621865938939</v>
      </c>
      <c r="P262" s="14" t="n">
        <f aca="false">Share_Prices!P262/Share_Prices!P261-1</f>
        <v>0.00751022334067342</v>
      </c>
      <c r="Q262" s="14" t="n">
        <f aca="false">Share_Prices!Q262/Share_Prices!Q261-1</f>
        <v>-0.00570291777188325</v>
      </c>
      <c r="R262" s="14" t="n">
        <f aca="false">Share_Prices!R262/Share_Prices!R261-1</f>
        <v>-0.0040689325035902</v>
      </c>
      <c r="S262" s="14" t="n">
        <f aca="false">Share_Prices!S262/Share_Prices!S261-1</f>
        <v>-0.000418596133218263</v>
      </c>
    </row>
    <row r="263" customFormat="false" ht="15" hidden="false" customHeight="false" outlineLevel="0" collapsed="false">
      <c r="A263" s="13" t="n">
        <f aca="false">Share_Prices!A263</f>
        <v>45183</v>
      </c>
      <c r="B263" s="14" t="n">
        <f aca="false">Share_Prices!B263/Share_Prices!B262-1</f>
        <v>0.00164922770303932</v>
      </c>
      <c r="C263" s="14" t="n">
        <f aca="false">Share_Prices!C263/Share_Prices!C262-1</f>
        <v>0.00437902063987905</v>
      </c>
      <c r="D263" s="14" t="n">
        <f aca="false">Share_Prices!D263/Share_Prices!D262-1</f>
        <v>0.0081387227064289</v>
      </c>
      <c r="E263" s="14" t="n">
        <f aca="false">Share_Prices!E263/Share_Prices!E262-1</f>
        <v>0.00877362750790289</v>
      </c>
      <c r="F263" s="14" t="n">
        <f aca="false">Share_Prices!F263/Share_Prices!F262-1</f>
        <v>0.0163777644949195</v>
      </c>
      <c r="G263" s="14" t="n">
        <f aca="false">Share_Prices!G263/Share_Prices!G262-1</f>
        <v>0.0242901508429458</v>
      </c>
      <c r="H263" s="14" t="n">
        <f aca="false">Share_Prices!H263/Share_Prices!H262-1</f>
        <v>0.0623446864493495</v>
      </c>
      <c r="I263" s="14" t="n">
        <f aca="false">Share_Prices!I263/Share_Prices!I262-1</f>
        <v>0.0203295243157056</v>
      </c>
      <c r="J263" s="14" t="n">
        <f aca="false">Share_Prices!J263/Share_Prices!J262-1</f>
        <v>0.0369021934555915</v>
      </c>
      <c r="K263" s="14" t="n">
        <f aca="false">Share_Prices!K263/Share_Prices!K262-1</f>
        <v>0.0024646047925847</v>
      </c>
      <c r="L263" s="14" t="n">
        <f aca="false">Share_Prices!L263/Share_Prices!L262-1</f>
        <v>0.0416738493363213</v>
      </c>
      <c r="M263" s="14" t="n">
        <f aca="false">Share_Prices!M263/Share_Prices!M262-1</f>
        <v>0.000532727208154338</v>
      </c>
      <c r="N263" s="14" t="n">
        <f aca="false">Share_Prices!N263/Share_Prices!N262-1</f>
        <v>0.0103555766893857</v>
      </c>
      <c r="O263" s="14" t="n">
        <f aca="false">Share_Prices!O263/Share_Prices!O262-1</f>
        <v>0.00789120214909334</v>
      </c>
      <c r="P263" s="14" t="n">
        <f aca="false">Share_Prices!P263/Share_Prices!P262-1</f>
        <v>0.00729813058580175</v>
      </c>
      <c r="Q263" s="14" t="n">
        <f aca="false">Share_Prices!Q263/Share_Prices!Q262-1</f>
        <v>0.0188075230092035</v>
      </c>
      <c r="R263" s="14" t="n">
        <f aca="false">Share_Prices!R263/Share_Prices!R262-1</f>
        <v>-0.00745013217976454</v>
      </c>
      <c r="S263" s="14" t="n">
        <f aca="false">Share_Prices!S263/Share_Prices!S262-1</f>
        <v>0.00264349464757774</v>
      </c>
    </row>
    <row r="264" customFormat="false" ht="15" hidden="false" customHeight="false" outlineLevel="0" collapsed="false">
      <c r="A264" s="13" t="n">
        <f aca="false">Share_Prices!A264</f>
        <v>45184</v>
      </c>
      <c r="B264" s="14" t="n">
        <f aca="false">Share_Prices!B264/Share_Prices!B263-1</f>
        <v>0.00443961379090796</v>
      </c>
      <c r="C264" s="14" t="n">
        <f aca="false">Share_Prices!C264/Share_Prices!C263-1</f>
        <v>0.00353906893515488</v>
      </c>
      <c r="D264" s="14" t="n">
        <f aca="false">Share_Prices!D264/Share_Prices!D263-1</f>
        <v>0.00885622194776636</v>
      </c>
      <c r="E264" s="14" t="n">
        <f aca="false">Share_Prices!E264/Share_Prices!E263-1</f>
        <v>-0.000767410628637277</v>
      </c>
      <c r="F264" s="14" t="n">
        <f aca="false">Share_Prices!F264/Share_Prices!F263-1</f>
        <v>-0.000882145377558263</v>
      </c>
      <c r="G264" s="14" t="n">
        <f aca="false">Share_Prices!G264/Share_Prices!G263-1</f>
        <v>-0.00649702219815918</v>
      </c>
      <c r="H264" s="14" t="n">
        <f aca="false">Share_Prices!H264/Share_Prices!H263-1</f>
        <v>-0.00990712074303413</v>
      </c>
      <c r="I264" s="14" t="n">
        <f aca="false">Share_Prices!I264/Share_Prices!I263-1</f>
        <v>0.0253939315014975</v>
      </c>
      <c r="J264" s="14" t="n">
        <f aca="false">Share_Prices!J264/Share_Prices!J263-1</f>
        <v>-0.0090814512982792</v>
      </c>
      <c r="K264" s="14" t="n">
        <f aca="false">Share_Prices!K264/Share_Prices!K263-1</f>
        <v>-0.000280594861105432</v>
      </c>
      <c r="L264" s="14" t="n">
        <f aca="false">Share_Prices!L264/Share_Prices!L263-1</f>
        <v>0.0153489719084854</v>
      </c>
      <c r="M264" s="14" t="n">
        <f aca="false">Share_Prices!M264/Share_Prices!M263-1</f>
        <v>-0.0193099531449665</v>
      </c>
      <c r="N264" s="14" t="n">
        <f aca="false">Share_Prices!N264/Share_Prices!N263-1</f>
        <v>-0.00888981854311566</v>
      </c>
      <c r="O264" s="14" t="n">
        <f aca="false">Share_Prices!O264/Share_Prices!O263-1</f>
        <v>0.00266533399966695</v>
      </c>
      <c r="P264" s="14" t="n">
        <f aca="false">Share_Prices!P264/Share_Prices!P263-1</f>
        <v>0.0271600154978691</v>
      </c>
      <c r="Q264" s="14" t="n">
        <f aca="false">Share_Prices!Q264/Share_Prices!Q263-1</f>
        <v>0.0184603299293009</v>
      </c>
      <c r="R264" s="14" t="n">
        <f aca="false">Share_Prices!R264/Share_Prices!R263-1</f>
        <v>0.0157384987893463</v>
      </c>
      <c r="S264" s="14" t="n">
        <f aca="false">Share_Prices!S264/Share_Prices!S263-1</f>
        <v>0.00357627649577119</v>
      </c>
    </row>
    <row r="265" customFormat="false" ht="15" hidden="false" customHeight="false" outlineLevel="0" collapsed="false">
      <c r="A265" s="13" t="n">
        <f aca="false">Share_Prices!A265</f>
        <v>45187</v>
      </c>
      <c r="B265" s="14" t="n">
        <f aca="false">Share_Prices!B265/Share_Prices!B264-1</f>
        <v>-0.00292437482511942</v>
      </c>
      <c r="C265" s="14" t="n">
        <f aca="false">Share_Prices!C265/Share_Prices!C264-1</f>
        <v>-0.00295486193662331</v>
      </c>
      <c r="D265" s="14" t="n">
        <f aca="false">Share_Prices!D265/Share_Prices!D264-1</f>
        <v>-0.00627034128571857</v>
      </c>
      <c r="E265" s="14" t="n">
        <f aca="false">Share_Prices!E265/Share_Prices!E264-1</f>
        <v>-0.0149119999999999</v>
      </c>
      <c r="F265" s="14" t="n">
        <f aca="false">Share_Prices!F265/Share_Prices!F264-1</f>
        <v>-0.00647477779739836</v>
      </c>
      <c r="G265" s="14" t="n">
        <f aca="false">Share_Prices!G265/Share_Prices!G264-1</f>
        <v>-0.0062125340599456</v>
      </c>
      <c r="H265" s="14" t="n">
        <f aca="false">Share_Prices!H265/Share_Prices!H264-1</f>
        <v>-0.0412063094989924</v>
      </c>
      <c r="I265" s="14" t="n">
        <f aca="false">Share_Prices!I265/Share_Prices!I264-1</f>
        <v>-0.0119380238760477</v>
      </c>
      <c r="J265" s="14" t="n">
        <f aca="false">Share_Prices!J265/Share_Prices!J264-1</f>
        <v>-0.0194886152365537</v>
      </c>
      <c r="K265" s="14" t="n">
        <f aca="false">Share_Prices!K265/Share_Prices!K264-1</f>
        <v>0.00753809141940653</v>
      </c>
      <c r="L265" s="14" t="n">
        <f aca="false">Share_Prices!L265/Share_Prices!L264-1</f>
        <v>-0.0273408850134463</v>
      </c>
      <c r="M265" s="14" t="n">
        <f aca="false">Share_Prices!M265/Share_Prices!M264-1</f>
        <v>-0.036086578833068</v>
      </c>
      <c r="N265" s="14" t="n">
        <f aca="false">Share_Prices!N265/Share_Prices!N264-1</f>
        <v>0.00212807119365444</v>
      </c>
      <c r="O265" s="14" t="n">
        <f aca="false">Share_Prices!O265/Share_Prices!O264-1</f>
        <v>0.00166140554909444</v>
      </c>
      <c r="P265" s="14" t="n">
        <f aca="false">Share_Prices!P265/Share_Prices!P264-1</f>
        <v>0.00411150088642454</v>
      </c>
      <c r="Q265" s="14" t="n">
        <f aca="false">Share_Prices!Q265/Share_Prices!Q264-1</f>
        <v>-0.0277670651754725</v>
      </c>
      <c r="R265" s="14" t="n">
        <f aca="false">Share_Prices!R265/Share_Prices!R264-1</f>
        <v>-0.0227056019070321</v>
      </c>
      <c r="S265" s="14" t="n">
        <f aca="false">Share_Prices!S265/Share_Prices!S264-1</f>
        <v>-0.00507218103784624</v>
      </c>
    </row>
    <row r="266" customFormat="false" ht="15" hidden="false" customHeight="false" outlineLevel="0" collapsed="false">
      <c r="A266" s="13" t="n">
        <f aca="false">Share_Prices!A266</f>
        <v>45189</v>
      </c>
      <c r="B266" s="14" t="n">
        <f aca="false">Share_Prices!B266/Share_Prices!B265-1</f>
        <v>-0.0115182309904486</v>
      </c>
      <c r="C266" s="14" t="n">
        <f aca="false">Share_Prices!C266/Share_Prices!C265-1</f>
        <v>-0.00932518054230824</v>
      </c>
      <c r="D266" s="14" t="n">
        <f aca="false">Share_Prices!D266/Share_Prices!D265-1</f>
        <v>0.0030948589285178</v>
      </c>
      <c r="E266" s="14" t="n">
        <f aca="false">Share_Prices!E266/Share_Prices!E265-1</f>
        <v>0.00246881496881501</v>
      </c>
      <c r="F266" s="14" t="n">
        <f aca="false">Share_Prices!F266/Share_Prices!F265-1</f>
        <v>0.00521357900349551</v>
      </c>
      <c r="G266" s="14" t="n">
        <f aca="false">Share_Prices!G266/Share_Prices!G265-1</f>
        <v>0.00186444395700813</v>
      </c>
      <c r="H266" s="14" t="n">
        <f aca="false">Share_Prices!H266/Share_Prices!H265-1</f>
        <v>-0.0223220756631396</v>
      </c>
      <c r="I266" s="14" t="n">
        <f aca="false">Share_Prices!I266/Share_Prices!I265-1</f>
        <v>-0.0187660668380463</v>
      </c>
      <c r="J266" s="14" t="n">
        <f aca="false">Share_Prices!J266/Share_Prices!J265-1</f>
        <v>0.03263585259213</v>
      </c>
      <c r="K266" s="14" t="n">
        <f aca="false">Share_Prices!K266/Share_Prices!K265-1</f>
        <v>-0.00127347978350845</v>
      </c>
      <c r="L266" s="14" t="n">
        <f aca="false">Share_Prices!L266/Share_Prices!L265-1</f>
        <v>0.00456621004566205</v>
      </c>
      <c r="M266" s="14" t="n">
        <f aca="false">Share_Prices!M266/Share_Prices!M265-1</f>
        <v>0.0127295257406781</v>
      </c>
      <c r="N266" s="14" t="n">
        <f aca="false">Share_Prices!N266/Share_Prices!N265-1</f>
        <v>0.00587925587925597</v>
      </c>
      <c r="O266" s="14" t="n">
        <f aca="false">Share_Prices!O266/Share_Prices!O265-1</f>
        <v>0.0267042627301377</v>
      </c>
      <c r="P266" s="14" t="n">
        <f aca="false">Share_Prices!P266/Share_Prices!P265-1</f>
        <v>-0.0232531930879039</v>
      </c>
      <c r="Q266" s="14" t="n">
        <f aca="false">Share_Prices!Q266/Share_Prices!Q265-1</f>
        <v>-0.00542112918154158</v>
      </c>
      <c r="R266" s="14" t="n">
        <f aca="false">Share_Prices!R266/Share_Prices!R265-1</f>
        <v>-0.0106713824013659</v>
      </c>
      <c r="S266" s="14" t="n">
        <f aca="false">Share_Prices!S266/Share_Prices!S265-1</f>
        <v>0.00282352941176467</v>
      </c>
    </row>
    <row r="267" customFormat="false" ht="15" hidden="false" customHeight="false" outlineLevel="0" collapsed="false">
      <c r="A267" s="13" t="n">
        <f aca="false">Share_Prices!A267</f>
        <v>45190</v>
      </c>
      <c r="B267" s="14" t="n">
        <f aca="false">Share_Prices!B267/Share_Prices!B266-1</f>
        <v>-0.00799190006733208</v>
      </c>
      <c r="C267" s="14" t="n">
        <f aca="false">Share_Prices!C267/Share_Prices!C266-1</f>
        <v>-0.0083584775364125</v>
      </c>
      <c r="D267" s="14" t="n">
        <f aca="false">Share_Prices!D267/Share_Prices!D266-1</f>
        <v>-5.99089384136775E-005</v>
      </c>
      <c r="E267" s="14" t="n">
        <f aca="false">Share_Prices!E267/Share_Prices!E266-1</f>
        <v>-0.0164614387556709</v>
      </c>
      <c r="F267" s="14" t="n">
        <f aca="false">Share_Prices!F267/Share_Prices!F266-1</f>
        <v>-0.0109035185949196</v>
      </c>
      <c r="G267" s="14" t="n">
        <f aca="false">Share_Prices!G267/Share_Prices!G266-1</f>
        <v>-0.00251778872468522</v>
      </c>
      <c r="H267" s="14" t="n">
        <f aca="false">Share_Prices!H267/Share_Prices!H266-1</f>
        <v>-0.0164566345441067</v>
      </c>
      <c r="I267" s="14" t="n">
        <f aca="false">Share_Prices!I267/Share_Prices!I266-1</f>
        <v>-0.0214828399266439</v>
      </c>
      <c r="J267" s="14" t="n">
        <f aca="false">Share_Prices!J267/Share_Prices!J266-1</f>
        <v>-0.00224665701756288</v>
      </c>
      <c r="K267" s="14" t="n">
        <f aca="false">Share_Prices!K267/Share_Prices!K266-1</f>
        <v>-0.00727871639570721</v>
      </c>
      <c r="L267" s="14" t="n">
        <f aca="false">Share_Prices!L267/Share_Prices!L266-1</f>
        <v>-0.00900750625521263</v>
      </c>
      <c r="M267" s="14" t="n">
        <f aca="false">Share_Prices!M267/Share_Prices!M266-1</f>
        <v>-0.0218761586948462</v>
      </c>
      <c r="N267" s="14" t="n">
        <f aca="false">Share_Prices!N267/Share_Prices!N266-1</f>
        <v>-0.00847945563988484</v>
      </c>
      <c r="O267" s="14" t="n">
        <f aca="false">Share_Prices!O267/Share_Prices!O266-1</f>
        <v>-0.0274636510500808</v>
      </c>
      <c r="P267" s="14" t="n">
        <f aca="false">Share_Prices!P267/Share_Prices!P266-1</f>
        <v>-0.0165762855274797</v>
      </c>
      <c r="Q267" s="14" t="n">
        <f aca="false">Share_Prices!Q267/Share_Prices!Q266-1</f>
        <v>0.0090401488965699</v>
      </c>
      <c r="R267" s="14" t="n">
        <f aca="false">Share_Prices!R267/Share_Prices!R266-1</f>
        <v>-0.0138067061143985</v>
      </c>
      <c r="S267" s="14" t="n">
        <f aca="false">Share_Prices!S267/Share_Prices!S266-1</f>
        <v>-0.00917670368632351</v>
      </c>
    </row>
    <row r="268" customFormat="false" ht="15" hidden="false" customHeight="false" outlineLevel="0" collapsed="false">
      <c r="A268" s="13" t="n">
        <f aca="false">Share_Prices!A268</f>
        <v>45191</v>
      </c>
      <c r="B268" s="14" t="n">
        <f aca="false">Share_Prices!B268/Share_Prices!B267-1</f>
        <v>-0.0034494373770092</v>
      </c>
      <c r="C268" s="14" t="n">
        <f aca="false">Share_Prices!C268/Share_Prices!C267-1</f>
        <v>-0.00246770884503145</v>
      </c>
      <c r="D268" s="14" t="n">
        <f aca="false">Share_Prices!D268/Share_Prices!D267-1</f>
        <v>-0.00937631058654354</v>
      </c>
      <c r="E268" s="14" t="n">
        <f aca="false">Share_Prices!E268/Share_Prices!E267-1</f>
        <v>0.00355824986821296</v>
      </c>
      <c r="F268" s="14" t="n">
        <f aca="false">Share_Prices!F268/Share_Prices!F267-1</f>
        <v>-0.00607794065069722</v>
      </c>
      <c r="G268" s="14" t="n">
        <f aca="false">Share_Prices!G268/Share_Prices!G267-1</f>
        <v>0.0106453028972782</v>
      </c>
      <c r="H268" s="14" t="n">
        <f aca="false">Share_Prices!H268/Share_Prices!H267-1</f>
        <v>0.0373078082604763</v>
      </c>
      <c r="I268" s="14" t="n">
        <f aca="false">Share_Prices!I268/Share_Prices!I267-1</f>
        <v>0.00414993306559586</v>
      </c>
      <c r="J268" s="14" t="n">
        <f aca="false">Share_Prices!J268/Share_Prices!J267-1</f>
        <v>-0.0405308853140494</v>
      </c>
      <c r="K268" s="14" t="n">
        <f aca="false">Share_Prices!K268/Share_Prices!K267-1</f>
        <v>-0.00171260369280168</v>
      </c>
      <c r="L268" s="14" t="n">
        <f aca="false">Share_Prices!L268/Share_Prices!L267-1</f>
        <v>0</v>
      </c>
      <c r="M268" s="14" t="n">
        <f aca="false">Share_Prices!M268/Share_Prices!M267-1</f>
        <v>-0.0206974981046247</v>
      </c>
      <c r="N268" s="14" t="n">
        <f aca="false">Share_Prices!N268/Share_Prices!N267-1</f>
        <v>-0.0157138080909394</v>
      </c>
      <c r="O268" s="14" t="n">
        <f aca="false">Share_Prices!O268/Share_Prices!O267-1</f>
        <v>0.0051495016611296</v>
      </c>
      <c r="P268" s="14" t="n">
        <f aca="false">Share_Prices!P268/Share_Prices!P267-1</f>
        <v>-0.00649198279233476</v>
      </c>
      <c r="Q268" s="14" t="n">
        <f aca="false">Share_Prices!Q268/Share_Prices!Q267-1</f>
        <v>-0.0163372859025033</v>
      </c>
      <c r="R268" s="14" t="n">
        <f aca="false">Share_Prices!R268/Share_Prices!R267-1</f>
        <v>-0.002</v>
      </c>
      <c r="S268" s="14" t="n">
        <f aca="false">Share_Prices!S268/Share_Prices!S267-1</f>
        <v>-0.0049202757459349</v>
      </c>
    </row>
    <row r="269" customFormat="false" ht="15" hidden="false" customHeight="false" outlineLevel="0" collapsed="false">
      <c r="A269" s="13" t="n">
        <f aca="false">Share_Prices!A269</f>
        <v>45194</v>
      </c>
      <c r="B269" s="14" t="n">
        <f aca="false">Share_Prices!B269/Share_Prices!B268-1</f>
        <v>1.52483576247864E-005</v>
      </c>
      <c r="C269" s="14" t="n">
        <f aca="false">Share_Prices!C269/Share_Prices!C268-1</f>
        <v>0.000680733222098606</v>
      </c>
      <c r="D269" s="14" t="n">
        <f aca="false">Share_Prices!D269/Share_Prices!D268-1</f>
        <v>0.025431673168224</v>
      </c>
      <c r="E269" s="14" t="n">
        <f aca="false">Share_Prices!E269/Share_Prices!E268-1</f>
        <v>0.0134602757715037</v>
      </c>
      <c r="F269" s="14" t="n">
        <f aca="false">Share_Prices!F269/Share_Prices!F268-1</f>
        <v>0.00653477218225418</v>
      </c>
      <c r="G269" s="14" t="n">
        <f aca="false">Share_Prices!G269/Share_Prices!G268-1</f>
        <v>0.0052122923227278</v>
      </c>
      <c r="H269" s="14" t="n">
        <f aca="false">Share_Prices!H269/Share_Prices!H268-1</f>
        <v>-0.0410520961999564</v>
      </c>
      <c r="I269" s="14" t="n">
        <f aca="false">Share_Prices!I269/Share_Prices!I268-1</f>
        <v>0.00746567124383413</v>
      </c>
      <c r="J269" s="14" t="n">
        <f aca="false">Share_Prices!J269/Share_Prices!J268-1</f>
        <v>-0.00379104140810116</v>
      </c>
      <c r="K269" s="14" t="n">
        <f aca="false">Share_Prices!K269/Share_Prices!K268-1</f>
        <v>0.0466412909451561</v>
      </c>
      <c r="L269" s="14" t="n">
        <f aca="false">Share_Prices!L269/Share_Prices!L268-1</f>
        <v>-0.00429220669920905</v>
      </c>
      <c r="M269" s="14" t="n">
        <f aca="false">Share_Prices!M269/Share_Prices!M268-1</f>
        <v>-0.0020902686382287</v>
      </c>
      <c r="N269" s="14" t="n">
        <f aca="false">Share_Prices!N269/Share_Prices!N268-1</f>
        <v>-0.000357551487414232</v>
      </c>
      <c r="O269" s="14" t="n">
        <f aca="false">Share_Prices!O269/Share_Prices!O268-1</f>
        <v>-0.00809783506858364</v>
      </c>
      <c r="P269" s="14" t="n">
        <f aca="false">Share_Prices!P269/Share_Prices!P268-1</f>
        <v>-0.00704613446701308</v>
      </c>
      <c r="Q269" s="14" t="n">
        <f aca="false">Share_Prices!Q269/Share_Prices!Q268-1</f>
        <v>-0.00616126439860709</v>
      </c>
      <c r="R269" s="14" t="n">
        <f aca="false">Share_Prices!R269/Share_Prices!R268-1</f>
        <v>-0.0137775551102205</v>
      </c>
      <c r="S269" s="14" t="n">
        <f aca="false">Share_Prices!S269/Share_Prices!S268-1</f>
        <v>0.0288743753139957</v>
      </c>
    </row>
    <row r="270" customFormat="false" ht="15" hidden="false" customHeight="false" outlineLevel="0" collapsed="false">
      <c r="A270" s="13" t="n">
        <f aca="false">Share_Prices!A270</f>
        <v>45195</v>
      </c>
      <c r="B270" s="14" t="n">
        <f aca="false">Share_Prices!B270/Share_Prices!B269-1</f>
        <v>-0.000500646774640234</v>
      </c>
      <c r="C270" s="14" t="n">
        <f aca="false">Share_Prices!C270/Share_Prices!C269-1</f>
        <v>0.000243160390330344</v>
      </c>
      <c r="D270" s="14" t="n">
        <f aca="false">Share_Prices!D270/Share_Prices!D269-1</f>
        <v>0.0137127690946623</v>
      </c>
      <c r="E270" s="14" t="n">
        <f aca="false">Share_Prices!E270/Share_Prices!E269-1</f>
        <v>-0.016715257531584</v>
      </c>
      <c r="F270" s="14" t="n">
        <f aca="false">Share_Prices!F270/Share_Prices!F269-1</f>
        <v>-0.0212639228065996</v>
      </c>
      <c r="G270" s="14" t="n">
        <f aca="false">Share_Prices!G270/Share_Prices!G269-1</f>
        <v>0.00280868531921774</v>
      </c>
      <c r="H270" s="14" t="n">
        <f aca="false">Share_Prices!H270/Share_Prices!H269-1</f>
        <v>-0.00666767692074555</v>
      </c>
      <c r="I270" s="14" t="n">
        <f aca="false">Share_Prices!I270/Share_Prices!I269-1</f>
        <v>0.0197168188434564</v>
      </c>
      <c r="J270" s="14" t="n">
        <f aca="false">Share_Prices!J270/Share_Prices!J269-1</f>
        <v>-0.00400933245747159</v>
      </c>
      <c r="K270" s="14" t="n">
        <f aca="false">Share_Prices!K270/Share_Prices!K269-1</f>
        <v>0.00650514777442002</v>
      </c>
      <c r="L270" s="14" t="n">
        <f aca="false">Share_Prices!L270/Share_Prices!L269-1</f>
        <v>0.0101005832135914</v>
      </c>
      <c r="M270" s="14" t="n">
        <f aca="false">Share_Prices!M270/Share_Prices!M269-1</f>
        <v>0.0317688130333593</v>
      </c>
      <c r="N270" s="14" t="n">
        <f aca="false">Share_Prices!N270/Share_Prices!N269-1</f>
        <v>0.007135703555333</v>
      </c>
      <c r="O270" s="14" t="n">
        <f aca="false">Share_Prices!O270/Share_Prices!O269-1</f>
        <v>-0.0101632789070311</v>
      </c>
      <c r="P270" s="14" t="n">
        <f aca="false">Share_Prices!P270/Share_Prices!P269-1</f>
        <v>-0.0193855302279485</v>
      </c>
      <c r="Q270" s="14" t="n">
        <f aca="false">Share_Prices!Q270/Share_Prices!Q269-1</f>
        <v>0.0192722371967655</v>
      </c>
      <c r="R270" s="14" t="n">
        <f aca="false">Share_Prices!R270/Share_Prices!R269-1</f>
        <v>-0.00133350266700527</v>
      </c>
      <c r="S270" s="14" t="n">
        <f aca="false">Share_Prices!S270/Share_Prices!S269-1</f>
        <v>-0.0313279021356429</v>
      </c>
    </row>
    <row r="271" customFormat="false" ht="15" hidden="false" customHeight="false" outlineLevel="0" collapsed="false">
      <c r="A271" s="13" t="n">
        <f aca="false">Share_Prices!A271</f>
        <v>45196</v>
      </c>
      <c r="B271" s="14" t="n">
        <f aca="false">Share_Prices!B271/Share_Prices!B270-1</f>
        <v>0.00263161909411269</v>
      </c>
      <c r="C271" s="14" t="n">
        <f aca="false">Share_Prices!C271/Share_Prices!C270-1</f>
        <v>0.0037535994906448</v>
      </c>
      <c r="D271" s="14" t="n">
        <f aca="false">Share_Prices!D271/Share_Prices!D270-1</f>
        <v>-0.00858181818181814</v>
      </c>
      <c r="E271" s="14" t="n">
        <f aca="false">Share_Prices!E271/Share_Prices!E270-1</f>
        <v>0.0146273967187192</v>
      </c>
      <c r="F271" s="14" t="n">
        <f aca="false">Share_Prices!F271/Share_Prices!F270-1</f>
        <v>-0.00389483933787738</v>
      </c>
      <c r="G271" s="14" t="n">
        <f aca="false">Share_Prices!G271/Share_Prices!G270-1</f>
        <v>0.00624798017882156</v>
      </c>
      <c r="H271" s="14" t="n">
        <f aca="false">Share_Prices!H271/Share_Prices!H270-1</f>
        <v>0.00991609458428688</v>
      </c>
      <c r="I271" s="14" t="n">
        <f aca="false">Share_Prices!I271/Share_Prices!I270-1</f>
        <v>-0.00207630417856219</v>
      </c>
      <c r="J271" s="14" t="n">
        <f aca="false">Share_Prices!J271/Share_Prices!J270-1</f>
        <v>0.00827837161701162</v>
      </c>
      <c r="K271" s="14" t="n">
        <f aca="false">Share_Prices!K271/Share_Prices!K270-1</f>
        <v>-0.00421119592875308</v>
      </c>
      <c r="L271" s="14" t="n">
        <f aca="false">Share_Prices!L271/Share_Prices!L270-1</f>
        <v>0.00271955148320147</v>
      </c>
      <c r="M271" s="14" t="n">
        <f aca="false">Share_Prices!M271/Share_Prices!M270-1</f>
        <v>-0.00383473062897111</v>
      </c>
      <c r="N271" s="14" t="n">
        <f aca="false">Share_Prices!N271/Share_Prices!N270-1</f>
        <v>0.00930480333836448</v>
      </c>
      <c r="O271" s="14" t="n">
        <f aca="false">Share_Prices!O271/Share_Prices!O270-1</f>
        <v>0.00336643662683045</v>
      </c>
      <c r="P271" s="14" t="n">
        <f aca="false">Share_Prices!P271/Share_Prices!P270-1</f>
        <v>0.0183133893919794</v>
      </c>
      <c r="Q271" s="14" t="n">
        <f aca="false">Share_Prices!Q271/Share_Prices!Q270-1</f>
        <v>0.00357001190003969</v>
      </c>
      <c r="R271" s="14" t="n">
        <f aca="false">Share_Prices!R271/Share_Prices!R270-1</f>
        <v>0.00445094423602721</v>
      </c>
      <c r="S271" s="14" t="n">
        <f aca="false">Share_Prices!S271/Share_Prices!S270-1</f>
        <v>0.00413880929640254</v>
      </c>
    </row>
    <row r="272" customFormat="false" ht="15" hidden="false" customHeight="false" outlineLevel="0" collapsed="false">
      <c r="A272" s="13" t="n">
        <f aca="false">Share_Prices!A272</f>
        <v>45197</v>
      </c>
      <c r="B272" s="14" t="n">
        <f aca="false">Share_Prices!B272/Share_Prices!B271-1</f>
        <v>-0.00978370852765087</v>
      </c>
      <c r="C272" s="14" t="n">
        <f aca="false">Share_Prices!C272/Share_Prices!C271-1</f>
        <v>-0.00986933154956859</v>
      </c>
      <c r="D272" s="14" t="n">
        <f aca="false">Share_Prices!D272/Share_Prices!D271-1</f>
        <v>0.00619131455399069</v>
      </c>
      <c r="E272" s="14" t="n">
        <f aca="false">Share_Prices!E272/Share_Prices!E271-1</f>
        <v>-0.0282485875706214</v>
      </c>
      <c r="F272" s="14" t="n">
        <f aca="false">Share_Prices!F272/Share_Prices!F271-1</f>
        <v>0.00262707722385147</v>
      </c>
      <c r="G272" s="14" t="n">
        <f aca="false">Share_Prices!G272/Share_Prices!G271-1</f>
        <v>-0.0186275559361953</v>
      </c>
      <c r="H272" s="14" t="n">
        <f aca="false">Share_Prices!H272/Share_Prices!H271-1</f>
        <v>0.0273413897280967</v>
      </c>
      <c r="I272" s="14" t="n">
        <f aca="false">Share_Prices!I272/Share_Prices!I271-1</f>
        <v>-0.01222366710013</v>
      </c>
      <c r="J272" s="14" t="n">
        <f aca="false">Share_Prices!J272/Share_Prices!J271-1</f>
        <v>-0.00667659132945353</v>
      </c>
      <c r="K272" s="14" t="n">
        <f aca="false">Share_Prices!K272/Share_Prices!K271-1</f>
        <v>-0.0125720272393924</v>
      </c>
      <c r="L272" s="14" t="n">
        <f aca="false">Share_Prices!L272/Share_Prices!L271-1</f>
        <v>0.0179420846198781</v>
      </c>
      <c r="M272" s="14" t="n">
        <f aca="false">Share_Prices!M272/Share_Prices!M271-1</f>
        <v>-0.018945541004642</v>
      </c>
      <c r="N272" s="14" t="n">
        <f aca="false">Share_Prices!N272/Share_Prices!N271-1</f>
        <v>0.0149545206636288</v>
      </c>
      <c r="O272" s="14" t="n">
        <f aca="false">Share_Prices!O272/Share_Prices!O271-1</f>
        <v>-0.0206341217916458</v>
      </c>
      <c r="P272" s="14" t="n">
        <f aca="false">Share_Prices!P272/Share_Prices!P271-1</f>
        <v>-0.0354916828774465</v>
      </c>
      <c r="Q272" s="14" t="n">
        <f aca="false">Share_Prices!Q272/Share_Prices!Q271-1</f>
        <v>-0.010935441370224</v>
      </c>
      <c r="R272" s="14" t="n">
        <f aca="false">Share_Prices!R272/Share_Prices!R271-1</f>
        <v>-0.00955877698297158</v>
      </c>
      <c r="S272" s="14" t="n">
        <f aca="false">Share_Prices!S272/Share_Prices!S271-1</f>
        <v>-0.0110705981822025</v>
      </c>
    </row>
    <row r="273" customFormat="false" ht="15" hidden="false" customHeight="false" outlineLevel="0" collapsed="false">
      <c r="A273" s="13" t="n">
        <f aca="false">Share_Prices!A273</f>
        <v>45198</v>
      </c>
      <c r="B273" s="14" t="n">
        <f aca="false">Share_Prices!B273/Share_Prices!B272-1</f>
        <v>0.00587751715236218</v>
      </c>
      <c r="C273" s="14" t="n">
        <f aca="false">Share_Prices!C273/Share_Prices!C272-1</f>
        <v>0.00711396614532522</v>
      </c>
      <c r="D273" s="14" t="n">
        <f aca="false">Share_Prices!D273/Share_Prices!D272-1</f>
        <v>0.0144352745618384</v>
      </c>
      <c r="E273" s="14" t="n">
        <f aca="false">Share_Prices!E273/Share_Prices!E272-1</f>
        <v>0.0221865811280406</v>
      </c>
      <c r="F273" s="14" t="n">
        <f aca="false">Share_Prices!F273/Share_Prices!F272-1</f>
        <v>-0.0113338614344037</v>
      </c>
      <c r="G273" s="14" t="n">
        <f aca="false">Share_Prices!G273/Share_Prices!G272-1</f>
        <v>0.0130904330751609</v>
      </c>
      <c r="H273" s="14" t="n">
        <f aca="false">Share_Prices!H273/Share_Prices!H272-1</f>
        <v>0.0205852080576385</v>
      </c>
      <c r="I273" s="14" t="n">
        <f aca="false">Share_Prices!I273/Share_Prices!I272-1</f>
        <v>0.0121116377040547</v>
      </c>
      <c r="J273" s="14" t="n">
        <f aca="false">Share_Prices!J273/Share_Prices!J272-1</f>
        <v>-0.0131477360461421</v>
      </c>
      <c r="K273" s="14" t="n">
        <f aca="false">Share_Prices!K273/Share_Prices!K272-1</f>
        <v>0.00926441094649677</v>
      </c>
      <c r="L273" s="14" t="n">
        <f aca="false">Share_Prices!L273/Share_Prices!L272-1</f>
        <v>-0.00184456468273486</v>
      </c>
      <c r="M273" s="14" t="n">
        <f aca="false">Share_Prices!M273/Share_Prices!M272-1</f>
        <v>0.0121177149451817</v>
      </c>
      <c r="N273" s="14" t="n">
        <f aca="false">Share_Prices!N273/Share_Prices!N272-1</f>
        <v>0.00615368614467249</v>
      </c>
      <c r="O273" s="14" t="n">
        <f aca="false">Share_Prices!O273/Share_Prices!O272-1</f>
        <v>0.0323741007194247</v>
      </c>
      <c r="P273" s="14" t="n">
        <f aca="false">Share_Prices!P273/Share_Prices!P272-1</f>
        <v>0.0306647458324758</v>
      </c>
      <c r="Q273" s="14" t="n">
        <f aca="false">Share_Prices!Q273/Share_Prices!Q272-1</f>
        <v>0.0131876914879445</v>
      </c>
      <c r="R273" s="14" t="n">
        <f aca="false">Share_Prices!R273/Share_Prices!R272-1</f>
        <v>0.0112488815032596</v>
      </c>
      <c r="S273" s="14" t="n">
        <f aca="false">Share_Prices!S273/Share_Prices!S272-1</f>
        <v>0.0255951267733576</v>
      </c>
    </row>
    <row r="274" customFormat="false" ht="15" hidden="false" customHeight="false" outlineLevel="0" collapsed="false">
      <c r="A274" s="13" t="n">
        <f aca="false">Share_Prices!A274</f>
        <v>45202</v>
      </c>
      <c r="B274" s="14" t="n">
        <f aca="false">Share_Prices!B274/Share_Prices!B273-1</f>
        <v>-0.00557838509443276</v>
      </c>
      <c r="C274" s="14" t="n">
        <f aca="false">Share_Prices!C274/Share_Prices!C273-1</f>
        <v>-0.00220903739171652</v>
      </c>
      <c r="D274" s="14" t="n">
        <f aca="false">Share_Prices!D274/Share_Prices!D273-1</f>
        <v>0.0343529005921923</v>
      </c>
      <c r="E274" s="14" t="n">
        <f aca="false">Share_Prices!E274/Share_Prices!E273-1</f>
        <v>0.000719142259414385</v>
      </c>
      <c r="F274" s="14" t="n">
        <f aca="false">Share_Prices!F274/Share_Prices!F273-1</f>
        <v>0.0259476117103234</v>
      </c>
      <c r="G274" s="14" t="n">
        <f aca="false">Share_Prices!G274/Share_Prices!G273-1</f>
        <v>0.0278884462151394</v>
      </c>
      <c r="H274" s="14" t="n">
        <f aca="false">Share_Prices!H274/Share_Prices!H273-1</f>
        <v>0.0694424434519521</v>
      </c>
      <c r="I274" s="14" t="n">
        <f aca="false">Share_Prices!I274/Share_Prices!I273-1</f>
        <v>0.0326482830385015</v>
      </c>
      <c r="J274" s="14" t="n">
        <f aca="false">Share_Prices!J274/Share_Prices!J273-1</f>
        <v>0.00326744747923358</v>
      </c>
      <c r="K274" s="14" t="n">
        <f aca="false">Share_Prices!K274/Share_Prices!K273-1</f>
        <v>0.0200894860322303</v>
      </c>
      <c r="L274" s="14" t="n">
        <f aca="false">Share_Prices!L274/Share_Prices!L273-1</f>
        <v>0.0297729046035071</v>
      </c>
      <c r="M274" s="14" t="n">
        <f aca="false">Share_Prices!M274/Share_Prices!M273-1</f>
        <v>0.0125047510452301</v>
      </c>
      <c r="N274" s="14" t="n">
        <f aca="false">Share_Prices!N274/Share_Prices!N273-1</f>
        <v>0.0246709392874369</v>
      </c>
      <c r="O274" s="14" t="n">
        <f aca="false">Share_Prices!O274/Share_Prices!O273-1</f>
        <v>-0.00116144018583053</v>
      </c>
      <c r="P274" s="14" t="n">
        <f aca="false">Share_Prices!P274/Share_Prices!P273-1</f>
        <v>-0.0134584664536741</v>
      </c>
      <c r="Q274" s="14" t="n">
        <f aca="false">Share_Prices!Q274/Share_Prices!Q273-1</f>
        <v>0.00447015514067828</v>
      </c>
      <c r="R274" s="14" t="n">
        <f aca="false">Share_Prices!R274/Share_Prices!R273-1</f>
        <v>0.00682593856655278</v>
      </c>
      <c r="S274" s="14" t="n">
        <f aca="false">Share_Prices!S274/Share_Prices!S273-1</f>
        <v>0.00135462526376107</v>
      </c>
    </row>
    <row r="275" customFormat="false" ht="15" hidden="false" customHeight="false" outlineLevel="0" collapsed="false">
      <c r="A275" s="13" t="n">
        <f aca="false">Share_Prices!A275</f>
        <v>45203</v>
      </c>
      <c r="B275" s="14" t="n">
        <f aca="false">Share_Prices!B275/Share_Prices!B274-1</f>
        <v>-0.00474428726877052</v>
      </c>
      <c r="C275" s="14" t="n">
        <f aca="false">Share_Prices!C275/Share_Prices!C274-1</f>
        <v>-0.00760965318991114</v>
      </c>
      <c r="D275" s="14" t="n">
        <f aca="false">Share_Prices!D275/Share_Prices!D274-1</f>
        <v>-0.0050026402823713</v>
      </c>
      <c r="E275" s="14" t="n">
        <f aca="false">Share_Prices!E275/Share_Prices!E274-1</f>
        <v>-0.0145031684850069</v>
      </c>
      <c r="F275" s="14" t="n">
        <f aca="false">Share_Prices!F275/Share_Prices!F274-1</f>
        <v>-0.012916015859666</v>
      </c>
      <c r="G275" s="14" t="n">
        <f aca="false">Share_Prices!G275/Share_Prices!G274-1</f>
        <v>-0.020846427823172</v>
      </c>
      <c r="H275" s="14" t="n">
        <f aca="false">Share_Prices!H275/Share_Prices!H274-1</f>
        <v>-0.0279536575508554</v>
      </c>
      <c r="I275" s="14" t="n">
        <f aca="false">Share_Prices!I275/Share_Prices!I274-1</f>
        <v>-0.00755762690515183</v>
      </c>
      <c r="J275" s="14" t="n">
        <f aca="false">Share_Prices!J275/Share_Prices!J274-1</f>
        <v>0.0407559459645421</v>
      </c>
      <c r="K275" s="14" t="n">
        <f aca="false">Share_Prices!K275/Share_Prices!K274-1</f>
        <v>-0.0142519605871706</v>
      </c>
      <c r="L275" s="14" t="n">
        <f aca="false">Share_Prices!L275/Share_Prices!L274-1</f>
        <v>-0.0352129526240229</v>
      </c>
      <c r="M275" s="14" t="n">
        <f aca="false">Share_Prices!M275/Share_Prices!M274-1</f>
        <v>-0.0100604377041181</v>
      </c>
      <c r="N275" s="14" t="n">
        <f aca="false">Share_Prices!N275/Share_Prices!N274-1</f>
        <v>0.00025220256910341</v>
      </c>
      <c r="O275" s="14" t="n">
        <f aca="false">Share_Prices!O275/Share_Prices!O274-1</f>
        <v>-0.0428571428571428</v>
      </c>
      <c r="P275" s="14" t="n">
        <f aca="false">Share_Prices!P275/Share_Prices!P274-1</f>
        <v>-0.0156256325142696</v>
      </c>
      <c r="Q275" s="14" t="n">
        <f aca="false">Share_Prices!Q275/Share_Prices!Q274-1</f>
        <v>-0.0134816753926701</v>
      </c>
      <c r="R275" s="14" t="n">
        <f aca="false">Share_Prices!R275/Share_Prices!R274-1</f>
        <v>-0.00527306967984942</v>
      </c>
      <c r="S275" s="14" t="n">
        <f aca="false">Share_Prices!S275/Share_Prices!S274-1</f>
        <v>-0.0371237545201487</v>
      </c>
    </row>
    <row r="276" customFormat="false" ht="15" hidden="false" customHeight="false" outlineLevel="0" collapsed="false">
      <c r="A276" s="13" t="n">
        <f aca="false">Share_Prices!A276</f>
        <v>45204</v>
      </c>
      <c r="B276" s="14" t="n">
        <f aca="false">Share_Prices!B276/Share_Prices!B275-1</f>
        <v>0.00564156389399106</v>
      </c>
      <c r="C276" s="14" t="n">
        <f aca="false">Share_Prices!C276/Share_Prices!C275-1</f>
        <v>0.0042457265331628</v>
      </c>
      <c r="D276" s="14" t="n">
        <f aca="false">Share_Prices!D276/Share_Prices!D275-1</f>
        <v>-0.0241054719141922</v>
      </c>
      <c r="E276" s="14" t="n">
        <f aca="false">Share_Prices!E276/Share_Prices!E275-1</f>
        <v>0.00477295326483262</v>
      </c>
      <c r="F276" s="14" t="n">
        <f aca="false">Share_Prices!F276/Share_Prices!F275-1</f>
        <v>0.029943399671353</v>
      </c>
      <c r="G276" s="14" t="n">
        <f aca="false">Share_Prices!G276/Share_Prices!G275-1</f>
        <v>0.00802396490852675</v>
      </c>
      <c r="H276" s="14" t="n">
        <f aca="false">Share_Prices!H276/Share_Prices!H275-1</f>
        <v>-0.0189869031945117</v>
      </c>
      <c r="I276" s="14" t="n">
        <f aca="false">Share_Prices!I276/Share_Prices!I275-1</f>
        <v>-0.0100266531285695</v>
      </c>
      <c r="J276" s="14" t="n">
        <f aca="false">Share_Prices!J276/Share_Prices!J275-1</f>
        <v>0.0138613425007712</v>
      </c>
      <c r="K276" s="14" t="n">
        <f aca="false">Share_Prices!K276/Share_Prices!K275-1</f>
        <v>-0.000407986332457977</v>
      </c>
      <c r="L276" s="14" t="n">
        <f aca="false">Share_Prices!L276/Share_Prices!L275-1</f>
        <v>-0.00859752821063953</v>
      </c>
      <c r="M276" s="14" t="n">
        <f aca="false">Share_Prices!M276/Share_Prices!M275-1</f>
        <v>0.000948011072769317</v>
      </c>
      <c r="N276" s="14" t="n">
        <f aca="false">Share_Prices!N276/Share_Prices!N275-1</f>
        <v>-0.000571515019078372</v>
      </c>
      <c r="O276" s="14" t="n">
        <f aca="false">Share_Prices!O276/Share_Prices!O275-1</f>
        <v>-0.00694203401596671</v>
      </c>
      <c r="P276" s="14" t="n">
        <f aca="false">Share_Prices!P276/Share_Prices!P275-1</f>
        <v>-0.0139819879096929</v>
      </c>
      <c r="Q276" s="14" t="n">
        <f aca="false">Share_Prices!Q276/Share_Prices!Q275-1</f>
        <v>0.00358232718588281</v>
      </c>
      <c r="R276" s="14" t="n">
        <f aca="false">Share_Prices!R276/Share_Prices!R275-1</f>
        <v>-0.00296604821406021</v>
      </c>
      <c r="S276" s="14" t="n">
        <f aca="false">Share_Prices!S276/Share_Prices!S275-1</f>
        <v>-0.00707878525883499</v>
      </c>
    </row>
    <row r="277" customFormat="false" ht="15" hidden="false" customHeight="false" outlineLevel="0" collapsed="false">
      <c r="A277" s="13" t="n">
        <f aca="false">Share_Prices!A277</f>
        <v>45205</v>
      </c>
      <c r="B277" s="14" t="n">
        <f aca="false">Share_Prices!B277/Share_Prices!B276-1</f>
        <v>0.00551270736605147</v>
      </c>
      <c r="C277" s="14" t="n">
        <f aca="false">Share_Prices!C277/Share_Prices!C276-1</f>
        <v>0.00568743530396954</v>
      </c>
      <c r="D277" s="14" t="n">
        <f aca="false">Share_Prices!D277/Share_Prices!D276-1</f>
        <v>-0.0121930276489783</v>
      </c>
      <c r="E277" s="14" t="n">
        <f aca="false">Share_Prices!E277/Share_Prices!E276-1</f>
        <v>0.0209144289767105</v>
      </c>
      <c r="F277" s="14" t="n">
        <f aca="false">Share_Prices!F277/Share_Prices!F276-1</f>
        <v>-0.0031318324174201</v>
      </c>
      <c r="G277" s="14" t="n">
        <f aca="false">Share_Prices!G277/Share_Prices!G276-1</f>
        <v>-0.00583740182551473</v>
      </c>
      <c r="H277" s="14" t="n">
        <f aca="false">Share_Prices!H277/Share_Prices!H276-1</f>
        <v>0.0177297450024723</v>
      </c>
      <c r="I277" s="14" t="n">
        <f aca="false">Share_Prices!I277/Share_Prices!I276-1</f>
        <v>0.0124358974358976</v>
      </c>
      <c r="J277" s="14" t="n">
        <f aca="false">Share_Prices!J277/Share_Prices!J276-1</f>
        <v>0.00765100962896947</v>
      </c>
      <c r="K277" s="14" t="n">
        <f aca="false">Share_Prices!K277/Share_Prices!K276-1</f>
        <v>0.040458151577766</v>
      </c>
      <c r="L277" s="14" t="n">
        <f aca="false">Share_Prices!L277/Share_Prices!L276-1</f>
        <v>0.0169272461955388</v>
      </c>
      <c r="M277" s="14" t="n">
        <f aca="false">Share_Prices!M277/Share_Prices!M276-1</f>
        <v>-0.00280345506894986</v>
      </c>
      <c r="N277" s="14" t="n">
        <f aca="false">Share_Prices!N277/Share_Prices!N276-1</f>
        <v>0.0390534335738431</v>
      </c>
      <c r="O277" s="14" t="n">
        <f aca="false">Share_Prices!O277/Share_Prices!O276-1</f>
        <v>0.00978678783642062</v>
      </c>
      <c r="P277" s="14" t="n">
        <f aca="false">Share_Prices!P277/Share_Prices!P276-1</f>
        <v>0.00354506401968546</v>
      </c>
      <c r="Q277" s="14" t="n">
        <f aca="false">Share_Prices!Q277/Share_Prices!Q276-1</f>
        <v>0.0284241142252777</v>
      </c>
      <c r="R277" s="14" t="n">
        <f aca="false">Share_Prices!R277/Share_Prices!R276-1</f>
        <v>0.0103804038230266</v>
      </c>
      <c r="S277" s="14" t="n">
        <f aca="false">Share_Prices!S277/Share_Prices!S276-1</f>
        <v>0.0061768707482992</v>
      </c>
    </row>
    <row r="278" customFormat="false" ht="15" hidden="false" customHeight="false" outlineLevel="0" collapsed="false">
      <c r="A278" s="13" t="n">
        <f aca="false">Share_Prices!A278</f>
        <v>45208</v>
      </c>
      <c r="B278" s="14" t="n">
        <f aca="false">Share_Prices!B278/Share_Prices!B277-1</f>
        <v>-0.00718192688325248</v>
      </c>
      <c r="C278" s="14" t="n">
        <f aca="false">Share_Prices!C278/Share_Prices!C277-1</f>
        <v>-0.00959314428459068</v>
      </c>
      <c r="D278" s="14" t="n">
        <f aca="false">Share_Prices!D278/Share_Prices!D277-1</f>
        <v>0.0226587853500233</v>
      </c>
      <c r="E278" s="14" t="n">
        <f aca="false">Share_Prices!E278/Share_Prices!E277-1</f>
        <v>-0.0301150316660205</v>
      </c>
      <c r="F278" s="14" t="n">
        <f aca="false">Share_Prices!F278/Share_Prices!F277-1</f>
        <v>-0.000414937759336098</v>
      </c>
      <c r="G278" s="14" t="n">
        <f aca="false">Share_Prices!G278/Share_Prices!G277-1</f>
        <v>-0.00480409949823846</v>
      </c>
      <c r="H278" s="14" t="n">
        <f aca="false">Share_Prices!H278/Share_Prices!H277-1</f>
        <v>-0.0130483064963909</v>
      </c>
      <c r="I278" s="14" t="n">
        <f aca="false">Share_Prices!I278/Share_Prices!I277-1</f>
        <v>-0.0277320501456251</v>
      </c>
      <c r="J278" s="14" t="n">
        <f aca="false">Share_Prices!J278/Share_Prices!J277-1</f>
        <v>-0.00959899911559781</v>
      </c>
      <c r="K278" s="14" t="n">
        <f aca="false">Share_Prices!K278/Share_Prices!K277-1</f>
        <v>-0.0172358839826416</v>
      </c>
      <c r="L278" s="14" t="n">
        <f aca="false">Share_Prices!L278/Share_Prices!L277-1</f>
        <v>0</v>
      </c>
      <c r="M278" s="14" t="n">
        <f aca="false">Share_Prices!M278/Share_Prices!M277-1</f>
        <v>-0.00262138135400036</v>
      </c>
      <c r="N278" s="14" t="n">
        <f aca="false">Share_Prices!N278/Share_Prices!N277-1</f>
        <v>-0.0135321063791903</v>
      </c>
      <c r="O278" s="14" t="n">
        <f aca="false">Share_Prices!O278/Share_Prices!O277-1</f>
        <v>-0.0112495673243337</v>
      </c>
      <c r="P278" s="14" t="n">
        <f aca="false">Share_Prices!P278/Share_Prices!P277-1</f>
        <v>-0.0108054193333887</v>
      </c>
      <c r="Q278" s="14" t="n">
        <f aca="false">Share_Prices!Q278/Share_Prices!Q277-1</f>
        <v>-0.0372798560226251</v>
      </c>
      <c r="R278" s="14" t="n">
        <f aca="false">Share_Prices!R278/Share_Prices!R277-1</f>
        <v>-0.0187934598759631</v>
      </c>
      <c r="S278" s="14" t="n">
        <f aca="false">Share_Prices!S278/Share_Prices!S277-1</f>
        <v>-0.0151175054763771</v>
      </c>
    </row>
    <row r="279" customFormat="false" ht="15" hidden="false" customHeight="false" outlineLevel="0" collapsed="false">
      <c r="A279" s="13" t="n">
        <f aca="false">Share_Prices!A279</f>
        <v>45209</v>
      </c>
      <c r="B279" s="14" t="n">
        <f aca="false">Share_Prices!B279/Share_Prices!B278-1</f>
        <v>0.00909680279412783</v>
      </c>
      <c r="C279" s="14" t="n">
        <f aca="false">Share_Prices!C279/Share_Prices!C278-1</f>
        <v>0.0102553174098097</v>
      </c>
      <c r="D279" s="14" t="n">
        <f aca="false">Share_Prices!D279/Share_Prices!D278-1</f>
        <v>-0.0214484048280161</v>
      </c>
      <c r="E279" s="14" t="n">
        <f aca="false">Share_Prices!E279/Share_Prices!E278-1</f>
        <v>0.0113272921108742</v>
      </c>
      <c r="F279" s="14" t="n">
        <f aca="false">Share_Prices!F279/Share_Prices!F278-1</f>
        <v>0.0148846587202753</v>
      </c>
      <c r="G279" s="14" t="n">
        <f aca="false">Share_Prices!G279/Share_Prices!G278-1</f>
        <v>0.0069727526281913</v>
      </c>
      <c r="H279" s="14" t="n">
        <f aca="false">Share_Prices!H279/Share_Prices!H278-1</f>
        <v>0.0224331926863572</v>
      </c>
      <c r="I279" s="14" t="n">
        <f aca="false">Share_Prices!I279/Share_Prices!I278-1</f>
        <v>-0.000130242250585999</v>
      </c>
      <c r="J279" s="14" t="n">
        <f aca="false">Share_Prices!J279/Share_Prices!J278-1</f>
        <v>0.0147667378141743</v>
      </c>
      <c r="K279" s="14" t="n">
        <f aca="false">Share_Prices!K279/Share_Prices!K278-1</f>
        <v>0.00696038319529002</v>
      </c>
      <c r="L279" s="14" t="n">
        <f aca="false">Share_Prices!L279/Share_Prices!L278-1</f>
        <v>0.0324709933992047</v>
      </c>
      <c r="M279" s="14" t="n">
        <f aca="false">Share_Prices!M279/Share_Prices!M278-1</f>
        <v>0.0295585266445739</v>
      </c>
      <c r="N279" s="14" t="n">
        <f aca="false">Share_Prices!N279/Share_Prices!N278-1</f>
        <v>0.010993879526771</v>
      </c>
      <c r="O279" s="14" t="n">
        <f aca="false">Share_Prices!O279/Share_Prices!O278-1</f>
        <v>0.0157535445475232</v>
      </c>
      <c r="P279" s="14" t="n">
        <f aca="false">Share_Prices!P279/Share_Prices!P278-1</f>
        <v>0.0234854213931603</v>
      </c>
      <c r="Q279" s="14" t="n">
        <f aca="false">Share_Prices!Q279/Share_Prices!Q278-1</f>
        <v>0.0026705835224996</v>
      </c>
      <c r="R279" s="14" t="n">
        <f aca="false">Share_Prices!R279/Share_Prices!R278-1</f>
        <v>0.0105343803868991</v>
      </c>
      <c r="S279" s="14" t="n">
        <f aca="false">Share_Prices!S279/Share_Prices!S278-1</f>
        <v>0.0395134274259981</v>
      </c>
    </row>
    <row r="280" customFormat="false" ht="15" hidden="false" customHeight="false" outlineLevel="0" collapsed="false">
      <c r="A280" s="13" t="n">
        <f aca="false">Share_Prices!A280</f>
        <v>45210</v>
      </c>
      <c r="B280" s="14" t="n">
        <f aca="false">Share_Prices!B280/Share_Prices!B279-1</f>
        <v>0.00617069200628762</v>
      </c>
      <c r="C280" s="14" t="n">
        <f aca="false">Share_Prices!C280/Share_Prices!C279-1</f>
        <v>0.00601039683067151</v>
      </c>
      <c r="D280" s="14" t="n">
        <f aca="false">Share_Prices!D280/Share_Prices!D279-1</f>
        <v>-0.00906274430321097</v>
      </c>
      <c r="E280" s="14" t="n">
        <f aca="false">Share_Prices!E280/Share_Prices!E279-1</f>
        <v>-0.00507313216497562</v>
      </c>
      <c r="F280" s="14" t="n">
        <f aca="false">Share_Prices!F280/Share_Prices!F279-1</f>
        <v>-0.00175295080051419</v>
      </c>
      <c r="G280" s="14" t="n">
        <f aca="false">Share_Prices!G280/Share_Prices!G279-1</f>
        <v>0.00980078832427811</v>
      </c>
      <c r="H280" s="14" t="n">
        <f aca="false">Share_Prices!H280/Share_Prices!H279-1</f>
        <v>-0.00220097668340324</v>
      </c>
      <c r="I280" s="14" t="n">
        <f aca="false">Share_Prices!I280/Share_Prices!I279-1</f>
        <v>0.0108115149146801</v>
      </c>
      <c r="J280" s="14" t="n">
        <f aca="false">Share_Prices!J280/Share_Prices!J279-1</f>
        <v>0.00392771291208804</v>
      </c>
      <c r="K280" s="14" t="n">
        <f aca="false">Share_Prices!K280/Share_Prices!K279-1</f>
        <v>0.00226692763174197</v>
      </c>
      <c r="L280" s="14" t="n">
        <f aca="false">Share_Prices!L280/Share_Prices!L279-1</f>
        <v>0.000436802604931952</v>
      </c>
      <c r="M280" s="14" t="n">
        <f aca="false">Share_Prices!M280/Share_Prices!M279-1</f>
        <v>0.0159088386547781</v>
      </c>
      <c r="N280" s="14" t="n">
        <f aca="false">Share_Prices!N280/Share_Prices!N279-1</f>
        <v>-0.0137146381445475</v>
      </c>
      <c r="O280" s="14" t="n">
        <f aca="false">Share_Prices!O280/Share_Prices!O279-1</f>
        <v>0.00137859727727041</v>
      </c>
      <c r="P280" s="14" t="n">
        <f aca="false">Share_Prices!P280/Share_Prices!P279-1</f>
        <v>0.0148598169204879</v>
      </c>
      <c r="Q280" s="14" t="n">
        <f aca="false">Share_Prices!Q280/Share_Prices!Q279-1</f>
        <v>0.00572646157943813</v>
      </c>
      <c r="R280" s="14" t="n">
        <f aca="false">Share_Prices!R280/Share_Prices!R279-1</f>
        <v>0.0117513267626992</v>
      </c>
      <c r="S280" s="14" t="n">
        <f aca="false">Share_Prices!S280/Share_Prices!S279-1</f>
        <v>0.00303774731225404</v>
      </c>
    </row>
    <row r="281" customFormat="false" ht="15" hidden="false" customHeight="false" outlineLevel="0" collapsed="false">
      <c r="A281" s="13" t="n">
        <f aca="false">Share_Prices!A281</f>
        <v>45211</v>
      </c>
      <c r="B281" s="14" t="n">
        <f aca="false">Share_Prices!B281/Share_Prices!B280-1</f>
        <v>-0.000875760611972365</v>
      </c>
      <c r="C281" s="14" t="n">
        <f aca="false">Share_Prices!C281/Share_Prices!C280-1</f>
        <v>0.000709470424849368</v>
      </c>
      <c r="D281" s="14" t="n">
        <f aca="false">Share_Prices!D281/Share_Prices!D280-1</f>
        <v>-0.00584385226741468</v>
      </c>
      <c r="E281" s="14" t="n">
        <f aca="false">Share_Prices!E281/Share_Prices!E280-1</f>
        <v>-0.0037083636845241</v>
      </c>
      <c r="F281" s="14" t="n">
        <f aca="false">Share_Prices!F281/Share_Prices!F280-1</f>
        <v>0.00561929290564267</v>
      </c>
      <c r="G281" s="14" t="n">
        <f aca="false">Share_Prices!G281/Share_Prices!G280-1</f>
        <v>-0.0044308471357738</v>
      </c>
      <c r="H281" s="14" t="n">
        <f aca="false">Share_Prices!H281/Share_Prices!H280-1</f>
        <v>0.0221272489143172</v>
      </c>
      <c r="I281" s="14" t="n">
        <f aca="false">Share_Prices!I281/Share_Prices!I280-1</f>
        <v>0.0279639175257733</v>
      </c>
      <c r="J281" s="14" t="n">
        <f aca="false">Share_Prices!J281/Share_Prices!J280-1</f>
        <v>-0.00429716729021923</v>
      </c>
      <c r="K281" s="14" t="n">
        <f aca="false">Share_Prices!K281/Share_Prices!K280-1</f>
        <v>-0.0108146188928302</v>
      </c>
      <c r="L281" s="14" t="n">
        <f aca="false">Share_Prices!L281/Share_Prices!L280-1</f>
        <v>-0.0119869810272288</v>
      </c>
      <c r="M281" s="14" t="n">
        <f aca="false">Share_Prices!M281/Share_Prices!M280-1</f>
        <v>0.00895881131869336</v>
      </c>
      <c r="N281" s="14" t="n">
        <f aca="false">Share_Prices!N281/Share_Prices!N280-1</f>
        <v>0.0205371248025277</v>
      </c>
      <c r="O281" s="14" t="n">
        <f aca="false">Share_Prices!O281/Share_Prices!O280-1</f>
        <v>-0.012734469110308</v>
      </c>
      <c r="P281" s="14" t="n">
        <f aca="false">Share_Prices!P281/Share_Prices!P280-1</f>
        <v>0.000242688994054108</v>
      </c>
      <c r="Q281" s="14" t="n">
        <f aca="false">Share_Prices!Q281/Share_Prices!Q280-1</f>
        <v>-0.00701800847457634</v>
      </c>
      <c r="R281" s="14" t="n">
        <f aca="false">Share_Prices!R281/Share_Prices!R280-1</f>
        <v>0.000437117522168018</v>
      </c>
      <c r="S281" s="14" t="n">
        <f aca="false">Share_Prices!S281/Share_Prices!S280-1</f>
        <v>-0.0107974296850312</v>
      </c>
    </row>
    <row r="282" customFormat="false" ht="15" hidden="false" customHeight="false" outlineLevel="0" collapsed="false">
      <c r="A282" s="13" t="n">
        <f aca="false">Share_Prices!A282</f>
        <v>45212</v>
      </c>
      <c r="B282" s="14" t="n">
        <f aca="false">Share_Prices!B282/Share_Prices!B281-1</f>
        <v>-0.00216984944932808</v>
      </c>
      <c r="C282" s="14" t="n">
        <f aca="false">Share_Prices!C282/Share_Prices!C281-1</f>
        <v>-0.00168487402194084</v>
      </c>
      <c r="D282" s="14" t="n">
        <f aca="false">Share_Prices!D282/Share_Prices!D281-1</f>
        <v>-0.0264519162943805</v>
      </c>
      <c r="E282" s="14" t="n">
        <f aca="false">Share_Prices!E282/Share_Prices!E281-1</f>
        <v>-0.00717846460618143</v>
      </c>
      <c r="F282" s="14" t="n">
        <f aca="false">Share_Prices!F282/Share_Prices!F281-1</f>
        <v>0.0110011641443539</v>
      </c>
      <c r="G282" s="14" t="n">
        <f aca="false">Share_Prices!G282/Share_Prices!G281-1</f>
        <v>-0.00392073752251776</v>
      </c>
      <c r="H282" s="14" t="n">
        <f aca="false">Share_Prices!H282/Share_Prices!H281-1</f>
        <v>-0.0205017534394388</v>
      </c>
      <c r="I282" s="14" t="n">
        <f aca="false">Share_Prices!I282/Share_Prices!I281-1</f>
        <v>-0.0102795537169362</v>
      </c>
      <c r="J282" s="14" t="n">
        <f aca="false">Share_Prices!J282/Share_Prices!J281-1</f>
        <v>0.00345686434491355</v>
      </c>
      <c r="K282" s="14" t="n">
        <f aca="false">Share_Prices!K282/Share_Prices!K281-1</f>
        <v>0.00466051927930633</v>
      </c>
      <c r="L282" s="14" t="n">
        <f aca="false">Share_Prices!L282/Share_Prices!L281-1</f>
        <v>0.0106058171300016</v>
      </c>
      <c r="M282" s="14" t="n">
        <f aca="false">Share_Prices!M282/Share_Prices!M281-1</f>
        <v>0.0064248330626242</v>
      </c>
      <c r="N282" s="14" t="n">
        <f aca="false">Share_Prices!N282/Share_Prices!N281-1</f>
        <v>-0.0111906604747161</v>
      </c>
      <c r="O282" s="14" t="n">
        <f aca="false">Share_Prices!O282/Share_Prices!O281-1</f>
        <v>0.00104584277496933</v>
      </c>
      <c r="P282" s="14" t="n">
        <f aca="false">Share_Prices!P282/Share_Prices!P281-1</f>
        <v>-0.00230498604876872</v>
      </c>
      <c r="Q282" s="14" t="n">
        <f aca="false">Share_Prices!Q282/Share_Prices!Q281-1</f>
        <v>0.00306707561008146</v>
      </c>
      <c r="R282" s="14" t="n">
        <f aca="false">Share_Prices!R282/Share_Prices!R281-1</f>
        <v>-0.0139192310093003</v>
      </c>
      <c r="S282" s="14" t="n">
        <f aca="false">Share_Prices!S282/Share_Prices!S281-1</f>
        <v>0.00151749108141197</v>
      </c>
    </row>
    <row r="283" customFormat="false" ht="15" hidden="false" customHeight="false" outlineLevel="0" collapsed="false">
      <c r="A283" s="13" t="n">
        <f aca="false">Share_Prices!A283</f>
        <v>45215</v>
      </c>
      <c r="B283" s="14" t="n">
        <f aca="false">Share_Prices!B283/Share_Prices!B282-1</f>
        <v>-0.000977163239422652</v>
      </c>
      <c r="C283" s="14" t="n">
        <f aca="false">Share_Prices!C283/Share_Prices!C282-1</f>
        <v>0.000152383362037156</v>
      </c>
      <c r="D283" s="14" t="n">
        <f aca="false">Share_Prices!D283/Share_Prices!D282-1</f>
        <v>-0.014189107595701</v>
      </c>
      <c r="E283" s="14" t="n">
        <f aca="false">Share_Prices!E283/Share_Prices!E282-1</f>
        <v>-0.0105777599250184</v>
      </c>
      <c r="F283" s="14" t="n">
        <f aca="false">Share_Prices!F283/Share_Prices!F282-1</f>
        <v>0.0470953998503081</v>
      </c>
      <c r="G283" s="14" t="n">
        <f aca="false">Share_Prices!G283/Share_Prices!G282-1</f>
        <v>0.0036170212765958</v>
      </c>
      <c r="H283" s="14" t="n">
        <f aca="false">Share_Prices!H283/Share_Prices!H282-1</f>
        <v>-0.00757367116496832</v>
      </c>
      <c r="I283" s="14" t="n">
        <f aca="false">Share_Prices!I283/Share_Prices!I282-1</f>
        <v>-0.0108929702343256</v>
      </c>
      <c r="J283" s="14" t="n">
        <f aca="false">Share_Prices!J283/Share_Prices!J282-1</f>
        <v>-0.00922221033486692</v>
      </c>
      <c r="K283" s="14" t="n">
        <f aca="false">Share_Prices!K283/Share_Prices!K282-1</f>
        <v>-0.00194012959070733</v>
      </c>
      <c r="L283" s="14" t="n">
        <f aca="false">Share_Prices!L283/Share_Prices!L282-1</f>
        <v>-0.00961997137859749</v>
      </c>
      <c r="M283" s="14" t="n">
        <f aca="false">Share_Prices!M283/Share_Prices!M282-1</f>
        <v>-0.00893017250654526</v>
      </c>
      <c r="N283" s="14" t="n">
        <f aca="false">Share_Prices!N283/Share_Prices!N282-1</f>
        <v>0.0649522194318515</v>
      </c>
      <c r="O283" s="14" t="n">
        <f aca="false">Share_Prices!O283/Share_Prices!O282-1</f>
        <v>-0.00644262580532806</v>
      </c>
      <c r="P283" s="14" t="n">
        <f aca="false">Share_Prices!P283/Share_Prices!P282-1</f>
        <v>0.00928177691309995</v>
      </c>
      <c r="Q283" s="14" t="n">
        <f aca="false">Share_Prices!Q283/Share_Prices!Q282-1</f>
        <v>0.00372241425152886</v>
      </c>
      <c r="R283" s="14" t="n">
        <f aca="false">Share_Prices!R283/Share_Prices!R282-1</f>
        <v>0.0127231295100647</v>
      </c>
      <c r="S283" s="14" t="n">
        <f aca="false">Share_Prices!S283/Share_Prices!S282-1</f>
        <v>-0.00712405965070839</v>
      </c>
    </row>
    <row r="284" customFormat="false" ht="15" hidden="false" customHeight="false" outlineLevel="0" collapsed="false">
      <c r="A284" s="13" t="n">
        <f aca="false">Share_Prices!A284</f>
        <v>45216</v>
      </c>
      <c r="B284" s="14" t="n">
        <f aca="false">Share_Prices!B284/Share_Prices!B283-1</f>
        <v>0.00404170942769899</v>
      </c>
      <c r="C284" s="14" t="n">
        <f aca="false">Share_Prices!C284/Share_Prices!C283-1</f>
        <v>0.0042948312539528</v>
      </c>
      <c r="D284" s="14" t="n">
        <f aca="false">Share_Prices!D284/Share_Prices!D283-1</f>
        <v>0.00511422796594596</v>
      </c>
      <c r="E284" s="14" t="n">
        <f aca="false">Share_Prices!E284/Share_Prices!E283-1</f>
        <v>0.0396508559442452</v>
      </c>
      <c r="F284" s="14" t="n">
        <f aca="false">Share_Prices!F284/Share_Prices!F283-1</f>
        <v>0.0517952383570683</v>
      </c>
      <c r="G284" s="14" t="n">
        <f aca="false">Share_Prices!G284/Share_Prices!G283-1</f>
        <v>0.00869196523213911</v>
      </c>
      <c r="H284" s="14" t="n">
        <f aca="false">Share_Prices!H284/Share_Prices!H283-1</f>
        <v>0.0359372831968918</v>
      </c>
      <c r="I284" s="14" t="n">
        <f aca="false">Share_Prices!I284/Share_Prices!I283-1</f>
        <v>0.0252273018312204</v>
      </c>
      <c r="J284" s="14" t="n">
        <f aca="false">Share_Prices!J284/Share_Prices!J283-1</f>
        <v>0.00507515549412574</v>
      </c>
      <c r="K284" s="14" t="n">
        <f aca="false">Share_Prices!K284/Share_Prices!K283-1</f>
        <v>0.00709025432704902</v>
      </c>
      <c r="L284" s="14" t="n">
        <f aca="false">Share_Prices!L284/Share_Prices!L283-1</f>
        <v>-0.000842899574536316</v>
      </c>
      <c r="M284" s="14" t="n">
        <f aca="false">Share_Prices!M284/Share_Prices!M283-1</f>
        <v>0.00644134037779542</v>
      </c>
      <c r="N284" s="14" t="n">
        <f aca="false">Share_Prices!N284/Share_Prices!N283-1</f>
        <v>-0.0104126789679196</v>
      </c>
      <c r="O284" s="14" t="n">
        <f aca="false">Share_Prices!O284/Share_Prices!O283-1</f>
        <v>-0.00157728706624605</v>
      </c>
      <c r="P284" s="14" t="n">
        <f aca="false">Share_Prices!P284/Share_Prices!P283-1</f>
        <v>0.00534115095779297</v>
      </c>
      <c r="Q284" s="14" t="n">
        <f aca="false">Share_Prices!Q284/Share_Prices!Q283-1</f>
        <v>0.00158940397351004</v>
      </c>
      <c r="R284" s="14" t="n">
        <f aca="false">Share_Prices!R284/Share_Prices!R283-1</f>
        <v>0.00637539846240376</v>
      </c>
      <c r="S284" s="14" t="n">
        <f aca="false">Share_Prices!S284/Share_Prices!S283-1</f>
        <v>0.0111911327675296</v>
      </c>
    </row>
    <row r="285" customFormat="false" ht="15" hidden="false" customHeight="false" outlineLevel="0" collapsed="false">
      <c r="A285" s="13" t="n">
        <f aca="false">Share_Prices!A285</f>
        <v>45217</v>
      </c>
      <c r="B285" s="14" t="n">
        <f aca="false">Share_Prices!B285/Share_Prices!B284-1</f>
        <v>-0.00708679302425364</v>
      </c>
      <c r="C285" s="14" t="n">
        <f aca="false">Share_Prices!C285/Share_Prices!C284-1</f>
        <v>-0.00708164211659235</v>
      </c>
      <c r="D285" s="14" t="n">
        <f aca="false">Share_Prices!D285/Share_Prices!D284-1</f>
        <v>-0.00359525913287218</v>
      </c>
      <c r="E285" s="14" t="n">
        <f aca="false">Share_Prices!E285/Share_Prices!E284-1</f>
        <v>-0.00722421086885772</v>
      </c>
      <c r="F285" s="14" t="n">
        <f aca="false">Share_Prices!F285/Share_Prices!F284-1</f>
        <v>-0.00250927910502385</v>
      </c>
      <c r="G285" s="14" t="n">
        <f aca="false">Share_Prices!G285/Share_Prices!G284-1</f>
        <v>-0.0105086170659942</v>
      </c>
      <c r="H285" s="14" t="n">
        <f aca="false">Share_Prices!H285/Share_Prices!H284-1</f>
        <v>0.0198901687650683</v>
      </c>
      <c r="I285" s="14" t="n">
        <f aca="false">Share_Prices!I285/Share_Prices!I284-1</f>
        <v>0.0690731951036723</v>
      </c>
      <c r="J285" s="14" t="n">
        <f aca="false">Share_Prices!J285/Share_Prices!J284-1</f>
        <v>-0.00655364318098795</v>
      </c>
      <c r="K285" s="14" t="n">
        <f aca="false">Share_Prices!K285/Share_Prices!K284-1</f>
        <v>-0.0279757485770848</v>
      </c>
      <c r="L285" s="14" t="n">
        <f aca="false">Share_Prices!L285/Share_Prices!L284-1</f>
        <v>-0.0210500944040494</v>
      </c>
      <c r="M285" s="14" t="n">
        <f aca="false">Share_Prices!M285/Share_Prices!M284-1</f>
        <v>-0.00891701423845814</v>
      </c>
      <c r="N285" s="14" t="n">
        <f aca="false">Share_Prices!N285/Share_Prices!N284-1</f>
        <v>-0.0260889748549323</v>
      </c>
      <c r="O285" s="14" t="n">
        <f aca="false">Share_Prices!O285/Share_Prices!O284-1</f>
        <v>-0.0122871686852729</v>
      </c>
      <c r="P285" s="14" t="n">
        <f aca="false">Share_Prices!P285/Share_Prices!P284-1</f>
        <v>-0.000758967803786925</v>
      </c>
      <c r="Q285" s="14" t="n">
        <f aca="false">Share_Prices!Q285/Share_Prices!Q284-1</f>
        <v>-0.00780216873842909</v>
      </c>
      <c r="R285" s="14" t="n">
        <f aca="false">Share_Prices!R285/Share_Prices!R284-1</f>
        <v>-0.00739084528911238</v>
      </c>
      <c r="S285" s="14" t="n">
        <f aca="false">Share_Prices!S285/Share_Prices!S284-1</f>
        <v>-0.0117821493817681</v>
      </c>
    </row>
    <row r="286" customFormat="false" ht="15" hidden="false" customHeight="false" outlineLevel="0" collapsed="false">
      <c r="A286" s="13" t="n">
        <f aca="false">Share_Prices!A286</f>
        <v>45218</v>
      </c>
      <c r="B286" s="14" t="n">
        <f aca="false">Share_Prices!B286/Share_Prices!B285-1</f>
        <v>-0.00235879030659181</v>
      </c>
      <c r="C286" s="14" t="n">
        <f aca="false">Share_Prices!C286/Share_Prices!C285-1</f>
        <v>-0.00193150369003692</v>
      </c>
      <c r="D286" s="14" t="n">
        <f aca="false">Share_Prices!D286/Share_Prices!D285-1</f>
        <v>-0.0108858514509373</v>
      </c>
      <c r="E286" s="14" t="n">
        <f aca="false">Share_Prices!E286/Share_Prices!E285-1</f>
        <v>0.00314671561557622</v>
      </c>
      <c r="F286" s="14" t="n">
        <f aca="false">Share_Prices!F286/Share_Prices!F285-1</f>
        <v>0.00188669356951943</v>
      </c>
      <c r="G286" s="14" t="n">
        <f aca="false">Share_Prices!G286/Share_Prices!G285-1</f>
        <v>-0.00711554800339853</v>
      </c>
      <c r="H286" s="14" t="n">
        <f aca="false">Share_Prices!H286/Share_Prices!H285-1</f>
        <v>0.0150371002692231</v>
      </c>
      <c r="I286" s="14" t="n">
        <f aca="false">Share_Prices!I286/Share_Prices!I285-1</f>
        <v>-0.0154223624255169</v>
      </c>
      <c r="J286" s="14" t="n">
        <f aca="false">Share_Prices!J286/Share_Prices!J285-1</f>
        <v>0.00365531859670387</v>
      </c>
      <c r="K286" s="14" t="n">
        <f aca="false">Share_Prices!K286/Share_Prices!K285-1</f>
        <v>-0.00318232156722975</v>
      </c>
      <c r="L286" s="14" t="n">
        <f aca="false">Share_Prices!L286/Share_Prices!L285-1</f>
        <v>-0.0173581189215808</v>
      </c>
      <c r="M286" s="14" t="n">
        <f aca="false">Share_Prices!M286/Share_Prices!M285-1</f>
        <v>0.00438978377593968</v>
      </c>
      <c r="N286" s="14" t="n">
        <f aca="false">Share_Prices!N286/Share_Prices!N285-1</f>
        <v>0.0129649343014664</v>
      </c>
      <c r="O286" s="14" t="n">
        <f aca="false">Share_Prices!O286/Share_Prices!O285-1</f>
        <v>0.00373200639772509</v>
      </c>
      <c r="P286" s="14" t="n">
        <f aca="false">Share_Prices!P286/Share_Prices!P285-1</f>
        <v>0.000559664201479126</v>
      </c>
      <c r="Q286" s="14" t="n">
        <f aca="false">Share_Prices!Q286/Share_Prices!Q285-1</f>
        <v>0.00666400106624021</v>
      </c>
      <c r="R286" s="14" t="n">
        <f aca="false">Share_Prices!R286/Share_Prices!R285-1</f>
        <v>-0.0105743961957202</v>
      </c>
      <c r="S286" s="14" t="n">
        <f aca="false">Share_Prices!S286/Share_Prices!S285-1</f>
        <v>0.00677848033436934</v>
      </c>
    </row>
    <row r="287" customFormat="false" ht="15" hidden="false" customHeight="false" outlineLevel="0" collapsed="false">
      <c r="A287" s="13" t="n">
        <f aca="false">Share_Prices!A287</f>
        <v>45219</v>
      </c>
      <c r="B287" s="14" t="n">
        <f aca="false">Share_Prices!B287/Share_Prices!B286-1</f>
        <v>-0.00418095563244281</v>
      </c>
      <c r="C287" s="14" t="n">
        <f aca="false">Share_Prices!C287/Share_Prices!C286-1</f>
        <v>-0.0058779353571532</v>
      </c>
      <c r="D287" s="14" t="n">
        <f aca="false">Share_Prices!D287/Share_Prices!D286-1</f>
        <v>-0.0162611679599345</v>
      </c>
      <c r="E287" s="14" t="n">
        <f aca="false">Share_Prices!E287/Share_Prices!E286-1</f>
        <v>-0.00437851261273037</v>
      </c>
      <c r="F287" s="14" t="n">
        <f aca="false">Share_Prices!F287/Share_Prices!F286-1</f>
        <v>-0.0107757493330545</v>
      </c>
      <c r="G287" s="14" t="n">
        <f aca="false">Share_Prices!G287/Share_Prices!G286-1</f>
        <v>-0.0167932399187078</v>
      </c>
      <c r="H287" s="14" t="n">
        <f aca="false">Share_Prices!H287/Share_Prices!H286-1</f>
        <v>-0.0332513908655712</v>
      </c>
      <c r="I287" s="14" t="n">
        <f aca="false">Share_Prices!I287/Share_Prices!I286-1</f>
        <v>-0.0110359558561767</v>
      </c>
      <c r="J287" s="14" t="n">
        <f aca="false">Share_Prices!J287/Share_Prices!J286-1</f>
        <v>0.0124345408702022</v>
      </c>
      <c r="K287" s="14" t="n">
        <f aca="false">Share_Prices!K287/Share_Prices!K286-1</f>
        <v>-0.00923265525035444</v>
      </c>
      <c r="L287" s="14" t="n">
        <f aca="false">Share_Prices!L287/Share_Prices!L286-1</f>
        <v>-0.00847740750020865</v>
      </c>
      <c r="M287" s="14" t="n">
        <f aca="false">Share_Prices!M287/Share_Prices!M286-1</f>
        <v>0.00404551201011372</v>
      </c>
      <c r="N287" s="14" t="n">
        <f aca="false">Share_Prices!N287/Share_Prices!N286-1</f>
        <v>-0.0208767939769429</v>
      </c>
      <c r="O287" s="14" t="n">
        <f aca="false">Share_Prices!O287/Share_Prices!O286-1</f>
        <v>-0.016111898016997</v>
      </c>
      <c r="P287" s="14" t="n">
        <f aca="false">Share_Prices!P287/Share_Prices!P286-1</f>
        <v>0.0161013224659394</v>
      </c>
      <c r="Q287" s="14" t="n">
        <f aca="false">Share_Prices!Q287/Share_Prices!Q286-1</f>
        <v>-0.00251555673242421</v>
      </c>
      <c r="R287" s="14" t="n">
        <f aca="false">Share_Prices!R287/Share_Prices!R286-1</f>
        <v>-0.0060077151710618</v>
      </c>
      <c r="S287" s="14" t="n">
        <f aca="false">Share_Prices!S287/Share_Prices!S286-1</f>
        <v>-0.00114431700242168</v>
      </c>
    </row>
    <row r="288" customFormat="false" ht="15" hidden="false" customHeight="false" outlineLevel="0" collapsed="false">
      <c r="A288" s="13" t="n">
        <f aca="false">Share_Prices!A288</f>
        <v>45222</v>
      </c>
      <c r="B288" s="14" t="n">
        <f aca="false">Share_Prices!B288/Share_Prices!B287-1</f>
        <v>-0.013350287704073</v>
      </c>
      <c r="C288" s="14" t="n">
        <f aca="false">Share_Prices!C288/Share_Prices!C287-1</f>
        <v>-0.0185980968983801</v>
      </c>
      <c r="D288" s="14" t="n">
        <f aca="false">Share_Prices!D288/Share_Prices!D287-1</f>
        <v>-0.011847522076616</v>
      </c>
      <c r="E288" s="14" t="n">
        <f aca="false">Share_Prices!E288/Share_Prices!E287-1</f>
        <v>-0.0336068263866098</v>
      </c>
      <c r="F288" s="14" t="n">
        <f aca="false">Share_Prices!F288/Share_Prices!F287-1</f>
        <v>-0.0334725820950769</v>
      </c>
      <c r="G288" s="14" t="n">
        <f aca="false">Share_Prices!G288/Share_Prices!G287-1</f>
        <v>-0.0168624891209748</v>
      </c>
      <c r="H288" s="14" t="n">
        <f aca="false">Share_Prices!H288/Share_Prices!H287-1</f>
        <v>-0.043027301927195</v>
      </c>
      <c r="I288" s="14" t="n">
        <f aca="false">Share_Prices!I288/Share_Prices!I287-1</f>
        <v>-0.0538756899448044</v>
      </c>
      <c r="J288" s="14" t="n">
        <f aca="false">Share_Prices!J288/Share_Prices!J287-1</f>
        <v>-0.0355044699872287</v>
      </c>
      <c r="K288" s="14" t="n">
        <f aca="false">Share_Prices!K288/Share_Prices!K287-1</f>
        <v>0.00382801020802726</v>
      </c>
      <c r="L288" s="14" t="n">
        <f aca="false">Share_Prices!L288/Share_Prices!L287-1</f>
        <v>-0.0167628353620015</v>
      </c>
      <c r="M288" s="14" t="n">
        <f aca="false">Share_Prices!M288/Share_Prices!M287-1</f>
        <v>0.0845774723891068</v>
      </c>
      <c r="N288" s="14" t="n">
        <f aca="false">Share_Prices!N288/Share_Prices!N287-1</f>
        <v>-0.0466006664103551</v>
      </c>
      <c r="O288" s="14" t="n">
        <f aca="false">Share_Prices!O288/Share_Prices!O287-1</f>
        <v>-0.0181752744286486</v>
      </c>
      <c r="P288" s="14" t="n">
        <f aca="false">Share_Prices!P288/Share_Prices!P287-1</f>
        <v>0.00684177414281217</v>
      </c>
      <c r="Q288" s="14" t="n">
        <f aca="false">Share_Prices!Q288/Share_Prices!Q287-1</f>
        <v>-0.0696840987523228</v>
      </c>
      <c r="R288" s="14" t="n">
        <f aca="false">Share_Prices!R288/Share_Prices!R287-1</f>
        <v>-0.0139966916910549</v>
      </c>
      <c r="S288" s="14" t="n">
        <f aca="false">Share_Prices!S288/Share_Prices!S287-1</f>
        <v>0.00175840571215447</v>
      </c>
    </row>
    <row r="289" customFormat="false" ht="15" hidden="false" customHeight="false" outlineLevel="0" collapsed="false">
      <c r="A289" s="13" t="n">
        <f aca="false">Share_Prices!A289</f>
        <v>45224</v>
      </c>
      <c r="B289" s="14" t="n">
        <f aca="false">Share_Prices!B289/Share_Prices!B288-1</f>
        <v>-0.00827725699171489</v>
      </c>
      <c r="C289" s="14" t="n">
        <f aca="false">Share_Prices!C289/Share_Prices!C288-1</f>
        <v>-0.00757311101505753</v>
      </c>
      <c r="D289" s="14" t="n">
        <f aca="false">Share_Prices!D289/Share_Prices!D288-1</f>
        <v>-0.0151380231522706</v>
      </c>
      <c r="E289" s="14" t="n">
        <f aca="false">Share_Prices!E289/Share_Prices!E288-1</f>
        <v>-0.0207158867078721</v>
      </c>
      <c r="F289" s="14" t="n">
        <f aca="false">Share_Prices!F289/Share_Prices!F288-1</f>
        <v>-0.0247838932049458</v>
      </c>
      <c r="G289" s="14" t="n">
        <f aca="false">Share_Prices!G289/Share_Prices!G288-1</f>
        <v>-0.0107336505477482</v>
      </c>
      <c r="H289" s="14" t="n">
        <f aca="false">Share_Prices!H289/Share_Prices!H288-1</f>
        <v>-0.00489476260401367</v>
      </c>
      <c r="I289" s="14" t="n">
        <f aca="false">Share_Prices!I289/Share_Prices!I288-1</f>
        <v>-0.0578313253012048</v>
      </c>
      <c r="J289" s="14" t="n">
        <f aca="false">Share_Prices!J289/Share_Prices!J288-1</f>
        <v>-0.0145877471751411</v>
      </c>
      <c r="K289" s="14" t="n">
        <f aca="false">Share_Prices!K289/Share_Prices!K288-1</f>
        <v>-0.0133918826958387</v>
      </c>
      <c r="L289" s="14" t="n">
        <f aca="false">Share_Prices!L289/Share_Prices!L288-1</f>
        <v>-0.0173056328978368</v>
      </c>
      <c r="M289" s="14" t="n">
        <f aca="false">Share_Prices!M289/Share_Prices!M288-1</f>
        <v>-0.00928751492636326</v>
      </c>
      <c r="N289" s="14" t="n">
        <f aca="false">Share_Prices!N289/Share_Prices!N288-1</f>
        <v>0.011257666134588</v>
      </c>
      <c r="O289" s="14" t="n">
        <f aca="false">Share_Prices!O289/Share_Prices!O288-1</f>
        <v>0.00293255131964809</v>
      </c>
      <c r="P289" s="14" t="n">
        <f aca="false">Share_Prices!P289/Share_Prices!P288-1</f>
        <v>0.000273373428102852</v>
      </c>
      <c r="Q289" s="14" t="n">
        <f aca="false">Share_Prices!Q289/Share_Prices!Q288-1</f>
        <v>0.0142673705236125</v>
      </c>
      <c r="R289" s="14" t="n">
        <f aca="false">Share_Prices!R289/Share_Prices!R288-1</f>
        <v>0.00348432055749126</v>
      </c>
      <c r="S289" s="14" t="n">
        <f aca="false">Share_Prices!S289/Share_Prices!S288-1</f>
        <v>-0.0339627659574467</v>
      </c>
    </row>
    <row r="290" customFormat="false" ht="15" hidden="false" customHeight="false" outlineLevel="0" collapsed="false">
      <c r="A290" s="13" t="n">
        <f aca="false">Share_Prices!A290</f>
        <v>45225</v>
      </c>
      <c r="B290" s="14" t="n">
        <f aca="false">Share_Prices!B290/Share_Prices!B289-1</f>
        <v>-0.0138530447674556</v>
      </c>
      <c r="C290" s="14" t="n">
        <f aca="false">Share_Prices!C290/Share_Prices!C289-1</f>
        <v>-0.0122518018233019</v>
      </c>
      <c r="D290" s="14" t="n">
        <f aca="false">Share_Prices!D290/Share_Prices!D289-1</f>
        <v>0.00626453112890713</v>
      </c>
      <c r="E290" s="14" t="n">
        <f aca="false">Share_Prices!E290/Share_Prices!E289-1</f>
        <v>-0.00152587043972818</v>
      </c>
      <c r="F290" s="14" t="n">
        <f aca="false">Share_Prices!F290/Share_Prices!F289-1</f>
        <v>0.0181767180925667</v>
      </c>
      <c r="G290" s="14" t="n">
        <f aca="false">Share_Prices!G290/Share_Prices!G289-1</f>
        <v>-0.020469798657718</v>
      </c>
      <c r="H290" s="14" t="n">
        <f aca="false">Share_Prices!H290/Share_Prices!H289-1</f>
        <v>0.00259995783852163</v>
      </c>
      <c r="I290" s="14" t="n">
        <f aca="false">Share_Prices!I290/Share_Prices!I289-1</f>
        <v>0.0290752456589043</v>
      </c>
      <c r="J290" s="14" t="n">
        <f aca="false">Share_Prices!J290/Share_Prices!J289-1</f>
        <v>0.0191037154822959</v>
      </c>
      <c r="K290" s="14" t="n">
        <f aca="false">Share_Prices!K290/Share_Prices!K289-1</f>
        <v>-0.0354372722540344</v>
      </c>
      <c r="L290" s="14" t="n">
        <f aca="false">Share_Prices!L290/Share_Prices!L289-1</f>
        <v>-0.0109411098034087</v>
      </c>
      <c r="M290" s="14" t="n">
        <f aca="false">Share_Prices!M290/Share_Prices!M289-1</f>
        <v>0.0328779965180126</v>
      </c>
      <c r="N290" s="14" t="n">
        <f aca="false">Share_Prices!N290/Share_Prices!N289-1</f>
        <v>-0.0354241089972586</v>
      </c>
      <c r="O290" s="14" t="n">
        <f aca="false">Share_Prices!O290/Share_Prices!O289-1</f>
        <v>-0.013888888888889</v>
      </c>
      <c r="P290" s="14" t="n">
        <f aca="false">Share_Prices!P290/Share_Prices!P289-1</f>
        <v>-0.0138601491430134</v>
      </c>
      <c r="Q290" s="14" t="n">
        <f aca="false">Share_Prices!Q290/Share_Prices!Q289-1</f>
        <v>-0.00956533971022644</v>
      </c>
      <c r="R290" s="14" t="n">
        <f aca="false">Share_Prices!R290/Share_Prices!R289-1</f>
        <v>-0.00655864197530864</v>
      </c>
      <c r="S290" s="14" t="n">
        <f aca="false">Share_Prices!S290/Share_Prices!S289-1</f>
        <v>-0.0102139140489498</v>
      </c>
    </row>
    <row r="291" customFormat="false" ht="15" hidden="false" customHeight="false" outlineLevel="0" collapsed="false">
      <c r="A291" s="13" t="n">
        <f aca="false">Share_Prices!A291</f>
        <v>45226</v>
      </c>
      <c r="B291" s="14" t="n">
        <f aca="false">Share_Prices!B291/Share_Prices!B290-1</f>
        <v>0.0100757003274603</v>
      </c>
      <c r="C291" s="14" t="n">
        <f aca="false">Share_Prices!C291/Share_Prices!C290-1</f>
        <v>0.0126846446336404</v>
      </c>
      <c r="D291" s="14" t="n">
        <f aca="false">Share_Prices!D291/Share_Prices!D290-1</f>
        <v>-0.00689942879147676</v>
      </c>
      <c r="E291" s="14" t="n">
        <f aca="false">Share_Prices!E291/Share_Prices!E290-1</f>
        <v>0.0290358432898028</v>
      </c>
      <c r="F291" s="14" t="n">
        <f aca="false">Share_Prices!F291/Share_Prices!F290-1</f>
        <v>0.0496997079728909</v>
      </c>
      <c r="G291" s="14" t="n">
        <f aca="false">Share_Prices!G291/Share_Prices!G290-1</f>
        <v>0.00502455178714167</v>
      </c>
      <c r="H291" s="14" t="n">
        <f aca="false">Share_Prices!H291/Share_Prices!H290-1</f>
        <v>0.0328707597420803</v>
      </c>
      <c r="I291" s="14" t="n">
        <f aca="false">Share_Prices!I291/Share_Prices!I290-1</f>
        <v>0.00745585349901901</v>
      </c>
      <c r="J291" s="14" t="n">
        <f aca="false">Share_Prices!J291/Share_Prices!J290-1</f>
        <v>0.037996659634318</v>
      </c>
      <c r="K291" s="14" t="n">
        <f aca="false">Share_Prices!K291/Share_Prices!K290-1</f>
        <v>0.0115088306326485</v>
      </c>
      <c r="L291" s="14" t="n">
        <f aca="false">Share_Prices!L291/Share_Prices!L290-1</f>
        <v>0.0295724988981929</v>
      </c>
      <c r="M291" s="14" t="n">
        <f aca="false">Share_Prices!M291/Share_Prices!M290-1</f>
        <v>0.0182820097244734</v>
      </c>
      <c r="N291" s="14" t="n">
        <f aca="false">Share_Prices!N291/Share_Prices!N290-1</f>
        <v>0.0148140492308753</v>
      </c>
      <c r="O291" s="14" t="n">
        <f aca="false">Share_Prices!O291/Share_Prices!O290-1</f>
        <v>0.0277983691623425</v>
      </c>
      <c r="P291" s="14" t="n">
        <f aca="false">Share_Prices!P291/Share_Prices!P290-1</f>
        <v>0.0219732362023912</v>
      </c>
      <c r="Q291" s="14" t="n">
        <f aca="false">Share_Prices!Q291/Share_Prices!Q290-1</f>
        <v>0.0222979690384888</v>
      </c>
      <c r="R291" s="14" t="n">
        <f aca="false">Share_Prices!R291/Share_Prices!R290-1</f>
        <v>0.0231715210355987</v>
      </c>
      <c r="S291" s="14" t="n">
        <f aca="false">Share_Prices!S291/Share_Prices!S290-1</f>
        <v>0.0765465064530486</v>
      </c>
    </row>
    <row r="292" customFormat="false" ht="15" hidden="false" customHeight="false" outlineLevel="0" collapsed="false">
      <c r="A292" s="13" t="n">
        <f aca="false">Share_Prices!A292</f>
        <v>45229</v>
      </c>
      <c r="B292" s="14" t="n">
        <f aca="false">Share_Prices!B292/Share_Prices!B291-1</f>
        <v>0.00491672026145507</v>
      </c>
      <c r="C292" s="14" t="n">
        <f aca="false">Share_Prices!C292/Share_Prices!C291-1</f>
        <v>0.00361755872941072</v>
      </c>
      <c r="D292" s="14" t="n">
        <f aca="false">Share_Prices!D292/Share_Prices!D291-1</f>
        <v>-0.0570329918893593</v>
      </c>
      <c r="E292" s="14" t="n">
        <f aca="false">Share_Prices!E292/Share_Prices!E291-1</f>
        <v>0.0148508167949237</v>
      </c>
      <c r="F292" s="14" t="n">
        <f aca="false">Share_Prices!F292/Share_Prices!F291-1</f>
        <v>-0.0181092856018057</v>
      </c>
      <c r="G292" s="14" t="n">
        <f aca="false">Share_Prices!G292/Share_Prices!G291-1</f>
        <v>0.0244290421543008</v>
      </c>
      <c r="H292" s="14" t="n">
        <f aca="false">Share_Prices!H292/Share_Prices!H291-1</f>
        <v>-0.0273461355771187</v>
      </c>
      <c r="I292" s="14" t="n">
        <f aca="false">Share_Prices!I292/Share_Prices!I291-1</f>
        <v>-0.0268761360685537</v>
      </c>
      <c r="J292" s="14" t="n">
        <f aca="false">Share_Prices!J292/Share_Prices!J291-1</f>
        <v>0.016513878009019</v>
      </c>
      <c r="K292" s="14" t="n">
        <f aca="false">Share_Prices!K292/Share_Prices!K291-1</f>
        <v>-0.000546885420835142</v>
      </c>
      <c r="L292" s="14" t="n">
        <f aca="false">Share_Prices!L292/Share_Prices!L291-1</f>
        <v>-0.0106159839047985</v>
      </c>
      <c r="M292" s="14" t="n">
        <f aca="false">Share_Prices!M292/Share_Prices!M291-1</f>
        <v>0.0231107149678487</v>
      </c>
      <c r="N292" s="14" t="n">
        <f aca="false">Share_Prices!N292/Share_Prices!N291-1</f>
        <v>-0.0118649534058697</v>
      </c>
      <c r="O292" s="14" t="n">
        <f aca="false">Share_Prices!O292/Share_Prices!O291-1</f>
        <v>-0.114677244861161</v>
      </c>
      <c r="P292" s="14" t="n">
        <f aca="false">Share_Prices!P292/Share_Prices!P291-1</f>
        <v>0.0281253631890908</v>
      </c>
      <c r="Q292" s="14" t="n">
        <f aca="false">Share_Prices!Q292/Share_Prices!Q291-1</f>
        <v>-0.0188941372603499</v>
      </c>
      <c r="R292" s="14" t="n">
        <f aca="false">Share_Prices!R292/Share_Prices!R291-1</f>
        <v>-0.0506705465587044</v>
      </c>
      <c r="S292" s="14" t="n">
        <f aca="false">Share_Prices!S292/Share_Prices!S291-1</f>
        <v>-0.0222199255890865</v>
      </c>
    </row>
    <row r="293" customFormat="false" ht="15" hidden="false" customHeight="false" outlineLevel="0" collapsed="false">
      <c r="A293" s="13" t="n">
        <f aca="false">Share_Prices!A293</f>
        <v>45230</v>
      </c>
      <c r="B293" s="14" t="n">
        <f aca="false">Share_Prices!B293/Share_Prices!B292-1</f>
        <v>-0.00320256623251791</v>
      </c>
      <c r="C293" s="14" t="n">
        <f aca="false">Share_Prices!C293/Share_Prices!C292-1</f>
        <v>-0.00148578696192225</v>
      </c>
      <c r="D293" s="14" t="n">
        <f aca="false">Share_Prices!D293/Share_Prices!D292-1</f>
        <v>-0.0351586594476047</v>
      </c>
      <c r="E293" s="14" t="n">
        <f aca="false">Share_Prices!E293/Share_Prices!E292-1</f>
        <v>0.0156312358653719</v>
      </c>
      <c r="F293" s="14" t="n">
        <f aca="false">Share_Prices!F293/Share_Prices!F292-1</f>
        <v>-0.0353362557468192</v>
      </c>
      <c r="G293" s="14" t="n">
        <f aca="false">Share_Prices!G293/Share_Prices!G292-1</f>
        <v>0.0186335403726707</v>
      </c>
      <c r="H293" s="14" t="n">
        <f aca="false">Share_Prices!H293/Share_Prices!H292-1</f>
        <v>0.0274870936235523</v>
      </c>
      <c r="I293" s="14" t="n">
        <f aca="false">Share_Prices!I293/Share_Prices!I292-1</f>
        <v>0.0984656437625082</v>
      </c>
      <c r="J293" s="14" t="n">
        <f aca="false">Share_Prices!J293/Share_Prices!J292-1</f>
        <v>-0.00579009851498558</v>
      </c>
      <c r="K293" s="14" t="n">
        <f aca="false">Share_Prices!K293/Share_Prices!K292-1</f>
        <v>-0.00138798062165513</v>
      </c>
      <c r="L293" s="14" t="n">
        <f aca="false">Share_Prices!L293/Share_Prices!L292-1</f>
        <v>-0.015878509929477</v>
      </c>
      <c r="M293" s="14" t="n">
        <f aca="false">Share_Prices!M293/Share_Prices!M292-1</f>
        <v>-0.00609831985065334</v>
      </c>
      <c r="N293" s="14" t="n">
        <f aca="false">Share_Prices!N293/Share_Prices!N292-1</f>
        <v>0.0340296148692756</v>
      </c>
      <c r="O293" s="14" t="n">
        <f aca="false">Share_Prices!O293/Share_Prices!O292-1</f>
        <v>-0.000610997963340187</v>
      </c>
      <c r="P293" s="14" t="n">
        <f aca="false">Share_Prices!P293/Share_Prices!P292-1</f>
        <v>-0.0212894231131542</v>
      </c>
      <c r="Q293" s="14" t="n">
        <f aca="false">Share_Prices!Q293/Share_Prices!Q292-1</f>
        <v>-0.000849617672047609</v>
      </c>
      <c r="R293" s="14" t="n">
        <f aca="false">Share_Prices!R293/Share_Prices!R292-1</f>
        <v>-0.00559738788565345</v>
      </c>
      <c r="S293" s="14" t="n">
        <f aca="false">Share_Prices!S293/Share_Prices!S292-1</f>
        <v>-0.00652679420780034</v>
      </c>
    </row>
    <row r="294" customFormat="false" ht="15" hidden="false" customHeight="false" outlineLevel="0" collapsed="false">
      <c r="A294" s="13" t="n">
        <f aca="false">Share_Prices!A294</f>
        <v>45231</v>
      </c>
      <c r="B294" s="14" t="n">
        <f aca="false">Share_Prices!B294/Share_Prices!B293-1</f>
        <v>-0.00474066542275509</v>
      </c>
      <c r="C294" s="14" t="n">
        <f aca="false">Share_Prices!C294/Share_Prices!C293-1</f>
        <v>-0.00405628202915276</v>
      </c>
      <c r="D294" s="14" t="n">
        <f aca="false">Share_Prices!D294/Share_Prices!D293-1</f>
        <v>0.0125372922290099</v>
      </c>
      <c r="E294" s="14" t="n">
        <f aca="false">Share_Prices!E294/Share_Prices!E293-1</f>
        <v>-0.00622175650009826</v>
      </c>
      <c r="F294" s="14" t="n">
        <f aca="false">Share_Prices!F294/Share_Prices!F293-1</f>
        <v>0.0117484067608755</v>
      </c>
      <c r="G294" s="14" t="n">
        <f aca="false">Share_Prices!G294/Share_Prices!G293-1</f>
        <v>-0.00402874564459921</v>
      </c>
      <c r="H294" s="14" t="n">
        <f aca="false">Share_Prices!H294/Share_Prices!H293-1</f>
        <v>-0.0310972297664313</v>
      </c>
      <c r="I294" s="14" t="n">
        <f aca="false">Share_Prices!I294/Share_Prices!I293-1</f>
        <v>-0.0374104214745535</v>
      </c>
      <c r="J294" s="14" t="n">
        <f aca="false">Share_Prices!J294/Share_Prices!J293-1</f>
        <v>-0.00760448308369122</v>
      </c>
      <c r="K294" s="14" t="n">
        <f aca="false">Share_Prices!K294/Share_Prices!K293-1</f>
        <v>-0.00277981957901774</v>
      </c>
      <c r="L294" s="14" t="n">
        <f aca="false">Share_Prices!L294/Share_Prices!L293-1</f>
        <v>0.0102875230809814</v>
      </c>
      <c r="M294" s="14" t="n">
        <f aca="false">Share_Prices!M294/Share_Prices!M293-1</f>
        <v>0.0146506386175806</v>
      </c>
      <c r="N294" s="14" t="n">
        <f aca="false">Share_Prices!N294/Share_Prices!N293-1</f>
        <v>-0.0180745909128666</v>
      </c>
      <c r="O294" s="14" t="n">
        <f aca="false">Share_Prices!O294/Share_Prices!O293-1</f>
        <v>0.00631750560423883</v>
      </c>
      <c r="P294" s="14" t="n">
        <f aca="false">Share_Prices!P294/Share_Prices!P293-1</f>
        <v>0.00146300146300127</v>
      </c>
      <c r="Q294" s="14" t="n">
        <f aca="false">Share_Prices!Q294/Share_Prices!Q293-1</f>
        <v>0.000425170068027114</v>
      </c>
      <c r="R294" s="14" t="n">
        <f aca="false">Share_Prices!R294/Share_Prices!R293-1</f>
        <v>-0.0018092876767406</v>
      </c>
      <c r="S294" s="14" t="n">
        <f aca="false">Share_Prices!S294/Share_Prices!S293-1</f>
        <v>0.0119158443492831</v>
      </c>
    </row>
    <row r="295" customFormat="false" ht="15" hidden="false" customHeight="false" outlineLevel="0" collapsed="false">
      <c r="A295" s="13" t="n">
        <f aca="false">Share_Prices!A295</f>
        <v>45232</v>
      </c>
      <c r="B295" s="14" t="n">
        <f aca="false">Share_Prices!B295/Share_Prices!B294-1</f>
        <v>0.00758854398432773</v>
      </c>
      <c r="C295" s="14" t="n">
        <f aca="false">Share_Prices!C295/Share_Prices!C294-1</f>
        <v>0.00943348303795788</v>
      </c>
      <c r="D295" s="14" t="n">
        <f aca="false">Share_Prices!D295/Share_Prices!D294-1</f>
        <v>0.024273036584938</v>
      </c>
      <c r="E295" s="14" t="n">
        <f aca="false">Share_Prices!E295/Share_Prices!E294-1</f>
        <v>0.0134440490312375</v>
      </c>
      <c r="F295" s="14" t="n">
        <f aca="false">Share_Prices!F295/Share_Prices!F294-1</f>
        <v>0.000821602672947286</v>
      </c>
      <c r="G295" s="14" t="n">
        <f aca="false">Share_Prices!G295/Share_Prices!G294-1</f>
        <v>-0.0189133049087133</v>
      </c>
      <c r="H295" s="14" t="n">
        <f aca="false">Share_Prices!H295/Share_Prices!H294-1</f>
        <v>0.024667133847232</v>
      </c>
      <c r="I295" s="14" t="n">
        <f aca="false">Share_Prices!I295/Share_Prices!I294-1</f>
        <v>0.0108517350157729</v>
      </c>
      <c r="J295" s="14" t="n">
        <f aca="false">Share_Prices!J295/Share_Prices!J294-1</f>
        <v>-0.0405935995946973</v>
      </c>
      <c r="K295" s="14" t="n">
        <f aca="false">Share_Prices!K295/Share_Prices!K294-1</f>
        <v>-0.0030422021791281</v>
      </c>
      <c r="L295" s="14" t="n">
        <f aca="false">Share_Prices!L295/Share_Prices!L294-1</f>
        <v>0.0247606614447347</v>
      </c>
      <c r="M295" s="14" t="n">
        <f aca="false">Share_Prices!M295/Share_Prices!M294-1</f>
        <v>0.00558435147476244</v>
      </c>
      <c r="N295" s="14" t="n">
        <f aca="false">Share_Prices!N295/Share_Prices!N294-1</f>
        <v>-6.76738795745147E-005</v>
      </c>
      <c r="O295" s="14" t="n">
        <f aca="false">Share_Prices!O295/Share_Prices!O294-1</f>
        <v>0.0164034021871202</v>
      </c>
      <c r="P295" s="14" t="n">
        <f aca="false">Share_Prices!P295/Share_Prices!P294-1</f>
        <v>0.00941872981700764</v>
      </c>
      <c r="Q295" s="14" t="n">
        <f aca="false">Share_Prices!Q295/Share_Prices!Q294-1</f>
        <v>-0.00934976625584361</v>
      </c>
      <c r="R295" s="14" t="n">
        <f aca="false">Share_Prices!R295/Share_Prices!R294-1</f>
        <v>-0.00100698174006442</v>
      </c>
      <c r="S295" s="14" t="n">
        <f aca="false">Share_Prices!S295/Share_Prices!S294-1</f>
        <v>0.0276514653699567</v>
      </c>
    </row>
    <row r="296" customFormat="false" ht="15" hidden="false" customHeight="false" outlineLevel="0" collapsed="false">
      <c r="A296" s="13" t="n">
        <f aca="false">Share_Prices!A296</f>
        <v>45233</v>
      </c>
      <c r="B296" s="14" t="n">
        <f aca="false">Share_Prices!B296/Share_Prices!B295-1</f>
        <v>0.00508800125436082</v>
      </c>
      <c r="C296" s="14" t="n">
        <f aca="false">Share_Prices!C296/Share_Prices!C295-1</f>
        <v>0.00652130153693142</v>
      </c>
      <c r="D296" s="14" t="n">
        <f aca="false">Share_Prices!D296/Share_Prices!D295-1</f>
        <v>-0.00143830690729763</v>
      </c>
      <c r="E296" s="14" t="n">
        <f aca="false">Share_Prices!E296/Share_Prices!E295-1</f>
        <v>0.00409676160749117</v>
      </c>
      <c r="F296" s="14" t="n">
        <f aca="false">Share_Prices!F296/Share_Prices!F295-1</f>
        <v>0.0019154991243433</v>
      </c>
      <c r="G296" s="14" t="n">
        <f aca="false">Share_Prices!G296/Share_Prices!G295-1</f>
        <v>0.0305326498774237</v>
      </c>
      <c r="H296" s="14" t="n">
        <f aca="false">Share_Prices!H296/Share_Prices!H295-1</f>
        <v>-0.001162631650937</v>
      </c>
      <c r="I296" s="14" t="n">
        <f aca="false">Share_Prices!I296/Share_Prices!I295-1</f>
        <v>0.0225939333416552</v>
      </c>
      <c r="J296" s="14" t="n">
        <f aca="false">Share_Prices!J296/Share_Prices!J295-1</f>
        <v>-0.0323659486457346</v>
      </c>
      <c r="K296" s="14" t="n">
        <f aca="false">Share_Prices!K296/Share_Prices!K295-1</f>
        <v>-0.00505444280145184</v>
      </c>
      <c r="L296" s="14" t="n">
        <f aca="false">Share_Prices!L296/Share_Prices!L295-1</f>
        <v>-0.0366469913796765</v>
      </c>
      <c r="M296" s="14" t="n">
        <f aca="false">Share_Prices!M296/Share_Prices!M295-1</f>
        <v>0.0241769705151411</v>
      </c>
      <c r="N296" s="14" t="n">
        <f aca="false">Share_Prices!N296/Share_Prices!N295-1</f>
        <v>0.0152784122633369</v>
      </c>
      <c r="O296" s="14" t="n">
        <f aca="false">Share_Prices!O296/Share_Prices!O295-1</f>
        <v>0.0290894600518032</v>
      </c>
      <c r="P296" s="14" t="n">
        <f aca="false">Share_Prices!P296/Share_Prices!P295-1</f>
        <v>0.0101687169135851</v>
      </c>
      <c r="Q296" s="14" t="n">
        <f aca="false">Share_Prices!Q296/Share_Prices!Q295-1</f>
        <v>-0.00557700557700558</v>
      </c>
      <c r="R296" s="14" t="n">
        <f aca="false">Share_Prices!R296/Share_Prices!R295-1</f>
        <v>0.00423358645252336</v>
      </c>
      <c r="S296" s="14" t="n">
        <f aca="false">Share_Prices!S296/Share_Prices!S295-1</f>
        <v>0.0300278793769342</v>
      </c>
    </row>
    <row r="297" customFormat="false" ht="15" hidden="false" customHeight="false" outlineLevel="0" collapsed="false">
      <c r="A297" s="13" t="n">
        <f aca="false">Share_Prices!A297</f>
        <v>45236</v>
      </c>
      <c r="B297" s="14" t="n">
        <f aca="false">Share_Prices!B297/Share_Prices!B296-1</f>
        <v>0.00941988289496964</v>
      </c>
      <c r="C297" s="14" t="n">
        <f aca="false">Share_Prices!C297/Share_Prices!C296-1</f>
        <v>0.00932006740799785</v>
      </c>
      <c r="D297" s="14" t="n">
        <f aca="false">Share_Prices!D297/Share_Prices!D296-1</f>
        <v>0.00792208237593872</v>
      </c>
      <c r="E297" s="14" t="n">
        <f aca="false">Share_Prices!E297/Share_Prices!E296-1</f>
        <v>0.00589340068648414</v>
      </c>
      <c r="F297" s="14" t="n">
        <f aca="false">Share_Prices!F297/Share_Prices!F296-1</f>
        <v>-0.0123996285573824</v>
      </c>
      <c r="G297" s="14" t="n">
        <f aca="false">Share_Prices!G297/Share_Prices!G296-1</f>
        <v>0.00529844290657455</v>
      </c>
      <c r="H297" s="14" t="n">
        <f aca="false">Share_Prices!H297/Share_Prices!H296-1</f>
        <v>0.0226634714138994</v>
      </c>
      <c r="I297" s="14" t="n">
        <f aca="false">Share_Prices!I297/Share_Prices!I296-1</f>
        <v>0.0155029296875</v>
      </c>
      <c r="J297" s="14" t="n">
        <f aca="false">Share_Prices!J297/Share_Prices!J296-1</f>
        <v>-0.0111646732457138</v>
      </c>
      <c r="K297" s="14" t="n">
        <f aca="false">Share_Prices!K297/Share_Prices!K296-1</f>
        <v>0.0203204799092063</v>
      </c>
      <c r="L297" s="14" t="n">
        <f aca="false">Share_Prices!L297/Share_Prices!L296-1</f>
        <v>0.0159128978224454</v>
      </c>
      <c r="M297" s="14" t="n">
        <f aca="false">Share_Prices!M297/Share_Prices!M296-1</f>
        <v>0.0152481950810341</v>
      </c>
      <c r="N297" s="14" t="n">
        <f aca="false">Share_Prices!N297/Share_Prices!N296-1</f>
        <v>-0.00744925507449246</v>
      </c>
      <c r="O297" s="14" t="n">
        <f aca="false">Share_Prices!O297/Share_Prices!O296-1</f>
        <v>0.0172313649564375</v>
      </c>
      <c r="P297" s="14" t="n">
        <f aca="false">Share_Prices!P297/Share_Prices!P296-1</f>
        <v>0.00429799426934108</v>
      </c>
      <c r="Q297" s="14" t="n">
        <f aca="false">Share_Prices!Q297/Share_Prices!Q296-1</f>
        <v>0.00532067874604558</v>
      </c>
      <c r="R297" s="14" t="n">
        <f aca="false">Share_Prices!R297/Share_Prices!R296-1</f>
        <v>0.00896680942184136</v>
      </c>
      <c r="S297" s="14" t="n">
        <f aca="false">Share_Prices!S297/Share_Prices!S296-1</f>
        <v>-0.0109508082739439</v>
      </c>
    </row>
    <row r="298" customFormat="false" ht="15" hidden="false" customHeight="false" outlineLevel="0" collapsed="false">
      <c r="A298" s="13" t="n">
        <f aca="false">Share_Prices!A298</f>
        <v>45237</v>
      </c>
      <c r="B298" s="14" t="n">
        <f aca="false">Share_Prices!B298/Share_Prices!B297-1</f>
        <v>-0.000260151712236145</v>
      </c>
      <c r="C298" s="14" t="n">
        <f aca="false">Share_Prices!C298/Share_Prices!C297-1</f>
        <v>0.00165506952457539</v>
      </c>
      <c r="D298" s="14" t="n">
        <f aca="false">Share_Prices!D298/Share_Prices!D297-1</f>
        <v>-0.00598843143926497</v>
      </c>
      <c r="E298" s="14" t="n">
        <f aca="false">Share_Prices!E298/Share_Prices!E297-1</f>
        <v>-0.0258820499613701</v>
      </c>
      <c r="F298" s="14" t="n">
        <f aca="false">Share_Prices!F298/Share_Prices!F297-1</f>
        <v>0.00271017699115039</v>
      </c>
      <c r="G298" s="14" t="n">
        <f aca="false">Share_Prices!G298/Share_Prices!G297-1</f>
        <v>-0.00828224158330648</v>
      </c>
      <c r="H298" s="14" t="n">
        <f aca="false">Share_Prices!H298/Share_Prices!H297-1</f>
        <v>-0.0160685591858597</v>
      </c>
      <c r="I298" s="14" t="n">
        <f aca="false">Share_Prices!I298/Share_Prices!I297-1</f>
        <v>0.0899146532035102</v>
      </c>
      <c r="J298" s="14" t="n">
        <f aca="false">Share_Prices!J298/Share_Prices!J297-1</f>
        <v>-0.00521995078989124</v>
      </c>
      <c r="K298" s="14" t="n">
        <f aca="false">Share_Prices!K298/Share_Prices!K297-1</f>
        <v>-0.00879260573638074</v>
      </c>
      <c r="L298" s="14" t="n">
        <f aca="false">Share_Prices!L298/Share_Prices!L297-1</f>
        <v>-0.00863452943984022</v>
      </c>
      <c r="M298" s="14" t="n">
        <f aca="false">Share_Prices!M298/Share_Prices!M297-1</f>
        <v>-0.00365889642962525</v>
      </c>
      <c r="N298" s="14" t="n">
        <f aca="false">Share_Prices!N298/Share_Prices!N297-1</f>
        <v>0.00350912540506032</v>
      </c>
      <c r="O298" s="14" t="n">
        <f aca="false">Share_Prices!O298/Share_Prices!O297-1</f>
        <v>0.00475827940616669</v>
      </c>
      <c r="P298" s="14" t="n">
        <f aca="false">Share_Prices!P298/Share_Prices!P297-1</f>
        <v>0.00334109167354901</v>
      </c>
      <c r="Q298" s="14" t="n">
        <f aca="false">Share_Prices!Q298/Share_Prices!Q297-1</f>
        <v>0.0380489200400516</v>
      </c>
      <c r="R298" s="14" t="n">
        <f aca="false">Share_Prices!R298/Share_Prices!R297-1</f>
        <v>-0.000862183313436793</v>
      </c>
      <c r="S298" s="14" t="n">
        <f aca="false">Share_Prices!S298/Share_Prices!S297-1</f>
        <v>-0.00215917650012554</v>
      </c>
    </row>
    <row r="299" customFormat="false" ht="15" hidden="false" customHeight="false" outlineLevel="0" collapsed="false">
      <c r="A299" s="13" t="n">
        <f aca="false">Share_Prices!A299</f>
        <v>45238</v>
      </c>
      <c r="B299" s="14" t="n">
        <f aca="false">Share_Prices!B299/Share_Prices!B298-1</f>
        <v>0.00189625232522794</v>
      </c>
      <c r="C299" s="14" t="n">
        <f aca="false">Share_Prices!C299/Share_Prices!C298-1</f>
        <v>0.00418319971142322</v>
      </c>
      <c r="D299" s="14" t="n">
        <f aca="false">Share_Prices!D299/Share_Prices!D298-1</f>
        <v>-0.0121517080851646</v>
      </c>
      <c r="E299" s="14" t="n">
        <f aca="false">Share_Prices!E299/Share_Prices!E298-1</f>
        <v>0.00647719762062127</v>
      </c>
      <c r="F299" s="14" t="n">
        <f aca="false">Share_Prices!F299/Share_Prices!F298-1</f>
        <v>0.00998400353025541</v>
      </c>
      <c r="G299" s="14" t="n">
        <f aca="false">Share_Prices!G299/Share_Prices!G298-1</f>
        <v>-0.0155097613882863</v>
      </c>
      <c r="H299" s="14" t="n">
        <f aca="false">Share_Prices!H299/Share_Prices!H298-1</f>
        <v>0.00136091453456721</v>
      </c>
      <c r="I299" s="14" t="n">
        <f aca="false">Share_Prices!I299/Share_Prices!I298-1</f>
        <v>-0.0359545604940995</v>
      </c>
      <c r="J299" s="14" t="n">
        <f aca="false">Share_Prices!J299/Share_Prices!J298-1</f>
        <v>-0.00312066574202496</v>
      </c>
      <c r="K299" s="14" t="n">
        <f aca="false">Share_Prices!K299/Share_Prices!K298-1</f>
        <v>-0.00475592486707455</v>
      </c>
      <c r="L299" s="14" t="n">
        <f aca="false">Share_Prices!L299/Share_Prices!L298-1</f>
        <v>0.000656512605041959</v>
      </c>
      <c r="M299" s="14" t="n">
        <f aca="false">Share_Prices!M299/Share_Prices!M298-1</f>
        <v>-0.014511638926731</v>
      </c>
      <c r="N299" s="14" t="n">
        <f aca="false">Share_Prices!N299/Share_Prices!N298-1</f>
        <v>-0.00747891848480775</v>
      </c>
      <c r="O299" s="14" t="n">
        <f aca="false">Share_Prices!O299/Share_Prices!O298-1</f>
        <v>0.0117446486076909</v>
      </c>
      <c r="P299" s="14" t="n">
        <f aca="false">Share_Prices!P299/Share_Prices!P298-1</f>
        <v>-0.00995248250832492</v>
      </c>
      <c r="Q299" s="14" t="n">
        <f aca="false">Share_Prices!Q299/Share_Prices!Q298-1</f>
        <v>0.0719305498139726</v>
      </c>
      <c r="R299" s="14" t="n">
        <f aca="false">Share_Prices!R299/Share_Prices!R298-1</f>
        <v>-0.00637238632592096</v>
      </c>
      <c r="S299" s="14" t="n">
        <f aca="false">Share_Prices!S299/Share_Prices!S298-1</f>
        <v>-0.00379931561996782</v>
      </c>
    </row>
    <row r="300" customFormat="false" ht="15" hidden="false" customHeight="false" outlineLevel="0" collapsed="false">
      <c r="A300" s="13" t="n">
        <f aca="false">Share_Prices!A300</f>
        <v>45239</v>
      </c>
      <c r="B300" s="14" t="n">
        <f aca="false">Share_Prices!B300/Share_Prices!B299-1</f>
        <v>-0.00247897755033821</v>
      </c>
      <c r="C300" s="14" t="n">
        <f aca="false">Share_Prices!C300/Share_Prices!C299-1</f>
        <v>-0.00236388813247035</v>
      </c>
      <c r="D300" s="14" t="n">
        <f aca="false">Share_Prices!D300/Share_Prices!D299-1</f>
        <v>0.0118507224782562</v>
      </c>
      <c r="E300" s="14" t="n">
        <f aca="false">Share_Prices!E300/Share_Prices!E299-1</f>
        <v>-0.00912792224848957</v>
      </c>
      <c r="F300" s="14" t="n">
        <f aca="false">Share_Prices!F300/Share_Prices!F299-1</f>
        <v>0.00726379027853619</v>
      </c>
      <c r="G300" s="14" t="n">
        <f aca="false">Share_Prices!G300/Share_Prices!G299-1</f>
        <v>-0.00947449597884764</v>
      </c>
      <c r="H300" s="14" t="n">
        <f aca="false">Share_Prices!H300/Share_Prices!H299-1</f>
        <v>0.0128431639032347</v>
      </c>
      <c r="I300" s="14" t="n">
        <f aca="false">Share_Prices!I300/Share_Prices!I299-1</f>
        <v>0.0114403386340236</v>
      </c>
      <c r="J300" s="14" t="n">
        <f aca="false">Share_Prices!J300/Share_Prices!J299-1</f>
        <v>-0.0081855072463769</v>
      </c>
      <c r="K300" s="14" t="n">
        <f aca="false">Share_Prices!K300/Share_Prices!K299-1</f>
        <v>-0.00981234395554254</v>
      </c>
      <c r="L300" s="14" t="n">
        <f aca="false">Share_Prices!L300/Share_Prices!L299-1</f>
        <v>0.00778550496435271</v>
      </c>
      <c r="M300" s="14" t="n">
        <f aca="false">Share_Prices!M300/Share_Prices!M299-1</f>
        <v>0.0137937252073568</v>
      </c>
      <c r="N300" s="14" t="n">
        <f aca="false">Share_Prices!N300/Share_Prices!N299-1</f>
        <v>0.0118676354073599</v>
      </c>
      <c r="O300" s="14" t="n">
        <f aca="false">Share_Prices!O300/Share_Prices!O299-1</f>
        <v>0.0181613929975659</v>
      </c>
      <c r="P300" s="14" t="n">
        <f aca="false">Share_Prices!P300/Share_Prices!P299-1</f>
        <v>-0.00740712747061711</v>
      </c>
      <c r="Q300" s="14" t="n">
        <f aca="false">Share_Prices!Q300/Share_Prices!Q299-1</f>
        <v>-0.00887003470883141</v>
      </c>
      <c r="R300" s="14" t="n">
        <f aca="false">Share_Prices!R300/Share_Prices!R299-1</f>
        <v>0.00240497027189512</v>
      </c>
      <c r="S300" s="14" t="n">
        <f aca="false">Share_Prices!S300/Share_Prices!S299-1</f>
        <v>-0.0183113176571617</v>
      </c>
    </row>
    <row r="301" customFormat="false" ht="15" hidden="false" customHeight="false" outlineLevel="0" collapsed="false">
      <c r="A301" s="13" t="n">
        <f aca="false">Share_Prices!A301</f>
        <v>45240</v>
      </c>
      <c r="B301" s="14" t="n">
        <f aca="false">Share_Prices!B301/Share_Prices!B300-1</f>
        <v>0.00154934442880483</v>
      </c>
      <c r="C301" s="14" t="n">
        <f aca="false">Share_Prices!C301/Share_Prices!C300-1</f>
        <v>0.00218945461092157</v>
      </c>
      <c r="D301" s="14" t="n">
        <f aca="false">Share_Prices!D301/Share_Prices!D300-1</f>
        <v>0.00609568165473795</v>
      </c>
      <c r="E301" s="14" t="n">
        <f aca="false">Share_Prices!E301/Share_Prices!E300-1</f>
        <v>-0.00808536019616946</v>
      </c>
      <c r="F301" s="14" t="n">
        <f aca="false">Share_Prices!F301/Share_Prices!F300-1</f>
        <v>0.00943447378409168</v>
      </c>
      <c r="G301" s="14" t="n">
        <f aca="false">Share_Prices!G301/Share_Prices!G300-1</f>
        <v>0.00533867200533855</v>
      </c>
      <c r="H301" s="14" t="n">
        <f aca="false">Share_Prices!H301/Share_Prices!H300-1</f>
        <v>-0.00221402214022137</v>
      </c>
      <c r="I301" s="14" t="n">
        <f aca="false">Share_Prices!I301/Share_Prices!I300-1</f>
        <v>-0.0186630471666102</v>
      </c>
      <c r="J301" s="14" t="n">
        <f aca="false">Share_Prices!J301/Share_Prices!J300-1</f>
        <v>-0.000911811465444612</v>
      </c>
      <c r="K301" s="14" t="n">
        <f aca="false">Share_Prices!K301/Share_Prices!K300-1</f>
        <v>0.00786259438502324</v>
      </c>
      <c r="L301" s="14" t="n">
        <f aca="false">Share_Prices!L301/Share_Prices!L300-1</f>
        <v>-0.00329846794843969</v>
      </c>
      <c r="M301" s="14" t="n">
        <f aca="false">Share_Prices!M301/Share_Prices!M300-1</f>
        <v>0.00767748629020315</v>
      </c>
      <c r="N301" s="14" t="n">
        <f aca="false">Share_Prices!N301/Share_Prices!N300-1</f>
        <v>-0.000649729279466826</v>
      </c>
      <c r="O301" s="14" t="n">
        <f aca="false">Share_Prices!O301/Share_Prices!O300-1</f>
        <v>-0.00128723795513042</v>
      </c>
      <c r="P301" s="14" t="n">
        <f aca="false">Share_Prices!P301/Share_Prices!P300-1</f>
        <v>-0.03045878545593</v>
      </c>
      <c r="Q301" s="14" t="n">
        <f aca="false">Share_Prices!Q301/Share_Prices!Q300-1</f>
        <v>0.0119325551232166</v>
      </c>
      <c r="R301" s="14" t="n">
        <f aca="false">Share_Prices!R301/Share_Prices!R300-1</f>
        <v>0.00426524491836067</v>
      </c>
      <c r="S301" s="14" t="n">
        <f aca="false">Share_Prices!S301/Share_Prices!S300-1</f>
        <v>0.00452814654728817</v>
      </c>
    </row>
    <row r="302" customFormat="false" ht="15" hidden="false" customHeight="false" outlineLevel="0" collapsed="false">
      <c r="A302" s="13" t="n">
        <f aca="false">Share_Prices!A302</f>
        <v>45242</v>
      </c>
      <c r="B302" s="14" t="n">
        <f aca="false">Share_Prices!B302/Share_Prices!B301-1</f>
        <v>0.00515820821761248</v>
      </c>
      <c r="C302" s="14" t="n">
        <f aca="false">Share_Prices!C302/Share_Prices!C301-1</f>
        <v>0.00605565406858832</v>
      </c>
      <c r="D302" s="14" t="n">
        <f aca="false">Share_Prices!D302/Share_Prices!D301-1</f>
        <v>0.0272643725109771</v>
      </c>
      <c r="E302" s="14" t="n">
        <f aca="false">Share_Prices!E302/Share_Prices!E301-1</f>
        <v>0.0108906260439634</v>
      </c>
      <c r="F302" s="14" t="n">
        <f aca="false">Share_Prices!F302/Share_Prices!F301-1</f>
        <v>0.0221303110060698</v>
      </c>
      <c r="G302" s="14" t="n">
        <f aca="false">Share_Prices!G302/Share_Prices!G301-1</f>
        <v>0.00232326584799214</v>
      </c>
      <c r="H302" s="14" t="n">
        <f aca="false">Share_Prices!H302/Share_Prices!H301-1</f>
        <v>0.00571543840774602</v>
      </c>
      <c r="I302" s="14" t="n">
        <f aca="false">Share_Prices!I302/Share_Prices!I301-1</f>
        <v>0.0142923005993545</v>
      </c>
      <c r="J302" s="14" t="n">
        <f aca="false">Share_Prices!J302/Share_Prices!J301-1</f>
        <v>0.00727774787634838</v>
      </c>
      <c r="K302" s="14" t="n">
        <f aca="false">Share_Prices!K302/Share_Prices!K301-1</f>
        <v>0.00162750346348872</v>
      </c>
      <c r="L302" s="14" t="n">
        <f aca="false">Share_Prices!L302/Share_Prices!L301-1</f>
        <v>0.00195950359242336</v>
      </c>
      <c r="M302" s="14" t="n">
        <f aca="false">Share_Prices!M302/Share_Prices!M301-1</f>
        <v>0.00470671294934411</v>
      </c>
      <c r="N302" s="14" t="n">
        <f aca="false">Share_Prices!N302/Share_Prices!N301-1</f>
        <v>0.011819424532391</v>
      </c>
      <c r="O302" s="14" t="n">
        <f aca="false">Share_Prices!O302/Share_Prices!O301-1</f>
        <v>-0.00110476891916778</v>
      </c>
      <c r="P302" s="14" t="n">
        <f aca="false">Share_Prices!P302/Share_Prices!P301-1</f>
        <v>0.00895346554093868</v>
      </c>
      <c r="Q302" s="14" t="n">
        <f aca="false">Share_Prices!Q302/Share_Prices!Q301-1</f>
        <v>0.0130735708792615</v>
      </c>
      <c r="R302" s="14" t="n">
        <f aca="false">Share_Prices!R302/Share_Prices!R301-1</f>
        <v>0.00862698254695071</v>
      </c>
      <c r="S302" s="14" t="n">
        <f aca="false">Share_Prices!S302/Share_Prices!S301-1</f>
        <v>0.00566028070894364</v>
      </c>
    </row>
    <row r="303" customFormat="false" ht="15" hidden="false" customHeight="false" outlineLevel="0" collapsed="false">
      <c r="A303" s="13" t="n">
        <f aca="false">Share_Prices!A303</f>
        <v>45243</v>
      </c>
      <c r="B303" s="14" t="n">
        <f aca="false">Share_Prices!B303/Share_Prices!B302-1</f>
        <v>-0.00419962561874054</v>
      </c>
      <c r="C303" s="14" t="n">
        <f aca="false">Share_Prices!C303/Share_Prices!C302-1</f>
        <v>-0.00244800156672098</v>
      </c>
      <c r="D303" s="14" t="n">
        <f aca="false">Share_Prices!D303/Share_Prices!D302-1</f>
        <v>0.00742213386348589</v>
      </c>
      <c r="E303" s="14" t="n">
        <f aca="false">Share_Prices!E303/Share_Prices!E302-1</f>
        <v>-0.0103106411103767</v>
      </c>
      <c r="F303" s="14" t="n">
        <f aca="false">Share_Prices!F303/Share_Prices!F302-1</f>
        <v>-0.00210205475852643</v>
      </c>
      <c r="G303" s="14" t="n">
        <f aca="false">Share_Prices!G303/Share_Prices!G302-1</f>
        <v>-0.00496688741721851</v>
      </c>
      <c r="H303" s="14" t="n">
        <f aca="false">Share_Prices!H303/Share_Prices!H302-1</f>
        <v>0.0367720799625593</v>
      </c>
      <c r="I303" s="14" t="n">
        <f aca="false">Share_Prices!I303/Share_Prices!I302-1</f>
        <v>0.000113636363636482</v>
      </c>
      <c r="J303" s="14" t="n">
        <f aca="false">Share_Prices!J303/Share_Prices!J302-1</f>
        <v>-0.00743425332218195</v>
      </c>
      <c r="K303" s="14" t="n">
        <f aca="false">Share_Prices!K303/Share_Prices!K302-1</f>
        <v>-0.0128914433045065</v>
      </c>
      <c r="L303" s="14" t="n">
        <f aca="false">Share_Prices!L303/Share_Prices!L302-1</f>
        <v>-0.00139069969578431</v>
      </c>
      <c r="M303" s="14" t="n">
        <f aca="false">Share_Prices!M303/Share_Prices!M302-1</f>
        <v>0.00951572290214919</v>
      </c>
      <c r="N303" s="14" t="n">
        <f aca="false">Share_Prices!N303/Share_Prices!N302-1</f>
        <v>-0.00224071175549878</v>
      </c>
      <c r="O303" s="14" t="n">
        <f aca="false">Share_Prices!O303/Share_Prices!O302-1</f>
        <v>0.00313364055299537</v>
      </c>
      <c r="P303" s="14" t="n">
        <f aca="false">Share_Prices!P303/Share_Prices!P302-1</f>
        <v>0.00447592729537227</v>
      </c>
      <c r="Q303" s="14" t="n">
        <f aca="false">Share_Prices!Q303/Share_Prices!Q302-1</f>
        <v>-0.0037955465587044</v>
      </c>
      <c r="R303" s="14" t="n">
        <f aca="false">Share_Prices!R303/Share_Prices!R302-1</f>
        <v>-0.0092111323113363</v>
      </c>
      <c r="S303" s="14" t="n">
        <f aca="false">Share_Prices!S303/Share_Prices!S302-1</f>
        <v>0.00231758563606266</v>
      </c>
    </row>
    <row r="304" customFormat="false" ht="15" hidden="false" customHeight="false" outlineLevel="0" collapsed="false">
      <c r="A304" s="13" t="n">
        <f aca="false">Share_Prices!A304</f>
        <v>45245</v>
      </c>
      <c r="B304" s="14" t="n">
        <f aca="false">Share_Prices!B304/Share_Prices!B303-1</f>
        <v>0.0119268343486658</v>
      </c>
      <c r="C304" s="14" t="n">
        <f aca="false">Share_Prices!C304/Share_Prices!C303-1</f>
        <v>0.0109391059323503</v>
      </c>
      <c r="D304" s="14" t="n">
        <f aca="false">Share_Prices!D304/Share_Prices!D303-1</f>
        <v>-0.0199644783581109</v>
      </c>
      <c r="E304" s="14" t="n">
        <f aca="false">Share_Prices!E304/Share_Prices!E303-1</f>
        <v>0.00480833444637363</v>
      </c>
      <c r="F304" s="14" t="n">
        <f aca="false">Share_Prices!F304/Share_Prices!F303-1</f>
        <v>0.017220496076676</v>
      </c>
      <c r="G304" s="14" t="n">
        <f aca="false">Share_Prices!G304/Share_Prices!G303-1</f>
        <v>0.0341652800887409</v>
      </c>
      <c r="H304" s="14" t="n">
        <f aca="false">Share_Prices!H304/Share_Prices!H303-1</f>
        <v>0.0197975108015735</v>
      </c>
      <c r="I304" s="14" t="n">
        <f aca="false">Share_Prices!I304/Share_Prices!I303-1</f>
        <v>0.00477218497897969</v>
      </c>
      <c r="J304" s="14" t="n">
        <f aca="false">Share_Prices!J304/Share_Prices!J303-1</f>
        <v>0.00353431326654818</v>
      </c>
      <c r="K304" s="14" t="n">
        <f aca="false">Share_Prices!K304/Share_Prices!K303-1</f>
        <v>-0.018542199488491</v>
      </c>
      <c r="L304" s="14" t="n">
        <f aca="false">Share_Prices!L304/Share_Prices!L303-1</f>
        <v>0.0155366002263033</v>
      </c>
      <c r="M304" s="14" t="n">
        <f aca="false">Share_Prices!M304/Share_Prices!M303-1</f>
        <v>-0.028626120247107</v>
      </c>
      <c r="N304" s="14" t="n">
        <f aca="false">Share_Prices!N304/Share_Prices!N303-1</f>
        <v>0.014448719430638</v>
      </c>
      <c r="O304" s="14" t="n">
        <f aca="false">Share_Prices!O304/Share_Prices!O303-1</f>
        <v>0.0158030135979417</v>
      </c>
      <c r="P304" s="14" t="n">
        <f aca="false">Share_Prices!P304/Share_Prices!P303-1</f>
        <v>0.0113918164910103</v>
      </c>
      <c r="Q304" s="14" t="n">
        <f aca="false">Share_Prices!Q304/Share_Prices!Q303-1</f>
        <v>-0.00254000508001018</v>
      </c>
      <c r="R304" s="14" t="n">
        <f aca="false">Share_Prices!R304/Share_Prices!R303-1</f>
        <v>0.0181286938043694</v>
      </c>
      <c r="S304" s="14" t="n">
        <f aca="false">Share_Prices!S304/Share_Prices!S303-1</f>
        <v>0.0345309482671004</v>
      </c>
    </row>
    <row r="305" customFormat="false" ht="15" hidden="false" customHeight="false" outlineLevel="0" collapsed="false">
      <c r="A305" s="13" t="n">
        <f aca="false">Share_Prices!A305</f>
        <v>45246</v>
      </c>
      <c r="B305" s="14" t="n">
        <f aca="false">Share_Prices!B305/Share_Prices!B304-1</f>
        <v>0.00456152209987581</v>
      </c>
      <c r="C305" s="14" t="n">
        <f aca="false">Share_Prices!C305/Share_Prices!C304-1</f>
        <v>0.00485776542790317</v>
      </c>
      <c r="D305" s="14" t="n">
        <f aca="false">Share_Prices!D305/Share_Prices!D304-1</f>
        <v>-0.000604087659831443</v>
      </c>
      <c r="E305" s="14" t="n">
        <f aca="false">Share_Prices!E305/Share_Prices!E304-1</f>
        <v>-0.00372191944702904</v>
      </c>
      <c r="F305" s="14" t="n">
        <f aca="false">Share_Prices!F305/Share_Prices!F304-1</f>
        <v>-0.0138745081797473</v>
      </c>
      <c r="G305" s="14" t="n">
        <f aca="false">Share_Prices!G305/Share_Prices!G304-1</f>
        <v>-0.00836640566341307</v>
      </c>
      <c r="H305" s="14" t="n">
        <f aca="false">Share_Prices!H305/Share_Prices!H304-1</f>
        <v>-0.0184646515745542</v>
      </c>
      <c r="I305" s="14" t="n">
        <f aca="false">Share_Prices!I305/Share_Prices!I304-1</f>
        <v>-0.00735044668099061</v>
      </c>
      <c r="J305" s="14" t="n">
        <f aca="false">Share_Prices!J305/Share_Prices!J304-1</f>
        <v>-0.0143906705539358</v>
      </c>
      <c r="K305" s="14" t="n">
        <f aca="false">Share_Prices!K305/Share_Prices!K304-1</f>
        <v>0.0191142837341465</v>
      </c>
      <c r="L305" s="14" t="n">
        <f aca="false">Share_Prices!L305/Share_Prices!L304-1</f>
        <v>-0.00124276837368764</v>
      </c>
      <c r="M305" s="14" t="n">
        <f aca="false">Share_Prices!M305/Share_Prices!M304-1</f>
        <v>-0.00089573629523465</v>
      </c>
      <c r="N305" s="14" t="n">
        <f aca="false">Share_Prices!N305/Share_Prices!N304-1</f>
        <v>0.015577693134095</v>
      </c>
      <c r="O305" s="14" t="n">
        <f aca="false">Share_Prices!O305/Share_Prices!O304-1</f>
        <v>-0.00343704775687403</v>
      </c>
      <c r="P305" s="14" t="n">
        <f aca="false">Share_Prices!P305/Share_Prices!P304-1</f>
        <v>0.0158991648149567</v>
      </c>
      <c r="Q305" s="14" t="n">
        <f aca="false">Share_Prices!Q305/Share_Prices!Q304-1</f>
        <v>-0.0233002291825821</v>
      </c>
      <c r="R305" s="14" t="n">
        <f aca="false">Share_Prices!R305/Share_Prices!R304-1</f>
        <v>0.00776154448212885</v>
      </c>
      <c r="S305" s="14" t="n">
        <f aca="false">Share_Prices!S305/Share_Prices!S304-1</f>
        <v>0</v>
      </c>
    </row>
    <row r="306" customFormat="false" ht="15" hidden="false" customHeight="false" outlineLevel="0" collapsed="false">
      <c r="A306" s="13" t="n">
        <f aca="false">Share_Prices!A306</f>
        <v>45247</v>
      </c>
      <c r="B306" s="14" t="n">
        <f aca="false">Share_Prices!B306/Share_Prices!B305-1</f>
        <v>-0.00168983870641337</v>
      </c>
      <c r="C306" s="14" t="n">
        <f aca="false">Share_Prices!C306/Share_Prices!C305-1</f>
        <v>0.000420619447397019</v>
      </c>
      <c r="D306" s="14" t="n">
        <f aca="false">Share_Prices!D306/Share_Prices!D305-1</f>
        <v>-0.0299204137143625</v>
      </c>
      <c r="E306" s="14" t="n">
        <f aca="false">Share_Prices!E306/Share_Prices!E305-1</f>
        <v>0.0226817878585723</v>
      </c>
      <c r="F306" s="14" t="n">
        <f aca="false">Share_Prices!F306/Share_Prices!F305-1</f>
        <v>-0.0173771524569508</v>
      </c>
      <c r="G306" s="14" t="n">
        <f aca="false">Share_Prices!G306/Share_Prices!G305-1</f>
        <v>0.00778799351000536</v>
      </c>
      <c r="H306" s="14" t="n">
        <f aca="false">Share_Prices!H306/Share_Prices!H305-1</f>
        <v>0.0418116222136322</v>
      </c>
      <c r="I306" s="14" t="n">
        <f aca="false">Share_Prices!I306/Share_Prices!I305-1</f>
        <v>-0.0277967646388699</v>
      </c>
      <c r="J306" s="14" t="n">
        <f aca="false">Share_Prices!J306/Share_Prices!J305-1</f>
        <v>-0.0405130389512046</v>
      </c>
      <c r="K306" s="14" t="n">
        <f aca="false">Share_Prices!K306/Share_Prices!K305-1</f>
        <v>-0.0192046134595506</v>
      </c>
      <c r="L306" s="14" t="n">
        <f aca="false">Share_Prices!L306/Share_Prices!L305-1</f>
        <v>-0.0333819617265939</v>
      </c>
      <c r="M306" s="14" t="n">
        <f aca="false">Share_Prices!M306/Share_Prices!M305-1</f>
        <v>-0.0407626561472714</v>
      </c>
      <c r="N306" s="14" t="n">
        <f aca="false">Share_Prices!N306/Share_Prices!N305-1</f>
        <v>-0.0334823932939046</v>
      </c>
      <c r="O306" s="14" t="n">
        <f aca="false">Share_Prices!O306/Share_Prices!O305-1</f>
        <v>-0.00599019785805033</v>
      </c>
      <c r="P306" s="14" t="n">
        <f aca="false">Share_Prices!P306/Share_Prices!P305-1</f>
        <v>0.0101821473017309</v>
      </c>
      <c r="Q306" s="14" t="n">
        <f aca="false">Share_Prices!Q306/Share_Prices!Q305-1</f>
        <v>-0.0323295528614263</v>
      </c>
      <c r="R306" s="14" t="n">
        <f aca="false">Share_Prices!R306/Share_Prices!R305-1</f>
        <v>-0.0513882596595688</v>
      </c>
      <c r="S306" s="14" t="n">
        <f aca="false">Share_Prices!S306/Share_Prices!S305-1</f>
        <v>-0.0201154365712882</v>
      </c>
    </row>
    <row r="307" customFormat="false" ht="15" hidden="false" customHeight="false" outlineLevel="0" collapsed="false">
      <c r="A307" s="13" t="n">
        <f aca="false">Share_Prices!A307</f>
        <v>45250</v>
      </c>
      <c r="B307" s="14" t="n">
        <f aca="false">Share_Prices!B307/Share_Prices!B306-1</f>
        <v>-0.00191568939478404</v>
      </c>
      <c r="C307" s="14" t="n">
        <f aca="false">Share_Prices!C307/Share_Prices!C306-1</f>
        <v>-0.00152552484304413</v>
      </c>
      <c r="D307" s="14" t="n">
        <f aca="false">Share_Prices!D307/Share_Prices!D306-1</f>
        <v>0.0408127942398227</v>
      </c>
      <c r="E307" s="14" t="n">
        <f aca="false">Share_Prices!E307/Share_Prices!E306-1</f>
        <v>0.00893672537508161</v>
      </c>
      <c r="F307" s="14" t="n">
        <f aca="false">Share_Prices!F307/Share_Prices!F306-1</f>
        <v>0.00764011326601488</v>
      </c>
      <c r="G307" s="14" t="n">
        <f aca="false">Share_Prices!G307/Share_Prices!G306-1</f>
        <v>-0.00268326714607703</v>
      </c>
      <c r="H307" s="14" t="n">
        <f aca="false">Share_Prices!H307/Share_Prices!H306-1</f>
        <v>0.0140993135860492</v>
      </c>
      <c r="I307" s="14" t="n">
        <f aca="false">Share_Prices!I307/Share_Prices!I306-1</f>
        <v>-0.0162877900164049</v>
      </c>
      <c r="J307" s="14" t="n">
        <f aca="false">Share_Prices!J307/Share_Prices!J306-1</f>
        <v>0.0786760716223549</v>
      </c>
      <c r="K307" s="14" t="n">
        <f aca="false">Share_Prices!K307/Share_Prices!K306-1</f>
        <v>-0.0211060572442867</v>
      </c>
      <c r="L307" s="14" t="n">
        <f aca="false">Share_Prices!L307/Share_Prices!L306-1</f>
        <v>0.000221946022727293</v>
      </c>
      <c r="M307" s="14" t="n">
        <f aca="false">Share_Prices!M307/Share_Prices!M306-1</f>
        <v>0.0158576858371238</v>
      </c>
      <c r="N307" s="14" t="n">
        <f aca="false">Share_Prices!N307/Share_Prices!N306-1</f>
        <v>-0.020695830984047</v>
      </c>
      <c r="O307" s="14" t="n">
        <f aca="false">Share_Prices!O307/Share_Prices!O306-1</f>
        <v>0.00602629656683695</v>
      </c>
      <c r="P307" s="14" t="n">
        <f aca="false">Share_Prices!P307/Share_Prices!P306-1</f>
        <v>-0.00933288535483634</v>
      </c>
      <c r="Q307" s="14" t="n">
        <f aca="false">Share_Prices!Q307/Share_Prices!Q306-1</f>
        <v>-0.0220934931968206</v>
      </c>
      <c r="R307" s="14" t="n">
        <f aca="false">Share_Prices!R307/Share_Prices!R306-1</f>
        <v>0.01371358395306</v>
      </c>
      <c r="S307" s="14" t="n">
        <f aca="false">Share_Prices!S307/Share_Prices!S306-1</f>
        <v>-0.00293262482454371</v>
      </c>
    </row>
    <row r="308" customFormat="false" ht="15" hidden="false" customHeight="false" outlineLevel="0" collapsed="false">
      <c r="A308" s="13" t="n">
        <f aca="false">Share_Prices!A308</f>
        <v>45251</v>
      </c>
      <c r="B308" s="14" t="n">
        <f aca="false">Share_Prices!B308/Share_Prices!B307-1</f>
        <v>0.00453945364070285</v>
      </c>
      <c r="C308" s="14" t="n">
        <f aca="false">Share_Prices!C308/Share_Prices!C307-1</f>
        <v>0.00306993709331849</v>
      </c>
      <c r="D308" s="14" t="n">
        <f aca="false">Share_Prices!D308/Share_Prices!D307-1</f>
        <v>0.0150330927595039</v>
      </c>
      <c r="E308" s="14" t="n">
        <f aca="false">Share_Prices!E308/Share_Prices!E307-1</f>
        <v>0.0082110299346998</v>
      </c>
      <c r="F308" s="14" t="n">
        <f aca="false">Share_Prices!F308/Share_Prices!F307-1</f>
        <v>-0.00328738069989398</v>
      </c>
      <c r="G308" s="14" t="n">
        <f aca="false">Share_Prices!G308/Share_Prices!G307-1</f>
        <v>-0.00548859233749466</v>
      </c>
      <c r="H308" s="14" t="n">
        <f aca="false">Share_Prices!H308/Share_Prices!H307-1</f>
        <v>-0.0129276175376548</v>
      </c>
      <c r="I308" s="14" t="n">
        <f aca="false">Share_Prices!I308/Share_Prices!I307-1</f>
        <v>-0.0285884455032758</v>
      </c>
      <c r="J308" s="14" t="n">
        <f aca="false">Share_Prices!J308/Share_Prices!J307-1</f>
        <v>-0.0114779586610574</v>
      </c>
      <c r="K308" s="14" t="n">
        <f aca="false">Share_Prices!K308/Share_Prices!K307-1</f>
        <v>0.00488737781555471</v>
      </c>
      <c r="L308" s="14" t="n">
        <f aca="false">Share_Prices!L308/Share_Prices!L307-1</f>
        <v>-0.0202369857542273</v>
      </c>
      <c r="M308" s="14" t="n">
        <f aca="false">Share_Prices!M308/Share_Prices!M307-1</f>
        <v>0.0628699359033336</v>
      </c>
      <c r="N308" s="14" t="n">
        <f aca="false">Share_Prices!N308/Share_Prices!N307-1</f>
        <v>-0.0166119145189148</v>
      </c>
      <c r="O308" s="14" t="n">
        <f aca="false">Share_Prices!O308/Share_Prices!O307-1</f>
        <v>-0.001089126883282</v>
      </c>
      <c r="P308" s="14" t="n">
        <f aca="false">Share_Prices!P308/Share_Prices!P307-1</f>
        <v>0.00188416173644335</v>
      </c>
      <c r="Q308" s="14" t="n">
        <f aca="false">Share_Prices!Q308/Share_Prices!Q307-1</f>
        <v>-0.00702576112412179</v>
      </c>
      <c r="R308" s="14" t="n">
        <f aca="false">Share_Prices!R308/Share_Prices!R307-1</f>
        <v>-0.0109705209314847</v>
      </c>
      <c r="S308" s="14" t="n">
        <f aca="false">Share_Prices!S308/Share_Prices!S307-1</f>
        <v>0.00548027853892763</v>
      </c>
    </row>
    <row r="309" customFormat="false" ht="15" hidden="false" customHeight="false" outlineLevel="0" collapsed="false">
      <c r="A309" s="13" t="n">
        <f aca="false">Share_Prices!A309</f>
        <v>45252</v>
      </c>
      <c r="B309" s="14" t="n">
        <f aca="false">Share_Prices!B309/Share_Prices!B308-1</f>
        <v>0.00143807434515786</v>
      </c>
      <c r="C309" s="14" t="n">
        <f aca="false">Share_Prices!C309/Share_Prices!C308-1</f>
        <v>5.67292200881475E-006</v>
      </c>
      <c r="D309" s="14" t="n">
        <f aca="false">Share_Prices!D309/Share_Prices!D308-1</f>
        <v>-0.0277204364494249</v>
      </c>
      <c r="E309" s="14" t="n">
        <f aca="false">Share_Prices!E309/Share_Prices!E308-1</f>
        <v>-0.017057842760036</v>
      </c>
      <c r="F309" s="14" t="n">
        <f aca="false">Share_Prices!F309/Share_Prices!F308-1</f>
        <v>-0.0270241515054793</v>
      </c>
      <c r="G309" s="14" t="n">
        <f aca="false">Share_Prices!G309/Share_Prices!G308-1</f>
        <v>-0.0120116870468564</v>
      </c>
      <c r="H309" s="14" t="n">
        <f aca="false">Share_Prices!H309/Share_Prices!H308-1</f>
        <v>-0.000432445789831371</v>
      </c>
      <c r="I309" s="14" t="n">
        <f aca="false">Share_Prices!I309/Share_Prices!I308-1</f>
        <v>-0.0315144083384428</v>
      </c>
      <c r="J309" s="14" t="n">
        <f aca="false">Share_Prices!J309/Share_Prices!J308-1</f>
        <v>0.0182957857241985</v>
      </c>
      <c r="K309" s="14" t="n">
        <f aca="false">Share_Prices!K309/Share_Prices!K308-1</f>
        <v>0.00355254810742234</v>
      </c>
      <c r="L309" s="14" t="n">
        <f aca="false">Share_Prices!L309/Share_Prices!L308-1</f>
        <v>0.015491235222177</v>
      </c>
      <c r="M309" s="14" t="n">
        <f aca="false">Share_Prices!M309/Share_Prices!M308-1</f>
        <v>-0.0251608621634879</v>
      </c>
      <c r="N309" s="14" t="n">
        <f aca="false">Share_Prices!N309/Share_Prices!N308-1</f>
        <v>-0.029359599125239</v>
      </c>
      <c r="O309" s="14" t="n">
        <f aca="false">Share_Prices!O309/Share_Prices!O308-1</f>
        <v>-0.00218062874795555</v>
      </c>
      <c r="P309" s="14" t="n">
        <f aca="false">Share_Prices!P309/Share_Prices!P308-1</f>
        <v>0.00481438296912029</v>
      </c>
      <c r="Q309" s="14" t="n">
        <f aca="false">Share_Prices!Q309/Share_Prices!Q308-1</f>
        <v>0.00416204217536076</v>
      </c>
      <c r="R309" s="14" t="n">
        <f aca="false">Share_Prices!R309/Share_Prices!R308-1</f>
        <v>-0.0041510717931269</v>
      </c>
      <c r="S309" s="14" t="n">
        <f aca="false">Share_Prices!S309/Share_Prices!S308-1</f>
        <v>-0.0113758531889891</v>
      </c>
    </row>
    <row r="310" customFormat="false" ht="15" hidden="false" customHeight="false" outlineLevel="0" collapsed="false">
      <c r="A310" s="13" t="n">
        <f aca="false">Share_Prices!A310</f>
        <v>45253</v>
      </c>
      <c r="B310" s="14" t="n">
        <f aca="false">Share_Prices!B310/Share_Prices!B309-1</f>
        <v>-0.000497177194456744</v>
      </c>
      <c r="C310" s="14" t="n">
        <f aca="false">Share_Prices!C310/Share_Prices!C309-1</f>
        <v>0.000663728109736361</v>
      </c>
      <c r="D310" s="14" t="n">
        <f aca="false">Share_Prices!D310/Share_Prices!D309-1</f>
        <v>0.00303306035790119</v>
      </c>
      <c r="E310" s="14" t="n">
        <f aca="false">Share_Prices!E310/Share_Prices!E309-1</f>
        <v>-0.00260960334029225</v>
      </c>
      <c r="F310" s="14" t="n">
        <f aca="false">Share_Prices!F310/Share_Prices!F309-1</f>
        <v>-0.040787315472936</v>
      </c>
      <c r="G310" s="14" t="n">
        <f aca="false">Share_Prices!G310/Share_Prices!G309-1</f>
        <v>-0.00339539978094194</v>
      </c>
      <c r="H310" s="14" t="n">
        <f aca="false">Share_Prices!H310/Share_Prices!H309-1</f>
        <v>-0.0126699629171817</v>
      </c>
      <c r="I310" s="14" t="n">
        <f aca="false">Share_Prices!I310/Share_Prices!I309-1</f>
        <v>-0.0224107368954165</v>
      </c>
      <c r="J310" s="14" t="n">
        <f aca="false">Share_Prices!J310/Share_Prices!J309-1</f>
        <v>-0.000272572402044258</v>
      </c>
      <c r="K310" s="14" t="n">
        <f aca="false">Share_Prices!K310/Share_Prices!K309-1</f>
        <v>-0.00768398724486219</v>
      </c>
      <c r="L310" s="14" t="n">
        <f aca="false">Share_Prices!L310/Share_Prices!L309-1</f>
        <v>-0.00530799768053891</v>
      </c>
      <c r="M310" s="14" t="n">
        <f aca="false">Share_Prices!M310/Share_Prices!M309-1</f>
        <v>-0.0228799763208525</v>
      </c>
      <c r="N310" s="14" t="n">
        <f aca="false">Share_Prices!N310/Share_Prices!N309-1</f>
        <v>0.0396324155549248</v>
      </c>
      <c r="O310" s="14" t="n">
        <f aca="false">Share_Prices!O310/Share_Prices!O309-1</f>
        <v>-0.0087415771262066</v>
      </c>
      <c r="P310" s="14" t="n">
        <f aca="false">Share_Prices!P310/Share_Prices!P309-1</f>
        <v>-0.00295714018341764</v>
      </c>
      <c r="Q310" s="14" t="n">
        <f aca="false">Share_Prices!Q310/Share_Prices!Q309-1</f>
        <v>0.0087040618955514</v>
      </c>
      <c r="R310" s="14" t="n">
        <f aca="false">Share_Prices!R310/Share_Prices!R309-1</f>
        <v>0.00990843241765749</v>
      </c>
      <c r="S310" s="14" t="n">
        <f aca="false">Share_Prices!S310/Share_Prices!S309-1</f>
        <v>-0.00113803044863692</v>
      </c>
    </row>
    <row r="311" customFormat="false" ht="15" hidden="false" customHeight="false" outlineLevel="0" collapsed="false">
      <c r="A311" s="13" t="n">
        <f aca="false">Share_Prices!A311</f>
        <v>45254</v>
      </c>
      <c r="B311" s="14" t="n">
        <f aca="false">Share_Prices!B311/Share_Prices!B310-1</f>
        <v>-0.000368649631350304</v>
      </c>
      <c r="C311" s="14" t="n">
        <f aca="false">Share_Prices!C311/Share_Prices!C310-1</f>
        <v>0.000232434209780363</v>
      </c>
      <c r="D311" s="14" t="n">
        <f aca="false">Share_Prices!D311/Share_Prices!D310-1</f>
        <v>-0.00174713570540608</v>
      </c>
      <c r="E311" s="14" t="n">
        <f aca="false">Share_Prices!E311/Share_Prices!E310-1</f>
        <v>-0.0140633176347462</v>
      </c>
      <c r="F311" s="14" t="n">
        <f aca="false">Share_Prices!F311/Share_Prices!F310-1</f>
        <v>0.0103169174646602</v>
      </c>
      <c r="G311" s="14" t="n">
        <f aca="false">Share_Prices!G311/Share_Prices!G310-1</f>
        <v>-0.000659413122321206</v>
      </c>
      <c r="H311" s="14" t="n">
        <f aca="false">Share_Prices!H311/Share_Prices!H310-1</f>
        <v>-0.0194679186228481</v>
      </c>
      <c r="I311" s="14" t="n">
        <f aca="false">Share_Prices!I311/Share_Prices!I310-1</f>
        <v>0.00634632819582959</v>
      </c>
      <c r="J311" s="14" t="n">
        <f aca="false">Share_Prices!J311/Share_Prices!J310-1</f>
        <v>-0.00892918001499565</v>
      </c>
      <c r="K311" s="14" t="n">
        <f aca="false">Share_Prices!K311/Share_Prices!K310-1</f>
        <v>-0.00746036240090597</v>
      </c>
      <c r="L311" s="14" t="n">
        <f aca="false">Share_Prices!L311/Share_Prices!L310-1</f>
        <v>-0.0183856502242152</v>
      </c>
      <c r="M311" s="14" t="n">
        <f aca="false">Share_Prices!M311/Share_Prices!M310-1</f>
        <v>0.0192657215557981</v>
      </c>
      <c r="N311" s="14" t="n">
        <f aca="false">Share_Prices!N311/Share_Prices!N310-1</f>
        <v>0.000750827616804894</v>
      </c>
      <c r="O311" s="14" t="n">
        <f aca="false">Share_Prices!O311/Share_Prices!O310-1</f>
        <v>-0.0303141649825464</v>
      </c>
      <c r="P311" s="14" t="n">
        <f aca="false">Share_Prices!P311/Share_Prices!P310-1</f>
        <v>-0.00514341492716619</v>
      </c>
      <c r="Q311" s="14" t="n">
        <f aca="false">Share_Prices!Q311/Share_Prices!Q310-1</f>
        <v>-0.0194493904944528</v>
      </c>
      <c r="R311" s="14" t="n">
        <f aca="false">Share_Prices!R311/Share_Prices!R310-1</f>
        <v>0.000270654306786522</v>
      </c>
      <c r="S311" s="14" t="n">
        <f aca="false">Share_Prices!S311/Share_Prices!S310-1</f>
        <v>-0.0138491531002355</v>
      </c>
    </row>
    <row r="312" customFormat="false" ht="15" hidden="false" customHeight="false" outlineLevel="0" collapsed="false">
      <c r="A312" s="13" t="n">
        <f aca="false">Share_Prices!A312</f>
        <v>45258</v>
      </c>
      <c r="B312" s="14" t="n">
        <f aca="false">Share_Prices!B312/Share_Prices!B311-1</f>
        <v>0.0047992644495749</v>
      </c>
      <c r="C312" s="14" t="n">
        <f aca="false">Share_Prices!C312/Share_Prices!C311-1</f>
        <v>0.005571456910477</v>
      </c>
      <c r="D312" s="14" t="n">
        <f aca="false">Share_Prices!D312/Share_Prices!D311-1</f>
        <v>-0.0264211908047525</v>
      </c>
      <c r="E312" s="14" t="n">
        <f aca="false">Share_Prices!E312/Share_Prices!E311-1</f>
        <v>0.00298547070921518</v>
      </c>
      <c r="F312" s="14" t="n">
        <f aca="false">Share_Prices!F312/Share_Prices!F311-1</f>
        <v>-0.0293370944992948</v>
      </c>
      <c r="G312" s="14" t="n">
        <f aca="false">Share_Prices!G312/Share_Prices!G311-1</f>
        <v>0.00670845705487744</v>
      </c>
      <c r="H312" s="14" t="n">
        <f aca="false">Share_Prices!H312/Share_Prices!H311-1</f>
        <v>-0.00242594484167524</v>
      </c>
      <c r="I312" s="14" t="n">
        <f aca="false">Share_Prices!I312/Share_Prices!I311-1</f>
        <v>0.00875160875160863</v>
      </c>
      <c r="J312" s="14" t="n">
        <f aca="false">Share_Prices!J312/Share_Prices!J311-1</f>
        <v>-0.0129527739569005</v>
      </c>
      <c r="K312" s="14" t="n">
        <f aca="false">Share_Prices!K312/Share_Prices!K311-1</f>
        <v>0.0152040277837204</v>
      </c>
      <c r="L312" s="14" t="n">
        <f aca="false">Share_Prices!L312/Share_Prices!L311-1</f>
        <v>0.0107354956601187</v>
      </c>
      <c r="M312" s="14" t="n">
        <f aca="false">Share_Prices!M312/Share_Prices!M311-1</f>
        <v>0.00190204469805022</v>
      </c>
      <c r="N312" s="14" t="n">
        <f aca="false">Share_Prices!N312/Share_Prices!N311-1</f>
        <v>-0.0124305152951609</v>
      </c>
      <c r="O312" s="14" t="n">
        <f aca="false">Share_Prices!O312/Share_Prices!O311-1</f>
        <v>0.0248200075786282</v>
      </c>
      <c r="P312" s="14" t="n">
        <f aca="false">Share_Prices!P312/Share_Prices!P311-1</f>
        <v>0.0134344692252537</v>
      </c>
      <c r="Q312" s="14" t="n">
        <f aca="false">Share_Prices!Q312/Share_Prices!Q311-1</f>
        <v>0.0166224333007403</v>
      </c>
      <c r="R312" s="14" t="n">
        <f aca="false">Share_Prices!R312/Share_Prices!R311-1</f>
        <v>-0.00730568896705675</v>
      </c>
      <c r="S312" s="14" t="n">
        <f aca="false">Share_Prices!S312/Share_Prices!S311-1</f>
        <v>0.00934531450577669</v>
      </c>
    </row>
    <row r="313" customFormat="false" ht="15" hidden="false" customHeight="false" outlineLevel="0" collapsed="false">
      <c r="A313" s="13" t="n">
        <f aca="false">Share_Prices!A313</f>
        <v>45259</v>
      </c>
      <c r="B313" s="14" t="n">
        <f aca="false">Share_Prices!B313/Share_Prices!B312-1</f>
        <v>0.0104023690653956</v>
      </c>
      <c r="C313" s="14" t="n">
        <f aca="false">Share_Prices!C313/Share_Prices!C312-1</f>
        <v>0.00914788803841771</v>
      </c>
      <c r="D313" s="14" t="n">
        <f aca="false">Share_Prices!D313/Share_Prices!D312-1</f>
        <v>-0.00439051372467669</v>
      </c>
      <c r="E313" s="14" t="n">
        <f aca="false">Share_Prices!E313/Share_Prices!E312-1</f>
        <v>0.0177933589099089</v>
      </c>
      <c r="F313" s="14" t="n">
        <f aca="false">Share_Prices!F313/Share_Prices!F312-1</f>
        <v>0.00412670735251375</v>
      </c>
      <c r="G313" s="14" t="n">
        <f aca="false">Share_Prices!G313/Share_Prices!G312-1</f>
        <v>0.0458815818221543</v>
      </c>
      <c r="H313" s="14" t="n">
        <f aca="false">Share_Prices!H313/Share_Prices!H312-1</f>
        <v>0.0226545501087931</v>
      </c>
      <c r="I313" s="14" t="n">
        <f aca="false">Share_Prices!I313/Share_Prices!I312-1</f>
        <v>0.011099770349579</v>
      </c>
      <c r="J313" s="14" t="n">
        <f aca="false">Share_Prices!J313/Share_Prices!J312-1</f>
        <v>-0.00494716060852407</v>
      </c>
      <c r="K313" s="14" t="n">
        <f aca="false">Share_Prices!K313/Share_Prices!K312-1</f>
        <v>0.000351227187794123</v>
      </c>
      <c r="L313" s="14" t="n">
        <f aca="false">Share_Prices!L313/Share_Prices!L312-1</f>
        <v>0.00379661016949151</v>
      </c>
      <c r="M313" s="14" t="n">
        <f aca="false">Share_Prices!M313/Share_Prices!M312-1</f>
        <v>0.00367821547223546</v>
      </c>
      <c r="N313" s="14" t="n">
        <f aca="false">Share_Prices!N313/Share_Prices!N312-1</f>
        <v>0.00587046981024586</v>
      </c>
      <c r="O313" s="14" t="n">
        <f aca="false">Share_Prices!O313/Share_Prices!O312-1</f>
        <v>0.0153447957108523</v>
      </c>
      <c r="P313" s="14" t="n">
        <f aca="false">Share_Prices!P313/Share_Prices!P312-1</f>
        <v>0.0544405138707875</v>
      </c>
      <c r="Q313" s="14" t="n">
        <f aca="false">Share_Prices!Q313/Share_Prices!Q312-1</f>
        <v>0.0570211596592471</v>
      </c>
      <c r="R313" s="14" t="n">
        <f aca="false">Share_Prices!R313/Share_Prices!R312-1</f>
        <v>0.00470187393526422</v>
      </c>
      <c r="S313" s="14" t="n">
        <f aca="false">Share_Prices!S313/Share_Prices!S312-1</f>
        <v>0.00440046802665717</v>
      </c>
    </row>
    <row r="314" customFormat="false" ht="15" hidden="false" customHeight="false" outlineLevel="0" collapsed="false">
      <c r="A314" s="13" t="n">
        <f aca="false">Share_Prices!A314</f>
        <v>45260</v>
      </c>
      <c r="B314" s="14" t="n">
        <f aca="false">Share_Prices!B314/Share_Prices!B313-1</f>
        <v>0.00181871560363467</v>
      </c>
      <c r="C314" s="14" t="n">
        <f aca="false">Share_Prices!C314/Share_Prices!C313-1</f>
        <v>0.00468328483420022</v>
      </c>
      <c r="D314" s="14" t="n">
        <f aca="false">Share_Prices!D314/Share_Prices!D313-1</f>
        <v>-0.000243063995277737</v>
      </c>
      <c r="E314" s="14" t="n">
        <f aca="false">Share_Prices!E314/Share_Prices!E313-1</f>
        <v>0.015272632741925</v>
      </c>
      <c r="F314" s="14" t="n">
        <f aca="false">Share_Prices!F314/Share_Prices!F313-1</f>
        <v>0.0401134521880067</v>
      </c>
      <c r="G314" s="14" t="n">
        <f aca="false">Share_Prices!G314/Share_Prices!G313-1</f>
        <v>0.0260079381658658</v>
      </c>
      <c r="H314" s="14" t="n">
        <f aca="false">Share_Prices!H314/Share_Prices!H313-1</f>
        <v>-0.0317897371714643</v>
      </c>
      <c r="I314" s="14" t="n">
        <f aca="false">Share_Prices!I314/Share_Prices!I313-1</f>
        <v>-0.00290220820189269</v>
      </c>
      <c r="J314" s="14" t="n">
        <f aca="false">Share_Prices!J314/Share_Prices!J313-1</f>
        <v>-0.00366462816861957</v>
      </c>
      <c r="K314" s="14" t="n">
        <f aca="false">Share_Prices!K314/Share_Prices!K313-1</f>
        <v>-0.00115162069546648</v>
      </c>
      <c r="L314" s="14" t="n">
        <f aca="false">Share_Prices!L314/Share_Prices!L313-1</f>
        <v>0.00630375073168543</v>
      </c>
      <c r="M314" s="14" t="n">
        <f aca="false">Share_Prices!M314/Share_Prices!M313-1</f>
        <v>0.00333963825511296</v>
      </c>
      <c r="N314" s="14" t="n">
        <f aca="false">Share_Prices!N314/Share_Prices!N313-1</f>
        <v>0.0145905213107438</v>
      </c>
      <c r="O314" s="14" t="n">
        <f aca="false">Share_Prices!O314/Share_Prices!O313-1</f>
        <v>-0.00109249817916979</v>
      </c>
      <c r="P314" s="14" t="n">
        <f aca="false">Share_Prices!P314/Share_Prices!P313-1</f>
        <v>0.0466504220079813</v>
      </c>
      <c r="Q314" s="14" t="n">
        <f aca="false">Share_Prices!Q314/Share_Prices!Q313-1</f>
        <v>0.0640842324190825</v>
      </c>
      <c r="R314" s="14" t="n">
        <f aca="false">Share_Prices!R314/Share_Prices!R313-1</f>
        <v>0.00264514378730318</v>
      </c>
      <c r="S314" s="14" t="n">
        <f aca="false">Share_Prices!S314/Share_Prices!S313-1</f>
        <v>0.016638387317345</v>
      </c>
    </row>
    <row r="315" customFormat="false" ht="15" hidden="false" customHeight="false" outlineLevel="0" collapsed="false">
      <c r="A315" s="13" t="n">
        <f aca="false">Share_Prices!A315</f>
        <v>45261</v>
      </c>
      <c r="B315" s="14" t="n">
        <f aca="false">Share_Prices!B315/Share_Prices!B314-1</f>
        <v>0.00669294174036361</v>
      </c>
      <c r="C315" s="14" t="n">
        <f aca="false">Share_Prices!C315/Share_Prices!C314-1</f>
        <v>0.00708251913086255</v>
      </c>
      <c r="D315" s="14" t="n">
        <f aca="false">Share_Prices!D315/Share_Prices!D314-1</f>
        <v>-0.00962072797999436</v>
      </c>
      <c r="E315" s="14" t="n">
        <f aca="false">Share_Prices!E315/Share_Prices!E314-1</f>
        <v>0.0415439764434771</v>
      </c>
      <c r="F315" s="14" t="n">
        <f aca="false">Share_Prices!F315/Share_Prices!F314-1</f>
        <v>0.023596193444265</v>
      </c>
      <c r="G315" s="14" t="n">
        <f aca="false">Share_Prices!G315/Share_Prices!G314-1</f>
        <v>0.00315585869897173</v>
      </c>
      <c r="H315" s="14" t="n">
        <f aca="false">Share_Prices!H315/Share_Prices!H314-1</f>
        <v>0.00717425025853147</v>
      </c>
      <c r="I315" s="14" t="n">
        <f aca="false">Share_Prices!I315/Share_Prices!I314-1</f>
        <v>0.0198683877499366</v>
      </c>
      <c r="J315" s="14" t="n">
        <f aca="false">Share_Prices!J315/Share_Prices!J314-1</f>
        <v>0.00431064776853685</v>
      </c>
      <c r="K315" s="14" t="n">
        <f aca="false">Share_Prices!K315/Share_Prices!K314-1</f>
        <v>0.0193048564438572</v>
      </c>
      <c r="L315" s="14" t="n">
        <f aca="false">Share_Prices!L315/Share_Prices!L314-1</f>
        <v>0.00962011723119605</v>
      </c>
      <c r="M315" s="14" t="n">
        <f aca="false">Share_Prices!M315/Share_Prices!M314-1</f>
        <v>0.00038292733217471</v>
      </c>
      <c r="N315" s="14" t="n">
        <f aca="false">Share_Prices!N315/Share_Prices!N314-1</f>
        <v>0.00641210008966775</v>
      </c>
      <c r="O315" s="14" t="n">
        <f aca="false">Share_Prices!O315/Share_Prices!O314-1</f>
        <v>-0.00236966824644558</v>
      </c>
      <c r="P315" s="14" t="n">
        <f aca="false">Share_Prices!P315/Share_Prices!P314-1</f>
        <v>-0.0210203117619273</v>
      </c>
      <c r="Q315" s="14" t="n">
        <f aca="false">Share_Prices!Q315/Share_Prices!Q314-1</f>
        <v>0.00134375763498662</v>
      </c>
      <c r="R315" s="14" t="n">
        <f aca="false">Share_Prices!R315/Share_Prices!R314-1</f>
        <v>0.00108232429141597</v>
      </c>
      <c r="S315" s="14" t="n">
        <f aca="false">Share_Prices!S315/Share_Prices!S314-1</f>
        <v>-0.00196791550418496</v>
      </c>
    </row>
    <row r="316" customFormat="false" ht="15" hidden="false" customHeight="false" outlineLevel="0" collapsed="false">
      <c r="A316" s="13" t="n">
        <f aca="false">Share_Prices!A316</f>
        <v>45264</v>
      </c>
      <c r="B316" s="14" t="n">
        <f aca="false">Share_Prices!B316/Share_Prices!B315-1</f>
        <v>0.0206681501290216</v>
      </c>
      <c r="C316" s="14" t="n">
        <f aca="false">Share_Prices!C316/Share_Prices!C315-1</f>
        <v>0.0183904810009192</v>
      </c>
      <c r="D316" s="14" t="n">
        <f aca="false">Share_Prices!D316/Share_Prices!D315-1</f>
        <v>0.00999473961073116</v>
      </c>
      <c r="E316" s="14" t="n">
        <f aca="false">Share_Prices!E316/Share_Prices!E315-1</f>
        <v>0.0142584967119415</v>
      </c>
      <c r="F316" s="14" t="n">
        <f aca="false">Share_Prices!F316/Share_Prices!F315-1</f>
        <v>0.0285978361333117</v>
      </c>
      <c r="G316" s="14" t="n">
        <f aca="false">Share_Prices!G316/Share_Prices!G315-1</f>
        <v>0.030140044651918</v>
      </c>
      <c r="H316" s="14" t="n">
        <f aca="false">Share_Prices!H316/Share_Prices!H315-1</f>
        <v>0.02303792594494</v>
      </c>
      <c r="I316" s="14" t="n">
        <f aca="false">Share_Prices!I316/Share_Prices!I315-1</f>
        <v>0.0119121479091699</v>
      </c>
      <c r="J316" s="14" t="n">
        <f aca="false">Share_Prices!J316/Share_Prices!J315-1</f>
        <v>0.00394224264620124</v>
      </c>
      <c r="K316" s="14" t="n">
        <f aca="false">Share_Prices!K316/Share_Prices!K315-1</f>
        <v>0.0204289951031105</v>
      </c>
      <c r="L316" s="14" t="n">
        <f aca="false">Share_Prices!L316/Share_Prices!L315-1</f>
        <v>0.0182148555220705</v>
      </c>
      <c r="M316" s="14" t="n">
        <f aca="false">Share_Prices!M316/Share_Prices!M315-1</f>
        <v>0.00559448795712858</v>
      </c>
      <c r="N316" s="14" t="n">
        <f aca="false">Share_Prices!N316/Share_Prices!N315-1</f>
        <v>0.0327472010220893</v>
      </c>
      <c r="O316" s="14" t="n">
        <f aca="false">Share_Prices!O316/Share_Prices!O315-1</f>
        <v>0.0147999269139412</v>
      </c>
      <c r="P316" s="14" t="n">
        <f aca="false">Share_Prices!P316/Share_Prices!P315-1</f>
        <v>0.00971911080475607</v>
      </c>
      <c r="Q316" s="14" t="n">
        <f aca="false">Share_Prices!Q316/Share_Prices!Q315-1</f>
        <v>0.0231792119067951</v>
      </c>
      <c r="R316" s="14" t="n">
        <f aca="false">Share_Prices!R316/Share_Prices!R315-1</f>
        <v>0.0158794513142779</v>
      </c>
      <c r="S316" s="14" t="n">
        <f aca="false">Share_Prices!S316/Share_Prices!S315-1</f>
        <v>0.0455260202171472</v>
      </c>
    </row>
    <row r="317" customFormat="false" ht="15" hidden="false" customHeight="false" outlineLevel="0" collapsed="false">
      <c r="A317" s="13" t="n">
        <f aca="false">Share_Prices!A317</f>
        <v>45265</v>
      </c>
      <c r="B317" s="14" t="n">
        <f aca="false">Share_Prices!B317/Share_Prices!B316-1</f>
        <v>0.00813562271593482</v>
      </c>
      <c r="C317" s="14" t="n">
        <f aca="false">Share_Prices!C317/Share_Prices!C316-1</f>
        <v>0.00759140309510253</v>
      </c>
      <c r="D317" s="14" t="n">
        <f aca="false">Share_Prices!D317/Share_Prices!D316-1</f>
        <v>0.0353819444444445</v>
      </c>
      <c r="E317" s="14" t="n">
        <f aca="false">Share_Prices!E317/Share_Prices!E316-1</f>
        <v>0.0141792401381569</v>
      </c>
      <c r="F317" s="14" t="n">
        <f aca="false">Share_Prices!F317/Share_Prices!F316-1</f>
        <v>0.0154870764839579</v>
      </c>
      <c r="G317" s="14" t="n">
        <f aca="false">Share_Prices!G317/Share_Prices!G316-1</f>
        <v>-0.0178307555905822</v>
      </c>
      <c r="H317" s="14" t="n">
        <f aca="false">Share_Prices!H317/Share_Prices!H316-1</f>
        <v>-0.00150545728264961</v>
      </c>
      <c r="I317" s="14" t="n">
        <f aca="false">Share_Prices!I317/Share_Prices!I316-1</f>
        <v>-0.018638871857756</v>
      </c>
      <c r="J317" s="14" t="n">
        <f aca="false">Share_Prices!J317/Share_Prices!J316-1</f>
        <v>0.00652911380640342</v>
      </c>
      <c r="K317" s="14" t="n">
        <f aca="false">Share_Prices!K317/Share_Prices!K316-1</f>
        <v>-0.00781334486860597</v>
      </c>
      <c r="L317" s="14" t="n">
        <f aca="false">Share_Prices!L317/Share_Prices!L316-1</f>
        <v>-0.00796517954298159</v>
      </c>
      <c r="M317" s="14" t="n">
        <f aca="false">Share_Prices!M317/Share_Prices!M316-1</f>
        <v>0.0235710939330054</v>
      </c>
      <c r="N317" s="14" t="n">
        <f aca="false">Share_Prices!N317/Share_Prices!N316-1</f>
        <v>-0.0106781261190873</v>
      </c>
      <c r="O317" s="14" t="n">
        <f aca="false">Share_Prices!O317/Share_Prices!O316-1</f>
        <v>-0.0273676629456247</v>
      </c>
      <c r="P317" s="14" t="n">
        <f aca="false">Share_Prices!P317/Share_Prices!P316-1</f>
        <v>-0.0209919104345154</v>
      </c>
      <c r="Q317" s="14" t="n">
        <f aca="false">Share_Prices!Q317/Share_Prices!Q316-1</f>
        <v>-0.0182425181829022</v>
      </c>
      <c r="R317" s="14" t="n">
        <f aca="false">Share_Prices!R317/Share_Prices!R316-1</f>
        <v>-0.00478914460556079</v>
      </c>
      <c r="S317" s="14" t="n">
        <f aca="false">Share_Prices!S317/Share_Prices!S316-1</f>
        <v>-0.0116975817040272</v>
      </c>
    </row>
    <row r="318" customFormat="false" ht="15" hidden="false" customHeight="false" outlineLevel="0" collapsed="false">
      <c r="A318" s="13" t="n">
        <f aca="false">Share_Prices!A318</f>
        <v>45266</v>
      </c>
      <c r="B318" s="14" t="n">
        <f aca="false">Share_Prices!B318/Share_Prices!B317-1</f>
        <v>0.00396066190044642</v>
      </c>
      <c r="C318" s="14" t="n">
        <f aca="false">Share_Prices!C318/Share_Prices!C317-1</f>
        <v>0.00491969518870494</v>
      </c>
      <c r="D318" s="14" t="n">
        <f aca="false">Share_Prices!D318/Share_Prices!D317-1</f>
        <v>0.00814916663872012</v>
      </c>
      <c r="E318" s="14" t="n">
        <f aca="false">Share_Prices!E318/Share_Prices!E317-1</f>
        <v>-0.0574774451813348</v>
      </c>
      <c r="F318" s="14" t="n">
        <f aca="false">Share_Prices!F318/Share_Prices!F317-1</f>
        <v>-0.00978555069748077</v>
      </c>
      <c r="G318" s="14" t="n">
        <f aca="false">Share_Prices!G318/Share_Prices!G317-1</f>
        <v>0.0133400200601805</v>
      </c>
      <c r="H318" s="14" t="n">
        <f aca="false">Share_Prices!H318/Share_Prices!H317-1</f>
        <v>-0.0143234074632491</v>
      </c>
      <c r="I318" s="14" t="n">
        <f aca="false">Share_Prices!I318/Share_Prices!I317-1</f>
        <v>0.000124953142571549</v>
      </c>
      <c r="J318" s="14" t="n">
        <f aca="false">Share_Prices!J318/Share_Prices!J317-1</f>
        <v>0.0417599667582356</v>
      </c>
      <c r="K318" s="14" t="n">
        <f aca="false">Share_Prices!K318/Share_Prices!K317-1</f>
        <v>0.0105179977656067</v>
      </c>
      <c r="L318" s="14" t="n">
        <f aca="false">Share_Prices!L318/Share_Prices!L317-1</f>
        <v>0.0128115128115129</v>
      </c>
      <c r="M318" s="14" t="n">
        <f aca="false">Share_Prices!M318/Share_Prices!M317-1</f>
        <v>-0.00986926795777665</v>
      </c>
      <c r="N318" s="14" t="n">
        <f aca="false">Share_Prices!N318/Share_Prices!N317-1</f>
        <v>0.0169469215834679</v>
      </c>
      <c r="O318" s="14" t="n">
        <f aca="false">Share_Prices!O318/Share_Prices!O317-1</f>
        <v>0.00925583117363948</v>
      </c>
      <c r="P318" s="14" t="n">
        <f aca="false">Share_Prices!P318/Share_Prices!P317-1</f>
        <v>-0.00132487274248649</v>
      </c>
      <c r="Q318" s="14" t="n">
        <f aca="false">Share_Prices!Q318/Share_Prices!Q317-1</f>
        <v>-0.00218605780908421</v>
      </c>
      <c r="R318" s="14" t="n">
        <f aca="false">Share_Prices!R318/Share_Prices!R317-1</f>
        <v>0</v>
      </c>
      <c r="S318" s="14" t="n">
        <f aca="false">Share_Prices!S318/Share_Prices!S317-1</f>
        <v>-0.00688422425662461</v>
      </c>
    </row>
    <row r="319" customFormat="false" ht="15" hidden="false" customHeight="false" outlineLevel="0" collapsed="false">
      <c r="A319" s="13" t="n">
        <f aca="false">Share_Prices!A319</f>
        <v>45267</v>
      </c>
      <c r="B319" s="14" t="n">
        <f aca="false">Share_Prices!B319/Share_Prices!B318-1</f>
        <v>-0.00174565496687784</v>
      </c>
      <c r="C319" s="14" t="n">
        <f aca="false">Share_Prices!C319/Share_Prices!C318-1</f>
        <v>0.00127676659528908</v>
      </c>
      <c r="D319" s="14" t="n">
        <f aca="false">Share_Prices!D319/Share_Prices!D318-1</f>
        <v>6.65291730423956E-005</v>
      </c>
      <c r="E319" s="14" t="n">
        <f aca="false">Share_Prices!E319/Share_Prices!E318-1</f>
        <v>0.010459587955626</v>
      </c>
      <c r="F319" s="14" t="n">
        <f aca="false">Share_Prices!F319/Share_Prices!F318-1</f>
        <v>0.0781644238856181</v>
      </c>
      <c r="G319" s="14" t="n">
        <f aca="false">Share_Prices!G319/Share_Prices!G318-1</f>
        <v>0.0268237157280018</v>
      </c>
      <c r="H319" s="14" t="n">
        <f aca="false">Share_Prices!H319/Share_Prices!H318-1</f>
        <v>0.0097514340344167</v>
      </c>
      <c r="I319" s="14" t="n">
        <f aca="false">Share_Prices!I319/Share_Prices!I318-1</f>
        <v>-0.00437281359320341</v>
      </c>
      <c r="J319" s="14" t="n">
        <f aca="false">Share_Prices!J319/Share_Prices!J318-1</f>
        <v>0.0185694025881937</v>
      </c>
      <c r="K319" s="14" t="n">
        <f aca="false">Share_Prices!K319/Share_Prices!K318-1</f>
        <v>-0.00482674935957939</v>
      </c>
      <c r="L319" s="14" t="n">
        <f aca="false">Share_Prices!L319/Share_Prices!L318-1</f>
        <v>-0.0146854964477561</v>
      </c>
      <c r="M319" s="14" t="n">
        <f aca="false">Share_Prices!M319/Share_Prices!M318-1</f>
        <v>-0.00915867329249964</v>
      </c>
      <c r="N319" s="14" t="n">
        <f aca="false">Share_Prices!N319/Share_Prices!N318-1</f>
        <v>-0.00613189231167499</v>
      </c>
      <c r="O319" s="14" t="n">
        <f aca="false">Share_Prices!O319/Share_Prices!O318-1</f>
        <v>0.00568598679383703</v>
      </c>
      <c r="P319" s="14" t="n">
        <f aca="false">Share_Prices!P319/Share_Prices!P318-1</f>
        <v>0.0128124563608434</v>
      </c>
      <c r="Q319" s="14" t="n">
        <f aca="false">Share_Prices!Q319/Share_Prices!Q318-1</f>
        <v>0.0256815968841286</v>
      </c>
      <c r="R319" s="14" t="n">
        <f aca="false">Share_Prices!R319/Share_Prices!R318-1</f>
        <v>0.025932361983692</v>
      </c>
      <c r="S319" s="14" t="n">
        <f aca="false">Share_Prices!S319/Share_Prices!S318-1</f>
        <v>-0.0101668531400496</v>
      </c>
    </row>
    <row r="320" customFormat="false" ht="15" hidden="false" customHeight="false" outlineLevel="0" collapsed="false">
      <c r="A320" s="13" t="n">
        <f aca="false">Share_Prices!A320</f>
        <v>45268</v>
      </c>
      <c r="B320" s="14" t="n">
        <f aca="false">Share_Prices!B320/Share_Prices!B319-1</f>
        <v>0.00326537056573439</v>
      </c>
      <c r="C320" s="14" t="n">
        <f aca="false">Share_Prices!C320/Share_Prices!C319-1</f>
        <v>-1.87127249201557E-005</v>
      </c>
      <c r="D320" s="14" t="n">
        <f aca="false">Share_Prices!D320/Share_Prices!D319-1</f>
        <v>-0.0081492815327302</v>
      </c>
      <c r="E320" s="14" t="n">
        <f aca="false">Share_Prices!E320/Share_Prices!E319-1</f>
        <v>-0.00821831869510659</v>
      </c>
      <c r="F320" s="14" t="n">
        <f aca="false">Share_Prices!F320/Share_Prices!F319-1</f>
        <v>0.0104821802935011</v>
      </c>
      <c r="G320" s="14" t="n">
        <f aca="false">Share_Prices!G320/Share_Prices!G319-1</f>
        <v>0.0262193946404472</v>
      </c>
      <c r="H320" s="14" t="n">
        <f aca="false">Share_Prices!H320/Share_Prices!H319-1</f>
        <v>-0.014012497633024</v>
      </c>
      <c r="I320" s="14" t="n">
        <f aca="false">Share_Prices!I320/Share_Prices!I319-1</f>
        <v>0.0104153595181329</v>
      </c>
      <c r="J320" s="14" t="n">
        <f aca="false">Share_Prices!J320/Share_Prices!J319-1</f>
        <v>-0.0139015794282732</v>
      </c>
      <c r="K320" s="14" t="n">
        <f aca="false">Share_Prices!K320/Share_Prices!K319-1</f>
        <v>-0.011312523708882</v>
      </c>
      <c r="L320" s="14" t="n">
        <f aca="false">Share_Prices!L320/Share_Prices!L319-1</f>
        <v>0.0258518355682569</v>
      </c>
      <c r="M320" s="14" t="n">
        <f aca="false">Share_Prices!M320/Share_Prices!M319-1</f>
        <v>-0.00580259513048553</v>
      </c>
      <c r="N320" s="14" t="n">
        <f aca="false">Share_Prices!N320/Share_Prices!N319-1</f>
        <v>-0.00126975858307965</v>
      </c>
      <c r="O320" s="14" t="n">
        <f aca="false">Share_Prices!O320/Share_Prices!O319-1</f>
        <v>-0.00328287433886554</v>
      </c>
      <c r="P320" s="14" t="n">
        <f aca="false">Share_Prices!P320/Share_Prices!P319-1</f>
        <v>-0.0068249974147736</v>
      </c>
      <c r="Q320" s="14" t="n">
        <f aca="false">Share_Prices!Q320/Share_Prices!Q319-1</f>
        <v>-0.0068826391361102</v>
      </c>
      <c r="R320" s="14" t="n">
        <f aca="false">Share_Prices!R320/Share_Prices!R319-1</f>
        <v>-0.00983713355048854</v>
      </c>
      <c r="S320" s="14" t="n">
        <f aca="false">Share_Prices!S320/Share_Prices!S319-1</f>
        <v>-0.00157263613131509</v>
      </c>
    </row>
    <row r="321" customFormat="false" ht="15" hidden="false" customHeight="false" outlineLevel="0" collapsed="false">
      <c r="A321" s="13" t="n">
        <f aca="false">Share_Prices!A321</f>
        <v>45271</v>
      </c>
      <c r="B321" s="14" t="n">
        <f aca="false">Share_Prices!B321/Share_Prices!B320-1</f>
        <v>0.0013209724646388</v>
      </c>
      <c r="C321" s="14" t="n">
        <f aca="false">Share_Prices!C321/Share_Prices!C320-1</f>
        <v>0.00356617745341792</v>
      </c>
      <c r="D321" s="14" t="n">
        <f aca="false">Share_Prices!D321/Share_Prices!D320-1</f>
        <v>0.0190482578221938</v>
      </c>
      <c r="E321" s="14" t="n">
        <f aca="false">Share_Prices!E321/Share_Prices!E320-1</f>
        <v>-0.0440255550635714</v>
      </c>
      <c r="F321" s="14" t="n">
        <f aca="false">Share_Prices!F321/Share_Prices!F320-1</f>
        <v>-0.0157772845701051</v>
      </c>
      <c r="G321" s="14" t="n">
        <f aca="false">Share_Prices!G321/Share_Prices!G320-1</f>
        <v>-0.00469659966184488</v>
      </c>
      <c r="H321" s="14" t="n">
        <f aca="false">Share_Prices!H321/Share_Prices!H320-1</f>
        <v>0.00704180270149157</v>
      </c>
      <c r="I321" s="14" t="n">
        <f aca="false">Share_Prices!I321/Share_Prices!I320-1</f>
        <v>-0.000869349230005034</v>
      </c>
      <c r="J321" s="14" t="n">
        <f aca="false">Share_Prices!J321/Share_Prices!J320-1</f>
        <v>0.0134136386701085</v>
      </c>
      <c r="K321" s="14" t="n">
        <f aca="false">Share_Prices!K321/Share_Prices!K320-1</f>
        <v>-0.00204173917809725</v>
      </c>
      <c r="L321" s="14" t="n">
        <f aca="false">Share_Prices!L321/Share_Prices!L320-1</f>
        <v>0.00732867612394461</v>
      </c>
      <c r="M321" s="14" t="n">
        <f aca="false">Share_Prices!M321/Share_Prices!M320-1</f>
        <v>0.0202956358517128</v>
      </c>
      <c r="N321" s="14" t="n">
        <f aca="false">Share_Prices!N321/Share_Prices!N320-1</f>
        <v>-0.00466170070577499</v>
      </c>
      <c r="O321" s="14" t="n">
        <f aca="false">Share_Prices!O321/Share_Prices!O320-1</f>
        <v>-0.00914913083257085</v>
      </c>
      <c r="P321" s="14" t="n">
        <f aca="false">Share_Prices!P321/Share_Prices!P320-1</f>
        <v>0.00301947037795425</v>
      </c>
      <c r="Q321" s="14" t="n">
        <f aca="false">Share_Prices!Q321/Share_Prices!Q320-1</f>
        <v>0.0158919823156889</v>
      </c>
      <c r="R321" s="14" t="n">
        <f aca="false">Share_Prices!R321/Share_Prices!R320-1</f>
        <v>-0.00546088558457802</v>
      </c>
      <c r="S321" s="14" t="n">
        <f aca="false">Share_Prices!S321/Share_Prices!S320-1</f>
        <v>0.00762945461705056</v>
      </c>
    </row>
    <row r="322" customFormat="false" ht="15" hidden="false" customHeight="false" outlineLevel="0" collapsed="false">
      <c r="A322" s="13" t="n">
        <f aca="false">Share_Prices!A322</f>
        <v>45272</v>
      </c>
      <c r="B322" s="14" t="n">
        <f aca="false">Share_Prices!B322/Share_Prices!B321-1</f>
        <v>-0.00431964414133368</v>
      </c>
      <c r="C322" s="14" t="n">
        <f aca="false">Share_Prices!C322/Share_Prices!C321-1</f>
        <v>-0.00444321317833596</v>
      </c>
      <c r="D322" s="14" t="n">
        <f aca="false">Share_Prices!D322/Share_Prices!D321-1</f>
        <v>0.0183631158061013</v>
      </c>
      <c r="E322" s="14" t="n">
        <f aca="false">Share_Prices!E322/Share_Prices!E321-1</f>
        <v>0.0197842916694237</v>
      </c>
      <c r="F322" s="14" t="n">
        <f aca="false">Share_Prices!F322/Share_Prices!F321-1</f>
        <v>-0.00171577038090098</v>
      </c>
      <c r="G322" s="14" t="n">
        <f aca="false">Share_Prices!G322/Share_Prices!G321-1</f>
        <v>-0.00292563231408072</v>
      </c>
      <c r="H322" s="14" t="n">
        <f aca="false">Share_Prices!H322/Share_Prices!H321-1</f>
        <v>-0.0111880999300743</v>
      </c>
      <c r="I322" s="14" t="n">
        <f aca="false">Share_Prices!I322/Share_Prices!I321-1</f>
        <v>-0.0283405842137974</v>
      </c>
      <c r="J322" s="14" t="n">
        <f aca="false">Share_Prices!J322/Share_Prices!J321-1</f>
        <v>0.0346576684445412</v>
      </c>
      <c r="K322" s="14" t="n">
        <f aca="false">Share_Prices!K322/Share_Prices!K321-1</f>
        <v>0.00299335420442692</v>
      </c>
      <c r="L322" s="14" t="n">
        <f aca="false">Share_Prices!L322/Share_Prices!L321-1</f>
        <v>0.00174438393464937</v>
      </c>
      <c r="M322" s="14" t="n">
        <f aca="false">Share_Prices!M322/Share_Prices!M321-1</f>
        <v>0.0138553524203748</v>
      </c>
      <c r="N322" s="14" t="n">
        <f aca="false">Share_Prices!N322/Share_Prices!N321-1</f>
        <v>0.0463604356014085</v>
      </c>
      <c r="O322" s="14" t="n">
        <f aca="false">Share_Prices!O322/Share_Prices!O321-1</f>
        <v>0.000184672206832825</v>
      </c>
      <c r="P322" s="14" t="n">
        <f aca="false">Share_Prices!P322/Share_Prices!P321-1</f>
        <v>0.00588235294117645</v>
      </c>
      <c r="Q322" s="14" t="n">
        <f aca="false">Share_Prices!Q322/Share_Prices!Q321-1</f>
        <v>-0.0212891084450718</v>
      </c>
      <c r="R322" s="14" t="n">
        <f aca="false">Share_Prices!R322/Share_Prices!R321-1</f>
        <v>0.000198465202434717</v>
      </c>
      <c r="S322" s="14" t="n">
        <f aca="false">Share_Prices!S322/Share_Prices!S321-1</f>
        <v>-0.0253285135069122</v>
      </c>
    </row>
    <row r="323" customFormat="false" ht="15" hidden="false" customHeight="false" outlineLevel="0" collapsed="false">
      <c r="A323" s="13" t="n">
        <f aca="false">Share_Prices!A323</f>
        <v>45273</v>
      </c>
      <c r="B323" s="14" t="n">
        <f aca="false">Share_Prices!B323/Share_Prices!B322-1</f>
        <v>0.000954253243026004</v>
      </c>
      <c r="C323" s="14" t="n">
        <f aca="false">Share_Prices!C323/Share_Prices!C322-1</f>
        <v>0.00345966136524178</v>
      </c>
      <c r="D323" s="14" t="n">
        <f aca="false">Share_Prices!D323/Share_Prices!D322-1</f>
        <v>0.0137340442720957</v>
      </c>
      <c r="E323" s="14" t="n">
        <f aca="false">Share_Prices!E323/Share_Prices!E322-1</f>
        <v>0.0063586815468466</v>
      </c>
      <c r="F323" s="14" t="n">
        <f aca="false">Share_Prices!F323/Share_Prices!F322-1</f>
        <v>-0.0318699666077392</v>
      </c>
      <c r="G323" s="14" t="n">
        <f aca="false">Share_Prices!G323/Share_Prices!G322-1</f>
        <v>0.00605773781353536</v>
      </c>
      <c r="H323" s="14" t="n">
        <f aca="false">Share_Prices!H323/Share_Prices!H322-1</f>
        <v>0.0140147862423659</v>
      </c>
      <c r="I323" s="14" t="n">
        <f aca="false">Share_Prices!I323/Share_Prices!I322-1</f>
        <v>0.0102341051554304</v>
      </c>
      <c r="J323" s="14" t="n">
        <f aca="false">Share_Prices!J323/Share_Prices!J322-1</f>
        <v>0.017947692890357</v>
      </c>
      <c r="K323" s="14" t="n">
        <f aca="false">Share_Prices!K323/Share_Prices!K322-1</f>
        <v>-0.00773485201106161</v>
      </c>
      <c r="L323" s="14" t="n">
        <f aca="false">Share_Prices!L323/Share_Prices!L322-1</f>
        <v>0.00284561478020806</v>
      </c>
      <c r="M323" s="14" t="n">
        <f aca="false">Share_Prices!M323/Share_Prices!M322-1</f>
        <v>-0.00053870144598811</v>
      </c>
      <c r="N323" s="14" t="n">
        <f aca="false">Share_Prices!N323/Share_Prices!N322-1</f>
        <v>0.00965631651433574</v>
      </c>
      <c r="O323" s="14" t="n">
        <f aca="false">Share_Prices!O323/Share_Prices!O322-1</f>
        <v>0.00332348596750354</v>
      </c>
      <c r="P323" s="14" t="n">
        <f aca="false">Share_Prices!P323/Share_Prices!P322-1</f>
        <v>0.00935672514619879</v>
      </c>
      <c r="Q323" s="14" t="n">
        <f aca="false">Share_Prices!Q323/Share_Prices!Q322-1</f>
        <v>0.0137002764090854</v>
      </c>
      <c r="R323" s="14" t="n">
        <f aca="false">Share_Prices!R323/Share_Prices!R322-1</f>
        <v>-0.00793703287254444</v>
      </c>
      <c r="S323" s="14" t="n">
        <f aca="false">Share_Prices!S323/Share_Prices!S322-1</f>
        <v>2.50595163513445E-005</v>
      </c>
    </row>
    <row r="324" customFormat="false" ht="15" hidden="false" customHeight="false" outlineLevel="0" collapsed="false">
      <c r="A324" s="13" t="n">
        <f aca="false">Share_Prices!A324</f>
        <v>45274</v>
      </c>
      <c r="B324" s="14" t="n">
        <f aca="false">Share_Prices!B324/Share_Prices!B323-1</f>
        <v>0.012250105727946</v>
      </c>
      <c r="C324" s="14" t="n">
        <f aca="false">Share_Prices!C324/Share_Prices!C323-1</f>
        <v>0.0118604161278193</v>
      </c>
      <c r="D324" s="14" t="n">
        <f aca="false">Share_Prices!D324/Share_Prices!D323-1</f>
        <v>-0.0105196047178834</v>
      </c>
      <c r="E324" s="14" t="n">
        <f aca="false">Share_Prices!E324/Share_Prices!E323-1</f>
        <v>0.0199871050934881</v>
      </c>
      <c r="F324" s="14" t="n">
        <f aca="false">Share_Prices!F324/Share_Prices!F323-1</f>
        <v>0.0229267055541467</v>
      </c>
      <c r="G324" s="14" t="n">
        <f aca="false">Share_Prices!G324/Share_Prices!G323-1</f>
        <v>0.00413961802615481</v>
      </c>
      <c r="H324" s="14" t="n">
        <f aca="false">Share_Prices!H324/Share_Prices!H323-1</f>
        <v>-0.0055157547708109</v>
      </c>
      <c r="I324" s="14" t="n">
        <f aca="false">Share_Prices!I324/Share_Prices!I323-1</f>
        <v>0.000886412561732275</v>
      </c>
      <c r="J324" s="14" t="n">
        <f aca="false">Share_Prices!J324/Share_Prices!J323-1</f>
        <v>-0.0242042166184374</v>
      </c>
      <c r="K324" s="14" t="n">
        <f aca="false">Share_Prices!K324/Share_Prices!K323-1</f>
        <v>0.029787116623667</v>
      </c>
      <c r="L324" s="14" t="n">
        <f aca="false">Share_Prices!L324/Share_Prices!L323-1</f>
        <v>0.0409114009825513</v>
      </c>
      <c r="M324" s="14" t="n">
        <f aca="false">Share_Prices!M324/Share_Prices!M323-1</f>
        <v>-0.00459561430881383</v>
      </c>
      <c r="N324" s="14" t="n">
        <f aca="false">Share_Prices!N324/Share_Prices!N323-1</f>
        <v>0.000682033078604372</v>
      </c>
      <c r="O324" s="14" t="n">
        <f aca="false">Share_Prices!O324/Share_Prices!O323-1</f>
        <v>0.0649613544350387</v>
      </c>
      <c r="P324" s="14" t="n">
        <f aca="false">Share_Prices!P324/Share_Prices!P323-1</f>
        <v>0.00947447345102592</v>
      </c>
      <c r="Q324" s="14" t="n">
        <f aca="false">Share_Prices!Q324/Share_Prices!Q323-1</f>
        <v>0.0310610551274453</v>
      </c>
      <c r="R324" s="14" t="n">
        <f aca="false">Share_Prices!R324/Share_Prices!R323-1</f>
        <v>0.0238015867724515</v>
      </c>
      <c r="S324" s="14" t="n">
        <f aca="false">Share_Prices!S324/Share_Prices!S323-1</f>
        <v>0.0616448654337694</v>
      </c>
    </row>
    <row r="325" customFormat="false" ht="15" hidden="false" customHeight="false" outlineLevel="0" collapsed="false">
      <c r="A325" s="13" t="n">
        <f aca="false">Share_Prices!A325</f>
        <v>45275</v>
      </c>
      <c r="B325" s="14" t="n">
        <f aca="false">Share_Prices!B325/Share_Prices!B324-1</f>
        <v>0.0129327234016439</v>
      </c>
      <c r="C325" s="14" t="n">
        <f aca="false">Share_Prices!C325/Share_Prices!C324-1</f>
        <v>0.00902294473709864</v>
      </c>
      <c r="D325" s="14" t="n">
        <f aca="false">Share_Prices!D325/Share_Prices!D324-1</f>
        <v>-0.00376932989690715</v>
      </c>
      <c r="E325" s="14" t="n">
        <f aca="false">Share_Prices!E325/Share_Prices!E324-1</f>
        <v>-0.0116308470290771</v>
      </c>
      <c r="F325" s="14" t="n">
        <f aca="false">Share_Prices!F325/Share_Prices!F324-1</f>
        <v>0.0280656518074083</v>
      </c>
      <c r="G325" s="14" t="n">
        <f aca="false">Share_Prices!G325/Share_Prices!G324-1</f>
        <v>0.012742434179706</v>
      </c>
      <c r="H325" s="14" t="n">
        <f aca="false">Share_Prices!H325/Share_Prices!H324-1</f>
        <v>0.0243529261762081</v>
      </c>
      <c r="I325" s="14" t="n">
        <f aca="false">Share_Prices!I325/Share_Prices!I324-1</f>
        <v>0.024671052631579</v>
      </c>
      <c r="J325" s="14" t="n">
        <f aca="false">Share_Prices!J325/Share_Prices!J324-1</f>
        <v>0.00156749772289189</v>
      </c>
      <c r="K325" s="14" t="n">
        <f aca="false">Share_Prices!K325/Share_Prices!K324-1</f>
        <v>0.0054662379421222</v>
      </c>
      <c r="L325" s="14" t="n">
        <f aca="false">Share_Prices!L325/Share_Prices!L324-1</f>
        <v>0.012124664333957</v>
      </c>
      <c r="M325" s="14" t="n">
        <f aca="false">Share_Prices!M325/Share_Prices!M324-1</f>
        <v>-0.031804839123372</v>
      </c>
      <c r="N325" s="14" t="n">
        <f aca="false">Share_Prices!N325/Share_Prices!N324-1</f>
        <v>-0.0240097897981628</v>
      </c>
      <c r="O325" s="14" t="n">
        <f aca="false">Share_Prices!O325/Share_Prices!O324-1</f>
        <v>-0.00915845861413522</v>
      </c>
      <c r="P325" s="14" t="n">
        <f aca="false">Share_Prices!P325/Share_Prices!P324-1</f>
        <v>0.00472653612424034</v>
      </c>
      <c r="Q325" s="14" t="n">
        <f aca="false">Share_Prices!Q325/Share_Prices!Q324-1</f>
        <v>0.0110382890651948</v>
      </c>
      <c r="R325" s="14" t="n">
        <f aca="false">Share_Prices!R325/Share_Prices!R324-1</f>
        <v>0.0111357124251108</v>
      </c>
      <c r="S325" s="14" t="n">
        <f aca="false">Share_Prices!S325/Share_Prices!S324-1</f>
        <v>-0.0191663126091678</v>
      </c>
    </row>
    <row r="326" customFormat="false" ht="15" hidden="false" customHeight="false" outlineLevel="0" collapsed="false">
      <c r="A326" s="13" t="n">
        <f aca="false">Share_Prices!A326</f>
        <v>45278</v>
      </c>
      <c r="B326" s="14" t="n">
        <f aca="false">Share_Prices!B326/Share_Prices!B325-1</f>
        <v>-0.00177101271633739</v>
      </c>
      <c r="C326" s="14" t="n">
        <f aca="false">Share_Prices!C326/Share_Prices!C325-1</f>
        <v>0.000548444637125556</v>
      </c>
      <c r="D326" s="14" t="n">
        <f aca="false">Share_Prices!D326/Share_Prices!D325-1</f>
        <v>0.00630598583578568</v>
      </c>
      <c r="E326" s="14" t="n">
        <f aca="false">Share_Prices!E326/Share_Prices!E325-1</f>
        <v>0.0022384241493989</v>
      </c>
      <c r="F326" s="14" t="n">
        <f aca="false">Share_Prices!F326/Share_Prices!F325-1</f>
        <v>-0.0127333236868761</v>
      </c>
      <c r="G326" s="14" t="n">
        <f aca="false">Share_Prices!G326/Share_Prices!G325-1</f>
        <v>-0.0170228513275975</v>
      </c>
      <c r="H326" s="14" t="n">
        <f aca="false">Share_Prices!H326/Share_Prices!H325-1</f>
        <v>0.0118869803335824</v>
      </c>
      <c r="I326" s="14" t="n">
        <f aca="false">Share_Prices!I326/Share_Prices!I325-1</f>
        <v>-0.00493888134337572</v>
      </c>
      <c r="J326" s="14" t="n">
        <f aca="false">Share_Prices!J326/Share_Prices!J325-1</f>
        <v>-0.00395490979844759</v>
      </c>
      <c r="K326" s="14" t="n">
        <f aca="false">Share_Prices!K326/Share_Prices!K325-1</f>
        <v>0.00966048395693431</v>
      </c>
      <c r="L326" s="14" t="n">
        <f aca="false">Share_Prices!L326/Share_Prices!L325-1</f>
        <v>0.003617945007236</v>
      </c>
      <c r="M326" s="14" t="n">
        <f aca="false">Share_Prices!M326/Share_Prices!M325-1</f>
        <v>-0.00553380625791078</v>
      </c>
      <c r="N326" s="14" t="n">
        <f aca="false">Share_Prices!N326/Share_Prices!N325-1</f>
        <v>-0.00855460504388417</v>
      </c>
      <c r="O326" s="14" t="n">
        <f aca="false">Share_Prices!O326/Share_Prices!O325-1</f>
        <v>-0.0160446459713985</v>
      </c>
      <c r="P326" s="14" t="n">
        <f aca="false">Share_Prices!P326/Share_Prices!P325-1</f>
        <v>-0.0063172043010753</v>
      </c>
      <c r="Q326" s="14" t="n">
        <f aca="false">Share_Prices!Q326/Share_Prices!Q325-1</f>
        <v>0.00204708290685773</v>
      </c>
      <c r="R326" s="14" t="n">
        <f aca="false">Share_Prices!R326/Share_Prices!R325-1</f>
        <v>0.0062471823275585</v>
      </c>
      <c r="S326" s="14" t="n">
        <f aca="false">Share_Prices!S326/Share_Prices!S325-1</f>
        <v>-0.0142946527410117</v>
      </c>
    </row>
    <row r="327" customFormat="false" ht="15" hidden="false" customHeight="false" outlineLevel="0" collapsed="false">
      <c r="A327" s="13" t="n">
        <f aca="false">Share_Prices!A327</f>
        <v>45279</v>
      </c>
      <c r="B327" s="14" t="n">
        <f aca="false">Share_Prices!B327/Share_Prices!B326-1</f>
        <v>0.00160841136112677</v>
      </c>
      <c r="C327" s="14" t="n">
        <f aca="false">Share_Prices!C327/Share_Prices!C326-1</f>
        <v>0.000715197423201142</v>
      </c>
      <c r="D327" s="14" t="n">
        <f aca="false">Share_Prices!D327/Share_Prices!D326-1</f>
        <v>-0.0172568931165242</v>
      </c>
      <c r="E327" s="14" t="n">
        <f aca="false">Share_Prices!E327/Share_Prices!E326-1</f>
        <v>-0.000510497096547713</v>
      </c>
      <c r="F327" s="14" t="n">
        <f aca="false">Share_Prices!F327/Share_Prices!F326-1</f>
        <v>-0.0224730079632616</v>
      </c>
      <c r="G327" s="14" t="n">
        <f aca="false">Share_Prices!G327/Share_Prices!G326-1</f>
        <v>-0.00301176470588238</v>
      </c>
      <c r="H327" s="14" t="n">
        <f aca="false">Share_Prices!H327/Share_Prices!H326-1</f>
        <v>-0.00664247493695813</v>
      </c>
      <c r="I327" s="14" t="n">
        <f aca="false">Share_Prices!I327/Share_Prices!I326-1</f>
        <v>-0.00868594118376975</v>
      </c>
      <c r="J327" s="14" t="n">
        <f aca="false">Share_Prices!J327/Share_Prices!J326-1</f>
        <v>0.0306395447596397</v>
      </c>
      <c r="K327" s="14" t="n">
        <f aca="false">Share_Prices!K327/Share_Prices!K326-1</f>
        <v>0.00593879086218041</v>
      </c>
      <c r="L327" s="14" t="n">
        <f aca="false">Share_Prices!L327/Share_Prices!L326-1</f>
        <v>0.00108147080028842</v>
      </c>
      <c r="M327" s="14" t="n">
        <f aca="false">Share_Prices!M327/Share_Prices!M326-1</f>
        <v>-0.00420304869024712</v>
      </c>
      <c r="N327" s="14" t="n">
        <f aca="false">Share_Prices!N327/Share_Prices!N326-1</f>
        <v>0.0321924825510662</v>
      </c>
      <c r="O327" s="14" t="n">
        <f aca="false">Share_Prices!O327/Share_Prices!O326-1</f>
        <v>-0.00779865295994342</v>
      </c>
      <c r="P327" s="14" t="n">
        <f aca="false">Share_Prices!P327/Share_Prices!P326-1</f>
        <v>0.00480183957797919</v>
      </c>
      <c r="Q327" s="14" t="n">
        <f aca="false">Share_Prices!Q327/Share_Prices!Q326-1</f>
        <v>0.00896606514584031</v>
      </c>
      <c r="R327" s="14" t="n">
        <f aca="false">Share_Prices!R327/Share_Prices!R326-1</f>
        <v>-0.0056323604710703</v>
      </c>
      <c r="S327" s="14" t="n">
        <f aca="false">Share_Prices!S327/Share_Prices!S326-1</f>
        <v>0.00563964843750009</v>
      </c>
    </row>
    <row r="328" customFormat="false" ht="15" hidden="false" customHeight="false" outlineLevel="0" collapsed="false">
      <c r="A328" s="13" t="n">
        <f aca="false">Share_Prices!A328</f>
        <v>45280</v>
      </c>
      <c r="B328" s="14" t="n">
        <f aca="false">Share_Prices!B328/Share_Prices!B327-1</f>
        <v>-0.0141215022537534</v>
      </c>
      <c r="C328" s="14" t="n">
        <f aca="false">Share_Prices!C328/Share_Prices!C327-1</f>
        <v>-0.0203346505471002</v>
      </c>
      <c r="D328" s="14" t="n">
        <f aca="false">Share_Prices!D328/Share_Prices!D327-1</f>
        <v>-0.021320427716556</v>
      </c>
      <c r="E328" s="14" t="n">
        <f aca="false">Share_Prices!E328/Share_Prices!E327-1</f>
        <v>-0.0374768562855137</v>
      </c>
      <c r="F328" s="14" t="n">
        <f aca="false">Share_Prices!F328/Share_Prices!F327-1</f>
        <v>-0.00889599680143949</v>
      </c>
      <c r="G328" s="14" t="n">
        <f aca="false">Share_Prices!G328/Share_Prices!G327-1</f>
        <v>-0.0303974322665912</v>
      </c>
      <c r="H328" s="14" t="n">
        <f aca="false">Share_Prices!H328/Share_Prices!H327-1</f>
        <v>-0.0316389078075661</v>
      </c>
      <c r="I328" s="14" t="n">
        <f aca="false">Share_Prices!I328/Share_Prices!I327-1</f>
        <v>-0.0439354111903868</v>
      </c>
      <c r="J328" s="14" t="n">
        <f aca="false">Share_Prices!J328/Share_Prices!J327-1</f>
        <v>-0.0470343435175836</v>
      </c>
      <c r="K328" s="14" t="n">
        <f aca="false">Share_Prices!K328/Share_Prices!K327-1</f>
        <v>-0.0181703685239364</v>
      </c>
      <c r="L328" s="14" t="n">
        <f aca="false">Share_Prices!L328/Share_Prices!L327-1</f>
        <v>-0.00840235265874445</v>
      </c>
      <c r="M328" s="14" t="n">
        <f aca="false">Share_Prices!M328/Share_Prices!M327-1</f>
        <v>-0.0157239247391731</v>
      </c>
      <c r="N328" s="14" t="n">
        <f aca="false">Share_Prices!N328/Share_Prices!N327-1</f>
        <v>-0.067107120147645</v>
      </c>
      <c r="O328" s="14" t="n">
        <f aca="false">Share_Prices!O328/Share_Prices!O327-1</f>
        <v>-0.0396570203644158</v>
      </c>
      <c r="P328" s="14" t="n">
        <f aca="false">Share_Prices!P328/Share_Prices!P327-1</f>
        <v>-0.0285387359493842</v>
      </c>
      <c r="Q328" s="14" t="n">
        <f aca="false">Share_Prices!Q328/Share_Prices!Q327-1</f>
        <v>-0.0104611923509561</v>
      </c>
      <c r="R328" s="14" t="n">
        <f aca="false">Share_Prices!R328/Share_Prices!R327-1</f>
        <v>-0.0218846549948507</v>
      </c>
      <c r="S328" s="14" t="n">
        <f aca="false">Share_Prices!S328/Share_Prices!S327-1</f>
        <v>-0.0295210118715253</v>
      </c>
    </row>
    <row r="329" customFormat="false" ht="15" hidden="false" customHeight="false" outlineLevel="0" collapsed="false">
      <c r="A329" s="13" t="n">
        <f aca="false">Share_Prices!A329</f>
        <v>45281</v>
      </c>
      <c r="B329" s="14" t="n">
        <f aca="false">Share_Prices!B329/Share_Prices!B328-1</f>
        <v>0.00495977569899031</v>
      </c>
      <c r="C329" s="14" t="n">
        <f aca="false">Share_Prices!C329/Share_Prices!C328-1</f>
        <v>0.00864508811493403</v>
      </c>
      <c r="D329" s="14" t="n">
        <f aca="false">Share_Prices!D329/Share_Prices!D328-1</f>
        <v>-0.00571352200207154</v>
      </c>
      <c r="E329" s="14" t="n">
        <f aca="false">Share_Prices!E329/Share_Prices!E328-1</f>
        <v>0.0079596710002654</v>
      </c>
      <c r="F329" s="14" t="n">
        <f aca="false">Share_Prices!F329/Share_Prices!F328-1</f>
        <v>-0.00216832232363473</v>
      </c>
      <c r="G329" s="14" t="n">
        <f aca="false">Share_Prices!G329/Share_Prices!G328-1</f>
        <v>0.00983351182942283</v>
      </c>
      <c r="H329" s="14" t="n">
        <f aca="false">Share_Prices!H329/Share_Prices!H328-1</f>
        <v>-0.0139386189258311</v>
      </c>
      <c r="I329" s="14" t="n">
        <f aca="false">Share_Prices!I329/Share_Prices!I328-1</f>
        <v>0.040586540979314</v>
      </c>
      <c r="J329" s="14" t="n">
        <f aca="false">Share_Prices!J329/Share_Prices!J328-1</f>
        <v>0.142100484261501</v>
      </c>
      <c r="K329" s="14" t="n">
        <f aca="false">Share_Prices!K329/Share_Prices!K328-1</f>
        <v>-0.0169299019214837</v>
      </c>
      <c r="L329" s="14" t="n">
        <f aca="false">Share_Prices!L329/Share_Prices!L328-1</f>
        <v>-0.00895775329863224</v>
      </c>
      <c r="M329" s="14" t="n">
        <f aca="false">Share_Prices!M329/Share_Prices!M328-1</f>
        <v>-0.0156429304825754</v>
      </c>
      <c r="N329" s="14" t="n">
        <f aca="false">Share_Prices!N329/Share_Prices!N328-1</f>
        <v>-0.0389346987631334</v>
      </c>
      <c r="O329" s="14" t="n">
        <f aca="false">Share_Prices!O329/Share_Prices!O328-1</f>
        <v>0.00409226190476186</v>
      </c>
      <c r="P329" s="14" t="n">
        <f aca="false">Share_Prices!P329/Share_Prices!P328-1</f>
        <v>0.00720570913877916</v>
      </c>
      <c r="Q329" s="14" t="n">
        <f aca="false">Share_Prices!Q329/Share_Prices!Q328-1</f>
        <v>0.00113675116516987</v>
      </c>
      <c r="R329" s="14" t="n">
        <f aca="false">Share_Prices!R329/Share_Prices!R328-1</f>
        <v>0.00710713345617275</v>
      </c>
      <c r="S329" s="14" t="n">
        <f aca="false">Share_Prices!S329/Share_Prices!S328-1</f>
        <v>0.00905565978736722</v>
      </c>
    </row>
    <row r="330" customFormat="false" ht="15" hidden="false" customHeight="false" outlineLevel="0" collapsed="false">
      <c r="A330" s="13" t="n">
        <f aca="false">Share_Prices!A330</f>
        <v>45282</v>
      </c>
      <c r="B330" s="14" t="n">
        <f aca="false">Share_Prices!B330/Share_Prices!B329-1</f>
        <v>0.00443894509775333</v>
      </c>
      <c r="C330" s="14" t="n">
        <f aca="false">Share_Prices!C330/Share_Prices!C329-1</f>
        <v>0.00596036279551049</v>
      </c>
      <c r="D330" s="14" t="n">
        <f aca="false">Share_Prices!D330/Share_Prices!D329-1</f>
        <v>-0.00534310101485314</v>
      </c>
      <c r="E330" s="14" t="n">
        <f aca="false">Share_Prices!E330/Share_Prices!E329-1</f>
        <v>0.00625164516978161</v>
      </c>
      <c r="F330" s="14" t="n">
        <f aca="false">Share_Prices!F330/Share_Prices!F329-1</f>
        <v>0.00525571053163532</v>
      </c>
      <c r="G330" s="14" t="n">
        <f aca="false">Share_Prices!G330/Share_Prices!G329-1</f>
        <v>-0.00250674893945246</v>
      </c>
      <c r="H330" s="14" t="n">
        <f aca="false">Share_Prices!H330/Share_Prices!H329-1</f>
        <v>0.00551160679548701</v>
      </c>
      <c r="I330" s="14" t="n">
        <f aca="false">Share_Prices!I330/Share_Prices!I329-1</f>
        <v>-0.00163563160543523</v>
      </c>
      <c r="J330" s="14" t="n">
        <f aca="false">Share_Prices!J330/Share_Prices!J329-1</f>
        <v>-0.0120199133051923</v>
      </c>
      <c r="K330" s="14" t="n">
        <f aca="false">Share_Prices!K330/Share_Prices!K329-1</f>
        <v>-0.00974568783895835</v>
      </c>
      <c r="L330" s="14" t="n">
        <f aca="false">Share_Prices!L330/Share_Prices!L329-1</f>
        <v>0.0185253043442857</v>
      </c>
      <c r="M330" s="14" t="n">
        <f aca="false">Share_Prices!M330/Share_Prices!M329-1</f>
        <v>-0.00141121610013495</v>
      </c>
      <c r="N330" s="14" t="n">
        <f aca="false">Share_Prices!N330/Share_Prices!N329-1</f>
        <v>-0.0378827192527244</v>
      </c>
      <c r="O330" s="14" t="n">
        <f aca="false">Share_Prices!O330/Share_Prices!O329-1</f>
        <v>-0.00926268988514267</v>
      </c>
      <c r="P330" s="14" t="n">
        <f aca="false">Share_Prices!P330/Share_Prices!P329-1</f>
        <v>0.0147210566141569</v>
      </c>
      <c r="Q330" s="14" t="n">
        <f aca="false">Share_Prices!Q330/Share_Prices!Q329-1</f>
        <v>0.00454184171681615</v>
      </c>
      <c r="R330" s="14" t="n">
        <f aca="false">Share_Prices!R330/Share_Prices!R329-1</f>
        <v>0.0103894406691061</v>
      </c>
      <c r="S330" s="14" t="n">
        <f aca="false">Share_Prices!S330/Share_Prices!S329-1</f>
        <v>0.0191387559808611</v>
      </c>
    </row>
    <row r="331" customFormat="false" ht="15" hidden="false" customHeight="false" outlineLevel="0" collapsed="false">
      <c r="A331" s="13" t="n">
        <f aca="false">Share_Prices!A331</f>
        <v>45286</v>
      </c>
      <c r="B331" s="14" t="n">
        <f aca="false">Share_Prices!B331/Share_Prices!B330-1</f>
        <v>0.00430691260644323</v>
      </c>
      <c r="C331" s="14" t="n">
        <f aca="false">Share_Prices!C331/Share_Prices!C330-1</f>
        <v>0.00494103816906044</v>
      </c>
      <c r="D331" s="14" t="n">
        <f aca="false">Share_Prices!D331/Share_Prices!D330-1</f>
        <v>-0.0119598635089023</v>
      </c>
      <c r="E331" s="14" t="n">
        <f aca="false">Share_Prices!E331/Share_Prices!E330-1</f>
        <v>0.0136681708194364</v>
      </c>
      <c r="F331" s="14" t="n">
        <f aca="false">Share_Prices!F331/Share_Prices!F330-1</f>
        <v>-0.0357430122662378</v>
      </c>
      <c r="G331" s="14" t="n">
        <f aca="false">Share_Prices!G331/Share_Prices!G330-1</f>
        <v>-0.00676589986468201</v>
      </c>
      <c r="H331" s="14" t="n">
        <f aca="false">Share_Prices!H331/Share_Prices!H330-1</f>
        <v>0.0138647062616883</v>
      </c>
      <c r="I331" s="14" t="n">
        <f aca="false">Share_Prices!I331/Share_Prices!I330-1</f>
        <v>0</v>
      </c>
      <c r="J331" s="14" t="n">
        <f aca="false">Share_Prices!J331/Share_Prices!J330-1</f>
        <v>-0.0386442886155497</v>
      </c>
      <c r="K331" s="14" t="n">
        <f aca="false">Share_Prices!K331/Share_Prices!K330-1</f>
        <v>-0.0182282372965108</v>
      </c>
      <c r="L331" s="14" t="n">
        <f aca="false">Share_Prices!L331/Share_Prices!L330-1</f>
        <v>-0.00439718580108728</v>
      </c>
      <c r="M331" s="14" t="n">
        <f aca="false">Share_Prices!M331/Share_Prices!M330-1</f>
        <v>-0.00875576036866355</v>
      </c>
      <c r="N331" s="14" t="n">
        <f aca="false">Share_Prices!N331/Share_Prices!N330-1</f>
        <v>0.0345738942826319</v>
      </c>
      <c r="O331" s="14" t="n">
        <f aca="false">Share_Prices!O331/Share_Prices!O330-1</f>
        <v>0.011967090501122</v>
      </c>
      <c r="P331" s="14" t="n">
        <f aca="false">Share_Prices!P331/Share_Prices!P330-1</f>
        <v>-0.0164734594264795</v>
      </c>
      <c r="Q331" s="14" t="n">
        <f aca="false">Share_Prices!Q331/Share_Prices!Q330-1</f>
        <v>-0.00474737199050535</v>
      </c>
      <c r="R331" s="14" t="n">
        <f aca="false">Share_Prices!R331/Share_Prices!R330-1</f>
        <v>-0.00653172088210563</v>
      </c>
      <c r="S331" s="14" t="n">
        <f aca="false">Share_Prices!S331/Share_Prices!S330-1</f>
        <v>-0.00958427594930555</v>
      </c>
    </row>
    <row r="332" customFormat="false" ht="15" hidden="false" customHeight="false" outlineLevel="0" collapsed="false">
      <c r="A332" s="13" t="n">
        <f aca="false">Share_Prices!A332</f>
        <v>45287</v>
      </c>
      <c r="B332" s="14" t="n">
        <f aca="false">Share_Prices!B332/Share_Prices!B331-1</f>
        <v>0.00995273152110299</v>
      </c>
      <c r="C332" s="14" t="n">
        <f aca="false">Share_Prices!C332/Share_Prices!C331-1</f>
        <v>0.00773414591476773</v>
      </c>
      <c r="D332" s="14" t="n">
        <f aca="false">Share_Prices!D332/Share_Prices!D331-1</f>
        <v>0.01805436826808</v>
      </c>
      <c r="E332" s="14" t="n">
        <f aca="false">Share_Prices!E332/Share_Prices!E331-1</f>
        <v>0.00387096774193552</v>
      </c>
      <c r="F332" s="14" t="n">
        <f aca="false">Share_Prices!F332/Share_Prices!F331-1</f>
        <v>0.00172045253115072</v>
      </c>
      <c r="G332" s="14" t="n">
        <f aca="false">Share_Prices!G332/Share_Prices!G331-1</f>
        <v>0.0197547683923707</v>
      </c>
      <c r="H332" s="14" t="n">
        <f aca="false">Share_Prices!H332/Share_Prices!H331-1</f>
        <v>-0.000318025696476321</v>
      </c>
      <c r="I332" s="14" t="n">
        <f aca="false">Share_Prices!I332/Share_Prices!I331-1</f>
        <v>-0.000630119722747291</v>
      </c>
      <c r="J332" s="14" t="n">
        <f aca="false">Share_Prices!J332/Share_Prices!J331-1</f>
        <v>0.032983239332762</v>
      </c>
      <c r="K332" s="14" t="n">
        <f aca="false">Share_Prices!K332/Share_Prices!K331-1</f>
        <v>0.00984257472807082</v>
      </c>
      <c r="L332" s="14" t="n">
        <f aca="false">Share_Prices!L332/Share_Prices!L331-1</f>
        <v>0.00634385288685468</v>
      </c>
      <c r="M332" s="14" t="n">
        <f aca="false">Share_Prices!M332/Share_Prices!M331-1</f>
        <v>-0.00663257399659079</v>
      </c>
      <c r="N332" s="14" t="n">
        <f aca="false">Share_Prices!N332/Share_Prices!N331-1</f>
        <v>-0.011730358166936</v>
      </c>
      <c r="O332" s="14" t="n">
        <f aca="false">Share_Prices!O332/Share_Prices!O331-1</f>
        <v>0.0229120473022912</v>
      </c>
      <c r="P332" s="14" t="n">
        <f aca="false">Share_Prices!P332/Share_Prices!P331-1</f>
        <v>0.0181968569065345</v>
      </c>
      <c r="Q332" s="14" t="n">
        <f aca="false">Share_Prices!Q332/Share_Prices!Q331-1</f>
        <v>-0.01396933560477</v>
      </c>
      <c r="R332" s="14" t="n">
        <f aca="false">Share_Prices!R332/Share_Prices!R331-1</f>
        <v>-0.00436141127457368</v>
      </c>
      <c r="S332" s="14" t="n">
        <f aca="false">Share_Prices!S332/Share_Prices!S331-1</f>
        <v>0.00695075524990796</v>
      </c>
    </row>
    <row r="333" customFormat="false" ht="15" hidden="false" customHeight="false" outlineLevel="0" collapsed="false">
      <c r="A333" s="13" t="n">
        <f aca="false">Share_Prices!A333</f>
        <v>45288</v>
      </c>
      <c r="B333" s="14" t="n">
        <f aca="false">Share_Prices!B333/Share_Prices!B332-1</f>
        <v>0.00572391738533118</v>
      </c>
      <c r="C333" s="14" t="n">
        <f aca="false">Share_Prices!C333/Share_Prices!C332-1</f>
        <v>0.00530135591375824</v>
      </c>
      <c r="D333" s="14" t="n">
        <f aca="false">Share_Prices!D333/Share_Prices!D332-1</f>
        <v>0.00876633191146348</v>
      </c>
      <c r="E333" s="14" t="n">
        <f aca="false">Share_Prices!E333/Share_Prices!E332-1</f>
        <v>-0.00134961439588688</v>
      </c>
      <c r="F333" s="14" t="n">
        <f aca="false">Share_Prices!F333/Share_Prices!F332-1</f>
        <v>-0.0200895180597481</v>
      </c>
      <c r="G333" s="14" t="n">
        <f aca="false">Share_Prices!G333/Share_Prices!G332-1</f>
        <v>0.0062028819543849</v>
      </c>
      <c r="H333" s="14" t="n">
        <f aca="false">Share_Prices!H333/Share_Prices!H332-1</f>
        <v>-0.0102436851816505</v>
      </c>
      <c r="I333" s="14" t="n">
        <f aca="false">Share_Prices!I333/Share_Prices!I332-1</f>
        <v>-0.00920554854981082</v>
      </c>
      <c r="J333" s="14" t="n">
        <f aca="false">Share_Prices!J333/Share_Prices!J332-1</f>
        <v>-0.0526315789473685</v>
      </c>
      <c r="K333" s="14" t="n">
        <f aca="false">Share_Prices!K333/Share_Prices!K332-1</f>
        <v>0.00357192302367437</v>
      </c>
      <c r="L333" s="14" t="n">
        <f aca="false">Share_Prices!L333/Share_Prices!L332-1</f>
        <v>-0.0139642515161187</v>
      </c>
      <c r="M333" s="14" t="n">
        <f aca="false">Share_Prices!M333/Share_Prices!M332-1</f>
        <v>-0.00982808648716105</v>
      </c>
      <c r="N333" s="14" t="n">
        <f aca="false">Share_Prices!N333/Share_Prices!N332-1</f>
        <v>0.0204156995146656</v>
      </c>
      <c r="O333" s="14" t="n">
        <f aca="false">Share_Prices!O333/Share_Prices!O332-1</f>
        <v>-0.0128251445086706</v>
      </c>
      <c r="P333" s="14" t="n">
        <f aca="false">Share_Prices!P333/Share_Prices!P332-1</f>
        <v>0.0100189547793121</v>
      </c>
      <c r="Q333" s="14" t="n">
        <f aca="false">Share_Prices!Q333/Share_Prices!Q332-1</f>
        <v>-0.00898410504492064</v>
      </c>
      <c r="R333" s="14" t="n">
        <f aca="false">Share_Prices!R333/Share_Prices!R332-1</f>
        <v>-0.00588427590715923</v>
      </c>
      <c r="S333" s="14" t="n">
        <f aca="false">Share_Prices!S333/Share_Prices!S332-1</f>
        <v>-0.00207327186692041</v>
      </c>
    </row>
    <row r="334" customFormat="false" ht="15" hidden="false" customHeight="false" outlineLevel="0" collapsed="false">
      <c r="A334" s="13" t="n">
        <f aca="false">Share_Prices!A334</f>
        <v>45289</v>
      </c>
      <c r="B334" s="14" t="n">
        <f aca="false">Share_Prices!B334/Share_Prices!B333-1</f>
        <v>-0.00217184680444649</v>
      </c>
      <c r="C334" s="14" t="n">
        <f aca="false">Share_Prices!C334/Share_Prices!C333-1</f>
        <v>0.00154129669961467</v>
      </c>
      <c r="D334" s="14" t="n">
        <f aca="false">Share_Prices!D334/Share_Prices!D333-1</f>
        <v>0.0203436105746819</v>
      </c>
      <c r="E334" s="14" t="n">
        <f aca="false">Share_Prices!E334/Share_Prices!E333-1</f>
        <v>0.000900958877662506</v>
      </c>
      <c r="F334" s="14" t="n">
        <f aca="false">Share_Prices!F334/Share_Prices!F333-1</f>
        <v>-0.0120033991926917</v>
      </c>
      <c r="G334" s="14" t="n">
        <f aca="false">Share_Prices!G334/Share_Prices!G333-1</f>
        <v>0.0168816388467374</v>
      </c>
      <c r="H334" s="14" t="n">
        <f aca="false">Share_Prices!H334/Share_Prices!H333-1</f>
        <v>0.00379274877860647</v>
      </c>
      <c r="I334" s="14" t="n">
        <f aca="false">Share_Prices!I334/Share_Prices!I333-1</f>
        <v>-0.0011454753722796</v>
      </c>
      <c r="J334" s="14" t="n">
        <f aca="false">Share_Prices!J334/Share_Prices!J333-1</f>
        <v>-0.00712772890192248</v>
      </c>
      <c r="K334" s="14" t="n">
        <f aca="false">Share_Prices!K334/Share_Prices!K333-1</f>
        <v>0.00951881690762613</v>
      </c>
      <c r="L334" s="14" t="n">
        <f aca="false">Share_Prices!L334/Share_Prices!L333-1</f>
        <v>0.0195031156429553</v>
      </c>
      <c r="M334" s="14" t="n">
        <f aca="false">Share_Prices!M334/Share_Prices!M333-1</f>
        <v>0.00614444164355943</v>
      </c>
      <c r="N334" s="14" t="n">
        <f aca="false">Share_Prices!N334/Share_Prices!N333-1</f>
        <v>0.00125799169380825</v>
      </c>
      <c r="O334" s="14" t="n">
        <f aca="false">Share_Prices!O334/Share_Prices!O333-1</f>
        <v>0.0126258005489479</v>
      </c>
      <c r="P334" s="14" t="n">
        <f aca="false">Share_Prices!P334/Share_Prices!P333-1</f>
        <v>-0.0105227882037534</v>
      </c>
      <c r="Q334" s="14" t="n">
        <f aca="false">Share_Prices!Q334/Share_Prices!Q333-1</f>
        <v>0.0124360762436078</v>
      </c>
      <c r="R334" s="14" t="n">
        <f aca="false">Share_Prices!R334/Share_Prices!R333-1</f>
        <v>-0.000789214074317646</v>
      </c>
      <c r="S334" s="14" t="n">
        <f aca="false">Share_Prices!S334/Share_Prices!S333-1</f>
        <v>0.0037396426563685</v>
      </c>
    </row>
    <row r="335" customFormat="false" ht="15" hidden="false" customHeight="false" outlineLevel="0" collapsed="false">
      <c r="A335" s="13" t="n">
        <f aca="false">Share_Prices!A335</f>
        <v>45292</v>
      </c>
      <c r="B335" s="14" t="n">
        <f aca="false">Share_Prices!B335/Share_Prices!B334-1</f>
        <v>0.000483171815897743</v>
      </c>
      <c r="C335" s="14" t="n">
        <f aca="false">Share_Prices!C335/Share_Prices!C334-1</f>
        <v>0.00207677639011483</v>
      </c>
      <c r="D335" s="14" t="n">
        <f aca="false">Share_Prices!D335/Share_Prices!D334-1</f>
        <v>0.0188937836514929</v>
      </c>
      <c r="E335" s="14" t="n">
        <f aca="false">Share_Prices!E335/Share_Prices!E334-1</f>
        <v>-0.000964444158683242</v>
      </c>
      <c r="F335" s="14" t="n">
        <f aca="false">Share_Prices!F335/Share_Prices!F334-1</f>
        <v>0.00241909472099766</v>
      </c>
      <c r="G335" s="14" t="n">
        <f aca="false">Share_Prices!G335/Share_Prices!G334-1</f>
        <v>0.0502704719268792</v>
      </c>
      <c r="H335" s="14" t="n">
        <f aca="false">Share_Prices!H335/Share_Prices!H334-1</f>
        <v>0.00582772974703794</v>
      </c>
      <c r="I335" s="14" t="n">
        <f aca="false">Share_Prices!I335/Share_Prices!I334-1</f>
        <v>0.0398827726809379</v>
      </c>
      <c r="J335" s="14" t="n">
        <f aca="false">Share_Prices!J335/Share_Prices!J334-1</f>
        <v>0.040488985519137</v>
      </c>
      <c r="K335" s="14" t="n">
        <f aca="false">Share_Prices!K335/Share_Prices!K334-1</f>
        <v>-0.00392194375358712</v>
      </c>
      <c r="L335" s="14" t="n">
        <f aca="false">Share_Prices!L335/Share_Prices!L334-1</f>
        <v>-0.0273456104143516</v>
      </c>
      <c r="M335" s="14" t="n">
        <f aca="false">Share_Prices!M335/Share_Prices!M334-1</f>
        <v>-0.00150324136419144</v>
      </c>
      <c r="N335" s="14" t="n">
        <f aca="false">Share_Prices!N335/Share_Prices!N334-1</f>
        <v>0.00769336683763044</v>
      </c>
      <c r="O335" s="14" t="n">
        <f aca="false">Share_Prices!O335/Share_Prices!O334-1</f>
        <v>-0.00542103361040835</v>
      </c>
      <c r="P335" s="14" t="n">
        <f aca="false">Share_Prices!P335/Share_Prices!P334-1</f>
        <v>-0.00697690171374377</v>
      </c>
      <c r="Q335" s="14" t="n">
        <f aca="false">Share_Prices!Q335/Share_Prices!Q334-1</f>
        <v>0.00562507174836413</v>
      </c>
      <c r="R335" s="14" t="n">
        <f aca="false">Share_Prices!R335/Share_Prices!R334-1</f>
        <v>0.00881985124728502</v>
      </c>
      <c r="S335" s="14" t="n">
        <f aca="false">Share_Prices!S335/Share_Prices!S334-1</f>
        <v>-0.0021672429747237</v>
      </c>
    </row>
    <row r="336" customFormat="false" ht="15" hidden="false" customHeight="false" outlineLevel="0" collapsed="false">
      <c r="A336" s="13" t="n">
        <f aca="false">Share_Prices!A336</f>
        <v>45293</v>
      </c>
      <c r="B336" s="14" t="n">
        <f aca="false">Share_Prices!B336/Share_Prices!B335-1</f>
        <v>-0.0035001540803703</v>
      </c>
      <c r="C336" s="14" t="n">
        <f aca="false">Share_Prices!C336/Share_Prices!C335-1</f>
        <v>-0.00262461799224423</v>
      </c>
      <c r="D336" s="14" t="n">
        <f aca="false">Share_Prices!D336/Share_Prices!D335-1</f>
        <v>0.00912759415833975</v>
      </c>
      <c r="E336" s="14" t="n">
        <f aca="false">Share_Prices!E336/Share_Prices!E335-1</f>
        <v>-0.0139014030119706</v>
      </c>
      <c r="F336" s="14" t="n">
        <f aca="false">Share_Prices!F336/Share_Prices!F335-1</f>
        <v>0.0272966160776531</v>
      </c>
      <c r="G336" s="14" t="n">
        <f aca="false">Share_Prices!G336/Share_Prices!G335-1</f>
        <v>-0.00612734215433786</v>
      </c>
      <c r="H336" s="14" t="n">
        <f aca="false">Share_Prices!H336/Share_Prices!H335-1</f>
        <v>-0.00865911116770657</v>
      </c>
      <c r="I336" s="14" t="n">
        <f aca="false">Share_Prices!I336/Share_Prices!I335-1</f>
        <v>0.00710697218478118</v>
      </c>
      <c r="J336" s="14" t="n">
        <f aca="false">Share_Prices!J336/Share_Prices!J335-1</f>
        <v>0.0104873048415075</v>
      </c>
      <c r="K336" s="14" t="n">
        <f aca="false">Share_Prices!K336/Share_Prices!K335-1</f>
        <v>0.0179583213291079</v>
      </c>
      <c r="L336" s="14" t="n">
        <f aca="false">Share_Prices!L336/Share_Prices!L335-1</f>
        <v>-0.00428449014567267</v>
      </c>
      <c r="M336" s="14" t="n">
        <f aca="false">Share_Prices!M336/Share_Prices!M335-1</f>
        <v>-0.012796788257065</v>
      </c>
      <c r="N336" s="14" t="n">
        <f aca="false">Share_Prices!N336/Share_Prices!N335-1</f>
        <v>0.020820167722762</v>
      </c>
      <c r="O336" s="14" t="n">
        <f aca="false">Share_Prices!O336/Share_Prices!O335-1</f>
        <v>-0.00181686046511631</v>
      </c>
      <c r="P336" s="14" t="n">
        <f aca="false">Share_Prices!P336/Share_Prices!P335-1</f>
        <v>-0.00770804911323331</v>
      </c>
      <c r="Q336" s="14" t="n">
        <f aca="false">Share_Prices!Q336/Share_Prices!Q335-1</f>
        <v>-0.0159817351598174</v>
      </c>
      <c r="R336" s="14" t="n">
        <f aca="false">Share_Prices!R336/Share_Prices!R335-1</f>
        <v>0.00887323024727604</v>
      </c>
      <c r="S336" s="14" t="n">
        <f aca="false">Share_Prices!S336/Share_Prices!S335-1</f>
        <v>-0.00917587915171925</v>
      </c>
    </row>
    <row r="337" customFormat="false" ht="15" hidden="false" customHeight="false" outlineLevel="0" collapsed="false">
      <c r="A337" s="13" t="n">
        <f aca="false">Share_Prices!A337</f>
        <v>45294</v>
      </c>
      <c r="B337" s="14" t="n">
        <f aca="false">Share_Prices!B337/Share_Prices!B336-1</f>
        <v>-0.00685181253403988</v>
      </c>
      <c r="C337" s="14" t="n">
        <f aca="false">Share_Prices!C337/Share_Prices!C336-1</f>
        <v>-0.00263924937172988</v>
      </c>
      <c r="D337" s="14" t="n">
        <f aca="false">Share_Prices!D337/Share_Prices!D336-1</f>
        <v>-0.00491922942651302</v>
      </c>
      <c r="E337" s="14" t="n">
        <f aca="false">Share_Prices!E337/Share_Prices!E336-1</f>
        <v>-0.000195796893355915</v>
      </c>
      <c r="F337" s="14" t="n">
        <f aca="false">Share_Prices!F337/Share_Prices!F336-1</f>
        <v>-0.0025579452912925</v>
      </c>
      <c r="G337" s="14" t="n">
        <f aca="false">Share_Prices!G337/Share_Prices!G336-1</f>
        <v>-0.00357398141529663</v>
      </c>
      <c r="H337" s="14" t="n">
        <f aca="false">Share_Prices!H337/Share_Prices!H336-1</f>
        <v>0.0123956326268464</v>
      </c>
      <c r="I337" s="14" t="n">
        <f aca="false">Share_Prices!I337/Share_Prices!I336-1</f>
        <v>0.00340674047937717</v>
      </c>
      <c r="J337" s="14" t="n">
        <f aca="false">Share_Prices!J337/Share_Prices!J336-1</f>
        <v>0.0110222395630122</v>
      </c>
      <c r="K337" s="14" t="n">
        <f aca="false">Share_Prices!K337/Share_Prices!K336-1</f>
        <v>-0.00609164420485175</v>
      </c>
      <c r="L337" s="14" t="n">
        <f aca="false">Share_Prices!L337/Share_Prices!L336-1</f>
        <v>0.0167199409884435</v>
      </c>
      <c r="M337" s="14" t="n">
        <f aca="false">Share_Prices!M337/Share_Prices!M336-1</f>
        <v>0.00733915806195395</v>
      </c>
      <c r="N337" s="14" t="n">
        <f aca="false">Share_Prices!N337/Share_Prices!N336-1</f>
        <v>-0.0134854771784232</v>
      </c>
      <c r="O337" s="14" t="n">
        <f aca="false">Share_Prices!O337/Share_Prices!O336-1</f>
        <v>0.0034583181652712</v>
      </c>
      <c r="P337" s="14" t="n">
        <f aca="false">Share_Prices!P337/Share_Prices!P336-1</f>
        <v>0.0145390802227263</v>
      </c>
      <c r="Q337" s="14" t="n">
        <f aca="false">Share_Prices!Q337/Share_Prices!Q336-1</f>
        <v>0.000232018561485026</v>
      </c>
      <c r="R337" s="14" t="n">
        <f aca="false">Share_Prices!R337/Share_Prices!R336-1</f>
        <v>-0.00426825324969271</v>
      </c>
      <c r="S337" s="14" t="n">
        <f aca="false">Share_Prices!S337/Share_Prices!S336-1</f>
        <v>0.0295559222679245</v>
      </c>
    </row>
    <row r="338" customFormat="false" ht="15" hidden="false" customHeight="false" outlineLevel="0" collapsed="false">
      <c r="A338" s="13" t="n">
        <f aca="false">Share_Prices!A338</f>
        <v>45295</v>
      </c>
      <c r="B338" s="14" t="n">
        <f aca="false">Share_Prices!B338/Share_Prices!B337-1</f>
        <v>0.00656447006717831</v>
      </c>
      <c r="C338" s="14" t="n">
        <f aca="false">Share_Prices!C338/Share_Prices!C337-1</f>
        <v>0.00898944862821827</v>
      </c>
      <c r="D338" s="14" t="n">
        <f aca="false">Share_Prices!D338/Share_Prices!D337-1</f>
        <v>0.00223257000701671</v>
      </c>
      <c r="E338" s="14" t="n">
        <f aca="false">Share_Prices!E338/Share_Prices!E337-1</f>
        <v>0.0258502513218879</v>
      </c>
      <c r="F338" s="14" t="n">
        <f aca="false">Share_Prices!F338/Share_Prices!F337-1</f>
        <v>-0.014235620453237</v>
      </c>
      <c r="G338" s="14" t="n">
        <f aca="false">Share_Prices!G338/Share_Prices!G337-1</f>
        <v>0.0258249641319943</v>
      </c>
      <c r="H338" s="14" t="n">
        <f aca="false">Share_Prices!H338/Share_Prices!H337-1</f>
        <v>0.0105309902937258</v>
      </c>
      <c r="I338" s="14" t="n">
        <f aca="false">Share_Prices!I338/Share_Prices!I337-1</f>
        <v>0.0175821510852432</v>
      </c>
      <c r="J338" s="14" t="n">
        <f aca="false">Share_Prices!J338/Share_Prices!J337-1</f>
        <v>-0.000694645441389308</v>
      </c>
      <c r="K338" s="14" t="n">
        <f aca="false">Share_Prices!K338/Share_Prices!K337-1</f>
        <v>0.0434316862830177</v>
      </c>
      <c r="L338" s="14" t="n">
        <f aca="false">Share_Prices!L338/Share_Prices!L337-1</f>
        <v>0.0457476823861347</v>
      </c>
      <c r="M338" s="14" t="n">
        <f aca="false">Share_Prices!M338/Share_Prices!M337-1</f>
        <v>0.00656027250362712</v>
      </c>
      <c r="N338" s="14" t="n">
        <f aca="false">Share_Prices!N338/Share_Prices!N337-1</f>
        <v>0.0455378040093619</v>
      </c>
      <c r="O338" s="14" t="n">
        <f aca="false">Share_Prices!O338/Share_Prices!O337-1</f>
        <v>0.00852530382731742</v>
      </c>
      <c r="P338" s="14" t="n">
        <f aca="false">Share_Prices!P338/Share_Prices!P337-1</f>
        <v>0.0284242978622489</v>
      </c>
      <c r="Q338" s="14" t="n">
        <f aca="false">Share_Prices!Q338/Share_Prices!Q337-1</f>
        <v>0.0447691950823474</v>
      </c>
      <c r="R338" s="14" t="n">
        <f aca="false">Share_Prices!R338/Share_Prices!R337-1</f>
        <v>0.0003247385854388</v>
      </c>
      <c r="S338" s="14" t="n">
        <f aca="false">Share_Prices!S338/Share_Prices!S337-1</f>
        <v>0.0277983780292337</v>
      </c>
    </row>
    <row r="339" customFormat="false" ht="15" hidden="false" customHeight="false" outlineLevel="0" collapsed="false">
      <c r="A339" s="13" t="n">
        <f aca="false">Share_Prices!A339</f>
        <v>45296</v>
      </c>
      <c r="B339" s="14" t="n">
        <f aca="false">Share_Prices!B339/Share_Prices!B338-1</f>
        <v>0.00241012807845387</v>
      </c>
      <c r="C339" s="14" t="n">
        <f aca="false">Share_Prices!C339/Share_Prices!C338-1</f>
        <v>0.00252542698138547</v>
      </c>
      <c r="D339" s="14" t="n">
        <f aca="false">Share_Prices!D339/Share_Prices!D338-1</f>
        <v>-0.00327774949083504</v>
      </c>
      <c r="E339" s="14" t="n">
        <f aca="false">Share_Prices!E339/Share_Prices!E338-1</f>
        <v>-0.00553611199490933</v>
      </c>
      <c r="F339" s="14" t="n">
        <f aca="false">Share_Prices!F339/Share_Prices!F338-1</f>
        <v>0.00833554552694449</v>
      </c>
      <c r="G339" s="14" t="n">
        <f aca="false">Share_Prices!G339/Share_Prices!G338-1</f>
        <v>0.00489510489510492</v>
      </c>
      <c r="H339" s="14" t="n">
        <f aca="false">Share_Prices!H339/Share_Prices!H338-1</f>
        <v>0.00527340071567584</v>
      </c>
      <c r="I339" s="14" t="n">
        <f aca="false">Share_Prices!I339/Share_Prices!I338-1</f>
        <v>-0.0117969494756912</v>
      </c>
      <c r="J339" s="14" t="n">
        <f aca="false">Share_Prices!J339/Share_Prices!J338-1</f>
        <v>-0.00301222267276824</v>
      </c>
      <c r="K339" s="14" t="n">
        <f aca="false">Share_Prices!K339/Share_Prices!K338-1</f>
        <v>0.000727735831893117</v>
      </c>
      <c r="L339" s="14" t="n">
        <f aca="false">Share_Prices!L339/Share_Prices!L338-1</f>
        <v>-0.0303719406436693</v>
      </c>
      <c r="M339" s="14" t="n">
        <f aca="false">Share_Prices!M339/Share_Prices!M338-1</f>
        <v>0.0835996741242087</v>
      </c>
      <c r="N339" s="14" t="n">
        <f aca="false">Share_Prices!N339/Share_Prices!N338-1</f>
        <v>0.011030544876474</v>
      </c>
      <c r="O339" s="14" t="n">
        <f aca="false">Share_Prices!O339/Share_Prices!O338-1</f>
        <v>-0.00341726618705029</v>
      </c>
      <c r="P339" s="14" t="n">
        <f aca="false">Share_Prices!P339/Share_Prices!P338-1</f>
        <v>-0.0120569244959809</v>
      </c>
      <c r="Q339" s="14" t="n">
        <f aca="false">Share_Prices!Q339/Share_Prices!Q338-1</f>
        <v>0.0188721136767318</v>
      </c>
      <c r="R339" s="14" t="n">
        <f aca="false">Share_Prices!R339/Share_Prices!R338-1</f>
        <v>0.00194779898714459</v>
      </c>
      <c r="S339" s="14" t="n">
        <f aca="false">Share_Prices!S339/Share_Prices!S338-1</f>
        <v>0.0112887833717386</v>
      </c>
    </row>
    <row r="340" customFormat="false" ht="15" hidden="false" customHeight="false" outlineLevel="0" collapsed="false">
      <c r="A340" s="13" t="n">
        <f aca="false">Share_Prices!A340</f>
        <v>45299</v>
      </c>
      <c r="B340" s="14" t="n">
        <f aca="false">Share_Prices!B340/Share_Prices!B339-1</f>
        <v>-0.00911067302909152</v>
      </c>
      <c r="C340" s="14" t="n">
        <f aca="false">Share_Prices!C340/Share_Prices!C339-1</f>
        <v>-0.00882566128653528</v>
      </c>
      <c r="D340" s="14" t="n">
        <f aca="false">Share_Prices!D340/Share_Prices!D339-1</f>
        <v>-0.00868426934005928</v>
      </c>
      <c r="E340" s="14" t="n">
        <f aca="false">Share_Prices!E340/Share_Prices!E339-1</f>
        <v>-0.0132454568722805</v>
      </c>
      <c r="F340" s="14" t="n">
        <f aca="false">Share_Prices!F340/Share_Prices!F339-1</f>
        <v>-0.0141112047177758</v>
      </c>
      <c r="G340" s="14" t="n">
        <f aca="false">Share_Prices!G340/Share_Prices!G339-1</f>
        <v>-0.0226165622825331</v>
      </c>
      <c r="H340" s="14" t="n">
        <f aca="false">Share_Prices!H340/Share_Prices!H339-1</f>
        <v>-0.0149878223943046</v>
      </c>
      <c r="I340" s="14" t="n">
        <f aca="false">Share_Prices!I340/Share_Prices!I339-1</f>
        <v>-0.00844085373206316</v>
      </c>
      <c r="J340" s="14" t="n">
        <f aca="false">Share_Prices!J340/Share_Prices!J339-1</f>
        <v>-0.0321693490597099</v>
      </c>
      <c r="K340" s="14" t="n">
        <f aca="false">Share_Prices!K340/Share_Prices!K339-1</f>
        <v>0.00322048644928374</v>
      </c>
      <c r="L340" s="14" t="n">
        <f aca="false">Share_Prices!L340/Share_Prices!L339-1</f>
        <v>-0.0212266963469411</v>
      </c>
      <c r="M340" s="14" t="n">
        <f aca="false">Share_Prices!M340/Share_Prices!M339-1</f>
        <v>0.00118558787808687</v>
      </c>
      <c r="N340" s="14" t="n">
        <f aca="false">Share_Prices!N340/Share_Prices!N339-1</f>
        <v>-0.0317839780512458</v>
      </c>
      <c r="O340" s="14" t="n">
        <f aca="false">Share_Prices!O340/Share_Prices!O339-1</f>
        <v>-0.00523371232629488</v>
      </c>
      <c r="P340" s="14" t="n">
        <f aca="false">Share_Prices!P340/Share_Prices!P339-1</f>
        <v>-0.00693564521507173</v>
      </c>
      <c r="Q340" s="14" t="n">
        <f aca="false">Share_Prices!Q340/Share_Prices!Q339-1</f>
        <v>0.000871649596862145</v>
      </c>
      <c r="R340" s="14" t="n">
        <f aca="false">Share_Prices!R340/Share_Prices!R339-1</f>
        <v>-0.00511923276308979</v>
      </c>
      <c r="S340" s="14" t="n">
        <f aca="false">Share_Prices!S340/Share_Prices!S339-1</f>
        <v>0.0110246731725281</v>
      </c>
    </row>
    <row r="341" customFormat="false" ht="15" hidden="false" customHeight="false" outlineLevel="0" collapsed="false">
      <c r="A341" s="13" t="n">
        <f aca="false">Share_Prices!A341</f>
        <v>45300</v>
      </c>
      <c r="B341" s="14" t="n">
        <f aca="false">Share_Prices!B341/Share_Prices!B340-1</f>
        <v>0.0014805001626923</v>
      </c>
      <c r="C341" s="14" t="n">
        <f aca="false">Share_Prices!C341/Share_Prices!C340-1</f>
        <v>0.00215525010686113</v>
      </c>
      <c r="D341" s="14" t="n">
        <f aca="false">Share_Prices!D341/Share_Prices!D340-1</f>
        <v>0.000193242938580918</v>
      </c>
      <c r="E341" s="14" t="n">
        <f aca="false">Share_Prices!E341/Share_Prices!E340-1</f>
        <v>0.00518773101614678</v>
      </c>
      <c r="F341" s="14" t="n">
        <f aca="false">Share_Prices!F341/Share_Prices!F340-1</f>
        <v>0.000907925656910891</v>
      </c>
      <c r="G341" s="14" t="n">
        <f aca="false">Share_Prices!G341/Share_Prices!G340-1</f>
        <v>0.00106799572801708</v>
      </c>
      <c r="H341" s="14" t="n">
        <f aca="false">Share_Prices!H341/Share_Prices!H340-1</f>
        <v>-0.000824193241615423</v>
      </c>
      <c r="I341" s="14" t="n">
        <f aca="false">Share_Prices!I341/Share_Prices!I340-1</f>
        <v>0.00389152377477808</v>
      </c>
      <c r="J341" s="14" t="n">
        <f aca="false">Share_Prices!J341/Share_Prices!J340-1</f>
        <v>-0.0313175378211799</v>
      </c>
      <c r="K341" s="14" t="n">
        <f aca="false">Share_Prices!K341/Share_Prices!K340-1</f>
        <v>-0.00135913533104648</v>
      </c>
      <c r="L341" s="14" t="n">
        <f aca="false">Share_Prices!L341/Share_Prices!L340-1</f>
        <v>0.000243674613166434</v>
      </c>
      <c r="M341" s="14" t="n">
        <f aca="false">Share_Prices!M341/Share_Prices!M340-1</f>
        <v>0.0152210958033676</v>
      </c>
      <c r="N341" s="14" t="n">
        <f aca="false">Share_Prices!N341/Share_Prices!N340-1</f>
        <v>0.00941238855930782</v>
      </c>
      <c r="O341" s="14" t="n">
        <f aca="false">Share_Prices!O341/Share_Prices!O340-1</f>
        <v>-0.00580551523947759</v>
      </c>
      <c r="P341" s="14" t="n">
        <f aca="false">Share_Prices!P341/Share_Prices!P340-1</f>
        <v>-0.00580887784567852</v>
      </c>
      <c r="Q341" s="14" t="n">
        <f aca="false">Share_Prices!Q341/Share_Prices!Q340-1</f>
        <v>0.033747006313956</v>
      </c>
      <c r="R341" s="14" t="n">
        <f aca="false">Share_Prices!R341/Share_Prices!R340-1</f>
        <v>-0.00729499120693022</v>
      </c>
      <c r="S341" s="14" t="n">
        <f aca="false">Share_Prices!S341/Share_Prices!S340-1</f>
        <v>-0.0129760739408564</v>
      </c>
    </row>
    <row r="342" customFormat="false" ht="15" hidden="false" customHeight="false" outlineLevel="0" collapsed="false">
      <c r="A342" s="13" t="n">
        <f aca="false">Share_Prices!A342</f>
        <v>45301</v>
      </c>
      <c r="B342" s="14" t="n">
        <f aca="false">Share_Prices!B342/Share_Prices!B341-1</f>
        <v>0.00342773330981649</v>
      </c>
      <c r="C342" s="14" t="n">
        <f aca="false">Share_Prices!C342/Share_Prices!C341-1</f>
        <v>0.00299595828269417</v>
      </c>
      <c r="D342" s="14" t="n">
        <f aca="false">Share_Prices!D342/Share_Prices!D341-1</f>
        <v>0.0102720978908388</v>
      </c>
      <c r="E342" s="14" t="n">
        <f aca="false">Share_Prices!E342/Share_Prices!E341-1</f>
        <v>-0.0198051738597509</v>
      </c>
      <c r="F342" s="14" t="n">
        <f aca="false">Share_Prices!F342/Share_Prices!F341-1</f>
        <v>0.00586948401899567</v>
      </c>
      <c r="G342" s="14" t="n">
        <f aca="false">Share_Prices!G342/Share_Prices!G341-1</f>
        <v>0.0095128022759603</v>
      </c>
      <c r="H342" s="14" t="n">
        <f aca="false">Share_Prices!H342/Share_Prices!H341-1</f>
        <v>-0.00640862944162435</v>
      </c>
      <c r="I342" s="14" t="n">
        <f aca="false">Share_Prices!I342/Share_Prices!I341-1</f>
        <v>-0.00375529981829192</v>
      </c>
      <c r="J342" s="14" t="n">
        <f aca="false">Share_Prices!J342/Share_Prices!J341-1</f>
        <v>0.0221455574606979</v>
      </c>
      <c r="K342" s="14" t="n">
        <f aca="false">Share_Prices!K342/Share_Prices!K341-1</f>
        <v>-0.00581983149708365</v>
      </c>
      <c r="L342" s="14" t="n">
        <f aca="false">Share_Prices!L342/Share_Prices!L341-1</f>
        <v>-0.01234317268261</v>
      </c>
      <c r="M342" s="14" t="n">
        <f aca="false">Share_Prices!M342/Share_Prices!M341-1</f>
        <v>-0.00256045519203418</v>
      </c>
      <c r="N342" s="14" t="n">
        <f aca="false">Share_Prices!N342/Share_Prices!N341-1</f>
        <v>-0.000311915159076581</v>
      </c>
      <c r="O342" s="14" t="n">
        <f aca="false">Share_Prices!O342/Share_Prices!O341-1</f>
        <v>-0.0175182481751826</v>
      </c>
      <c r="P342" s="14" t="n">
        <f aca="false">Share_Prices!P342/Share_Prices!P341-1</f>
        <v>-0.00344489851058805</v>
      </c>
      <c r="Q342" s="14" t="n">
        <f aca="false">Share_Prices!Q342/Share_Prices!Q341-1</f>
        <v>0.0137952822240943</v>
      </c>
      <c r="R342" s="14" t="n">
        <f aca="false">Share_Prices!R342/Share_Prices!R341-1</f>
        <v>0.00446164949806449</v>
      </c>
      <c r="S342" s="14" t="n">
        <f aca="false">Share_Prices!S342/Share_Prices!S341-1</f>
        <v>-0.00823396452706593</v>
      </c>
    </row>
    <row r="343" customFormat="false" ht="15" hidden="false" customHeight="false" outlineLevel="0" collapsed="false">
      <c r="A343" s="13" t="n">
        <f aca="false">Share_Prices!A343</f>
        <v>45302</v>
      </c>
      <c r="B343" s="14" t="n">
        <f aca="false">Share_Prices!B343/Share_Prices!B342-1</f>
        <v>0.00131830313571113</v>
      </c>
      <c r="C343" s="14" t="n">
        <f aca="false">Share_Prices!C343/Share_Prices!C342-1</f>
        <v>0.00340713756894329</v>
      </c>
      <c r="D343" s="14" t="n">
        <f aca="false">Share_Prices!D343/Share_Prices!D342-1</f>
        <v>0.00640657869573524</v>
      </c>
      <c r="E343" s="14" t="n">
        <f aca="false">Share_Prices!E343/Share_Prices!E342-1</f>
        <v>0.0132289061471633</v>
      </c>
      <c r="F343" s="14" t="n">
        <f aca="false">Share_Prices!F343/Share_Prices!F342-1</f>
        <v>0.0308736937032519</v>
      </c>
      <c r="G343" s="14" t="n">
        <f aca="false">Share_Prices!G343/Share_Prices!G342-1</f>
        <v>0.018405988551299</v>
      </c>
      <c r="H343" s="14" t="n">
        <f aca="false">Share_Prices!H343/Share_Prices!H342-1</f>
        <v>-0.00447027268663391</v>
      </c>
      <c r="I343" s="14" t="n">
        <f aca="false">Share_Prices!I343/Share_Prices!I342-1</f>
        <v>0.0119163424124515</v>
      </c>
      <c r="J343" s="14" t="n">
        <f aca="false">Share_Prices!J343/Share_Prices!J342-1</f>
        <v>-0.00802360597425167</v>
      </c>
      <c r="K343" s="14" t="n">
        <f aca="false">Share_Prices!K343/Share_Prices!K342-1</f>
        <v>-0.00140806508389724</v>
      </c>
      <c r="L343" s="14" t="n">
        <f aca="false">Share_Prices!L343/Share_Prices!L342-1</f>
        <v>0.012415210688592</v>
      </c>
      <c r="M343" s="14" t="n">
        <f aca="false">Share_Prices!M343/Share_Prices!M342-1</f>
        <v>-0.0142042213348546</v>
      </c>
      <c r="N343" s="14" t="n">
        <f aca="false">Share_Prices!N343/Share_Prices!N342-1</f>
        <v>0.0426636012808932</v>
      </c>
      <c r="O343" s="14" t="n">
        <f aca="false">Share_Prices!O343/Share_Prices!O342-1</f>
        <v>0.0313893016344724</v>
      </c>
      <c r="P343" s="14" t="n">
        <f aca="false">Share_Prices!P343/Share_Prices!P342-1</f>
        <v>0.00948927373165698</v>
      </c>
      <c r="Q343" s="14" t="n">
        <f aca="false">Share_Prices!Q343/Share_Prices!Q342-1</f>
        <v>0.0208787784356497</v>
      </c>
      <c r="R343" s="14" t="n">
        <f aca="false">Share_Prices!R343/Share_Prices!R342-1</f>
        <v>-0.00404990528447324</v>
      </c>
      <c r="S343" s="14" t="n">
        <f aca="false">Share_Prices!S343/Share_Prices!S342-1</f>
        <v>0.0603488372093024</v>
      </c>
    </row>
    <row r="344" customFormat="false" ht="15" hidden="false" customHeight="false" outlineLevel="0" collapsed="false">
      <c r="A344" s="13" t="n">
        <f aca="false">Share_Prices!A344</f>
        <v>45303</v>
      </c>
      <c r="B344" s="14" t="n">
        <f aca="false">Share_Prices!B344/Share_Prices!B343-1</f>
        <v>0.0114264200450867</v>
      </c>
      <c r="C344" s="14" t="n">
        <f aca="false">Share_Prices!C344/Share_Prices!C343-1</f>
        <v>0.00823361510593923</v>
      </c>
      <c r="D344" s="14" t="n">
        <f aca="false">Share_Prices!D344/Share_Prices!D343-1</f>
        <v>0.00810768012668239</v>
      </c>
      <c r="E344" s="14" t="n">
        <f aca="false">Share_Prices!E344/Share_Prices!E343-1</f>
        <v>-0.00318285157518683</v>
      </c>
      <c r="F344" s="14" t="n">
        <f aca="false">Share_Prices!F344/Share_Prices!F343-1</f>
        <v>0.00334482581176343</v>
      </c>
      <c r="G344" s="14" t="n">
        <f aca="false">Share_Prices!G344/Share_Prices!G343-1</f>
        <v>-0.00760982359045326</v>
      </c>
      <c r="H344" s="14" t="n">
        <f aca="false">Share_Prices!H344/Share_Prices!H343-1</f>
        <v>0.0256591186092758</v>
      </c>
      <c r="I344" s="14" t="n">
        <f aca="false">Share_Prices!I344/Share_Prices!I343-1</f>
        <v>0.0368901706320595</v>
      </c>
      <c r="J344" s="14" t="n">
        <f aca="false">Share_Prices!J344/Share_Prices!J343-1</f>
        <v>0.0183570351656412</v>
      </c>
      <c r="K344" s="14" t="n">
        <f aca="false">Share_Prices!K344/Share_Prices!K343-1</f>
        <v>-0.00113587403548632</v>
      </c>
      <c r="L344" s="14" t="n">
        <f aca="false">Share_Prices!L344/Share_Prices!L343-1</f>
        <v>0.0123035692532587</v>
      </c>
      <c r="M344" s="14" t="n">
        <f aca="false">Share_Prices!M344/Share_Prices!M343-1</f>
        <v>-0.01420635379897</v>
      </c>
      <c r="N344" s="14" t="n">
        <f aca="false">Share_Prices!N344/Share_Prices!N343-1</f>
        <v>-0.00664640196557087</v>
      </c>
      <c r="O344" s="14" t="n">
        <f aca="false">Share_Prices!O344/Share_Prices!O343-1</f>
        <v>0.00864397622906554</v>
      </c>
      <c r="P344" s="14" t="n">
        <f aca="false">Share_Prices!P344/Share_Prices!P343-1</f>
        <v>-0.0101722227817503</v>
      </c>
      <c r="Q344" s="14" t="n">
        <f aca="false">Share_Prices!Q344/Share_Prices!Q343-1</f>
        <v>0.00986975986975991</v>
      </c>
      <c r="R344" s="14" t="n">
        <f aca="false">Share_Prices!R344/Share_Prices!R343-1</f>
        <v>0.00570604053256374</v>
      </c>
      <c r="S344" s="14" t="n">
        <f aca="false">Share_Prices!S344/Share_Prices!S343-1</f>
        <v>0.00572431187630218</v>
      </c>
    </row>
    <row r="345" customFormat="false" ht="15" hidden="false" customHeight="false" outlineLevel="0" collapsed="false">
      <c r="A345" s="13" t="n">
        <f aca="false">Share_Prices!A345</f>
        <v>45306</v>
      </c>
      <c r="B345" s="14" t="n">
        <f aca="false">Share_Prices!B345/Share_Prices!B344-1</f>
        <v>0.00926714639031179</v>
      </c>
      <c r="C345" s="14" t="n">
        <f aca="false">Share_Prices!C345/Share_Prices!C344-1</f>
        <v>0.0070876549712342</v>
      </c>
      <c r="D345" s="14" t="n">
        <f aca="false">Share_Prices!D345/Share_Prices!D344-1</f>
        <v>0.013477427664855</v>
      </c>
      <c r="E345" s="14" t="n">
        <f aca="false">Share_Prices!E345/Share_Prices!E344-1</f>
        <v>-0.00443112211651242</v>
      </c>
      <c r="F345" s="14" t="n">
        <f aca="false">Share_Prices!F345/Share_Prices!F344-1</f>
        <v>-0.00938557800800077</v>
      </c>
      <c r="G345" s="14" t="n">
        <f aca="false">Share_Prices!G345/Share_Prices!G344-1</f>
        <v>0.00749390031369823</v>
      </c>
      <c r="H345" s="14" t="n">
        <f aca="false">Share_Prices!H345/Share_Prices!H344-1</f>
        <v>-0.00281443492401023</v>
      </c>
      <c r="I345" s="14" t="n">
        <f aca="false">Share_Prices!I345/Share_Prices!I344-1</f>
        <v>-0.0230617684552091</v>
      </c>
      <c r="J345" s="14" t="n">
        <f aca="false">Share_Prices!J345/Share_Prices!J344-1</f>
        <v>-0.00252085709141114</v>
      </c>
      <c r="K345" s="14" t="n">
        <f aca="false">Share_Prices!K345/Share_Prices!K344-1</f>
        <v>-0.0238935508326144</v>
      </c>
      <c r="L345" s="14" t="n">
        <f aca="false">Share_Prices!L345/Share_Prices!L344-1</f>
        <v>0.0254713196951464</v>
      </c>
      <c r="M345" s="14" t="n">
        <f aca="false">Share_Prices!M345/Share_Prices!M344-1</f>
        <v>-0.0186375509964486</v>
      </c>
      <c r="N345" s="14" t="n">
        <f aca="false">Share_Prices!N345/Share_Prices!N344-1</f>
        <v>0.018312695216502</v>
      </c>
      <c r="O345" s="14" t="n">
        <f aca="false">Share_Prices!O345/Share_Prices!O344-1</f>
        <v>0.00714158186038216</v>
      </c>
      <c r="P345" s="14" t="n">
        <f aca="false">Share_Prices!P345/Share_Prices!P344-1</f>
        <v>-0.0145163478496813</v>
      </c>
      <c r="Q345" s="14" t="n">
        <f aca="false">Share_Prices!Q345/Share_Prices!Q344-1</f>
        <v>0.0106801007556676</v>
      </c>
      <c r="R345" s="14" t="n">
        <f aca="false">Share_Prices!R345/Share_Prices!R344-1</f>
        <v>0.00176079300899956</v>
      </c>
      <c r="S345" s="14" t="n">
        <f aca="false">Share_Prices!S345/Share_Prices!S344-1</f>
        <v>0.011666957431961</v>
      </c>
    </row>
    <row r="346" customFormat="false" ht="15" hidden="false" customHeight="false" outlineLevel="0" collapsed="false">
      <c r="A346" s="13" t="n">
        <f aca="false">Share_Prices!A346</f>
        <v>45307</v>
      </c>
      <c r="B346" s="14" t="n">
        <f aca="false">Share_Prices!B346/Share_Prices!B345-1</f>
        <v>-0.00294830398982693</v>
      </c>
      <c r="C346" s="14" t="n">
        <f aca="false">Share_Prices!C346/Share_Prices!C345-1</f>
        <v>-0.00291669076289069</v>
      </c>
      <c r="D346" s="14" t="n">
        <f aca="false">Share_Prices!D346/Share_Prices!D345-1</f>
        <v>-0.0273713577185369</v>
      </c>
      <c r="E346" s="14" t="n">
        <f aca="false">Share_Prices!E346/Share_Prices!E345-1</f>
        <v>-0.00955622463673245</v>
      </c>
      <c r="F346" s="14" t="n">
        <f aca="false">Share_Prices!F346/Share_Prices!F345-1</f>
        <v>-0.0100440072482527</v>
      </c>
      <c r="G346" s="14" t="n">
        <f aca="false">Share_Prices!G346/Share_Prices!G345-1</f>
        <v>0.010119356512714</v>
      </c>
      <c r="H346" s="14" t="n">
        <f aca="false">Share_Prices!H346/Share_Prices!H345-1</f>
        <v>0.0637230306071248</v>
      </c>
      <c r="I346" s="14" t="n">
        <f aca="false">Share_Prices!I346/Share_Prices!I345-1</f>
        <v>-0.0199288256227758</v>
      </c>
      <c r="J346" s="14" t="n">
        <f aca="false">Share_Prices!J346/Share_Prices!J345-1</f>
        <v>-0.0157851455161763</v>
      </c>
      <c r="K346" s="14" t="n">
        <f aca="false">Share_Prices!K346/Share_Prices!K345-1</f>
        <v>-0.00285224564128661</v>
      </c>
      <c r="L346" s="14" t="n">
        <f aca="false">Share_Prices!L346/Share_Prices!L345-1</f>
        <v>0.0165851750440056</v>
      </c>
      <c r="M346" s="14" t="n">
        <f aca="false">Share_Prices!M346/Share_Prices!M345-1</f>
        <v>0.0194700323005144</v>
      </c>
      <c r="N346" s="14" t="n">
        <f aca="false">Share_Prices!N346/Share_Prices!N345-1</f>
        <v>-0.0262354809578675</v>
      </c>
      <c r="O346" s="14" t="n">
        <f aca="false">Share_Prices!O346/Share_Prices!O345-1</f>
        <v>0.000354547066122812</v>
      </c>
      <c r="P346" s="14" t="n">
        <f aca="false">Share_Prices!P346/Share_Prices!P345-1</f>
        <v>-0.0108755506607929</v>
      </c>
      <c r="Q346" s="14" t="n">
        <f aca="false">Share_Prices!Q346/Share_Prices!Q345-1</f>
        <v>-0.0177449905293591</v>
      </c>
      <c r="R346" s="14" t="n">
        <f aca="false">Share_Prices!R346/Share_Prices!R345-1</f>
        <v>-0.000976498925851166</v>
      </c>
      <c r="S346" s="14" t="n">
        <f aca="false">Share_Prices!S346/Share_Prices!S345-1</f>
        <v>-0.0042465133323274</v>
      </c>
    </row>
    <row r="347" customFormat="false" ht="15" hidden="false" customHeight="false" outlineLevel="0" collapsed="false">
      <c r="A347" s="13" t="n">
        <f aca="false">Share_Prices!A347</f>
        <v>45308</v>
      </c>
      <c r="B347" s="14" t="n">
        <f aca="false">Share_Prices!B347/Share_Prices!B346-1</f>
        <v>-0.0208943233343772</v>
      </c>
      <c r="C347" s="14" t="n">
        <f aca="false">Share_Prices!C347/Share_Prices!C346-1</f>
        <v>-0.0171453356567</v>
      </c>
      <c r="D347" s="14" t="n">
        <f aca="false">Share_Prices!D347/Share_Prices!D346-1</f>
        <v>-0.0249864550466902</v>
      </c>
      <c r="E347" s="14" t="n">
        <f aca="false">Share_Prices!E347/Share_Prices!E346-1</f>
        <v>0.00991276764472637</v>
      </c>
      <c r="F347" s="14" t="n">
        <f aca="false">Share_Prices!F347/Share_Prices!F346-1</f>
        <v>0.00936143507138754</v>
      </c>
      <c r="G347" s="14" t="n">
        <f aca="false">Share_Prices!G347/Share_Prices!G346-1</f>
        <v>-0.0148985358335475</v>
      </c>
      <c r="H347" s="14" t="n">
        <f aca="false">Share_Prices!H347/Share_Prices!H346-1</f>
        <v>-0.0241155660377359</v>
      </c>
      <c r="I347" s="14" t="n">
        <f aca="false">Share_Prices!I347/Share_Prices!I346-1</f>
        <v>-0.0215444202372308</v>
      </c>
      <c r="J347" s="14" t="n">
        <f aca="false">Share_Prices!J347/Share_Prices!J346-1</f>
        <v>-0.0146729162421031</v>
      </c>
      <c r="K347" s="14" t="n">
        <f aca="false">Share_Prices!K347/Share_Prices!K346-1</f>
        <v>-0.0131202578392533</v>
      </c>
      <c r="L347" s="14" t="n">
        <f aca="false">Share_Prices!L347/Share_Prices!L346-1</f>
        <v>-0.00873446458116911</v>
      </c>
      <c r="M347" s="14" t="n">
        <f aca="false">Share_Prices!M347/Share_Prices!M346-1</f>
        <v>-0.0281925660809106</v>
      </c>
      <c r="N347" s="14" t="n">
        <f aca="false">Share_Prices!N347/Share_Prices!N346-1</f>
        <v>0.0102492764746327</v>
      </c>
      <c r="O347" s="14" t="n">
        <f aca="false">Share_Prices!O347/Share_Prices!O346-1</f>
        <v>-0.00992379939748345</v>
      </c>
      <c r="P347" s="14" t="n">
        <f aca="false">Share_Prices!P347/Share_Prices!P346-1</f>
        <v>-0.0139178844815588</v>
      </c>
      <c r="Q347" s="14" t="n">
        <f aca="false">Share_Prices!Q347/Share_Prices!Q346-1</f>
        <v>-0.0184715315132447</v>
      </c>
      <c r="R347" s="14" t="n">
        <f aca="false">Share_Prices!R347/Share_Prices!R346-1</f>
        <v>-0.0196793952821581</v>
      </c>
      <c r="S347" s="14" t="n">
        <f aca="false">Share_Prices!S347/Share_Prices!S346-1</f>
        <v>-0.00939515954452952</v>
      </c>
    </row>
    <row r="348" customFormat="false" ht="15" hidden="false" customHeight="false" outlineLevel="0" collapsed="false">
      <c r="A348" s="13" t="n">
        <f aca="false">Share_Prices!A348</f>
        <v>45309</v>
      </c>
      <c r="B348" s="14" t="n">
        <f aca="false">Share_Prices!B348/Share_Prices!B347-1</f>
        <v>-0.00508530754057934</v>
      </c>
      <c r="C348" s="14" t="n">
        <f aca="false">Share_Prices!C348/Share_Prices!C347-1</f>
        <v>-0.00373570886101926</v>
      </c>
      <c r="D348" s="14" t="n">
        <f aca="false">Share_Prices!D348/Share_Prices!D347-1</f>
        <v>-0.0186317131369921</v>
      </c>
      <c r="E348" s="14" t="n">
        <f aca="false">Share_Prices!E348/Share_Prices!E347-1</f>
        <v>0.0180604632901451</v>
      </c>
      <c r="F348" s="14" t="n">
        <f aca="false">Share_Prices!F348/Share_Prices!F347-1</f>
        <v>0.0196373056994819</v>
      </c>
      <c r="G348" s="14" t="n">
        <f aca="false">Share_Prices!G348/Share_Prices!G347-1</f>
        <v>0.00156453715775751</v>
      </c>
      <c r="H348" s="14" t="n">
        <f aca="false">Share_Prices!H348/Share_Prices!H347-1</f>
        <v>0.0346202646365779</v>
      </c>
      <c r="I348" s="14" t="n">
        <f aca="false">Share_Prices!I348/Share_Prices!I347-1</f>
        <v>-0.000494804552201855</v>
      </c>
      <c r="J348" s="14" t="n">
        <f aca="false">Share_Prices!J348/Share_Prices!J347-1</f>
        <v>0.0336711478800413</v>
      </c>
      <c r="K348" s="14" t="n">
        <f aca="false">Share_Prices!K348/Share_Prices!K347-1</f>
        <v>-0.0126687350315697</v>
      </c>
      <c r="L348" s="14" t="n">
        <f aca="false">Share_Prices!L348/Share_Prices!L347-1</f>
        <v>0.00275599720518605</v>
      </c>
      <c r="M348" s="14" t="n">
        <f aca="false">Share_Prices!M348/Share_Prices!M347-1</f>
        <v>-0.00458854072329884</v>
      </c>
      <c r="N348" s="14" t="n">
        <f aca="false">Share_Prices!N348/Share_Prices!N347-1</f>
        <v>-0.0179006679117472</v>
      </c>
      <c r="O348" s="14" t="n">
        <f aca="false">Share_Prices!O348/Share_Prices!O347-1</f>
        <v>-0.00554859495256854</v>
      </c>
      <c r="P348" s="14" t="n">
        <f aca="false">Share_Prices!P348/Share_Prices!P347-1</f>
        <v>-0.0258997882851094</v>
      </c>
      <c r="Q348" s="14" t="n">
        <f aca="false">Share_Prices!Q348/Share_Prices!Q347-1</f>
        <v>0.0141660634887808</v>
      </c>
      <c r="R348" s="14" t="n">
        <f aca="false">Share_Prices!R348/Share_Prices!R347-1</f>
        <v>-0.00259239563945768</v>
      </c>
      <c r="S348" s="14" t="n">
        <f aca="false">Share_Prices!S348/Share_Prices!S347-1</f>
        <v>-0.0142482517482518</v>
      </c>
    </row>
    <row r="349" customFormat="false" ht="15" hidden="false" customHeight="false" outlineLevel="0" collapsed="false">
      <c r="A349" s="13" t="n">
        <f aca="false">Share_Prices!A349</f>
        <v>45310</v>
      </c>
      <c r="B349" s="14" t="n">
        <f aca="false">Share_Prices!B349/Share_Prices!B348-1</f>
        <v>0.00746193898589387</v>
      </c>
      <c r="C349" s="14" t="n">
        <f aca="false">Share_Prices!C349/Share_Prices!C348-1</f>
        <v>0.00986875991511638</v>
      </c>
      <c r="D349" s="14" t="n">
        <f aca="false">Share_Prices!D349/Share_Prices!D348-1</f>
        <v>-0.00822702594677427</v>
      </c>
      <c r="E349" s="14" t="n">
        <f aca="false">Share_Prices!E349/Share_Prices!E348-1</f>
        <v>0.0208895744954365</v>
      </c>
      <c r="F349" s="14" t="n">
        <f aca="false">Share_Prices!F349/Share_Prices!F348-1</f>
        <v>0.0256110574724324</v>
      </c>
      <c r="G349" s="14" t="n">
        <f aca="false">Share_Prices!G349/Share_Prices!G348-1</f>
        <v>0.0142324047557061</v>
      </c>
      <c r="H349" s="14" t="n">
        <f aca="false">Share_Prices!H349/Share_Prices!H348-1</f>
        <v>0.0241765942536789</v>
      </c>
      <c r="I349" s="14" t="n">
        <f aca="false">Share_Prices!I349/Share_Prices!I348-1</f>
        <v>0.0193069306930693</v>
      </c>
      <c r="J349" s="14" t="n">
        <f aca="false">Share_Prices!J349/Share_Prices!J348-1</f>
        <v>0.00422185761735161</v>
      </c>
      <c r="K349" s="14" t="n">
        <f aca="false">Share_Prices!K349/Share_Prices!K348-1</f>
        <v>0.00737351323786806</v>
      </c>
      <c r="L349" s="14" t="n">
        <f aca="false">Share_Prices!L349/Share_Prices!L348-1</f>
        <v>-0.0202067123446755</v>
      </c>
      <c r="M349" s="14" t="n">
        <f aca="false">Share_Prices!M349/Share_Prices!M348-1</f>
        <v>0.0162249044701885</v>
      </c>
      <c r="N349" s="14" t="n">
        <f aca="false">Share_Prices!N349/Share_Prices!N348-1</f>
        <v>0.0263654090989669</v>
      </c>
      <c r="O349" s="14" t="n">
        <f aca="false">Share_Prices!O349/Share_Prices!O348-1</f>
        <v>0.0163786897048237</v>
      </c>
      <c r="P349" s="14" t="n">
        <f aca="false">Share_Prices!P349/Share_Prices!P348-1</f>
        <v>0.0368035934217199</v>
      </c>
      <c r="Q349" s="14" t="n">
        <f aca="false">Share_Prices!Q349/Share_Prices!Q348-1</f>
        <v>0.0270187601957586</v>
      </c>
      <c r="R349" s="14" t="n">
        <f aca="false">Share_Prices!R349/Share_Prices!R348-1</f>
        <v>-0.00139953348883703</v>
      </c>
      <c r="S349" s="14" t="n">
        <f aca="false">Share_Prices!S349/Share_Prices!S348-1</f>
        <v>0.0205950164050723</v>
      </c>
    </row>
    <row r="350" customFormat="false" ht="15" hidden="false" customHeight="false" outlineLevel="0" collapsed="false">
      <c r="A350" s="13" t="n">
        <f aca="false">Share_Prices!A350</f>
        <v>45311</v>
      </c>
      <c r="B350" s="14" t="n">
        <f aca="false">Share_Prices!B350/Share_Prices!B349-1</f>
        <v>-0.00234016575403295</v>
      </c>
      <c r="C350" s="14" t="n">
        <f aca="false">Share_Prices!C350/Share_Prices!C349-1</f>
        <v>-0.000229516892443327</v>
      </c>
      <c r="D350" s="14" t="n">
        <f aca="false">Share_Prices!D350/Share_Prices!D349-1</f>
        <v>0.0209564750134337</v>
      </c>
      <c r="E350" s="14" t="n">
        <f aca="false">Share_Prices!E350/Share_Prices!E349-1</f>
        <v>-0.0324875653214127</v>
      </c>
      <c r="F350" s="14" t="n">
        <f aca="false">Share_Prices!F350/Share_Prices!F349-1</f>
        <v>-0.0199672992122083</v>
      </c>
      <c r="G350" s="14" t="n">
        <f aca="false">Share_Prices!G350/Share_Prices!G349-1</f>
        <v>-0.0112946008385386</v>
      </c>
      <c r="H350" s="14" t="n">
        <f aca="false">Share_Prices!H350/Share_Prices!H349-1</f>
        <v>-0.0091230470977306</v>
      </c>
      <c r="I350" s="14" t="n">
        <f aca="false">Share_Prices!I350/Share_Prices!I349-1</f>
        <v>-0.0160271976687713</v>
      </c>
      <c r="J350" s="14" t="n">
        <f aca="false">Share_Prices!J350/Share_Prices!J349-1</f>
        <v>-0.00775070234513531</v>
      </c>
      <c r="K350" s="14" t="n">
        <f aca="false">Share_Prices!K350/Share_Prices!K349-1</f>
        <v>-0.00243528703551688</v>
      </c>
      <c r="L350" s="14" t="n">
        <f aca="false">Share_Prices!L350/Share_Prices!L349-1</f>
        <v>-0.00355576626763066</v>
      </c>
      <c r="M350" s="14" t="n">
        <f aca="false">Share_Prices!M350/Share_Prices!M349-1</f>
        <v>-0.00453609478050676</v>
      </c>
      <c r="N350" s="14" t="n">
        <f aca="false">Share_Prices!N350/Share_Prices!N349-1</f>
        <v>0.00734843845682787</v>
      </c>
      <c r="O350" s="14" t="n">
        <f aca="false">Share_Prices!O350/Share_Prices!O349-1</f>
        <v>-0.002656277669559</v>
      </c>
      <c r="P350" s="14" t="n">
        <f aca="false">Share_Prices!P350/Share_Prices!P349-1</f>
        <v>-0.0159318007127385</v>
      </c>
      <c r="Q350" s="14" t="n">
        <f aca="false">Share_Prices!Q350/Share_Prices!Q349-1</f>
        <v>-0.029186935371786</v>
      </c>
      <c r="R350" s="14" t="n">
        <f aca="false">Share_Prices!R350/Share_Prices!R349-1</f>
        <v>-0.00560597971169252</v>
      </c>
      <c r="S350" s="14" t="n">
        <f aca="false">Share_Prices!S350/Share_Prices!S349-1</f>
        <v>-0.00123813454395372</v>
      </c>
    </row>
    <row r="351" customFormat="false" ht="15" hidden="false" customHeight="false" outlineLevel="0" collapsed="false">
      <c r="A351" s="13" t="n">
        <f aca="false">Share_Prices!A351</f>
        <v>45314</v>
      </c>
      <c r="B351" s="14" t="n">
        <f aca="false">Share_Prices!B351/Share_Prices!B350-1</f>
        <v>-0.0154368202931605</v>
      </c>
      <c r="C351" s="14" t="n">
        <f aca="false">Share_Prices!C351/Share_Prices!C350-1</f>
        <v>-0.0201740647590285</v>
      </c>
      <c r="D351" s="14" t="n">
        <f aca="false">Share_Prices!D351/Share_Prices!D350-1</f>
        <v>-0.0117434210526315</v>
      </c>
      <c r="E351" s="14" t="n">
        <f aca="false">Share_Prices!E351/Share_Prices!E350-1</f>
        <v>-0.0558990043599923</v>
      </c>
      <c r="F351" s="14" t="n">
        <f aca="false">Share_Prices!F351/Share_Prices!F350-1</f>
        <v>0.00136501516683518</v>
      </c>
      <c r="G351" s="14" t="n">
        <f aca="false">Share_Prices!G351/Share_Prices!G350-1</f>
        <v>-0.0294244915620944</v>
      </c>
      <c r="H351" s="14" t="n">
        <f aca="false">Share_Prices!H351/Share_Prices!H350-1</f>
        <v>-0.00609966624467717</v>
      </c>
      <c r="I351" s="14" t="n">
        <f aca="false">Share_Prices!I351/Share_Prices!I350-1</f>
        <v>-0.0113524185587364</v>
      </c>
      <c r="J351" s="14" t="n">
        <f aca="false">Share_Prices!J351/Share_Prices!J350-1</f>
        <v>-0.0382329317269076</v>
      </c>
      <c r="K351" s="14" t="n">
        <f aca="false">Share_Prices!K351/Share_Prices!K350-1</f>
        <v>-0.0315851551142441</v>
      </c>
      <c r="L351" s="14" t="n">
        <f aca="false">Share_Prices!L351/Share_Prices!L350-1</f>
        <v>-0.0323539907220173</v>
      </c>
      <c r="M351" s="14" t="n">
        <f aca="false">Share_Prices!M351/Share_Prices!M350-1</f>
        <v>-0.0259915460023383</v>
      </c>
      <c r="N351" s="14" t="n">
        <f aca="false">Share_Prices!N351/Share_Prices!N350-1</f>
        <v>-0.0539162964694878</v>
      </c>
      <c r="O351" s="14" t="n">
        <f aca="false">Share_Prices!O351/Share_Prices!O350-1</f>
        <v>-0.0392400568181819</v>
      </c>
      <c r="P351" s="14" t="n">
        <f aca="false">Share_Prices!P351/Share_Prices!P350-1</f>
        <v>-0.0314918696300504</v>
      </c>
      <c r="Q351" s="14" t="n">
        <f aca="false">Share_Prices!Q351/Share_Prices!Q350-1</f>
        <v>-0.0126802331526741</v>
      </c>
      <c r="R351" s="14" t="n">
        <f aca="false">Share_Prices!R351/Share_Prices!R350-1</f>
        <v>-0.020268456375839</v>
      </c>
      <c r="S351" s="14" t="n">
        <f aca="false">Share_Prices!S351/Share_Prices!S350-1</f>
        <v>-0.00848194867333629</v>
      </c>
    </row>
    <row r="352" customFormat="false" ht="15" hidden="false" customHeight="false" outlineLevel="0" collapsed="false">
      <c r="A352" s="13" t="n">
        <f aca="false">Share_Prices!A352</f>
        <v>45315</v>
      </c>
      <c r="B352" s="14" t="n">
        <f aca="false">Share_Prices!B352/Share_Prices!B351-1</f>
        <v>0.0101300450119592</v>
      </c>
      <c r="C352" s="14" t="n">
        <f aca="false">Share_Prices!C352/Share_Prices!C351-1</f>
        <v>0.0127327017746641</v>
      </c>
      <c r="D352" s="14" t="n">
        <f aca="false">Share_Prices!D352/Share_Prices!D351-1</f>
        <v>-0.0056252704456945</v>
      </c>
      <c r="E352" s="14" t="n">
        <f aca="false">Share_Prices!E352/Share_Prices!E351-1</f>
        <v>0.0279156327543424</v>
      </c>
      <c r="F352" s="14" t="n">
        <f aca="false">Share_Prices!F352/Share_Prices!F351-1</f>
        <v>0.00681577220174678</v>
      </c>
      <c r="G352" s="14" t="n">
        <f aca="false">Share_Prices!G352/Share_Prices!G351-1</f>
        <v>0.0296923762817654</v>
      </c>
      <c r="H352" s="14" t="n">
        <f aca="false">Share_Prices!H352/Share_Prices!H351-1</f>
        <v>-0.00440018527095887</v>
      </c>
      <c r="I352" s="14" t="n">
        <f aca="false">Share_Prices!I352/Share_Prices!I351-1</f>
        <v>0.0082376435346978</v>
      </c>
      <c r="J352" s="14" t="n">
        <f aca="false">Share_Prices!J352/Share_Prices!J351-1</f>
        <v>-0.0187489560714883</v>
      </c>
      <c r="K352" s="14" t="n">
        <f aca="false">Share_Prices!K352/Share_Prices!K351-1</f>
        <v>-0.00218096330600048</v>
      </c>
      <c r="L352" s="14" t="n">
        <f aca="false">Share_Prices!L352/Share_Prices!L351-1</f>
        <v>0.0209383323089531</v>
      </c>
      <c r="M352" s="14" t="n">
        <f aca="false">Share_Prices!M352/Share_Prices!M351-1</f>
        <v>-0.0435210834102802</v>
      </c>
      <c r="N352" s="14" t="n">
        <f aca="false">Share_Prices!N352/Share_Prices!N351-1</f>
        <v>-0.0196882825886385</v>
      </c>
      <c r="O352" s="14" t="n">
        <f aca="false">Share_Prices!O352/Share_Prices!O351-1</f>
        <v>0.00739234891886897</v>
      </c>
      <c r="P352" s="14" t="n">
        <f aca="false">Share_Prices!P352/Share_Prices!P351-1</f>
        <v>0.0291799552769529</v>
      </c>
      <c r="Q352" s="14" t="n">
        <f aca="false">Share_Prices!Q352/Share_Prices!Q351-1</f>
        <v>-0.0101501812532366</v>
      </c>
      <c r="R352" s="14" t="n">
        <f aca="false">Share_Prices!R352/Share_Prices!R351-1</f>
        <v>0.0233593642964791</v>
      </c>
      <c r="S352" s="14" t="n">
        <f aca="false">Share_Prices!S352/Share_Prices!S351-1</f>
        <v>0.0100679973678439</v>
      </c>
    </row>
    <row r="353" customFormat="false" ht="15" hidden="false" customHeight="false" outlineLevel="0" collapsed="false">
      <c r="A353" s="13" t="n">
        <f aca="false">Share_Prices!A353</f>
        <v>45316</v>
      </c>
      <c r="B353" s="14" t="n">
        <f aca="false">Share_Prices!B353/Share_Prices!B352-1</f>
        <v>-0.00472407179097567</v>
      </c>
      <c r="C353" s="14" t="n">
        <f aca="false">Share_Prices!C353/Share_Prices!C352-1</f>
        <v>-0.00298185183281063</v>
      </c>
      <c r="D353" s="14" t="n">
        <f aca="false">Share_Prices!D353/Share_Prices!D352-1</f>
        <v>0.00974091182968473</v>
      </c>
      <c r="E353" s="14" t="n">
        <f aca="false">Share_Prices!E353/Share_Prices!E352-1</f>
        <v>0.0333266277744251</v>
      </c>
      <c r="F353" s="14" t="n">
        <f aca="false">Share_Prices!F353/Share_Prices!F352-1</f>
        <v>-0.0326948149633939</v>
      </c>
      <c r="G353" s="14" t="n">
        <f aca="false">Share_Prices!G353/Share_Prices!G352-1</f>
        <v>0.00311742293037764</v>
      </c>
      <c r="H353" s="14" t="n">
        <f aca="false">Share_Prices!H353/Share_Prices!H352-1</f>
        <v>-0.0452430797859967</v>
      </c>
      <c r="I353" s="14" t="n">
        <f aca="false">Share_Prices!I353/Share_Prices!I352-1</f>
        <v>-0.0227779153255756</v>
      </c>
      <c r="J353" s="14" t="n">
        <f aca="false">Share_Prices!J353/Share_Prices!J352-1</f>
        <v>-0.0046597727562876</v>
      </c>
      <c r="K353" s="14" t="n">
        <f aca="false">Share_Prices!K353/Share_Prices!K352-1</f>
        <v>0.00428630228366234</v>
      </c>
      <c r="L353" s="14" t="n">
        <f aca="false">Share_Prices!L353/Share_Prices!L352-1</f>
        <v>-0.000882966768341542</v>
      </c>
      <c r="M353" s="14" t="n">
        <f aca="false">Share_Prices!M353/Share_Prices!M352-1</f>
        <v>0.0241987385763935</v>
      </c>
      <c r="N353" s="14" t="n">
        <f aca="false">Share_Prices!N353/Share_Prices!N352-1</f>
        <v>-0.0176299557990622</v>
      </c>
      <c r="O353" s="14" t="n">
        <f aca="false">Share_Prices!O353/Share_Prices!O352-1</f>
        <v>-0.00880572372041844</v>
      </c>
      <c r="P353" s="14" t="n">
        <f aca="false">Share_Prices!P353/Share_Prices!P352-1</f>
        <v>-0.0111130899376669</v>
      </c>
      <c r="Q353" s="14" t="n">
        <f aca="false">Share_Prices!Q353/Share_Prices!Q352-1</f>
        <v>-0.00031390603745951</v>
      </c>
      <c r="R353" s="14" t="n">
        <f aca="false">Share_Prices!R353/Share_Prices!R352-1</f>
        <v>0.0172702322779301</v>
      </c>
      <c r="S353" s="14" t="n">
        <f aca="false">Share_Prices!S353/Share_Prices!S352-1</f>
        <v>0.00204130382853052</v>
      </c>
    </row>
    <row r="354" customFormat="false" ht="15" hidden="false" customHeight="false" outlineLevel="0" collapsed="false">
      <c r="A354" s="13" t="n">
        <f aca="false">Share_Prices!A354</f>
        <v>45320</v>
      </c>
      <c r="B354" s="14" t="n">
        <f aca="false">Share_Prices!B354/Share_Prices!B353-1</f>
        <v>0.0180305911223926</v>
      </c>
      <c r="C354" s="14" t="n">
        <f aca="false">Share_Prices!C354/Share_Prices!C353-1</f>
        <v>0.0164311865105966</v>
      </c>
      <c r="D354" s="14" t="n">
        <f aca="false">Share_Prices!D354/Share_Prices!D353-1</f>
        <v>0.00530416045085369</v>
      </c>
      <c r="E354" s="14" t="n">
        <f aca="false">Share_Prices!E354/Share_Prices!E353-1</f>
        <v>-0.0058403634003894</v>
      </c>
      <c r="F354" s="14" t="n">
        <f aca="false">Share_Prices!F354/Share_Prices!F353-1</f>
        <v>0.0226542249870398</v>
      </c>
      <c r="G354" s="14" t="n">
        <f aca="false">Share_Prices!G354/Share_Prices!G353-1</f>
        <v>0.0359116022099446</v>
      </c>
      <c r="H354" s="14" t="n">
        <f aca="false">Share_Prices!H354/Share_Prices!H353-1</f>
        <v>-0.0361188938969423</v>
      </c>
      <c r="I354" s="14" t="n">
        <f aca="false">Share_Prices!I354/Share_Prices!I353-1</f>
        <v>0.0217887002786927</v>
      </c>
      <c r="J354" s="14" t="n">
        <f aca="false">Share_Prices!J354/Share_Prices!J353-1</f>
        <v>-0.00733234998610477</v>
      </c>
      <c r="K354" s="14" t="n">
        <f aca="false">Share_Prices!K354/Share_Prices!K353-1</f>
        <v>0.0149804265181814</v>
      </c>
      <c r="L354" s="14" t="n">
        <f aca="false">Share_Prices!L354/Share_Prices!L353-1</f>
        <v>-0.0111673495621436</v>
      </c>
      <c r="M354" s="14" t="n">
        <f aca="false">Share_Prices!M354/Share_Prices!M353-1</f>
        <v>-0.0207050395877844</v>
      </c>
      <c r="N354" s="14" t="n">
        <f aca="false">Share_Prices!N354/Share_Prices!N353-1</f>
        <v>0.0260897830698692</v>
      </c>
      <c r="O354" s="14" t="n">
        <f aca="false">Share_Prices!O354/Share_Prices!O353-1</f>
        <v>0.0312789191190082</v>
      </c>
      <c r="P354" s="14" t="n">
        <f aca="false">Share_Prices!P354/Share_Prices!P353-1</f>
        <v>0.00417822281453728</v>
      </c>
      <c r="Q354" s="14" t="n">
        <f aca="false">Share_Prices!Q354/Share_Prices!Q353-1</f>
        <v>0.0108854929872304</v>
      </c>
      <c r="R354" s="14" t="n">
        <f aca="false">Share_Prices!R354/Share_Prices!R353-1</f>
        <v>-0.0583009804566692</v>
      </c>
      <c r="S354" s="14" t="n">
        <f aca="false">Share_Prices!S354/Share_Prices!S353-1</f>
        <v>0.0441453741629283</v>
      </c>
    </row>
    <row r="355" customFormat="false" ht="15" hidden="false" customHeight="false" outlineLevel="0" collapsed="false">
      <c r="A355" s="13" t="n">
        <f aca="false">Share_Prices!A355</f>
        <v>45321</v>
      </c>
      <c r="B355" s="14" t="n">
        <f aca="false">Share_Prices!B355/Share_Prices!B354-1</f>
        <v>-0.00991369792433383</v>
      </c>
      <c r="C355" s="14" t="n">
        <f aca="false">Share_Prices!C355/Share_Prices!C354-1</f>
        <v>-0.00697303371356539</v>
      </c>
      <c r="D355" s="14" t="n">
        <f aca="false">Share_Prices!D355/Share_Prices!D354-1</f>
        <v>-0.0144765045342127</v>
      </c>
      <c r="E355" s="14" t="n">
        <f aca="false">Share_Prices!E355/Share_Prices!E354-1</f>
        <v>-0.00215404699738897</v>
      </c>
      <c r="F355" s="14" t="n">
        <f aca="false">Share_Prices!F355/Share_Prices!F354-1</f>
        <v>-0.013331981548132</v>
      </c>
      <c r="G355" s="14" t="n">
        <f aca="false">Share_Prices!G355/Share_Prices!G354-1</f>
        <v>0.0289166666666667</v>
      </c>
      <c r="H355" s="14" t="n">
        <f aca="false">Share_Prices!H355/Share_Prices!H354-1</f>
        <v>-0.0355134281200632</v>
      </c>
      <c r="I355" s="14" t="n">
        <f aca="false">Share_Prices!I355/Share_Prices!I354-1</f>
        <v>0.0192164641705925</v>
      </c>
      <c r="J355" s="14" t="n">
        <f aca="false">Share_Prices!J355/Share_Prices!J354-1</f>
        <v>-0.0125118442587648</v>
      </c>
      <c r="K355" s="14" t="n">
        <f aca="false">Share_Prices!K355/Share_Prices!K354-1</f>
        <v>-0.0520753561035382</v>
      </c>
      <c r="L355" s="14" t="n">
        <f aca="false">Share_Prices!L355/Share_Prices!L354-1</f>
        <v>-0.0136090347741307</v>
      </c>
      <c r="M355" s="14" t="n">
        <f aca="false">Share_Prices!M355/Share_Prices!M354-1</f>
        <v>0.000705829510090128</v>
      </c>
      <c r="N355" s="14" t="n">
        <f aca="false">Share_Prices!N355/Share_Prices!N354-1</f>
        <v>-0.00793637561065075</v>
      </c>
      <c r="O355" s="14" t="n">
        <f aca="false">Share_Prices!O355/Share_Prices!O354-1</f>
        <v>0.00340990667623831</v>
      </c>
      <c r="P355" s="14" t="n">
        <f aca="false">Share_Prices!P355/Share_Prices!P354-1</f>
        <v>-0.00294128196850685</v>
      </c>
      <c r="Q355" s="14" t="n">
        <f aca="false">Share_Prices!Q355/Share_Prices!Q354-1</f>
        <v>-0.0183267757299648</v>
      </c>
      <c r="R355" s="14" t="n">
        <f aca="false">Share_Prices!R355/Share_Prices!R354-1</f>
        <v>-0.00419257913493121</v>
      </c>
      <c r="S355" s="14" t="n">
        <f aca="false">Share_Prices!S355/Share_Prices!S354-1</f>
        <v>0.0182440846824408</v>
      </c>
    </row>
    <row r="356" customFormat="false" ht="15" hidden="false" customHeight="false" outlineLevel="0" collapsed="false">
      <c r="A356" s="13" t="n">
        <f aca="false">Share_Prices!A356</f>
        <v>45322</v>
      </c>
      <c r="B356" s="14" t="n">
        <f aca="false">Share_Prices!B356/Share_Prices!B355-1</f>
        <v>0.00946004339725226</v>
      </c>
      <c r="C356" s="14" t="n">
        <f aca="false">Share_Prices!C356/Share_Prices!C355-1</f>
        <v>0.0116428768480958</v>
      </c>
      <c r="D356" s="14" t="n">
        <f aca="false">Share_Prices!D356/Share_Prices!D355-1</f>
        <v>-0.0118784715251288</v>
      </c>
      <c r="E356" s="14" t="n">
        <f aca="false">Share_Prices!E356/Share_Prices!E355-1</f>
        <v>0.0157650291097009</v>
      </c>
      <c r="F356" s="14" t="n">
        <f aca="false">Share_Prices!F356/Share_Prices!F355-1</f>
        <v>0.011816687217427</v>
      </c>
      <c r="G356" s="14" t="n">
        <f aca="false">Share_Prices!G356/Share_Prices!G355-1</f>
        <v>0.0133635700979995</v>
      </c>
      <c r="H356" s="14" t="n">
        <f aca="false">Share_Prices!H356/Share_Prices!H355-1</f>
        <v>0.0281071873157308</v>
      </c>
      <c r="I356" s="14" t="n">
        <f aca="false">Share_Prices!I356/Share_Prices!I355-1</f>
        <v>-0.00960953655273078</v>
      </c>
      <c r="J356" s="14" t="n">
        <f aca="false">Share_Prices!J356/Share_Prices!J355-1</f>
        <v>0.0174681059862611</v>
      </c>
      <c r="K356" s="14" t="n">
        <f aca="false">Share_Prices!K356/Share_Prices!K355-1</f>
        <v>0.00671278955331323</v>
      </c>
      <c r="L356" s="14" t="n">
        <f aca="false">Share_Prices!L356/Share_Prices!L355-1</f>
        <v>-0.0246283102013919</v>
      </c>
      <c r="M356" s="14" t="n">
        <f aca="false">Share_Prices!M356/Share_Prices!M355-1</f>
        <v>0.0193966208201084</v>
      </c>
      <c r="N356" s="14" t="n">
        <f aca="false">Share_Prices!N356/Share_Prices!N355-1</f>
        <v>0.0177812137611133</v>
      </c>
      <c r="O356" s="14" t="n">
        <f aca="false">Share_Prices!O356/Share_Prices!O355-1</f>
        <v>0.0345197639062778</v>
      </c>
      <c r="P356" s="14" t="n">
        <f aca="false">Share_Prices!P356/Share_Prices!P355-1</f>
        <v>0.00366946073317265</v>
      </c>
      <c r="Q356" s="14" t="n">
        <f aca="false">Share_Prices!Q356/Share_Prices!Q355-1</f>
        <v>0.00896529901909071</v>
      </c>
      <c r="R356" s="14" t="n">
        <f aca="false">Share_Prices!R356/Share_Prices!R355-1</f>
        <v>0.00392954880359286</v>
      </c>
      <c r="S356" s="14" t="n">
        <f aca="false">Share_Prices!S356/Share_Prices!S355-1</f>
        <v>0.0056462626633238</v>
      </c>
    </row>
    <row r="357" customFormat="false" ht="15" hidden="false" customHeight="false" outlineLevel="0" collapsed="false">
      <c r="A357" s="13" t="n">
        <f aca="false">Share_Prices!A357</f>
        <v>45323</v>
      </c>
      <c r="B357" s="14" t="n">
        <f aca="false">Share_Prices!B357/Share_Prices!B356-1</f>
        <v>-0.00130030332739561</v>
      </c>
      <c r="C357" s="14" t="n">
        <f aca="false">Share_Prices!C357/Share_Prices!C356-1</f>
        <v>-0.00124986743830202</v>
      </c>
      <c r="D357" s="14" t="n">
        <f aca="false">Share_Prices!D357/Share_Prices!D356-1</f>
        <v>0.0191662998205275</v>
      </c>
      <c r="E357" s="14" t="n">
        <f aca="false">Share_Prices!E357/Share_Prices!E356-1</f>
        <v>0.0238923235445647</v>
      </c>
      <c r="F357" s="14" t="n">
        <f aca="false">Share_Prices!F357/Share_Prices!F356-1</f>
        <v>0.00538234995430065</v>
      </c>
      <c r="G357" s="14" t="n">
        <f aca="false">Share_Prices!G357/Share_Prices!G356-1</f>
        <v>0.00647378516624042</v>
      </c>
      <c r="H357" s="14" t="n">
        <f aca="false">Share_Prices!H357/Share_Prices!H356-1</f>
        <v>0.0452459852153964</v>
      </c>
      <c r="I357" s="14" t="n">
        <f aca="false">Share_Prices!I357/Share_Prices!I356-1</f>
        <v>0.112625890444608</v>
      </c>
      <c r="J357" s="14" t="n">
        <f aca="false">Share_Prices!J357/Share_Prices!J356-1</f>
        <v>-0.00107167352537718</v>
      </c>
      <c r="K357" s="14" t="n">
        <f aca="false">Share_Prices!K357/Share_Prices!K356-1</f>
        <v>-0.0174360919808568</v>
      </c>
      <c r="L357" s="14" t="n">
        <f aca="false">Share_Prices!L357/Share_Prices!L356-1</f>
        <v>-0.0330194654393448</v>
      </c>
      <c r="M357" s="14" t="n">
        <f aca="false">Share_Prices!M357/Share_Prices!M356-1</f>
        <v>0.00254749025034595</v>
      </c>
      <c r="N357" s="14" t="n">
        <f aca="false">Share_Prices!N357/Share_Prices!N356-1</f>
        <v>-0.0280552849287472</v>
      </c>
      <c r="O357" s="14" t="n">
        <f aca="false">Share_Prices!O357/Share_Prices!O356-1</f>
        <v>-0.0160788381742738</v>
      </c>
      <c r="P357" s="14" t="n">
        <f aca="false">Share_Prices!P357/Share_Prices!P356-1</f>
        <v>-0.0244453206208108</v>
      </c>
      <c r="Q357" s="14" t="n">
        <f aca="false">Share_Prices!Q357/Share_Prices!Q356-1</f>
        <v>-0.0045996236671545</v>
      </c>
      <c r="R357" s="14" t="n">
        <f aca="false">Share_Prices!R357/Share_Prices!R356-1</f>
        <v>-0.00475291815195356</v>
      </c>
      <c r="S357" s="14" t="n">
        <f aca="false">Share_Prices!S357/Share_Prices!S356-1</f>
        <v>-0.0282146910977785</v>
      </c>
    </row>
    <row r="358" customFormat="false" ht="15" hidden="false" customHeight="false" outlineLevel="0" collapsed="false">
      <c r="A358" s="13" t="n">
        <f aca="false">Share_Prices!A358</f>
        <v>45324</v>
      </c>
      <c r="B358" s="14" t="n">
        <f aca="false">Share_Prices!B358/Share_Prices!B357-1</f>
        <v>0.00720591590255992</v>
      </c>
      <c r="C358" s="14" t="n">
        <f aca="false">Share_Prices!C358/Share_Prices!C357-1</f>
        <v>0.00674761785577949</v>
      </c>
      <c r="D358" s="14" t="n">
        <f aca="false">Share_Prices!D358/Share_Prices!D357-1</f>
        <v>-0.0138219756121872</v>
      </c>
      <c r="E358" s="14" t="n">
        <f aca="false">Share_Prices!E358/Share_Prices!E357-1</f>
        <v>0.0426441914585822</v>
      </c>
      <c r="F358" s="14" t="n">
        <f aca="false">Share_Prices!F358/Share_Prices!F357-1</f>
        <v>-0.0083333333333333</v>
      </c>
      <c r="G358" s="14" t="n">
        <f aca="false">Share_Prices!G358/Share_Prices!G357-1</f>
        <v>0.00730564599380612</v>
      </c>
      <c r="H358" s="14" t="n">
        <f aca="false">Share_Prices!H358/Share_Prices!H357-1</f>
        <v>-0.0234117790513353</v>
      </c>
      <c r="I358" s="14" t="n">
        <f aca="false">Share_Prices!I358/Share_Prices!I357-1</f>
        <v>0.00518821061927377</v>
      </c>
      <c r="J358" s="14" t="n">
        <f aca="false">Share_Prices!J358/Share_Prices!J357-1</f>
        <v>0.0453375101918205</v>
      </c>
      <c r="K358" s="14" t="n">
        <f aca="false">Share_Prices!K358/Share_Prices!K357-1</f>
        <v>0.0155774342525357</v>
      </c>
      <c r="L358" s="14" t="n">
        <f aca="false">Share_Prices!L358/Share_Prices!L357-1</f>
        <v>0.0137985240819178</v>
      </c>
      <c r="M358" s="14" t="n">
        <f aca="false">Share_Prices!M358/Share_Prices!M357-1</f>
        <v>0.00890924491012335</v>
      </c>
      <c r="N358" s="14" t="n">
        <f aca="false">Share_Prices!N358/Share_Prices!N357-1</f>
        <v>-0.0127081209650017</v>
      </c>
      <c r="O358" s="14" t="n">
        <f aca="false">Share_Prices!O358/Share_Prices!O357-1</f>
        <v>0.0101915304867333</v>
      </c>
      <c r="P358" s="14" t="n">
        <f aca="false">Share_Prices!P358/Share_Prices!P357-1</f>
        <v>0.0121982584414153</v>
      </c>
      <c r="Q358" s="14" t="n">
        <f aca="false">Share_Prices!Q358/Share_Prices!Q357-1</f>
        <v>-0.017643352236925</v>
      </c>
      <c r="R358" s="14" t="n">
        <f aca="false">Share_Prices!R358/Share_Prices!R357-1</f>
        <v>-0.000983215113420921</v>
      </c>
      <c r="S358" s="14" t="n">
        <f aca="false">Share_Prices!S358/Share_Prices!S357-1</f>
        <v>0.00346237276822969</v>
      </c>
    </row>
    <row r="359" customFormat="false" ht="15" hidden="false" customHeight="false" outlineLevel="0" collapsed="false">
      <c r="A359" s="13" t="n">
        <f aca="false">Share_Prices!A359</f>
        <v>45327</v>
      </c>
      <c r="B359" s="14" t="n">
        <f aca="false">Share_Prices!B359/Share_Prices!B358-1</f>
        <v>-0.00375678371724819</v>
      </c>
      <c r="C359" s="14" t="n">
        <f aca="false">Share_Prices!C359/Share_Prices!C358-1</f>
        <v>-0.00287783514474549</v>
      </c>
      <c r="D359" s="14" t="n">
        <f aca="false">Share_Prices!D359/Share_Prices!D358-1</f>
        <v>-0.0306930359489235</v>
      </c>
      <c r="E359" s="14" t="n">
        <f aca="false">Share_Prices!E359/Share_Prices!E358-1</f>
        <v>-0.0326959039633227</v>
      </c>
      <c r="F359" s="14" t="n">
        <f aca="false">Share_Prices!F359/Share_Prices!F358-1</f>
        <v>-0.0103386809269161</v>
      </c>
      <c r="G359" s="14" t="n">
        <f aca="false">Share_Prices!G359/Share_Prices!G358-1</f>
        <v>0.0096964919195901</v>
      </c>
      <c r="H359" s="14" t="n">
        <f aca="false">Share_Prices!H359/Share_Prices!H358-1</f>
        <v>-0.0114870770383317</v>
      </c>
      <c r="I359" s="14" t="n">
        <f aca="false">Share_Prices!I359/Share_Prices!I358-1</f>
        <v>-0.0162530199868219</v>
      </c>
      <c r="J359" s="14" t="n">
        <f aca="false">Share_Prices!J359/Share_Prices!J358-1</f>
        <v>-0.0718816067653276</v>
      </c>
      <c r="K359" s="14" t="n">
        <f aca="false">Share_Prices!K359/Share_Prices!K358-1</f>
        <v>-0.0350636057903202</v>
      </c>
      <c r="L359" s="14" t="n">
        <f aca="false">Share_Prices!L359/Share_Prices!L358-1</f>
        <v>-0.0211052246198906</v>
      </c>
      <c r="M359" s="14" t="n">
        <f aca="false">Share_Prices!M359/Share_Prices!M358-1</f>
        <v>-0.0180964522247442</v>
      </c>
      <c r="N359" s="14" t="n">
        <f aca="false">Share_Prices!N359/Share_Prices!N358-1</f>
        <v>-0.00710696585903081</v>
      </c>
      <c r="O359" s="14" t="n">
        <f aca="false">Share_Prices!O359/Share_Prices!O358-1</f>
        <v>-0.00260914941728996</v>
      </c>
      <c r="P359" s="14" t="n">
        <f aca="false">Share_Prices!P359/Share_Prices!P358-1</f>
        <v>-0.00947402809539366</v>
      </c>
      <c r="Q359" s="14" t="n">
        <f aca="false">Share_Prices!Q359/Share_Prices!Q358-1</f>
        <v>0.0265127218302332</v>
      </c>
      <c r="R359" s="14" t="n">
        <f aca="false">Share_Prices!R359/Share_Prices!R358-1</f>
        <v>-0.0113884007029877</v>
      </c>
      <c r="S359" s="14" t="n">
        <f aca="false">Share_Prices!S359/Share_Prices!S358-1</f>
        <v>-0.020120557056745</v>
      </c>
    </row>
    <row r="360" customFormat="false" ht="15" hidden="false" customHeight="false" outlineLevel="0" collapsed="false">
      <c r="A360" s="13" t="n">
        <f aca="false">Share_Prices!A360</f>
        <v>45328</v>
      </c>
      <c r="B360" s="14" t="n">
        <f aca="false">Share_Prices!B360/Share_Prices!B359-1</f>
        <v>0.00724334801600235</v>
      </c>
      <c r="C360" s="14" t="n">
        <f aca="false">Share_Prices!C360/Share_Prices!C359-1</f>
        <v>0.00907900370211801</v>
      </c>
      <c r="D360" s="14" t="n">
        <f aca="false">Share_Prices!D360/Share_Prices!D359-1</f>
        <v>0.00590893291623229</v>
      </c>
      <c r="E360" s="14" t="n">
        <f aca="false">Share_Prices!E360/Share_Prices!E359-1</f>
        <v>0.0203928905519177</v>
      </c>
      <c r="F360" s="14" t="n">
        <f aca="false">Share_Prices!F360/Share_Prices!F359-1</f>
        <v>-0.00236722931247435</v>
      </c>
      <c r="G360" s="14" t="n">
        <f aca="false">Share_Prices!G360/Share_Prices!G359-1</f>
        <v>0.0126483447845098</v>
      </c>
      <c r="H360" s="14" t="n">
        <f aca="false">Share_Prices!H360/Share_Prices!H359-1</f>
        <v>0.0187571049640014</v>
      </c>
      <c r="I360" s="14" t="n">
        <f aca="false">Share_Prices!I360/Share_Prices!I359-1</f>
        <v>0.00993525340477786</v>
      </c>
      <c r="J360" s="14" t="n">
        <f aca="false">Share_Prices!J360/Share_Prices!J359-1</f>
        <v>0.036623393856293</v>
      </c>
      <c r="K360" s="14" t="n">
        <f aca="false">Share_Prices!K360/Share_Prices!K359-1</f>
        <v>-0.00151533519214453</v>
      </c>
      <c r="L360" s="14" t="n">
        <f aca="false">Share_Prices!L360/Share_Prices!L359-1</f>
        <v>0.0182162185946231</v>
      </c>
      <c r="M360" s="14" t="n">
        <f aca="false">Share_Prices!M360/Share_Prices!M359-1</f>
        <v>0.0254282909528483</v>
      </c>
      <c r="N360" s="14" t="n">
        <f aca="false">Share_Prices!N360/Share_Prices!N359-1</f>
        <v>0.00109187334269234</v>
      </c>
      <c r="O360" s="14" t="n">
        <f aca="false">Share_Prices!O360/Share_Prices!O359-1</f>
        <v>0.0176142309033833</v>
      </c>
      <c r="P360" s="14" t="n">
        <f aca="false">Share_Prices!P360/Share_Prices!P359-1</f>
        <v>0.0191292875989446</v>
      </c>
      <c r="Q360" s="14" t="n">
        <f aca="false">Share_Prices!Q360/Share_Prices!Q359-1</f>
        <v>0.017600499895855</v>
      </c>
      <c r="R360" s="14" t="n">
        <f aca="false">Share_Prices!R360/Share_Prices!R359-1</f>
        <v>0.00775083552584799</v>
      </c>
      <c r="S360" s="14" t="n">
        <f aca="false">Share_Prices!S360/Share_Prices!S359-1</f>
        <v>0.0166942429256289</v>
      </c>
    </row>
    <row r="361" customFormat="false" ht="15" hidden="false" customHeight="false" outlineLevel="0" collapsed="false">
      <c r="A361" s="13" t="n">
        <f aca="false">Share_Prices!A361</f>
        <v>45329</v>
      </c>
      <c r="B361" s="14" t="n">
        <f aca="false">Share_Prices!B361/Share_Prices!B360-1</f>
        <v>5.01609711163198E-005</v>
      </c>
      <c r="C361" s="14" t="n">
        <f aca="false">Share_Prices!C361/Share_Prices!C360-1</f>
        <v>0.00378361514943526</v>
      </c>
      <c r="D361" s="14" t="n">
        <f aca="false">Share_Prices!D361/Share_Prices!D360-1</f>
        <v>-0.00590877677954382</v>
      </c>
      <c r="E361" s="14" t="n">
        <f aca="false">Share_Prices!E361/Share_Prices!E360-1</f>
        <v>0.0401540154015403</v>
      </c>
      <c r="F361" s="14" t="n">
        <f aca="false">Share_Prices!F361/Share_Prices!F360-1</f>
        <v>0.0268234808624781</v>
      </c>
      <c r="G361" s="14" t="n">
        <f aca="false">Share_Prices!G361/Share_Prices!G360-1</f>
        <v>-0.00385505011565146</v>
      </c>
      <c r="H361" s="14" t="n">
        <f aca="false">Share_Prices!H361/Share_Prices!H360-1</f>
        <v>0.0182877688921952</v>
      </c>
      <c r="I361" s="14" t="n">
        <f aca="false">Share_Prices!I361/Share_Prices!I360-1</f>
        <v>0.0497402453852105</v>
      </c>
      <c r="J361" s="14" t="n">
        <f aca="false">Share_Prices!J361/Share_Prices!J360-1</f>
        <v>-0.0169820579011372</v>
      </c>
      <c r="K361" s="14" t="n">
        <f aca="false">Share_Prices!K361/Share_Prices!K360-1</f>
        <v>0.0168305712377832</v>
      </c>
      <c r="L361" s="14" t="n">
        <f aca="false">Share_Prices!L361/Share_Prices!L360-1</f>
        <v>0.00237673393543925</v>
      </c>
      <c r="M361" s="14" t="n">
        <f aca="false">Share_Prices!M361/Share_Prices!M360-1</f>
        <v>-0.00148230498425039</v>
      </c>
      <c r="N361" s="14" t="n">
        <f aca="false">Share_Prices!N361/Share_Prices!N360-1</f>
        <v>0.0190955991828536</v>
      </c>
      <c r="O361" s="14" t="n">
        <f aca="false">Share_Prices!O361/Share_Prices!O360-1</f>
        <v>0.0173093401885176</v>
      </c>
      <c r="P361" s="14" t="n">
        <f aca="false">Share_Prices!P361/Share_Prices!P360-1</f>
        <v>0.0249190938511328</v>
      </c>
      <c r="Q361" s="14" t="n">
        <f aca="false">Share_Prices!Q361/Share_Prices!Q360-1</f>
        <v>0.0111554600347967</v>
      </c>
      <c r="R361" s="14" t="n">
        <f aca="false">Share_Prices!R361/Share_Prices!R360-1</f>
        <v>0.0233559130680214</v>
      </c>
      <c r="S361" s="14" t="n">
        <f aca="false">Share_Prices!S361/Share_Prices!S360-1</f>
        <v>0.00717728306453291</v>
      </c>
    </row>
    <row r="362" customFormat="false" ht="15" hidden="false" customHeight="false" outlineLevel="0" collapsed="false">
      <c r="A362" s="13" t="n">
        <f aca="false">Share_Prices!A362</f>
        <v>45330</v>
      </c>
      <c r="B362" s="14" t="n">
        <f aca="false">Share_Prices!B362/Share_Prices!B361-1</f>
        <v>-0.00969198148697015</v>
      </c>
      <c r="C362" s="14" t="n">
        <f aca="false">Share_Prices!C362/Share_Prices!C361-1</f>
        <v>-0.00606676927131633</v>
      </c>
      <c r="D362" s="14" t="n">
        <f aca="false">Share_Prices!D362/Share_Prices!D361-1</f>
        <v>-0.0141819319406306</v>
      </c>
      <c r="E362" s="14" t="n">
        <f aca="false">Share_Prices!E362/Share_Prices!E361-1</f>
        <v>-0.0442446677243082</v>
      </c>
      <c r="F362" s="14" t="n">
        <f aca="false">Share_Prices!F362/Share_Prices!F361-1</f>
        <v>0.00361699989952791</v>
      </c>
      <c r="G362" s="14" t="n">
        <f aca="false">Share_Prices!G362/Share_Prices!G361-1</f>
        <v>0.00247678018575859</v>
      </c>
      <c r="H362" s="14" t="n">
        <f aca="false">Share_Prices!H362/Share_Prices!H361-1</f>
        <v>-0.0155241690003652</v>
      </c>
      <c r="I362" s="14" t="n">
        <f aca="false">Share_Prices!I362/Share_Prices!I361-1</f>
        <v>-0.014109718858587</v>
      </c>
      <c r="J362" s="14" t="n">
        <f aca="false">Share_Prices!J362/Share_Prices!J361-1</f>
        <v>-0.0128046530807128</v>
      </c>
      <c r="K362" s="14" t="n">
        <f aca="false">Share_Prices!K362/Share_Prices!K361-1</f>
        <v>-0.0199101505947673</v>
      </c>
      <c r="L362" s="14" t="n">
        <f aca="false">Share_Prices!L362/Share_Prices!L361-1</f>
        <v>-0.0227194343852387</v>
      </c>
      <c r="M362" s="14" t="n">
        <f aca="false">Share_Prices!M362/Share_Prices!M361-1</f>
        <v>-0.0410094637223974</v>
      </c>
      <c r="N362" s="14" t="n">
        <f aca="false">Share_Prices!N362/Share_Prices!N361-1</f>
        <v>-0.0241909453835046</v>
      </c>
      <c r="O362" s="14" t="n">
        <f aca="false">Share_Prices!O362/Share_Prices!O361-1</f>
        <v>-0.016677897574124</v>
      </c>
      <c r="P362" s="14" t="n">
        <f aca="false">Share_Prices!P362/Share_Prices!P361-1</f>
        <v>-0.04588990632565</v>
      </c>
      <c r="Q362" s="14" t="n">
        <f aca="false">Share_Prices!Q362/Share_Prices!Q361-1</f>
        <v>-0.0109311740890687</v>
      </c>
      <c r="R362" s="14" t="n">
        <f aca="false">Share_Prices!R362/Share_Prices!R361-1</f>
        <v>-0.00510239260842571</v>
      </c>
      <c r="S362" s="14" t="n">
        <f aca="false">Share_Prices!S362/Share_Prices!S361-1</f>
        <v>-0.0272201851966939</v>
      </c>
    </row>
    <row r="363" customFormat="false" ht="15" hidden="false" customHeight="false" outlineLevel="0" collapsed="false">
      <c r="A363" s="13" t="n">
        <f aca="false">Share_Prices!A363</f>
        <v>45331</v>
      </c>
      <c r="B363" s="14" t="n">
        <f aca="false">Share_Prices!B363/Share_Prices!B362-1</f>
        <v>0.00297219581037811</v>
      </c>
      <c r="C363" s="14" t="n">
        <f aca="false">Share_Prices!C363/Share_Prices!C362-1</f>
        <v>-0.00130331131129124</v>
      </c>
      <c r="D363" s="14" t="n">
        <f aca="false">Share_Prices!D363/Share_Prices!D362-1</f>
        <v>-0.00673460033144102</v>
      </c>
      <c r="E363" s="14" t="n">
        <f aca="false">Share_Prices!E363/Share_Prices!E362-1</f>
        <v>-0.00510266814213689</v>
      </c>
      <c r="F363" s="14" t="n">
        <f aca="false">Share_Prices!F363/Share_Prices!F362-1</f>
        <v>-0.0153669035939533</v>
      </c>
      <c r="G363" s="14" t="n">
        <f aca="false">Share_Prices!G363/Share_Prices!G362-1</f>
        <v>0.00401482396541075</v>
      </c>
      <c r="H363" s="14" t="n">
        <f aca="false">Share_Prices!H363/Share_Prices!H362-1</f>
        <v>0.0213963267577764</v>
      </c>
      <c r="I363" s="14" t="n">
        <f aca="false">Share_Prices!I363/Share_Prices!I362-1</f>
        <v>-0.02136067499733</v>
      </c>
      <c r="J363" s="14" t="n">
        <f aca="false">Share_Prices!J363/Share_Prices!J362-1</f>
        <v>0.00870578407017408</v>
      </c>
      <c r="K363" s="14" t="n">
        <f aca="false">Share_Prices!K363/Share_Prices!K362-1</f>
        <v>0.0119999390866037</v>
      </c>
      <c r="L363" s="14" t="n">
        <f aca="false">Share_Prices!L363/Share_Prices!L362-1</f>
        <v>-0.00983722263884612</v>
      </c>
      <c r="M363" s="14" t="n">
        <f aca="false">Share_Prices!M363/Share_Prices!M362-1</f>
        <v>0.0294440144478842</v>
      </c>
      <c r="N363" s="14" t="n">
        <f aca="false">Share_Prices!N363/Share_Prices!N362-1</f>
        <v>-0.0147977925175398</v>
      </c>
      <c r="O363" s="14" t="n">
        <f aca="false">Share_Prices!O363/Share_Prices!O362-1</f>
        <v>-0.0102792530409457</v>
      </c>
      <c r="P363" s="14" t="n">
        <f aca="false">Share_Prices!P363/Share_Prices!P362-1</f>
        <v>0.013200956058099</v>
      </c>
      <c r="Q363" s="14" t="n">
        <f aca="false">Share_Prices!Q363/Share_Prices!Q362-1</f>
        <v>-0.015861645517806</v>
      </c>
      <c r="R363" s="14" t="n">
        <f aca="false">Share_Prices!R363/Share_Prices!R362-1</f>
        <v>-0.00422759720008326</v>
      </c>
      <c r="S363" s="14" t="n">
        <f aca="false">Share_Prices!S363/Share_Prices!S362-1</f>
        <v>-0.0058987627504844</v>
      </c>
    </row>
    <row r="364" customFormat="false" ht="15" hidden="false" customHeight="false" outlineLevel="0" collapsed="false">
      <c r="A364" s="13" t="n">
        <f aca="false">Share_Prices!A364</f>
        <v>45334</v>
      </c>
      <c r="B364" s="14" t="n">
        <f aca="false">Share_Prices!B364/Share_Prices!B363-1</f>
        <v>-0.00764145529668314</v>
      </c>
      <c r="C364" s="14" t="n">
        <f aca="false">Share_Prices!C364/Share_Prices!C363-1</f>
        <v>-0.0143426095233323</v>
      </c>
      <c r="D364" s="14" t="n">
        <f aca="false">Share_Prices!D364/Share_Prices!D363-1</f>
        <v>-0.016364927227547</v>
      </c>
      <c r="E364" s="14" t="n">
        <f aca="false">Share_Prices!E364/Share_Prices!E363-1</f>
        <v>-0.0308966199097819</v>
      </c>
      <c r="F364" s="14" t="n">
        <f aca="false">Share_Prices!F364/Share_Prices!F363-1</f>
        <v>-0.030959280158609</v>
      </c>
      <c r="G364" s="14" t="n">
        <f aca="false">Share_Prices!G364/Share_Prices!G363-1</f>
        <v>-0.0457551522608428</v>
      </c>
      <c r="H364" s="14" t="n">
        <f aca="false">Share_Prices!H364/Share_Prices!H363-1</f>
        <v>-0.0466186353454017</v>
      </c>
      <c r="I364" s="14" t="n">
        <f aca="false">Share_Prices!I364/Share_Prices!I363-1</f>
        <v>-0.0734475608425188</v>
      </c>
      <c r="J364" s="14" t="n">
        <f aca="false">Share_Prices!J364/Share_Prices!J363-1</f>
        <v>-0.0392955996774405</v>
      </c>
      <c r="K364" s="14" t="n">
        <f aca="false">Share_Prices!K364/Share_Prices!K363-1</f>
        <v>-0.0128357535174177</v>
      </c>
      <c r="L364" s="14" t="n">
        <f aca="false">Share_Prices!L364/Share_Prices!L363-1</f>
        <v>-0.0184888176067005</v>
      </c>
      <c r="M364" s="14" t="n">
        <f aca="false">Share_Prices!M364/Share_Prices!M363-1</f>
        <v>0.0180132201372138</v>
      </c>
      <c r="N364" s="14" t="n">
        <f aca="false">Share_Prices!N364/Share_Prices!N363-1</f>
        <v>-0.0172465586400664</v>
      </c>
      <c r="O364" s="14" t="n">
        <f aca="false">Share_Prices!O364/Share_Prices!O363-1</f>
        <v>-0.0287346373550286</v>
      </c>
      <c r="P364" s="14" t="n">
        <f aca="false">Share_Prices!P364/Share_Prices!P363-1</f>
        <v>-0.0192349568120781</v>
      </c>
      <c r="Q364" s="14" t="n">
        <f aca="false">Share_Prices!Q364/Share_Prices!Q363-1</f>
        <v>-0.0214204013725694</v>
      </c>
      <c r="R364" s="14" t="n">
        <f aca="false">Share_Prices!R364/Share_Prices!R363-1</f>
        <v>-0.00772550111358572</v>
      </c>
      <c r="S364" s="14" t="n">
        <f aca="false">Share_Prices!S364/Share_Prices!S363-1</f>
        <v>-0.0307827428130757</v>
      </c>
    </row>
    <row r="365" customFormat="false" ht="15" hidden="false" customHeight="false" outlineLevel="0" collapsed="false">
      <c r="A365" s="13" t="n">
        <f aca="false">Share_Prices!A365</f>
        <v>45335</v>
      </c>
      <c r="B365" s="14" t="n">
        <f aca="false">Share_Prices!B365/Share_Prices!B364-1</f>
        <v>0.00588451636631127</v>
      </c>
      <c r="C365" s="14" t="n">
        <f aca="false">Share_Prices!C365/Share_Prices!C364-1</f>
        <v>0.00547389607221271</v>
      </c>
      <c r="D365" s="14" t="n">
        <f aca="false">Share_Prices!D365/Share_Prices!D364-1</f>
        <v>0.0193438954852214</v>
      </c>
      <c r="E365" s="14" t="n">
        <f aca="false">Share_Prices!E365/Share_Prices!E364-1</f>
        <v>0.0170885672384109</v>
      </c>
      <c r="F365" s="14" t="n">
        <f aca="false">Share_Prices!F365/Share_Prices!F364-1</f>
        <v>0.00125904941768962</v>
      </c>
      <c r="G365" s="14" t="n">
        <f aca="false">Share_Prices!G365/Share_Prices!G364-1</f>
        <v>0.0170037875735352</v>
      </c>
      <c r="H365" s="14" t="n">
        <f aca="false">Share_Prices!H365/Share_Prices!H364-1</f>
        <v>-0.0122563027878326</v>
      </c>
      <c r="I365" s="14" t="n">
        <f aca="false">Share_Prices!I365/Share_Prices!I364-1</f>
        <v>0.0746760895170788</v>
      </c>
      <c r="J365" s="14" t="n">
        <f aca="false">Share_Prices!J365/Share_Prices!J364-1</f>
        <v>0.0161297640653357</v>
      </c>
      <c r="K365" s="14" t="n">
        <f aca="false">Share_Prices!K365/Share_Prices!K364-1</f>
        <v>0.00525898600652419</v>
      </c>
      <c r="L365" s="14" t="n">
        <f aca="false">Share_Prices!L365/Share_Prices!L364-1</f>
        <v>0.0364486405519495</v>
      </c>
      <c r="M365" s="14" t="n">
        <f aca="false">Share_Prices!M365/Share_Prices!M364-1</f>
        <v>0.00406203840472674</v>
      </c>
      <c r="N365" s="14" t="n">
        <f aca="false">Share_Prices!N365/Share_Prices!N364-1</f>
        <v>0.00436932482244012</v>
      </c>
      <c r="O365" s="14" t="n">
        <f aca="false">Share_Prices!O365/Share_Prices!O364-1</f>
        <v>0.0213865621101408</v>
      </c>
      <c r="P365" s="14" t="n">
        <f aca="false">Share_Prices!P365/Share_Prices!P364-1</f>
        <v>0.0119893428063944</v>
      </c>
      <c r="Q365" s="14" t="n">
        <f aca="false">Share_Prices!Q365/Share_Prices!Q364-1</f>
        <v>0.0277335033471471</v>
      </c>
      <c r="R365" s="14" t="n">
        <f aca="false">Share_Prices!R365/Share_Prices!R364-1</f>
        <v>0.0114329802903836</v>
      </c>
      <c r="S365" s="14" t="n">
        <f aca="false">Share_Prices!S365/Share_Prices!S364-1</f>
        <v>0.0302353851254282</v>
      </c>
    </row>
    <row r="366" customFormat="false" ht="15" hidden="false" customHeight="false" outlineLevel="0" collapsed="false">
      <c r="A366" s="13" t="n">
        <f aca="false">Share_Prices!A366</f>
        <v>45336</v>
      </c>
      <c r="B366" s="14" t="n">
        <f aca="false">Share_Prices!B366/Share_Prices!B365-1</f>
        <v>0.00445195635427087</v>
      </c>
      <c r="C366" s="14" t="n">
        <f aca="false">Share_Prices!C366/Share_Prices!C365-1</f>
        <v>0.00704648964509746</v>
      </c>
      <c r="D366" s="14" t="n">
        <f aca="false">Share_Prices!D366/Share_Prices!D365-1</f>
        <v>0.0174190122145512</v>
      </c>
      <c r="E366" s="14" t="n">
        <f aca="false">Share_Prices!E366/Share_Prices!E365-1</f>
        <v>0.00821265124443626</v>
      </c>
      <c r="F366" s="14" t="n">
        <f aca="false">Share_Prices!F366/Share_Prices!F365-1</f>
        <v>-0.019909881588599</v>
      </c>
      <c r="G366" s="14" t="n">
        <f aca="false">Share_Prices!G366/Share_Prices!G365-1</f>
        <v>0.00887480190174328</v>
      </c>
      <c r="H366" s="14" t="n">
        <f aca="false">Share_Prices!H366/Share_Prices!H365-1</f>
        <v>0.00803651793750793</v>
      </c>
      <c r="I366" s="14" t="n">
        <f aca="false">Share_Prices!I366/Share_Prices!I365-1</f>
        <v>0.0449364313897414</v>
      </c>
      <c r="J366" s="14" t="n">
        <f aca="false">Share_Prices!J366/Share_Prices!J365-1</f>
        <v>0.0268580741666851</v>
      </c>
      <c r="K366" s="14" t="n">
        <f aca="false">Share_Prices!K366/Share_Prices!K365-1</f>
        <v>0.00649006019985743</v>
      </c>
      <c r="L366" s="14" t="n">
        <f aca="false">Share_Prices!L366/Share_Prices!L365-1</f>
        <v>-0.0144521327844442</v>
      </c>
      <c r="M366" s="14" t="n">
        <f aca="false">Share_Prices!M366/Share_Prices!M365-1</f>
        <v>-0.0225266642147849</v>
      </c>
      <c r="N366" s="14" t="n">
        <f aca="false">Share_Prices!N366/Share_Prices!N365-1</f>
        <v>-0.0011278599305381</v>
      </c>
      <c r="O366" s="14" t="n">
        <f aca="false">Share_Prices!O366/Share_Prices!O365-1</f>
        <v>0.00854999127551914</v>
      </c>
      <c r="P366" s="14" t="n">
        <f aca="false">Share_Prices!P366/Share_Prices!P365-1</f>
        <v>0.00866608161474325</v>
      </c>
      <c r="Q366" s="14" t="n">
        <f aca="false">Share_Prices!Q366/Share_Prices!Q365-1</f>
        <v>0.00496277915632759</v>
      </c>
      <c r="R366" s="14" t="n">
        <f aca="false">Share_Prices!R366/Share_Prices!R365-1</f>
        <v>-0.00256588072122055</v>
      </c>
      <c r="S366" s="14" t="n">
        <f aca="false">Share_Prices!S366/Share_Prices!S365-1</f>
        <v>0.0268809130500076</v>
      </c>
    </row>
    <row r="367" customFormat="false" ht="15" hidden="false" customHeight="false" outlineLevel="0" collapsed="false">
      <c r="A367" s="13" t="n">
        <f aca="false">Share_Prices!A367</f>
        <v>45337</v>
      </c>
      <c r="B367" s="14" t="n">
        <f aca="false">Share_Prices!B367/Share_Prices!B366-1</f>
        <v>0.00323717207607133</v>
      </c>
      <c r="C367" s="14" t="n">
        <f aca="false">Share_Prices!C367/Share_Prices!C366-1</f>
        <v>0.00575736737224108</v>
      </c>
      <c r="D367" s="14" t="n">
        <f aca="false">Share_Prices!D367/Share_Prices!D366-1</f>
        <v>-0.0115878484184152</v>
      </c>
      <c r="E367" s="14" t="n">
        <f aca="false">Share_Prices!E367/Share_Prices!E366-1</f>
        <v>0.0158562367864694</v>
      </c>
      <c r="F367" s="14" t="n">
        <f aca="false">Share_Prices!F367/Share_Prices!F366-1</f>
        <v>-0.0065754303432054</v>
      </c>
      <c r="G367" s="14" t="n">
        <f aca="false">Share_Prices!G367/Share_Prices!G366-1</f>
        <v>0.0021206409048069</v>
      </c>
      <c r="H367" s="14" t="n">
        <f aca="false">Share_Prices!H367/Share_Prices!H366-1</f>
        <v>-0.00267874226672626</v>
      </c>
      <c r="I367" s="14" t="n">
        <f aca="false">Share_Prices!I367/Share_Prices!I366-1</f>
        <v>-0.0140549611915251</v>
      </c>
      <c r="J367" s="14" t="n">
        <f aca="false">Share_Prices!J367/Share_Prices!J366-1</f>
        <v>0.0110014349697787</v>
      </c>
      <c r="K367" s="14" t="n">
        <f aca="false">Share_Prices!K367/Share_Prices!K366-1</f>
        <v>-0.00408286252354051</v>
      </c>
      <c r="L367" s="14" t="n">
        <f aca="false">Share_Prices!L367/Share_Prices!L366-1</f>
        <v>-0.00062211162460013</v>
      </c>
      <c r="M367" s="14" t="n">
        <f aca="false">Share_Prices!M367/Share_Prices!M366-1</f>
        <v>-0.0235474869093533</v>
      </c>
      <c r="N367" s="14" t="n">
        <f aca="false">Share_Prices!N367/Share_Prices!N366-1</f>
        <v>0.00835200286764048</v>
      </c>
      <c r="O367" s="14" t="n">
        <f aca="false">Share_Prices!O367/Share_Prices!O366-1</f>
        <v>-0.00882352941176479</v>
      </c>
      <c r="P367" s="14" t="n">
        <f aca="false">Share_Prices!P367/Share_Prices!P366-1</f>
        <v>-0.0260286387529455</v>
      </c>
      <c r="Q367" s="14" t="n">
        <f aca="false">Share_Prices!Q367/Share_Prices!Q366-1</f>
        <v>0.0125514403292182</v>
      </c>
      <c r="R367" s="14" t="n">
        <f aca="false">Share_Prices!R367/Share_Prices!R366-1</f>
        <v>-0.00778697072933332</v>
      </c>
      <c r="S367" s="14" t="n">
        <f aca="false">Share_Prices!S367/Share_Prices!S366-1</f>
        <v>0.018510007103163</v>
      </c>
    </row>
    <row r="368" customFormat="false" ht="15" hidden="false" customHeight="false" outlineLevel="0" collapsed="false">
      <c r="A368" s="13" t="n">
        <f aca="false">Share_Prices!A368</f>
        <v>45338</v>
      </c>
      <c r="B368" s="14" t="n">
        <f aca="false">Share_Prices!B368/Share_Prices!B367-1</f>
        <v>0.00593087867827435</v>
      </c>
      <c r="C368" s="14" t="n">
        <f aca="false">Share_Prices!C368/Share_Prices!C367-1</f>
        <v>0.00638319109647156</v>
      </c>
      <c r="D368" s="14" t="n">
        <f aca="false">Share_Prices!D368/Share_Prices!D367-1</f>
        <v>0.00179552175749897</v>
      </c>
      <c r="E368" s="14" t="n">
        <f aca="false">Share_Prices!E368/Share_Prices!E367-1</f>
        <v>-0.0117524637326315</v>
      </c>
      <c r="F368" s="14" t="n">
        <f aca="false">Share_Prices!F368/Share_Prices!F367-1</f>
        <v>0.0106010870150137</v>
      </c>
      <c r="G368" s="14" t="n">
        <f aca="false">Share_Prices!G368/Share_Prices!G367-1</f>
        <v>0.00595657966925312</v>
      </c>
      <c r="H368" s="14" t="n">
        <f aca="false">Share_Prices!H368/Share_Prices!H367-1</f>
        <v>-0.0166911811728593</v>
      </c>
      <c r="I368" s="14" t="n">
        <f aca="false">Share_Prices!I368/Share_Prices!I367-1</f>
        <v>-0.0298936170212766</v>
      </c>
      <c r="J368" s="14" t="n">
        <f aca="false">Share_Prices!J368/Share_Prices!J367-1</f>
        <v>-0.00027956989247313</v>
      </c>
      <c r="K368" s="14" t="n">
        <f aca="false">Share_Prices!K368/Share_Prices!K367-1</f>
        <v>-3.02553551978502E-005</v>
      </c>
      <c r="L368" s="14" t="n">
        <f aca="false">Share_Prices!L368/Share_Prices!L367-1</f>
        <v>0.0173410404624277</v>
      </c>
      <c r="M368" s="14" t="n">
        <f aca="false">Share_Prices!M368/Share_Prices!M367-1</f>
        <v>0.000834885363817373</v>
      </c>
      <c r="N368" s="14" t="n">
        <f aca="false">Share_Prices!N368/Share_Prices!N367-1</f>
        <v>0.0469597056575601</v>
      </c>
      <c r="O368" s="14" t="n">
        <f aca="false">Share_Prices!O368/Share_Prices!O367-1</f>
        <v>0.0106475824751266</v>
      </c>
      <c r="P368" s="14" t="n">
        <f aca="false">Share_Prices!P368/Share_Prices!P367-1</f>
        <v>0.0101611642535453</v>
      </c>
      <c r="Q368" s="14" t="n">
        <f aca="false">Share_Prices!Q368/Share_Prices!Q367-1</f>
        <v>-0.0487705750863645</v>
      </c>
      <c r="R368" s="14" t="n">
        <f aca="false">Share_Prices!R368/Share_Prices!R367-1</f>
        <v>0.00630649569056119</v>
      </c>
      <c r="S368" s="14" t="n">
        <f aca="false">Share_Prices!S368/Share_Prices!S367-1</f>
        <v>0.00484082704299316</v>
      </c>
    </row>
    <row r="369" customFormat="false" ht="15" hidden="false" customHeight="false" outlineLevel="0" collapsed="false">
      <c r="A369" s="13" t="n">
        <f aca="false">Share_Prices!A369</f>
        <v>45341</v>
      </c>
      <c r="B369" s="14" t="n">
        <f aca="false">Share_Prices!B369/Share_Prices!B368-1</f>
        <v>0.00369997323134008</v>
      </c>
      <c r="C369" s="14" t="n">
        <f aca="false">Share_Prices!C369/Share_Prices!C368-1</f>
        <v>0.0037788434358712</v>
      </c>
      <c r="D369" s="14" t="n">
        <f aca="false">Share_Prices!D369/Share_Prices!D368-1</f>
        <v>0.0137058513442276</v>
      </c>
      <c r="E369" s="14" t="n">
        <f aca="false">Share_Prices!E369/Share_Prices!E368-1</f>
        <v>-0.00718488696190767</v>
      </c>
      <c r="F369" s="14" t="n">
        <f aca="false">Share_Prices!F369/Share_Prices!F368-1</f>
        <v>-0.0597444089456869</v>
      </c>
      <c r="G369" s="14" t="n">
        <f aca="false">Share_Prices!G369/Share_Prices!G368-1</f>
        <v>-0.0107518504090377</v>
      </c>
      <c r="H369" s="14" t="n">
        <f aca="false">Share_Prices!H369/Share_Prices!H368-1</f>
        <v>-0.028095733610822</v>
      </c>
      <c r="I369" s="14" t="n">
        <f aca="false">Share_Prices!I369/Share_Prices!I368-1</f>
        <v>0.0595460028511898</v>
      </c>
      <c r="J369" s="14" t="n">
        <f aca="false">Share_Prices!J369/Share_Prices!J368-1</f>
        <v>0.0239421773829243</v>
      </c>
      <c r="K369" s="14" t="n">
        <f aca="false">Share_Prices!K369/Share_Prices!K368-1</f>
        <v>0.0141448065111496</v>
      </c>
      <c r="L369" s="14" t="n">
        <f aca="false">Share_Prices!L369/Share_Prices!L368-1</f>
        <v>-0.00930944055944061</v>
      </c>
      <c r="M369" s="14" t="n">
        <f aca="false">Share_Prices!M369/Share_Prices!M368-1</f>
        <v>-0.0176463039014374</v>
      </c>
      <c r="N369" s="14" t="n">
        <f aca="false">Share_Prices!N369/Share_Prices!N368-1</f>
        <v>0.0121216236863997</v>
      </c>
      <c r="O369" s="14" t="n">
        <f aca="false">Share_Prices!O369/Share_Prices!O368-1</f>
        <v>-0.00293609671848016</v>
      </c>
      <c r="P369" s="14" t="n">
        <f aca="false">Share_Prices!P369/Share_Prices!P368-1</f>
        <v>-0.00151068533529841</v>
      </c>
      <c r="Q369" s="14" t="n">
        <f aca="false">Share_Prices!Q369/Share_Prices!Q368-1</f>
        <v>0.0108951078829309</v>
      </c>
      <c r="R369" s="14" t="n">
        <f aca="false">Share_Prices!R369/Share_Prices!R368-1</f>
        <v>0.0144140380196365</v>
      </c>
      <c r="S369" s="14" t="n">
        <f aca="false">Share_Prices!S369/Share_Prices!S368-1</f>
        <v>-0.00387850085735275</v>
      </c>
    </row>
    <row r="370" customFormat="false" ht="15" hidden="false" customHeight="false" outlineLevel="0" collapsed="false">
      <c r="A370" s="13" t="n">
        <f aca="false">Share_Prices!A370</f>
        <v>45342</v>
      </c>
      <c r="B370" s="14" t="n">
        <f aca="false">Share_Prices!B370/Share_Prices!B369-1</f>
        <v>0.00337669088813297</v>
      </c>
      <c r="C370" s="14" t="n">
        <f aca="false">Share_Prices!C370/Share_Prices!C369-1</f>
        <v>0.00152165643171576</v>
      </c>
      <c r="D370" s="14" t="n">
        <f aca="false">Share_Prices!D370/Share_Prices!D369-1</f>
        <v>-0.00325879701854748</v>
      </c>
      <c r="E370" s="14" t="n">
        <f aca="false">Share_Prices!E370/Share_Prices!E369-1</f>
        <v>-0.00436708465905544</v>
      </c>
      <c r="F370" s="14" t="n">
        <f aca="false">Share_Prices!F370/Share_Prices!F369-1</f>
        <v>0.0521010306943028</v>
      </c>
      <c r="G370" s="14" t="n">
        <f aca="false">Share_Prices!G370/Share_Prices!G369-1</f>
        <v>0.00645821847680561</v>
      </c>
      <c r="H370" s="14" t="n">
        <f aca="false">Share_Prices!H370/Share_Prices!H369-1</f>
        <v>-0.00602248394004279</v>
      </c>
      <c r="I370" s="14" t="n">
        <f aca="false">Share_Prices!I370/Share_Prices!I369-1</f>
        <v>-0.00289795073483756</v>
      </c>
      <c r="J370" s="14" t="n">
        <f aca="false">Share_Prices!J370/Share_Prices!J369-1</f>
        <v>-0.0258403361344538</v>
      </c>
      <c r="K370" s="14" t="n">
        <f aca="false">Share_Prices!K370/Share_Prices!K369-1</f>
        <v>0.00756298760386054</v>
      </c>
      <c r="L370" s="14" t="n">
        <f aca="false">Share_Prices!L370/Share_Prices!L369-1</f>
        <v>-0.0295142718489433</v>
      </c>
      <c r="M370" s="14" t="n">
        <f aca="false">Share_Prices!M370/Share_Prices!M369-1</f>
        <v>-0.0206741132667059</v>
      </c>
      <c r="N370" s="14" t="n">
        <f aca="false">Share_Prices!N370/Share_Prices!N369-1</f>
        <v>-0.0228122850864685</v>
      </c>
      <c r="O370" s="14" t="n">
        <f aca="false">Share_Prices!O370/Share_Prices!O369-1</f>
        <v>0.00519660488480866</v>
      </c>
      <c r="P370" s="14" t="n">
        <f aca="false">Share_Prices!P370/Share_Prices!P369-1</f>
        <v>-0.0121406693973948</v>
      </c>
      <c r="Q370" s="14" t="n">
        <f aca="false">Share_Prices!Q370/Share_Prices!Q369-1</f>
        <v>-0.00919273034657642</v>
      </c>
      <c r="R370" s="14" t="n">
        <f aca="false">Share_Prices!R370/Share_Prices!R369-1</f>
        <v>0.01558209774849</v>
      </c>
      <c r="S370" s="14" t="n">
        <f aca="false">Share_Prices!S370/Share_Prices!S369-1</f>
        <v>-0.00952907906061729</v>
      </c>
    </row>
    <row r="371" customFormat="false" ht="15" hidden="false" customHeight="false" outlineLevel="0" collapsed="false">
      <c r="A371" s="13" t="n">
        <f aca="false">Share_Prices!A371</f>
        <v>45343</v>
      </c>
      <c r="B371" s="14" t="n">
        <f aca="false">Share_Prices!B371/Share_Prices!B370-1</f>
        <v>-0.00639277017788487</v>
      </c>
      <c r="C371" s="14" t="n">
        <f aca="false">Share_Prices!C371/Share_Prices!C370-1</f>
        <v>-0.00708369713741697</v>
      </c>
      <c r="D371" s="14" t="n">
        <f aca="false">Share_Prices!D371/Share_Prices!D370-1</f>
        <v>0.00389551667768084</v>
      </c>
      <c r="E371" s="14" t="n">
        <f aca="false">Share_Prices!E371/Share_Prices!E370-1</f>
        <v>-0.0148505545460242</v>
      </c>
      <c r="F371" s="14" t="n">
        <f aca="false">Share_Prices!F371/Share_Prices!F370-1</f>
        <v>-0.014533318979438</v>
      </c>
      <c r="G371" s="14" t="n">
        <f aca="false">Share_Prices!G371/Share_Prices!G370-1</f>
        <v>0.00305188199389606</v>
      </c>
      <c r="H371" s="14" t="n">
        <f aca="false">Share_Prices!H371/Share_Prices!H370-1</f>
        <v>-0.0214756967820117</v>
      </c>
      <c r="I371" s="14" t="n">
        <f aca="false">Share_Prices!I371/Share_Prices!I370-1</f>
        <v>-0.0381980485779531</v>
      </c>
      <c r="J371" s="14" t="n">
        <f aca="false">Share_Prices!J371/Share_Prices!J370-1</f>
        <v>-0.0254043562648264</v>
      </c>
      <c r="K371" s="14" t="n">
        <f aca="false">Share_Prices!K371/Share_Prices!K370-1</f>
        <v>-0.0110594575387896</v>
      </c>
      <c r="L371" s="14" t="n">
        <f aca="false">Share_Prices!L371/Share_Prices!L370-1</f>
        <v>-0.0130466406036913</v>
      </c>
      <c r="M371" s="14" t="n">
        <f aca="false">Share_Prices!M371/Share_Prices!M370-1</f>
        <v>-0.0209771552442889</v>
      </c>
      <c r="N371" s="14" t="n">
        <f aca="false">Share_Prices!N371/Share_Prices!N370-1</f>
        <v>0.00451447894673596</v>
      </c>
      <c r="O371" s="14" t="n">
        <f aca="false">Share_Prices!O371/Share_Prices!O370-1</f>
        <v>-0.00396346717215224</v>
      </c>
      <c r="P371" s="14" t="n">
        <f aca="false">Share_Prices!P371/Share_Prices!P370-1</f>
        <v>-0.0106836010459469</v>
      </c>
      <c r="Q371" s="14" t="n">
        <f aca="false">Share_Prices!Q371/Share_Prices!Q370-1</f>
        <v>-0.0206889196971314</v>
      </c>
      <c r="R371" s="14" t="n">
        <f aca="false">Share_Prices!R371/Share_Prices!R370-1</f>
        <v>-0.000675904021628981</v>
      </c>
      <c r="S371" s="14" t="n">
        <f aca="false">Share_Prices!S371/Share_Prices!S370-1</f>
        <v>-0.0251174146028593</v>
      </c>
    </row>
    <row r="372" customFormat="false" ht="15" hidden="false" customHeight="false" outlineLevel="0" collapsed="false">
      <c r="A372" s="13" t="n">
        <f aca="false">Share_Prices!A372</f>
        <v>45344</v>
      </c>
      <c r="B372" s="14" t="n">
        <f aca="false">Share_Prices!B372/Share_Prices!B371-1</f>
        <v>0.00736339296442323</v>
      </c>
      <c r="C372" s="14" t="n">
        <f aca="false">Share_Prices!C372/Share_Prices!C371-1</f>
        <v>0.00773289348827277</v>
      </c>
      <c r="D372" s="14" t="n">
        <f aca="false">Share_Prices!D372/Share_Prices!D371-1</f>
        <v>0.0117451408377507</v>
      </c>
      <c r="E372" s="14" t="n">
        <f aca="false">Share_Prices!E372/Share_Prices!E371-1</f>
        <v>0.0111308993766697</v>
      </c>
      <c r="F372" s="14" t="n">
        <f aca="false">Share_Prices!F372/Share_Prices!F371-1</f>
        <v>0.0344111863666157</v>
      </c>
      <c r="G372" s="14" t="n">
        <f aca="false">Share_Prices!G372/Share_Prices!G371-1</f>
        <v>0.00210641285691993</v>
      </c>
      <c r="H372" s="14" t="n">
        <f aca="false">Share_Prices!H372/Share_Prices!H371-1</f>
        <v>-0.0137598899208806</v>
      </c>
      <c r="I372" s="14" t="n">
        <f aca="false">Share_Prices!I372/Share_Prices!I371-1</f>
        <v>-0.00528815022663498</v>
      </c>
      <c r="J372" s="14" t="n">
        <f aca="false">Share_Prices!J372/Share_Prices!J371-1</f>
        <v>-0.00232342007434949</v>
      </c>
      <c r="K372" s="14" t="n">
        <f aca="false">Share_Prices!K372/Share_Prices!K371-1</f>
        <v>-0.00206596104615475</v>
      </c>
      <c r="L372" s="14" t="n">
        <f aca="false">Share_Prices!L372/Share_Prices!L371-1</f>
        <v>-0.00285569526967888</v>
      </c>
      <c r="M372" s="14" t="n">
        <f aca="false">Share_Prices!M372/Share_Prices!M371-1</f>
        <v>-0.00105600218013346</v>
      </c>
      <c r="N372" s="14" t="n">
        <f aca="false">Share_Prices!N372/Share_Prices!N371-1</f>
        <v>-0.00557074504442923</v>
      </c>
      <c r="O372" s="14" t="n">
        <f aca="false">Share_Prices!O372/Share_Prices!O371-1</f>
        <v>0.00570934256055367</v>
      </c>
      <c r="P372" s="14" t="n">
        <f aca="false">Share_Prices!P372/Share_Prices!P371-1</f>
        <v>0.00921310980214463</v>
      </c>
      <c r="Q372" s="14" t="n">
        <f aca="false">Share_Prices!Q372/Share_Prices!Q371-1</f>
        <v>0.0150277687030382</v>
      </c>
      <c r="R372" s="14" t="n">
        <f aca="false">Share_Prices!R372/Share_Prices!R371-1</f>
        <v>0.00202908353060538</v>
      </c>
      <c r="S372" s="14" t="n">
        <f aca="false">Share_Prices!S372/Share_Prices!S371-1</f>
        <v>0.0166599460939325</v>
      </c>
    </row>
    <row r="373" customFormat="false" ht="15" hidden="false" customHeight="false" outlineLevel="0" collapsed="false">
      <c r="A373" s="13" t="n">
        <f aca="false">Share_Prices!A373</f>
        <v>45345</v>
      </c>
      <c r="B373" s="14" t="n">
        <f aca="false">Share_Prices!B373/Share_Prices!B372-1</f>
        <v>-0.000213795912672232</v>
      </c>
      <c r="C373" s="14" t="n">
        <f aca="false">Share_Prices!C373/Share_Prices!C372-1</f>
        <v>0.00145681684287324</v>
      </c>
      <c r="D373" s="14" t="n">
        <f aca="false">Share_Prices!D373/Share_Prices!D372-1</f>
        <v>0.00520512293678532</v>
      </c>
      <c r="E373" s="14" t="n">
        <f aca="false">Share_Prices!E373/Share_Prices!E372-1</f>
        <v>0.00603887525948288</v>
      </c>
      <c r="F373" s="14" t="n">
        <f aca="false">Share_Prices!F373/Share_Prices!F372-1</f>
        <v>0.0128841482733129</v>
      </c>
      <c r="G373" s="14" t="n">
        <f aca="false">Share_Prices!G373/Share_Prices!G372-1</f>
        <v>7.78513040091688E-005</v>
      </c>
      <c r="H373" s="14" t="n">
        <f aca="false">Share_Prices!H373/Share_Prices!H372-1</f>
        <v>-0.0195326124869202</v>
      </c>
      <c r="I373" s="14" t="n">
        <f aca="false">Share_Prices!I373/Share_Prices!I372-1</f>
        <v>-0.020614082673321</v>
      </c>
      <c r="J373" s="14" t="n">
        <f aca="false">Share_Prices!J373/Share_Prices!J372-1</f>
        <v>0.0130414531904983</v>
      </c>
      <c r="K373" s="14" t="n">
        <f aca="false">Share_Prices!K373/Share_Prices!K372-1</f>
        <v>0.00342039334523458</v>
      </c>
      <c r="L373" s="14" t="n">
        <f aca="false">Share_Prices!L373/Share_Prices!L372-1</f>
        <v>0.021201903090212</v>
      </c>
      <c r="M373" s="14" t="n">
        <f aca="false">Share_Prices!M373/Share_Prices!M372-1</f>
        <v>0.00272804774083557</v>
      </c>
      <c r="N373" s="14" t="n">
        <f aca="false">Share_Prices!N373/Share_Prices!N372-1</f>
        <v>0.00317902189229113</v>
      </c>
      <c r="O373" s="14" t="n">
        <f aca="false">Share_Prices!O373/Share_Prices!O372-1</f>
        <v>0.00791329778083605</v>
      </c>
      <c r="P373" s="14" t="n">
        <f aca="false">Share_Prices!P373/Share_Prices!P372-1</f>
        <v>-0.0121595330739299</v>
      </c>
      <c r="Q373" s="14" t="n">
        <f aca="false">Share_Prices!Q373/Share_Prices!Q372-1</f>
        <v>-0.0134105782641347</v>
      </c>
      <c r="R373" s="14" t="n">
        <f aca="false">Share_Prices!R373/Share_Prices!R372-1</f>
        <v>-0.00229497131285861</v>
      </c>
      <c r="S373" s="14" t="n">
        <f aca="false">Share_Prices!S373/Share_Prices!S372-1</f>
        <v>0.0209794589178356</v>
      </c>
    </row>
    <row r="374" customFormat="false" ht="15" hidden="false" customHeight="false" outlineLevel="0" collapsed="false">
      <c r="A374" s="13" t="n">
        <f aca="false">Share_Prices!A374</f>
        <v>45348</v>
      </c>
      <c r="B374" s="14" t="n">
        <f aca="false">Share_Prices!B374/Share_Prices!B373-1</f>
        <v>-0.00408099870794643</v>
      </c>
      <c r="C374" s="14" t="n">
        <f aca="false">Share_Prices!C374/Share_Prices!C373-1</f>
        <v>-0.00284047554581934</v>
      </c>
      <c r="D374" s="14" t="n">
        <f aca="false">Share_Prices!D374/Share_Prices!D373-1</f>
        <v>-0.000783538870341438</v>
      </c>
      <c r="E374" s="14" t="n">
        <f aca="false">Share_Prices!E374/Share_Prices!E373-1</f>
        <v>-0.000437691490026926</v>
      </c>
      <c r="F374" s="14" t="n">
        <f aca="false">Share_Prices!F374/Share_Prices!F373-1</f>
        <v>-0.0321655718903139</v>
      </c>
      <c r="G374" s="14" t="n">
        <f aca="false">Share_Prices!G374/Share_Prices!G373-1</f>
        <v>0.0262338471119414</v>
      </c>
      <c r="H374" s="14" t="n">
        <f aca="false">Share_Prices!H374/Share_Prices!H373-1</f>
        <v>0.0301672002845963</v>
      </c>
      <c r="I374" s="14" t="n">
        <f aca="false">Share_Prices!I374/Share_Prices!I373-1</f>
        <v>0.0109670987038883</v>
      </c>
      <c r="J374" s="14" t="n">
        <f aca="false">Share_Prices!J374/Share_Prices!J373-1</f>
        <v>0.00105090311986866</v>
      </c>
      <c r="K374" s="14" t="n">
        <f aca="false">Share_Prices!K374/Share_Prices!K373-1</f>
        <v>-0.00814807062657919</v>
      </c>
      <c r="L374" s="14" t="n">
        <f aca="false">Share_Prices!L374/Share_Prices!L373-1</f>
        <v>0.00493034195766229</v>
      </c>
      <c r="M374" s="14" t="n">
        <f aca="false">Share_Prices!M374/Share_Prices!M373-1</f>
        <v>-0.00122428158476451</v>
      </c>
      <c r="N374" s="14" t="n">
        <f aca="false">Share_Prices!N374/Share_Prices!N373-1</f>
        <v>0.013720687233423</v>
      </c>
      <c r="O374" s="14" t="n">
        <f aca="false">Share_Prices!O374/Share_Prices!O373-1</f>
        <v>-0.0075098139614268</v>
      </c>
      <c r="P374" s="14" t="n">
        <f aca="false">Share_Prices!P374/Share_Prices!P373-1</f>
        <v>-0.010188236185282</v>
      </c>
      <c r="Q374" s="14" t="n">
        <f aca="false">Share_Prices!Q374/Share_Prices!Q373-1</f>
        <v>0.0283819051761636</v>
      </c>
      <c r="R374" s="14" t="n">
        <f aca="false">Share_Prices!R374/Share_Prices!R373-1</f>
        <v>-0.0123807590826061</v>
      </c>
      <c r="S374" s="14" t="n">
        <f aca="false">Share_Prices!S374/Share_Prices!S373-1</f>
        <v>0.0162342309186447</v>
      </c>
    </row>
    <row r="375" customFormat="false" ht="15" hidden="false" customHeight="false" outlineLevel="0" collapsed="false">
      <c r="A375" s="13" t="n">
        <f aca="false">Share_Prices!A375</f>
        <v>45349</v>
      </c>
      <c r="B375" s="14" t="n">
        <f aca="false">Share_Prices!B375/Share_Prices!B374-1</f>
        <v>0.00344904744361396</v>
      </c>
      <c r="C375" s="14" t="n">
        <f aca="false">Share_Prices!C375/Share_Prices!C374-1</f>
        <v>0.00182910573761585</v>
      </c>
      <c r="D375" s="14" t="n">
        <f aca="false">Share_Prices!D375/Share_Prices!D374-1</f>
        <v>-0.00470491970952225</v>
      </c>
      <c r="E375" s="14" t="n">
        <f aca="false">Share_Prices!E375/Share_Prices!E374-1</f>
        <v>-0.0096959839859877</v>
      </c>
      <c r="F375" s="14" t="n">
        <f aca="false">Share_Prices!F375/Share_Prices!F374-1</f>
        <v>-0.0287099380554807</v>
      </c>
      <c r="G375" s="14" t="n">
        <f aca="false">Share_Prices!G375/Share_Prices!G374-1</f>
        <v>-0.0145642114844876</v>
      </c>
      <c r="H375" s="14" t="n">
        <f aca="false">Share_Prices!H375/Share_Prices!H374-1</f>
        <v>-0.012224601146488</v>
      </c>
      <c r="I375" s="14" t="n">
        <f aca="false">Share_Prices!I375/Share_Prices!I374-1</f>
        <v>-0.0305719921104536</v>
      </c>
      <c r="J375" s="14" t="n">
        <f aca="false">Share_Prices!J375/Share_Prices!J374-1</f>
        <v>-0.00251514555037946</v>
      </c>
      <c r="K375" s="14" t="n">
        <f aca="false">Share_Prices!K375/Share_Prices!K374-1</f>
        <v>-0.0130987911127188</v>
      </c>
      <c r="L375" s="14" t="n">
        <f aca="false">Share_Prices!L375/Share_Prices!L374-1</f>
        <v>-0.0109825809065128</v>
      </c>
      <c r="M375" s="14" t="n">
        <f aca="false">Share_Prices!M375/Share_Prices!M374-1</f>
        <v>0.0126664169702748</v>
      </c>
      <c r="N375" s="14" t="n">
        <f aca="false">Share_Prices!N375/Share_Prices!N374-1</f>
        <v>-0.00221358567083463</v>
      </c>
      <c r="O375" s="14" t="n">
        <f aca="false">Share_Prices!O375/Share_Prices!O374-1</f>
        <v>-0.00601891659501286</v>
      </c>
      <c r="P375" s="14" t="n">
        <f aca="false">Share_Prices!P375/Share_Prices!P374-1</f>
        <v>-0.00948955383791239</v>
      </c>
      <c r="Q375" s="14" t="n">
        <f aca="false">Share_Prices!Q375/Share_Prices!Q374-1</f>
        <v>0.000845934228613787</v>
      </c>
      <c r="R375" s="14" t="n">
        <f aca="false">Share_Prices!R375/Share_Prices!R374-1</f>
        <v>0.00260309631456357</v>
      </c>
      <c r="S375" s="14" t="n">
        <f aca="false">Share_Prices!S375/Share_Prices!S374-1</f>
        <v>-0.0453694947991066</v>
      </c>
    </row>
    <row r="376" customFormat="false" ht="15" hidden="false" customHeight="false" outlineLevel="0" collapsed="false">
      <c r="A376" s="13" t="n">
        <f aca="false">Share_Prices!A376</f>
        <v>45350</v>
      </c>
      <c r="B376" s="14" t="n">
        <f aca="false">Share_Prices!B376/Share_Prices!B375-1</f>
        <v>-0.0111359628080464</v>
      </c>
      <c r="C376" s="14" t="n">
        <f aca="false">Share_Prices!C376/Share_Prices!C375-1</f>
        <v>-0.0134259110967655</v>
      </c>
      <c r="D376" s="14" t="n">
        <f aca="false">Share_Prices!D376/Share_Prices!D375-1</f>
        <v>0.0101736717706298</v>
      </c>
      <c r="E376" s="14" t="n">
        <f aca="false">Share_Prices!E376/Share_Prices!E375-1</f>
        <v>-0.0301307561114268</v>
      </c>
      <c r="F376" s="14" t="n">
        <f aca="false">Share_Prices!F376/Share_Prices!F375-1</f>
        <v>-0.0148070097604259</v>
      </c>
      <c r="G376" s="14" t="n">
        <f aca="false">Share_Prices!G376/Share_Prices!G375-1</f>
        <v>-0.0175506119621276</v>
      </c>
      <c r="H376" s="14" t="n">
        <f aca="false">Share_Prices!H376/Share_Prices!H375-1</f>
        <v>-0.0186687176618655</v>
      </c>
      <c r="I376" s="14" t="n">
        <f aca="false">Share_Prices!I376/Share_Prices!I375-1</f>
        <v>-0.0129987566406692</v>
      </c>
      <c r="J376" s="14" t="n">
        <f aca="false">Share_Prices!J376/Share_Prices!J375-1</f>
        <v>-0.0350815646377829</v>
      </c>
      <c r="K376" s="14" t="n">
        <f aca="false">Share_Prices!K376/Share_Prices!K375-1</f>
        <v>-0.00876697264521253</v>
      </c>
      <c r="L376" s="14" t="n">
        <f aca="false">Share_Prices!L376/Share_Prices!L375-1</f>
        <v>-0.02635052109407</v>
      </c>
      <c r="M376" s="14" t="n">
        <f aca="false">Share_Prices!M376/Share_Prices!M375-1</f>
        <v>-0.0110621700682559</v>
      </c>
      <c r="N376" s="14" t="n">
        <f aca="false">Share_Prices!N376/Share_Prices!N375-1</f>
        <v>-0.043844942336026</v>
      </c>
      <c r="O376" s="14" t="n">
        <f aca="false">Share_Prices!O376/Share_Prices!O375-1</f>
        <v>-0.0261245674740485</v>
      </c>
      <c r="P376" s="14" t="n">
        <f aca="false">Share_Prices!P376/Share_Prices!P375-1</f>
        <v>-0.0151433207138993</v>
      </c>
      <c r="Q376" s="14" t="n">
        <f aca="false">Share_Prices!Q376/Share_Prices!Q375-1</f>
        <v>-0.0364500792393027</v>
      </c>
      <c r="R376" s="14" t="n">
        <f aca="false">Share_Prices!R376/Share_Prices!R375-1</f>
        <v>-0.00321125990707827</v>
      </c>
      <c r="S376" s="14" t="n">
        <f aca="false">Share_Prices!S376/Share_Prices!S375-1</f>
        <v>-0.00994773225425738</v>
      </c>
    </row>
    <row r="377" customFormat="false" ht="15" hidden="false" customHeight="false" outlineLevel="0" collapsed="false">
      <c r="A377" s="13" t="n">
        <f aca="false">Share_Prices!A377</f>
        <v>45351</v>
      </c>
      <c r="B377" s="14" t="n">
        <f aca="false">Share_Prices!B377/Share_Prices!B376-1</f>
        <v>0.0014418378991532</v>
      </c>
      <c r="C377" s="14" t="n">
        <f aca="false">Share_Prices!C377/Share_Prices!C376-1</f>
        <v>0.00347895146950106</v>
      </c>
      <c r="D377" s="14" t="n">
        <f aca="false">Share_Prices!D377/Share_Prices!D376-1</f>
        <v>-0.0132926415734147</v>
      </c>
      <c r="E377" s="14" t="n">
        <f aca="false">Share_Prices!E377/Share_Prices!E376-1</f>
        <v>0.00879249706916774</v>
      </c>
      <c r="F377" s="14" t="n">
        <f aca="false">Share_Prices!F377/Share_Prices!F376-1</f>
        <v>-0.0225724739656628</v>
      </c>
      <c r="G377" s="14" t="n">
        <f aca="false">Share_Prices!G377/Share_Prices!G376-1</f>
        <v>0.0153568910130848</v>
      </c>
      <c r="H377" s="14" t="n">
        <f aca="false">Share_Prices!H377/Share_Prices!H376-1</f>
        <v>-0.0106875667972924</v>
      </c>
      <c r="I377" s="14" t="n">
        <f aca="false">Share_Prices!I377/Share_Prices!I376-1</f>
        <v>0.000458085203847825</v>
      </c>
      <c r="J377" s="14" t="n">
        <f aca="false">Share_Prices!J377/Share_Prices!J376-1</f>
        <v>-0.0575804399200147</v>
      </c>
      <c r="K377" s="14" t="n">
        <f aca="false">Share_Prices!K377/Share_Prices!K376-1</f>
        <v>-0.000523890969044261</v>
      </c>
      <c r="L377" s="14" t="n">
        <f aca="false">Share_Prices!L377/Share_Prices!L376-1</f>
        <v>0.0182294101149856</v>
      </c>
      <c r="M377" s="14" t="n">
        <f aca="false">Share_Prices!M377/Share_Prices!M376-1</f>
        <v>-0.000339997280021764</v>
      </c>
      <c r="N377" s="14" t="n">
        <f aca="false">Share_Prices!N377/Share_Prices!N376-1</f>
        <v>0.0156571023733618</v>
      </c>
      <c r="O377" s="14" t="n">
        <f aca="false">Share_Prices!O377/Share_Prices!O376-1</f>
        <v>0.00692840646651272</v>
      </c>
      <c r="P377" s="14" t="n">
        <f aca="false">Share_Prices!P377/Share_Prices!P376-1</f>
        <v>0.0227896760021966</v>
      </c>
      <c r="Q377" s="14" t="n">
        <f aca="false">Share_Prices!Q377/Share_Prices!Q376-1</f>
        <v>0.0241228070175439</v>
      </c>
      <c r="R377" s="14" t="n">
        <f aca="false">Share_Prices!R377/Share_Prices!R376-1</f>
        <v>-0.0134347796284873</v>
      </c>
      <c r="S377" s="14" t="n">
        <f aca="false">Share_Prices!S377/Share_Prices!S376-1</f>
        <v>0.038232288828338</v>
      </c>
    </row>
    <row r="378" customFormat="false" ht="15" hidden="false" customHeight="false" outlineLevel="0" collapsed="false">
      <c r="A378" s="13" t="n">
        <f aca="false">Share_Prices!A378</f>
        <v>45352</v>
      </c>
      <c r="B378" s="14" t="n">
        <f aca="false">Share_Prices!B378/Share_Prices!B377-1</f>
        <v>0.0161922048146734</v>
      </c>
      <c r="C378" s="14" t="n">
        <f aca="false">Share_Prices!C378/Share_Prices!C377-1</f>
        <v>0.012929285890279</v>
      </c>
      <c r="D378" s="14" t="n">
        <f aca="false">Share_Prices!D378/Share_Prices!D377-1</f>
        <v>-0.0123719843288198</v>
      </c>
      <c r="E378" s="14" t="n">
        <f aca="false">Share_Prices!E378/Share_Prices!E377-1</f>
        <v>0.0233714248821744</v>
      </c>
      <c r="F378" s="14" t="n">
        <f aca="false">Share_Prices!F378/Share_Prices!F377-1</f>
        <v>0.0443446210550564</v>
      </c>
      <c r="G378" s="14" t="n">
        <f aca="false">Share_Prices!G378/Share_Prices!G377-1</f>
        <v>0.00123466316845433</v>
      </c>
      <c r="H378" s="14" t="n">
        <f aca="false">Share_Prices!H378/Share_Prices!H377-1</f>
        <v>0.0449405833633418</v>
      </c>
      <c r="I378" s="14" t="n">
        <f aca="false">Share_Prices!I378/Share_Prices!I377-1</f>
        <v>-0.00492216117216127</v>
      </c>
      <c r="J378" s="14" t="n">
        <f aca="false">Share_Prices!J378/Share_Prices!J377-1</f>
        <v>-0.00925881275015661</v>
      </c>
      <c r="K378" s="14" t="n">
        <f aca="false">Share_Prices!K378/Share_Prices!K377-1</f>
        <v>0.0117166422569954</v>
      </c>
      <c r="L378" s="14" t="n">
        <f aca="false">Share_Prices!L378/Share_Prices!L377-1</f>
        <v>0.0061053984575834</v>
      </c>
      <c r="M378" s="14" t="n">
        <f aca="false">Share_Prices!M378/Share_Prices!M377-1</f>
        <v>0.00948915039793219</v>
      </c>
      <c r="N378" s="14" t="n">
        <f aca="false">Share_Prices!N378/Share_Prices!N377-1</f>
        <v>0.0541294642857142</v>
      </c>
      <c r="O378" s="14" t="n">
        <f aca="false">Share_Prices!O378/Share_Prices!O377-1</f>
        <v>0.0153493295695131</v>
      </c>
      <c r="P378" s="14" t="n">
        <f aca="false">Share_Prices!P378/Share_Prices!P377-1</f>
        <v>0.0134995206136146</v>
      </c>
      <c r="Q378" s="14" t="n">
        <f aca="false">Share_Prices!Q378/Share_Prices!Q377-1</f>
        <v>-0.0091006423982869</v>
      </c>
      <c r="R378" s="14" t="n">
        <f aca="false">Share_Prices!R378/Share_Prices!R377-1</f>
        <v>-0.00243173765024662</v>
      </c>
      <c r="S378" s="14" t="n">
        <f aca="false">Share_Prices!S378/Share_Prices!S377-1</f>
        <v>0.00485934552612144</v>
      </c>
    </row>
    <row r="379" customFormat="false" ht="15" hidden="false" customHeight="false" outlineLevel="0" collapsed="false">
      <c r="A379" s="13" t="n">
        <f aca="false">Share_Prices!A379</f>
        <v>45353</v>
      </c>
      <c r="B379" s="14" t="n">
        <f aca="false">Share_Prices!B379/Share_Prices!B378-1</f>
        <v>0.00177494264450795</v>
      </c>
      <c r="C379" s="14" t="n">
        <f aca="false">Share_Prices!C379/Share_Prices!C378-1</f>
        <v>0.00351600507130279</v>
      </c>
      <c r="D379" s="14" t="n">
        <f aca="false">Share_Prices!D379/Share_Prices!D378-1</f>
        <v>0.0121441993179761</v>
      </c>
      <c r="E379" s="14" t="n">
        <f aca="false">Share_Prices!E379/Share_Prices!E378-1</f>
        <v>-0.00264967509936265</v>
      </c>
      <c r="F379" s="14" t="n">
        <f aca="false">Share_Prices!F379/Share_Prices!F378-1</f>
        <v>0.00474247270320949</v>
      </c>
      <c r="G379" s="14" t="n">
        <f aca="false">Share_Prices!G379/Share_Prices!G378-1</f>
        <v>-0.000539499036608881</v>
      </c>
      <c r="H379" s="14" t="n">
        <f aca="false">Share_Prices!H379/Share_Prices!H378-1</f>
        <v>0.00978702874078152</v>
      </c>
      <c r="I379" s="14" t="n">
        <f aca="false">Share_Prices!I379/Share_Prices!I378-1</f>
        <v>0.0192108593120903</v>
      </c>
      <c r="J379" s="14" t="n">
        <f aca="false">Share_Prices!J379/Share_Prices!J378-1</f>
        <v>0.010951569724994</v>
      </c>
      <c r="K379" s="14" t="n">
        <f aca="false">Share_Prices!K379/Share_Prices!K378-1</f>
        <v>0.00196571428571413</v>
      </c>
      <c r="L379" s="14" t="n">
        <f aca="false">Share_Prices!L379/Share_Prices!L378-1</f>
        <v>0.00232696080667982</v>
      </c>
      <c r="M379" s="14" t="n">
        <f aca="false">Share_Prices!M379/Share_Prices!M378-1</f>
        <v>0.00670462585492415</v>
      </c>
      <c r="N379" s="14" t="n">
        <f aca="false">Share_Prices!N379/Share_Prices!N378-1</f>
        <v>0.0298934621492852</v>
      </c>
      <c r="O379" s="14" t="n">
        <f aca="false">Share_Prices!O379/Share_Prices!O378-1</f>
        <v>-0.000347523892267665</v>
      </c>
      <c r="P379" s="14" t="n">
        <f aca="false">Share_Prices!P379/Share_Prices!P378-1</f>
        <v>0.00200552465281723</v>
      </c>
      <c r="Q379" s="14" t="n">
        <f aca="false">Share_Prices!Q379/Share_Prices!Q378-1</f>
        <v>0.00572663425175568</v>
      </c>
      <c r="R379" s="14" t="n">
        <f aca="false">Share_Prices!R379/Share_Prices!R378-1</f>
        <v>0.00473603565956249</v>
      </c>
      <c r="S379" s="14" t="n">
        <f aca="false">Share_Prices!S379/Share_Prices!S378-1</f>
        <v>0.00273419167907951</v>
      </c>
    </row>
    <row r="380" customFormat="false" ht="15" hidden="false" customHeight="false" outlineLevel="0" collapsed="false">
      <c r="A380" s="13" t="n">
        <f aca="false">Share_Prices!A380</f>
        <v>45355</v>
      </c>
      <c r="B380" s="14" t="n">
        <f aca="false">Share_Prices!B380/Share_Prices!B379-1</f>
        <v>0.00121545776284271</v>
      </c>
      <c r="C380" s="14" t="n">
        <f aca="false">Share_Prices!C380/Share_Prices!C379-1</f>
        <v>0.000523961442314036</v>
      </c>
      <c r="D380" s="14" t="n">
        <f aca="false">Share_Prices!D380/Share_Prices!D379-1</f>
        <v>-0.0155739677519166</v>
      </c>
      <c r="E380" s="14" t="n">
        <f aca="false">Share_Prices!E380/Share_Prices!E379-1</f>
        <v>0.000442785754949604</v>
      </c>
      <c r="F380" s="14" t="n">
        <f aca="false">Share_Prices!F380/Share_Prices!F379-1</f>
        <v>-0.0187156970362239</v>
      </c>
      <c r="G380" s="14" t="n">
        <f aca="false">Share_Prices!G380/Share_Prices!G379-1</f>
        <v>0.0144201110425664</v>
      </c>
      <c r="H380" s="14" t="n">
        <f aca="false">Share_Prices!H380/Share_Prices!H379-1</f>
        <v>-0.0173367005665142</v>
      </c>
      <c r="I380" s="14" t="n">
        <f aca="false">Share_Prices!I380/Share_Prices!I379-1</f>
        <v>-0.00451467268623029</v>
      </c>
      <c r="J380" s="14" t="n">
        <f aca="false">Share_Prices!J380/Share_Prices!J379-1</f>
        <v>-0.018175252768416</v>
      </c>
      <c r="K380" s="14" t="n">
        <f aca="false">Share_Prices!K380/Share_Prices!K379-1</f>
        <v>0.0027526842473462</v>
      </c>
      <c r="L380" s="14" t="n">
        <f aca="false">Share_Prices!L380/Share_Prices!L379-1</f>
        <v>-0.0208029861616899</v>
      </c>
      <c r="M380" s="14" t="n">
        <f aca="false">Share_Prices!M380/Share_Prices!M379-1</f>
        <v>-0.0328982597054887</v>
      </c>
      <c r="N380" s="14" t="n">
        <f aca="false">Share_Prices!N380/Share_Prices!N379-1</f>
        <v>-0.0682676090273874</v>
      </c>
      <c r="O380" s="14" t="n">
        <f aca="false">Share_Prices!O380/Share_Prices!O379-1</f>
        <v>-0.000521467060663916</v>
      </c>
      <c r="P380" s="14" t="n">
        <f aca="false">Share_Prices!P380/Share_Prices!P379-1</f>
        <v>0.0104984894259819</v>
      </c>
      <c r="Q380" s="14" t="n">
        <f aca="false">Share_Prices!Q380/Share_Prices!Q379-1</f>
        <v>-0.00988397077782544</v>
      </c>
      <c r="R380" s="14" t="n">
        <f aca="false">Share_Prices!R380/Share_Prices!R379-1</f>
        <v>-0.00610009704699843</v>
      </c>
      <c r="S380" s="14" t="n">
        <f aca="false">Share_Prices!S380/Share_Prices!S379-1</f>
        <v>-0.004334289725902</v>
      </c>
    </row>
    <row r="381" customFormat="false" ht="15" hidden="false" customHeight="false" outlineLevel="0" collapsed="false">
      <c r="A381" s="13" t="n">
        <f aca="false">Share_Prices!A381</f>
        <v>45356</v>
      </c>
      <c r="B381" s="14" t="n">
        <f aca="false">Share_Prices!B381/Share_Prices!B380-1</f>
        <v>-0.00220034277144998</v>
      </c>
      <c r="C381" s="14" t="n">
        <f aca="false">Share_Prices!C381/Share_Prices!C380-1</f>
        <v>-0.0024495828857114</v>
      </c>
      <c r="D381" s="14" t="n">
        <f aca="false">Share_Prices!D381/Share_Prices!D380-1</f>
        <v>-0.0514074177551164</v>
      </c>
      <c r="E381" s="14" t="n">
        <f aca="false">Share_Prices!E381/Share_Prices!E380-1</f>
        <v>0.00145422357106728</v>
      </c>
      <c r="F381" s="14" t="n">
        <f aca="false">Share_Prices!F381/Share_Prices!F380-1</f>
        <v>-0.0308182784272052</v>
      </c>
      <c r="G381" s="14" t="n">
        <f aca="false">Share_Prices!G381/Share_Prices!G380-1</f>
        <v>-0.00266058532877234</v>
      </c>
      <c r="H381" s="14" t="n">
        <f aca="false">Share_Prices!H381/Share_Prices!H380-1</f>
        <v>-0.0370910606376329</v>
      </c>
      <c r="I381" s="14" t="n">
        <f aca="false">Share_Prices!I381/Share_Prices!I380-1</f>
        <v>-0.021655328798186</v>
      </c>
      <c r="J381" s="14" t="n">
        <f aca="false">Share_Prices!J381/Share_Prices!J380-1</f>
        <v>-0.0295696947407135</v>
      </c>
      <c r="K381" s="14" t="n">
        <f aca="false">Share_Prices!K381/Share_Prices!K380-1</f>
        <v>-0.042132403124289</v>
      </c>
      <c r="L381" s="14" t="n">
        <f aca="false">Share_Prices!L381/Share_Prices!L380-1</f>
        <v>-0.0266375342847844</v>
      </c>
      <c r="M381" s="14" t="n">
        <f aca="false">Share_Prices!M381/Share_Prices!M380-1</f>
        <v>-0.00692113368169711</v>
      </c>
      <c r="N381" s="14" t="n">
        <f aca="false">Share_Prices!N381/Share_Prices!N380-1</f>
        <v>-0.199948280320662</v>
      </c>
      <c r="O381" s="14" t="n">
        <f aca="false">Share_Prices!O381/Share_Prices!O380-1</f>
        <v>0.0114782608695652</v>
      </c>
      <c r="P381" s="14" t="n">
        <f aca="false">Share_Prices!P381/Share_Prices!P380-1</f>
        <v>0.0183122804394946</v>
      </c>
      <c r="Q381" s="14" t="n">
        <f aca="false">Share_Prices!Q381/Share_Prices!Q380-1</f>
        <v>-0.00651041666666663</v>
      </c>
      <c r="R381" s="14" t="n">
        <f aca="false">Share_Prices!R381/Share_Prices!R380-1</f>
        <v>-0.00118566048263358</v>
      </c>
      <c r="S381" s="14" t="n">
        <f aca="false">Share_Prices!S381/Share_Prices!S380-1</f>
        <v>-0.00613120784794607</v>
      </c>
    </row>
    <row r="382" customFormat="false" ht="15" hidden="false" customHeight="false" outlineLevel="0" collapsed="false">
      <c r="A382" s="13" t="n">
        <f aca="false">Share_Prices!A382</f>
        <v>45357</v>
      </c>
      <c r="B382" s="14" t="n">
        <f aca="false">Share_Prices!B382/Share_Prices!B381-1</f>
        <v>0.0052669717260907</v>
      </c>
      <c r="C382" s="14" t="n">
        <f aca="false">Share_Prices!C382/Share_Prices!C381-1</f>
        <v>-0.000120204101658361</v>
      </c>
      <c r="D382" s="14" t="n">
        <f aca="false">Share_Prices!D382/Share_Prices!D381-1</f>
        <v>0.0215006258743833</v>
      </c>
      <c r="E382" s="14" t="n">
        <f aca="false">Share_Prices!E382/Share_Prices!E381-1</f>
        <v>-0.00902834774922667</v>
      </c>
      <c r="F382" s="14" t="n">
        <f aca="false">Share_Prices!F382/Share_Prices!F381-1</f>
        <v>-0.0418975069252077</v>
      </c>
      <c r="G382" s="14" t="n">
        <f aca="false">Share_Prices!G382/Share_Prices!G381-1</f>
        <v>-0.0241615853658537</v>
      </c>
      <c r="H382" s="14" t="n">
        <f aca="false">Share_Prices!H382/Share_Prices!H381-1</f>
        <v>-0.0245257159345019</v>
      </c>
      <c r="I382" s="14" t="n">
        <f aca="false">Share_Prices!I382/Share_Prices!I381-1</f>
        <v>-0.0559740410244524</v>
      </c>
      <c r="J382" s="14" t="n">
        <f aca="false">Share_Prices!J382/Share_Prices!J381-1</f>
        <v>-0.0379746835443039</v>
      </c>
      <c r="K382" s="14" t="n">
        <f aca="false">Share_Prices!K382/Share_Prices!K381-1</f>
        <v>-0.0020583624934688</v>
      </c>
      <c r="L382" s="14" t="n">
        <f aca="false">Share_Prices!L382/Share_Prices!L381-1</f>
        <v>-0.0260769892062279</v>
      </c>
      <c r="M382" s="14" t="n">
        <f aca="false">Share_Prices!M382/Share_Prices!M381-1</f>
        <v>-0.0372164337735651</v>
      </c>
      <c r="N382" s="14" t="n">
        <f aca="false">Share_Prices!N382/Share_Prices!N381-1</f>
        <v>-0.200012929083974</v>
      </c>
      <c r="O382" s="14" t="n">
        <f aca="false">Share_Prices!O382/Share_Prices!O381-1</f>
        <v>-0.0226960110041267</v>
      </c>
      <c r="P382" s="14" t="n">
        <f aca="false">Share_Prices!P382/Share_Prices!P381-1</f>
        <v>0.0222401644157368</v>
      </c>
      <c r="Q382" s="14" t="n">
        <f aca="false">Share_Prices!Q382/Share_Prices!Q381-1</f>
        <v>-0.0336391437308869</v>
      </c>
      <c r="R382" s="14" t="n">
        <f aca="false">Share_Prices!R382/Share_Prices!R381-1</f>
        <v>-0.0193422247049786</v>
      </c>
      <c r="S382" s="14" t="n">
        <f aca="false">Share_Prices!S382/Share_Prices!S381-1</f>
        <v>-0.023401192679416</v>
      </c>
    </row>
    <row r="383" customFormat="false" ht="15" hidden="false" customHeight="false" outlineLevel="0" collapsed="false">
      <c r="A383" s="13" t="n">
        <f aca="false">Share_Prices!A383</f>
        <v>45358</v>
      </c>
      <c r="B383" s="14" t="n">
        <f aca="false">Share_Prices!B383/Share_Prices!B382-1</f>
        <v>0.000867667376374115</v>
      </c>
      <c r="C383" s="14" t="n">
        <f aca="false">Share_Prices!C383/Share_Prices!C382-1</f>
        <v>0.0027110510290953</v>
      </c>
      <c r="D383" s="14" t="n">
        <f aca="false">Share_Prices!D383/Share_Prices!D382-1</f>
        <v>0.0198226771426513</v>
      </c>
      <c r="E383" s="14" t="n">
        <f aca="false">Share_Prices!E383/Share_Prices!E382-1</f>
        <v>0.00229357798165153</v>
      </c>
      <c r="F383" s="14" t="n">
        <f aca="false">Share_Prices!F383/Share_Prices!F382-1</f>
        <v>0.0466208890495121</v>
      </c>
      <c r="G383" s="14" t="n">
        <f aca="false">Share_Prices!G383/Share_Prices!G382-1</f>
        <v>-0.00398344138092632</v>
      </c>
      <c r="H383" s="14" t="n">
        <f aca="false">Share_Prices!H383/Share_Prices!H382-1</f>
        <v>0.0394143311395401</v>
      </c>
      <c r="I383" s="14" t="n">
        <f aca="false">Share_Prices!I383/Share_Prices!I382-1</f>
        <v>0.0206236189540878</v>
      </c>
      <c r="J383" s="14" t="n">
        <f aca="false">Share_Prices!J383/Share_Prices!J382-1</f>
        <v>-0.00780018909549318</v>
      </c>
      <c r="K383" s="14" t="n">
        <f aca="false">Share_Prices!K383/Share_Prices!K382-1</f>
        <v>0.0173893728084789</v>
      </c>
      <c r="L383" s="14" t="n">
        <f aca="false">Share_Prices!L383/Share_Prices!L382-1</f>
        <v>0.0624264417418596</v>
      </c>
      <c r="M383" s="14" t="n">
        <f aca="false">Share_Prices!M383/Share_Prices!M382-1</f>
        <v>0.0109305439936298</v>
      </c>
      <c r="N383" s="14" t="n">
        <f aca="false">Share_Prices!N383/Share_Prices!N382-1</f>
        <v>0.0995555555555554</v>
      </c>
      <c r="O383" s="14" t="n">
        <f aca="false">Share_Prices!O383/Share_Prices!O382-1</f>
        <v>0.0096762843068261</v>
      </c>
      <c r="P383" s="14" t="n">
        <f aca="false">Share_Prices!P383/Share_Prices!P382-1</f>
        <v>-0.011165362245997</v>
      </c>
      <c r="Q383" s="14" t="n">
        <f aca="false">Share_Prices!Q383/Share_Prices!Q382-1</f>
        <v>-0.0219258589511754</v>
      </c>
      <c r="R383" s="14" t="n">
        <f aca="false">Share_Prices!R383/Share_Prices!R382-1</f>
        <v>0.00754770720592424</v>
      </c>
      <c r="S383" s="14" t="n">
        <f aca="false">Share_Prices!S383/Share_Prices!S382-1</f>
        <v>0.0315632106460035</v>
      </c>
    </row>
    <row r="384" customFormat="false" ht="15" hidden="false" customHeight="false" outlineLevel="0" collapsed="false">
      <c r="A384" s="13" t="n">
        <f aca="false">Share_Prices!A384</f>
        <v>45362</v>
      </c>
      <c r="B384" s="14" t="n">
        <f aca="false">Share_Prices!B384/Share_Prices!B383-1</f>
        <v>-0.00715316168412716</v>
      </c>
      <c r="C384" s="14" t="n">
        <f aca="false">Share_Prices!C384/Share_Prices!C383-1</f>
        <v>-0.00714712157691777</v>
      </c>
      <c r="D384" s="14" t="n">
        <f aca="false">Share_Prices!D384/Share_Prices!D383-1</f>
        <v>-0.0174582979926492</v>
      </c>
      <c r="E384" s="14" t="n">
        <f aca="false">Share_Prices!E384/Share_Prices!E383-1</f>
        <v>-0.0198321891685737</v>
      </c>
      <c r="F384" s="14" t="n">
        <f aca="false">Share_Prices!F384/Share_Prices!F383-1</f>
        <v>-0.0179558011049723</v>
      </c>
      <c r="G384" s="14" t="n">
        <f aca="false">Share_Prices!G384/Share_Prices!G383-1</f>
        <v>-0.00470514429109159</v>
      </c>
      <c r="H384" s="14" t="n">
        <f aca="false">Share_Prices!H384/Share_Prices!H383-1</f>
        <v>-0.0352162777461582</v>
      </c>
      <c r="I384" s="14" t="n">
        <f aca="false">Share_Prices!I384/Share_Prices!I383-1</f>
        <v>0.0150348809237431</v>
      </c>
      <c r="J384" s="14" t="n">
        <f aca="false">Share_Prices!J384/Share_Prices!J383-1</f>
        <v>-0.0139495486910718</v>
      </c>
      <c r="K384" s="14" t="n">
        <f aca="false">Share_Prices!K384/Share_Prices!K383-1</f>
        <v>0.00198056859473206</v>
      </c>
      <c r="L384" s="14" t="n">
        <f aca="false">Share_Prices!L384/Share_Prices!L383-1</f>
        <v>0.0112624048003693</v>
      </c>
      <c r="M384" s="14" t="n">
        <f aca="false">Share_Prices!M384/Share_Prices!M383-1</f>
        <v>-0.0532383373312806</v>
      </c>
      <c r="N384" s="14" t="n">
        <f aca="false">Share_Prices!N384/Share_Prices!N383-1</f>
        <v>-0.0715073124127288</v>
      </c>
      <c r="O384" s="14" t="n">
        <f aca="false">Share_Prices!O384/Share_Prices!O383-1</f>
        <v>-0.00313643491897531</v>
      </c>
      <c r="P384" s="14" t="n">
        <f aca="false">Share_Prices!P384/Share_Prices!P383-1</f>
        <v>0.0177903641578623</v>
      </c>
      <c r="Q384" s="14" t="n">
        <f aca="false">Share_Prices!Q384/Share_Prices!Q383-1</f>
        <v>0.048070256528773</v>
      </c>
      <c r="R384" s="14" t="n">
        <f aca="false">Share_Prices!R384/Share_Prices!R383-1</f>
        <v>-0.00381625441696121</v>
      </c>
      <c r="S384" s="14" t="n">
        <f aca="false">Share_Prices!S384/Share_Prices!S383-1</f>
        <v>0.0128186809822213</v>
      </c>
    </row>
    <row r="385" customFormat="false" ht="15" hidden="false" customHeight="false" outlineLevel="0" collapsed="false">
      <c r="A385" s="13" t="n">
        <f aca="false">Share_Prices!A385</f>
        <v>45363</v>
      </c>
      <c r="B385" s="14" t="n">
        <f aca="false">Share_Prices!B385/Share_Prices!B384-1</f>
        <v>0.000136571342854497</v>
      </c>
      <c r="C385" s="14" t="n">
        <f aca="false">Share_Prices!C385/Share_Prices!C384-1</f>
        <v>-0.00578399359250814</v>
      </c>
      <c r="D385" s="14" t="n">
        <f aca="false">Share_Prices!D385/Share_Prices!D384-1</f>
        <v>-0.00794906841234444</v>
      </c>
      <c r="E385" s="14" t="n">
        <f aca="false">Share_Prices!E385/Share_Prices!E384-1</f>
        <v>-0.0138780804150455</v>
      </c>
      <c r="F385" s="14" t="n">
        <f aca="false">Share_Prices!F385/Share_Prices!F384-1</f>
        <v>-0.010138302859822</v>
      </c>
      <c r="G385" s="14" t="n">
        <f aca="false">Share_Prices!G385/Share_Prices!G384-1</f>
        <v>-0.0165458556571069</v>
      </c>
      <c r="H385" s="14" t="n">
        <f aca="false">Share_Prices!H385/Share_Prices!H384-1</f>
        <v>-0.0249981564781357</v>
      </c>
      <c r="I385" s="14" t="n">
        <f aca="false">Share_Prices!I385/Share_Prices!I384-1</f>
        <v>-0.0414741083066714</v>
      </c>
      <c r="J385" s="14" t="n">
        <f aca="false">Share_Prices!J385/Share_Prices!J384-1</f>
        <v>-0.00982497584022335</v>
      </c>
      <c r="K385" s="14" t="n">
        <f aca="false">Share_Prices!K385/Share_Prices!K384-1</f>
        <v>0.000357976653696523</v>
      </c>
      <c r="L385" s="14" t="n">
        <f aca="false">Share_Prices!L385/Share_Prices!L384-1</f>
        <v>-0.0264731388926925</v>
      </c>
      <c r="M385" s="14" t="n">
        <f aca="false">Share_Prices!M385/Share_Prices!M384-1</f>
        <v>0.00344123430645893</v>
      </c>
      <c r="N385" s="14" t="n">
        <f aca="false">Share_Prices!N385/Share_Prices!N384-1</f>
        <v>0.0180729249116143</v>
      </c>
      <c r="O385" s="14" t="n">
        <f aca="false">Share_Prices!O385/Share_Prices!O384-1</f>
        <v>-0.0160811047019752</v>
      </c>
      <c r="P385" s="14" t="n">
        <f aca="false">Share_Prices!P385/Share_Prices!P384-1</f>
        <v>-0.00107016730282172</v>
      </c>
      <c r="Q385" s="14" t="n">
        <f aca="false">Share_Prices!Q385/Share_Prices!Q384-1</f>
        <v>0.040683572216097</v>
      </c>
      <c r="R385" s="14" t="n">
        <f aca="false">Share_Prices!R385/Share_Prices!R384-1</f>
        <v>-0.00603007945516454</v>
      </c>
      <c r="S385" s="14" t="n">
        <f aca="false">Share_Prices!S385/Share_Prices!S384-1</f>
        <v>-0.0238618271226747</v>
      </c>
    </row>
    <row r="386" customFormat="false" ht="15" hidden="false" customHeight="false" outlineLevel="0" collapsed="false">
      <c r="A386" s="13" t="n">
        <f aca="false">Share_Prices!A386</f>
        <v>45364</v>
      </c>
      <c r="B386" s="14" t="n">
        <f aca="false">Share_Prices!B386/Share_Prices!B385-1</f>
        <v>-0.0151327247411095</v>
      </c>
      <c r="C386" s="14" t="n">
        <f aca="false">Share_Prices!C386/Share_Prices!C385-1</f>
        <v>-0.0260319065607743</v>
      </c>
      <c r="D386" s="14" t="n">
        <f aca="false">Share_Prices!D386/Share_Prices!D385-1</f>
        <v>-0.0285703926616148</v>
      </c>
      <c r="E386" s="14" t="n">
        <f aca="false">Share_Prices!E386/Share_Prices!E385-1</f>
        <v>-0.0510982506905168</v>
      </c>
      <c r="F386" s="14" t="n">
        <f aca="false">Share_Prices!F386/Share_Prices!F385-1</f>
        <v>-0.0314368598662009</v>
      </c>
      <c r="G386" s="14" t="n">
        <f aca="false">Share_Prices!G386/Share_Prices!G385-1</f>
        <v>-0.0539176414036212</v>
      </c>
      <c r="H386" s="14" t="n">
        <f aca="false">Share_Prices!H386/Share_Prices!H385-1</f>
        <v>-0.0744970503705945</v>
      </c>
      <c r="I386" s="14" t="n">
        <f aca="false">Share_Prices!I386/Share_Prices!I385-1</f>
        <v>-0.0718259364569168</v>
      </c>
      <c r="J386" s="14" t="n">
        <f aca="false">Share_Prices!J386/Share_Prices!J385-1</f>
        <v>-0.0304180447866399</v>
      </c>
      <c r="K386" s="14" t="n">
        <f aca="false">Share_Prices!K386/Share_Prices!K385-1</f>
        <v>0.00312728517417882</v>
      </c>
      <c r="L386" s="14" t="n">
        <f aca="false">Share_Prices!L386/Share_Prices!L385-1</f>
        <v>-0.0170190820010315</v>
      </c>
      <c r="M386" s="14" t="n">
        <f aca="false">Share_Prices!M386/Share_Prices!M385-1</f>
        <v>-0.0117580553985301</v>
      </c>
      <c r="N386" s="14" t="n">
        <f aca="false">Share_Prices!N386/Share_Prices!N385-1</f>
        <v>-0.0329644698991889</v>
      </c>
      <c r="O386" s="14" t="n">
        <f aca="false">Share_Prices!O386/Share_Prices!O385-1</f>
        <v>-0.0605791437200214</v>
      </c>
      <c r="P386" s="14" t="n">
        <f aca="false">Share_Prices!P386/Share_Prices!P385-1</f>
        <v>-0.0354604863764597</v>
      </c>
      <c r="Q386" s="14" t="n">
        <f aca="false">Share_Prices!Q386/Share_Prices!Q385-1</f>
        <v>-0.0139845322597733</v>
      </c>
      <c r="R386" s="14" t="n">
        <f aca="false">Share_Prices!R386/Share_Prices!R385-1</f>
        <v>-0.0217686103775605</v>
      </c>
      <c r="S386" s="14" t="n">
        <f aca="false">Share_Prices!S386/Share_Prices!S385-1</f>
        <v>-0.0414369773923816</v>
      </c>
    </row>
    <row r="387" customFormat="false" ht="15" hidden="false" customHeight="false" outlineLevel="0" collapsed="false">
      <c r="A387" s="13" t="n">
        <f aca="false">Share_Prices!A387</f>
        <v>45365</v>
      </c>
      <c r="B387" s="14" t="n">
        <f aca="false">Share_Prices!B387/Share_Prices!B386-1</f>
        <v>0.00677116243970954</v>
      </c>
      <c r="C387" s="14" t="n">
        <f aca="false">Share_Prices!C387/Share_Prices!C386-1</f>
        <v>0.0137455907728172</v>
      </c>
      <c r="D387" s="14" t="n">
        <f aca="false">Share_Prices!D387/Share_Prices!D386-1</f>
        <v>0.0292986974209681</v>
      </c>
      <c r="E387" s="14" t="n">
        <f aca="false">Share_Prices!E387/Share_Prices!E386-1</f>
        <v>0.0110887795412018</v>
      </c>
      <c r="F387" s="14" t="n">
        <f aca="false">Share_Prices!F387/Share_Prices!F386-1</f>
        <v>-0.00317848410757948</v>
      </c>
      <c r="G387" s="14" t="n">
        <f aca="false">Share_Prices!G387/Share_Prices!G386-1</f>
        <v>0.00228639173511702</v>
      </c>
      <c r="H387" s="14" t="n">
        <f aca="false">Share_Prices!H387/Share_Prices!H386-1</f>
        <v>0.0569584048377871</v>
      </c>
      <c r="I387" s="14" t="n">
        <f aca="false">Share_Prices!I387/Share_Prices!I386-1</f>
        <v>0.0811134789557806</v>
      </c>
      <c r="J387" s="14" t="n">
        <f aca="false">Share_Prices!J387/Share_Prices!J386-1</f>
        <v>0.0539089587294486</v>
      </c>
      <c r="K387" s="14" t="n">
        <f aca="false">Share_Prices!K387/Share_Prices!K386-1</f>
        <v>-0.00908893507460373</v>
      </c>
      <c r="L387" s="14" t="n">
        <f aca="false">Share_Prices!L387/Share_Prices!L386-1</f>
        <v>0.021511017838405</v>
      </c>
      <c r="M387" s="14" t="n">
        <f aca="false">Share_Prices!M387/Share_Prices!M386-1</f>
        <v>0.0546085497464057</v>
      </c>
      <c r="N387" s="14" t="n">
        <f aca="false">Share_Prices!N387/Share_Prices!N386-1</f>
        <v>-0.0354013131448478</v>
      </c>
      <c r="O387" s="14" t="n">
        <f aca="false">Share_Prices!O387/Share_Prices!O386-1</f>
        <v>0.00945537065052959</v>
      </c>
      <c r="P387" s="14" t="n">
        <f aca="false">Share_Prices!P387/Share_Prices!P386-1</f>
        <v>0.0120696038504258</v>
      </c>
      <c r="Q387" s="14" t="n">
        <f aca="false">Share_Prices!Q387/Share_Prices!Q386-1</f>
        <v>-0.0123562909637907</v>
      </c>
      <c r="R387" s="14" t="n">
        <f aca="false">Share_Prices!R387/Share_Prices!R386-1</f>
        <v>0.0248796147672554</v>
      </c>
      <c r="S387" s="14" t="n">
        <f aca="false">Share_Prices!S387/Share_Prices!S386-1</f>
        <v>-0.0128801585250279</v>
      </c>
    </row>
    <row r="388" customFormat="false" ht="15" hidden="false" customHeight="false" outlineLevel="0" collapsed="false">
      <c r="A388" s="13" t="n">
        <f aca="false">Share_Prices!A388</f>
        <v>45366</v>
      </c>
      <c r="B388" s="14" t="n">
        <f aca="false">Share_Prices!B388/Share_Prices!B387-1</f>
        <v>-0.00556743344930288</v>
      </c>
      <c r="C388" s="14" t="n">
        <f aca="false">Share_Prices!C388/Share_Prices!C387-1</f>
        <v>-0.00457664180434658</v>
      </c>
      <c r="D388" s="14" t="n">
        <f aca="false">Share_Prices!D388/Share_Prices!D387-1</f>
        <v>-0.0104793676118645</v>
      </c>
      <c r="E388" s="14" t="n">
        <f aca="false">Share_Prices!E388/Share_Prices!E387-1</f>
        <v>-0.00685447940228945</v>
      </c>
      <c r="F388" s="14" t="n">
        <f aca="false">Share_Prices!F388/Share_Prices!F387-1</f>
        <v>0.0096271768457199</v>
      </c>
      <c r="G388" s="14" t="n">
        <f aca="false">Share_Prices!G388/Share_Prices!G387-1</f>
        <v>-0.0121662723893206</v>
      </c>
      <c r="H388" s="14" t="n">
        <f aca="false">Share_Prices!H388/Share_Prices!H387-1</f>
        <v>-0.0301530848925313</v>
      </c>
      <c r="I388" s="14" t="n">
        <f aca="false">Share_Prices!I388/Share_Prices!I387-1</f>
        <v>-0.014414192435629</v>
      </c>
      <c r="J388" s="14" t="n">
        <f aca="false">Share_Prices!J388/Share_Prices!J387-1</f>
        <v>-0.0141674625915312</v>
      </c>
      <c r="K388" s="14" t="n">
        <f aca="false">Share_Prices!K388/Share_Prices!K387-1</f>
        <v>0.0182663410969195</v>
      </c>
      <c r="L388" s="14" t="n">
        <f aca="false">Share_Prices!L388/Share_Prices!L387-1</f>
        <v>-0.00280151281692109</v>
      </c>
      <c r="M388" s="14" t="n">
        <f aca="false">Share_Prices!M388/Share_Prices!M387-1</f>
        <v>0.0278430663532816</v>
      </c>
      <c r="N388" s="14" t="n">
        <f aca="false">Share_Prices!N388/Share_Prices!N387-1</f>
        <v>-0.00769572706562205</v>
      </c>
      <c r="O388" s="14" t="n">
        <f aca="false">Share_Prices!O388/Share_Prices!O387-1</f>
        <v>-0.0196702884975646</v>
      </c>
      <c r="P388" s="14" t="n">
        <f aca="false">Share_Prices!P388/Share_Prices!P387-1</f>
        <v>-0.0186567164179104</v>
      </c>
      <c r="Q388" s="14" t="n">
        <f aca="false">Share_Prices!Q388/Share_Prices!Q387-1</f>
        <v>0.00718015665796346</v>
      </c>
      <c r="R388" s="14" t="n">
        <f aca="false">Share_Prices!R388/Share_Prices!R387-1</f>
        <v>-0.00434256424859414</v>
      </c>
      <c r="S388" s="14" t="n">
        <f aca="false">Share_Prices!S388/Share_Prices!S387-1</f>
        <v>-0.0107789657429631</v>
      </c>
    </row>
    <row r="389" customFormat="false" ht="15" hidden="false" customHeight="false" outlineLevel="0" collapsed="false">
      <c r="A389" s="13" t="n">
        <f aca="false">Share_Prices!A389</f>
        <v>45369</v>
      </c>
      <c r="B389" s="14" t="n">
        <f aca="false">Share_Prices!B389/Share_Prices!B388-1</f>
        <v>0.00146889551317142</v>
      </c>
      <c r="C389" s="14" t="n">
        <f aca="false">Share_Prices!C389/Share_Prices!C388-1</f>
        <v>0.000902891269697115</v>
      </c>
      <c r="D389" s="14" t="n">
        <f aca="false">Share_Prices!D389/Share_Prices!D388-1</f>
        <v>0.0101506101359521</v>
      </c>
      <c r="E389" s="14" t="n">
        <f aca="false">Share_Prices!E389/Share_Prices!E388-1</f>
        <v>-0.0067637518117194</v>
      </c>
      <c r="F389" s="14" t="n">
        <f aca="false">Share_Prices!F389/Share_Prices!F388-1</f>
        <v>0.0254479198299424</v>
      </c>
      <c r="G389" s="14" t="n">
        <f aca="false">Share_Prices!G389/Share_Prices!G388-1</f>
        <v>-0.0162504276428327</v>
      </c>
      <c r="H389" s="14" t="n">
        <f aca="false">Share_Prices!H389/Share_Prices!H388-1</f>
        <v>-0.00398596938775508</v>
      </c>
      <c r="I389" s="14" t="n">
        <f aca="false">Share_Prices!I389/Share_Prices!I388-1</f>
        <v>-0.0217499999999999</v>
      </c>
      <c r="J389" s="14" t="n">
        <f aca="false">Share_Prices!J389/Share_Prices!J388-1</f>
        <v>0.00328327681791274</v>
      </c>
      <c r="K389" s="14" t="n">
        <f aca="false">Share_Prices!K389/Share_Prices!K388-1</f>
        <v>-0.00149104603796779</v>
      </c>
      <c r="L389" s="14" t="n">
        <f aca="false">Share_Prices!L389/Share_Prices!L388-1</f>
        <v>-0.0107224797490283</v>
      </c>
      <c r="M389" s="14" t="n">
        <f aca="false">Share_Prices!M389/Share_Prices!M388-1</f>
        <v>-0.0148109058927001</v>
      </c>
      <c r="N389" s="14" t="n">
        <f aca="false">Share_Prices!N389/Share_Prices!N388-1</f>
        <v>0.000419968082425726</v>
      </c>
      <c r="O389" s="14" t="n">
        <f aca="false">Share_Prices!O389/Share_Prices!O388-1</f>
        <v>-0.0034397095356391</v>
      </c>
      <c r="P389" s="14" t="n">
        <f aca="false">Share_Prices!P389/Share_Prices!P388-1</f>
        <v>-0.00141653619622739</v>
      </c>
      <c r="Q389" s="14" t="n">
        <f aca="false">Share_Prices!Q389/Share_Prices!Q388-1</f>
        <v>0.0186865413696264</v>
      </c>
      <c r="R389" s="14" t="n">
        <f aca="false">Share_Prices!R389/Share_Prices!R388-1</f>
        <v>0.00314600314600311</v>
      </c>
      <c r="S389" s="14" t="n">
        <f aca="false">Share_Prices!S389/Share_Prices!S388-1</f>
        <v>0.0185944944415035</v>
      </c>
    </row>
    <row r="390" customFormat="false" ht="15" hidden="false" customHeight="false" outlineLevel="0" collapsed="false">
      <c r="A390" s="13" t="n">
        <f aca="false">Share_Prices!A390</f>
        <v>45370</v>
      </c>
      <c r="B390" s="14" t="n">
        <f aca="false">Share_Prices!B390/Share_Prices!B389-1</f>
        <v>-0.0108021962576568</v>
      </c>
      <c r="C390" s="14" t="n">
        <f aca="false">Share_Prices!C390/Share_Prices!C389-1</f>
        <v>-0.0117194389989467</v>
      </c>
      <c r="D390" s="14" t="n">
        <f aca="false">Share_Prices!D390/Share_Prices!D389-1</f>
        <v>-0.00529637959805551</v>
      </c>
      <c r="E390" s="14" t="n">
        <f aca="false">Share_Prices!E390/Share_Prices!E389-1</f>
        <v>-0.0146619414912097</v>
      </c>
      <c r="F390" s="14" t="n">
        <f aca="false">Share_Prices!F390/Share_Prices!F389-1</f>
        <v>0.00349443259891014</v>
      </c>
      <c r="G390" s="14" t="n">
        <f aca="false">Share_Prices!G390/Share_Prices!G389-1</f>
        <v>-0.00756390193009915</v>
      </c>
      <c r="H390" s="14" t="n">
        <f aca="false">Share_Prices!H390/Share_Prices!H389-1</f>
        <v>0.00336161357451559</v>
      </c>
      <c r="I390" s="14" t="n">
        <f aca="false">Share_Prices!I390/Share_Prices!I389-1</f>
        <v>0.0111167901865576</v>
      </c>
      <c r="J390" s="14" t="n">
        <f aca="false">Share_Prices!J390/Share_Prices!J389-1</f>
        <v>0.026475321888412</v>
      </c>
      <c r="K390" s="14" t="n">
        <f aca="false">Share_Prices!K390/Share_Prices!K389-1</f>
        <v>0.014086024816035</v>
      </c>
      <c r="L390" s="14" t="n">
        <f aca="false">Share_Prices!L390/Share_Prices!L389-1</f>
        <v>-0.00913479742521783</v>
      </c>
      <c r="M390" s="14" t="n">
        <f aca="false">Share_Prices!M390/Share_Prices!M389-1</f>
        <v>0.00842736751892592</v>
      </c>
      <c r="N390" s="14" t="n">
        <f aca="false">Share_Prices!N390/Share_Prices!N389-1</f>
        <v>-0.0228366730101869</v>
      </c>
      <c r="O390" s="14" t="n">
        <f aca="false">Share_Prices!O390/Share_Prices!O389-1</f>
        <v>-0.00824544582933839</v>
      </c>
      <c r="P390" s="14" t="n">
        <f aca="false">Share_Prices!P390/Share_Prices!P389-1</f>
        <v>-0.0107137524264597</v>
      </c>
      <c r="Q390" s="14" t="n">
        <f aca="false">Share_Prices!Q390/Share_Prices!Q389-1</f>
        <v>-0.0147386279291697</v>
      </c>
      <c r="R390" s="14" t="n">
        <f aca="false">Share_Prices!R390/Share_Prices!R389-1</f>
        <v>-0.00427655024946538</v>
      </c>
      <c r="S390" s="14" t="n">
        <f aca="false">Share_Prices!S390/Share_Prices!S389-1</f>
        <v>-0.0095064856319973</v>
      </c>
    </row>
    <row r="391" customFormat="false" ht="15" hidden="false" customHeight="false" outlineLevel="0" collapsed="false">
      <c r="A391" s="13" t="n">
        <f aca="false">Share_Prices!A391</f>
        <v>45371</v>
      </c>
      <c r="B391" s="14" t="n">
        <f aca="false">Share_Prices!B391/Share_Prices!B390-1</f>
        <v>0.000992324950899404</v>
      </c>
      <c r="C391" s="14" t="n">
        <f aca="false">Share_Prices!C391/Share_Prices!C390-1</f>
        <v>0.00109634864906893</v>
      </c>
      <c r="D391" s="14" t="n">
        <f aca="false">Share_Prices!D391/Share_Prices!D390-1</f>
        <v>-0.0144055433989788</v>
      </c>
      <c r="E391" s="14" t="n">
        <f aca="false">Share_Prices!E391/Share_Prices!E390-1</f>
        <v>0.0127644569816643</v>
      </c>
      <c r="F391" s="14" t="n">
        <f aca="false">Share_Prices!F391/Share_Prices!F390-1</f>
        <v>0.0307501623089181</v>
      </c>
      <c r="G391" s="14" t="n">
        <f aca="false">Share_Prices!G391/Share_Prices!G390-1</f>
        <v>-0.00122645641699526</v>
      </c>
      <c r="H391" s="14" t="n">
        <f aca="false">Share_Prices!H391/Share_Prices!H390-1</f>
        <v>-0.0216177409061901</v>
      </c>
      <c r="I391" s="14" t="n">
        <f aca="false">Share_Prices!I391/Share_Prices!I390-1</f>
        <v>-0.0216100088462023</v>
      </c>
      <c r="J391" s="14" t="n">
        <f aca="false">Share_Prices!J391/Share_Prices!J390-1</f>
        <v>-0.0213238560639716</v>
      </c>
      <c r="K391" s="14" t="n">
        <f aca="false">Share_Prices!K391/Share_Prices!K390-1</f>
        <v>0.00807614652437261</v>
      </c>
      <c r="L391" s="14" t="n">
        <f aca="false">Share_Prices!L391/Share_Prices!L390-1</f>
        <v>-0.00186290900406028</v>
      </c>
      <c r="M391" s="14" t="n">
        <f aca="false">Share_Prices!M391/Share_Prices!M390-1</f>
        <v>-0.0204320113314447</v>
      </c>
      <c r="N391" s="14" t="n">
        <f aca="false">Share_Prices!N391/Share_Prices!N390-1</f>
        <v>-0.0637243670523542</v>
      </c>
      <c r="O391" s="14" t="n">
        <f aca="false">Share_Prices!O391/Share_Prices!O390-1</f>
        <v>0.0102474864655839</v>
      </c>
      <c r="P391" s="14" t="n">
        <f aca="false">Share_Prices!P391/Share_Prices!P390-1</f>
        <v>0.0104147013320253</v>
      </c>
      <c r="Q391" s="14" t="n">
        <f aca="false">Share_Prices!Q391/Share_Prices!Q390-1</f>
        <v>0.00193715023676266</v>
      </c>
      <c r="R391" s="14" t="n">
        <f aca="false">Share_Prices!R391/Share_Prices!R390-1</f>
        <v>-0.0088761632068719</v>
      </c>
      <c r="S391" s="14" t="n">
        <f aca="false">Share_Prices!S391/Share_Prices!S390-1</f>
        <v>0.0118933100131176</v>
      </c>
    </row>
    <row r="392" customFormat="false" ht="15" hidden="false" customHeight="false" outlineLevel="0" collapsed="false">
      <c r="A392" s="13" t="n">
        <f aca="false">Share_Prices!A392</f>
        <v>45372</v>
      </c>
      <c r="B392" s="14" t="n">
        <f aca="false">Share_Prices!B392/Share_Prices!B391-1</f>
        <v>0.0079147034447391</v>
      </c>
      <c r="C392" s="14" t="n">
        <f aca="false">Share_Prices!C392/Share_Prices!C391-1</f>
        <v>0.0135161636202028</v>
      </c>
      <c r="D392" s="14" t="n">
        <f aca="false">Share_Prices!D392/Share_Prices!D391-1</f>
        <v>-0.0015171137835337</v>
      </c>
      <c r="E392" s="14" t="n">
        <f aca="false">Share_Prices!E392/Share_Prices!E391-1</f>
        <v>0.028062112666249</v>
      </c>
      <c r="F392" s="14" t="n">
        <f aca="false">Share_Prices!F392/Share_Prices!F391-1</f>
        <v>-0.00761566651397172</v>
      </c>
      <c r="G392" s="14" t="n">
        <f aca="false">Share_Prices!G392/Share_Prices!G391-1</f>
        <v>0.037365143408473</v>
      </c>
      <c r="H392" s="14" t="n">
        <f aca="false">Share_Prices!H392/Share_Prices!H391-1</f>
        <v>0.0476966979209132</v>
      </c>
      <c r="I392" s="14" t="n">
        <f aca="false">Share_Prices!I392/Share_Prices!I391-1</f>
        <v>0.0351330405579953</v>
      </c>
      <c r="J392" s="14" t="n">
        <f aca="false">Share_Prices!J392/Share_Prices!J391-1</f>
        <v>0.0303329684120583</v>
      </c>
      <c r="K392" s="14" t="n">
        <f aca="false">Share_Prices!K392/Share_Prices!K391-1</f>
        <v>0.0099540697236653</v>
      </c>
      <c r="L392" s="14" t="n">
        <f aca="false">Share_Prices!L392/Share_Prices!L391-1</f>
        <v>0.0281393568147015</v>
      </c>
      <c r="M392" s="14" t="n">
        <f aca="false">Share_Prices!M392/Share_Prices!M391-1</f>
        <v>0.0117846943570834</v>
      </c>
      <c r="N392" s="14" t="n">
        <f aca="false">Share_Prices!N392/Share_Prices!N391-1</f>
        <v>-0.00073414701293939</v>
      </c>
      <c r="O392" s="14" t="n">
        <f aca="false">Share_Prices!O392/Share_Prices!O391-1</f>
        <v>0.0266028708133972</v>
      </c>
      <c r="P392" s="14" t="n">
        <f aca="false">Share_Prices!P392/Share_Prices!P391-1</f>
        <v>0.0714045636180305</v>
      </c>
      <c r="Q392" s="14" t="n">
        <f aca="false">Share_Prices!Q392/Share_Prices!Q391-1</f>
        <v>0.00762620837808803</v>
      </c>
      <c r="R392" s="14" t="n">
        <f aca="false">Share_Prices!R392/Share_Prices!R391-1</f>
        <v>0.0149501661129567</v>
      </c>
      <c r="S392" s="14" t="n">
        <f aca="false">Share_Prices!S392/Share_Prices!S391-1</f>
        <v>-0.00146919021692149</v>
      </c>
    </row>
    <row r="393" customFormat="false" ht="15" hidden="false" customHeight="false" outlineLevel="0" collapsed="false">
      <c r="A393" s="13" t="n">
        <f aca="false">Share_Prices!A393</f>
        <v>45373</v>
      </c>
      <c r="B393" s="14" t="n">
        <f aca="false">Share_Prices!B393/Share_Prices!B392-1</f>
        <v>0.00385245287218994</v>
      </c>
      <c r="C393" s="14" t="n">
        <f aca="false">Share_Prices!C393/Share_Prices!C392-1</f>
        <v>0.00488506035964487</v>
      </c>
      <c r="D393" s="14" t="n">
        <f aca="false">Share_Prices!D393/Share_Prices!D392-1</f>
        <v>0.00511414171360802</v>
      </c>
      <c r="E393" s="14" t="n">
        <f aca="false">Share_Prices!E393/Share_Prices!E392-1</f>
        <v>0.0120563532917908</v>
      </c>
      <c r="F393" s="14" t="n">
        <f aca="false">Share_Prices!F393/Share_Prices!F392-1</f>
        <v>0.0161560210028273</v>
      </c>
      <c r="G393" s="14" t="n">
        <f aca="false">Share_Prices!G393/Share_Prices!G392-1</f>
        <v>0.00701784053437038</v>
      </c>
      <c r="H393" s="14" t="n">
        <f aca="false">Share_Prices!H393/Share_Prices!H392-1</f>
        <v>-0.00365758754863821</v>
      </c>
      <c r="I393" s="14" t="n">
        <f aca="false">Share_Prices!I393/Share_Prices!I392-1</f>
        <v>0.01098078362865</v>
      </c>
      <c r="J393" s="14" t="n">
        <f aca="false">Share_Prices!J393/Share_Prices!J392-1</f>
        <v>-0.0126208308497681</v>
      </c>
      <c r="K393" s="14" t="n">
        <f aca="false">Share_Prices!K393/Share_Prices!K392-1</f>
        <v>0.00672471893358773</v>
      </c>
      <c r="L393" s="14" t="n">
        <f aca="false">Share_Prices!L393/Share_Prices!L392-1</f>
        <v>0.0141500651647739</v>
      </c>
      <c r="M393" s="14" t="n">
        <f aca="false">Share_Prices!M393/Share_Prices!M392-1</f>
        <v>-0.0129693808281826</v>
      </c>
      <c r="N393" s="14" t="n">
        <f aca="false">Share_Prices!N393/Share_Prices!N392-1</f>
        <v>-0.00609177457372889</v>
      </c>
      <c r="O393" s="14" t="n">
        <f aca="false">Share_Prices!O393/Share_Prices!O392-1</f>
        <v>0.0201342281879195</v>
      </c>
      <c r="P393" s="14" t="n">
        <f aca="false">Share_Prices!P393/Share_Prices!P392-1</f>
        <v>-0.00704102617728064</v>
      </c>
      <c r="Q393" s="14" t="n">
        <f aca="false">Share_Prices!Q393/Share_Prices!Q392-1</f>
        <v>-0.0128984116831895</v>
      </c>
      <c r="R393" s="14" t="n">
        <f aca="false">Share_Prices!R393/Share_Prices!R392-1</f>
        <v>0.00206361630968477</v>
      </c>
      <c r="S393" s="14" t="n">
        <f aca="false">Share_Prices!S393/Share_Prices!S392-1</f>
        <v>0.0086117361952569</v>
      </c>
    </row>
    <row r="394" customFormat="false" ht="15" hidden="false" customHeight="false" outlineLevel="0" collapsed="false">
      <c r="A394" s="13" t="n">
        <f aca="false">Share_Prices!A394</f>
        <v>45377</v>
      </c>
      <c r="B394" s="14" t="n">
        <f aca="false">Share_Prices!B394/Share_Prices!B393-1</f>
        <v>-0.00416577098442073</v>
      </c>
      <c r="C394" s="14" t="n">
        <f aca="false">Share_Prices!C394/Share_Prices!C393-1</f>
        <v>0.000532643813829781</v>
      </c>
      <c r="D394" s="14" t="n">
        <f aca="false">Share_Prices!D394/Share_Prices!D393-1</f>
        <v>-0.0228228006784159</v>
      </c>
      <c r="E394" s="14" t="n">
        <f aca="false">Share_Prices!E394/Share_Prices!E393-1</f>
        <v>0.00983804042296876</v>
      </c>
      <c r="F394" s="14" t="n">
        <f aca="false">Share_Prices!F394/Share_Prices!F393-1</f>
        <v>0.0178297654874795</v>
      </c>
      <c r="G394" s="14" t="n">
        <f aca="false">Share_Prices!G394/Share_Prices!G393-1</f>
        <v>-0.00461796809403858</v>
      </c>
      <c r="H394" s="14" t="n">
        <f aca="false">Share_Prices!H394/Share_Prices!H393-1</f>
        <v>-0.0180426462547839</v>
      </c>
      <c r="I394" s="14" t="n">
        <f aca="false">Share_Prices!I394/Share_Prices!I393-1</f>
        <v>0.00740557886941495</v>
      </c>
      <c r="J394" s="14" t="n">
        <f aca="false">Share_Prices!J394/Share_Prices!J393-1</f>
        <v>-0.0346719160104987</v>
      </c>
      <c r="K394" s="14" t="n">
        <f aca="false">Share_Prices!K394/Share_Prices!K393-1</f>
        <v>0.0220685160774325</v>
      </c>
      <c r="L394" s="14" t="n">
        <f aca="false">Share_Prices!L394/Share_Prices!L393-1</f>
        <v>0.0236827611529282</v>
      </c>
      <c r="M394" s="14" t="n">
        <f aca="false">Share_Prices!M394/Share_Prices!M393-1</f>
        <v>0.0141895316006662</v>
      </c>
      <c r="N394" s="14" t="n">
        <f aca="false">Share_Prices!N394/Share_Prices!N393-1</f>
        <v>-0.0384378464950105</v>
      </c>
      <c r="O394" s="14" t="n">
        <f aca="false">Share_Prices!O394/Share_Prices!O393-1</f>
        <v>0.000913742690058506</v>
      </c>
      <c r="P394" s="14" t="n">
        <f aca="false">Share_Prices!P394/Share_Prices!P393-1</f>
        <v>0.0412819882753539</v>
      </c>
      <c r="Q394" s="14" t="n">
        <f aca="false">Share_Prices!Q394/Share_Prices!Q393-1</f>
        <v>0.0330453563714903</v>
      </c>
      <c r="R394" s="14" t="n">
        <f aca="false">Share_Prices!R394/Share_Prices!R393-1</f>
        <v>-0.0102968328362448</v>
      </c>
      <c r="S394" s="14" t="n">
        <f aca="false">Share_Prices!S394/Share_Prices!S393-1</f>
        <v>0.0179559788904622</v>
      </c>
    </row>
    <row r="395" customFormat="false" ht="15" hidden="false" customHeight="false" outlineLevel="0" collapsed="false">
      <c r="A395" s="13" t="n">
        <f aca="false">Share_Prices!A395</f>
        <v>45378</v>
      </c>
      <c r="B395" s="14" t="n">
        <f aca="false">Share_Prices!B395/Share_Prices!B394-1</f>
        <v>0.00540566333556014</v>
      </c>
      <c r="C395" s="14" t="n">
        <f aca="false">Share_Prices!C395/Share_Prices!C394-1</f>
        <v>0.0041264168155859</v>
      </c>
      <c r="D395" s="14" t="n">
        <f aca="false">Share_Prices!D395/Share_Prices!D394-1</f>
        <v>-0.00132060521450406</v>
      </c>
      <c r="E395" s="14" t="n">
        <f aca="false">Share_Prices!E395/Share_Prices!E394-1</f>
        <v>0.00357876598846829</v>
      </c>
      <c r="F395" s="14" t="n">
        <f aca="false">Share_Prices!F395/Share_Prices!F394-1</f>
        <v>0.0215341701534169</v>
      </c>
      <c r="G395" s="14" t="n">
        <f aca="false">Share_Prices!G395/Share_Prices!G394-1</f>
        <v>-0.00227752003374104</v>
      </c>
      <c r="H395" s="14" t="n">
        <f aca="false">Share_Prices!H395/Share_Prices!H394-1</f>
        <v>0.00278396436525608</v>
      </c>
      <c r="I395" s="14" t="n">
        <f aca="false">Share_Prices!I395/Share_Prices!I394-1</f>
        <v>-0.0154373927958834</v>
      </c>
      <c r="J395" s="14" t="n">
        <f aca="false">Share_Prices!J395/Share_Prices!J394-1</f>
        <v>0.0107398243562902</v>
      </c>
      <c r="K395" s="14" t="n">
        <f aca="false">Share_Prices!K395/Share_Prices!K394-1</f>
        <v>0.0163026939296014</v>
      </c>
      <c r="L395" s="14" t="n">
        <f aca="false">Share_Prices!L395/Share_Prices!L394-1</f>
        <v>0.0134505021520803</v>
      </c>
      <c r="M395" s="14" t="n">
        <f aca="false">Share_Prices!M395/Share_Prices!M394-1</f>
        <v>0.015454350774502</v>
      </c>
      <c r="N395" s="14" t="n">
        <f aca="false">Share_Prices!N395/Share_Prices!N394-1</f>
        <v>0.0950352338244715</v>
      </c>
      <c r="O395" s="14" t="n">
        <f aca="false">Share_Prices!O395/Share_Prices!O394-1</f>
        <v>0.00219098046375743</v>
      </c>
      <c r="P395" s="14" t="n">
        <f aca="false">Share_Prices!P395/Share_Prices!P394-1</f>
        <v>-0.00333749115059168</v>
      </c>
      <c r="Q395" s="14" t="n">
        <f aca="false">Share_Prices!Q395/Share_Prices!Q394-1</f>
        <v>-0.00637675099310053</v>
      </c>
      <c r="R395" s="14" t="n">
        <f aca="false">Share_Prices!R395/Share_Prices!R394-1</f>
        <v>-0.00617062495515541</v>
      </c>
      <c r="S395" s="14" t="n">
        <f aca="false">Share_Prices!S395/Share_Prices!S394-1</f>
        <v>0.00581652652209641</v>
      </c>
    </row>
    <row r="396" customFormat="false" ht="15" hidden="false" customHeight="false" outlineLevel="0" collapsed="false">
      <c r="A396" s="13" t="n">
        <f aca="false">Share_Prices!A396</f>
        <v>45379</v>
      </c>
      <c r="B396" s="14" t="n">
        <f aca="false">Share_Prices!B396/Share_Prices!B395-1</f>
        <v>0.00918700124075378</v>
      </c>
      <c r="C396" s="14" t="n">
        <f aca="false">Share_Prices!C396/Share_Prices!C395-1</f>
        <v>0.00833092722946272</v>
      </c>
      <c r="D396" s="14" t="n">
        <f aca="false">Share_Prices!D396/Share_Prices!D395-1</f>
        <v>-0.00585612815475289</v>
      </c>
      <c r="E396" s="14" t="n">
        <f aca="false">Share_Prices!E396/Share_Prices!E395-1</f>
        <v>-0.00554711748002368</v>
      </c>
      <c r="F396" s="14" t="n">
        <f aca="false">Share_Prices!F396/Share_Prices!F395-1</f>
        <v>-0.0193872535634319</v>
      </c>
      <c r="G396" s="14" t="n">
        <f aca="false">Share_Prices!G396/Share_Prices!G395-1</f>
        <v>0.0330571525194454</v>
      </c>
      <c r="H396" s="14" t="n">
        <f aca="false">Share_Prices!H396/Share_Prices!H395-1</f>
        <v>-0.000793210121361132</v>
      </c>
      <c r="I396" s="14" t="n">
        <f aca="false">Share_Prices!I396/Share_Prices!I395-1</f>
        <v>-0.00273768043802891</v>
      </c>
      <c r="J396" s="14" t="n">
        <f aca="false">Share_Prices!J396/Share_Prices!J395-1</f>
        <v>-0.0129122504976597</v>
      </c>
      <c r="K396" s="14" t="n">
        <f aca="false">Share_Prices!K396/Share_Prices!K395-1</f>
        <v>0.0316831118462326</v>
      </c>
      <c r="L396" s="14" t="n">
        <f aca="false">Share_Prices!L396/Share_Prices!L395-1</f>
        <v>0.0233586975756501</v>
      </c>
      <c r="M396" s="14" t="n">
        <f aca="false">Share_Prices!M396/Share_Prices!M395-1</f>
        <v>0.0132508523426242</v>
      </c>
      <c r="N396" s="14" t="n">
        <f aca="false">Share_Prices!N396/Share_Prices!N395-1</f>
        <v>-0.0336677684499956</v>
      </c>
      <c r="O396" s="14" t="n">
        <f aca="false">Share_Prices!O396/Share_Prices!O395-1</f>
        <v>0.0158498815813446</v>
      </c>
      <c r="P396" s="14" t="n">
        <f aca="false">Share_Prices!P396/Share_Prices!P395-1</f>
        <v>0.00152212149912057</v>
      </c>
      <c r="Q396" s="14" t="n">
        <f aca="false">Share_Prices!Q396/Share_Prices!Q395-1</f>
        <v>-0.0203051025775907</v>
      </c>
      <c r="R396" s="14" t="n">
        <f aca="false">Share_Prices!R396/Share_Prices!R395-1</f>
        <v>-0.0144393906577143</v>
      </c>
      <c r="S396" s="14" t="n">
        <f aca="false">Share_Prices!S396/Share_Prices!S395-1</f>
        <v>-0.0111257778615877</v>
      </c>
    </row>
    <row r="397" customFormat="false" ht="15" hidden="false" customHeight="false" outlineLevel="0" collapsed="false">
      <c r="A397" s="13" t="n">
        <f aca="false">Share_Prices!A397</f>
        <v>45383</v>
      </c>
      <c r="B397" s="14" t="n">
        <f aca="false">Share_Prices!B397/Share_Prices!B396-1</f>
        <v>0.00605099677966936</v>
      </c>
      <c r="C397" s="14" t="n">
        <f aca="false">Share_Prices!C397/Share_Prices!C396-1</f>
        <v>0.0117204760270844</v>
      </c>
      <c r="D397" s="14" t="n">
        <f aca="false">Share_Prices!D397/Share_Prices!D396-1</f>
        <v>0.0782122905027931</v>
      </c>
      <c r="E397" s="14" t="n">
        <f aca="false">Share_Prices!E397/Share_Prices!E396-1</f>
        <v>0.0521947008433494</v>
      </c>
      <c r="F397" s="14" t="n">
        <f aca="false">Share_Prices!F397/Share_Prices!F396-1</f>
        <v>0.0244486522610827</v>
      </c>
      <c r="G397" s="14" t="n">
        <f aca="false">Share_Prices!G397/Share_Prices!G396-1</f>
        <v>0.0413290776659301</v>
      </c>
      <c r="H397" s="14" t="n">
        <f aca="false">Share_Prices!H397/Share_Prices!H396-1</f>
        <v>0.189648328967214</v>
      </c>
      <c r="I397" s="14" t="n">
        <f aca="false">Share_Prices!I397/Share_Prices!I396-1</f>
        <v>0.107062640379336</v>
      </c>
      <c r="J397" s="14" t="n">
        <f aca="false">Share_Prices!J397/Share_Prices!J396-1</f>
        <v>0.0631710906415217</v>
      </c>
      <c r="K397" s="14" t="n">
        <f aca="false">Share_Prices!K397/Share_Prices!K396-1</f>
        <v>0.000787793349365629</v>
      </c>
      <c r="L397" s="14" t="n">
        <f aca="false">Share_Prices!L397/Share_Prices!L396-1</f>
        <v>0.0249005706380774</v>
      </c>
      <c r="M397" s="14" t="n">
        <f aca="false">Share_Prices!M397/Share_Prices!M396-1</f>
        <v>-0.0226862772304705</v>
      </c>
      <c r="N397" s="14" t="n">
        <f aca="false">Share_Prices!N397/Share_Prices!N396-1</f>
        <v>0.0157404044073133</v>
      </c>
      <c r="O397" s="14" t="n">
        <f aca="false">Share_Prices!O397/Share_Prices!O396-1</f>
        <v>0.0292324246771878</v>
      </c>
      <c r="P397" s="14" t="n">
        <f aca="false">Share_Prices!P397/Share_Prices!P396-1</f>
        <v>0.0562329021581276</v>
      </c>
      <c r="Q397" s="14" t="n">
        <f aca="false">Share_Prices!Q397/Share_Prices!Q396-1</f>
        <v>0.020189003436426</v>
      </c>
      <c r="R397" s="14" t="n">
        <f aca="false">Share_Prices!R397/Share_Prices!R396-1</f>
        <v>0.00805801772763903</v>
      </c>
      <c r="S397" s="14" t="n">
        <f aca="false">Share_Prices!S397/Share_Prices!S396-1</f>
        <v>0.0304898720230529</v>
      </c>
    </row>
    <row r="398" customFormat="false" ht="15" hidden="false" customHeight="false" outlineLevel="0" collapsed="false">
      <c r="A398" s="13" t="n">
        <f aca="false">Share_Prices!A398</f>
        <v>45384</v>
      </c>
      <c r="B398" s="14" t="n">
        <f aca="false">Share_Prices!B398/Share_Prices!B397-1</f>
        <v>-0.000387320808476588</v>
      </c>
      <c r="C398" s="14" t="n">
        <f aca="false">Share_Prices!C398/Share_Prices!C397-1</f>
        <v>0.00376722272240393</v>
      </c>
      <c r="D398" s="14" t="n">
        <f aca="false">Share_Prices!D398/Share_Prices!D397-1</f>
        <v>-0.00218533009058541</v>
      </c>
      <c r="E398" s="14" t="n">
        <f aca="false">Share_Prices!E398/Share_Prices!E397-1</f>
        <v>0.00100978226569892</v>
      </c>
      <c r="F398" s="14" t="n">
        <f aca="false">Share_Prices!F398/Share_Prices!F397-1</f>
        <v>0.0279423756455559</v>
      </c>
      <c r="G398" s="14" t="n">
        <f aca="false">Share_Prices!G398/Share_Prices!G397-1</f>
        <v>0.00455831499528436</v>
      </c>
      <c r="H398" s="14" t="n">
        <f aca="false">Share_Prices!H398/Share_Prices!H397-1</f>
        <v>-0.0336981182436941</v>
      </c>
      <c r="I398" s="14" t="n">
        <f aca="false">Share_Prices!I398/Share_Prices!I397-1</f>
        <v>0.00597385031559949</v>
      </c>
      <c r="J398" s="14" t="n">
        <f aca="false">Share_Prices!J398/Share_Prices!J397-1</f>
        <v>0.00940736183738333</v>
      </c>
      <c r="K398" s="14" t="n">
        <f aca="false">Share_Prices!K398/Share_Prices!K397-1</f>
        <v>-0.00600737457016198</v>
      </c>
      <c r="L398" s="14" t="n">
        <f aca="false">Share_Prices!L398/Share_Prices!L397-1</f>
        <v>0.00999662561160775</v>
      </c>
      <c r="M398" s="14" t="n">
        <f aca="false">Share_Prices!M398/Share_Prices!M397-1</f>
        <v>-0.00472066444239372</v>
      </c>
      <c r="N398" s="14" t="n">
        <f aca="false">Share_Prices!N398/Share_Prices!N397-1</f>
        <v>0.0121587793539157</v>
      </c>
      <c r="O398" s="14" t="n">
        <f aca="false">Share_Prices!O398/Share_Prices!O397-1</f>
        <v>0.0317128419585295</v>
      </c>
      <c r="P398" s="14" t="n">
        <f aca="false">Share_Prices!P398/Share_Prices!P397-1</f>
        <v>-0.000607533414337835</v>
      </c>
      <c r="Q398" s="14" t="n">
        <f aca="false">Share_Prices!Q398/Share_Prices!Q397-1</f>
        <v>-0.000947368421052586</v>
      </c>
      <c r="R398" s="14" t="n">
        <f aca="false">Share_Prices!R398/Share_Prices!R397-1</f>
        <v>0.00624954581789128</v>
      </c>
      <c r="S398" s="14" t="n">
        <f aca="false">Share_Prices!S398/Share_Prices!S397-1</f>
        <v>0.0140639457181042</v>
      </c>
    </row>
    <row r="399" customFormat="false" ht="15" hidden="false" customHeight="false" outlineLevel="0" collapsed="false">
      <c r="A399" s="13" t="n">
        <f aca="false">Share_Prices!A399</f>
        <v>45385</v>
      </c>
      <c r="B399" s="14" t="n">
        <f aca="false">Share_Prices!B399/Share_Prices!B398-1</f>
        <v>-0.000830612872049885</v>
      </c>
      <c r="C399" s="14" t="n">
        <f aca="false">Share_Prices!C399/Share_Prices!C398-1</f>
        <v>0.00174771205289326</v>
      </c>
      <c r="D399" s="14" t="n">
        <f aca="false">Share_Prices!D399/Share_Prices!D398-1</f>
        <v>-0.0140591331378714</v>
      </c>
      <c r="E399" s="14" t="n">
        <f aca="false">Share_Prices!E399/Share_Prices!E398-1</f>
        <v>0.0153205976924533</v>
      </c>
      <c r="F399" s="14" t="n">
        <f aca="false">Share_Prices!F399/Share_Prices!F398-1</f>
        <v>-0.0163414247183881</v>
      </c>
      <c r="G399" s="14" t="n">
        <f aca="false">Share_Prices!G399/Share_Prices!G398-1</f>
        <v>0.00359881082772651</v>
      </c>
      <c r="H399" s="14" t="n">
        <f aca="false">Share_Prices!H399/Share_Prices!H398-1</f>
        <v>0.015123264967889</v>
      </c>
      <c r="I399" s="14" t="n">
        <f aca="false">Share_Prices!I399/Share_Prices!I398-1</f>
        <v>0.015126050420168</v>
      </c>
      <c r="J399" s="14" t="n">
        <f aca="false">Share_Prices!J399/Share_Prices!J398-1</f>
        <v>0.0299652098834404</v>
      </c>
      <c r="K399" s="14" t="n">
        <f aca="false">Share_Prices!K399/Share_Prices!K398-1</f>
        <v>0.0141297099033011</v>
      </c>
      <c r="L399" s="14" t="n">
        <f aca="false">Share_Prices!L399/Share_Prices!L398-1</f>
        <v>-0.0020881186051368</v>
      </c>
      <c r="M399" s="14" t="n">
        <f aca="false">Share_Prices!M399/Share_Prices!M398-1</f>
        <v>0.0139438679077066</v>
      </c>
      <c r="N399" s="14" t="n">
        <f aca="false">Share_Prices!N399/Share_Prices!N398-1</f>
        <v>0.00585914497703444</v>
      </c>
      <c r="O399" s="14" t="n">
        <f aca="false">Share_Prices!O399/Share_Prices!O398-1</f>
        <v>-0.00219557507177848</v>
      </c>
      <c r="P399" s="14" t="n">
        <f aca="false">Share_Prices!P399/Share_Prices!P398-1</f>
        <v>0.0431610942249241</v>
      </c>
      <c r="Q399" s="14" t="n">
        <f aca="false">Share_Prices!Q399/Share_Prices!Q398-1</f>
        <v>0.0422505531556212</v>
      </c>
      <c r="R399" s="14" t="n">
        <f aca="false">Share_Prices!R399/Share_Prices!R398-1</f>
        <v>0.00411641510796557</v>
      </c>
      <c r="S399" s="14" t="n">
        <f aca="false">Share_Prices!S399/Share_Prices!S398-1</f>
        <v>0.0366998519840225</v>
      </c>
    </row>
    <row r="400" customFormat="false" ht="15" hidden="false" customHeight="false" outlineLevel="0" collapsed="false">
      <c r="A400" s="13" t="n">
        <f aca="false">Share_Prices!A400</f>
        <v>45386</v>
      </c>
      <c r="B400" s="14" t="n">
        <f aca="false">Share_Prices!B400/Share_Prices!B399-1</f>
        <v>0.00356591255045213</v>
      </c>
      <c r="C400" s="14" t="n">
        <f aca="false">Share_Prices!C400/Share_Prices!C399-1</f>
        <v>0.00286085888855991</v>
      </c>
      <c r="D400" s="14" t="n">
        <f aca="false">Share_Prices!D400/Share_Prices!D399-1</f>
        <v>0.0405574862957259</v>
      </c>
      <c r="E400" s="14" t="n">
        <f aca="false">Share_Prices!E400/Share_Prices!E399-1</f>
        <v>0.00434674615002484</v>
      </c>
      <c r="F400" s="14" t="n">
        <f aca="false">Share_Prices!F400/Share_Prices!F399-1</f>
        <v>0.0249999999999999</v>
      </c>
      <c r="G400" s="14" t="n">
        <f aca="false">Share_Prices!G400/Share_Prices!G399-1</f>
        <v>0.00381976925475525</v>
      </c>
      <c r="H400" s="14" t="n">
        <f aca="false">Share_Prices!H400/Share_Prices!H399-1</f>
        <v>0.0471428571428572</v>
      </c>
      <c r="I400" s="14" t="n">
        <f aca="false">Share_Prices!I400/Share_Prices!I399-1</f>
        <v>-0.0186534216335541</v>
      </c>
      <c r="J400" s="14" t="n">
        <f aca="false">Share_Prices!J400/Share_Prices!J399-1</f>
        <v>0.0271702951256196</v>
      </c>
      <c r="K400" s="14" t="n">
        <f aca="false">Share_Prices!K400/Share_Prices!K399-1</f>
        <v>-0.0035345855081993</v>
      </c>
      <c r="L400" s="14" t="n">
        <f aca="false">Share_Prices!L400/Share_Prices!L399-1</f>
        <v>0.00133919229964419</v>
      </c>
      <c r="M400" s="14" t="n">
        <f aca="false">Share_Prices!M400/Share_Prices!M399-1</f>
        <v>0.0397791221159258</v>
      </c>
      <c r="N400" s="14" t="n">
        <f aca="false">Share_Prices!N400/Share_Prices!N399-1</f>
        <v>0.00965957322249222</v>
      </c>
      <c r="O400" s="14" t="n">
        <f aca="false">Share_Prices!O400/Share_Prices!O399-1</f>
        <v>-0.00440081245768431</v>
      </c>
      <c r="P400" s="14" t="n">
        <f aca="false">Share_Prices!P400/Share_Prices!P399-1</f>
        <v>0.0222978775610354</v>
      </c>
      <c r="Q400" s="14" t="n">
        <f aca="false">Share_Prices!Q400/Share_Prices!Q399-1</f>
        <v>-0.00181965224423786</v>
      </c>
      <c r="R400" s="14" t="n">
        <f aca="false">Share_Prices!R400/Share_Prices!R399-1</f>
        <v>-0.00151035673187583</v>
      </c>
      <c r="S400" s="14" t="n">
        <f aca="false">Share_Prices!S400/Share_Prices!S399-1</f>
        <v>-0.0223552191515578</v>
      </c>
    </row>
    <row r="401" customFormat="false" ht="15" hidden="false" customHeight="false" outlineLevel="0" collapsed="false">
      <c r="A401" s="13" t="n">
        <f aca="false">Share_Prices!A401</f>
        <v>45387</v>
      </c>
      <c r="B401" s="14" t="n">
        <f aca="false">Share_Prices!B401/Share_Prices!B400-1</f>
        <v>-4.21947487525554E-005</v>
      </c>
      <c r="C401" s="14" t="n">
        <f aca="false">Share_Prices!C401/Share_Prices!C400-1</f>
        <v>0.00244136726245037</v>
      </c>
      <c r="D401" s="14" t="n">
        <f aca="false">Share_Prices!D401/Share_Prices!D400-1</f>
        <v>0.100816031401715</v>
      </c>
      <c r="E401" s="14" t="n">
        <f aca="false">Share_Prices!E401/Share_Prices!E400-1</f>
        <v>-0.0121800420427848</v>
      </c>
      <c r="F401" s="14" t="n">
        <f aca="false">Share_Prices!F401/Share_Prices!F400-1</f>
        <v>0.00713349068974556</v>
      </c>
      <c r="G401" s="14" t="n">
        <f aca="false">Share_Prices!G401/Share_Prices!G400-1</f>
        <v>0.000698920556029936</v>
      </c>
      <c r="H401" s="14" t="n">
        <f aca="false">Share_Prices!H401/Share_Prices!H400-1</f>
        <v>0.00344312349769371</v>
      </c>
      <c r="I401" s="14" t="n">
        <f aca="false">Share_Prices!I401/Share_Prices!I400-1</f>
        <v>-0.00731076369362271</v>
      </c>
      <c r="J401" s="14" t="n">
        <f aca="false">Share_Prices!J401/Share_Prices!J400-1</f>
        <v>0.0170423177552148</v>
      </c>
      <c r="K401" s="14" t="n">
        <f aca="false">Share_Prices!K401/Share_Prices!K400-1</f>
        <v>-0.0147934281982539</v>
      </c>
      <c r="L401" s="14" t="n">
        <f aca="false">Share_Prices!L401/Share_Prices!L400-1</f>
        <v>0.0178041543026708</v>
      </c>
      <c r="M401" s="14" t="n">
        <f aca="false">Share_Prices!M401/Share_Prices!M400-1</f>
        <v>0.00219869431383835</v>
      </c>
      <c r="N401" s="14" t="n">
        <f aca="false">Share_Prices!N401/Share_Prices!N400-1</f>
        <v>0.129968399385382</v>
      </c>
      <c r="O401" s="14" t="n">
        <f aca="false">Share_Prices!O401/Share_Prices!O400-1</f>
        <v>0.0149608976538591</v>
      </c>
      <c r="P401" s="14" t="n">
        <f aca="false">Share_Prices!P401/Share_Prices!P400-1</f>
        <v>-0.00708049563469437</v>
      </c>
      <c r="Q401" s="14" t="n">
        <f aca="false">Share_Prices!Q401/Share_Prices!Q400-1</f>
        <v>0.00749442981567761</v>
      </c>
      <c r="R401" s="14" t="n">
        <f aca="false">Share_Prices!R401/Share_Prices!R400-1</f>
        <v>0.0521501116473386</v>
      </c>
      <c r="S401" s="14" t="n">
        <f aca="false">Share_Prices!S401/Share_Prices!S400-1</f>
        <v>0.00782219021325958</v>
      </c>
    </row>
    <row r="402" customFormat="false" ht="15" hidden="false" customHeight="false" outlineLevel="0" collapsed="false">
      <c r="A402" s="13" t="n">
        <f aca="false">Share_Prices!A402</f>
        <v>45390</v>
      </c>
      <c r="B402" s="14" t="n">
        <f aca="false">Share_Prices!B402/Share_Prices!B401-1</f>
        <v>0.0067780951154186</v>
      </c>
      <c r="C402" s="14" t="n">
        <f aca="false">Share_Prices!C402/Share_Prices!C401-1</f>
        <v>0.00502049229788892</v>
      </c>
      <c r="D402" s="14" t="n">
        <f aca="false">Share_Prices!D402/Share_Prices!D401-1</f>
        <v>0.0171718119545838</v>
      </c>
      <c r="E402" s="14" t="n">
        <f aca="false">Share_Prices!E402/Share_Prices!E401-1</f>
        <v>0.00012517994617256</v>
      </c>
      <c r="F402" s="14" t="n">
        <f aca="false">Share_Prices!F402/Share_Prices!F401-1</f>
        <v>-0.00937451174418003</v>
      </c>
      <c r="G402" s="14" t="n">
        <f aca="false">Share_Prices!G402/Share_Prices!G401-1</f>
        <v>0.00388018004035384</v>
      </c>
      <c r="H402" s="14" t="n">
        <f aca="false">Share_Prices!H402/Share_Prices!H401-1</f>
        <v>-0.0108766023565972</v>
      </c>
      <c r="I402" s="14" t="n">
        <f aca="false">Share_Prices!I402/Share_Prices!I401-1</f>
        <v>0.0163154316791299</v>
      </c>
      <c r="J402" s="14" t="n">
        <f aca="false">Share_Prices!J402/Share_Prices!J401-1</f>
        <v>-0.0308701706355763</v>
      </c>
      <c r="K402" s="14" t="n">
        <f aca="false">Share_Prices!K402/Share_Prices!K401-1</f>
        <v>0.000404694455685917</v>
      </c>
      <c r="L402" s="14" t="n">
        <f aca="false">Share_Prices!L402/Share_Prices!L401-1</f>
        <v>-0.0119903092021518</v>
      </c>
      <c r="M402" s="14" t="n">
        <f aca="false">Share_Prices!M402/Share_Prices!M401-1</f>
        <v>-0.00637910085054683</v>
      </c>
      <c r="N402" s="14" t="n">
        <f aca="false">Share_Prices!N402/Share_Prices!N401-1</f>
        <v>0.058805418719212</v>
      </c>
      <c r="O402" s="14" t="n">
        <f aca="false">Share_Prices!O402/Share_Prices!O401-1</f>
        <v>0.00134003350083733</v>
      </c>
      <c r="P402" s="14" t="n">
        <f aca="false">Share_Prices!P402/Share_Prices!P401-1</f>
        <v>0.0117540413959814</v>
      </c>
      <c r="Q402" s="14" t="n">
        <f aca="false">Share_Prices!Q402/Share_Prices!Q401-1</f>
        <v>-0.0174909529553678</v>
      </c>
      <c r="R402" s="14" t="n">
        <f aca="false">Share_Prices!R402/Share_Prices!R401-1</f>
        <v>-0.00965290614089143</v>
      </c>
      <c r="S402" s="14" t="n">
        <f aca="false">Share_Prices!S402/Share_Prices!S401-1</f>
        <v>0.0199892808225977</v>
      </c>
    </row>
    <row r="403" customFormat="false" ht="15" hidden="false" customHeight="false" outlineLevel="0" collapsed="false">
      <c r="A403" s="13" t="n">
        <f aca="false">Share_Prices!A403</f>
        <v>45391</v>
      </c>
      <c r="B403" s="14" t="n">
        <f aca="false">Share_Prices!B403/Share_Prices!B402-1</f>
        <v>-0.00103898739538433</v>
      </c>
      <c r="C403" s="14" t="n">
        <f aca="false">Share_Prices!C403/Share_Prices!C402-1</f>
        <v>-0.00136413197496521</v>
      </c>
      <c r="D403" s="14" t="n">
        <f aca="false">Share_Prices!D403/Share_Prices!D402-1</f>
        <v>-0.025830258302583</v>
      </c>
      <c r="E403" s="14" t="n">
        <f aca="false">Share_Prices!E403/Share_Prices!E402-1</f>
        <v>0.0145190562613429</v>
      </c>
      <c r="F403" s="14" t="n">
        <f aca="false">Share_Prices!F403/Share_Prices!F402-1</f>
        <v>-0.0153514536564848</v>
      </c>
      <c r="G403" s="14" t="n">
        <f aca="false">Share_Prices!G403/Share_Prices!G402-1</f>
        <v>0.00703463203463217</v>
      </c>
      <c r="H403" s="14" t="n">
        <f aca="false">Share_Prices!H403/Share_Prices!H402-1</f>
        <v>0.0007854431208274</v>
      </c>
      <c r="I403" s="14" t="n">
        <f aca="false">Share_Prices!I403/Share_Prices!I402-1</f>
        <v>-0.021850613154961</v>
      </c>
      <c r="J403" s="14" t="n">
        <f aca="false">Share_Prices!J403/Share_Prices!J402-1</f>
        <v>-0.00601514745634768</v>
      </c>
      <c r="K403" s="14" t="n">
        <f aca="false">Share_Prices!K403/Share_Prices!K402-1</f>
        <v>0.00209240040174086</v>
      </c>
      <c r="L403" s="14" t="n">
        <f aca="false">Share_Prices!L403/Share_Prices!L402-1</f>
        <v>0.00586010556502226</v>
      </c>
      <c r="M403" s="14" t="n">
        <f aca="false">Share_Prices!M403/Share_Prices!M402-1</f>
        <v>-0.0133836067801216</v>
      </c>
      <c r="N403" s="14" t="n">
        <f aca="false">Share_Prices!N403/Share_Prices!N402-1</f>
        <v>0.0446108364834739</v>
      </c>
      <c r="O403" s="14" t="n">
        <f aca="false">Share_Prices!O403/Share_Prices!O402-1</f>
        <v>0.00217464034794257</v>
      </c>
      <c r="P403" s="14" t="n">
        <f aca="false">Share_Prices!P403/Share_Prices!P402-1</f>
        <v>0.00092581531477709</v>
      </c>
      <c r="Q403" s="14" t="n">
        <f aca="false">Share_Prices!Q403/Share_Prices!Q402-1</f>
        <v>0.00532023736443632</v>
      </c>
      <c r="R403" s="14" t="n">
        <f aca="false">Share_Prices!R403/Share_Prices!R402-1</f>
        <v>0.0398175031107426</v>
      </c>
      <c r="S403" s="14" t="n">
        <f aca="false">Share_Prices!S403/Share_Prices!S402-1</f>
        <v>-0.00731745290362773</v>
      </c>
    </row>
    <row r="404" customFormat="false" ht="15" hidden="false" customHeight="false" outlineLevel="0" collapsed="false">
      <c r="A404" s="13" t="n">
        <f aca="false">Share_Prices!A404</f>
        <v>45392</v>
      </c>
      <c r="B404" s="14" t="n">
        <f aca="false">Share_Prices!B404/Share_Prices!B403-1</f>
        <v>0.00490443961091303</v>
      </c>
      <c r="C404" s="14" t="n">
        <f aca="false">Share_Prices!C404/Share_Prices!C403-1</f>
        <v>0.00598825436372996</v>
      </c>
      <c r="D404" s="14" t="n">
        <f aca="false">Share_Prices!D404/Share_Prices!D403-1</f>
        <v>-0.00284090909090906</v>
      </c>
      <c r="E404" s="14" t="n">
        <f aca="false">Share_Prices!E404/Share_Prices!E403-1</f>
        <v>-0.00308432545802229</v>
      </c>
      <c r="F404" s="14" t="n">
        <f aca="false">Share_Prices!F404/Share_Prices!F403-1</f>
        <v>-0.039137166960329</v>
      </c>
      <c r="G404" s="14" t="n">
        <f aca="false">Share_Prices!G404/Share_Prices!G403-1</f>
        <v>-0.00353112765794128</v>
      </c>
      <c r="H404" s="14" t="n">
        <f aca="false">Share_Prices!H404/Share_Prices!H403-1</f>
        <v>0.00588620013080443</v>
      </c>
      <c r="I404" s="14" t="n">
        <f aca="false">Share_Prices!I404/Share_Prices!I403-1</f>
        <v>-0.00182356963756558</v>
      </c>
      <c r="J404" s="14" t="n">
        <f aca="false">Share_Prices!J404/Share_Prices!J403-1</f>
        <v>0.019575656605253</v>
      </c>
      <c r="K404" s="14" t="n">
        <f aca="false">Share_Prices!K404/Share_Prices!K403-1</f>
        <v>0.00509479662574131</v>
      </c>
      <c r="L404" s="14" t="n">
        <f aca="false">Share_Prices!L404/Share_Prices!L403-1</f>
        <v>-0.0151227171308156</v>
      </c>
      <c r="M404" s="14" t="n">
        <f aca="false">Share_Prices!M404/Share_Prices!M403-1</f>
        <v>-0.016457221552763</v>
      </c>
      <c r="N404" s="14" t="n">
        <f aca="false">Share_Prices!N404/Share_Prices!N403-1</f>
        <v>-0.0172353800830452</v>
      </c>
      <c r="O404" s="14" t="n">
        <f aca="false">Share_Prices!O404/Share_Prices!O403-1</f>
        <v>0.00851276915373056</v>
      </c>
      <c r="P404" s="14" t="n">
        <f aca="false">Share_Prices!P404/Share_Prices!P403-1</f>
        <v>-0.0156944651648515</v>
      </c>
      <c r="Q404" s="14" t="n">
        <f aca="false">Share_Prices!Q404/Share_Prices!Q403-1</f>
        <v>0.00692041522491338</v>
      </c>
      <c r="R404" s="14" t="n">
        <f aca="false">Share_Prices!R404/Share_Prices!R403-1</f>
        <v>-0.00545140273899747</v>
      </c>
      <c r="S404" s="14" t="n">
        <f aca="false">Share_Prices!S404/Share_Prices!S403-1</f>
        <v>-0.008763331242158</v>
      </c>
    </row>
    <row r="405" customFormat="false" ht="15" hidden="false" customHeight="false" outlineLevel="0" collapsed="false">
      <c r="A405" s="13" t="n">
        <f aca="false">Share_Prices!A405</f>
        <v>45394</v>
      </c>
      <c r="B405" s="14" t="n">
        <f aca="false">Share_Prices!B405/Share_Prices!B404-1</f>
        <v>-0.0103015760004921</v>
      </c>
      <c r="C405" s="14" t="n">
        <f aca="false">Share_Prices!C405/Share_Prices!C404-1</f>
        <v>-0.00811371634026936</v>
      </c>
      <c r="D405" s="14" t="n">
        <f aca="false">Share_Prices!D405/Share_Prices!D404-1</f>
        <v>-0.0066793289015511</v>
      </c>
      <c r="E405" s="14" t="n">
        <f aca="false">Share_Prices!E405/Share_Prices!E404-1</f>
        <v>-0.0275973021471443</v>
      </c>
      <c r="F405" s="14" t="n">
        <f aca="false">Share_Prices!F405/Share_Prices!F404-1</f>
        <v>-0.00116692598355184</v>
      </c>
      <c r="G405" s="14" t="n">
        <f aca="false">Share_Prices!G405/Share_Prices!G404-1</f>
        <v>-0.000847392342654629</v>
      </c>
      <c r="H405" s="14" t="n">
        <f aca="false">Share_Prices!H405/Share_Prices!H404-1</f>
        <v>-0.00799739921976594</v>
      </c>
      <c r="I405" s="14" t="n">
        <f aca="false">Share_Prices!I405/Share_Prices!I404-1</f>
        <v>0.0534368577300755</v>
      </c>
      <c r="J405" s="14" t="n">
        <f aca="false">Share_Prices!J405/Share_Prices!J404-1</f>
        <v>-0.0417397572990508</v>
      </c>
      <c r="K405" s="14" t="n">
        <f aca="false">Share_Prices!K405/Share_Prices!K404-1</f>
        <v>-9.69475375324214E-005</v>
      </c>
      <c r="L405" s="14" t="n">
        <f aca="false">Share_Prices!L405/Share_Prices!L404-1</f>
        <v>-0.0119147507971137</v>
      </c>
      <c r="M405" s="14" t="n">
        <f aca="false">Share_Prices!M405/Share_Prices!M404-1</f>
        <v>0.0301396716491058</v>
      </c>
      <c r="N405" s="14" t="n">
        <f aca="false">Share_Prices!N405/Share_Prices!N404-1</f>
        <v>-0.0359958457253458</v>
      </c>
      <c r="O405" s="14" t="n">
        <f aca="false">Share_Prices!O405/Share_Prices!O404-1</f>
        <v>0.00446871896722922</v>
      </c>
      <c r="P405" s="14" t="n">
        <f aca="false">Share_Prices!P405/Share_Prices!P404-1</f>
        <v>0.0108521022158901</v>
      </c>
      <c r="Q405" s="14" t="n">
        <f aca="false">Share_Prices!Q405/Share_Prices!Q404-1</f>
        <v>-0.00293106933495046</v>
      </c>
      <c r="R405" s="14" t="n">
        <f aca="false">Share_Prices!R405/Share_Prices!R404-1</f>
        <v>-0.013836898395722</v>
      </c>
      <c r="S405" s="14" t="n">
        <f aca="false">Share_Prices!S405/Share_Prices!S404-1</f>
        <v>-0.0167915982674394</v>
      </c>
    </row>
    <row r="406" customFormat="false" ht="15" hidden="false" customHeight="false" outlineLevel="0" collapsed="false">
      <c r="A406" s="13" t="n">
        <f aca="false">Share_Prices!A406</f>
        <v>45397</v>
      </c>
      <c r="B406" s="14" t="n">
        <f aca="false">Share_Prices!B406/Share_Prices!B405-1</f>
        <v>-0.0109638800323277</v>
      </c>
      <c r="C406" s="14" t="n">
        <f aca="false">Share_Prices!C406/Share_Prices!C405-1</f>
        <v>-0.0128582102142634</v>
      </c>
      <c r="D406" s="14" t="n">
        <f aca="false">Share_Prices!D406/Share_Prices!D405-1</f>
        <v>-0.0121100098792186</v>
      </c>
      <c r="E406" s="14" t="n">
        <f aca="false">Share_Prices!E406/Share_Prices!E405-1</f>
        <v>-0.012663060769965</v>
      </c>
      <c r="F406" s="14" t="n">
        <f aca="false">Share_Prices!F406/Share_Prices!F405-1</f>
        <v>-0.00183588317107086</v>
      </c>
      <c r="G406" s="14" t="n">
        <f aca="false">Share_Prices!G406/Share_Prices!G405-1</f>
        <v>-0.015497301464919</v>
      </c>
      <c r="H406" s="14" t="n">
        <f aca="false">Share_Prices!H406/Share_Prices!H405-1</f>
        <v>-0.0323785803237858</v>
      </c>
      <c r="I406" s="14" t="n">
        <f aca="false">Share_Prices!I406/Share_Prices!I405-1</f>
        <v>-0.0363104270539779</v>
      </c>
      <c r="J406" s="14" t="n">
        <f aca="false">Share_Prices!J406/Share_Prices!J405-1</f>
        <v>-0.021039169466874</v>
      </c>
      <c r="K406" s="14" t="n">
        <f aca="false">Share_Prices!K406/Share_Prices!K405-1</f>
        <v>-0.021205867279804</v>
      </c>
      <c r="L406" s="14" t="n">
        <f aca="false">Share_Prices!L406/Share_Prices!L405-1</f>
        <v>-0.0135020380434782</v>
      </c>
      <c r="M406" s="14" t="n">
        <f aca="false">Share_Prices!M406/Share_Prices!M405-1</f>
        <v>-0.000679624847084392</v>
      </c>
      <c r="N406" s="14" t="n">
        <f aca="false">Share_Prices!N406/Share_Prices!N405-1</f>
        <v>0.0255625474400725</v>
      </c>
      <c r="O406" s="14" t="n">
        <f aca="false">Share_Prices!O406/Share_Prices!O405-1</f>
        <v>-0.0416872631405503</v>
      </c>
      <c r="P406" s="14" t="n">
        <f aca="false">Share_Prices!P406/Share_Prices!P405-1</f>
        <v>-0.0117851680810867</v>
      </c>
      <c r="Q406" s="14" t="n">
        <f aca="false">Share_Prices!Q406/Share_Prices!Q405-1</f>
        <v>-0.0246325392802838</v>
      </c>
      <c r="R406" s="14" t="n">
        <f aca="false">Share_Prices!R406/Share_Prices!R405-1</f>
        <v>-0.0220294177455432</v>
      </c>
      <c r="S406" s="14" t="n">
        <f aca="false">Share_Prices!S406/Share_Prices!S405-1</f>
        <v>-0.0285444158352108</v>
      </c>
    </row>
    <row r="407" customFormat="false" ht="15" hidden="false" customHeight="false" outlineLevel="0" collapsed="false">
      <c r="A407" s="13" t="n">
        <f aca="false">Share_Prices!A407</f>
        <v>45398</v>
      </c>
      <c r="B407" s="14" t="n">
        <f aca="false">Share_Prices!B407/Share_Prices!B406-1</f>
        <v>-0.00559434279941629</v>
      </c>
      <c r="C407" s="14" t="n">
        <f aca="false">Share_Prices!C407/Share_Prices!C406-1</f>
        <v>-0.00272233412683875</v>
      </c>
      <c r="D407" s="14" t="n">
        <f aca="false">Share_Prices!D407/Share_Prices!D406-1</f>
        <v>-0.00516145682118774</v>
      </c>
      <c r="E407" s="14" t="n">
        <f aca="false">Share_Prices!E407/Share_Prices!E406-1</f>
        <v>-0.0136633152874451</v>
      </c>
      <c r="F407" s="14" t="n">
        <f aca="false">Share_Prices!F407/Share_Prices!F406-1</f>
        <v>-0.0120387916620222</v>
      </c>
      <c r="G407" s="14" t="n">
        <f aca="false">Share_Prices!G407/Share_Prices!G406-1</f>
        <v>0.0244341765212623</v>
      </c>
      <c r="H407" s="14" t="n">
        <f aca="false">Share_Prices!H407/Share_Prices!H406-1</f>
        <v>0.0139538034274878</v>
      </c>
      <c r="I407" s="14" t="n">
        <f aca="false">Share_Prices!I407/Share_Prices!I406-1</f>
        <v>0.0426273759982003</v>
      </c>
      <c r="J407" s="14" t="n">
        <f aca="false">Share_Prices!J407/Share_Prices!J406-1</f>
        <v>0.025359256128487</v>
      </c>
      <c r="K407" s="14" t="n">
        <f aca="false">Share_Prices!K407/Share_Prices!K406-1</f>
        <v>-0.0172360116604873</v>
      </c>
      <c r="L407" s="14" t="n">
        <f aca="false">Share_Prices!L407/Share_Prices!L406-1</f>
        <v>-0.0272875957648274</v>
      </c>
      <c r="M407" s="14" t="n">
        <f aca="false">Share_Prices!M407/Share_Prices!M406-1</f>
        <v>-0.0151999455930359</v>
      </c>
      <c r="N407" s="14" t="n">
        <f aca="false">Share_Prices!N407/Share_Prices!N406-1</f>
        <v>-0.0212247821415782</v>
      </c>
      <c r="O407" s="14" t="n">
        <f aca="false">Share_Prices!O407/Share_Prices!O406-1</f>
        <v>-0.00962861072902344</v>
      </c>
      <c r="P407" s="14" t="n">
        <f aca="false">Share_Prices!P407/Share_Prices!P406-1</f>
        <v>-0.00876980032772956</v>
      </c>
      <c r="Q407" s="14" t="n">
        <f aca="false">Share_Prices!Q407/Share_Prices!Q406-1</f>
        <v>0.0169403450426107</v>
      </c>
      <c r="R407" s="14" t="n">
        <f aca="false">Share_Prices!R407/Share_Prices!R406-1</f>
        <v>0.00609925145550316</v>
      </c>
      <c r="S407" s="14" t="n">
        <f aca="false">Share_Prices!S407/Share_Prices!S406-1</f>
        <v>-0.00575652786118075</v>
      </c>
    </row>
    <row r="408" customFormat="false" ht="15" hidden="false" customHeight="false" outlineLevel="0" collapsed="false">
      <c r="A408" s="13" t="n">
        <f aca="false">Share_Prices!A408</f>
        <v>45400</v>
      </c>
      <c r="B408" s="14" t="n">
        <f aca="false">Share_Prices!B408/Share_Prices!B407-1</f>
        <v>-0.00686521069717683</v>
      </c>
      <c r="C408" s="14" t="n">
        <f aca="false">Share_Prices!C408/Share_Prices!C407-1</f>
        <v>-0.00481320080301617</v>
      </c>
      <c r="D408" s="14" t="n">
        <f aca="false">Share_Prices!D408/Share_Prices!D407-1</f>
        <v>-0.00839845649988658</v>
      </c>
      <c r="E408" s="14" t="n">
        <f aca="false">Share_Prices!E408/Share_Prices!E407-1</f>
        <v>-0.00405122843701</v>
      </c>
      <c r="F408" s="14" t="n">
        <f aca="false">Share_Prices!F408/Share_Prices!F407-1</f>
        <v>-0.0056414306668171</v>
      </c>
      <c r="G408" s="14" t="n">
        <f aca="false">Share_Prices!G408/Share_Prices!G407-1</f>
        <v>-0.0178120938766149</v>
      </c>
      <c r="H408" s="14" t="n">
        <f aca="false">Share_Prices!H408/Share_Prices!H407-1</f>
        <v>0.00487674527356541</v>
      </c>
      <c r="I408" s="14" t="n">
        <f aca="false">Share_Prices!I408/Share_Prices!I407-1</f>
        <v>0.0120819848975189</v>
      </c>
      <c r="J408" s="14" t="n">
        <f aca="false">Share_Prices!J408/Share_Prices!J407-1</f>
        <v>-0.00312273601638813</v>
      </c>
      <c r="K408" s="14" t="n">
        <f aca="false">Share_Prices!K408/Share_Prices!K407-1</f>
        <v>-0.00878355028222555</v>
      </c>
      <c r="L408" s="14" t="n">
        <f aca="false">Share_Prices!L408/Share_Prices!L407-1</f>
        <v>-0.00991150442477884</v>
      </c>
      <c r="M408" s="14" t="n">
        <f aca="false">Share_Prices!M408/Share_Prices!M407-1</f>
        <v>-0.0154690791063844</v>
      </c>
      <c r="N408" s="14" t="n">
        <f aca="false">Share_Prices!N408/Share_Prices!N407-1</f>
        <v>-0.00568348131525021</v>
      </c>
      <c r="O408" s="14" t="n">
        <f aca="false">Share_Prices!O408/Share_Prices!O407-1</f>
        <v>0.010763888888889</v>
      </c>
      <c r="P408" s="14" t="n">
        <f aca="false">Share_Prices!P408/Share_Prices!P407-1</f>
        <v>0.0137455992652686</v>
      </c>
      <c r="Q408" s="14" t="n">
        <f aca="false">Share_Prices!Q408/Share_Prices!Q407-1</f>
        <v>0.0229943791517628</v>
      </c>
      <c r="R408" s="14" t="n">
        <f aca="false">Share_Prices!R408/Share_Prices!R407-1</f>
        <v>0.000275558004960041</v>
      </c>
      <c r="S408" s="14" t="n">
        <f aca="false">Share_Prices!S408/Share_Prices!S407-1</f>
        <v>-0.0122045194210142</v>
      </c>
    </row>
    <row r="409" customFormat="false" ht="15" hidden="false" customHeight="false" outlineLevel="0" collapsed="false">
      <c r="A409" s="13" t="n">
        <f aca="false">Share_Prices!A409</f>
        <v>45401</v>
      </c>
      <c r="B409" s="14" t="n">
        <f aca="false">Share_Prices!B409/Share_Prices!B408-1</f>
        <v>0.00687175080753866</v>
      </c>
      <c r="C409" s="14" t="n">
        <f aca="false">Share_Prices!C409/Share_Prices!C408-1</f>
        <v>0.00297667370244081</v>
      </c>
      <c r="D409" s="14" t="n">
        <f aca="false">Share_Prices!D409/Share_Prices!D408-1</f>
        <v>0.0126553302812296</v>
      </c>
      <c r="E409" s="14" t="n">
        <f aca="false">Share_Prices!E409/Share_Prices!E408-1</f>
        <v>-0.00957879543367024</v>
      </c>
      <c r="F409" s="14" t="n">
        <f aca="false">Share_Prices!F409/Share_Prices!F408-1</f>
        <v>-0.00119142176330411</v>
      </c>
      <c r="G409" s="14" t="n">
        <f aca="false">Share_Prices!G409/Share_Prices!G408-1</f>
        <v>0.000856164383561842</v>
      </c>
      <c r="H409" s="14" t="n">
        <f aca="false">Share_Prices!H409/Share_Prices!H408-1</f>
        <v>0.0262598058768782</v>
      </c>
      <c r="I409" s="14" t="n">
        <f aca="false">Share_Prices!I409/Share_Prices!I408-1</f>
        <v>0.0674696226817309</v>
      </c>
      <c r="J409" s="14" t="n">
        <f aca="false">Share_Prices!J409/Share_Prices!J408-1</f>
        <v>-0.0164143945469126</v>
      </c>
      <c r="K409" s="14" t="n">
        <f aca="false">Share_Prices!K409/Share_Prices!K408-1</f>
        <v>0.0328307039716436</v>
      </c>
      <c r="L409" s="14" t="n">
        <f aca="false">Share_Prices!L409/Share_Prices!L408-1</f>
        <v>0.00835716839470879</v>
      </c>
      <c r="M409" s="14" t="n">
        <f aca="false">Share_Prices!M409/Share_Prices!M408-1</f>
        <v>0.00813663942762943</v>
      </c>
      <c r="N409" s="14" t="n">
        <f aca="false">Share_Prices!N409/Share_Prices!N408-1</f>
        <v>-0.0322841792802295</v>
      </c>
      <c r="O409" s="14" t="n">
        <f aca="false">Share_Prices!O409/Share_Prices!O408-1</f>
        <v>-0.0273102026794917</v>
      </c>
      <c r="P409" s="14" t="n">
        <f aca="false">Share_Prices!P409/Share_Prices!P408-1</f>
        <v>-0.00238569789213028</v>
      </c>
      <c r="Q409" s="14" t="n">
        <f aca="false">Share_Prices!Q409/Share_Prices!Q408-1</f>
        <v>-0.00339660339660342</v>
      </c>
      <c r="R409" s="14" t="n">
        <f aca="false">Share_Prices!R409/Share_Prices!R408-1</f>
        <v>0.00840220385674928</v>
      </c>
      <c r="S409" s="14" t="n">
        <f aca="false">Share_Prices!S409/Share_Prices!S408-1</f>
        <v>-0.00206624638933994</v>
      </c>
    </row>
    <row r="410" customFormat="false" ht="15" hidden="false" customHeight="false" outlineLevel="0" collapsed="false">
      <c r="A410" s="13" t="n">
        <f aca="false">Share_Prices!A410</f>
        <v>45404</v>
      </c>
      <c r="B410" s="14" t="n">
        <f aca="false">Share_Prices!B410/Share_Prices!B409-1</f>
        <v>0.00855194834514839</v>
      </c>
      <c r="C410" s="14" t="n">
        <f aca="false">Share_Prices!C410/Share_Prices!C409-1</f>
        <v>0.0093033180935187</v>
      </c>
      <c r="D410" s="14" t="n">
        <f aca="false">Share_Prices!D410/Share_Prices!D409-1</f>
        <v>0.000452094164756112</v>
      </c>
      <c r="E410" s="14" t="n">
        <f aca="false">Share_Prices!E410/Share_Prices!E409-1</f>
        <v>-0.0025834658187599</v>
      </c>
      <c r="F410" s="14" t="n">
        <f aca="false">Share_Prices!F410/Share_Prices!F409-1</f>
        <v>-0.0163589889236012</v>
      </c>
      <c r="G410" s="14" t="n">
        <f aca="false">Share_Prices!G410/Share_Prices!G409-1</f>
        <v>0.0314954506571272</v>
      </c>
      <c r="H410" s="14" t="n">
        <f aca="false">Share_Prices!H410/Share_Prices!H409-1</f>
        <v>-0.00252639761611717</v>
      </c>
      <c r="I410" s="14" t="n">
        <f aca="false">Share_Prices!I410/Share_Prices!I409-1</f>
        <v>0.0263604593110336</v>
      </c>
      <c r="J410" s="14" t="n">
        <f aca="false">Share_Prices!J410/Share_Prices!J409-1</f>
        <v>0.0216566027159928</v>
      </c>
      <c r="K410" s="14" t="n">
        <f aca="false">Share_Prices!K410/Share_Prices!K409-1</f>
        <v>0.0242622858589552</v>
      </c>
      <c r="L410" s="14" t="n">
        <f aca="false">Share_Prices!L410/Share_Prices!L409-1</f>
        <v>0.010503922350751</v>
      </c>
      <c r="M410" s="14" t="n">
        <f aca="false">Share_Prices!M410/Share_Prices!M409-1</f>
        <v>0.0312402156896852</v>
      </c>
      <c r="N410" s="14" t="n">
        <f aca="false">Share_Prices!N410/Share_Prices!N409-1</f>
        <v>0.035211803178949</v>
      </c>
      <c r="O410" s="14" t="n">
        <f aca="false">Share_Prices!O410/Share_Prices!O409-1</f>
        <v>-0.0151862970157159</v>
      </c>
      <c r="P410" s="14" t="n">
        <f aca="false">Share_Prices!P410/Share_Prices!P409-1</f>
        <v>-0.00641743605267131</v>
      </c>
      <c r="Q410" s="14" t="n">
        <f aca="false">Share_Prices!Q410/Share_Prices!Q409-1</f>
        <v>-0.0103247794707299</v>
      </c>
      <c r="R410" s="14" t="n">
        <f aca="false">Share_Prices!R410/Share_Prices!R409-1</f>
        <v>0.0103810954787598</v>
      </c>
      <c r="S410" s="14" t="n">
        <f aca="false">Share_Prices!S410/Share_Prices!S409-1</f>
        <v>0.0245505060108597</v>
      </c>
    </row>
    <row r="411" customFormat="false" ht="15" hidden="false" customHeight="false" outlineLevel="0" collapsed="false">
      <c r="A411" s="13" t="n">
        <f aca="false">Share_Prices!A411</f>
        <v>45405</v>
      </c>
      <c r="B411" s="14" t="n">
        <f aca="false">Share_Prices!B411/Share_Prices!B410-1</f>
        <v>0.00141473111154888</v>
      </c>
      <c r="C411" s="14" t="n">
        <f aca="false">Share_Prices!C411/Share_Prices!C410-1</f>
        <v>0.00378131553814498</v>
      </c>
      <c r="D411" s="14" t="n">
        <f aca="false">Share_Prices!D411/Share_Prices!D410-1</f>
        <v>0.0375714147380652</v>
      </c>
      <c r="E411" s="14" t="n">
        <f aca="false">Share_Prices!E411/Share_Prices!E410-1</f>
        <v>-0.0114896725775386</v>
      </c>
      <c r="F411" s="14" t="n">
        <f aca="false">Share_Prices!F411/Share_Prices!F410-1</f>
        <v>-0.00970144944274409</v>
      </c>
      <c r="G411" s="14" t="n">
        <f aca="false">Share_Prices!G411/Share_Prices!G410-1</f>
        <v>0.0120627261761157</v>
      </c>
      <c r="H411" s="14" t="n">
        <f aca="false">Share_Prices!H411/Share_Prices!H410-1</f>
        <v>0.00285751396285239</v>
      </c>
      <c r="I411" s="14" t="n">
        <f aca="false">Share_Prices!I411/Share_Prices!I410-1</f>
        <v>-0.00515614359373484</v>
      </c>
      <c r="J411" s="14" t="n">
        <f aca="false">Share_Prices!J411/Share_Prices!J410-1</f>
        <v>0.0170079054340506</v>
      </c>
      <c r="K411" s="14" t="n">
        <f aca="false">Share_Prices!K411/Share_Prices!K410-1</f>
        <v>-0.00443541188910102</v>
      </c>
      <c r="L411" s="14" t="n">
        <f aca="false">Share_Prices!L411/Share_Prices!L410-1</f>
        <v>0.00285087719298249</v>
      </c>
      <c r="M411" s="14" t="n">
        <f aca="false">Share_Prices!M411/Share_Prices!M410-1</f>
        <v>0.0151469149546266</v>
      </c>
      <c r="N411" s="14" t="n">
        <f aca="false">Share_Prices!N411/Share_Prices!N410-1</f>
        <v>0.00450582819081191</v>
      </c>
      <c r="O411" s="14" t="n">
        <f aca="false">Share_Prices!O411/Share_Prices!O410-1</f>
        <v>-0.0552268244575939</v>
      </c>
      <c r="P411" s="14" t="n">
        <f aca="false">Share_Prices!P411/Share_Prices!P410-1</f>
        <v>-0.0144106266946958</v>
      </c>
      <c r="Q411" s="14" t="n">
        <f aca="false">Share_Prices!Q411/Share_Prices!Q410-1</f>
        <v>0.00101286336473216</v>
      </c>
      <c r="R411" s="14" t="n">
        <f aca="false">Share_Prices!R411/Share_Prices!R410-1</f>
        <v>0.0106800054075977</v>
      </c>
      <c r="S411" s="14" t="n">
        <f aca="false">Share_Prices!S411/Share_Prices!S410-1</f>
        <v>0.000948590518219161</v>
      </c>
    </row>
    <row r="412" customFormat="false" ht="15" hidden="false" customHeight="false" outlineLevel="0" collapsed="false">
      <c r="A412" s="13" t="n">
        <f aca="false">Share_Prices!A412</f>
        <v>45406</v>
      </c>
      <c r="B412" s="14" t="n">
        <f aca="false">Share_Prices!B412/Share_Prices!B411-1</f>
        <v>0.00153791130185987</v>
      </c>
      <c r="C412" s="14" t="n">
        <f aca="false">Share_Prices!C412/Share_Prices!C411-1</f>
        <v>0.00377675504112074</v>
      </c>
      <c r="D412" s="14" t="n">
        <f aca="false">Share_Prices!D412/Share_Prices!D411-1</f>
        <v>0.0192564940115103</v>
      </c>
      <c r="E412" s="14" t="n">
        <f aca="false">Share_Prices!E412/Share_Prices!E411-1</f>
        <v>-0.000470303681806006</v>
      </c>
      <c r="F412" s="14" t="n">
        <f aca="false">Share_Prices!F412/Share_Prices!F411-1</f>
        <v>0.0218671642661379</v>
      </c>
      <c r="G412" s="14" t="n">
        <f aca="false">Share_Prices!G412/Share_Prices!G411-1</f>
        <v>0.00335220500595956</v>
      </c>
      <c r="H412" s="14" t="n">
        <f aca="false">Share_Prices!H412/Share_Prices!H411-1</f>
        <v>0.00589301903898454</v>
      </c>
      <c r="I412" s="14" t="n">
        <f aca="false">Share_Prices!I412/Share_Prices!I411-1</f>
        <v>0.00655192646195957</v>
      </c>
      <c r="J412" s="14" t="n">
        <f aca="false">Share_Prices!J412/Share_Prices!J411-1</f>
        <v>-0.0038988744758589</v>
      </c>
      <c r="K412" s="14" t="n">
        <f aca="false">Share_Prices!K412/Share_Prices!K411-1</f>
        <v>0.00954482758620689</v>
      </c>
      <c r="L412" s="14" t="n">
        <f aca="false">Share_Prices!L412/Share_Prices!L411-1</f>
        <v>0.02234856767986</v>
      </c>
      <c r="M412" s="14" t="n">
        <f aca="false">Share_Prices!M412/Share_Prices!M411-1</f>
        <v>-0.0017280340289777</v>
      </c>
      <c r="N412" s="14" t="n">
        <f aca="false">Share_Prices!N412/Share_Prices!N411-1</f>
        <v>0.000853242320819181</v>
      </c>
      <c r="O412" s="14" t="n">
        <f aca="false">Share_Prices!O412/Share_Prices!O411-1</f>
        <v>-0.0208768267223383</v>
      </c>
      <c r="P412" s="14" t="n">
        <f aca="false">Share_Prices!P412/Share_Prices!P411-1</f>
        <v>0.0157032457496136</v>
      </c>
      <c r="Q412" s="14" t="n">
        <f aca="false">Share_Prices!Q412/Share_Prices!Q411-1</f>
        <v>-0.000809470808458945</v>
      </c>
      <c r="R412" s="14" t="n">
        <f aca="false">Share_Prices!R412/Share_Prices!R411-1</f>
        <v>0.00247458533975387</v>
      </c>
      <c r="S412" s="14" t="n">
        <f aca="false">Share_Prices!S412/Share_Prices!S411-1</f>
        <v>0.0140505572838336</v>
      </c>
    </row>
    <row r="413" customFormat="false" ht="15" hidden="false" customHeight="false" outlineLevel="0" collapsed="false">
      <c r="A413" s="13" t="n">
        <f aca="false">Share_Prices!A413</f>
        <v>45407</v>
      </c>
      <c r="B413" s="14" t="n">
        <f aca="false">Share_Prices!B413/Share_Prices!B412-1</f>
        <v>0.00749696461093441</v>
      </c>
      <c r="C413" s="14" t="n">
        <f aca="false">Share_Prices!C413/Share_Prices!C412-1</f>
        <v>0.00662063176986738</v>
      </c>
      <c r="D413" s="14" t="n">
        <f aca="false">Share_Prices!D413/Share_Prices!D412-1</f>
        <v>-0.0200219753387865</v>
      </c>
      <c r="E413" s="14" t="n">
        <f aca="false">Share_Prices!E413/Share_Prices!E412-1</f>
        <v>0.00208375344491496</v>
      </c>
      <c r="F413" s="14" t="n">
        <f aca="false">Share_Prices!F413/Share_Prices!F412-1</f>
        <v>-0.0111846610362931</v>
      </c>
      <c r="G413" s="14" t="n">
        <f aca="false">Share_Prices!G413/Share_Prices!G412-1</f>
        <v>-0.0181156730269508</v>
      </c>
      <c r="H413" s="14" t="n">
        <f aca="false">Share_Prices!H413/Share_Prices!H412-1</f>
        <v>0.00849803643855029</v>
      </c>
      <c r="I413" s="14" t="n">
        <f aca="false">Share_Prices!I413/Share_Prices!I412-1</f>
        <v>0.0120470222481299</v>
      </c>
      <c r="J413" s="14" t="n">
        <f aca="false">Share_Prices!J413/Share_Prices!J412-1</f>
        <v>-0.0188075427108463</v>
      </c>
      <c r="K413" s="14" t="n">
        <f aca="false">Share_Prices!K413/Share_Prices!K412-1</f>
        <v>-0.00467264181877791</v>
      </c>
      <c r="L413" s="14" t="n">
        <f aca="false">Share_Prices!L413/Share_Prices!L412-1</f>
        <v>-0.0115075290896647</v>
      </c>
      <c r="M413" s="14" t="n">
        <f aca="false">Share_Prices!M413/Share_Prices!M412-1</f>
        <v>-0.0160119840213049</v>
      </c>
      <c r="N413" s="14" t="n">
        <f aca="false">Share_Prices!N413/Share_Prices!N412-1</f>
        <v>0.0185117525270977</v>
      </c>
      <c r="O413" s="14" t="n">
        <f aca="false">Share_Prices!O413/Share_Prices!O412-1</f>
        <v>-0.000775344058926097</v>
      </c>
      <c r="P413" s="14" t="n">
        <f aca="false">Share_Prices!P413/Share_Prices!P412-1</f>
        <v>0.00739545924888918</v>
      </c>
      <c r="Q413" s="14" t="n">
        <f aca="false">Share_Prices!Q413/Share_Prices!Q412-1</f>
        <v>-0.00151898734177214</v>
      </c>
      <c r="R413" s="14" t="n">
        <f aca="false">Share_Prices!R413/Share_Prices!R412-1</f>
        <v>0.0119420908666354</v>
      </c>
      <c r="S413" s="14" t="n">
        <f aca="false">Share_Prices!S413/Share_Prices!S412-1</f>
        <v>0.0125149834420268</v>
      </c>
    </row>
    <row r="414" customFormat="false" ht="15" hidden="false" customHeight="false" outlineLevel="0" collapsed="false">
      <c r="A414" s="13" t="n">
        <f aca="false">Share_Prices!A414</f>
        <v>45408</v>
      </c>
      <c r="B414" s="14" t="n">
        <f aca="false">Share_Prices!B414/Share_Prices!B413-1</f>
        <v>-0.00666360955855794</v>
      </c>
      <c r="C414" s="14" t="n">
        <f aca="false">Share_Prices!C414/Share_Prices!C413-1</f>
        <v>-0.00136812999870628</v>
      </c>
      <c r="D414" s="14" t="n">
        <f aca="false">Share_Prices!D414/Share_Prices!D413-1</f>
        <v>0.00289647439890373</v>
      </c>
      <c r="E414" s="14" t="n">
        <f aca="false">Share_Prices!E414/Share_Prices!E413-1</f>
        <v>0.00207942044539844</v>
      </c>
      <c r="F414" s="14" t="n">
        <f aca="false">Share_Prices!F414/Share_Prices!F413-1</f>
        <v>0.0073868882733148</v>
      </c>
      <c r="G414" s="14" t="n">
        <f aca="false">Share_Prices!G414/Share_Prices!G413-1</f>
        <v>0.000151228733459297</v>
      </c>
      <c r="H414" s="14" t="n">
        <f aca="false">Share_Prices!H414/Share_Prices!H413-1</f>
        <v>0.00191509735078199</v>
      </c>
      <c r="I414" s="14" t="n">
        <f aca="false">Share_Prices!I414/Share_Prices!I413-1</f>
        <v>0.0177594316981857</v>
      </c>
      <c r="J414" s="14" t="n">
        <f aca="false">Share_Prices!J414/Share_Prices!J413-1</f>
        <v>-0.00408951778814792</v>
      </c>
      <c r="K414" s="14" t="n">
        <f aca="false">Share_Prices!K414/Share_Prices!K413-1</f>
        <v>-0.0772683596431022</v>
      </c>
      <c r="L414" s="14" t="n">
        <f aca="false">Share_Prices!L414/Share_Prices!L413-1</f>
        <v>0.0141515558056002</v>
      </c>
      <c r="M414" s="14" t="n">
        <f aca="false">Share_Prices!M414/Share_Prices!M413-1</f>
        <v>-0.00679995940322742</v>
      </c>
      <c r="N414" s="14" t="n">
        <f aca="false">Share_Prices!N414/Share_Prices!N413-1</f>
        <v>-0.00765275618797079</v>
      </c>
      <c r="O414" s="14" t="n">
        <f aca="false">Share_Prices!O414/Share_Prices!O413-1</f>
        <v>0.00349175557710946</v>
      </c>
      <c r="P414" s="14" t="n">
        <f aca="false">Share_Prices!P414/Share_Prices!P413-1</f>
        <v>0.0198785535180206</v>
      </c>
      <c r="Q414" s="14" t="n">
        <f aca="false">Share_Prices!Q414/Share_Prices!Q413-1</f>
        <v>-0.0163286004056795</v>
      </c>
      <c r="R414" s="14" t="n">
        <f aca="false">Share_Prices!R414/Share_Prices!R413-1</f>
        <v>-0.0104825949367088</v>
      </c>
      <c r="S414" s="14" t="n">
        <f aca="false">Share_Prices!S414/Share_Prices!S413-1</f>
        <v>0.00270883078837003</v>
      </c>
    </row>
    <row r="415" customFormat="false" ht="15" hidden="false" customHeight="false" outlineLevel="0" collapsed="false">
      <c r="A415" s="13" t="n">
        <f aca="false">Share_Prices!A415</f>
        <v>45411</v>
      </c>
      <c r="B415" s="14" t="n">
        <f aca="false">Share_Prices!B415/Share_Prices!B414-1</f>
        <v>0.00996656995220779</v>
      </c>
      <c r="C415" s="14" t="n">
        <f aca="false">Share_Prices!C415/Share_Prices!C414-1</f>
        <v>0.00733468174391239</v>
      </c>
      <c r="D415" s="14" t="n">
        <f aca="false">Share_Prices!D415/Share_Prices!D414-1</f>
        <v>0.00599360268314664</v>
      </c>
      <c r="E415" s="14" t="n">
        <f aca="false">Share_Prices!E415/Share_Prices!E414-1</f>
        <v>-0.000870205502376487</v>
      </c>
      <c r="F415" s="14" t="n">
        <f aca="false">Share_Prices!F415/Share_Prices!F414-1</f>
        <v>0.0142071494042164</v>
      </c>
      <c r="G415" s="14" t="n">
        <f aca="false">Share_Prices!G415/Share_Prices!G414-1</f>
        <v>0.00831632267331983</v>
      </c>
      <c r="H415" s="14" t="n">
        <f aca="false">Share_Prices!H415/Share_Prices!H414-1</f>
        <v>0.0227460974832749</v>
      </c>
      <c r="I415" s="14" t="n">
        <f aca="false">Share_Prices!I415/Share_Prices!I414-1</f>
        <v>-0.0247123184304848</v>
      </c>
      <c r="J415" s="14" t="n">
        <f aca="false">Share_Prices!J415/Share_Prices!J414-1</f>
        <v>0.0145106436578915</v>
      </c>
      <c r="K415" s="14" t="n">
        <f aca="false">Share_Prices!K415/Share_Prices!K414-1</f>
        <v>0.0141622409663646</v>
      </c>
      <c r="L415" s="14" t="n">
        <f aca="false">Share_Prices!L415/Share_Prices!L414-1</f>
        <v>-0.000682768626781516</v>
      </c>
      <c r="M415" s="14" t="n">
        <f aca="false">Share_Prices!M415/Share_Prices!M414-1</f>
        <v>0.0103549288098643</v>
      </c>
      <c r="N415" s="14" t="n">
        <f aca="false">Share_Prices!N415/Share_Prices!N414-1</f>
        <v>-0.00578382937703337</v>
      </c>
      <c r="O415" s="14" t="n">
        <f aca="false">Share_Prices!O415/Share_Prices!O414-1</f>
        <v>0.0110187512081965</v>
      </c>
      <c r="P415" s="14" t="n">
        <f aca="false">Share_Prices!P415/Share_Prices!P414-1</f>
        <v>0.0058354809087946</v>
      </c>
      <c r="Q415" s="14" t="n">
        <f aca="false">Share_Prices!Q415/Share_Prices!Q414-1</f>
        <v>0.00824827301783682</v>
      </c>
      <c r="R415" s="14" t="n">
        <f aca="false">Share_Prices!R415/Share_Prices!R414-1</f>
        <v>-0.0351122659737491</v>
      </c>
      <c r="S415" s="14" t="n">
        <f aca="false">Share_Prices!S415/Share_Prices!S414-1</f>
        <v>-0.00256143440326584</v>
      </c>
    </row>
    <row r="416" customFormat="false" ht="15" hidden="false" customHeight="false" outlineLevel="0" collapsed="false">
      <c r="A416" s="13" t="n">
        <f aca="false">Share_Prices!A416</f>
        <v>45412</v>
      </c>
      <c r="B416" s="14" t="n">
        <f aca="false">Share_Prices!B416/Share_Prices!B415-1</f>
        <v>-0.00170248284268282</v>
      </c>
      <c r="C416" s="14" t="n">
        <f aca="false">Share_Prices!C416/Share_Prices!C415-1</f>
        <v>0.000238183706328998</v>
      </c>
      <c r="D416" s="14" t="n">
        <f aca="false">Share_Prices!D416/Share_Prices!D415-1</f>
        <v>0.00271655244798419</v>
      </c>
      <c r="E416" s="14" t="n">
        <f aca="false">Share_Prices!E416/Share_Prices!E415-1</f>
        <v>0.0219080798606459</v>
      </c>
      <c r="F416" s="14" t="n">
        <f aca="false">Share_Prices!F416/Share_Prices!F415-1</f>
        <v>0.0308969724356076</v>
      </c>
      <c r="G416" s="14" t="n">
        <f aca="false">Share_Prices!G416/Share_Prices!G415-1</f>
        <v>0.0104971132938443</v>
      </c>
      <c r="H416" s="14" t="n">
        <f aca="false">Share_Prices!H416/Share_Prices!H415-1</f>
        <v>-0.00847246449040628</v>
      </c>
      <c r="I416" s="14" t="n">
        <f aca="false">Share_Prices!I416/Share_Prices!I415-1</f>
        <v>0.00618955512572539</v>
      </c>
      <c r="J416" s="14" t="n">
        <f aca="false">Share_Prices!J416/Share_Prices!J415-1</f>
        <v>0.00193687765389483</v>
      </c>
      <c r="K416" s="14" t="n">
        <f aca="false">Share_Prices!K416/Share_Prices!K415-1</f>
        <v>0.0141991697592887</v>
      </c>
      <c r="L416" s="14" t="n">
        <f aca="false">Share_Prices!L416/Share_Prices!L415-1</f>
        <v>0.0191305833119821</v>
      </c>
      <c r="M416" s="14" t="n">
        <f aca="false">Share_Prices!M416/Share_Prices!M415-1</f>
        <v>0.0170925763603265</v>
      </c>
      <c r="N416" s="14" t="n">
        <f aca="false">Share_Prices!N416/Share_Prices!N415-1</f>
        <v>-0.0158768634104958</v>
      </c>
      <c r="O416" s="14" t="n">
        <f aca="false">Share_Prices!O416/Share_Prices!O415-1</f>
        <v>-0.00133843212237106</v>
      </c>
      <c r="P416" s="14" t="n">
        <f aca="false">Share_Prices!P416/Share_Prices!P415-1</f>
        <v>0.0134585934739075</v>
      </c>
      <c r="Q416" s="14" t="n">
        <f aca="false">Share_Prices!Q416/Share_Prices!Q415-1</f>
        <v>0.00347683812250743</v>
      </c>
      <c r="R416" s="14" t="n">
        <f aca="false">Share_Prices!R416/Share_Prices!R415-1</f>
        <v>0.00580030382543839</v>
      </c>
      <c r="S416" s="14" t="n">
        <f aca="false">Share_Prices!S416/Share_Prices!S415-1</f>
        <v>0.0238744884038198</v>
      </c>
    </row>
    <row r="417" customFormat="false" ht="15" hidden="false" customHeight="false" outlineLevel="0" collapsed="false">
      <c r="A417" s="13" t="n">
        <f aca="false">Share_Prices!A417</f>
        <v>45414</v>
      </c>
      <c r="B417" s="14" t="n">
        <f aca="false">Share_Prices!B417/Share_Prices!B416-1</f>
        <v>0.00191773004465867</v>
      </c>
      <c r="C417" s="14" t="n">
        <f aca="false">Share_Prices!C417/Share_Prices!C416-1</f>
        <v>0.00411483435886684</v>
      </c>
      <c r="D417" s="14" t="n">
        <f aca="false">Share_Prices!D417/Share_Prices!D416-1</f>
        <v>-0.0164706606736038</v>
      </c>
      <c r="E417" s="14" t="n">
        <f aca="false">Share_Prices!E417/Share_Prices!E416-1</f>
        <v>0.0174391922900414</v>
      </c>
      <c r="F417" s="14" t="n">
        <f aca="false">Share_Prices!F417/Share_Prices!F416-1</f>
        <v>-0.0243822256314723</v>
      </c>
      <c r="G417" s="14" t="n">
        <f aca="false">Share_Prices!G417/Share_Prices!G416-1</f>
        <v>-0.00704904652370708</v>
      </c>
      <c r="H417" s="14" t="n">
        <f aca="false">Share_Prices!H417/Share_Prices!H416-1</f>
        <v>0.00150791656195026</v>
      </c>
      <c r="I417" s="14" t="n">
        <f aca="false">Share_Prices!I417/Share_Prices!I416-1</f>
        <v>0.00394079200307562</v>
      </c>
      <c r="J417" s="14" t="n">
        <f aca="false">Share_Prices!J417/Share_Prices!J416-1</f>
        <v>0.0146472031524945</v>
      </c>
      <c r="K417" s="14" t="n">
        <f aca="false">Share_Prices!K417/Share_Prices!K416-1</f>
        <v>-0.00590098494381042</v>
      </c>
      <c r="L417" s="14" t="n">
        <f aca="false">Share_Prices!L417/Share_Prices!L416-1</f>
        <v>0.0907567250481858</v>
      </c>
      <c r="M417" s="14" t="n">
        <f aca="false">Share_Prices!M417/Share_Prices!M416-1</f>
        <v>-0.0275116841791243</v>
      </c>
      <c r="N417" s="14" t="n">
        <f aca="false">Share_Prices!N417/Share_Prices!N416-1</f>
        <v>-0.0201970443349754</v>
      </c>
      <c r="O417" s="14" t="n">
        <f aca="false">Share_Prices!O417/Share_Prices!O416-1</f>
        <v>0.0135937200842429</v>
      </c>
      <c r="P417" s="14" t="n">
        <f aca="false">Share_Prices!P417/Share_Prices!P416-1</f>
        <v>-0.00220846773021832</v>
      </c>
      <c r="Q417" s="14" t="n">
        <f aca="false">Share_Prices!Q417/Share_Prices!Q416-1</f>
        <v>0.00326098033221234</v>
      </c>
      <c r="R417" s="14" t="n">
        <f aca="false">Share_Prices!R417/Share_Prices!R416-1</f>
        <v>0.00151036660716741</v>
      </c>
      <c r="S417" s="14" t="n">
        <f aca="false">Share_Prices!S417/Share_Prices!S416-1</f>
        <v>0.0119136262099777</v>
      </c>
    </row>
    <row r="418" customFormat="false" ht="15" hidden="false" customHeight="false" outlineLevel="0" collapsed="false">
      <c r="A418" s="13" t="n">
        <f aca="false">Share_Prices!A418</f>
        <v>45415</v>
      </c>
      <c r="B418" s="14" t="n">
        <f aca="false">Share_Prices!B418/Share_Prices!B417-1</f>
        <v>-0.00760987628155885</v>
      </c>
      <c r="C418" s="14" t="n">
        <f aca="false">Share_Prices!C418/Share_Prices!C417-1</f>
        <v>-0.00588372004780968</v>
      </c>
      <c r="D418" s="14" t="n">
        <f aca="false">Share_Prices!D418/Share_Prices!D417-1</f>
        <v>-0.00707421667136188</v>
      </c>
      <c r="E418" s="14" t="n">
        <f aca="false">Share_Prices!E418/Share_Prices!E417-1</f>
        <v>-0.00915007410271285</v>
      </c>
      <c r="F418" s="14" t="n">
        <f aca="false">Share_Prices!F418/Share_Prices!F417-1</f>
        <v>0.0126923508929575</v>
      </c>
      <c r="G418" s="14" t="n">
        <f aca="false">Share_Prices!G418/Share_Prices!G417-1</f>
        <v>-0.0224929009116724</v>
      </c>
      <c r="H418" s="14" t="n">
        <f aca="false">Share_Prices!H418/Share_Prices!H417-1</f>
        <v>-0.000878293601003777</v>
      </c>
      <c r="I418" s="14" t="n">
        <f aca="false">Share_Prices!I418/Share_Prices!I417-1</f>
        <v>-0.00890378171373862</v>
      </c>
      <c r="J418" s="14" t="n">
        <f aca="false">Share_Prices!J418/Share_Prices!J417-1</f>
        <v>-0.0104787493893503</v>
      </c>
      <c r="K418" s="14" t="n">
        <f aca="false">Share_Prices!K418/Share_Prices!K417-1</f>
        <v>0.00709993743907589</v>
      </c>
      <c r="L418" s="14" t="n">
        <f aca="false">Share_Prices!L418/Share_Prices!L417-1</f>
        <v>0.00622311001843889</v>
      </c>
      <c r="M418" s="14" t="n">
        <f aca="false">Share_Prices!M418/Share_Prices!M417-1</f>
        <v>3.40843246191547E-005</v>
      </c>
      <c r="N418" s="14" t="n">
        <f aca="false">Share_Prices!N418/Share_Prices!N417-1</f>
        <v>0.00892408245349419</v>
      </c>
      <c r="O418" s="14" t="n">
        <f aca="false">Share_Prices!O418/Share_Prices!O417-1</f>
        <v>0.00906686815262581</v>
      </c>
      <c r="P418" s="14" t="n">
        <f aca="false">Share_Prices!P418/Share_Prices!P417-1</f>
        <v>-0.0092611468678101</v>
      </c>
      <c r="Q418" s="14" t="n">
        <f aca="false">Share_Prices!Q418/Share_Prices!Q417-1</f>
        <v>-0.0173692229558151</v>
      </c>
      <c r="R418" s="14" t="n">
        <f aca="false">Share_Prices!R418/Share_Prices!R417-1</f>
        <v>-0.00980257746092672</v>
      </c>
      <c r="S418" s="14" t="n">
        <f aca="false">Share_Prices!S418/Share_Prices!S417-1</f>
        <v>0.00249796677123282</v>
      </c>
    </row>
    <row r="419" customFormat="false" ht="15" hidden="false" customHeight="false" outlineLevel="0" collapsed="false">
      <c r="A419" s="13" t="n">
        <f aca="false">Share_Prices!A419</f>
        <v>45418</v>
      </c>
      <c r="B419" s="14" t="n">
        <f aca="false">Share_Prices!B419/Share_Prices!B418-1</f>
        <v>-0.0014749164102803</v>
      </c>
      <c r="C419" s="14" t="n">
        <f aca="false">Share_Prices!C419/Share_Prices!C418-1</f>
        <v>-0.00451345568010753</v>
      </c>
      <c r="D419" s="14" t="n">
        <f aca="false">Share_Prices!D419/Share_Prices!D418-1</f>
        <v>-0.0136502632325588</v>
      </c>
      <c r="E419" s="14" t="n">
        <f aca="false">Share_Prices!E419/Share_Prices!E418-1</f>
        <v>-0.0120959875138195</v>
      </c>
      <c r="F419" s="14" t="n">
        <f aca="false">Share_Prices!F419/Share_Prices!F418-1</f>
        <v>-0.00366015971606037</v>
      </c>
      <c r="G419" s="14" t="n">
        <f aca="false">Share_Prices!G419/Share_Prices!G418-1</f>
        <v>-0.0305787019341029</v>
      </c>
      <c r="H419" s="14" t="n">
        <f aca="false">Share_Prices!H419/Share_Prices!H418-1</f>
        <v>-0.0285696345598393</v>
      </c>
      <c r="I419" s="14" t="n">
        <f aca="false">Share_Prices!I419/Share_Prices!I418-1</f>
        <v>-0.00753477588871709</v>
      </c>
      <c r="J419" s="14" t="n">
        <f aca="false">Share_Prices!J419/Share_Prices!J418-1</f>
        <v>-0.00488756140307567</v>
      </c>
      <c r="K419" s="14" t="n">
        <f aca="false">Share_Prices!K419/Share_Prices!K418-1</f>
        <v>-0.0103436818306585</v>
      </c>
      <c r="L419" s="14" t="n">
        <f aca="false">Share_Prices!L419/Share_Prices!L418-1</f>
        <v>0.012445598228602</v>
      </c>
      <c r="M419" s="14" t="n">
        <f aca="false">Share_Prices!M419/Share_Prices!M418-1</f>
        <v>-0.0221199727334697</v>
      </c>
      <c r="N419" s="14" t="n">
        <f aca="false">Share_Prices!N419/Share_Prices!N418-1</f>
        <v>-0.0507038744238196</v>
      </c>
      <c r="O419" s="14" t="n">
        <f aca="false">Share_Prices!O419/Share_Prices!O418-1</f>
        <v>-0.0269561961812057</v>
      </c>
      <c r="P419" s="14" t="n">
        <f aca="false">Share_Prices!P419/Share_Prices!P418-1</f>
        <v>-0.0155795290866868</v>
      </c>
      <c r="Q419" s="14" t="n">
        <f aca="false">Share_Prices!Q419/Share_Prices!Q418-1</f>
        <v>-0.0114740541658053</v>
      </c>
      <c r="R419" s="14" t="n">
        <f aca="false">Share_Prices!R419/Share_Prices!R418-1</f>
        <v>-0.00588438906195921</v>
      </c>
      <c r="S419" s="14" t="n">
        <f aca="false">Share_Prices!S419/Share_Prices!S418-1</f>
        <v>-0.015838983214541</v>
      </c>
    </row>
    <row r="420" customFormat="false" ht="15" hidden="false" customHeight="false" outlineLevel="0" collapsed="false">
      <c r="A420" s="13" t="n">
        <f aca="false">Share_Prices!A420</f>
        <v>45419</v>
      </c>
      <c r="B420" s="14" t="n">
        <f aca="false">Share_Prices!B420/Share_Prices!B419-1</f>
        <v>-0.00624702018919299</v>
      </c>
      <c r="C420" s="14" t="n">
        <f aca="false">Share_Prices!C420/Share_Prices!C419-1</f>
        <v>-0.0109705510916633</v>
      </c>
      <c r="D420" s="14" t="n">
        <f aca="false">Share_Prices!D420/Share_Prices!D419-1</f>
        <v>0.0186653029915622</v>
      </c>
      <c r="E420" s="14" t="n">
        <f aca="false">Share_Prices!E420/Share_Prices!E419-1</f>
        <v>-0.0265288657757883</v>
      </c>
      <c r="F420" s="14" t="n">
        <f aca="false">Share_Prices!F420/Share_Prices!F419-1</f>
        <v>-0.0225425804297006</v>
      </c>
      <c r="G420" s="14" t="n">
        <f aca="false">Share_Prices!G420/Share_Prices!G419-1</f>
        <v>-0.0171910732592067</v>
      </c>
      <c r="H420" s="14" t="n">
        <f aca="false">Share_Prices!H420/Share_Prices!H419-1</f>
        <v>-0.0177751922952621</v>
      </c>
      <c r="I420" s="14" t="n">
        <f aca="false">Share_Prices!I420/Share_Prices!I419-1</f>
        <v>-0.0331905781584584</v>
      </c>
      <c r="J420" s="14" t="n">
        <f aca="false">Share_Prices!J420/Share_Prices!J419-1</f>
        <v>0.00518443182100059</v>
      </c>
      <c r="K420" s="14" t="n">
        <f aca="false">Share_Prices!K420/Share_Prices!K419-1</f>
        <v>0.00185387927888492</v>
      </c>
      <c r="L420" s="14" t="n">
        <f aca="false">Share_Prices!L420/Share_Prices!L419-1</f>
        <v>-0.0148190045248869</v>
      </c>
      <c r="M420" s="14" t="n">
        <f aca="false">Share_Prices!M420/Share_Prices!M419-1</f>
        <v>-0.00961974138231503</v>
      </c>
      <c r="N420" s="14" t="n">
        <f aca="false">Share_Prices!N420/Share_Prices!N419-1</f>
        <v>0.0209973753280841</v>
      </c>
      <c r="O420" s="14" t="n">
        <f aca="false">Share_Prices!O420/Share_Prices!O419-1</f>
        <v>-0.0115429011158138</v>
      </c>
      <c r="P420" s="14" t="n">
        <f aca="false">Share_Prices!P420/Share_Prices!P419-1</f>
        <v>0.000865955985547506</v>
      </c>
      <c r="Q420" s="14" t="n">
        <f aca="false">Share_Prices!Q420/Share_Prices!Q419-1</f>
        <v>-0.0138031998326884</v>
      </c>
      <c r="R420" s="14" t="n">
        <f aca="false">Share_Prices!R420/Share_Prices!R419-1</f>
        <v>-0.00341225626740949</v>
      </c>
      <c r="S420" s="14" t="n">
        <f aca="false">Share_Prices!S420/Share_Prices!S419-1</f>
        <v>-0.0242389747011834</v>
      </c>
    </row>
    <row r="421" customFormat="false" ht="15" hidden="false" customHeight="false" outlineLevel="0" collapsed="false">
      <c r="A421" s="13" t="n">
        <f aca="false">Share_Prices!A421</f>
        <v>45420</v>
      </c>
      <c r="B421" s="14" t="n">
        <f aca="false">Share_Prices!B421/Share_Prices!B420-1</f>
        <v>0</v>
      </c>
      <c r="C421" s="14" t="n">
        <f aca="false">Share_Prices!C421/Share_Prices!C420-1</f>
        <v>0.00333639431964938</v>
      </c>
      <c r="D421" s="14" t="n">
        <f aca="false">Share_Prices!D421/Share_Prices!D420-1</f>
        <v>-0.000564759036144502</v>
      </c>
      <c r="E421" s="14" t="n">
        <f aca="false">Share_Prices!E421/Share_Prices!E420-1</f>
        <v>0.00385447660265092</v>
      </c>
      <c r="F421" s="14" t="n">
        <f aca="false">Share_Prices!F421/Share_Prices!F420-1</f>
        <v>0.0157166448379933</v>
      </c>
      <c r="G421" s="14" t="n">
        <f aca="false">Share_Prices!G421/Share_Prices!G420-1</f>
        <v>0.0199791382492178</v>
      </c>
      <c r="H421" s="14" t="n">
        <f aca="false">Share_Prices!H421/Share_Prices!H420-1</f>
        <v>-0.00381679389312972</v>
      </c>
      <c r="I421" s="14" t="n">
        <f aca="false">Share_Prices!I421/Share_Prices!I420-1</f>
        <v>0.0175173663545758</v>
      </c>
      <c r="J421" s="14" t="n">
        <f aca="false">Share_Prices!J421/Share_Prices!J420-1</f>
        <v>0.0118700952568975</v>
      </c>
      <c r="K421" s="14" t="n">
        <f aca="false">Share_Prices!K421/Share_Prices!K420-1</f>
        <v>-0.0106364378132651</v>
      </c>
      <c r="L421" s="14" t="n">
        <f aca="false">Share_Prices!L421/Share_Prices!L420-1</f>
        <v>-0.0324568454089638</v>
      </c>
      <c r="M421" s="14" t="n">
        <f aca="false">Share_Prices!M421/Share_Prices!M420-1</f>
        <v>0.00556044342776718</v>
      </c>
      <c r="N421" s="14" t="n">
        <f aca="false">Share_Prices!N421/Share_Prices!N420-1</f>
        <v>0.00192802056555275</v>
      </c>
      <c r="O421" s="14" t="n">
        <f aca="false">Share_Prices!O421/Share_Prices!O420-1</f>
        <v>-0.00797975866095746</v>
      </c>
      <c r="P421" s="14" t="n">
        <f aca="false">Share_Prices!P421/Share_Prices!P420-1</f>
        <v>-0.00990512560415302</v>
      </c>
      <c r="Q421" s="14" t="n">
        <f aca="false">Share_Prices!Q421/Share_Prices!Q420-1</f>
        <v>-0.0058318311949952</v>
      </c>
      <c r="R421" s="14" t="n">
        <f aca="false">Share_Prices!R421/Share_Prices!R420-1</f>
        <v>-0.00510097128083287</v>
      </c>
      <c r="S421" s="14" t="n">
        <f aca="false">Share_Prices!S421/Share_Prices!S420-1</f>
        <v>-0.0152063721940623</v>
      </c>
    </row>
    <row r="422" customFormat="false" ht="15" hidden="false" customHeight="false" outlineLevel="0" collapsed="false">
      <c r="A422" s="13" t="n">
        <f aca="false">Share_Prices!A422</f>
        <v>45421</v>
      </c>
      <c r="B422" s="14" t="n">
        <f aca="false">Share_Prices!B422/Share_Prices!B421-1</f>
        <v>-0.0154691178119045</v>
      </c>
      <c r="C422" s="14" t="n">
        <f aca="false">Share_Prices!C422/Share_Prices!C421-1</f>
        <v>-0.0173920183145053</v>
      </c>
      <c r="D422" s="14" t="n">
        <f aca="false">Share_Prices!D422/Share_Prices!D421-1</f>
        <v>-0.0263075280969424</v>
      </c>
      <c r="E422" s="14" t="n">
        <f aca="false">Share_Prices!E422/Share_Prices!E421-1</f>
        <v>-0.030515325025261</v>
      </c>
      <c r="F422" s="14" t="n">
        <f aca="false">Share_Prices!F422/Share_Prices!F421-1</f>
        <v>-0.0478780063912093</v>
      </c>
      <c r="G422" s="14" t="n">
        <f aca="false">Share_Prices!G422/Share_Prices!G421-1</f>
        <v>-0.0243864065449968</v>
      </c>
      <c r="H422" s="14" t="n">
        <f aca="false">Share_Prices!H422/Share_Prices!H421-1</f>
        <v>-0.00125511956665336</v>
      </c>
      <c r="I422" s="14" t="n">
        <f aca="false">Share_Prices!I422/Share_Prices!I421-1</f>
        <v>-0.0427426536064115</v>
      </c>
      <c r="J422" s="14" t="n">
        <f aca="false">Share_Prices!J422/Share_Prices!J421-1</f>
        <v>-0.017340194619906</v>
      </c>
      <c r="K422" s="14" t="n">
        <f aca="false">Share_Prices!K422/Share_Prices!K421-1</f>
        <v>-0.0285705870224735</v>
      </c>
      <c r="L422" s="14" t="n">
        <f aca="false">Share_Prices!L422/Share_Prices!L421-1</f>
        <v>-0.0327940187507417</v>
      </c>
      <c r="M422" s="14" t="n">
        <f aca="false">Share_Prices!M422/Share_Prices!M421-1</f>
        <v>-0.00584467854268023</v>
      </c>
      <c r="N422" s="14" t="n">
        <f aca="false">Share_Prices!N422/Share_Prices!N421-1</f>
        <v>-0.0342527261064786</v>
      </c>
      <c r="O422" s="14" t="n">
        <f aca="false">Share_Prices!O422/Share_Prices!O421-1</f>
        <v>-0.00745536590151075</v>
      </c>
      <c r="P422" s="14" t="n">
        <f aca="false">Share_Prices!P422/Share_Prices!P421-1</f>
        <v>-0.0367022238293255</v>
      </c>
      <c r="Q422" s="14" t="n">
        <f aca="false">Share_Prices!Q422/Share_Prices!Q421-1</f>
        <v>-0.0354095563139932</v>
      </c>
      <c r="R422" s="14" t="n">
        <f aca="false">Share_Prices!R422/Share_Prices!R421-1</f>
        <v>-0.00210703750526764</v>
      </c>
      <c r="S422" s="14" t="n">
        <f aca="false">Share_Prices!S422/Share_Prices!S421-1</f>
        <v>-0.0355800653594771</v>
      </c>
    </row>
    <row r="423" customFormat="false" ht="15" hidden="false" customHeight="false" outlineLevel="0" collapsed="false">
      <c r="A423" s="13" t="n">
        <f aca="false">Share_Prices!A423</f>
        <v>45422</v>
      </c>
      <c r="B423" s="14" t="n">
        <f aca="false">Share_Prices!B423/Share_Prices!B422-1</f>
        <v>0.00444950472503702</v>
      </c>
      <c r="C423" s="14" t="n">
        <f aca="false">Share_Prices!C423/Share_Prices!C422-1</f>
        <v>0.00610966930124657</v>
      </c>
      <c r="D423" s="14" t="n">
        <f aca="false">Share_Prices!D423/Share_Prices!D422-1</f>
        <v>0.0314998710343051</v>
      </c>
      <c r="E423" s="14" t="n">
        <f aca="false">Share_Prices!E423/Share_Prices!E422-1</f>
        <v>0.0213312951639799</v>
      </c>
      <c r="F423" s="14" t="n">
        <f aca="false">Share_Prices!F423/Share_Prices!F422-1</f>
        <v>-0.037037037037037</v>
      </c>
      <c r="G423" s="14" t="n">
        <f aca="false">Share_Prices!G423/Share_Prices!G422-1</f>
        <v>0.0103209159812934</v>
      </c>
      <c r="H423" s="14" t="n">
        <f aca="false">Share_Prices!H423/Share_Prices!H422-1</f>
        <v>-0.0216284145776837</v>
      </c>
      <c r="I423" s="14" t="n">
        <f aca="false">Share_Prices!I423/Share_Prices!I422-1</f>
        <v>-0.00568475452196382</v>
      </c>
      <c r="J423" s="14" t="n">
        <f aca="false">Share_Prices!J423/Share_Prices!J422-1</f>
        <v>0.00821503027896364</v>
      </c>
      <c r="K423" s="14" t="n">
        <f aca="false">Share_Prices!K423/Share_Prices!K422-1</f>
        <v>0.011961432339832</v>
      </c>
      <c r="L423" s="14" t="n">
        <f aca="false">Share_Prices!L423/Share_Prices!L422-1</f>
        <v>0.0410224948875257</v>
      </c>
      <c r="M423" s="14" t="n">
        <f aca="false">Share_Prices!M423/Share_Prices!M422-1</f>
        <v>-0.00457649792297399</v>
      </c>
      <c r="N423" s="14" t="n">
        <f aca="false">Share_Prices!N423/Share_Prices!N422-1</f>
        <v>0.0621679064824656</v>
      </c>
      <c r="O423" s="14" t="n">
        <f aca="false">Share_Prices!O423/Share_Prices!O422-1</f>
        <v>-0.00948804111484469</v>
      </c>
      <c r="P423" s="14" t="n">
        <f aca="false">Share_Prices!P423/Share_Prices!P422-1</f>
        <v>0.0405718218218218</v>
      </c>
      <c r="Q423" s="14" t="n">
        <f aca="false">Share_Prices!Q423/Share_Prices!Q422-1</f>
        <v>0.0235515258735073</v>
      </c>
      <c r="R423" s="14" t="n">
        <f aca="false">Share_Prices!R423/Share_Prices!R422-1</f>
        <v>0.0140765765765767</v>
      </c>
      <c r="S423" s="14" t="n">
        <f aca="false">Share_Prices!S423/Share_Prices!S422-1</f>
        <v>-0.00701003854462279</v>
      </c>
    </row>
    <row r="424" customFormat="false" ht="15" hidden="false" customHeight="false" outlineLevel="0" collapsed="false">
      <c r="A424" s="13" t="n">
        <f aca="false">Share_Prices!A424</f>
        <v>45425</v>
      </c>
      <c r="B424" s="14" t="n">
        <f aca="false">Share_Prices!B424/Share_Prices!B423-1</f>
        <v>0.00221489716710788</v>
      </c>
      <c r="C424" s="14" t="n">
        <f aca="false">Share_Prices!C424/Share_Prices!C423-1</f>
        <v>0.00204698789883295</v>
      </c>
      <c r="D424" s="14" t="n">
        <f aca="false">Share_Prices!D424/Share_Prices!D423-1</f>
        <v>-0.011752570874879</v>
      </c>
      <c r="E424" s="14" t="n">
        <f aca="false">Share_Prices!E424/Share_Prices!E423-1</f>
        <v>0.00517041975644594</v>
      </c>
      <c r="F424" s="14" t="n">
        <f aca="false">Share_Prices!F424/Share_Prices!F423-1</f>
        <v>-0.0325302678243855</v>
      </c>
      <c r="G424" s="14" t="n">
        <f aca="false">Share_Prices!G424/Share_Prices!G423-1</f>
        <v>-0.00231444533120517</v>
      </c>
      <c r="H424" s="14" t="n">
        <f aca="false">Share_Prices!H424/Share_Prices!H423-1</f>
        <v>-0.0160221741481883</v>
      </c>
      <c r="I424" s="14" t="n">
        <f aca="false">Share_Prices!I424/Share_Prices!I423-1</f>
        <v>-0.00405405405405401</v>
      </c>
      <c r="J424" s="14" t="n">
        <f aca="false">Share_Prices!J424/Share_Prices!J423-1</f>
        <v>-0.0144007089579795</v>
      </c>
      <c r="K424" s="14" t="n">
        <f aca="false">Share_Prices!K424/Share_Prices!K423-1</f>
        <v>0.00516846189570197</v>
      </c>
      <c r="L424" s="14" t="n">
        <f aca="false">Share_Prices!L424/Share_Prices!L423-1</f>
        <v>0.0078183318272893</v>
      </c>
      <c r="M424" s="14" t="n">
        <f aca="false">Share_Prices!M424/Share_Prices!M423-1</f>
        <v>-0.00813410666289438</v>
      </c>
      <c r="N424" s="14" t="n">
        <f aca="false">Share_Prices!N424/Share_Prices!N423-1</f>
        <v>-0.00912956478239124</v>
      </c>
      <c r="O424" s="14" t="n">
        <f aca="false">Share_Prices!O424/Share_Prices!O423-1</f>
        <v>0.0526840949910197</v>
      </c>
      <c r="P424" s="14" t="n">
        <f aca="false">Share_Prices!P424/Share_Prices!P423-1</f>
        <v>0.0171050653840372</v>
      </c>
      <c r="Q424" s="14" t="n">
        <f aca="false">Share_Prices!Q424/Share_Prices!Q423-1</f>
        <v>-0.0132872420870693</v>
      </c>
      <c r="R424" s="14" t="n">
        <f aca="false">Share_Prices!R424/Share_Prices!R423-1</f>
        <v>0.000485841199333814</v>
      </c>
      <c r="S424" s="14" t="n">
        <f aca="false">Share_Prices!S424/Share_Prices!S423-1</f>
        <v>-0.0181500202614797</v>
      </c>
    </row>
    <row r="425" customFormat="false" ht="15" hidden="false" customHeight="false" outlineLevel="0" collapsed="false">
      <c r="A425" s="13" t="n">
        <f aca="false">Share_Prices!A425</f>
        <v>45426</v>
      </c>
      <c r="B425" s="14" t="n">
        <f aca="false">Share_Prices!B425/Share_Prices!B424-1</f>
        <v>0.00514837778597133</v>
      </c>
      <c r="C425" s="14" t="n">
        <f aca="false">Share_Prices!C425/Share_Prices!C424-1</f>
        <v>0.00842474769635793</v>
      </c>
      <c r="D425" s="14" t="n">
        <f aca="false">Share_Prices!D425/Share_Prices!D424-1</f>
        <v>-0.013062592908878</v>
      </c>
      <c r="E425" s="14" t="n">
        <f aca="false">Share_Prices!E425/Share_Prices!E424-1</f>
        <v>0.015228426395939</v>
      </c>
      <c r="F425" s="14" t="n">
        <f aca="false">Share_Prices!F425/Share_Prices!F424-1</f>
        <v>0.046201491593983</v>
      </c>
      <c r="G425" s="14" t="n">
        <f aca="false">Share_Prices!G425/Share_Prices!G424-1</f>
        <v>0.0139188864890809</v>
      </c>
      <c r="H425" s="14" t="n">
        <f aca="false">Share_Prices!H425/Share_Prices!H424-1</f>
        <v>0.0062521470285124</v>
      </c>
      <c r="I425" s="14" t="n">
        <f aca="false">Share_Prices!I425/Share_Prices!I424-1</f>
        <v>0.00918484500574057</v>
      </c>
      <c r="J425" s="14" t="n">
        <f aca="false">Share_Prices!J425/Share_Prices!J424-1</f>
        <v>0.0314201508566863</v>
      </c>
      <c r="K425" s="14" t="n">
        <f aca="false">Share_Prices!K425/Share_Prices!K424-1</f>
        <v>-0.00640872779301305</v>
      </c>
      <c r="L425" s="14" t="n">
        <f aca="false">Share_Prices!L425/Share_Prices!L424-1</f>
        <v>-0.0238188055512241</v>
      </c>
      <c r="M425" s="14" t="n">
        <f aca="false">Share_Prices!M425/Share_Prices!M424-1</f>
        <v>-0.0158311345646438</v>
      </c>
      <c r="N425" s="14" t="n">
        <f aca="false">Share_Prices!N425/Share_Prices!N424-1</f>
        <v>0.0118641928562415</v>
      </c>
      <c r="O425" s="14" t="n">
        <f aca="false">Share_Prices!O425/Share_Prices!O424-1</f>
        <v>0</v>
      </c>
      <c r="P425" s="14" t="n">
        <f aca="false">Share_Prices!P425/Share_Prices!P424-1</f>
        <v>-0.00851214754389085</v>
      </c>
      <c r="Q425" s="14" t="n">
        <f aca="false">Share_Prices!Q425/Share_Prices!Q424-1</f>
        <v>0.0261659732866213</v>
      </c>
      <c r="R425" s="14" t="n">
        <f aca="false">Share_Prices!R425/Share_Prices!R424-1</f>
        <v>-0.0032604925424905</v>
      </c>
      <c r="S425" s="14" t="n">
        <f aca="false">Share_Prices!S425/Share_Prices!S424-1</f>
        <v>0.0124033365192457</v>
      </c>
    </row>
    <row r="426" customFormat="false" ht="15" hidden="false" customHeight="false" outlineLevel="0" collapsed="false">
      <c r="A426" s="13" t="n">
        <f aca="false">Share_Prices!A426</f>
        <v>45427</v>
      </c>
      <c r="B426" s="14" t="n">
        <f aca="false">Share_Prices!B426/Share_Prices!B425-1</f>
        <v>-0.000778653200017021</v>
      </c>
      <c r="C426" s="14" t="n">
        <f aca="false">Share_Prices!C426/Share_Prices!C425-1</f>
        <v>0.00280654425202331</v>
      </c>
      <c r="D426" s="14" t="n">
        <f aca="false">Share_Prices!D426/Share_Prices!D425-1</f>
        <v>0.0109601333162415</v>
      </c>
      <c r="E426" s="14" t="n">
        <f aca="false">Share_Prices!E426/Share_Prices!E425-1</f>
        <v>0.004</v>
      </c>
      <c r="F426" s="14" t="n">
        <f aca="false">Share_Prices!F426/Share_Prices!F425-1</f>
        <v>0.00235606838639524</v>
      </c>
      <c r="G426" s="14" t="n">
        <f aca="false">Share_Prices!G426/Share_Prices!G425-1</f>
        <v>-0.00433925049309669</v>
      </c>
      <c r="H426" s="14" t="n">
        <f aca="false">Share_Prices!H426/Share_Prices!H425-1</f>
        <v>0.00607674450361873</v>
      </c>
      <c r="I426" s="14" t="n">
        <f aca="false">Share_Prices!I426/Share_Prices!I425-1</f>
        <v>0.0516082324956044</v>
      </c>
      <c r="J426" s="14" t="n">
        <f aca="false">Share_Prices!J426/Share_Prices!J425-1</f>
        <v>-0.00295428128632336</v>
      </c>
      <c r="K426" s="14" t="n">
        <f aca="false">Share_Prices!K426/Share_Prices!K425-1</f>
        <v>0.000645006450064489</v>
      </c>
      <c r="L426" s="14" t="n">
        <f aca="false">Share_Prices!L426/Share_Prices!L425-1</f>
        <v>-0.0165328860668504</v>
      </c>
      <c r="M426" s="14" t="n">
        <f aca="false">Share_Prices!M426/Share_Prices!M425-1</f>
        <v>0.0243460618795741</v>
      </c>
      <c r="N426" s="14" t="n">
        <f aca="false">Share_Prices!N426/Share_Prices!N425-1</f>
        <v>-0.0125982287638768</v>
      </c>
      <c r="O426" s="14" t="n">
        <f aca="false">Share_Prices!O426/Share_Prices!O425-1</f>
        <v>0.0119431279620852</v>
      </c>
      <c r="P426" s="14" t="n">
        <f aca="false">Share_Prices!P426/Share_Prices!P425-1</f>
        <v>-0.00345793835330588</v>
      </c>
      <c r="Q426" s="14" t="n">
        <f aca="false">Share_Prices!Q426/Share_Prices!Q425-1</f>
        <v>-0.00576122906219989</v>
      </c>
      <c r="R426" s="14" t="n">
        <f aca="false">Share_Prices!R426/Share_Prices!R425-1</f>
        <v>-0.00689031180400879</v>
      </c>
      <c r="S426" s="14" t="n">
        <f aca="false">Share_Prices!S426/Share_Prices!S425-1</f>
        <v>-0.00444139292380974</v>
      </c>
    </row>
    <row r="427" customFormat="false" ht="15" hidden="false" customHeight="false" outlineLevel="0" collapsed="false">
      <c r="A427" s="13" t="n">
        <f aca="false">Share_Prices!A427</f>
        <v>45428</v>
      </c>
      <c r="B427" s="14" t="n">
        <f aca="false">Share_Prices!B427/Share_Prices!B426-1</f>
        <v>0.00915743078437248</v>
      </c>
      <c r="C427" s="14" t="n">
        <f aca="false">Share_Prices!C427/Share_Prices!C426-1</f>
        <v>0.00902523159698876</v>
      </c>
      <c r="D427" s="14" t="n">
        <f aca="false">Share_Prices!D427/Share_Prices!D426-1</f>
        <v>0.00792493501553282</v>
      </c>
      <c r="E427" s="14" t="n">
        <f aca="false">Share_Prices!E427/Share_Prices!E426-1</f>
        <v>0.0096281540504648</v>
      </c>
      <c r="F427" s="14" t="n">
        <f aca="false">Share_Prices!F427/Share_Prices!F426-1</f>
        <v>-0.00174783027965286</v>
      </c>
      <c r="G427" s="14" t="n">
        <f aca="false">Share_Prices!G427/Share_Prices!G426-1</f>
        <v>0.0351030110935024</v>
      </c>
      <c r="H427" s="14" t="n">
        <f aca="false">Share_Prices!H427/Share_Prices!H426-1</f>
        <v>0.00943332202239566</v>
      </c>
      <c r="I427" s="14" t="n">
        <f aca="false">Share_Prices!I427/Share_Prices!I426-1</f>
        <v>-0.0108182533438238</v>
      </c>
      <c r="J427" s="14" t="n">
        <f aca="false">Share_Prices!J427/Share_Prices!J426-1</f>
        <v>-0.0039830961286248</v>
      </c>
      <c r="K427" s="14" t="n">
        <f aca="false">Share_Prices!K427/Share_Prices!K426-1</f>
        <v>0.0100586127808839</v>
      </c>
      <c r="L427" s="14" t="n">
        <f aca="false">Share_Prices!L427/Share_Prices!L426-1</f>
        <v>0.0248913793803549</v>
      </c>
      <c r="M427" s="14" t="n">
        <f aca="false">Share_Prices!M427/Share_Prices!M426-1</f>
        <v>0.00413807738558392</v>
      </c>
      <c r="N427" s="14" t="n">
        <f aca="false">Share_Prices!N427/Share_Prices!N426-1</f>
        <v>-0.00530570995452251</v>
      </c>
      <c r="O427" s="14" t="n">
        <f aca="false">Share_Prices!O427/Share_Prices!O426-1</f>
        <v>-0.000936680404645895</v>
      </c>
      <c r="P427" s="14" t="n">
        <f aca="false">Share_Prices!P427/Share_Prices!P426-1</f>
        <v>0.0151061920430751</v>
      </c>
      <c r="Q427" s="14" t="n">
        <f aca="false">Share_Prices!Q427/Share_Prices!Q426-1</f>
        <v>0.00429230604142084</v>
      </c>
      <c r="R427" s="14" t="n">
        <f aca="false">Share_Prices!R427/Share_Prices!R426-1</f>
        <v>0.000420491975611448</v>
      </c>
      <c r="S427" s="14" t="n">
        <f aca="false">Share_Prices!S427/Share_Prices!S426-1</f>
        <v>0.00806034482758622</v>
      </c>
    </row>
    <row r="428" customFormat="false" ht="15" hidden="false" customHeight="false" outlineLevel="0" collapsed="false">
      <c r="A428" s="13" t="n">
        <f aca="false">Share_Prices!A428</f>
        <v>45429</v>
      </c>
      <c r="B428" s="14" t="n">
        <f aca="false">Share_Prices!B428/Share_Prices!B427-1</f>
        <v>0.0027785402955296</v>
      </c>
      <c r="C428" s="14" t="n">
        <f aca="false">Share_Prices!C428/Share_Prices!C427-1</f>
        <v>0.00647425468427865</v>
      </c>
      <c r="D428" s="14" t="n">
        <f aca="false">Share_Prices!D428/Share_Prices!D427-1</f>
        <v>0.00456032205308854</v>
      </c>
      <c r="E428" s="14" t="n">
        <f aca="false">Share_Prices!E428/Share_Prices!E427-1</f>
        <v>-0.00328839197632358</v>
      </c>
      <c r="F428" s="14" t="n">
        <f aca="false">Share_Prices!F428/Share_Prices!F427-1</f>
        <v>0.0156976393165489</v>
      </c>
      <c r="G428" s="14" t="n">
        <f aca="false">Share_Prices!G428/Share_Prices!G427-1</f>
        <v>-0.0017606981550945</v>
      </c>
      <c r="H428" s="14" t="n">
        <f aca="false">Share_Prices!H428/Share_Prices!H427-1</f>
        <v>-0.0112948769665189</v>
      </c>
      <c r="I428" s="14" t="n">
        <f aca="false">Share_Prices!I428/Share_Prices!I427-1</f>
        <v>-0.00517001391926819</v>
      </c>
      <c r="J428" s="14" t="n">
        <f aca="false">Share_Prices!J428/Share_Prices!J427-1</f>
        <v>0.00614484272128735</v>
      </c>
      <c r="K428" s="14" t="n">
        <f aca="false">Share_Prices!K428/Share_Prices!K427-1</f>
        <v>-0.00292371623627175</v>
      </c>
      <c r="L428" s="14" t="n">
        <f aca="false">Share_Prices!L428/Share_Prices!L427-1</f>
        <v>0.0182250396196513</v>
      </c>
      <c r="M428" s="14" t="n">
        <f aca="false">Share_Prices!M428/Share_Prices!M427-1</f>
        <v>-0.00588214575041379</v>
      </c>
      <c r="N428" s="14" t="n">
        <f aca="false">Share_Prices!N428/Share_Prices!N427-1</f>
        <v>0.0152400304800611</v>
      </c>
      <c r="O428" s="14" t="n">
        <f aca="false">Share_Prices!O428/Share_Prices!O427-1</f>
        <v>-0.0106881680105005</v>
      </c>
      <c r="P428" s="14" t="n">
        <f aca="false">Share_Prices!P428/Share_Prices!P427-1</f>
        <v>-0.0101370266686313</v>
      </c>
      <c r="Q428" s="14" t="n">
        <f aca="false">Share_Prices!Q428/Share_Prices!Q427-1</f>
        <v>-0.00950956298749861</v>
      </c>
      <c r="R428" s="14" t="n">
        <f aca="false">Share_Prices!R428/Share_Prices!R427-1</f>
        <v>0.00161120840630469</v>
      </c>
      <c r="S428" s="14" t="n">
        <f aca="false">Share_Prices!S428/Share_Prices!S427-1</f>
        <v>0.0140676444178389</v>
      </c>
    </row>
    <row r="429" customFormat="false" ht="15" hidden="false" customHeight="false" outlineLevel="0" collapsed="false">
      <c r="A429" s="13" t="n">
        <f aca="false">Share_Prices!A429</f>
        <v>45430</v>
      </c>
      <c r="B429" s="14" t="n">
        <f aca="false">Share_Prices!B429/Share_Prices!B428-1</f>
        <v>0.00159796315337335</v>
      </c>
      <c r="C429" s="14" t="n">
        <f aca="false">Share_Prices!C429/Share_Prices!C428-1</f>
        <v>0.00379310262977373</v>
      </c>
      <c r="D429" s="14" t="n">
        <f aca="false">Share_Prices!D429/Share_Prices!D428-1</f>
        <v>-0.00992454838608681</v>
      </c>
      <c r="E429" s="14" t="n">
        <f aca="false">Share_Prices!E429/Share_Prices!E428-1</f>
        <v>0.000791817881887091</v>
      </c>
      <c r="F429" s="14" t="n">
        <f aca="false">Share_Prices!F429/Share_Prices!F428-1</f>
        <v>0.00422041253046435</v>
      </c>
      <c r="G429" s="14" t="n">
        <f aca="false">Share_Prices!G429/Share_Prices!G428-1</f>
        <v>-0.0109662576687116</v>
      </c>
      <c r="H429" s="14" t="n">
        <f aca="false">Share_Prices!H429/Share_Prices!H428-1</f>
        <v>0.0163198694410445</v>
      </c>
      <c r="I429" s="14" t="n">
        <f aca="false">Share_Prices!I429/Share_Prices!I428-1</f>
        <v>0.0200879472316611</v>
      </c>
      <c r="J429" s="14" t="n">
        <f aca="false">Share_Prices!J429/Share_Prices!J428-1</f>
        <v>0.00620425573166594</v>
      </c>
      <c r="K429" s="14" t="n">
        <f aca="false">Share_Prices!K429/Share_Prices!K428-1</f>
        <v>0.00156289537531817</v>
      </c>
      <c r="L429" s="14" t="n">
        <f aca="false">Share_Prices!L429/Share_Prices!L428-1</f>
        <v>-0.00245136186770434</v>
      </c>
      <c r="M429" s="14" t="n">
        <f aca="false">Share_Prices!M429/Share_Prices!M428-1</f>
        <v>0.0126133786848073</v>
      </c>
      <c r="N429" s="14" t="n">
        <f aca="false">Share_Prices!N429/Share_Prices!N428-1</f>
        <v>0.00450337753315</v>
      </c>
      <c r="O429" s="14" t="n">
        <f aca="false">Share_Prices!O429/Share_Prices!O428-1</f>
        <v>0.00265352539802866</v>
      </c>
      <c r="P429" s="14" t="n">
        <f aca="false">Share_Prices!P429/Share_Prices!P428-1</f>
        <v>0.014200232205055</v>
      </c>
      <c r="Q429" s="14" t="n">
        <f aca="false">Share_Prices!Q429/Share_Prices!Q428-1</f>
        <v>0.00366774541531822</v>
      </c>
      <c r="R429" s="14" t="n">
        <f aca="false">Share_Prices!R429/Share_Prices!R428-1</f>
        <v>-0.000209819555182511</v>
      </c>
      <c r="S429" s="14" t="n">
        <f aca="false">Share_Prices!S429/Share_Prices!S428-1</f>
        <v>-0.000484904705683964</v>
      </c>
    </row>
    <row r="430" customFormat="false" ht="15" hidden="false" customHeight="false" outlineLevel="0" collapsed="false">
      <c r="A430" s="13" t="n">
        <f aca="false">Share_Prices!A430</f>
        <v>45433</v>
      </c>
      <c r="B430" s="14" t="n">
        <f aca="false">Share_Prices!B430/Share_Prices!B429-1</f>
        <v>0.00120211536752279</v>
      </c>
      <c r="C430" s="14" t="n">
        <f aca="false">Share_Prices!C430/Share_Prices!C429-1</f>
        <v>0.00204308932131125</v>
      </c>
      <c r="D430" s="14" t="n">
        <f aca="false">Share_Prices!D430/Share_Prices!D429-1</f>
        <v>0.0191626612699216</v>
      </c>
      <c r="E430" s="14" t="n">
        <f aca="false">Share_Prices!E430/Share_Prices!E429-1</f>
        <v>-0.0177358739368366</v>
      </c>
      <c r="F430" s="14" t="n">
        <f aca="false">Share_Prices!F430/Share_Prices!F429-1</f>
        <v>-0.0298922694447733</v>
      </c>
      <c r="G430" s="14" t="n">
        <f aca="false">Share_Prices!G430/Share_Prices!G429-1</f>
        <v>0.0105450880049622</v>
      </c>
      <c r="H430" s="14" t="n">
        <f aca="false">Share_Prices!H430/Share_Prices!H429-1</f>
        <v>-0.00903251706142116</v>
      </c>
      <c r="I430" s="14" t="n">
        <f aca="false">Share_Prices!I430/Share_Prices!I429-1</f>
        <v>-0.0292936220241012</v>
      </c>
      <c r="J430" s="14" t="n">
        <f aca="false">Share_Prices!J430/Share_Prices!J429-1</f>
        <v>-0.0183775711739487</v>
      </c>
      <c r="K430" s="14" t="n">
        <f aca="false">Share_Prices!K430/Share_Prices!K429-1</f>
        <v>0.000728213054333571</v>
      </c>
      <c r="L430" s="14" t="n">
        <f aca="false">Share_Prices!L430/Share_Prices!L429-1</f>
        <v>0.00826929827983003</v>
      </c>
      <c r="M430" s="14" t="n">
        <f aca="false">Share_Prices!M430/Share_Prices!M429-1</f>
        <v>-0.0094121763470959</v>
      </c>
      <c r="N430" s="14" t="n">
        <f aca="false">Share_Prices!N430/Share_Prices!N429-1</f>
        <v>-0.00859277708592776</v>
      </c>
      <c r="O430" s="14" t="n">
        <f aca="false">Share_Prices!O430/Share_Prices!O429-1</f>
        <v>-0.00415879017013243</v>
      </c>
      <c r="P430" s="14" t="n">
        <f aca="false">Share_Prices!P430/Share_Prices!P429-1</f>
        <v>0</v>
      </c>
      <c r="Q430" s="14" t="n">
        <f aca="false">Share_Prices!Q430/Share_Prices!Q429-1</f>
        <v>-0.014079965606191</v>
      </c>
      <c r="R430" s="14" t="n">
        <f aca="false">Share_Prices!R430/Share_Prices!R429-1</f>
        <v>-0.00685554389646725</v>
      </c>
      <c r="S430" s="14" t="n">
        <f aca="false">Share_Prices!S430/Share_Prices!S429-1</f>
        <v>0.00118121031871588</v>
      </c>
    </row>
    <row r="431" customFormat="false" ht="15" hidden="false" customHeight="false" outlineLevel="0" collapsed="false">
      <c r="A431" s="13" t="n">
        <f aca="false">Share_Prices!A431</f>
        <v>45434</v>
      </c>
      <c r="B431" s="14" t="n">
        <f aca="false">Share_Prices!B431/Share_Prices!B430-1</f>
        <v>0.00305161558077227</v>
      </c>
      <c r="C431" s="14" t="n">
        <f aca="false">Share_Prices!C431/Share_Prices!C430-1</f>
        <v>0.00236458502948644</v>
      </c>
      <c r="D431" s="14" t="n">
        <f aca="false">Share_Prices!D431/Share_Prices!D430-1</f>
        <v>-0.00586410176853869</v>
      </c>
      <c r="E431" s="14" t="n">
        <f aca="false">Share_Prices!E431/Share_Prices!E430-1</f>
        <v>-0.00724929520741036</v>
      </c>
      <c r="F431" s="14" t="n">
        <f aca="false">Share_Prices!F431/Share_Prices!F430-1</f>
        <v>0.00115931417414106</v>
      </c>
      <c r="G431" s="14" t="n">
        <f aca="false">Share_Prices!G431/Share_Prices!G430-1</f>
        <v>0.00598480779559574</v>
      </c>
      <c r="H431" s="14" t="n">
        <f aca="false">Share_Prices!H431/Share_Prices!H430-1</f>
        <v>0.00648166902977532</v>
      </c>
      <c r="I431" s="14" t="n">
        <f aca="false">Share_Prices!I431/Share_Prices!I430-1</f>
        <v>0.0116067823980621</v>
      </c>
      <c r="J431" s="14" t="n">
        <f aca="false">Share_Prices!J431/Share_Prices!J430-1</f>
        <v>0.0261072261072259</v>
      </c>
      <c r="K431" s="14" t="n">
        <f aca="false">Share_Prices!K431/Share_Prices!K430-1</f>
        <v>0.000252461499621326</v>
      </c>
      <c r="L431" s="14" t="n">
        <f aca="false">Share_Prices!L431/Share_Prices!L430-1</f>
        <v>-0.0175635421099463</v>
      </c>
      <c r="M431" s="14" t="n">
        <f aca="false">Share_Prices!M431/Share_Prices!M430-1</f>
        <v>-0.00483910847373803</v>
      </c>
      <c r="N431" s="14" t="n">
        <f aca="false">Share_Prices!N431/Share_Prices!N430-1</f>
        <v>0.00414520788845607</v>
      </c>
      <c r="O431" s="14" t="n">
        <f aca="false">Share_Prices!O431/Share_Prices!O430-1</f>
        <v>0.0100607441154139</v>
      </c>
      <c r="P431" s="14" t="n">
        <f aca="false">Share_Prices!P431/Share_Prices!P430-1</f>
        <v>0.00278854056592692</v>
      </c>
      <c r="Q431" s="14" t="n">
        <f aca="false">Share_Prices!Q431/Share_Prices!Q430-1</f>
        <v>-0.00708601329990188</v>
      </c>
      <c r="R431" s="14" t="n">
        <f aca="false">Share_Prices!R431/Share_Prices!R430-1</f>
        <v>-0.00253574698880055</v>
      </c>
      <c r="S431" s="14" t="n">
        <f aca="false">Share_Prices!S431/Share_Prices!S430-1</f>
        <v>-0.0153797535025808</v>
      </c>
    </row>
    <row r="432" customFormat="false" ht="15" hidden="false" customHeight="false" outlineLevel="0" collapsed="false">
      <c r="A432" s="13" t="n">
        <f aca="false">Share_Prices!A432</f>
        <v>45435</v>
      </c>
      <c r="B432" s="14" t="n">
        <f aca="false">Share_Prices!B432/Share_Prices!B431-1</f>
        <v>0.0163666374602838</v>
      </c>
      <c r="C432" s="14" t="n">
        <f aca="false">Share_Prices!C432/Share_Prices!C431-1</f>
        <v>0.0118562465421244</v>
      </c>
      <c r="D432" s="14" t="n">
        <f aca="false">Share_Prices!D432/Share_Prices!D431-1</f>
        <v>0.00471271183795752</v>
      </c>
      <c r="E432" s="14" t="n">
        <f aca="false">Share_Prices!E432/Share_Prices!E431-1</f>
        <v>0.00689655172413795</v>
      </c>
      <c r="F432" s="14" t="n">
        <f aca="false">Share_Prices!F432/Share_Prices!F431-1</f>
        <v>-0.0029863481228668</v>
      </c>
      <c r="G432" s="14" t="n">
        <f aca="false">Share_Prices!G432/Share_Prices!G431-1</f>
        <v>-0.00221188315155207</v>
      </c>
      <c r="H432" s="14" t="n">
        <f aca="false">Share_Prices!H432/Share_Prices!H431-1</f>
        <v>0.0715100288455088</v>
      </c>
      <c r="I432" s="14" t="n">
        <f aca="false">Share_Prices!I432/Share_Prices!I431-1</f>
        <v>0.029132994113539</v>
      </c>
      <c r="J432" s="14" t="n">
        <f aca="false">Share_Prices!J432/Share_Prices!J431-1</f>
        <v>0.00389774982663393</v>
      </c>
      <c r="K432" s="14" t="n">
        <f aca="false">Share_Prices!K432/Share_Prices!K431-1</f>
        <v>0.0121744810998605</v>
      </c>
      <c r="L432" s="14" t="n">
        <f aca="false">Share_Prices!L432/Share_Prices!L431-1</f>
        <v>0.00748178775349473</v>
      </c>
      <c r="M432" s="14" t="n">
        <f aca="false">Share_Prices!M432/Share_Prices!M431-1</f>
        <v>-0.00159721729253925</v>
      </c>
      <c r="N432" s="14" t="n">
        <f aca="false">Share_Prices!N432/Share_Prices!N431-1</f>
        <v>-0.00600450337753311</v>
      </c>
      <c r="O432" s="14" t="n">
        <f aca="false">Share_Prices!O432/Share_Prices!O431-1</f>
        <v>0.0112760759255779</v>
      </c>
      <c r="P432" s="14" t="n">
        <f aca="false">Share_Prices!P432/Share_Prices!P431-1</f>
        <v>0.00608845827357074</v>
      </c>
      <c r="Q432" s="14" t="n">
        <f aca="false">Share_Prices!Q432/Share_Prices!Q431-1</f>
        <v>0.0119675010979359</v>
      </c>
      <c r="R432" s="14" t="n">
        <f aca="false">Share_Prices!R432/Share_Prices!R431-1</f>
        <v>0.00360144057623057</v>
      </c>
      <c r="S432" s="14" t="n">
        <f aca="false">Share_Prices!S432/Share_Prices!S431-1</f>
        <v>0.0272600834492349</v>
      </c>
    </row>
    <row r="433" customFormat="false" ht="15" hidden="false" customHeight="false" outlineLevel="0" collapsed="false">
      <c r="A433" s="13" t="n">
        <f aca="false">Share_Prices!A433</f>
        <v>45436</v>
      </c>
      <c r="B433" s="14" t="n">
        <f aca="false">Share_Prices!B433/Share_Prices!B432-1</f>
        <v>-0.000459341726297802</v>
      </c>
      <c r="C433" s="14" t="n">
        <f aca="false">Share_Prices!C433/Share_Prices!C432-1</f>
        <v>-0.000269898625145704</v>
      </c>
      <c r="D433" s="14" t="n">
        <f aca="false">Share_Prices!D433/Share_Prices!D432-1</f>
        <v>0.00599527833001989</v>
      </c>
      <c r="E433" s="14" t="n">
        <f aca="false">Share_Prices!E433/Share_Prices!E432-1</f>
        <v>-0.00812516787536943</v>
      </c>
      <c r="F433" s="14" t="n">
        <f aca="false">Share_Prices!F433/Share_Prices!F432-1</f>
        <v>-0.0178495018032887</v>
      </c>
      <c r="G433" s="14" t="n">
        <f aca="false">Share_Prices!G433/Share_Prices!G432-1</f>
        <v>-0.00764409111756614</v>
      </c>
      <c r="H433" s="14" t="n">
        <f aca="false">Share_Prices!H433/Share_Prices!H432-1</f>
        <v>-0.00275464846929185</v>
      </c>
      <c r="I433" s="14" t="n">
        <f aca="false">Share_Prices!I433/Share_Prices!I432-1</f>
        <v>-0.024818225884634</v>
      </c>
      <c r="J433" s="14" t="n">
        <f aca="false">Share_Prices!J433/Share_Prices!J432-1</f>
        <v>-0.0136248868562717</v>
      </c>
      <c r="K433" s="14" t="n">
        <f aca="false">Share_Prices!K433/Share_Prices!K432-1</f>
        <v>0.00149617156100557</v>
      </c>
      <c r="L433" s="14" t="n">
        <f aca="false">Share_Prices!L433/Share_Prices!L432-1</f>
        <v>-0.0143052569865155</v>
      </c>
      <c r="M433" s="14" t="n">
        <f aca="false">Share_Prices!M433/Share_Prices!M432-1</f>
        <v>-0.00831881687937719</v>
      </c>
      <c r="N433" s="14" t="n">
        <f aca="false">Share_Prices!N433/Share_Prices!N432-1</f>
        <v>-0.00981625975333511</v>
      </c>
      <c r="O433" s="14" t="n">
        <f aca="false">Share_Prices!O433/Share_Prices!O432-1</f>
        <v>0.00873443597844248</v>
      </c>
      <c r="P433" s="14" t="n">
        <f aca="false">Share_Prices!P433/Share_Prices!P432-1</f>
        <v>-0.0137325070553664</v>
      </c>
      <c r="Q433" s="14" t="n">
        <f aca="false">Share_Prices!Q433/Share_Prices!Q432-1</f>
        <v>-0.00564174894217218</v>
      </c>
      <c r="R433" s="14" t="n">
        <f aca="false">Share_Prices!R433/Share_Prices!R432-1</f>
        <v>-0.00147762454264011</v>
      </c>
      <c r="S433" s="14" t="n">
        <f aca="false">Share_Prices!S433/Share_Prices!S432-1</f>
        <v>-0.00122893624112141</v>
      </c>
    </row>
    <row r="434" customFormat="false" ht="15" hidden="false" customHeight="false" outlineLevel="0" collapsed="false">
      <c r="A434" s="13" t="n">
        <f aca="false">Share_Prices!A434</f>
        <v>45439</v>
      </c>
      <c r="B434" s="14" t="n">
        <f aca="false">Share_Prices!B434/Share_Prices!B433-1</f>
        <v>-0.00107374189248632</v>
      </c>
      <c r="C434" s="14" t="n">
        <f aca="false">Share_Prices!C434/Share_Prices!C433-1</f>
        <v>0.000430557979868462</v>
      </c>
      <c r="D434" s="14" t="n">
        <f aca="false">Share_Prices!D434/Share_Prices!D433-1</f>
        <v>0.00549637177705731</v>
      </c>
      <c r="E434" s="14" t="n">
        <f aca="false">Share_Prices!E434/Share_Prices!E433-1</f>
        <v>0.00467131541534083</v>
      </c>
      <c r="F434" s="14" t="n">
        <f aca="false">Share_Prices!F434/Share_Prices!F433-1</f>
        <v>0.0188585299060184</v>
      </c>
      <c r="G434" s="14" t="n">
        <f aca="false">Share_Prices!G434/Share_Prices!G433-1</f>
        <v>-0.0129409952241565</v>
      </c>
      <c r="H434" s="14" t="n">
        <f aca="false">Share_Prices!H434/Share_Prices!H433-1</f>
        <v>0.00301337183752892</v>
      </c>
      <c r="I434" s="14" t="n">
        <f aca="false">Share_Prices!I434/Share_Prices!I433-1</f>
        <v>-0.0122278556516552</v>
      </c>
      <c r="J434" s="14" t="n">
        <f aca="false">Share_Prices!J434/Share_Prices!J433-1</f>
        <v>0.00927312243419465</v>
      </c>
      <c r="K434" s="14" t="n">
        <f aca="false">Share_Prices!K434/Share_Prices!K433-1</f>
        <v>0.00856816450875853</v>
      </c>
      <c r="L434" s="14" t="n">
        <f aca="false">Share_Prices!L434/Share_Prices!L433-1</f>
        <v>0.0071771283556048</v>
      </c>
      <c r="M434" s="14" t="n">
        <f aca="false">Share_Prices!M434/Share_Prices!M433-1</f>
        <v>-0.0124036565692777</v>
      </c>
      <c r="N434" s="14" t="n">
        <f aca="false">Share_Prices!N434/Share_Prices!N433-1</f>
        <v>0.0132180986273513</v>
      </c>
      <c r="O434" s="14" t="n">
        <f aca="false">Share_Prices!O434/Share_Prices!O433-1</f>
        <v>-0.00792188651436987</v>
      </c>
      <c r="P434" s="14" t="n">
        <f aca="false">Share_Prices!P434/Share_Prices!P433-1</f>
        <v>0.00784683913979767</v>
      </c>
      <c r="Q434" s="14" t="n">
        <f aca="false">Share_Prices!Q434/Share_Prices!Q433-1</f>
        <v>-0.020076377523186</v>
      </c>
      <c r="R434" s="14" t="n">
        <f aca="false">Share_Prices!R434/Share_Prices!R433-1</f>
        <v>-0.00951307166513993</v>
      </c>
      <c r="S434" s="14" t="n">
        <f aca="false">Share_Prices!S434/Share_Prices!S433-1</f>
        <v>-0.00729927007299269</v>
      </c>
    </row>
    <row r="435" customFormat="false" ht="15" hidden="false" customHeight="false" outlineLevel="0" collapsed="false">
      <c r="A435" s="13" t="n">
        <f aca="false">Share_Prices!A435</f>
        <v>45440</v>
      </c>
      <c r="B435" s="14" t="n">
        <f aca="false">Share_Prices!B435/Share_Prices!B434-1</f>
        <v>-0.00193176045298249</v>
      </c>
      <c r="C435" s="14" t="n">
        <f aca="false">Share_Prices!C435/Share_Prices!C434-1</f>
        <v>-0.0049155539012703</v>
      </c>
      <c r="D435" s="14" t="n">
        <f aca="false">Share_Prices!D435/Share_Prices!D434-1</f>
        <v>-0.0242606639437398</v>
      </c>
      <c r="E435" s="14" t="n">
        <f aca="false">Share_Prices!E435/Share_Prices!E434-1</f>
        <v>0.00397574123989219</v>
      </c>
      <c r="F435" s="14" t="n">
        <f aca="false">Share_Prices!F435/Share_Prices!F434-1</f>
        <v>-0.012156383628589</v>
      </c>
      <c r="G435" s="14" t="n">
        <f aca="false">Share_Prices!G435/Share_Prices!G434-1</f>
        <v>0.00733572654908676</v>
      </c>
      <c r="H435" s="14" t="n">
        <f aca="false">Share_Prices!H435/Share_Prices!H434-1</f>
        <v>-0.013832384052075</v>
      </c>
      <c r="I435" s="14" t="n">
        <f aca="false">Share_Prices!I435/Share_Prices!I434-1</f>
        <v>-0.0241545893719807</v>
      </c>
      <c r="J435" s="14" t="n">
        <f aca="false">Share_Prices!J435/Share_Prices!J434-1</f>
        <v>-0.00748911326984714</v>
      </c>
      <c r="K435" s="14" t="n">
        <f aca="false">Share_Prices!K435/Share_Prices!K434-1</f>
        <v>-0.00325292981513481</v>
      </c>
      <c r="L435" s="14" t="n">
        <f aca="false">Share_Prices!L435/Share_Prices!L434-1</f>
        <v>-0.00811023622047236</v>
      </c>
      <c r="M435" s="14" t="n">
        <f aca="false">Share_Prices!M435/Share_Prices!M434-1</f>
        <v>-0.0212711895168608</v>
      </c>
      <c r="N435" s="14" t="n">
        <f aca="false">Share_Prices!N435/Share_Prices!N434-1</f>
        <v>0.00137982940291015</v>
      </c>
      <c r="O435" s="14" t="n">
        <f aca="false">Share_Prices!O435/Share_Prices!O434-1</f>
        <v>0.00185701021355622</v>
      </c>
      <c r="P435" s="14" t="n">
        <f aca="false">Share_Prices!P435/Share_Prices!P434-1</f>
        <v>0.0217474023123079</v>
      </c>
      <c r="Q435" s="14" t="n">
        <f aca="false">Share_Prices!Q435/Share_Prices!Q434-1</f>
        <v>-0.00924173254648708</v>
      </c>
      <c r="R435" s="14" t="n">
        <f aca="false">Share_Prices!R435/Share_Prices!R434-1</f>
        <v>0.00377063175867964</v>
      </c>
      <c r="S435" s="14" t="n">
        <f aca="false">Share_Prices!S435/Share_Prices!S434-1</f>
        <v>0.00575630252100834</v>
      </c>
    </row>
    <row r="436" customFormat="false" ht="15" hidden="false" customHeight="false" outlineLevel="0" collapsed="false">
      <c r="A436" s="13" t="n">
        <f aca="false">Share_Prices!A436</f>
        <v>45441</v>
      </c>
      <c r="B436" s="14" t="n">
        <f aca="false">Share_Prices!B436/Share_Prices!B435-1</f>
        <v>-0.00801506456397749</v>
      </c>
      <c r="C436" s="14" t="n">
        <f aca="false">Share_Prices!C436/Share_Prices!C435-1</f>
        <v>-0.00612745384538049</v>
      </c>
      <c r="D436" s="14" t="n">
        <f aca="false">Share_Prices!D436/Share_Prices!D435-1</f>
        <v>-0.00919019293110512</v>
      </c>
      <c r="E436" s="14" t="n">
        <f aca="false">Share_Prices!E436/Share_Prices!E435-1</f>
        <v>-0.0305389623464662</v>
      </c>
      <c r="F436" s="14" t="n">
        <f aca="false">Share_Prices!F436/Share_Prices!F435-1</f>
        <v>0.00785356502380807</v>
      </c>
      <c r="G436" s="14" t="n">
        <f aca="false">Share_Prices!G436/Share_Prices!G435-1</f>
        <v>0.00216919739696309</v>
      </c>
      <c r="H436" s="14" t="n">
        <f aca="false">Share_Prices!H436/Share_Prices!H435-1</f>
        <v>-0.0660700685453161</v>
      </c>
      <c r="I436" s="14" t="n">
        <f aca="false">Share_Prices!I436/Share_Prices!I435-1</f>
        <v>-0.00103135313531355</v>
      </c>
      <c r="J436" s="14" t="n">
        <f aca="false">Share_Prices!J436/Share_Prices!J435-1</f>
        <v>-0.00870277958583454</v>
      </c>
      <c r="K436" s="14" t="n">
        <f aca="false">Share_Prices!K436/Share_Prices!K435-1</f>
        <v>-0.00965951309060709</v>
      </c>
      <c r="L436" s="14" t="n">
        <f aca="false">Share_Prices!L436/Share_Prices!L435-1</f>
        <v>-0.0153211082003651</v>
      </c>
      <c r="M436" s="14" t="n">
        <f aca="false">Share_Prices!M436/Share_Prices!M435-1</f>
        <v>-0.0185068427103809</v>
      </c>
      <c r="N436" s="14" t="n">
        <f aca="false">Share_Prices!N436/Share_Prices!N435-1</f>
        <v>0.0300638857572342</v>
      </c>
      <c r="O436" s="14" t="n">
        <f aca="false">Share_Prices!O436/Share_Prices!O435-1</f>
        <v>-0.00481927710843377</v>
      </c>
      <c r="P436" s="14" t="n">
        <f aca="false">Share_Prices!P436/Share_Prices!P435-1</f>
        <v>-0.00372407471066805</v>
      </c>
      <c r="Q436" s="14" t="n">
        <f aca="false">Share_Prices!Q436/Share_Prices!Q435-1</f>
        <v>0.0103394021128345</v>
      </c>
      <c r="R436" s="14" t="n">
        <f aca="false">Share_Prices!R436/Share_Prices!R435-1</f>
        <v>-0.0115529094903963</v>
      </c>
      <c r="S436" s="14" t="n">
        <f aca="false">Share_Prices!S436/Share_Prices!S435-1</f>
        <v>-0.00795839077578642</v>
      </c>
    </row>
    <row r="437" customFormat="false" ht="15" hidden="false" customHeight="false" outlineLevel="0" collapsed="false">
      <c r="A437" s="13" t="n">
        <f aca="false">Share_Prices!A437</f>
        <v>45442</v>
      </c>
      <c r="B437" s="14" t="n">
        <f aca="false">Share_Prices!B437/Share_Prices!B436-1</f>
        <v>-0.00951565094451812</v>
      </c>
      <c r="C437" s="14" t="n">
        <f aca="false">Share_Prices!C437/Share_Prices!C436-1</f>
        <v>-0.0102440217723687</v>
      </c>
      <c r="D437" s="14" t="n">
        <f aca="false">Share_Prices!D437/Share_Prices!D436-1</f>
        <v>-0.00587656046504237</v>
      </c>
      <c r="E437" s="14" t="n">
        <f aca="false">Share_Prices!E437/Share_Prices!E436-1</f>
        <v>-0.00214621988368879</v>
      </c>
      <c r="F437" s="14" t="n">
        <f aca="false">Share_Prices!F437/Share_Prices!F436-1</f>
        <v>-0.00184071665234997</v>
      </c>
      <c r="G437" s="14" t="n">
        <f aca="false">Share_Prices!G437/Share_Prices!G436-1</f>
        <v>-0.0239641311069883</v>
      </c>
      <c r="H437" s="14" t="n">
        <f aca="false">Share_Prices!H437/Share_Prices!H436-1</f>
        <v>0.0131158681617396</v>
      </c>
      <c r="I437" s="14" t="n">
        <f aca="false">Share_Prices!I437/Share_Prices!I436-1</f>
        <v>-0.0300433615527566</v>
      </c>
      <c r="J437" s="14" t="n">
        <f aca="false">Share_Prices!J437/Share_Prices!J436-1</f>
        <v>-0.019455252918288</v>
      </c>
      <c r="K437" s="14" t="n">
        <f aca="false">Share_Prices!K437/Share_Prices!K436-1</f>
        <v>-0.0279371524406391</v>
      </c>
      <c r="L437" s="14" t="n">
        <f aca="false">Share_Prices!L437/Share_Prices!L436-1</f>
        <v>-0.0222105772331508</v>
      </c>
      <c r="M437" s="14" t="n">
        <f aca="false">Share_Prices!M437/Share_Prices!M436-1</f>
        <v>-0.00449667472793236</v>
      </c>
      <c r="N437" s="14" t="n">
        <f aca="false">Share_Prices!N437/Share_Prices!N436-1</f>
        <v>-0.0122826219141432</v>
      </c>
      <c r="O437" s="14" t="n">
        <f aca="false">Share_Prices!O437/Share_Prices!O436-1</f>
        <v>-0.0197429688955113</v>
      </c>
      <c r="P437" s="14" t="n">
        <f aca="false">Share_Prices!P437/Share_Prices!P436-1</f>
        <v>-0.0373224452239922</v>
      </c>
      <c r="Q437" s="14" t="n">
        <f aca="false">Share_Prices!Q437/Share_Prices!Q436-1</f>
        <v>-0.00211345939933261</v>
      </c>
      <c r="R437" s="14" t="n">
        <f aca="false">Share_Prices!R437/Share_Prices!R436-1</f>
        <v>-0.00466083464792777</v>
      </c>
      <c r="S437" s="14" t="n">
        <f aca="false">Share_Prices!S437/Share_Prices!S436-1</f>
        <v>-0.0302992019876613</v>
      </c>
    </row>
    <row r="438" customFormat="false" ht="15" hidden="false" customHeight="false" outlineLevel="0" collapsed="false">
      <c r="A438" s="13" t="n">
        <f aca="false">Share_Prices!A438</f>
        <v>45443</v>
      </c>
      <c r="B438" s="14" t="n">
        <f aca="false">Share_Prices!B438/Share_Prices!B437-1</f>
        <v>0.00186983211531144</v>
      </c>
      <c r="C438" s="14" t="n">
        <f aca="false">Share_Prices!C438/Share_Prices!C437-1</f>
        <v>0.00307768358560834</v>
      </c>
      <c r="D438" s="14" t="n">
        <f aca="false">Share_Prices!D438/Share_Prices!D437-1</f>
        <v>0.0204498977505112</v>
      </c>
      <c r="E438" s="14" t="n">
        <f aca="false">Share_Prices!E438/Share_Prices!E437-1</f>
        <v>0.00908901685977948</v>
      </c>
      <c r="F438" s="14" t="n">
        <f aca="false">Share_Prices!F438/Share_Prices!F437-1</f>
        <v>0.00559380378657504</v>
      </c>
      <c r="G438" s="14" t="n">
        <f aca="false">Share_Prices!G438/Share_Prices!G437-1</f>
        <v>0.00221764612703956</v>
      </c>
      <c r="H438" s="14" t="n">
        <f aca="false">Share_Prices!H438/Share_Prices!H437-1</f>
        <v>-0.0301851354977194</v>
      </c>
      <c r="I438" s="14" t="n">
        <f aca="false">Share_Prices!I438/Share_Prices!I437-1</f>
        <v>0.00031931878658864</v>
      </c>
      <c r="J438" s="14" t="n">
        <f aca="false">Share_Prices!J438/Share_Prices!J437-1</f>
        <v>-0.00493551587301588</v>
      </c>
      <c r="K438" s="14" t="n">
        <f aca="false">Share_Prices!K438/Share_Prices!K437-1</f>
        <v>0.0122739311388573</v>
      </c>
      <c r="L438" s="14" t="n">
        <f aca="false">Share_Prices!L438/Share_Prices!L437-1</f>
        <v>0.0232922455373707</v>
      </c>
      <c r="M438" s="14" t="n">
        <f aca="false">Share_Prices!M438/Share_Prices!M437-1</f>
        <v>0.00501043841336113</v>
      </c>
      <c r="N438" s="14" t="n">
        <f aca="false">Share_Prices!N438/Share_Prices!N437-1</f>
        <v>-0.0168677665599607</v>
      </c>
      <c r="O438" s="14" t="n">
        <f aca="false">Share_Prices!O438/Share_Prices!O437-1</f>
        <v>0.0169105073152196</v>
      </c>
      <c r="P438" s="14" t="n">
        <f aca="false">Share_Prices!P438/Share_Prices!P437-1</f>
        <v>0.00564516129032255</v>
      </c>
      <c r="Q438" s="14" t="n">
        <f aca="false">Share_Prices!Q438/Share_Prices!Q437-1</f>
        <v>0.00122617322483554</v>
      </c>
      <c r="R438" s="14" t="n">
        <f aca="false">Share_Prices!R438/Share_Prices!R437-1</f>
        <v>-0.00280959585044294</v>
      </c>
      <c r="S438" s="14" t="n">
        <f aca="false">Share_Prices!S438/Share_Prices!S437-1</f>
        <v>0.0222999088027098</v>
      </c>
    </row>
    <row r="439" customFormat="false" ht="15" hidden="false" customHeight="false" outlineLevel="0" collapsed="false">
      <c r="A439" s="13" t="n">
        <f aca="false">Share_Prices!A439</f>
        <v>45446</v>
      </c>
      <c r="B439" s="14" t="n">
        <f aca="false">Share_Prices!B439/Share_Prices!B438-1</f>
        <v>0.0325422645545856</v>
      </c>
      <c r="C439" s="14" t="n">
        <f aca="false">Share_Prices!C439/Share_Prices!C438-1</f>
        <v>0.032890590571143</v>
      </c>
      <c r="D439" s="14" t="n">
        <f aca="false">Share_Prices!D439/Share_Prices!D438-1</f>
        <v>0.0177855711422845</v>
      </c>
      <c r="E439" s="14" t="n">
        <f aca="false">Share_Prices!E439/Share_Prices!E438-1</f>
        <v>0.0343096809680967</v>
      </c>
      <c r="F439" s="14" t="n">
        <f aca="false">Share_Prices!F439/Share_Prices!F438-1</f>
        <v>-0.00122256861666359</v>
      </c>
      <c r="G439" s="14" t="n">
        <f aca="false">Share_Prices!G439/Share_Prices!G438-1</f>
        <v>0.0762604709973132</v>
      </c>
      <c r="H439" s="14" t="n">
        <f aca="false">Share_Prices!H439/Share_Prices!H438-1</f>
        <v>0.00864573246645461</v>
      </c>
      <c r="I439" s="14" t="n">
        <f aca="false">Share_Prices!I439/Share_Prices!I438-1</f>
        <v>0.0222387742072783</v>
      </c>
      <c r="J439" s="14" t="n">
        <f aca="false">Share_Prices!J439/Share_Prices!J438-1</f>
        <v>-0.00229306348296399</v>
      </c>
      <c r="K439" s="14" t="n">
        <f aca="false">Share_Prices!K439/Share_Prices!K438-1</f>
        <v>0.0325329665400831</v>
      </c>
      <c r="L439" s="14" t="n">
        <f aca="false">Share_Prices!L439/Share_Prices!L438-1</f>
        <v>0.0383127870437516</v>
      </c>
      <c r="M439" s="14" t="n">
        <f aca="false">Share_Prices!M439/Share_Prices!M438-1</f>
        <v>-0.003436945273256</v>
      </c>
      <c r="N439" s="14" t="n">
        <f aca="false">Share_Prices!N439/Share_Prices!N438-1</f>
        <v>0.00388227927363816</v>
      </c>
      <c r="O439" s="14" t="n">
        <f aca="false">Share_Prices!O439/Share_Prices!O438-1</f>
        <v>0.0213004484304933</v>
      </c>
      <c r="P439" s="14" t="n">
        <f aca="false">Share_Prices!P439/Share_Prices!P438-1</f>
        <v>0.0132169057590068</v>
      </c>
      <c r="Q439" s="14" t="n">
        <f aca="false">Share_Prices!Q439/Share_Prices!Q438-1</f>
        <v>0.00411934981073259</v>
      </c>
      <c r="R439" s="14" t="n">
        <f aca="false">Share_Prices!R439/Share_Prices!R438-1</f>
        <v>0.0189279005923999</v>
      </c>
      <c r="S439" s="14" t="n">
        <f aca="false">Share_Prices!S439/Share_Prices!S438-1</f>
        <v>0.0658864510099615</v>
      </c>
    </row>
    <row r="440" customFormat="false" ht="15" hidden="false" customHeight="false" outlineLevel="0" collapsed="false">
      <c r="A440" s="13" t="n">
        <f aca="false">Share_Prices!A440</f>
        <v>45447</v>
      </c>
      <c r="B440" s="14" t="n">
        <f aca="false">Share_Prices!B440/Share_Prices!B439-1</f>
        <v>-0.059293583620975</v>
      </c>
      <c r="C440" s="14" t="n">
        <f aca="false">Share_Prices!C440/Share_Prices!C439-1</f>
        <v>-0.0676020993329481</v>
      </c>
      <c r="D440" s="14" t="n">
        <f aca="false">Share_Prices!D440/Share_Prices!D439-1</f>
        <v>-0.0615308885060301</v>
      </c>
      <c r="E440" s="14" t="n">
        <f aca="false">Share_Prices!E440/Share_Prices!E439-1</f>
        <v>-0.0707305723592367</v>
      </c>
      <c r="F440" s="14" t="n">
        <f aca="false">Share_Prices!F440/Share_Prices!F439-1</f>
        <v>-0.00165248791235695</v>
      </c>
      <c r="G440" s="14" t="n">
        <f aca="false">Share_Prices!G440/Share_Prices!G439-1</f>
        <v>-0.152654379910419</v>
      </c>
      <c r="H440" s="14" t="n">
        <f aca="false">Share_Prices!H440/Share_Prices!H439-1</f>
        <v>-0.078447507371597</v>
      </c>
      <c r="I440" s="14" t="n">
        <f aca="false">Share_Prices!I440/Share_Prices!I439-1</f>
        <v>-0.0812948891433331</v>
      </c>
      <c r="J440" s="14" t="n">
        <f aca="false">Share_Prices!J440/Share_Prices!J439-1</f>
        <v>-0.0386719628269505</v>
      </c>
      <c r="K440" s="14" t="n">
        <f aca="false">Share_Prices!K440/Share_Prices!K439-1</f>
        <v>-0.0587153572152558</v>
      </c>
      <c r="L440" s="14" t="n">
        <f aca="false">Share_Prices!L440/Share_Prices!L439-1</f>
        <v>-0.044426337640166</v>
      </c>
      <c r="M440" s="14" t="n">
        <f aca="false">Share_Prices!M440/Share_Prices!M439-1</f>
        <v>-0.0407034033199424</v>
      </c>
      <c r="N440" s="14" t="n">
        <f aca="false">Share_Prices!N440/Share_Prices!N439-1</f>
        <v>-0.0454091816367265</v>
      </c>
      <c r="O440" s="14" t="n">
        <f aca="false">Share_Prices!O440/Share_Prices!O439-1</f>
        <v>-0.0504939626783755</v>
      </c>
      <c r="P440" s="14" t="n">
        <f aca="false">Share_Prices!P440/Share_Prices!P439-1</f>
        <v>-0.0345899044380607</v>
      </c>
      <c r="Q440" s="14" t="n">
        <f aca="false">Share_Prices!Q440/Share_Prices!Q439-1</f>
        <v>-0.0618693868499833</v>
      </c>
      <c r="R440" s="14" t="n">
        <f aca="false">Share_Prices!R440/Share_Prices!R439-1</f>
        <v>-0.0394214407260353</v>
      </c>
      <c r="S440" s="14" t="n">
        <f aca="false">Share_Prices!S440/Share_Prices!S439-1</f>
        <v>-0.0990175956001036</v>
      </c>
    </row>
    <row r="441" customFormat="false" ht="15" hidden="false" customHeight="false" outlineLevel="0" collapsed="false">
      <c r="A441" s="13" t="n">
        <f aca="false">Share_Prices!A441</f>
        <v>45448</v>
      </c>
      <c r="B441" s="14" t="n">
        <f aca="false">Share_Prices!B441/Share_Prices!B440-1</f>
        <v>0.0336242546094268</v>
      </c>
      <c r="C441" s="14" t="n">
        <f aca="false">Share_Prices!C441/Share_Prices!C440-1</f>
        <v>0.0359454532482775</v>
      </c>
      <c r="D441" s="14" t="n">
        <f aca="false">Share_Prices!D441/Share_Prices!D440-1</f>
        <v>0.0164896407028585</v>
      </c>
      <c r="E441" s="14" t="n">
        <f aca="false">Share_Prices!E441/Share_Prices!E440-1</f>
        <v>0.0662422204735673</v>
      </c>
      <c r="F441" s="14" t="n">
        <f aca="false">Share_Prices!F441/Share_Prices!F440-1</f>
        <v>-0.00533349681216289</v>
      </c>
      <c r="G441" s="14" t="n">
        <f aca="false">Share_Prices!G441/Share_Prices!G440-1</f>
        <v>0.0785095320623916</v>
      </c>
      <c r="H441" s="14" t="n">
        <f aca="false">Share_Prices!H441/Share_Prices!H440-1</f>
        <v>0.0612396755710991</v>
      </c>
      <c r="I441" s="14" t="n">
        <f aca="false">Share_Prices!I441/Share_Prices!I440-1</f>
        <v>0.0443009290731928</v>
      </c>
      <c r="J441" s="14" t="n">
        <f aca="false">Share_Prices!J441/Share_Prices!J440-1</f>
        <v>0.0807411449806399</v>
      </c>
      <c r="K441" s="14" t="n">
        <f aca="false">Share_Prices!K441/Share_Prices!K440-1</f>
        <v>0.0502561262633254</v>
      </c>
      <c r="L441" s="14" t="n">
        <f aca="false">Share_Prices!L441/Share_Prices!L440-1</f>
        <v>0.0463699853824915</v>
      </c>
      <c r="M441" s="14" t="n">
        <f aca="false">Share_Prices!M441/Share_Prices!M440-1</f>
        <v>0.109592288242731</v>
      </c>
      <c r="N441" s="14" t="n">
        <f aca="false">Share_Prices!N441/Share_Prices!N440-1</f>
        <v>0.0517511761630944</v>
      </c>
      <c r="O441" s="14" t="n">
        <f aca="false">Share_Prices!O441/Share_Prices!O440-1</f>
        <v>0.0570327552986514</v>
      </c>
      <c r="P441" s="14" t="n">
        <f aca="false">Share_Prices!P441/Share_Prices!P440-1</f>
        <v>0.0611222444889779</v>
      </c>
      <c r="Q441" s="14" t="n">
        <f aca="false">Share_Prices!Q441/Share_Prices!Q440-1</f>
        <v>0.028483630776504</v>
      </c>
      <c r="R441" s="14" t="n">
        <f aca="false">Share_Prices!R441/Share_Prices!R440-1</f>
        <v>0.0328461765574255</v>
      </c>
      <c r="S441" s="14" t="n">
        <f aca="false">Share_Prices!S441/Share_Prices!S440-1</f>
        <v>0.0560667050028754</v>
      </c>
    </row>
    <row r="442" customFormat="false" ht="15" hidden="false" customHeight="false" outlineLevel="0" collapsed="false">
      <c r="A442" s="13" t="n">
        <f aca="false">Share_Prices!A442</f>
        <v>45449</v>
      </c>
      <c r="B442" s="14" t="n">
        <f aca="false">Share_Prices!B442/Share_Prices!B441-1</f>
        <v>0.00888801455326749</v>
      </c>
      <c r="C442" s="14" t="n">
        <f aca="false">Share_Prices!C442/Share_Prices!C441-1</f>
        <v>0.0147522608100918</v>
      </c>
      <c r="D442" s="14" t="n">
        <f aca="false">Share_Prices!D442/Share_Prices!D441-1</f>
        <v>0.0528590318315219</v>
      </c>
      <c r="E442" s="14" t="n">
        <f aca="false">Share_Prices!E442/Share_Prices!E441-1</f>
        <v>0.0250922509225093</v>
      </c>
      <c r="F442" s="14" t="n">
        <f aca="false">Share_Prices!F442/Share_Prices!F441-1</f>
        <v>0.0685362095531588</v>
      </c>
      <c r="G442" s="14" t="n">
        <f aca="false">Share_Prices!G442/Share_Prices!G441-1</f>
        <v>0.0461995821950827</v>
      </c>
      <c r="H442" s="14" t="n">
        <f aca="false">Share_Prices!H442/Share_Prices!H441-1</f>
        <v>0.0368812228298976</v>
      </c>
      <c r="I442" s="14" t="n">
        <f aca="false">Share_Prices!I442/Share_Prices!I441-1</f>
        <v>0.0609742866442442</v>
      </c>
      <c r="J442" s="14" t="n">
        <f aca="false">Share_Prices!J442/Share_Prices!J441-1</f>
        <v>0.100197172261229</v>
      </c>
      <c r="K442" s="14" t="n">
        <f aca="false">Share_Prices!K442/Share_Prices!K441-1</f>
        <v>0.0130357090546913</v>
      </c>
      <c r="L442" s="14" t="n">
        <f aca="false">Share_Prices!L442/Share_Prices!L441-1</f>
        <v>0.0366317423360496</v>
      </c>
      <c r="M442" s="14" t="n">
        <f aca="false">Share_Prices!M442/Share_Prices!M441-1</f>
        <v>0.0683614612262338</v>
      </c>
      <c r="N442" s="14" t="n">
        <f aca="false">Share_Prices!N442/Share_Prices!N441-1</f>
        <v>0.0293240556660039</v>
      </c>
      <c r="O442" s="14" t="n">
        <f aca="false">Share_Prices!O442/Share_Prices!O441-1</f>
        <v>0.0140357273058693</v>
      </c>
      <c r="P442" s="14" t="n">
        <f aca="false">Share_Prices!P442/Share_Prices!P441-1</f>
        <v>0.00337654162016765</v>
      </c>
      <c r="Q442" s="14" t="n">
        <f aca="false">Share_Prices!Q442/Share_Prices!Q441-1</f>
        <v>0.038267065042519</v>
      </c>
      <c r="R442" s="14" t="n">
        <f aca="false">Share_Prices!R442/Share_Prices!R441-1</f>
        <v>0.0057886085900094</v>
      </c>
      <c r="S442" s="14" t="n">
        <f aca="false">Share_Prices!S442/Share_Prices!S441-1</f>
        <v>0.0365871536576681</v>
      </c>
    </row>
    <row r="443" customFormat="false" ht="15" hidden="false" customHeight="false" outlineLevel="0" collapsed="false">
      <c r="A443" s="13" t="n">
        <f aca="false">Share_Prices!A443</f>
        <v>45450</v>
      </c>
      <c r="B443" s="14" t="n">
        <f aca="false">Share_Prices!B443/Share_Prices!B442-1</f>
        <v>0.020539931818381</v>
      </c>
      <c r="C443" s="14" t="n">
        <f aca="false">Share_Prices!C443/Share_Prices!C442-1</f>
        <v>0.0186824245260941</v>
      </c>
      <c r="D443" s="14" t="n">
        <f aca="false">Share_Prices!D443/Share_Prices!D442-1</f>
        <v>0.0261287753476689</v>
      </c>
      <c r="E443" s="14" t="n">
        <f aca="false">Share_Prices!E443/Share_Prices!E442-1</f>
        <v>0.0135480070685252</v>
      </c>
      <c r="F443" s="14" t="n">
        <f aca="false">Share_Prices!F443/Share_Prices!F442-1</f>
        <v>-0.0144200265328488</v>
      </c>
      <c r="G443" s="14" t="n">
        <f aca="false">Share_Prices!G443/Share_Prices!G442-1</f>
        <v>0.0169725827509408</v>
      </c>
      <c r="H443" s="14" t="n">
        <f aca="false">Share_Prices!H443/Share_Prices!H442-1</f>
        <v>0.00960238030835825</v>
      </c>
      <c r="I443" s="14" t="n">
        <f aca="false">Share_Prices!I443/Share_Prices!I442-1</f>
        <v>0.0132937928213519</v>
      </c>
      <c r="J443" s="14" t="n">
        <f aca="false">Share_Prices!J443/Share_Prices!J442-1</f>
        <v>-0.0207190470986778</v>
      </c>
      <c r="K443" s="14" t="n">
        <f aca="false">Share_Prices!K443/Share_Prices!K442-1</f>
        <v>0.0383436469839802</v>
      </c>
      <c r="L443" s="14" t="n">
        <f aca="false">Share_Prices!L443/Share_Prices!L442-1</f>
        <v>0.00160964288388099</v>
      </c>
      <c r="M443" s="14" t="n">
        <f aca="false">Share_Prices!M443/Share_Prices!M442-1</f>
        <v>-3.33266679997113E-005</v>
      </c>
      <c r="N443" s="14" t="n">
        <f aca="false">Share_Prices!N443/Share_Prices!N442-1</f>
        <v>0.135924674070497</v>
      </c>
      <c r="O443" s="14" t="n">
        <f aca="false">Share_Prices!O443/Share_Prices!O442-1</f>
        <v>0.0154592845586914</v>
      </c>
      <c r="P443" s="14" t="n">
        <f aca="false">Share_Prices!P443/Share_Prices!P442-1</f>
        <v>0.011350349351205</v>
      </c>
      <c r="Q443" s="14" t="n">
        <f aca="false">Share_Prices!Q443/Share_Prices!Q442-1</f>
        <v>0.0304371887105701</v>
      </c>
      <c r="R443" s="14" t="n">
        <f aca="false">Share_Prices!R443/Share_Prices!R442-1</f>
        <v>0.0168395623134858</v>
      </c>
      <c r="S443" s="14" t="n">
        <f aca="false">Share_Prices!S443/Share_Prices!S442-1</f>
        <v>0.00935429125585907</v>
      </c>
    </row>
    <row r="444" customFormat="false" ht="15" hidden="false" customHeight="false" outlineLevel="0" collapsed="false">
      <c r="A444" s="13" t="n">
        <f aca="false">Share_Prices!A444</f>
        <v>45453</v>
      </c>
      <c r="B444" s="14" t="n">
        <f aca="false">Share_Prices!B444/Share_Prices!B443-1</f>
        <v>-0.0013288879633665</v>
      </c>
      <c r="C444" s="14" t="n">
        <f aca="false">Share_Prices!C444/Share_Prices!C443-1</f>
        <v>0.00202626796819527</v>
      </c>
      <c r="D444" s="14" t="n">
        <f aca="false">Share_Prices!D444/Share_Prices!D443-1</f>
        <v>0.0360309262963072</v>
      </c>
      <c r="E444" s="14" t="n">
        <f aca="false">Share_Prices!E444/Share_Prices!E443-1</f>
        <v>-0.0012269146325713</v>
      </c>
      <c r="F444" s="14" t="n">
        <f aca="false">Share_Prices!F444/Share_Prices!F443-1</f>
        <v>0.0119974249429391</v>
      </c>
      <c r="G444" s="14" t="n">
        <f aca="false">Share_Prices!G444/Share_Prices!G443-1</f>
        <v>0.0185772541912097</v>
      </c>
      <c r="H444" s="14" t="n">
        <f aca="false">Share_Prices!H444/Share_Prices!H443-1</f>
        <v>0.02357669122572</v>
      </c>
      <c r="I444" s="14" t="n">
        <f aca="false">Share_Prices!I444/Share_Prices!I443-1</f>
        <v>0.0913311131294783</v>
      </c>
      <c r="J444" s="14" t="n">
        <f aca="false">Share_Prices!J444/Share_Prices!J443-1</f>
        <v>-0.00303524002945954</v>
      </c>
      <c r="K444" s="14" t="n">
        <f aca="false">Share_Prices!K444/Share_Prices!K443-1</f>
        <v>-0.0142586610226133</v>
      </c>
      <c r="L444" s="14" t="n">
        <f aca="false">Share_Prices!L444/Share_Prices!L443-1</f>
        <v>0.0165190417460852</v>
      </c>
      <c r="M444" s="14" t="n">
        <f aca="false">Share_Prices!M444/Share_Prices!M443-1</f>
        <v>0.00356607232127981</v>
      </c>
      <c r="N444" s="14" t="n">
        <f aca="false">Share_Prices!N444/Share_Prices!N443-1</f>
        <v>0.0413390010626993</v>
      </c>
      <c r="O444" s="14" t="n">
        <f aca="false">Share_Prices!O444/Share_Prices!O443-1</f>
        <v>0.00566471941936642</v>
      </c>
      <c r="P444" s="14" t="n">
        <f aca="false">Share_Prices!P444/Share_Prices!P443-1</f>
        <v>-0.00775456109184225</v>
      </c>
      <c r="Q444" s="14" t="n">
        <f aca="false">Share_Prices!Q444/Share_Prices!Q443-1</f>
        <v>-0.0841031149301825</v>
      </c>
      <c r="R444" s="14" t="n">
        <f aca="false">Share_Prices!R444/Share_Prices!R443-1</f>
        <v>0.00216616588638119</v>
      </c>
      <c r="S444" s="14" t="n">
        <f aca="false">Share_Prices!S444/Share_Prices!S443-1</f>
        <v>0.00846694289317251</v>
      </c>
    </row>
    <row r="445" customFormat="false" ht="15" hidden="false" customHeight="false" outlineLevel="0" collapsed="false">
      <c r="A445" s="13" t="n">
        <f aca="false">Share_Prices!A445</f>
        <v>45454</v>
      </c>
      <c r="B445" s="14" t="n">
        <f aca="false">Share_Prices!B445/Share_Prices!B444-1</f>
        <v>0.00024291463162962</v>
      </c>
      <c r="C445" s="14" t="n">
        <f aca="false">Share_Prices!C445/Share_Prices!C444-1</f>
        <v>0.00200612153657453</v>
      </c>
      <c r="D445" s="14" t="n">
        <f aca="false">Share_Prices!D445/Share_Prices!D444-1</f>
        <v>0.0647726617875872</v>
      </c>
      <c r="E445" s="14" t="n">
        <f aca="false">Share_Prices!E445/Share_Prices!E444-1</f>
        <v>0.0224348613176439</v>
      </c>
      <c r="F445" s="14" t="n">
        <f aca="false">Share_Prices!F445/Share_Prices!F444-1</f>
        <v>0.0692805921813555</v>
      </c>
      <c r="G445" s="14" t="n">
        <f aca="false">Share_Prices!G445/Share_Prices!G444-1</f>
        <v>0.00845195729537362</v>
      </c>
      <c r="H445" s="14" t="n">
        <f aca="false">Share_Prices!H445/Share_Prices!H444-1</f>
        <v>0.0576495223138331</v>
      </c>
      <c r="I445" s="14" t="n">
        <f aca="false">Share_Prices!I445/Share_Prices!I444-1</f>
        <v>-0.00850749029036435</v>
      </c>
      <c r="J445" s="14" t="n">
        <f aca="false">Share_Prices!J445/Share_Prices!J444-1</f>
        <v>0.0270421526269837</v>
      </c>
      <c r="K445" s="14" t="n">
        <f aca="false">Share_Prices!K445/Share_Prices!K444-1</f>
        <v>0.00694993784608444</v>
      </c>
      <c r="L445" s="14" t="n">
        <f aca="false">Share_Prices!L445/Share_Prices!L444-1</f>
        <v>-0.0203316298393323</v>
      </c>
      <c r="M445" s="14" t="n">
        <f aca="false">Share_Prices!M445/Share_Prices!M444-1</f>
        <v>-0.00607731137088197</v>
      </c>
      <c r="N445" s="14" t="n">
        <f aca="false">Share_Prices!N445/Share_Prices!N444-1</f>
        <v>-0.0364322890090825</v>
      </c>
      <c r="O445" s="14" t="n">
        <f aca="false">Share_Prices!O445/Share_Prices!O444-1</f>
        <v>0.0234113712374582</v>
      </c>
      <c r="P445" s="14" t="n">
        <f aca="false">Share_Prices!P445/Share_Prices!P444-1</f>
        <v>-0.00147777651472103</v>
      </c>
      <c r="Q445" s="14" t="n">
        <f aca="false">Share_Prices!Q445/Share_Prices!Q444-1</f>
        <v>0.0310777530198194</v>
      </c>
      <c r="R445" s="14" t="n">
        <f aca="false">Share_Prices!R445/Share_Prices!R444-1</f>
        <v>-0.00599637428531596</v>
      </c>
      <c r="S445" s="14" t="n">
        <f aca="false">Share_Prices!S445/Share_Prices!S444-1</f>
        <v>0.00551784367432817</v>
      </c>
    </row>
    <row r="446" customFormat="false" ht="15" hidden="false" customHeight="false" outlineLevel="0" collapsed="false">
      <c r="A446" s="13" t="n">
        <f aca="false">Share_Prices!A446</f>
        <v>45455</v>
      </c>
      <c r="B446" s="14" t="n">
        <f aca="false">Share_Prices!B446/Share_Prices!B445-1</f>
        <v>0.00249732966255967</v>
      </c>
      <c r="C446" s="14" t="n">
        <f aca="false">Share_Prices!C446/Share_Prices!C445-1</f>
        <v>0.00498581365550077</v>
      </c>
      <c r="D446" s="14" t="n">
        <f aca="false">Share_Prices!D446/Share_Prices!D445-1</f>
        <v>0.0323375006765168</v>
      </c>
      <c r="E446" s="14" t="n">
        <f aca="false">Share_Prices!E446/Share_Prices!E445-1</f>
        <v>0.0174528898444415</v>
      </c>
      <c r="F446" s="14" t="n">
        <f aca="false">Share_Prices!F446/Share_Prices!F445-1</f>
        <v>0.0453758788534344</v>
      </c>
      <c r="G446" s="14" t="n">
        <f aca="false">Share_Prices!G446/Share_Prices!G445-1</f>
        <v>0.0519041317453315</v>
      </c>
      <c r="H446" s="14" t="n">
        <f aca="false">Share_Prices!H446/Share_Prices!H445-1</f>
        <v>0.0106415888139579</v>
      </c>
      <c r="I446" s="14" t="n">
        <f aca="false">Share_Prices!I446/Share_Prices!I445-1</f>
        <v>0.00923335198656949</v>
      </c>
      <c r="J446" s="14" t="n">
        <f aca="false">Share_Prices!J446/Share_Prices!J445-1</f>
        <v>0.0696832973691668</v>
      </c>
      <c r="K446" s="14" t="n">
        <f aca="false">Share_Prices!K446/Share_Prices!K445-1</f>
        <v>0.011152572807362</v>
      </c>
      <c r="L446" s="14" t="n">
        <f aca="false">Share_Prices!L446/Share_Prices!L445-1</f>
        <v>0.0200780604968851</v>
      </c>
      <c r="M446" s="14" t="n">
        <f aca="false">Share_Prices!M446/Share_Prices!M445-1</f>
        <v>-0.0127301279695279</v>
      </c>
      <c r="N446" s="14" t="n">
        <f aca="false">Share_Prices!N446/Share_Prices!N445-1</f>
        <v>0.00222410506248671</v>
      </c>
      <c r="O446" s="14" t="n">
        <f aca="false">Share_Prices!O446/Share_Prices!O445-1</f>
        <v>-0.00189198486412112</v>
      </c>
      <c r="P446" s="14" t="n">
        <f aca="false">Share_Prices!P446/Share_Prices!P445-1</f>
        <v>0.0126081511839709</v>
      </c>
      <c r="Q446" s="14" t="n">
        <f aca="false">Share_Prices!Q446/Share_Prices!Q445-1</f>
        <v>0.00591446769790704</v>
      </c>
      <c r="R446" s="14" t="n">
        <f aca="false">Share_Prices!R446/Share_Prices!R445-1</f>
        <v>0.00652356902356921</v>
      </c>
      <c r="S446" s="14" t="n">
        <f aca="false">Share_Prices!S446/Share_Prices!S445-1</f>
        <v>0.0134030793525464</v>
      </c>
    </row>
    <row r="447" customFormat="false" ht="15" hidden="false" customHeight="false" outlineLevel="0" collapsed="false">
      <c r="A447" s="13" t="n">
        <f aca="false">Share_Prices!A447</f>
        <v>45456</v>
      </c>
      <c r="B447" s="14" t="n">
        <f aca="false">Share_Prices!B447/Share_Prices!B446-1</f>
        <v>0.00325644911985834</v>
      </c>
      <c r="C447" s="14" t="n">
        <f aca="false">Share_Prices!C447/Share_Prices!C446-1</f>
        <v>0.00516143427310745</v>
      </c>
      <c r="D447" s="14" t="n">
        <f aca="false">Share_Prices!D447/Share_Prices!D446-1</f>
        <v>-0.0366195706309471</v>
      </c>
      <c r="E447" s="14" t="n">
        <f aca="false">Share_Prices!E447/Share_Prices!E446-1</f>
        <v>0.0159726538222498</v>
      </c>
      <c r="F447" s="14" t="n">
        <f aca="false">Share_Prices!F447/Share_Prices!F446-1</f>
        <v>0.0575818717988514</v>
      </c>
      <c r="G447" s="14" t="n">
        <f aca="false">Share_Prices!G447/Share_Prices!G446-1</f>
        <v>0.00545149566675973</v>
      </c>
      <c r="H447" s="14" t="n">
        <f aca="false">Share_Prices!H447/Share_Prices!H446-1</f>
        <v>0.0190388735843281</v>
      </c>
      <c r="I447" s="14" t="n">
        <f aca="false">Share_Prices!I447/Share_Prices!I446-1</f>
        <v>-0.00711579336475354</v>
      </c>
      <c r="J447" s="14" t="n">
        <f aca="false">Share_Prices!J447/Share_Prices!J446-1</f>
        <v>-0.00804874072866579</v>
      </c>
      <c r="K447" s="14" t="n">
        <f aca="false">Share_Prices!K447/Share_Prices!K446-1</f>
        <v>0.0106965967896338</v>
      </c>
      <c r="L447" s="14" t="n">
        <f aca="false">Share_Prices!L447/Share_Prices!L446-1</f>
        <v>0.0566940142010963</v>
      </c>
      <c r="M447" s="14" t="n">
        <f aca="false">Share_Prices!M447/Share_Prices!M446-1</f>
        <v>0.00355354000270736</v>
      </c>
      <c r="N447" s="14" t="n">
        <f aca="false">Share_Prices!N447/Share_Prices!N446-1</f>
        <v>-0.00169079573074071</v>
      </c>
      <c r="O447" s="14" t="n">
        <f aca="false">Share_Prices!O447/Share_Prices!O446-1</f>
        <v>0.0108564535585043</v>
      </c>
      <c r="P447" s="14" t="n">
        <f aca="false">Share_Prices!P447/Share_Prices!P446-1</f>
        <v>0.00772927850698446</v>
      </c>
      <c r="Q447" s="14" t="n">
        <f aca="false">Share_Prices!Q447/Share_Prices!Q446-1</f>
        <v>-0.0137946630483943</v>
      </c>
      <c r="R447" s="14" t="n">
        <f aca="false">Share_Prices!R447/Share_Prices!R446-1</f>
        <v>0.0133807233953585</v>
      </c>
      <c r="S447" s="14" t="n">
        <f aca="false">Share_Prices!S447/Share_Prices!S446-1</f>
        <v>0.0457157326788602</v>
      </c>
    </row>
    <row r="448" customFormat="false" ht="15" hidden="false" customHeight="false" outlineLevel="0" collapsed="false">
      <c r="A448" s="13" t="n">
        <f aca="false">Share_Prices!A448</f>
        <v>45457</v>
      </c>
      <c r="B448" s="14" t="n">
        <f aca="false">Share_Prices!B448/Share_Prices!B447-1</f>
        <v>0.00285056135117445</v>
      </c>
      <c r="C448" s="14" t="n">
        <f aca="false">Share_Prices!C448/Share_Prices!C447-1</f>
        <v>0.00634221696724246</v>
      </c>
      <c r="D448" s="14" t="n">
        <f aca="false">Share_Prices!D448/Share_Prices!D447-1</f>
        <v>0.00881584675663905</v>
      </c>
      <c r="E448" s="14" t="n">
        <f aca="false">Share_Prices!E448/Share_Prices!E447-1</f>
        <v>0.0214718296935217</v>
      </c>
      <c r="F448" s="14" t="n">
        <f aca="false">Share_Prices!F448/Share_Prices!F447-1</f>
        <v>0.0491145680461793</v>
      </c>
      <c r="G448" s="14" t="n">
        <f aca="false">Share_Prices!G448/Share_Prices!G447-1</f>
        <v>0.0171694703183651</v>
      </c>
      <c r="H448" s="14" t="n">
        <f aca="false">Share_Prices!H448/Share_Prices!H447-1</f>
        <v>0.000780968400817095</v>
      </c>
      <c r="I448" s="14" t="n">
        <f aca="false">Share_Prices!I448/Share_Prices!I447-1</f>
        <v>-0.00195457930007459</v>
      </c>
      <c r="J448" s="14" t="n">
        <f aca="false">Share_Prices!J448/Share_Prices!J447-1</f>
        <v>0.00907951767630078</v>
      </c>
      <c r="K448" s="14" t="n">
        <f aca="false">Share_Prices!K448/Share_Prices!K447-1</f>
        <v>0.00639670555936855</v>
      </c>
      <c r="L448" s="14" t="n">
        <f aca="false">Share_Prices!L448/Share_Prices!L447-1</f>
        <v>0.00759000069633031</v>
      </c>
      <c r="M448" s="14" t="n">
        <f aca="false">Share_Prices!M448/Share_Prices!M447-1</f>
        <v>-0.0050247866994908</v>
      </c>
      <c r="N448" s="14" t="n">
        <f aca="false">Share_Prices!N448/Share_Prices!N447-1</f>
        <v>-0.00359902614586649</v>
      </c>
      <c r="O448" s="14" t="n">
        <f aca="false">Share_Prices!O448/Share_Prices!O447-1</f>
        <v>0.0192635526764404</v>
      </c>
      <c r="P448" s="14" t="n">
        <f aca="false">Share_Prices!P448/Share_Prices!P447-1</f>
        <v>-0.0126624644391142</v>
      </c>
      <c r="Q448" s="14" t="n">
        <f aca="false">Share_Prices!Q448/Share_Prices!Q447-1</f>
        <v>0.00286631506535207</v>
      </c>
      <c r="R448" s="14" t="n">
        <f aca="false">Share_Prices!R448/Share_Prices!R447-1</f>
        <v>0.0017880475895744</v>
      </c>
      <c r="S448" s="14" t="n">
        <f aca="false">Share_Prices!S448/Share_Prices!S447-1</f>
        <v>0.0178258763923553</v>
      </c>
    </row>
    <row r="449" customFormat="false" ht="15" hidden="false" customHeight="false" outlineLevel="0" collapsed="false">
      <c r="A449" s="13" t="n">
        <f aca="false">Share_Prices!A449</f>
        <v>45461</v>
      </c>
      <c r="B449" s="14" t="n">
        <f aca="false">Share_Prices!B449/Share_Prices!B448-1</f>
        <v>0.00393341742806497</v>
      </c>
      <c r="C449" s="14" t="n">
        <f aca="false">Share_Prices!C449/Share_Prices!C448-1</f>
        <v>0.00519035035990334</v>
      </c>
      <c r="D449" s="14" t="n">
        <f aca="false">Share_Prices!D449/Share_Prices!D448-1</f>
        <v>0.0251645269176826</v>
      </c>
      <c r="E449" s="14" t="n">
        <f aca="false">Share_Prices!E449/Share_Prices!E448-1</f>
        <v>0.0650976164810158</v>
      </c>
      <c r="F449" s="14" t="n">
        <f aca="false">Share_Prices!F449/Share_Prices!F448-1</f>
        <v>-0.00289098200130555</v>
      </c>
      <c r="G449" s="14" t="n">
        <f aca="false">Share_Prices!G449/Share_Prices!G448-1</f>
        <v>0.0235085081664732</v>
      </c>
      <c r="H449" s="14" t="n">
        <f aca="false">Share_Prices!H449/Share_Prices!H448-1</f>
        <v>0.0382375892910738</v>
      </c>
      <c r="I449" s="14" t="n">
        <f aca="false">Share_Prices!I449/Share_Prices!I448-1</f>
        <v>-0.0253660356243589</v>
      </c>
      <c r="J449" s="14" t="n">
        <f aca="false">Share_Prices!J449/Share_Prices!J448-1</f>
        <v>-0.0161635079290761</v>
      </c>
      <c r="K449" s="14" t="n">
        <f aca="false">Share_Prices!K449/Share_Prices!K448-1</f>
        <v>-0.000941131540182161</v>
      </c>
      <c r="L449" s="14" t="n">
        <f aca="false">Share_Prices!L449/Share_Prices!L448-1</f>
        <v>0.00494125777470633</v>
      </c>
      <c r="M449" s="14" t="n">
        <f aca="false">Share_Prices!M449/Share_Prices!M448-1</f>
        <v>0.0141336767895879</v>
      </c>
      <c r="N449" s="14" t="n">
        <f aca="false">Share_Prices!N449/Share_Prices!N448-1</f>
        <v>0.0235844045469034</v>
      </c>
      <c r="O449" s="14" t="n">
        <f aca="false">Share_Prices!O449/Share_Prices!O448-1</f>
        <v>0.0292691085465797</v>
      </c>
      <c r="P449" s="14" t="n">
        <f aca="false">Share_Prices!P449/Share_Prices!P448-1</f>
        <v>-0.0120338983050847</v>
      </c>
      <c r="Q449" s="14" t="n">
        <f aca="false">Share_Prices!Q449/Share_Prices!Q448-1</f>
        <v>-0.00868869326626276</v>
      </c>
      <c r="R449" s="14" t="n">
        <f aca="false">Share_Prices!R449/Share_Prices!R448-1</f>
        <v>-0.002745932587355</v>
      </c>
      <c r="S449" s="14" t="n">
        <f aca="false">Share_Prices!S449/Share_Prices!S448-1</f>
        <v>0.0357227824240984</v>
      </c>
    </row>
    <row r="450" customFormat="false" ht="15" hidden="false" customHeight="false" outlineLevel="0" collapsed="false">
      <c r="A450" s="13" t="n">
        <f aca="false">Share_Prices!A450</f>
        <v>45462</v>
      </c>
      <c r="B450" s="14" t="n">
        <f aca="false">Share_Prices!B450/Share_Prices!B449-1</f>
        <v>-0.00177859656420998</v>
      </c>
      <c r="C450" s="14" t="n">
        <f aca="false">Share_Prices!C450/Share_Prices!C449-1</f>
        <v>-0.00468884350816845</v>
      </c>
      <c r="D450" s="14" t="n">
        <f aca="false">Share_Prices!D450/Share_Prices!D449-1</f>
        <v>0.0185745481333368</v>
      </c>
      <c r="E450" s="14" t="n">
        <f aca="false">Share_Prices!E450/Share_Prices!E449-1</f>
        <v>-0.0258644925499016</v>
      </c>
      <c r="F450" s="14" t="n">
        <f aca="false">Share_Prices!F450/Share_Prices!F449-1</f>
        <v>0.00509726898615792</v>
      </c>
      <c r="G450" s="14" t="n">
        <f aca="false">Share_Prices!G450/Share_Prices!G449-1</f>
        <v>-0.0166254924217134</v>
      </c>
      <c r="H450" s="14" t="n">
        <f aca="false">Share_Prices!H450/Share_Prices!H449-1</f>
        <v>-0.0286771507863089</v>
      </c>
      <c r="I450" s="14" t="n">
        <f aca="false">Share_Prices!I450/Share_Prices!I449-1</f>
        <v>0.00851593148980978</v>
      </c>
      <c r="J450" s="14" t="n">
        <f aca="false">Share_Prices!J450/Share_Prices!J449-1</f>
        <v>0.0265472076806887</v>
      </c>
      <c r="K450" s="14" t="n">
        <f aca="false">Share_Prices!K450/Share_Prices!K449-1</f>
        <v>-0.0137343508949173</v>
      </c>
      <c r="L450" s="14" t="n">
        <f aca="false">Share_Prices!L450/Share_Prices!L449-1</f>
        <v>-0.00240690437712754</v>
      </c>
      <c r="M450" s="14" t="n">
        <f aca="false">Share_Prices!M450/Share_Prices!M449-1</f>
        <v>-0.0142374920624311</v>
      </c>
      <c r="N450" s="14" t="n">
        <f aca="false">Share_Prices!N450/Share_Prices!N449-1</f>
        <v>-0.0177477944992216</v>
      </c>
      <c r="O450" s="14" t="n">
        <f aca="false">Share_Prices!O450/Share_Prices!O449-1</f>
        <v>-0.00406239844003897</v>
      </c>
      <c r="P450" s="14" t="n">
        <f aca="false">Share_Prices!P450/Share_Prices!P449-1</f>
        <v>-0.00471779035855202</v>
      </c>
      <c r="Q450" s="14" t="n">
        <f aca="false">Share_Prices!Q450/Share_Prices!Q449-1</f>
        <v>-0.0222581017183716</v>
      </c>
      <c r="R450" s="14" t="n">
        <f aca="false">Share_Prices!R450/Share_Prices!R449-1</f>
        <v>0.00502512562814061</v>
      </c>
      <c r="S450" s="14" t="n">
        <f aca="false">Share_Prices!S450/Share_Prices!S449-1</f>
        <v>-0.0136054421768709</v>
      </c>
    </row>
    <row r="451" customFormat="false" ht="15" hidden="false" customHeight="false" outlineLevel="0" collapsed="false">
      <c r="A451" s="13" t="n">
        <f aca="false">Share_Prices!A451</f>
        <v>45463</v>
      </c>
      <c r="B451" s="14" t="n">
        <f aca="false">Share_Prices!B451/Share_Prices!B450-1</f>
        <v>0.00216873617962232</v>
      </c>
      <c r="C451" s="14" t="n">
        <f aca="false">Share_Prices!C451/Share_Prices!C450-1</f>
        <v>0.0036085651678972</v>
      </c>
      <c r="D451" s="14" t="n">
        <f aca="false">Share_Prices!D451/Share_Prices!D450-1</f>
        <v>-0.0230918248740798</v>
      </c>
      <c r="E451" s="14" t="n">
        <f aca="false">Share_Prices!E451/Share_Prices!E450-1</f>
        <v>-0.00432900432900429</v>
      </c>
      <c r="F451" s="14" t="n">
        <f aca="false">Share_Prices!F451/Share_Prices!F450-1</f>
        <v>-0.0299632438468339</v>
      </c>
      <c r="G451" s="14" t="n">
        <f aca="false">Share_Prices!G451/Share_Prices!G450-1</f>
        <v>0.00448126018468242</v>
      </c>
      <c r="H451" s="14" t="n">
        <f aca="false">Share_Prices!H451/Share_Prices!H450-1</f>
        <v>-0.0573809523809524</v>
      </c>
      <c r="I451" s="14" t="n">
        <f aca="false">Share_Prices!I451/Share_Prices!I450-1</f>
        <v>-0.000569259962049262</v>
      </c>
      <c r="J451" s="14" t="n">
        <f aca="false">Share_Prices!J451/Share_Prices!J450-1</f>
        <v>-0.0251552043860357</v>
      </c>
      <c r="K451" s="14" t="n">
        <f aca="false">Share_Prices!K451/Share_Prices!K450-1</f>
        <v>-0.00370980468155191</v>
      </c>
      <c r="L451" s="14" t="n">
        <f aca="false">Share_Prices!L451/Share_Prices!L450-1</f>
        <v>-0.00823768655430324</v>
      </c>
      <c r="M451" s="14" t="n">
        <f aca="false">Share_Prices!M451/Share_Prices!M450-1</f>
        <v>0.00437362264790653</v>
      </c>
      <c r="N451" s="14" t="n">
        <f aca="false">Share_Prices!N451/Share_Prices!N450-1</f>
        <v>0.00581149619611154</v>
      </c>
      <c r="O451" s="14" t="n">
        <f aca="false">Share_Prices!O451/Share_Prices!O450-1</f>
        <v>0.00228422254853977</v>
      </c>
      <c r="P451" s="14" t="n">
        <f aca="false">Share_Prices!P451/Share_Prices!P450-1</f>
        <v>0.00103421528914938</v>
      </c>
      <c r="Q451" s="14" t="n">
        <f aca="false">Share_Prices!Q451/Share_Prices!Q450-1</f>
        <v>-0.00353857041755135</v>
      </c>
      <c r="R451" s="14" t="n">
        <f aca="false">Share_Prices!R451/Share_Prices!R450-1</f>
        <v>0.00342465753424648</v>
      </c>
      <c r="S451" s="14" t="n">
        <f aca="false">Share_Prices!S451/Share_Prices!S450-1</f>
        <v>0.00499776085982973</v>
      </c>
    </row>
    <row r="452" customFormat="false" ht="15" hidden="false" customHeight="false" outlineLevel="0" collapsed="false">
      <c r="A452" s="13" t="n">
        <f aca="false">Share_Prices!A452</f>
        <v>45464</v>
      </c>
      <c r="B452" s="14" t="n">
        <f aca="false">Share_Prices!B452/Share_Prices!B451-1</f>
        <v>-0.0027962829380066</v>
      </c>
      <c r="C452" s="14" t="n">
        <f aca="false">Share_Prices!C452/Share_Prices!C451-1</f>
        <v>-0.00308897965039379</v>
      </c>
      <c r="D452" s="14" t="n">
        <f aca="false">Share_Prices!D452/Share_Prices!D451-1</f>
        <v>0.0125062795801274</v>
      </c>
      <c r="E452" s="14" t="n">
        <f aca="false">Share_Prices!E452/Share_Prices!E451-1</f>
        <v>-0.00191304347826082</v>
      </c>
      <c r="F452" s="14" t="n">
        <f aca="false">Share_Prices!F452/Share_Prices!F451-1</f>
        <v>0.00729051753081667</v>
      </c>
      <c r="G452" s="14" t="n">
        <f aca="false">Share_Prices!G452/Share_Prices!G451-1</f>
        <v>-0.010747600378532</v>
      </c>
      <c r="H452" s="14" t="n">
        <f aca="false">Share_Prices!H452/Share_Prices!H451-1</f>
        <v>-0.0104824450618842</v>
      </c>
      <c r="I452" s="14" t="n">
        <f aca="false">Share_Prices!I452/Share_Prices!I451-1</f>
        <v>-0.022118853237137</v>
      </c>
      <c r="J452" s="14" t="n">
        <f aca="false">Share_Prices!J452/Share_Prices!J451-1</f>
        <v>0.0160243156066495</v>
      </c>
      <c r="K452" s="14" t="n">
        <f aca="false">Share_Prices!K452/Share_Prices!K451-1</f>
        <v>-0.0101010101010101</v>
      </c>
      <c r="L452" s="14" t="n">
        <f aca="false">Share_Prices!L452/Share_Prices!L451-1</f>
        <v>-0.025821922568986</v>
      </c>
      <c r="M452" s="14" t="n">
        <f aca="false">Share_Prices!M452/Share_Prices!M451-1</f>
        <v>-0.0058061031596004</v>
      </c>
      <c r="N452" s="14" t="n">
        <f aca="false">Share_Prices!N452/Share_Prices!N451-1</f>
        <v>-0.000840424414329188</v>
      </c>
      <c r="O452" s="14" t="n">
        <f aca="false">Share_Prices!O452/Share_Prices!O451-1</f>
        <v>-0.00358131206251011</v>
      </c>
      <c r="P452" s="14" t="n">
        <f aca="false">Share_Prices!P452/Share_Prices!P451-1</f>
        <v>-0.0142918639690056</v>
      </c>
      <c r="Q452" s="14" t="n">
        <f aca="false">Share_Prices!Q452/Share_Prices!Q451-1</f>
        <v>-0.00295928030303028</v>
      </c>
      <c r="R452" s="14" t="n">
        <f aca="false">Share_Prices!R452/Share_Prices!R451-1</f>
        <v>-0.00976109215017063</v>
      </c>
      <c r="S452" s="14" t="n">
        <f aca="false">Share_Prices!S452/Share_Prices!S451-1</f>
        <v>0.00586410951090843</v>
      </c>
    </row>
    <row r="453" customFormat="false" ht="15" hidden="false" customHeight="false" outlineLevel="0" collapsed="false">
      <c r="A453" s="13" t="n">
        <f aca="false">Share_Prices!A453</f>
        <v>45467</v>
      </c>
      <c r="B453" s="14" t="n">
        <f aca="false">Share_Prices!B453/Share_Prices!B452-1</f>
        <v>0.00156375659011698</v>
      </c>
      <c r="C453" s="14" t="n">
        <f aca="false">Share_Prices!C453/Share_Prices!C452-1</f>
        <v>0.00237900360673127</v>
      </c>
      <c r="D453" s="14" t="n">
        <f aca="false">Share_Prices!D453/Share_Prices!D452-1</f>
        <v>-0.0184363085600877</v>
      </c>
      <c r="E453" s="14" t="n">
        <f aca="false">Share_Prices!E453/Share_Prices!E452-1</f>
        <v>0.0253238078643201</v>
      </c>
      <c r="F453" s="14" t="n">
        <f aca="false">Share_Prices!F453/Share_Prices!F452-1</f>
        <v>-0.0362839864768344</v>
      </c>
      <c r="G453" s="14" t="n">
        <f aca="false">Share_Prices!G453/Share_Prices!G452-1</f>
        <v>0.00293816194055352</v>
      </c>
      <c r="H453" s="14" t="n">
        <f aca="false">Share_Prices!H453/Share_Prices!H452-1</f>
        <v>-0.0192724952137844</v>
      </c>
      <c r="I453" s="14" t="n">
        <f aca="false">Share_Prices!I453/Share_Prices!I452-1</f>
        <v>0.027473060867877</v>
      </c>
      <c r="J453" s="14" t="n">
        <f aca="false">Share_Prices!J453/Share_Prices!J452-1</f>
        <v>-0.0589145078247421</v>
      </c>
      <c r="K453" s="14" t="n">
        <f aca="false">Share_Prices!K453/Share_Prices!K452-1</f>
        <v>-0.00735479886590129</v>
      </c>
      <c r="L453" s="14" t="n">
        <f aca="false">Share_Prices!L453/Share_Prices!L452-1</f>
        <v>0.0236880596482467</v>
      </c>
      <c r="M453" s="14" t="n">
        <f aca="false">Share_Prices!M453/Share_Prices!M452-1</f>
        <v>-0.0440717099008555</v>
      </c>
      <c r="N453" s="14" t="n">
        <f aca="false">Share_Prices!N453/Share_Prices!N452-1</f>
        <v>-0.010303858689938</v>
      </c>
      <c r="O453" s="14" t="n">
        <f aca="false">Share_Prices!O453/Share_Prices!O452-1</f>
        <v>-0.00228720797255344</v>
      </c>
      <c r="P453" s="14" t="n">
        <f aca="false">Share_Prices!P453/Share_Prices!P452-1</f>
        <v>0.00829766791859554</v>
      </c>
      <c r="Q453" s="14" t="n">
        <f aca="false">Share_Prices!Q453/Share_Prices!Q452-1</f>
        <v>-0.00926035854208707</v>
      </c>
      <c r="R453" s="14" t="n">
        <f aca="false">Share_Prices!R453/Share_Prices!R452-1</f>
        <v>0.00634176604397885</v>
      </c>
      <c r="S453" s="14" t="n">
        <f aca="false">Share_Prices!S453/Share_Prices!S452-1</f>
        <v>0.0214767954919994</v>
      </c>
    </row>
    <row r="454" customFormat="false" ht="15" hidden="false" customHeight="false" outlineLevel="0" collapsed="false">
      <c r="A454" s="13" t="n">
        <f aca="false">Share_Prices!A454</f>
        <v>45468</v>
      </c>
      <c r="B454" s="14" t="n">
        <f aca="false">Share_Prices!B454/Share_Prices!B453-1</f>
        <v>0.00779382993773869</v>
      </c>
      <c r="C454" s="14" t="n">
        <f aca="false">Share_Prices!C454/Share_Prices!C453-1</f>
        <v>0.00365873902490477</v>
      </c>
      <c r="D454" s="14" t="n">
        <f aca="false">Share_Prices!D454/Share_Prices!D453-1</f>
        <v>-0.0129030541662233</v>
      </c>
      <c r="E454" s="14" t="n">
        <f aca="false">Share_Prices!E454/Share_Prices!E453-1</f>
        <v>0.0192035348099473</v>
      </c>
      <c r="F454" s="14" t="n">
        <f aca="false">Share_Prices!F454/Share_Prices!F453-1</f>
        <v>0.00059291466969702</v>
      </c>
      <c r="G454" s="14" t="n">
        <f aca="false">Share_Prices!G454/Share_Prices!G453-1</f>
        <v>0.0489848753236137</v>
      </c>
      <c r="H454" s="14" t="n">
        <f aca="false">Share_Prices!H454/Share_Prices!H453-1</f>
        <v>0.017178552837064</v>
      </c>
      <c r="I454" s="14" t="n">
        <f aca="false">Share_Prices!I454/Share_Prices!I453-1</f>
        <v>0.00746409674981097</v>
      </c>
      <c r="J454" s="14" t="n">
        <f aca="false">Share_Prices!J454/Share_Prices!J453-1</f>
        <v>-0.0587319436034944</v>
      </c>
      <c r="K454" s="14" t="n">
        <f aca="false">Share_Prices!K454/Share_Prices!K453-1</f>
        <v>-0.00104635049913748</v>
      </c>
      <c r="L454" s="14" t="n">
        <f aca="false">Share_Prices!L454/Share_Prices!L453-1</f>
        <v>-0.00236975082767044</v>
      </c>
      <c r="M454" s="14" t="n">
        <f aca="false">Share_Prices!M454/Share_Prices!M453-1</f>
        <v>-0.0345244015060028</v>
      </c>
      <c r="N454" s="14" t="n">
        <f aca="false">Share_Prices!N454/Share_Prices!N453-1</f>
        <v>-0.0224158079252097</v>
      </c>
      <c r="O454" s="14" t="n">
        <f aca="false">Share_Prices!O454/Share_Prices!O453-1</f>
        <v>0.00229245128541011</v>
      </c>
      <c r="P454" s="14" t="n">
        <f aca="false">Share_Prices!P454/Share_Prices!P453-1</f>
        <v>0.0284130284130284</v>
      </c>
      <c r="Q454" s="14" t="n">
        <f aca="false">Share_Prices!Q454/Share_Prices!Q453-1</f>
        <v>0.0178550029958058</v>
      </c>
      <c r="R454" s="14" t="n">
        <f aca="false">Share_Prices!R454/Share_Prices!R453-1</f>
        <v>0.00280841153503664</v>
      </c>
      <c r="S454" s="14" t="n">
        <f aca="false">Share_Prices!S454/Share_Prices!S453-1</f>
        <v>0.0373319455286667</v>
      </c>
    </row>
    <row r="455" customFormat="false" ht="15" hidden="false" customHeight="false" outlineLevel="0" collapsed="false">
      <c r="A455" s="13" t="n">
        <f aca="false">Share_Prices!A455</f>
        <v>45469</v>
      </c>
      <c r="B455" s="14" t="n">
        <f aca="false">Share_Prices!B455/Share_Prices!B454-1</f>
        <v>0.00621804032662632</v>
      </c>
      <c r="C455" s="14" t="n">
        <f aca="false">Share_Prices!C455/Share_Prices!C454-1</f>
        <v>0.00295699946134764</v>
      </c>
      <c r="D455" s="14" t="n">
        <f aca="false">Share_Prices!D455/Share_Prices!D454-1</f>
        <v>0.00773522356682732</v>
      </c>
      <c r="E455" s="14" t="n">
        <f aca="false">Share_Prices!E455/Share_Prices!E454-1</f>
        <v>0.00183414851044916</v>
      </c>
      <c r="F455" s="14" t="n">
        <f aca="false">Share_Prices!F455/Share_Prices!F454-1</f>
        <v>0.034368673151943</v>
      </c>
      <c r="G455" s="14" t="n">
        <f aca="false">Share_Prices!G455/Share_Prices!G454-1</f>
        <v>0.0116256413587061</v>
      </c>
      <c r="H455" s="14" t="n">
        <f aca="false">Share_Prices!H455/Share_Prices!H454-1</f>
        <v>0.0131141248720572</v>
      </c>
      <c r="I455" s="14" t="n">
        <f aca="false">Share_Prices!I455/Share_Prices!I454-1</f>
        <v>-0.00984713495264</v>
      </c>
      <c r="J455" s="14" t="n">
        <f aca="false">Share_Prices!J455/Share_Prices!J454-1</f>
        <v>-0.0280738834773019</v>
      </c>
      <c r="K455" s="14" t="n">
        <f aca="false">Share_Prices!K455/Share_Prices!K454-1</f>
        <v>0.0118474691427923</v>
      </c>
      <c r="L455" s="14" t="n">
        <f aca="false">Share_Prices!L455/Share_Prices!L454-1</f>
        <v>-0.000768505257274565</v>
      </c>
      <c r="M455" s="14" t="n">
        <f aca="false">Share_Prices!M455/Share_Prices!M454-1</f>
        <v>-3.67890515782232E-005</v>
      </c>
      <c r="N455" s="14" t="n">
        <f aca="false">Share_Prices!N455/Share_Prices!N454-1</f>
        <v>0.0727015866116061</v>
      </c>
      <c r="O455" s="14" t="n">
        <f aca="false">Share_Prices!O455/Share_Prices!O454-1</f>
        <v>0.00669825191962103</v>
      </c>
      <c r="P455" s="14" t="n">
        <f aca="false">Share_Prices!P455/Share_Prices!P454-1</f>
        <v>-0.00303234501347704</v>
      </c>
      <c r="Q455" s="14" t="n">
        <f aca="false">Share_Prices!Q455/Share_Prices!Q454-1</f>
        <v>-0.019072286319755</v>
      </c>
      <c r="R455" s="14" t="n">
        <f aca="false">Share_Prices!R455/Share_Prices!R454-1</f>
        <v>0</v>
      </c>
      <c r="S455" s="14" t="n">
        <f aca="false">Share_Prices!S455/Share_Prices!S454-1</f>
        <v>-0.000267571951770296</v>
      </c>
    </row>
    <row r="456" customFormat="false" ht="15" hidden="false" customHeight="false" outlineLevel="0" collapsed="false">
      <c r="A456" s="13" t="n">
        <f aca="false">Share_Prices!A456</f>
        <v>45470</v>
      </c>
      <c r="B456" s="14" t="n">
        <f aca="false">Share_Prices!B456/Share_Prices!B455-1</f>
        <v>0.00736107387049212</v>
      </c>
      <c r="C456" s="14" t="n">
        <f aca="false">Share_Prices!C456/Share_Prices!C455-1</f>
        <v>0.00448370534122522</v>
      </c>
      <c r="D456" s="14" t="n">
        <f aca="false">Share_Prices!D456/Share_Prices!D455-1</f>
        <v>0.00160470714094685</v>
      </c>
      <c r="E456" s="14" t="n">
        <f aca="false">Share_Prices!E456/Share_Prices!E455-1</f>
        <v>0.0106518723994453</v>
      </c>
      <c r="F456" s="14" t="n">
        <f aca="false">Share_Prices!F456/Share_Prices!F455-1</f>
        <v>-0.0260657850766219</v>
      </c>
      <c r="G456" s="14" t="n">
        <f aca="false">Share_Prices!G456/Share_Prices!G455-1</f>
        <v>0.0112994350282487</v>
      </c>
      <c r="H456" s="14" t="n">
        <f aca="false">Share_Prices!H456/Share_Prices!H455-1</f>
        <v>-0.00814548209888244</v>
      </c>
      <c r="I456" s="14" t="n">
        <f aca="false">Share_Prices!I456/Share_Prices!I455-1</f>
        <v>0.0342867967418072</v>
      </c>
      <c r="J456" s="14" t="n">
        <f aca="false">Share_Prices!J456/Share_Prices!J455-1</f>
        <v>-0.034605020564459</v>
      </c>
      <c r="K456" s="14" t="n">
        <f aca="false">Share_Prices!K456/Share_Prices!K455-1</f>
        <v>0.00118906064209279</v>
      </c>
      <c r="L456" s="14" t="n">
        <f aca="false">Share_Prices!L456/Share_Prices!L455-1</f>
        <v>0.00548855095263057</v>
      </c>
      <c r="M456" s="14" t="n">
        <f aca="false">Share_Prices!M456/Share_Prices!M455-1</f>
        <v>-0.0215591773665428</v>
      </c>
      <c r="N456" s="14" t="n">
        <f aca="false">Share_Prices!N456/Share_Prices!N455-1</f>
        <v>-0.0277580792219633</v>
      </c>
      <c r="O456" s="14" t="n">
        <f aca="false">Share_Prices!O456/Share_Prices!O455-1</f>
        <v>-0.0241804608893218</v>
      </c>
      <c r="P456" s="14" t="n">
        <f aca="false">Share_Prices!P456/Share_Prices!P455-1</f>
        <v>0.0303593556381661</v>
      </c>
      <c r="Q456" s="14" t="n">
        <f aca="false">Share_Prices!Q456/Share_Prices!Q455-1</f>
        <v>-0.0246039366298608</v>
      </c>
      <c r="R456" s="14" t="n">
        <f aca="false">Share_Prices!R456/Share_Prices!R455-1</f>
        <v>-0.00225409836065571</v>
      </c>
      <c r="S456" s="14" t="n">
        <f aca="false">Share_Prices!S456/Share_Prices!S455-1</f>
        <v>-0.0127130693698665</v>
      </c>
    </row>
    <row r="457" customFormat="false" ht="15" hidden="false" customHeight="false" outlineLevel="0" collapsed="false">
      <c r="A457" s="13" t="n">
        <f aca="false">Share_Prices!A457</f>
        <v>45471</v>
      </c>
      <c r="B457" s="14" t="n">
        <f aca="false">Share_Prices!B457/Share_Prices!B456-1</f>
        <v>-0.00140988583667789</v>
      </c>
      <c r="C457" s="14" t="n">
        <f aca="false">Share_Prices!C457/Share_Prices!C456-1</f>
        <v>0.000989466398076067</v>
      </c>
      <c r="D457" s="14" t="n">
        <f aca="false">Share_Prices!D457/Share_Prices!D456-1</f>
        <v>-0.0103604806408545</v>
      </c>
      <c r="E457" s="14" t="n">
        <f aca="false">Share_Prices!E457/Share_Prices!E456-1</f>
        <v>0.00477575890651583</v>
      </c>
      <c r="F457" s="14" t="n">
        <f aca="false">Share_Prices!F457/Share_Prices!F456-1</f>
        <v>0.0151463163570413</v>
      </c>
      <c r="G457" s="14" t="n">
        <f aca="false">Share_Prices!G457/Share_Prices!G456-1</f>
        <v>0.0116810563737937</v>
      </c>
      <c r="H457" s="14" t="n">
        <f aca="false">Share_Prices!H457/Share_Prices!H456-1</f>
        <v>-0.000763941940412516</v>
      </c>
      <c r="I457" s="14" t="n">
        <f aca="false">Share_Prices!I457/Share_Prices!I456-1</f>
        <v>0.00576923076923075</v>
      </c>
      <c r="J457" s="14" t="n">
        <f aca="false">Share_Prices!J457/Share_Prices!J456-1</f>
        <v>0.0228931002399491</v>
      </c>
      <c r="K457" s="14" t="n">
        <f aca="false">Share_Prices!K457/Share_Prices!K456-1</f>
        <v>-0.00713986307111925</v>
      </c>
      <c r="L457" s="14" t="n">
        <f aca="false">Share_Prices!L457/Share_Prices!L456-1</f>
        <v>-0.0101522842639593</v>
      </c>
      <c r="M457" s="14" t="n">
        <f aca="false">Share_Prices!M457/Share_Prices!M456-1</f>
        <v>-0.00575296108291035</v>
      </c>
      <c r="N457" s="14" t="n">
        <f aca="false">Share_Prices!N457/Share_Prices!N456-1</f>
        <v>0.0786704178389079</v>
      </c>
      <c r="O457" s="14" t="n">
        <f aca="false">Share_Prices!O457/Share_Prices!O456-1</f>
        <v>-0.000166306336271238</v>
      </c>
      <c r="P457" s="14" t="n">
        <f aca="false">Share_Prices!P457/Share_Prices!P456-1</f>
        <v>-0.0182856830481605</v>
      </c>
      <c r="Q457" s="14" t="n">
        <f aca="false">Share_Prices!Q457/Share_Prices!Q456-1</f>
        <v>0.00676756490709973</v>
      </c>
      <c r="R457" s="14" t="n">
        <f aca="false">Share_Prices!R457/Share_Prices!R456-1</f>
        <v>-0.00787293763264185</v>
      </c>
      <c r="S457" s="14" t="n">
        <f aca="false">Share_Prices!S457/Share_Prices!S456-1</f>
        <v>-0.0134020094542622</v>
      </c>
    </row>
    <row r="458" customFormat="false" ht="15" hidden="false" customHeight="false" outlineLevel="0" collapsed="false">
      <c r="A458" s="13" t="n">
        <f aca="false">Share_Prices!A458</f>
        <v>45474</v>
      </c>
      <c r="B458" s="14" t="n">
        <f aca="false">Share_Prices!B458/Share_Prices!B457-1</f>
        <v>0.00547050052893305</v>
      </c>
      <c r="C458" s="14" t="n">
        <f aca="false">Share_Prices!C458/Share_Prices!C457-1</f>
        <v>0.00744247485560523</v>
      </c>
      <c r="D458" s="14" t="n">
        <f aca="false">Share_Prices!D458/Share_Prices!D457-1</f>
        <v>0.00105229075603042</v>
      </c>
      <c r="E458" s="14" t="n">
        <f aca="false">Share_Prices!E458/Share_Prices!E457-1</f>
        <v>0.00901442307692313</v>
      </c>
      <c r="F458" s="14" t="n">
        <f aca="false">Share_Prices!F458/Share_Prices!F457-1</f>
        <v>0.0876871076774504</v>
      </c>
      <c r="G458" s="14" t="n">
        <f aca="false">Share_Prices!G458/Share_Prices!G457-1</f>
        <v>0.0245356425702812</v>
      </c>
      <c r="H458" s="14" t="n">
        <f aca="false">Share_Prices!H458/Share_Prices!H457-1</f>
        <v>0.0196865443425076</v>
      </c>
      <c r="I458" s="14" t="n">
        <f aca="false">Share_Prices!I458/Share_Prices!I457-1</f>
        <v>0.0180278612400984</v>
      </c>
      <c r="J458" s="14" t="n">
        <f aca="false">Share_Prices!J458/Share_Prices!J457-1</f>
        <v>0.0207530459343657</v>
      </c>
      <c r="K458" s="14" t="n">
        <f aca="false">Share_Prices!K458/Share_Prices!K457-1</f>
        <v>0.0226572285002604</v>
      </c>
      <c r="L458" s="14" t="n">
        <f aca="false">Share_Prices!L458/Share_Prices!L457-1</f>
        <v>0.0077976817702845</v>
      </c>
      <c r="M458" s="14" t="n">
        <f aca="false">Share_Prices!M458/Share_Prices!M457-1</f>
        <v>0.0395582784963318</v>
      </c>
      <c r="N458" s="14" t="n">
        <f aca="false">Share_Prices!N458/Share_Prices!N457-1</f>
        <v>-0.0130409582689336</v>
      </c>
      <c r="O458" s="14" t="n">
        <f aca="false">Share_Prices!O458/Share_Prices!O457-1</f>
        <v>0.0199600798403194</v>
      </c>
      <c r="P458" s="14" t="n">
        <f aca="false">Share_Prices!P458/Share_Prices!P457-1</f>
        <v>-0.00403708550268678</v>
      </c>
      <c r="Q458" s="14" t="n">
        <f aca="false">Share_Prices!Q458/Share_Prices!Q457-1</f>
        <v>0.0315326326081642</v>
      </c>
      <c r="R458" s="14" t="n">
        <f aca="false">Share_Prices!R458/Share_Prices!R457-1</f>
        <v>-0.00220811482197081</v>
      </c>
      <c r="S458" s="14" t="n">
        <f aca="false">Share_Prices!S458/Share_Prices!S457-1</f>
        <v>0.00437918598660492</v>
      </c>
    </row>
    <row r="459" customFormat="false" ht="15" hidden="false" customHeight="false" outlineLevel="0" collapsed="false">
      <c r="A459" s="13" t="n">
        <f aca="false">Share_Prices!A459</f>
        <v>45475</v>
      </c>
      <c r="B459" s="14" t="n">
        <f aca="false">Share_Prices!B459/Share_Prices!B458-1</f>
        <v>-0.000749732312427254</v>
      </c>
      <c r="C459" s="14" t="n">
        <f aca="false">Share_Prices!C459/Share_Prices!C458-1</f>
        <v>-0.00219116844717437</v>
      </c>
      <c r="D459" s="14" t="n">
        <f aca="false">Share_Prices!D459/Share_Prices!D458-1</f>
        <v>0.00242581062505054</v>
      </c>
      <c r="E459" s="14" t="n">
        <f aca="false">Share_Prices!E459/Share_Prices!E458-1</f>
        <v>-0.0364394390600467</v>
      </c>
      <c r="F459" s="14" t="n">
        <f aca="false">Share_Prices!F459/Share_Prices!F458-1</f>
        <v>-0.024682589008257</v>
      </c>
      <c r="G459" s="14" t="n">
        <f aca="false">Share_Prices!G459/Share_Prices!G458-1</f>
        <v>-0.0256017639492865</v>
      </c>
      <c r="H459" s="14" t="n">
        <f aca="false">Share_Prices!H459/Share_Prices!H458-1</f>
        <v>-0.00481099656357387</v>
      </c>
      <c r="I459" s="14" t="n">
        <f aca="false">Share_Prices!I459/Share_Prices!I458-1</f>
        <v>-0.0135050532152758</v>
      </c>
      <c r="J459" s="14" t="n">
        <f aca="false">Share_Prices!J459/Share_Prices!J458-1</f>
        <v>0.00082074852265257</v>
      </c>
      <c r="K459" s="14" t="n">
        <f aca="false">Share_Prices!K459/Share_Prices!K458-1</f>
        <v>-0.0152747388845312</v>
      </c>
      <c r="L459" s="14" t="n">
        <f aca="false">Share_Prices!L459/Share_Prices!L458-1</f>
        <v>-0.023943956503555</v>
      </c>
      <c r="M459" s="14" t="n">
        <f aca="false">Share_Prices!M459/Share_Prices!M458-1</f>
        <v>-0.0238285797438882</v>
      </c>
      <c r="N459" s="14" t="n">
        <f aca="false">Share_Prices!N459/Share_Prices!N458-1</f>
        <v>0.0173240677302535</v>
      </c>
      <c r="O459" s="14" t="n">
        <f aca="false">Share_Prices!O459/Share_Prices!O458-1</f>
        <v>-0.0135355512067842</v>
      </c>
      <c r="P459" s="14" t="n">
        <f aca="false">Share_Prices!P459/Share_Prices!P458-1</f>
        <v>0.00469641060046966</v>
      </c>
      <c r="Q459" s="14" t="n">
        <f aca="false">Share_Prices!Q459/Share_Prices!Q458-1</f>
        <v>-0.00556872037914702</v>
      </c>
      <c r="R459" s="14" t="n">
        <f aca="false">Share_Prices!R459/Share_Prices!R458-1</f>
        <v>-0.016390041493776</v>
      </c>
      <c r="S459" s="14" t="n">
        <f aca="false">Share_Prices!S459/Share_Prices!S458-1</f>
        <v>-0.0339745233820638</v>
      </c>
    </row>
    <row r="460" customFormat="false" ht="15" hidden="false" customHeight="false" outlineLevel="0" collapsed="false">
      <c r="A460" s="13" t="n">
        <f aca="false">Share_Prices!A460</f>
        <v>45476</v>
      </c>
      <c r="B460" s="14" t="n">
        <f aca="false">Share_Prices!B460/Share_Prices!B459-1</f>
        <v>0.00674229030606655</v>
      </c>
      <c r="C460" s="14" t="n">
        <f aca="false">Share_Prices!C460/Share_Prices!C459-1</f>
        <v>0.00764624434468963</v>
      </c>
      <c r="D460" s="14" t="n">
        <f aca="false">Share_Prices!D460/Share_Prices!D459-1</f>
        <v>-0.000295770482105828</v>
      </c>
      <c r="E460" s="14" t="n">
        <f aca="false">Share_Prices!E460/Share_Prices!E459-1</f>
        <v>0.0146662171274445</v>
      </c>
      <c r="F460" s="14" t="n">
        <f aca="false">Share_Prices!F460/Share_Prices!F459-1</f>
        <v>0.0209376422394174</v>
      </c>
      <c r="G460" s="14" t="n">
        <f aca="false">Share_Prices!G460/Share_Prices!G459-1</f>
        <v>0.00515431516751508</v>
      </c>
      <c r="H460" s="14" t="n">
        <f aca="false">Share_Prices!H460/Share_Prices!H459-1</f>
        <v>0.00521094927172272</v>
      </c>
      <c r="I460" s="14" t="n">
        <f aca="false">Share_Prices!I460/Share_Prices!I459-1</f>
        <v>0.0111514052583861</v>
      </c>
      <c r="J460" s="14" t="n">
        <f aca="false">Share_Prices!J460/Share_Prices!J459-1</f>
        <v>-0.00965345954684971</v>
      </c>
      <c r="K460" s="14" t="n">
        <f aca="false">Share_Prices!K460/Share_Prices!K459-1</f>
        <v>0.0129962688131471</v>
      </c>
      <c r="L460" s="14" t="n">
        <f aca="false">Share_Prices!L460/Share_Prices!L459-1</f>
        <v>0.0250312444206391</v>
      </c>
      <c r="M460" s="14" t="n">
        <f aca="false">Share_Prices!M460/Share_Prices!M459-1</f>
        <v>-0.0122982894197443</v>
      </c>
      <c r="N460" s="14" t="n">
        <f aca="false">Share_Prices!N460/Share_Prices!N459-1</f>
        <v>0.00817779488166259</v>
      </c>
      <c r="O460" s="14" t="n">
        <f aca="false">Share_Prices!O460/Share_Prices!O459-1</f>
        <v>0.00314101504380893</v>
      </c>
      <c r="P460" s="14" t="n">
        <f aca="false">Share_Prices!P460/Share_Prices!P459-1</f>
        <v>-0.00317195325542574</v>
      </c>
      <c r="Q460" s="14" t="n">
        <f aca="false">Share_Prices!Q460/Share_Prices!Q459-1</f>
        <v>-0.006672226855713</v>
      </c>
      <c r="R460" s="14" t="n">
        <f aca="false">Share_Prices!R460/Share_Prices!R459-1</f>
        <v>0.0057653097096253</v>
      </c>
      <c r="S460" s="14" t="n">
        <f aca="false">Share_Prices!S460/Share_Prices!S459-1</f>
        <v>0.00904456794930786</v>
      </c>
    </row>
    <row r="461" customFormat="false" ht="15" hidden="false" customHeight="false" outlineLevel="0" collapsed="false">
      <c r="A461" s="13" t="n">
        <f aca="false">Share_Prices!A461</f>
        <v>45477</v>
      </c>
      <c r="B461" s="14" t="n">
        <f aca="false">Share_Prices!B461/Share_Prices!B460-1</f>
        <v>0.000644390916764603</v>
      </c>
      <c r="C461" s="14" t="n">
        <f aca="false">Share_Prices!C461/Share_Prices!C460-1</f>
        <v>0.00275696681137094</v>
      </c>
      <c r="D461" s="14" t="n">
        <f aca="false">Share_Prices!D461/Share_Prices!D460-1</f>
        <v>-0.0345077998924154</v>
      </c>
      <c r="E461" s="14" t="n">
        <f aca="false">Share_Prices!E461/Share_Prices!E460-1</f>
        <v>-0.0135681453176053</v>
      </c>
      <c r="F461" s="14" t="n">
        <f aca="false">Share_Prices!F461/Share_Prices!F460-1</f>
        <v>-0.0470798038341507</v>
      </c>
      <c r="G461" s="14" t="n">
        <f aca="false">Share_Prices!G461/Share_Prices!G460-1</f>
        <v>-0.00819210806078419</v>
      </c>
      <c r="H461" s="14" t="n">
        <f aca="false">Share_Prices!H461/Share_Prices!H460-1</f>
        <v>0.0103678720879397</v>
      </c>
      <c r="I461" s="14" t="n">
        <f aca="false">Share_Prices!I461/Share_Prices!I460-1</f>
        <v>-0.00385546489733701</v>
      </c>
      <c r="J461" s="14" t="n">
        <f aca="false">Share_Prices!J461/Share_Prices!J460-1</f>
        <v>-0.00771287292686951</v>
      </c>
      <c r="K461" s="14" t="n">
        <f aca="false">Share_Prices!K461/Share_Prices!K460-1</f>
        <v>-0.0208997227165501</v>
      </c>
      <c r="L461" s="14" t="n">
        <f aca="false">Share_Prices!L461/Share_Prices!L460-1</f>
        <v>-0.00947537100257778</v>
      </c>
      <c r="M461" s="14" t="n">
        <f aca="false">Share_Prices!M461/Share_Prices!M460-1</f>
        <v>0.00309398935969507</v>
      </c>
      <c r="N461" s="14" t="n">
        <f aca="false">Share_Prices!N461/Share_Prices!N460-1</f>
        <v>-0.00658459776696263</v>
      </c>
      <c r="O461" s="14" t="n">
        <f aca="false">Share_Prices!O461/Share_Prices!O460-1</f>
        <v>-0.017139090309822</v>
      </c>
      <c r="P461" s="14" t="n">
        <f aca="false">Share_Prices!P461/Share_Prices!P460-1</f>
        <v>0.00717356110087652</v>
      </c>
      <c r="Q461" s="14" t="n">
        <f aca="false">Share_Prices!Q461/Share_Prices!Q460-1</f>
        <v>0.00575746671464561</v>
      </c>
      <c r="R461" s="14" t="n">
        <f aca="false">Share_Prices!R461/Share_Prices!R460-1</f>
        <v>0.00510311080041936</v>
      </c>
      <c r="S461" s="14" t="n">
        <f aca="false">Share_Prices!S461/Share_Prices!S460-1</f>
        <v>-0.00585872406111321</v>
      </c>
    </row>
    <row r="462" customFormat="false" ht="15" hidden="false" customHeight="false" outlineLevel="0" collapsed="false">
      <c r="A462" s="13" t="n">
        <f aca="false">Share_Prices!A462</f>
        <v>45478</v>
      </c>
      <c r="B462" s="14" t="n">
        <f aca="false">Share_Prices!B462/Share_Prices!B461-1</f>
        <v>0.000892925111564136</v>
      </c>
      <c r="C462" s="14" t="n">
        <f aca="false">Share_Prices!C462/Share_Prices!C461-1</f>
        <v>0.00320543593055844</v>
      </c>
      <c r="D462" s="14" t="n">
        <f aca="false">Share_Prices!D462/Share_Prices!D461-1</f>
        <v>-0.00880296403599179</v>
      </c>
      <c r="E462" s="14" t="n">
        <f aca="false">Share_Prices!E462/Share_Prices!E461-1</f>
        <v>-0.0041545025825287</v>
      </c>
      <c r="F462" s="14" t="n">
        <f aca="false">Share_Prices!F462/Share_Prices!F461-1</f>
        <v>-0.0121643117806681</v>
      </c>
      <c r="G462" s="14" t="n">
        <f aca="false">Share_Prices!G462/Share_Prices!G461-1</f>
        <v>0.00340479192938226</v>
      </c>
      <c r="H462" s="14" t="n">
        <f aca="false">Share_Prices!H462/Share_Prices!H461-1</f>
        <v>-0.0200902515917661</v>
      </c>
      <c r="I462" s="14" t="n">
        <f aca="false">Share_Prices!I462/Share_Prices!I461-1</f>
        <v>0.0234923492349235</v>
      </c>
      <c r="J462" s="14" t="n">
        <f aca="false">Share_Prices!J462/Share_Prices!J461-1</f>
        <v>-0.0029565341789658</v>
      </c>
      <c r="K462" s="14" t="n">
        <f aca="false">Share_Prices!K462/Share_Prices!K461-1</f>
        <v>0.00435370699129267</v>
      </c>
      <c r="L462" s="14" t="n">
        <f aca="false">Share_Prices!L462/Share_Prices!L461-1</f>
        <v>0.00696349440810296</v>
      </c>
      <c r="M462" s="14" t="n">
        <f aca="false">Share_Prices!M462/Share_Prices!M461-1</f>
        <v>0.000451382358472863</v>
      </c>
      <c r="N462" s="14" t="n">
        <f aca="false">Share_Prices!N462/Share_Prices!N461-1</f>
        <v>0.00499519692603267</v>
      </c>
      <c r="O462" s="14" t="n">
        <f aca="false">Share_Prices!O462/Share_Prices!O461-1</f>
        <v>0.00771294433266267</v>
      </c>
      <c r="P462" s="14" t="n">
        <f aca="false">Share_Prices!P462/Share_Prices!P461-1</f>
        <v>0.00357509076296303</v>
      </c>
      <c r="Q462" s="14" t="n">
        <f aca="false">Share_Prices!Q462/Share_Prices!Q461-1</f>
        <v>0.0225402504472272</v>
      </c>
      <c r="R462" s="14" t="n">
        <f aca="false">Share_Prices!R462/Share_Prices!R461-1</f>
        <v>0.00424259285018791</v>
      </c>
      <c r="S462" s="14" t="n">
        <f aca="false">Share_Prices!S462/Share_Prices!S461-1</f>
        <v>0.0113277459197176</v>
      </c>
    </row>
    <row r="463" customFormat="false" ht="15" hidden="false" customHeight="false" outlineLevel="0" collapsed="false">
      <c r="A463" s="13" t="n">
        <f aca="false">Share_Prices!A463</f>
        <v>45481</v>
      </c>
      <c r="B463" s="14" t="n">
        <f aca="false">Share_Prices!B463/Share_Prices!B462-1</f>
        <v>-0.000135669312218201</v>
      </c>
      <c r="C463" s="14" t="n">
        <f aca="false">Share_Prices!C463/Share_Prices!C462-1</f>
        <v>-0.000717776719238339</v>
      </c>
      <c r="D463" s="14" t="n">
        <f aca="false">Share_Prices!D463/Share_Prices!D462-1</f>
        <v>0.0101739692532532</v>
      </c>
      <c r="E463" s="14" t="n">
        <f aca="false">Share_Prices!E463/Share_Prices!E462-1</f>
        <v>-5.63761416167985E-005</v>
      </c>
      <c r="F463" s="14" t="n">
        <f aca="false">Share_Prices!F463/Share_Prices!F462-1</f>
        <v>-0.00610969025291275</v>
      </c>
      <c r="G463" s="14" t="n">
        <f aca="false">Share_Prices!G463/Share_Prices!G462-1</f>
        <v>-0.0170290310418501</v>
      </c>
      <c r="H463" s="14" t="n">
        <f aca="false">Share_Prices!H463/Share_Prices!H462-1</f>
        <v>0.000630835225839066</v>
      </c>
      <c r="I463" s="14" t="n">
        <f aca="false">Share_Prices!I463/Share_Prices!I462-1</f>
        <v>-0.00888224430568985</v>
      </c>
      <c r="J463" s="14" t="n">
        <f aca="false">Share_Prices!J463/Share_Prices!J462-1</f>
        <v>-0.00416098715833269</v>
      </c>
      <c r="K463" s="14" t="n">
        <f aca="false">Share_Prices!K463/Share_Prices!K462-1</f>
        <v>-0.00556935033598482</v>
      </c>
      <c r="L463" s="14" t="n">
        <f aca="false">Share_Prices!L463/Share_Prices!L462-1</f>
        <v>-0.0135861972618049</v>
      </c>
      <c r="M463" s="14" t="n">
        <f aca="false">Share_Prices!M463/Share_Prices!M462-1</f>
        <v>-0.0146633078918675</v>
      </c>
      <c r="N463" s="14" t="n">
        <f aca="false">Share_Prices!N463/Share_Prices!N462-1</f>
        <v>-0.0219843242209903</v>
      </c>
      <c r="O463" s="14" t="n">
        <f aca="false">Share_Prices!O463/Share_Prices!O462-1</f>
        <v>0.00765391014975037</v>
      </c>
      <c r="P463" s="14" t="n">
        <f aca="false">Share_Prices!P463/Share_Prices!P462-1</f>
        <v>-0.0144703413233181</v>
      </c>
      <c r="Q463" s="14" t="n">
        <f aca="false">Share_Prices!Q463/Share_Prices!Q462-1</f>
        <v>-0.0131793795194775</v>
      </c>
      <c r="R463" s="14" t="n">
        <f aca="false">Share_Prices!R463/Share_Prices!R462-1</f>
        <v>0.018976383406053</v>
      </c>
      <c r="S463" s="14" t="n">
        <f aca="false">Share_Prices!S463/Share_Prices!S462-1</f>
        <v>-0.0201510895545823</v>
      </c>
    </row>
    <row r="464" customFormat="false" ht="15" hidden="false" customHeight="false" outlineLevel="0" collapsed="false">
      <c r="A464" s="13" t="n">
        <f aca="false">Share_Prices!A464</f>
        <v>45482</v>
      </c>
      <c r="B464" s="14" t="n">
        <f aca="false">Share_Prices!B464/Share_Prices!B463-1</f>
        <v>0.00463188538088155</v>
      </c>
      <c r="C464" s="14" t="n">
        <f aca="false">Share_Prices!C464/Share_Prices!C463-1</f>
        <v>0.00418786173091013</v>
      </c>
      <c r="D464" s="14" t="n">
        <f aca="false">Share_Prices!D464/Share_Prices!D463-1</f>
        <v>0.00180841888545746</v>
      </c>
      <c r="E464" s="14" t="n">
        <f aca="false">Share_Prices!E464/Share_Prices!E463-1</f>
        <v>-0.0085132773298755</v>
      </c>
      <c r="F464" s="14" t="n">
        <f aca="false">Share_Prices!F464/Share_Prices!F463-1</f>
        <v>-0.00914939242315926</v>
      </c>
      <c r="G464" s="14" t="n">
        <f aca="false">Share_Prices!G464/Share_Prices!G463-1</f>
        <v>-0.0136802403631017</v>
      </c>
      <c r="H464" s="14" t="n">
        <f aca="false">Share_Prices!H464/Share_Prices!H463-1</f>
        <v>0.000252175009456401</v>
      </c>
      <c r="I464" s="14" t="n">
        <f aca="false">Share_Prices!I464/Share_Prices!I463-1</f>
        <v>-0.00496894409937876</v>
      </c>
      <c r="J464" s="14" t="n">
        <f aca="false">Share_Prices!J464/Share_Prices!J463-1</f>
        <v>-0.00237735033499042</v>
      </c>
      <c r="K464" s="14" t="n">
        <f aca="false">Share_Prices!K464/Share_Prices!K463-1</f>
        <v>-0.00426036170753041</v>
      </c>
      <c r="L464" s="14" t="n">
        <f aca="false">Share_Prices!L464/Share_Prices!L463-1</f>
        <v>-0.00612541160641578</v>
      </c>
      <c r="M464" s="14" t="n">
        <f aca="false">Share_Prices!M464/Share_Prices!M463-1</f>
        <v>-0.020910443774564</v>
      </c>
      <c r="N464" s="14" t="n">
        <f aca="false">Share_Prices!N464/Share_Prices!N463-1</f>
        <v>-0.0201329163408913</v>
      </c>
      <c r="O464" s="14" t="n">
        <f aca="false">Share_Prices!O464/Share_Prices!O463-1</f>
        <v>-0.00181638044914134</v>
      </c>
      <c r="P464" s="14" t="n">
        <f aca="false">Share_Prices!P464/Share_Prices!P463-1</f>
        <v>0.012665321676754</v>
      </c>
      <c r="Q464" s="14" t="n">
        <f aca="false">Share_Prices!Q464/Share_Prices!Q463-1</f>
        <v>-0.0138281527006264</v>
      </c>
      <c r="R464" s="14" t="n">
        <f aca="false">Share_Prices!R464/Share_Prices!R463-1</f>
        <v>-0.00781621695099577</v>
      </c>
      <c r="S464" s="14" t="n">
        <f aca="false">Share_Prices!S464/Share_Prices!S463-1</f>
        <v>-0.00573341405220618</v>
      </c>
    </row>
    <row r="465" customFormat="false" ht="15" hidden="false" customHeight="false" outlineLevel="0" collapsed="false">
      <c r="A465" s="13" t="n">
        <f aca="false">Share_Prices!A465</f>
        <v>45483</v>
      </c>
      <c r="B465" s="14" t="n">
        <f aca="false">Share_Prices!B465/Share_Prices!B464-1</f>
        <v>-0.00445091105544915</v>
      </c>
      <c r="C465" s="14" t="n">
        <f aca="false">Share_Prices!C465/Share_Prices!C464-1</f>
        <v>-0.00388861312634514</v>
      </c>
      <c r="D465" s="14" t="n">
        <f aca="false">Share_Prices!D465/Share_Prices!D464-1</f>
        <v>0.000610975338813491</v>
      </c>
      <c r="E465" s="14" t="n">
        <f aca="false">Share_Prices!E465/Share_Prices!E464-1</f>
        <v>0.00449220971227127</v>
      </c>
      <c r="F465" s="14" t="n">
        <f aca="false">Share_Prices!F465/Share_Prices!F464-1</f>
        <v>0.0146203049103062</v>
      </c>
      <c r="G465" s="14" t="n">
        <f aca="false">Share_Prices!G465/Share_Prices!G464-1</f>
        <v>0.0108885864281547</v>
      </c>
      <c r="H465" s="14" t="n">
        <f aca="false">Share_Prices!H465/Share_Prices!H464-1</f>
        <v>0.0174587167528049</v>
      </c>
      <c r="I465" s="14" t="n">
        <f aca="false">Share_Prices!I465/Share_Prices!I464-1</f>
        <v>-0.0252363117531659</v>
      </c>
      <c r="J465" s="14" t="n">
        <f aca="false">Share_Prices!J465/Share_Prices!J464-1</f>
        <v>0.0027440785673023</v>
      </c>
      <c r="K465" s="14" t="n">
        <f aca="false">Share_Prices!K465/Share_Prices!K464-1</f>
        <v>-0.00184177717329714</v>
      </c>
      <c r="L465" s="14" t="n">
        <f aca="false">Share_Prices!L465/Share_Prices!L464-1</f>
        <v>0.0125044531528322</v>
      </c>
      <c r="M465" s="14" t="n">
        <f aca="false">Share_Prices!M465/Share_Prices!M464-1</f>
        <v>-0.0224872364472506</v>
      </c>
      <c r="N465" s="14" t="n">
        <f aca="false">Share_Prices!N465/Share_Prices!N464-1</f>
        <v>-0.0361061240773988</v>
      </c>
      <c r="O465" s="14" t="n">
        <f aca="false">Share_Prices!O465/Share_Prices!O464-1</f>
        <v>-0.0104218362282877</v>
      </c>
      <c r="P465" s="14" t="n">
        <f aca="false">Share_Prices!P465/Share_Prices!P464-1</f>
        <v>0.00924183729939121</v>
      </c>
      <c r="Q465" s="14" t="n">
        <f aca="false">Share_Prices!Q465/Share_Prices!Q464-1</f>
        <v>-0.0268456375838926</v>
      </c>
      <c r="R465" s="14" t="n">
        <f aca="false">Share_Prices!R465/Share_Prices!R464-1</f>
        <v>0.0210987806548841</v>
      </c>
      <c r="S465" s="14" t="n">
        <f aca="false">Share_Prices!S465/Share_Prices!S464-1</f>
        <v>-0.0107091690544413</v>
      </c>
    </row>
    <row r="466" customFormat="false" ht="15" hidden="false" customHeight="false" outlineLevel="0" collapsed="false">
      <c r="A466" s="13" t="n">
        <f aca="false">Share_Prices!A466</f>
        <v>45484</v>
      </c>
      <c r="B466" s="14" t="n">
        <f aca="false">Share_Prices!B466/Share_Prices!B465-1</f>
        <v>-0.000349442638990838</v>
      </c>
      <c r="C466" s="14" t="n">
        <f aca="false">Share_Prices!C466/Share_Prices!C465-1</f>
        <v>0.0012011672211909</v>
      </c>
      <c r="D466" s="14" t="n">
        <f aca="false">Share_Prices!D466/Share_Prices!D465-1</f>
        <v>-0.0064390785456564</v>
      </c>
      <c r="E466" s="14" t="n">
        <f aca="false">Share_Prices!E466/Share_Prices!E465-1</f>
        <v>-0.00566091140673652</v>
      </c>
      <c r="F466" s="14" t="n">
        <f aca="false">Share_Prices!F466/Share_Prices!F465-1</f>
        <v>-0.000284400625681358</v>
      </c>
      <c r="G466" s="14" t="n">
        <f aca="false">Share_Prices!G466/Share_Prices!G465-1</f>
        <v>0.0139770468679874</v>
      </c>
      <c r="H466" s="14" t="n">
        <f aca="false">Share_Prices!H466/Share_Prices!H465-1</f>
        <v>-0.00916806045964191</v>
      </c>
      <c r="I466" s="14" t="n">
        <f aca="false">Share_Prices!I466/Share_Prices!I465-1</f>
        <v>0.0240600128076116</v>
      </c>
      <c r="J466" s="14" t="n">
        <f aca="false">Share_Prices!J466/Share_Prices!J465-1</f>
        <v>-0.0168275001200251</v>
      </c>
      <c r="K466" s="14" t="n">
        <f aca="false">Share_Prices!K466/Share_Prices!K465-1</f>
        <v>-0.0148323728957901</v>
      </c>
      <c r="L466" s="14" t="n">
        <f aca="false">Share_Prices!L466/Share_Prices!L465-1</f>
        <v>-0.0114352063614933</v>
      </c>
      <c r="M466" s="14" t="n">
        <f aca="false">Share_Prices!M466/Share_Prices!M465-1</f>
        <v>0.0164659915477234</v>
      </c>
      <c r="N466" s="14" t="n">
        <f aca="false">Share_Prices!N466/Share_Prices!N465-1</f>
        <v>0.0313534768211921</v>
      </c>
      <c r="O466" s="14" t="n">
        <f aca="false">Share_Prices!O466/Share_Prices!O465-1</f>
        <v>0.00685389501838829</v>
      </c>
      <c r="P466" s="14" t="n">
        <f aca="false">Share_Prices!P466/Share_Prices!P465-1</f>
        <v>0.00449635356692446</v>
      </c>
      <c r="Q466" s="14" t="n">
        <f aca="false">Share_Prices!Q466/Share_Prices!Q465-1</f>
        <v>-0.00246305418719217</v>
      </c>
      <c r="R466" s="14" t="n">
        <f aca="false">Share_Prices!R466/Share_Prices!R465-1</f>
        <v>-0.00550114048034334</v>
      </c>
      <c r="S466" s="14" t="n">
        <f aca="false">Share_Prices!S466/Share_Prices!S465-1</f>
        <v>-0.00836320191158901</v>
      </c>
    </row>
    <row r="467" customFormat="false" ht="15" hidden="false" customHeight="false" outlineLevel="0" collapsed="false">
      <c r="A467" s="13" t="n">
        <f aca="false">Share_Prices!A467</f>
        <v>45485</v>
      </c>
      <c r="B467" s="14" t="n">
        <f aca="false">Share_Prices!B467/Share_Prices!B466-1</f>
        <v>0.00765752520464957</v>
      </c>
      <c r="C467" s="14" t="n">
        <f aca="false">Share_Prices!C467/Share_Prices!C466-1</f>
        <v>0.0039208441551386</v>
      </c>
      <c r="D467" s="14" t="n">
        <f aca="false">Share_Prices!D467/Share_Prices!D466-1</f>
        <v>-0.00664841611263201</v>
      </c>
      <c r="E467" s="14" t="n">
        <f aca="false">Share_Prices!E467/Share_Prices!E466-1</f>
        <v>-0.0113862795331625</v>
      </c>
      <c r="F467" s="14" t="n">
        <f aca="false">Share_Prices!F467/Share_Prices!F466-1</f>
        <v>0.00540514911573653</v>
      </c>
      <c r="G467" s="14" t="n">
        <f aca="false">Share_Prices!G467/Share_Prices!G466-1</f>
        <v>-0.0139740752450205</v>
      </c>
      <c r="H467" s="14" t="n">
        <f aca="false">Share_Prices!H467/Share_Prices!H466-1</f>
        <v>0.0126289465457956</v>
      </c>
      <c r="I467" s="14" t="n">
        <f aca="false">Share_Prices!I467/Share_Prices!I466-1</f>
        <v>-0.00142933714489912</v>
      </c>
      <c r="J467" s="14" t="n">
        <f aca="false">Share_Prices!J467/Share_Prices!J466-1</f>
        <v>0.00825255756036825</v>
      </c>
      <c r="K467" s="14" t="n">
        <f aca="false">Share_Prices!K467/Share_Prices!K466-1</f>
        <v>0.00776556354363267</v>
      </c>
      <c r="L467" s="14" t="n">
        <f aca="false">Share_Prices!L467/Share_Prices!L466-1</f>
        <v>-0.0171554669703872</v>
      </c>
      <c r="M467" s="14" t="n">
        <f aca="false">Share_Prices!M467/Share_Prices!M466-1</f>
        <v>0.0140027456363991</v>
      </c>
      <c r="N467" s="14" t="n">
        <f aca="false">Share_Prices!N467/Share_Prices!N466-1</f>
        <v>-0.015250326076051</v>
      </c>
      <c r="O467" s="14" t="n">
        <f aca="false">Share_Prices!O467/Share_Prices!O466-1</f>
        <v>-0.00979578283247551</v>
      </c>
      <c r="P467" s="14" t="n">
        <f aca="false">Share_Prices!P467/Share_Prices!P466-1</f>
        <v>0.00810633768218794</v>
      </c>
      <c r="Q467" s="14" t="n">
        <f aca="false">Share_Prices!Q467/Share_Prices!Q466-1</f>
        <v>-0.00160493827160491</v>
      </c>
      <c r="R467" s="14" t="n">
        <f aca="false">Share_Prices!R467/Share_Prices!R466-1</f>
        <v>-0.00344036697247718</v>
      </c>
      <c r="S467" s="14" t="n">
        <f aca="false">Share_Prices!S467/Share_Prices!S466-1</f>
        <v>0.0202263599853962</v>
      </c>
    </row>
    <row r="468" customFormat="false" ht="15" hidden="false" customHeight="false" outlineLevel="0" collapsed="false">
      <c r="A468" s="13" t="n">
        <f aca="false">Share_Prices!A468</f>
        <v>45488</v>
      </c>
      <c r="B468" s="14" t="n">
        <f aca="false">Share_Prices!B468/Share_Prices!B467-1</f>
        <v>0.00345071759008908</v>
      </c>
      <c r="C468" s="14" t="n">
        <f aca="false">Share_Prices!C468/Share_Prices!C467-1</f>
        <v>0.00495335661353202</v>
      </c>
      <c r="D468" s="14" t="n">
        <f aca="false">Share_Prices!D468/Share_Prices!D467-1</f>
        <v>0.00269966254218224</v>
      </c>
      <c r="E468" s="14" t="n">
        <f aca="false">Share_Prices!E468/Share_Prices!E467-1</f>
        <v>0.0117477684998561</v>
      </c>
      <c r="F468" s="14" t="n">
        <f aca="false">Share_Prices!F468/Share_Prices!F467-1</f>
        <v>0.0361707144541381</v>
      </c>
      <c r="G468" s="14" t="n">
        <f aca="false">Share_Prices!G468/Share_Prices!G467-1</f>
        <v>0.0302680518148004</v>
      </c>
      <c r="H468" s="14" t="n">
        <f aca="false">Share_Prices!H468/Share_Prices!H467-1</f>
        <v>-0.0114218682472063</v>
      </c>
      <c r="I468" s="14" t="n">
        <f aca="false">Share_Prices!I468/Share_Prices!I467-1</f>
        <v>-0.0239756664877437</v>
      </c>
      <c r="J468" s="14" t="n">
        <f aca="false">Share_Prices!J468/Share_Prices!J467-1</f>
        <v>-0.0027606247729749</v>
      </c>
      <c r="K468" s="14" t="n">
        <f aca="false">Share_Prices!K468/Share_Prices!K467-1</f>
        <v>0.00849202264539373</v>
      </c>
      <c r="L468" s="14" t="n">
        <f aca="false">Share_Prices!L468/Share_Prices!L467-1</f>
        <v>0.023756065763743</v>
      </c>
      <c r="M468" s="14" t="n">
        <f aca="false">Share_Prices!M468/Share_Prices!M467-1</f>
        <v>-0.00750425498994256</v>
      </c>
      <c r="N468" s="14" t="n">
        <f aca="false">Share_Prices!N468/Share_Prices!N467-1</f>
        <v>-0.00662251655629142</v>
      </c>
      <c r="O468" s="14" t="n">
        <f aca="false">Share_Prices!O468/Share_Prices!O467-1</f>
        <v>0.0162642521797451</v>
      </c>
      <c r="P468" s="14" t="n">
        <f aca="false">Share_Prices!P468/Share_Prices!P467-1</f>
        <v>-0.00573981318532557</v>
      </c>
      <c r="Q468" s="14" t="n">
        <f aca="false">Share_Prices!Q468/Share_Prices!Q467-1</f>
        <v>-0.00927414368739954</v>
      </c>
      <c r="R468" s="14" t="n">
        <f aca="false">Share_Prices!R468/Share_Prices!R467-1</f>
        <v>-0.000135382116022487</v>
      </c>
      <c r="S468" s="14" t="n">
        <f aca="false">Share_Prices!S468/Share_Prices!S467-1</f>
        <v>0.0314557686802177</v>
      </c>
    </row>
    <row r="469" customFormat="false" ht="15" hidden="false" customHeight="false" outlineLevel="0" collapsed="false">
      <c r="A469" s="13" t="n">
        <f aca="false">Share_Prices!A469</f>
        <v>45489</v>
      </c>
      <c r="B469" s="14" t="n">
        <f aca="false">Share_Prices!B469/Share_Prices!B468-1</f>
        <v>0.00106968401615504</v>
      </c>
      <c r="C469" s="14" t="n">
        <f aca="false">Share_Prices!C469/Share_Prices!C468-1</f>
        <v>-0.000241276871672969</v>
      </c>
      <c r="D469" s="14" t="n">
        <f aca="false">Share_Prices!D469/Share_Prices!D468-1</f>
        <v>0.0030850347767557</v>
      </c>
      <c r="E469" s="14" t="n">
        <f aca="false">Share_Prices!E469/Share_Prices!E468-1</f>
        <v>0.0105299106380556</v>
      </c>
      <c r="F469" s="14" t="n">
        <f aca="false">Share_Prices!F469/Share_Prices!F468-1</f>
        <v>-0.0219825232113597</v>
      </c>
      <c r="G469" s="14" t="n">
        <f aca="false">Share_Prices!G469/Share_Prices!G468-1</f>
        <v>0.00460600024897295</v>
      </c>
      <c r="H469" s="14" t="n">
        <f aca="false">Share_Prices!H469/Share_Prices!H468-1</f>
        <v>-0.00162378216337755</v>
      </c>
      <c r="I469" s="14" t="n">
        <f aca="false">Share_Prices!I469/Share_Prices!I468-1</f>
        <v>0.00815765352887277</v>
      </c>
      <c r="J469" s="14" t="n">
        <f aca="false">Share_Prices!J469/Share_Prices!J468-1</f>
        <v>-0.0190864719166607</v>
      </c>
      <c r="K469" s="14" t="n">
        <f aca="false">Share_Prices!K469/Share_Prices!K468-1</f>
        <v>-0.000666269740012937</v>
      </c>
      <c r="L469" s="14" t="n">
        <f aca="false">Share_Prices!L469/Share_Prices!L468-1</f>
        <v>-0.00374955783516096</v>
      </c>
      <c r="M469" s="14" t="n">
        <f aca="false">Share_Prices!M469/Share_Prices!M468-1</f>
        <v>-0.00397536830618139</v>
      </c>
      <c r="N469" s="14" t="n">
        <f aca="false">Share_Prices!N469/Share_Prices!N468-1</f>
        <v>-0.00605128205128203</v>
      </c>
      <c r="O469" s="14" t="n">
        <f aca="false">Share_Prices!O469/Share_Prices!O468-1</f>
        <v>-0.0189737667051642</v>
      </c>
      <c r="P469" s="14" t="n">
        <f aca="false">Share_Prices!P469/Share_Prices!P468-1</f>
        <v>-0.000816926721673106</v>
      </c>
      <c r="Q469" s="14" t="n">
        <f aca="false">Share_Prices!Q469/Share_Prices!Q468-1</f>
        <v>0.037443834248627</v>
      </c>
      <c r="R469" s="14" t="n">
        <f aca="false">Share_Prices!R469/Share_Prices!R468-1</f>
        <v>-0.0103581341818427</v>
      </c>
      <c r="S469" s="14" t="n">
        <f aca="false">Share_Prices!S469/Share_Prices!S468-1</f>
        <v>-0.0238698261804808</v>
      </c>
    </row>
    <row r="470" customFormat="false" ht="15" hidden="false" customHeight="false" outlineLevel="0" collapsed="false">
      <c r="A470" s="13" t="n">
        <f aca="false">Share_Prices!A470</f>
        <v>45491</v>
      </c>
      <c r="B470" s="14" t="n">
        <f aca="false">Share_Prices!B470/Share_Prices!B469-1</f>
        <v>0.00763214561410641</v>
      </c>
      <c r="C470" s="14" t="n">
        <f aca="false">Share_Prices!C470/Share_Prices!C469-1</f>
        <v>0.000249954210974179</v>
      </c>
      <c r="D470" s="14" t="n">
        <f aca="false">Share_Prices!D470/Share_Prices!D469-1</f>
        <v>-0.00726947380193477</v>
      </c>
      <c r="E470" s="14" t="n">
        <f aca="false">Share_Prices!E470/Share_Prices!E469-1</f>
        <v>-0.0119409710487778</v>
      </c>
      <c r="F470" s="14" t="n">
        <f aca="false">Share_Prices!F470/Share_Prices!F469-1</f>
        <v>0.0232677183675369</v>
      </c>
      <c r="G470" s="14" t="n">
        <f aca="false">Share_Prices!G470/Share_Prices!G469-1</f>
        <v>-0.0140024783147459</v>
      </c>
      <c r="H470" s="14" t="n">
        <f aca="false">Share_Prices!H470/Share_Prices!H469-1</f>
        <v>-0.0126360565494806</v>
      </c>
      <c r="I470" s="14" t="n">
        <f aca="false">Share_Prices!I470/Share_Prices!I469-1</f>
        <v>0.00481861987453391</v>
      </c>
      <c r="J470" s="14" t="n">
        <f aca="false">Share_Prices!J470/Share_Prices!J469-1</f>
        <v>-0.00911003837108559</v>
      </c>
      <c r="K470" s="14" t="n">
        <f aca="false">Share_Prices!K470/Share_Prices!K469-1</f>
        <v>0.00720618483580382</v>
      </c>
      <c r="L470" s="14" t="n">
        <f aca="false">Share_Prices!L470/Share_Prices!L469-1</f>
        <v>0.0295767646641101</v>
      </c>
      <c r="M470" s="14" t="n">
        <f aca="false">Share_Prices!M470/Share_Prices!M469-1</f>
        <v>0.0151432149006105</v>
      </c>
      <c r="N470" s="14" t="n">
        <f aca="false">Share_Prices!N470/Share_Prices!N469-1</f>
        <v>-0.0260035084098649</v>
      </c>
      <c r="O470" s="14" t="n">
        <f aca="false">Share_Prices!O470/Share_Prices!O469-1</f>
        <v>-0.00706357214934417</v>
      </c>
      <c r="P470" s="14" t="n">
        <f aca="false">Share_Prices!P470/Share_Prices!P469-1</f>
        <v>0.00735835172921262</v>
      </c>
      <c r="Q470" s="14" t="n">
        <f aca="false">Share_Prices!Q470/Share_Prices!Q469-1</f>
        <v>-0.00565447545717046</v>
      </c>
      <c r="R470" s="14" t="n">
        <f aca="false">Share_Prices!R470/Share_Prices!R469-1</f>
        <v>0.00355725817485286</v>
      </c>
      <c r="S470" s="14" t="n">
        <f aca="false">Share_Prices!S470/Share_Prices!S469-1</f>
        <v>0.0191220899235827</v>
      </c>
    </row>
    <row r="471" customFormat="false" ht="15" hidden="false" customHeight="false" outlineLevel="0" collapsed="false">
      <c r="A471" s="13" t="n">
        <f aca="false">Share_Prices!A471</f>
        <v>45492</v>
      </c>
      <c r="B471" s="14" t="n">
        <f aca="false">Share_Prices!B471/Share_Prices!B470-1</f>
        <v>-0.0108847075805868</v>
      </c>
      <c r="C471" s="14" t="n">
        <f aca="false">Share_Prices!C471/Share_Prices!C470-1</f>
        <v>-0.0153575713968733</v>
      </c>
      <c r="D471" s="14" t="n">
        <f aca="false">Share_Prices!D471/Share_Prices!D470-1</f>
        <v>-0.020785219399538</v>
      </c>
      <c r="E471" s="14" t="n">
        <f aca="false">Share_Prices!E471/Share_Prices!E470-1</f>
        <v>-0.0316953597081291</v>
      </c>
      <c r="F471" s="14" t="n">
        <f aca="false">Share_Prices!F471/Share_Prices!F470-1</f>
        <v>-0.0194188003092457</v>
      </c>
      <c r="G471" s="14" t="n">
        <f aca="false">Share_Prices!G471/Share_Prices!G470-1</f>
        <v>-0.0302877969083826</v>
      </c>
      <c r="H471" s="14" t="n">
        <f aca="false">Share_Prices!H471/Share_Prices!H470-1</f>
        <v>-0.0106436898124684</v>
      </c>
      <c r="I471" s="14" t="n">
        <f aca="false">Share_Prices!I471/Share_Prices!I470-1</f>
        <v>-0.0381831342743395</v>
      </c>
      <c r="J471" s="14" t="n">
        <f aca="false">Share_Prices!J471/Share_Prices!J470-1</f>
        <v>0.00094935918255179</v>
      </c>
      <c r="K471" s="14" t="n">
        <f aca="false">Share_Prices!K471/Share_Prices!K470-1</f>
        <v>-0.0249848597946566</v>
      </c>
      <c r="L471" s="14" t="n">
        <f aca="false">Share_Prices!L471/Share_Prices!L470-1</f>
        <v>-0.0159671690174845</v>
      </c>
      <c r="M471" s="14" t="n">
        <f aca="false">Share_Prices!M471/Share_Prices!M470-1</f>
        <v>-0.00975214894191123</v>
      </c>
      <c r="N471" s="14" t="n">
        <f aca="false">Share_Prices!N471/Share_Prices!N470-1</f>
        <v>-0.0140904756859837</v>
      </c>
      <c r="O471" s="14" t="n">
        <f aca="false">Share_Prices!O471/Share_Prices!O470-1</f>
        <v>-0.0167682926829268</v>
      </c>
      <c r="P471" s="14" t="n">
        <f aca="false">Share_Prices!P471/Share_Prices!P470-1</f>
        <v>-0.00373346319292267</v>
      </c>
      <c r="Q471" s="14" t="n">
        <f aca="false">Share_Prices!Q471/Share_Prices!Q470-1</f>
        <v>-0.00350877192982457</v>
      </c>
      <c r="R471" s="14" t="n">
        <f aca="false">Share_Prices!R471/Share_Prices!R470-1</f>
        <v>-0.0203135650988412</v>
      </c>
      <c r="S471" s="14" t="n">
        <f aca="false">Share_Prices!S471/Share_Prices!S470-1</f>
        <v>-0.0196875108987551</v>
      </c>
    </row>
    <row r="472" customFormat="false" ht="15" hidden="false" customHeight="false" outlineLevel="0" collapsed="false">
      <c r="A472" s="13" t="n">
        <f aca="false">Share_Prices!A472</f>
        <v>45495</v>
      </c>
      <c r="B472" s="14" t="n">
        <f aca="false">Share_Prices!B472/Share_Prices!B471-1</f>
        <v>-0.000882560362644669</v>
      </c>
      <c r="C472" s="14" t="n">
        <f aca="false">Share_Prices!C472/Share_Prices!C471-1</f>
        <v>0.00389654146392693</v>
      </c>
      <c r="D472" s="14" t="n">
        <f aca="false">Share_Prices!D472/Share_Prices!D471-1</f>
        <v>0.0302577082374598</v>
      </c>
      <c r="E472" s="14" t="n">
        <f aca="false">Share_Prices!E472/Share_Prices!E471-1</f>
        <v>-0.00476863299187558</v>
      </c>
      <c r="F472" s="14" t="n">
        <f aca="false">Share_Prices!F472/Share_Prices!F471-1</f>
        <v>0.0198497356460441</v>
      </c>
      <c r="G472" s="14" t="n">
        <f aca="false">Share_Prices!G472/Share_Prices!G471-1</f>
        <v>0.0288361845515812</v>
      </c>
      <c r="H472" s="14" t="n">
        <f aca="false">Share_Prices!H472/Share_Prices!H471-1</f>
        <v>0.0142161885245902</v>
      </c>
      <c r="I472" s="14" t="n">
        <f aca="false">Share_Prices!I472/Share_Prices!I471-1</f>
        <v>0.0121354656632173</v>
      </c>
      <c r="J472" s="14" t="n">
        <f aca="false">Share_Prices!J472/Share_Prices!J471-1</f>
        <v>-0.0262323723948583</v>
      </c>
      <c r="K472" s="14" t="n">
        <f aca="false">Share_Prices!K472/Share_Prices!K471-1</f>
        <v>-0.00693351052304658</v>
      </c>
      <c r="L472" s="14" t="n">
        <f aca="false">Share_Prices!L472/Share_Prices!L471-1</f>
        <v>-0.0163664400364478</v>
      </c>
      <c r="M472" s="14" t="n">
        <f aca="false">Share_Prices!M472/Share_Prices!M471-1</f>
        <v>-0.0135072012456208</v>
      </c>
      <c r="N472" s="14" t="n">
        <f aca="false">Share_Prices!N472/Share_Prices!N471-1</f>
        <v>0.00053728777133033</v>
      </c>
      <c r="O472" s="14" t="n">
        <f aca="false">Share_Prices!O472/Share_Prices!O471-1</f>
        <v>0.00740740740740731</v>
      </c>
      <c r="P472" s="14" t="n">
        <f aca="false">Share_Prices!P472/Share_Prices!P471-1</f>
        <v>-0.0158587915818058</v>
      </c>
      <c r="Q472" s="14" t="n">
        <f aca="false">Share_Prices!Q472/Share_Prices!Q471-1</f>
        <v>-0.0188198154443905</v>
      </c>
      <c r="R472" s="14" t="n">
        <f aca="false">Share_Prices!R472/Share_Prices!R471-1</f>
        <v>0.0127330921235735</v>
      </c>
      <c r="S472" s="14" t="n">
        <f aca="false">Share_Prices!S472/Share_Prices!S471-1</f>
        <v>0.00588789867833595</v>
      </c>
    </row>
    <row r="473" customFormat="false" ht="15" hidden="false" customHeight="false" outlineLevel="0" collapsed="false">
      <c r="A473" s="13" t="n">
        <f aca="false">Share_Prices!A473</f>
        <v>45496</v>
      </c>
      <c r="B473" s="14" t="n">
        <f aca="false">Share_Prices!B473/Share_Prices!B472-1</f>
        <v>-0.00123218784744539</v>
      </c>
      <c r="C473" s="14" t="n">
        <f aca="false">Share_Prices!C473/Share_Prices!C472-1</f>
        <v>-0.00337580881022903</v>
      </c>
      <c r="D473" s="14" t="n">
        <f aca="false">Share_Prices!D473/Share_Prices!D472-1</f>
        <v>-0.00770519262981573</v>
      </c>
      <c r="E473" s="14" t="n">
        <f aca="false">Share_Prices!E473/Share_Prices!E472-1</f>
        <v>-0.00289855072463774</v>
      </c>
      <c r="F473" s="14" t="n">
        <f aca="false">Share_Prices!F473/Share_Prices!F472-1</f>
        <v>-0.0332878581173259</v>
      </c>
      <c r="G473" s="14" t="n">
        <f aca="false">Share_Prices!G473/Share_Prices!G472-1</f>
        <v>-0.0297915223278956</v>
      </c>
      <c r="H473" s="14" t="n">
        <f aca="false">Share_Prices!H473/Share_Prices!H472-1</f>
        <v>-0.0435661068316706</v>
      </c>
      <c r="I473" s="14" t="n">
        <f aca="false">Share_Prices!I473/Share_Prices!I472-1</f>
        <v>-0.00687796263593277</v>
      </c>
      <c r="J473" s="14" t="n">
        <f aca="false">Share_Prices!J473/Share_Prices!J472-1</f>
        <v>0.00481878300097405</v>
      </c>
      <c r="K473" s="14" t="n">
        <f aca="false">Share_Prices!K473/Share_Prices!K472-1</f>
        <v>-0.0228221501403657</v>
      </c>
      <c r="L473" s="14" t="n">
        <f aca="false">Share_Prices!L473/Share_Prices!L472-1</f>
        <v>-0.00548687070224807</v>
      </c>
      <c r="M473" s="14" t="n">
        <f aca="false">Share_Prices!M473/Share_Prices!M472-1</f>
        <v>0.0283707532652013</v>
      </c>
      <c r="N473" s="14" t="n">
        <f aca="false">Share_Prices!N473/Share_Prices!N472-1</f>
        <v>-0.032649554290624</v>
      </c>
      <c r="O473" s="14" t="n">
        <f aca="false">Share_Prices!O473/Share_Prices!O472-1</f>
        <v>0.0117989056087553</v>
      </c>
      <c r="P473" s="14" t="n">
        <f aca="false">Share_Prices!P473/Share_Prices!P472-1</f>
        <v>-0.0431003559504428</v>
      </c>
      <c r="Q473" s="14" t="n">
        <f aca="false">Share_Prices!Q473/Share_Prices!Q472-1</f>
        <v>-0.0316792476178691</v>
      </c>
      <c r="R473" s="14" t="n">
        <f aca="false">Share_Prices!R473/Share_Prices!R472-1</f>
        <v>0.00425970456887681</v>
      </c>
      <c r="S473" s="14" t="n">
        <f aca="false">Share_Prices!S473/Share_Prices!S472-1</f>
        <v>-0.0311947372144019</v>
      </c>
    </row>
    <row r="474" customFormat="false" ht="15" hidden="false" customHeight="false" outlineLevel="0" collapsed="false">
      <c r="A474" s="13" t="n">
        <f aca="false">Share_Prices!A474</f>
        <v>45497</v>
      </c>
      <c r="B474" s="14" t="n">
        <f aca="false">Share_Prices!B474/Share_Prices!B473-1</f>
        <v>-0.00267779999632334</v>
      </c>
      <c r="C474" s="14" t="n">
        <f aca="false">Share_Prices!C474/Share_Prices!C473-1</f>
        <v>0.00246007032521045</v>
      </c>
      <c r="D474" s="14" t="n">
        <f aca="false">Share_Prices!D474/Share_Prices!D473-1</f>
        <v>-0.0101001575512042</v>
      </c>
      <c r="E474" s="14" t="n">
        <f aca="false">Share_Prices!E474/Share_Prices!E473-1</f>
        <v>0.00883958234456572</v>
      </c>
      <c r="F474" s="14" t="n">
        <f aca="false">Share_Prices!F474/Share_Prices!F473-1</f>
        <v>-0.0200395145357044</v>
      </c>
      <c r="G474" s="14" t="n">
        <f aca="false">Share_Prices!G474/Share_Prices!G473-1</f>
        <v>0.0153856141262008</v>
      </c>
      <c r="H474" s="14" t="n">
        <f aca="false">Share_Prices!H474/Share_Prices!H473-1</f>
        <v>0.0244916820702403</v>
      </c>
      <c r="I474" s="14" t="n">
        <f aca="false">Share_Prices!I474/Share_Prices!I473-1</f>
        <v>0.0039307440336922</v>
      </c>
      <c r="J474" s="14" t="n">
        <f aca="false">Share_Prices!J474/Share_Prices!J473-1</f>
        <v>0.0196673639100047</v>
      </c>
      <c r="K474" s="14" t="n">
        <f aca="false">Share_Prices!K474/Share_Prices!K473-1</f>
        <v>-0.0178326883000892</v>
      </c>
      <c r="L474" s="14" t="n">
        <f aca="false">Share_Prices!L474/Share_Prices!L473-1</f>
        <v>-0.00483645613155159</v>
      </c>
      <c r="M474" s="14" t="n">
        <f aca="false">Share_Prices!M474/Share_Prices!M473-1</f>
        <v>-0.00280101296907365</v>
      </c>
      <c r="N474" s="14" t="n">
        <f aca="false">Share_Prices!N474/Share_Prices!N473-1</f>
        <v>0.0311979571444432</v>
      </c>
      <c r="O474" s="14" t="n">
        <f aca="false">Share_Prices!O474/Share_Prices!O473-1</f>
        <v>0.00963326009802246</v>
      </c>
      <c r="P474" s="14" t="n">
        <f aca="false">Share_Prices!P474/Share_Prices!P473-1</f>
        <v>0.00501744571642782</v>
      </c>
      <c r="Q474" s="14" t="n">
        <f aca="false">Share_Prices!Q474/Share_Prices!Q473-1</f>
        <v>-0.0273482428115016</v>
      </c>
      <c r="R474" s="14" t="n">
        <f aca="false">Share_Prices!R474/Share_Prices!R473-1</f>
        <v>0.0174454402408155</v>
      </c>
      <c r="S474" s="14" t="n">
        <f aca="false">Share_Prices!S474/Share_Prices!S473-1</f>
        <v>-0.00545779789719625</v>
      </c>
    </row>
    <row r="475" customFormat="false" ht="15" hidden="false" customHeight="false" outlineLevel="0" collapsed="false">
      <c r="A475" s="13" t="n">
        <f aca="false">Share_Prices!A475</f>
        <v>45498</v>
      </c>
      <c r="B475" s="14" t="n">
        <f aca="false">Share_Prices!B475/Share_Prices!B474-1</f>
        <v>-0.00030311098367708</v>
      </c>
      <c r="C475" s="14" t="n">
        <f aca="false">Share_Prices!C475/Share_Prices!C474-1</f>
        <v>-0.000183234481239247</v>
      </c>
      <c r="D475" s="14" t="n">
        <f aca="false">Share_Prices!D475/Share_Prices!D474-1</f>
        <v>0.0107716356401877</v>
      </c>
      <c r="E475" s="14" t="n">
        <f aca="false">Share_Prices!E475/Share_Prices!E474-1</f>
        <v>-0.0264039988238753</v>
      </c>
      <c r="F475" s="14" t="n">
        <f aca="false">Share_Prices!F475/Share_Prices!F474-1</f>
        <v>-0.0110407066052227</v>
      </c>
      <c r="G475" s="14" t="n">
        <f aca="false">Share_Prices!G475/Share_Prices!G474-1</f>
        <v>-0.0193721629051851</v>
      </c>
      <c r="H475" s="14" t="n">
        <f aca="false">Share_Prices!H475/Share_Prices!H474-1</f>
        <v>0.00683033700625035</v>
      </c>
      <c r="I475" s="14" t="n">
        <f aca="false">Share_Prices!I475/Share_Prices!I474-1</f>
        <v>-0.00727137130605016</v>
      </c>
      <c r="J475" s="14" t="n">
        <f aca="false">Share_Prices!J475/Share_Prices!J474-1</f>
        <v>-0.0451554799489655</v>
      </c>
      <c r="K475" s="14" t="n">
        <f aca="false">Share_Prices!K475/Share_Prices!K474-1</f>
        <v>0.0061380376466309</v>
      </c>
      <c r="L475" s="14" t="n">
        <f aca="false">Share_Prices!L475/Share_Prices!L474-1</f>
        <v>-0.0181798545611636</v>
      </c>
      <c r="M475" s="14" t="n">
        <f aca="false">Share_Prices!M475/Share_Prices!M474-1</f>
        <v>-0.0218169225441534</v>
      </c>
      <c r="N475" s="14" t="n">
        <f aca="false">Share_Prices!N475/Share_Prices!N474-1</f>
        <v>-0.024547803617571</v>
      </c>
      <c r="O475" s="14" t="n">
        <f aca="false">Share_Prices!O475/Share_Prices!O474-1</f>
        <v>-0.0296283896886507</v>
      </c>
      <c r="P475" s="14" t="n">
        <f aca="false">Share_Prices!P475/Share_Prices!P474-1</f>
        <v>-8.60758040914789E-005</v>
      </c>
      <c r="Q475" s="14" t="n">
        <f aca="false">Share_Prices!Q475/Share_Prices!Q474-1</f>
        <v>-0.0391538562606755</v>
      </c>
      <c r="R475" s="14" t="n">
        <f aca="false">Share_Prices!R475/Share_Prices!R474-1</f>
        <v>-0.0176169983862292</v>
      </c>
      <c r="S475" s="14" t="n">
        <f aca="false">Share_Prices!S475/Share_Prices!S474-1</f>
        <v>-0.0166100761677527</v>
      </c>
    </row>
    <row r="476" customFormat="false" ht="15" hidden="false" customHeight="false" outlineLevel="0" collapsed="false">
      <c r="A476" s="13" t="n">
        <f aca="false">Share_Prices!A476</f>
        <v>45499</v>
      </c>
      <c r="B476" s="14" t="n">
        <f aca="false">Share_Prices!B476/Share_Prices!B475-1</f>
        <v>0.0175673294791057</v>
      </c>
      <c r="C476" s="14" t="n">
        <f aca="false">Share_Prices!C476/Share_Prices!C475-1</f>
        <v>0.0163544927947288</v>
      </c>
      <c r="D476" s="14" t="n">
        <f aca="false">Share_Prices!D476/Share_Prices!D475-1</f>
        <v>-0.0175739511865932</v>
      </c>
      <c r="E476" s="14" t="n">
        <f aca="false">Share_Prices!E476/Share_Prices!E475-1</f>
        <v>0.0351534187001692</v>
      </c>
      <c r="F476" s="14" t="n">
        <f aca="false">Share_Prices!F476/Share_Prices!F475-1</f>
        <v>0.0304824774293759</v>
      </c>
      <c r="G476" s="14" t="n">
        <f aca="false">Share_Prices!G476/Share_Prices!G475-1</f>
        <v>0.0318164037032207</v>
      </c>
      <c r="H476" s="14" t="n">
        <f aca="false">Share_Prices!H476/Share_Prices!H475-1</f>
        <v>0.0161279999999999</v>
      </c>
      <c r="I476" s="14" t="n">
        <f aca="false">Share_Prices!I476/Share_Prices!I475-1</f>
        <v>0.0173725232416189</v>
      </c>
      <c r="J476" s="14" t="n">
        <f aca="false">Share_Prices!J476/Share_Prices!J475-1</f>
        <v>-0.00390379375393002</v>
      </c>
      <c r="K476" s="14" t="n">
        <f aca="false">Share_Prices!K476/Share_Prices!K475-1</f>
        <v>0.0213596035368369</v>
      </c>
      <c r="L476" s="14" t="n">
        <f aca="false">Share_Prices!L476/Share_Prices!L475-1</f>
        <v>0.0346863198034686</v>
      </c>
      <c r="M476" s="14" t="n">
        <f aca="false">Share_Prices!M476/Share_Prices!M475-1</f>
        <v>0.032137518684604</v>
      </c>
      <c r="N476" s="14" t="n">
        <f aca="false">Share_Prices!N476/Share_Prices!N475-1</f>
        <v>-0.00408388520971303</v>
      </c>
      <c r="O476" s="14" t="n">
        <f aca="false">Share_Prices!O476/Share_Prices!O475-1</f>
        <v>0.0131102294290149</v>
      </c>
      <c r="P476" s="14" t="n">
        <f aca="false">Share_Prices!P476/Share_Prices!P475-1</f>
        <v>0.0233572453371593</v>
      </c>
      <c r="Q476" s="14" t="n">
        <f aca="false">Share_Prices!Q476/Share_Prices!Q475-1</f>
        <v>0.0274853001504172</v>
      </c>
      <c r="R476" s="14" t="n">
        <f aca="false">Share_Prices!R476/Share_Prices!R475-1</f>
        <v>-0.0120465434633812</v>
      </c>
      <c r="S476" s="14" t="n">
        <f aca="false">Share_Prices!S476/Share_Prices!S475-1</f>
        <v>0.0918253079507281</v>
      </c>
    </row>
    <row r="477" customFormat="false" ht="15" hidden="false" customHeight="false" outlineLevel="0" collapsed="false">
      <c r="A477" s="13" t="n">
        <f aca="false">Share_Prices!A477</f>
        <v>45502</v>
      </c>
      <c r="B477" s="14" t="n">
        <f aca="false">Share_Prices!B477/Share_Prices!B476-1</f>
        <v>5.03324964717944E-005</v>
      </c>
      <c r="C477" s="14" t="n">
        <f aca="false">Share_Prices!C477/Share_Prices!C476-1</f>
        <v>0.00438561655157033</v>
      </c>
      <c r="D477" s="14" t="n">
        <f aca="false">Share_Prices!D477/Share_Prices!D476-1</f>
        <v>-0.00947365408283007</v>
      </c>
      <c r="E477" s="14" t="n">
        <f aca="false">Share_Prices!E477/Share_Prices!E476-1</f>
        <v>-0.00134204691329209</v>
      </c>
      <c r="F477" s="14" t="n">
        <f aca="false">Share_Prices!F477/Share_Prices!F476-1</f>
        <v>0.0148374941121054</v>
      </c>
      <c r="G477" s="14" t="n">
        <f aca="false">Share_Prices!G477/Share_Prices!G476-1</f>
        <v>0.000315935801844969</v>
      </c>
      <c r="H477" s="14" t="n">
        <f aca="false">Share_Prices!H477/Share_Prices!H476-1</f>
        <v>0.00132266801032932</v>
      </c>
      <c r="I477" s="14" t="n">
        <f aca="false">Share_Prices!I477/Share_Prices!I476-1</f>
        <v>-0.00636883884068684</v>
      </c>
      <c r="J477" s="14" t="n">
        <f aca="false">Share_Prices!J477/Share_Prices!J476-1</f>
        <v>0.00168336884189491</v>
      </c>
      <c r="K477" s="14" t="n">
        <f aca="false">Share_Prices!K477/Share_Prices!K476-1</f>
        <v>0.00334783570533159</v>
      </c>
      <c r="L477" s="14" t="n">
        <f aca="false">Share_Prices!L477/Share_Prices!L476-1</f>
        <v>0.0159112654594422</v>
      </c>
      <c r="M477" s="14" t="n">
        <f aca="false">Share_Prices!M477/Share_Prices!M476-1</f>
        <v>0.00262967338694309</v>
      </c>
      <c r="N477" s="14" t="n">
        <f aca="false">Share_Prices!N477/Share_Prices!N476-1</f>
        <v>-0.0128560345782998</v>
      </c>
      <c r="O477" s="14" t="n">
        <f aca="false">Share_Prices!O477/Share_Prices!O476-1</f>
        <v>0.0323514387876724</v>
      </c>
      <c r="P477" s="14" t="n">
        <f aca="false">Share_Prices!P477/Share_Prices!P476-1</f>
        <v>-0.0012056976222522</v>
      </c>
      <c r="Q477" s="14" t="n">
        <f aca="false">Share_Prices!Q477/Share_Prices!Q476-1</f>
        <v>0.0142400851743414</v>
      </c>
      <c r="R477" s="14" t="n">
        <f aca="false">Share_Prices!R477/Share_Prices!R476-1</f>
        <v>-0.0191215186365526</v>
      </c>
      <c r="S477" s="14" t="n">
        <f aca="false">Share_Prices!S477/Share_Prices!S476-1</f>
        <v>0.00615384615384618</v>
      </c>
    </row>
    <row r="478" customFormat="false" ht="15" hidden="false" customHeight="false" outlineLevel="0" collapsed="false">
      <c r="A478" s="13" t="n">
        <f aca="false">Share_Prices!A478</f>
        <v>45503</v>
      </c>
      <c r="B478" s="14" t="n">
        <f aca="false">Share_Prices!B478/Share_Prices!B477-1</f>
        <v>0.000853596176533467</v>
      </c>
      <c r="C478" s="14" t="n">
        <f aca="false">Share_Prices!C478/Share_Prices!C477-1</f>
        <v>0.00199622128561794</v>
      </c>
      <c r="D478" s="14" t="n">
        <f aca="false">Share_Prices!D478/Share_Prices!D477-1</f>
        <v>-0.00757050392972736</v>
      </c>
      <c r="E478" s="14" t="n">
        <f aca="false">Share_Prices!E478/Share_Prices!E477-1</f>
        <v>-0.00490797546012278</v>
      </c>
      <c r="F478" s="14" t="n">
        <f aca="false">Share_Prices!F478/Share_Prices!F477-1</f>
        <v>-0.0212578324437225</v>
      </c>
      <c r="G478" s="14" t="n">
        <f aca="false">Share_Prices!G478/Share_Prices!G477-1</f>
        <v>-0.0221716884593518</v>
      </c>
      <c r="H478" s="14" t="n">
        <f aca="false">Share_Prices!H478/Share_Prices!H477-1</f>
        <v>-0.018807397156875</v>
      </c>
      <c r="I478" s="14" t="n">
        <f aca="false">Share_Prices!I478/Share_Prices!I477-1</f>
        <v>-0.00575940548072462</v>
      </c>
      <c r="J478" s="14" t="n">
        <f aca="false">Share_Prices!J478/Share_Prices!J477-1</f>
        <v>0.00338733818239101</v>
      </c>
      <c r="K478" s="14" t="n">
        <f aca="false">Share_Prices!K478/Share_Prices!K477-1</f>
        <v>0.00163158513640616</v>
      </c>
      <c r="L478" s="14" t="n">
        <f aca="false">Share_Prices!L478/Share_Prices!L477-1</f>
        <v>-0.0108483326356915</v>
      </c>
      <c r="M478" s="14" t="n">
        <f aca="false">Share_Prices!M478/Share_Prices!M477-1</f>
        <v>0.00798236277938269</v>
      </c>
      <c r="N478" s="14" t="n">
        <f aca="false">Share_Prices!N478/Share_Prices!N477-1</f>
        <v>-0.015493432132031</v>
      </c>
      <c r="O478" s="14" t="n">
        <f aca="false">Share_Prices!O478/Share_Prices!O477-1</f>
        <v>0.00280389246247736</v>
      </c>
      <c r="P478" s="14" t="n">
        <f aca="false">Share_Prices!P478/Share_Prices!P477-1</f>
        <v>0.0153561101597373</v>
      </c>
      <c r="Q478" s="14" t="n">
        <f aca="false">Share_Prices!Q478/Share_Prices!Q477-1</f>
        <v>-0.0267681406639548</v>
      </c>
      <c r="R478" s="14" t="n">
        <f aca="false">Share_Prices!R478/Share_Prices!R477-1</f>
        <v>0.0156801808164995</v>
      </c>
      <c r="S478" s="14" t="n">
        <f aca="false">Share_Prices!S478/Share_Prices!S477-1</f>
        <v>-0.0105164797825349</v>
      </c>
    </row>
    <row r="479" customFormat="false" ht="15" hidden="false" customHeight="false" outlineLevel="0" collapsed="false">
      <c r="A479" s="13" t="n">
        <f aca="false">Share_Prices!A479</f>
        <v>45504</v>
      </c>
      <c r="B479" s="14" t="n">
        <f aca="false">Share_Prices!B479/Share_Prices!B478-1</f>
        <v>0.00377555084421899</v>
      </c>
      <c r="C479" s="14" t="n">
        <f aca="false">Share_Prices!C479/Share_Prices!C478-1</f>
        <v>0.00383517697699309</v>
      </c>
      <c r="D479" s="14" t="n">
        <f aca="false">Share_Prices!D479/Share_Prices!D478-1</f>
        <v>-0.0242531881441798</v>
      </c>
      <c r="E479" s="14" t="n">
        <f aca="false">Share_Prices!E479/Share_Prices!E478-1</f>
        <v>-0.00340555457694791</v>
      </c>
      <c r="F479" s="14" t="n">
        <f aca="false">Share_Prices!F479/Share_Prices!F478-1</f>
        <v>-0.0135154360506473</v>
      </c>
      <c r="G479" s="14" t="n">
        <f aca="false">Share_Prices!G479/Share_Prices!G478-1</f>
        <v>-0.00872093023255816</v>
      </c>
      <c r="H479" s="14" t="n">
        <f aca="false">Share_Prices!H479/Share_Prices!H478-1</f>
        <v>0.0327585101609076</v>
      </c>
      <c r="I479" s="14" t="n">
        <f aca="false">Share_Prices!I479/Share_Prices!I478-1</f>
        <v>0.0408296739231993</v>
      </c>
      <c r="J479" s="14" t="n">
        <f aca="false">Share_Prices!J479/Share_Prices!J478-1</f>
        <v>-0.0191301161938657</v>
      </c>
      <c r="K479" s="14" t="n">
        <f aca="false">Share_Prices!K479/Share_Prices!K478-1</f>
        <v>-0.002436053593179</v>
      </c>
      <c r="L479" s="14" t="n">
        <f aca="false">Share_Prices!L479/Share_Prices!L478-1</f>
        <v>-0.000881616532073193</v>
      </c>
      <c r="M479" s="14" t="n">
        <f aca="false">Share_Prices!M479/Share_Prices!M478-1</f>
        <v>0.00131985820951797</v>
      </c>
      <c r="N479" s="14" t="n">
        <f aca="false">Share_Prices!N479/Share_Prices!N478-1</f>
        <v>0.0082107423879576</v>
      </c>
      <c r="O479" s="14" t="n">
        <f aca="false">Share_Prices!O479/Share_Prices!O478-1</f>
        <v>-0.00246710526315785</v>
      </c>
      <c r="P479" s="14" t="n">
        <f aca="false">Share_Prices!P479/Share_Prices!P478-1</f>
        <v>0.0164233576642334</v>
      </c>
      <c r="Q479" s="14" t="n">
        <f aca="false">Share_Prices!Q479/Share_Prices!Q478-1</f>
        <v>-0.00485371443980054</v>
      </c>
      <c r="R479" s="14" t="n">
        <f aca="false">Share_Prices!R479/Share_Prices!R478-1</f>
        <v>0.0109179415855356</v>
      </c>
      <c r="S479" s="14" t="n">
        <f aca="false">Share_Prices!S479/Share_Prices!S478-1</f>
        <v>0.006833673872358</v>
      </c>
    </row>
    <row r="480" customFormat="false" ht="15" hidden="false" customHeight="false" outlineLevel="0" collapsed="false">
      <c r="A480" s="13" t="n">
        <f aca="false">Share_Prices!A480</f>
        <v>45505</v>
      </c>
      <c r="B480" s="14" t="n">
        <f aca="false">Share_Prices!B480/Share_Prices!B479-1</f>
        <v>0.00239467920316305</v>
      </c>
      <c r="C480" s="14" t="n">
        <f aca="false">Share_Prices!C480/Share_Prices!C479-1</f>
        <v>-0.00102843932208008</v>
      </c>
      <c r="D480" s="14" t="n">
        <f aca="false">Share_Prices!D480/Share_Prices!D479-1</f>
        <v>-0.0068928475516965</v>
      </c>
      <c r="E480" s="14" t="n">
        <f aca="false">Share_Prices!E480/Share_Prices!E479-1</f>
        <v>-0.0160843692924055</v>
      </c>
      <c r="F480" s="14" t="n">
        <f aca="false">Share_Prices!F480/Share_Prices!F479-1</f>
        <v>-0.0141813287183925</v>
      </c>
      <c r="G480" s="14" t="n">
        <f aca="false">Share_Prices!G480/Share_Prices!G479-1</f>
        <v>-0.0126425545780385</v>
      </c>
      <c r="H480" s="14" t="n">
        <f aca="false">Share_Prices!H480/Share_Prices!H479-1</f>
        <v>0.00502793296089377</v>
      </c>
      <c r="I480" s="14" t="n">
        <f aca="false">Share_Prices!I480/Share_Prices!I479-1</f>
        <v>-0.0259425493716339</v>
      </c>
      <c r="J480" s="14" t="n">
        <f aca="false">Share_Prices!J480/Share_Prices!J479-1</f>
        <v>-0.050345508390918</v>
      </c>
      <c r="K480" s="14" t="n">
        <f aca="false">Share_Prices!K480/Share_Prices!K479-1</f>
        <v>-0.0051929329037762</v>
      </c>
      <c r="L480" s="14" t="n">
        <f aca="false">Share_Prices!L480/Share_Prices!L479-1</f>
        <v>-0.0183185091063107</v>
      </c>
      <c r="M480" s="14" t="n">
        <f aca="false">Share_Prices!M480/Share_Prices!M479-1</f>
        <v>-0.00384137385606154</v>
      </c>
      <c r="N480" s="14" t="n">
        <f aca="false">Share_Prices!N480/Share_Prices!N479-1</f>
        <v>0.0333672661463635</v>
      </c>
      <c r="O480" s="14" t="n">
        <f aca="false">Share_Prices!O480/Share_Prices!O479-1</f>
        <v>0.0105523495465787</v>
      </c>
      <c r="P480" s="14" t="n">
        <f aca="false">Share_Prices!P480/Share_Prices!P479-1</f>
        <v>0.0142810510853599</v>
      </c>
      <c r="Q480" s="14" t="n">
        <f aca="false">Share_Prices!Q480/Share_Prices!Q479-1</f>
        <v>-0.0250643544235198</v>
      </c>
      <c r="R480" s="14" t="n">
        <f aca="false">Share_Prices!R480/Share_Prices!R479-1</f>
        <v>-0.00880511797482286</v>
      </c>
      <c r="S480" s="14" t="n">
        <f aca="false">Share_Prices!S480/Share_Prices!S479-1</f>
        <v>0.0195433073551732</v>
      </c>
    </row>
    <row r="481" customFormat="false" ht="15" hidden="false" customHeight="false" outlineLevel="0" collapsed="false">
      <c r="A481" s="13" t="n">
        <f aca="false">Share_Prices!A481</f>
        <v>45506</v>
      </c>
      <c r="B481" s="14" t="n">
        <f aca="false">Share_Prices!B481/Share_Prices!B480-1</f>
        <v>-0.0117228888204743</v>
      </c>
      <c r="C481" s="14" t="n">
        <f aca="false">Share_Prices!C481/Share_Prices!C480-1</f>
        <v>-0.0105140683893034</v>
      </c>
      <c r="D481" s="14" t="n">
        <f aca="false">Share_Prices!D481/Share_Prices!D480-1</f>
        <v>0.00558860645393922</v>
      </c>
      <c r="E481" s="14" t="n">
        <f aca="false">Share_Prices!E481/Share_Prices!E480-1</f>
        <v>0.00191616766467062</v>
      </c>
      <c r="F481" s="14" t="n">
        <f aca="false">Share_Prices!F481/Share_Prices!F480-1</f>
        <v>0.000731457551080172</v>
      </c>
      <c r="G481" s="14" t="n">
        <f aca="false">Share_Prices!G481/Share_Prices!G480-1</f>
        <v>-0.0118144016896573</v>
      </c>
      <c r="H481" s="14" t="n">
        <f aca="false">Share_Prices!H481/Share_Prices!H480-1</f>
        <v>0.00123525415354209</v>
      </c>
      <c r="I481" s="14" t="n">
        <f aca="false">Share_Prices!I481/Share_Prices!I480-1</f>
        <v>-0.0698553128743894</v>
      </c>
      <c r="J481" s="14" t="n">
        <f aca="false">Share_Prices!J481/Share_Prices!J480-1</f>
        <v>0.0457099511153565</v>
      </c>
      <c r="K481" s="14" t="n">
        <f aca="false">Share_Prices!K481/Share_Prices!K480-1</f>
        <v>-0.00687625695019511</v>
      </c>
      <c r="L481" s="14" t="n">
        <f aca="false">Share_Prices!L481/Share_Prices!L480-1</f>
        <v>-0.00399093948872842</v>
      </c>
      <c r="M481" s="14" t="n">
        <f aca="false">Share_Prices!M481/Share_Prices!M480-1</f>
        <v>-0.00812823711768929</v>
      </c>
      <c r="N481" s="14" t="n">
        <f aca="false">Share_Prices!N481/Share_Prices!N480-1</f>
        <v>-0.0136821366024519</v>
      </c>
      <c r="O481" s="14" t="n">
        <f aca="false">Share_Prices!O481/Share_Prices!O480-1</f>
        <v>-0.00326317506934248</v>
      </c>
      <c r="P481" s="14" t="n">
        <f aca="false">Share_Prices!P481/Share_Prices!P480-1</f>
        <v>0.00713385362190588</v>
      </c>
      <c r="Q481" s="14" t="n">
        <f aca="false">Share_Prices!Q481/Share_Prices!Q480-1</f>
        <v>0.00750416898276818</v>
      </c>
      <c r="R481" s="14" t="n">
        <f aca="false">Share_Prices!R481/Share_Prices!R480-1</f>
        <v>-0.00818932611562229</v>
      </c>
      <c r="S481" s="14" t="n">
        <f aca="false">Share_Prices!S481/Share_Prices!S480-1</f>
        <v>0.000953416408798091</v>
      </c>
    </row>
    <row r="482" customFormat="false" ht="15" hidden="false" customHeight="false" outlineLevel="0" collapsed="false">
      <c r="A482" s="13" t="n">
        <f aca="false">Share_Prices!A482</f>
        <v>45509</v>
      </c>
      <c r="B482" s="14" t="n">
        <f aca="false">Share_Prices!B482/Share_Prices!B481-1</f>
        <v>-0.0267864728514385</v>
      </c>
      <c r="C482" s="14" t="n">
        <f aca="false">Share_Prices!C482/Share_Prices!C481-1</f>
        <v>-0.0308261803267059</v>
      </c>
      <c r="D482" s="14" t="n">
        <f aca="false">Share_Prices!D482/Share_Prices!D481-1</f>
        <v>-0.0263834110194814</v>
      </c>
      <c r="E482" s="14" t="n">
        <f aca="false">Share_Prices!E482/Share_Prices!E481-1</f>
        <v>-0.0652641644752571</v>
      </c>
      <c r="F482" s="14" t="n">
        <f aca="false">Share_Prices!F482/Share_Prices!F481-1</f>
        <v>-0.0437579183315465</v>
      </c>
      <c r="G482" s="14" t="n">
        <f aca="false">Share_Prices!G482/Share_Prices!G481-1</f>
        <v>-0.0834223884584558</v>
      </c>
      <c r="H482" s="14" t="n">
        <f aca="false">Share_Prices!H482/Share_Prices!H481-1</f>
        <v>-0.0439824810313985</v>
      </c>
      <c r="I482" s="14" t="n">
        <f aca="false">Share_Prices!I482/Share_Prices!I481-1</f>
        <v>-0.0268502922817794</v>
      </c>
      <c r="J482" s="14" t="n">
        <f aca="false">Share_Prices!J482/Share_Prices!J481-1</f>
        <v>-0.0380430402192311</v>
      </c>
      <c r="K482" s="14" t="n">
        <f aca="false">Share_Prices!K482/Share_Prices!K481-1</f>
        <v>-0.0190890275316786</v>
      </c>
      <c r="L482" s="14" t="n">
        <f aca="false">Share_Prices!L482/Share_Prices!L481-1</f>
        <v>-0.0276153346328785</v>
      </c>
      <c r="M482" s="14" t="n">
        <f aca="false">Share_Prices!M482/Share_Prices!M481-1</f>
        <v>-0.0251943893886263</v>
      </c>
      <c r="N482" s="14" t="n">
        <f aca="false">Share_Prices!N482/Share_Prices!N481-1</f>
        <v>-0.0569304183775387</v>
      </c>
      <c r="O482" s="14" t="n">
        <f aca="false">Share_Prices!O482/Share_Prices!O481-1</f>
        <v>-0.0420690784089048</v>
      </c>
      <c r="P482" s="14" t="n">
        <f aca="false">Share_Prices!P482/Share_Prices!P481-1</f>
        <v>-0.0284930631374324</v>
      </c>
      <c r="Q482" s="14" t="n">
        <f aca="false">Share_Prices!Q482/Share_Prices!Q481-1</f>
        <v>-0.0462068965517242</v>
      </c>
      <c r="R482" s="14" t="n">
        <f aca="false">Share_Prices!R482/Share_Prices!R481-1</f>
        <v>-0.0170736827373871</v>
      </c>
      <c r="S482" s="14" t="n">
        <f aca="false">Share_Prices!S482/Share_Prices!S481-1</f>
        <v>-0.0336385815982087</v>
      </c>
    </row>
    <row r="483" customFormat="false" ht="15" hidden="false" customHeight="false" outlineLevel="0" collapsed="false">
      <c r="A483" s="13" t="n">
        <f aca="false">Share_Prices!A483</f>
        <v>45510</v>
      </c>
      <c r="B483" s="14" t="n">
        <f aca="false">Share_Prices!B483/Share_Prices!B482-1</f>
        <v>-0.00262101132376658</v>
      </c>
      <c r="C483" s="14" t="n">
        <f aca="false">Share_Prices!C483/Share_Prices!C482-1</f>
        <v>-0.0043983684115968</v>
      </c>
      <c r="D483" s="14" t="n">
        <f aca="false">Share_Prices!D483/Share_Prices!D482-1</f>
        <v>0.000460334509743809</v>
      </c>
      <c r="E483" s="14" t="n">
        <f aca="false">Share_Prices!E483/Share_Prices!E482-1</f>
        <v>-0.0122762148337596</v>
      </c>
      <c r="F483" s="14" t="n">
        <f aca="false">Share_Prices!F483/Share_Prices!F482-1</f>
        <v>0.0606909906237261</v>
      </c>
      <c r="G483" s="14" t="n">
        <f aca="false">Share_Prices!G483/Share_Prices!G482-1</f>
        <v>-0.0499890694454565</v>
      </c>
      <c r="H483" s="14" t="n">
        <f aca="false">Share_Prices!H483/Share_Prices!H482-1</f>
        <v>0.0205833010711061</v>
      </c>
      <c r="I483" s="14" t="n">
        <f aca="false">Share_Prices!I483/Share_Prices!I482-1</f>
        <v>-0.0507025045815517</v>
      </c>
      <c r="J483" s="14" t="n">
        <f aca="false">Share_Prices!J483/Share_Prices!J482-1</f>
        <v>-0.012763580505516</v>
      </c>
      <c r="K483" s="14" t="n">
        <f aca="false">Share_Prices!K483/Share_Prices!K482-1</f>
        <v>-0.00883464638644738</v>
      </c>
      <c r="L483" s="14" t="n">
        <f aca="false">Share_Prices!L483/Share_Prices!L482-1</f>
        <v>-0.00853844154879901</v>
      </c>
      <c r="M483" s="14" t="n">
        <f aca="false">Share_Prices!M483/Share_Prices!M482-1</f>
        <v>0.0233431085043987</v>
      </c>
      <c r="N483" s="14" t="n">
        <f aca="false">Share_Prices!N483/Share_Prices!N482-1</f>
        <v>0.0140032948929161</v>
      </c>
      <c r="O483" s="14" t="n">
        <f aca="false">Share_Prices!O483/Share_Prices!O482-1</f>
        <v>0.00187969924812004</v>
      </c>
      <c r="P483" s="14" t="n">
        <f aca="false">Share_Prices!P483/Share_Prices!P482-1</f>
        <v>-0.0198448592495135</v>
      </c>
      <c r="Q483" s="14" t="n">
        <f aca="false">Share_Prices!Q483/Share_Prices!Q482-1</f>
        <v>-0.00939985538684018</v>
      </c>
      <c r="R483" s="14" t="n">
        <f aca="false">Share_Prices!R483/Share_Prices!R482-1</f>
        <v>-0.00526802876058952</v>
      </c>
      <c r="S483" s="14" t="n">
        <f aca="false">Share_Prices!S483/Share_Prices!S482-1</f>
        <v>-0.0189005516263465</v>
      </c>
    </row>
    <row r="484" customFormat="false" ht="15" hidden="false" customHeight="false" outlineLevel="0" collapsed="false">
      <c r="A484" s="13" t="n">
        <f aca="false">Share_Prices!A484</f>
        <v>45511</v>
      </c>
      <c r="B484" s="14" t="n">
        <f aca="false">Share_Prices!B484/Share_Prices!B483-1</f>
        <v>0.0127101954565063</v>
      </c>
      <c r="C484" s="14" t="n">
        <f aca="false">Share_Prices!C484/Share_Prices!C483-1</f>
        <v>0.0180722086324205</v>
      </c>
      <c r="D484" s="14" t="n">
        <f aca="false">Share_Prices!D484/Share_Prices!D483-1</f>
        <v>0.00168711656441722</v>
      </c>
      <c r="E484" s="14" t="n">
        <f aca="false">Share_Prices!E484/Share_Prices!E483-1</f>
        <v>0.0196141895390989</v>
      </c>
      <c r="F484" s="14" t="n">
        <f aca="false">Share_Prices!F484/Share_Prices!F483-1</f>
        <v>-0.0280566898871006</v>
      </c>
      <c r="G484" s="14" t="n">
        <f aca="false">Share_Prices!G484/Share_Prices!G483-1</f>
        <v>-0.0225512004295467</v>
      </c>
      <c r="H484" s="14" t="n">
        <f aca="false">Share_Prices!H484/Share_Prices!H483-1</f>
        <v>0.0233925523171272</v>
      </c>
      <c r="I484" s="14" t="n">
        <f aca="false">Share_Prices!I484/Share_Prices!I483-1</f>
        <v>0.0203775203775203</v>
      </c>
      <c r="J484" s="14" t="n">
        <f aca="false">Share_Prices!J484/Share_Prices!J483-1</f>
        <v>-0.0147108747312437</v>
      </c>
      <c r="K484" s="14" t="n">
        <f aca="false">Share_Prices!K484/Share_Prices!K483-1</f>
        <v>0.0151006968374299</v>
      </c>
      <c r="L484" s="14" t="n">
        <f aca="false">Share_Prices!L484/Share_Prices!L483-1</f>
        <v>0.0317145317706968</v>
      </c>
      <c r="M484" s="14" t="n">
        <f aca="false">Share_Prices!M484/Share_Prices!M483-1</f>
        <v>-0.0177288705486779</v>
      </c>
      <c r="N484" s="14" t="n">
        <f aca="false">Share_Prices!N484/Share_Prices!N483-1</f>
        <v>0.0225136358361377</v>
      </c>
      <c r="O484" s="14" t="n">
        <f aca="false">Share_Prices!O484/Share_Prices!O483-1</f>
        <v>0.0363295241344024</v>
      </c>
      <c r="P484" s="14" t="n">
        <f aca="false">Share_Prices!P484/Share_Prices!P483-1</f>
        <v>0.0377247685897257</v>
      </c>
      <c r="Q484" s="14" t="n">
        <f aca="false">Share_Prices!Q484/Share_Prices!Q483-1</f>
        <v>0.0272992700729928</v>
      </c>
      <c r="R484" s="14" t="n">
        <f aca="false">Share_Prices!R484/Share_Prices!R483-1</f>
        <v>0.0218278107779288</v>
      </c>
      <c r="S484" s="14" t="n">
        <f aca="false">Share_Prices!S484/Share_Prices!S483-1</f>
        <v>0.0311089960518893</v>
      </c>
    </row>
    <row r="485" customFormat="false" ht="15" hidden="false" customHeight="false" outlineLevel="0" collapsed="false">
      <c r="A485" s="13" t="n">
        <f aca="false">Share_Prices!A485</f>
        <v>45512</v>
      </c>
      <c r="B485" s="14" t="n">
        <f aca="false">Share_Prices!B485/Share_Prices!B484-1</f>
        <v>-0.00742874781356107</v>
      </c>
      <c r="C485" s="14" t="n">
        <f aca="false">Share_Prices!C485/Share_Prices!C484-1</f>
        <v>-0.00626726013068468</v>
      </c>
      <c r="D485" s="14" t="n">
        <f aca="false">Share_Prices!D485/Share_Prices!D484-1</f>
        <v>0.00943193997856384</v>
      </c>
      <c r="E485" s="14" t="n">
        <f aca="false">Share_Prices!E485/Share_Prices!E484-1</f>
        <v>-0.00184115294267018</v>
      </c>
      <c r="F485" s="14" t="n">
        <f aca="false">Share_Prices!F485/Share_Prices!F484-1</f>
        <v>0.0156195936928476</v>
      </c>
      <c r="G485" s="14" t="n">
        <f aca="false">Share_Prices!G485/Share_Prices!G484-1</f>
        <v>0.00447304402417026</v>
      </c>
      <c r="H485" s="14" t="n">
        <f aca="false">Share_Prices!H485/Share_Prices!H484-1</f>
        <v>-0.00636313090751839</v>
      </c>
      <c r="I485" s="14" t="n">
        <f aca="false">Share_Prices!I485/Share_Prices!I484-1</f>
        <v>-0.0497162076939247</v>
      </c>
      <c r="J485" s="14" t="n">
        <f aca="false">Share_Prices!J485/Share_Prices!J484-1</f>
        <v>-0.0162800045940049</v>
      </c>
      <c r="K485" s="14" t="n">
        <f aca="false">Share_Prices!K485/Share_Prices!K484-1</f>
        <v>-0.00826782939303861</v>
      </c>
      <c r="L485" s="14" t="n">
        <f aca="false">Share_Prices!L485/Share_Prices!L484-1</f>
        <v>-0.0199245118676055</v>
      </c>
      <c r="M485" s="14" t="n">
        <f aca="false">Share_Prices!M485/Share_Prices!M484-1</f>
        <v>-0.0253228566983041</v>
      </c>
      <c r="N485" s="14" t="n">
        <f aca="false">Share_Prices!N485/Share_Prices!N484-1</f>
        <v>-0.0251957780047668</v>
      </c>
      <c r="O485" s="14" t="n">
        <f aca="false">Share_Prices!O485/Share_Prices!O484-1</f>
        <v>-0.0260039499670838</v>
      </c>
      <c r="P485" s="14" t="n">
        <f aca="false">Share_Prices!P485/Share_Prices!P484-1</f>
        <v>-0.00396140993855776</v>
      </c>
      <c r="Q485" s="14" t="n">
        <f aca="false">Share_Prices!Q485/Share_Prices!Q484-1</f>
        <v>0.0481739377575672</v>
      </c>
      <c r="R485" s="14" t="n">
        <f aca="false">Share_Prices!R485/Share_Prices!R484-1</f>
        <v>0.00238128589438302</v>
      </c>
      <c r="S485" s="14" t="n">
        <f aca="false">Share_Prices!S485/Share_Prices!S484-1</f>
        <v>-0.0180680672125262</v>
      </c>
    </row>
    <row r="486" customFormat="false" ht="15" hidden="false" customHeight="false" outlineLevel="0" collapsed="false">
      <c r="A486" s="13" t="n">
        <f aca="false">Share_Prices!A486</f>
        <v>45513</v>
      </c>
      <c r="B486" s="14" t="n">
        <f aca="false">Share_Prices!B486/Share_Prices!B485-1</f>
        <v>0.0103868640378157</v>
      </c>
      <c r="C486" s="14" t="n">
        <f aca="false">Share_Prices!C486/Share_Prices!C485-1</f>
        <v>0.00959230501592101</v>
      </c>
      <c r="D486" s="14" t="n">
        <f aca="false">Share_Prices!D486/Share_Prices!D485-1</f>
        <v>-0.00194157085216762</v>
      </c>
      <c r="E486" s="14" t="n">
        <f aca="false">Share_Prices!E486/Share_Prices!E485-1</f>
        <v>0.021689352499682</v>
      </c>
      <c r="F486" s="14" t="n">
        <f aca="false">Share_Prices!F486/Share_Prices!F485-1</f>
        <v>0.0164014211320389</v>
      </c>
      <c r="G486" s="14" t="n">
        <f aca="false">Share_Prices!G486/Share_Prices!G485-1</f>
        <v>-0.00289062500000004</v>
      </c>
      <c r="H486" s="14" t="n">
        <f aca="false">Share_Prices!H486/Share_Prices!H485-1</f>
        <v>0.0208903257896045</v>
      </c>
      <c r="I486" s="14" t="n">
        <f aca="false">Share_Prices!I486/Share_Prices!I485-1</f>
        <v>0.0568521181285255</v>
      </c>
      <c r="J486" s="14" t="n">
        <f aca="false">Share_Prices!J486/Share_Prices!J485-1</f>
        <v>0.0252765535156592</v>
      </c>
      <c r="K486" s="14" t="n">
        <f aca="false">Share_Prices!K486/Share_Prices!K485-1</f>
        <v>0.00546148814142056</v>
      </c>
      <c r="L486" s="14" t="n">
        <f aca="false">Share_Prices!L486/Share_Prices!L485-1</f>
        <v>-0.00118496574708382</v>
      </c>
      <c r="M486" s="14" t="n">
        <f aca="false">Share_Prices!M486/Share_Prices!M485-1</f>
        <v>-0.000518817097018731</v>
      </c>
      <c r="N486" s="14" t="n">
        <f aca="false">Share_Prices!N486/Share_Prices!N485-1</f>
        <v>-0.0150192106182326</v>
      </c>
      <c r="O486" s="14" t="n">
        <f aca="false">Share_Prices!O486/Share_Prices!O485-1</f>
        <v>0.0141939844542076</v>
      </c>
      <c r="P486" s="14" t="n">
        <f aca="false">Share_Prices!P486/Share_Prices!P485-1</f>
        <v>0.0168556045561539</v>
      </c>
      <c r="Q486" s="14" t="n">
        <f aca="false">Share_Prices!Q486/Share_Prices!Q485-1</f>
        <v>-0.00813449023861168</v>
      </c>
      <c r="R486" s="14" t="n">
        <f aca="false">Share_Prices!R486/Share_Prices!R485-1</f>
        <v>-0.00810508664058141</v>
      </c>
      <c r="S486" s="14" t="n">
        <f aca="false">Share_Prices!S486/Share_Prices!S485-1</f>
        <v>0.0299073880648979</v>
      </c>
    </row>
    <row r="487" customFormat="false" ht="15" hidden="false" customHeight="false" outlineLevel="0" collapsed="false">
      <c r="A487" s="13" t="n">
        <f aca="false">Share_Prices!A487</f>
        <v>45516</v>
      </c>
      <c r="B487" s="14" t="n">
        <f aca="false">Share_Prices!B487/Share_Prices!B486-1</f>
        <v>-0.000841284497794193</v>
      </c>
      <c r="C487" s="14" t="n">
        <f aca="false">Share_Prices!C487/Share_Prices!C486-1</f>
        <v>-0.000333718672977601</v>
      </c>
      <c r="D487" s="14" t="n">
        <f aca="false">Share_Prices!D487/Share_Prices!D486-1</f>
        <v>0.0433447825161859</v>
      </c>
      <c r="E487" s="14" t="n">
        <f aca="false">Share_Prices!E487/Share_Prices!E486-1</f>
        <v>0.0187387163045509</v>
      </c>
      <c r="F487" s="14" t="n">
        <f aca="false">Share_Prices!F487/Share_Prices!F486-1</f>
        <v>-0.0274372725531509</v>
      </c>
      <c r="G487" s="14" t="n">
        <f aca="false">Share_Prices!G487/Share_Prices!G486-1</f>
        <v>0.0133197524093081</v>
      </c>
      <c r="H487" s="14" t="n">
        <f aca="false">Share_Prices!H487/Share_Prices!H486-1</f>
        <v>0.0183922046285019</v>
      </c>
      <c r="I487" s="14" t="n">
        <f aca="false">Share_Prices!I487/Share_Prices!I486-1</f>
        <v>0.0217687074829931</v>
      </c>
      <c r="J487" s="14" t="n">
        <f aca="false">Share_Prices!J487/Share_Prices!J486-1</f>
        <v>-0.00865431149827756</v>
      </c>
      <c r="K487" s="14" t="n">
        <f aca="false">Share_Prices!K487/Share_Prices!K486-1</f>
        <v>-0.0015130424257096</v>
      </c>
      <c r="L487" s="14" t="n">
        <f aca="false">Share_Prices!L487/Share_Prices!L486-1</f>
        <v>7.41482222963441E-005</v>
      </c>
      <c r="M487" s="14" t="n">
        <f aca="false">Share_Prices!M487/Share_Prices!M486-1</f>
        <v>-0.00570995048714273</v>
      </c>
      <c r="N487" s="14" t="n">
        <f aca="false">Share_Prices!N487/Share_Prices!N486-1</f>
        <v>-0.00910165484633574</v>
      </c>
      <c r="O487" s="14" t="n">
        <f aca="false">Share_Prices!O487/Share_Prices!O486-1</f>
        <v>-0.00449850049983347</v>
      </c>
      <c r="P487" s="14" t="n">
        <f aca="false">Share_Prices!P487/Share_Prices!P486-1</f>
        <v>0.00580034057045542</v>
      </c>
      <c r="Q487" s="14" t="n">
        <f aca="false">Share_Prices!Q487/Share_Prices!Q486-1</f>
        <v>-0.0071077091306726</v>
      </c>
      <c r="R487" s="14" t="n">
        <f aca="false">Share_Prices!R487/Share_Prices!R486-1</f>
        <v>-0.013877148492533</v>
      </c>
      <c r="S487" s="14" t="n">
        <f aca="false">Share_Prices!S487/Share_Prices!S486-1</f>
        <v>0.00608498698488891</v>
      </c>
    </row>
    <row r="488" customFormat="false" ht="15" hidden="false" customHeight="false" outlineLevel="0" collapsed="false">
      <c r="A488" s="13" t="n">
        <f aca="false">Share_Prices!A488</f>
        <v>45517</v>
      </c>
      <c r="B488" s="14" t="n">
        <f aca="false">Share_Prices!B488/Share_Prices!B487-1</f>
        <v>-0.00854314699963032</v>
      </c>
      <c r="C488" s="14" t="n">
        <f aca="false">Share_Prices!C488/Share_Prices!C487-1</f>
        <v>-0.00916614482988842</v>
      </c>
      <c r="D488" s="14" t="n">
        <f aca="false">Share_Prices!D488/Share_Prices!D487-1</f>
        <v>-0.00757465404224322</v>
      </c>
      <c r="E488" s="14" t="n">
        <f aca="false">Share_Prices!E488/Share_Prices!E487-1</f>
        <v>-0.0187606942067954</v>
      </c>
      <c r="F488" s="14" t="n">
        <f aca="false">Share_Prices!F488/Share_Prices!F487-1</f>
        <v>-0.00344640835015508</v>
      </c>
      <c r="G488" s="14" t="n">
        <f aca="false">Share_Prices!G488/Share_Prices!G487-1</f>
        <v>-0.00765483646485721</v>
      </c>
      <c r="H488" s="14" t="n">
        <f aca="false">Share_Prices!H488/Share_Prices!H487-1</f>
        <v>-0.0388709484511423</v>
      </c>
      <c r="I488" s="14" t="n">
        <f aca="false">Share_Prices!I488/Share_Prices!I487-1</f>
        <v>-0.0257093106627061</v>
      </c>
      <c r="J488" s="14" t="n">
        <f aca="false">Share_Prices!J488/Share_Prices!J487-1</f>
        <v>0.00522643080722496</v>
      </c>
      <c r="K488" s="14" t="n">
        <f aca="false">Share_Prices!K488/Share_Prices!K487-1</f>
        <v>-0.0216541398957449</v>
      </c>
      <c r="L488" s="14" t="n">
        <f aca="false">Share_Prices!L488/Share_Prices!L487-1</f>
        <v>-0.0250973123262279</v>
      </c>
      <c r="M488" s="14" t="n">
        <f aca="false">Share_Prices!M488/Share_Prices!M487-1</f>
        <v>-0.0338139030561021</v>
      </c>
      <c r="N488" s="14" t="n">
        <f aca="false">Share_Prices!N488/Share_Prices!N487-1</f>
        <v>-0.0322080400811166</v>
      </c>
      <c r="O488" s="14" t="n">
        <f aca="false">Share_Prices!O488/Share_Prices!O487-1</f>
        <v>-0.0292887029288703</v>
      </c>
      <c r="P488" s="14" t="n">
        <f aca="false">Share_Prices!P488/Share_Prices!P487-1</f>
        <v>-0.0195756838262526</v>
      </c>
      <c r="Q488" s="14" t="n">
        <f aca="false">Share_Prices!Q488/Share_Prices!Q487-1</f>
        <v>-0.0194107929515419</v>
      </c>
      <c r="R488" s="14" t="n">
        <f aca="false">Share_Prices!R488/Share_Prices!R487-1</f>
        <v>-0.0115008214872492</v>
      </c>
      <c r="S488" s="14" t="n">
        <f aca="false">Share_Prices!S488/Share_Prices!S487-1</f>
        <v>-0.0284768656967173</v>
      </c>
    </row>
    <row r="489" customFormat="false" ht="15" hidden="false" customHeight="false" outlineLevel="0" collapsed="false">
      <c r="A489" s="13" t="n">
        <f aca="false">Share_Prices!A489</f>
        <v>45518</v>
      </c>
      <c r="B489" s="14" t="n">
        <f aca="false">Share_Prices!B489/Share_Prices!B488-1</f>
        <v>0.000196776999875636</v>
      </c>
      <c r="C489" s="14" t="n">
        <f aca="false">Share_Prices!C489/Share_Prices!C488-1</f>
        <v>-0.00145997938852616</v>
      </c>
      <c r="D489" s="14" t="n">
        <f aca="false">Share_Prices!D489/Share_Prices!D488-1</f>
        <v>-0.0162630265668575</v>
      </c>
      <c r="E489" s="14" t="n">
        <f aca="false">Share_Prices!E489/Share_Prices!E488-1</f>
        <v>0.00317618484150217</v>
      </c>
      <c r="F489" s="14" t="n">
        <f aca="false">Share_Prices!F489/Share_Prices!F488-1</f>
        <v>-0.0191690133886665</v>
      </c>
      <c r="G489" s="14" t="n">
        <f aca="false">Share_Prices!G489/Share_Prices!G488-1</f>
        <v>0.00288296711859104</v>
      </c>
      <c r="H489" s="14" t="n">
        <f aca="false">Share_Prices!H489/Share_Prices!H488-1</f>
        <v>0.0333499253359879</v>
      </c>
      <c r="I489" s="14" t="n">
        <f aca="false">Share_Prices!I489/Share_Prices!I488-1</f>
        <v>-0.0121951219512195</v>
      </c>
      <c r="J489" s="14" t="n">
        <f aca="false">Share_Prices!J489/Share_Prices!J488-1</f>
        <v>0.0275103556634766</v>
      </c>
      <c r="K489" s="14" t="n">
        <f aca="false">Share_Prices!K489/Share_Prices!K488-1</f>
        <v>-0.00102225733004968</v>
      </c>
      <c r="L489" s="14" t="n">
        <f aca="false">Share_Prices!L489/Share_Prices!L488-1</f>
        <v>0.0221309605293178</v>
      </c>
      <c r="M489" s="14" t="n">
        <f aca="false">Share_Prices!M489/Share_Prices!M488-1</f>
        <v>-0.0210316305748368</v>
      </c>
      <c r="N489" s="14" t="n">
        <f aca="false">Share_Prices!N489/Share_Prices!N488-1</f>
        <v>-0.0107235301368174</v>
      </c>
      <c r="O489" s="14" t="n">
        <f aca="false">Share_Prices!O489/Share_Prices!O488-1</f>
        <v>-0.00724137931034485</v>
      </c>
      <c r="P489" s="14" t="n">
        <f aca="false">Share_Prices!P489/Share_Prices!P488-1</f>
        <v>-0.0197776698505207</v>
      </c>
      <c r="Q489" s="14" t="n">
        <f aca="false">Share_Prices!Q489/Share_Prices!Q488-1</f>
        <v>-0.00505405025972194</v>
      </c>
      <c r="R489" s="14" t="n">
        <f aca="false">Share_Prices!R489/Share_Prices!R488-1</f>
        <v>-0.00325191501662092</v>
      </c>
      <c r="S489" s="14" t="n">
        <f aca="false">Share_Prices!S489/Share_Prices!S488-1</f>
        <v>0.00129697200269763</v>
      </c>
    </row>
    <row r="490" customFormat="false" ht="15" hidden="false" customHeight="false" outlineLevel="0" collapsed="false">
      <c r="A490" s="13" t="n">
        <f aca="false">Share_Prices!A490</f>
        <v>45520</v>
      </c>
      <c r="B490" s="14" t="n">
        <f aca="false">Share_Prices!B490/Share_Prices!B489-1</f>
        <v>0.0164597463111571</v>
      </c>
      <c r="C490" s="14" t="n">
        <f aca="false">Share_Prices!C490/Share_Prices!C489-1</f>
        <v>0.0169300897777718</v>
      </c>
      <c r="D490" s="14" t="n">
        <f aca="false">Share_Prices!D490/Share_Prices!D489-1</f>
        <v>0.00271552624511351</v>
      </c>
      <c r="E490" s="14" t="n">
        <f aca="false">Share_Prices!E490/Share_Prices!E489-1</f>
        <v>0.0361931959274895</v>
      </c>
      <c r="F490" s="14" t="n">
        <f aca="false">Share_Prices!F490/Share_Prices!F489-1</f>
        <v>0.0139021810305748</v>
      </c>
      <c r="G490" s="14" t="n">
        <f aca="false">Share_Prices!G490/Share_Prices!G489-1</f>
        <v>0.0228420480149174</v>
      </c>
      <c r="H490" s="14" t="n">
        <f aca="false">Share_Prices!H490/Share_Prices!H489-1</f>
        <v>-0.00698458574181116</v>
      </c>
      <c r="I490" s="14" t="n">
        <f aca="false">Share_Prices!I490/Share_Prices!I489-1</f>
        <v>0.0218177948063005</v>
      </c>
      <c r="J490" s="14" t="n">
        <f aca="false">Share_Prices!J490/Share_Prices!J489-1</f>
        <v>-0.0587466637010676</v>
      </c>
      <c r="K490" s="14" t="n">
        <f aca="false">Share_Prices!K490/Share_Prices!K489-1</f>
        <v>0.0204970773834443</v>
      </c>
      <c r="L490" s="14" t="n">
        <f aca="false">Share_Prices!L490/Share_Prices!L489-1</f>
        <v>0.0187127976190478</v>
      </c>
      <c r="M490" s="14" t="n">
        <f aca="false">Share_Prices!M490/Share_Prices!M489-1</f>
        <v>0.0287436844563325</v>
      </c>
      <c r="N490" s="14" t="n">
        <f aca="false">Share_Prices!N490/Share_Prices!N489-1</f>
        <v>0.00909543982058314</v>
      </c>
      <c r="O490" s="14" t="n">
        <f aca="false">Share_Prices!O490/Share_Prices!O489-1</f>
        <v>0.0276137547759641</v>
      </c>
      <c r="P490" s="14" t="n">
        <f aca="false">Share_Prices!P490/Share_Prices!P489-1</f>
        <v>0.0096341765531669</v>
      </c>
      <c r="Q490" s="14" t="n">
        <f aca="false">Share_Prices!Q490/Share_Prices!Q489-1</f>
        <v>0.0225765486101313</v>
      </c>
      <c r="R490" s="14" t="n">
        <f aca="false">Share_Prices!R490/Share_Prices!R489-1</f>
        <v>0.013050097875734</v>
      </c>
      <c r="S490" s="14" t="n">
        <f aca="false">Share_Prices!S490/Share_Prices!S489-1</f>
        <v>0.0298435287209422</v>
      </c>
    </row>
    <row r="491" customFormat="false" ht="15" hidden="false" customHeight="false" outlineLevel="0" collapsed="false">
      <c r="A491" s="13" t="n">
        <f aca="false">Share_Prices!A491</f>
        <v>45523</v>
      </c>
      <c r="B491" s="14" t="n">
        <f aca="false">Share_Prices!B491/Share_Prices!B490-1</f>
        <v>0.00128355843145078</v>
      </c>
      <c r="C491" s="14" t="n">
        <f aca="false">Share_Prices!C491/Share_Prices!C490-1</f>
        <v>0.00361069546548687</v>
      </c>
      <c r="D491" s="14" t="n">
        <f aca="false">Share_Prices!D491/Share_Prices!D490-1</f>
        <v>-0.0108624486637701</v>
      </c>
      <c r="E491" s="14" t="n">
        <f aca="false">Share_Prices!E491/Share_Prices!E490-1</f>
        <v>0.0110239050985561</v>
      </c>
      <c r="F491" s="14" t="n">
        <f aca="false">Share_Prices!F491/Share_Prices!F490-1</f>
        <v>0.0126186099657211</v>
      </c>
      <c r="G491" s="14" t="n">
        <f aca="false">Share_Prices!G491/Share_Prices!G490-1</f>
        <v>0.014963919483479</v>
      </c>
      <c r="H491" s="14" t="n">
        <f aca="false">Share_Prices!H491/Share_Prices!H490-1</f>
        <v>-0.00266796022313853</v>
      </c>
      <c r="I491" s="14" t="n">
        <f aca="false">Share_Prices!I491/Share_Prices!I490-1</f>
        <v>0.001354025622331</v>
      </c>
      <c r="J491" s="14" t="n">
        <f aca="false">Share_Prices!J491/Share_Prices!J490-1</f>
        <v>-0.0355929700191995</v>
      </c>
      <c r="K491" s="14" t="n">
        <f aca="false">Share_Prices!K491/Share_Prices!K490-1</f>
        <v>0.00387426123155921</v>
      </c>
      <c r="L491" s="14" t="n">
        <f aca="false">Share_Prices!L491/Share_Prices!L490-1</f>
        <v>-0.0142058941679144</v>
      </c>
      <c r="M491" s="14" t="n">
        <f aca="false">Share_Prices!M491/Share_Prices!M490-1</f>
        <v>0.0123400742880726</v>
      </c>
      <c r="N491" s="14" t="n">
        <f aca="false">Share_Prices!N491/Share_Prices!N490-1</f>
        <v>0.121249536979874</v>
      </c>
      <c r="O491" s="14" t="n">
        <f aca="false">Share_Prices!O491/Share_Prices!O490-1</f>
        <v>0.00185905019435517</v>
      </c>
      <c r="P491" s="14" t="n">
        <f aca="false">Share_Prices!P491/Share_Prices!P490-1</f>
        <v>0.00348973527086338</v>
      </c>
      <c r="Q491" s="14" t="n">
        <f aca="false">Share_Prices!Q491/Share_Prices!Q490-1</f>
        <v>0.0238719470125568</v>
      </c>
      <c r="R491" s="14" t="n">
        <f aca="false">Share_Prices!R491/Share_Prices!R490-1</f>
        <v>0.00178916481786295</v>
      </c>
      <c r="S491" s="14" t="n">
        <f aca="false">Share_Prices!S491/Share_Prices!S490-1</f>
        <v>0.0315612946503439</v>
      </c>
    </row>
    <row r="492" customFormat="false" ht="15" hidden="false" customHeight="false" outlineLevel="0" collapsed="false">
      <c r="A492" s="13" t="n">
        <f aca="false">Share_Prices!A492</f>
        <v>45524</v>
      </c>
      <c r="B492" s="14" t="n">
        <f aca="false">Share_Prices!B492/Share_Prices!B491-1</f>
        <v>0.00513579121502961</v>
      </c>
      <c r="C492" s="14" t="n">
        <f aca="false">Share_Prices!C492/Share_Prices!C491-1</f>
        <v>0.00607612441793881</v>
      </c>
      <c r="D492" s="14" t="n">
        <f aca="false">Share_Prices!D492/Share_Prices!D491-1</f>
        <v>0.0068899118452328</v>
      </c>
      <c r="E492" s="14" t="n">
        <f aca="false">Share_Prices!E492/Share_Prices!E491-1</f>
        <v>0.00462222222222231</v>
      </c>
      <c r="F492" s="14" t="n">
        <f aca="false">Share_Prices!F492/Share_Prices!F491-1</f>
        <v>0.0135406956777708</v>
      </c>
      <c r="G492" s="14" t="n">
        <f aca="false">Share_Prices!G492/Share_Prices!G491-1</f>
        <v>0.00987876066457116</v>
      </c>
      <c r="H492" s="14" t="n">
        <f aca="false">Share_Prices!H492/Share_Prices!H491-1</f>
        <v>-0.0139834630350194</v>
      </c>
      <c r="I492" s="14" t="n">
        <f aca="false">Share_Prices!I492/Share_Prices!I491-1</f>
        <v>0.0197628458498025</v>
      </c>
      <c r="J492" s="14" t="n">
        <f aca="false">Share_Prices!J492/Share_Prices!J491-1</f>
        <v>-0.00986217457886673</v>
      </c>
      <c r="K492" s="14" t="n">
        <f aca="false">Share_Prices!K492/Share_Prices!K491-1</f>
        <v>0.0159972152435148</v>
      </c>
      <c r="L492" s="14" t="n">
        <f aca="false">Share_Prices!L492/Share_Prices!L491-1</f>
        <v>0.0282655404904792</v>
      </c>
      <c r="M492" s="14" t="n">
        <f aca="false">Share_Prices!M492/Share_Prices!M491-1</f>
        <v>0.00179379509967803</v>
      </c>
      <c r="N492" s="14" t="n">
        <f aca="false">Share_Prices!N492/Share_Prices!N491-1</f>
        <v>0.0128840436075321</v>
      </c>
      <c r="O492" s="14" t="n">
        <f aca="false">Share_Prices!O492/Share_Prices!O491-1</f>
        <v>0.0244601889338731</v>
      </c>
      <c r="P492" s="14" t="n">
        <f aca="false">Share_Prices!P492/Share_Prices!P491-1</f>
        <v>0.0189909528078898</v>
      </c>
      <c r="Q492" s="14" t="n">
        <f aca="false">Share_Prices!Q492/Share_Prices!Q491-1</f>
        <v>0.0774932614555257</v>
      </c>
      <c r="R492" s="14" t="n">
        <f aca="false">Share_Prices!R492/Share_Prices!R491-1</f>
        <v>0.015430775825118</v>
      </c>
      <c r="S492" s="14" t="n">
        <f aca="false">Share_Prices!S492/Share_Prices!S491-1</f>
        <v>0.0273930290024711</v>
      </c>
    </row>
    <row r="493" customFormat="false" ht="15" hidden="false" customHeight="false" outlineLevel="0" collapsed="false">
      <c r="A493" s="13" t="n">
        <f aca="false">Share_Prices!A493</f>
        <v>45525</v>
      </c>
      <c r="B493" s="14" t="n">
        <f aca="false">Share_Prices!B493/Share_Prices!B492-1</f>
        <v>0.0028887984663255</v>
      </c>
      <c r="C493" s="14" t="n">
        <f aca="false">Share_Prices!C493/Share_Prices!C492-1</f>
        <v>0.00379289830264584</v>
      </c>
      <c r="D493" s="14" t="n">
        <f aca="false">Share_Prices!D493/Share_Prices!D492-1</f>
        <v>0.0159863742305624</v>
      </c>
      <c r="E493" s="14" t="n">
        <f aca="false">Share_Prices!E493/Share_Prices!E492-1</f>
        <v>-0.000766825930513693</v>
      </c>
      <c r="F493" s="14" t="n">
        <f aca="false">Share_Prices!F493/Share_Prices!F492-1</f>
        <v>0.0115688077835328</v>
      </c>
      <c r="G493" s="14" t="n">
        <f aca="false">Share_Prices!G493/Share_Prices!G492-1</f>
        <v>0.00622498888394829</v>
      </c>
      <c r="H493" s="14" t="n">
        <f aca="false">Share_Prices!H493/Share_Prices!H492-1</f>
        <v>0.101060550006166</v>
      </c>
      <c r="I493" s="14" t="n">
        <f aca="false">Share_Prices!I493/Share_Prices!I492-1</f>
        <v>0.00805793553651579</v>
      </c>
      <c r="J493" s="14" t="n">
        <f aca="false">Share_Prices!J493/Share_Prices!J492-1</f>
        <v>-0.00182504330611233</v>
      </c>
      <c r="K493" s="14" t="n">
        <f aca="false">Share_Prices!K493/Share_Prices!K492-1</f>
        <v>0.00195140844021391</v>
      </c>
      <c r="L493" s="14" t="n">
        <f aca="false">Share_Prices!L493/Share_Prices!L492-1</f>
        <v>0.00904276398746284</v>
      </c>
      <c r="M493" s="14" t="n">
        <f aca="false">Share_Prices!M493/Share_Prices!M492-1</f>
        <v>-0.00508688397835022</v>
      </c>
      <c r="N493" s="14" t="n">
        <f aca="false">Share_Prices!N493/Share_Prices!N492-1</f>
        <v>0.0101108936725376</v>
      </c>
      <c r="O493" s="14" t="n">
        <f aca="false">Share_Prices!O493/Share_Prices!O492-1</f>
        <v>0.0135023876173226</v>
      </c>
      <c r="P493" s="14" t="n">
        <f aca="false">Share_Prices!P493/Share_Prices!P492-1</f>
        <v>0.0214632325494588</v>
      </c>
      <c r="Q493" s="14" t="n">
        <f aca="false">Share_Prices!Q493/Share_Prices!Q492-1</f>
        <v>0.000500312695434602</v>
      </c>
      <c r="R493" s="14" t="n">
        <f aca="false">Share_Prices!R493/Share_Prices!R492-1</f>
        <v>-0.00161812297734643</v>
      </c>
      <c r="S493" s="14" t="n">
        <f aca="false">Share_Prices!S493/Share_Prices!S492-1</f>
        <v>-0.000253176574837588</v>
      </c>
    </row>
    <row r="494" customFormat="false" ht="15" hidden="false" customHeight="false" outlineLevel="0" collapsed="false">
      <c r="A494" s="13" t="n">
        <f aca="false">Share_Prices!A494</f>
        <v>45526</v>
      </c>
      <c r="B494" s="14" t="n">
        <f aca="false">Share_Prices!B494/Share_Prices!B493-1</f>
        <v>0.00166732606115416</v>
      </c>
      <c r="C494" s="14" t="n">
        <f aca="false">Share_Prices!C494/Share_Prices!C493-1</f>
        <v>0.00308319051378669</v>
      </c>
      <c r="D494" s="14" t="n">
        <f aca="false">Share_Prices!D494/Share_Prices!D493-1</f>
        <v>-0.0034704861621716</v>
      </c>
      <c r="E494" s="14" t="n">
        <f aca="false">Share_Prices!E494/Share_Prices!E493-1</f>
        <v>0.00306965761511213</v>
      </c>
      <c r="F494" s="14" t="n">
        <f aca="false">Share_Prices!F494/Share_Prices!F493-1</f>
        <v>0.00315819695664654</v>
      </c>
      <c r="G494" s="14" t="n">
        <f aca="false">Share_Prices!G494/Share_Prices!G493-1</f>
        <v>0.00508174988952725</v>
      </c>
      <c r="H494" s="14" t="n">
        <f aca="false">Share_Prices!H494/Share_Prices!H493-1</f>
        <v>-0.0287842302738423</v>
      </c>
      <c r="I494" s="14" t="n">
        <f aca="false">Share_Prices!I494/Share_Prices!I493-1</f>
        <v>-0.00172012546797529</v>
      </c>
      <c r="J494" s="14" t="n">
        <f aca="false">Share_Prices!J494/Share_Prices!J493-1</f>
        <v>0.0351110973380024</v>
      </c>
      <c r="K494" s="14" t="n">
        <f aca="false">Share_Prices!K494/Share_Prices!K493-1</f>
        <v>0.00121911331806968</v>
      </c>
      <c r="L494" s="14" t="n">
        <f aca="false">Share_Prices!L494/Share_Prices!L493-1</f>
        <v>-0.0248143387603542</v>
      </c>
      <c r="M494" s="14" t="n">
        <f aca="false">Share_Prices!M494/Share_Prices!M493-1</f>
        <v>-0.00155431937172779</v>
      </c>
      <c r="N494" s="14" t="n">
        <f aca="false">Share_Prices!N494/Share_Prices!N493-1</f>
        <v>0.00688838661069857</v>
      </c>
      <c r="O494" s="14" t="n">
        <f aca="false">Share_Prices!O494/Share_Prices!O493-1</f>
        <v>0.0193338748984564</v>
      </c>
      <c r="P494" s="14" t="n">
        <f aca="false">Share_Prices!P494/Share_Prices!P493-1</f>
        <v>0.00660384745895448</v>
      </c>
      <c r="Q494" s="14" t="n">
        <f aca="false">Share_Prices!Q494/Share_Prices!Q493-1</f>
        <v>0.0076259532441556</v>
      </c>
      <c r="R494" s="14" t="n">
        <f aca="false">Share_Prices!R494/Share_Prices!R493-1</f>
        <v>0.00690578535691655</v>
      </c>
      <c r="S494" s="14" t="n">
        <f aca="false">Share_Prices!S494/Share_Prices!S493-1</f>
        <v>-0.00489071081496006</v>
      </c>
    </row>
    <row r="495" customFormat="false" ht="15" hidden="false" customHeight="false" outlineLevel="0" collapsed="false">
      <c r="A495" s="13" t="n">
        <f aca="false">Share_Prices!A495</f>
        <v>45527</v>
      </c>
      <c r="B495" s="14" t="n">
        <f aca="false">Share_Prices!B495/Share_Prices!B494-1</f>
        <v>0.000469540334119278</v>
      </c>
      <c r="C495" s="14" t="n">
        <f aca="false">Share_Prices!C495/Share_Prices!C494-1</f>
        <v>-0.000940671566975304</v>
      </c>
      <c r="D495" s="14" t="n">
        <f aca="false">Share_Prices!D495/Share_Prices!D494-1</f>
        <v>-0.00690611811232778</v>
      </c>
      <c r="E495" s="14" t="n">
        <f aca="false">Share_Prices!E495/Share_Prices!E494-1</f>
        <v>0.000588512241054717</v>
      </c>
      <c r="F495" s="14" t="n">
        <f aca="false">Share_Prices!F495/Share_Prices!F494-1</f>
        <v>0.005580995993131</v>
      </c>
      <c r="G495" s="14" t="n">
        <f aca="false">Share_Prices!G495/Share_Prices!G494-1</f>
        <v>-0.0142888546933392</v>
      </c>
      <c r="H495" s="14" t="n">
        <f aca="false">Share_Prices!H495/Share_Prices!H494-1</f>
        <v>-0.000634261661765501</v>
      </c>
      <c r="I495" s="14" t="n">
        <f aca="false">Share_Prices!I495/Share_Prices!I494-1</f>
        <v>0.0184471923778633</v>
      </c>
      <c r="J495" s="14" t="n">
        <f aca="false">Share_Prices!J495/Share_Prices!J494-1</f>
        <v>0.00937069636548715</v>
      </c>
      <c r="K495" s="14" t="n">
        <f aca="false">Share_Prices!K495/Share_Prices!K494-1</f>
        <v>-0.00114338322641971</v>
      </c>
      <c r="L495" s="14" t="n">
        <f aca="false">Share_Prices!L495/Share_Prices!L494-1</f>
        <v>-0.0123384468934208</v>
      </c>
      <c r="M495" s="14" t="n">
        <f aca="false">Share_Prices!M495/Share_Prices!M494-1</f>
        <v>-0.0138467841048752</v>
      </c>
      <c r="N495" s="14" t="n">
        <f aca="false">Share_Prices!N495/Share_Prices!N494-1</f>
        <v>-0.0193479422768573</v>
      </c>
      <c r="O495" s="14" t="n">
        <f aca="false">Share_Prices!O495/Share_Prices!O494-1</f>
        <v>-0.027733503347147</v>
      </c>
      <c r="P495" s="14" t="n">
        <f aca="false">Share_Prices!P495/Share_Prices!P494-1</f>
        <v>-0.0142101441759154</v>
      </c>
      <c r="Q495" s="14" t="n">
        <f aca="false">Share_Prices!Q495/Share_Prices!Q494-1</f>
        <v>-0.00645161290322582</v>
      </c>
      <c r="R495" s="14" t="n">
        <f aca="false">Share_Prices!R495/Share_Prices!R494-1</f>
        <v>0.00307929176289434</v>
      </c>
      <c r="S495" s="14" t="n">
        <f aca="false">Share_Prices!S495/Share_Prices!S494-1</f>
        <v>-0.00542371803028385</v>
      </c>
    </row>
    <row r="496" customFormat="false" ht="15" hidden="false" customHeight="false" outlineLevel="0" collapsed="false">
      <c r="A496" s="13" t="n">
        <f aca="false">Share_Prices!A496</f>
        <v>45530</v>
      </c>
      <c r="B496" s="14" t="n">
        <f aca="false">Share_Prices!B496/Share_Prices!B495-1</f>
        <v>0.0075514187361394</v>
      </c>
      <c r="C496" s="14" t="n">
        <f aca="false">Share_Prices!C496/Share_Prices!C495-1</f>
        <v>0.00611051448311484</v>
      </c>
      <c r="D496" s="14" t="n">
        <f aca="false">Share_Prices!D496/Share_Prices!D495-1</f>
        <v>0.00267467086689055</v>
      </c>
      <c r="E496" s="14" t="n">
        <f aca="false">Share_Prices!E496/Share_Prices!E495-1</f>
        <v>0.00264674744147753</v>
      </c>
      <c r="F496" s="14" t="n">
        <f aca="false">Share_Prices!F496/Share_Prices!F495-1</f>
        <v>0.0367155258289456</v>
      </c>
      <c r="G496" s="14" t="n">
        <f aca="false">Share_Prices!G496/Share_Prices!G495-1</f>
        <v>-0.010035682426405</v>
      </c>
      <c r="H496" s="14" t="n">
        <f aca="false">Share_Prices!H496/Share_Prices!H495-1</f>
        <v>0.013270251557812</v>
      </c>
      <c r="I496" s="14" t="n">
        <f aca="false">Share_Prices!I496/Share_Prices!I495-1</f>
        <v>0.000895700636942776</v>
      </c>
      <c r="J496" s="14" t="n">
        <f aca="false">Share_Prices!J496/Share_Prices!J495-1</f>
        <v>0.00898709773098028</v>
      </c>
      <c r="K496" s="14" t="n">
        <f aca="false">Share_Prices!K496/Share_Prices!K495-1</f>
        <v>0.00630323932983479</v>
      </c>
      <c r="L496" s="14" t="n">
        <f aca="false">Share_Prices!L496/Share_Prices!L495-1</f>
        <v>0.0342897390272836</v>
      </c>
      <c r="M496" s="14" t="n">
        <f aca="false">Share_Prices!M496/Share_Prices!M495-1</f>
        <v>0.00664672648720499</v>
      </c>
      <c r="N496" s="14" t="n">
        <f aca="false">Share_Prices!N496/Share_Prices!N495-1</f>
        <v>0.00305210377152831</v>
      </c>
      <c r="O496" s="14" t="n">
        <f aca="false">Share_Prices!O496/Share_Prices!O495-1</f>
        <v>0.0339344262295083</v>
      </c>
      <c r="P496" s="14" t="n">
        <f aca="false">Share_Prices!P496/Share_Prices!P495-1</f>
        <v>0.0186500420875422</v>
      </c>
      <c r="Q496" s="14" t="n">
        <f aca="false">Share_Prices!Q496/Share_Prices!Q495-1</f>
        <v>0.0151098901098901</v>
      </c>
      <c r="R496" s="14" t="n">
        <f aca="false">Share_Prices!R496/Share_Prices!R495-1</f>
        <v>0.00516291076536679</v>
      </c>
      <c r="S496" s="14" t="n">
        <f aca="false">Share_Prices!S496/Share_Prices!S495-1</f>
        <v>0.0113863523692248</v>
      </c>
    </row>
    <row r="497" customFormat="false" ht="15" hidden="false" customHeight="false" outlineLevel="0" collapsed="false">
      <c r="A497" s="13" t="n">
        <f aca="false">Share_Prices!A497</f>
        <v>45531</v>
      </c>
      <c r="B497" s="14" t="n">
        <f aca="false">Share_Prices!B497/Share_Prices!B496-1</f>
        <v>0.000285878787394278</v>
      </c>
      <c r="C497" s="14" t="n">
        <f aca="false">Share_Prices!C497/Share_Prices!C496-1</f>
        <v>0.00182923594384965</v>
      </c>
      <c r="D497" s="14" t="n">
        <f aca="false">Share_Prices!D497/Share_Prices!D496-1</f>
        <v>0.00201547170929772</v>
      </c>
      <c r="E497" s="14" t="n">
        <f aca="false">Share_Prices!E497/Share_Prices!E496-1</f>
        <v>0.0105003812987621</v>
      </c>
      <c r="F497" s="14" t="n">
        <f aca="false">Share_Prices!F497/Share_Prices!F496-1</f>
        <v>0.00599405170441547</v>
      </c>
      <c r="G497" s="14" t="n">
        <f aca="false">Share_Prices!G497/Share_Prices!G496-1</f>
        <v>0.0274085755049935</v>
      </c>
      <c r="H497" s="14" t="n">
        <f aca="false">Share_Prices!H497/Share_Prices!H496-1</f>
        <v>0.00301787951258392</v>
      </c>
      <c r="I497" s="14" t="n">
        <f aca="false">Share_Prices!I497/Share_Prices!I496-1</f>
        <v>-0.00169036491995633</v>
      </c>
      <c r="J497" s="14" t="n">
        <f aca="false">Share_Prices!J497/Share_Prices!J496-1</f>
        <v>0.0176083250044092</v>
      </c>
      <c r="K497" s="14" t="n">
        <f aca="false">Share_Prices!K497/Share_Prices!K496-1</f>
        <v>0.012586606786722</v>
      </c>
      <c r="L497" s="14" t="n">
        <f aca="false">Share_Prices!L497/Share_Prices!L496-1</f>
        <v>0.034944984050751</v>
      </c>
      <c r="M497" s="14" t="n">
        <f aca="false">Share_Prices!M497/Share_Prices!M496-1</f>
        <v>0.000247606470782591</v>
      </c>
      <c r="N497" s="14" t="n">
        <f aca="false">Share_Prices!N497/Share_Prices!N496-1</f>
        <v>0.00597696153010219</v>
      </c>
      <c r="O497" s="14" t="n">
        <f aca="false">Share_Prices!O497/Share_Prices!O496-1</f>
        <v>0.0158553987632788</v>
      </c>
      <c r="P497" s="14" t="n">
        <f aca="false">Share_Prices!P497/Share_Prices!P496-1</f>
        <v>0.0258231116849581</v>
      </c>
      <c r="Q497" s="14" t="n">
        <f aca="false">Share_Prices!Q497/Share_Prices!Q496-1</f>
        <v>-0.00959527617173084</v>
      </c>
      <c r="R497" s="14" t="n">
        <f aca="false">Share_Prices!R497/Share_Prices!R496-1</f>
        <v>0.0227667106267786</v>
      </c>
      <c r="S497" s="14" t="n">
        <f aca="false">Share_Prices!S497/Share_Prices!S496-1</f>
        <v>0.0212829878405516</v>
      </c>
    </row>
    <row r="498" customFormat="false" ht="15" hidden="false" customHeight="false" outlineLevel="0" collapsed="false">
      <c r="A498" s="13" t="n">
        <f aca="false">Share_Prices!A498</f>
        <v>45532</v>
      </c>
      <c r="B498" s="14" t="n">
        <f aca="false">Share_Prices!B498/Share_Prices!B497-1</f>
        <v>0.00138301805717944</v>
      </c>
      <c r="C498" s="14" t="n">
        <f aca="false">Share_Prices!C498/Share_Prices!C497-1</f>
        <v>0.000470242344264182</v>
      </c>
      <c r="D498" s="14" t="n">
        <f aca="false">Share_Prices!D498/Share_Prices!D497-1</f>
        <v>0.0175999053450469</v>
      </c>
      <c r="E498" s="14" t="n">
        <f aca="false">Share_Prices!E498/Share_Prices!E497-1</f>
        <v>0.0143968419830489</v>
      </c>
      <c r="F498" s="14" t="n">
        <f aca="false">Share_Prices!F498/Share_Prices!F497-1</f>
        <v>-0.00322932775402529</v>
      </c>
      <c r="G498" s="14" t="n">
        <f aca="false">Share_Prices!G498/Share_Prices!G497-1</f>
        <v>-0.0134483262680896</v>
      </c>
      <c r="H498" s="14" t="n">
        <f aca="false">Share_Prices!H498/Share_Prices!H497-1</f>
        <v>0.0246948623332388</v>
      </c>
      <c r="I498" s="14" t="n">
        <f aca="false">Share_Prices!I498/Share_Prices!I497-1</f>
        <v>0.0538844621513943</v>
      </c>
      <c r="J498" s="14" t="n">
        <f aca="false">Share_Prices!J498/Share_Prices!J497-1</f>
        <v>-0.00248432850911395</v>
      </c>
      <c r="K498" s="14" t="n">
        <f aca="false">Share_Prices!K498/Share_Prices!K497-1</f>
        <v>0.00529594561078439</v>
      </c>
      <c r="L498" s="14" t="n">
        <f aca="false">Share_Prices!L498/Share_Prices!L497-1</f>
        <v>0.00477905527081313</v>
      </c>
      <c r="M498" s="14" t="n">
        <f aca="false">Share_Prices!M498/Share_Prices!M497-1</f>
        <v>-0.0083752784883242</v>
      </c>
      <c r="N498" s="14" t="n">
        <f aca="false">Share_Prices!N498/Share_Prices!N497-1</f>
        <v>-0.015339742897267</v>
      </c>
      <c r="O498" s="14" t="n">
        <f aca="false">Share_Prices!O498/Share_Prices!O497-1</f>
        <v>-0.0159200874044015</v>
      </c>
      <c r="P498" s="14" t="n">
        <f aca="false">Share_Prices!P498/Share_Prices!P497-1</f>
        <v>-0.0139962240402769</v>
      </c>
      <c r="Q498" s="14" t="n">
        <f aca="false">Share_Prices!Q498/Share_Prices!Q497-1</f>
        <v>-0.00707986585517328</v>
      </c>
      <c r="R498" s="14" t="n">
        <f aca="false">Share_Prices!R498/Share_Prices!R497-1</f>
        <v>-0.00739735324058366</v>
      </c>
      <c r="S498" s="14" t="n">
        <f aca="false">Share_Prices!S498/Share_Prices!S497-1</f>
        <v>-0.00854634690117506</v>
      </c>
    </row>
    <row r="499" customFormat="false" ht="15" hidden="false" customHeight="false" outlineLevel="0" collapsed="false">
      <c r="A499" s="13" t="n">
        <f aca="false">Share_Prices!A499</f>
        <v>45533</v>
      </c>
      <c r="B499" s="14" t="n">
        <f aca="false">Share_Prices!B499/Share_Prices!B498-1</f>
        <v>0.00397567493668261</v>
      </c>
      <c r="C499" s="14" t="n">
        <f aca="false">Share_Prices!C499/Share_Prices!C498-1</f>
        <v>0.000654218864792666</v>
      </c>
      <c r="D499" s="14" t="n">
        <f aca="false">Share_Prices!D499/Share_Prices!D498-1</f>
        <v>-0.00549386663566065</v>
      </c>
      <c r="E499" s="14" t="n">
        <f aca="false">Share_Prices!E499/Share_Prices!E498-1</f>
        <v>0.0105299301819846</v>
      </c>
      <c r="F499" s="14" t="n">
        <f aca="false">Share_Prices!F499/Share_Prices!F498-1</f>
        <v>0.0121834360027377</v>
      </c>
      <c r="G499" s="14" t="n">
        <f aca="false">Share_Prices!G499/Share_Prices!G498-1</f>
        <v>0.00155578604237672</v>
      </c>
      <c r="H499" s="14" t="n">
        <f aca="false">Share_Prices!H499/Share_Prices!H498-1</f>
        <v>0.0491966759002769</v>
      </c>
      <c r="I499" s="14" t="n">
        <f aca="false">Share_Prices!I499/Share_Prices!I498-1</f>
        <v>-0.0148379170210754</v>
      </c>
      <c r="J499" s="14" t="n">
        <f aca="false">Share_Prices!J499/Share_Prices!J498-1</f>
        <v>-0.0141611884972923</v>
      </c>
      <c r="K499" s="14" t="n">
        <f aca="false">Share_Prices!K499/Share_Prices!K498-1</f>
        <v>0.0237134647200534</v>
      </c>
      <c r="L499" s="14" t="n">
        <f aca="false">Share_Prices!L499/Share_Prices!L498-1</f>
        <v>0.00337767974081471</v>
      </c>
      <c r="M499" s="14" t="n">
        <f aca="false">Share_Prices!M499/Share_Prices!M498-1</f>
        <v>-0.00748907842729352</v>
      </c>
      <c r="N499" s="14" t="n">
        <f aca="false">Share_Prices!N499/Share_Prices!N498-1</f>
        <v>-0.0106417992320351</v>
      </c>
      <c r="O499" s="14" t="n">
        <f aca="false">Share_Prices!O499/Share_Prices!O498-1</f>
        <v>-0.00586835844567812</v>
      </c>
      <c r="P499" s="14" t="n">
        <f aca="false">Share_Prices!P499/Share_Prices!P498-1</f>
        <v>0.00781230054379734</v>
      </c>
      <c r="Q499" s="14" t="n">
        <f aca="false">Share_Prices!Q499/Share_Prices!Q498-1</f>
        <v>-0.0178884163122341</v>
      </c>
      <c r="R499" s="14" t="n">
        <f aca="false">Share_Prices!R499/Share_Prices!R498-1</f>
        <v>-0.0138110214686175</v>
      </c>
      <c r="S499" s="14" t="n">
        <f aca="false">Share_Prices!S499/Share_Prices!S498-1</f>
        <v>-0.000421631244436727</v>
      </c>
    </row>
    <row r="500" customFormat="false" ht="15" hidden="false" customHeight="false" outlineLevel="0" collapsed="false">
      <c r="A500" s="13" t="n">
        <f aca="false">Share_Prices!A500</f>
        <v>45534</v>
      </c>
      <c r="B500" s="14" t="n">
        <f aca="false">Share_Prices!B500/Share_Prices!B499-1</f>
        <v>0.00333771337808808</v>
      </c>
      <c r="C500" s="14" t="n">
        <f aca="false">Share_Prices!C500/Share_Prices!C499-1</f>
        <v>0.00436495510210988</v>
      </c>
      <c r="D500" s="14" t="n">
        <f aca="false">Share_Prices!D500/Share_Prices!D499-1</f>
        <v>0.00590418846637242</v>
      </c>
      <c r="E500" s="14" t="n">
        <f aca="false">Share_Prices!E500/Share_Prices!E499-1</f>
        <v>-0.0219164118246687</v>
      </c>
      <c r="F500" s="14" t="n">
        <f aca="false">Share_Prices!F500/Share_Prices!F499-1</f>
        <v>0.0395816427734199</v>
      </c>
      <c r="G500" s="14" t="n">
        <f aca="false">Share_Prices!G500/Share_Prices!G499-1</f>
        <v>-0.00229306901398041</v>
      </c>
      <c r="H500" s="14" t="n">
        <f aca="false">Share_Prices!H500/Share_Prices!H499-1</f>
        <v>0.0322631745696484</v>
      </c>
      <c r="I500" s="14" t="n">
        <f aca="false">Share_Prices!I500/Share_Prices!I499-1</f>
        <v>0.00364543361473513</v>
      </c>
      <c r="J500" s="14" t="n">
        <f aca="false">Share_Prices!J500/Share_Prices!J499-1</f>
        <v>0.0288760942365314</v>
      </c>
      <c r="K500" s="14" t="n">
        <f aca="false">Share_Prices!K500/Share_Prices!K499-1</f>
        <v>0.019336546640204</v>
      </c>
      <c r="L500" s="14" t="n">
        <f aca="false">Share_Prices!L500/Share_Prices!L499-1</f>
        <v>0</v>
      </c>
      <c r="M500" s="14" t="n">
        <f aca="false">Share_Prices!M500/Share_Prices!M499-1</f>
        <v>0.0237266820373088</v>
      </c>
      <c r="N500" s="14" t="n">
        <f aca="false">Share_Prices!N500/Share_Prices!N499-1</f>
        <v>0.0119760479041917</v>
      </c>
      <c r="O500" s="14" t="n">
        <f aca="false">Share_Prices!O500/Share_Prices!O499-1</f>
        <v>0.00303126994256564</v>
      </c>
      <c r="P500" s="14" t="n">
        <f aca="false">Share_Prices!P500/Share_Prices!P499-1</f>
        <v>-0.00400253324889177</v>
      </c>
      <c r="Q500" s="14" t="n">
        <f aca="false">Share_Prices!Q500/Share_Prices!Q499-1</f>
        <v>-0.0133740924722965</v>
      </c>
      <c r="R500" s="14" t="n">
        <f aca="false">Share_Prices!R500/Share_Prices!R499-1</f>
        <v>0.00277315585135884</v>
      </c>
      <c r="S500" s="14" t="n">
        <f aca="false">Share_Prices!S500/Share_Prices!S499-1</f>
        <v>0.00124980471801273</v>
      </c>
    </row>
    <row r="501" customFormat="false" ht="15" hidden="false" customHeight="false" outlineLevel="0" collapsed="false">
      <c r="A501" s="13" t="n">
        <f aca="false">Share_Prices!A501</f>
        <v>45537</v>
      </c>
      <c r="B501" s="14" t="n">
        <f aca="false">Share_Prices!B501/Share_Prices!B500-1</f>
        <v>0.00169599657630592</v>
      </c>
      <c r="C501" s="14" t="n">
        <f aca="false">Share_Prices!C501/Share_Prices!C500-1</f>
        <v>0.00110176936154271</v>
      </c>
      <c r="D501" s="14" t="n">
        <f aca="false">Share_Prices!D501/Share_Prices!D500-1</f>
        <v>-0.00647973267470581</v>
      </c>
      <c r="E501" s="14" t="n">
        <f aca="false">Share_Prices!E501/Share_Prices!E500-1</f>
        <v>0.018933472294598</v>
      </c>
      <c r="F501" s="14" t="n">
        <f aca="false">Share_Prices!F501/Share_Prices!F500-1</f>
        <v>-0.00932350390286207</v>
      </c>
      <c r="G501" s="14" t="n">
        <f aca="false">Share_Prices!G501/Share_Prices!G500-1</f>
        <v>0.00177935943060503</v>
      </c>
      <c r="H501" s="14" t="n">
        <f aca="false">Share_Prices!H501/Share_Prices!H500-1</f>
        <v>-0.0028134431428718</v>
      </c>
      <c r="I501" s="14" t="n">
        <f aca="false">Share_Prices!I501/Share_Prices!I500-1</f>
        <v>-0.0124259223857771</v>
      </c>
      <c r="J501" s="14" t="n">
        <f aca="false">Share_Prices!J501/Share_Prices!J500-1</f>
        <v>-0.0117344753747323</v>
      </c>
      <c r="K501" s="14" t="n">
        <f aca="false">Share_Prices!K501/Share_Prices!K500-1</f>
        <v>0.0333082999554963</v>
      </c>
      <c r="L501" s="14" t="n">
        <f aca="false">Share_Prices!L501/Share_Prices!L500-1</f>
        <v>0.0210909590546853</v>
      </c>
      <c r="M501" s="14" t="n">
        <f aca="false">Share_Prices!M501/Share_Prices!M500-1</f>
        <v>-0.0108922648540191</v>
      </c>
      <c r="N501" s="14" t="n">
        <f aca="false">Share_Prices!N501/Share_Prices!N500-1</f>
        <v>0.00306815691431073</v>
      </c>
      <c r="O501" s="14" t="n">
        <f aca="false">Share_Prices!O501/Share_Prices!O500-1</f>
        <v>0.0249721647844758</v>
      </c>
      <c r="P501" s="14" t="n">
        <f aca="false">Share_Prices!P501/Share_Prices!P500-1</f>
        <v>-0.000432382938677867</v>
      </c>
      <c r="Q501" s="14" t="n">
        <f aca="false">Share_Prices!Q501/Share_Prices!Q500-1</f>
        <v>0.00232378001549183</v>
      </c>
      <c r="R501" s="14" t="n">
        <f aca="false">Share_Prices!R501/Share_Prices!R500-1</f>
        <v>0.0292450221238938</v>
      </c>
      <c r="S501" s="14" t="n">
        <f aca="false">Share_Prices!S501/Share_Prices!S500-1</f>
        <v>0.00647526915275387</v>
      </c>
    </row>
    <row r="502" customFormat="false" ht="15" hidden="false" customHeight="false" outlineLevel="0" collapsed="false">
      <c r="A502" s="13" t="n">
        <f aca="false">Share_Prices!A502</f>
        <v>45538</v>
      </c>
      <c r="B502" s="14" t="n">
        <f aca="false">Share_Prices!B502/Share_Prices!B501-1</f>
        <v>4.54928457553905E-005</v>
      </c>
      <c r="C502" s="14" t="n">
        <f aca="false">Share_Prices!C502/Share_Prices!C501-1</f>
        <v>0.0011678948852516</v>
      </c>
      <c r="D502" s="14" t="n">
        <f aca="false">Share_Prices!D502/Share_Prices!D501-1</f>
        <v>0.00944665418811419</v>
      </c>
      <c r="E502" s="14" t="n">
        <f aca="false">Share_Prices!E502/Share_Prices!E501-1</f>
        <v>0.00340947834981242</v>
      </c>
      <c r="F502" s="14" t="n">
        <f aca="false">Share_Prices!F502/Share_Prices!F501-1</f>
        <v>-0.0115561391989495</v>
      </c>
      <c r="G502" s="14" t="n">
        <f aca="false">Share_Prices!G502/Share_Prices!G501-1</f>
        <v>0.0273090586145648</v>
      </c>
      <c r="H502" s="14" t="n">
        <f aca="false">Share_Prices!H502/Share_Prices!H501-1</f>
        <v>0.0288293834000204</v>
      </c>
      <c r="I502" s="14" t="n">
        <f aca="false">Share_Prices!I502/Share_Prices!I501-1</f>
        <v>0.0107433217189314</v>
      </c>
      <c r="J502" s="14" t="n">
        <f aca="false">Share_Prices!J502/Share_Prices!J501-1</f>
        <v>0.00161784249147745</v>
      </c>
      <c r="K502" s="14" t="n">
        <f aca="false">Share_Prices!K502/Share_Prices!K501-1</f>
        <v>-0.0115883120903377</v>
      </c>
      <c r="L502" s="14" t="n">
        <f aca="false">Share_Prices!L502/Share_Prices!L501-1</f>
        <v>0.00921752001614751</v>
      </c>
      <c r="M502" s="14" t="n">
        <f aca="false">Share_Prices!M502/Share_Prices!M501-1</f>
        <v>0.00161457255226671</v>
      </c>
      <c r="N502" s="14" t="n">
        <f aca="false">Share_Prices!N502/Share_Prices!N501-1</f>
        <v>0.0270919816473674</v>
      </c>
      <c r="O502" s="14" t="n">
        <f aca="false">Share_Prices!O502/Share_Prices!O501-1</f>
        <v>0.00900062073246444</v>
      </c>
      <c r="P502" s="14" t="n">
        <f aca="false">Share_Prices!P502/Share_Prices!P501-1</f>
        <v>0.0068956743002544</v>
      </c>
      <c r="Q502" s="14" t="n">
        <f aca="false">Share_Prices!Q502/Share_Prices!Q501-1</f>
        <v>-0.00978876867594025</v>
      </c>
      <c r="R502" s="14" t="n">
        <f aca="false">Share_Prices!R502/Share_Prices!R501-1</f>
        <v>0.0291529522402094</v>
      </c>
      <c r="S502" s="14" t="n">
        <f aca="false">Share_Prices!S502/Share_Prices!S501-1</f>
        <v>0.0143709789938766</v>
      </c>
    </row>
    <row r="503" customFormat="false" ht="15" hidden="false" customHeight="false" outlineLevel="0" collapsed="false">
      <c r="A503" s="13" t="n">
        <f aca="false">Share_Prices!A503</f>
        <v>45539</v>
      </c>
      <c r="B503" s="14" t="n">
        <f aca="false">Share_Prices!B503/Share_Prices!B502-1</f>
        <v>-0.00321006651542621</v>
      </c>
      <c r="C503" s="14" t="n">
        <f aca="false">Share_Prices!C503/Share_Prices!C502-1</f>
        <v>-0.00166257154207183</v>
      </c>
      <c r="D503" s="14" t="n">
        <f aca="false">Share_Prices!D503/Share_Prices!D502-1</f>
        <v>0.00909749384325664</v>
      </c>
      <c r="E503" s="14" t="n">
        <f aca="false">Share_Prices!E503/Share_Prices!E502-1</f>
        <v>-0.00113263110205009</v>
      </c>
      <c r="F503" s="14" t="n">
        <f aca="false">Share_Prices!F503/Share_Prices!F502-1</f>
        <v>-0.00668703777512059</v>
      </c>
      <c r="G503" s="14" t="n">
        <f aca="false">Share_Prices!G503/Share_Prices!G502-1</f>
        <v>-0.00410633239680125</v>
      </c>
      <c r="H503" s="14" t="n">
        <f aca="false">Share_Prices!H503/Share_Prices!H502-1</f>
        <v>0.0499102512963701</v>
      </c>
      <c r="I503" s="14" t="n">
        <f aca="false">Share_Prices!I503/Share_Prices!I502-1</f>
        <v>-0.00268122187110975</v>
      </c>
      <c r="J503" s="14" t="n">
        <f aca="false">Share_Prices!J503/Share_Prices!J502-1</f>
        <v>-0.0195846553216037</v>
      </c>
      <c r="K503" s="14" t="n">
        <f aca="false">Share_Prices!K503/Share_Prices!K502-1</f>
        <v>-0.0073803752825512</v>
      </c>
      <c r="L503" s="14" t="n">
        <f aca="false">Share_Prices!L503/Share_Prices!L502-1</f>
        <v>-0.00846666666666673</v>
      </c>
      <c r="M503" s="14" t="n">
        <f aca="false">Share_Prices!M503/Share_Prices!M502-1</f>
        <v>-0.0197156319748699</v>
      </c>
      <c r="N503" s="14" t="n">
        <f aca="false">Share_Prices!N503/Share_Prices!N502-1</f>
        <v>-0.0197830248883216</v>
      </c>
      <c r="O503" s="14" t="n">
        <f aca="false">Share_Prices!O503/Share_Prices!O502-1</f>
        <v>-0.00199938480467554</v>
      </c>
      <c r="P503" s="14" t="n">
        <f aca="false">Share_Prices!P503/Share_Prices!P502-1</f>
        <v>-0.0103863940764701</v>
      </c>
      <c r="Q503" s="14" t="n">
        <f aca="false">Share_Prices!Q503/Share_Prices!Q502-1</f>
        <v>0.0022112382934445</v>
      </c>
      <c r="R503" s="14" t="n">
        <f aca="false">Share_Prices!R503/Share_Prices!R502-1</f>
        <v>0.00326349454996411</v>
      </c>
      <c r="S503" s="14" t="n">
        <f aca="false">Share_Prices!S503/Share_Prices!S502-1</f>
        <v>-0.008451522190977</v>
      </c>
    </row>
    <row r="504" customFormat="false" ht="15" hidden="false" customHeight="false" outlineLevel="0" collapsed="false">
      <c r="A504" s="13" t="n">
        <f aca="false">Share_Prices!A504</f>
        <v>45540</v>
      </c>
      <c r="B504" s="14" t="n">
        <f aca="false">Share_Prices!B504/Share_Prices!B503-1</f>
        <v>-0.00212709385801657</v>
      </c>
      <c r="C504" s="14" t="n">
        <f aca="false">Share_Prices!C504/Share_Prices!C503-1</f>
        <v>0.000585290266075456</v>
      </c>
      <c r="D504" s="14" t="n">
        <f aca="false">Share_Prices!D504/Share_Prices!D503-1</f>
        <v>0.0426655947629848</v>
      </c>
      <c r="E504" s="14" t="n">
        <f aca="false">Share_Prices!E504/Share_Prices!E503-1</f>
        <v>0.0041954870166685</v>
      </c>
      <c r="F504" s="14" t="n">
        <f aca="false">Share_Prices!F504/Share_Prices!F503-1</f>
        <v>0.0506910387873383</v>
      </c>
      <c r="G504" s="14" t="n">
        <f aca="false">Share_Prices!G504/Share_Prices!G503-1</f>
        <v>0.0234375</v>
      </c>
      <c r="H504" s="14" t="n">
        <f aca="false">Share_Prices!H504/Share_Prices!H503-1</f>
        <v>-0.0140095930094506</v>
      </c>
      <c r="I504" s="14" t="n">
        <f aca="false">Share_Prices!I504/Share_Prices!I503-1</f>
        <v>0.0278444551128181</v>
      </c>
      <c r="J504" s="14" t="n">
        <f aca="false">Share_Prices!J504/Share_Prices!J503-1</f>
        <v>-0.0172986967138359</v>
      </c>
      <c r="K504" s="14" t="n">
        <f aca="false">Share_Prices!K504/Share_Prices!K503-1</f>
        <v>-0.00747640474100098</v>
      </c>
      <c r="L504" s="14" t="n">
        <f aca="false">Share_Prices!L504/Share_Prices!L503-1</f>
        <v>0.0311302359981174</v>
      </c>
      <c r="M504" s="14" t="n">
        <f aca="false">Share_Prices!M504/Share_Prices!M503-1</f>
        <v>-0.00556562803052652</v>
      </c>
      <c r="N504" s="14" t="n">
        <f aca="false">Share_Prices!N504/Share_Prices!N503-1</f>
        <v>0.017578125</v>
      </c>
      <c r="O504" s="14" t="n">
        <f aca="false">Share_Prices!O504/Share_Prices!O503-1</f>
        <v>0.0143319463707814</v>
      </c>
      <c r="P504" s="14" t="n">
        <f aca="false">Share_Prices!P504/Share_Prices!P503-1</f>
        <v>0.0159601634320736</v>
      </c>
      <c r="Q504" s="14" t="n">
        <f aca="false">Share_Prices!Q504/Share_Prices!Q503-1</f>
        <v>0.0125892277741726</v>
      </c>
      <c r="R504" s="14" t="n">
        <f aca="false">Share_Prices!R504/Share_Prices!R503-1</f>
        <v>-0.00110597879123009</v>
      </c>
      <c r="S504" s="14" t="n">
        <f aca="false">Share_Prices!S504/Share_Prices!S503-1</f>
        <v>0.000477812543349998</v>
      </c>
    </row>
    <row r="505" customFormat="false" ht="15" hidden="false" customHeight="false" outlineLevel="0" collapsed="false">
      <c r="A505" s="13" t="n">
        <f aca="false">Share_Prices!A505</f>
        <v>45541</v>
      </c>
      <c r="B505" s="14" t="n">
        <f aca="false">Share_Prices!B505/Share_Prices!B504-1</f>
        <v>-0.0116503811875871</v>
      </c>
      <c r="C505" s="14" t="n">
        <f aca="false">Share_Prices!C505/Share_Prices!C504-1</f>
        <v>-0.0119977443735586</v>
      </c>
      <c r="D505" s="14" t="n">
        <f aca="false">Share_Prices!D505/Share_Prices!D504-1</f>
        <v>0.0330992702739914</v>
      </c>
      <c r="E505" s="14" t="n">
        <f aca="false">Share_Prices!E505/Share_Prices!E504-1</f>
        <v>-0.0167682926829269</v>
      </c>
      <c r="F505" s="14" t="n">
        <f aca="false">Share_Prices!F505/Share_Prices!F504-1</f>
        <v>-0.0277506683073788</v>
      </c>
      <c r="G505" s="14" t="n">
        <f aca="false">Share_Prices!G505/Share_Prices!G504-1</f>
        <v>-0.0180944303081707</v>
      </c>
      <c r="H505" s="14" t="n">
        <f aca="false">Share_Prices!H505/Share_Prices!H504-1</f>
        <v>-0.01416048550236</v>
      </c>
      <c r="I505" s="14" t="n">
        <f aca="false">Share_Prices!I505/Share_Prices!I504-1</f>
        <v>-0.00597851471275113</v>
      </c>
      <c r="J505" s="14" t="n">
        <f aca="false">Share_Prices!J505/Share_Prices!J504-1</f>
        <v>0.0137712181540579</v>
      </c>
      <c r="K505" s="14" t="n">
        <f aca="false">Share_Prices!K505/Share_Prices!K504-1</f>
        <v>0.00996530801232876</v>
      </c>
      <c r="L505" s="14" t="n">
        <f aca="false">Share_Prices!L505/Share_Prices!L504-1</f>
        <v>-0.0145083463745436</v>
      </c>
      <c r="M505" s="14" t="n">
        <f aca="false">Share_Prices!M505/Share_Prices!M504-1</f>
        <v>0.0251006995972016</v>
      </c>
      <c r="N505" s="14" t="n">
        <f aca="false">Share_Prices!N505/Share_Prices!N504-1</f>
        <v>-0.00501172957986773</v>
      </c>
      <c r="O505" s="14" t="n">
        <f aca="false">Share_Prices!O505/Share_Prices!O504-1</f>
        <v>-0.00577332117897311</v>
      </c>
      <c r="P505" s="14" t="n">
        <f aca="false">Share_Prices!P505/Share_Prices!P504-1</f>
        <v>-0.0063843156968707</v>
      </c>
      <c r="Q505" s="14" t="n">
        <f aca="false">Share_Prices!Q505/Share_Prices!Q504-1</f>
        <v>-0.0123045372981287</v>
      </c>
      <c r="R505" s="14" t="n">
        <f aca="false">Share_Prices!R505/Share_Prices!R504-1</f>
        <v>0.042920411619122</v>
      </c>
      <c r="S505" s="14" t="n">
        <f aca="false">Share_Prices!S505/Share_Prices!S504-1</f>
        <v>-0.00303497149899867</v>
      </c>
    </row>
    <row r="506" customFormat="false" ht="15" hidden="false" customHeight="false" outlineLevel="0" collapsed="false">
      <c r="A506" s="13" t="n">
        <f aca="false">Share_Prices!A506</f>
        <v>45544</v>
      </c>
      <c r="B506" s="14" t="n">
        <f aca="false">Share_Prices!B506/Share_Prices!B505-1</f>
        <v>0.0033900487482974</v>
      </c>
      <c r="C506" s="14" t="n">
        <f aca="false">Share_Prices!C506/Share_Prices!C505-1</f>
        <v>0.00104141376710665</v>
      </c>
      <c r="D506" s="14" t="n">
        <f aca="false">Share_Prices!D506/Share_Prices!D505-1</f>
        <v>-0.0193512274435589</v>
      </c>
      <c r="E506" s="14" t="n">
        <f aca="false">Share_Prices!E506/Share_Prices!E505-1</f>
        <v>-0.0017226528854436</v>
      </c>
      <c r="F506" s="14" t="n">
        <f aca="false">Share_Prices!F506/Share_Prices!F505-1</f>
        <v>-0.0535503862436173</v>
      </c>
      <c r="G506" s="14" t="n">
        <f aca="false">Share_Prices!G506/Share_Prices!G505-1</f>
        <v>0.00763029081485733</v>
      </c>
      <c r="H506" s="14" t="n">
        <f aca="false">Share_Prices!H506/Share_Prices!H505-1</f>
        <v>0.053547000195427</v>
      </c>
      <c r="I506" s="14" t="n">
        <f aca="false">Share_Prices!I506/Share_Prices!I505-1</f>
        <v>0.00300723616201481</v>
      </c>
      <c r="J506" s="14" t="n">
        <f aca="false">Share_Prices!J506/Share_Prices!J505-1</f>
        <v>-0.0220299441868708</v>
      </c>
      <c r="K506" s="14" t="n">
        <f aca="false">Share_Prices!K506/Share_Prices!K505-1</f>
        <v>0.00414659513904092</v>
      </c>
      <c r="L506" s="14" t="n">
        <f aca="false">Share_Prices!L506/Share_Prices!L505-1</f>
        <v>0.0177986568299866</v>
      </c>
      <c r="M506" s="14" t="n">
        <f aca="false">Share_Prices!M506/Share_Prices!M505-1</f>
        <v>-0.00248169748107707</v>
      </c>
      <c r="N506" s="14" t="n">
        <f aca="false">Share_Prices!N506/Share_Prices!N505-1</f>
        <v>0.000964526845997238</v>
      </c>
      <c r="O506" s="14" t="n">
        <f aca="false">Share_Prices!O506/Share_Prices!O505-1</f>
        <v>-0.00825183374083127</v>
      </c>
      <c r="P506" s="14" t="n">
        <f aca="false">Share_Prices!P506/Share_Prices!P505-1</f>
        <v>0.00645063367989684</v>
      </c>
      <c r="Q506" s="14" t="n">
        <f aca="false">Share_Prices!Q506/Share_Prices!Q505-1</f>
        <v>-0.0131066701271737</v>
      </c>
      <c r="R506" s="14" t="n">
        <f aca="false">Share_Prices!R506/Share_Prices!R505-1</f>
        <v>0.00212327483919328</v>
      </c>
      <c r="S506" s="14" t="n">
        <f aca="false">Share_Prices!S506/Share_Prices!S505-1</f>
        <v>0.0247400058720813</v>
      </c>
    </row>
    <row r="507" customFormat="false" ht="15" hidden="false" customHeight="false" outlineLevel="0" collapsed="false">
      <c r="A507" s="13" t="n">
        <f aca="false">Share_Prices!A507</f>
        <v>45545</v>
      </c>
      <c r="B507" s="14" t="n">
        <f aca="false">Share_Prices!B507/Share_Prices!B506-1</f>
        <v>0.00419868144559743</v>
      </c>
      <c r="C507" s="14" t="n">
        <f aca="false">Share_Prices!C507/Share_Prices!C506-1</f>
        <v>0.00602072576338752</v>
      </c>
      <c r="D507" s="14" t="n">
        <f aca="false">Share_Prices!D507/Share_Prices!D506-1</f>
        <v>-0.0035878339811366</v>
      </c>
      <c r="E507" s="14" t="n">
        <f aca="false">Share_Prices!E507/Share_Prices!E506-1</f>
        <v>-0.0236410698878343</v>
      </c>
      <c r="F507" s="14" t="n">
        <f aca="false">Share_Prices!F507/Share_Prices!F506-1</f>
        <v>-0.0172922622890344</v>
      </c>
      <c r="G507" s="14" t="n">
        <f aca="false">Share_Prices!G507/Share_Prices!G506-1</f>
        <v>-0.0189312758965566</v>
      </c>
      <c r="H507" s="14" t="n">
        <f aca="false">Share_Prices!H507/Share_Prices!H506-1</f>
        <v>-0.0253199777406788</v>
      </c>
      <c r="I507" s="14" t="n">
        <f aca="false">Share_Prices!I507/Share_Prices!I506-1</f>
        <v>0.0218307879696429</v>
      </c>
      <c r="J507" s="14" t="n">
        <f aca="false">Share_Prices!J507/Share_Prices!J506-1</f>
        <v>0.00908898752906384</v>
      </c>
      <c r="K507" s="14" t="n">
        <f aca="false">Share_Prices!K507/Share_Prices!K506-1</f>
        <v>-0.0143781942078364</v>
      </c>
      <c r="L507" s="14" t="n">
        <f aca="false">Share_Prices!L507/Share_Prices!L506-1</f>
        <v>-0.0199252397204617</v>
      </c>
      <c r="M507" s="14" t="n">
        <f aca="false">Share_Prices!M507/Share_Prices!M506-1</f>
        <v>0.00650993075423978</v>
      </c>
      <c r="N507" s="14" t="n">
        <f aca="false">Share_Prices!N507/Share_Prices!N506-1</f>
        <v>0.00695931477516054</v>
      </c>
      <c r="O507" s="14" t="n">
        <f aca="false">Share_Prices!O507/Share_Prices!O506-1</f>
        <v>0.00354391371340523</v>
      </c>
      <c r="P507" s="14" t="n">
        <f aca="false">Share_Prices!P507/Share_Prices!P506-1</f>
        <v>-0.0148544714221083</v>
      </c>
      <c r="Q507" s="14" t="n">
        <f aca="false">Share_Prices!Q507/Share_Prices!Q506-1</f>
        <v>0.0314266929651545</v>
      </c>
      <c r="R507" s="14" t="n">
        <f aca="false">Share_Prices!R507/Share_Prices!R506-1</f>
        <v>-0.0105315635321245</v>
      </c>
      <c r="S507" s="14" t="n">
        <f aca="false">Share_Prices!S507/Share_Prices!S506-1</f>
        <v>-0.0167837862291522</v>
      </c>
    </row>
    <row r="508" customFormat="false" ht="15" hidden="false" customHeight="false" outlineLevel="0" collapsed="false">
      <c r="A508" s="13" t="n">
        <f aca="false">Share_Prices!A508</f>
        <v>45546</v>
      </c>
      <c r="B508" s="14" t="n">
        <f aca="false">Share_Prices!B508/Share_Prices!B507-1</f>
        <v>-0.00489794777385966</v>
      </c>
      <c r="C508" s="14" t="n">
        <f aca="false">Share_Prices!C508/Share_Prices!C507-1</f>
        <v>-0.00475391912839185</v>
      </c>
      <c r="D508" s="14" t="n">
        <f aca="false">Share_Prices!D508/Share_Prices!D507-1</f>
        <v>-0.0304972857961211</v>
      </c>
      <c r="E508" s="14" t="n">
        <f aca="false">Share_Prices!E508/Share_Prices!E507-1</f>
        <v>0.0197949805585012</v>
      </c>
      <c r="F508" s="14" t="n">
        <f aca="false">Share_Prices!F508/Share_Prices!F507-1</f>
        <v>0.0404485946224955</v>
      </c>
      <c r="G508" s="14" t="n">
        <f aca="false">Share_Prices!G508/Share_Prices!G507-1</f>
        <v>-0.0150731813878978</v>
      </c>
      <c r="H508" s="14" t="n">
        <f aca="false">Share_Prices!H508/Share_Prices!H507-1</f>
        <v>0.0546674279189265</v>
      </c>
      <c r="I508" s="14" t="n">
        <f aca="false">Share_Prices!I508/Share_Prices!I507-1</f>
        <v>-0.000916926462497747</v>
      </c>
      <c r="J508" s="14" t="n">
        <f aca="false">Share_Prices!J508/Share_Prices!J507-1</f>
        <v>-0.015769944341373</v>
      </c>
      <c r="K508" s="14" t="n">
        <f aca="false">Share_Prices!K508/Share_Prices!K507-1</f>
        <v>0.014325221238938</v>
      </c>
      <c r="L508" s="14" t="n">
        <f aca="false">Share_Prices!L508/Share_Prices!L507-1</f>
        <v>0.00918678694613972</v>
      </c>
      <c r="M508" s="14" t="n">
        <f aca="false">Share_Prices!M508/Share_Prices!M507-1</f>
        <v>-0.0018538353794183</v>
      </c>
      <c r="N508" s="14" t="n">
        <f aca="false">Share_Prices!N508/Share_Prices!N507-1</f>
        <v>-0.00499734183944711</v>
      </c>
      <c r="O508" s="14" t="n">
        <f aca="false">Share_Prices!O508/Share_Prices!O507-1</f>
        <v>-0.00998003992015972</v>
      </c>
      <c r="P508" s="14" t="n">
        <f aca="false">Share_Prices!P508/Share_Prices!P507-1</f>
        <v>-0.00568950121188927</v>
      </c>
      <c r="Q508" s="14" t="n">
        <f aca="false">Share_Prices!Q508/Share_Prices!Q507-1</f>
        <v>0.00458949515553297</v>
      </c>
      <c r="R508" s="14" t="n">
        <f aca="false">Share_Prices!R508/Share_Prices!R507-1</f>
        <v>0.00371583322836644</v>
      </c>
      <c r="S508" s="14" t="n">
        <f aca="false">Share_Prices!S508/Share_Prices!S507-1</f>
        <v>0.0060888636677352</v>
      </c>
    </row>
    <row r="509" customFormat="false" ht="15" hidden="false" customHeight="false" outlineLevel="0" collapsed="false">
      <c r="A509" s="13" t="n">
        <f aca="false">Share_Prices!A509</f>
        <v>45547</v>
      </c>
      <c r="B509" s="14" t="n">
        <f aca="false">Share_Prices!B509/Share_Prices!B508-1</f>
        <v>0.018879585206945</v>
      </c>
      <c r="C509" s="14" t="n">
        <f aca="false">Share_Prices!C509/Share_Prices!C508-1</f>
        <v>0.0159830013280211</v>
      </c>
      <c r="D509" s="14" t="n">
        <f aca="false">Share_Prices!D509/Share_Prices!D508-1</f>
        <v>0.0123519315719873</v>
      </c>
      <c r="E509" s="14" t="n">
        <f aca="false">Share_Prices!E509/Share_Prices!E508-1</f>
        <v>0.0495089543616407</v>
      </c>
      <c r="F509" s="14" t="n">
        <f aca="false">Share_Prices!F509/Share_Prices!F508-1</f>
        <v>0.018355657781987</v>
      </c>
      <c r="G509" s="14" t="n">
        <f aca="false">Share_Prices!G509/Share_Prices!G508-1</f>
        <v>0.040514564542363</v>
      </c>
      <c r="H509" s="14" t="n">
        <f aca="false">Share_Prices!H509/Share_Prices!H508-1</f>
        <v>0.000586457346506197</v>
      </c>
      <c r="I509" s="14" t="n">
        <f aca="false">Share_Prices!I509/Share_Prices!I508-1</f>
        <v>-0.00385462555066063</v>
      </c>
      <c r="J509" s="14" t="n">
        <f aca="false">Share_Prices!J509/Share_Prices!J508-1</f>
        <v>-0.0229546076434283</v>
      </c>
      <c r="K509" s="14" t="n">
        <f aca="false">Share_Prices!K509/Share_Prices!K508-1</f>
        <v>0.0112601559517969</v>
      </c>
      <c r="L509" s="14" t="n">
        <f aca="false">Share_Prices!L509/Share_Prices!L508-1</f>
        <v>0.0355581846265076</v>
      </c>
      <c r="M509" s="14" t="n">
        <f aca="false">Share_Prices!M509/Share_Prices!M508-1</f>
        <v>0.034834289487804</v>
      </c>
      <c r="N509" s="14" t="n">
        <f aca="false">Share_Prices!N509/Share_Prices!N508-1</f>
        <v>0.0397520837785852</v>
      </c>
      <c r="O509" s="14" t="n">
        <f aca="false">Share_Prices!O509/Share_Prices!O508-1</f>
        <v>0.0280707196029777</v>
      </c>
      <c r="P509" s="14" t="n">
        <f aca="false">Share_Prices!P509/Share_Prices!P508-1</f>
        <v>0.0193985425433645</v>
      </c>
      <c r="Q509" s="14" t="n">
        <f aca="false">Share_Prices!Q509/Share_Prices!Q508-1</f>
        <v>0.00697969543147203</v>
      </c>
      <c r="R509" s="14" t="n">
        <f aca="false">Share_Prices!R509/Share_Prices!R508-1</f>
        <v>0.00677668319006086</v>
      </c>
      <c r="S509" s="14" t="n">
        <f aca="false">Share_Prices!S509/Share_Prices!S508-1</f>
        <v>0.0368456355376687</v>
      </c>
    </row>
    <row r="510" customFormat="false" ht="15" hidden="false" customHeight="false" outlineLevel="0" collapsed="false">
      <c r="A510" s="13" t="n">
        <f aca="false">Share_Prices!A510</f>
        <v>45548</v>
      </c>
      <c r="B510" s="14" t="n">
        <f aca="false">Share_Prices!B510/Share_Prices!B509-1</f>
        <v>-0.00127614823800959</v>
      </c>
      <c r="C510" s="14" t="n">
        <f aca="false">Share_Prices!C510/Share_Prices!C509-1</f>
        <v>0.000872116733975137</v>
      </c>
      <c r="D510" s="14" t="n">
        <f aca="false">Share_Prices!D510/Share_Prices!D509-1</f>
        <v>0.0264035575319621</v>
      </c>
      <c r="E510" s="14" t="n">
        <f aca="false">Share_Prices!E510/Share_Prices!E509-1</f>
        <v>0.0251555017339131</v>
      </c>
      <c r="F510" s="14" t="n">
        <f aca="false">Share_Prices!F510/Share_Prices!F509-1</f>
        <v>0.0656775907883083</v>
      </c>
      <c r="G510" s="14" t="n">
        <f aca="false">Share_Prices!G510/Share_Prices!G509-1</f>
        <v>0.0278527781725166</v>
      </c>
      <c r="H510" s="14" t="n">
        <f aca="false">Share_Prices!H510/Share_Prices!H509-1</f>
        <v>0.025293056807935</v>
      </c>
      <c r="I510" s="14" t="n">
        <f aca="false">Share_Prices!I510/Share_Prices!I509-1</f>
        <v>0.0284687672747372</v>
      </c>
      <c r="J510" s="14" t="n">
        <f aca="false">Share_Prices!J510/Share_Prices!J509-1</f>
        <v>0.0566343042071198</v>
      </c>
      <c r="K510" s="14" t="n">
        <f aca="false">Share_Prices!K510/Share_Prices!K509-1</f>
        <v>0.0229166104985037</v>
      </c>
      <c r="L510" s="14" t="n">
        <f aca="false">Share_Prices!L510/Share_Prices!L509-1</f>
        <v>-0.000666433943702138</v>
      </c>
      <c r="M510" s="14" t="n">
        <f aca="false">Share_Prices!M510/Share_Prices!M509-1</f>
        <v>0.00582299684920029</v>
      </c>
      <c r="N510" s="14" t="n">
        <f aca="false">Share_Prices!N510/Share_Prices!N509-1</f>
        <v>0.0718396711202467</v>
      </c>
      <c r="O510" s="14" t="n">
        <f aca="false">Share_Prices!O510/Share_Prices!O509-1</f>
        <v>0.00452556946749128</v>
      </c>
      <c r="P510" s="14" t="n">
        <f aca="false">Share_Prices!P510/Share_Prices!P509-1</f>
        <v>0.013416230366492</v>
      </c>
      <c r="Q510" s="14" t="n">
        <f aca="false">Share_Prices!Q510/Share_Prices!Q509-1</f>
        <v>0.00970384373030875</v>
      </c>
      <c r="R510" s="14" t="n">
        <f aca="false">Share_Prices!R510/Share_Prices!R509-1</f>
        <v>0.00367715799314428</v>
      </c>
      <c r="S510" s="14" t="n">
        <f aca="false">Share_Prices!S510/Share_Prices!S509-1</f>
        <v>-0.0095567154304198</v>
      </c>
    </row>
    <row r="511" customFormat="false" ht="15" hidden="false" customHeight="false" outlineLevel="0" collapsed="false">
      <c r="A511" s="13" t="n">
        <f aca="false">Share_Prices!A511</f>
        <v>45551</v>
      </c>
      <c r="B511" s="14" t="n">
        <f aca="false">Share_Prices!B511/Share_Prices!B510-1</f>
        <v>0.00107467513260895</v>
      </c>
      <c r="C511" s="14" t="n">
        <f aca="false">Share_Prices!C511/Share_Prices!C510-1</f>
        <v>0.00167166773932004</v>
      </c>
      <c r="D511" s="14" t="n">
        <f aca="false">Share_Prices!D511/Share_Prices!D510-1</f>
        <v>-0.0236122393717844</v>
      </c>
      <c r="E511" s="14" t="n">
        <f aca="false">Share_Prices!E511/Share_Prices!E510-1</f>
        <v>-0.0297465635738832</v>
      </c>
      <c r="F511" s="14" t="n">
        <f aca="false">Share_Prices!F511/Share_Prices!F510-1</f>
        <v>-0.0130906370776711</v>
      </c>
      <c r="G511" s="14" t="n">
        <f aca="false">Share_Prices!G511/Share_Prices!G510-1</f>
        <v>-0.0588275957417392</v>
      </c>
      <c r="H511" s="14" t="n">
        <f aca="false">Share_Prices!H511/Share_Prices!H510-1</f>
        <v>-0.0664438679037861</v>
      </c>
      <c r="I511" s="14" t="n">
        <f aca="false">Share_Prices!I511/Share_Prices!I510-1</f>
        <v>-0.0165726059303055</v>
      </c>
      <c r="J511" s="14" t="n">
        <f aca="false">Share_Prices!J511/Share_Prices!J510-1</f>
        <v>0.0505948875014726</v>
      </c>
      <c r="K511" s="14" t="n">
        <f aca="false">Share_Prices!K511/Share_Prices!K510-1</f>
        <v>-0.0332621702116445</v>
      </c>
      <c r="L511" s="14" t="n">
        <f aca="false">Share_Prices!L511/Share_Prices!L510-1</f>
        <v>-0.00619244204509373</v>
      </c>
      <c r="M511" s="14" t="n">
        <f aca="false">Share_Prices!M511/Share_Prices!M510-1</f>
        <v>0.0024188112137673</v>
      </c>
      <c r="N511" s="14" t="n">
        <f aca="false">Share_Prices!N511/Share_Prices!N510-1</f>
        <v>-0.0283823952440312</v>
      </c>
      <c r="O511" s="14" t="n">
        <f aca="false">Share_Prices!O511/Share_Prices!O510-1</f>
        <v>-0.00585673524553232</v>
      </c>
      <c r="P511" s="14" t="n">
        <f aca="false">Share_Prices!P511/Share_Prices!P510-1</f>
        <v>0.000273217257395375</v>
      </c>
      <c r="Q511" s="14" t="n">
        <f aca="false">Share_Prices!Q511/Share_Prices!Q510-1</f>
        <v>-0.0164752870693959</v>
      </c>
      <c r="R511" s="14" t="n">
        <f aca="false">Share_Prices!R511/Share_Prices!R510-1</f>
        <v>-0.00583705911574772</v>
      </c>
      <c r="S511" s="14" t="n">
        <f aca="false">Share_Prices!S511/Share_Prices!S510-1</f>
        <v>0.0150523268759741</v>
      </c>
    </row>
    <row r="512" customFormat="false" ht="15" hidden="false" customHeight="false" outlineLevel="0" collapsed="false">
      <c r="A512" s="13" t="n">
        <f aca="false">Share_Prices!A512</f>
        <v>45552</v>
      </c>
      <c r="B512" s="14" t="n">
        <f aca="false">Share_Prices!B512/Share_Prices!B511-1</f>
        <v>0.00137095582803948</v>
      </c>
      <c r="C512" s="14" t="n">
        <f aca="false">Share_Prices!C512/Share_Prices!C511-1</f>
        <v>7.09273120218512E-005</v>
      </c>
      <c r="D512" s="14" t="n">
        <f aca="false">Share_Prices!D512/Share_Prices!D511-1</f>
        <v>0.0138388152421098</v>
      </c>
      <c r="E512" s="14" t="n">
        <f aca="false">Share_Prices!E512/Share_Prices!E511-1</f>
        <v>-0.0245157719977863</v>
      </c>
      <c r="F512" s="14" t="n">
        <f aca="false">Share_Prices!F512/Share_Prices!F511-1</f>
        <v>-0.0104429846723936</v>
      </c>
      <c r="G512" s="14" t="n">
        <f aca="false">Share_Prices!G512/Share_Prices!G511-1</f>
        <v>-0.00859346309217779</v>
      </c>
      <c r="H512" s="14" t="n">
        <f aca="false">Share_Prices!H512/Share_Prices!H511-1</f>
        <v>-0.010880829015544</v>
      </c>
      <c r="I512" s="14" t="n">
        <f aca="false">Share_Prices!I512/Share_Prices!I511-1</f>
        <v>0.0153944252140645</v>
      </c>
      <c r="J512" s="14" t="n">
        <f aca="false">Share_Prices!J512/Share_Prices!J511-1</f>
        <v>0.00574648203173189</v>
      </c>
      <c r="K512" s="14" t="n">
        <f aca="false">Share_Prices!K512/Share_Prices!K511-1</f>
        <v>0.00268546034515649</v>
      </c>
      <c r="L512" s="14" t="n">
        <f aca="false">Share_Prices!L512/Share_Prices!L511-1</f>
        <v>0.0058795334718007</v>
      </c>
      <c r="M512" s="14" t="n">
        <f aca="false">Share_Prices!M512/Share_Prices!M511-1</f>
        <v>-0.00878164556962013</v>
      </c>
      <c r="N512" s="14" t="n">
        <f aca="false">Share_Prices!N512/Share_Prices!N511-1</f>
        <v>0.0178624296851873</v>
      </c>
      <c r="O512" s="14" t="n">
        <f aca="false">Share_Prices!O512/Share_Prices!O511-1</f>
        <v>-0.0102719033232628</v>
      </c>
      <c r="P512" s="14" t="n">
        <f aca="false">Share_Prices!P512/Share_Prices!P511-1</f>
        <v>0.00509038537941997</v>
      </c>
      <c r="Q512" s="14" t="n">
        <f aca="false">Share_Prices!Q512/Share_Prices!Q511-1</f>
        <v>0.0157360406091371</v>
      </c>
      <c r="R512" s="14" t="n">
        <f aca="false">Share_Prices!R512/Share_Prices!R511-1</f>
        <v>-0.0100562148657088</v>
      </c>
      <c r="S512" s="14" t="n">
        <f aca="false">Share_Prices!S512/Share_Prices!S511-1</f>
        <v>0.00165255414674093</v>
      </c>
    </row>
    <row r="513" customFormat="false" ht="15" hidden="false" customHeight="false" outlineLevel="0" collapsed="false">
      <c r="A513" s="13" t="n">
        <f aca="false">Share_Prices!A513</f>
        <v>45553</v>
      </c>
      <c r="B513" s="14" t="n">
        <f aca="false">Share_Prices!B513/Share_Prices!B512-1</f>
        <v>-0.00161299523379577</v>
      </c>
      <c r="C513" s="14" t="n">
        <f aca="false">Share_Prices!C513/Share_Prices!C512-1</f>
        <v>-0.00297247798280342</v>
      </c>
      <c r="D513" s="14" t="n">
        <f aca="false">Share_Prices!D513/Share_Prices!D512-1</f>
        <v>-0.0045408540088081</v>
      </c>
      <c r="E513" s="14" t="n">
        <f aca="false">Share_Prices!E513/Share_Prices!E512-1</f>
        <v>-0.00448176093492947</v>
      </c>
      <c r="F513" s="14" t="n">
        <f aca="false">Share_Prices!F513/Share_Prices!F512-1</f>
        <v>0.0468510638297872</v>
      </c>
      <c r="G513" s="14" t="n">
        <f aca="false">Share_Prices!G513/Share_Prices!G512-1</f>
        <v>-0.000444510297821887</v>
      </c>
      <c r="H513" s="14" t="n">
        <f aca="false">Share_Prices!H513/Share_Prices!H512-1</f>
        <v>0.0239535215962663</v>
      </c>
      <c r="I513" s="14" t="n">
        <f aca="false">Share_Prices!I513/Share_Prices!I512-1</f>
        <v>-0.0311294518704585</v>
      </c>
      <c r="J513" s="14" t="n">
        <f aca="false">Share_Prices!J513/Share_Prices!J512-1</f>
        <v>-0.00518409097243511</v>
      </c>
      <c r="K513" s="14" t="n">
        <f aca="false">Share_Prices!K513/Share_Prices!K512-1</f>
        <v>0.0360546529807628</v>
      </c>
      <c r="L513" s="14" t="n">
        <f aca="false">Share_Prices!L513/Share_Prices!L512-1</f>
        <v>0.0102925760030497</v>
      </c>
      <c r="M513" s="14" t="n">
        <f aca="false">Share_Prices!M513/Share_Prices!M512-1</f>
        <v>-0.00997685369941737</v>
      </c>
      <c r="N513" s="14" t="n">
        <f aca="false">Share_Prices!N513/Share_Prices!N512-1</f>
        <v>0.0254993213108397</v>
      </c>
      <c r="O513" s="14" t="n">
        <f aca="false">Share_Prices!O513/Share_Prices!O512-1</f>
        <v>-0.000305250305250415</v>
      </c>
      <c r="P513" s="14" t="n">
        <f aca="false">Share_Prices!P513/Share_Prices!P512-1</f>
        <v>-0.00338463818958912</v>
      </c>
      <c r="Q513" s="14" t="n">
        <f aca="false">Share_Prices!Q513/Share_Prices!Q512-1</f>
        <v>-0.00962018990504743</v>
      </c>
      <c r="R513" s="14" t="n">
        <f aca="false">Share_Prices!R513/Share_Prices!R512-1</f>
        <v>-0.0159000567859171</v>
      </c>
      <c r="S513" s="14" t="n">
        <f aca="false">Share_Prices!S513/Share_Prices!S512-1</f>
        <v>0.0438299363429306</v>
      </c>
    </row>
    <row r="514" customFormat="false" ht="15" hidden="false" customHeight="false" outlineLevel="0" collapsed="false">
      <c r="A514" s="13" t="n">
        <f aca="false">Share_Prices!A514</f>
        <v>45554</v>
      </c>
      <c r="B514" s="14" t="n">
        <f aca="false">Share_Prices!B514/Share_Prices!B513-1</f>
        <v>0.00150723769631034</v>
      </c>
      <c r="C514" s="14" t="n">
        <f aca="false">Share_Prices!C514/Share_Prices!C513-1</f>
        <v>-0.00187039853715587</v>
      </c>
      <c r="D514" s="14" t="n">
        <f aca="false">Share_Prices!D514/Share_Prices!D513-1</f>
        <v>0.0273419252012861</v>
      </c>
      <c r="E514" s="14" t="n">
        <f aca="false">Share_Prices!E514/Share_Prices!E513-1</f>
        <v>-0.0291201276498746</v>
      </c>
      <c r="F514" s="14" t="n">
        <f aca="false">Share_Prices!F514/Share_Prices!F513-1</f>
        <v>-0.0135766838746393</v>
      </c>
      <c r="G514" s="14" t="n">
        <f aca="false">Share_Prices!G514/Share_Prices!G513-1</f>
        <v>-0.0162318410910169</v>
      </c>
      <c r="H514" s="14" t="n">
        <f aca="false">Share_Prices!H514/Share_Prices!H513-1</f>
        <v>-0.0556227327690447</v>
      </c>
      <c r="I514" s="14" t="n">
        <f aca="false">Share_Prices!I514/Share_Prices!I513-1</f>
        <v>0.005462962962963</v>
      </c>
      <c r="J514" s="14" t="n">
        <f aca="false">Share_Prices!J514/Share_Prices!J513-1</f>
        <v>-0.00322192026447765</v>
      </c>
      <c r="K514" s="14" t="n">
        <f aca="false">Share_Prices!K514/Share_Prices!K513-1</f>
        <v>-0.00534071673205883</v>
      </c>
      <c r="L514" s="14" t="n">
        <f aca="false">Share_Prices!L514/Share_Prices!L513-1</f>
        <v>0.00386755966418262</v>
      </c>
      <c r="M514" s="14" t="n">
        <f aca="false">Share_Prices!M514/Share_Prices!M513-1</f>
        <v>0.0236617220251532</v>
      </c>
      <c r="N514" s="14" t="n">
        <f aca="false">Share_Prices!N514/Share_Prices!N513-1</f>
        <v>-0.0622104566512244</v>
      </c>
      <c r="O514" s="14" t="n">
        <f aca="false">Share_Prices!O514/Share_Prices!O513-1</f>
        <v>-0.0117557251908398</v>
      </c>
      <c r="P514" s="14" t="n">
        <f aca="false">Share_Prices!P514/Share_Prices!P513-1</f>
        <v>0.00914724838869607</v>
      </c>
      <c r="Q514" s="14" t="n">
        <f aca="false">Share_Prices!Q514/Share_Prices!Q513-1</f>
        <v>0.00264917371010465</v>
      </c>
      <c r="R514" s="14" t="n">
        <f aca="false">Share_Prices!R514/Share_Prices!R513-1</f>
        <v>0.0196191575302942</v>
      </c>
      <c r="S514" s="14" t="n">
        <f aca="false">Share_Prices!S514/Share_Prices!S513-1</f>
        <v>-0.0138053542954654</v>
      </c>
    </row>
    <row r="515" customFormat="false" ht="15" hidden="false" customHeight="false" outlineLevel="0" collapsed="false">
      <c r="A515" s="13" t="n">
        <f aca="false">Share_Prices!A515</f>
        <v>45555</v>
      </c>
      <c r="B515" s="14" t="n">
        <f aca="false">Share_Prices!B515/Share_Prices!B514-1</f>
        <v>0.0147605033089653</v>
      </c>
      <c r="C515" s="14" t="n">
        <f aca="false">Share_Prices!C515/Share_Prices!C514-1</f>
        <v>0.0142471163056852</v>
      </c>
      <c r="D515" s="14" t="n">
        <f aca="false">Share_Prices!D515/Share_Prices!D514-1</f>
        <v>-0.00347723746857109</v>
      </c>
      <c r="E515" s="14" t="n">
        <f aca="false">Share_Prices!E515/Share_Prices!E514-1</f>
        <v>0.0126782884310617</v>
      </c>
      <c r="F515" s="14" t="n">
        <f aca="false">Share_Prices!F515/Share_Prices!F514-1</f>
        <v>0.0454526723534019</v>
      </c>
      <c r="G515" s="14" t="n">
        <f aca="false">Share_Prices!G515/Share_Prices!G514-1</f>
        <v>0.00625329616514736</v>
      </c>
      <c r="H515" s="14" t="n">
        <f aca="false">Share_Prices!H515/Share_Prices!H514-1</f>
        <v>-0.00650054171180925</v>
      </c>
      <c r="I515" s="14" t="n">
        <f aca="false">Share_Prices!I515/Share_Prices!I514-1</f>
        <v>-0.00884059305645102</v>
      </c>
      <c r="J515" s="14" t="n">
        <f aca="false">Share_Prices!J515/Share_Prices!J514-1</f>
        <v>0.0253808533363313</v>
      </c>
      <c r="K515" s="14" t="n">
        <f aca="false">Share_Prices!K515/Share_Prices!K514-1</f>
        <v>-0.00104221635883905</v>
      </c>
      <c r="L515" s="14" t="n">
        <f aca="false">Share_Prices!L515/Share_Prices!L514-1</f>
        <v>0.00501158930025691</v>
      </c>
      <c r="M515" s="14" t="n">
        <f aca="false">Share_Prices!M515/Share_Prices!M514-1</f>
        <v>0.00354400472533967</v>
      </c>
      <c r="N515" s="14" t="n">
        <f aca="false">Share_Prices!N515/Share_Prices!N514-1</f>
        <v>0.0693618308297208</v>
      </c>
      <c r="O515" s="14" t="n">
        <f aca="false">Share_Prices!O515/Share_Prices!O514-1</f>
        <v>-0.00896029661671549</v>
      </c>
      <c r="P515" s="14" t="n">
        <f aca="false">Share_Prices!P515/Share_Prices!P514-1</f>
        <v>-0.0225011668181483</v>
      </c>
      <c r="Q515" s="14" t="n">
        <f aca="false">Share_Prices!Q515/Share_Prices!Q514-1</f>
        <v>0.0195017614494213</v>
      </c>
      <c r="R515" s="14" t="n">
        <f aca="false">Share_Prices!R515/Share_Prices!R514-1</f>
        <v>-0.0103125196503804</v>
      </c>
      <c r="S515" s="14" t="n">
        <f aca="false">Share_Prices!S515/Share_Prices!S514-1</f>
        <v>0.00191470350461653</v>
      </c>
    </row>
    <row r="516" customFormat="false" ht="15" hidden="false" customHeight="false" outlineLevel="0" collapsed="false">
      <c r="A516" s="13" t="n">
        <f aca="false">Share_Prices!A516</f>
        <v>45558</v>
      </c>
      <c r="B516" s="14" t="n">
        <f aca="false">Share_Prices!B516/Share_Prices!B515-1</f>
        <v>0.00574232434245348</v>
      </c>
      <c r="C516" s="14" t="n">
        <f aca="false">Share_Prices!C516/Share_Prices!C515-1</f>
        <v>0.00766312030354888</v>
      </c>
      <c r="D516" s="14" t="n">
        <f aca="false">Share_Prices!D516/Share_Prices!D515-1</f>
        <v>0.0193525875026841</v>
      </c>
      <c r="E516" s="14" t="n">
        <f aca="false">Share_Prices!E516/Share_Prices!E515-1</f>
        <v>0.0201124442126008</v>
      </c>
      <c r="F516" s="14" t="n">
        <f aca="false">Share_Prices!F516/Share_Prices!F515-1</f>
        <v>0.0220338983050847</v>
      </c>
      <c r="G516" s="14" t="n">
        <f aca="false">Share_Prices!G516/Share_Prices!G515-1</f>
        <v>0.0193920335429769</v>
      </c>
      <c r="H516" s="14" t="n">
        <f aca="false">Share_Prices!H516/Share_Prices!H515-1</f>
        <v>0.00460989392287092</v>
      </c>
      <c r="I516" s="14" t="n">
        <f aca="false">Share_Prices!I516/Share_Prices!I515-1</f>
        <v>0.00743287187587094</v>
      </c>
      <c r="J516" s="14" t="n">
        <f aca="false">Share_Prices!J516/Share_Prices!J515-1</f>
        <v>-0.018886543680272</v>
      </c>
      <c r="K516" s="14" t="n">
        <f aca="false">Share_Prices!K516/Share_Prices!K515-1</f>
        <v>0.00167720975687069</v>
      </c>
      <c r="L516" s="14" t="n">
        <f aca="false">Share_Prices!L516/Share_Prices!L515-1</f>
        <v>0.0184192482702736</v>
      </c>
      <c r="M516" s="14" t="n">
        <f aca="false">Share_Prices!M516/Share_Prices!M515-1</f>
        <v>-0.0241710810280557</v>
      </c>
      <c r="N516" s="14" t="n">
        <f aca="false">Share_Prices!N516/Share_Prices!N515-1</f>
        <v>-0.0361082304138777</v>
      </c>
      <c r="O516" s="14" t="n">
        <f aca="false">Share_Prices!O516/Share_Prices!O515-1</f>
        <v>0.0350740452065472</v>
      </c>
      <c r="P516" s="14" t="n">
        <f aca="false">Share_Prices!P516/Share_Prices!P515-1</f>
        <v>0.017716683838866</v>
      </c>
      <c r="Q516" s="14" t="n">
        <f aca="false">Share_Prices!Q516/Share_Prices!Q515-1</f>
        <v>-0.0104899419967913</v>
      </c>
      <c r="R516" s="14" t="n">
        <f aca="false">Share_Prices!R516/Share_Prices!R515-1</f>
        <v>0.0102929029798589</v>
      </c>
      <c r="S516" s="14" t="n">
        <f aca="false">Share_Prices!S516/Share_Prices!S515-1</f>
        <v>0.0100789898360749</v>
      </c>
    </row>
    <row r="517" customFormat="false" ht="15" hidden="false" customHeight="false" outlineLevel="0" collapsed="false">
      <c r="A517" s="13" t="n">
        <f aca="false">Share_Prices!A517</f>
        <v>45559</v>
      </c>
      <c r="B517" s="14" t="n">
        <f aca="false">Share_Prices!B517/Share_Prices!B516-1</f>
        <v>5.20450826071439E-005</v>
      </c>
      <c r="C517" s="14" t="n">
        <f aca="false">Share_Prices!C517/Share_Prices!C516-1</f>
        <v>0.000430695018704519</v>
      </c>
      <c r="D517" s="14" t="n">
        <f aca="false">Share_Prices!D517/Share_Prices!D516-1</f>
        <v>-0.00192221607815246</v>
      </c>
      <c r="E517" s="14" t="n">
        <f aca="false">Share_Prices!E517/Share_Prices!E516-1</f>
        <v>-0.0211363636363636</v>
      </c>
      <c r="F517" s="14" t="n">
        <f aca="false">Share_Prices!F517/Share_Prices!F516-1</f>
        <v>0.0341702341008137</v>
      </c>
      <c r="G517" s="14" t="n">
        <f aca="false">Share_Prices!G517/Share_Prices!G516-1</f>
        <v>0.00763863385971364</v>
      </c>
      <c r="H517" s="14" t="n">
        <f aca="false">Share_Prices!H517/Share_Prices!H516-1</f>
        <v>-0.0174174766862387</v>
      </c>
      <c r="I517" s="14" t="n">
        <f aca="false">Share_Prices!I517/Share_Prices!I516-1</f>
        <v>-0.00405791755049323</v>
      </c>
      <c r="J517" s="14" t="n">
        <f aca="false">Share_Prices!J517/Share_Prices!J516-1</f>
        <v>-0.0142769333929369</v>
      </c>
      <c r="K517" s="14" t="n">
        <f aca="false">Share_Prices!K517/Share_Prices!K516-1</f>
        <v>-0.00539236367471785</v>
      </c>
      <c r="L517" s="14" t="n">
        <f aca="false">Share_Prices!L517/Share_Prices!L516-1</f>
        <v>-0.0119656027175077</v>
      </c>
      <c r="M517" s="14" t="n">
        <f aca="false">Share_Prices!M517/Share_Prices!M516-1</f>
        <v>-0.0226788371064378</v>
      </c>
      <c r="N517" s="14" t="n">
        <f aca="false">Share_Prices!N517/Share_Prices!N516-1</f>
        <v>0.0051838810641629</v>
      </c>
      <c r="O517" s="14" t="n">
        <f aca="false">Share_Prices!O517/Share_Prices!O516-1</f>
        <v>-0.0102409638554216</v>
      </c>
      <c r="P517" s="14" t="n">
        <f aca="false">Share_Prices!P517/Share_Prices!P516-1</f>
        <v>-0.0167415674848141</v>
      </c>
      <c r="Q517" s="14" t="n">
        <f aca="false">Share_Prices!Q517/Share_Prices!Q516-1</f>
        <v>-0.00860563731603892</v>
      </c>
      <c r="R517" s="14" t="n">
        <f aca="false">Share_Prices!R517/Share_Prices!R516-1</f>
        <v>-0.0189925161939499</v>
      </c>
      <c r="S517" s="14" t="n">
        <f aca="false">Share_Prices!S517/Share_Prices!S516-1</f>
        <v>-0.0144070409507525</v>
      </c>
    </row>
    <row r="518" customFormat="false" ht="15" hidden="false" customHeight="false" outlineLevel="0" collapsed="false">
      <c r="A518" s="13" t="n">
        <f aca="false">Share_Prices!A518</f>
        <v>45560</v>
      </c>
      <c r="B518" s="14" t="n">
        <f aca="false">Share_Prices!B518/Share_Prices!B517-1</f>
        <v>0.00245755655271318</v>
      </c>
      <c r="C518" s="14" t="n">
        <f aca="false">Share_Prices!C518/Share_Prices!C517-1</f>
        <v>-0.000756466869211159</v>
      </c>
      <c r="D518" s="14" t="n">
        <f aca="false">Share_Prices!D518/Share_Prices!D517-1</f>
        <v>-0.00366715913887716</v>
      </c>
      <c r="E518" s="14" t="n">
        <f aca="false">Share_Prices!E518/Share_Prices!E517-1</f>
        <v>0.00771999071279317</v>
      </c>
      <c r="F518" s="14" t="n">
        <f aca="false">Share_Prices!F518/Share_Prices!F517-1</f>
        <v>-0.0282304680216297</v>
      </c>
      <c r="G518" s="14" t="n">
        <f aca="false">Share_Prices!G518/Share_Prices!G517-1</f>
        <v>-0.0303958014432539</v>
      </c>
      <c r="H518" s="14" t="n">
        <f aca="false">Share_Prices!H518/Share_Prices!H517-1</f>
        <v>0.00205885306819309</v>
      </c>
      <c r="I518" s="14" t="n">
        <f aca="false">Share_Prices!I518/Share_Prices!I517-1</f>
        <v>0.00287063617001571</v>
      </c>
      <c r="J518" s="14" t="n">
        <f aca="false">Share_Prices!J518/Share_Prices!J517-1</f>
        <v>-0.0469657889515602</v>
      </c>
      <c r="K518" s="14" t="n">
        <f aca="false">Share_Prices!K518/Share_Prices!K517-1</f>
        <v>0.00922599716327111</v>
      </c>
      <c r="L518" s="14" t="n">
        <f aca="false">Share_Prices!L518/Share_Prices!L517-1</f>
        <v>0.0024778541782815</v>
      </c>
      <c r="M518" s="14" t="n">
        <f aca="false">Share_Prices!M518/Share_Prices!M517-1</f>
        <v>0.002962353425221</v>
      </c>
      <c r="N518" s="14" t="n">
        <f aca="false">Share_Prices!N518/Share_Prices!N517-1</f>
        <v>-0.0286075703026176</v>
      </c>
      <c r="O518" s="14" t="n">
        <f aca="false">Share_Prices!O518/Share_Prices!O517-1</f>
        <v>0.0108034083992694</v>
      </c>
      <c r="P518" s="14" t="n">
        <f aca="false">Share_Prices!P518/Share_Prices!P517-1</f>
        <v>0.0259166248116525</v>
      </c>
      <c r="Q518" s="14" t="n">
        <f aca="false">Share_Prices!Q518/Share_Prices!Q517-1</f>
        <v>0.0167316643602971</v>
      </c>
      <c r="R518" s="14" t="n">
        <f aca="false">Share_Prices!R518/Share_Prices!R517-1</f>
        <v>-0.0103852811077634</v>
      </c>
      <c r="S518" s="14" t="n">
        <f aca="false">Share_Prices!S518/Share_Prices!S517-1</f>
        <v>0.00220402127236019</v>
      </c>
    </row>
    <row r="519" customFormat="false" ht="15" hidden="false" customHeight="false" outlineLevel="0" collapsed="false">
      <c r="A519" s="13" t="n">
        <f aca="false">Share_Prices!A519</f>
        <v>45561</v>
      </c>
      <c r="B519" s="14" t="n">
        <f aca="false">Share_Prices!B519/Share_Prices!B518-1</f>
        <v>0.0081486993422204</v>
      </c>
      <c r="C519" s="14" t="n">
        <f aca="false">Share_Prices!C519/Share_Prices!C518-1</f>
        <v>0.0051556649740987</v>
      </c>
      <c r="D519" s="14" t="n">
        <f aca="false">Share_Prices!D519/Share_Prices!D518-1</f>
        <v>-0.00169469085131735</v>
      </c>
      <c r="E519" s="14" t="n">
        <f aca="false">Share_Prices!E519/Share_Prices!E518-1</f>
        <v>0.0198145268129717</v>
      </c>
      <c r="F519" s="14" t="n">
        <f aca="false">Share_Prices!F519/Share_Prices!F518-1</f>
        <v>-0.00445160795149291</v>
      </c>
      <c r="G519" s="14" t="n">
        <f aca="false">Share_Prices!G519/Share_Prices!G518-1</f>
        <v>0.00202976995940474</v>
      </c>
      <c r="H519" s="14" t="n">
        <f aca="false">Share_Prices!H519/Share_Prices!H518-1</f>
        <v>5.0112753695819E-005</v>
      </c>
      <c r="I519" s="14" t="n">
        <f aca="false">Share_Prices!I519/Share_Prices!I518-1</f>
        <v>-0.0110803324099723</v>
      </c>
      <c r="J519" s="14" t="n">
        <f aca="false">Share_Prices!J519/Share_Prices!J518-1</f>
        <v>-0.00627527956221741</v>
      </c>
      <c r="K519" s="14" t="n">
        <f aca="false">Share_Prices!K519/Share_Prices!K518-1</f>
        <v>0.0189531752807512</v>
      </c>
      <c r="L519" s="14" t="n">
        <f aca="false">Share_Prices!L519/Share_Prices!L518-1</f>
        <v>0.0144905147376877</v>
      </c>
      <c r="M519" s="14" t="n">
        <f aca="false">Share_Prices!M519/Share_Prices!M518-1</f>
        <v>-0.000615334126430667</v>
      </c>
      <c r="N519" s="14" t="n">
        <f aca="false">Share_Prices!N519/Share_Prices!N518-1</f>
        <v>-0.0203345687669037</v>
      </c>
      <c r="O519" s="14" t="n">
        <f aca="false">Share_Prices!O519/Share_Prices!O518-1</f>
        <v>0.0251392443173266</v>
      </c>
      <c r="P519" s="14" t="n">
        <f aca="false">Share_Prices!P519/Share_Prices!P518-1</f>
        <v>0.00239890335846482</v>
      </c>
      <c r="Q519" s="14" t="n">
        <f aca="false">Share_Prices!Q519/Share_Prices!Q518-1</f>
        <v>-0.0111358574610245</v>
      </c>
      <c r="R519" s="14" t="n">
        <f aca="false">Share_Prices!R519/Share_Prices!R518-1</f>
        <v>0.0121785320982055</v>
      </c>
      <c r="S519" s="14" t="n">
        <f aca="false">Share_Prices!S519/Share_Prices!S518-1</f>
        <v>0.0296250053205831</v>
      </c>
    </row>
    <row r="520" customFormat="false" ht="15" hidden="false" customHeight="false" outlineLevel="0" collapsed="false">
      <c r="A520" s="13" t="n">
        <f aca="false">Share_Prices!A520</f>
        <v>45562</v>
      </c>
      <c r="B520" s="14" t="n">
        <f aca="false">Share_Prices!B520/Share_Prices!B519-1</f>
        <v>-0.00141516361160432</v>
      </c>
      <c r="C520" s="14" t="n">
        <f aca="false">Share_Prices!C520/Share_Prices!C519-1</f>
        <v>-0.000300037963987365</v>
      </c>
      <c r="D520" s="14" t="n">
        <f aca="false">Share_Prices!D520/Share_Prices!D519-1</f>
        <v>-0.0345879419644042</v>
      </c>
      <c r="E520" s="14" t="n">
        <f aca="false">Share_Prices!E520/Share_Prices!E519-1</f>
        <v>-0.00107314317989271</v>
      </c>
      <c r="F520" s="14" t="n">
        <f aca="false">Share_Prices!F520/Share_Prices!F519-1</f>
        <v>-0.0704263356718834</v>
      </c>
      <c r="G520" s="14" t="n">
        <f aca="false">Share_Prices!G520/Share_Prices!G519-1</f>
        <v>-0.00367619476329817</v>
      </c>
      <c r="H520" s="14" t="n">
        <f aca="false">Share_Prices!H520/Share_Prices!H519-1</f>
        <v>-0.0259069953898576</v>
      </c>
      <c r="I520" s="14" t="n">
        <f aca="false">Share_Prices!I520/Share_Prices!I519-1</f>
        <v>-0.00364145658263315</v>
      </c>
      <c r="J520" s="14" t="n">
        <f aca="false">Share_Prices!J520/Share_Prices!J519-1</f>
        <v>-0.0102654655373657</v>
      </c>
      <c r="K520" s="14" t="n">
        <f aca="false">Share_Prices!K520/Share_Prices!K519-1</f>
        <v>-0.00158550104411048</v>
      </c>
      <c r="L520" s="14" t="n">
        <f aca="false">Share_Prices!L520/Share_Prices!L519-1</f>
        <v>-0.0199482259783768</v>
      </c>
      <c r="M520" s="14" t="n">
        <f aca="false">Share_Prices!M520/Share_Prices!M519-1</f>
        <v>-0.0113291191199408</v>
      </c>
      <c r="N520" s="14" t="n">
        <f aca="false">Share_Prices!N520/Share_Prices!N519-1</f>
        <v>-0.0229038854805725</v>
      </c>
      <c r="O520" s="14" t="n">
        <f aca="false">Share_Prices!O520/Share_Prices!O519-1</f>
        <v>-0.0205580029368576</v>
      </c>
      <c r="P520" s="14" t="n">
        <f aca="false">Share_Prices!P520/Share_Prices!P519-1</f>
        <v>0.00500610500610499</v>
      </c>
      <c r="Q520" s="14" t="n">
        <f aca="false">Share_Prices!Q520/Share_Prices!Q519-1</f>
        <v>-0.00950950950950957</v>
      </c>
      <c r="R520" s="14" t="n">
        <f aca="false">Share_Prices!R520/Share_Prices!R519-1</f>
        <v>0.00646400000000003</v>
      </c>
      <c r="S520" s="14" t="n">
        <f aca="false">Share_Prices!S520/Share_Prices!S519-1</f>
        <v>-0.00203943832766063</v>
      </c>
    </row>
    <row r="521" customFormat="false" ht="15" hidden="false" customHeight="false" outlineLevel="0" collapsed="false">
      <c r="A521" s="13" t="n">
        <f aca="false">Share_Prices!A521</f>
        <v>45565</v>
      </c>
      <c r="B521" s="14" t="n">
        <f aca="false">Share_Prices!B521/Share_Prices!B520-1</f>
        <v>-0.014060915353748</v>
      </c>
      <c r="C521" s="14" t="n">
        <f aca="false">Share_Prices!C521/Share_Prices!C520-1</f>
        <v>-0.00997772519299045</v>
      </c>
      <c r="D521" s="14" t="n">
        <f aca="false">Share_Prices!D521/Share_Prices!D520-1</f>
        <v>-0.00186828584773457</v>
      </c>
      <c r="E521" s="14" t="n">
        <f aca="false">Share_Prices!E521/Share_Prices!E520-1</f>
        <v>0.00899016170982714</v>
      </c>
      <c r="F521" s="14" t="n">
        <f aca="false">Share_Prices!F521/Share_Prices!F520-1</f>
        <v>-0.0160481028405556</v>
      </c>
      <c r="G521" s="14" t="n">
        <f aca="false">Share_Prices!G521/Share_Prices!G520-1</f>
        <v>-0.00233433734939748</v>
      </c>
      <c r="H521" s="14" t="n">
        <f aca="false">Share_Prices!H521/Share_Prices!H520-1</f>
        <v>0.0113174546015742</v>
      </c>
      <c r="I521" s="14" t="n">
        <f aca="false">Share_Prices!I521/Share_Prices!I520-1</f>
        <v>-0.0107768718957924</v>
      </c>
      <c r="J521" s="14" t="n">
        <f aca="false">Share_Prices!J521/Share_Prices!J520-1</f>
        <v>0.0240096764439068</v>
      </c>
      <c r="K521" s="14" t="n">
        <f aca="false">Share_Prices!K521/Share_Prices!K520-1</f>
        <v>-0.0068426828481053</v>
      </c>
      <c r="L521" s="14" t="n">
        <f aca="false">Share_Prices!L521/Share_Prices!L520-1</f>
        <v>-0.000621504039776233</v>
      </c>
      <c r="M521" s="14" t="n">
        <f aca="false">Share_Prices!M521/Share_Prices!M520-1</f>
        <v>-0.00556339782446236</v>
      </c>
      <c r="N521" s="14" t="n">
        <f aca="false">Share_Prices!N521/Share_Prices!N520-1</f>
        <v>-0.0313938886563415</v>
      </c>
      <c r="O521" s="14" t="n">
        <f aca="false">Share_Prices!O521/Share_Prices!O520-1</f>
        <v>0.0145427286356823</v>
      </c>
      <c r="P521" s="14" t="n">
        <f aca="false">Share_Prices!P521/Share_Prices!P520-1</f>
        <v>-0.012586562993561</v>
      </c>
      <c r="Q521" s="14" t="n">
        <f aca="false">Share_Prices!Q521/Share_Prices!Q520-1</f>
        <v>-0.00341081354219308</v>
      </c>
      <c r="R521" s="14" t="n">
        <f aca="false">Share_Prices!R521/Share_Prices!R520-1</f>
        <v>-0.0160244181610071</v>
      </c>
      <c r="S521" s="14" t="n">
        <f aca="false">Share_Prices!S521/Share_Prices!S520-1</f>
        <v>-0.0121787879206309</v>
      </c>
    </row>
    <row r="522" customFormat="false" ht="15" hidden="false" customHeight="false" outlineLevel="0" collapsed="false">
      <c r="A522" s="13" t="n">
        <f aca="false">Share_Prices!A522</f>
        <v>45566</v>
      </c>
      <c r="B522" s="14" t="n">
        <f aca="false">Share_Prices!B522/Share_Prices!B521-1</f>
        <v>-0.000540470383578851</v>
      </c>
      <c r="C522" s="14" t="n">
        <f aca="false">Share_Prices!C522/Share_Prices!C521-1</f>
        <v>0.00107650174055074</v>
      </c>
      <c r="D522" s="14" t="n">
        <f aca="false">Share_Prices!D522/Share_Prices!D521-1</f>
        <v>0.018800407388037</v>
      </c>
      <c r="E522" s="14" t="n">
        <f aca="false">Share_Prices!E522/Share_Prices!E521-1</f>
        <v>0.0108713925469319</v>
      </c>
      <c r="F522" s="14" t="n">
        <f aca="false">Share_Prices!F522/Share_Prices!F521-1</f>
        <v>-0.00164362778152394</v>
      </c>
      <c r="G522" s="14" t="n">
        <f aca="false">Share_Prices!G522/Share_Prices!G521-1</f>
        <v>-0.00483055324930193</v>
      </c>
      <c r="H522" s="14" t="n">
        <f aca="false">Share_Prices!H522/Share_Prices!H521-1</f>
        <v>-0.0113434050562085</v>
      </c>
      <c r="I522" s="14" t="n">
        <f aca="false">Share_Prices!I522/Share_Prices!I521-1</f>
        <v>0.0135467980295567</v>
      </c>
      <c r="J522" s="14" t="n">
        <f aca="false">Share_Prices!J522/Share_Prices!J521-1</f>
        <v>-0.00623080557524214</v>
      </c>
      <c r="K522" s="14" t="n">
        <f aca="false">Share_Prices!K522/Share_Prices!K521-1</f>
        <v>0</v>
      </c>
      <c r="L522" s="14" t="n">
        <f aca="false">Share_Prices!L522/Share_Prices!L521-1</f>
        <v>-0.0162624378109454</v>
      </c>
      <c r="M522" s="14" t="n">
        <f aca="false">Share_Prices!M522/Share_Prices!M521-1</f>
        <v>-0.0007515030060119</v>
      </c>
      <c r="N522" s="14" t="n">
        <f aca="false">Share_Prices!N522/Share_Prices!N521-1</f>
        <v>0.00961538461538458</v>
      </c>
      <c r="O522" s="14" t="n">
        <f aca="false">Share_Prices!O522/Share_Prices!O521-1</f>
        <v>-0.0243830353184572</v>
      </c>
      <c r="P522" s="14" t="n">
        <f aca="false">Share_Prices!P522/Share_Prices!P521-1</f>
        <v>-0.0373797278342396</v>
      </c>
      <c r="Q522" s="14" t="n">
        <f aca="false">Share_Prices!Q522/Share_Prices!Q521-1</f>
        <v>0.0163518823678539</v>
      </c>
      <c r="R522" s="14" t="n">
        <f aca="false">Share_Prices!R522/Share_Prices!R521-1</f>
        <v>-0.00452371720305023</v>
      </c>
      <c r="S522" s="14" t="n">
        <f aca="false">Share_Prices!S522/Share_Prices!S521-1</f>
        <v>-0.0018311690127063</v>
      </c>
    </row>
    <row r="523" customFormat="false" ht="15" hidden="false" customHeight="false" outlineLevel="0" collapsed="false">
      <c r="A523" s="13" t="n">
        <f aca="false">Share_Prices!A523</f>
        <v>45568</v>
      </c>
      <c r="B523" s="14" t="n">
        <f aca="false">Share_Prices!B523/Share_Prices!B522-1</f>
        <v>-0.0211963452973033</v>
      </c>
      <c r="C523" s="14" t="n">
        <f aca="false">Share_Prices!C523/Share_Prices!C522-1</f>
        <v>-0.021253496928471</v>
      </c>
      <c r="D523" s="14" t="n">
        <f aca="false">Share_Prices!D523/Share_Prices!D522-1</f>
        <v>-0.0390143737166323</v>
      </c>
      <c r="E523" s="14" t="n">
        <f aca="false">Share_Prices!E523/Share_Prices!E522-1</f>
        <v>-0.0200121957979933</v>
      </c>
      <c r="F523" s="14" t="n">
        <f aca="false">Share_Prices!F523/Share_Prices!F522-1</f>
        <v>-0.00202625691249114</v>
      </c>
      <c r="G523" s="14" t="n">
        <f aca="false">Share_Prices!G523/Share_Prices!G522-1</f>
        <v>-0.0343572241183162</v>
      </c>
      <c r="H523" s="14" t="n">
        <f aca="false">Share_Prices!H523/Share_Prices!H522-1</f>
        <v>-0.0340090553611854</v>
      </c>
      <c r="I523" s="14" t="n">
        <f aca="false">Share_Prices!I523/Share_Prices!I522-1</f>
        <v>-0.0184129357883914</v>
      </c>
      <c r="J523" s="14" t="n">
        <f aca="false">Share_Prices!J523/Share_Prices!J522-1</f>
        <v>-0.0366980655513625</v>
      </c>
      <c r="K523" s="14" t="n">
        <f aca="false">Share_Prices!K523/Share_Prices!K522-1</f>
        <v>-0.0349431264218395</v>
      </c>
      <c r="L523" s="14" t="n">
        <f aca="false">Share_Prices!L523/Share_Prices!L522-1</f>
        <v>-0.0414704301924961</v>
      </c>
      <c r="M523" s="14" t="n">
        <f aca="false">Share_Prices!M523/Share_Prices!M522-1</f>
        <v>-0.0218935405699006</v>
      </c>
      <c r="N523" s="14" t="n">
        <f aca="false">Share_Prices!N523/Share_Prices!N522-1</f>
        <v>-0.0248261102193686</v>
      </c>
      <c r="O523" s="14" t="n">
        <f aca="false">Share_Prices!O523/Share_Prices!O522-1</f>
        <v>-0.0237806725234778</v>
      </c>
      <c r="P523" s="14" t="n">
        <f aca="false">Share_Prices!P523/Share_Prices!P522-1</f>
        <v>0.00416687969732599</v>
      </c>
      <c r="Q523" s="14" t="n">
        <f aca="false">Share_Prices!Q523/Share_Prices!Q522-1</f>
        <v>-0.018832626590172</v>
      </c>
      <c r="R523" s="14" t="n">
        <f aca="false">Share_Prices!R523/Share_Prices!R522-1</f>
        <v>-0.026551545053233</v>
      </c>
      <c r="S523" s="14" t="n">
        <f aca="false">Share_Prices!S523/Share_Prices!S522-1</f>
        <v>-0.0450649787138697</v>
      </c>
    </row>
    <row r="524" customFormat="false" ht="15" hidden="false" customHeight="false" outlineLevel="0" collapsed="false">
      <c r="A524" s="13" t="n">
        <f aca="false">Share_Prices!A524</f>
        <v>45569</v>
      </c>
      <c r="B524" s="14" t="n">
        <f aca="false">Share_Prices!B524/Share_Prices!B523-1</f>
        <v>-0.00932669573585843</v>
      </c>
      <c r="C524" s="14" t="n">
        <f aca="false">Share_Prices!C524/Share_Prices!C523-1</f>
        <v>-0.00928208053309876</v>
      </c>
      <c r="D524" s="14" t="n">
        <f aca="false">Share_Prices!D524/Share_Prices!D523-1</f>
        <v>-0.000843454790823262</v>
      </c>
      <c r="E524" s="14" t="n">
        <f aca="false">Share_Prices!E524/Share_Prices!E523-1</f>
        <v>-0.0415771014820681</v>
      </c>
      <c r="F524" s="14" t="n">
        <f aca="false">Share_Prices!F524/Share_Prices!F523-1</f>
        <v>0.0556660039761432</v>
      </c>
      <c r="G524" s="14" t="n">
        <f aca="false">Share_Prices!G524/Share_Prices!G523-1</f>
        <v>-0.0027489789506755</v>
      </c>
      <c r="H524" s="14" t="n">
        <f aca="false">Share_Prices!H524/Share_Prices!H523-1</f>
        <v>0.00649800266311584</v>
      </c>
      <c r="I524" s="14" t="n">
        <f aca="false">Share_Prices!I524/Share_Prices!I523-1</f>
        <v>-0.0165682727099601</v>
      </c>
      <c r="J524" s="14" t="n">
        <f aca="false">Share_Prices!J524/Share_Prices!J523-1</f>
        <v>-0.000802023567154198</v>
      </c>
      <c r="K524" s="14" t="n">
        <f aca="false">Share_Prices!K524/Share_Prices!K523-1</f>
        <v>-0.0299311663995043</v>
      </c>
      <c r="L524" s="14" t="n">
        <f aca="false">Share_Prices!L524/Share_Prices!L523-1</f>
        <v>-0.012431986809563</v>
      </c>
      <c r="M524" s="14" t="n">
        <f aca="false">Share_Prices!M524/Share_Prices!M523-1</f>
        <v>-0.017385732592909</v>
      </c>
      <c r="N524" s="14" t="n">
        <f aca="false">Share_Prices!N524/Share_Prices!N523-1</f>
        <v>0.0117414682321959</v>
      </c>
      <c r="O524" s="14" t="n">
        <f aca="false">Share_Prices!O524/Share_Prices!O523-1</f>
        <v>-0.0676493405740885</v>
      </c>
      <c r="P524" s="14" t="n">
        <f aca="false">Share_Prices!P524/Share_Prices!P523-1</f>
        <v>-0.0171584226470813</v>
      </c>
      <c r="Q524" s="14" t="n">
        <f aca="false">Share_Prices!Q524/Share_Prices!Q523-1</f>
        <v>0.00406762425320961</v>
      </c>
      <c r="R524" s="14" t="n">
        <f aca="false">Share_Prices!R524/Share_Prices!R523-1</f>
        <v>-0.00880293431143719</v>
      </c>
      <c r="S524" s="14" t="n">
        <f aca="false">Share_Prices!S524/Share_Prices!S523-1</f>
        <v>-0.0214694236691597</v>
      </c>
    </row>
    <row r="525" customFormat="false" ht="15" hidden="false" customHeight="false" outlineLevel="0" collapsed="false">
      <c r="A525" s="13" t="n">
        <f aca="false">Share_Prices!A525</f>
        <v>45572</v>
      </c>
      <c r="B525" s="14" t="n">
        <f aca="false">Share_Prices!B525/Share_Prices!B524-1</f>
        <v>-0.00874889064786155</v>
      </c>
      <c r="C525" s="14" t="n">
        <f aca="false">Share_Prices!C525/Share_Prices!C524-1</f>
        <v>-0.0149989696175262</v>
      </c>
      <c r="D525" s="14" t="n">
        <f aca="false">Share_Prices!D525/Share_Prices!D524-1</f>
        <v>-0.0279137824300749</v>
      </c>
      <c r="E525" s="14" t="n">
        <f aca="false">Share_Prices!E525/Share_Prices!E524-1</f>
        <v>-0.0272088768222865</v>
      </c>
      <c r="F525" s="14" t="n">
        <f aca="false">Share_Prices!F525/Share_Prices!F524-1</f>
        <v>-0.00629082021076244</v>
      </c>
      <c r="G525" s="14" t="n">
        <f aca="false">Share_Prices!G525/Share_Prices!G524-1</f>
        <v>-0.0430810427660078</v>
      </c>
      <c r="H525" s="14" t="n">
        <f aca="false">Share_Prices!H525/Share_Prices!H524-1</f>
        <v>-0.0105836905328888</v>
      </c>
      <c r="I525" s="14" t="n">
        <f aca="false">Share_Prices!I525/Share_Prices!I524-1</f>
        <v>-0.0337916343919442</v>
      </c>
      <c r="J525" s="14" t="n">
        <f aca="false">Share_Prices!J525/Share_Prices!J524-1</f>
        <v>-0.0254383798468757</v>
      </c>
      <c r="K525" s="14" t="n">
        <f aca="false">Share_Prices!K525/Share_Prices!K524-1</f>
        <v>0.00805387766437549</v>
      </c>
      <c r="L525" s="14" t="n">
        <f aca="false">Share_Prices!L525/Share_Prices!L524-1</f>
        <v>-0.0126552691331642</v>
      </c>
      <c r="M525" s="14" t="n">
        <f aca="false">Share_Prices!M525/Share_Prices!M524-1</f>
        <v>-0.00452114941529369</v>
      </c>
      <c r="N525" s="14" t="n">
        <f aca="false">Share_Prices!N525/Share_Prices!N524-1</f>
        <v>-0.0531453362255966</v>
      </c>
      <c r="O525" s="14" t="n">
        <f aca="false">Share_Prices!O525/Share_Prices!O524-1</f>
        <v>-0.0282908969878516</v>
      </c>
      <c r="P525" s="14" t="n">
        <f aca="false">Share_Prices!P525/Share_Prices!P524-1</f>
        <v>-0.025047271220245</v>
      </c>
      <c r="Q525" s="14" t="n">
        <f aca="false">Share_Prices!Q525/Share_Prices!Q524-1</f>
        <v>-0.0379794910748196</v>
      </c>
      <c r="R525" s="14" t="n">
        <f aca="false">Share_Prices!R525/Share_Prices!R524-1</f>
        <v>-0.0164166049922626</v>
      </c>
      <c r="S525" s="14" t="n">
        <f aca="false">Share_Prices!S525/Share_Prices!S524-1</f>
        <v>-0.0110751431226208</v>
      </c>
    </row>
    <row r="526" customFormat="false" ht="15" hidden="false" customHeight="false" outlineLevel="0" collapsed="false">
      <c r="A526" s="13" t="n">
        <f aca="false">Share_Prices!A526</f>
        <v>45573</v>
      </c>
      <c r="B526" s="14" t="n">
        <f aca="false">Share_Prices!B526/Share_Prices!B525-1</f>
        <v>0.00876763154976157</v>
      </c>
      <c r="C526" s="14" t="n">
        <f aca="false">Share_Prices!C526/Share_Prices!C525-1</f>
        <v>0.0142610953780851</v>
      </c>
      <c r="D526" s="14" t="n">
        <f aca="false">Share_Prices!D526/Share_Prices!D525-1</f>
        <v>0.0083946042957217</v>
      </c>
      <c r="E526" s="14" t="n">
        <f aca="false">Share_Prices!E526/Share_Prices!E525-1</f>
        <v>0.0368280548477127</v>
      </c>
      <c r="F526" s="14" t="n">
        <f aca="false">Share_Prices!F526/Share_Prices!F525-1</f>
        <v>0.0353629032258065</v>
      </c>
      <c r="G526" s="14" t="n">
        <f aca="false">Share_Prices!G526/Share_Prices!G525-1</f>
        <v>0.0127572016460906</v>
      </c>
      <c r="H526" s="14" t="n">
        <f aca="false">Share_Prices!H526/Share_Prices!H525-1</f>
        <v>0.00454618387976691</v>
      </c>
      <c r="I526" s="14" t="n">
        <f aca="false">Share_Prices!I526/Share_Prices!I525-1</f>
        <v>0.00891872933159643</v>
      </c>
      <c r="J526" s="14" t="n">
        <f aca="false">Share_Prices!J526/Share_Prices!J525-1</f>
        <v>0.00668398378104396</v>
      </c>
      <c r="K526" s="14" t="n">
        <f aca="false">Share_Prices!K526/Share_Prices!K525-1</f>
        <v>-0.0113368689303671</v>
      </c>
      <c r="L526" s="14" t="n">
        <f aca="false">Share_Prices!L526/Share_Prices!L525-1</f>
        <v>0.0355101626703642</v>
      </c>
      <c r="M526" s="14" t="n">
        <f aca="false">Share_Prices!M526/Share_Prices!M525-1</f>
        <v>-0.00227084152146395</v>
      </c>
      <c r="N526" s="14" t="n">
        <f aca="false">Share_Prices!N526/Share_Prices!N525-1</f>
        <v>0.0505154639175258</v>
      </c>
      <c r="O526" s="14" t="n">
        <f aca="false">Share_Prices!O526/Share_Prices!O525-1</f>
        <v>-0.0104469943483474</v>
      </c>
      <c r="P526" s="14" t="n">
        <f aca="false">Share_Prices!P526/Share_Prices!P525-1</f>
        <v>0.00108926673751331</v>
      </c>
      <c r="Q526" s="14" t="n">
        <f aca="false">Share_Prices!Q526/Share_Prices!Q525-1</f>
        <v>-0.01500197394394</v>
      </c>
      <c r="R526" s="14" t="n">
        <f aca="false">Share_Prices!R526/Share_Prices!R525-1</f>
        <v>0.00177850742184815</v>
      </c>
      <c r="S526" s="14" t="n">
        <f aca="false">Share_Prices!S526/Share_Prices!S525-1</f>
        <v>0.00907754557715923</v>
      </c>
    </row>
    <row r="527" customFormat="false" ht="15" hidden="false" customHeight="false" outlineLevel="0" collapsed="false">
      <c r="A527" s="13" t="n">
        <f aca="false">Share_Prices!A527</f>
        <v>45574</v>
      </c>
      <c r="B527" s="14" t="n">
        <f aca="false">Share_Prices!B527/Share_Prices!B526-1</f>
        <v>-0.00124734389711012</v>
      </c>
      <c r="C527" s="14" t="n">
        <f aca="false">Share_Prices!C527/Share_Prices!C526-1</f>
        <v>0.00370227814507573</v>
      </c>
      <c r="D527" s="14" t="n">
        <f aca="false">Share_Prices!D527/Share_Prices!D526-1</f>
        <v>-0.0110517855092434</v>
      </c>
      <c r="E527" s="14" t="n">
        <f aca="false">Share_Prices!E527/Share_Prices!E526-1</f>
        <v>0.0184329100591023</v>
      </c>
      <c r="F527" s="14" t="n">
        <f aca="false">Share_Prices!F527/Share_Prices!F526-1</f>
        <v>0.0198621334268021</v>
      </c>
      <c r="G527" s="14" t="n">
        <f aca="false">Share_Prices!G527/Share_Prices!G526-1</f>
        <v>0.00316944331572544</v>
      </c>
      <c r="H527" s="14" t="n">
        <f aca="false">Share_Prices!H527/Share_Prices!H526-1</f>
        <v>0.00740070280055361</v>
      </c>
      <c r="I527" s="14" t="n">
        <f aca="false">Share_Prices!I527/Share_Prices!I526-1</f>
        <v>-0.00556217719507346</v>
      </c>
      <c r="J527" s="14" t="n">
        <f aca="false">Share_Prices!J527/Share_Prices!J526-1</f>
        <v>-0.00220271248308634</v>
      </c>
      <c r="K527" s="14" t="n">
        <f aca="false">Share_Prices!K527/Share_Prices!K526-1</f>
        <v>0.0157861004291366</v>
      </c>
      <c r="L527" s="14" t="n">
        <f aca="false">Share_Prices!L527/Share_Prices!L526-1</f>
        <v>0.0199875894052712</v>
      </c>
      <c r="M527" s="14" t="n">
        <f aca="false">Share_Prices!M527/Share_Prices!M526-1</f>
        <v>0.00827242088676861</v>
      </c>
      <c r="N527" s="14" t="n">
        <f aca="false">Share_Prices!N527/Share_Prices!N526-1</f>
        <v>-0.011012975684222</v>
      </c>
      <c r="O527" s="14" t="n">
        <f aca="false">Share_Prices!O527/Share_Prices!O526-1</f>
        <v>-0.0109034267912772</v>
      </c>
      <c r="P527" s="14" t="n">
        <f aca="false">Share_Prices!P527/Share_Prices!P526-1</f>
        <v>0.0263528038003238</v>
      </c>
      <c r="Q527" s="14" t="n">
        <f aca="false">Share_Prices!Q527/Share_Prices!Q526-1</f>
        <v>0.042752171008684</v>
      </c>
      <c r="R527" s="14" t="n">
        <f aca="false">Share_Prices!R527/Share_Prices!R526-1</f>
        <v>0.00949129395698201</v>
      </c>
      <c r="S527" s="14" t="n">
        <f aca="false">Share_Prices!S527/Share_Prices!S526-1</f>
        <v>0.0176163157420479</v>
      </c>
    </row>
    <row r="528" customFormat="false" ht="15" hidden="false" customHeight="false" outlineLevel="0" collapsed="false">
      <c r="A528" s="13" t="n">
        <f aca="false">Share_Prices!A528</f>
        <v>45575</v>
      </c>
      <c r="B528" s="14" t="n">
        <f aca="false">Share_Prices!B528/Share_Prices!B527-1</f>
        <v>0.000660476864295934</v>
      </c>
      <c r="C528" s="14" t="n">
        <f aca="false">Share_Prices!C528/Share_Prices!C527-1</f>
        <v>-6.14417193510741E-005</v>
      </c>
      <c r="D528" s="14" t="n">
        <f aca="false">Share_Prices!D528/Share_Prices!D527-1</f>
        <v>-0.000609561406054948</v>
      </c>
      <c r="E528" s="14" t="n">
        <f aca="false">Share_Prices!E528/Share_Prices!E527-1</f>
        <v>-0.0139048494598943</v>
      </c>
      <c r="F528" s="14" t="n">
        <f aca="false">Share_Prices!F528/Share_Prices!F527-1</f>
        <v>-0.0517050444877227</v>
      </c>
      <c r="G528" s="14" t="n">
        <f aca="false">Share_Prices!G528/Share_Prices!G527-1</f>
        <v>-0.00178224238496438</v>
      </c>
      <c r="H528" s="14" t="n">
        <f aca="false">Share_Prices!H528/Share_Prices!H527-1</f>
        <v>0.00443951165371814</v>
      </c>
      <c r="I528" s="14" t="n">
        <f aca="false">Share_Prices!I528/Share_Prices!I527-1</f>
        <v>-0.000599280862964458</v>
      </c>
      <c r="J528" s="14" t="n">
        <f aca="false">Share_Prices!J528/Share_Prices!J527-1</f>
        <v>-0.0142230912359267</v>
      </c>
      <c r="K528" s="14" t="n">
        <f aca="false">Share_Prices!K528/Share_Prices!K527-1</f>
        <v>0.00264728070777043</v>
      </c>
      <c r="L528" s="14" t="n">
        <f aca="false">Share_Prices!L528/Share_Prices!L527-1</f>
        <v>-0.0284653069065992</v>
      </c>
      <c r="M528" s="14" t="n">
        <f aca="false">Share_Prices!M528/Share_Prices!M527-1</f>
        <v>-0.0283035249175203</v>
      </c>
      <c r="N528" s="14" t="n">
        <f aca="false">Share_Prices!N528/Share_Prices!N527-1</f>
        <v>0.00242557883131211</v>
      </c>
      <c r="O528" s="14" t="n">
        <f aca="false">Share_Prices!O528/Share_Prices!O527-1</f>
        <v>-0.00454943132108487</v>
      </c>
      <c r="P528" s="14" t="n">
        <f aca="false">Share_Prices!P528/Share_Prices!P527-1</f>
        <v>0.00501629001396298</v>
      </c>
      <c r="Q528" s="14" t="n">
        <f aca="false">Share_Prices!Q528/Share_Prices!Q527-1</f>
        <v>-0.00550928891736058</v>
      </c>
      <c r="R528" s="14" t="n">
        <f aca="false">Share_Prices!R528/Share_Prices!R527-1</f>
        <v>-0.00257034632034647</v>
      </c>
      <c r="S528" s="14" t="n">
        <f aca="false">Share_Prices!S528/Share_Prices!S527-1</f>
        <v>-0.014846736226922</v>
      </c>
    </row>
    <row r="529" customFormat="false" ht="15" hidden="false" customHeight="false" outlineLevel="0" collapsed="false">
      <c r="A529" s="13" t="n">
        <f aca="false">Share_Prices!A529</f>
        <v>45576</v>
      </c>
      <c r="B529" s="14" t="n">
        <f aca="false">Share_Prices!B529/Share_Prices!B528-1</f>
        <v>-0.00136808482125894</v>
      </c>
      <c r="C529" s="14" t="n">
        <f aca="false">Share_Prices!C529/Share_Prices!C528-1</f>
        <v>0.000555128262172966</v>
      </c>
      <c r="D529" s="14" t="n">
        <f aca="false">Share_Prices!D529/Share_Prices!D528-1</f>
        <v>-0.0015393552134767</v>
      </c>
      <c r="E529" s="14" t="n">
        <f aca="false">Share_Prices!E529/Share_Prices!E528-1</f>
        <v>0.011245775550635</v>
      </c>
      <c r="F529" s="14" t="n">
        <f aca="false">Share_Prices!F529/Share_Prices!F528-1</f>
        <v>-0.0201344984496437</v>
      </c>
      <c r="G529" s="14" t="n">
        <f aca="false">Share_Prices!G529/Share_Prices!G528-1</f>
        <v>0.00551858464534982</v>
      </c>
      <c r="H529" s="14" t="n">
        <f aca="false">Share_Prices!H529/Share_Prices!H528-1</f>
        <v>0.0249408050513023</v>
      </c>
      <c r="I529" s="14" t="n">
        <f aca="false">Share_Prices!I529/Share_Prices!I528-1</f>
        <v>-0.00549670197881269</v>
      </c>
      <c r="J529" s="14" t="n">
        <f aca="false">Share_Prices!J529/Share_Prices!J528-1</f>
        <v>-0.0137564783415446</v>
      </c>
      <c r="K529" s="14" t="n">
        <f aca="false">Share_Prices!K529/Share_Prices!K528-1</f>
        <v>-0.00242140687843717</v>
      </c>
      <c r="L529" s="14" t="n">
        <f aca="false">Share_Prices!L529/Share_Prices!L528-1</f>
        <v>-0.010579394898161</v>
      </c>
      <c r="M529" s="14" t="n">
        <f aca="false">Share_Prices!M529/Share_Prices!M528-1</f>
        <v>-0.0392691208005719</v>
      </c>
      <c r="N529" s="14" t="n">
        <f aca="false">Share_Prices!N529/Share_Prices!N528-1</f>
        <v>0.0328860536735591</v>
      </c>
      <c r="O529" s="14" t="n">
        <f aca="false">Share_Prices!O529/Share_Prices!O528-1</f>
        <v>-0.00140622253471601</v>
      </c>
      <c r="P529" s="14" t="n">
        <f aca="false">Share_Prices!P529/Share_Prices!P528-1</f>
        <v>0.00105485232067504</v>
      </c>
      <c r="Q529" s="14" t="n">
        <f aca="false">Share_Prices!Q529/Share_Prices!Q528-1</f>
        <v>-0.0190672507085804</v>
      </c>
      <c r="R529" s="14" t="n">
        <f aca="false">Share_Prices!R529/Share_Prices!R528-1</f>
        <v>-0.00481486504814854</v>
      </c>
      <c r="S529" s="14" t="n">
        <f aca="false">Share_Prices!S529/Share_Prices!S528-1</f>
        <v>0.00106362260872173</v>
      </c>
    </row>
    <row r="530" customFormat="false" ht="15" hidden="false" customHeight="false" outlineLevel="0" collapsed="false">
      <c r="A530" s="13" t="n">
        <f aca="false">Share_Prices!A530</f>
        <v>45579</v>
      </c>
      <c r="B530" s="14" t="n">
        <f aca="false">Share_Prices!B530/Share_Prices!B529-1</f>
        <v>0.00655737704918025</v>
      </c>
      <c r="C530" s="14" t="n">
        <f aca="false">Share_Prices!C530/Share_Prices!C529-1</f>
        <v>0.00490444173857796</v>
      </c>
      <c r="D530" s="14" t="n">
        <f aca="false">Share_Prices!D530/Share_Prices!D529-1</f>
        <v>0.00535241585944091</v>
      </c>
      <c r="E530" s="14" t="n">
        <f aca="false">Share_Prices!E530/Share_Prices!E529-1</f>
        <v>0.00478248343416876</v>
      </c>
      <c r="F530" s="14" t="n">
        <f aca="false">Share_Prices!F530/Share_Prices!F529-1</f>
        <v>-0.00172605104179524</v>
      </c>
      <c r="G530" s="14" t="n">
        <f aca="false">Share_Prices!G530/Share_Prices!G529-1</f>
        <v>-0.00282485875706218</v>
      </c>
      <c r="H530" s="14" t="n">
        <f aca="false">Share_Prices!H530/Share_Prices!H529-1</f>
        <v>0.0159659120078033</v>
      </c>
      <c r="I530" s="14" t="n">
        <f aca="false">Share_Prices!I530/Share_Prices!I529-1</f>
        <v>0.0230127625364285</v>
      </c>
      <c r="J530" s="14" t="n">
        <f aca="false">Share_Prices!J530/Share_Prices!J529-1</f>
        <v>-0.00217334890359422</v>
      </c>
      <c r="K530" s="14" t="n">
        <f aca="false">Share_Prices!K530/Share_Prices!K529-1</f>
        <v>-0.0127672412610909</v>
      </c>
      <c r="L530" s="14" t="n">
        <f aca="false">Share_Prices!L530/Share_Prices!L529-1</f>
        <v>0.00789447386829223</v>
      </c>
      <c r="M530" s="14" t="n">
        <f aca="false">Share_Prices!M530/Share_Prices!M529-1</f>
        <v>-0.0189258312020459</v>
      </c>
      <c r="N530" s="14" t="n">
        <f aca="false">Share_Prices!N530/Share_Prices!N529-1</f>
        <v>0.00404642743051853</v>
      </c>
      <c r="O530" s="14" t="n">
        <f aca="false">Share_Prices!O530/Share_Prices!O529-1</f>
        <v>-0.00281640556240104</v>
      </c>
      <c r="P530" s="14" t="n">
        <f aca="false">Share_Prices!P530/Share_Prices!P529-1</f>
        <v>0.00231308951656439</v>
      </c>
      <c r="Q530" s="14" t="n">
        <f aca="false">Share_Prices!Q530/Share_Prices!Q529-1</f>
        <v>-0.00105069608615704</v>
      </c>
      <c r="R530" s="14" t="n">
        <f aca="false">Share_Prices!R530/Share_Prices!R529-1</f>
        <v>0.00517887563884156</v>
      </c>
      <c r="S530" s="14" t="n">
        <f aca="false">Share_Prices!S530/Share_Prices!S529-1</f>
        <v>0.016191787381779</v>
      </c>
    </row>
    <row r="531" customFormat="false" ht="15" hidden="false" customHeight="false" outlineLevel="0" collapsed="false">
      <c r="A531" s="13" t="n">
        <f aca="false">Share_Prices!A531</f>
        <v>45580</v>
      </c>
      <c r="B531" s="14" t="n">
        <f aca="false">Share_Prices!B531/Share_Prices!B530-1</f>
        <v>-0.00280962036298238</v>
      </c>
      <c r="C531" s="14" t="n">
        <f aca="false">Share_Prices!C531/Share_Prices!C530-1</f>
        <v>0.000364562809114455</v>
      </c>
      <c r="D531" s="14" t="n">
        <f aca="false">Share_Prices!D531/Share_Prices!D530-1</f>
        <v>0.0279505801336766</v>
      </c>
      <c r="E531" s="14" t="n">
        <f aca="false">Share_Prices!E531/Share_Prices!E530-1</f>
        <v>0.0216767977979127</v>
      </c>
      <c r="F531" s="14" t="n">
        <f aca="false">Share_Prices!F531/Share_Prices!F530-1</f>
        <v>-0.0118150755423819</v>
      </c>
      <c r="G531" s="14" t="n">
        <f aca="false">Share_Prices!G531/Share_Prices!G530-1</f>
        <v>0.0132739781464994</v>
      </c>
      <c r="H531" s="14" t="n">
        <f aca="false">Share_Prices!H531/Share_Prices!H530-1</f>
        <v>-0.00773117736230422</v>
      </c>
      <c r="I531" s="14" t="n">
        <f aca="false">Share_Prices!I531/Share_Prices!I530-1</f>
        <v>-0.000392927308447866</v>
      </c>
      <c r="J531" s="14" t="n">
        <f aca="false">Share_Prices!J531/Share_Prices!J530-1</f>
        <v>-0.00867982185234539</v>
      </c>
      <c r="K531" s="14" t="n">
        <f aca="false">Share_Prices!K531/Share_Prices!K530-1</f>
        <v>-0.0266148076121683</v>
      </c>
      <c r="L531" s="14" t="n">
        <f aca="false">Share_Prices!L531/Share_Prices!L530-1</f>
        <v>-0.00651067486284629</v>
      </c>
      <c r="M531" s="14" t="n">
        <f aca="false">Share_Prices!M531/Share_Prices!M530-1</f>
        <v>-0.000142193572850613</v>
      </c>
      <c r="N531" s="14" t="n">
        <f aca="false">Share_Prices!N531/Share_Prices!N530-1</f>
        <v>0.0125145826704847</v>
      </c>
      <c r="O531" s="14" t="n">
        <f aca="false">Share_Prices!O531/Share_Prices!O530-1</f>
        <v>0.0111209179170344</v>
      </c>
      <c r="P531" s="14" t="n">
        <f aca="false">Share_Prices!P531/Share_Prices!P530-1</f>
        <v>0.00358983563681115</v>
      </c>
      <c r="Q531" s="14" t="n">
        <f aca="false">Share_Prices!Q531/Share_Prices!Q530-1</f>
        <v>-0.00105180120957149</v>
      </c>
      <c r="R531" s="14" t="n">
        <f aca="false">Share_Prices!R531/Share_Prices!R530-1</f>
        <v>0.00203376042302206</v>
      </c>
      <c r="S531" s="14" t="n">
        <f aca="false">Share_Prices!S531/Share_Prices!S530-1</f>
        <v>0.00172296998792465</v>
      </c>
    </row>
    <row r="532" customFormat="false" ht="15" hidden="false" customHeight="false" outlineLevel="0" collapsed="false">
      <c r="A532" s="13" t="n">
        <f aca="false">Share_Prices!A532</f>
        <v>45581</v>
      </c>
      <c r="B532" s="14" t="n">
        <f aca="false">Share_Prices!B532/Share_Prices!B531-1</f>
        <v>-0.00343412212384786</v>
      </c>
      <c r="C532" s="14" t="n">
        <f aca="false">Share_Prices!C532/Share_Prices!C531-1</f>
        <v>-0.00263527092101767</v>
      </c>
      <c r="D532" s="14" t="n">
        <f aca="false">Share_Prices!D532/Share_Prices!D531-1</f>
        <v>-0.0167478255974329</v>
      </c>
      <c r="E532" s="14" t="n">
        <f aca="false">Share_Prices!E532/Share_Prices!E531-1</f>
        <v>-0.00948585541086655</v>
      </c>
      <c r="F532" s="14" t="n">
        <f aca="false">Share_Prices!F532/Share_Prices!F531-1</f>
        <v>0.00795700716547243</v>
      </c>
      <c r="G532" s="14" t="n">
        <f aca="false">Share_Prices!G532/Share_Prices!G531-1</f>
        <v>0.000239635753654488</v>
      </c>
      <c r="H532" s="14" t="n">
        <f aca="false">Share_Prices!H532/Share_Prices!H531-1</f>
        <v>-0.0228140754697764</v>
      </c>
      <c r="I532" s="14" t="n">
        <f aca="false">Share_Prices!I532/Share_Prices!I531-1</f>
        <v>-0.00992531446540879</v>
      </c>
      <c r="J532" s="14" t="n">
        <f aca="false">Share_Prices!J532/Share_Prices!J531-1</f>
        <v>0.004394307076802</v>
      </c>
      <c r="K532" s="14" t="n">
        <f aca="false">Share_Prices!K532/Share_Prices!K531-1</f>
        <v>-0.00863373005679702</v>
      </c>
      <c r="L532" s="14" t="n">
        <f aca="false">Share_Prices!L532/Share_Prices!L531-1</f>
        <v>-0.0118758524333854</v>
      </c>
      <c r="M532" s="14" t="n">
        <f aca="false">Share_Prices!M532/Share_Prices!M531-1</f>
        <v>-0.0290590187248164</v>
      </c>
      <c r="N532" s="14" t="n">
        <f aca="false">Share_Prices!N532/Share_Prices!N531-1</f>
        <v>-0.0175971509374674</v>
      </c>
      <c r="O532" s="14" t="n">
        <f aca="false">Share_Prices!O532/Share_Prices!O531-1</f>
        <v>0.0125698324022347</v>
      </c>
      <c r="P532" s="14" t="n">
        <f aca="false">Share_Prices!P532/Share_Prices!P531-1</f>
        <v>-7.66498888576939E-005</v>
      </c>
      <c r="Q532" s="14" t="n">
        <f aca="false">Share_Prices!Q532/Share_Prices!Q531-1</f>
        <v>0.0028954988154779</v>
      </c>
      <c r="R532" s="14" t="n">
        <f aca="false">Share_Prices!R532/Share_Prices!R531-1</f>
        <v>0.00236790474257487</v>
      </c>
      <c r="S532" s="14" t="n">
        <f aca="false">Share_Prices!S532/Share_Prices!S531-1</f>
        <v>-0.00316069564706056</v>
      </c>
    </row>
    <row r="533" customFormat="false" ht="15" hidden="false" customHeight="false" outlineLevel="0" collapsed="false">
      <c r="A533" s="13" t="n">
        <f aca="false">Share_Prices!A533</f>
        <v>45582</v>
      </c>
      <c r="B533" s="14" t="n">
        <f aca="false">Share_Prices!B533/Share_Prices!B532-1</f>
        <v>-0.00886818067141082</v>
      </c>
      <c r="C533" s="14" t="n">
        <f aca="false">Share_Prices!C533/Share_Prices!C532-1</f>
        <v>-0.0125099532592833</v>
      </c>
      <c r="D533" s="14" t="n">
        <f aca="false">Share_Prices!D533/Share_Prices!D532-1</f>
        <v>-0.0106492614221916</v>
      </c>
      <c r="E533" s="14" t="n">
        <f aca="false">Share_Prices!E533/Share_Prices!E532-1</f>
        <v>-0.0280500935003116</v>
      </c>
      <c r="F533" s="14" t="n">
        <f aca="false">Share_Prices!F533/Share_Prices!F532-1</f>
        <v>-0.00735689191981825</v>
      </c>
      <c r="G533" s="14" t="n">
        <f aca="false">Share_Prices!G533/Share_Prices!G532-1</f>
        <v>-0.0228398019485706</v>
      </c>
      <c r="H533" s="14" t="n">
        <f aca="false">Share_Prices!H533/Share_Prices!H532-1</f>
        <v>-0.026890405961749</v>
      </c>
      <c r="I533" s="14" t="n">
        <f aca="false">Share_Prices!I533/Share_Prices!I532-1</f>
        <v>-0.0134987593052109</v>
      </c>
      <c r="J533" s="14" t="n">
        <f aca="false">Share_Prices!J533/Share_Prices!J532-1</f>
        <v>-0.00244873971529325</v>
      </c>
      <c r="K533" s="14" t="n">
        <f aca="false">Share_Prices!K533/Share_Prices!K532-1</f>
        <v>-0.00817630885718823</v>
      </c>
      <c r="L533" s="14" t="n">
        <f aca="false">Share_Prices!L533/Share_Prices!L532-1</f>
        <v>-0.0192903312685161</v>
      </c>
      <c r="M533" s="14" t="n">
        <f aca="false">Share_Prices!M533/Share_Prices!M532-1</f>
        <v>0.0227028610487257</v>
      </c>
      <c r="N533" s="14" t="n">
        <f aca="false">Share_Prices!N533/Share_Prices!N532-1</f>
        <v>-0.0190851903187973</v>
      </c>
      <c r="O533" s="14" t="n">
        <f aca="false">Share_Prices!O533/Share_Prices!O532-1</f>
        <v>-0.0270689655172415</v>
      </c>
      <c r="P533" s="14" t="n">
        <f aca="false">Share_Prices!P533/Share_Prices!P532-1</f>
        <v>-0.000689901880621346</v>
      </c>
      <c r="Q533" s="14" t="n">
        <f aca="false">Share_Prices!Q533/Share_Prices!Q532-1</f>
        <v>-0.0119422572178478</v>
      </c>
      <c r="R533" s="14" t="n">
        <f aca="false">Share_Prices!R533/Share_Prices!R532-1</f>
        <v>-0.0010799136069114</v>
      </c>
      <c r="S533" s="14" t="n">
        <f aca="false">Share_Prices!S533/Share_Prices!S532-1</f>
        <v>-0.038874469089193</v>
      </c>
    </row>
    <row r="534" customFormat="false" ht="15" hidden="false" customHeight="false" outlineLevel="0" collapsed="false">
      <c r="A534" s="13" t="n">
        <f aca="false">Share_Prices!A534</f>
        <v>45583</v>
      </c>
      <c r="B534" s="14" t="n">
        <f aca="false">Share_Prices!B534/Share_Prices!B533-1</f>
        <v>0.00421012652601949</v>
      </c>
      <c r="C534" s="14" t="n">
        <f aca="false">Share_Prices!C534/Share_Prices!C533-1</f>
        <v>0.00272490054326902</v>
      </c>
      <c r="D534" s="14" t="n">
        <f aca="false">Share_Prices!D534/Share_Prices!D533-1</f>
        <v>0.00182291666666679</v>
      </c>
      <c r="E534" s="14" t="n">
        <f aca="false">Share_Prices!E534/Share_Prices!E533-1</f>
        <v>0.00408115671641784</v>
      </c>
      <c r="F534" s="14" t="n">
        <f aca="false">Share_Prices!F534/Share_Prices!F533-1</f>
        <v>-0.0248573926801848</v>
      </c>
      <c r="G534" s="14" t="n">
        <f aca="false">Share_Prices!G534/Share_Prices!G533-1</f>
        <v>0.0111147433801897</v>
      </c>
      <c r="H534" s="14" t="n">
        <f aca="false">Share_Prices!H534/Share_Prices!H533-1</f>
        <v>-0.000963958656884256</v>
      </c>
      <c r="I534" s="14" t="n">
        <f aca="false">Share_Prices!I534/Share_Prices!I533-1</f>
        <v>0.00120736492604889</v>
      </c>
      <c r="J534" s="14" t="n">
        <f aca="false">Share_Prices!J534/Share_Prices!J533-1</f>
        <v>-0.00222564068994868</v>
      </c>
      <c r="K534" s="14" t="n">
        <f aca="false">Share_Prices!K534/Share_Prices!K533-1</f>
        <v>1.45135774516358E-005</v>
      </c>
      <c r="L534" s="14" t="n">
        <f aca="false">Share_Prices!L534/Share_Prices!L533-1</f>
        <v>0.00257457691119423</v>
      </c>
      <c r="M534" s="14" t="n">
        <f aca="false">Share_Prices!M534/Share_Prices!M533-1</f>
        <v>-0.0203847806368452</v>
      </c>
      <c r="N534" s="14" t="n">
        <f aca="false">Share_Prices!N534/Share_Prices!N533-1</f>
        <v>-0.0207608695652174</v>
      </c>
      <c r="O534" s="14" t="n">
        <f aca="false">Share_Prices!O534/Share_Prices!O533-1</f>
        <v>0.0313662945241893</v>
      </c>
      <c r="P534" s="14" t="n">
        <f aca="false">Share_Prices!P534/Share_Prices!P533-1</f>
        <v>0.00680150349024511</v>
      </c>
      <c r="Q534" s="14" t="n">
        <f aca="false">Share_Prices!Q534/Share_Prices!Q533-1</f>
        <v>-0.00119537787222734</v>
      </c>
      <c r="R534" s="14" t="n">
        <f aca="false">Share_Prices!R534/Share_Prices!R533-1</f>
        <v>0.000202702702702728</v>
      </c>
      <c r="S534" s="14" t="n">
        <f aca="false">Share_Prices!S534/Share_Prices!S533-1</f>
        <v>0.0264070459706622</v>
      </c>
    </row>
    <row r="535" customFormat="false" ht="15" hidden="false" customHeight="false" outlineLevel="0" collapsed="false">
      <c r="A535" s="13" t="n">
        <f aca="false">Share_Prices!A535</f>
        <v>45586</v>
      </c>
      <c r="B535" s="14" t="n">
        <f aca="false">Share_Prices!B535/Share_Prices!B534-1</f>
        <v>-0.00293513531999823</v>
      </c>
      <c r="C535" s="14" t="n">
        <f aca="false">Share_Prices!C535/Share_Prices!C534-1</f>
        <v>-0.00757016641994479</v>
      </c>
      <c r="D535" s="14" t="n">
        <f aca="false">Share_Prices!D535/Share_Prices!D534-1</f>
        <v>-0.0143546197614304</v>
      </c>
      <c r="E535" s="14" t="n">
        <f aca="false">Share_Prices!E535/Share_Prices!E534-1</f>
        <v>-0.00191615375682264</v>
      </c>
      <c r="F535" s="14" t="n">
        <f aca="false">Share_Prices!F535/Share_Prices!F534-1</f>
        <v>-0.0397096498719044</v>
      </c>
      <c r="G535" s="14" t="n">
        <f aca="false">Share_Prices!G535/Share_Prices!G534-1</f>
        <v>-0.0175396055609441</v>
      </c>
      <c r="H535" s="14" t="n">
        <f aca="false">Share_Prices!H535/Share_Prices!H534-1</f>
        <v>-0.0189225408737603</v>
      </c>
      <c r="I535" s="14" t="n">
        <f aca="false">Share_Prices!I535/Share_Prices!I534-1</f>
        <v>0.00844136267711781</v>
      </c>
      <c r="J535" s="14" t="n">
        <f aca="false">Share_Prices!J535/Share_Prices!J534-1</f>
        <v>-0.024831884533377</v>
      </c>
      <c r="K535" s="14" t="n">
        <f aca="false">Share_Prices!K535/Share_Prices!K534-1</f>
        <v>-0.0171983396708368</v>
      </c>
      <c r="L535" s="14" t="n">
        <f aca="false">Share_Prices!L535/Share_Prices!L534-1</f>
        <v>-0.0147914812024926</v>
      </c>
      <c r="M535" s="14" t="n">
        <f aca="false">Share_Prices!M535/Share_Prices!M534-1</f>
        <v>-0.01135477582846</v>
      </c>
      <c r="N535" s="14" t="n">
        <f aca="false">Share_Prices!N535/Share_Prices!N534-1</f>
        <v>-0.0306360306360307</v>
      </c>
      <c r="O535" s="14" t="n">
        <f aca="false">Share_Prices!O535/Share_Prices!O534-1</f>
        <v>-0.00635738831615129</v>
      </c>
      <c r="P535" s="14" t="n">
        <f aca="false">Share_Prices!P535/Share_Prices!P534-1</f>
        <v>-0.0120634920634921</v>
      </c>
      <c r="Q535" s="14" t="n">
        <f aca="false">Share_Prices!Q535/Share_Prices!Q534-1</f>
        <v>0.00186170212765946</v>
      </c>
      <c r="R535" s="14" t="n">
        <f aca="false">Share_Prices!R535/Share_Prices!R534-1</f>
        <v>-0.0286428426670269</v>
      </c>
      <c r="S535" s="14" t="n">
        <f aca="false">Share_Prices!S535/Share_Prices!S534-1</f>
        <v>-0.00937317806048466</v>
      </c>
    </row>
    <row r="536" customFormat="false" ht="15" hidden="false" customHeight="false" outlineLevel="0" collapsed="false">
      <c r="A536" s="13" t="n">
        <f aca="false">Share_Prices!A536</f>
        <v>45587</v>
      </c>
      <c r="B536" s="14" t="n">
        <f aca="false">Share_Prices!B536/Share_Prices!B535-1</f>
        <v>-0.0124691801413174</v>
      </c>
      <c r="C536" s="14" t="n">
        <f aca="false">Share_Prices!C536/Share_Prices!C535-1</f>
        <v>-0.0192922313090389</v>
      </c>
      <c r="D536" s="14" t="n">
        <f aca="false">Share_Prices!D536/Share_Prices!D535-1</f>
        <v>-0.0146515853015297</v>
      </c>
      <c r="E536" s="14" t="n">
        <f aca="false">Share_Prices!E536/Share_Prices!E535-1</f>
        <v>-0.0308918494385946</v>
      </c>
      <c r="F536" s="14" t="n">
        <f aca="false">Share_Prices!F536/Share_Prices!F535-1</f>
        <v>-0.0196976433970655</v>
      </c>
      <c r="G536" s="14" t="n">
        <f aca="false">Share_Prices!G536/Share_Prices!G535-1</f>
        <v>-0.0332373508844098</v>
      </c>
      <c r="H536" s="14" t="n">
        <f aca="false">Share_Prices!H536/Share_Prices!H535-1</f>
        <v>-0.0444760135504317</v>
      </c>
      <c r="I536" s="14" t="n">
        <f aca="false">Share_Prices!I536/Share_Prices!I535-1</f>
        <v>-0.00448430493273544</v>
      </c>
      <c r="J536" s="14" t="n">
        <f aca="false">Share_Prices!J536/Share_Prices!J535-1</f>
        <v>0.00097551130247564</v>
      </c>
      <c r="K536" s="14" t="n">
        <f aca="false">Share_Prices!K536/Share_Prices!K535-1</f>
        <v>-0.01519559342558</v>
      </c>
      <c r="L536" s="14" t="n">
        <f aca="false">Share_Prices!L536/Share_Prices!L535-1</f>
        <v>-0.0191144783485091</v>
      </c>
      <c r="M536" s="14" t="n">
        <f aca="false">Share_Prices!M536/Share_Prices!M535-1</f>
        <v>-0.0140484053827574</v>
      </c>
      <c r="N536" s="14" t="n">
        <f aca="false">Share_Prices!N536/Share_Prices!N535-1</f>
        <v>-0.0428260620634375</v>
      </c>
      <c r="O536" s="14" t="n">
        <f aca="false">Share_Prices!O536/Share_Prices!O535-1</f>
        <v>-0.0259380944146637</v>
      </c>
      <c r="P536" s="14" t="n">
        <f aca="false">Share_Prices!P536/Share_Prices!P535-1</f>
        <v>-0.0177377892030849</v>
      </c>
      <c r="Q536" s="14" t="n">
        <f aca="false">Share_Prices!Q536/Share_Prices!Q535-1</f>
        <v>-0.0355720732678524</v>
      </c>
      <c r="R536" s="14" t="n">
        <f aca="false">Share_Prices!R536/Share_Prices!R535-1</f>
        <v>-0.0208637596494888</v>
      </c>
      <c r="S536" s="14" t="n">
        <f aca="false">Share_Prices!S536/Share_Prices!S535-1</f>
        <v>-0.0177466574110403</v>
      </c>
    </row>
    <row r="537" customFormat="false" ht="15" hidden="false" customHeight="false" outlineLevel="0" collapsed="false">
      <c r="A537" s="13" t="n">
        <f aca="false">Share_Prices!A537</f>
        <v>45588</v>
      </c>
      <c r="B537" s="14" t="n">
        <f aca="false">Share_Prices!B537/Share_Prices!B536-1</f>
        <v>-0.00149558068167421</v>
      </c>
      <c r="C537" s="14" t="n">
        <f aca="false">Share_Prices!C537/Share_Prices!C536-1</f>
        <v>0.00116811932788208</v>
      </c>
      <c r="D537" s="14" t="n">
        <f aca="false">Share_Prices!D537/Share_Prices!D536-1</f>
        <v>0.00211146136917861</v>
      </c>
      <c r="E537" s="14" t="n">
        <f aca="false">Share_Prices!E537/Share_Prices!E536-1</f>
        <v>0.0461039740665146</v>
      </c>
      <c r="F537" s="14" t="n">
        <f aca="false">Share_Prices!F537/Share_Prices!F536-1</f>
        <v>0.0117022724180162</v>
      </c>
      <c r="G537" s="14" t="n">
        <f aca="false">Share_Prices!G537/Share_Prices!G536-1</f>
        <v>0.0222108756701558</v>
      </c>
      <c r="H537" s="14" t="n">
        <f aca="false">Share_Prices!H537/Share_Prices!H536-1</f>
        <v>0.0837717291857274</v>
      </c>
      <c r="I537" s="14" t="n">
        <f aca="false">Share_Prices!I537/Share_Prices!I536-1</f>
        <v>0.00450450450450446</v>
      </c>
      <c r="J537" s="14" t="n">
        <f aca="false">Share_Prices!J537/Share_Prices!J536-1</f>
        <v>0.0117283328292503</v>
      </c>
      <c r="K537" s="14" t="n">
        <f aca="false">Share_Prices!K537/Share_Prices!K536-1</f>
        <v>0.0476097648752398</v>
      </c>
      <c r="L537" s="14" t="n">
        <f aca="false">Share_Prices!L537/Share_Prices!L536-1</f>
        <v>-0.00318877551020413</v>
      </c>
      <c r="M537" s="14" t="n">
        <f aca="false">Share_Prices!M537/Share_Prices!M536-1</f>
        <v>-0.00699930006999305</v>
      </c>
      <c r="N537" s="14" t="n">
        <f aca="false">Share_Prices!N537/Share_Prices!N536-1</f>
        <v>0.00502452446464896</v>
      </c>
      <c r="O537" s="14" t="n">
        <f aca="false">Share_Prices!O537/Share_Prices!O536-1</f>
        <v>-0.0500621338540741</v>
      </c>
      <c r="P537" s="14" t="n">
        <f aca="false">Share_Prices!P537/Share_Prices!P536-1</f>
        <v>0.00761580738026701</v>
      </c>
      <c r="Q537" s="14" t="n">
        <f aca="false">Share_Prices!Q537/Share_Prices!Q536-1</f>
        <v>-0.00729424717864036</v>
      </c>
      <c r="R537" s="14" t="n">
        <f aca="false">Share_Prices!R537/Share_Prices!R536-1</f>
        <v>0.00277008310249305</v>
      </c>
      <c r="S537" s="14" t="n">
        <f aca="false">Share_Prices!S537/Share_Prices!S536-1</f>
        <v>-0.0174373943770165</v>
      </c>
    </row>
    <row r="538" customFormat="false" ht="15" hidden="false" customHeight="false" outlineLevel="0" collapsed="false">
      <c r="A538" s="13" t="n">
        <f aca="false">Share_Prices!A538</f>
        <v>45589</v>
      </c>
      <c r="B538" s="14" t="n">
        <f aca="false">Share_Prices!B538/Share_Prices!B537-1</f>
        <v>-0.00147735876081923</v>
      </c>
      <c r="C538" s="14" t="n">
        <f aca="false">Share_Prices!C538/Share_Prices!C537-1</f>
        <v>-0.00233132379789069</v>
      </c>
      <c r="D538" s="14" t="n">
        <f aca="false">Share_Prices!D538/Share_Prices!D537-1</f>
        <v>-0.00943704187316374</v>
      </c>
      <c r="E538" s="14" t="n">
        <f aca="false">Share_Prices!E538/Share_Prices!E537-1</f>
        <v>-0.0296683117181222</v>
      </c>
      <c r="F538" s="14" t="n">
        <f aca="false">Share_Prices!F538/Share_Prices!F537-1</f>
        <v>-0.00201748486886344</v>
      </c>
      <c r="G538" s="14" t="n">
        <f aca="false">Share_Prices!G538/Share_Prices!G537-1</f>
        <v>-0.000582750582750591</v>
      </c>
      <c r="H538" s="14" t="n">
        <f aca="false">Share_Prices!H538/Share_Prices!H537-1</f>
        <v>-0.0139291932675565</v>
      </c>
      <c r="I538" s="14" t="n">
        <f aca="false">Share_Prices!I538/Share_Prices!I537-1</f>
        <v>-0.00019930244145494</v>
      </c>
      <c r="J538" s="14" t="n">
        <f aca="false">Share_Prices!J538/Share_Prices!J537-1</f>
        <v>-0.0196638543811865</v>
      </c>
      <c r="K538" s="14" t="n">
        <f aca="false">Share_Prices!K538/Share_Prices!K537-1</f>
        <v>0.00644117773356423</v>
      </c>
      <c r="L538" s="14" t="n">
        <f aca="false">Share_Prices!L538/Share_Prices!L537-1</f>
        <v>-0.0146086585625933</v>
      </c>
      <c r="M538" s="14" t="n">
        <f aca="false">Share_Prices!M538/Share_Prices!M537-1</f>
        <v>-0.00941496324640023</v>
      </c>
      <c r="N538" s="14" t="n">
        <f aca="false">Share_Prices!N538/Share_Prices!N537-1</f>
        <v>-0.0307106296869422</v>
      </c>
      <c r="O538" s="14" t="n">
        <f aca="false">Share_Prices!O538/Share_Prices!O537-1</f>
        <v>0.00504578583442328</v>
      </c>
      <c r="P538" s="14" t="n">
        <f aca="false">Share_Prices!P538/Share_Prices!P537-1</f>
        <v>0.00264928183683555</v>
      </c>
      <c r="Q538" s="14" t="n">
        <f aca="false">Share_Prices!Q538/Share_Prices!Q537-1</f>
        <v>-0.00540690420074863</v>
      </c>
      <c r="R538" s="14" t="n">
        <f aca="false">Share_Prices!R538/Share_Prices!R537-1</f>
        <v>0.00892477688057802</v>
      </c>
      <c r="S538" s="14" t="n">
        <f aca="false">Share_Prices!S538/Share_Prices!S537-1</f>
        <v>0.0148072863732311</v>
      </c>
    </row>
    <row r="539" customFormat="false" ht="15" hidden="false" customHeight="false" outlineLevel="0" collapsed="false">
      <c r="A539" s="13" t="n">
        <f aca="false">Share_Prices!A539</f>
        <v>45590</v>
      </c>
      <c r="B539" s="14" t="n">
        <f aca="false">Share_Prices!B539/Share_Prices!B538-1</f>
        <v>-0.00895923670254195</v>
      </c>
      <c r="C539" s="14" t="n">
        <f aca="false">Share_Prices!C539/Share_Prices!C538-1</f>
        <v>-0.012673420265624</v>
      </c>
      <c r="D539" s="14" t="n">
        <f aca="false">Share_Prices!D539/Share_Prices!D538-1</f>
        <v>0.00299589562299651</v>
      </c>
      <c r="E539" s="14" t="n">
        <f aca="false">Share_Prices!E539/Share_Prices!E538-1</f>
        <v>0.00615057070199288</v>
      </c>
      <c r="F539" s="14" t="n">
        <f aca="false">Share_Prices!F539/Share_Prices!F538-1</f>
        <v>-0.0098831985624438</v>
      </c>
      <c r="G539" s="14" t="n">
        <f aca="false">Share_Prices!G539/Share_Prices!G538-1</f>
        <v>-0.00333194502290712</v>
      </c>
      <c r="H539" s="14" t="n">
        <f aca="false">Share_Prices!H539/Share_Prices!H538-1</f>
        <v>0.0142329712665203</v>
      </c>
      <c r="I539" s="14" t="n">
        <f aca="false">Share_Prices!I539/Share_Prices!I538-1</f>
        <v>-0.01166151699392</v>
      </c>
      <c r="J539" s="14" t="n">
        <f aca="false">Share_Prices!J539/Share_Prices!J538-1</f>
        <v>-0.00660703394998985</v>
      </c>
      <c r="K539" s="14" t="n">
        <f aca="false">Share_Prices!K539/Share_Prices!K538-1</f>
        <v>-0.0185598680187162</v>
      </c>
      <c r="L539" s="14" t="n">
        <f aca="false">Share_Prices!L539/Share_Prices!L538-1</f>
        <v>-0.010063845904123</v>
      </c>
      <c r="M539" s="14" t="n">
        <f aca="false">Share_Prices!M539/Share_Prices!M538-1</f>
        <v>-0.00228716645489202</v>
      </c>
      <c r="N539" s="14" t="n">
        <f aca="false">Share_Prices!N539/Share_Prices!N538-1</f>
        <v>-0.0238241434360801</v>
      </c>
      <c r="O539" s="14" t="n">
        <f aca="false">Share_Prices!O539/Share_Prices!O538-1</f>
        <v>-0.00241725548531047</v>
      </c>
      <c r="P539" s="14" t="n">
        <f aca="false">Share_Prices!P539/Share_Prices!P538-1</f>
        <v>-0.00341942336087875</v>
      </c>
      <c r="Q539" s="14" t="n">
        <f aca="false">Share_Prices!Q539/Share_Prices!Q538-1</f>
        <v>-0.171870643992194</v>
      </c>
      <c r="R539" s="14" t="n">
        <f aca="false">Share_Prices!R539/Share_Prices!R538-1</f>
        <v>-0.0291350744172985</v>
      </c>
      <c r="S539" s="14" t="n">
        <f aca="false">Share_Prices!S539/Share_Prices!S538-1</f>
        <v>-0.0469785214631291</v>
      </c>
    </row>
    <row r="540" customFormat="false" ht="15" hidden="false" customHeight="false" outlineLevel="0" collapsed="false">
      <c r="A540" s="13" t="n">
        <f aca="false">Share_Prices!A540</f>
        <v>45593</v>
      </c>
      <c r="B540" s="14" t="n">
        <f aca="false">Share_Prices!B540/Share_Prices!B539-1</f>
        <v>0.00654858400052949</v>
      </c>
      <c r="C540" s="14" t="n">
        <f aca="false">Share_Prices!C540/Share_Prices!C539-1</f>
        <v>0.00670694984899378</v>
      </c>
      <c r="D540" s="14" t="n">
        <f aca="false">Share_Prices!D540/Share_Prices!D539-1</f>
        <v>-0.0150243436183877</v>
      </c>
      <c r="E540" s="14" t="n">
        <f aca="false">Share_Prices!E540/Share_Prices!E539-1</f>
        <v>-0.00340915770293304</v>
      </c>
      <c r="F540" s="14" t="n">
        <f aca="false">Share_Prices!F540/Share_Prices!F539-1</f>
        <v>0.00095281306715056</v>
      </c>
      <c r="G540" s="14" t="n">
        <f aca="false">Share_Prices!G540/Share_Prices!G539-1</f>
        <v>0.0337651483493524</v>
      </c>
      <c r="H540" s="14" t="n">
        <f aca="false">Share_Prices!H540/Share_Prices!H539-1</f>
        <v>-0.0465840147718279</v>
      </c>
      <c r="I540" s="14" t="n">
        <f aca="false">Share_Prices!I540/Share_Prices!I539-1</f>
        <v>-0.0358007260992336</v>
      </c>
      <c r="J540" s="14" t="n">
        <f aca="false">Share_Prices!J540/Share_Prices!J539-1</f>
        <v>-0.011630683174733</v>
      </c>
      <c r="K540" s="14" t="n">
        <f aca="false">Share_Prices!K540/Share_Prices!K539-1</f>
        <v>0.000173892881984772</v>
      </c>
      <c r="L540" s="14" t="n">
        <f aca="false">Share_Prices!L540/Share_Prices!L539-1</f>
        <v>-0.0669363066608367</v>
      </c>
      <c r="M540" s="14" t="n">
        <f aca="false">Share_Prices!M540/Share_Prices!M539-1</f>
        <v>-0.0245033112582781</v>
      </c>
      <c r="N540" s="14" t="n">
        <f aca="false">Share_Prices!N540/Share_Prices!N539-1</f>
        <v>0.0265442193986665</v>
      </c>
      <c r="O540" s="14" t="n">
        <f aca="false">Share_Prices!O540/Share_Prices!O539-1</f>
        <v>0.0180801491146319</v>
      </c>
      <c r="P540" s="14" t="n">
        <f aca="false">Share_Prices!P540/Share_Prices!P539-1</f>
        <v>0.00132567388422444</v>
      </c>
      <c r="Q540" s="14" t="n">
        <f aca="false">Share_Prices!Q540/Share_Prices!Q539-1</f>
        <v>0.0760814677663693</v>
      </c>
      <c r="R540" s="14" t="n">
        <f aca="false">Share_Prices!R540/Share_Prices!R539-1</f>
        <v>-0.0345650444717623</v>
      </c>
      <c r="S540" s="14" t="n">
        <f aca="false">Share_Prices!S540/Share_Prices!S539-1</f>
        <v>0.0538858260714921</v>
      </c>
    </row>
    <row r="541" customFormat="false" ht="15" hidden="false" customHeight="false" outlineLevel="0" collapsed="false">
      <c r="A541" s="13" t="n">
        <f aca="false">Share_Prices!A541</f>
        <v>45594</v>
      </c>
      <c r="B541" s="14" t="n">
        <f aca="false">Share_Prices!B541/Share_Prices!B540-1</f>
        <v>0.00524669103070563</v>
      </c>
      <c r="C541" s="14" t="n">
        <f aca="false">Share_Prices!C541/Share_Prices!C540-1</f>
        <v>0.00640619515716367</v>
      </c>
      <c r="D541" s="14" t="n">
        <f aca="false">Share_Prices!D541/Share_Prices!D540-1</f>
        <v>0.00436681222707436</v>
      </c>
      <c r="E541" s="14" t="n">
        <f aca="false">Share_Prices!E541/Share_Prices!E540-1</f>
        <v>0.0175169566499558</v>
      </c>
      <c r="F541" s="14" t="n">
        <f aca="false">Share_Prices!F541/Share_Prices!F540-1</f>
        <v>0.0745659761570192</v>
      </c>
      <c r="G541" s="14" t="n">
        <f aca="false">Share_Prices!G541/Share_Prices!G540-1</f>
        <v>0.0307219662058371</v>
      </c>
      <c r="H541" s="14" t="n">
        <f aca="false">Share_Prices!H541/Share_Prices!H540-1</f>
        <v>0.0196989818503763</v>
      </c>
      <c r="I541" s="14" t="n">
        <f aca="false">Share_Prices!I541/Share_Prices!I540-1</f>
        <v>-0.0121326221106579</v>
      </c>
      <c r="J541" s="14" t="n">
        <f aca="false">Share_Prices!J541/Share_Prices!J540-1</f>
        <v>0.00672924287390431</v>
      </c>
      <c r="K541" s="14" t="n">
        <f aca="false">Share_Prices!K541/Share_Prices!K540-1</f>
        <v>0.0160822949869601</v>
      </c>
      <c r="L541" s="14" t="n">
        <f aca="false">Share_Prices!L541/Share_Prices!L540-1</f>
        <v>0.00941148904596423</v>
      </c>
      <c r="M541" s="14" t="n">
        <f aca="false">Share_Prices!M541/Share_Prices!M540-1</f>
        <v>-0.019635490103922</v>
      </c>
      <c r="N541" s="14" t="n">
        <f aca="false">Share_Prices!N541/Share_Prices!N540-1</f>
        <v>0.038970588235294</v>
      </c>
      <c r="O541" s="14" t="n">
        <f aca="false">Share_Prices!O541/Share_Prices!O540-1</f>
        <v>0.0212376418894176</v>
      </c>
      <c r="P541" s="14" t="n">
        <f aca="false">Share_Prices!P541/Share_Prices!P540-1</f>
        <v>0.017782046622709</v>
      </c>
      <c r="Q541" s="14" t="n">
        <f aca="false">Share_Prices!Q541/Share_Prices!Q540-1</f>
        <v>0.062255592053809</v>
      </c>
      <c r="R541" s="14" t="n">
        <f aca="false">Share_Prices!R541/Share_Prices!R540-1</f>
        <v>0.0264399670436672</v>
      </c>
      <c r="S541" s="14" t="n">
        <f aca="false">Share_Prices!S541/Share_Prices!S540-1</f>
        <v>0.00199429325315248</v>
      </c>
    </row>
    <row r="542" customFormat="false" ht="15" hidden="false" customHeight="false" outlineLevel="0" collapsed="false">
      <c r="A542" s="13" t="n">
        <f aca="false">Share_Prices!A542</f>
        <v>45595</v>
      </c>
      <c r="B542" s="14" t="n">
        <f aca="false">Share_Prices!B542/Share_Prices!B541-1</f>
        <v>-0.00514982517160978</v>
      </c>
      <c r="C542" s="14" t="n">
        <f aca="false">Share_Prices!C542/Share_Prices!C541-1</f>
        <v>-0.00198508009414322</v>
      </c>
      <c r="D542" s="14" t="n">
        <f aca="false">Share_Prices!D542/Share_Prices!D541-1</f>
        <v>0.00769927536231885</v>
      </c>
      <c r="E542" s="14" t="n">
        <f aca="false">Share_Prices!E542/Share_Prices!E541-1</f>
        <v>0.0257361465337351</v>
      </c>
      <c r="F542" s="14" t="n">
        <f aca="false">Share_Prices!F542/Share_Prices!F541-1</f>
        <v>0.0213869906352824</v>
      </c>
      <c r="G542" s="14" t="n">
        <f aca="false">Share_Prices!G542/Share_Prices!G541-1</f>
        <v>-0.00698093968154367</v>
      </c>
      <c r="H542" s="14" t="n">
        <f aca="false">Share_Prices!H542/Share_Prices!H541-1</f>
        <v>0.00173648795311476</v>
      </c>
      <c r="I542" s="14" t="n">
        <f aca="false">Share_Prices!I542/Share_Prices!I541-1</f>
        <v>0.012916887241927</v>
      </c>
      <c r="J542" s="14" t="n">
        <f aca="false">Share_Prices!J542/Share_Prices!J541-1</f>
        <v>-0.00438761868851345</v>
      </c>
      <c r="K542" s="14" t="n">
        <f aca="false">Share_Prices!K542/Share_Prices!K541-1</f>
        <v>-0.00962498217595897</v>
      </c>
      <c r="L542" s="14" t="n">
        <f aca="false">Share_Prices!L542/Share_Prices!L541-1</f>
        <v>-0.0138502011761066</v>
      </c>
      <c r="M542" s="14" t="n">
        <f aca="false">Share_Prices!M542/Share_Prices!M541-1</f>
        <v>0.0477813881638525</v>
      </c>
      <c r="N542" s="14" t="n">
        <f aca="false">Share_Prices!N542/Share_Prices!N541-1</f>
        <v>-0.00554376032083026</v>
      </c>
      <c r="O542" s="14" t="n">
        <f aca="false">Share_Prices!O542/Share_Prices!O541-1</f>
        <v>-0.0170311939763356</v>
      </c>
      <c r="P542" s="14" t="n">
        <f aca="false">Share_Prices!P542/Share_Prices!P541-1</f>
        <v>0.00415742086872251</v>
      </c>
      <c r="Q542" s="14" t="n">
        <f aca="false">Share_Prices!Q542/Share_Prices!Q541-1</f>
        <v>0.107347960536003</v>
      </c>
      <c r="R542" s="14" t="n">
        <f aca="false">Share_Prices!R542/Share_Prices!R541-1</f>
        <v>-0.00175131348511393</v>
      </c>
      <c r="S542" s="14" t="n">
        <f aca="false">Share_Prices!S542/Share_Prices!S541-1</f>
        <v>-0.0244962949353911</v>
      </c>
    </row>
    <row r="543" customFormat="false" ht="15" hidden="false" customHeight="false" outlineLevel="0" collapsed="false">
      <c r="A543" s="13" t="n">
        <f aca="false">Share_Prices!A543</f>
        <v>45596</v>
      </c>
      <c r="B543" s="14" t="n">
        <f aca="false">Share_Prices!B543/Share_Prices!B542-1</f>
        <v>-0.00556677355145774</v>
      </c>
      <c r="C543" s="14" t="n">
        <f aca="false">Share_Prices!C543/Share_Prices!C542-1</f>
        <v>-0.00265716621684586</v>
      </c>
      <c r="D543" s="14" t="n">
        <f aca="false">Share_Prices!D543/Share_Prices!D542-1</f>
        <v>0.00233707865168542</v>
      </c>
      <c r="E543" s="14" t="n">
        <f aca="false">Share_Prices!E543/Share_Prices!E542-1</f>
        <v>-0.0190438517179022</v>
      </c>
      <c r="F543" s="14" t="n">
        <f aca="false">Share_Prices!F543/Share_Prices!F542-1</f>
        <v>-0.025482178994755</v>
      </c>
      <c r="G543" s="14" t="n">
        <f aca="false">Share_Prices!G543/Share_Prices!G542-1</f>
        <v>-0.00308056872037921</v>
      </c>
      <c r="H543" s="14" t="n">
        <f aca="false">Share_Prices!H543/Share_Prices!H542-1</f>
        <v>0.0477248104008667</v>
      </c>
      <c r="I543" s="14" t="n">
        <f aca="false">Share_Prices!I543/Share_Prices!I542-1</f>
        <v>-0.0166196299780497</v>
      </c>
      <c r="J543" s="14" t="n">
        <f aca="false">Share_Prices!J543/Share_Prices!J542-1</f>
        <v>0.0200723016009641</v>
      </c>
      <c r="K543" s="14" t="n">
        <f aca="false">Share_Prices!K543/Share_Prices!K542-1</f>
        <v>-0.00937297530775316</v>
      </c>
      <c r="L543" s="14" t="n">
        <f aca="false">Share_Prices!L543/Share_Prices!L542-1</f>
        <v>-0.0013730874852883</v>
      </c>
      <c r="M543" s="14" t="n">
        <f aca="false">Share_Prices!M543/Share_Prices!M542-1</f>
        <v>-0.00157600406710723</v>
      </c>
      <c r="N543" s="14" t="n">
        <f aca="false">Share_Prices!N543/Share_Prices!N542-1</f>
        <v>0.0361760170798244</v>
      </c>
      <c r="O543" s="14" t="n">
        <f aca="false">Share_Prices!O543/Share_Prices!O542-1</f>
        <v>-0.0129491154477475</v>
      </c>
      <c r="P543" s="14" t="n">
        <f aca="false">Share_Prices!P543/Share_Prices!P542-1</f>
        <v>-0.0193294386588773</v>
      </c>
      <c r="Q543" s="14" t="n">
        <f aca="false">Share_Prices!Q543/Share_Prices!Q542-1</f>
        <v>-0.00398936170212771</v>
      </c>
      <c r="R543" s="14" t="n">
        <f aca="false">Share_Prices!R543/Share_Prices!R542-1</f>
        <v>0.00643274853801157</v>
      </c>
      <c r="S543" s="14" t="n">
        <f aca="false">Share_Prices!S543/Share_Prices!S542-1</f>
        <v>-0.0147215769979283</v>
      </c>
    </row>
    <row r="544" customFormat="false" ht="15" hidden="false" customHeight="false" outlineLevel="0" collapsed="false">
      <c r="A544" s="13" t="n">
        <f aca="false">Share_Prices!A544</f>
        <v>45597</v>
      </c>
      <c r="B544" s="14" t="n">
        <f aca="false">Share_Prices!B544/Share_Prices!B543-1</f>
        <v>0.00409000489561184</v>
      </c>
      <c r="C544" s="14" t="n">
        <f aca="false">Share_Prices!C544/Share_Prices!C543-1</f>
        <v>0.00591466921705552</v>
      </c>
      <c r="D544" s="14" t="n">
        <f aca="false">Share_Prices!D544/Share_Prices!D543-1</f>
        <v>0.00606821510776312</v>
      </c>
      <c r="E544" s="14" t="n">
        <f aca="false">Share_Prices!E544/Share_Prices!E543-1</f>
        <v>0.00933233481191298</v>
      </c>
      <c r="F544" s="14" t="n">
        <f aca="false">Share_Prices!F544/Share_Prices!F543-1</f>
        <v>0.0100016952025768</v>
      </c>
      <c r="G544" s="14" t="n">
        <f aca="false">Share_Prices!G544/Share_Prices!G543-1</f>
        <v>0.00475398145947237</v>
      </c>
      <c r="H544" s="14" t="n">
        <f aca="false">Share_Prices!H544/Share_Prices!H543-1</f>
        <v>0.00113747996484159</v>
      </c>
      <c r="I544" s="14" t="n">
        <f aca="false">Share_Prices!I544/Share_Prices!I543-1</f>
        <v>0.0169005102040818</v>
      </c>
      <c r="J544" s="14" t="n">
        <f aca="false">Share_Prices!J544/Share_Prices!J543-1</f>
        <v>0.0158971243418389</v>
      </c>
      <c r="K544" s="14" t="n">
        <f aca="false">Share_Prices!K544/Share_Prices!K543-1</f>
        <v>0.00491250508691365</v>
      </c>
      <c r="L544" s="14" t="n">
        <f aca="false">Share_Prices!L544/Share_Prices!L543-1</f>
        <v>0.00821056766843453</v>
      </c>
      <c r="M544" s="14" t="n">
        <f aca="false">Share_Prices!M544/Share_Prices!M543-1</f>
        <v>0.0157849177656704</v>
      </c>
      <c r="N544" s="14" t="n">
        <f aca="false">Share_Prices!N544/Share_Prices!N543-1</f>
        <v>0.0378891941391941</v>
      </c>
      <c r="O544" s="14" t="n">
        <f aca="false">Share_Prices!O544/Share_Prices!O543-1</f>
        <v>0.0103473762010347</v>
      </c>
      <c r="P544" s="14" t="n">
        <f aca="false">Share_Prices!P544/Share_Prices!P543-1</f>
        <v>0.000518013934574846</v>
      </c>
      <c r="Q544" s="14" t="n">
        <f aca="false">Share_Prices!Q544/Share_Prices!Q543-1</f>
        <v>0.0100133511348464</v>
      </c>
      <c r="R544" s="14" t="n">
        <f aca="false">Share_Prices!R544/Share_Prices!R543-1</f>
        <v>0.00929692039511898</v>
      </c>
      <c r="S544" s="14" t="n">
        <f aca="false">Share_Prices!S544/Share_Prices!S543-1</f>
        <v>0.00383892446398426</v>
      </c>
    </row>
    <row r="545" customFormat="false" ht="15" hidden="false" customHeight="false" outlineLevel="0" collapsed="false">
      <c r="A545" s="13" t="n">
        <f aca="false">Share_Prices!A545</f>
        <v>45600</v>
      </c>
      <c r="B545" s="14" t="n">
        <f aca="false">Share_Prices!B545/Share_Prices!B544-1</f>
        <v>-0.0127137734603064</v>
      </c>
      <c r="C545" s="14" t="n">
        <f aca="false">Share_Prices!C545/Share_Prices!C544-1</f>
        <v>-0.0133743436056178</v>
      </c>
      <c r="D545" s="14" t="n">
        <f aca="false">Share_Prices!D545/Share_Prices!D544-1</f>
        <v>0.00350606132636089</v>
      </c>
      <c r="E545" s="14" t="n">
        <f aca="false">Share_Prices!E545/Share_Prices!E544-1</f>
        <v>-0.0224873009531419</v>
      </c>
      <c r="F545" s="14" t="n">
        <f aca="false">Share_Prices!F545/Share_Prices!F544-1</f>
        <v>-0.0364635783820072</v>
      </c>
      <c r="G545" s="14" t="n">
        <f aca="false">Share_Prices!G545/Share_Prices!G544-1</f>
        <v>-0.0176642220645058</v>
      </c>
      <c r="H545" s="14" t="n">
        <f aca="false">Share_Prices!H545/Share_Prices!H544-1</f>
        <v>-0.0176109074007127</v>
      </c>
      <c r="I545" s="14" t="n">
        <f aca="false">Share_Prices!I545/Share_Prices!I544-1</f>
        <v>-0.00324030521584617</v>
      </c>
      <c r="J545" s="14" t="n">
        <f aca="false">Share_Prices!J545/Share_Prices!J544-1</f>
        <v>-0.0194026379613941</v>
      </c>
      <c r="K545" s="14" t="n">
        <f aca="false">Share_Prices!K545/Share_Prices!K544-1</f>
        <v>-0.0115414653900667</v>
      </c>
      <c r="L545" s="14" t="n">
        <f aca="false">Share_Prices!L545/Share_Prices!L544-1</f>
        <v>-0.0248986907730674</v>
      </c>
      <c r="M545" s="14" t="n">
        <f aca="false">Share_Prices!M545/Share_Prices!M544-1</f>
        <v>-0.0425585242368038</v>
      </c>
      <c r="N545" s="14" t="n">
        <f aca="false">Share_Prices!N545/Share_Prices!N544-1</f>
        <v>-0.0110290062865336</v>
      </c>
      <c r="O545" s="14" t="n">
        <f aca="false">Share_Prices!O545/Share_Prices!O544-1</f>
        <v>0.00109729334308706</v>
      </c>
      <c r="P545" s="14" t="n">
        <f aca="false">Share_Prices!P545/Share_Prices!P544-1</f>
        <v>-0.0157394703461131</v>
      </c>
      <c r="Q545" s="14" t="n">
        <f aca="false">Share_Prices!Q545/Share_Prices!Q544-1</f>
        <v>-0.00647719762062127</v>
      </c>
      <c r="R545" s="14" t="n">
        <f aca="false">Share_Prices!R545/Share_Prices!R544-1</f>
        <v>-0.00913932066781797</v>
      </c>
      <c r="S545" s="14" t="n">
        <f aca="false">Share_Prices!S545/Share_Prices!S544-1</f>
        <v>-0.000967962043193382</v>
      </c>
    </row>
    <row r="546" customFormat="false" ht="15" hidden="false" customHeight="false" outlineLevel="0" collapsed="false">
      <c r="A546" s="13" t="n">
        <f aca="false">Share_Prices!A546</f>
        <v>45601</v>
      </c>
      <c r="B546" s="14" t="n">
        <f aca="false">Share_Prices!B546/Share_Prices!B545-1</f>
        <v>0.00908300983315513</v>
      </c>
      <c r="C546" s="14" t="n">
        <f aca="false">Share_Prices!C546/Share_Prices!C545-1</f>
        <v>0.0071741650124566</v>
      </c>
      <c r="D546" s="14" t="n">
        <f aca="false">Share_Prices!D546/Share_Prices!D545-1</f>
        <v>-0.00556641203292474</v>
      </c>
      <c r="E546" s="14" t="n">
        <f aca="false">Share_Prices!E546/Share_Prices!E545-1</f>
        <v>0.0110352075669995</v>
      </c>
      <c r="F546" s="14" t="n">
        <f aca="false">Share_Prices!F546/Share_Prices!F545-1</f>
        <v>-0.000696773069721046</v>
      </c>
      <c r="G546" s="14" t="n">
        <f aca="false">Share_Prices!G546/Share_Prices!G545-1</f>
        <v>0.014851087741832</v>
      </c>
      <c r="H546" s="14" t="n">
        <f aca="false">Share_Prices!H546/Share_Prices!H545-1</f>
        <v>0.0363789296603934</v>
      </c>
      <c r="I546" s="14" t="n">
        <f aca="false">Share_Prices!I546/Share_Prices!I545-1</f>
        <v>-0.00115352348993292</v>
      </c>
      <c r="J546" s="14" t="n">
        <f aca="false">Share_Prices!J546/Share_Prices!J545-1</f>
        <v>-0.0140606471285787</v>
      </c>
      <c r="K546" s="14" t="n">
        <f aca="false">Share_Prices!K546/Share_Prices!K545-1</f>
        <v>0.0126565609270748</v>
      </c>
      <c r="L546" s="14" t="n">
        <f aca="false">Share_Prices!L546/Share_Prices!L545-1</f>
        <v>0.0253746253746254</v>
      </c>
      <c r="M546" s="14" t="n">
        <f aca="false">Share_Prices!M546/Share_Prices!M545-1</f>
        <v>-0.0294240837696336</v>
      </c>
      <c r="N546" s="14" t="n">
        <f aca="false">Share_Prices!N546/Share_Prices!N545-1</f>
        <v>-0.000223040035686406</v>
      </c>
      <c r="O546" s="14" t="n">
        <f aca="false">Share_Prices!O546/Share_Prices!O545-1</f>
        <v>0.011691633175009</v>
      </c>
      <c r="P546" s="14" t="n">
        <f aca="false">Share_Prices!P546/Share_Prices!P545-1</f>
        <v>0.0064701086241814</v>
      </c>
      <c r="Q546" s="14" t="n">
        <f aca="false">Share_Prices!Q546/Share_Prices!Q545-1</f>
        <v>-0.0158328898350186</v>
      </c>
      <c r="R546" s="14" t="n">
        <f aca="false">Share_Prices!R546/Share_Prices!R545-1</f>
        <v>0.00944149901953661</v>
      </c>
      <c r="S546" s="14" t="n">
        <f aca="false">Share_Prices!S546/Share_Prices!S545-1</f>
        <v>0.00457447822357771</v>
      </c>
    </row>
    <row r="547" customFormat="false" ht="15" hidden="false" customHeight="false" outlineLevel="0" collapsed="false">
      <c r="A547" s="13" t="n">
        <f aca="false">Share_Prices!A547</f>
        <v>45602</v>
      </c>
      <c r="B547" s="14" t="n">
        <f aca="false">Share_Prices!B547/Share_Prices!B546-1</f>
        <v>0.0111818711204172</v>
      </c>
      <c r="C547" s="14" t="n">
        <f aca="false">Share_Prices!C547/Share_Prices!C546-1</f>
        <v>0.015491725033455</v>
      </c>
      <c r="D547" s="14" t="n">
        <f aca="false">Share_Prices!D547/Share_Prices!D546-1</f>
        <v>0.00321562555826849</v>
      </c>
      <c r="E547" s="14" t="n">
        <f aca="false">Share_Prices!E547/Share_Prices!E546-1</f>
        <v>0.00462000462000467</v>
      </c>
      <c r="F547" s="14" t="n">
        <f aca="false">Share_Prices!F547/Share_Prices!F546-1</f>
        <v>0.0166470562600778</v>
      </c>
      <c r="G547" s="14" t="n">
        <f aca="false">Share_Prices!G547/Share_Prices!G546-1</f>
        <v>0.00371776617623798</v>
      </c>
      <c r="H547" s="14" t="n">
        <f aca="false">Share_Prices!H547/Share_Prices!H546-1</f>
        <v>0.0137465760373339</v>
      </c>
      <c r="I547" s="14" t="n">
        <f aca="false">Share_Prices!I547/Share_Prices!I546-1</f>
        <v>0.0253018372703413</v>
      </c>
      <c r="J547" s="14" t="n">
        <f aca="false">Share_Prices!J547/Share_Prices!J546-1</f>
        <v>-0.00718213058419248</v>
      </c>
      <c r="K547" s="14" t="n">
        <f aca="false">Share_Prices!K547/Share_Prices!K546-1</f>
        <v>0.0109523327890879</v>
      </c>
      <c r="L547" s="14" t="n">
        <f aca="false">Share_Prices!L547/Share_Prices!L546-1</f>
        <v>0.0167965705378019</v>
      </c>
      <c r="M547" s="14" t="n">
        <f aca="false">Share_Prices!M547/Share_Prices!M546-1</f>
        <v>0.0240586902578488</v>
      </c>
      <c r="N547" s="14" t="n">
        <f aca="false">Share_Prices!N547/Share_Prices!N546-1</f>
        <v>0.0196319018404909</v>
      </c>
      <c r="O547" s="14" t="n">
        <f aca="false">Share_Prices!O547/Share_Prices!O546-1</f>
        <v>0.00126399422174073</v>
      </c>
      <c r="P547" s="14" t="n">
        <f aca="false">Share_Prices!P547/Share_Prices!P546-1</f>
        <v>-0.010165416677555</v>
      </c>
      <c r="Q547" s="14" t="n">
        <f aca="false">Share_Prices!Q547/Share_Prices!Q546-1</f>
        <v>0.0258212788968499</v>
      </c>
      <c r="R547" s="14" t="n">
        <f aca="false">Share_Prices!R547/Share_Prices!R546-1</f>
        <v>0.00733865745737083</v>
      </c>
      <c r="S547" s="14" t="n">
        <f aca="false">Share_Prices!S547/Share_Prices!S546-1</f>
        <v>0.00771590298200686</v>
      </c>
    </row>
    <row r="548" customFormat="false" ht="15" hidden="false" customHeight="false" outlineLevel="0" collapsed="false">
      <c r="A548" s="13" t="n">
        <f aca="false">Share_Prices!A548</f>
        <v>45603</v>
      </c>
      <c r="B548" s="14" t="n">
        <f aca="false">Share_Prices!B548/Share_Prices!B547-1</f>
        <v>-0.0116279782143885</v>
      </c>
      <c r="C548" s="14" t="n">
        <f aca="false">Share_Prices!C548/Share_Prices!C547-1</f>
        <v>-0.00976718538330612</v>
      </c>
      <c r="D548" s="14" t="n">
        <f aca="false">Share_Prices!D548/Share_Prices!D547-1</f>
        <v>0.0125838428206804</v>
      </c>
      <c r="E548" s="14" t="n">
        <f aca="false">Share_Prices!E548/Share_Prices!E547-1</f>
        <v>-0.0129340078178892</v>
      </c>
      <c r="F548" s="14" t="n">
        <f aca="false">Share_Prices!F548/Share_Prices!F547-1</f>
        <v>-0.0201465986540358</v>
      </c>
      <c r="G548" s="14" t="n">
        <f aca="false">Share_Prices!G548/Share_Prices!G547-1</f>
        <v>0.00669871542280709</v>
      </c>
      <c r="H548" s="14" t="n">
        <f aca="false">Share_Prices!H548/Share_Prices!H547-1</f>
        <v>-0.0289717287965975</v>
      </c>
      <c r="I548" s="14" t="n">
        <f aca="false">Share_Prices!I548/Share_Prices!I547-1</f>
        <v>0.00122875281589185</v>
      </c>
      <c r="J548" s="14" t="n">
        <f aca="false">Share_Prices!J548/Share_Prices!J547-1</f>
        <v>-0.00681873247724196</v>
      </c>
      <c r="K548" s="14" t="n">
        <f aca="false">Share_Prices!K548/Share_Prices!K547-1</f>
        <v>-0.0145211313905126</v>
      </c>
      <c r="L548" s="14" t="n">
        <f aca="false">Share_Prices!L548/Share_Prices!L547-1</f>
        <v>-0.0165191062052048</v>
      </c>
      <c r="M548" s="14" t="n">
        <f aca="false">Share_Prices!M548/Share_Prices!M547-1</f>
        <v>-0.00194900969237255</v>
      </c>
      <c r="N548" s="14" t="n">
        <f aca="false">Share_Prices!N548/Share_Prices!N547-1</f>
        <v>-0.00667323049994528</v>
      </c>
      <c r="O548" s="14" t="n">
        <f aca="false">Share_Prices!O548/Share_Prices!O547-1</f>
        <v>-0.0169522091974752</v>
      </c>
      <c r="P548" s="14" t="n">
        <f aca="false">Share_Prices!P548/Share_Prices!P547-1</f>
        <v>-0.0369871693331222</v>
      </c>
      <c r="Q548" s="14" t="n">
        <f aca="false">Share_Prices!Q548/Share_Prices!Q547-1</f>
        <v>-0.00882973115445429</v>
      </c>
      <c r="R548" s="14" t="n">
        <f aca="false">Share_Prices!R548/Share_Prices!R547-1</f>
        <v>0.000428540818512957</v>
      </c>
      <c r="S548" s="14" t="n">
        <f aca="false">Share_Prices!S548/Share_Prices!S547-1</f>
        <v>-0.0365738852104058</v>
      </c>
    </row>
    <row r="549" customFormat="false" ht="15" hidden="false" customHeight="false" outlineLevel="0" collapsed="false">
      <c r="A549" s="13" t="n">
        <f aca="false">Share_Prices!A549</f>
        <v>45604</v>
      </c>
      <c r="B549" s="14" t="n">
        <f aca="false">Share_Prices!B549/Share_Prices!B548-1</f>
        <v>-0.00211369313638576</v>
      </c>
      <c r="C549" s="14" t="n">
        <f aca="false">Share_Prices!C549/Share_Prices!C548-1</f>
        <v>-0.00704192929569736</v>
      </c>
      <c r="D549" s="14" t="n">
        <f aca="false">Share_Prices!D549/Share_Prices!D548-1</f>
        <v>-0.0254997362096254</v>
      </c>
      <c r="E549" s="14" t="n">
        <f aca="false">Share_Prices!E549/Share_Prices!E548-1</f>
        <v>-0.0104245530254498</v>
      </c>
      <c r="F549" s="14" t="n">
        <f aca="false">Share_Prices!F549/Share_Prices!F548-1</f>
        <v>-0.0444463887309156</v>
      </c>
      <c r="G549" s="14" t="n">
        <f aca="false">Share_Prices!G549/Share_Prices!G548-1</f>
        <v>-0.00579301706591517</v>
      </c>
      <c r="H549" s="14" t="n">
        <f aca="false">Share_Prices!H549/Share_Prices!H548-1</f>
        <v>-0.0238070699783571</v>
      </c>
      <c r="I549" s="14" t="n">
        <f aca="false">Share_Prices!I549/Share_Prices!I548-1</f>
        <v>-0.0189200245448967</v>
      </c>
      <c r="J549" s="14" t="n">
        <f aca="false">Share_Prices!J549/Share_Prices!J548-1</f>
        <v>-0.00519272321739739</v>
      </c>
      <c r="K549" s="14" t="n">
        <f aca="false">Share_Prices!K549/Share_Prices!K548-1</f>
        <v>-0.00123275949587387</v>
      </c>
      <c r="L549" s="14" t="n">
        <f aca="false">Share_Prices!L549/Share_Prices!L548-1</f>
        <v>-0.0173811379579111</v>
      </c>
      <c r="M549" s="14" t="n">
        <f aca="false">Share_Prices!M549/Share_Prices!M548-1</f>
        <v>-0.0283422177653455</v>
      </c>
      <c r="N549" s="14" t="n">
        <f aca="false">Share_Prices!N549/Share_Prices!N548-1</f>
        <v>-0.0244493392070485</v>
      </c>
      <c r="O549" s="14" t="n">
        <f aca="false">Share_Prices!O549/Share_Prices!O548-1</f>
        <v>0.0132085855806272</v>
      </c>
      <c r="P549" s="14" t="n">
        <f aca="false">Share_Prices!P549/Share_Prices!P548-1</f>
        <v>-0.0105820105820106</v>
      </c>
      <c r="Q549" s="14" t="n">
        <f aca="false">Share_Prices!Q549/Share_Prices!Q548-1</f>
        <v>-0.0269910916101583</v>
      </c>
      <c r="R549" s="14" t="n">
        <f aca="false">Share_Prices!R549/Share_Prices!R548-1</f>
        <v>-0.00135646462483052</v>
      </c>
      <c r="S549" s="14" t="n">
        <f aca="false">Share_Prices!S549/Share_Prices!S548-1</f>
        <v>-0.0202595964366561</v>
      </c>
    </row>
    <row r="550" customFormat="false" ht="15" hidden="false" customHeight="false" outlineLevel="0" collapsed="false">
      <c r="A550" s="13" t="n">
        <f aca="false">Share_Prices!A550</f>
        <v>45607</v>
      </c>
      <c r="B550" s="14" t="n">
        <f aca="false">Share_Prices!B550/Share_Prices!B549-1</f>
        <v>-0.000285735582776447</v>
      </c>
      <c r="C550" s="14" t="n">
        <f aca="false">Share_Prices!C550/Share_Prices!C549-1</f>
        <v>-0.00239560357066371</v>
      </c>
      <c r="D550" s="14" t="n">
        <f aca="false">Share_Prices!D550/Share_Prices!D549-1</f>
        <v>-0.00366939364773833</v>
      </c>
      <c r="E550" s="14" t="n">
        <f aca="false">Share_Prices!E550/Share_Prices!E549-1</f>
        <v>-0.0128884180790961</v>
      </c>
      <c r="F550" s="14" t="n">
        <f aca="false">Share_Prices!F550/Share_Prices!F549-1</f>
        <v>-0.0282470356635994</v>
      </c>
      <c r="G550" s="14" t="n">
        <f aca="false">Share_Prices!G550/Share_Prices!G549-1</f>
        <v>-0.014251968503937</v>
      </c>
      <c r="H550" s="14" t="n">
        <f aca="false">Share_Prices!H550/Share_Prices!H549-1</f>
        <v>0.0207453547297296</v>
      </c>
      <c r="I550" s="14" t="n">
        <f aca="false">Share_Prices!I550/Share_Prices!I549-1</f>
        <v>-0.00781820077139583</v>
      </c>
      <c r="J550" s="14" t="n">
        <f aca="false">Share_Prices!J550/Share_Prices!J549-1</f>
        <v>-0.0198984060255737</v>
      </c>
      <c r="K550" s="14" t="n">
        <f aca="false">Share_Prices!K550/Share_Prices!K549-1</f>
        <v>-0.0169895158714023</v>
      </c>
      <c r="L550" s="14" t="n">
        <f aca="false">Share_Prices!L550/Share_Prices!L549-1</f>
        <v>0.00146743872451816</v>
      </c>
      <c r="M550" s="14" t="n">
        <f aca="false">Share_Prices!M550/Share_Prices!M549-1</f>
        <v>-0.00342205323193912</v>
      </c>
      <c r="N550" s="14" t="n">
        <f aca="false">Share_Prices!N550/Share_Prices!N549-1</f>
        <v>-0.00349966132309765</v>
      </c>
      <c r="O550" s="14" t="n">
        <f aca="false">Share_Prices!O550/Share_Prices!O549-1</f>
        <v>-0.0237189933007422</v>
      </c>
      <c r="P550" s="14" t="n">
        <f aca="false">Share_Prices!P550/Share_Prices!P549-1</f>
        <v>0.00698235017040272</v>
      </c>
      <c r="Q550" s="14" t="n">
        <f aca="false">Share_Prices!Q550/Share_Prices!Q549-1</f>
        <v>-0.0135282864170538</v>
      </c>
      <c r="R550" s="14" t="n">
        <f aca="false">Share_Prices!R550/Share_Prices!R549-1</f>
        <v>-0.00979410923648849</v>
      </c>
      <c r="S550" s="14" t="n">
        <f aca="false">Share_Prices!S550/Share_Prices!S549-1</f>
        <v>-0.00282584484449555</v>
      </c>
    </row>
    <row r="551" customFormat="false" ht="15" hidden="false" customHeight="false" outlineLevel="0" collapsed="false">
      <c r="A551" s="13" t="n">
        <f aca="false">Share_Prices!A551</f>
        <v>45608</v>
      </c>
      <c r="B551" s="14" t="n">
        <f aca="false">Share_Prices!B551/Share_Prices!B550-1</f>
        <v>-0.0106808663990754</v>
      </c>
      <c r="C551" s="14" t="n">
        <f aca="false">Share_Prices!C551/Share_Prices!C550-1</f>
        <v>-0.0115242968563259</v>
      </c>
      <c r="D551" s="14" t="n">
        <f aca="false">Share_Prices!D551/Share_Prices!D550-1</f>
        <v>-0.00105657187707542</v>
      </c>
      <c r="E551" s="14" t="n">
        <f aca="false">Share_Prices!E551/Share_Prices!E550-1</f>
        <v>-0.0116854468491027</v>
      </c>
      <c r="F551" s="14" t="n">
        <f aca="false">Share_Prices!F551/Share_Prices!F550-1</f>
        <v>-0.0123904645246394</v>
      </c>
      <c r="G551" s="14" t="n">
        <f aca="false">Share_Prices!G551/Share_Prices!G550-1</f>
        <v>-0.0143781452192667</v>
      </c>
      <c r="H551" s="14" t="n">
        <f aca="false">Share_Prices!H551/Share_Prices!H550-1</f>
        <v>0.0168588715933184</v>
      </c>
      <c r="I551" s="14" t="n">
        <f aca="false">Share_Prices!I551/Share_Prices!I550-1</f>
        <v>-0.0294179449464174</v>
      </c>
      <c r="J551" s="14" t="n">
        <f aca="false">Share_Prices!J551/Share_Prices!J550-1</f>
        <v>-0.0262358365800478</v>
      </c>
      <c r="K551" s="14" t="n">
        <f aca="false">Share_Prices!K551/Share_Prices!K550-1</f>
        <v>-0.0207397778303002</v>
      </c>
      <c r="L551" s="14" t="n">
        <f aca="false">Share_Prices!L551/Share_Prices!L550-1</f>
        <v>-0.0180586907449209</v>
      </c>
      <c r="M551" s="14" t="n">
        <f aca="false">Share_Prices!M551/Share_Prices!M550-1</f>
        <v>-0.00376083283370587</v>
      </c>
      <c r="N551" s="14" t="n">
        <f aca="false">Share_Prices!N551/Share_Prices!N550-1</f>
        <v>-0.018692647558627</v>
      </c>
      <c r="O551" s="14" t="n">
        <f aca="false">Share_Prices!O551/Share_Prices!O550-1</f>
        <v>-0.0155786350148369</v>
      </c>
      <c r="P551" s="14" t="n">
        <f aca="false">Share_Prices!P551/Share_Prices!P550-1</f>
        <v>-0.0134551357895606</v>
      </c>
      <c r="Q551" s="14" t="n">
        <f aca="false">Share_Prices!Q551/Share_Prices!Q550-1</f>
        <v>0.00193932677656172</v>
      </c>
      <c r="R551" s="14" t="n">
        <f aca="false">Share_Prices!R551/Share_Prices!R550-1</f>
        <v>-0.0192043895747599</v>
      </c>
      <c r="S551" s="14" t="n">
        <f aca="false">Share_Prices!S551/Share_Prices!S550-1</f>
        <v>-0.0227541715981263</v>
      </c>
    </row>
    <row r="552" customFormat="false" ht="15" hidden="false" customHeight="false" outlineLevel="0" collapsed="false">
      <c r="A552" s="13" t="n">
        <f aca="false">Share_Prices!A552</f>
        <v>45609</v>
      </c>
      <c r="B552" s="14" t="n">
        <f aca="false">Share_Prices!B552/Share_Prices!B551-1</f>
        <v>-0.0135826273004948</v>
      </c>
      <c r="C552" s="14" t="n">
        <f aca="false">Share_Prices!C552/Share_Prices!C551-1</f>
        <v>-0.0186332483246421</v>
      </c>
      <c r="D552" s="14" t="n">
        <f aca="false">Share_Prices!D552/Share_Prices!D551-1</f>
        <v>0.00284065153667168</v>
      </c>
      <c r="E552" s="14" t="n">
        <f aca="false">Share_Prices!E552/Share_Prices!E551-1</f>
        <v>-0.0159860047053146</v>
      </c>
      <c r="F552" s="14" t="n">
        <f aca="false">Share_Prices!F552/Share_Prices!F551-1</f>
        <v>-0.0192720507560941</v>
      </c>
      <c r="G552" s="14" t="n">
        <f aca="false">Share_Prices!G552/Share_Prices!G551-1</f>
        <v>-0.0163708566334387</v>
      </c>
      <c r="H552" s="14" t="n">
        <f aca="false">Share_Prices!H552/Share_Prices!H551-1</f>
        <v>-0.0595026191323806</v>
      </c>
      <c r="I552" s="14" t="n">
        <f aca="false">Share_Prices!I552/Share_Prices!I551-1</f>
        <v>0.00205672223425002</v>
      </c>
      <c r="J552" s="14" t="n">
        <f aca="false">Share_Prices!J552/Share_Prices!J551-1</f>
        <v>-0.0470946665198401</v>
      </c>
      <c r="K552" s="14" t="n">
        <f aca="false">Share_Prices!K552/Share_Prices!K551-1</f>
        <v>-0.0108761238158449</v>
      </c>
      <c r="L552" s="14" t="n">
        <f aca="false">Share_Prices!L552/Share_Prices!L551-1</f>
        <v>-0.0279895140149224</v>
      </c>
      <c r="M552" s="14" t="n">
        <f aca="false">Share_Prices!M552/Share_Prices!M551-1</f>
        <v>-0.0184921763869133</v>
      </c>
      <c r="N552" s="14" t="n">
        <f aca="false">Share_Prices!N552/Share_Prices!N551-1</f>
        <v>-0.0296698222119604</v>
      </c>
      <c r="O552" s="14" t="n">
        <f aca="false">Share_Prices!O552/Share_Prices!O551-1</f>
        <v>-0.0269404672192916</v>
      </c>
      <c r="P552" s="14" t="n">
        <f aca="false">Share_Prices!P552/Share_Prices!P551-1</f>
        <v>-0.0124951190941039</v>
      </c>
      <c r="Q552" s="14" t="n">
        <f aca="false">Share_Prices!Q552/Share_Prices!Q551-1</f>
        <v>-0.0392644822342043</v>
      </c>
      <c r="R552" s="14" t="n">
        <f aca="false">Share_Prices!R552/Share_Prices!R551-1</f>
        <v>0.00154582259845415</v>
      </c>
      <c r="S552" s="14" t="n">
        <f aca="false">Share_Prices!S552/Share_Prices!S551-1</f>
        <v>-0.0263885098253276</v>
      </c>
    </row>
    <row r="553" customFormat="false" ht="15" hidden="false" customHeight="false" outlineLevel="0" collapsed="false">
      <c r="A553" s="13" t="n">
        <f aca="false">Share_Prices!A553</f>
        <v>45610</v>
      </c>
      <c r="B553" s="14" t="n">
        <f aca="false">Share_Prices!B553/Share_Prices!B552-1</f>
        <v>-0.00111846615207312</v>
      </c>
      <c r="C553" s="14" t="n">
        <f aca="false">Share_Prices!C553/Share_Prices!C552-1</f>
        <v>0.00219713026951918</v>
      </c>
      <c r="D553" s="14" t="n">
        <f aca="false">Share_Prices!D553/Share_Prices!D552-1</f>
        <v>-0.00545427150821154</v>
      </c>
      <c r="E553" s="14" t="n">
        <f aca="false">Share_Prices!E553/Share_Prices!E552-1</f>
        <v>0.00901177047572332</v>
      </c>
      <c r="F553" s="14" t="n">
        <f aca="false">Share_Prices!F553/Share_Prices!F552-1</f>
        <v>0.0206722116834477</v>
      </c>
      <c r="G553" s="14" t="n">
        <f aca="false">Share_Prices!G553/Share_Prices!G552-1</f>
        <v>0.00214220977177226</v>
      </c>
      <c r="H553" s="14" t="n">
        <f aca="false">Share_Prices!H553/Share_Prices!H552-1</f>
        <v>-0.0223327745633483</v>
      </c>
      <c r="I553" s="14" t="n">
        <f aca="false">Share_Prices!I553/Share_Prices!I552-1</f>
        <v>-0.00766987144863351</v>
      </c>
      <c r="J553" s="14" t="n">
        <f aca="false">Share_Prices!J553/Share_Prices!J552-1</f>
        <v>-0.0173343605546995</v>
      </c>
      <c r="K553" s="14" t="n">
        <f aca="false">Share_Prices!K553/Share_Prices!K552-1</f>
        <v>-0.00257735889341337</v>
      </c>
      <c r="L553" s="14" t="n">
        <f aca="false">Share_Prices!L553/Share_Prices!L552-1</f>
        <v>0.000539396705530937</v>
      </c>
      <c r="M553" s="14" t="n">
        <f aca="false">Share_Prices!M553/Share_Prices!M552-1</f>
        <v>-0.0137123745819397</v>
      </c>
      <c r="N553" s="14" t="n">
        <f aca="false">Share_Prices!N553/Share_Prices!N552-1</f>
        <v>0.00452111838191538</v>
      </c>
      <c r="O553" s="14" t="n">
        <f aca="false">Share_Prices!O553/Share_Prices!O552-1</f>
        <v>-0.00542110358180048</v>
      </c>
      <c r="P553" s="14" t="n">
        <f aca="false">Share_Prices!P553/Share_Prices!P552-1</f>
        <v>0.00313506185392298</v>
      </c>
      <c r="Q553" s="14" t="n">
        <f aca="false">Share_Prices!Q553/Share_Prices!Q552-1</f>
        <v>0.0244639516477192</v>
      </c>
      <c r="R553" s="14" t="n">
        <f aca="false">Share_Prices!R553/Share_Prices!R552-1</f>
        <v>0.00448331618403652</v>
      </c>
      <c r="S553" s="14" t="n">
        <f aca="false">Share_Prices!S553/Share_Prices!S552-1</f>
        <v>-0.0109501200133153</v>
      </c>
    </row>
    <row r="554" customFormat="false" ht="15" hidden="false" customHeight="false" outlineLevel="0" collapsed="false">
      <c r="A554" s="13" t="n">
        <f aca="false">Share_Prices!A554</f>
        <v>45614</v>
      </c>
      <c r="B554" s="14" t="n">
        <f aca="false">Share_Prices!B554/Share_Prices!B553-1</f>
        <v>-0.00335278144879259</v>
      </c>
      <c r="C554" s="14" t="n">
        <f aca="false">Share_Prices!C554/Share_Prices!C553-1</f>
        <v>-0.00290031917170153</v>
      </c>
      <c r="D554" s="14" t="n">
        <f aca="false">Share_Prices!D554/Share_Prices!D553-1</f>
        <v>-0.00545388437765115</v>
      </c>
      <c r="E554" s="14" t="n">
        <f aca="false">Share_Prices!E554/Share_Prices!E553-1</f>
        <v>0.00795917127407497</v>
      </c>
      <c r="F554" s="14" t="n">
        <f aca="false">Share_Prices!F554/Share_Prices!F553-1</f>
        <v>0</v>
      </c>
      <c r="G554" s="14" t="n">
        <f aca="false">Share_Prices!G554/Share_Prices!G553-1</f>
        <v>0.00493299350489185</v>
      </c>
      <c r="H554" s="14" t="n">
        <f aca="false">Share_Prices!H554/Share_Prices!H553-1</f>
        <v>-0.0363384955752213</v>
      </c>
      <c r="I554" s="14" t="n">
        <f aca="false">Share_Prices!I554/Share_Prices!I553-1</f>
        <v>-0.0182887001959504</v>
      </c>
      <c r="J554" s="14" t="n">
        <f aca="false">Share_Prices!J554/Share_Prices!J553-1</f>
        <v>0.00160721285770293</v>
      </c>
      <c r="K554" s="14" t="n">
        <f aca="false">Share_Prices!K554/Share_Prices!K553-1</f>
        <v>0.00287452983089209</v>
      </c>
      <c r="L554" s="14" t="n">
        <f aca="false">Share_Prices!L554/Share_Prices!L553-1</f>
        <v>0.0307705067595587</v>
      </c>
      <c r="M554" s="14" t="n">
        <f aca="false">Share_Prices!M554/Share_Prices!M553-1</f>
        <v>-0.00491692099016616</v>
      </c>
      <c r="N554" s="14" t="n">
        <f aca="false">Share_Prices!N554/Share_Prices!N553-1</f>
        <v>-0.0107781594220063</v>
      </c>
      <c r="O554" s="14" t="n">
        <f aca="false">Share_Prices!O554/Share_Prices!O553-1</f>
        <v>0.00525598598403732</v>
      </c>
      <c r="P554" s="14" t="n">
        <f aca="false">Share_Prices!P554/Share_Prices!P553-1</f>
        <v>0.0618295464143932</v>
      </c>
      <c r="Q554" s="14" t="n">
        <f aca="false">Share_Prices!Q554/Share_Prices!Q553-1</f>
        <v>0.000983284169124854</v>
      </c>
      <c r="R554" s="14" t="n">
        <f aca="false">Share_Prices!R554/Share_Prices!R553-1</f>
        <v>-0.00921928733445532</v>
      </c>
      <c r="S554" s="14" t="n">
        <f aca="false">Share_Prices!S554/Share_Prices!S553-1</f>
        <v>0.0090519379295686</v>
      </c>
    </row>
    <row r="555" customFormat="false" ht="15" hidden="false" customHeight="false" outlineLevel="0" collapsed="false">
      <c r="A555" s="13" t="n">
        <f aca="false">Share_Prices!A555</f>
        <v>45615</v>
      </c>
      <c r="B555" s="14" t="n">
        <f aca="false">Share_Prices!B555/Share_Prices!B554-1</f>
        <v>0.00275861480868778</v>
      </c>
      <c r="C555" s="14" t="n">
        <f aca="false">Share_Prices!C555/Share_Prices!C554-1</f>
        <v>0.00479236874069589</v>
      </c>
      <c r="D555" s="14" t="n">
        <f aca="false">Share_Prices!D555/Share_Prices!D554-1</f>
        <v>-0.000396051669510178</v>
      </c>
      <c r="E555" s="14" t="n">
        <f aca="false">Share_Prices!E555/Share_Prices!E554-1</f>
        <v>0.0037974683544304</v>
      </c>
      <c r="F555" s="14" t="n">
        <f aca="false">Share_Prices!F555/Share_Prices!F554-1</f>
        <v>0.00266869996187569</v>
      </c>
      <c r="G555" s="14" t="n">
        <f aca="false">Share_Prices!G555/Share_Prices!G554-1</f>
        <v>0.00867217540701959</v>
      </c>
      <c r="H555" s="14" t="n">
        <f aca="false">Share_Prices!H555/Share_Prices!H554-1</f>
        <v>-0.00688744762670035</v>
      </c>
      <c r="I555" s="14" t="n">
        <f aca="false">Share_Prices!I555/Share_Prices!I554-1</f>
        <v>-0.00377023730317139</v>
      </c>
      <c r="J555" s="14" t="n">
        <f aca="false">Share_Prices!J555/Share_Prices!J554-1</f>
        <v>-0.00273961880161244</v>
      </c>
      <c r="K555" s="14" t="n">
        <f aca="false">Share_Prices!K555/Share_Prices!K554-1</f>
        <v>0.00416221985058707</v>
      </c>
      <c r="L555" s="14" t="n">
        <f aca="false">Share_Prices!L555/Share_Prices!L554-1</f>
        <v>-0.00547151593176698</v>
      </c>
      <c r="M555" s="14" t="n">
        <f aca="false">Share_Prices!M555/Share_Prices!M554-1</f>
        <v>0.00482762537627091</v>
      </c>
      <c r="N555" s="14" t="n">
        <f aca="false">Share_Prices!N555/Share_Prices!N554-1</f>
        <v>-0.00311302681992343</v>
      </c>
      <c r="O555" s="14" t="n">
        <f aca="false">Share_Prices!O555/Share_Prices!O554-1</f>
        <v>0.00619674670797843</v>
      </c>
      <c r="P555" s="14" t="n">
        <f aca="false">Share_Prices!P555/Share_Prices!P554-1</f>
        <v>0.00572746798186308</v>
      </c>
      <c r="Q555" s="14" t="n">
        <f aca="false">Share_Prices!Q555/Share_Prices!Q554-1</f>
        <v>0.00561324726354195</v>
      </c>
      <c r="R555" s="14" t="n">
        <f aca="false">Share_Prices!R555/Share_Prices!R554-1</f>
        <v>0.011077468429215</v>
      </c>
      <c r="S555" s="14" t="n">
        <f aca="false">Share_Prices!S555/Share_Prices!S554-1</f>
        <v>-0.00821585941751657</v>
      </c>
    </row>
    <row r="556" customFormat="false" ht="15" hidden="false" customHeight="false" outlineLevel="0" collapsed="false">
      <c r="A556" s="13" t="n">
        <f aca="false">Share_Prices!A556</f>
        <v>45617</v>
      </c>
      <c r="B556" s="14" t="n">
        <f aca="false">Share_Prices!B556/Share_Prices!B555-1</f>
        <v>-0.00716882454238144</v>
      </c>
      <c r="C556" s="14" t="n">
        <f aca="false">Share_Prices!C556/Share_Prices!C555-1</f>
        <v>-0.00833926019173481</v>
      </c>
      <c r="D556" s="14" t="n">
        <f aca="false">Share_Prices!D556/Share_Prices!D555-1</f>
        <v>0.000457163756057311</v>
      </c>
      <c r="E556" s="14" t="n">
        <f aca="false">Share_Prices!E556/Share_Prices!E555-1</f>
        <v>-0.0120098480754218</v>
      </c>
      <c r="F556" s="14" t="n">
        <f aca="false">Share_Prices!F556/Share_Prices!F555-1</f>
        <v>0.0167300380228137</v>
      </c>
      <c r="G556" s="14" t="n">
        <f aca="false">Share_Prices!G556/Share_Prices!G555-1</f>
        <v>-0.00843539622029366</v>
      </c>
      <c r="H556" s="14" t="n">
        <f aca="false">Share_Prices!H556/Share_Prices!H555-1</f>
        <v>0.00104028203201745</v>
      </c>
      <c r="I556" s="14" t="n">
        <f aca="false">Share_Prices!I556/Share_Prices!I555-1</f>
        <v>-0.0179207479964382</v>
      </c>
      <c r="J556" s="14" t="n">
        <f aca="false">Share_Prices!J556/Share_Prices!J555-1</f>
        <v>-0.0136179898748086</v>
      </c>
      <c r="K556" s="14" t="n">
        <f aca="false">Share_Prices!K556/Share_Prices!K555-1</f>
        <v>-0.0196468426886112</v>
      </c>
      <c r="L556" s="14" t="n">
        <f aca="false">Share_Prices!L556/Share_Prices!L555-1</f>
        <v>-0.0251618122977345</v>
      </c>
      <c r="M556" s="14" t="n">
        <f aca="false">Share_Prices!M556/Share_Prices!M555-1</f>
        <v>-0.0261700203481799</v>
      </c>
      <c r="N556" s="14" t="n">
        <f aca="false">Share_Prices!N556/Share_Prices!N555-1</f>
        <v>-0.0194571222675956</v>
      </c>
      <c r="O556" s="14" t="n">
        <f aca="false">Share_Prices!O556/Share_Prices!O555-1</f>
        <v>-0.0136643571978445</v>
      </c>
      <c r="P556" s="14" t="n">
        <f aca="false">Share_Prices!P556/Share_Prices!P555-1</f>
        <v>0.00163463313032231</v>
      </c>
      <c r="Q556" s="14" t="n">
        <f aca="false">Share_Prices!Q556/Share_Prices!Q555-1</f>
        <v>0.00530281886687134</v>
      </c>
      <c r="R556" s="14" t="n">
        <f aca="false">Share_Prices!R556/Share_Prices!R555-1</f>
        <v>-0.0138777298955518</v>
      </c>
      <c r="S556" s="14" t="n">
        <f aca="false">Share_Prices!S556/Share_Prices!S555-1</f>
        <v>-0.00798300734578283</v>
      </c>
    </row>
    <row r="557" customFormat="false" ht="15" hidden="false" customHeight="false" outlineLevel="0" collapsed="false">
      <c r="A557" s="13" t="n">
        <f aca="false">Share_Prices!A557</f>
        <v>45618</v>
      </c>
      <c r="B557" s="14" t="n">
        <f aca="false">Share_Prices!B557/Share_Prices!B556-1</f>
        <v>0.0238694812397482</v>
      </c>
      <c r="C557" s="14" t="n">
        <f aca="false">Share_Prices!C557/Share_Prices!C556-1</f>
        <v>0.0185464819198153</v>
      </c>
      <c r="D557" s="14" t="n">
        <f aca="false">Share_Prices!D557/Share_Prices!D556-1</f>
        <v>-0.00237616523487472</v>
      </c>
      <c r="E557" s="14" t="n">
        <f aca="false">Share_Prices!E557/Share_Prices!E556-1</f>
        <v>0.0244940132498632</v>
      </c>
      <c r="F557" s="14" t="n">
        <f aca="false">Share_Prices!F557/Share_Prices!F556-1</f>
        <v>0.0159872849663427</v>
      </c>
      <c r="G557" s="14" t="n">
        <f aca="false">Share_Prices!G557/Share_Prices!G556-1</f>
        <v>0.0101431492842536</v>
      </c>
      <c r="H557" s="14" t="n">
        <f aca="false">Share_Prices!H557/Share_Prices!H556-1</f>
        <v>-0.0132209456728826</v>
      </c>
      <c r="I557" s="14" t="n">
        <f aca="false">Share_Prices!I557/Share_Prices!I556-1</f>
        <v>0.016434319392497</v>
      </c>
      <c r="J557" s="14" t="n">
        <f aca="false">Share_Prices!J557/Share_Prices!J556-1</f>
        <v>-0.0099068990212462</v>
      </c>
      <c r="K557" s="14" t="n">
        <f aca="false">Share_Prices!K557/Share_Prices!K556-1</f>
        <v>0.0337623317691151</v>
      </c>
      <c r="L557" s="14" t="n">
        <f aca="false">Share_Prices!L557/Share_Prices!L556-1</f>
        <v>0.00290480537803961</v>
      </c>
      <c r="M557" s="14" t="n">
        <f aca="false">Share_Prices!M557/Share_Prices!M556-1</f>
        <v>0.0337802542225316</v>
      </c>
      <c r="N557" s="14" t="n">
        <f aca="false">Share_Prices!N557/Share_Prices!N556-1</f>
        <v>0.000734933855953024</v>
      </c>
      <c r="O557" s="14" t="n">
        <f aca="false">Share_Prices!O557/Share_Prices!O556-1</f>
        <v>0.0294634146341464</v>
      </c>
      <c r="P557" s="14" t="n">
        <f aca="false">Share_Prices!P557/Share_Prices!P556-1</f>
        <v>0.0146350451422705</v>
      </c>
      <c r="Q557" s="14" t="n">
        <f aca="false">Share_Prices!Q557/Share_Prices!Q556-1</f>
        <v>-0.0126318711826763</v>
      </c>
      <c r="R557" s="14" t="n">
        <f aca="false">Share_Prices!R557/Share_Prices!R556-1</f>
        <v>0.00688837863861957</v>
      </c>
      <c r="S557" s="14" t="n">
        <f aca="false">Share_Prices!S557/Share_Prices!S556-1</f>
        <v>0.0170758689601027</v>
      </c>
    </row>
    <row r="558" customFormat="false" ht="15" hidden="false" customHeight="false" outlineLevel="0" collapsed="false">
      <c r="A558" s="13" t="n">
        <f aca="false">Share_Prices!A558</f>
        <v>45621</v>
      </c>
      <c r="B558" s="14" t="n">
        <f aca="false">Share_Prices!B558/Share_Prices!B557-1</f>
        <v>0.0131612795281766</v>
      </c>
      <c r="C558" s="14" t="n">
        <f aca="false">Share_Prices!C558/Share_Prices!C557-1</f>
        <v>0.0147555403578314</v>
      </c>
      <c r="D558" s="14" t="n">
        <f aca="false">Share_Prices!D558/Share_Prices!D557-1</f>
        <v>0.00952729937706121</v>
      </c>
      <c r="E558" s="14" t="n">
        <f aca="false">Share_Prices!E558/Share_Prices!E557-1</f>
        <v>0.00172045562411016</v>
      </c>
      <c r="F558" s="14" t="n">
        <f aca="false">Share_Prices!F558/Share_Prices!F557-1</f>
        <v>0.0522683353271372</v>
      </c>
      <c r="G558" s="14" t="n">
        <f aca="false">Share_Prices!G558/Share_Prices!G557-1</f>
        <v>0.0162766215887926</v>
      </c>
      <c r="H558" s="14" t="n">
        <f aca="false">Share_Prices!H558/Share_Prices!H557-1</f>
        <v>0.013690615492628</v>
      </c>
      <c r="I558" s="14" t="n">
        <f aca="false">Share_Prices!I558/Share_Prices!I557-1</f>
        <v>0.063113291703836</v>
      </c>
      <c r="J558" s="14" t="n">
        <f aca="false">Share_Prices!J558/Share_Prices!J557-1</f>
        <v>0.0139039582077556</v>
      </c>
      <c r="K558" s="14" t="n">
        <f aca="false">Share_Prices!K558/Share_Prices!K557-1</f>
        <v>0.000209740969902228</v>
      </c>
      <c r="L558" s="14" t="n">
        <f aca="false">Share_Prices!L558/Share_Prices!L557-1</f>
        <v>0.0260675273088382</v>
      </c>
      <c r="M558" s="14" t="n">
        <f aca="false">Share_Prices!M558/Share_Prices!M557-1</f>
        <v>0.0436808713716244</v>
      </c>
      <c r="N558" s="14" t="n">
        <f aca="false">Share_Prices!N558/Share_Prices!N557-1</f>
        <v>0.0121175030599754</v>
      </c>
      <c r="O558" s="14" t="n">
        <f aca="false">Share_Prices!O558/Share_Prices!O557-1</f>
        <v>0.0335481425322213</v>
      </c>
      <c r="P558" s="14" t="n">
        <f aca="false">Share_Prices!P558/Share_Prices!P557-1</f>
        <v>0.00256829325239316</v>
      </c>
      <c r="Q558" s="14" t="n">
        <f aca="false">Share_Prices!Q558/Share_Prices!Q557-1</f>
        <v>0.0123717137635317</v>
      </c>
      <c r="R558" s="14" t="n">
        <f aca="false">Share_Prices!R558/Share_Prices!R557-1</f>
        <v>0.0221421215242017</v>
      </c>
      <c r="S558" s="14" t="n">
        <f aca="false">Share_Prices!S558/Share_Prices!S557-1</f>
        <v>0.0342976439009841</v>
      </c>
    </row>
    <row r="559" customFormat="false" ht="15" hidden="false" customHeight="false" outlineLevel="0" collapsed="false">
      <c r="A559" s="13" t="n">
        <f aca="false">Share_Prices!A559</f>
        <v>45622</v>
      </c>
      <c r="B559" s="14" t="n">
        <f aca="false">Share_Prices!B559/Share_Prices!B558-1</f>
        <v>-0.00113120770872643</v>
      </c>
      <c r="C559" s="14" t="n">
        <f aca="false">Share_Prices!C559/Share_Prices!C558-1</f>
        <v>0.000396834194249296</v>
      </c>
      <c r="D559" s="14" t="n">
        <f aca="false">Share_Prices!D559/Share_Prices!D558-1</f>
        <v>0.00278281911675737</v>
      </c>
      <c r="E559" s="14" t="n">
        <f aca="false">Share_Prices!E559/Share_Prices!E558-1</f>
        <v>-0.0274800118448327</v>
      </c>
      <c r="F559" s="14" t="n">
        <f aca="false">Share_Prices!F559/Share_Prices!F558-1</f>
        <v>-0.0302142544818539</v>
      </c>
      <c r="G559" s="14" t="n">
        <f aca="false">Share_Prices!G559/Share_Prices!G558-1</f>
        <v>-0.00956175298804785</v>
      </c>
      <c r="H559" s="14" t="n">
        <f aca="false">Share_Prices!H559/Share_Prices!H558-1</f>
        <v>-0.00779175805148336</v>
      </c>
      <c r="I559" s="14" t="n">
        <f aca="false">Share_Prices!I559/Share_Prices!I558-1</f>
        <v>-0.025173064820642</v>
      </c>
      <c r="J559" s="14" t="n">
        <f aca="false">Share_Prices!J559/Share_Prices!J558-1</f>
        <v>0.0427252189766558</v>
      </c>
      <c r="K559" s="14" t="n">
        <f aca="false">Share_Prices!K559/Share_Prices!K558-1</f>
        <v>-0.0100804337731978</v>
      </c>
      <c r="L559" s="14" t="n">
        <f aca="false">Share_Prices!L559/Share_Prices!L558-1</f>
        <v>0.0206065005242357</v>
      </c>
      <c r="M559" s="14" t="n">
        <f aca="false">Share_Prices!M559/Share_Prices!M558-1</f>
        <v>0.0470170530959169</v>
      </c>
      <c r="N559" s="14" t="n">
        <f aca="false">Share_Prices!N559/Share_Prices!N558-1</f>
        <v>-0.00495827790542991</v>
      </c>
      <c r="O559" s="14" t="n">
        <f aca="false">Share_Prices!O559/Share_Prices!O558-1</f>
        <v>-0.00861910874747829</v>
      </c>
      <c r="P559" s="14" t="n">
        <f aca="false">Share_Prices!P559/Share_Prices!P558-1</f>
        <v>0.0100916006831238</v>
      </c>
      <c r="Q559" s="14" t="n">
        <f aca="false">Share_Prices!Q559/Share_Prices!Q558-1</f>
        <v>0.00985974170254145</v>
      </c>
      <c r="R559" s="14" t="n">
        <f aca="false">Share_Prices!R559/Share_Prices!R558-1</f>
        <v>0.0061173083843109</v>
      </c>
      <c r="S559" s="14" t="n">
        <f aca="false">Share_Prices!S559/Share_Prices!S558-1</f>
        <v>0.0334317117850602</v>
      </c>
    </row>
    <row r="560" customFormat="false" ht="15" hidden="false" customHeight="false" outlineLevel="0" collapsed="false">
      <c r="A560" s="13" t="n">
        <f aca="false">Share_Prices!A560</f>
        <v>45623</v>
      </c>
      <c r="B560" s="14" t="n">
        <f aca="false">Share_Prices!B560/Share_Prices!B559-1</f>
        <v>0.00332306929260784</v>
      </c>
      <c r="C560" s="14" t="n">
        <f aca="false">Share_Prices!C560/Share_Prices!C559-1</f>
        <v>0.0057285445507913</v>
      </c>
      <c r="D560" s="14" t="n">
        <f aca="false">Share_Prices!D560/Share_Prices!D559-1</f>
        <v>0.00850627413127425</v>
      </c>
      <c r="E560" s="14" t="n">
        <f aca="false">Share_Prices!E560/Share_Prices!E559-1</f>
        <v>0.00633335363254384</v>
      </c>
      <c r="F560" s="14" t="n">
        <f aca="false">Share_Prices!F560/Share_Prices!F559-1</f>
        <v>-0.0130303440191172</v>
      </c>
      <c r="G560" s="14" t="n">
        <f aca="false">Share_Prices!G560/Share_Prices!G559-1</f>
        <v>0.00973451327433628</v>
      </c>
      <c r="H560" s="14" t="n">
        <f aca="false">Share_Prices!H560/Share_Prices!H559-1</f>
        <v>0.0196614507591182</v>
      </c>
      <c r="I560" s="14" t="n">
        <f aca="false">Share_Prices!I560/Share_Prices!I559-1</f>
        <v>0.000107596298687396</v>
      </c>
      <c r="J560" s="14" t="n">
        <f aca="false">Share_Prices!J560/Share_Prices!J559-1</f>
        <v>-0.00197650993956455</v>
      </c>
      <c r="K560" s="14" t="n">
        <f aca="false">Share_Prices!K560/Share_Prices!K559-1</f>
        <v>0.013178998335603</v>
      </c>
      <c r="L560" s="14" t="n">
        <f aca="false">Share_Prices!L560/Share_Prices!L559-1</f>
        <v>0.0108261883124581</v>
      </c>
      <c r="M560" s="14" t="n">
        <f aca="false">Share_Prices!M560/Share_Prices!M559-1</f>
        <v>0.0102245285927145</v>
      </c>
      <c r="N560" s="14" t="n">
        <f aca="false">Share_Prices!N560/Share_Prices!N559-1</f>
        <v>0.0215119105493438</v>
      </c>
      <c r="O560" s="14" t="n">
        <f aca="false">Share_Prices!O560/Share_Prices!O559-1</f>
        <v>0.00758416574176835</v>
      </c>
      <c r="P560" s="14" t="n">
        <f aca="false">Share_Prices!P560/Share_Prices!P559-1</f>
        <v>-0.00584076237319386</v>
      </c>
      <c r="Q560" s="14" t="n">
        <f aca="false">Share_Prices!Q560/Share_Prices!Q559-1</f>
        <v>-0.00261276127612775</v>
      </c>
      <c r="R560" s="14" t="n">
        <f aca="false">Share_Prices!R560/Share_Prices!R559-1</f>
        <v>0.00929899856938476</v>
      </c>
      <c r="S560" s="14" t="n">
        <f aca="false">Share_Prices!S560/Share_Prices!S559-1</f>
        <v>-0.00897795722750183</v>
      </c>
    </row>
    <row r="561" customFormat="false" ht="15" hidden="false" customHeight="false" outlineLevel="0" collapsed="false">
      <c r="A561" s="13" t="n">
        <f aca="false">Share_Prices!A561</f>
        <v>45624</v>
      </c>
      <c r="B561" s="14" t="n">
        <f aca="false">Share_Prices!B561/Share_Prices!B560-1</f>
        <v>-0.0148610292936325</v>
      </c>
      <c r="C561" s="14" t="n">
        <f aca="false">Share_Prices!C561/Share_Prices!C560-1</f>
        <v>-0.00781563302881683</v>
      </c>
      <c r="D561" s="14" t="n">
        <f aca="false">Share_Prices!D561/Share_Prices!D560-1</f>
        <v>-0.000807561165280912</v>
      </c>
      <c r="E561" s="14" t="n">
        <f aca="false">Share_Prices!E561/Share_Prices!E560-1</f>
        <v>-0.0053252647503782</v>
      </c>
      <c r="F561" s="14" t="n">
        <f aca="false">Share_Prices!F561/Share_Prices!F560-1</f>
        <v>-0.00187300137048874</v>
      </c>
      <c r="G561" s="14" t="n">
        <f aca="false">Share_Prices!G561/Share_Prices!G560-1</f>
        <v>0.0113935144609993</v>
      </c>
      <c r="H561" s="14" t="n">
        <f aca="false">Share_Prices!H561/Share_Prices!H560-1</f>
        <v>0.00792971646984997</v>
      </c>
      <c r="I561" s="14" t="n">
        <f aca="false">Share_Prices!I561/Share_Prices!I560-1</f>
        <v>0.0875739644970415</v>
      </c>
      <c r="J561" s="14" t="n">
        <f aca="false">Share_Prices!J561/Share_Prices!J560-1</f>
        <v>0.021746581863884</v>
      </c>
      <c r="K561" s="14" t="n">
        <f aca="false">Share_Prices!K561/Share_Prices!K560-1</f>
        <v>-0.0291960992219352</v>
      </c>
      <c r="L561" s="14" t="n">
        <f aca="false">Share_Prices!L561/Share_Prices!L560-1</f>
        <v>-0.00844310675057669</v>
      </c>
      <c r="M561" s="14" t="n">
        <f aca="false">Share_Prices!M561/Share_Prices!M560-1</f>
        <v>0.00325500966330994</v>
      </c>
      <c r="N561" s="14" t="n">
        <f aca="false">Share_Prices!N561/Share_Prices!N560-1</f>
        <v>0.00285544318857811</v>
      </c>
      <c r="O561" s="14" t="n">
        <f aca="false">Share_Prices!O561/Share_Prices!O560-1</f>
        <v>-0.00128511107031404</v>
      </c>
      <c r="P561" s="14" t="n">
        <f aca="false">Share_Prices!P561/Share_Prices!P560-1</f>
        <v>-0.0146619253762111</v>
      </c>
      <c r="Q561" s="14" t="n">
        <f aca="false">Share_Prices!Q561/Share_Prices!Q560-1</f>
        <v>0.0277126706190542</v>
      </c>
      <c r="R561" s="14" t="n">
        <f aca="false">Share_Prices!R561/Share_Prices!R560-1</f>
        <v>0.00907158043940459</v>
      </c>
      <c r="S561" s="14" t="n">
        <f aca="false">Share_Prices!S561/Share_Prices!S560-1</f>
        <v>0.0081815170586288</v>
      </c>
    </row>
    <row r="562" customFormat="false" ht="15" hidden="false" customHeight="false" outlineLevel="0" collapsed="false">
      <c r="A562" s="13" t="n">
        <f aca="false">Share_Prices!A562</f>
        <v>45625</v>
      </c>
      <c r="B562" s="14" t="n">
        <f aca="false">Share_Prices!B562/Share_Prices!B561-1</f>
        <v>0.00907203475766427</v>
      </c>
      <c r="C562" s="14" t="n">
        <f aca="false">Share_Prices!C562/Share_Prices!C561-1</f>
        <v>0.00766844257107135</v>
      </c>
      <c r="D562" s="14" t="n">
        <f aca="false">Share_Prices!D562/Share_Prices!D561-1</f>
        <v>0.00167629538719449</v>
      </c>
      <c r="E562" s="14" t="n">
        <f aca="false">Share_Prices!E562/Share_Prices!E561-1</f>
        <v>0.00255521080489141</v>
      </c>
      <c r="F562" s="14" t="n">
        <f aca="false">Share_Prices!F562/Share_Prices!F561-1</f>
        <v>-0.0368895601629364</v>
      </c>
      <c r="G562" s="14" t="n">
        <f aca="false">Share_Prices!G562/Share_Prices!G561-1</f>
        <v>0.0064597447613044</v>
      </c>
      <c r="H562" s="14" t="n">
        <f aca="false">Share_Prices!H562/Share_Prices!H561-1</f>
        <v>0.00939551731944777</v>
      </c>
      <c r="I562" s="14" t="n">
        <f aca="false">Share_Prices!I562/Share_Prices!I561-1</f>
        <v>-0.0246315164704718</v>
      </c>
      <c r="J562" s="14" t="n">
        <f aca="false">Share_Prices!J562/Share_Prices!J561-1</f>
        <v>-0.0141643059490085</v>
      </c>
      <c r="K562" s="14" t="n">
        <f aca="false">Share_Prices!K562/Share_Prices!K561-1</f>
        <v>0.0102144417438392</v>
      </c>
      <c r="L562" s="14" t="n">
        <f aca="false">Share_Prices!L562/Share_Prices!L561-1</f>
        <v>-0.0271218512240311</v>
      </c>
      <c r="M562" s="14" t="n">
        <f aca="false">Share_Prices!M562/Share_Prices!M561-1</f>
        <v>-0.0854709520429889</v>
      </c>
      <c r="N562" s="14" t="n">
        <f aca="false">Share_Prices!N562/Share_Prices!N561-1</f>
        <v>-0.00249139874243687</v>
      </c>
      <c r="O562" s="14" t="n">
        <f aca="false">Share_Prices!O562/Share_Prices!O561-1</f>
        <v>0.00514705882352939</v>
      </c>
      <c r="P562" s="14" t="n">
        <f aca="false">Share_Prices!P562/Share_Prices!P561-1</f>
        <v>0.00266743377180356</v>
      </c>
      <c r="Q562" s="14" t="n">
        <f aca="false">Share_Prices!Q562/Share_Prices!Q561-1</f>
        <v>-0.0489669975851892</v>
      </c>
      <c r="R562" s="14" t="n">
        <f aca="false">Share_Prices!R562/Share_Prices!R561-1</f>
        <v>-0.0158730158730158</v>
      </c>
      <c r="S562" s="14" t="n">
        <f aca="false">Share_Prices!S562/Share_Prices!S561-1</f>
        <v>-0.00790156717153479</v>
      </c>
    </row>
    <row r="563" customFormat="false" ht="15" hidden="false" customHeight="false" outlineLevel="0" collapsed="false">
      <c r="A563" s="13" t="n">
        <f aca="false">Share_Prices!A563</f>
        <v>45628</v>
      </c>
      <c r="B563" s="14" t="n">
        <f aca="false">Share_Prices!B563/Share_Prices!B562-1</f>
        <v>0.00600677134486216</v>
      </c>
      <c r="C563" s="14" t="n">
        <f aca="false">Share_Prices!C563/Share_Prices!C562-1</f>
        <v>0.00656102613831711</v>
      </c>
      <c r="D563" s="14" t="n">
        <f aca="false">Share_Prices!D563/Share_Prices!D562-1</f>
        <v>-0.00579744792756176</v>
      </c>
      <c r="E563" s="14" t="n">
        <f aca="false">Share_Prices!E563/Share_Prices!E562-1</f>
        <v>-0.0114084592511683</v>
      </c>
      <c r="F563" s="14" t="n">
        <f aca="false">Share_Prices!F563/Share_Prices!F562-1</f>
        <v>0.021479827020862</v>
      </c>
      <c r="G563" s="14" t="n">
        <f aca="false">Share_Prices!G563/Share_Prices!G562-1</f>
        <v>-0.0187069505322479</v>
      </c>
      <c r="H563" s="14" t="n">
        <f aca="false">Share_Prices!H563/Share_Prices!H562-1</f>
        <v>-0.00863519120780532</v>
      </c>
      <c r="I563" s="14" t="n">
        <f aca="false">Share_Prices!I563/Share_Prices!I562-1</f>
        <v>-0.0218052738336714</v>
      </c>
      <c r="J563" s="14" t="n">
        <f aca="false">Share_Prices!J563/Share_Prices!J562-1</f>
        <v>0.000794010889292096</v>
      </c>
      <c r="K563" s="14" t="n">
        <f aca="false">Share_Prices!K563/Share_Prices!K562-1</f>
        <v>0.0113598294502817</v>
      </c>
      <c r="L563" s="14" t="n">
        <f aca="false">Share_Prices!L563/Share_Prices!L562-1</f>
        <v>0.0123586855221038</v>
      </c>
      <c r="M563" s="14" t="n">
        <f aca="false">Share_Prices!M563/Share_Prices!M562-1</f>
        <v>-0.0274944567627494</v>
      </c>
      <c r="N563" s="14" t="n">
        <f aca="false">Share_Prices!N563/Share_Prices!N562-1</f>
        <v>0.0203377735490009</v>
      </c>
      <c r="O563" s="14" t="n">
        <f aca="false">Share_Prices!O563/Share_Prices!O562-1</f>
        <v>0.0146305779078273</v>
      </c>
      <c r="P563" s="14" t="n">
        <f aca="false">Share_Prices!P563/Share_Prices!P562-1</f>
        <v>0.00965024386427071</v>
      </c>
      <c r="Q563" s="14" t="n">
        <f aca="false">Share_Prices!Q563/Share_Prices!Q562-1</f>
        <v>-0.0286359147975737</v>
      </c>
      <c r="R563" s="14" t="n">
        <f aca="false">Share_Prices!R563/Share_Prices!R562-1</f>
        <v>0.00349700256922625</v>
      </c>
      <c r="S563" s="14" t="n">
        <f aca="false">Share_Prices!S563/Share_Prices!S562-1</f>
        <v>0.0246882916894344</v>
      </c>
    </row>
    <row r="564" customFormat="false" ht="15" hidden="false" customHeight="false" outlineLevel="0" collapsed="false">
      <c r="A564" s="13" t="n">
        <f aca="false">Share_Prices!A564</f>
        <v>45629</v>
      </c>
      <c r="B564" s="14" t="n">
        <f aca="false">Share_Prices!B564/Share_Prices!B563-1</f>
        <v>0.00746002747563956</v>
      </c>
      <c r="C564" s="14" t="n">
        <f aca="false">Share_Prices!C564/Share_Prices!C563-1</f>
        <v>0.00810129686436012</v>
      </c>
      <c r="D564" s="14" t="n">
        <f aca="false">Share_Prices!D564/Share_Prices!D563-1</f>
        <v>0.00856653340948022</v>
      </c>
      <c r="E564" s="14" t="n">
        <f aca="false">Share_Prices!E564/Share_Prices!E563-1</f>
        <v>0.0246148179976675</v>
      </c>
      <c r="F564" s="14" t="n">
        <f aca="false">Share_Prices!F564/Share_Prices!F563-1</f>
        <v>-0.0223772970458246</v>
      </c>
      <c r="G564" s="14" t="n">
        <f aca="false">Share_Prices!G564/Share_Prices!G563-1</f>
        <v>0.013559862806094</v>
      </c>
      <c r="H564" s="14" t="n">
        <f aca="false">Share_Prices!H564/Share_Prices!H563-1</f>
        <v>0.00107466063348416</v>
      </c>
      <c r="I564" s="14" t="n">
        <f aca="false">Share_Prices!I564/Share_Prices!I563-1</f>
        <v>0.0152410575427684</v>
      </c>
      <c r="J564" s="14" t="n">
        <f aca="false">Share_Prices!J564/Share_Prices!J563-1</f>
        <v>0.00921833087763058</v>
      </c>
      <c r="K564" s="14" t="n">
        <f aca="false">Share_Prices!K564/Share_Prices!K563-1</f>
        <v>0.00373403999036381</v>
      </c>
      <c r="L564" s="14" t="n">
        <f aca="false">Share_Prices!L564/Share_Prices!L563-1</f>
        <v>0.00356227985910995</v>
      </c>
      <c r="M564" s="14" t="n">
        <f aca="false">Share_Prices!M564/Share_Prices!M563-1</f>
        <v>0.0105449156406749</v>
      </c>
      <c r="N564" s="14" t="n">
        <f aca="false">Share_Prices!N564/Share_Prices!N563-1</f>
        <v>0.0113066791001282</v>
      </c>
      <c r="O564" s="14" t="n">
        <f aca="false">Share_Prices!O564/Share_Prices!O563-1</f>
        <v>0.0284787310742611</v>
      </c>
      <c r="P564" s="14" t="n">
        <f aca="false">Share_Prices!P564/Share_Prices!P563-1</f>
        <v>-0.00142078478985297</v>
      </c>
      <c r="Q564" s="14" t="n">
        <f aca="false">Share_Prices!Q564/Share_Prices!Q563-1</f>
        <v>0.0123438861458032</v>
      </c>
      <c r="R564" s="14" t="n">
        <f aca="false">Share_Prices!R564/Share_Prices!R563-1</f>
        <v>0.00192020482184763</v>
      </c>
      <c r="S564" s="14" t="n">
        <f aca="false">Share_Prices!S564/Share_Prices!S563-1</f>
        <v>0.0198274190420786</v>
      </c>
    </row>
    <row r="565" customFormat="false" ht="15" hidden="false" customHeight="false" outlineLevel="0" collapsed="false">
      <c r="A565" s="13" t="n">
        <f aca="false">Share_Prices!A565</f>
        <v>45630</v>
      </c>
      <c r="B565" s="14" t="n">
        <f aca="false">Share_Prices!B565/Share_Prices!B564-1</f>
        <v>0.000421144736815204</v>
      </c>
      <c r="C565" s="14" t="n">
        <f aca="false">Share_Prices!C565/Share_Prices!C564-1</f>
        <v>0.00341646811477436</v>
      </c>
      <c r="D565" s="14" t="n">
        <f aca="false">Share_Prices!D565/Share_Prices!D564-1</f>
        <v>-0.010788579603028</v>
      </c>
      <c r="E565" s="14" t="n">
        <f aca="false">Share_Prices!E565/Share_Prices!E564-1</f>
        <v>0.0114426072369997</v>
      </c>
      <c r="F565" s="14" t="n">
        <f aca="false">Share_Prices!F565/Share_Prices!F564-1</f>
        <v>0.0074712096697438</v>
      </c>
      <c r="G565" s="14" t="n">
        <f aca="false">Share_Prices!G565/Share_Prices!G564-1</f>
        <v>0.0045644133154954</v>
      </c>
      <c r="H565" s="14" t="n">
        <f aca="false">Share_Prices!H565/Share_Prices!H564-1</f>
        <v>0.0331092152098988</v>
      </c>
      <c r="I565" s="14" t="n">
        <f aca="false">Share_Prices!I565/Share_Prices!I564-1</f>
        <v>-0.00571895424836599</v>
      </c>
      <c r="J565" s="14" t="n">
        <f aca="false">Share_Prices!J565/Share_Prices!J564-1</f>
        <v>0.0058398532549695</v>
      </c>
      <c r="K565" s="14" t="n">
        <f aca="false">Share_Prices!K565/Share_Prices!K564-1</f>
        <v>0.00966038641545675</v>
      </c>
      <c r="L565" s="14" t="n">
        <f aca="false">Share_Prices!L565/Share_Prices!L564-1</f>
        <v>0.0307900929286482</v>
      </c>
      <c r="M565" s="14" t="n">
        <f aca="false">Share_Prices!M565/Share_Prices!M564-1</f>
        <v>-0.00186135709853918</v>
      </c>
      <c r="N565" s="14" t="n">
        <f aca="false">Share_Prices!N565/Share_Prices!N564-1</f>
        <v>0.00922083909635774</v>
      </c>
      <c r="O565" s="14" t="n">
        <f aca="false">Share_Prices!O565/Share_Prices!O564-1</f>
        <v>0.000175254118471857</v>
      </c>
      <c r="P565" s="14" t="n">
        <f aca="false">Share_Prices!P565/Share_Prices!P564-1</f>
        <v>0.00776076158940398</v>
      </c>
      <c r="Q565" s="14" t="n">
        <f aca="false">Share_Prices!Q565/Share_Prices!Q564-1</f>
        <v>0.0288337397790848</v>
      </c>
      <c r="R565" s="14" t="n">
        <f aca="false">Share_Prices!R565/Share_Prices!R564-1</f>
        <v>0.0146223736513347</v>
      </c>
      <c r="S565" s="14" t="n">
        <f aca="false">Share_Prices!S565/Share_Prices!S564-1</f>
        <v>-0.00736797071825823</v>
      </c>
    </row>
    <row r="566" customFormat="false" ht="15" hidden="false" customHeight="false" outlineLevel="0" collapsed="false">
      <c r="A566" s="13" t="n">
        <f aca="false">Share_Prices!A566</f>
        <v>45631</v>
      </c>
      <c r="B566" s="14" t="n">
        <f aca="false">Share_Prices!B566/Share_Prices!B565-1</f>
        <v>0.00984777735317732</v>
      </c>
      <c r="C566" s="14" t="n">
        <f aca="false">Share_Prices!C566/Share_Prices!C565-1</f>
        <v>0.00772527543886237</v>
      </c>
      <c r="D566" s="14" t="n">
        <f aca="false">Share_Prices!D566/Share_Prices!D565-1</f>
        <v>0.00274162448782844</v>
      </c>
      <c r="E566" s="14" t="n">
        <f aca="false">Share_Prices!E566/Share_Prices!E565-1</f>
        <v>-0.0101877628383581</v>
      </c>
      <c r="F566" s="14" t="n">
        <f aca="false">Share_Prices!F566/Share_Prices!F565-1</f>
        <v>-0.00533748996268468</v>
      </c>
      <c r="G566" s="14" t="n">
        <f aca="false">Share_Prices!G566/Share_Prices!G565-1</f>
        <v>0.00070505287896605</v>
      </c>
      <c r="H566" s="14" t="n">
        <f aca="false">Share_Prices!H566/Share_Prices!H565-1</f>
        <v>0.031555920153131</v>
      </c>
      <c r="I566" s="14" t="n">
        <f aca="false">Share_Prices!I566/Share_Prices!I565-1</f>
        <v>-0.0220829909613804</v>
      </c>
      <c r="J566" s="14" t="n">
        <f aca="false">Share_Prices!J566/Share_Prices!J565-1</f>
        <v>-0.00230749190516966</v>
      </c>
      <c r="K566" s="14" t="n">
        <f aca="false">Share_Prices!K566/Share_Prices!K565-1</f>
        <v>0.0163873536578119</v>
      </c>
      <c r="L566" s="14" t="n">
        <f aca="false">Share_Prices!L566/Share_Prices!L565-1</f>
        <v>-0.000619075256335866</v>
      </c>
      <c r="M566" s="14" t="n">
        <f aca="false">Share_Prices!M566/Share_Prices!M565-1</f>
        <v>0.0601265822784811</v>
      </c>
      <c r="N566" s="14" t="n">
        <f aca="false">Share_Prices!N566/Share_Prices!N565-1</f>
        <v>-0.00696665143901332</v>
      </c>
      <c r="O566" s="14" t="n">
        <f aca="false">Share_Prices!O566/Share_Prices!O565-1</f>
        <v>0.00315402137725584</v>
      </c>
      <c r="P566" s="14" t="n">
        <f aca="false">Share_Prices!P566/Share_Prices!P565-1</f>
        <v>-0.00526234726357944</v>
      </c>
      <c r="Q566" s="14" t="n">
        <f aca="false">Share_Prices!Q566/Share_Prices!Q565-1</f>
        <v>-0.000418293363078748</v>
      </c>
      <c r="R566" s="14" t="n">
        <f aca="false">Share_Prices!R566/Share_Prices!R565-1</f>
        <v>0.0135721281656638</v>
      </c>
      <c r="S566" s="14" t="n">
        <f aca="false">Share_Prices!S566/Share_Prices!S565-1</f>
        <v>-0.00191552533282258</v>
      </c>
    </row>
    <row r="567" customFormat="false" ht="15" hidden="false" customHeight="false" outlineLevel="0" collapsed="false">
      <c r="A567" s="13" t="n">
        <f aca="false">Share_Prices!A567</f>
        <v>45632</v>
      </c>
      <c r="B567" s="14" t="n">
        <f aca="false">Share_Prices!B567/Share_Prices!B566-1</f>
        <v>-0.00123844522510574</v>
      </c>
      <c r="C567" s="14" t="n">
        <f aca="false">Share_Prices!C567/Share_Prices!C566-1</f>
        <v>0.00146705358504495</v>
      </c>
      <c r="D567" s="14" t="n">
        <f aca="false">Share_Prices!D567/Share_Prices!D566-1</f>
        <v>-0.00660998107141786</v>
      </c>
      <c r="E567" s="14" t="n">
        <f aca="false">Share_Prices!E567/Share_Prices!E566-1</f>
        <v>-0.0390162168631439</v>
      </c>
      <c r="F567" s="14" t="n">
        <f aca="false">Share_Prices!F567/Share_Prices!F566-1</f>
        <v>-0.00683825624465761</v>
      </c>
      <c r="G567" s="14" t="n">
        <f aca="false">Share_Prices!G567/Share_Prices!G566-1</f>
        <v>0.00399248473461711</v>
      </c>
      <c r="H567" s="14" t="n">
        <f aca="false">Share_Prices!H567/Share_Prices!H566-1</f>
        <v>0.0212596755381189</v>
      </c>
      <c r="I567" s="14" t="n">
        <f aca="false">Share_Prices!I567/Share_Prices!I566-1</f>
        <v>-0.00315092952420959</v>
      </c>
      <c r="J567" s="14" t="n">
        <f aca="false">Share_Prices!J567/Share_Prices!J566-1</f>
        <v>0.0163390159286754</v>
      </c>
      <c r="K567" s="14" t="n">
        <f aca="false">Share_Prices!K567/Share_Prices!K566-1</f>
        <v>-1.46175322681685E-005</v>
      </c>
      <c r="L567" s="14" t="n">
        <f aca="false">Share_Prices!L567/Share_Prices!L566-1</f>
        <v>-0.0126601881605948</v>
      </c>
      <c r="M567" s="14" t="n">
        <f aca="false">Share_Prices!M567/Share_Prices!M566-1</f>
        <v>-0.00501066098081027</v>
      </c>
      <c r="N567" s="14" t="n">
        <f aca="false">Share_Prices!N567/Share_Prices!N566-1</f>
        <v>-0.000345025876940741</v>
      </c>
      <c r="O567" s="14" t="n">
        <f aca="false">Share_Prices!O567/Share_Prices!O566-1</f>
        <v>-0.02882096069869</v>
      </c>
      <c r="P567" s="14" t="n">
        <f aca="false">Share_Prices!P567/Share_Prices!P566-1</f>
        <v>0.0072256199840004</v>
      </c>
      <c r="Q567" s="14" t="n">
        <f aca="false">Share_Prices!Q567/Share_Prices!Q566-1</f>
        <v>-0.0143674152601478</v>
      </c>
      <c r="R567" s="14" t="n">
        <f aca="false">Share_Prices!R567/Share_Prices!R566-1</f>
        <v>-0.00966316951960244</v>
      </c>
      <c r="S567" s="14" t="n">
        <f aca="false">Share_Prices!S567/Share_Prices!S566-1</f>
        <v>1.59933467678286E-005</v>
      </c>
    </row>
    <row r="568" customFormat="false" ht="15" hidden="false" customHeight="false" outlineLevel="0" collapsed="false">
      <c r="A568" s="13" t="n">
        <f aca="false">Share_Prices!A568</f>
        <v>45635</v>
      </c>
      <c r="B568" s="14" t="n">
        <f aca="false">Share_Prices!B568/Share_Prices!B567-1</f>
        <v>-0.00238270834515231</v>
      </c>
      <c r="C568" s="14" t="n">
        <f aca="false">Share_Prices!C568/Share_Prices!C567-1</f>
        <v>-0.00086221318542723</v>
      </c>
      <c r="D568" s="14" t="n">
        <f aca="false">Share_Prices!D568/Share_Prices!D567-1</f>
        <v>0.00426458579076305</v>
      </c>
      <c r="E568" s="14" t="n">
        <f aca="false">Share_Prices!E568/Share_Prices!E567-1</f>
        <v>0.001930381717417</v>
      </c>
      <c r="F568" s="14" t="n">
        <f aca="false">Share_Prices!F568/Share_Prices!F567-1</f>
        <v>-0.00903700870230473</v>
      </c>
      <c r="G568" s="14" t="n">
        <f aca="false">Share_Prices!G568/Share_Prices!G567-1</f>
        <v>-0.0173099415204678</v>
      </c>
      <c r="H568" s="14" t="n">
        <f aca="false">Share_Prices!H568/Share_Prices!H567-1</f>
        <v>-0.00399730052432123</v>
      </c>
      <c r="I568" s="14" t="n">
        <f aca="false">Share_Prices!I568/Share_Prices!I567-1</f>
        <v>0.00021072595090077</v>
      </c>
      <c r="J568" s="14" t="n">
        <f aca="false">Share_Prices!J568/Share_Prices!J567-1</f>
        <v>0.00172508717195807</v>
      </c>
      <c r="K568" s="14" t="n">
        <f aca="false">Share_Prices!K568/Share_Prices!K567-1</f>
        <v>0.0026311942698436</v>
      </c>
      <c r="L568" s="14" t="n">
        <f aca="false">Share_Prices!L568/Share_Prices!L567-1</f>
        <v>0.00560740334091459</v>
      </c>
      <c r="M568" s="14" t="n">
        <f aca="false">Share_Prices!M568/Share_Prices!M567-1</f>
        <v>0.00551805421622209</v>
      </c>
      <c r="N568" s="14" t="n">
        <f aca="false">Share_Prices!N568/Share_Prices!N567-1</f>
        <v>-0.0046019328117809</v>
      </c>
      <c r="O568" s="14" t="n">
        <f aca="false">Share_Prices!O568/Share_Prices!O567-1</f>
        <v>0.00413669064748201</v>
      </c>
      <c r="P568" s="14" t="n">
        <f aca="false">Share_Prices!P568/Share_Prices!P567-1</f>
        <v>0.020368425097999</v>
      </c>
      <c r="Q568" s="14" t="n">
        <f aca="false">Share_Prices!Q568/Share_Prices!Q567-1</f>
        <v>0.0185394848570619</v>
      </c>
      <c r="R568" s="14" t="n">
        <f aca="false">Share_Prices!R568/Share_Prices!R567-1</f>
        <v>0.00313632562029542</v>
      </c>
      <c r="S568" s="14" t="n">
        <f aca="false">Share_Prices!S568/Share_Prices!S567-1</f>
        <v>-0.00622131239304613</v>
      </c>
    </row>
    <row r="569" customFormat="false" ht="15" hidden="false" customHeight="false" outlineLevel="0" collapsed="false">
      <c r="A569" s="13" t="n">
        <f aca="false">Share_Prices!A569</f>
        <v>45636</v>
      </c>
      <c r="B569" s="14" t="n">
        <f aca="false">Share_Prices!B569/Share_Prices!B568-1</f>
        <v>-0.000363540355010406</v>
      </c>
      <c r="C569" s="14" t="n">
        <f aca="false">Share_Prices!C569/Share_Prices!C568-1</f>
        <v>0.000983170187188742</v>
      </c>
      <c r="D569" s="14" t="n">
        <f aca="false">Share_Prices!D569/Share_Prices!D568-1</f>
        <v>0.0140645705336706</v>
      </c>
      <c r="E569" s="14" t="n">
        <f aca="false">Share_Prices!E569/Share_Prices!E568-1</f>
        <v>0.0178371659415786</v>
      </c>
      <c r="F569" s="14" t="n">
        <f aca="false">Share_Prices!F569/Share_Prices!F568-1</f>
        <v>-0.0135102533172496</v>
      </c>
      <c r="G569" s="14" t="n">
        <f aca="false">Share_Prices!G569/Share_Prices!G568-1</f>
        <v>0.000476077124494267</v>
      </c>
      <c r="H569" s="14" t="n">
        <f aca="false">Share_Prices!H569/Share_Prices!H568-1</f>
        <v>0.00542061920150116</v>
      </c>
      <c r="I569" s="14" t="n">
        <f aca="false">Share_Prices!I569/Share_Prices!I568-1</f>
        <v>-0.00747919519646045</v>
      </c>
      <c r="J569" s="14" t="n">
        <f aca="false">Share_Prices!J569/Share_Prices!J568-1</f>
        <v>0.0215814157995018</v>
      </c>
      <c r="K569" s="14" t="n">
        <f aca="false">Share_Prices!K569/Share_Prices!K568-1</f>
        <v>0.00988482286047532</v>
      </c>
      <c r="L569" s="14" t="n">
        <f aca="false">Share_Prices!L569/Share_Prices!L568-1</f>
        <v>0.0421524663677129</v>
      </c>
      <c r="M569" s="14" t="n">
        <f aca="false">Share_Prices!M569/Share_Prices!M568-1</f>
        <v>-0.0232830731525387</v>
      </c>
      <c r="N569" s="14" t="n">
        <f aca="false">Share_Prices!N569/Share_Prices!N568-1</f>
        <v>0.0234627831715211</v>
      </c>
      <c r="O569" s="14" t="n">
        <f aca="false">Share_Prices!O569/Share_Prices!O568-1</f>
        <v>0.019344438473939</v>
      </c>
      <c r="P569" s="14" t="n">
        <f aca="false">Share_Prices!P569/Share_Prices!P568-1</f>
        <v>0.0210666398834931</v>
      </c>
      <c r="Q569" s="14" t="n">
        <f aca="false">Share_Prices!Q569/Share_Prices!Q568-1</f>
        <v>-0.00263998888425743</v>
      </c>
      <c r="R569" s="14" t="n">
        <f aca="false">Share_Prices!R569/Share_Prices!R568-1</f>
        <v>0.0136872090599598</v>
      </c>
      <c r="S569" s="14" t="n">
        <f aca="false">Share_Prices!S569/Share_Prices!S568-1</f>
        <v>0.0256203933180983</v>
      </c>
    </row>
    <row r="570" customFormat="false" ht="15" hidden="false" customHeight="false" outlineLevel="0" collapsed="false">
      <c r="A570" s="13" t="n">
        <f aca="false">Share_Prices!A570</f>
        <v>45637</v>
      </c>
      <c r="B570" s="14" t="n">
        <f aca="false">Share_Prices!B570/Share_Prices!B569-1</f>
        <v>0.00129012334391843</v>
      </c>
      <c r="C570" s="14" t="n">
        <f aca="false">Share_Prices!C570/Share_Prices!C569-1</f>
        <v>0.00185503690772859</v>
      </c>
      <c r="D570" s="14" t="n">
        <f aca="false">Share_Prices!D570/Share_Prices!D569-1</f>
        <v>-0.00579133378872021</v>
      </c>
      <c r="E570" s="14" t="n">
        <f aca="false">Share_Prices!E570/Share_Prices!E569-1</f>
        <v>0.00134334737741959</v>
      </c>
      <c r="F570" s="14" t="n">
        <f aca="false">Share_Prices!F570/Share_Prices!F569-1</f>
        <v>0.00743458058204927</v>
      </c>
      <c r="G570" s="14" t="n">
        <f aca="false">Share_Prices!G570/Share_Prices!G569-1</f>
        <v>0.0101514791022286</v>
      </c>
      <c r="H570" s="14" t="n">
        <f aca="false">Share_Prices!H570/Share_Prices!H569-1</f>
        <v>-0.0255054432348367</v>
      </c>
      <c r="I570" s="14" t="n">
        <f aca="false">Share_Prices!I570/Share_Prices!I569-1</f>
        <v>-0.00106134578645722</v>
      </c>
      <c r="J570" s="14" t="n">
        <f aca="false">Share_Prices!J570/Share_Prices!J569-1</f>
        <v>-0.0315268462393745</v>
      </c>
      <c r="K570" s="14" t="n">
        <f aca="false">Share_Prices!K570/Share_Prices!K569-1</f>
        <v>0.0257839117630074</v>
      </c>
      <c r="L570" s="14" t="n">
        <f aca="false">Share_Prices!L570/Share_Prices!L569-1</f>
        <v>0.00946643717728057</v>
      </c>
      <c r="M570" s="14" t="n">
        <f aca="false">Share_Prices!M570/Share_Prices!M569-1</f>
        <v>-0.0144010473488981</v>
      </c>
      <c r="N570" s="14" t="n">
        <f aca="false">Share_Prices!N570/Share_Prices!N569-1</f>
        <v>0.00530773574251842</v>
      </c>
      <c r="O570" s="14" t="n">
        <f aca="false">Share_Prices!O570/Share_Prices!O569-1</f>
        <v>-0.00527148128624144</v>
      </c>
      <c r="P570" s="14" t="n">
        <f aca="false">Share_Prices!P570/Share_Prices!P569-1</f>
        <v>0.0153694823558344</v>
      </c>
      <c r="Q570" s="14" t="n">
        <f aca="false">Share_Prices!Q570/Share_Prices!Q569-1</f>
        <v>0.0151852883811647</v>
      </c>
      <c r="R570" s="14" t="n">
        <f aca="false">Share_Prices!R570/Share_Prices!R569-1</f>
        <v>0.00171350239890344</v>
      </c>
      <c r="S570" s="14" t="n">
        <f aca="false">Share_Prices!S570/Share_Prices!S569-1</f>
        <v>0.0193786285893613</v>
      </c>
    </row>
    <row r="571" customFormat="false" ht="15" hidden="false" customHeight="false" outlineLevel="0" collapsed="false">
      <c r="A571" s="13" t="n">
        <f aca="false">Share_Prices!A571</f>
        <v>45638</v>
      </c>
      <c r="B571" s="14" t="n">
        <f aca="false">Share_Prices!B571/Share_Prices!B570-1</f>
        <v>-0.00377813309092678</v>
      </c>
      <c r="C571" s="14" t="n">
        <f aca="false">Share_Prices!C571/Share_Prices!C570-1</f>
        <v>-0.00435608128212206</v>
      </c>
      <c r="D571" s="14" t="n">
        <f aca="false">Share_Prices!D571/Share_Prices!D570-1</f>
        <v>0.00253913251284499</v>
      </c>
      <c r="E571" s="14" t="n">
        <f aca="false">Share_Prices!E571/Share_Prices!E570-1</f>
        <v>-0.0110982376974206</v>
      </c>
      <c r="F571" s="14" t="n">
        <f aca="false">Share_Prices!F571/Share_Prices!F570-1</f>
        <v>0.00995290576297525</v>
      </c>
      <c r="G571" s="14" t="n">
        <f aca="false">Share_Prices!G571/Share_Prices!G570-1</f>
        <v>-0.00714453953050176</v>
      </c>
      <c r="H571" s="14" t="n">
        <f aca="false">Share_Prices!H571/Share_Prices!H570-1</f>
        <v>-0.0127141185232471</v>
      </c>
      <c r="I571" s="14" t="n">
        <f aca="false">Share_Prices!I571/Share_Prices!I570-1</f>
        <v>-0.0254993625159371</v>
      </c>
      <c r="J571" s="14" t="n">
        <f aca="false">Share_Prices!J571/Share_Prices!J570-1</f>
        <v>-0.0150729575586993</v>
      </c>
      <c r="K571" s="14" t="n">
        <f aca="false">Share_Prices!K571/Share_Prices!K570-1</f>
        <v>0.0015058969234667</v>
      </c>
      <c r="L571" s="14" t="n">
        <f aca="false">Share_Prices!L571/Share_Prices!L570-1</f>
        <v>-0.00437377219318735</v>
      </c>
      <c r="M571" s="14" t="n">
        <f aca="false">Share_Prices!M571/Share_Prices!M570-1</f>
        <v>-0.0106265220278946</v>
      </c>
      <c r="N571" s="14" t="n">
        <f aca="false">Share_Prices!N571/Share_Prices!N570-1</f>
        <v>-0.0259492248932824</v>
      </c>
      <c r="O571" s="14" t="n">
        <f aca="false">Share_Prices!O571/Share_Prices!O570-1</f>
        <v>-0.0111287758346583</v>
      </c>
      <c r="P571" s="14" t="n">
        <f aca="false">Share_Prices!P571/Share_Prices!P570-1</f>
        <v>0.0304432065875515</v>
      </c>
      <c r="Q571" s="14" t="n">
        <f aca="false">Share_Prices!Q571/Share_Prices!Q570-1</f>
        <v>-0.0167421435432964</v>
      </c>
      <c r="R571" s="14" t="n">
        <f aca="false">Share_Prices!R571/Share_Prices!R570-1</f>
        <v>-0.00540540540540546</v>
      </c>
      <c r="S571" s="14" t="n">
        <f aca="false">Share_Prices!S571/Share_Prices!S570-1</f>
        <v>-4.61787116139423E-005</v>
      </c>
    </row>
    <row r="572" customFormat="false" ht="15" hidden="false" customHeight="false" outlineLevel="0" collapsed="false">
      <c r="A572" s="13" t="n">
        <f aca="false">Share_Prices!A572</f>
        <v>45639</v>
      </c>
      <c r="B572" s="14" t="n">
        <f aca="false">Share_Prices!B572/Share_Prices!B571-1</f>
        <v>0.0089454838749099</v>
      </c>
      <c r="C572" s="14" t="n">
        <f aca="false">Share_Prices!C572/Share_Prices!C571-1</f>
        <v>0.00440953887962015</v>
      </c>
      <c r="D572" s="14" t="n">
        <f aca="false">Share_Prices!D572/Share_Prices!D571-1</f>
        <v>-0.00846220315246871</v>
      </c>
      <c r="E572" s="14" t="n">
        <f aca="false">Share_Prices!E572/Share_Prices!E571-1</f>
        <v>-0.00955787136955044</v>
      </c>
      <c r="F572" s="14" t="n">
        <f aca="false">Share_Prices!F572/Share_Prices!F571-1</f>
        <v>0.0127872319969236</v>
      </c>
      <c r="G572" s="14" t="n">
        <f aca="false">Share_Prices!G572/Share_Prices!G571-1</f>
        <v>-0.0125731456587062</v>
      </c>
      <c r="H572" s="14" t="n">
        <f aca="false">Share_Prices!H572/Share_Prices!H571-1</f>
        <v>0.00662751225820357</v>
      </c>
      <c r="I572" s="14" t="n">
        <f aca="false">Share_Prices!I572/Share_Prices!I571-1</f>
        <v>0.00218054949847368</v>
      </c>
      <c r="J572" s="14" t="n">
        <f aca="false">Share_Prices!J572/Share_Prices!J571-1</f>
        <v>-0.00533934950178594</v>
      </c>
      <c r="K572" s="14" t="n">
        <f aca="false">Share_Prices!K572/Share_Prices!K571-1</f>
        <v>0.00799595283933607</v>
      </c>
      <c r="L572" s="14" t="n">
        <f aca="false">Share_Prices!L572/Share_Prices!L571-1</f>
        <v>-0.0284427236513906</v>
      </c>
      <c r="M572" s="14" t="n">
        <f aca="false">Share_Prices!M572/Share_Prices!M571-1</f>
        <v>0.004531215036921</v>
      </c>
      <c r="N572" s="14" t="n">
        <f aca="false">Share_Prices!N572/Share_Prices!N571-1</f>
        <v>0.00599700149925031</v>
      </c>
      <c r="O572" s="14" t="n">
        <f aca="false">Share_Prices!O572/Share_Prices!O571-1</f>
        <v>-0.0183994283672739</v>
      </c>
      <c r="P572" s="14" t="n">
        <f aca="false">Share_Prices!P572/Share_Prices!P571-1</f>
        <v>-0.0162173596258256</v>
      </c>
      <c r="Q572" s="14" t="n">
        <f aca="false">Share_Prices!Q572/Share_Prices!Q571-1</f>
        <v>-0.0231681786461968</v>
      </c>
      <c r="R572" s="14" t="n">
        <f aca="false">Share_Prices!R572/Share_Prices!R571-1</f>
        <v>-0.0018574573472756</v>
      </c>
      <c r="S572" s="14" t="n">
        <f aca="false">Share_Prices!S572/Share_Prices!S571-1</f>
        <v>-0.0263384748006527</v>
      </c>
    </row>
    <row r="573" customFormat="false" ht="15" hidden="false" customHeight="false" outlineLevel="0" collapsed="false">
      <c r="A573" s="13" t="n">
        <f aca="false">Share_Prices!A573</f>
        <v>45642</v>
      </c>
      <c r="B573" s="14" t="n">
        <f aca="false">Share_Prices!B573/Share_Prices!B572-1</f>
        <v>-0.00403943750681313</v>
      </c>
      <c r="C573" s="14" t="n">
        <f aca="false">Share_Prices!C573/Share_Prices!C572-1</f>
        <v>-0.000278265932330046</v>
      </c>
      <c r="D573" s="14" t="n">
        <f aca="false">Share_Prices!D573/Share_Prices!D572-1</f>
        <v>0.00339573879856969</v>
      </c>
      <c r="E573" s="14" t="n">
        <f aca="false">Share_Prices!E573/Share_Prices!E572-1</f>
        <v>-0.00143195118914208</v>
      </c>
      <c r="F573" s="14" t="n">
        <f aca="false">Share_Prices!F573/Share_Prices!F572-1</f>
        <v>-0.00246819821530297</v>
      </c>
      <c r="G573" s="14" t="n">
        <f aca="false">Share_Prices!G573/Share_Prices!G572-1</f>
        <v>0.00256266517177872</v>
      </c>
      <c r="H573" s="14" t="n">
        <f aca="false">Share_Prices!H573/Share_Prices!H572-1</f>
        <v>-0.0132212825179318</v>
      </c>
      <c r="I573" s="14" t="n">
        <f aca="false">Share_Prices!I573/Share_Prices!I572-1</f>
        <v>-0.000435161009573637</v>
      </c>
      <c r="J573" s="14" t="n">
        <f aca="false">Share_Prices!J573/Share_Prices!J572-1</f>
        <v>0.00234377953351217</v>
      </c>
      <c r="K573" s="14" t="n">
        <f aca="false">Share_Prices!K573/Share_Prices!K572-1</f>
        <v>0.00356893907709477</v>
      </c>
      <c r="L573" s="14" t="n">
        <f aca="false">Share_Prices!L573/Share_Prices!L572-1</f>
        <v>-0.0146760164003524</v>
      </c>
      <c r="M573" s="14" t="n">
        <f aca="false">Share_Prices!M573/Share_Prices!M572-1</f>
        <v>-0.0037311354903381</v>
      </c>
      <c r="N573" s="14" t="n">
        <f aca="false">Share_Prices!N573/Share_Prices!N572-1</f>
        <v>-0.0212082998968245</v>
      </c>
      <c r="O573" s="14" t="n">
        <f aca="false">Share_Prices!O573/Share_Prices!O572-1</f>
        <v>0.00727934485896276</v>
      </c>
      <c r="P573" s="14" t="n">
        <f aca="false">Share_Prices!P573/Share_Prices!P572-1</f>
        <v>0.0125904866569511</v>
      </c>
      <c r="Q573" s="14" t="n">
        <f aca="false">Share_Prices!Q573/Share_Prices!Q572-1</f>
        <v>-0.0142877553936277</v>
      </c>
      <c r="R573" s="14" t="n">
        <f aca="false">Share_Prices!R573/Share_Prices!R572-1</f>
        <v>0.00399751878144605</v>
      </c>
      <c r="S573" s="14" t="n">
        <f aca="false">Share_Prices!S573/Share_Prices!S572-1</f>
        <v>-0.0079366334129104</v>
      </c>
    </row>
    <row r="574" customFormat="false" ht="15" hidden="false" customHeight="false" outlineLevel="0" collapsed="false">
      <c r="A574" s="13" t="n">
        <f aca="false">Share_Prices!A574</f>
        <v>45643</v>
      </c>
      <c r="B574" s="14" t="n">
        <f aca="false">Share_Prices!B574/Share_Prices!B573-1</f>
        <v>-0.0134687300477334</v>
      </c>
      <c r="C574" s="14" t="n">
        <f aca="false">Share_Prices!C574/Share_Prices!C573-1</f>
        <v>-0.0109924226365971</v>
      </c>
      <c r="D574" s="14" t="n">
        <f aca="false">Share_Prices!D574/Share_Prices!D573-1</f>
        <v>-0.00323450134770897</v>
      </c>
      <c r="E574" s="14" t="n">
        <f aca="false">Share_Prices!E574/Share_Prices!E573-1</f>
        <v>-0.0255626909408317</v>
      </c>
      <c r="F574" s="14" t="n">
        <f aca="false">Share_Prices!F574/Share_Prices!F573-1</f>
        <v>-0.0117529501332317</v>
      </c>
      <c r="G574" s="14" t="n">
        <f aca="false">Share_Prices!G574/Share_Prices!G573-1</f>
        <v>-0.0337087626807253</v>
      </c>
      <c r="H574" s="14" t="n">
        <f aca="false">Share_Prices!H574/Share_Prices!H573-1</f>
        <v>-0.0350962842419311</v>
      </c>
      <c r="I574" s="14" t="n">
        <f aca="false">Share_Prices!I574/Share_Prices!I573-1</f>
        <v>-0.0249238136700043</v>
      </c>
      <c r="J574" s="14" t="n">
        <f aca="false">Share_Prices!J574/Share_Prices!J573-1</f>
        <v>-0.00305487459928344</v>
      </c>
      <c r="K574" s="14" t="n">
        <f aca="false">Share_Prices!K574/Share_Prices!K573-1</f>
        <v>-0.00770983246742429</v>
      </c>
      <c r="L574" s="14" t="n">
        <f aca="false">Share_Prices!L574/Share_Prices!L573-1</f>
        <v>-0.0302558917321304</v>
      </c>
      <c r="M574" s="14" t="n">
        <f aca="false">Share_Prices!M574/Share_Prices!M573-1</f>
        <v>-0.0240357741755171</v>
      </c>
      <c r="N574" s="14" t="n">
        <f aca="false">Share_Prices!N574/Share_Prices!N573-1</f>
        <v>-0.0245959241040056</v>
      </c>
      <c r="O574" s="14" t="n">
        <f aca="false">Share_Prices!O574/Share_Prices!O573-1</f>
        <v>-0.026196928635953</v>
      </c>
      <c r="P574" s="14" t="n">
        <f aca="false">Share_Prices!P574/Share_Prices!P573-1</f>
        <v>-0.0067478293695733</v>
      </c>
      <c r="Q574" s="14" t="n">
        <f aca="false">Share_Prices!Q574/Share_Prices!Q573-1</f>
        <v>-0.0120307290911725</v>
      </c>
      <c r="R574" s="14" t="n">
        <f aca="false">Share_Prices!R574/Share_Prices!R573-1</f>
        <v>-0.0178485618178074</v>
      </c>
      <c r="S574" s="14" t="n">
        <f aca="false">Share_Prices!S574/Share_Prices!S573-1</f>
        <v>-0.0511721302331512</v>
      </c>
    </row>
    <row r="575" customFormat="false" ht="15" hidden="false" customHeight="false" outlineLevel="0" collapsed="false">
      <c r="A575" s="13" t="n">
        <f aca="false">Share_Prices!A575</f>
        <v>45644</v>
      </c>
      <c r="B575" s="14" t="n">
        <f aca="false">Share_Prices!B575/Share_Prices!B574-1</f>
        <v>-0.0056356837606838</v>
      </c>
      <c r="C575" s="14" t="n">
        <f aca="false">Share_Prices!C575/Share_Prices!C574-1</f>
        <v>-0.00698613381249791</v>
      </c>
      <c r="D575" s="14" t="n">
        <f aca="false">Share_Prices!D575/Share_Prices!D574-1</f>
        <v>0.0109668890090739</v>
      </c>
      <c r="E575" s="14" t="n">
        <f aca="false">Share_Prices!E575/Share_Prices!E574-1</f>
        <v>-0.0108772154328491</v>
      </c>
      <c r="F575" s="14" t="n">
        <f aca="false">Share_Prices!F575/Share_Prices!F574-1</f>
        <v>-0.0325966584813906</v>
      </c>
      <c r="G575" s="14" t="n">
        <f aca="false">Share_Prices!G575/Share_Prices!G574-1</f>
        <v>-0.00975448458295436</v>
      </c>
      <c r="H575" s="14" t="n">
        <f aca="false">Share_Prices!H575/Share_Prices!H574-1</f>
        <v>-0.0184393973465258</v>
      </c>
      <c r="I575" s="14" t="n">
        <f aca="false">Share_Prices!I575/Share_Prices!I574-1</f>
        <v>-0.0169661792610781</v>
      </c>
      <c r="J575" s="14" t="n">
        <f aca="false">Share_Prices!J575/Share_Prices!J574-1</f>
        <v>-0.0162669289551335</v>
      </c>
      <c r="K575" s="14" t="n">
        <f aca="false">Share_Prices!K575/Share_Prices!K574-1</f>
        <v>-0.0109616273046715</v>
      </c>
      <c r="L575" s="14" t="n">
        <f aca="false">Share_Prices!L575/Share_Prices!L574-1</f>
        <v>-0.00324831568816164</v>
      </c>
      <c r="M575" s="14" t="n">
        <f aca="false">Share_Prices!M575/Share_Prices!M574-1</f>
        <v>-0.0150630011454753</v>
      </c>
      <c r="N575" s="14" t="n">
        <f aca="false">Share_Prices!N575/Share_Prices!N574-1</f>
        <v>0.0246157540826129</v>
      </c>
      <c r="O575" s="14" t="n">
        <f aca="false">Share_Prices!O575/Share_Prices!O574-1</f>
        <v>-0.000742115027829282</v>
      </c>
      <c r="P575" s="14" t="n">
        <f aca="false">Share_Prices!P575/Share_Prices!P574-1</f>
        <v>0.00465580312603908</v>
      </c>
      <c r="Q575" s="14" t="n">
        <f aca="false">Share_Prices!Q575/Share_Prices!Q574-1</f>
        <v>-0.0321302816901408</v>
      </c>
      <c r="R575" s="14" t="n">
        <f aca="false">Share_Prices!R575/Share_Prices!R574-1</f>
        <v>-0.00671000209687578</v>
      </c>
      <c r="S575" s="14" t="n">
        <f aca="false">Share_Prices!S575/Share_Prices!S574-1</f>
        <v>-0.0152843562094797</v>
      </c>
    </row>
    <row r="576" customFormat="false" ht="15" hidden="false" customHeight="false" outlineLevel="0" collapsed="false">
      <c r="A576" s="13" t="n">
        <f aca="false">Share_Prices!A576</f>
        <v>45645</v>
      </c>
      <c r="B576" s="14" t="n">
        <f aca="false">Share_Prices!B576/Share_Prices!B575-1</f>
        <v>-0.0102132952598987</v>
      </c>
      <c r="C576" s="14" t="n">
        <f aca="false">Share_Prices!C576/Share_Prices!C575-1</f>
        <v>-0.00794657806613641</v>
      </c>
      <c r="D576" s="14" t="n">
        <f aca="false">Share_Prices!D576/Share_Prices!D575-1</f>
        <v>-0.00181294023241296</v>
      </c>
      <c r="E576" s="14" t="n">
        <f aca="false">Share_Prices!E576/Share_Prices!E575-1</f>
        <v>-0.00310498738598886</v>
      </c>
      <c r="F576" s="14" t="n">
        <f aca="false">Share_Prices!F576/Share_Prices!F575-1</f>
        <v>0.0270256818634282</v>
      </c>
      <c r="G576" s="14" t="n">
        <f aca="false">Share_Prices!G576/Share_Prices!G575-1</f>
        <v>-0.0118540779697804</v>
      </c>
      <c r="H576" s="14" t="n">
        <f aca="false">Share_Prices!H576/Share_Prices!H575-1</f>
        <v>-0.00103092783505154</v>
      </c>
      <c r="I576" s="14" t="n">
        <f aca="false">Share_Prices!I576/Share_Prices!I575-1</f>
        <v>-0.00272510503008983</v>
      </c>
      <c r="J576" s="14" t="n">
        <f aca="false">Share_Prices!J576/Share_Prices!J575-1</f>
        <v>-0.0266497461928935</v>
      </c>
      <c r="K576" s="14" t="n">
        <f aca="false">Share_Prices!K576/Share_Prices!K575-1</f>
        <v>-0.0220388404484204</v>
      </c>
      <c r="L576" s="14" t="n">
        <f aca="false">Share_Prices!L576/Share_Prices!L575-1</f>
        <v>-0.0233353450010059</v>
      </c>
      <c r="M576" s="14" t="n">
        <f aca="false">Share_Prices!M576/Share_Prices!M575-1</f>
        <v>-0.0216898296214456</v>
      </c>
      <c r="N576" s="14" t="n">
        <f aca="false">Share_Prices!N576/Share_Prices!N575-1</f>
        <v>-0.0164068908941756</v>
      </c>
      <c r="O576" s="14" t="n">
        <f aca="false">Share_Prices!O576/Share_Prices!O575-1</f>
        <v>0.0102116598588935</v>
      </c>
      <c r="P576" s="14" t="n">
        <f aca="false">Share_Prices!P576/Share_Prices!P575-1</f>
        <v>0.0104742989549345</v>
      </c>
      <c r="Q576" s="14" t="n">
        <f aca="false">Share_Prices!Q576/Share_Prices!Q575-1</f>
        <v>-0.0165226618159771</v>
      </c>
      <c r="R576" s="14" t="n">
        <f aca="false">Share_Prices!R576/Share_Prices!R575-1</f>
        <v>-0.0100626275420449</v>
      </c>
      <c r="S576" s="14" t="n">
        <f aca="false">Share_Prices!S576/Share_Prices!S575-1</f>
        <v>0.00479293170498751</v>
      </c>
    </row>
    <row r="577" customFormat="false" ht="15" hidden="false" customHeight="false" outlineLevel="0" collapsed="false">
      <c r="A577" s="13" t="n">
        <f aca="false">Share_Prices!A577</f>
        <v>45646</v>
      </c>
      <c r="B577" s="14" t="n">
        <f aca="false">Share_Prices!B577/Share_Prices!B576-1</f>
        <v>-0.0152056012725611</v>
      </c>
      <c r="C577" s="14" t="n">
        <f aca="false">Share_Prices!C577/Share_Prices!C576-1</f>
        <v>-0.0190201805104133</v>
      </c>
      <c r="D577" s="14" t="n">
        <f aca="false">Share_Prices!D577/Share_Prices!D576-1</f>
        <v>-0.00833680700291783</v>
      </c>
      <c r="E577" s="14" t="n">
        <f aca="false">Share_Prices!E577/Share_Prices!E576-1</f>
        <v>-0.0296541431445071</v>
      </c>
      <c r="F577" s="14" t="n">
        <f aca="false">Share_Prices!F577/Share_Prices!F576-1</f>
        <v>-0.0306760358614006</v>
      </c>
      <c r="G577" s="14" t="n">
        <f aca="false">Share_Prices!G577/Share_Prices!G576-1</f>
        <v>-0.0162203260961392</v>
      </c>
      <c r="H577" s="14" t="n">
        <f aca="false">Share_Prices!H577/Share_Prices!H576-1</f>
        <v>-0.00372663685357189</v>
      </c>
      <c r="I577" s="14" t="n">
        <f aca="false">Share_Prices!I577/Share_Prices!I576-1</f>
        <v>-0.0440623932597062</v>
      </c>
      <c r="J577" s="14" t="n">
        <f aca="false">Share_Prices!J577/Share_Prices!J576-1</f>
        <v>-0.0092054837817549</v>
      </c>
      <c r="K577" s="14" t="n">
        <f aca="false">Share_Prices!K577/Share_Prices!K576-1</f>
        <v>-0.0101605129466935</v>
      </c>
      <c r="L577" s="14" t="n">
        <f aca="false">Share_Prices!L577/Share_Prices!L576-1</f>
        <v>-0.0199382080329558</v>
      </c>
      <c r="M577" s="14" t="n">
        <f aca="false">Share_Prices!M577/Share_Prices!M576-1</f>
        <v>-0.0324536376604851</v>
      </c>
      <c r="N577" s="14" t="n">
        <f aca="false">Share_Prices!N577/Share_Prices!N576-1</f>
        <v>-0.0295484332181579</v>
      </c>
      <c r="O577" s="14" t="n">
        <f aca="false">Share_Prices!O577/Share_Prices!O576-1</f>
        <v>-0.0220547693438706</v>
      </c>
      <c r="P577" s="14" t="n">
        <f aca="false">Share_Prices!P577/Share_Prices!P576-1</f>
        <v>-0.0286402882747969</v>
      </c>
      <c r="Q577" s="14" t="n">
        <f aca="false">Share_Prices!Q577/Share_Prices!Q576-1</f>
        <v>-0.0171085080147964</v>
      </c>
      <c r="R577" s="14" t="n">
        <f aca="false">Share_Prices!R577/Share_Prices!R576-1</f>
        <v>-0.0233153255615581</v>
      </c>
      <c r="S577" s="14" t="n">
        <f aca="false">Share_Prices!S577/Share_Prices!S576-1</f>
        <v>-0.0231543567196862</v>
      </c>
    </row>
    <row r="578" customFormat="false" ht="15" hidden="false" customHeight="false" outlineLevel="0" collapsed="false">
      <c r="A578" s="13" t="n">
        <f aca="false">Share_Prices!A578</f>
        <v>45649</v>
      </c>
      <c r="B578" s="14" t="n">
        <f aca="false">Share_Prices!B578/Share_Prices!B577-1</f>
        <v>0.00703550609432968</v>
      </c>
      <c r="C578" s="14" t="n">
        <f aca="false">Share_Prices!C578/Share_Prices!C577-1</f>
        <v>0.00416229826966674</v>
      </c>
      <c r="D578" s="14" t="n">
        <f aca="false">Share_Prices!D578/Share_Prices!D577-1</f>
        <v>0.00435356992734048</v>
      </c>
      <c r="E578" s="14" t="n">
        <f aca="false">Share_Prices!E578/Share_Prices!E577-1</f>
        <v>-0.0282867460211316</v>
      </c>
      <c r="F578" s="14" t="n">
        <f aca="false">Share_Prices!F578/Share_Prices!F577-1</f>
        <v>0.000149985001499875</v>
      </c>
      <c r="G578" s="14" t="n">
        <f aca="false">Share_Prices!G578/Share_Prices!G577-1</f>
        <v>0.00171747531129229</v>
      </c>
      <c r="H578" s="14" t="n">
        <f aca="false">Share_Prices!H578/Share_Prices!H577-1</f>
        <v>-0.0298095183288254</v>
      </c>
      <c r="I578" s="14" t="n">
        <f aca="false">Share_Prices!I578/Share_Prices!I577-1</f>
        <v>-0.00678894711767519</v>
      </c>
      <c r="J578" s="14" t="n">
        <f aca="false">Share_Prices!J578/Share_Prices!J577-1</f>
        <v>-0.0402743440465747</v>
      </c>
      <c r="K578" s="14" t="n">
        <f aca="false">Share_Prices!K578/Share_Prices!K577-1</f>
        <v>0.00270511339542923</v>
      </c>
      <c r="L578" s="14" t="n">
        <f aca="false">Share_Prices!L578/Share_Prices!L577-1</f>
        <v>-0.0155100668319953</v>
      </c>
      <c r="M578" s="14" t="n">
        <f aca="false">Share_Prices!M578/Share_Prices!M577-1</f>
        <v>0.0150509890649957</v>
      </c>
      <c r="N578" s="14" t="n">
        <f aca="false">Share_Prices!N578/Share_Prices!N577-1</f>
        <v>0.00208717004297121</v>
      </c>
      <c r="O578" s="14" t="n">
        <f aca="false">Share_Prices!O578/Share_Prices!O577-1</f>
        <v>-0.00338282277767354</v>
      </c>
      <c r="P578" s="14" t="n">
        <f aca="false">Share_Prices!P578/Share_Prices!P577-1</f>
        <v>-0.00390239202177622</v>
      </c>
      <c r="Q578" s="14" t="n">
        <f aca="false">Share_Prices!Q578/Share_Prices!Q577-1</f>
        <v>-0.00172494903559672</v>
      </c>
      <c r="R578" s="14" t="n">
        <f aca="false">Share_Prices!R578/Share_Prices!R577-1</f>
        <v>0.00625909752547305</v>
      </c>
      <c r="S578" s="14" t="n">
        <f aca="false">Share_Prices!S578/Share_Prices!S577-1</f>
        <v>0.00196368059779295</v>
      </c>
    </row>
    <row r="579" customFormat="false" ht="15" hidden="false" customHeight="false" outlineLevel="0" collapsed="false">
      <c r="A579" s="13" t="n">
        <f aca="false">Share_Prices!A579</f>
        <v>45650</v>
      </c>
      <c r="B579" s="14" t="n">
        <f aca="false">Share_Prices!B579/Share_Prices!B578-1</f>
        <v>-0.00108615801073109</v>
      </c>
      <c r="C579" s="14" t="n">
        <f aca="false">Share_Prices!C579/Share_Prices!C578-1</f>
        <v>-0.000428336226090065</v>
      </c>
      <c r="D579" s="14" t="n">
        <f aca="false">Share_Prices!D579/Share_Prices!D578-1</f>
        <v>-0.0020926130758423</v>
      </c>
      <c r="E579" s="14" t="n">
        <f aca="false">Share_Prices!E579/Share_Prices!E578-1</f>
        <v>-0.000481728717913299</v>
      </c>
      <c r="F579" s="14" t="n">
        <f aca="false">Share_Prices!F579/Share_Prices!F578-1</f>
        <v>0.00354911272181946</v>
      </c>
      <c r="G579" s="14" t="n">
        <f aca="false">Share_Prices!G579/Share_Prices!G578-1</f>
        <v>0.00308615516502342</v>
      </c>
      <c r="H579" s="14" t="n">
        <f aca="false">Share_Prices!H579/Share_Prices!H578-1</f>
        <v>0.0045079779346342</v>
      </c>
      <c r="I579" s="14" t="n">
        <f aca="false">Share_Prices!I579/Share_Prices!I578-1</f>
        <v>-0.00539633049526322</v>
      </c>
      <c r="J579" s="14" t="n">
        <f aca="false">Share_Prices!J579/Share_Prices!J578-1</f>
        <v>-0.00540136280538472</v>
      </c>
      <c r="K579" s="14" t="n">
        <f aca="false">Share_Prices!K579/Share_Prices!K578-1</f>
        <v>-0.00853093009012163</v>
      </c>
      <c r="L579" s="14" t="n">
        <f aca="false">Share_Prices!L579/Share_Prices!L578-1</f>
        <v>0.0122534369396294</v>
      </c>
      <c r="M579" s="14" t="n">
        <f aca="false">Share_Prices!M579/Share_Prices!M578-1</f>
        <v>0.000544695273255513</v>
      </c>
      <c r="N579" s="14" t="n">
        <f aca="false">Share_Prices!N579/Share_Prices!N578-1</f>
        <v>0.0159274687576574</v>
      </c>
      <c r="O579" s="14" t="n">
        <f aca="false">Share_Prices!O579/Share_Prices!O578-1</f>
        <v>-0.00414859513482924</v>
      </c>
      <c r="P579" s="14" t="n">
        <f aca="false">Share_Prices!P579/Share_Prices!P578-1</f>
        <v>-0.0157432710212572</v>
      </c>
      <c r="Q579" s="14" t="n">
        <f aca="false">Share_Prices!Q579/Share_Prices!Q578-1</f>
        <v>0.0114671693371033</v>
      </c>
      <c r="R579" s="14" t="n">
        <f aca="false">Share_Prices!R579/Share_Prices!R578-1</f>
        <v>0.0066541299001881</v>
      </c>
      <c r="S579" s="14" t="n">
        <f aca="false">Share_Prices!S579/Share_Prices!S578-1</f>
        <v>1.73436470221056E-005</v>
      </c>
    </row>
    <row r="580" customFormat="false" ht="15" hidden="false" customHeight="false" outlineLevel="0" collapsed="false">
      <c r="A580" s="13" t="n">
        <f aca="false">Share_Prices!A580</f>
        <v>45652</v>
      </c>
      <c r="B580" s="14" t="n">
        <f aca="false">Share_Prices!B580/Share_Prices!B579-1</f>
        <v>0.000950368030546711</v>
      </c>
      <c r="C580" s="14" t="n">
        <f aca="false">Share_Prices!C580/Share_Prices!C579-1</f>
        <v>0.00123422623165959</v>
      </c>
      <c r="D580" s="14" t="n">
        <f aca="false">Share_Prices!D580/Share_Prices!D579-1</f>
        <v>-0.003085587609718</v>
      </c>
      <c r="E580" s="14" t="n">
        <f aca="false">Share_Prices!E580/Share_Prices!E579-1</f>
        <v>-0.00309832002203247</v>
      </c>
      <c r="F580" s="14" t="n">
        <f aca="false">Share_Prices!F580/Share_Prices!F579-1</f>
        <v>-0.00124526798166968</v>
      </c>
      <c r="G580" s="14" t="n">
        <f aca="false">Share_Prices!G580/Share_Prices!G579-1</f>
        <v>0.00538415520041036</v>
      </c>
      <c r="H580" s="14" t="n">
        <f aca="false">Share_Prices!H580/Share_Prices!H579-1</f>
        <v>0.00431059935045752</v>
      </c>
      <c r="I580" s="14" t="n">
        <f aca="false">Share_Prices!I580/Share_Prices!I579-1</f>
        <v>0.00204967446346771</v>
      </c>
      <c r="J580" s="14" t="n">
        <f aca="false">Share_Prices!J580/Share_Prices!J579-1</f>
        <v>-0.0120310802907512</v>
      </c>
      <c r="K580" s="14" t="n">
        <f aca="false">Share_Prices!K580/Share_Prices!K579-1</f>
        <v>0.00111782788392234</v>
      </c>
      <c r="L580" s="14" t="n">
        <f aca="false">Share_Prices!L580/Share_Prices!L579-1</f>
        <v>0.00328988991522206</v>
      </c>
      <c r="M580" s="14" t="n">
        <f aca="false">Share_Prices!M580/Share_Prices!M579-1</f>
        <v>0.0101016210984757</v>
      </c>
      <c r="N580" s="14" t="n">
        <f aca="false">Share_Prices!N580/Share_Prices!N579-1</f>
        <v>-0.011456825856247</v>
      </c>
      <c r="O580" s="14" t="n">
        <f aca="false">Share_Prices!O580/Share_Prices!O579-1</f>
        <v>0.00587010035978031</v>
      </c>
      <c r="P580" s="14" t="n">
        <f aca="false">Share_Prices!P580/Share_Prices!P579-1</f>
        <v>0.0135135135135136</v>
      </c>
      <c r="Q580" s="14" t="n">
        <f aca="false">Share_Prices!Q580/Share_Prices!Q579-1</f>
        <v>-0.0046591085572294</v>
      </c>
      <c r="R580" s="14" t="n">
        <f aca="false">Share_Prices!R580/Share_Prices!R579-1</f>
        <v>-0.0239977008190831</v>
      </c>
      <c r="S580" s="14" t="n">
        <f aca="false">Share_Prices!S580/Share_Prices!S579-1</f>
        <v>0.0152448013319688</v>
      </c>
    </row>
    <row r="581" customFormat="false" ht="15" hidden="false" customHeight="false" outlineLevel="0" collapsed="false">
      <c r="A581" s="13" t="n">
        <f aca="false">Share_Prices!A581</f>
        <v>45653</v>
      </c>
      <c r="B581" s="14" t="n">
        <f aca="false">Share_Prices!B581/Share_Prices!B580-1</f>
        <v>0.00266103022290332</v>
      </c>
      <c r="C581" s="14" t="n">
        <f aca="false">Share_Prices!C581/Share_Prices!C580-1</f>
        <v>0.000662049410731447</v>
      </c>
      <c r="D581" s="14" t="n">
        <f aca="false">Share_Prices!D581/Share_Prices!D580-1</f>
        <v>-0.00141234449185657</v>
      </c>
      <c r="E581" s="14" t="n">
        <f aca="false">Share_Prices!E581/Share_Prices!E580-1</f>
        <v>0.0367428689826643</v>
      </c>
      <c r="F581" s="14" t="n">
        <f aca="false">Share_Prices!F581/Share_Prices!F580-1</f>
        <v>0.0272804348910281</v>
      </c>
      <c r="G581" s="14" t="n">
        <f aca="false">Share_Prices!G581/Share_Prices!G580-1</f>
        <v>0.014280856851411</v>
      </c>
      <c r="H581" s="14" t="n">
        <f aca="false">Share_Prices!H581/Share_Prices!H580-1</f>
        <v>0.000705550329256788</v>
      </c>
      <c r="I581" s="14" t="n">
        <f aca="false">Share_Prices!I581/Share_Prices!I580-1</f>
        <v>-0.00878353988689695</v>
      </c>
      <c r="J581" s="14" t="n">
        <f aca="false">Share_Prices!J581/Share_Prices!J580-1</f>
        <v>0.0881606765327696</v>
      </c>
      <c r="K581" s="14" t="n">
        <f aca="false">Share_Prices!K581/Share_Prices!K580-1</f>
        <v>0.0135017997502389</v>
      </c>
      <c r="L581" s="14" t="n">
        <f aca="false">Share_Prices!L581/Share_Prices!L580-1</f>
        <v>0.00378357926598572</v>
      </c>
      <c r="M581" s="14" t="n">
        <f aca="false">Share_Prices!M581/Share_Prices!M580-1</f>
        <v>0.00562907958560377</v>
      </c>
      <c r="N581" s="14" t="n">
        <f aca="false">Share_Prices!N581/Share_Prices!N580-1</f>
        <v>0.00573380505062815</v>
      </c>
      <c r="O581" s="14" t="n">
        <f aca="false">Share_Prices!O581/Share_Prices!O580-1</f>
        <v>0.00527108433734935</v>
      </c>
      <c r="P581" s="14" t="n">
        <f aca="false">Share_Prices!P581/Share_Prices!P580-1</f>
        <v>0.00344242424242425</v>
      </c>
      <c r="Q581" s="14" t="n">
        <f aca="false">Share_Prices!Q581/Share_Prices!Q580-1</f>
        <v>0.000624122327976151</v>
      </c>
      <c r="R581" s="14" t="n">
        <f aca="false">Share_Prices!R581/Share_Prices!R580-1</f>
        <v>-0.00574204946996482</v>
      </c>
      <c r="S581" s="14" t="n">
        <f aca="false">Share_Prices!S581/Share_Prices!S580-1</f>
        <v>-0.00956643547780933</v>
      </c>
    </row>
    <row r="582" customFormat="false" ht="15" hidden="false" customHeight="false" outlineLevel="0" collapsed="false">
      <c r="A582" s="13" t="n">
        <f aca="false">Share_Prices!A582</f>
        <v>45656</v>
      </c>
      <c r="B582" s="14" t="n">
        <f aca="false">Share_Prices!B582/Share_Prices!B581-1</f>
        <v>-0.00707584805193717</v>
      </c>
      <c r="C582" s="14" t="n">
        <f aca="false">Share_Prices!C582/Share_Prices!C581-1</f>
        <v>-0.00392288774437288</v>
      </c>
      <c r="D582" s="14" t="n">
        <f aca="false">Share_Prices!D582/Share_Prices!D581-1</f>
        <v>-0.00147452679726767</v>
      </c>
      <c r="E582" s="14" t="n">
        <f aca="false">Share_Prices!E582/Share_Prices!E581-1</f>
        <v>0.00499633602025185</v>
      </c>
      <c r="F582" s="14" t="n">
        <f aca="false">Share_Prices!F582/Share_Prices!F581-1</f>
        <v>0.0207301679774734</v>
      </c>
      <c r="G582" s="14" t="n">
        <f aca="false">Share_Prices!G582/Share_Prices!G581-1</f>
        <v>-0.00972175662085162</v>
      </c>
      <c r="H582" s="14" t="n">
        <f aca="false">Share_Prices!H582/Share_Prices!H581-1</f>
        <v>0.0219741480611046</v>
      </c>
      <c r="I582" s="14" t="n">
        <f aca="false">Share_Prices!I582/Share_Prices!I581-1</f>
        <v>-0.00194221898519042</v>
      </c>
      <c r="J582" s="14" t="n">
        <f aca="false">Share_Prices!J582/Share_Prices!J581-1</f>
        <v>-0.0616669904798911</v>
      </c>
      <c r="K582" s="14" t="n">
        <f aca="false">Share_Prices!K582/Share_Prices!K581-1</f>
        <v>-0.00282674243302805</v>
      </c>
      <c r="L582" s="14" t="n">
        <f aca="false">Share_Prices!L582/Share_Prices!L581-1</f>
        <v>0.0155379654060395</v>
      </c>
      <c r="M582" s="14" t="n">
        <f aca="false">Share_Prices!M582/Share_Prices!M581-1</f>
        <v>0.0828916810575835</v>
      </c>
      <c r="N582" s="14" t="n">
        <f aca="false">Share_Prices!N582/Share_Prices!N581-1</f>
        <v>0.00194080543425534</v>
      </c>
      <c r="O582" s="14" t="n">
        <f aca="false">Share_Prices!O582/Share_Prices!O581-1</f>
        <v>-0.0108614232209737</v>
      </c>
      <c r="P582" s="14" t="n">
        <f aca="false">Share_Prices!P582/Share_Prices!P581-1</f>
        <v>0.0154136064940085</v>
      </c>
      <c r="Q582" s="14" t="n">
        <f aca="false">Share_Prices!Q582/Share_Prices!Q581-1</f>
        <v>-0.0165289256198345</v>
      </c>
      <c r="R582" s="14" t="n">
        <f aca="false">Share_Prices!R582/Share_Prices!R581-1</f>
        <v>-0.00858877535909963</v>
      </c>
      <c r="S582" s="14" t="n">
        <f aca="false">Share_Prices!S582/Share_Prices!S581-1</f>
        <v>0.00693366449342858</v>
      </c>
    </row>
    <row r="583" customFormat="false" ht="15" hidden="false" customHeight="false" outlineLevel="0" collapsed="false">
      <c r="A583" s="13" t="n">
        <f aca="false">Share_Prices!A583</f>
        <v>45657</v>
      </c>
      <c r="B583" s="14" t="n">
        <f aca="false">Share_Prices!B583/Share_Prices!B582-1</f>
        <v>-4.22924182386097E-006</v>
      </c>
      <c r="C583" s="14" t="n">
        <f aca="false">Share_Prices!C583/Share_Prices!C582-1</f>
        <v>0.00081629366891578</v>
      </c>
      <c r="D583" s="14" t="n">
        <f aca="false">Share_Prices!D583/Share_Prices!D582-1</f>
        <v>0.0123259598577543</v>
      </c>
      <c r="E583" s="14" t="n">
        <f aca="false">Share_Prices!E583/Share_Prices!E582-1</f>
        <v>0.00662866233594062</v>
      </c>
      <c r="F583" s="14" t="n">
        <f aca="false">Share_Prices!F583/Share_Prices!F582-1</f>
        <v>0.00409036860879897</v>
      </c>
      <c r="G583" s="14" t="n">
        <f aca="false">Share_Prices!G583/Share_Prices!G582-1</f>
        <v>0.0122714962762356</v>
      </c>
      <c r="H583" s="14" t="n">
        <f aca="false">Share_Prices!H583/Share_Prices!H582-1</f>
        <v>0.00919857422099568</v>
      </c>
      <c r="I583" s="14" t="n">
        <f aca="false">Share_Prices!I583/Share_Prices!I582-1</f>
        <v>-0.00814886888834843</v>
      </c>
      <c r="J583" s="14" t="n">
        <f aca="false">Share_Prices!J583/Share_Prices!J582-1</f>
        <v>0.0250538346861025</v>
      </c>
      <c r="K583" s="14" t="n">
        <f aca="false">Share_Prices!K583/Share_Prices!K582-1</f>
        <v>-0.00947825960546012</v>
      </c>
      <c r="L583" s="14" t="n">
        <f aca="false">Share_Prices!L583/Share_Prices!L582-1</f>
        <v>-0.0218162322665787</v>
      </c>
      <c r="M583" s="14" t="n">
        <f aca="false">Share_Prices!M583/Share_Prices!M582-1</f>
        <v>-0.0249656310145725</v>
      </c>
      <c r="N583" s="14" t="n">
        <f aca="false">Share_Prices!N583/Share_Prices!N582-1</f>
        <v>0.00121065375302654</v>
      </c>
      <c r="O583" s="14" t="n">
        <f aca="false">Share_Prices!O583/Share_Prices!O582-1</f>
        <v>0.00321847784929941</v>
      </c>
      <c r="P583" s="14" t="n">
        <f aca="false">Share_Prices!P583/Share_Prices!P582-1</f>
        <v>0.0164882226980729</v>
      </c>
      <c r="Q583" s="14" t="n">
        <f aca="false">Share_Prices!Q583/Share_Prices!Q582-1</f>
        <v>-0.00317107975265574</v>
      </c>
      <c r="R583" s="14" t="n">
        <f aca="false">Share_Prices!R583/Share_Prices!R582-1</f>
        <v>-0.00843913368185212</v>
      </c>
      <c r="S583" s="14" t="n">
        <f aca="false">Share_Prices!S583/Share_Prices!S582-1</f>
        <v>-0.0102261048304212</v>
      </c>
    </row>
    <row r="584" customFormat="false" ht="15" hidden="false" customHeight="false" outlineLevel="0" collapsed="false">
      <c r="A584" s="13" t="n">
        <f aca="false">Share_Prices!A584</f>
        <v>45658</v>
      </c>
      <c r="B584" s="14" t="n">
        <f aca="false">Share_Prices!B584/Share_Prices!B583-1</f>
        <v>0.00414890377588306</v>
      </c>
      <c r="C584" s="14" t="n">
        <f aca="false">Share_Prices!C584/Share_Prices!C583-1</f>
        <v>0.00475522225300984</v>
      </c>
      <c r="D584" s="14" t="n">
        <f aca="false">Share_Prices!D584/Share_Prices!D583-1</f>
        <v>-0.00101217588044422</v>
      </c>
      <c r="E584" s="14" t="n">
        <f aca="false">Share_Prices!E584/Share_Prices!E583-1</f>
        <v>-0.0381272224417225</v>
      </c>
      <c r="F584" s="14" t="n">
        <f aca="false">Share_Prices!F584/Share_Prices!F583-1</f>
        <v>-0.0099947894462602</v>
      </c>
      <c r="G584" s="14" t="n">
        <f aca="false">Share_Prices!G584/Share_Prices!G583-1</f>
        <v>0.00376222723852515</v>
      </c>
      <c r="H584" s="14" t="n">
        <f aca="false">Share_Prices!H584/Share_Prices!H583-1</f>
        <v>0.0346359804033269</v>
      </c>
      <c r="I584" s="14" t="n">
        <f aca="false">Share_Prices!I584/Share_Prices!I583-1</f>
        <v>0.0608215818516249</v>
      </c>
      <c r="J584" s="14" t="n">
        <f aca="false">Share_Prices!J584/Share_Prices!J583-1</f>
        <v>0.0452470407627359</v>
      </c>
      <c r="K584" s="14" t="n">
        <f aca="false">Share_Prices!K584/Share_Prices!K583-1</f>
        <v>0.0164668241924359</v>
      </c>
      <c r="L584" s="14" t="n">
        <f aca="false">Share_Prices!L584/Share_Prices!L583-1</f>
        <v>-0.0013491293899407</v>
      </c>
      <c r="M584" s="14" t="n">
        <f aca="false">Share_Prices!M584/Share_Prices!M583-1</f>
        <v>0.00490666065083745</v>
      </c>
      <c r="N584" s="14" t="n">
        <f aca="false">Share_Prices!N584/Share_Prices!N583-1</f>
        <v>0.0114873035066505</v>
      </c>
      <c r="O584" s="14" t="n">
        <f aca="false">Share_Prices!O584/Share_Prices!O583-1</f>
        <v>0.00226457822230608</v>
      </c>
      <c r="P584" s="14" t="n">
        <f aca="false">Share_Prices!P584/Share_Prices!P583-1</f>
        <v>0.0369356084544625</v>
      </c>
      <c r="Q584" s="14" t="n">
        <f aca="false">Share_Prices!Q584/Share_Prices!Q583-1</f>
        <v>-0.000795291872117021</v>
      </c>
      <c r="R584" s="14" t="n">
        <f aca="false">Share_Prices!R584/Share_Prices!R583-1</f>
        <v>0.0210137832341641</v>
      </c>
      <c r="S584" s="14" t="n">
        <f aca="false">Share_Prices!S584/Share_Prices!S583-1</f>
        <v>0.0102106155789765</v>
      </c>
    </row>
    <row r="585" customFormat="false" ht="15" hidden="false" customHeight="false" outlineLevel="0" collapsed="false">
      <c r="A585" s="13" t="n">
        <f aca="false">Share_Prices!A585</f>
        <v>45659</v>
      </c>
      <c r="B585" s="14" t="n">
        <f aca="false">Share_Prices!B585/Share_Prices!B584-1</f>
        <v>0.0187740335005413</v>
      </c>
      <c r="C585" s="14" t="n">
        <f aca="false">Share_Prices!C585/Share_Prices!C584-1</f>
        <v>0.0150321593466716</v>
      </c>
      <c r="D585" s="14" t="n">
        <f aca="false">Share_Prices!D585/Share_Prices!D584-1</f>
        <v>0.0106088148523409</v>
      </c>
      <c r="E585" s="14" t="n">
        <f aca="false">Share_Prices!E585/Share_Prices!E584-1</f>
        <v>-0.00123228589032653</v>
      </c>
      <c r="F585" s="14" t="n">
        <f aca="false">Share_Prices!F585/Share_Prices!F584-1</f>
        <v>0.0298086124401915</v>
      </c>
      <c r="G585" s="14" t="n">
        <f aca="false">Share_Prices!G585/Share_Prices!G584-1</f>
        <v>0.00957854406130276</v>
      </c>
      <c r="H585" s="14" t="n">
        <f aca="false">Share_Prices!H585/Share_Prices!H584-1</f>
        <v>0.0183900451492125</v>
      </c>
      <c r="I585" s="14" t="n">
        <f aca="false">Share_Prices!I585/Share_Prices!I584-1</f>
        <v>0.015951913073633</v>
      </c>
      <c r="J585" s="14" t="n">
        <f aca="false">Share_Prices!J585/Share_Prices!J584-1</f>
        <v>-0.00405828469833414</v>
      </c>
      <c r="K585" s="14" t="n">
        <f aca="false">Share_Prices!K585/Share_Prices!K584-1</f>
        <v>0.0654499776202371</v>
      </c>
      <c r="L585" s="14" t="n">
        <f aca="false">Share_Prices!L585/Share_Prices!L584-1</f>
        <v>0.0735846666948117</v>
      </c>
      <c r="M585" s="14" t="n">
        <f aca="false">Share_Prices!M585/Share_Prices!M584-1</f>
        <v>0.0715568526209451</v>
      </c>
      <c r="N585" s="14" t="n">
        <f aca="false">Share_Prices!N585/Share_Prices!N584-1</f>
        <v>0.031679617453676</v>
      </c>
      <c r="O585" s="14" t="n">
        <f aca="false">Share_Prices!O585/Share_Prices!O584-1</f>
        <v>0.0382225569572585</v>
      </c>
      <c r="P585" s="14" t="n">
        <f aca="false">Share_Prices!P585/Share_Prices!P584-1</f>
        <v>0.0188934787025123</v>
      </c>
      <c r="Q585" s="14" t="n">
        <f aca="false">Share_Prices!Q585/Share_Prices!Q584-1</f>
        <v>0.0234001910219674</v>
      </c>
      <c r="R585" s="14" t="n">
        <f aca="false">Share_Prices!R585/Share_Prices!R584-1</f>
        <v>0.0367365004426086</v>
      </c>
      <c r="S585" s="14" t="n">
        <f aca="false">Share_Prices!S585/Share_Prices!S584-1</f>
        <v>0.0484470560019186</v>
      </c>
    </row>
    <row r="586" customFormat="false" ht="15" hidden="false" customHeight="false" outlineLevel="0" collapsed="false">
      <c r="A586" s="13" t="n">
        <f aca="false">Share_Prices!A586</f>
        <v>45660</v>
      </c>
      <c r="B586" s="14" t="n">
        <f aca="false">Share_Prices!B586/Share_Prices!B585-1</f>
        <v>-0.00760273930128397</v>
      </c>
      <c r="C586" s="14" t="n">
        <f aca="false">Share_Prices!C586/Share_Prices!C585-1</f>
        <v>-0.0048905005532488</v>
      </c>
      <c r="D586" s="14" t="n">
        <f aca="false">Share_Prices!D586/Share_Prices!D585-1</f>
        <v>0.00336154277120859</v>
      </c>
      <c r="E586" s="14" t="n">
        <f aca="false">Share_Prices!E586/Share_Prices!E585-1</f>
        <v>-0.0113784358078005</v>
      </c>
      <c r="F586" s="14" t="n">
        <f aca="false">Share_Prices!F586/Share_Prices!F585-1</f>
        <v>-0.0075268317613717</v>
      </c>
      <c r="G586" s="14" t="n">
        <f aca="false">Share_Prices!G586/Share_Prices!G585-1</f>
        <v>0.0056100981767182</v>
      </c>
      <c r="H586" s="14" t="n">
        <f aca="false">Share_Prices!H586/Share_Prices!H585-1</f>
        <v>0.0020004325259515</v>
      </c>
      <c r="I586" s="14" t="n">
        <f aca="false">Share_Prices!I586/Share_Prices!I585-1</f>
        <v>-0.00830583684150643</v>
      </c>
      <c r="J586" s="14" t="n">
        <f aca="false">Share_Prices!J586/Share_Prices!J585-1</f>
        <v>-0.0285237503880782</v>
      </c>
      <c r="K586" s="14" t="n">
        <f aca="false">Share_Prices!K586/Share_Prices!K585-1</f>
        <v>0.00243928881179545</v>
      </c>
      <c r="L586" s="14" t="n">
        <f aca="false">Share_Prices!L586/Share_Prices!L585-1</f>
        <v>0.0383405426661423</v>
      </c>
      <c r="M586" s="14" t="n">
        <f aca="false">Share_Prices!M586/Share_Prices!M585-1</f>
        <v>-0.021054836851202</v>
      </c>
      <c r="N586" s="14" t="n">
        <f aca="false">Share_Prices!N586/Share_Prices!N585-1</f>
        <v>-0.0243337195828505</v>
      </c>
      <c r="O586" s="14" t="n">
        <f aca="false">Share_Prices!O586/Share_Prices!O585-1</f>
        <v>0.00272034820457012</v>
      </c>
      <c r="P586" s="14" t="n">
        <f aca="false">Share_Prices!P586/Share_Prices!P585-1</f>
        <v>-0.00870663299215746</v>
      </c>
      <c r="Q586" s="14" t="n">
        <f aca="false">Share_Prices!Q586/Share_Prices!Q585-1</f>
        <v>-0.00575517187743024</v>
      </c>
      <c r="R586" s="14" t="n">
        <f aca="false">Share_Prices!R586/Share_Prices!R585-1</f>
        <v>0.0296712679664151</v>
      </c>
      <c r="S586" s="14" t="n">
        <f aca="false">Share_Prices!S586/Share_Prices!S585-1</f>
        <v>-0.00382346693681479</v>
      </c>
    </row>
    <row r="587" customFormat="false" ht="15" hidden="false" customHeight="false" outlineLevel="0" collapsed="false">
      <c r="A587" s="13" t="n">
        <f aca="false">Share_Prices!A587</f>
        <v>45663</v>
      </c>
      <c r="B587" s="14" t="n">
        <f aca="false">Share_Prices!B587/Share_Prices!B586-1</f>
        <v>-0.0161926285422677</v>
      </c>
      <c r="C587" s="14" t="n">
        <f aca="false">Share_Prices!C587/Share_Prices!C586-1</f>
        <v>-0.0212588872277134</v>
      </c>
      <c r="D587" s="14" t="n">
        <f aca="false">Share_Prices!D587/Share_Prices!D586-1</f>
        <v>-0.00608340435536481</v>
      </c>
      <c r="E587" s="14" t="n">
        <f aca="false">Share_Prices!E587/Share_Prices!E586-1</f>
        <v>-0.0324481730569229</v>
      </c>
      <c r="F587" s="14" t="n">
        <f aca="false">Share_Prices!F587/Share_Prices!F586-1</f>
        <v>-0.0293993726885444</v>
      </c>
      <c r="G587" s="14" t="n">
        <f aca="false">Share_Prices!G587/Share_Prices!G586-1</f>
        <v>-0.0248584789564362</v>
      </c>
      <c r="H587" s="14" t="n">
        <f aca="false">Share_Prices!H587/Share_Prices!H586-1</f>
        <v>-0.0318351049479307</v>
      </c>
      <c r="I587" s="14" t="n">
        <f aca="false">Share_Prices!I587/Share_Prices!I586-1</f>
        <v>-0.049678751720973</v>
      </c>
      <c r="J587" s="14" t="n">
        <f aca="false">Share_Prices!J587/Share_Prices!J586-1</f>
        <v>-0.0316382375264652</v>
      </c>
      <c r="K587" s="14" t="n">
        <f aca="false">Share_Prices!K587/Share_Prices!K586-1</f>
        <v>-0.0078137673714378</v>
      </c>
      <c r="L587" s="14" t="n">
        <f aca="false">Share_Prices!L587/Share_Prices!L586-1</f>
        <v>-0.0197311115319068</v>
      </c>
      <c r="M587" s="14" t="n">
        <f aca="false">Share_Prices!M587/Share_Prices!M586-1</f>
        <v>-0.0249317853512385</v>
      </c>
      <c r="N587" s="14" t="n">
        <f aca="false">Share_Prices!N587/Share_Prices!N586-1</f>
        <v>-0.0393111638954869</v>
      </c>
      <c r="O587" s="14" t="n">
        <f aca="false">Share_Prices!O587/Share_Prices!O586-1</f>
        <v>-0.019714234038705</v>
      </c>
      <c r="P587" s="14" t="n">
        <f aca="false">Share_Prices!P587/Share_Prices!P586-1</f>
        <v>-0.0229969829031176</v>
      </c>
      <c r="Q587" s="14" t="n">
        <f aca="false">Share_Prices!Q587/Share_Prices!Q586-1</f>
        <v>-0.0197121401752191</v>
      </c>
      <c r="R587" s="14" t="n">
        <f aca="false">Share_Prices!R587/Share_Prices!R586-1</f>
        <v>0.00960541773201573</v>
      </c>
      <c r="S587" s="14" t="n">
        <f aca="false">Share_Prices!S587/Share_Prices!S586-1</f>
        <v>-0.0258500500270638</v>
      </c>
    </row>
    <row r="588" customFormat="false" ht="15" hidden="false" customHeight="false" outlineLevel="0" collapsed="false">
      <c r="A588" s="13" t="n">
        <f aca="false">Share_Prices!A588</f>
        <v>45664</v>
      </c>
      <c r="B588" s="14" t="n">
        <f aca="false">Share_Prices!B588/Share_Prices!B587-1</f>
        <v>0.00388930409615496</v>
      </c>
      <c r="C588" s="14" t="n">
        <f aca="false">Share_Prices!C588/Share_Prices!C587-1</f>
        <v>0.00523050203820863</v>
      </c>
      <c r="D588" s="14" t="n">
        <f aca="false">Share_Prices!D588/Share_Prices!D587-1</f>
        <v>0.00499704316972216</v>
      </c>
      <c r="E588" s="14" t="n">
        <f aca="false">Share_Prices!E588/Share_Prices!E587-1</f>
        <v>0.024435686134002</v>
      </c>
      <c r="F588" s="14" t="n">
        <f aca="false">Share_Prices!F588/Share_Prices!F587-1</f>
        <v>0.0237785173395069</v>
      </c>
      <c r="G588" s="14" t="n">
        <f aca="false">Share_Prices!G588/Share_Prices!G587-1</f>
        <v>-0.0153962645128722</v>
      </c>
      <c r="H588" s="14" t="n">
        <f aca="false">Share_Prices!H588/Share_Prices!H587-1</f>
        <v>-0.0128741013208493</v>
      </c>
      <c r="I588" s="14" t="n">
        <f aca="false">Share_Prices!I588/Share_Prices!I587-1</f>
        <v>0.00724375226367258</v>
      </c>
      <c r="J588" s="14" t="n">
        <f aca="false">Share_Prices!J588/Share_Prices!J587-1</f>
        <v>0.0224000660038779</v>
      </c>
      <c r="K588" s="14" t="n">
        <f aca="false">Share_Prices!K588/Share_Prices!K587-1</f>
        <v>0.000626754230590887</v>
      </c>
      <c r="L588" s="14" t="n">
        <f aca="false">Share_Prices!L588/Share_Prices!L587-1</f>
        <v>-0.014062741461907</v>
      </c>
      <c r="M588" s="14" t="n">
        <f aca="false">Share_Prices!M588/Share_Prices!M587-1</f>
        <v>-0.000164609053497911</v>
      </c>
      <c r="N588" s="14" t="n">
        <f aca="false">Share_Prices!N588/Share_Prices!N587-1</f>
        <v>0.0419087649894918</v>
      </c>
      <c r="O588" s="14" t="n">
        <f aca="false">Share_Prices!O588/Share_Prices!O587-1</f>
        <v>0.0226937269372693</v>
      </c>
      <c r="P588" s="14" t="n">
        <f aca="false">Share_Prices!P588/Share_Prices!P587-1</f>
        <v>0.0106825876109433</v>
      </c>
      <c r="Q588" s="14" t="n">
        <f aca="false">Share_Prices!Q588/Share_Prices!Q587-1</f>
        <v>0.010533035429301</v>
      </c>
      <c r="R588" s="14" t="n">
        <f aca="false">Share_Prices!R588/Share_Prices!R587-1</f>
        <v>0.00335386721423681</v>
      </c>
      <c r="S588" s="14" t="n">
        <f aca="false">Share_Prices!S588/Share_Prices!S587-1</f>
        <v>-0.00375477765991483</v>
      </c>
    </row>
    <row r="589" customFormat="false" ht="15" hidden="false" customHeight="false" outlineLevel="0" collapsed="false">
      <c r="A589" s="13" t="n">
        <f aca="false">Share_Prices!A589</f>
        <v>45665</v>
      </c>
      <c r="B589" s="14" t="n">
        <f aca="false">Share_Prices!B589/Share_Prices!B588-1</f>
        <v>-0.000799311621864418</v>
      </c>
      <c r="C589" s="14" t="n">
        <f aca="false">Share_Prices!C589/Share_Prices!C588-1</f>
        <v>-0.00491682574921737</v>
      </c>
      <c r="D589" s="14" t="n">
        <f aca="false">Share_Prices!D589/Share_Prices!D588-1</f>
        <v>-0.0110035599752861</v>
      </c>
      <c r="E589" s="14" t="n">
        <f aca="false">Share_Prices!E589/Share_Prices!E588-1</f>
        <v>-0.0131505316172356</v>
      </c>
      <c r="F589" s="14" t="n">
        <f aca="false">Share_Prices!F589/Share_Prices!F588-1</f>
        <v>-0.00621878827852629</v>
      </c>
      <c r="G589" s="14" t="n">
        <f aca="false">Share_Prices!G589/Share_Prices!G588-1</f>
        <v>-0.00393061608134659</v>
      </c>
      <c r="H589" s="14" t="n">
        <f aca="false">Share_Prices!H589/Share_Prices!H588-1</f>
        <v>-0.0132113821138212</v>
      </c>
      <c r="I589" s="14" t="n">
        <f aca="false">Share_Prices!I589/Share_Prices!I588-1</f>
        <v>-0.0152223420831834</v>
      </c>
      <c r="J589" s="14" t="n">
        <f aca="false">Share_Prices!J589/Share_Prices!J588-1</f>
        <v>0.0514444803098773</v>
      </c>
      <c r="K589" s="14" t="n">
        <f aca="false">Share_Prices!K589/Share_Prices!K588-1</f>
        <v>0.00019063180827894</v>
      </c>
      <c r="L589" s="14" t="n">
        <f aca="false">Share_Prices!L589/Share_Prices!L588-1</f>
        <v>-0.000587774294670829</v>
      </c>
      <c r="M589" s="14" t="n">
        <f aca="false">Share_Prices!M589/Share_Prices!M588-1</f>
        <v>0.129513774558226</v>
      </c>
      <c r="N589" s="14" t="n">
        <f aca="false">Share_Prices!N589/Share_Prices!N588-1</f>
        <v>0.031324157570005</v>
      </c>
      <c r="O589" s="14" t="n">
        <f aca="false">Share_Prices!O589/Share_Prices!O588-1</f>
        <v>0.00577304708641546</v>
      </c>
      <c r="P589" s="14" t="n">
        <f aca="false">Share_Prices!P589/Share_Prices!P588-1</f>
        <v>-0.0135572505262206</v>
      </c>
      <c r="Q589" s="14" t="n">
        <f aca="false">Share_Prices!Q589/Share_Prices!Q588-1</f>
        <v>0.016424510423247</v>
      </c>
      <c r="R589" s="14" t="n">
        <f aca="false">Share_Prices!R589/Share_Prices!R588-1</f>
        <v>0.00586670304932113</v>
      </c>
      <c r="S589" s="14" t="n">
        <f aca="false">Share_Prices!S589/Share_Prices!S588-1</f>
        <v>-0.020162925905895</v>
      </c>
    </row>
    <row r="590" customFormat="false" ht="15" hidden="false" customHeight="false" outlineLevel="0" collapsed="false">
      <c r="A590" s="13" t="n">
        <f aca="false">Share_Prices!A590</f>
        <v>45666</v>
      </c>
      <c r="B590" s="14" t="n">
        <f aca="false">Share_Prices!B590/Share_Prices!B589-1</f>
        <v>-0.00685762771249887</v>
      </c>
      <c r="C590" s="14" t="n">
        <f aca="false">Share_Prices!C590/Share_Prices!C589-1</f>
        <v>-0.00833265862413302</v>
      </c>
      <c r="D590" s="14" t="n">
        <f aca="false">Share_Prices!D590/Share_Prices!D589-1</f>
        <v>-0.000594972482522715</v>
      </c>
      <c r="E590" s="14" t="n">
        <f aca="false">Share_Prices!E590/Share_Prices!E589-1</f>
        <v>-0.0174369152254039</v>
      </c>
      <c r="F590" s="14" t="n">
        <f aca="false">Share_Prices!F590/Share_Prices!F589-1</f>
        <v>-0.0129894756802883</v>
      </c>
      <c r="G590" s="14" t="n">
        <f aca="false">Share_Prices!G590/Share_Prices!G589-1</f>
        <v>-0.0161276486231449</v>
      </c>
      <c r="H590" s="14" t="n">
        <f aca="false">Share_Prices!H590/Share_Prices!H589-1</f>
        <v>0.0192813823091886</v>
      </c>
      <c r="I590" s="14" t="n">
        <f aca="false">Share_Prices!I590/Share_Prices!I589-1</f>
        <v>-0.00523369036027277</v>
      </c>
      <c r="J590" s="14" t="n">
        <f aca="false">Share_Prices!J590/Share_Prices!J589-1</f>
        <v>-0.00222571856172538</v>
      </c>
      <c r="K590" s="14" t="n">
        <f aca="false">Share_Prices!K590/Share_Prices!K589-1</f>
        <v>-0.0105916628093773</v>
      </c>
      <c r="L590" s="14" t="n">
        <f aca="false">Share_Prices!L590/Share_Prices!L589-1</f>
        <v>0.0101548715938051</v>
      </c>
      <c r="M590" s="14" t="n">
        <f aca="false">Share_Prices!M590/Share_Prices!M589-1</f>
        <v>-0.0287144106500825</v>
      </c>
      <c r="N590" s="14" t="n">
        <f aca="false">Share_Prices!N590/Share_Prices!N589-1</f>
        <v>-0.0121951219512195</v>
      </c>
      <c r="O590" s="14" t="n">
        <f aca="false">Share_Prices!O590/Share_Prices!O589-1</f>
        <v>0.00358744394618826</v>
      </c>
      <c r="P590" s="14" t="n">
        <f aca="false">Share_Prices!P590/Share_Prices!P589-1</f>
        <v>-0.0202367841409691</v>
      </c>
      <c r="Q590" s="14" t="n">
        <f aca="false">Share_Prices!Q590/Share_Prices!Q589-1</f>
        <v>-0.0259477936606589</v>
      </c>
      <c r="R590" s="14" t="n">
        <f aca="false">Share_Prices!R590/Share_Prices!R589-1</f>
        <v>-0.00888436758223121</v>
      </c>
      <c r="S590" s="14" t="n">
        <f aca="false">Share_Prices!S590/Share_Prices!S589-1</f>
        <v>-0.030668391548081</v>
      </c>
    </row>
    <row r="591" customFormat="false" ht="15" hidden="false" customHeight="false" outlineLevel="0" collapsed="false">
      <c r="A591" s="13" t="n">
        <f aca="false">Share_Prices!A591</f>
        <v>45667</v>
      </c>
      <c r="B591" s="14" t="n">
        <f aca="false">Share_Prices!B591/Share_Prices!B590-1</f>
        <v>-0.00403799970246321</v>
      </c>
      <c r="C591" s="14" t="n">
        <f aca="false">Share_Prices!C591/Share_Prices!C590-1</f>
        <v>-0.0112285142119741</v>
      </c>
      <c r="D591" s="14" t="n">
        <f aca="false">Share_Prices!D591/Share_Prices!D590-1</f>
        <v>-0.00726298556332794</v>
      </c>
      <c r="E591" s="14" t="n">
        <f aca="false">Share_Prices!E591/Share_Prices!E590-1</f>
        <v>-0.0198384071562545</v>
      </c>
      <c r="F591" s="14" t="n">
        <f aca="false">Share_Prices!F591/Share_Prices!F590-1</f>
        <v>-0.00413064361191162</v>
      </c>
      <c r="G591" s="14" t="n">
        <f aca="false">Share_Prices!G591/Share_Prices!G590-1</f>
        <v>-0.0323480687069493</v>
      </c>
      <c r="H591" s="14" t="n">
        <f aca="false">Share_Prices!H591/Share_Prices!H590-1</f>
        <v>-0.0397979230985125</v>
      </c>
      <c r="I591" s="14" t="n">
        <f aca="false">Share_Prices!I591/Share_Prices!I590-1</f>
        <v>-0.0152942615930503</v>
      </c>
      <c r="J591" s="14" t="n">
        <f aca="false">Share_Prices!J591/Share_Prices!J590-1</f>
        <v>-0.000461520710741792</v>
      </c>
      <c r="K591" s="14" t="n">
        <f aca="false">Share_Prices!K591/Share_Prices!K590-1</f>
        <v>0.00144476856183595</v>
      </c>
      <c r="L591" s="14" t="n">
        <f aca="false">Share_Prices!L591/Share_Prices!L590-1</f>
        <v>-0.0257335817419656</v>
      </c>
      <c r="M591" s="14" t="n">
        <f aca="false">Share_Prices!M591/Share_Prices!M590-1</f>
        <v>-0.0233605122305036</v>
      </c>
      <c r="N591" s="14" t="n">
        <f aca="false">Share_Prices!N591/Share_Prices!N590-1</f>
        <v>-0.0324947589098532</v>
      </c>
      <c r="O591" s="14" t="n">
        <f aca="false">Share_Prices!O591/Share_Prices!O590-1</f>
        <v>-0.0150134048257372</v>
      </c>
      <c r="P591" s="14" t="n">
        <f aca="false">Share_Prices!P591/Share_Prices!P590-1</f>
        <v>0.000679125099527056</v>
      </c>
      <c r="Q591" s="14" t="n">
        <f aca="false">Share_Prices!Q591/Share_Prices!Q590-1</f>
        <v>-0.016589567714149</v>
      </c>
      <c r="R591" s="14" t="n">
        <f aca="false">Share_Prices!R591/Share_Prices!R590-1</f>
        <v>-0.0111536882441495</v>
      </c>
      <c r="S591" s="14" t="n">
        <f aca="false">Share_Prices!S591/Share_Prices!S590-1</f>
        <v>-0.0533302489456733</v>
      </c>
    </row>
    <row r="592" customFormat="false" ht="15" hidden="false" customHeight="false" outlineLevel="0" collapsed="false">
      <c r="A592" s="13" t="n">
        <f aca="false">Share_Prices!A592</f>
        <v>45670</v>
      </c>
      <c r="B592" s="14" t="n">
        <f aca="false">Share_Prices!B592/Share_Prices!B591-1</f>
        <v>-0.0147472419606085</v>
      </c>
      <c r="C592" s="14" t="n">
        <f aca="false">Share_Prices!C592/Share_Prices!C591-1</f>
        <v>-0.0254851139960548</v>
      </c>
      <c r="D592" s="14" t="n">
        <f aca="false">Share_Prices!D592/Share_Prices!D591-1</f>
        <v>-0.0183202902461695</v>
      </c>
      <c r="E592" s="14" t="n">
        <f aca="false">Share_Prices!E592/Share_Prices!E591-1</f>
        <v>-0.0406270699933761</v>
      </c>
      <c r="F592" s="14" t="n">
        <f aca="false">Share_Prices!F592/Share_Prices!F591-1</f>
        <v>-0.0176521655252243</v>
      </c>
      <c r="G592" s="14" t="n">
        <f aca="false">Share_Prices!G592/Share_Prices!G591-1</f>
        <v>-0.0383852946476841</v>
      </c>
      <c r="H592" s="14" t="n">
        <f aca="false">Share_Prices!H592/Share_Prices!H591-1</f>
        <v>-0.0536653805682217</v>
      </c>
      <c r="I592" s="14" t="n">
        <f aca="false">Share_Prices!I592/Share_Prices!I591-1</f>
        <v>-0.00807654075546715</v>
      </c>
      <c r="J592" s="14" t="n">
        <f aca="false">Share_Prices!J592/Share_Prices!J591-1</f>
        <v>-0.0521759205817846</v>
      </c>
      <c r="K592" s="14" t="n">
        <f aca="false">Share_Prices!K592/Share_Prices!K591-1</f>
        <v>-0.0188098542201948</v>
      </c>
      <c r="L592" s="14" t="n">
        <f aca="false">Share_Prices!L592/Share_Prices!L591-1</f>
        <v>-0.0258953826540775</v>
      </c>
      <c r="M592" s="14" t="n">
        <f aca="false">Share_Prices!M592/Share_Prices!M591-1</f>
        <v>-0.062640852284368</v>
      </c>
      <c r="N592" s="14" t="n">
        <f aca="false">Share_Prices!N592/Share_Prices!N591-1</f>
        <v>-0.054773082942097</v>
      </c>
      <c r="O592" s="14" t="n">
        <f aca="false">Share_Prices!O592/Share_Prices!O591-1</f>
        <v>-0.0448194520050809</v>
      </c>
      <c r="P592" s="14" t="n">
        <f aca="false">Share_Prices!P592/Share_Prices!P591-1</f>
        <v>-0.0187451732933936</v>
      </c>
      <c r="Q592" s="14" t="n">
        <f aca="false">Share_Prices!Q592/Share_Prices!Q591-1</f>
        <v>-0.0194647201946472</v>
      </c>
      <c r="R592" s="14" t="n">
        <f aca="false">Share_Prices!R592/Share_Prices!R591-1</f>
        <v>-0.0124558854058543</v>
      </c>
      <c r="S592" s="14" t="n">
        <f aca="false">Share_Prices!S592/Share_Prices!S591-1</f>
        <v>-0.0204887218045112</v>
      </c>
    </row>
    <row r="593" customFormat="false" ht="15" hidden="false" customHeight="false" outlineLevel="0" collapsed="false">
      <c r="A593" s="13" t="n">
        <f aca="false">Share_Prices!A593</f>
        <v>45671</v>
      </c>
      <c r="B593" s="14" t="n">
        <f aca="false">Share_Prices!B593/Share_Prices!B592-1</f>
        <v>0.0039028066854514</v>
      </c>
      <c r="C593" s="14" t="n">
        <f aca="false">Share_Prices!C593/Share_Prices!C592-1</f>
        <v>0.0111846239664462</v>
      </c>
      <c r="D593" s="14" t="n">
        <f aca="false">Share_Prices!D593/Share_Prices!D592-1</f>
        <v>0.000733048259010438</v>
      </c>
      <c r="E593" s="14" t="n">
        <f aca="false">Share_Prices!E593/Share_Prices!E592-1</f>
        <v>0.029228998849252</v>
      </c>
      <c r="F593" s="14" t="n">
        <f aca="false">Share_Prices!F593/Share_Prices!F592-1</f>
        <v>0.0223389630793402</v>
      </c>
      <c r="G593" s="14" t="n">
        <f aca="false">Share_Prices!G593/Share_Prices!G592-1</f>
        <v>0.0352323838080959</v>
      </c>
      <c r="H593" s="14" t="n">
        <f aca="false">Share_Prices!H593/Share_Prices!H592-1</f>
        <v>0.0389794909809738</v>
      </c>
      <c r="I593" s="14" t="n">
        <f aca="false">Share_Prices!I593/Share_Prices!I592-1</f>
        <v>0.0423399724414382</v>
      </c>
      <c r="J593" s="14" t="n">
        <f aca="false">Share_Prices!J593/Share_Prices!J592-1</f>
        <v>0.0430317054357976</v>
      </c>
      <c r="K593" s="14" t="n">
        <f aca="false">Share_Prices!K593/Share_Prices!K592-1</f>
        <v>0.0257379712093206</v>
      </c>
      <c r="L593" s="14" t="n">
        <f aca="false">Share_Prices!L593/Share_Prices!L592-1</f>
        <v>0.0393848922334465</v>
      </c>
      <c r="M593" s="14" t="n">
        <f aca="false">Share_Prices!M593/Share_Prices!M592-1</f>
        <v>0.0480848041090651</v>
      </c>
      <c r="N593" s="14" t="n">
        <f aca="false">Share_Prices!N593/Share_Prices!N592-1</f>
        <v>0.0240703005603669</v>
      </c>
      <c r="O593" s="14" t="n">
        <f aca="false">Share_Prices!O593/Share_Prices!O592-1</f>
        <v>0.0136778115501521</v>
      </c>
      <c r="P593" s="14" t="n">
        <f aca="false">Share_Prices!P593/Share_Prices!P592-1</f>
        <v>0.0130455521106605</v>
      </c>
      <c r="Q593" s="14" t="n">
        <f aca="false">Share_Prices!Q593/Share_Prices!Q592-1</f>
        <v>0.0218362282878413</v>
      </c>
      <c r="R593" s="14" t="n">
        <f aca="false">Share_Prices!R593/Share_Prices!R592-1</f>
        <v>0.0296405297456381</v>
      </c>
      <c r="S593" s="14" t="n">
        <f aca="false">Share_Prices!S593/Share_Prices!S592-1</f>
        <v>0.0441374016503551</v>
      </c>
    </row>
    <row r="594" customFormat="false" ht="15" hidden="false" customHeight="false" outlineLevel="0" collapsed="false">
      <c r="A594" s="13" t="n">
        <f aca="false">Share_Prices!A594</f>
        <v>45672</v>
      </c>
      <c r="B594" s="14" t="n">
        <f aca="false">Share_Prices!B594/Share_Prices!B593-1</f>
        <v>0.00160294787075466</v>
      </c>
      <c r="C594" s="14" t="n">
        <f aca="false">Share_Prices!C594/Share_Prices!C593-1</f>
        <v>0.00326566904318004</v>
      </c>
      <c r="D594" s="14" t="n">
        <f aca="false">Share_Prices!D594/Share_Prices!D593-1</f>
        <v>0.000122085215480405</v>
      </c>
      <c r="E594" s="14" t="n">
        <f aca="false">Share_Prices!E594/Share_Prices!E593-1</f>
        <v>0.00350327966607034</v>
      </c>
      <c r="F594" s="14" t="n">
        <f aca="false">Share_Prices!F594/Share_Prices!F593-1</f>
        <v>-0.0133506219084667</v>
      </c>
      <c r="G594" s="14" t="n">
        <f aca="false">Share_Prices!G594/Share_Prices!G593-1</f>
        <v>0.000995655322230338</v>
      </c>
      <c r="H594" s="14" t="n">
        <f aca="false">Share_Prices!H594/Share_Prices!H593-1</f>
        <v>0.0186099054640585</v>
      </c>
      <c r="I594" s="14" t="n">
        <f aca="false">Share_Prices!I594/Share_Prices!I593-1</f>
        <v>-0.00372551376036534</v>
      </c>
      <c r="J594" s="14" t="n">
        <f aca="false">Share_Prices!J594/Share_Prices!J593-1</f>
        <v>0.00548787607519552</v>
      </c>
      <c r="K594" s="14" t="n">
        <f aca="false">Share_Prices!K594/Share_Prices!K593-1</f>
        <v>-0.0214880546075086</v>
      </c>
      <c r="L594" s="14" t="n">
        <f aca="false">Share_Prices!L594/Share_Prices!L593-1</f>
        <v>-0.0132604076493272</v>
      </c>
      <c r="M594" s="14" t="n">
        <f aca="false">Share_Prices!M594/Share_Prices!M593-1</f>
        <v>-0.0609457275428809</v>
      </c>
      <c r="N594" s="14" t="n">
        <f aca="false">Share_Prices!N594/Share_Prices!N593-1</f>
        <v>-0.0218878248974008</v>
      </c>
      <c r="O594" s="14" t="n">
        <f aca="false">Share_Prices!O594/Share_Prices!O593-1</f>
        <v>0.00393553223388321</v>
      </c>
      <c r="P594" s="14" t="n">
        <f aca="false">Share_Prices!P594/Share_Prices!P593-1</f>
        <v>0.0262259575770418</v>
      </c>
      <c r="Q594" s="14" t="n">
        <f aca="false">Share_Prices!Q594/Share_Prices!Q593-1</f>
        <v>0.00453294479520805</v>
      </c>
      <c r="R594" s="14" t="n">
        <f aca="false">Share_Prices!R594/Share_Prices!R593-1</f>
        <v>0.000680549884306547</v>
      </c>
      <c r="S594" s="14" t="n">
        <f aca="false">Share_Prices!S594/Share_Prices!S593-1</f>
        <v>-0.0200330821540158</v>
      </c>
    </row>
    <row r="595" customFormat="false" ht="15" hidden="false" customHeight="false" outlineLevel="0" collapsed="false">
      <c r="A595" s="13" t="n">
        <f aca="false">Share_Prices!A595</f>
        <v>45673</v>
      </c>
      <c r="B595" s="14" t="n">
        <f aca="false">Share_Prices!B595/Share_Prices!B594-1</f>
        <v>0.0042475832715867</v>
      </c>
      <c r="C595" s="14" t="n">
        <f aca="false">Share_Prices!C595/Share_Prices!C594-1</f>
        <v>0.00757962433646386</v>
      </c>
      <c r="D595" s="14" t="n">
        <f aca="false">Share_Prices!D595/Share_Prices!D594-1</f>
        <v>0.000457763671875</v>
      </c>
      <c r="E595" s="14" t="n">
        <f aca="false">Share_Prices!E595/Share_Prices!E594-1</f>
        <v>0.021466240808141</v>
      </c>
      <c r="F595" s="14" t="n">
        <f aca="false">Share_Prices!F595/Share_Prices!F594-1</f>
        <v>0.0206376247262108</v>
      </c>
      <c r="G595" s="14" t="n">
        <f aca="false">Share_Prices!G595/Share_Prices!G594-1</f>
        <v>0.0226060222443258</v>
      </c>
      <c r="H595" s="14" t="n">
        <f aca="false">Share_Prices!H595/Share_Prices!H594-1</f>
        <v>0.0455288349287883</v>
      </c>
      <c r="I595" s="14" t="n">
        <f aca="false">Share_Prices!I595/Share_Prices!I594-1</f>
        <v>-0.00229191797346195</v>
      </c>
      <c r="J595" s="14" t="n">
        <f aca="false">Share_Prices!J595/Share_Prices!J594-1</f>
        <v>0.0108771386544864</v>
      </c>
      <c r="K595" s="14" t="n">
        <f aca="false">Share_Prices!K595/Share_Prices!K594-1</f>
        <v>0.0114822255706233</v>
      </c>
      <c r="L595" s="14" t="n">
        <f aca="false">Share_Prices!L595/Share_Prices!L594-1</f>
        <v>0.0225306057343382</v>
      </c>
      <c r="M595" s="14" t="n">
        <f aca="false">Share_Prices!M595/Share_Prices!M594-1</f>
        <v>0.00605152120808339</v>
      </c>
      <c r="N595" s="14" t="n">
        <f aca="false">Share_Prices!N595/Share_Prices!N594-1</f>
        <v>0.0147488874761603</v>
      </c>
      <c r="O595" s="14" t="n">
        <f aca="false">Share_Prices!O595/Share_Prices!O594-1</f>
        <v>0.00746686578308764</v>
      </c>
      <c r="P595" s="14" t="n">
        <f aca="false">Share_Prices!P595/Share_Prices!P594-1</f>
        <v>0.000206464637195758</v>
      </c>
      <c r="Q595" s="14" t="n">
        <f aca="false">Share_Prices!Q595/Share_Prices!Q594-1</f>
        <v>0.00322320709105561</v>
      </c>
      <c r="R595" s="14" t="n">
        <f aca="false">Share_Prices!R595/Share_Prices!R594-1</f>
        <v>0.0238710554951034</v>
      </c>
      <c r="S595" s="14" t="n">
        <f aca="false">Share_Prices!S595/Share_Prices!S594-1</f>
        <v>0.0255063765941483</v>
      </c>
    </row>
    <row r="596" customFormat="false" ht="15" hidden="false" customHeight="false" outlineLevel="0" collapsed="false">
      <c r="A596" s="13" t="n">
        <f aca="false">Share_Prices!A596</f>
        <v>45674</v>
      </c>
      <c r="B596" s="14" t="n">
        <f aca="false">Share_Prices!B596/Share_Prices!B595-1</f>
        <v>-0.00465858492265714</v>
      </c>
      <c r="C596" s="14" t="n">
        <f aca="false">Share_Prices!C596/Share_Prices!C595-1</f>
        <v>-0.00157958603793307</v>
      </c>
      <c r="D596" s="14" t="n">
        <f aca="false">Share_Prices!D596/Share_Prices!D595-1</f>
        <v>-0.000549065064210152</v>
      </c>
      <c r="E596" s="14" t="n">
        <f aca="false">Share_Prices!E596/Share_Prices!E595-1</f>
        <v>0.0056719022687608</v>
      </c>
      <c r="F596" s="14" t="n">
        <f aca="false">Share_Prices!F596/Share_Prices!F595-1</f>
        <v>-0.0174066479088177</v>
      </c>
      <c r="G596" s="14" t="n">
        <f aca="false">Share_Prices!G596/Share_Prices!G595-1</f>
        <v>-0.00486338314616674</v>
      </c>
      <c r="H596" s="14" t="n">
        <f aca="false">Share_Prices!H596/Share_Prices!H595-1</f>
        <v>0.00926753014738724</v>
      </c>
      <c r="I596" s="14" t="n">
        <f aca="false">Share_Prices!I596/Share_Prices!I595-1</f>
        <v>-0.0102768709950429</v>
      </c>
      <c r="J596" s="14" t="n">
        <f aca="false">Share_Prices!J596/Share_Prices!J595-1</f>
        <v>0.024966494351905</v>
      </c>
      <c r="K596" s="14" t="n">
        <f aca="false">Share_Prices!K596/Share_Prices!K595-1</f>
        <v>-0.0107035959116677</v>
      </c>
      <c r="L596" s="14" t="n">
        <f aca="false">Share_Prices!L596/Share_Prices!L595-1</f>
        <v>-0.0192652679198189</v>
      </c>
      <c r="M596" s="14" t="n">
        <f aca="false">Share_Prices!M596/Share_Prices!M595-1</f>
        <v>0.00540809006125498</v>
      </c>
      <c r="N596" s="14" t="n">
        <f aca="false">Share_Prices!N596/Share_Prices!N595-1</f>
        <v>0.000250595163513223</v>
      </c>
      <c r="O596" s="14" t="n">
        <f aca="false">Share_Prices!O596/Share_Prices!O595-1</f>
        <v>-0.00481749119881425</v>
      </c>
      <c r="P596" s="14" t="n">
        <f aca="false">Share_Prices!P596/Share_Prices!P595-1</f>
        <v>-0.0139449541284404</v>
      </c>
      <c r="Q596" s="14" t="n">
        <f aca="false">Share_Prices!Q596/Share_Prices!Q595-1</f>
        <v>0.00899598393574297</v>
      </c>
      <c r="R596" s="14" t="n">
        <f aca="false">Share_Prices!R596/Share_Prices!R595-1</f>
        <v>-0.015808701428097</v>
      </c>
      <c r="S596" s="14" t="n">
        <f aca="false">Share_Prices!S596/Share_Prices!S595-1</f>
        <v>-0.0371250914411119</v>
      </c>
    </row>
    <row r="597" customFormat="false" ht="15" hidden="false" customHeight="false" outlineLevel="0" collapsed="false">
      <c r="A597" s="13" t="n">
        <f aca="false">Share_Prices!A597</f>
        <v>45677</v>
      </c>
      <c r="B597" s="14" t="n">
        <f aca="false">Share_Prices!B597/Share_Prices!B596-1</f>
        <v>0.0061004516618397</v>
      </c>
      <c r="C597" s="14" t="n">
        <f aca="false">Share_Prices!C597/Share_Prices!C596-1</f>
        <v>0.00593858465654229</v>
      </c>
      <c r="D597" s="14" t="n">
        <f aca="false">Share_Prices!D597/Share_Prices!D596-1</f>
        <v>0.0169998473981383</v>
      </c>
      <c r="E597" s="14" t="n">
        <f aca="false">Share_Prices!E597/Share_Prices!E596-1</f>
        <v>0.0238611713665944</v>
      </c>
      <c r="F597" s="14" t="n">
        <f aca="false">Share_Prices!F597/Share_Prices!F596-1</f>
        <v>0.00776548243059594</v>
      </c>
      <c r="G597" s="14" t="n">
        <f aca="false">Share_Prices!G597/Share_Prices!G596-1</f>
        <v>0.0127954505064865</v>
      </c>
      <c r="H597" s="14" t="n">
        <f aca="false">Share_Prices!H597/Share_Prices!H596-1</f>
        <v>0.00945901095253898</v>
      </c>
      <c r="I597" s="14" t="n">
        <f aca="false">Share_Prices!I597/Share_Prices!I596-1</f>
        <v>0.00952846322990464</v>
      </c>
      <c r="J597" s="14" t="n">
        <f aca="false">Share_Prices!J597/Share_Prices!J596-1</f>
        <v>0.0601113311166737</v>
      </c>
      <c r="K597" s="14" t="n">
        <f aca="false">Share_Prices!K597/Share_Prices!K596-1</f>
        <v>0.0359298969647115</v>
      </c>
      <c r="L597" s="14" t="n">
        <f aca="false">Share_Prices!L597/Share_Prices!L596-1</f>
        <v>-0.00835056465722917</v>
      </c>
      <c r="M597" s="14" t="n">
        <f aca="false">Share_Prices!M597/Share_Prices!M596-1</f>
        <v>0.0972062132938141</v>
      </c>
      <c r="N597" s="14" t="n">
        <f aca="false">Share_Prices!N597/Share_Prices!N596-1</f>
        <v>0.00714017286734325</v>
      </c>
      <c r="O597" s="14" t="n">
        <f aca="false">Share_Prices!O597/Share_Prices!O596-1</f>
        <v>-0.00335133122323605</v>
      </c>
      <c r="P597" s="14" t="n">
        <f aca="false">Share_Prices!P597/Share_Prices!P596-1</f>
        <v>-0.00344250093040566</v>
      </c>
      <c r="Q597" s="14" t="n">
        <f aca="false">Share_Prices!Q597/Share_Prices!Q596-1</f>
        <v>0.0165578729501672</v>
      </c>
      <c r="R597" s="14" t="n">
        <f aca="false">Share_Prices!R597/Share_Prices!R596-1</f>
        <v>0.0278733886751703</v>
      </c>
      <c r="S597" s="14" t="n">
        <f aca="false">Share_Prices!S597/Share_Prices!S596-1</f>
        <v>-0.0186134852801518</v>
      </c>
    </row>
    <row r="598" customFormat="false" ht="15" hidden="false" customHeight="false" outlineLevel="0" collapsed="false">
      <c r="A598" s="13" t="n">
        <f aca="false">Share_Prices!A598</f>
        <v>45678</v>
      </c>
      <c r="B598" s="14" t="n">
        <f aca="false">Share_Prices!B598/Share_Prices!B597-1</f>
        <v>-0.0137118624101779</v>
      </c>
      <c r="C598" s="14" t="n">
        <f aca="false">Share_Prices!C598/Share_Prices!C597-1</f>
        <v>-0.0172314182218349</v>
      </c>
      <c r="D598" s="14" t="n">
        <f aca="false">Share_Prices!D598/Share_Prices!D597-1</f>
        <v>0.0207670608006723</v>
      </c>
      <c r="E598" s="14" t="n">
        <f aca="false">Share_Prices!E598/Share_Prices!E597-1</f>
        <v>-0.0228813559322034</v>
      </c>
      <c r="F598" s="14" t="n">
        <f aca="false">Share_Prices!F598/Share_Prices!F597-1</f>
        <v>-0.0171450587555385</v>
      </c>
      <c r="G598" s="14" t="n">
        <f aca="false">Share_Prices!G598/Share_Prices!G597-1</f>
        <v>-0.0166695911563433</v>
      </c>
      <c r="H598" s="14" t="n">
        <f aca="false">Share_Prices!H598/Share_Prices!H597-1</f>
        <v>-0.015288508959395</v>
      </c>
      <c r="I598" s="14" t="n">
        <f aca="false">Share_Prices!I598/Share_Prices!I597-1</f>
        <v>-0.0323088092933204</v>
      </c>
      <c r="J598" s="14" t="n">
        <f aca="false">Share_Prices!J598/Share_Prices!J597-1</f>
        <v>-0.0035241048773611</v>
      </c>
      <c r="K598" s="14" t="n">
        <f aca="false">Share_Prices!K598/Share_Prices!K597-1</f>
        <v>-0.0199596231493944</v>
      </c>
      <c r="L598" s="14" t="n">
        <f aca="false">Share_Prices!L598/Share_Prices!L597-1</f>
        <v>-0.00513272916833751</v>
      </c>
      <c r="M598" s="14" t="n">
        <f aca="false">Share_Prices!M598/Share_Prices!M597-1</f>
        <v>-0.0400200100050026</v>
      </c>
      <c r="N598" s="14" t="n">
        <f aca="false">Share_Prices!N598/Share_Prices!N597-1</f>
        <v>-0.027363184079602</v>
      </c>
      <c r="O598" s="14" t="n">
        <f aca="false">Share_Prices!O598/Share_Prices!O597-1</f>
        <v>-0.00896693442929186</v>
      </c>
      <c r="P598" s="14" t="n">
        <f aca="false">Share_Prices!P598/Share_Prices!P597-1</f>
        <v>0.0106666044253574</v>
      </c>
      <c r="Q598" s="14" t="n">
        <f aca="false">Share_Prices!Q598/Share_Prices!Q597-1</f>
        <v>0.0144087705559908</v>
      </c>
      <c r="R598" s="14" t="n">
        <f aca="false">Share_Prices!R598/Share_Prices!R597-1</f>
        <v>0.00144451739986873</v>
      </c>
      <c r="S598" s="14" t="n">
        <f aca="false">Share_Prices!S598/Share_Prices!S597-1</f>
        <v>0.00696729243274619</v>
      </c>
    </row>
    <row r="599" customFormat="false" ht="15" hidden="false" customHeight="false" outlineLevel="0" collapsed="false">
      <c r="A599" s="13" t="n">
        <f aca="false">Share_Prices!A599</f>
        <v>45679</v>
      </c>
      <c r="B599" s="14" t="n">
        <f aca="false">Share_Prices!B599/Share_Prices!B598-1</f>
        <v>0.0056765249417472</v>
      </c>
      <c r="C599" s="14" t="n">
        <f aca="false">Share_Prices!C599/Share_Prices!C598-1</f>
        <v>-0.00170996398111345</v>
      </c>
      <c r="D599" s="14" t="n">
        <f aca="false">Share_Prices!D599/Share_Prices!D598-1</f>
        <v>-0.008672899394367</v>
      </c>
      <c r="E599" s="14" t="n">
        <f aca="false">Share_Prices!E599/Share_Prices!E598-1</f>
        <v>-0.00838392599017046</v>
      </c>
      <c r="F599" s="14" t="n">
        <f aca="false">Share_Prices!F599/Share_Prices!F598-1</f>
        <v>-0.0322912583300665</v>
      </c>
      <c r="G599" s="14" t="n">
        <f aca="false">Share_Prices!G599/Share_Prices!G598-1</f>
        <v>-0.00999286224125628</v>
      </c>
      <c r="H599" s="14" t="n">
        <f aca="false">Share_Prices!H599/Share_Prices!H598-1</f>
        <v>0.0144129104062327</v>
      </c>
      <c r="I599" s="14" t="n">
        <f aca="false">Share_Prices!I599/Share_Prices!I598-1</f>
        <v>-0.0131299237213955</v>
      </c>
      <c r="J599" s="14" t="n">
        <f aca="false">Share_Prices!J599/Share_Prices!J598-1</f>
        <v>-0.0325010609704344</v>
      </c>
      <c r="K599" s="14" t="n">
        <f aca="false">Share_Prices!K599/Share_Prices!K598-1</f>
        <v>0.014474641910543</v>
      </c>
      <c r="L599" s="14" t="n">
        <f aca="false">Share_Prices!L599/Share_Prices!L598-1</f>
        <v>0.0133817009270454</v>
      </c>
      <c r="M599" s="14" t="n">
        <f aca="false">Share_Prices!M599/Share_Prices!M598-1</f>
        <v>0.000208441896821343</v>
      </c>
      <c r="N599" s="14" t="n">
        <f aca="false">Share_Prices!N599/Share_Prices!N598-1</f>
        <v>-0.0140664961636828</v>
      </c>
      <c r="O599" s="14" t="n">
        <f aca="false">Share_Prices!O599/Share_Prices!O598-1</f>
        <v>0.00226201696512729</v>
      </c>
      <c r="P599" s="14" t="n">
        <f aca="false">Share_Prices!P599/Share_Prices!P598-1</f>
        <v>0.0149650123553726</v>
      </c>
      <c r="Q599" s="14" t="n">
        <f aca="false">Share_Prices!Q599/Share_Prices!Q598-1</f>
        <v>0.010035510267099</v>
      </c>
      <c r="R599" s="14" t="n">
        <f aca="false">Share_Prices!R599/Share_Prices!R598-1</f>
        <v>-0.00793338578547087</v>
      </c>
      <c r="S599" s="14" t="n">
        <f aca="false">Share_Prices!S599/Share_Prices!S598-1</f>
        <v>-0.00317124735729379</v>
      </c>
    </row>
    <row r="600" customFormat="false" ht="15" hidden="false" customHeight="false" outlineLevel="0" collapsed="false">
      <c r="A600" s="13" t="n">
        <f aca="false">Share_Prices!A600</f>
        <v>45680</v>
      </c>
      <c r="B600" s="14" t="n">
        <f aca="false">Share_Prices!B600/Share_Prices!B599-1</f>
        <v>0.00215932818981357</v>
      </c>
      <c r="C600" s="14" t="n">
        <f aca="false">Share_Prices!C600/Share_Prices!C599-1</f>
        <v>0.00661321568196738</v>
      </c>
      <c r="D600" s="14" t="n">
        <f aca="false">Share_Prices!D600/Share_Prices!D599-1</f>
        <v>0.0248524570716806</v>
      </c>
      <c r="E600" s="14" t="n">
        <f aca="false">Share_Prices!E600/Share_Prices!E599-1</f>
        <v>0.00721574344023335</v>
      </c>
      <c r="F600" s="14" t="n">
        <f aca="false">Share_Prices!F600/Share_Prices!F599-1</f>
        <v>0.00632943440174194</v>
      </c>
      <c r="G600" s="14" t="n">
        <f aca="false">Share_Prices!G600/Share_Prices!G599-1</f>
        <v>0.045331651045422</v>
      </c>
      <c r="H600" s="14" t="n">
        <f aca="false">Share_Prices!H600/Share_Prices!H599-1</f>
        <v>-0.030391135004663</v>
      </c>
      <c r="I600" s="14" t="n">
        <f aca="false">Share_Prices!I600/Share_Prices!I599-1</f>
        <v>0.00658895083628974</v>
      </c>
      <c r="J600" s="14" t="n">
        <f aca="false">Share_Prices!J600/Share_Prices!J599-1</f>
        <v>0.0509924333808531</v>
      </c>
      <c r="K600" s="14" t="n">
        <f aca="false">Share_Prices!K600/Share_Prices!K599-1</f>
        <v>0.00622707151656243</v>
      </c>
      <c r="L600" s="14" t="n">
        <f aca="false">Share_Prices!L600/Share_Prices!L599-1</f>
        <v>-0.00879007238883145</v>
      </c>
      <c r="M600" s="14" t="n">
        <f aca="false">Share_Prices!M600/Share_Prices!M599-1</f>
        <v>0.0120871105553817</v>
      </c>
      <c r="N600" s="14" t="n">
        <f aca="false">Share_Prices!N600/Share_Prices!N599-1</f>
        <v>0.00246433203631646</v>
      </c>
      <c r="O600" s="14" t="n">
        <f aca="false">Share_Prices!O600/Share_Prices!O599-1</f>
        <v>0.0361105886778257</v>
      </c>
      <c r="P600" s="14" t="n">
        <f aca="false">Share_Prices!P600/Share_Prices!P599-1</f>
        <v>-0.00106942137477528</v>
      </c>
      <c r="Q600" s="14" t="n">
        <f aca="false">Share_Prices!Q600/Share_Prices!Q599-1</f>
        <v>0.0174258636502598</v>
      </c>
      <c r="R600" s="14" t="n">
        <f aca="false">Share_Prices!R600/Share_Prices!R599-1</f>
        <v>0.00456017447624091</v>
      </c>
      <c r="S600" s="14" t="n">
        <f aca="false">Share_Prices!S600/Share_Prices!S599-1</f>
        <v>0.021498120119541</v>
      </c>
    </row>
    <row r="601" customFormat="false" ht="15" hidden="false" customHeight="false" outlineLevel="0" collapsed="false">
      <c r="A601" s="13" t="n">
        <f aca="false">Share_Prices!A601</f>
        <v>45681</v>
      </c>
      <c r="B601" s="14" t="n">
        <f aca="false">Share_Prices!B601/Share_Prices!B600-1</f>
        <v>-0.00487603074291043</v>
      </c>
      <c r="C601" s="14" t="n">
        <f aca="false">Share_Prices!C601/Share_Prices!C600-1</f>
        <v>-0.0101750158440527</v>
      </c>
      <c r="D601" s="14" t="n">
        <f aca="false">Share_Prices!D601/Share_Prices!D600-1</f>
        <v>-0.00162051103973149</v>
      </c>
      <c r="E601" s="14" t="n">
        <f aca="false">Share_Prices!E601/Share_Prices!E600-1</f>
        <v>-0.0119400824951155</v>
      </c>
      <c r="F601" s="14" t="n">
        <f aca="false">Share_Prices!F601/Share_Prices!F600-1</f>
        <v>0.00221394787159102</v>
      </c>
      <c r="G601" s="14" t="n">
        <f aca="false">Share_Prices!G601/Share_Prices!G600-1</f>
        <v>-0.011466505733253</v>
      </c>
      <c r="H601" s="14" t="n">
        <f aca="false">Share_Prices!H601/Share_Prices!H600-1</f>
        <v>-0.023026874115983</v>
      </c>
      <c r="I601" s="14" t="n">
        <f aca="false">Share_Prices!I601/Share_Prices!I600-1</f>
        <v>-0.0232880161127895</v>
      </c>
      <c r="J601" s="14" t="n">
        <f aca="false">Share_Prices!J601/Share_Prices!J600-1</f>
        <v>-0.0665345019476905</v>
      </c>
      <c r="K601" s="14" t="n">
        <f aca="false">Share_Prices!K601/Share_Prices!K600-1</f>
        <v>-0.000618853506612171</v>
      </c>
      <c r="L601" s="14" t="n">
        <f aca="false">Share_Prices!L601/Share_Prices!L600-1</f>
        <v>-0.0184583283174833</v>
      </c>
      <c r="M601" s="14" t="n">
        <f aca="false">Share_Prices!M601/Share_Prices!M600-1</f>
        <v>-0.0563162771543292</v>
      </c>
      <c r="N601" s="14" t="n">
        <f aca="false">Share_Prices!N601/Share_Prices!N600-1</f>
        <v>-0.0272997800491656</v>
      </c>
      <c r="O601" s="14" t="n">
        <f aca="false">Share_Prices!O601/Share_Prices!O600-1</f>
        <v>-0.0268651297876201</v>
      </c>
      <c r="P601" s="14" t="n">
        <f aca="false">Share_Prices!P601/Share_Prices!P600-1</f>
        <v>-0.00988565441209954</v>
      </c>
      <c r="Q601" s="14" t="n">
        <f aca="false">Share_Prices!Q601/Share_Prices!Q600-1</f>
        <v>-0.0474759615384616</v>
      </c>
      <c r="R601" s="14" t="n">
        <f aca="false">Share_Prices!R601/Share_Prices!R600-1</f>
        <v>-0.0022368421052632</v>
      </c>
      <c r="S601" s="14" t="n">
        <f aca="false">Share_Prices!S601/Share_Prices!S600-1</f>
        <v>-0.00443563608909003</v>
      </c>
    </row>
    <row r="602" customFormat="false" ht="15" hidden="false" customHeight="false" outlineLevel="0" collapsed="false">
      <c r="A602" s="13" t="n">
        <f aca="false">Share_Prices!A602</f>
        <v>45684</v>
      </c>
      <c r="B602" s="14" t="n">
        <f aca="false">Share_Prices!B602/Share_Prices!B601-1</f>
        <v>-0.0113912922978321</v>
      </c>
      <c r="C602" s="14" t="n">
        <f aca="false">Share_Prices!C602/Share_Prices!C601-1</f>
        <v>-0.0191356026811891</v>
      </c>
      <c r="D602" s="14" t="n">
        <f aca="false">Share_Prices!D602/Share_Prices!D601-1</f>
        <v>-0.0334483058462074</v>
      </c>
      <c r="E602" s="14" t="n">
        <f aca="false">Share_Prices!E602/Share_Prices!E601-1</f>
        <v>-0.0126702797714957</v>
      </c>
      <c r="F602" s="14" t="n">
        <f aca="false">Share_Prices!F602/Share_Prices!F601-1</f>
        <v>-0.018877397329049</v>
      </c>
      <c r="G602" s="14" t="n">
        <f aca="false">Share_Prices!G602/Share_Prices!G601-1</f>
        <v>-0.0163963021105877</v>
      </c>
      <c r="H602" s="14" t="n">
        <f aca="false">Share_Prices!H602/Share_Prices!H601-1</f>
        <v>-0.0580264072272412</v>
      </c>
      <c r="I602" s="14" t="n">
        <f aca="false">Share_Prices!I602/Share_Prices!I601-1</f>
        <v>-0.04575331872664</v>
      </c>
      <c r="J602" s="14" t="n">
        <f aca="false">Share_Prices!J602/Share_Prices!J601-1</f>
        <v>-0.0322292186743173</v>
      </c>
      <c r="K602" s="14" t="n">
        <f aca="false">Share_Prices!K602/Share_Prices!K601-1</f>
        <v>-0.0192501850979337</v>
      </c>
      <c r="L602" s="14" t="n">
        <f aca="false">Share_Prices!L602/Share_Prices!L601-1</f>
        <v>-0.0390008585094641</v>
      </c>
      <c r="M602" s="14" t="n">
        <f aca="false">Share_Prices!M602/Share_Prices!M601-1</f>
        <v>0.00785511673576256</v>
      </c>
      <c r="N602" s="14" t="n">
        <f aca="false">Share_Prices!N602/Share_Prices!N601-1</f>
        <v>-0.0480180899175311</v>
      </c>
      <c r="O602" s="14" t="n">
        <f aca="false">Share_Prices!O602/Share_Prices!O601-1</f>
        <v>-0.0309643723185973</v>
      </c>
      <c r="P602" s="14" t="n">
        <f aca="false">Share_Prices!P602/Share_Prices!P601-1</f>
        <v>-0.0158277353455416</v>
      </c>
      <c r="Q602" s="14" t="n">
        <f aca="false">Share_Prices!Q602/Share_Prices!Q601-1</f>
        <v>-0.0235015772870663</v>
      </c>
      <c r="R602" s="14" t="n">
        <f aca="false">Share_Prices!R602/Share_Prices!R601-1</f>
        <v>-0.00606620071211905</v>
      </c>
      <c r="S602" s="14" t="n">
        <f aca="false">Share_Prices!S602/Share_Prices!S601-1</f>
        <v>-0.0299554460138403</v>
      </c>
    </row>
    <row r="603" customFormat="false" ht="15" hidden="false" customHeight="false" outlineLevel="0" collapsed="false">
      <c r="A603" s="13" t="n">
        <f aca="false">Share_Prices!A603</f>
        <v>45685</v>
      </c>
      <c r="B603" s="14" t="n">
        <f aca="false">Share_Prices!B603/Share_Prices!B602-1</f>
        <v>0.00561124702408966</v>
      </c>
      <c r="C603" s="14" t="n">
        <f aca="false">Share_Prices!C603/Share_Prices!C602-1</f>
        <v>0.000659941322608493</v>
      </c>
      <c r="D603" s="14" t="n">
        <f aca="false">Share_Prices!D603/Share_Prices!D602-1</f>
        <v>0.00314870902929809</v>
      </c>
      <c r="E603" s="14" t="n">
        <f aca="false">Share_Prices!E603/Share_Prices!E602-1</f>
        <v>-0.0164676210963577</v>
      </c>
      <c r="F603" s="14" t="n">
        <f aca="false">Share_Prices!F603/Share_Prices!F602-1</f>
        <v>-0.0155050660116671</v>
      </c>
      <c r="G603" s="14" t="n">
        <f aca="false">Share_Prices!G603/Share_Prices!G602-1</f>
        <v>0.0117042028728498</v>
      </c>
      <c r="H603" s="14" t="n">
        <f aca="false">Share_Prices!H603/Share_Prices!H602-1</f>
        <v>0.0365793680068856</v>
      </c>
      <c r="I603" s="14" t="n">
        <f aca="false">Share_Prices!I603/Share_Prices!I602-1</f>
        <v>-0.015667206915181</v>
      </c>
      <c r="J603" s="14" t="n">
        <f aca="false">Share_Prices!J603/Share_Prices!J602-1</f>
        <v>0.00188650188650197</v>
      </c>
      <c r="K603" s="14" t="n">
        <f aca="false">Share_Prices!K603/Share_Prices!K602-1</f>
        <v>0.0426600782375952</v>
      </c>
      <c r="L603" s="14" t="n">
        <f aca="false">Share_Prices!L603/Share_Prices!L602-1</f>
        <v>0.0564512698345174</v>
      </c>
      <c r="M603" s="14" t="n">
        <f aca="false">Share_Prices!M603/Share_Prices!M602-1</f>
        <v>0.0402684563758389</v>
      </c>
      <c r="N603" s="14" t="n">
        <f aca="false">Share_Prices!N603/Share_Prices!N602-1</f>
        <v>-0.0217968422523404</v>
      </c>
      <c r="O603" s="14" t="n">
        <f aca="false">Share_Prices!O603/Share_Prices!O602-1</f>
        <v>0.0471607314725697</v>
      </c>
      <c r="P603" s="14" t="n">
        <f aca="false">Share_Prices!P603/Share_Prices!P602-1</f>
        <v>-0.00144927536231876</v>
      </c>
      <c r="Q603" s="14" t="n">
        <f aca="false">Share_Prices!Q603/Share_Prices!Q602-1</f>
        <v>-0.00274592149895014</v>
      </c>
      <c r="R603" s="14" t="n">
        <f aca="false">Share_Prices!R603/Share_Prices!R602-1</f>
        <v>0.00716465437176583</v>
      </c>
      <c r="S603" s="14" t="n">
        <f aca="false">Share_Prices!S603/Share_Prices!S602-1</f>
        <v>0.0360598065083555</v>
      </c>
    </row>
    <row r="604" customFormat="false" ht="15" hidden="false" customHeight="false" outlineLevel="0" collapsed="false">
      <c r="A604" s="13" t="n">
        <f aca="false">Share_Prices!A604</f>
        <v>45686</v>
      </c>
      <c r="B604" s="14" t="n">
        <f aca="false">Share_Prices!B604/Share_Prices!B603-1</f>
        <v>0.00896666630367315</v>
      </c>
      <c r="C604" s="14" t="n">
        <f aca="false">Share_Prices!C604/Share_Prices!C603-1</f>
        <v>0.0153287374998508</v>
      </c>
      <c r="D604" s="14" t="n">
        <f aca="false">Share_Prices!D604/Share_Prices!D603-1</f>
        <v>0.0102236039698673</v>
      </c>
      <c r="E604" s="14" t="n">
        <f aca="false">Share_Prices!E604/Share_Prices!E603-1</f>
        <v>0.00678784222037865</v>
      </c>
      <c r="F604" s="14" t="n">
        <f aca="false">Share_Prices!F604/Share_Prices!F603-1</f>
        <v>0.00826446280991733</v>
      </c>
      <c r="G604" s="14" t="n">
        <f aca="false">Share_Prices!G604/Share_Prices!G603-1</f>
        <v>0.00718667835232267</v>
      </c>
      <c r="H604" s="14" t="n">
        <f aca="false">Share_Prices!H604/Share_Prices!H603-1</f>
        <v>0.0333313563845561</v>
      </c>
      <c r="I604" s="14" t="n">
        <f aca="false">Share_Prices!I604/Share_Prices!I603-1</f>
        <v>0.0514544456641053</v>
      </c>
      <c r="J604" s="14" t="n">
        <f aca="false">Share_Prices!J604/Share_Prices!J603-1</f>
        <v>0.0635975867501826</v>
      </c>
      <c r="K604" s="14" t="n">
        <f aca="false">Share_Prices!K604/Share_Prices!K603-1</f>
        <v>0.0201150560141121</v>
      </c>
      <c r="L604" s="14" t="n">
        <f aca="false">Share_Prices!L604/Share_Prices!L603-1</f>
        <v>0.0441733107836031</v>
      </c>
      <c r="M604" s="14" t="n">
        <f aca="false">Share_Prices!M604/Share_Prices!M603-1</f>
        <v>0.112591050988554</v>
      </c>
      <c r="N604" s="14" t="n">
        <f aca="false">Share_Prices!N604/Share_Prices!N603-1</f>
        <v>-0.00614197971718333</v>
      </c>
      <c r="O604" s="14" t="n">
        <f aca="false">Share_Prices!O604/Share_Prices!O603-1</f>
        <v>-0.00735294117647056</v>
      </c>
      <c r="P604" s="14" t="n">
        <f aca="false">Share_Prices!P604/Share_Prices!P603-1</f>
        <v>0.0349735474507233</v>
      </c>
      <c r="Q604" s="14" t="n">
        <f aca="false">Share_Prices!Q604/Share_Prices!Q603-1</f>
        <v>0.0200842241658568</v>
      </c>
      <c r="R604" s="14" t="n">
        <f aca="false">Share_Prices!R604/Share_Prices!R603-1</f>
        <v>0.00302990383348689</v>
      </c>
      <c r="S604" s="14" t="n">
        <f aca="false">Share_Prices!S604/Share_Prices!S603-1</f>
        <v>0.0441426146010187</v>
      </c>
    </row>
    <row r="605" customFormat="false" ht="15" hidden="false" customHeight="false" outlineLevel="0" collapsed="false">
      <c r="A605" s="13" t="n">
        <f aca="false">Share_Prices!A605</f>
        <v>45687</v>
      </c>
      <c r="B605" s="14" t="n">
        <f aca="false">Share_Prices!B605/Share_Prices!B604-1</f>
        <v>0.00373007067275122</v>
      </c>
      <c r="C605" s="14" t="n">
        <f aca="false">Share_Prices!C605/Share_Prices!C604-1</f>
        <v>0.00244757713398136</v>
      </c>
      <c r="D605" s="14" t="n">
        <f aca="false">Share_Prices!D605/Share_Prices!D604-1</f>
        <v>0.00837426762147109</v>
      </c>
      <c r="E605" s="14" t="n">
        <f aca="false">Share_Prices!E605/Share_Prices!E604-1</f>
        <v>-0.0206007940669714</v>
      </c>
      <c r="F605" s="14" t="n">
        <f aca="false">Share_Prices!F605/Share_Prices!F604-1</f>
        <v>-0.0255696463552944</v>
      </c>
      <c r="G605" s="14" t="n">
        <f aca="false">Share_Prices!G605/Share_Prices!G604-1</f>
        <v>0.0169683257918551</v>
      </c>
      <c r="H605" s="14" t="n">
        <f aca="false">Share_Prices!H605/Share_Prices!H604-1</f>
        <v>-0.010847730012053</v>
      </c>
      <c r="I605" s="14" t="n">
        <f aca="false">Share_Prices!I605/Share_Prices!I604-1</f>
        <v>0.0262299360563749</v>
      </c>
      <c r="J605" s="14" t="n">
        <f aca="false">Share_Prices!J605/Share_Prices!J604-1</f>
        <v>0.0148132090468964</v>
      </c>
      <c r="K605" s="14" t="n">
        <f aca="false">Share_Prices!K605/Share_Prices!K604-1</f>
        <v>0.018298899227007</v>
      </c>
      <c r="L605" s="14" t="n">
        <f aca="false">Share_Prices!L605/Share_Prices!L604-1</f>
        <v>-0.0132274112066637</v>
      </c>
      <c r="M605" s="14" t="n">
        <f aca="false">Share_Prices!M605/Share_Prices!M604-1</f>
        <v>-0.00144968200523754</v>
      </c>
      <c r="N605" s="14" t="n">
        <f aca="false">Share_Prices!N605/Share_Prices!N604-1</f>
        <v>0.0158091405576315</v>
      </c>
      <c r="O605" s="14" t="n">
        <f aca="false">Share_Prices!O605/Share_Prices!O604-1</f>
        <v>0.0246296296296296</v>
      </c>
      <c r="P605" s="14" t="n">
        <f aca="false">Share_Prices!P605/Share_Prices!P604-1</f>
        <v>-0.000429747579842488</v>
      </c>
      <c r="Q605" s="14" t="n">
        <f aca="false">Share_Prices!Q605/Share_Prices!Q604-1</f>
        <v>-0.0200063512226102</v>
      </c>
      <c r="R605" s="14" t="n">
        <f aca="false">Share_Prices!R605/Share_Prices!R604-1</f>
        <v>0.0175991594431311</v>
      </c>
      <c r="S605" s="14" t="n">
        <f aca="false">Share_Prices!S605/Share_Prices!S604-1</f>
        <v>-0.0274616079494129</v>
      </c>
    </row>
    <row r="606" customFormat="false" ht="15" hidden="false" customHeight="false" outlineLevel="0" collapsed="false">
      <c r="A606" s="13" t="n">
        <f aca="false">Share_Prices!A606</f>
        <v>45688</v>
      </c>
      <c r="B606" s="14" t="n">
        <f aca="false">Share_Prices!B606/Share_Prices!B605-1</f>
        <v>0.0111357233488893</v>
      </c>
      <c r="C606" s="14" t="n">
        <f aca="false">Share_Prices!C606/Share_Prices!C605-1</f>
        <v>0.013306726141566</v>
      </c>
      <c r="D606" s="14" t="n">
        <f aca="false">Share_Prices!D606/Share_Prices!D605-1</f>
        <v>0.00525280981307041</v>
      </c>
      <c r="E606" s="14" t="n">
        <f aca="false">Share_Prices!E606/Share_Prices!E605-1</f>
        <v>0.0214165519351384</v>
      </c>
      <c r="F606" s="14" t="n">
        <f aca="false">Share_Prices!F606/Share_Prices!F605-1</f>
        <v>0.0538038302825099</v>
      </c>
      <c r="G606" s="14" t="n">
        <f aca="false">Share_Prices!G606/Share_Prices!G605-1</f>
        <v>0.023530418413622</v>
      </c>
      <c r="H606" s="14" t="n">
        <f aca="false">Share_Prices!H606/Share_Prices!H605-1</f>
        <v>0.0191481954276431</v>
      </c>
      <c r="I606" s="14" t="n">
        <f aca="false">Share_Prices!I606/Share_Prices!I605-1</f>
        <v>0</v>
      </c>
      <c r="J606" s="14" t="n">
        <f aca="false">Share_Prices!J606/Share_Prices!J605-1</f>
        <v>-0.000925662204500299</v>
      </c>
      <c r="K606" s="14" t="n">
        <f aca="false">Share_Prices!K606/Share_Prices!K605-1</f>
        <v>-0.00209101623388963</v>
      </c>
      <c r="L606" s="14" t="n">
        <f aca="false">Share_Prices!L606/Share_Prices!L605-1</f>
        <v>0.00504142566828181</v>
      </c>
      <c r="M606" s="14" t="n">
        <f aca="false">Share_Prices!M606/Share_Prices!M605-1</f>
        <v>0.0142368753805084</v>
      </c>
      <c r="N606" s="14" t="n">
        <f aca="false">Share_Prices!N606/Share_Prices!N605-1</f>
        <v>0.00863044708545568</v>
      </c>
      <c r="O606" s="14" t="n">
        <f aca="false">Share_Prices!O606/Share_Prices!O605-1</f>
        <v>0.0300018073377915</v>
      </c>
      <c r="P606" s="14" t="n">
        <f aca="false">Share_Prices!P606/Share_Prices!P605-1</f>
        <v>0.0222433417057</v>
      </c>
      <c r="Q606" s="14" t="n">
        <f aca="false">Share_Prices!Q606/Share_Prices!Q605-1</f>
        <v>0.00583279325988317</v>
      </c>
      <c r="R606" s="14" t="n">
        <f aca="false">Share_Prices!R606/Share_Prices!R605-1</f>
        <v>0.00438822922044402</v>
      </c>
      <c r="S606" s="14" t="n">
        <f aca="false">Share_Prices!S606/Share_Prices!S605-1</f>
        <v>0.0101244659112021</v>
      </c>
    </row>
    <row r="607" customFormat="false" ht="15" hidden="false" customHeight="false" outlineLevel="0" collapsed="false">
      <c r="A607" s="13" t="n">
        <f aca="false">Share_Prices!A607</f>
        <v>45689</v>
      </c>
      <c r="B607" s="14" t="n">
        <f aca="false">Share_Prices!B607/Share_Prices!B606-1</f>
        <v>-0.00111662214357422</v>
      </c>
      <c r="C607" s="14" t="n">
        <f aca="false">Share_Prices!C607/Share_Prices!C606-1</f>
        <v>3.93866798882314E-005</v>
      </c>
      <c r="D607" s="14" t="n">
        <f aca="false">Share_Prices!D607/Share_Prices!D606-1</f>
        <v>-0.0141289117234937</v>
      </c>
      <c r="E607" s="14" t="n">
        <f aca="false">Share_Prices!E607/Share_Prices!E606-1</f>
        <v>-0.0104837501872098</v>
      </c>
      <c r="F607" s="14" t="n">
        <f aca="false">Share_Prices!F607/Share_Prices!F606-1</f>
        <v>-0.0334856167478287</v>
      </c>
      <c r="G607" s="14" t="n">
        <f aca="false">Share_Prices!G607/Share_Prices!G606-1</f>
        <v>-0.0224042802206988</v>
      </c>
      <c r="H607" s="14" t="n">
        <f aca="false">Share_Prices!H607/Share_Prices!H606-1</f>
        <v>0.0179344112958324</v>
      </c>
      <c r="I607" s="14" t="n">
        <f aca="false">Share_Prices!I607/Share_Prices!I606-1</f>
        <v>0.0111902339776195</v>
      </c>
      <c r="J607" s="14" t="n">
        <f aca="false">Share_Prices!J607/Share_Prices!J606-1</f>
        <v>0.0192431045542014</v>
      </c>
      <c r="K607" s="14" t="n">
        <f aca="false">Share_Prices!K607/Share_Prices!K606-1</f>
        <v>0.0145788885502387</v>
      </c>
      <c r="L607" s="14" t="n">
        <f aca="false">Share_Prices!L607/Share_Prices!L606-1</f>
        <v>-0.0158261072442353</v>
      </c>
      <c r="M607" s="14" t="n">
        <f aca="false">Share_Prices!M607/Share_Prices!M606-1</f>
        <v>-0.0537470563789997</v>
      </c>
      <c r="N607" s="14" t="n">
        <f aca="false">Share_Prices!N607/Share_Prices!N606-1</f>
        <v>0.00406789170991728</v>
      </c>
      <c r="O607" s="14" t="n">
        <f aca="false">Share_Prices!O607/Share_Prices!O606-1</f>
        <v>-0.00596595894016494</v>
      </c>
      <c r="P607" s="14" t="n">
        <f aca="false">Share_Prices!P607/Share_Prices!P606-1</f>
        <v>-0.0338011333451391</v>
      </c>
      <c r="Q607" s="14" t="n">
        <f aca="false">Share_Prices!Q607/Share_Prices!Q606-1</f>
        <v>-0.00579896907216482</v>
      </c>
      <c r="R607" s="14" t="n">
        <f aca="false">Share_Prices!R607/Share_Prices!R606-1</f>
        <v>0.0600745309689026</v>
      </c>
      <c r="S607" s="14" t="n">
        <f aca="false">Share_Prices!S607/Share_Prices!S606-1</f>
        <v>-0.0219770114942529</v>
      </c>
    </row>
    <row r="608" customFormat="false" ht="15" hidden="false" customHeight="false" outlineLevel="0" collapsed="false">
      <c r="A608" s="13" t="n">
        <f aca="false">Share_Prices!A608</f>
        <v>45691</v>
      </c>
      <c r="B608" s="14" t="n">
        <f aca="false">Share_Prices!B608/Share_Prices!B607-1</f>
        <v>-0.00515710869745756</v>
      </c>
      <c r="C608" s="14" t="n">
        <f aca="false">Share_Prices!C608/Share_Prices!C607-1</f>
        <v>-0.00830331182596411</v>
      </c>
      <c r="D608" s="14" t="n">
        <f aca="false">Share_Prices!D608/Share_Prices!D607-1</f>
        <v>0.0177069761932962</v>
      </c>
      <c r="E608" s="14" t="n">
        <f aca="false">Share_Prices!E608/Share_Prices!E607-1</f>
        <v>-0.0187679733615863</v>
      </c>
      <c r="F608" s="14" t="n">
        <f aca="false">Share_Prices!F608/Share_Prices!F607-1</f>
        <v>0.0314253064616663</v>
      </c>
      <c r="G608" s="14" t="n">
        <f aca="false">Share_Prices!G608/Share_Prices!G607-1</f>
        <v>-0.0463485548144348</v>
      </c>
      <c r="H608" s="14" t="n">
        <f aca="false">Share_Prices!H608/Share_Prices!H607-1</f>
        <v>-0.0157167626824767</v>
      </c>
      <c r="I608" s="14" t="n">
        <f aca="false">Share_Prices!I608/Share_Prices!I607-1</f>
        <v>-0.0469064386317908</v>
      </c>
      <c r="J608" s="14" t="n">
        <f aca="false">Share_Prices!J608/Share_Prices!J607-1</f>
        <v>-0.00996433815817077</v>
      </c>
      <c r="K608" s="14" t="n">
        <f aca="false">Share_Prices!K608/Share_Prices!K607-1</f>
        <v>0.0532093325990086</v>
      </c>
      <c r="L608" s="14" t="n">
        <f aca="false">Share_Prices!L608/Share_Prices!L607-1</f>
        <v>0.0570130383247729</v>
      </c>
      <c r="M608" s="14" t="n">
        <f aca="false">Share_Prices!M608/Share_Prices!M607-1</f>
        <v>-0.00775874688918177</v>
      </c>
      <c r="N608" s="14" t="n">
        <f aca="false">Share_Prices!N608/Share_Prices!N607-1</f>
        <v>-0.0318524727577535</v>
      </c>
      <c r="O608" s="14" t="n">
        <f aca="false">Share_Prices!O608/Share_Prices!O607-1</f>
        <v>0.0303618711385703</v>
      </c>
      <c r="P608" s="14" t="n">
        <f aca="false">Share_Prices!P608/Share_Prices!P607-1</f>
        <v>-0.00458200646062912</v>
      </c>
      <c r="Q608" s="14" t="n">
        <f aca="false">Share_Prices!Q608/Share_Prices!Q607-1</f>
        <v>-0.00194426441996121</v>
      </c>
      <c r="R608" s="14" t="n">
        <f aca="false">Share_Prices!R608/Share_Prices!R607-1</f>
        <v>0.000424268137462658</v>
      </c>
      <c r="S608" s="14" t="n">
        <f aca="false">Share_Prices!S608/Share_Prices!S607-1</f>
        <v>0.0269838285069575</v>
      </c>
    </row>
    <row r="609" customFormat="false" ht="15" hidden="false" customHeight="false" outlineLevel="0" collapsed="false">
      <c r="A609" s="13" t="n">
        <f aca="false">Share_Prices!A609</f>
        <v>45692</v>
      </c>
      <c r="B609" s="14" t="n">
        <f aca="false">Share_Prices!B609/Share_Prices!B608-1</f>
        <v>0.0161893408044587</v>
      </c>
      <c r="C609" s="14" t="n">
        <f aca="false">Share_Prices!C609/Share_Prices!C608-1</f>
        <v>0.0151804341071509</v>
      </c>
      <c r="D609" s="14" t="n">
        <f aca="false">Share_Prices!D609/Share_Prices!D608-1</f>
        <v>-0.00544079138783815</v>
      </c>
      <c r="E609" s="14" t="n">
        <f aca="false">Share_Prices!E609/Share_Prices!E608-1</f>
        <v>0.0236001850994911</v>
      </c>
      <c r="F609" s="14" t="n">
        <f aca="false">Share_Prices!F609/Share_Prices!F608-1</f>
        <v>0.00589212872035061</v>
      </c>
      <c r="G609" s="14" t="n">
        <f aca="false">Share_Prices!G609/Share_Prices!G608-1</f>
        <v>0.0338952654232425</v>
      </c>
      <c r="H609" s="14" t="n">
        <f aca="false">Share_Prices!H609/Share_Prices!H608-1</f>
        <v>-0.0125582452551426</v>
      </c>
      <c r="I609" s="14" t="n">
        <f aca="false">Share_Prices!I609/Share_Prices!I608-1</f>
        <v>0.0403747196200026</v>
      </c>
      <c r="J609" s="14" t="n">
        <f aca="false">Share_Prices!J609/Share_Prices!J608-1</f>
        <v>-0.00173040929476975</v>
      </c>
      <c r="K609" s="14" t="n">
        <f aca="false">Share_Prices!K609/Share_Prices!K608-1</f>
        <v>0.0058828423041728</v>
      </c>
      <c r="L609" s="14" t="n">
        <f aca="false">Share_Prices!L609/Share_Prices!L608-1</f>
        <v>0.0427989384368108</v>
      </c>
      <c r="M609" s="14" t="n">
        <f aca="false">Share_Prices!M609/Share_Prices!M608-1</f>
        <v>-0.0142618274810662</v>
      </c>
      <c r="N609" s="14" t="n">
        <f aca="false">Share_Prices!N609/Share_Prices!N608-1</f>
        <v>0.0164502164502165</v>
      </c>
      <c r="O609" s="14" t="n">
        <f aca="false">Share_Prices!O609/Share_Prices!O608-1</f>
        <v>0.0203871851978756</v>
      </c>
      <c r="P609" s="14" t="n">
        <f aca="false">Share_Prices!P609/Share_Prices!P608-1</f>
        <v>0.0306336164238534</v>
      </c>
      <c r="Q609" s="14" t="n">
        <f aca="false">Share_Prices!Q609/Share_Prices!Q608-1</f>
        <v>0.0160714285714285</v>
      </c>
      <c r="R609" s="14" t="n">
        <f aca="false">Share_Prices!R609/Share_Prices!R608-1</f>
        <v>0.012662062280383</v>
      </c>
      <c r="S609" s="14" t="n">
        <f aca="false">Share_Prices!S609/Share_Prices!S608-1</f>
        <v>0.0560285635814337</v>
      </c>
    </row>
    <row r="610" customFormat="false" ht="15" hidden="false" customHeight="false" outlineLevel="0" collapsed="false">
      <c r="A610" s="13" t="n">
        <f aca="false">Share_Prices!A610</f>
        <v>45693</v>
      </c>
      <c r="B610" s="14" t="n">
        <f aca="false">Share_Prices!B610/Share_Prices!B609-1</f>
        <v>-0.00180923997177673</v>
      </c>
      <c r="C610" s="14" t="n">
        <f aca="false">Share_Prices!C610/Share_Prices!C609-1</f>
        <v>0.00261420461213802</v>
      </c>
      <c r="D610" s="14" t="n">
        <f aca="false">Share_Prices!D610/Share_Prices!D609-1</f>
        <v>0.00421262030834035</v>
      </c>
      <c r="E610" s="14" t="n">
        <f aca="false">Share_Prices!E610/Share_Prices!E609-1</f>
        <v>0.0148432790837854</v>
      </c>
      <c r="F610" s="14" t="n">
        <f aca="false">Share_Prices!F610/Share_Prices!F609-1</f>
        <v>0.00225292880744976</v>
      </c>
      <c r="G610" s="14" t="n">
        <f aca="false">Share_Prices!G610/Share_Prices!G609-1</f>
        <v>-0.00416305290546393</v>
      </c>
      <c r="H610" s="14" t="n">
        <f aca="false">Share_Prices!H610/Share_Prices!H609-1</f>
        <v>0.0368302929159234</v>
      </c>
      <c r="I610" s="14" t="n">
        <f aca="false">Share_Prices!I610/Share_Prices!I609-1</f>
        <v>0.00291693088142031</v>
      </c>
      <c r="J610" s="14" t="n">
        <f aca="false">Share_Prices!J610/Share_Prices!J609-1</f>
        <v>0.0407527946794961</v>
      </c>
      <c r="K610" s="14" t="n">
        <f aca="false">Share_Prices!K610/Share_Prices!K609-1</f>
        <v>0.00402892317871406</v>
      </c>
      <c r="L610" s="14" t="n">
        <f aca="false">Share_Prices!L610/Share_Prices!L609-1</f>
        <v>-0.00494659115348772</v>
      </c>
      <c r="M610" s="14" t="n">
        <f aca="false">Share_Prices!M610/Share_Prices!M609-1</f>
        <v>0.0653562163240871</v>
      </c>
      <c r="N610" s="14" t="n">
        <f aca="false">Share_Prices!N610/Share_Prices!N609-1</f>
        <v>0.0275411697898922</v>
      </c>
      <c r="O610" s="14" t="n">
        <f aca="false">Share_Prices!O610/Share_Prices!O609-1</f>
        <v>0.00218267293485552</v>
      </c>
      <c r="P610" s="14" t="n">
        <f aca="false">Share_Prices!P610/Share_Prices!P609-1</f>
        <v>0.0121259490844128</v>
      </c>
      <c r="Q610" s="14" t="n">
        <f aca="false">Share_Prices!Q610/Share_Prices!Q609-1</f>
        <v>0.013580444160409</v>
      </c>
      <c r="R610" s="14" t="n">
        <f aca="false">Share_Prices!R610/Share_Prices!R609-1</f>
        <v>-0.0172300329045767</v>
      </c>
      <c r="S610" s="14" t="n">
        <f aca="false">Share_Prices!S610/Share_Prices!S609-1</f>
        <v>-0.00944950151712187</v>
      </c>
    </row>
    <row r="611" customFormat="false" ht="15" hidden="false" customHeight="false" outlineLevel="0" collapsed="false">
      <c r="A611" s="13" t="n">
        <f aca="false">Share_Prices!A611</f>
        <v>45694</v>
      </c>
      <c r="B611" s="14" t="n">
        <f aca="false">Share_Prices!B611/Share_Prices!B610-1</f>
        <v>-0.00392255331001046</v>
      </c>
      <c r="C611" s="14" t="n">
        <f aca="false">Share_Prices!C611/Share_Prices!C610-1</f>
        <v>-0.00513214822635622</v>
      </c>
      <c r="D611" s="14" t="n">
        <f aca="false">Share_Prices!D611/Share_Prices!D610-1</f>
        <v>0.00466105398083139</v>
      </c>
      <c r="E611" s="14" t="n">
        <f aca="false">Share_Prices!E611/Share_Prices!E610-1</f>
        <v>-0.0095033038829907</v>
      </c>
      <c r="F611" s="14" t="n">
        <f aca="false">Share_Prices!F611/Share_Prices!F610-1</f>
        <v>0.0149857635246515</v>
      </c>
      <c r="G611" s="14" t="n">
        <f aca="false">Share_Prices!G611/Share_Prices!G610-1</f>
        <v>0.00365789932067595</v>
      </c>
      <c r="H611" s="14" t="n">
        <f aca="false">Share_Prices!H611/Share_Prices!H610-1</f>
        <v>0.006826885719043</v>
      </c>
      <c r="I611" s="14" t="n">
        <f aca="false">Share_Prices!I611/Share_Prices!I610-1</f>
        <v>0.00455235204855842</v>
      </c>
      <c r="J611" s="14" t="n">
        <f aca="false">Share_Prices!J611/Share_Prices!J610-1</f>
        <v>0.0247110808973487</v>
      </c>
      <c r="K611" s="14" t="n">
        <f aca="false">Share_Prices!K611/Share_Prices!K610-1</f>
        <v>-0.000258887489850368</v>
      </c>
      <c r="L611" s="14" t="n">
        <f aca="false">Share_Prices!L611/Share_Prices!L610-1</f>
        <v>-0.00439481268011521</v>
      </c>
      <c r="M611" s="14" t="n">
        <f aca="false">Share_Prices!M611/Share_Prices!M610-1</f>
        <v>0.00871031188536109</v>
      </c>
      <c r="N611" s="14" t="n">
        <f aca="false">Share_Prices!N611/Share_Prices!N610-1</f>
        <v>-0.0066316662061342</v>
      </c>
      <c r="O611" s="14" t="n">
        <f aca="false">Share_Prices!O611/Share_Prices!O610-1</f>
        <v>-0.00469090299882724</v>
      </c>
      <c r="P611" s="14" t="n">
        <f aca="false">Share_Prices!P611/Share_Prices!P610-1</f>
        <v>-0.0143635681662733</v>
      </c>
      <c r="Q611" s="14" t="n">
        <f aca="false">Share_Prices!Q611/Share_Prices!Q610-1</f>
        <v>0.00472887767969743</v>
      </c>
      <c r="R611" s="14" t="n">
        <f aca="false">Share_Prices!R611/Share_Prices!R610-1</f>
        <v>-0.0129664576611676</v>
      </c>
      <c r="S611" s="14" t="n">
        <f aca="false">Share_Prices!S611/Share_Prices!S610-1</f>
        <v>-0.00866444950113765</v>
      </c>
    </row>
    <row r="612" customFormat="false" ht="15" hidden="false" customHeight="false" outlineLevel="0" collapsed="false">
      <c r="A612" s="13" t="n">
        <f aca="false">Share_Prices!A612</f>
        <v>45695</v>
      </c>
      <c r="B612" s="14" t="n">
        <f aca="false">Share_Prices!B612/Share_Prices!B611-1</f>
        <v>-0.00183872204581115</v>
      </c>
      <c r="C612" s="14" t="n">
        <f aca="false">Share_Prices!C612/Share_Prices!C611-1</f>
        <v>-0.00121352223675675</v>
      </c>
      <c r="D612" s="14" t="n">
        <f aca="false">Share_Prices!D612/Share_Prices!D611-1</f>
        <v>-0.00449444718299652</v>
      </c>
      <c r="E612" s="14" t="n">
        <f aca="false">Share_Prices!E612/Share_Prices!E611-1</f>
        <v>0.00337306049021802</v>
      </c>
      <c r="F612" s="14" t="n">
        <f aca="false">Share_Prices!F612/Share_Prices!F611-1</f>
        <v>-0.0104827993503618</v>
      </c>
      <c r="G612" s="14" t="n">
        <f aca="false">Share_Prices!G612/Share_Prices!G611-1</f>
        <v>0.00347101700798325</v>
      </c>
      <c r="H612" s="14" t="n">
        <f aca="false">Share_Prices!H612/Share_Prices!H611-1</f>
        <v>-0.0200110253583241</v>
      </c>
      <c r="I612" s="14" t="n">
        <f aca="false">Share_Prices!I612/Share_Prices!I611-1</f>
        <v>-0.0110775427995972</v>
      </c>
      <c r="J612" s="14" t="n">
        <f aca="false">Share_Prices!J612/Share_Prices!J611-1</f>
        <v>-0.0173151557368891</v>
      </c>
      <c r="K612" s="14" t="n">
        <f aca="false">Share_Prices!K612/Share_Prices!K611-1</f>
        <v>-0.00388431794908017</v>
      </c>
      <c r="L612" s="14" t="n">
        <f aca="false">Share_Prices!L612/Share_Prices!L611-1</f>
        <v>-0.00126637238584559</v>
      </c>
      <c r="M612" s="14" t="n">
        <f aca="false">Share_Prices!M612/Share_Prices!M611-1</f>
        <v>-0.00389972144846806</v>
      </c>
      <c r="N612" s="14" t="n">
        <f aca="false">Share_Prices!N612/Share_Prices!N611-1</f>
        <v>0.0141863699582754</v>
      </c>
      <c r="O612" s="14" t="n">
        <f aca="false">Share_Prices!O612/Share_Prices!O611-1</f>
        <v>0.00218818380743979</v>
      </c>
      <c r="P612" s="14" t="n">
        <f aca="false">Share_Prices!P612/Share_Prices!P611-1</f>
        <v>0.00490239971346718</v>
      </c>
      <c r="Q612" s="14" t="n">
        <f aca="false">Share_Prices!Q612/Share_Prices!Q611-1</f>
        <v>-0.00627549419516782</v>
      </c>
      <c r="R612" s="14" t="n">
        <f aca="false">Share_Prices!R612/Share_Prices!R611-1</f>
        <v>0.00598248427285042</v>
      </c>
      <c r="S612" s="14" t="n">
        <f aca="false">Share_Prices!S612/Share_Prices!S611-1</f>
        <v>-0.0120067096318532</v>
      </c>
    </row>
    <row r="613" customFormat="false" ht="15" hidden="false" customHeight="false" outlineLevel="0" collapsed="false">
      <c r="A613" s="13" t="n">
        <f aca="false">Share_Prices!A613</f>
        <v>45698</v>
      </c>
      <c r="B613" s="14" t="n">
        <f aca="false">Share_Prices!B613/Share_Prices!B612-1</f>
        <v>-0.00757005002132871</v>
      </c>
      <c r="C613" s="14" t="n">
        <f aca="false">Share_Prices!C613/Share_Prices!C612-1</f>
        <v>-0.0126974080841167</v>
      </c>
      <c r="D613" s="14" t="n">
        <f aca="false">Share_Prices!D613/Share_Prices!D612-1</f>
        <v>-0.00401957357567273</v>
      </c>
      <c r="E613" s="14" t="n">
        <f aca="false">Share_Prices!E613/Share_Prices!E612-1</f>
        <v>-0.0298819662333781</v>
      </c>
      <c r="F613" s="14" t="n">
        <f aca="false">Share_Prices!F613/Share_Prices!F612-1</f>
        <v>-0.0240724161941708</v>
      </c>
      <c r="G613" s="14" t="n">
        <f aca="false">Share_Prices!G613/Share_Prices!G612-1</f>
        <v>-0.0265479072985126</v>
      </c>
      <c r="H613" s="14" t="n">
        <f aca="false">Share_Prices!H613/Share_Prices!H612-1</f>
        <v>-0.0251448500871914</v>
      </c>
      <c r="I613" s="14" t="n">
        <f aca="false">Share_Prices!I613/Share_Prices!I612-1</f>
        <v>-0.00649185336048885</v>
      </c>
      <c r="J613" s="14" t="n">
        <f aca="false">Share_Prices!J613/Share_Prices!J612-1</f>
        <v>-0.0420928270042193</v>
      </c>
      <c r="K613" s="14" t="n">
        <f aca="false">Share_Prices!K613/Share_Prices!K612-1</f>
        <v>-0.0221205998085717</v>
      </c>
      <c r="L613" s="14" t="n">
        <f aca="false">Share_Prices!L613/Share_Prices!L612-1</f>
        <v>-0.0234757091620477</v>
      </c>
      <c r="M613" s="14" t="n">
        <f aca="false">Share_Prices!M613/Share_Prices!M612-1</f>
        <v>-0.0165454884414616</v>
      </c>
      <c r="N613" s="14" t="n">
        <f aca="false">Share_Prices!N613/Share_Prices!N612-1</f>
        <v>-0.0212561711464618</v>
      </c>
      <c r="O613" s="14" t="n">
        <f aca="false">Share_Prices!O613/Share_Prices!O612-1</f>
        <v>-0.00453476654350005</v>
      </c>
      <c r="P613" s="14" t="n">
        <f aca="false">Share_Prices!P613/Share_Prices!P612-1</f>
        <v>-0.0190238577888665</v>
      </c>
      <c r="Q613" s="14" t="n">
        <f aca="false">Share_Prices!Q613/Share_Prices!Q612-1</f>
        <v>-0.0230502052415535</v>
      </c>
      <c r="R613" s="14" t="n">
        <f aca="false">Share_Prices!R613/Share_Prices!R612-1</f>
        <v>-0.0201704371283182</v>
      </c>
      <c r="S613" s="14" t="n">
        <f aca="false">Share_Prices!S613/Share_Prices!S612-1</f>
        <v>0.00223393798588156</v>
      </c>
    </row>
    <row r="614" customFormat="false" ht="15" hidden="false" customHeight="false" outlineLevel="0" collapsed="false">
      <c r="A614" s="13" t="n">
        <f aca="false">Share_Prices!A614</f>
        <v>45699</v>
      </c>
      <c r="B614" s="14" t="n">
        <f aca="false">Share_Prices!B614/Share_Prices!B613-1</f>
        <v>-0.0132497348342286</v>
      </c>
      <c r="C614" s="14" t="n">
        <f aca="false">Share_Prices!C614/Share_Prices!C613-1</f>
        <v>-0.0196922976140899</v>
      </c>
      <c r="D614" s="14" t="n">
        <f aca="false">Share_Prices!D614/Share_Prices!D613-1</f>
        <v>-0.0168743054337019</v>
      </c>
      <c r="E614" s="14" t="n">
        <f aca="false">Share_Prices!E614/Share_Prices!E613-1</f>
        <v>-0.044124441706453</v>
      </c>
      <c r="F614" s="14" t="n">
        <f aca="false">Share_Prices!F614/Share_Prices!F613-1</f>
        <v>-0.0221689939863419</v>
      </c>
      <c r="G614" s="14" t="n">
        <f aca="false">Share_Prices!G614/Share_Prices!G613-1</f>
        <v>-0.0324242693435196</v>
      </c>
      <c r="H614" s="14" t="n">
        <f aca="false">Share_Prices!H614/Share_Prices!H613-1</f>
        <v>-0.0414887478361223</v>
      </c>
      <c r="I614" s="14" t="n">
        <f aca="false">Share_Prices!I614/Share_Prices!I613-1</f>
        <v>-0.035618193465727</v>
      </c>
      <c r="J614" s="14" t="n">
        <f aca="false">Share_Prices!J614/Share_Prices!J613-1</f>
        <v>-0.0143068574247658</v>
      </c>
      <c r="K614" s="14" t="n">
        <f aca="false">Share_Prices!K614/Share_Prices!K613-1</f>
        <v>-0.0115280043501903</v>
      </c>
      <c r="L614" s="14" t="n">
        <f aca="false">Share_Prices!L614/Share_Prices!L613-1</f>
        <v>-0.027787052494899</v>
      </c>
      <c r="M614" s="14" t="n">
        <f aca="false">Share_Prices!M614/Share_Prices!M613-1</f>
        <v>-0.0558741291881901</v>
      </c>
      <c r="N614" s="14" t="n">
        <f aca="false">Share_Prices!N614/Share_Prices!N613-1</f>
        <v>-0.0361496427070198</v>
      </c>
      <c r="O614" s="14" t="n">
        <f aca="false">Share_Prices!O614/Share_Prices!O613-1</f>
        <v>-0.0499409482031382</v>
      </c>
      <c r="P614" s="14" t="n">
        <f aca="false">Share_Prices!P614/Share_Prices!P613-1</f>
        <v>-0.00619933237958992</v>
      </c>
      <c r="Q614" s="14" t="n">
        <f aca="false">Share_Prices!Q614/Share_Prices!Q613-1</f>
        <v>-0.0315126050420168</v>
      </c>
      <c r="R614" s="14" t="n">
        <f aca="false">Share_Prices!R614/Share_Prices!R613-1</f>
        <v>-0.0184582655487423</v>
      </c>
      <c r="S614" s="14" t="n">
        <f aca="false">Share_Prices!S614/Share_Prices!S613-1</f>
        <v>-0.0396754636233951</v>
      </c>
    </row>
    <row r="615" customFormat="false" ht="15" hidden="false" customHeight="false" outlineLevel="0" collapsed="false">
      <c r="A615" s="13" t="n">
        <f aca="false">Share_Prices!A615</f>
        <v>45700</v>
      </c>
      <c r="B615" s="14" t="n">
        <f aca="false">Share_Prices!B615/Share_Prices!B614-1</f>
        <v>-0.00115075546771382</v>
      </c>
      <c r="C615" s="14" t="n">
        <f aca="false">Share_Prices!C615/Share_Prices!C614-1</f>
        <v>-0.00203336921163999</v>
      </c>
      <c r="D615" s="14" t="n">
        <f aca="false">Share_Prices!D615/Share_Prices!D614-1</f>
        <v>0.012196210250766</v>
      </c>
      <c r="E615" s="14" t="n">
        <f aca="false">Share_Prices!E615/Share_Prices!E614-1</f>
        <v>-0.00676709900910322</v>
      </c>
      <c r="F615" s="14" t="n">
        <f aca="false">Share_Prices!F615/Share_Prices!F614-1</f>
        <v>-0.0205347370615522</v>
      </c>
      <c r="G615" s="14" t="n">
        <f aca="false">Share_Prices!G615/Share_Prices!G614-1</f>
        <v>-0.0032133676092545</v>
      </c>
      <c r="H615" s="14" t="n">
        <f aca="false">Share_Prices!H615/Share_Prices!H614-1</f>
        <v>-0.0142676539642405</v>
      </c>
      <c r="I615" s="14" t="n">
        <f aca="false">Share_Prices!I615/Share_Prices!I614-1</f>
        <v>-0.0151454762853728</v>
      </c>
      <c r="J615" s="14" t="n">
        <f aca="false">Share_Prices!J615/Share_Prices!J614-1</f>
        <v>-0.00883025883025879</v>
      </c>
      <c r="K615" s="14" t="n">
        <f aca="false">Share_Prices!K615/Share_Prices!K614-1</f>
        <v>0.00278725198958441</v>
      </c>
      <c r="L615" s="14" t="n">
        <f aca="false">Share_Prices!L615/Share_Prices!L614-1</f>
        <v>0.0317102953522095</v>
      </c>
      <c r="M615" s="14" t="n">
        <f aca="false">Share_Prices!M615/Share_Prices!M614-1</f>
        <v>0.00240939664692297</v>
      </c>
      <c r="N615" s="14" t="n">
        <f aca="false">Share_Prices!N615/Share_Prices!N614-1</f>
        <v>-0.0241314144497747</v>
      </c>
      <c r="O615" s="14" t="n">
        <f aca="false">Share_Prices!O615/Share_Prices!O614-1</f>
        <v>-0.0195347185224649</v>
      </c>
      <c r="P615" s="14" t="n">
        <f aca="false">Share_Prices!P615/Share_Prices!P614-1</f>
        <v>-0.00244493190750383</v>
      </c>
      <c r="Q615" s="14" t="n">
        <f aca="false">Share_Prices!Q615/Share_Prices!Q614-1</f>
        <v>-0.027198398131153</v>
      </c>
      <c r="R615" s="14" t="n">
        <f aca="false">Share_Prices!R615/Share_Prices!R614-1</f>
        <v>0.0408618601389685</v>
      </c>
      <c r="S615" s="14" t="n">
        <f aca="false">Share_Prices!S615/Share_Prices!S614-1</f>
        <v>0.0159688051248723</v>
      </c>
    </row>
    <row r="616" customFormat="false" ht="15" hidden="false" customHeight="false" outlineLevel="0" collapsed="false">
      <c r="A616" s="13" t="n">
        <f aca="false">Share_Prices!A616</f>
        <v>45701</v>
      </c>
      <c r="B616" s="14" t="n">
        <f aca="false">Share_Prices!B616/Share_Prices!B615-1</f>
        <v>-0.00060099152753812</v>
      </c>
      <c r="C616" s="14" t="n">
        <f aca="false">Share_Prices!C616/Share_Prices!C615-1</f>
        <v>-0.000167401239247411</v>
      </c>
      <c r="D616" s="14" t="n">
        <f aca="false">Share_Prices!D616/Share_Prices!D615-1</f>
        <v>-0.0020571898786258</v>
      </c>
      <c r="E616" s="14" t="n">
        <f aca="false">Share_Prices!E616/Share_Prices!E615-1</f>
        <v>-0.00819206748316992</v>
      </c>
      <c r="F616" s="14" t="n">
        <f aca="false">Share_Prices!F616/Share_Prices!F615-1</f>
        <v>0.0318735699462567</v>
      </c>
      <c r="G616" s="14" t="n">
        <f aca="false">Share_Prices!G616/Share_Prices!G615-1</f>
        <v>0.0154738878143132</v>
      </c>
      <c r="H616" s="14" t="n">
        <f aca="false">Share_Prices!H616/Share_Prices!H615-1</f>
        <v>-0.0153291804079639</v>
      </c>
      <c r="I616" s="14" t="n">
        <f aca="false">Share_Prices!I616/Share_Prices!I615-1</f>
        <v>-0.0319708619991905</v>
      </c>
      <c r="J616" s="14" t="n">
        <f aca="false">Share_Prices!J616/Share_Prices!J615-1</f>
        <v>0.0243462578899909</v>
      </c>
      <c r="K616" s="14" t="n">
        <f aca="false">Share_Prices!K616/Share_Prices!K615-1</f>
        <v>0.0237355081739385</v>
      </c>
      <c r="L616" s="14" t="n">
        <f aca="false">Share_Prices!L616/Share_Prices!L615-1</f>
        <v>0.028812368236121</v>
      </c>
      <c r="M616" s="14" t="n">
        <f aca="false">Share_Prices!M616/Share_Prices!M615-1</f>
        <v>0.0472208312468705</v>
      </c>
      <c r="N616" s="14" t="n">
        <f aca="false">Share_Prices!N616/Share_Prices!N615-1</f>
        <v>-0.0123640697154773</v>
      </c>
      <c r="O616" s="14" t="n">
        <f aca="false">Share_Prices!O616/Share_Prices!O615-1</f>
        <v>0.023727585582322</v>
      </c>
      <c r="P616" s="14" t="n">
        <f aca="false">Share_Prices!P616/Share_Prices!P615-1</f>
        <v>0.0618228462789474</v>
      </c>
      <c r="Q616" s="14" t="n">
        <f aca="false">Share_Prices!Q616/Share_Prices!Q615-1</f>
        <v>0.0246998284734132</v>
      </c>
      <c r="R616" s="14" t="n">
        <f aca="false">Share_Prices!R616/Share_Prices!R615-1</f>
        <v>0.0532214600685939</v>
      </c>
      <c r="S616" s="14" t="n">
        <f aca="false">Share_Prices!S616/Share_Prices!S615-1</f>
        <v>0.00274147857077578</v>
      </c>
    </row>
    <row r="617" customFormat="false" ht="15" hidden="false" customHeight="false" outlineLevel="0" collapsed="false">
      <c r="A617" s="13" t="n">
        <f aca="false">Share_Prices!A617</f>
        <v>45702</v>
      </c>
      <c r="B617" s="14" t="n">
        <f aca="false">Share_Prices!B617/Share_Prices!B616-1</f>
        <v>-0.00443524926839023</v>
      </c>
      <c r="C617" s="14" t="n">
        <f aca="false">Share_Prices!C617/Share_Prices!C616-1</f>
        <v>-0.0129757682013553</v>
      </c>
      <c r="D617" s="14" t="n">
        <f aca="false">Share_Prices!D617/Share_Prices!D616-1</f>
        <v>-0.00753894631445651</v>
      </c>
      <c r="E617" s="14" t="n">
        <f aca="false">Share_Prices!E617/Share_Prices!E616-1</f>
        <v>-0.00670592083742239</v>
      </c>
      <c r="F617" s="14" t="n">
        <f aca="false">Share_Prices!F617/Share_Prices!F616-1</f>
        <v>-0.0343440594059407</v>
      </c>
      <c r="G617" s="14" t="n">
        <f aca="false">Share_Prices!G617/Share_Prices!G616-1</f>
        <v>-0.0321088435374151</v>
      </c>
      <c r="H617" s="14" t="n">
        <f aca="false">Share_Prices!H617/Share_Prices!H616-1</f>
        <v>-0.0166842399057247</v>
      </c>
      <c r="I617" s="14" t="n">
        <f aca="false">Share_Prices!I617/Share_Prices!I616-1</f>
        <v>-0.0643812709030101</v>
      </c>
      <c r="J617" s="14" t="n">
        <f aca="false">Share_Prices!J617/Share_Prices!J616-1</f>
        <v>-0.0633450704225352</v>
      </c>
      <c r="K617" s="14" t="n">
        <f aca="false">Share_Prices!K617/Share_Prices!K616-1</f>
        <v>-0.00198866342764592</v>
      </c>
      <c r="L617" s="14" t="n">
        <f aca="false">Share_Prices!L617/Share_Prices!L616-1</f>
        <v>-0.0106413574920908</v>
      </c>
      <c r="M617" s="14" t="n">
        <f aca="false">Share_Prices!M617/Share_Prices!M616-1</f>
        <v>-0.0760770812413332</v>
      </c>
      <c r="N617" s="14" t="n">
        <f aca="false">Share_Prices!N617/Share_Prices!N616-1</f>
        <v>-0.051734539969834</v>
      </c>
      <c r="O617" s="14" t="n">
        <f aca="false">Share_Prices!O617/Share_Prices!O616-1</f>
        <v>-0.0401627742392074</v>
      </c>
      <c r="P617" s="14" t="n">
        <f aca="false">Share_Prices!P617/Share_Prices!P616-1</f>
        <v>-0.0271378030891363</v>
      </c>
      <c r="Q617" s="14" t="n">
        <f aca="false">Share_Prices!Q617/Share_Prices!Q616-1</f>
        <v>-0.0406762638098426</v>
      </c>
      <c r="R617" s="14" t="n">
        <f aca="false">Share_Prices!R617/Share_Prices!R616-1</f>
        <v>-0.000988544513577994</v>
      </c>
      <c r="S617" s="14" t="n">
        <f aca="false">Share_Prices!S617/Share_Prices!S616-1</f>
        <v>-0.017315228287615</v>
      </c>
    </row>
    <row r="618" customFormat="false" ht="15" hidden="false" customHeight="false" outlineLevel="0" collapsed="false">
      <c r="A618" s="13" t="n">
        <f aca="false">Share_Prices!A618</f>
        <v>45705</v>
      </c>
      <c r="B618" s="14" t="n">
        <f aca="false">Share_Prices!B618/Share_Prices!B617-1</f>
        <v>0.00131927559776268</v>
      </c>
      <c r="C618" s="14" t="n">
        <f aca="false">Share_Prices!C618/Share_Prices!C617-1</f>
        <v>0.000932966931774582</v>
      </c>
      <c r="D618" s="14" t="n">
        <f aca="false">Share_Prices!D618/Share_Prices!D617-1</f>
        <v>0.000563781490163562</v>
      </c>
      <c r="E618" s="14" t="n">
        <f aca="false">Share_Prices!E618/Share_Prices!E617-1</f>
        <v>0.00255228058620127</v>
      </c>
      <c r="F618" s="14" t="n">
        <f aca="false">Share_Prices!F618/Share_Prices!F617-1</f>
        <v>0.0197052226850369</v>
      </c>
      <c r="G618" s="14" t="n">
        <f aca="false">Share_Prices!G618/Share_Prices!G617-1</f>
        <v>0.00927748102333426</v>
      </c>
      <c r="H618" s="14" t="n">
        <f aca="false">Share_Prices!H618/Share_Prices!H617-1</f>
        <v>-0.0144443042765233</v>
      </c>
      <c r="I618" s="14" t="n">
        <f aca="false">Share_Prices!I618/Share_Prices!I617-1</f>
        <v>0.00372356270479601</v>
      </c>
      <c r="J618" s="14" t="n">
        <f aca="false">Share_Prices!J618/Share_Prices!J617-1</f>
        <v>-0.0553738581256342</v>
      </c>
      <c r="K618" s="14" t="n">
        <f aca="false">Share_Prices!K618/Share_Prices!K617-1</f>
        <v>0.00408070732260257</v>
      </c>
      <c r="L618" s="14" t="n">
        <f aca="false">Share_Prices!L618/Share_Prices!L617-1</f>
        <v>-0.013844476744186</v>
      </c>
      <c r="M618" s="14" t="n">
        <f aca="false">Share_Prices!M618/Share_Prices!M617-1</f>
        <v>0.0509781596108063</v>
      </c>
      <c r="N618" s="14" t="n">
        <f aca="false">Share_Prices!N618/Share_Prices!N617-1</f>
        <v>0.000477175123270168</v>
      </c>
      <c r="O618" s="14" t="n">
        <f aca="false">Share_Prices!O618/Share_Prices!O617-1</f>
        <v>0.0206451612903227</v>
      </c>
      <c r="P618" s="14" t="n">
        <f aca="false">Share_Prices!P618/Share_Prices!P617-1</f>
        <v>-0.00487826511153489</v>
      </c>
      <c r="Q618" s="14" t="n">
        <f aca="false">Share_Prices!Q618/Share_Prices!Q617-1</f>
        <v>-0.00436224044669342</v>
      </c>
      <c r="R618" s="14" t="n">
        <f aca="false">Share_Prices!R618/Share_Prices!R617-1</f>
        <v>-0.00686845168800931</v>
      </c>
      <c r="S618" s="14" t="n">
        <f aca="false">Share_Prices!S618/Share_Prices!S617-1</f>
        <v>0.0207734396735604</v>
      </c>
    </row>
    <row r="619" customFormat="false" ht="15" hidden="false" customHeight="false" outlineLevel="0" collapsed="false">
      <c r="A619" s="13" t="n">
        <f aca="false">Share_Prices!A619</f>
        <v>45706</v>
      </c>
      <c r="B619" s="14" t="n">
        <f aca="false">Share_Prices!B619/Share_Prices!B618-1</f>
        <v>-0.000618480367603813</v>
      </c>
      <c r="C619" s="14" t="n">
        <f aca="false">Share_Prices!C619/Share_Prices!C618-1</f>
        <v>-0.00198282519906923</v>
      </c>
      <c r="D619" s="14" t="n">
        <f aca="false">Share_Prices!D619/Share_Prices!D618-1</f>
        <v>-0.00344009489916963</v>
      </c>
      <c r="E619" s="14" t="n">
        <f aca="false">Share_Prices!E619/Share_Prices!E618-1</f>
        <v>-0.0168350168350169</v>
      </c>
      <c r="F619" s="14" t="n">
        <f aca="false">Share_Prices!F619/Share_Prices!F618-1</f>
        <v>-0.0229903115998953</v>
      </c>
      <c r="G619" s="14" t="n">
        <f aca="false">Share_Prices!G619/Share_Prices!G618-1</f>
        <v>-0.0147632311977717</v>
      </c>
      <c r="H619" s="14" t="n">
        <f aca="false">Share_Prices!H619/Share_Prices!H618-1</f>
        <v>0.024384</v>
      </c>
      <c r="I619" s="14" t="n">
        <f aca="false">Share_Prices!I619/Share_Prices!I618-1</f>
        <v>-0.0436266508384033</v>
      </c>
      <c r="J619" s="14" t="n">
        <f aca="false">Share_Prices!J619/Share_Prices!J618-1</f>
        <v>0.0147644062400509</v>
      </c>
      <c r="K619" s="14" t="n">
        <f aca="false">Share_Prices!K619/Share_Prices!K618-1</f>
        <v>0.00467017623082322</v>
      </c>
      <c r="L619" s="14" t="n">
        <f aca="false">Share_Prices!L619/Share_Prices!L618-1</f>
        <v>-0.00482700173182504</v>
      </c>
      <c r="M619" s="14" t="n">
        <f aca="false">Share_Prices!M619/Share_Prices!M618-1</f>
        <v>-0.0516570640665781</v>
      </c>
      <c r="N619" s="14" t="n">
        <f aca="false">Share_Prices!N619/Share_Prices!N618-1</f>
        <v>-0.0286168521462639</v>
      </c>
      <c r="O619" s="14" t="n">
        <f aca="false">Share_Prices!O619/Share_Prices!O618-1</f>
        <v>-0.014628860393715</v>
      </c>
      <c r="P619" s="14" t="n">
        <f aca="false">Share_Prices!P619/Share_Prices!P618-1</f>
        <v>0.000267391594990896</v>
      </c>
      <c r="Q619" s="14" t="n">
        <f aca="false">Share_Prices!Q619/Share_Prices!Q618-1</f>
        <v>0.0185769365580091</v>
      </c>
      <c r="R619" s="14" t="n">
        <f aca="false">Share_Prices!R619/Share_Prices!R618-1</f>
        <v>0.0143593951471106</v>
      </c>
      <c r="S619" s="14" t="n">
        <f aca="false">Share_Prices!S619/Share_Prices!S618-1</f>
        <v>0.00545107658762611</v>
      </c>
    </row>
    <row r="620" customFormat="false" ht="15" hidden="false" customHeight="false" outlineLevel="0" collapsed="false">
      <c r="A620" s="13" t="n">
        <f aca="false">Share_Prices!A620</f>
        <v>45707</v>
      </c>
      <c r="B620" s="14" t="n">
        <f aca="false">Share_Prices!B620/Share_Prices!B619-1</f>
        <v>-0.000540415684257667</v>
      </c>
      <c r="C620" s="14" t="n">
        <f aca="false">Share_Prices!C620/Share_Prices!C619-1</f>
        <v>0.00582444666543758</v>
      </c>
      <c r="D620" s="14" t="n">
        <f aca="false">Share_Prices!D620/Share_Prices!D619-1</f>
        <v>0.00208308534698243</v>
      </c>
      <c r="E620" s="14" t="n">
        <f aca="false">Share_Prices!E620/Share_Prices!E619-1</f>
        <v>0.00367524223187421</v>
      </c>
      <c r="F620" s="14" t="n">
        <f aca="false">Share_Prices!F620/Share_Prices!F619-1</f>
        <v>-0.00680746140651789</v>
      </c>
      <c r="G620" s="14" t="n">
        <f aca="false">Share_Prices!G620/Share_Prices!G619-1</f>
        <v>0.0196965413250401</v>
      </c>
      <c r="H620" s="14" t="n">
        <f aca="false">Share_Prices!H620/Share_Prices!H619-1</f>
        <v>0.0132450331125828</v>
      </c>
      <c r="I620" s="14" t="n">
        <f aca="false">Share_Prices!I620/Share_Prices!I619-1</f>
        <v>0.0356865787432117</v>
      </c>
      <c r="J620" s="14" t="n">
        <f aca="false">Share_Prices!J620/Share_Prices!J619-1</f>
        <v>0.00368641907525791</v>
      </c>
      <c r="K620" s="14" t="n">
        <f aca="false">Share_Prices!K620/Share_Prices!K619-1</f>
        <v>-0.00312263436790328</v>
      </c>
      <c r="L620" s="14" t="n">
        <f aca="false">Share_Prices!L620/Share_Prices!L619-1</f>
        <v>0.0185130331753554</v>
      </c>
      <c r="M620" s="14" t="n">
        <f aca="false">Share_Prices!M620/Share_Prices!M619-1</f>
        <v>-0.0724893550732163</v>
      </c>
      <c r="N620" s="14" t="n">
        <f aca="false">Share_Prices!N620/Share_Prices!N619-1</f>
        <v>0.0283142389525368</v>
      </c>
      <c r="O620" s="14" t="n">
        <f aca="false">Share_Prices!O620/Share_Prices!O619-1</f>
        <v>0.0205278592375366</v>
      </c>
      <c r="P620" s="14" t="n">
        <f aca="false">Share_Prices!P620/Share_Prices!P619-1</f>
        <v>0.00877701047003776</v>
      </c>
      <c r="Q620" s="14" t="n">
        <f aca="false">Share_Prices!Q620/Share_Prices!Q619-1</f>
        <v>-0.0172057811424639</v>
      </c>
      <c r="R620" s="14" t="n">
        <f aca="false">Share_Prices!R620/Share_Prices!R619-1</f>
        <v>-0.00860923325821927</v>
      </c>
      <c r="S620" s="14" t="n">
        <f aca="false">Share_Prices!S620/Share_Prices!S619-1</f>
        <v>0.0080419264479985</v>
      </c>
    </row>
    <row r="621" customFormat="false" ht="15" hidden="false" customHeight="false" outlineLevel="0" collapsed="false">
      <c r="A621" s="13" t="n">
        <f aca="false">Share_Prices!A621</f>
        <v>45708</v>
      </c>
      <c r="B621" s="14" t="n">
        <f aca="false">Share_Prices!B621/Share_Prices!B620-1</f>
        <v>-0.000861208133293268</v>
      </c>
      <c r="C621" s="14" t="n">
        <f aca="false">Share_Prices!C621/Share_Prices!C620-1</f>
        <v>0.00480670671853622</v>
      </c>
      <c r="D621" s="14" t="n">
        <f aca="false">Share_Prices!D621/Share_Prices!D620-1</f>
        <v>0.00386054522777224</v>
      </c>
      <c r="E621" s="14" t="n">
        <f aca="false">Share_Prices!E621/Share_Prices!E620-1</f>
        <v>0.00707390146471365</v>
      </c>
      <c r="F621" s="14" t="n">
        <f aca="false">Share_Prices!F621/Share_Prices!F620-1</f>
        <v>0.0167305305197258</v>
      </c>
      <c r="G621" s="14" t="n">
        <f aca="false">Share_Prices!G621/Share_Prices!G620-1</f>
        <v>0.00794824399260619</v>
      </c>
      <c r="H621" s="14" t="n">
        <f aca="false">Share_Prices!H621/Share_Prices!H620-1</f>
        <v>0.0194228634850167</v>
      </c>
      <c r="I621" s="14" t="n">
        <f aca="false">Share_Prices!I621/Share_Prices!I620-1</f>
        <v>0.0199250936329587</v>
      </c>
      <c r="J621" s="14" t="n">
        <f aca="false">Share_Prices!J621/Share_Prices!J620-1</f>
        <v>0.0260618137772046</v>
      </c>
      <c r="K621" s="14" t="n">
        <f aca="false">Share_Prices!K621/Share_Prices!K620-1</f>
        <v>-0.00474608448030378</v>
      </c>
      <c r="L621" s="14" t="n">
        <f aca="false">Share_Prices!L621/Share_Prices!L620-1</f>
        <v>0.0144321651883088</v>
      </c>
      <c r="M621" s="14" t="n">
        <f aca="false">Share_Prices!M621/Share_Prices!M620-1</f>
        <v>-0.0201545179711119</v>
      </c>
      <c r="N621" s="14" t="n">
        <f aca="false">Share_Prices!N621/Share_Prices!N620-1</f>
        <v>0.0135285691548623</v>
      </c>
      <c r="O621" s="14" t="n">
        <f aca="false">Share_Prices!O621/Share_Prices!O620-1</f>
        <v>0.00754310344827602</v>
      </c>
      <c r="P621" s="14" t="n">
        <f aca="false">Share_Prices!P621/Share_Prices!P620-1</f>
        <v>0.00532196802402618</v>
      </c>
      <c r="Q621" s="14" t="n">
        <f aca="false">Share_Prices!Q621/Share_Prices!Q620-1</f>
        <v>0.0166316526610644</v>
      </c>
      <c r="R621" s="14" t="n">
        <f aca="false">Share_Prices!R621/Share_Prices!R620-1</f>
        <v>-0.00944165986711743</v>
      </c>
      <c r="S621" s="14" t="n">
        <f aca="false">Share_Prices!S621/Share_Prices!S620-1</f>
        <v>0.0413230548583723</v>
      </c>
    </row>
    <row r="622" customFormat="false" ht="15" hidden="false" customHeight="false" outlineLevel="0" collapsed="false">
      <c r="A622" s="13" t="n">
        <f aca="false">Share_Prices!A622</f>
        <v>45709</v>
      </c>
      <c r="B622" s="14" t="n">
        <f aca="false">Share_Prices!B622/Share_Prices!B621-1</f>
        <v>-0.00511714888612003</v>
      </c>
      <c r="C622" s="14" t="n">
        <f aca="false">Share_Prices!C622/Share_Prices!C621-1</f>
        <v>-0.00676152483546233</v>
      </c>
      <c r="D622" s="14" t="n">
        <f aca="false">Share_Prices!D622/Share_Prices!D621-1</f>
        <v>0.000325405277481927</v>
      </c>
      <c r="E622" s="14" t="n">
        <f aca="false">Share_Prices!E622/Share_Prices!E621-1</f>
        <v>-0.0107429138087761</v>
      </c>
      <c r="F622" s="14" t="n">
        <f aca="false">Share_Prices!F622/Share_Prices!F621-1</f>
        <v>-0.00881150804182818</v>
      </c>
      <c r="G622" s="14" t="n">
        <f aca="false">Share_Prices!G622/Share_Prices!G621-1</f>
        <v>-0.00229231615624426</v>
      </c>
      <c r="H622" s="14" t="n">
        <f aca="false">Share_Prices!H622/Share_Prices!H621-1</f>
        <v>-0.0265529546966672</v>
      </c>
      <c r="I622" s="14" t="n">
        <f aca="false">Share_Prices!I622/Share_Prices!I621-1</f>
        <v>0.00264394829612225</v>
      </c>
      <c r="J622" s="14" t="n">
        <f aca="false">Share_Prices!J622/Share_Prices!J621-1</f>
        <v>0.0161081492764661</v>
      </c>
      <c r="K622" s="14" t="n">
        <f aca="false">Share_Prices!K622/Share_Prices!K621-1</f>
        <v>-0.000321888412017191</v>
      </c>
      <c r="L622" s="14" t="n">
        <f aca="false">Share_Prices!L622/Share_Prices!L621-1</f>
        <v>-0.00795556351908255</v>
      </c>
      <c r="M622" s="14" t="n">
        <f aca="false">Share_Prices!M622/Share_Prices!M621-1</f>
        <v>-0.00999885727345451</v>
      </c>
      <c r="N622" s="14" t="n">
        <f aca="false">Share_Prices!N622/Share_Prices!N621-1</f>
        <v>0.00345477386934689</v>
      </c>
      <c r="O622" s="14" t="n">
        <f aca="false">Share_Prices!O622/Share_Prices!O621-1</f>
        <v>-0.0358288770053477</v>
      </c>
      <c r="P622" s="14" t="n">
        <f aca="false">Share_Prices!P622/Share_Prices!P621-1</f>
        <v>-0.0281823174080176</v>
      </c>
      <c r="Q622" s="14" t="n">
        <f aca="false">Share_Prices!Q622/Share_Prices!Q621-1</f>
        <v>0.000861029791630719</v>
      </c>
      <c r="R622" s="14" t="n">
        <f aca="false">Share_Prices!R622/Share_Prices!R621-1</f>
        <v>-0.0171805130618968</v>
      </c>
      <c r="S622" s="14" t="n">
        <f aca="false">Share_Prices!S622/Share_Prices!S621-1</f>
        <v>0.00731686321769831</v>
      </c>
    </row>
    <row r="623" customFormat="false" ht="15" hidden="false" customHeight="false" outlineLevel="0" collapsed="false">
      <c r="A623" s="13" t="n">
        <f aca="false">Share_Prices!A623</f>
        <v>45712</v>
      </c>
      <c r="B623" s="14" t="n">
        <f aca="false">Share_Prices!B623/Share_Prices!B622-1</f>
        <v>-0.0106400712408812</v>
      </c>
      <c r="C623" s="14" t="n">
        <f aca="false">Share_Prices!C623/Share_Prices!C622-1</f>
        <v>-0.0107200251326107</v>
      </c>
      <c r="D623" s="14" t="n">
        <f aca="false">Share_Prices!D623/Share_Prices!D622-1</f>
        <v>-0.00452461925181136</v>
      </c>
      <c r="E623" s="14" t="n">
        <f aca="false">Share_Prices!E623/Share_Prices!E622-1</f>
        <v>0.0111101829421103</v>
      </c>
      <c r="F623" s="14" t="n">
        <f aca="false">Share_Prices!F623/Share_Prices!F622-1</f>
        <v>-0.0271515021689071</v>
      </c>
      <c r="G623" s="14" t="n">
        <f aca="false">Share_Prices!G623/Share_Prices!G622-1</f>
        <v>-0.0124988512085286</v>
      </c>
      <c r="H623" s="14" t="n">
        <f aca="false">Share_Prices!H623/Share_Prices!H622-1</f>
        <v>-0.0195103765378403</v>
      </c>
      <c r="I623" s="14" t="n">
        <f aca="false">Share_Prices!I623/Share_Prices!I622-1</f>
        <v>-0.0190448285965427</v>
      </c>
      <c r="J623" s="14" t="n">
        <f aca="false">Share_Prices!J623/Share_Prices!J622-1</f>
        <v>-0.0259715923996553</v>
      </c>
      <c r="K623" s="14" t="n">
        <f aca="false">Share_Prices!K623/Share_Prices!K622-1</f>
        <v>-0.0049729884440628</v>
      </c>
      <c r="L623" s="14" t="n">
        <f aca="false">Share_Prices!L623/Share_Prices!L622-1</f>
        <v>-0.00498500885019693</v>
      </c>
      <c r="M623" s="14" t="n">
        <f aca="false">Share_Prices!M623/Share_Prices!M622-1</f>
        <v>-0.0148323425867144</v>
      </c>
      <c r="N623" s="14" t="n">
        <f aca="false">Share_Prices!N623/Share_Prices!N622-1</f>
        <v>-0.0267605633802818</v>
      </c>
      <c r="O623" s="14" t="n">
        <f aca="false">Share_Prices!O623/Share_Prices!O622-1</f>
        <v>0.00332778702163083</v>
      </c>
      <c r="P623" s="14" t="n">
        <f aca="false">Share_Prices!P623/Share_Prices!P622-1</f>
        <v>-0.0106459924958183</v>
      </c>
      <c r="Q623" s="14" t="n">
        <f aca="false">Share_Prices!Q623/Share_Prices!Q622-1</f>
        <v>-0.0263248451479698</v>
      </c>
      <c r="R623" s="14" t="n">
        <f aca="false">Share_Prices!R623/Share_Prices!R622-1</f>
        <v>0.00484913793103448</v>
      </c>
      <c r="S623" s="14" t="n">
        <f aca="false">Share_Prices!S623/Share_Prices!S622-1</f>
        <v>-0.0135019654759869</v>
      </c>
    </row>
    <row r="624" customFormat="false" ht="15" hidden="false" customHeight="false" outlineLevel="0" collapsed="false">
      <c r="A624" s="13" t="n">
        <f aca="false">Share_Prices!A624</f>
        <v>45713</v>
      </c>
      <c r="B624" s="14" t="n">
        <f aca="false">Share_Prices!B624/Share_Prices!B623-1</f>
        <v>-0.000257168003866326</v>
      </c>
      <c r="C624" s="14" t="n">
        <f aca="false">Share_Prices!C624/Share_Prices!C623-1</f>
        <v>-0.00242812719087182</v>
      </c>
      <c r="D624" s="14" t="n">
        <f aca="false">Share_Prices!D624/Share_Prices!D623-1</f>
        <v>0.00888241934525591</v>
      </c>
      <c r="E624" s="14" t="n">
        <f aca="false">Share_Prices!E624/Share_Prices!E623-1</f>
        <v>-0.0451916721744878</v>
      </c>
      <c r="F624" s="14" t="n">
        <f aca="false">Share_Prices!F624/Share_Prices!F623-1</f>
        <v>-0.0256523175162391</v>
      </c>
      <c r="G624" s="14" t="n">
        <f aca="false">Share_Prices!G624/Share_Prices!G623-1</f>
        <v>-0.0294090274546299</v>
      </c>
      <c r="H624" s="14" t="n">
        <f aca="false">Share_Prices!H624/Share_Prices!H623-1</f>
        <v>0.00405576679340935</v>
      </c>
      <c r="I624" s="14" t="n">
        <f aca="false">Share_Prices!I624/Share_Prices!I623-1</f>
        <v>0.00418160095579445</v>
      </c>
      <c r="J624" s="14" t="n">
        <f aca="false">Share_Prices!J624/Share_Prices!J623-1</f>
        <v>0.00157752981916115</v>
      </c>
      <c r="K624" s="14" t="n">
        <f aca="false">Share_Prices!K624/Share_Prices!K623-1</f>
        <v>0.0160242581140035</v>
      </c>
      <c r="L624" s="14" t="n">
        <f aca="false">Share_Prices!L624/Share_Prices!L623-1</f>
        <v>-0.00686149936467606</v>
      </c>
      <c r="M624" s="14" t="n">
        <f aca="false">Share_Prices!M624/Share_Prices!M623-1</f>
        <v>0.0151728178090218</v>
      </c>
      <c r="N624" s="14" t="n">
        <f aca="false">Share_Prices!N624/Share_Prices!N623-1</f>
        <v>0.00498472423219165</v>
      </c>
      <c r="O624" s="14" t="n">
        <f aca="false">Share_Prices!O624/Share_Prices!O623-1</f>
        <v>-0.00128984706099144</v>
      </c>
      <c r="P624" s="14" t="n">
        <f aca="false">Share_Prices!P624/Share_Prices!P623-1</f>
        <v>-0.00242169472938714</v>
      </c>
      <c r="Q624" s="14" t="n">
        <f aca="false">Share_Prices!Q624/Share_Prices!Q623-1</f>
        <v>-0.0238558049125287</v>
      </c>
      <c r="R624" s="14" t="n">
        <f aca="false">Share_Prices!R624/Share_Prices!R623-1</f>
        <v>0.00172773309502539</v>
      </c>
      <c r="S624" s="14" t="n">
        <f aca="false">Share_Prices!S624/Share_Prices!S623-1</f>
        <v>-0.00511088011088023</v>
      </c>
    </row>
    <row r="625" customFormat="false" ht="15" hidden="false" customHeight="false" outlineLevel="0" collapsed="false">
      <c r="A625" s="13" t="n">
        <f aca="false">Share_Prices!A625</f>
        <v>45715</v>
      </c>
      <c r="B625" s="14" t="n">
        <f aca="false">Share_Prices!B625/Share_Prices!B624-1</f>
        <v>-0.000110876791491799</v>
      </c>
      <c r="C625" s="14" t="n">
        <f aca="false">Share_Prices!C625/Share_Prices!C624-1</f>
        <v>-0.00505417814508724</v>
      </c>
      <c r="D625" s="14" t="n">
        <f aca="false">Share_Prices!D625/Share_Prices!D624-1</f>
        <v>-0.00453461323282589</v>
      </c>
      <c r="E625" s="14" t="n">
        <f aca="false">Share_Prices!E625/Share_Prices!E624-1</f>
        <v>-0.00527818638054867</v>
      </c>
      <c r="F625" s="14" t="n">
        <f aca="false">Share_Prices!F625/Share_Prices!F624-1</f>
        <v>0.0450847457627119</v>
      </c>
      <c r="G625" s="14" t="n">
        <f aca="false">Share_Prices!G625/Share_Prices!G624-1</f>
        <v>-0.0153418352670438</v>
      </c>
      <c r="H625" s="14" t="n">
        <f aca="false">Share_Prices!H625/Share_Prices!H624-1</f>
        <v>-0.00946730623579906</v>
      </c>
      <c r="I625" s="14" t="n">
        <f aca="false">Share_Prices!I625/Share_Prices!I624-1</f>
        <v>0.0169541939321831</v>
      </c>
      <c r="J625" s="14" t="n">
        <f aca="false">Share_Prices!J625/Share_Prices!J624-1</f>
        <v>-0.0142522377165687</v>
      </c>
      <c r="K625" s="14" t="n">
        <f aca="false">Share_Prices!K625/Share_Prices!K624-1</f>
        <v>0.0255151994149081</v>
      </c>
      <c r="L625" s="14" t="n">
        <f aca="false">Share_Prices!L625/Share_Prices!L624-1</f>
        <v>0.0517985085538824</v>
      </c>
      <c r="M625" s="14" t="n">
        <f aca="false">Share_Prices!M625/Share_Prices!M624-1</f>
        <v>0.121184142189394</v>
      </c>
      <c r="N625" s="14" t="n">
        <f aca="false">Share_Prices!N625/Share_Prices!N624-1</f>
        <v>0.0140799999999999</v>
      </c>
      <c r="O625" s="14" t="n">
        <f aca="false">Share_Prices!O625/Share_Prices!O624-1</f>
        <v>0.0402214022140222</v>
      </c>
      <c r="P625" s="14" t="n">
        <f aca="false">Share_Prices!P625/Share_Prices!P624-1</f>
        <v>0.0116340318332762</v>
      </c>
      <c r="Q625" s="14" t="n">
        <f aca="false">Share_Prices!Q625/Share_Prices!Q624-1</f>
        <v>0.024438812454743</v>
      </c>
      <c r="R625" s="14" t="n">
        <f aca="false">Share_Prices!R625/Share_Prices!R624-1</f>
        <v>0.0190912334958961</v>
      </c>
      <c r="S625" s="14" t="n">
        <f aca="false">Share_Prices!S625/Share_Prices!S624-1</f>
        <v>0.0566826295167608</v>
      </c>
    </row>
    <row r="626" customFormat="false" ht="15" hidden="false" customHeight="false" outlineLevel="0" collapsed="false">
      <c r="A626" s="13" t="n">
        <f aca="false">Share_Prices!A626</f>
        <v>45716</v>
      </c>
      <c r="B626" s="14" t="n">
        <f aca="false">Share_Prices!B626/Share_Prices!B625-1</f>
        <v>-0.0186448910071168</v>
      </c>
      <c r="C626" s="14" t="n">
        <f aca="false">Share_Prices!C626/Share_Prices!C625-1</f>
        <v>-0.0213949413134273</v>
      </c>
      <c r="D626" s="14" t="n">
        <f aca="false">Share_Prices!D626/Share_Prices!D625-1</f>
        <v>-0.00283964859348651</v>
      </c>
      <c r="E626" s="14" t="n">
        <f aca="false">Share_Prices!E626/Share_Prices!E625-1</f>
        <v>0.0049582463465554</v>
      </c>
      <c r="F626" s="14" t="n">
        <f aca="false">Share_Prices!F626/Share_Prices!F625-1</f>
        <v>0.101362309438858</v>
      </c>
      <c r="G626" s="14" t="n">
        <f aca="false">Share_Prices!G626/Share_Prices!G625-1</f>
        <v>-0.032232934073425</v>
      </c>
      <c r="H626" s="14" t="n">
        <f aca="false">Share_Prices!H626/Share_Prices!H625-1</f>
        <v>-0.0272078501338091</v>
      </c>
      <c r="I626" s="14" t="n">
        <f aca="false">Share_Prices!I626/Share_Prices!I625-1</f>
        <v>-0.0333430827727405</v>
      </c>
      <c r="J626" s="14" t="n">
        <f aca="false">Share_Prices!J626/Share_Prices!J625-1</f>
        <v>-0.00346843335931413</v>
      </c>
      <c r="K626" s="14" t="n">
        <f aca="false">Share_Prices!K626/Share_Prices!K625-1</f>
        <v>-0.020118247906506</v>
      </c>
      <c r="L626" s="14" t="n">
        <f aca="false">Share_Prices!L626/Share_Prices!L625-1</f>
        <v>-0.0263441420776422</v>
      </c>
      <c r="M626" s="14" t="n">
        <f aca="false">Share_Prices!M626/Share_Prices!M625-1</f>
        <v>-0.0538885171650626</v>
      </c>
      <c r="N626" s="14" t="n">
        <f aca="false">Share_Prices!N626/Share_Prices!N625-1</f>
        <v>-0.0473335437046387</v>
      </c>
      <c r="O626" s="14" t="n">
        <f aca="false">Share_Prices!O626/Share_Prices!O625-1</f>
        <v>-0.0400851365732527</v>
      </c>
      <c r="P626" s="14" t="n">
        <f aca="false">Share_Prices!P626/Share_Prices!P625-1</f>
        <v>-0.0343422452629434</v>
      </c>
      <c r="Q626" s="14" t="n">
        <f aca="false">Share_Prices!Q626/Share_Prices!Q625-1</f>
        <v>-0.00583141897861805</v>
      </c>
      <c r="R626" s="14" t="n">
        <f aca="false">Share_Prices!R626/Share_Prices!R625-1</f>
        <v>-0.0209512693317772</v>
      </c>
      <c r="S626" s="14" t="n">
        <f aca="false">Share_Prices!S626/Share_Prices!S625-1</f>
        <v>0.0173038892551087</v>
      </c>
    </row>
    <row r="627" customFormat="false" ht="15" hidden="false" customHeight="false" outlineLevel="0" collapsed="false">
      <c r="A627" s="13" t="n">
        <f aca="false">Share_Prices!A627</f>
        <v>45719</v>
      </c>
      <c r="B627" s="14" t="n">
        <f aca="false">Share_Prices!B627/Share_Prices!B626-1</f>
        <v>-0.00024407110604896</v>
      </c>
      <c r="C627" s="14" t="n">
        <f aca="false">Share_Prices!C627/Share_Prices!C626-1</f>
        <v>0.000807307516259348</v>
      </c>
      <c r="D627" s="14" t="n">
        <f aca="false">Share_Prices!D627/Share_Prices!D626-1</f>
        <v>-0.00450891400433084</v>
      </c>
      <c r="E627" s="14" t="n">
        <f aca="false">Share_Prices!E627/Share_Prices!E626-1</f>
        <v>0.00181770968579609</v>
      </c>
      <c r="F627" s="14" t="n">
        <f aca="false">Share_Prices!F627/Share_Prices!F626-1</f>
        <v>-0.0193884062239238</v>
      </c>
      <c r="G627" s="14" t="n">
        <f aca="false">Share_Prices!G627/Share_Prices!G626-1</f>
        <v>0.00794928557053742</v>
      </c>
      <c r="H627" s="14" t="n">
        <f aca="false">Share_Prices!H627/Share_Prices!H626-1</f>
        <v>0.00353704067596761</v>
      </c>
      <c r="I627" s="14" t="n">
        <f aca="false">Share_Prices!I627/Share_Prices!I626-1</f>
        <v>-0.0291981845688351</v>
      </c>
      <c r="J627" s="14" t="n">
        <f aca="false">Share_Prices!J627/Share_Prices!J626-1</f>
        <v>-0.0019944468343045</v>
      </c>
      <c r="K627" s="14" t="n">
        <f aca="false">Share_Prices!K627/Share_Prices!K626-1</f>
        <v>0.0114336694566073</v>
      </c>
      <c r="L627" s="14" t="n">
        <f aca="false">Share_Prices!L627/Share_Prices!L626-1</f>
        <v>0.0135641620560414</v>
      </c>
      <c r="M627" s="14" t="n">
        <f aca="false">Share_Prices!M627/Share_Prices!M626-1</f>
        <v>-0.0238820585355239</v>
      </c>
      <c r="N627" s="14" t="n">
        <f aca="false">Share_Prices!N627/Share_Prices!N626-1</f>
        <v>-0.0332891685988737</v>
      </c>
      <c r="O627" s="14" t="n">
        <f aca="false">Share_Prices!O627/Share_Prices!O626-1</f>
        <v>-0.000739098300074126</v>
      </c>
      <c r="P627" s="14" t="n">
        <f aca="false">Share_Prices!P627/Share_Prices!P626-1</f>
        <v>0.00632970742685668</v>
      </c>
      <c r="Q627" s="14" t="n">
        <f aca="false">Share_Prices!Q627/Share_Prices!Q626-1</f>
        <v>-0.0266619267685745</v>
      </c>
      <c r="R627" s="14" t="n">
        <f aca="false">Share_Prices!R627/Share_Prices!R626-1</f>
        <v>-0.0129351454458749</v>
      </c>
      <c r="S627" s="14" t="n">
        <f aca="false">Share_Prices!S627/Share_Prices!S626-1</f>
        <v>0.00647983152438036</v>
      </c>
    </row>
    <row r="628" customFormat="false" ht="15" hidden="false" customHeight="false" outlineLevel="0" collapsed="false">
      <c r="A628" s="13" t="n">
        <f aca="false">Share_Prices!A628</f>
        <v>45720</v>
      </c>
      <c r="B628" s="14" t="n">
        <f aca="false">Share_Prices!B628/Share_Prices!B627-1</f>
        <v>-0.00165692404370832</v>
      </c>
      <c r="C628" s="14" t="n">
        <f aca="false">Share_Prices!C628/Share_Prices!C627-1</f>
        <v>0.00105041224911351</v>
      </c>
      <c r="D628" s="14" t="n">
        <f aca="false">Share_Prices!D628/Share_Prices!D627-1</f>
        <v>-0.000119193062963707</v>
      </c>
      <c r="E628" s="14" t="n">
        <f aca="false">Share_Prices!E628/Share_Prices!E627-1</f>
        <v>0.0240193537238638</v>
      </c>
      <c r="F628" s="14" t="n">
        <f aca="false">Share_Prices!F628/Share_Prices!F627-1</f>
        <v>-0.000250275302833169</v>
      </c>
      <c r="G628" s="14" t="n">
        <f aca="false">Share_Prices!G628/Share_Prices!G627-1</f>
        <v>0.00469202355994791</v>
      </c>
      <c r="H628" s="14" t="n">
        <f aca="false">Share_Prices!H628/Share_Prices!H627-1</f>
        <v>0.0253899875987207</v>
      </c>
      <c r="I628" s="14" t="n">
        <f aca="false">Share_Prices!I628/Share_Prices!I627-1</f>
        <v>-0.00124668848371523</v>
      </c>
      <c r="J628" s="14" t="n">
        <f aca="false">Share_Prices!J628/Share_Prices!J627-1</f>
        <v>-0.017358934169279</v>
      </c>
      <c r="K628" s="14" t="n">
        <f aca="false">Share_Prices!K628/Share_Prices!K627-1</f>
        <v>-0.00485138287624343</v>
      </c>
      <c r="L628" s="14" t="n">
        <f aca="false">Share_Prices!L628/Share_Prices!L627-1</f>
        <v>0.0210248283148442</v>
      </c>
      <c r="M628" s="14" t="n">
        <f aca="false">Share_Prices!M628/Share_Prices!M627-1</f>
        <v>0.00601906035779964</v>
      </c>
      <c r="N628" s="14" t="n">
        <f aca="false">Share_Prices!N628/Share_Prices!N627-1</f>
        <v>-0.0282679458626006</v>
      </c>
      <c r="O628" s="14" t="n">
        <f aca="false">Share_Prices!O628/Share_Prices!O627-1</f>
        <v>-0.0142381656804732</v>
      </c>
      <c r="P628" s="14" t="n">
        <f aca="false">Share_Prices!P628/Share_Prices!P627-1</f>
        <v>0.00253925359921725</v>
      </c>
      <c r="Q628" s="14" t="n">
        <f aca="false">Share_Prices!Q628/Share_Prices!Q627-1</f>
        <v>0.00894813732651567</v>
      </c>
      <c r="R628" s="14" t="n">
        <f aca="false">Share_Prices!R628/Share_Prices!R627-1</f>
        <v>0.00809227610362928</v>
      </c>
      <c r="S628" s="14" t="n">
        <f aca="false">Share_Prices!S628/Share_Prices!S627-1</f>
        <v>0.0186705295348464</v>
      </c>
    </row>
    <row r="629" customFormat="false" ht="15" hidden="false" customHeight="false" outlineLevel="0" collapsed="false">
      <c r="A629" s="13" t="n">
        <f aca="false">Share_Prices!A629</f>
        <v>45721</v>
      </c>
      <c r="B629" s="14" t="n">
        <f aca="false">Share_Prices!B629/Share_Prices!B628-1</f>
        <v>0.0115316775839855</v>
      </c>
      <c r="C629" s="14" t="n">
        <f aca="false">Share_Prices!C629/Share_Prices!C628-1</f>
        <v>0.0170023370996368</v>
      </c>
      <c r="D629" s="14" t="n">
        <f aca="false">Share_Prices!D629/Share_Prices!D628-1</f>
        <v>0.0139174489643867</v>
      </c>
      <c r="E629" s="14" t="n">
        <f aca="false">Share_Prices!E629/Share_Prices!E628-1</f>
        <v>0.0176341545730678</v>
      </c>
      <c r="F629" s="14" t="n">
        <f aca="false">Share_Prices!F629/Share_Prices!F628-1</f>
        <v>0.0111150052570972</v>
      </c>
      <c r="G629" s="14" t="n">
        <f aca="false">Share_Prices!G629/Share_Prices!G628-1</f>
        <v>0.0344793322734498</v>
      </c>
      <c r="H629" s="14" t="n">
        <f aca="false">Share_Prices!H629/Share_Prices!H628-1</f>
        <v>0.0248249522597073</v>
      </c>
      <c r="I629" s="14" t="n">
        <f aca="false">Share_Prices!I629/Share_Prices!I628-1</f>
        <v>0.0137306912154784</v>
      </c>
      <c r="J629" s="14" t="n">
        <f aca="false">Share_Prices!J629/Share_Prices!J628-1</f>
        <v>-0.0119631534872593</v>
      </c>
      <c r="K629" s="14" t="n">
        <f aca="false">Share_Prices!K629/Share_Prices!K628-1</f>
        <v>-0.0334604574134331</v>
      </c>
      <c r="L629" s="14" t="n">
        <f aca="false">Share_Prices!L629/Share_Prices!L628-1</f>
        <v>-0.00186258278145679</v>
      </c>
      <c r="M629" s="14" t="n">
        <f aca="false">Share_Prices!M629/Share_Prices!M628-1</f>
        <v>0.0196111018780123</v>
      </c>
      <c r="N629" s="14" t="n">
        <f aca="false">Share_Prices!N629/Share_Prices!N628-1</f>
        <v>0.106135401974612</v>
      </c>
      <c r="O629" s="14" t="n">
        <f aca="false">Share_Prices!O629/Share_Prices!O628-1</f>
        <v>0.0354530106921778</v>
      </c>
      <c r="P629" s="14" t="n">
        <f aca="false">Share_Prices!P629/Share_Prices!P628-1</f>
        <v>-0.0120134774021146</v>
      </c>
      <c r="Q629" s="14" t="n">
        <f aca="false">Share_Prices!Q629/Share_Prices!Q628-1</f>
        <v>0.0325791855203621</v>
      </c>
      <c r="R629" s="14" t="n">
        <f aca="false">Share_Prices!R629/Share_Prices!R628-1</f>
        <v>0.0112023003654227</v>
      </c>
      <c r="S629" s="14" t="n">
        <f aca="false">Share_Prices!S629/Share_Prices!S628-1</f>
        <v>-0.00252804550481911</v>
      </c>
    </row>
    <row r="630" customFormat="false" ht="15" hidden="false" customHeight="false" outlineLevel="0" collapsed="false">
      <c r="A630" s="13" t="n">
        <f aca="false">Share_Prices!A630</f>
        <v>45722</v>
      </c>
      <c r="B630" s="14" t="n">
        <f aca="false">Share_Prices!B630/Share_Prices!B629-1</f>
        <v>0.00928491805186837</v>
      </c>
      <c r="C630" s="14" t="n">
        <f aca="false">Share_Prices!C630/Share_Prices!C629-1</f>
        <v>0.0094093254017229</v>
      </c>
      <c r="D630" s="14" t="n">
        <f aca="false">Share_Prices!D630/Share_Prices!D629-1</f>
        <v>0.00288048909529137</v>
      </c>
      <c r="E630" s="14" t="n">
        <f aca="false">Share_Prices!E630/Share_Prices!E629-1</f>
        <v>0.00522344747533388</v>
      </c>
      <c r="F630" s="14" t="n">
        <f aca="false">Share_Prices!F630/Share_Prices!F629-1</f>
        <v>-0.00896261450854163</v>
      </c>
      <c r="G630" s="14" t="n">
        <f aca="false">Share_Prices!G630/Share_Prices!G629-1</f>
        <v>0.0184420324656613</v>
      </c>
      <c r="H630" s="14" t="n">
        <f aca="false">Share_Prices!H630/Share_Prices!H629-1</f>
        <v>0.0163354037267081</v>
      </c>
      <c r="I630" s="14" t="n">
        <f aca="false">Share_Prices!I630/Share_Prices!I629-1</f>
        <v>0.00430968139141141</v>
      </c>
      <c r="J630" s="14" t="n">
        <f aca="false">Share_Prices!J630/Share_Prices!J629-1</f>
        <v>-0.00113008031642237</v>
      </c>
      <c r="K630" s="14" t="n">
        <f aca="false">Share_Prices!K630/Share_Prices!K629-1</f>
        <v>0.0135144918792385</v>
      </c>
      <c r="L630" s="14" t="n">
        <f aca="false">Share_Prices!L630/Share_Prices!L629-1</f>
        <v>0.00808625336927205</v>
      </c>
      <c r="M630" s="14" t="n">
        <f aca="false">Share_Prices!M630/Share_Prices!M629-1</f>
        <v>0.0703613148600923</v>
      </c>
      <c r="N630" s="14" t="n">
        <f aca="false">Share_Prices!N630/Share_Prices!N629-1</f>
        <v>0.0387312719158432</v>
      </c>
      <c r="O630" s="14" t="n">
        <f aca="false">Share_Prices!O630/Share_Prices!O629-1</f>
        <v>0.011231884057971</v>
      </c>
      <c r="P630" s="14" t="n">
        <f aca="false">Share_Prices!P630/Share_Prices!P629-1</f>
        <v>0.0239663201467613</v>
      </c>
      <c r="Q630" s="14" t="n">
        <f aca="false">Share_Prices!Q630/Share_Prices!Q629-1</f>
        <v>0.00350569675723045</v>
      </c>
      <c r="R630" s="14" t="n">
        <f aca="false">Share_Prices!R630/Share_Prices!R629-1</f>
        <v>-0.00586492890995272</v>
      </c>
      <c r="S630" s="14" t="n">
        <f aca="false">Share_Prices!S630/Share_Prices!S629-1</f>
        <v>0.0206716299699035</v>
      </c>
    </row>
    <row r="631" customFormat="false" ht="15" hidden="false" customHeight="false" outlineLevel="0" collapsed="false">
      <c r="A631" s="13" t="n">
        <f aca="false">Share_Prices!A631</f>
        <v>45723</v>
      </c>
      <c r="B631" s="14" t="n">
        <f aca="false">Share_Prices!B631/Share_Prices!B630-1</f>
        <v>0.000345979321082046</v>
      </c>
      <c r="C631" s="14" t="n">
        <f aca="false">Share_Prices!C631/Share_Prices!C630-1</f>
        <v>-0.000180954756420104</v>
      </c>
      <c r="D631" s="14" t="n">
        <f aca="false">Share_Prices!D631/Share_Prices!D630-1</f>
        <v>-0.00398593200468933</v>
      </c>
      <c r="E631" s="14" t="n">
        <f aca="false">Share_Prices!E631/Share_Prices!E630-1</f>
        <v>0.0386011217419993</v>
      </c>
      <c r="F631" s="14" t="n">
        <f aca="false">Share_Prices!F631/Share_Prices!F630-1</f>
        <v>-0.00114919556310589</v>
      </c>
      <c r="G631" s="14" t="n">
        <f aca="false">Share_Prices!G631/Share_Prices!G630-1</f>
        <v>0.00424408186362357</v>
      </c>
      <c r="H631" s="14" t="n">
        <f aca="false">Share_Prices!H631/Share_Prices!H630-1</f>
        <v>6.11134877468444E-005</v>
      </c>
      <c r="I631" s="14" t="n">
        <f aca="false">Share_Prices!I631/Share_Prices!I630-1</f>
        <v>-0.00168582375478932</v>
      </c>
      <c r="J631" s="14" t="n">
        <f aca="false">Share_Prices!J631/Share_Prices!J630-1</f>
        <v>0.0299001979877975</v>
      </c>
      <c r="K631" s="14" t="n">
        <f aca="false">Share_Prices!K631/Share_Prices!K630-1</f>
        <v>-0.000750053575255483</v>
      </c>
      <c r="L631" s="14" t="n">
        <f aca="false">Share_Prices!L631/Share_Prices!L630-1</f>
        <v>-0.000856986151103745</v>
      </c>
      <c r="M631" s="14" t="n">
        <f aca="false">Share_Prices!M631/Share_Prices!M630-1</f>
        <v>-0.0205583756345178</v>
      </c>
      <c r="N631" s="14" t="n">
        <f aca="false">Share_Prices!N631/Share_Prices!N630-1</f>
        <v>-0.0115083627435937</v>
      </c>
      <c r="O631" s="14" t="n">
        <f aca="false">Share_Prices!O631/Share_Prices!O630-1</f>
        <v>-0.0159441060551775</v>
      </c>
      <c r="P631" s="14" t="n">
        <f aca="false">Share_Prices!P631/Share_Prices!P630-1</f>
        <v>0.00119438638399516</v>
      </c>
      <c r="Q631" s="14" t="n">
        <f aca="false">Share_Prices!Q631/Share_Prices!Q630-1</f>
        <v>0.00768558951965059</v>
      </c>
      <c r="R631" s="14" t="n">
        <f aca="false">Share_Prices!R631/Share_Prices!R630-1</f>
        <v>-0.00506525236875033</v>
      </c>
      <c r="S631" s="14" t="n">
        <f aca="false">Share_Prices!S631/Share_Prices!S630-1</f>
        <v>-0.0209513463179949</v>
      </c>
    </row>
    <row r="632" customFormat="false" ht="15" hidden="false" customHeight="false" outlineLevel="0" collapsed="false">
      <c r="A632" s="13" t="n">
        <f aca="false">Share_Prices!A632</f>
        <v>45726</v>
      </c>
      <c r="B632" s="14" t="n">
        <f aca="false">Share_Prices!B632/Share_Prices!B631-1</f>
        <v>-0.00408823855448404</v>
      </c>
      <c r="C632" s="14" t="n">
        <f aca="false">Share_Prices!C632/Share_Prices!C631-1</f>
        <v>-0.00865315945488532</v>
      </c>
      <c r="D632" s="14" t="n">
        <f aca="false">Share_Prices!D632/Share_Prices!D631-1</f>
        <v>0.0312794256120526</v>
      </c>
      <c r="E632" s="14" t="n">
        <f aca="false">Share_Prices!E632/Share_Prices!E631-1</f>
        <v>-0.0110387547649302</v>
      </c>
      <c r="F632" s="14" t="n">
        <f aca="false">Share_Prices!F632/Share_Prices!F631-1</f>
        <v>0.00520234105347406</v>
      </c>
      <c r="G632" s="14" t="n">
        <f aca="false">Share_Prices!G632/Share_Prices!G631-1</f>
        <v>-0.00741923365890296</v>
      </c>
      <c r="H632" s="14" t="n">
        <f aca="false">Share_Prices!H632/Share_Prices!H631-1</f>
        <v>-0.0383769249572233</v>
      </c>
      <c r="I632" s="14" t="n">
        <f aca="false">Share_Prices!I632/Share_Prices!I631-1</f>
        <v>-0.0030703101013202</v>
      </c>
      <c r="J632" s="14" t="n">
        <f aca="false">Share_Prices!J632/Share_Prices!J631-1</f>
        <v>-0.0231864725960218</v>
      </c>
      <c r="K632" s="14" t="n">
        <f aca="false">Share_Prices!K632/Share_Prices!K631-1</f>
        <v>-0.00736319119276541</v>
      </c>
      <c r="L632" s="14" t="n">
        <f aca="false">Share_Prices!L632/Share_Prices!L631-1</f>
        <v>-0.0259374892784849</v>
      </c>
      <c r="M632" s="14" t="n">
        <f aca="false">Share_Prices!M632/Share_Prices!M631-1</f>
        <v>-0.0290230629696813</v>
      </c>
      <c r="N632" s="14" t="n">
        <f aca="false">Share_Prices!N632/Share_Prices!N631-1</f>
        <v>-0.0260788574976716</v>
      </c>
      <c r="O632" s="14" t="n">
        <f aca="false">Share_Prices!O632/Share_Prices!O631-1</f>
        <v>-0.00910249408337882</v>
      </c>
      <c r="P632" s="14" t="n">
        <f aca="false">Share_Prices!P632/Share_Prices!P631-1</f>
        <v>0.00236298148615477</v>
      </c>
      <c r="Q632" s="14" t="n">
        <f aca="false">Share_Prices!Q632/Share_Prices!Q631-1</f>
        <v>0.00208008320332831</v>
      </c>
      <c r="R632" s="14" t="n">
        <f aca="false">Share_Prices!R632/Share_Prices!R631-1</f>
        <v>0.0101221849544801</v>
      </c>
      <c r="S632" s="14" t="n">
        <f aca="false">Share_Prices!S632/Share_Prices!S631-1</f>
        <v>-0.0083221050962986</v>
      </c>
    </row>
    <row r="633" customFormat="false" ht="15" hidden="false" customHeight="false" outlineLevel="0" collapsed="false">
      <c r="A633" s="13" t="n">
        <f aca="false">Share_Prices!A633</f>
        <v>45727</v>
      </c>
      <c r="B633" s="14" t="n">
        <f aca="false">Share_Prices!B633/Share_Prices!B632-1</f>
        <v>0.00167406490563349</v>
      </c>
      <c r="C633" s="14" t="n">
        <f aca="false">Share_Prices!C633/Share_Prices!C632-1</f>
        <v>0.00177633039745384</v>
      </c>
      <c r="D633" s="14" t="n">
        <f aca="false">Share_Prices!D633/Share_Prices!D632-1</f>
        <v>0.0105287185779097</v>
      </c>
      <c r="E633" s="14" t="n">
        <f aca="false">Share_Prices!E633/Share_Prices!E632-1</f>
        <v>-0.0158194812494982</v>
      </c>
      <c r="F633" s="14" t="n">
        <f aca="false">Share_Prices!F633/Share_Prices!F632-1</f>
        <v>-0.0196068673799453</v>
      </c>
      <c r="G633" s="14" t="n">
        <f aca="false">Share_Prices!G633/Share_Prices!G632-1</f>
        <v>0.0097454820702052</v>
      </c>
      <c r="H633" s="14" t="n">
        <f aca="false">Share_Prices!H633/Share_Prices!H632-1</f>
        <v>0.0062277580071175</v>
      </c>
      <c r="I633" s="14" t="n">
        <f aca="false">Share_Prices!I633/Share_Prices!I632-1</f>
        <v>-0.0224822913458578</v>
      </c>
      <c r="J633" s="14" t="n">
        <f aca="false">Share_Prices!J633/Share_Prices!J632-1</f>
        <v>-0.0282753634830107</v>
      </c>
      <c r="K633" s="14" t="n">
        <f aca="false">Share_Prices!K633/Share_Prices!K632-1</f>
        <v>-0.000264064431721334</v>
      </c>
      <c r="L633" s="14" t="n">
        <f aca="false">Share_Prices!L633/Share_Prices!L632-1</f>
        <v>0.020569898911627</v>
      </c>
      <c r="M633" s="14" t="n">
        <f aca="false">Share_Prices!M633/Share_Prices!M632-1</f>
        <v>-0.00747264478249265</v>
      </c>
      <c r="N633" s="14" t="n">
        <f aca="false">Share_Prices!N633/Share_Prices!N632-1</f>
        <v>-0.0055785782594836</v>
      </c>
      <c r="O633" s="14" t="n">
        <f aca="false">Share_Prices!O633/Share_Prices!O632-1</f>
        <v>-0.0130442770530955</v>
      </c>
      <c r="P633" s="14" t="n">
        <f aca="false">Share_Prices!P633/Share_Prices!P632-1</f>
        <v>0</v>
      </c>
      <c r="Q633" s="14" t="n">
        <f aca="false">Share_Prices!Q633/Share_Prices!Q632-1</f>
        <v>-0.0179899671337138</v>
      </c>
      <c r="R633" s="14" t="n">
        <f aca="false">Share_Prices!R633/Share_Prices!R632-1</f>
        <v>-0.00551437889119477</v>
      </c>
      <c r="S633" s="14" t="n">
        <f aca="false">Share_Prices!S633/Share_Prices!S632-1</f>
        <v>0.0202205882352942</v>
      </c>
    </row>
    <row r="634" customFormat="false" ht="15" hidden="false" customHeight="false" outlineLevel="0" collapsed="false">
      <c r="A634" s="13" t="n">
        <f aca="false">Share_Prices!A634</f>
        <v>45728</v>
      </c>
      <c r="B634" s="14" t="n">
        <f aca="false">Share_Prices!B634/Share_Prices!B633-1</f>
        <v>-0.00121789144764628</v>
      </c>
      <c r="C634" s="14" t="n">
        <f aca="false">Share_Prices!C634/Share_Prices!C633-1</f>
        <v>-0.00187907893116623</v>
      </c>
      <c r="D634" s="14" t="n">
        <f aca="false">Share_Prices!D634/Share_Prices!D633-1</f>
        <v>0.0256663654845268</v>
      </c>
      <c r="E634" s="14" t="n">
        <f aca="false">Share_Prices!E634/Share_Prices!E633-1</f>
        <v>-0.0169712793733681</v>
      </c>
      <c r="F634" s="14" t="n">
        <f aca="false">Share_Prices!F634/Share_Prices!F633-1</f>
        <v>0.0143647530582205</v>
      </c>
      <c r="G634" s="14" t="n">
        <f aca="false">Share_Prices!G634/Share_Prices!G633-1</f>
        <v>-0.0185532233883058</v>
      </c>
      <c r="H634" s="14" t="n">
        <f aca="false">Share_Prices!H634/Share_Prices!H633-1</f>
        <v>0.0117468738158393</v>
      </c>
      <c r="I634" s="14" t="n">
        <f aca="false">Share_Prices!I634/Share_Prices!I633-1</f>
        <v>-0.0138626339004411</v>
      </c>
      <c r="J634" s="14" t="n">
        <f aca="false">Share_Prices!J634/Share_Prices!J633-1</f>
        <v>-0.0413325617921799</v>
      </c>
      <c r="K634" s="14" t="n">
        <f aca="false">Share_Prices!K634/Share_Prices!K633-1</f>
        <v>0.0172647705034157</v>
      </c>
      <c r="L634" s="14" t="n">
        <f aca="false">Share_Prices!L634/Share_Prices!L633-1</f>
        <v>0.00189818809318387</v>
      </c>
      <c r="M634" s="14" t="n">
        <f aca="false">Share_Prices!M634/Share_Prices!M633-1</f>
        <v>-0.00467867706372682</v>
      </c>
      <c r="N634" s="14" t="n">
        <f aca="false">Share_Prices!N634/Share_Prices!N633-1</f>
        <v>0.00368648821926598</v>
      </c>
      <c r="O634" s="14" t="n">
        <f aca="false">Share_Prices!O634/Share_Prices!O633-1</f>
        <v>0.0061429635145196</v>
      </c>
      <c r="P634" s="14" t="n">
        <f aca="false">Share_Prices!P634/Share_Prices!P633-1</f>
        <v>0.0111690927400898</v>
      </c>
      <c r="Q634" s="14" t="n">
        <f aca="false">Share_Prices!Q634/Share_Prices!Q633-1</f>
        <v>-0.00352298749339441</v>
      </c>
      <c r="R634" s="14" t="n">
        <f aca="false">Share_Prices!R634/Share_Prices!R633-1</f>
        <v>-0.00387550679704274</v>
      </c>
      <c r="S634" s="14" t="n">
        <f aca="false">Share_Prices!S634/Share_Prices!S633-1</f>
        <v>-0.00203681942812373</v>
      </c>
    </row>
    <row r="635" customFormat="false" ht="15" hidden="false" customHeight="false" outlineLevel="0" collapsed="false">
      <c r="A635" s="13" t="n">
        <f aca="false">Share_Prices!A635</f>
        <v>45729</v>
      </c>
      <c r="B635" s="14" t="n">
        <f aca="false">Share_Prices!B635/Share_Prices!B634-1</f>
        <v>-0.00326205469393204</v>
      </c>
      <c r="C635" s="14" t="n">
        <f aca="false">Share_Prices!C635/Share_Prices!C634-1</f>
        <v>-0.00435740598637502</v>
      </c>
      <c r="D635" s="14" t="n">
        <f aca="false">Share_Prices!D635/Share_Prices!D634-1</f>
        <v>0.0309428768066071</v>
      </c>
      <c r="E635" s="14" t="n">
        <f aca="false">Share_Prices!E635/Share_Prices!E634-1</f>
        <v>-0.00107901726427617</v>
      </c>
      <c r="F635" s="14" t="n">
        <f aca="false">Share_Prices!F635/Share_Prices!F634-1</f>
        <v>-0.00625500400320256</v>
      </c>
      <c r="G635" s="14" t="n">
        <f aca="false">Share_Prices!G635/Share_Prices!G634-1</f>
        <v>-0.0154668703456178</v>
      </c>
      <c r="H635" s="14" t="n">
        <f aca="false">Share_Prices!H635/Share_Prices!H634-1</f>
        <v>0.00305867665418225</v>
      </c>
      <c r="I635" s="14" t="n">
        <f aca="false">Share_Prices!I635/Share_Prices!I634-1</f>
        <v>-0.00559105431309903</v>
      </c>
      <c r="J635" s="14" t="n">
        <f aca="false">Share_Prices!J635/Share_Prices!J634-1</f>
        <v>-0.00168146934552038</v>
      </c>
      <c r="K635" s="14" t="n">
        <f aca="false">Share_Prices!K635/Share_Prices!K634-1</f>
        <v>-0.00754169174662744</v>
      </c>
      <c r="L635" s="14" t="n">
        <f aca="false">Share_Prices!L635/Share_Prices!L634-1</f>
        <v>-0.00468480881846367</v>
      </c>
      <c r="M635" s="14" t="n">
        <f aca="false">Share_Prices!M635/Share_Prices!M634-1</f>
        <v>-0.00232331964555865</v>
      </c>
      <c r="N635" s="14" t="n">
        <f aca="false">Share_Prices!N635/Share_Prices!N634-1</f>
        <v>0.000479080166081003</v>
      </c>
      <c r="O635" s="14" t="n">
        <f aca="false">Share_Prices!O635/Share_Prices!O634-1</f>
        <v>0.00407030527289565</v>
      </c>
      <c r="P635" s="14" t="n">
        <f aca="false">Share_Prices!P635/Share_Prices!P634-1</f>
        <v>-0.00572657311000457</v>
      </c>
      <c r="Q635" s="14" t="n">
        <f aca="false">Share_Prices!Q635/Share_Prices!Q634-1</f>
        <v>-0.00530316422131871</v>
      </c>
      <c r="R635" s="14" t="n">
        <f aca="false">Share_Prices!R635/Share_Prices!R634-1</f>
        <v>-0.0065840665589274</v>
      </c>
      <c r="S635" s="14" t="n">
        <f aca="false">Share_Prices!S635/Share_Prices!S634-1</f>
        <v>-0.0273176858466129</v>
      </c>
    </row>
    <row r="636" customFormat="false" ht="15" hidden="false" customHeight="false" outlineLevel="0" collapsed="false">
      <c r="A636" s="13" t="n">
        <f aca="false">Share_Prices!A636</f>
        <v>45733</v>
      </c>
      <c r="B636" s="14" t="n">
        <f aca="false">Share_Prices!B636/Share_Prices!B635-1</f>
        <v>0.00498053328094583</v>
      </c>
      <c r="C636" s="14" t="n">
        <f aca="false">Share_Prices!C636/Share_Prices!C635-1</f>
        <v>0.00556352705311491</v>
      </c>
      <c r="D636" s="14" t="n">
        <f aca="false">Share_Prices!D636/Share_Prices!D635-1</f>
        <v>0.0200005340596545</v>
      </c>
      <c r="E636" s="14" t="n">
        <f aca="false">Share_Prices!E636/Share_Prices!E635-1</f>
        <v>0.0394682176983798</v>
      </c>
      <c r="F636" s="14" t="n">
        <f aca="false">Share_Prices!F636/Share_Prices!F635-1</f>
        <v>0.00941638551790103</v>
      </c>
      <c r="G636" s="14" t="n">
        <f aca="false">Share_Prices!G636/Share_Prices!G635-1</f>
        <v>0.00989138867339023</v>
      </c>
      <c r="H636" s="14" t="n">
        <f aca="false">Share_Prices!H636/Share_Prices!H635-1</f>
        <v>-0.00292488642728239</v>
      </c>
      <c r="I636" s="14" t="n">
        <f aca="false">Share_Prices!I636/Share_Prices!I635-1</f>
        <v>0.0168674698795182</v>
      </c>
      <c r="J636" s="14" t="n">
        <f aca="false">Share_Prices!J636/Share_Prices!J635-1</f>
        <v>-0.0319153530554956</v>
      </c>
      <c r="K636" s="14" t="n">
        <f aca="false">Share_Prices!K636/Share_Prices!K635-1</f>
        <v>0.0189915566654775</v>
      </c>
      <c r="L636" s="14" t="n">
        <f aca="false">Share_Prices!L636/Share_Prices!L635-1</f>
        <v>0.00754481899356252</v>
      </c>
      <c r="M636" s="14" t="n">
        <f aca="false">Share_Prices!M636/Share_Prices!M635-1</f>
        <v>-0.0040075819117249</v>
      </c>
      <c r="N636" s="14" t="n">
        <f aca="false">Share_Prices!N636/Share_Prices!N635-1</f>
        <v>-0.0185155626496409</v>
      </c>
      <c r="O636" s="14" t="n">
        <f aca="false">Share_Prices!O636/Share_Prices!O635-1</f>
        <v>0.0143725815367606</v>
      </c>
      <c r="P636" s="14" t="n">
        <f aca="false">Share_Prices!P636/Share_Prices!P635-1</f>
        <v>0.04272998383682</v>
      </c>
      <c r="Q636" s="14" t="n">
        <f aca="false">Share_Prices!Q636/Share_Prices!Q635-1</f>
        <v>0.0295006220010661</v>
      </c>
      <c r="R636" s="14" t="n">
        <f aca="false">Share_Prices!R636/Share_Prices!R635-1</f>
        <v>0.015846237271796</v>
      </c>
      <c r="S636" s="14" t="n">
        <f aca="false">Share_Prices!S636/Share_Prices!S635-1</f>
        <v>0.00597207650714227</v>
      </c>
    </row>
    <row r="637" customFormat="false" ht="15" hidden="false" customHeight="false" outlineLevel="0" collapsed="false">
      <c r="A637" s="13" t="n">
        <f aca="false">Share_Prices!A637</f>
        <v>45734</v>
      </c>
      <c r="B637" s="14" t="n">
        <f aca="false">Share_Prices!B637/Share_Prices!B636-1</f>
        <v>0.0144632642861109</v>
      </c>
      <c r="C637" s="14" t="n">
        <f aca="false">Share_Prices!C637/Share_Prices!C636-1</f>
        <v>0.0181828935889159</v>
      </c>
      <c r="D637" s="14" t="n">
        <f aca="false">Share_Prices!D637/Share_Prices!D636-1</f>
        <v>-0.0234567254830097</v>
      </c>
      <c r="E637" s="14" t="n">
        <f aca="false">Share_Prices!E637/Share_Prices!E636-1</f>
        <v>0.0288569144684252</v>
      </c>
      <c r="F637" s="14" t="n">
        <f aca="false">Share_Prices!F637/Share_Prices!F636-1</f>
        <v>-0.00937842961189261</v>
      </c>
      <c r="G637" s="14" t="n">
        <f aca="false">Share_Prices!G637/Share_Prices!G636-1</f>
        <v>0.0366813904359515</v>
      </c>
      <c r="H637" s="14" t="n">
        <f aca="false">Share_Prices!H637/Share_Prices!H636-1</f>
        <v>0.0204718512045936</v>
      </c>
      <c r="I637" s="14" t="n">
        <f aca="false">Share_Prices!I637/Share_Prices!I636-1</f>
        <v>0.00552922590837279</v>
      </c>
      <c r="J637" s="14" t="n">
        <f aca="false">Share_Prices!J637/Share_Prices!J636-1</f>
        <v>0.0281495360456816</v>
      </c>
      <c r="K637" s="14" t="n">
        <f aca="false">Share_Prices!K637/Share_Prices!K636-1</f>
        <v>0.0119037893729503</v>
      </c>
      <c r="L637" s="14" t="n">
        <f aca="false">Share_Prices!L637/Share_Prices!L636-1</f>
        <v>0.0409796647430614</v>
      </c>
      <c r="M637" s="14" t="n">
        <f aca="false">Share_Prices!M637/Share_Prices!M636-1</f>
        <v>0.0164754499483444</v>
      </c>
      <c r="N637" s="14" t="n">
        <f aca="false">Share_Prices!N637/Share_Prices!N636-1</f>
        <v>0.0598471296145715</v>
      </c>
      <c r="O637" s="14" t="n">
        <f aca="false">Share_Prices!O637/Share_Prices!O636-1</f>
        <v>0.0247048138056314</v>
      </c>
      <c r="P637" s="14" t="n">
        <f aca="false">Share_Prices!P637/Share_Prices!P636-1</f>
        <v>0.0120950135359359</v>
      </c>
      <c r="Q637" s="14" t="n">
        <f aca="false">Share_Prices!Q637/Share_Prices!Q636-1</f>
        <v>0.0573105472121527</v>
      </c>
      <c r="R637" s="14" t="n">
        <f aca="false">Share_Prices!R637/Share_Prices!R636-1</f>
        <v>-0.00438908659549231</v>
      </c>
      <c r="S637" s="14" t="n">
        <f aca="false">Share_Prices!S637/Share_Prices!S636-1</f>
        <v>0.0305655836341756</v>
      </c>
    </row>
    <row r="638" customFormat="false" ht="15" hidden="false" customHeight="false" outlineLevel="0" collapsed="false">
      <c r="A638" s="13" t="n">
        <f aca="false">Share_Prices!A638</f>
        <v>45735</v>
      </c>
      <c r="B638" s="14" t="n">
        <f aca="false">Share_Prices!B638/Share_Prices!B637-1</f>
        <v>0.00321008307677473</v>
      </c>
      <c r="C638" s="14" t="n">
        <f aca="false">Share_Prices!C638/Share_Prices!C637-1</f>
        <v>0.0100352419495382</v>
      </c>
      <c r="D638" s="14" t="n">
        <f aca="false">Share_Prices!D638/Share_Prices!D637-1</f>
        <v>0.0283898986649509</v>
      </c>
      <c r="E638" s="14" t="n">
        <f aca="false">Share_Prices!E638/Share_Prices!E637-1</f>
        <v>0.0256390334861316</v>
      </c>
      <c r="F638" s="14" t="n">
        <f aca="false">Share_Prices!F638/Share_Prices!F637-1</f>
        <v>-0.00191358646389361</v>
      </c>
      <c r="G638" s="14" t="n">
        <f aca="false">Share_Prices!G638/Share_Prices!G637-1</f>
        <v>0.0185253797702853</v>
      </c>
      <c r="H638" s="14" t="n">
        <f aca="false">Share_Prices!H638/Share_Prices!H637-1</f>
        <v>0.02</v>
      </c>
      <c r="I638" s="14" t="n">
        <f aca="false">Share_Prices!I638/Share_Prices!I637-1</f>
        <v>0.0425765907305578</v>
      </c>
      <c r="J638" s="14" t="n">
        <f aca="false">Share_Prices!J638/Share_Prices!J637-1</f>
        <v>0.0262073154857465</v>
      </c>
      <c r="K638" s="14" t="n">
        <f aca="false">Share_Prices!K638/Share_Prices!K637-1</f>
        <v>0.00565121616478481</v>
      </c>
      <c r="L638" s="14" t="n">
        <f aca="false">Share_Prices!L638/Share_Prices!L637-1</f>
        <v>-0.00131991420557664</v>
      </c>
      <c r="M638" s="14" t="n">
        <f aca="false">Share_Prices!M638/Share_Prices!M637-1</f>
        <v>0.00973574408901246</v>
      </c>
      <c r="N638" s="14" t="n">
        <f aca="false">Share_Prices!N638/Share_Prices!N637-1</f>
        <v>0.0144238146386373</v>
      </c>
      <c r="O638" s="14" t="n">
        <f aca="false">Share_Prices!O638/Share_Prices!O637-1</f>
        <v>0.0180819003722743</v>
      </c>
      <c r="P638" s="14" t="n">
        <f aca="false">Share_Prices!P638/Share_Prices!P637-1</f>
        <v>0.0425169334311228</v>
      </c>
      <c r="Q638" s="14" t="n">
        <f aca="false">Share_Prices!Q638/Share_Prices!Q637-1</f>
        <v>0.0566530612244898</v>
      </c>
      <c r="R638" s="14" t="n">
        <f aca="false">Share_Prices!R638/Share_Prices!R637-1</f>
        <v>0.00857857738591683</v>
      </c>
      <c r="S638" s="14" t="n">
        <f aca="false">Share_Prices!S638/Share_Prices!S637-1</f>
        <v>0.0399346099953295</v>
      </c>
    </row>
    <row r="639" customFormat="false" ht="15" hidden="false" customHeight="false" outlineLevel="0" collapsed="false">
      <c r="A639" s="13" t="n">
        <f aca="false">Share_Prices!A639</f>
        <v>45736</v>
      </c>
      <c r="B639" s="14" t="n">
        <f aca="false">Share_Prices!B639/Share_Prices!B638-1</f>
        <v>0.0123561612739878</v>
      </c>
      <c r="C639" s="14" t="n">
        <f aca="false">Share_Prices!C639/Share_Prices!C638-1</f>
        <v>0.00985166191377696</v>
      </c>
      <c r="D639" s="14" t="n">
        <f aca="false">Share_Prices!D639/Share_Prices!D638-1</f>
        <v>0.0322984280910299</v>
      </c>
      <c r="E639" s="14" t="n">
        <f aca="false">Share_Prices!E639/Share_Prices!E638-1</f>
        <v>0.0249223543670936</v>
      </c>
      <c r="F639" s="14" t="n">
        <f aca="false">Share_Prices!F639/Share_Prices!F638-1</f>
        <v>0.0197780020181635</v>
      </c>
      <c r="G639" s="14" t="n">
        <f aca="false">Share_Prices!G639/Share_Prices!G638-1</f>
        <v>0.0109130592942888</v>
      </c>
      <c r="H639" s="14" t="n">
        <f aca="false">Share_Prices!H639/Share_Prices!H638-1</f>
        <v>-0.00935420039575474</v>
      </c>
      <c r="I639" s="14" t="n">
        <f aca="false">Share_Prices!I639/Share_Prices!I638-1</f>
        <v>0.0108499095840866</v>
      </c>
      <c r="J639" s="14" t="n">
        <f aca="false">Share_Prices!J639/Share_Prices!J638-1</f>
        <v>0.0581370766563782</v>
      </c>
      <c r="K639" s="14" t="n">
        <f aca="false">Share_Prices!K639/Share_Prices!K638-1</f>
        <v>-0.00594057134993187</v>
      </c>
      <c r="L639" s="14" t="n">
        <f aca="false">Share_Prices!L639/Share_Prices!L638-1</f>
        <v>-0.0132496282834957</v>
      </c>
      <c r="M639" s="14" t="n">
        <f aca="false">Share_Prices!M639/Share_Prices!M638-1</f>
        <v>0.0294024157660522</v>
      </c>
      <c r="N639" s="14" t="n">
        <f aca="false">Share_Prices!N639/Share_Prices!N638-1</f>
        <v>-0.0114959915292694</v>
      </c>
      <c r="O639" s="14" t="n">
        <f aca="false">Share_Prices!O639/Share_Prices!O638-1</f>
        <v>0.00174125021765637</v>
      </c>
      <c r="P639" s="14" t="n">
        <f aca="false">Share_Prices!P639/Share_Prices!P638-1</f>
        <v>-0.0172567195679612</v>
      </c>
      <c r="Q639" s="14" t="n">
        <f aca="false">Share_Prices!Q639/Share_Prices!Q638-1</f>
        <v>-0.0166872682323858</v>
      </c>
      <c r="R639" s="14" t="n">
        <f aca="false">Share_Prices!R639/Share_Prices!R638-1</f>
        <v>0.0122268163024217</v>
      </c>
      <c r="S639" s="14" t="n">
        <f aca="false">Share_Prices!S639/Share_Prices!S638-1</f>
        <v>-7.48559023879825E-005</v>
      </c>
    </row>
    <row r="640" customFormat="false" ht="15" hidden="false" customHeight="false" outlineLevel="0" collapsed="false">
      <c r="A640" s="13" t="n">
        <f aca="false">Share_Prices!A640</f>
        <v>45737</v>
      </c>
      <c r="B640" s="14" t="n">
        <f aca="false">Share_Prices!B640/Share_Prices!B639-1</f>
        <v>0.00688855206732031</v>
      </c>
      <c r="C640" s="14" t="n">
        <f aca="false">Share_Prices!C640/Share_Prices!C639-1</f>
        <v>0.00967487025422353</v>
      </c>
      <c r="D640" s="14" t="n">
        <f aca="false">Share_Prices!D640/Share_Prices!D639-1</f>
        <v>0.000530303030302992</v>
      </c>
      <c r="E640" s="14" t="n">
        <f aca="false">Share_Prices!E640/Share_Prices!E639-1</f>
        <v>-0.00125646711012573</v>
      </c>
      <c r="F640" s="14" t="n">
        <f aca="false">Share_Prices!F640/Share_Prices!F639-1</f>
        <v>0.0915792598456364</v>
      </c>
      <c r="G640" s="14" t="n">
        <f aca="false">Share_Prices!G640/Share_Prices!G639-1</f>
        <v>0.0286074127383953</v>
      </c>
      <c r="H640" s="14" t="n">
        <f aca="false">Share_Prices!H640/Share_Prices!H639-1</f>
        <v>0.0420676714484596</v>
      </c>
      <c r="I640" s="14" t="n">
        <f aca="false">Share_Prices!I640/Share_Prices!I639-1</f>
        <v>0.0302623732856293</v>
      </c>
      <c r="J640" s="14" t="n">
        <f aca="false">Share_Prices!J640/Share_Prices!J639-1</f>
        <v>0.145208982658036</v>
      </c>
      <c r="K640" s="14" t="n">
        <f aca="false">Share_Prices!K640/Share_Prices!K639-1</f>
        <v>0.0272384314539853</v>
      </c>
      <c r="L640" s="14" t="n">
        <f aca="false">Share_Prices!L640/Share_Prices!L639-1</f>
        <v>0.0303375301366193</v>
      </c>
      <c r="M640" s="14" t="n">
        <f aca="false">Share_Prices!M640/Share_Prices!M639-1</f>
        <v>0.0390612938088621</v>
      </c>
      <c r="N640" s="14" t="n">
        <f aca="false">Share_Prices!N640/Share_Prices!N639-1</f>
        <v>0.0405508798775822</v>
      </c>
      <c r="O640" s="14" t="n">
        <f aca="false">Share_Prices!O640/Share_Prices!O639-1</f>
        <v>0.0128628541630456</v>
      </c>
      <c r="P640" s="14" t="n">
        <f aca="false">Share_Prices!P640/Share_Prices!P639-1</f>
        <v>-0.00764290977997684</v>
      </c>
      <c r="Q640" s="14" t="n">
        <f aca="false">Share_Prices!Q640/Share_Prices!Q639-1</f>
        <v>0.0521684475172848</v>
      </c>
      <c r="R640" s="14" t="n">
        <f aca="false">Share_Prices!R640/Share_Prices!R639-1</f>
        <v>0.000758592519110701</v>
      </c>
      <c r="S640" s="14" t="n">
        <f aca="false">Share_Prices!S640/Share_Prices!S639-1</f>
        <v>0.0133253481060038</v>
      </c>
    </row>
    <row r="641" customFormat="false" ht="15" hidden="false" customHeight="false" outlineLevel="0" collapsed="false">
      <c r="A641" s="13" t="n">
        <f aca="false">Share_Prices!A641</f>
        <v>45740</v>
      </c>
      <c r="B641" s="14" t="n">
        <f aca="false">Share_Prices!B641/Share_Prices!B640-1</f>
        <v>0.0131882109085923</v>
      </c>
      <c r="C641" s="14" t="n">
        <f aca="false">Share_Prices!C641/Share_Prices!C640-1</f>
        <v>0.0124189734839404</v>
      </c>
      <c r="D641" s="14" t="n">
        <f aca="false">Share_Prices!D641/Share_Prices!D640-1</f>
        <v>0.0122409833169279</v>
      </c>
      <c r="E641" s="14" t="n">
        <f aca="false">Share_Prices!E641/Share_Prices!E640-1</f>
        <v>0.014282542736624</v>
      </c>
      <c r="F641" s="14" t="n">
        <f aca="false">Share_Prices!F641/Share_Prices!F640-1</f>
        <v>-0.0150931423650457</v>
      </c>
      <c r="G641" s="14" t="n">
        <f aca="false">Share_Prices!G641/Share_Prices!G640-1</f>
        <v>0.0115445163547314</v>
      </c>
      <c r="H641" s="14" t="n">
        <f aca="false">Share_Prices!H641/Share_Prices!H640-1</f>
        <v>0.014114776951673</v>
      </c>
      <c r="I641" s="14" t="n">
        <f aca="false">Share_Prices!I641/Share_Prices!I640-1</f>
        <v>0.0253219505136739</v>
      </c>
      <c r="J641" s="14" t="n">
        <f aca="false">Share_Prices!J641/Share_Prices!J640-1</f>
        <v>-0.022923935799023</v>
      </c>
      <c r="K641" s="14" t="n">
        <f aca="false">Share_Prices!K641/Share_Prices!K640-1</f>
        <v>0.0195080862533692</v>
      </c>
      <c r="L641" s="14" t="n">
        <f aca="false">Share_Prices!L641/Share_Prices!L640-1</f>
        <v>-0.00597985050373739</v>
      </c>
      <c r="M641" s="14" t="n">
        <f aca="false">Share_Prices!M641/Share_Prices!M640-1</f>
        <v>-0.013521545319465</v>
      </c>
      <c r="N641" s="14" t="n">
        <f aca="false">Share_Prices!N641/Share_Prices!N640-1</f>
        <v>-0.00882352941176468</v>
      </c>
      <c r="O641" s="14" t="n">
        <f aca="false">Share_Prices!O641/Share_Prices!O640-1</f>
        <v>0.00600652136605451</v>
      </c>
      <c r="P641" s="14" t="n">
        <f aca="false">Share_Prices!P641/Share_Prices!P640-1</f>
        <v>-0.00171857761181349</v>
      </c>
      <c r="Q641" s="14" t="n">
        <f aca="false">Share_Prices!Q641/Share_Prices!Q640-1</f>
        <v>0.0373357228195939</v>
      </c>
      <c r="R641" s="14" t="n">
        <f aca="false">Share_Prices!R641/Share_Prices!R640-1</f>
        <v>-0.00349854227405244</v>
      </c>
      <c r="S641" s="14" t="n">
        <f aca="false">Share_Prices!S641/Share_Prices!S640-1</f>
        <v>0.00768321513002368</v>
      </c>
    </row>
    <row r="642" customFormat="false" ht="15" hidden="false" customHeight="false" outlineLevel="0" collapsed="false">
      <c r="A642" s="13" t="n">
        <f aca="false">Share_Prices!A642</f>
        <v>45741</v>
      </c>
      <c r="B642" s="14" t="n">
        <f aca="false">Share_Prices!B642/Share_Prices!B641-1</f>
        <v>0.000435364258285276</v>
      </c>
      <c r="C642" s="14" t="n">
        <f aca="false">Share_Prices!C642/Share_Prices!C641-1</f>
        <v>-0.00465918535061116</v>
      </c>
      <c r="D642" s="14" t="n">
        <f aca="false">Share_Prices!D642/Share_Prices!D641-1</f>
        <v>-0.0240612377200419</v>
      </c>
      <c r="E642" s="14" t="n">
        <f aca="false">Share_Prices!E642/Share_Prices!E641-1</f>
        <v>-0.00758791770027711</v>
      </c>
      <c r="F642" s="14" t="n">
        <f aca="false">Share_Prices!F642/Share_Prices!F641-1</f>
        <v>-0.0540266912103083</v>
      </c>
      <c r="G642" s="14" t="n">
        <f aca="false">Share_Prices!G642/Share_Prices!G641-1</f>
        <v>-0.0133148884661939</v>
      </c>
      <c r="H642" s="14" t="n">
        <f aca="false">Share_Prices!H642/Share_Prices!H641-1</f>
        <v>-0.00263474425797594</v>
      </c>
      <c r="I642" s="14" t="n">
        <f aca="false">Share_Prices!I642/Share_Prices!I641-1</f>
        <v>-0.0399379057296078</v>
      </c>
      <c r="J642" s="14" t="n">
        <f aca="false">Share_Prices!J642/Share_Prices!J641-1</f>
        <v>-0.0259615041245582</v>
      </c>
      <c r="K642" s="14" t="n">
        <f aca="false">Share_Prices!K642/Share_Prices!K641-1</f>
        <v>-0.00251164942661686</v>
      </c>
      <c r="L642" s="14" t="n">
        <f aca="false">Share_Prices!L642/Share_Prices!L641-1</f>
        <v>-0.000163473484600774</v>
      </c>
      <c r="M642" s="14" t="n">
        <f aca="false">Share_Prices!M642/Share_Prices!M641-1</f>
        <v>-0.0290204348044384</v>
      </c>
      <c r="N642" s="14" t="n">
        <f aca="false">Share_Prices!N642/Share_Prices!N641-1</f>
        <v>-0.0259643916913946</v>
      </c>
      <c r="O642" s="14" t="n">
        <f aca="false">Share_Prices!O642/Share_Prices!O641-1</f>
        <v>-0.0133060388945754</v>
      </c>
      <c r="P642" s="14" t="n">
        <f aca="false">Share_Prices!P642/Share_Prices!P641-1</f>
        <v>-0.00301800174278988</v>
      </c>
      <c r="Q642" s="14" t="n">
        <f aca="false">Share_Prices!Q642/Share_Prices!Q641-1</f>
        <v>-0.00215951626835587</v>
      </c>
      <c r="R642" s="14" t="n">
        <f aca="false">Share_Prices!R642/Share_Prices!R641-1</f>
        <v>0.00550029256875373</v>
      </c>
      <c r="S642" s="14" t="n">
        <f aca="false">Share_Prices!S642/Share_Prices!S641-1</f>
        <v>-0.00535190615835779</v>
      </c>
    </row>
    <row r="643" customFormat="false" ht="15" hidden="false" customHeight="false" outlineLevel="0" collapsed="false">
      <c r="A643" s="13" t="n">
        <f aca="false">Share_Prices!A643</f>
        <v>45742</v>
      </c>
      <c r="B643" s="14" t="n">
        <f aca="false">Share_Prices!B643/Share_Prices!B642-1</f>
        <v>-0.0076810464475161</v>
      </c>
      <c r="C643" s="14" t="n">
        <f aca="false">Share_Prices!C643/Share_Prices!C642-1</f>
        <v>-0.00757075719233591</v>
      </c>
      <c r="D643" s="14" t="n">
        <f aca="false">Share_Prices!D643/Share_Prices!D642-1</f>
        <v>0.0288955315398176</v>
      </c>
      <c r="E643" s="14" t="n">
        <f aca="false">Share_Prices!E643/Share_Prices!E642-1</f>
        <v>-0.0138950154389061</v>
      </c>
      <c r="F643" s="14" t="n">
        <f aca="false">Share_Prices!F643/Share_Prices!F642-1</f>
        <v>-0.0107997664915352</v>
      </c>
      <c r="G643" s="14" t="n">
        <f aca="false">Share_Prices!G643/Share_Prices!G642-1</f>
        <v>-0.0165615141955837</v>
      </c>
      <c r="H643" s="14" t="n">
        <f aca="false">Share_Prices!H643/Share_Prices!H642-1</f>
        <v>-0.0214782059380921</v>
      </c>
      <c r="I643" s="14" t="n">
        <f aca="false">Share_Prices!I643/Share_Prices!I642-1</f>
        <v>-0.0148463912979566</v>
      </c>
      <c r="J643" s="14" t="n">
        <f aca="false">Share_Prices!J643/Share_Prices!J642-1</f>
        <v>-0.0270934154568119</v>
      </c>
      <c r="K643" s="14" t="n">
        <f aca="false">Share_Prices!K643/Share_Prices!K642-1</f>
        <v>-0.0221868822405549</v>
      </c>
      <c r="L643" s="14" t="n">
        <f aca="false">Share_Prices!L643/Share_Prices!L642-1</f>
        <v>-0.00444720578136748</v>
      </c>
      <c r="M643" s="14" t="n">
        <f aca="false">Share_Prices!M643/Share_Prices!M642-1</f>
        <v>-0.0469517555199339</v>
      </c>
      <c r="N643" s="14" t="n">
        <f aca="false">Share_Prices!N643/Share_Prices!N642-1</f>
        <v>0.000456968773800304</v>
      </c>
      <c r="O643" s="14" t="n">
        <f aca="false">Share_Prices!O643/Share_Prices!O642-1</f>
        <v>-0.0069156293222683</v>
      </c>
      <c r="P643" s="14" t="n">
        <f aca="false">Share_Prices!P643/Share_Prices!P642-1</f>
        <v>-0.0136008015519409</v>
      </c>
      <c r="Q643" s="14" t="n">
        <f aca="false">Share_Prices!Q643/Share_Prices!Q642-1</f>
        <v>-0.0124080219304574</v>
      </c>
      <c r="R643" s="14" t="n">
        <f aca="false">Share_Prices!R643/Share_Prices!R642-1</f>
        <v>0.0109404096834265</v>
      </c>
      <c r="S643" s="14" t="n">
        <f aca="false">Share_Prices!S643/Share_Prices!S642-1</f>
        <v>-0.0093609493624236</v>
      </c>
    </row>
    <row r="644" customFormat="false" ht="15" hidden="false" customHeight="false" outlineLevel="0" collapsed="false">
      <c r="A644" s="13" t="n">
        <f aca="false">Share_Prices!A644</f>
        <v>45743</v>
      </c>
      <c r="B644" s="14" t="n">
        <f aca="false">Share_Prices!B644/Share_Prices!B643-1</f>
        <v>0.00447484443422597</v>
      </c>
      <c r="C644" s="14" t="n">
        <f aca="false">Share_Prices!C644/Share_Prices!C643-1</f>
        <v>0.00622783536893468</v>
      </c>
      <c r="D644" s="14" t="n">
        <f aca="false">Share_Prices!D644/Share_Prices!D643-1</f>
        <v>0.0365514501390545</v>
      </c>
      <c r="E644" s="14" t="n">
        <f aca="false">Share_Prices!E644/Share_Prices!E643-1</f>
        <v>-0.00559159024826661</v>
      </c>
      <c r="F644" s="14" t="n">
        <f aca="false">Share_Prices!F644/Share_Prices!F643-1</f>
        <v>0.0322120586210288</v>
      </c>
      <c r="G644" s="14" t="n">
        <f aca="false">Share_Prices!G644/Share_Prices!G643-1</f>
        <v>0.0148801568208143</v>
      </c>
      <c r="H644" s="14" t="n">
        <f aca="false">Share_Prices!H644/Share_Prices!H643-1</f>
        <v>0.022360467163566</v>
      </c>
      <c r="I644" s="14" t="n">
        <f aca="false">Share_Prices!I644/Share_Prices!I643-1</f>
        <v>0.00134288272157557</v>
      </c>
      <c r="J644" s="14" t="n">
        <f aca="false">Share_Prices!J644/Share_Prices!J643-1</f>
        <v>-0.0413008252628405</v>
      </c>
      <c r="K644" s="14" t="n">
        <f aca="false">Share_Prices!K644/Share_Prices!K643-1</f>
        <v>0.0155409984187938</v>
      </c>
      <c r="L644" s="14" t="n">
        <f aca="false">Share_Prices!L644/Share_Prices!L643-1</f>
        <v>0.00620791591394321</v>
      </c>
      <c r="M644" s="14" t="n">
        <f aca="false">Share_Prices!M644/Share_Prices!M643-1</f>
        <v>0.0695567250827411</v>
      </c>
      <c r="N644" s="14" t="n">
        <f aca="false">Share_Prices!N644/Share_Prices!N643-1</f>
        <v>0.0258830694275274</v>
      </c>
      <c r="O644" s="14" t="n">
        <f aca="false">Share_Prices!O644/Share_Prices!O643-1</f>
        <v>0.0100974930362119</v>
      </c>
      <c r="P644" s="14" t="n">
        <f aca="false">Share_Prices!P644/Share_Prices!P643-1</f>
        <v>0.0105249508331351</v>
      </c>
      <c r="Q644" s="14" t="n">
        <f aca="false">Share_Prices!Q644/Share_Prices!Q643-1</f>
        <v>-0.0106647187728268</v>
      </c>
      <c r="R644" s="14" t="n">
        <f aca="false">Share_Prices!R644/Share_Prices!R643-1</f>
        <v>0.00218742804513017</v>
      </c>
      <c r="S644" s="14" t="n">
        <f aca="false">Share_Prices!S644/Share_Prices!S643-1</f>
        <v>0.00967261904761907</v>
      </c>
    </row>
    <row r="645" customFormat="false" ht="15" hidden="false" customHeight="false" outlineLevel="0" collapsed="false">
      <c r="A645" s="13" t="n">
        <f aca="false">Share_Prices!A645</f>
        <v>45744</v>
      </c>
      <c r="B645" s="14" t="n">
        <f aca="false">Share_Prices!B645/Share_Prices!B644-1</f>
        <v>-0.00307732086580392</v>
      </c>
      <c r="C645" s="14" t="n">
        <f aca="false">Share_Prices!C645/Share_Prices!C644-1</f>
        <v>-0.00319507472691227</v>
      </c>
      <c r="D645" s="14" t="n">
        <f aca="false">Share_Prices!D645/Share_Prices!D644-1</f>
        <v>-0.00150919892679169</v>
      </c>
      <c r="E645" s="14" t="n">
        <f aca="false">Share_Prices!E645/Share_Prices!E644-1</f>
        <v>0.00382366171839865</v>
      </c>
      <c r="F645" s="14" t="n">
        <f aca="false">Share_Prices!F645/Share_Prices!F644-1</f>
        <v>-0.0336366668254801</v>
      </c>
      <c r="G645" s="14" t="n">
        <f aca="false">Share_Prices!G645/Share_Prices!G644-1</f>
        <v>-0.00992098331870062</v>
      </c>
      <c r="H645" s="14" t="n">
        <f aca="false">Share_Prices!H645/Share_Prices!H644-1</f>
        <v>0.0120551090700345</v>
      </c>
      <c r="I645" s="14" t="n">
        <f aca="false">Share_Prices!I645/Share_Prices!I644-1</f>
        <v>-0.00134108180599013</v>
      </c>
      <c r="J645" s="14" t="n">
        <f aca="false">Share_Prices!J645/Share_Prices!J644-1</f>
        <v>0.0136394009669432</v>
      </c>
      <c r="K645" s="14" t="n">
        <f aca="false">Share_Prices!K645/Share_Prices!K644-1</f>
        <v>-0.00647270786066989</v>
      </c>
      <c r="L645" s="14" t="n">
        <f aca="false">Share_Prices!L645/Share_Prices!L644-1</f>
        <v>-0.00767121498988055</v>
      </c>
      <c r="M645" s="14" t="n">
        <f aca="false">Share_Prices!M645/Share_Prices!M644-1</f>
        <v>-0.0341906356211636</v>
      </c>
      <c r="N645" s="14" t="n">
        <f aca="false">Share_Prices!N645/Share_Prices!N644-1</f>
        <v>-0.0274562184624517</v>
      </c>
      <c r="O645" s="14" t="n">
        <f aca="false">Share_Prices!O645/Share_Prices!O644-1</f>
        <v>-0.0244743192002759</v>
      </c>
      <c r="P645" s="14" t="n">
        <f aca="false">Share_Prices!P645/Share_Prices!P644-1</f>
        <v>0.0192480431156166</v>
      </c>
      <c r="Q645" s="14" t="n">
        <f aca="false">Share_Prices!Q645/Share_Prices!Q644-1</f>
        <v>0.0349970466627287</v>
      </c>
      <c r="R645" s="14" t="n">
        <f aca="false">Share_Prices!R645/Share_Prices!R644-1</f>
        <v>0.0121769098219415</v>
      </c>
      <c r="S645" s="14" t="n">
        <f aca="false">Share_Prices!S645/Share_Prices!S644-1</f>
        <v>-0.0331613854089904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3"/>
    <col collapsed="false" customWidth="true" hidden="false" outlineLevel="0" max="3" min="3" style="0" width="14"/>
    <col collapsed="false" customWidth="true" hidden="false" outlineLevel="0" max="4" min="4" style="0" width="16"/>
    <col collapsed="false" customWidth="true" hidden="false" outlineLevel="0" max="5" min="5" style="0" width="11"/>
    <col collapsed="false" customWidth="true" hidden="false" outlineLevel="0" max="6" min="6" style="0" width="12"/>
    <col collapsed="false" customWidth="true" hidden="false" outlineLevel="0" max="7" min="7" style="0" width="16"/>
    <col collapsed="false" customWidth="true" hidden="false" outlineLevel="0" max="8" min="8" style="0" width="60"/>
  </cols>
  <sheetData>
    <row r="1" customFormat="false" ht="15" hidden="false" customHeight="false" outlineLevel="0" collapsed="false">
      <c r="A1" s="6" t="s">
        <v>108</v>
      </c>
    </row>
    <row r="2" customFormat="false" ht="15" hidden="false" customHeight="false" outlineLevel="0" collapsed="false">
      <c r="A2" s="2" t="s">
        <v>109</v>
      </c>
    </row>
    <row r="4" customFormat="false" ht="42" hidden="false" customHeight="true" outlineLevel="0" collapsed="false">
      <c r="A4" s="3" t="s">
        <v>110</v>
      </c>
      <c r="B4" s="3" t="s">
        <v>111</v>
      </c>
      <c r="C4" s="3" t="s">
        <v>112</v>
      </c>
      <c r="D4" s="3" t="s">
        <v>113</v>
      </c>
      <c r="E4" s="3" t="s">
        <v>114</v>
      </c>
      <c r="F4" s="3" t="s">
        <v>115</v>
      </c>
      <c r="G4" s="3" t="s">
        <v>116</v>
      </c>
      <c r="H4" s="3" t="s">
        <v>117</v>
      </c>
    </row>
    <row r="5" customFormat="false" ht="15" hidden="false" customHeight="false" outlineLevel="0" collapsed="false">
      <c r="A5" s="5" t="s">
        <v>118</v>
      </c>
      <c r="B5" s="5" t="s">
        <v>90</v>
      </c>
      <c r="C5" s="5" t="s">
        <v>119</v>
      </c>
      <c r="D5" s="5" t="s">
        <v>120</v>
      </c>
      <c r="E5" s="5" t="s">
        <v>121</v>
      </c>
      <c r="F5" s="5" t="s">
        <v>121</v>
      </c>
      <c r="G5" s="15" t="n">
        <v>49.6</v>
      </c>
      <c r="H5" s="5" t="s">
        <v>122</v>
      </c>
    </row>
    <row r="6" customFormat="false" ht="15" hidden="false" customHeight="false" outlineLevel="0" collapsed="false">
      <c r="A6" s="5" t="s">
        <v>123</v>
      </c>
      <c r="B6" s="5" t="s">
        <v>96</v>
      </c>
      <c r="C6" s="5" t="s">
        <v>124</v>
      </c>
      <c r="D6" s="5" t="s">
        <v>125</v>
      </c>
      <c r="E6" s="5" t="s">
        <v>121</v>
      </c>
      <c r="F6" s="5" t="s">
        <v>126</v>
      </c>
      <c r="G6" s="15" t="n">
        <v>32.3</v>
      </c>
      <c r="H6" s="5" t="s">
        <v>127</v>
      </c>
    </row>
    <row r="7" customFormat="false" ht="15" hidden="false" customHeight="false" outlineLevel="0" collapsed="false">
      <c r="A7" s="5" t="s">
        <v>128</v>
      </c>
      <c r="B7" s="5" t="s">
        <v>97</v>
      </c>
      <c r="C7" s="5" t="s">
        <v>129</v>
      </c>
      <c r="D7" s="5" t="s">
        <v>125</v>
      </c>
      <c r="E7" s="5" t="s">
        <v>126</v>
      </c>
      <c r="F7" s="5" t="s">
        <v>121</v>
      </c>
      <c r="G7" s="15" t="n">
        <v>23</v>
      </c>
      <c r="H7" s="5" t="s">
        <v>130</v>
      </c>
    </row>
    <row r="8" customFormat="false" ht="15" hidden="false" customHeight="false" outlineLevel="0" collapsed="false">
      <c r="A8" s="5" t="s">
        <v>131</v>
      </c>
      <c r="B8" s="5" t="s">
        <v>91</v>
      </c>
      <c r="C8" s="5" t="s">
        <v>119</v>
      </c>
      <c r="D8" s="5" t="s">
        <v>120</v>
      </c>
      <c r="E8" s="5" t="s">
        <v>121</v>
      </c>
      <c r="F8" s="5" t="s">
        <v>121</v>
      </c>
      <c r="G8" s="15" t="n">
        <v>57</v>
      </c>
      <c r="H8" s="5" t="s">
        <v>132</v>
      </c>
    </row>
    <row r="9" customFormat="false" ht="15" hidden="false" customHeight="false" outlineLevel="0" collapsed="false">
      <c r="A9" s="5" t="s">
        <v>133</v>
      </c>
      <c r="B9" s="5" t="s">
        <v>98</v>
      </c>
      <c r="C9" s="5" t="s">
        <v>129</v>
      </c>
      <c r="D9" s="5" t="s">
        <v>125</v>
      </c>
      <c r="E9" s="5" t="s">
        <v>121</v>
      </c>
      <c r="F9" s="5" t="s">
        <v>121</v>
      </c>
      <c r="G9" s="15" t="n">
        <v>60</v>
      </c>
      <c r="H9" s="5" t="s">
        <v>134</v>
      </c>
    </row>
    <row r="10" customFormat="false" ht="15" hidden="false" customHeight="false" outlineLevel="0" collapsed="false">
      <c r="A10" s="5" t="s">
        <v>135</v>
      </c>
      <c r="B10" s="5" t="s">
        <v>99</v>
      </c>
      <c r="C10" s="5" t="s">
        <v>124</v>
      </c>
      <c r="D10" s="5" t="s">
        <v>125</v>
      </c>
      <c r="E10" s="5" t="s">
        <v>121</v>
      </c>
      <c r="F10" s="5" t="s">
        <v>126</v>
      </c>
      <c r="G10" s="15" t="n">
        <v>52.9</v>
      </c>
      <c r="H10" s="5" t="s">
        <v>136</v>
      </c>
    </row>
    <row r="11" customFormat="false" ht="15" hidden="false" customHeight="false" outlineLevel="0" collapsed="false">
      <c r="A11" s="5" t="s">
        <v>137</v>
      </c>
      <c r="B11" s="5" t="s">
        <v>92</v>
      </c>
      <c r="C11" s="5" t="s">
        <v>119</v>
      </c>
      <c r="D11" s="5" t="s">
        <v>120</v>
      </c>
      <c r="E11" s="5" t="s">
        <v>121</v>
      </c>
      <c r="F11" s="5" t="s">
        <v>121</v>
      </c>
      <c r="G11" s="15" t="n">
        <v>54</v>
      </c>
      <c r="H11" s="5" t="s">
        <v>138</v>
      </c>
    </row>
    <row r="12" customFormat="false" ht="15" hidden="false" customHeight="false" outlineLevel="0" collapsed="false">
      <c r="A12" s="5" t="s">
        <v>139</v>
      </c>
      <c r="B12" s="5" t="s">
        <v>100</v>
      </c>
      <c r="C12" s="5" t="s">
        <v>129</v>
      </c>
      <c r="D12" s="5" t="s">
        <v>125</v>
      </c>
      <c r="E12" s="5" t="s">
        <v>121</v>
      </c>
      <c r="F12" s="5" t="s">
        <v>121</v>
      </c>
      <c r="G12" s="15" t="n">
        <v>55.3</v>
      </c>
      <c r="H12" s="5" t="s">
        <v>140</v>
      </c>
    </row>
    <row r="13" customFormat="false" ht="15" hidden="false" customHeight="false" outlineLevel="0" collapsed="false">
      <c r="A13" s="5" t="s">
        <v>141</v>
      </c>
      <c r="B13" s="5" t="s">
        <v>93</v>
      </c>
      <c r="C13" s="5" t="s">
        <v>119</v>
      </c>
      <c r="D13" s="5" t="s">
        <v>120</v>
      </c>
      <c r="E13" s="5" t="s">
        <v>121</v>
      </c>
      <c r="F13" s="5" t="s">
        <v>121</v>
      </c>
      <c r="G13" s="15" t="n">
        <v>33</v>
      </c>
      <c r="H13" s="5" t="s">
        <v>142</v>
      </c>
    </row>
    <row r="14" customFormat="false" ht="15" hidden="false" customHeight="false" outlineLevel="0" collapsed="false">
      <c r="A14" s="5" t="s">
        <v>143</v>
      </c>
      <c r="B14" s="5" t="s">
        <v>101</v>
      </c>
      <c r="C14" s="5" t="s">
        <v>129</v>
      </c>
      <c r="D14" s="5" t="s">
        <v>125</v>
      </c>
      <c r="E14" s="5" t="s">
        <v>121</v>
      </c>
      <c r="F14" s="5" t="s">
        <v>121</v>
      </c>
      <c r="G14" s="15" t="n">
        <v>57.2</v>
      </c>
      <c r="H14" s="5" t="s">
        <v>144</v>
      </c>
    </row>
    <row r="15" customFormat="false" ht="15" hidden="false" customHeight="false" outlineLevel="0" collapsed="false">
      <c r="A15" s="5" t="s">
        <v>145</v>
      </c>
      <c r="B15" s="5" t="s">
        <v>102</v>
      </c>
      <c r="C15" s="5" t="s">
        <v>146</v>
      </c>
      <c r="D15" s="5" t="s">
        <v>125</v>
      </c>
      <c r="E15" s="5" t="s">
        <v>121</v>
      </c>
      <c r="F15" s="5" t="s">
        <v>121</v>
      </c>
      <c r="G15" s="15" t="n">
        <v>65.4</v>
      </c>
      <c r="H15" s="5" t="s">
        <v>147</v>
      </c>
    </row>
    <row r="16" customFormat="false" ht="15" hidden="false" customHeight="false" outlineLevel="0" collapsed="false">
      <c r="A16" s="5" t="s">
        <v>148</v>
      </c>
      <c r="B16" s="5" t="s">
        <v>94</v>
      </c>
      <c r="C16" s="5" t="s">
        <v>119</v>
      </c>
      <c r="D16" s="5" t="s">
        <v>120</v>
      </c>
      <c r="E16" s="5" t="s">
        <v>121</v>
      </c>
      <c r="F16" s="5" t="s">
        <v>121</v>
      </c>
      <c r="G16" s="15" t="n">
        <v>40.2</v>
      </c>
      <c r="H16" s="5" t="s">
        <v>149</v>
      </c>
    </row>
    <row r="17" customFormat="false" ht="15" hidden="false" customHeight="false" outlineLevel="0" collapsed="false">
      <c r="A17" s="5" t="s">
        <v>150</v>
      </c>
      <c r="B17" s="5" t="s">
        <v>103</v>
      </c>
      <c r="C17" s="5" t="s">
        <v>129</v>
      </c>
      <c r="D17" s="5" t="s">
        <v>125</v>
      </c>
      <c r="E17" s="5" t="s">
        <v>126</v>
      </c>
      <c r="F17" s="5" t="s">
        <v>121</v>
      </c>
      <c r="G17" s="15"/>
      <c r="H17" s="5" t="s">
        <v>151</v>
      </c>
    </row>
    <row r="18" customFormat="false" ht="15" hidden="false" customHeight="false" outlineLevel="0" collapsed="false">
      <c r="A18" s="5" t="s">
        <v>152</v>
      </c>
      <c r="B18" s="5" t="s">
        <v>95</v>
      </c>
      <c r="C18" s="5" t="s">
        <v>119</v>
      </c>
      <c r="D18" s="5" t="s">
        <v>120</v>
      </c>
      <c r="E18" s="5" t="s">
        <v>121</v>
      </c>
      <c r="F18" s="5" t="s">
        <v>121</v>
      </c>
      <c r="G18" s="15" t="n">
        <v>75.5</v>
      </c>
      <c r="H18" s="5" t="s">
        <v>153</v>
      </c>
    </row>
    <row r="19" customFormat="false" ht="15" hidden="false" customHeight="false" outlineLevel="0" collapsed="false">
      <c r="A19" s="5" t="s">
        <v>154</v>
      </c>
      <c r="B19" s="5" t="s">
        <v>104</v>
      </c>
      <c r="C19" s="5" t="s">
        <v>155</v>
      </c>
      <c r="D19" s="5" t="s">
        <v>125</v>
      </c>
      <c r="E19" s="5" t="s">
        <v>126</v>
      </c>
      <c r="F19" s="5" t="s">
        <v>121</v>
      </c>
      <c r="G19" s="15" t="n">
        <v>77</v>
      </c>
      <c r="H19" s="5" t="s">
        <v>156</v>
      </c>
    </row>
    <row r="20" customFormat="false" ht="15" hidden="false" customHeight="false" outlineLevel="0" collapsed="false">
      <c r="A20" s="5" t="s">
        <v>157</v>
      </c>
      <c r="B20" s="5" t="s">
        <v>105</v>
      </c>
      <c r="C20" s="5" t="s">
        <v>129</v>
      </c>
      <c r="D20" s="5" t="s">
        <v>125</v>
      </c>
      <c r="E20" s="5" t="s">
        <v>121</v>
      </c>
      <c r="F20" s="5" t="s">
        <v>121</v>
      </c>
      <c r="G20" s="15" t="n">
        <v>25.6</v>
      </c>
      <c r="H20" s="5" t="s">
        <v>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3"/>
    <col collapsed="false" customWidth="true" hidden="false" outlineLevel="0" max="3" min="3" style="0" width="14"/>
    <col collapsed="false" customWidth="true" hidden="false" outlineLevel="0" max="4" min="4" style="0" width="10"/>
    <col collapsed="false" customWidth="true" hidden="false" outlineLevel="0" max="5" min="5" style="0" width="9"/>
    <col collapsed="false" customWidth="true" hidden="false" outlineLevel="0" max="6" min="6" style="0" width="10"/>
    <col collapsed="false" customWidth="true" hidden="false" outlineLevel="0" max="7" min="7" style="0" width="9"/>
    <col collapsed="false" customWidth="true" hidden="false" outlineLevel="0" max="8" min="8" style="0" width="26"/>
    <col collapsed="false" customWidth="true" hidden="false" outlineLevel="0" max="9" min="9" style="0" width="70"/>
  </cols>
  <sheetData>
    <row r="1" customFormat="false" ht="15" hidden="false" customHeight="false" outlineLevel="0" collapsed="false">
      <c r="A1" s="6" t="s">
        <v>159</v>
      </c>
    </row>
    <row r="2" customFormat="false" ht="15" hidden="false" customHeight="false" outlineLevel="0" collapsed="false">
      <c r="A2" s="2" t="s">
        <v>160</v>
      </c>
    </row>
    <row r="4" customFormat="false" ht="42" hidden="false" customHeight="true" outlineLevel="0" collapsed="false">
      <c r="A4" s="3" t="s">
        <v>110</v>
      </c>
      <c r="B4" s="3" t="s">
        <v>111</v>
      </c>
      <c r="C4" s="3" t="s">
        <v>161</v>
      </c>
      <c r="D4" s="3" t="s">
        <v>162</v>
      </c>
      <c r="E4" s="3" t="s">
        <v>163</v>
      </c>
      <c r="F4" s="3" t="s">
        <v>164</v>
      </c>
      <c r="G4" s="3" t="s">
        <v>85</v>
      </c>
      <c r="H4" s="3" t="s">
        <v>165</v>
      </c>
      <c r="I4" s="3" t="s">
        <v>166</v>
      </c>
    </row>
    <row r="5" customFormat="false" ht="15" hidden="false" customHeight="false" outlineLevel="0" collapsed="false">
      <c r="A5" s="5" t="s">
        <v>118</v>
      </c>
      <c r="B5" s="5" t="s">
        <v>90</v>
      </c>
      <c r="C5" s="5" t="s">
        <v>120</v>
      </c>
      <c r="D5" s="5" t="s">
        <v>167</v>
      </c>
      <c r="E5" s="5" t="s">
        <v>168</v>
      </c>
      <c r="F5" s="16" t="n">
        <v>8.1</v>
      </c>
      <c r="G5" s="12" t="str">
        <f aca="false">IF(VALUE(MID(D5,3,2))*10+VALUE(MID(E5,2,1))&lt;=242,"Pre",IF(VALUE(MID(D5,3,2))*10+VALUE(MID(E5,2,1))&lt;=254,"Post","Later"))</f>
        <v>Pre</v>
      </c>
      <c r="H5" s="5" t="s">
        <v>169</v>
      </c>
      <c r="I5" s="5" t="s">
        <v>170</v>
      </c>
    </row>
    <row r="6" customFormat="false" ht="15" hidden="false" customHeight="false" outlineLevel="0" collapsed="false">
      <c r="A6" s="5" t="s">
        <v>118</v>
      </c>
      <c r="B6" s="5" t="s">
        <v>90</v>
      </c>
      <c r="C6" s="5" t="s">
        <v>120</v>
      </c>
      <c r="D6" s="5" t="s">
        <v>167</v>
      </c>
      <c r="E6" s="5" t="s">
        <v>171</v>
      </c>
      <c r="F6" s="16" t="n">
        <v>7.9</v>
      </c>
      <c r="G6" s="12" t="str">
        <f aca="false">IF(VALUE(MID(D6,3,2))*10+VALUE(MID(E6,2,1))&lt;=242,"Pre",IF(VALUE(MID(D6,3,2))*10+VALUE(MID(E6,2,1))&lt;=254,"Post","Later"))</f>
        <v>Pre</v>
      </c>
      <c r="H6" s="5" t="s">
        <v>169</v>
      </c>
      <c r="I6" s="5" t="s">
        <v>170</v>
      </c>
    </row>
    <row r="7" customFormat="false" ht="15" hidden="false" customHeight="false" outlineLevel="0" collapsed="false">
      <c r="A7" s="5" t="s">
        <v>118</v>
      </c>
      <c r="B7" s="5" t="s">
        <v>90</v>
      </c>
      <c r="C7" s="5" t="s">
        <v>120</v>
      </c>
      <c r="D7" s="5" t="s">
        <v>167</v>
      </c>
      <c r="E7" s="5" t="s">
        <v>172</v>
      </c>
      <c r="F7" s="16" t="n">
        <v>7.68</v>
      </c>
      <c r="G7" s="12" t="str">
        <f aca="false">IF(VALUE(MID(D7,3,2))*10+VALUE(MID(E7,2,1))&lt;=242,"Pre",IF(VALUE(MID(D7,3,2))*10+VALUE(MID(E7,2,1))&lt;=254,"Post","Later"))</f>
        <v>Pre</v>
      </c>
      <c r="H7" s="5" t="s">
        <v>169</v>
      </c>
      <c r="I7" s="5" t="s">
        <v>170</v>
      </c>
    </row>
    <row r="8" customFormat="false" ht="15" hidden="false" customHeight="false" outlineLevel="0" collapsed="false">
      <c r="A8" s="5" t="s">
        <v>118</v>
      </c>
      <c r="B8" s="5" t="s">
        <v>90</v>
      </c>
      <c r="C8" s="5" t="s">
        <v>120</v>
      </c>
      <c r="D8" s="5" t="s">
        <v>167</v>
      </c>
      <c r="E8" s="5" t="s">
        <v>173</v>
      </c>
      <c r="F8" s="16" t="n">
        <v>7.4</v>
      </c>
      <c r="G8" s="12" t="str">
        <f aca="false">IF(VALUE(MID(D8,3,2))*10+VALUE(MID(E8,2,1))&lt;=242,"Pre",IF(VALUE(MID(D8,3,2))*10+VALUE(MID(E8,2,1))&lt;=254,"Post","Later"))</f>
        <v>Pre</v>
      </c>
      <c r="H8" s="5" t="s">
        <v>169</v>
      </c>
      <c r="I8" s="5" t="s">
        <v>170</v>
      </c>
    </row>
    <row r="9" customFormat="false" ht="15" hidden="false" customHeight="false" outlineLevel="0" collapsed="false">
      <c r="A9" s="5" t="s">
        <v>118</v>
      </c>
      <c r="B9" s="5" t="s">
        <v>90</v>
      </c>
      <c r="C9" s="5" t="s">
        <v>120</v>
      </c>
      <c r="D9" s="5" t="s">
        <v>174</v>
      </c>
      <c r="E9" s="5" t="s">
        <v>168</v>
      </c>
      <c r="F9" s="16" t="n">
        <v>7.25</v>
      </c>
      <c r="G9" s="12" t="str">
        <f aca="false">IF(VALUE(MID(D9,3,2))*10+VALUE(MID(E9,2,1))&lt;=242,"Pre",IF(VALUE(MID(D9,3,2))*10+VALUE(MID(E9,2,1))&lt;=254,"Post","Later"))</f>
        <v>Pre</v>
      </c>
      <c r="H9" s="5" t="s">
        <v>169</v>
      </c>
      <c r="I9" s="5" t="s">
        <v>170</v>
      </c>
    </row>
    <row r="10" customFormat="false" ht="15" hidden="false" customHeight="false" outlineLevel="0" collapsed="false">
      <c r="A10" s="5" t="s">
        <v>118</v>
      </c>
      <c r="B10" s="5" t="s">
        <v>90</v>
      </c>
      <c r="C10" s="5" t="s">
        <v>120</v>
      </c>
      <c r="D10" s="5" t="s">
        <v>174</v>
      </c>
      <c r="E10" s="5" t="s">
        <v>171</v>
      </c>
      <c r="F10" s="16" t="n">
        <v>7.17</v>
      </c>
      <c r="G10" s="12" t="str">
        <f aca="false">IF(VALUE(MID(D10,3,2))*10+VALUE(MID(E10,2,1))&lt;=242,"Pre",IF(VALUE(MID(D10,3,2))*10+VALUE(MID(E10,2,1))&lt;=254,"Post","Later"))</f>
        <v>Pre</v>
      </c>
      <c r="H10" s="5" t="s">
        <v>169</v>
      </c>
      <c r="I10" s="5" t="s">
        <v>170</v>
      </c>
    </row>
    <row r="11" customFormat="false" ht="15" hidden="false" customHeight="false" outlineLevel="0" collapsed="false">
      <c r="A11" s="5" t="s">
        <v>118</v>
      </c>
      <c r="B11" s="5" t="s">
        <v>90</v>
      </c>
      <c r="C11" s="5" t="s">
        <v>120</v>
      </c>
      <c r="D11" s="5" t="s">
        <v>174</v>
      </c>
      <c r="E11" s="5" t="s">
        <v>172</v>
      </c>
      <c r="F11" s="16" t="n">
        <v>7.03</v>
      </c>
      <c r="G11" s="12" t="str">
        <f aca="false">IF(VALUE(MID(D11,3,2))*10+VALUE(MID(E11,2,1))&lt;=242,"Pre",IF(VALUE(MID(D11,3,2))*10+VALUE(MID(E11,2,1))&lt;=254,"Post","Later"))</f>
        <v>Pre</v>
      </c>
      <c r="H11" s="5" t="s">
        <v>175</v>
      </c>
      <c r="I11" s="5" t="s">
        <v>170</v>
      </c>
    </row>
    <row r="12" customFormat="false" ht="15" hidden="false" customHeight="false" outlineLevel="0" collapsed="false">
      <c r="A12" s="5" t="s">
        <v>118</v>
      </c>
      <c r="B12" s="5" t="s">
        <v>90</v>
      </c>
      <c r="C12" s="5" t="s">
        <v>120</v>
      </c>
      <c r="D12" s="5" t="s">
        <v>174</v>
      </c>
      <c r="E12" s="5" t="s">
        <v>173</v>
      </c>
      <c r="F12" s="16" t="n">
        <v>6.88</v>
      </c>
      <c r="G12" s="12" t="str">
        <f aca="false">IF(VALUE(MID(D12,3,2))*10+VALUE(MID(E12,2,1))&lt;=242,"Pre",IF(VALUE(MID(D12,3,2))*10+VALUE(MID(E12,2,1))&lt;=254,"Post","Later"))</f>
        <v>Pre</v>
      </c>
      <c r="H12" s="5" t="s">
        <v>175</v>
      </c>
      <c r="I12" s="5" t="s">
        <v>170</v>
      </c>
    </row>
    <row r="13" customFormat="false" ht="15" hidden="false" customHeight="false" outlineLevel="0" collapsed="false">
      <c r="A13" s="5" t="s">
        <v>118</v>
      </c>
      <c r="B13" s="5" t="s">
        <v>90</v>
      </c>
      <c r="C13" s="5" t="s">
        <v>120</v>
      </c>
      <c r="D13" s="5" t="s">
        <v>176</v>
      </c>
      <c r="E13" s="5" t="s">
        <v>168</v>
      </c>
      <c r="F13" s="16" t="n">
        <v>6.86</v>
      </c>
      <c r="G13" s="12" t="str">
        <f aca="false">IF(VALUE(MID(D13,3,2))*10+VALUE(MID(E13,2,1))&lt;=242,"Pre",IF(VALUE(MID(D13,3,2))*10+VALUE(MID(E13,2,1))&lt;=254,"Post","Later"))</f>
        <v>Pre</v>
      </c>
      <c r="H13" s="5" t="s">
        <v>175</v>
      </c>
      <c r="I13" s="5" t="s">
        <v>170</v>
      </c>
    </row>
    <row r="14" customFormat="false" ht="15" hidden="false" customHeight="false" outlineLevel="0" collapsed="false">
      <c r="A14" s="5" t="s">
        <v>118</v>
      </c>
      <c r="B14" s="5" t="s">
        <v>90</v>
      </c>
      <c r="C14" s="5" t="s">
        <v>120</v>
      </c>
      <c r="D14" s="5" t="s">
        <v>176</v>
      </c>
      <c r="E14" s="5" t="s">
        <v>171</v>
      </c>
      <c r="F14" s="16" t="n">
        <v>6.99</v>
      </c>
      <c r="G14" s="12" t="str">
        <f aca="false">IF(VALUE(MID(D14,3,2))*10+VALUE(MID(E14,2,1))&lt;=242,"Pre",IF(VALUE(MID(D14,3,2))*10+VALUE(MID(E14,2,1))&lt;=254,"Post","Later"))</f>
        <v>Pre</v>
      </c>
      <c r="H14" s="5" t="s">
        <v>175</v>
      </c>
      <c r="I14" s="5" t="s">
        <v>170</v>
      </c>
    </row>
    <row r="15" customFormat="false" ht="15" hidden="false" customHeight="false" outlineLevel="0" collapsed="false">
      <c r="A15" s="5" t="s">
        <v>118</v>
      </c>
      <c r="B15" s="5" t="s">
        <v>90</v>
      </c>
      <c r="C15" s="5" t="s">
        <v>120</v>
      </c>
      <c r="D15" s="5" t="s">
        <v>176</v>
      </c>
      <c r="E15" s="5" t="s">
        <v>172</v>
      </c>
      <c r="F15" s="16" t="n">
        <v>7.29</v>
      </c>
      <c r="G15" s="12" t="str">
        <f aca="false">IF(VALUE(MID(D15,3,2))*10+VALUE(MID(E15,2,1))&lt;=242,"Pre",IF(VALUE(MID(D15,3,2))*10+VALUE(MID(E15,2,1))&lt;=254,"Post","Later"))</f>
        <v>Pre</v>
      </c>
      <c r="H15" s="5" t="s">
        <v>175</v>
      </c>
      <c r="I15" s="5" t="s">
        <v>170</v>
      </c>
    </row>
    <row r="16" customFormat="false" ht="15" hidden="false" customHeight="false" outlineLevel="0" collapsed="false">
      <c r="A16" s="5" t="s">
        <v>118</v>
      </c>
      <c r="B16" s="5" t="s">
        <v>90</v>
      </c>
      <c r="C16" s="5" t="s">
        <v>120</v>
      </c>
      <c r="D16" s="5" t="s">
        <v>176</v>
      </c>
      <c r="E16" s="5" t="s">
        <v>173</v>
      </c>
      <c r="F16" s="16" t="n">
        <v>7.61</v>
      </c>
      <c r="G16" s="12" t="str">
        <f aca="false">IF(VALUE(MID(D16,3,2))*10+VALUE(MID(E16,2,1))&lt;=242,"Pre",IF(VALUE(MID(D16,3,2))*10+VALUE(MID(E16,2,1))&lt;=254,"Post","Later"))</f>
        <v>Pre</v>
      </c>
      <c r="H16" s="5" t="s">
        <v>175</v>
      </c>
      <c r="I16" s="5" t="s">
        <v>170</v>
      </c>
    </row>
    <row r="17" customFormat="false" ht="15" hidden="false" customHeight="false" outlineLevel="0" collapsed="false">
      <c r="A17" s="5" t="s">
        <v>118</v>
      </c>
      <c r="B17" s="5" t="s">
        <v>90</v>
      </c>
      <c r="C17" s="5" t="s">
        <v>120</v>
      </c>
      <c r="D17" s="5" t="s">
        <v>177</v>
      </c>
      <c r="E17" s="5" t="s">
        <v>168</v>
      </c>
      <c r="F17" s="16" t="n">
        <v>7.66</v>
      </c>
      <c r="G17" s="12" t="str">
        <f aca="false">IF(VALUE(MID(D17,3,2))*10+VALUE(MID(E17,2,1))&lt;=242,"Pre",IF(VALUE(MID(D17,3,2))*10+VALUE(MID(E17,2,1))&lt;=254,"Post","Later"))</f>
        <v>Pre</v>
      </c>
      <c r="H17" s="5" t="s">
        <v>175</v>
      </c>
      <c r="I17" s="5" t="s">
        <v>170</v>
      </c>
    </row>
    <row r="18" customFormat="false" ht="15" hidden="false" customHeight="false" outlineLevel="0" collapsed="false">
      <c r="A18" s="5" t="s">
        <v>118</v>
      </c>
      <c r="B18" s="5" t="s">
        <v>90</v>
      </c>
      <c r="C18" s="5" t="s">
        <v>120</v>
      </c>
      <c r="D18" s="5" t="s">
        <v>177</v>
      </c>
      <c r="E18" s="5" t="s">
        <v>171</v>
      </c>
      <c r="F18" s="16" t="n">
        <v>7.86</v>
      </c>
      <c r="G18" s="12" t="str">
        <f aca="false">IF(VALUE(MID(D18,3,2))*10+VALUE(MID(E18,2,1))&lt;=242,"Pre",IF(VALUE(MID(D18,3,2))*10+VALUE(MID(E18,2,1))&lt;=254,"Post","Later"))</f>
        <v>Pre</v>
      </c>
      <c r="H18" s="5" t="s">
        <v>175</v>
      </c>
      <c r="I18" s="5" t="s">
        <v>170</v>
      </c>
    </row>
    <row r="19" customFormat="false" ht="15" hidden="false" customHeight="false" outlineLevel="0" collapsed="false">
      <c r="A19" s="5" t="s">
        <v>118</v>
      </c>
      <c r="B19" s="5" t="s">
        <v>90</v>
      </c>
      <c r="C19" s="5" t="s">
        <v>120</v>
      </c>
      <c r="D19" s="5" t="s">
        <v>177</v>
      </c>
      <c r="E19" s="5" t="s">
        <v>172</v>
      </c>
      <c r="F19" s="16" t="n">
        <v>7.95</v>
      </c>
      <c r="G19" s="12" t="str">
        <f aca="false">IF(VALUE(MID(D19,3,2))*10+VALUE(MID(E19,2,1))&lt;=242,"Pre",IF(VALUE(MID(D19,3,2))*10+VALUE(MID(E19,2,1))&lt;=254,"Post","Later"))</f>
        <v>Post</v>
      </c>
      <c r="H19" s="5" t="s">
        <v>178</v>
      </c>
      <c r="I19" s="5" t="s">
        <v>170</v>
      </c>
    </row>
    <row r="20" customFormat="false" ht="15" hidden="false" customHeight="false" outlineLevel="0" collapsed="false">
      <c r="A20" s="5" t="s">
        <v>118</v>
      </c>
      <c r="B20" s="5" t="s">
        <v>90</v>
      </c>
      <c r="C20" s="5" t="s">
        <v>120</v>
      </c>
      <c r="D20" s="5" t="s">
        <v>177</v>
      </c>
      <c r="E20" s="5" t="s">
        <v>173</v>
      </c>
      <c r="F20" s="16" t="n">
        <v>8.07</v>
      </c>
      <c r="G20" s="12" t="str">
        <f aca="false">IF(VALUE(MID(D20,3,2))*10+VALUE(MID(E20,2,1))&lt;=242,"Pre",IF(VALUE(MID(D20,3,2))*10+VALUE(MID(E20,2,1))&lt;=254,"Post","Later"))</f>
        <v>Post</v>
      </c>
      <c r="H20" s="5" t="s">
        <v>178</v>
      </c>
      <c r="I20" s="5" t="s">
        <v>170</v>
      </c>
    </row>
    <row r="21" customFormat="false" ht="15" hidden="false" customHeight="false" outlineLevel="0" collapsed="false">
      <c r="A21" s="5" t="s">
        <v>118</v>
      </c>
      <c r="B21" s="5" t="s">
        <v>90</v>
      </c>
      <c r="C21" s="5" t="s">
        <v>120</v>
      </c>
      <c r="D21" s="5" t="s">
        <v>179</v>
      </c>
      <c r="E21" s="5" t="s">
        <v>168</v>
      </c>
      <c r="F21" s="16" t="n">
        <v>8.08</v>
      </c>
      <c r="G21" s="12" t="str">
        <f aca="false">IF(VALUE(MID(D21,3,2))*10+VALUE(MID(E21,2,1))&lt;=242,"Pre",IF(VALUE(MID(D21,3,2))*10+VALUE(MID(E21,2,1))&lt;=254,"Post","Later"))</f>
        <v>Post</v>
      </c>
      <c r="H21" s="5" t="s">
        <v>178</v>
      </c>
      <c r="I21" s="5" t="s">
        <v>170</v>
      </c>
    </row>
    <row r="22" customFormat="false" ht="15" hidden="false" customHeight="false" outlineLevel="0" collapsed="false">
      <c r="A22" s="5" t="s">
        <v>118</v>
      </c>
      <c r="B22" s="5" t="s">
        <v>90</v>
      </c>
      <c r="C22" s="5" t="s">
        <v>120</v>
      </c>
      <c r="D22" s="5" t="s">
        <v>179</v>
      </c>
      <c r="E22" s="5" t="s">
        <v>171</v>
      </c>
      <c r="F22" s="16" t="n">
        <v>8.15</v>
      </c>
      <c r="G22" s="12" t="str">
        <f aca="false">IF(VALUE(MID(D22,3,2))*10+VALUE(MID(E22,2,1))&lt;=242,"Pre",IF(VALUE(MID(D22,3,2))*10+VALUE(MID(E22,2,1))&lt;=254,"Post","Later"))</f>
        <v>Post</v>
      </c>
      <c r="H22" s="5" t="s">
        <v>178</v>
      </c>
      <c r="I22" s="5" t="s">
        <v>170</v>
      </c>
    </row>
    <row r="23" customFormat="false" ht="15" hidden="false" customHeight="false" outlineLevel="0" collapsed="false">
      <c r="A23" s="5" t="s">
        <v>118</v>
      </c>
      <c r="B23" s="5" t="s">
        <v>90</v>
      </c>
      <c r="C23" s="5" t="s">
        <v>120</v>
      </c>
      <c r="D23" s="5" t="s">
        <v>179</v>
      </c>
      <c r="E23" s="5" t="s">
        <v>172</v>
      </c>
      <c r="F23" s="16" t="n">
        <v>8.24</v>
      </c>
      <c r="G23" s="12" t="str">
        <f aca="false">IF(VALUE(MID(D23,3,2))*10+VALUE(MID(E23,2,1))&lt;=242,"Pre",IF(VALUE(MID(D23,3,2))*10+VALUE(MID(E23,2,1))&lt;=254,"Post","Later"))</f>
        <v>Post</v>
      </c>
      <c r="H23" s="5" t="s">
        <v>178</v>
      </c>
      <c r="I23" s="5" t="s">
        <v>170</v>
      </c>
    </row>
    <row r="24" customFormat="false" ht="15" hidden="false" customHeight="false" outlineLevel="0" collapsed="false">
      <c r="A24" s="5" t="s">
        <v>118</v>
      </c>
      <c r="B24" s="5" t="s">
        <v>90</v>
      </c>
      <c r="C24" s="5" t="s">
        <v>120</v>
      </c>
      <c r="D24" s="5" t="s">
        <v>179</v>
      </c>
      <c r="E24" s="5" t="s">
        <v>173</v>
      </c>
      <c r="F24" s="16" t="n">
        <v>8.24</v>
      </c>
      <c r="G24" s="12" t="str">
        <f aca="false">IF(VALUE(MID(D24,3,2))*10+VALUE(MID(E24,2,1))&lt;=242,"Pre",IF(VALUE(MID(D24,3,2))*10+VALUE(MID(E24,2,1))&lt;=254,"Post","Later"))</f>
        <v>Post</v>
      </c>
      <c r="H24" s="5" t="s">
        <v>178</v>
      </c>
      <c r="I24" s="5" t="s">
        <v>170</v>
      </c>
    </row>
    <row r="25" customFormat="false" ht="15" hidden="false" customHeight="false" outlineLevel="0" collapsed="false">
      <c r="A25" s="5" t="s">
        <v>118</v>
      </c>
      <c r="B25" s="5" t="s">
        <v>90</v>
      </c>
      <c r="C25" s="5" t="s">
        <v>120</v>
      </c>
      <c r="D25" s="5" t="s">
        <v>180</v>
      </c>
      <c r="E25" s="5" t="s">
        <v>168</v>
      </c>
      <c r="F25" s="16" t="n">
        <v>8.02</v>
      </c>
      <c r="G25" s="12" t="str">
        <f aca="false">IF(VALUE(MID(D25,3,2))*10+VALUE(MID(E25,2,1))&lt;=242,"Pre",IF(VALUE(MID(D25,3,2))*10+VALUE(MID(E25,2,1))&lt;=254,"Post","Later"))</f>
        <v>Later</v>
      </c>
      <c r="H25" s="5" t="s">
        <v>181</v>
      </c>
      <c r="I25" s="5" t="s">
        <v>170</v>
      </c>
    </row>
    <row r="26" customFormat="false" ht="15" hidden="false" customHeight="false" outlineLevel="0" collapsed="false">
      <c r="A26" s="5" t="s">
        <v>118</v>
      </c>
      <c r="B26" s="5" t="s">
        <v>90</v>
      </c>
      <c r="C26" s="5" t="s">
        <v>120</v>
      </c>
      <c r="D26" s="5" t="s">
        <v>180</v>
      </c>
      <c r="E26" s="5" t="s">
        <v>171</v>
      </c>
      <c r="F26" s="16" t="n">
        <v>7.85</v>
      </c>
      <c r="G26" s="12" t="str">
        <f aca="false">IF(VALUE(MID(D26,3,2))*10+VALUE(MID(E26,2,1))&lt;=242,"Pre",IF(VALUE(MID(D26,3,2))*10+VALUE(MID(E26,2,1))&lt;=254,"Post","Later"))</f>
        <v>Later</v>
      </c>
      <c r="H26" s="5" t="s">
        <v>181</v>
      </c>
      <c r="I26" s="5" t="s">
        <v>170</v>
      </c>
    </row>
    <row r="27" customFormat="false" ht="15" hidden="false" customHeight="false" outlineLevel="0" collapsed="false">
      <c r="A27" s="5" t="s">
        <v>118</v>
      </c>
      <c r="B27" s="5" t="s">
        <v>90</v>
      </c>
      <c r="C27" s="5" t="s">
        <v>120</v>
      </c>
      <c r="D27" s="5" t="s">
        <v>180</v>
      </c>
      <c r="E27" s="5" t="s">
        <v>172</v>
      </c>
      <c r="F27" s="16" t="n">
        <v>7.68</v>
      </c>
      <c r="G27" s="12" t="str">
        <f aca="false">IF(VALUE(MID(D27,3,2))*10+VALUE(MID(E27,2,1))&lt;=242,"Pre",IF(VALUE(MID(D27,3,2))*10+VALUE(MID(E27,2,1))&lt;=254,"Post","Later"))</f>
        <v>Later</v>
      </c>
      <c r="H27" s="5" t="s">
        <v>181</v>
      </c>
      <c r="I27" s="5" t="s">
        <v>170</v>
      </c>
    </row>
    <row r="28" customFormat="false" ht="15" hidden="false" customHeight="false" outlineLevel="0" collapsed="false">
      <c r="A28" s="5" t="s">
        <v>118</v>
      </c>
      <c r="B28" s="5" t="s">
        <v>90</v>
      </c>
      <c r="C28" s="5" t="s">
        <v>120</v>
      </c>
      <c r="D28" s="5" t="s">
        <v>180</v>
      </c>
      <c r="E28" s="5" t="s">
        <v>173</v>
      </c>
      <c r="F28" s="16" t="n">
        <v>7.62</v>
      </c>
      <c r="G28" s="12" t="str">
        <f aca="false">IF(VALUE(MID(D28,3,2))*10+VALUE(MID(E28,2,1))&lt;=242,"Pre",IF(VALUE(MID(D28,3,2))*10+VALUE(MID(E28,2,1))&lt;=254,"Post","Later"))</f>
        <v>Later</v>
      </c>
      <c r="H28" s="5" t="s">
        <v>181</v>
      </c>
      <c r="I28" s="5" t="s">
        <v>170</v>
      </c>
    </row>
    <row r="29" customFormat="false" ht="15" hidden="false" customHeight="false" outlineLevel="0" collapsed="false">
      <c r="A29" s="5" t="s">
        <v>123</v>
      </c>
      <c r="B29" s="5" t="s">
        <v>96</v>
      </c>
      <c r="C29" s="5" t="s">
        <v>125</v>
      </c>
      <c r="D29" s="5" t="s">
        <v>167</v>
      </c>
      <c r="E29" s="5" t="s">
        <v>168</v>
      </c>
      <c r="F29" s="16" t="n">
        <v>12.15</v>
      </c>
      <c r="G29" s="12" t="str">
        <f aca="false">IF(VALUE(MID(D29,3,2))*10+VALUE(MID(E29,2,1))&lt;=242,"Pre",IF(VALUE(MID(D29,3,2))*10+VALUE(MID(E29,2,1))&lt;=254,"Post","Later"))</f>
        <v>Pre</v>
      </c>
      <c r="H29" s="5" t="s">
        <v>182</v>
      </c>
      <c r="I29" s="5" t="s">
        <v>183</v>
      </c>
    </row>
    <row r="30" customFormat="false" ht="15" hidden="false" customHeight="false" outlineLevel="0" collapsed="false">
      <c r="A30" s="5" t="s">
        <v>123</v>
      </c>
      <c r="B30" s="5" t="s">
        <v>96</v>
      </c>
      <c r="C30" s="5" t="s">
        <v>125</v>
      </c>
      <c r="D30" s="5" t="s">
        <v>167</v>
      </c>
      <c r="E30" s="5" t="s">
        <v>171</v>
      </c>
      <c r="F30" s="16" t="n">
        <v>11.05</v>
      </c>
      <c r="G30" s="12" t="str">
        <f aca="false">IF(VALUE(MID(D30,3,2))*10+VALUE(MID(E30,2,1))&lt;=242,"Pre",IF(VALUE(MID(D30,3,2))*10+VALUE(MID(E30,2,1))&lt;=254,"Post","Later"))</f>
        <v>Pre</v>
      </c>
      <c r="H30" s="5" t="s">
        <v>184</v>
      </c>
      <c r="I30" s="5" t="s">
        <v>183</v>
      </c>
    </row>
    <row r="31" customFormat="false" ht="15" hidden="false" customHeight="false" outlineLevel="0" collapsed="false">
      <c r="A31" s="5" t="s">
        <v>123</v>
      </c>
      <c r="B31" s="5" t="s">
        <v>96</v>
      </c>
      <c r="C31" s="5" t="s">
        <v>125</v>
      </c>
      <c r="D31" s="5" t="s">
        <v>167</v>
      </c>
      <c r="E31" s="5" t="s">
        <v>172</v>
      </c>
      <c r="F31" s="16" t="n">
        <v>10.2</v>
      </c>
      <c r="G31" s="12" t="str">
        <f aca="false">IF(VALUE(MID(D31,3,2))*10+VALUE(MID(E31,2,1))&lt;=242,"Pre",IF(VALUE(MID(D31,3,2))*10+VALUE(MID(E31,2,1))&lt;=254,"Post","Later"))</f>
        <v>Pre</v>
      </c>
      <c r="H31" s="5" t="s">
        <v>185</v>
      </c>
      <c r="I31" s="5" t="s">
        <v>183</v>
      </c>
    </row>
    <row r="32" customFormat="false" ht="15" hidden="false" customHeight="false" outlineLevel="0" collapsed="false">
      <c r="A32" s="5" t="s">
        <v>123</v>
      </c>
      <c r="B32" s="5" t="s">
        <v>96</v>
      </c>
      <c r="C32" s="5" t="s">
        <v>125</v>
      </c>
      <c r="D32" s="5" t="s">
        <v>167</v>
      </c>
      <c r="E32" s="5" t="s">
        <v>173</v>
      </c>
      <c r="F32" s="16" t="n">
        <v>10.46</v>
      </c>
      <c r="G32" s="12" t="str">
        <f aca="false">IF(VALUE(MID(D32,3,2))*10+VALUE(MID(E32,2,1))&lt;=242,"Pre",IF(VALUE(MID(D32,3,2))*10+VALUE(MID(E32,2,1))&lt;=254,"Post","Later"))</f>
        <v>Pre</v>
      </c>
      <c r="H32" s="5" t="s">
        <v>186</v>
      </c>
      <c r="I32" s="5" t="s">
        <v>183</v>
      </c>
    </row>
    <row r="33" customFormat="false" ht="15" hidden="false" customHeight="false" outlineLevel="0" collapsed="false">
      <c r="A33" s="5" t="s">
        <v>123</v>
      </c>
      <c r="B33" s="5" t="s">
        <v>96</v>
      </c>
      <c r="C33" s="5" t="s">
        <v>125</v>
      </c>
      <c r="D33" s="5" t="s">
        <v>174</v>
      </c>
      <c r="E33" s="5" t="s">
        <v>168</v>
      </c>
      <c r="F33" s="16" t="n">
        <v>10.26</v>
      </c>
      <c r="G33" s="12" t="str">
        <f aca="false">IF(VALUE(MID(D33,3,2))*10+VALUE(MID(E33,2,1))&lt;=242,"Pre",IF(VALUE(MID(D33,3,2))*10+VALUE(MID(E33,2,1))&lt;=254,"Post","Later"))</f>
        <v>Pre</v>
      </c>
      <c r="H33" s="5" t="s">
        <v>187</v>
      </c>
      <c r="I33" s="5" t="s">
        <v>183</v>
      </c>
    </row>
    <row r="34" customFormat="false" ht="15" hidden="false" customHeight="false" outlineLevel="0" collapsed="false">
      <c r="A34" s="5" t="s">
        <v>123</v>
      </c>
      <c r="B34" s="5" t="s">
        <v>96</v>
      </c>
      <c r="C34" s="5" t="s">
        <v>125</v>
      </c>
      <c r="D34" s="5" t="s">
        <v>174</v>
      </c>
      <c r="E34" s="5" t="s">
        <v>171</v>
      </c>
      <c r="F34" s="16" t="n">
        <v>10.01</v>
      </c>
      <c r="G34" s="12" t="str">
        <f aca="false">IF(VALUE(MID(D34,3,2))*10+VALUE(MID(E34,2,1))&lt;=242,"Pre",IF(VALUE(MID(D34,3,2))*10+VALUE(MID(E34,2,1))&lt;=254,"Post","Later"))</f>
        <v>Pre</v>
      </c>
      <c r="H34" s="5" t="s">
        <v>188</v>
      </c>
      <c r="I34" s="5" t="s">
        <v>183</v>
      </c>
    </row>
    <row r="35" customFormat="false" ht="15" hidden="false" customHeight="false" outlineLevel="0" collapsed="false">
      <c r="A35" s="5" t="s">
        <v>123</v>
      </c>
      <c r="B35" s="5" t="s">
        <v>96</v>
      </c>
      <c r="C35" s="5" t="s">
        <v>125</v>
      </c>
      <c r="D35" s="5" t="s">
        <v>174</v>
      </c>
      <c r="E35" s="5" t="s">
        <v>172</v>
      </c>
      <c r="F35" s="16" t="n">
        <v>12.05</v>
      </c>
      <c r="G35" s="12" t="str">
        <f aca="false">IF(VALUE(MID(D35,3,2))*10+VALUE(MID(E35,2,1))&lt;=242,"Pre",IF(VALUE(MID(D35,3,2))*10+VALUE(MID(E35,2,1))&lt;=254,"Post","Later"))</f>
        <v>Pre</v>
      </c>
      <c r="H35" s="5" t="s">
        <v>189</v>
      </c>
      <c r="I35" s="5" t="s">
        <v>190</v>
      </c>
    </row>
    <row r="36" customFormat="false" ht="15" hidden="false" customHeight="false" outlineLevel="0" collapsed="false">
      <c r="A36" s="5" t="s">
        <v>123</v>
      </c>
      <c r="B36" s="5" t="s">
        <v>96</v>
      </c>
      <c r="C36" s="5" t="s">
        <v>125</v>
      </c>
      <c r="D36" s="5" t="s">
        <v>174</v>
      </c>
      <c r="E36" s="5" t="s">
        <v>173</v>
      </c>
      <c r="F36" s="16" t="n">
        <v>10.07</v>
      </c>
      <c r="G36" s="12" t="str">
        <f aca="false">IF(VALUE(MID(D36,3,2))*10+VALUE(MID(E36,2,1))&lt;=242,"Pre",IF(VALUE(MID(D36,3,2))*10+VALUE(MID(E36,2,1))&lt;=254,"Post","Later"))</f>
        <v>Pre</v>
      </c>
      <c r="H36" s="5" t="s">
        <v>191</v>
      </c>
      <c r="I36" s="5" t="s">
        <v>190</v>
      </c>
    </row>
    <row r="37" customFormat="false" ht="15" hidden="false" customHeight="false" outlineLevel="0" collapsed="false">
      <c r="A37" s="5" t="s">
        <v>123</v>
      </c>
      <c r="B37" s="5" t="s">
        <v>96</v>
      </c>
      <c r="C37" s="5" t="s">
        <v>125</v>
      </c>
      <c r="D37" s="5" t="s">
        <v>176</v>
      </c>
      <c r="E37" s="5" t="s">
        <v>168</v>
      </c>
      <c r="F37" s="16" t="n">
        <v>10.17</v>
      </c>
      <c r="G37" s="12" t="str">
        <f aca="false">IF(VALUE(MID(D37,3,2))*10+VALUE(MID(E37,2,1))&lt;=242,"Pre",IF(VALUE(MID(D37,3,2))*10+VALUE(MID(E37,2,1))&lt;=254,"Post","Later"))</f>
        <v>Pre</v>
      </c>
      <c r="H37" s="5" t="s">
        <v>192</v>
      </c>
      <c r="I37" s="5" t="s">
        <v>190</v>
      </c>
    </row>
    <row r="38" customFormat="false" ht="15" hidden="false" customHeight="false" outlineLevel="0" collapsed="false">
      <c r="A38" s="5" t="s">
        <v>123</v>
      </c>
      <c r="B38" s="5" t="s">
        <v>96</v>
      </c>
      <c r="C38" s="5" t="s">
        <v>125</v>
      </c>
      <c r="D38" s="5" t="s">
        <v>176</v>
      </c>
      <c r="E38" s="5" t="s">
        <v>171</v>
      </c>
      <c r="F38" s="16" t="n">
        <v>11.41</v>
      </c>
      <c r="G38" s="12" t="str">
        <f aca="false">IF(VALUE(MID(D38,3,2))*10+VALUE(MID(E38,2,1))&lt;=242,"Pre",IF(VALUE(MID(D38,3,2))*10+VALUE(MID(E38,2,1))&lt;=254,"Post","Later"))</f>
        <v>Pre</v>
      </c>
      <c r="H38" s="5" t="s">
        <v>193</v>
      </c>
      <c r="I38" s="5" t="s">
        <v>190</v>
      </c>
    </row>
    <row r="39" customFormat="false" ht="15" hidden="false" customHeight="false" outlineLevel="0" collapsed="false">
      <c r="A39" s="5" t="s">
        <v>123</v>
      </c>
      <c r="B39" s="5" t="s">
        <v>96</v>
      </c>
      <c r="C39" s="5" t="s">
        <v>125</v>
      </c>
      <c r="D39" s="5" t="s">
        <v>176</v>
      </c>
      <c r="E39" s="5" t="s">
        <v>172</v>
      </c>
      <c r="F39" s="16" t="n">
        <v>12.2</v>
      </c>
      <c r="G39" s="12" t="str">
        <f aca="false">IF(VALUE(MID(D39,3,2))*10+VALUE(MID(E39,2,1))&lt;=242,"Pre",IF(VALUE(MID(D39,3,2))*10+VALUE(MID(E39,2,1))&lt;=254,"Post","Later"))</f>
        <v>Pre</v>
      </c>
      <c r="H39" s="5" t="s">
        <v>194</v>
      </c>
      <c r="I39" s="5" t="s">
        <v>190</v>
      </c>
    </row>
    <row r="40" customFormat="false" ht="15" hidden="false" customHeight="false" outlineLevel="0" collapsed="false">
      <c r="A40" s="5" t="s">
        <v>123</v>
      </c>
      <c r="B40" s="5" t="s">
        <v>96</v>
      </c>
      <c r="C40" s="5" t="s">
        <v>125</v>
      </c>
      <c r="D40" s="5" t="s">
        <v>176</v>
      </c>
      <c r="E40" s="5" t="s">
        <v>173</v>
      </c>
      <c r="F40" s="16" t="n">
        <v>14.87</v>
      </c>
      <c r="G40" s="12" t="str">
        <f aca="false">IF(VALUE(MID(D40,3,2))*10+VALUE(MID(E40,2,1))&lt;=242,"Pre",IF(VALUE(MID(D40,3,2))*10+VALUE(MID(E40,2,1))&lt;=254,"Post","Later"))</f>
        <v>Pre</v>
      </c>
      <c r="H40" s="5" t="s">
        <v>195</v>
      </c>
      <c r="I40" s="5" t="s">
        <v>190</v>
      </c>
    </row>
    <row r="41" customFormat="false" ht="15" hidden="false" customHeight="false" outlineLevel="0" collapsed="false">
      <c r="A41" s="5" t="s">
        <v>123</v>
      </c>
      <c r="B41" s="5" t="s">
        <v>96</v>
      </c>
      <c r="C41" s="5" t="s">
        <v>125</v>
      </c>
      <c r="D41" s="5" t="s">
        <v>177</v>
      </c>
      <c r="E41" s="5" t="s">
        <v>168</v>
      </c>
      <c r="F41" s="16" t="n">
        <v>12.65</v>
      </c>
      <c r="G41" s="12" t="str">
        <f aca="false">IF(VALUE(MID(D41,3,2))*10+VALUE(MID(E41,2,1))&lt;=242,"Pre",IF(VALUE(MID(D41,3,2))*10+VALUE(MID(E41,2,1))&lt;=254,"Post","Later"))</f>
        <v>Pre</v>
      </c>
      <c r="H41" s="5" t="s">
        <v>196</v>
      </c>
      <c r="I41" s="5" t="s">
        <v>190</v>
      </c>
    </row>
    <row r="42" customFormat="false" ht="15" hidden="false" customHeight="false" outlineLevel="0" collapsed="false">
      <c r="A42" s="5" t="s">
        <v>123</v>
      </c>
      <c r="B42" s="5" t="s">
        <v>96</v>
      </c>
      <c r="C42" s="5" t="s">
        <v>125</v>
      </c>
      <c r="D42" s="5" t="s">
        <v>177</v>
      </c>
      <c r="E42" s="5" t="s">
        <v>171</v>
      </c>
      <c r="F42" s="16" t="n">
        <v>12.24</v>
      </c>
      <c r="G42" s="12" t="str">
        <f aca="false">IF(VALUE(MID(D42,3,2))*10+VALUE(MID(E42,2,1))&lt;=242,"Pre",IF(VALUE(MID(D42,3,2))*10+VALUE(MID(E42,2,1))&lt;=254,"Post","Later"))</f>
        <v>Pre</v>
      </c>
      <c r="H42" s="5" t="s">
        <v>197</v>
      </c>
      <c r="I42" s="5" t="s">
        <v>190</v>
      </c>
    </row>
    <row r="43" customFormat="false" ht="15" hidden="false" customHeight="false" outlineLevel="0" collapsed="false">
      <c r="A43" s="5" t="s">
        <v>123</v>
      </c>
      <c r="B43" s="5" t="s">
        <v>96</v>
      </c>
      <c r="C43" s="5" t="s">
        <v>125</v>
      </c>
      <c r="D43" s="5" t="s">
        <v>177</v>
      </c>
      <c r="E43" s="5" t="s">
        <v>172</v>
      </c>
      <c r="F43" s="16" t="n">
        <v>12.7</v>
      </c>
      <c r="G43" s="12" t="str">
        <f aca="false">IF(VALUE(MID(D43,3,2))*10+VALUE(MID(E43,2,1))&lt;=242,"Pre",IF(VALUE(MID(D43,3,2))*10+VALUE(MID(E43,2,1))&lt;=254,"Post","Later"))</f>
        <v>Post</v>
      </c>
      <c r="H43" s="5" t="s">
        <v>198</v>
      </c>
      <c r="I43" s="5" t="s">
        <v>190</v>
      </c>
    </row>
    <row r="44" customFormat="false" ht="15" hidden="false" customHeight="false" outlineLevel="0" collapsed="false">
      <c r="A44" s="5" t="s">
        <v>123</v>
      </c>
      <c r="B44" s="5" t="s">
        <v>96</v>
      </c>
      <c r="C44" s="5" t="s">
        <v>125</v>
      </c>
      <c r="D44" s="5" t="s">
        <v>177</v>
      </c>
      <c r="E44" s="5" t="s">
        <v>173</v>
      </c>
      <c r="F44" s="16" t="n">
        <v>11.2</v>
      </c>
      <c r="G44" s="12" t="str">
        <f aca="false">IF(VALUE(MID(D44,3,2))*10+VALUE(MID(E44,2,1))&lt;=242,"Pre",IF(VALUE(MID(D44,3,2))*10+VALUE(MID(E44,2,1))&lt;=254,"Post","Later"))</f>
        <v>Post</v>
      </c>
      <c r="H44" s="5" t="s">
        <v>199</v>
      </c>
      <c r="I44" s="5" t="s">
        <v>190</v>
      </c>
    </row>
    <row r="45" customFormat="false" ht="15" hidden="false" customHeight="false" outlineLevel="0" collapsed="false">
      <c r="A45" s="5" t="s">
        <v>123</v>
      </c>
      <c r="B45" s="5" t="s">
        <v>96</v>
      </c>
      <c r="C45" s="5" t="s">
        <v>125</v>
      </c>
      <c r="D45" s="5" t="s">
        <v>179</v>
      </c>
      <c r="E45" s="5" t="s">
        <v>168</v>
      </c>
      <c r="F45" s="16" t="n">
        <v>11.68</v>
      </c>
      <c r="G45" s="12" t="str">
        <f aca="false">IF(VALUE(MID(D45,3,2))*10+VALUE(MID(E45,2,1))&lt;=242,"Pre",IF(VALUE(MID(D45,3,2))*10+VALUE(MID(E45,2,1))&lt;=254,"Post","Later"))</f>
        <v>Post</v>
      </c>
      <c r="H45" s="5" t="s">
        <v>200</v>
      </c>
      <c r="I45" s="5" t="s">
        <v>190</v>
      </c>
    </row>
    <row r="46" customFormat="false" ht="15" hidden="false" customHeight="false" outlineLevel="0" collapsed="false">
      <c r="A46" s="5" t="s">
        <v>123</v>
      </c>
      <c r="B46" s="5" t="s">
        <v>96</v>
      </c>
      <c r="C46" s="5" t="s">
        <v>125</v>
      </c>
      <c r="D46" s="5" t="s">
        <v>179</v>
      </c>
      <c r="E46" s="5" t="s">
        <v>171</v>
      </c>
      <c r="F46" s="16" t="n">
        <v>12.33</v>
      </c>
      <c r="G46" s="12" t="str">
        <f aca="false">IF(VALUE(MID(D46,3,2))*10+VALUE(MID(E46,2,1))&lt;=242,"Pre",IF(VALUE(MID(D46,3,2))*10+VALUE(MID(E46,2,1))&lt;=254,"Post","Later"))</f>
        <v>Post</v>
      </c>
      <c r="H46" s="5" t="s">
        <v>201</v>
      </c>
      <c r="I46" s="5" t="s">
        <v>190</v>
      </c>
    </row>
    <row r="47" customFormat="false" ht="15" hidden="false" customHeight="false" outlineLevel="0" collapsed="false">
      <c r="A47" s="5" t="s">
        <v>123</v>
      </c>
      <c r="B47" s="5" t="s">
        <v>96</v>
      </c>
      <c r="C47" s="5" t="s">
        <v>125</v>
      </c>
      <c r="D47" s="5" t="s">
        <v>179</v>
      </c>
      <c r="E47" s="5" t="s">
        <v>172</v>
      </c>
      <c r="F47" s="16" t="n">
        <v>12.05</v>
      </c>
      <c r="G47" s="12" t="str">
        <f aca="false">IF(VALUE(MID(D47,3,2))*10+VALUE(MID(E47,2,1))&lt;=242,"Pre",IF(VALUE(MID(D47,3,2))*10+VALUE(MID(E47,2,1))&lt;=254,"Post","Later"))</f>
        <v>Post</v>
      </c>
      <c r="H47" s="5" t="s">
        <v>202</v>
      </c>
      <c r="I47" s="5" t="s">
        <v>190</v>
      </c>
    </row>
    <row r="48" customFormat="false" ht="15" hidden="false" customHeight="false" outlineLevel="0" collapsed="false">
      <c r="A48" s="5" t="s">
        <v>123</v>
      </c>
      <c r="B48" s="5" t="s">
        <v>96</v>
      </c>
      <c r="C48" s="5" t="s">
        <v>125</v>
      </c>
      <c r="D48" s="5" t="s">
        <v>179</v>
      </c>
      <c r="E48" s="5" t="s">
        <v>173</v>
      </c>
      <c r="F48" s="16" t="n">
        <v>11.7</v>
      </c>
      <c r="G48" s="12" t="str">
        <f aca="false">IF(VALUE(MID(D48,3,2))*10+VALUE(MID(E48,2,1))&lt;=242,"Pre",IF(VALUE(MID(D48,3,2))*10+VALUE(MID(E48,2,1))&lt;=254,"Post","Later"))</f>
        <v>Post</v>
      </c>
      <c r="H48" s="5" t="s">
        <v>203</v>
      </c>
      <c r="I48" s="5" t="s">
        <v>190</v>
      </c>
    </row>
    <row r="49" customFormat="false" ht="15" hidden="false" customHeight="false" outlineLevel="0" collapsed="false">
      <c r="A49" s="5" t="s">
        <v>123</v>
      </c>
      <c r="B49" s="5" t="s">
        <v>96</v>
      </c>
      <c r="C49" s="5" t="s">
        <v>125</v>
      </c>
      <c r="D49" s="5" t="s">
        <v>180</v>
      </c>
      <c r="E49" s="5" t="s">
        <v>168</v>
      </c>
      <c r="F49" s="16" t="n">
        <v>12.32</v>
      </c>
      <c r="G49" s="12" t="str">
        <f aca="false">IF(VALUE(MID(D49,3,2))*10+VALUE(MID(E49,2,1))&lt;=242,"Pre",IF(VALUE(MID(D49,3,2))*10+VALUE(MID(E49,2,1))&lt;=254,"Post","Later"))</f>
        <v>Later</v>
      </c>
      <c r="H49" s="5" t="s">
        <v>204</v>
      </c>
      <c r="I49" s="5" t="s">
        <v>190</v>
      </c>
    </row>
    <row r="50" customFormat="false" ht="15" hidden="false" customHeight="false" outlineLevel="0" collapsed="false">
      <c r="A50" s="5" t="s">
        <v>123</v>
      </c>
      <c r="B50" s="5" t="s">
        <v>96</v>
      </c>
      <c r="C50" s="5" t="s">
        <v>125</v>
      </c>
      <c r="D50" s="5" t="s">
        <v>180</v>
      </c>
      <c r="E50" s="5" t="s">
        <v>171</v>
      </c>
      <c r="F50" s="16" t="n">
        <v>11.97</v>
      </c>
      <c r="G50" s="12" t="str">
        <f aca="false">IF(VALUE(MID(D50,3,2))*10+VALUE(MID(E50,2,1))&lt;=242,"Pre",IF(VALUE(MID(D50,3,2))*10+VALUE(MID(E50,2,1))&lt;=254,"Post","Later"))</f>
        <v>Later</v>
      </c>
      <c r="H50" s="5" t="s">
        <v>205</v>
      </c>
      <c r="I50" s="5" t="s">
        <v>190</v>
      </c>
    </row>
    <row r="51" customFormat="false" ht="15" hidden="false" customHeight="false" outlineLevel="0" collapsed="false">
      <c r="A51" s="5" t="s">
        <v>123</v>
      </c>
      <c r="B51" s="5" t="s">
        <v>96</v>
      </c>
      <c r="C51" s="5" t="s">
        <v>125</v>
      </c>
      <c r="D51" s="5" t="s">
        <v>180</v>
      </c>
      <c r="E51" s="5" t="s">
        <v>172</v>
      </c>
      <c r="F51" s="16" t="n">
        <v>11.37</v>
      </c>
      <c r="G51" s="12" t="str">
        <f aca="false">IF(VALUE(MID(D51,3,2))*10+VALUE(MID(E51,2,1))&lt;=242,"Pre",IF(VALUE(MID(D51,3,2))*10+VALUE(MID(E51,2,1))&lt;=254,"Post","Later"))</f>
        <v>Later</v>
      </c>
      <c r="H51" s="5" t="s">
        <v>206</v>
      </c>
      <c r="I51" s="5" t="s">
        <v>190</v>
      </c>
    </row>
    <row r="52" customFormat="false" ht="15" hidden="false" customHeight="false" outlineLevel="0" collapsed="false">
      <c r="A52" s="5" t="s">
        <v>123</v>
      </c>
      <c r="B52" s="5" t="s">
        <v>96</v>
      </c>
      <c r="C52" s="5" t="s">
        <v>125</v>
      </c>
      <c r="D52" s="5" t="s">
        <v>180</v>
      </c>
      <c r="E52" s="5" t="s">
        <v>173</v>
      </c>
      <c r="F52" s="16" t="n">
        <v>10.29</v>
      </c>
      <c r="G52" s="12" t="str">
        <f aca="false">IF(VALUE(MID(D52,3,2))*10+VALUE(MID(E52,2,1))&lt;=242,"Pre",IF(VALUE(MID(D52,3,2))*10+VALUE(MID(E52,2,1))&lt;=254,"Post","Later"))</f>
        <v>Later</v>
      </c>
      <c r="H52" s="5" t="s">
        <v>207</v>
      </c>
      <c r="I52" s="5" t="s">
        <v>190</v>
      </c>
    </row>
    <row r="53" customFormat="false" ht="15" hidden="false" customHeight="false" outlineLevel="0" collapsed="false">
      <c r="A53" s="5" t="s">
        <v>128</v>
      </c>
      <c r="B53" s="5" t="s">
        <v>97</v>
      </c>
      <c r="C53" s="5" t="s">
        <v>125</v>
      </c>
      <c r="D53" s="5" t="s">
        <v>167</v>
      </c>
      <c r="E53" s="5" t="s">
        <v>173</v>
      </c>
      <c r="F53" s="16" t="n">
        <v>7.39</v>
      </c>
      <c r="G53" s="12" t="str">
        <f aca="false">IF(VALUE(MID(D53,3,2))*10+VALUE(MID(E53,2,1))&lt;=242,"Pre",IF(VALUE(MID(D53,3,2))*10+VALUE(MID(E53,2,1))&lt;=254,"Post","Later"))</f>
        <v>Pre</v>
      </c>
      <c r="H53" s="5" t="s">
        <v>208</v>
      </c>
      <c r="I53" s="5" t="s">
        <v>209</v>
      </c>
    </row>
    <row r="54" customFormat="false" ht="15" hidden="false" customHeight="false" outlineLevel="0" collapsed="false">
      <c r="A54" s="5" t="s">
        <v>128</v>
      </c>
      <c r="B54" s="5" t="s">
        <v>97</v>
      </c>
      <c r="C54" s="5" t="s">
        <v>125</v>
      </c>
      <c r="D54" s="5" t="s">
        <v>174</v>
      </c>
      <c r="E54" s="5" t="s">
        <v>168</v>
      </c>
      <c r="F54" s="16" t="n">
        <v>7.11</v>
      </c>
      <c r="G54" s="12" t="str">
        <f aca="false">IF(VALUE(MID(D54,3,2))*10+VALUE(MID(E54,2,1))&lt;=242,"Pre",IF(VALUE(MID(D54,3,2))*10+VALUE(MID(E54,2,1))&lt;=254,"Post","Later"))</f>
        <v>Pre</v>
      </c>
      <c r="H54" s="5" t="s">
        <v>210</v>
      </c>
      <c r="I54" s="5" t="s">
        <v>209</v>
      </c>
    </row>
    <row r="55" customFormat="false" ht="15" hidden="false" customHeight="false" outlineLevel="0" collapsed="false">
      <c r="A55" s="5" t="s">
        <v>128</v>
      </c>
      <c r="B55" s="5" t="s">
        <v>97</v>
      </c>
      <c r="C55" s="5" t="s">
        <v>125</v>
      </c>
      <c r="D55" s="5" t="s">
        <v>174</v>
      </c>
      <c r="E55" s="5" t="s">
        <v>171</v>
      </c>
      <c r="F55" s="16" t="n">
        <v>6.77</v>
      </c>
      <c r="G55" s="12" t="str">
        <f aca="false">IF(VALUE(MID(D55,3,2))*10+VALUE(MID(E55,2,1))&lt;=242,"Pre",IF(VALUE(MID(D55,3,2))*10+VALUE(MID(E55,2,1))&lt;=254,"Post","Later"))</f>
        <v>Pre</v>
      </c>
      <c r="H55" s="5" t="s">
        <v>211</v>
      </c>
      <c r="I55" s="5" t="s">
        <v>209</v>
      </c>
    </row>
    <row r="56" customFormat="false" ht="15" hidden="false" customHeight="false" outlineLevel="0" collapsed="false">
      <c r="A56" s="5" t="s">
        <v>128</v>
      </c>
      <c r="B56" s="5" t="s">
        <v>97</v>
      </c>
      <c r="C56" s="5" t="s">
        <v>125</v>
      </c>
      <c r="D56" s="5" t="s">
        <v>174</v>
      </c>
      <c r="E56" s="5" t="s">
        <v>172</v>
      </c>
      <c r="F56" s="16" t="n">
        <v>6.72</v>
      </c>
      <c r="G56" s="12" t="str">
        <f aca="false">IF(VALUE(MID(D56,3,2))*10+VALUE(MID(E56,2,1))&lt;=242,"Pre",IF(VALUE(MID(D56,3,2))*10+VALUE(MID(E56,2,1))&lt;=254,"Post","Later"))</f>
        <v>Pre</v>
      </c>
      <c r="H56" s="5" t="s">
        <v>212</v>
      </c>
      <c r="I56" s="5" t="s">
        <v>209</v>
      </c>
    </row>
    <row r="57" customFormat="false" ht="15" hidden="false" customHeight="false" outlineLevel="0" collapsed="false">
      <c r="A57" s="5" t="s">
        <v>128</v>
      </c>
      <c r="B57" s="5" t="s">
        <v>97</v>
      </c>
      <c r="C57" s="5" t="s">
        <v>125</v>
      </c>
      <c r="D57" s="5" t="s">
        <v>174</v>
      </c>
      <c r="E57" s="5" t="s">
        <v>173</v>
      </c>
      <c r="F57" s="16" t="n">
        <v>6.71</v>
      </c>
      <c r="G57" s="12" t="str">
        <f aca="false">IF(VALUE(MID(D57,3,2))*10+VALUE(MID(E57,2,1))&lt;=242,"Pre",IF(VALUE(MID(D57,3,2))*10+VALUE(MID(E57,2,1))&lt;=254,"Post","Later"))</f>
        <v>Pre</v>
      </c>
      <c r="H57" s="5" t="s">
        <v>213</v>
      </c>
      <c r="I57" s="5" t="s">
        <v>209</v>
      </c>
    </row>
    <row r="58" customFormat="false" ht="15" hidden="false" customHeight="false" outlineLevel="0" collapsed="false">
      <c r="A58" s="5" t="s">
        <v>128</v>
      </c>
      <c r="B58" s="5" t="s">
        <v>97</v>
      </c>
      <c r="C58" s="5" t="s">
        <v>125</v>
      </c>
      <c r="D58" s="5" t="s">
        <v>176</v>
      </c>
      <c r="E58" s="5" t="s">
        <v>168</v>
      </c>
      <c r="F58" s="16" t="n">
        <v>6.64</v>
      </c>
      <c r="G58" s="12" t="str">
        <f aca="false">IF(VALUE(MID(D58,3,2))*10+VALUE(MID(E58,2,1))&lt;=242,"Pre",IF(VALUE(MID(D58,3,2))*10+VALUE(MID(E58,2,1))&lt;=254,"Post","Later"))</f>
        <v>Pre</v>
      </c>
      <c r="H58" s="5" t="s">
        <v>214</v>
      </c>
      <c r="I58" s="5" t="s">
        <v>209</v>
      </c>
    </row>
    <row r="59" customFormat="false" ht="15" hidden="false" customHeight="false" outlineLevel="0" collapsed="false">
      <c r="A59" s="5" t="s">
        <v>128</v>
      </c>
      <c r="B59" s="5" t="s">
        <v>97</v>
      </c>
      <c r="C59" s="5" t="s">
        <v>125</v>
      </c>
      <c r="D59" s="5" t="s">
        <v>176</v>
      </c>
      <c r="E59" s="5" t="s">
        <v>171</v>
      </c>
      <c r="F59" s="16" t="n">
        <v>6.91</v>
      </c>
      <c r="G59" s="12" t="str">
        <f aca="false">IF(VALUE(MID(D59,3,2))*10+VALUE(MID(E59,2,1))&lt;=242,"Pre",IF(VALUE(MID(D59,3,2))*10+VALUE(MID(E59,2,1))&lt;=254,"Post","Later"))</f>
        <v>Pre</v>
      </c>
      <c r="H59" s="5" t="s">
        <v>215</v>
      </c>
      <c r="I59" s="5" t="s">
        <v>209</v>
      </c>
    </row>
    <row r="60" customFormat="false" ht="15" hidden="false" customHeight="false" outlineLevel="0" collapsed="false">
      <c r="A60" s="5" t="s">
        <v>128</v>
      </c>
      <c r="B60" s="5" t="s">
        <v>97</v>
      </c>
      <c r="C60" s="5" t="s">
        <v>125</v>
      </c>
      <c r="D60" s="5" t="s">
        <v>176</v>
      </c>
      <c r="E60" s="5" t="s">
        <v>172</v>
      </c>
      <c r="F60" s="16" t="n">
        <v>7.14</v>
      </c>
      <c r="G60" s="12" t="str">
        <f aca="false">IF(VALUE(MID(D60,3,2))*10+VALUE(MID(E60,2,1))&lt;=242,"Pre",IF(VALUE(MID(D60,3,2))*10+VALUE(MID(E60,2,1))&lt;=254,"Post","Later"))</f>
        <v>Pre</v>
      </c>
      <c r="H60" s="5" t="s">
        <v>216</v>
      </c>
      <c r="I60" s="5" t="s">
        <v>209</v>
      </c>
    </row>
    <row r="61" customFormat="false" ht="15" hidden="false" customHeight="false" outlineLevel="0" collapsed="false">
      <c r="A61" s="5" t="s">
        <v>128</v>
      </c>
      <c r="B61" s="5" t="s">
        <v>97</v>
      </c>
      <c r="C61" s="5" t="s">
        <v>125</v>
      </c>
      <c r="D61" s="5" t="s">
        <v>176</v>
      </c>
      <c r="E61" s="5" t="s">
        <v>173</v>
      </c>
      <c r="F61" s="16" t="n">
        <v>7.39</v>
      </c>
      <c r="G61" s="12" t="str">
        <f aca="false">IF(VALUE(MID(D61,3,2))*10+VALUE(MID(E61,2,1))&lt;=242,"Pre",IF(VALUE(MID(D61,3,2))*10+VALUE(MID(E61,2,1))&lt;=254,"Post","Later"))</f>
        <v>Pre</v>
      </c>
      <c r="H61" s="5" t="s">
        <v>217</v>
      </c>
      <c r="I61" s="5" t="s">
        <v>209</v>
      </c>
    </row>
    <row r="62" customFormat="false" ht="15" hidden="false" customHeight="false" outlineLevel="0" collapsed="false">
      <c r="A62" s="5" t="s">
        <v>128</v>
      </c>
      <c r="B62" s="5" t="s">
        <v>97</v>
      </c>
      <c r="C62" s="5" t="s">
        <v>125</v>
      </c>
      <c r="D62" s="5" t="s">
        <v>177</v>
      </c>
      <c r="E62" s="5" t="s">
        <v>168</v>
      </c>
      <c r="F62" s="16" t="n">
        <v>7.61</v>
      </c>
      <c r="G62" s="12" t="str">
        <f aca="false">IF(VALUE(MID(D62,3,2))*10+VALUE(MID(E62,2,1))&lt;=242,"Pre",IF(VALUE(MID(D62,3,2))*10+VALUE(MID(E62,2,1))&lt;=254,"Post","Later"))</f>
        <v>Pre</v>
      </c>
      <c r="H62" s="5" t="s">
        <v>218</v>
      </c>
      <c r="I62" s="5" t="s">
        <v>209</v>
      </c>
    </row>
    <row r="63" customFormat="false" ht="15" hidden="false" customHeight="false" outlineLevel="0" collapsed="false">
      <c r="A63" s="5" t="s">
        <v>128</v>
      </c>
      <c r="B63" s="5" t="s">
        <v>97</v>
      </c>
      <c r="C63" s="5" t="s">
        <v>125</v>
      </c>
      <c r="D63" s="5" t="s">
        <v>177</v>
      </c>
      <c r="E63" s="5" t="s">
        <v>171</v>
      </c>
      <c r="F63" s="16" t="n">
        <v>7.67</v>
      </c>
      <c r="G63" s="12" t="str">
        <f aca="false">IF(VALUE(MID(D63,3,2))*10+VALUE(MID(E63,2,1))&lt;=242,"Pre",IF(VALUE(MID(D63,3,2))*10+VALUE(MID(E63,2,1))&lt;=254,"Post","Later"))</f>
        <v>Pre</v>
      </c>
      <c r="H63" s="5" t="s">
        <v>219</v>
      </c>
      <c r="I63" s="5" t="s">
        <v>209</v>
      </c>
    </row>
    <row r="64" customFormat="false" ht="15" hidden="false" customHeight="false" outlineLevel="0" collapsed="false">
      <c r="A64" s="5" t="s">
        <v>128</v>
      </c>
      <c r="B64" s="5" t="s">
        <v>97</v>
      </c>
      <c r="C64" s="5" t="s">
        <v>125</v>
      </c>
      <c r="D64" s="5" t="s">
        <v>177</v>
      </c>
      <c r="E64" s="5" t="s">
        <v>172</v>
      </c>
      <c r="F64" s="16" t="n">
        <v>7.76</v>
      </c>
      <c r="G64" s="12" t="str">
        <f aca="false">IF(VALUE(MID(D64,3,2))*10+VALUE(MID(E64,2,1))&lt;=242,"Pre",IF(VALUE(MID(D64,3,2))*10+VALUE(MID(E64,2,1))&lt;=254,"Post","Later"))</f>
        <v>Post</v>
      </c>
      <c r="H64" s="5" t="s">
        <v>220</v>
      </c>
      <c r="I64" s="5" t="s">
        <v>209</v>
      </c>
    </row>
    <row r="65" customFormat="false" ht="15" hidden="false" customHeight="false" outlineLevel="0" collapsed="false">
      <c r="A65" s="5" t="s">
        <v>128</v>
      </c>
      <c r="B65" s="5" t="s">
        <v>97</v>
      </c>
      <c r="C65" s="5" t="s">
        <v>125</v>
      </c>
      <c r="D65" s="5" t="s">
        <v>177</v>
      </c>
      <c r="E65" s="5" t="s">
        <v>173</v>
      </c>
      <c r="F65" s="16" t="n">
        <v>7.86</v>
      </c>
      <c r="G65" s="12" t="str">
        <f aca="false">IF(VALUE(MID(D65,3,2))*10+VALUE(MID(E65,2,1))&lt;=242,"Pre",IF(VALUE(MID(D65,3,2))*10+VALUE(MID(E65,2,1))&lt;=254,"Post","Later"))</f>
        <v>Post</v>
      </c>
      <c r="H65" s="5" t="s">
        <v>221</v>
      </c>
      <c r="I65" s="5" t="s">
        <v>209</v>
      </c>
    </row>
    <row r="66" customFormat="false" ht="15" hidden="false" customHeight="false" outlineLevel="0" collapsed="false">
      <c r="A66" s="5" t="s">
        <v>128</v>
      </c>
      <c r="B66" s="5" t="s">
        <v>97</v>
      </c>
      <c r="C66" s="5" t="s">
        <v>125</v>
      </c>
      <c r="D66" s="5" t="s">
        <v>179</v>
      </c>
      <c r="E66" s="5" t="s">
        <v>168</v>
      </c>
      <c r="F66" s="16" t="n">
        <v>7.94</v>
      </c>
      <c r="G66" s="12" t="str">
        <f aca="false">IF(VALUE(MID(D66,3,2))*10+VALUE(MID(E66,2,1))&lt;=242,"Pre",IF(VALUE(MID(D66,3,2))*10+VALUE(MID(E66,2,1))&lt;=254,"Post","Later"))</f>
        <v>Post</v>
      </c>
      <c r="H66" s="5" t="s">
        <v>222</v>
      </c>
      <c r="I66" s="5" t="s">
        <v>209</v>
      </c>
    </row>
    <row r="67" customFormat="false" ht="15" hidden="false" customHeight="false" outlineLevel="0" collapsed="false">
      <c r="A67" s="5" t="s">
        <v>128</v>
      </c>
      <c r="B67" s="5" t="s">
        <v>97</v>
      </c>
      <c r="C67" s="5" t="s">
        <v>125</v>
      </c>
      <c r="D67" s="5" t="s">
        <v>179</v>
      </c>
      <c r="E67" s="5" t="s">
        <v>171</v>
      </c>
      <c r="F67" s="16" t="n">
        <v>7.97</v>
      </c>
      <c r="G67" s="12" t="str">
        <f aca="false">IF(VALUE(MID(D67,3,2))*10+VALUE(MID(E67,2,1))&lt;=242,"Pre",IF(VALUE(MID(D67,3,2))*10+VALUE(MID(E67,2,1))&lt;=254,"Post","Later"))</f>
        <v>Post</v>
      </c>
      <c r="H67" s="5" t="s">
        <v>223</v>
      </c>
      <c r="I67" s="5" t="s">
        <v>209</v>
      </c>
    </row>
    <row r="68" customFormat="false" ht="15" hidden="false" customHeight="false" outlineLevel="0" collapsed="false">
      <c r="A68" s="5" t="s">
        <v>128</v>
      </c>
      <c r="B68" s="5" t="s">
        <v>97</v>
      </c>
      <c r="C68" s="5" t="s">
        <v>125</v>
      </c>
      <c r="D68" s="5" t="s">
        <v>179</v>
      </c>
      <c r="E68" s="5" t="s">
        <v>172</v>
      </c>
      <c r="F68" s="16" t="n">
        <v>7.96</v>
      </c>
      <c r="G68" s="12" t="str">
        <f aca="false">IF(VALUE(MID(D68,3,2))*10+VALUE(MID(E68,2,1))&lt;=242,"Pre",IF(VALUE(MID(D68,3,2))*10+VALUE(MID(E68,2,1))&lt;=254,"Post","Later"))</f>
        <v>Post</v>
      </c>
      <c r="H68" s="5" t="s">
        <v>224</v>
      </c>
      <c r="I68" s="5" t="s">
        <v>209</v>
      </c>
    </row>
    <row r="69" customFormat="false" ht="15" hidden="false" customHeight="false" outlineLevel="0" collapsed="false">
      <c r="A69" s="5" t="s">
        <v>128</v>
      </c>
      <c r="B69" s="5" t="s">
        <v>97</v>
      </c>
      <c r="C69" s="5" t="s">
        <v>125</v>
      </c>
      <c r="D69" s="5" t="s">
        <v>179</v>
      </c>
      <c r="E69" s="5" t="s">
        <v>173</v>
      </c>
      <c r="F69" s="16" t="n">
        <v>7.99</v>
      </c>
      <c r="G69" s="12" t="str">
        <f aca="false">IF(VALUE(MID(D69,3,2))*10+VALUE(MID(E69,2,1))&lt;=242,"Pre",IF(VALUE(MID(D69,3,2))*10+VALUE(MID(E69,2,1))&lt;=254,"Post","Later"))</f>
        <v>Post</v>
      </c>
      <c r="H69" s="5" t="s">
        <v>225</v>
      </c>
      <c r="I69" s="5" t="s">
        <v>209</v>
      </c>
    </row>
    <row r="70" customFormat="false" ht="15" hidden="false" customHeight="false" outlineLevel="0" collapsed="false">
      <c r="A70" s="5" t="s">
        <v>128</v>
      </c>
      <c r="B70" s="5" t="s">
        <v>97</v>
      </c>
      <c r="C70" s="5" t="s">
        <v>125</v>
      </c>
      <c r="D70" s="5" t="s">
        <v>180</v>
      </c>
      <c r="E70" s="5" t="s">
        <v>168</v>
      </c>
      <c r="F70" s="16" t="n">
        <v>7.79</v>
      </c>
      <c r="G70" s="12" t="str">
        <f aca="false">IF(VALUE(MID(D70,3,2))*10+VALUE(MID(E70,2,1))&lt;=242,"Pre",IF(VALUE(MID(D70,3,2))*10+VALUE(MID(E70,2,1))&lt;=254,"Post","Later"))</f>
        <v>Later</v>
      </c>
      <c r="H70" s="5" t="s">
        <v>226</v>
      </c>
      <c r="I70" s="5" t="s">
        <v>209</v>
      </c>
    </row>
    <row r="71" customFormat="false" ht="15" hidden="false" customHeight="false" outlineLevel="0" collapsed="false">
      <c r="A71" s="5" t="s">
        <v>128</v>
      </c>
      <c r="B71" s="5" t="s">
        <v>97</v>
      </c>
      <c r="C71" s="5" t="s">
        <v>125</v>
      </c>
      <c r="D71" s="5" t="s">
        <v>180</v>
      </c>
      <c r="E71" s="5" t="s">
        <v>171</v>
      </c>
      <c r="F71" s="16" t="n">
        <v>7.52</v>
      </c>
      <c r="G71" s="12" t="str">
        <f aca="false">IF(VALUE(MID(D71,3,2))*10+VALUE(MID(E71,2,1))&lt;=242,"Pre",IF(VALUE(MID(D71,3,2))*10+VALUE(MID(E71,2,1))&lt;=254,"Post","Later"))</f>
        <v>Later</v>
      </c>
      <c r="H71" s="5" t="s">
        <v>227</v>
      </c>
      <c r="I71" s="5" t="s">
        <v>209</v>
      </c>
    </row>
    <row r="72" customFormat="false" ht="15" hidden="false" customHeight="false" outlineLevel="0" collapsed="false">
      <c r="A72" s="5" t="s">
        <v>128</v>
      </c>
      <c r="B72" s="5" t="s">
        <v>97</v>
      </c>
      <c r="C72" s="5" t="s">
        <v>125</v>
      </c>
      <c r="D72" s="5" t="s">
        <v>180</v>
      </c>
      <c r="E72" s="5" t="s">
        <v>172</v>
      </c>
      <c r="F72" s="16" t="n">
        <v>7.45</v>
      </c>
      <c r="G72" s="12" t="str">
        <f aca="false">IF(VALUE(MID(D72,3,2))*10+VALUE(MID(E72,2,1))&lt;=242,"Pre",IF(VALUE(MID(D72,3,2))*10+VALUE(MID(E72,2,1))&lt;=254,"Post","Later"))</f>
        <v>Later</v>
      </c>
      <c r="H72" s="5" t="s">
        <v>228</v>
      </c>
      <c r="I72" s="5" t="s">
        <v>209</v>
      </c>
    </row>
    <row r="73" customFormat="false" ht="15" hidden="false" customHeight="false" outlineLevel="0" collapsed="false">
      <c r="A73" s="5" t="s">
        <v>128</v>
      </c>
      <c r="B73" s="5" t="s">
        <v>97</v>
      </c>
      <c r="C73" s="5" t="s">
        <v>125</v>
      </c>
      <c r="D73" s="5" t="s">
        <v>180</v>
      </c>
      <c r="E73" s="5" t="s">
        <v>173</v>
      </c>
      <c r="F73" s="16" t="n">
        <v>7.41</v>
      </c>
      <c r="G73" s="12" t="str">
        <f aca="false">IF(VALUE(MID(D73,3,2))*10+VALUE(MID(E73,2,1))&lt;=242,"Pre",IF(VALUE(MID(D73,3,2))*10+VALUE(MID(E73,2,1))&lt;=254,"Post","Later"))</f>
        <v>Later</v>
      </c>
      <c r="H73" s="5" t="s">
        <v>229</v>
      </c>
      <c r="I73" s="5" t="s">
        <v>209</v>
      </c>
    </row>
    <row r="74" customFormat="false" ht="15" hidden="false" customHeight="false" outlineLevel="0" collapsed="false">
      <c r="A74" s="5" t="s">
        <v>131</v>
      </c>
      <c r="B74" s="5" t="s">
        <v>91</v>
      </c>
      <c r="C74" s="5" t="s">
        <v>120</v>
      </c>
      <c r="D74" s="5" t="s">
        <v>167</v>
      </c>
      <c r="E74" s="5" t="s">
        <v>168</v>
      </c>
      <c r="F74" s="16" t="n">
        <v>7.31</v>
      </c>
      <c r="G74" s="12" t="str">
        <f aca="false">IF(VALUE(MID(D74,3,2))*10+VALUE(MID(E74,2,1))&lt;=242,"Pre",IF(VALUE(MID(D74,3,2))*10+VALUE(MID(E74,2,1))&lt;=254,"Post","Later"))</f>
        <v>Pre</v>
      </c>
      <c r="H74" s="5" t="s">
        <v>230</v>
      </c>
      <c r="I74" s="5" t="s">
        <v>231</v>
      </c>
    </row>
    <row r="75" customFormat="false" ht="15" hidden="false" customHeight="false" outlineLevel="0" collapsed="false">
      <c r="A75" s="5" t="s">
        <v>131</v>
      </c>
      <c r="B75" s="5" t="s">
        <v>91</v>
      </c>
      <c r="C75" s="5" t="s">
        <v>120</v>
      </c>
      <c r="D75" s="5" t="s">
        <v>167</v>
      </c>
      <c r="E75" s="5" t="s">
        <v>171</v>
      </c>
      <c r="F75" s="16" t="n">
        <v>7.1</v>
      </c>
      <c r="G75" s="12" t="str">
        <f aca="false">IF(VALUE(MID(D75,3,2))*10+VALUE(MID(E75,2,1))&lt;=242,"Pre",IF(VALUE(MID(D75,3,2))*10+VALUE(MID(E75,2,1))&lt;=254,"Post","Later"))</f>
        <v>Pre</v>
      </c>
      <c r="H75" s="5" t="s">
        <v>232</v>
      </c>
      <c r="I75" s="5" t="s">
        <v>231</v>
      </c>
    </row>
    <row r="76" customFormat="false" ht="15" hidden="false" customHeight="false" outlineLevel="0" collapsed="false">
      <c r="A76" s="5" t="s">
        <v>131</v>
      </c>
      <c r="B76" s="5" t="s">
        <v>91</v>
      </c>
      <c r="C76" s="5" t="s">
        <v>120</v>
      </c>
      <c r="D76" s="5" t="s">
        <v>167</v>
      </c>
      <c r="E76" s="5" t="s">
        <v>172</v>
      </c>
      <c r="F76" s="16" t="n">
        <v>6.87</v>
      </c>
      <c r="G76" s="12" t="str">
        <f aca="false">IF(VALUE(MID(D76,3,2))*10+VALUE(MID(E76,2,1))&lt;=242,"Pre",IF(VALUE(MID(D76,3,2))*10+VALUE(MID(E76,2,1))&lt;=254,"Post","Later"))</f>
        <v>Pre</v>
      </c>
      <c r="H76" s="5" t="s">
        <v>233</v>
      </c>
      <c r="I76" s="5" t="s">
        <v>231</v>
      </c>
    </row>
    <row r="77" customFormat="false" ht="15" hidden="false" customHeight="false" outlineLevel="0" collapsed="false">
      <c r="A77" s="5" t="s">
        <v>131</v>
      </c>
      <c r="B77" s="5" t="s">
        <v>91</v>
      </c>
      <c r="C77" s="5" t="s">
        <v>120</v>
      </c>
      <c r="D77" s="5" t="s">
        <v>167</v>
      </c>
      <c r="E77" s="5" t="s">
        <v>173</v>
      </c>
      <c r="F77" s="16" t="n">
        <v>6.71</v>
      </c>
      <c r="G77" s="12" t="str">
        <f aca="false">IF(VALUE(MID(D77,3,2))*10+VALUE(MID(E77,2,1))&lt;=242,"Pre",IF(VALUE(MID(D77,3,2))*10+VALUE(MID(E77,2,1))&lt;=254,"Post","Later"))</f>
        <v>Pre</v>
      </c>
      <c r="H77" s="5" t="s">
        <v>234</v>
      </c>
      <c r="I77" s="5" t="s">
        <v>231</v>
      </c>
    </row>
    <row r="78" customFormat="false" ht="15" hidden="false" customHeight="false" outlineLevel="0" collapsed="false">
      <c r="A78" s="5" t="s">
        <v>131</v>
      </c>
      <c r="B78" s="5" t="s">
        <v>91</v>
      </c>
      <c r="C78" s="5" t="s">
        <v>120</v>
      </c>
      <c r="D78" s="5" t="s">
        <v>174</v>
      </c>
      <c r="E78" s="5" t="s">
        <v>168</v>
      </c>
      <c r="F78" s="16" t="n">
        <v>5.66</v>
      </c>
      <c r="G78" s="12" t="str">
        <f aca="false">IF(VALUE(MID(D78,3,2))*10+VALUE(MID(E78,2,1))&lt;=242,"Pre",IF(VALUE(MID(D78,3,2))*10+VALUE(MID(E78,2,1))&lt;=254,"Post","Later"))</f>
        <v>Pre</v>
      </c>
      <c r="H78" s="5" t="s">
        <v>235</v>
      </c>
      <c r="I78" s="5" t="s">
        <v>231</v>
      </c>
    </row>
    <row r="79" customFormat="false" ht="15" hidden="false" customHeight="false" outlineLevel="0" collapsed="false">
      <c r="A79" s="5" t="s">
        <v>131</v>
      </c>
      <c r="B79" s="5" t="s">
        <v>91</v>
      </c>
      <c r="C79" s="5" t="s">
        <v>120</v>
      </c>
      <c r="D79" s="5" t="s">
        <v>174</v>
      </c>
      <c r="E79" s="5" t="s">
        <v>171</v>
      </c>
      <c r="F79" s="16" t="n">
        <v>5.57</v>
      </c>
      <c r="G79" s="12" t="str">
        <f aca="false">IF(VALUE(MID(D79,3,2))*10+VALUE(MID(E79,2,1))&lt;=242,"Pre",IF(VALUE(MID(D79,3,2))*10+VALUE(MID(E79,2,1))&lt;=254,"Post","Later"))</f>
        <v>Pre</v>
      </c>
      <c r="H79" s="5" t="s">
        <v>236</v>
      </c>
      <c r="I79" s="5" t="s">
        <v>231</v>
      </c>
    </row>
    <row r="80" customFormat="false" ht="15" hidden="false" customHeight="false" outlineLevel="0" collapsed="false">
      <c r="A80" s="5" t="s">
        <v>131</v>
      </c>
      <c r="B80" s="5" t="s">
        <v>91</v>
      </c>
      <c r="C80" s="5" t="s">
        <v>120</v>
      </c>
      <c r="D80" s="5" t="s">
        <v>174</v>
      </c>
      <c r="E80" s="5" t="s">
        <v>172</v>
      </c>
      <c r="F80" s="16" t="n">
        <v>5.56</v>
      </c>
      <c r="G80" s="12" t="str">
        <f aca="false">IF(VALUE(MID(D80,3,2))*10+VALUE(MID(E80,2,1))&lt;=242,"Pre",IF(VALUE(MID(D80,3,2))*10+VALUE(MID(E80,2,1))&lt;=254,"Post","Later"))</f>
        <v>Pre</v>
      </c>
      <c r="H80" s="5" t="s">
        <v>237</v>
      </c>
      <c r="I80" s="5" t="s">
        <v>231</v>
      </c>
    </row>
    <row r="81" customFormat="false" ht="15" hidden="false" customHeight="false" outlineLevel="0" collapsed="false">
      <c r="A81" s="5" t="s">
        <v>131</v>
      </c>
      <c r="B81" s="5" t="s">
        <v>91</v>
      </c>
      <c r="C81" s="5" t="s">
        <v>120</v>
      </c>
      <c r="D81" s="5" t="s">
        <v>174</v>
      </c>
      <c r="E81" s="5" t="s">
        <v>173</v>
      </c>
      <c r="F81" s="16" t="n">
        <v>5.56</v>
      </c>
      <c r="G81" s="12" t="str">
        <f aca="false">IF(VALUE(MID(D81,3,2))*10+VALUE(MID(E81,2,1))&lt;=242,"Pre",IF(VALUE(MID(D81,3,2))*10+VALUE(MID(E81,2,1))&lt;=254,"Post","Later"))</f>
        <v>Pre</v>
      </c>
      <c r="H81" s="5" t="s">
        <v>238</v>
      </c>
      <c r="I81" s="5" t="s">
        <v>231</v>
      </c>
    </row>
    <row r="82" customFormat="false" ht="15" hidden="false" customHeight="false" outlineLevel="0" collapsed="false">
      <c r="A82" s="5" t="s">
        <v>131</v>
      </c>
      <c r="B82" s="5" t="s">
        <v>91</v>
      </c>
      <c r="C82" s="5" t="s">
        <v>120</v>
      </c>
      <c r="D82" s="5" t="s">
        <v>176</v>
      </c>
      <c r="E82" s="5" t="s">
        <v>168</v>
      </c>
      <c r="F82" s="16" t="n">
        <v>5.8</v>
      </c>
      <c r="G82" s="12" t="str">
        <f aca="false">IF(VALUE(MID(D82,3,2))*10+VALUE(MID(E82,2,1))&lt;=242,"Pre",IF(VALUE(MID(D82,3,2))*10+VALUE(MID(E82,2,1))&lt;=254,"Post","Later"))</f>
        <v>Pre</v>
      </c>
      <c r="H82" s="5" t="s">
        <v>239</v>
      </c>
      <c r="I82" s="5" t="s">
        <v>231</v>
      </c>
    </row>
    <row r="83" customFormat="false" ht="15" hidden="false" customHeight="false" outlineLevel="0" collapsed="false">
      <c r="A83" s="5" t="s">
        <v>131</v>
      </c>
      <c r="B83" s="5" t="s">
        <v>91</v>
      </c>
      <c r="C83" s="5" t="s">
        <v>120</v>
      </c>
      <c r="D83" s="5" t="s">
        <v>176</v>
      </c>
      <c r="E83" s="5" t="s">
        <v>171</v>
      </c>
      <c r="F83" s="16" t="n">
        <v>6.04</v>
      </c>
      <c r="G83" s="12" t="str">
        <f aca="false">IF(VALUE(MID(D83,3,2))*10+VALUE(MID(E83,2,1))&lt;=242,"Pre",IF(VALUE(MID(D83,3,2))*10+VALUE(MID(E83,2,1))&lt;=254,"Post","Later"))</f>
        <v>Pre</v>
      </c>
      <c r="H83" s="5" t="s">
        <v>240</v>
      </c>
      <c r="I83" s="5" t="s">
        <v>231</v>
      </c>
    </row>
    <row r="84" customFormat="false" ht="15" hidden="false" customHeight="false" outlineLevel="0" collapsed="false">
      <c r="A84" s="5" t="s">
        <v>131</v>
      </c>
      <c r="B84" s="5" t="s">
        <v>91</v>
      </c>
      <c r="C84" s="5" t="s">
        <v>120</v>
      </c>
      <c r="D84" s="5" t="s">
        <v>176</v>
      </c>
      <c r="E84" s="5" t="s">
        <v>172</v>
      </c>
      <c r="F84" s="16" t="n">
        <v>6.63</v>
      </c>
      <c r="G84" s="12" t="str">
        <f aca="false">IF(VALUE(MID(D84,3,2))*10+VALUE(MID(E84,2,1))&lt;=242,"Pre",IF(VALUE(MID(D84,3,2))*10+VALUE(MID(E84,2,1))&lt;=254,"Post","Later"))</f>
        <v>Pre</v>
      </c>
      <c r="H84" s="5" t="s">
        <v>241</v>
      </c>
      <c r="I84" s="5" t="s">
        <v>231</v>
      </c>
    </row>
    <row r="85" customFormat="false" ht="15" hidden="false" customHeight="false" outlineLevel="0" collapsed="false">
      <c r="A85" s="5" t="s">
        <v>131</v>
      </c>
      <c r="B85" s="5" t="s">
        <v>91</v>
      </c>
      <c r="C85" s="5" t="s">
        <v>120</v>
      </c>
      <c r="D85" s="5" t="s">
        <v>176</v>
      </c>
      <c r="E85" s="5" t="s">
        <v>173</v>
      </c>
      <c r="F85" s="16" t="n">
        <v>6.53</v>
      </c>
      <c r="G85" s="12" t="str">
        <f aca="false">IF(VALUE(MID(D85,3,2))*10+VALUE(MID(E85,2,1))&lt;=242,"Pre",IF(VALUE(MID(D85,3,2))*10+VALUE(MID(E85,2,1))&lt;=254,"Post","Later"))</f>
        <v>Pre</v>
      </c>
      <c r="H85" s="5" t="s">
        <v>242</v>
      </c>
      <c r="I85" s="5" t="s">
        <v>231</v>
      </c>
    </row>
    <row r="86" customFormat="false" ht="15" hidden="false" customHeight="false" outlineLevel="0" collapsed="false">
      <c r="A86" s="5" t="s">
        <v>131</v>
      </c>
      <c r="B86" s="5" t="s">
        <v>91</v>
      </c>
      <c r="C86" s="5" t="s">
        <v>120</v>
      </c>
      <c r="D86" s="5" t="s">
        <v>177</v>
      </c>
      <c r="E86" s="5" t="s">
        <v>168</v>
      </c>
      <c r="F86" s="16" t="n">
        <v>7.32</v>
      </c>
      <c r="G86" s="12" t="str">
        <f aca="false">IF(VALUE(MID(D86,3,2))*10+VALUE(MID(E86,2,1))&lt;=242,"Pre",IF(VALUE(MID(D86,3,2))*10+VALUE(MID(E86,2,1))&lt;=254,"Post","Later"))</f>
        <v>Pre</v>
      </c>
      <c r="H86" s="5" t="s">
        <v>243</v>
      </c>
      <c r="I86" s="5" t="s">
        <v>231</v>
      </c>
    </row>
    <row r="87" customFormat="false" ht="15" hidden="false" customHeight="false" outlineLevel="0" collapsed="false">
      <c r="A87" s="5" t="s">
        <v>131</v>
      </c>
      <c r="B87" s="5" t="s">
        <v>91</v>
      </c>
      <c r="C87" s="5" t="s">
        <v>120</v>
      </c>
      <c r="D87" s="5" t="s">
        <v>177</v>
      </c>
      <c r="E87" s="5" t="s">
        <v>171</v>
      </c>
      <c r="F87" s="16" t="n">
        <v>7.46</v>
      </c>
      <c r="G87" s="12" t="str">
        <f aca="false">IF(VALUE(MID(D87,3,2))*10+VALUE(MID(E87,2,1))&lt;=242,"Pre",IF(VALUE(MID(D87,3,2))*10+VALUE(MID(E87,2,1))&lt;=254,"Post","Later"))</f>
        <v>Pre</v>
      </c>
      <c r="H87" s="5" t="s">
        <v>244</v>
      </c>
      <c r="I87" s="5" t="s">
        <v>231</v>
      </c>
    </row>
    <row r="88" customFormat="false" ht="15" hidden="false" customHeight="false" outlineLevel="0" collapsed="false">
      <c r="A88" s="5" t="s">
        <v>131</v>
      </c>
      <c r="B88" s="5" t="s">
        <v>91</v>
      </c>
      <c r="C88" s="5" t="s">
        <v>120</v>
      </c>
      <c r="D88" s="5" t="s">
        <v>177</v>
      </c>
      <c r="E88" s="5" t="s">
        <v>172</v>
      </c>
      <c r="F88" s="16" t="n">
        <v>7.35</v>
      </c>
      <c r="G88" s="12" t="str">
        <f aca="false">IF(VALUE(MID(D88,3,2))*10+VALUE(MID(E88,2,1))&lt;=242,"Pre",IF(VALUE(MID(D88,3,2))*10+VALUE(MID(E88,2,1))&lt;=254,"Post","Later"))</f>
        <v>Post</v>
      </c>
      <c r="H88" s="5" t="s">
        <v>245</v>
      </c>
      <c r="I88" s="5" t="s">
        <v>231</v>
      </c>
    </row>
    <row r="89" customFormat="false" ht="15" hidden="false" customHeight="false" outlineLevel="0" collapsed="false">
      <c r="A89" s="5" t="s">
        <v>131</v>
      </c>
      <c r="B89" s="5" t="s">
        <v>91</v>
      </c>
      <c r="C89" s="5" t="s">
        <v>120</v>
      </c>
      <c r="D89" s="5" t="s">
        <v>177</v>
      </c>
      <c r="E89" s="5" t="s">
        <v>173</v>
      </c>
      <c r="F89" s="16" t="n">
        <v>7.52</v>
      </c>
      <c r="G89" s="12" t="str">
        <f aca="false">IF(VALUE(MID(D89,3,2))*10+VALUE(MID(E89,2,1))&lt;=242,"Pre",IF(VALUE(MID(D89,3,2))*10+VALUE(MID(E89,2,1))&lt;=254,"Post","Later"))</f>
        <v>Post</v>
      </c>
      <c r="H89" s="5" t="s">
        <v>246</v>
      </c>
      <c r="I89" s="5" t="s">
        <v>231</v>
      </c>
    </row>
    <row r="90" customFormat="false" ht="15" hidden="false" customHeight="false" outlineLevel="0" collapsed="false">
      <c r="A90" s="5" t="s">
        <v>131</v>
      </c>
      <c r="B90" s="5" t="s">
        <v>91</v>
      </c>
      <c r="C90" s="5" t="s">
        <v>120</v>
      </c>
      <c r="D90" s="5" t="s">
        <v>179</v>
      </c>
      <c r="E90" s="5" t="s">
        <v>168</v>
      </c>
      <c r="F90" s="16" t="n">
        <v>7.58</v>
      </c>
      <c r="G90" s="12" t="str">
        <f aca="false">IF(VALUE(MID(D90,3,2))*10+VALUE(MID(E90,2,1))&lt;=242,"Pre",IF(VALUE(MID(D90,3,2))*10+VALUE(MID(E90,2,1))&lt;=254,"Post","Later"))</f>
        <v>Post</v>
      </c>
      <c r="H90" s="5" t="s">
        <v>247</v>
      </c>
      <c r="I90" s="5" t="s">
        <v>231</v>
      </c>
    </row>
    <row r="91" customFormat="false" ht="15" hidden="false" customHeight="false" outlineLevel="0" collapsed="false">
      <c r="A91" s="5" t="s">
        <v>131</v>
      </c>
      <c r="B91" s="5" t="s">
        <v>91</v>
      </c>
      <c r="C91" s="5" t="s">
        <v>120</v>
      </c>
      <c r="D91" s="5" t="s">
        <v>179</v>
      </c>
      <c r="E91" s="5" t="s">
        <v>171</v>
      </c>
      <c r="F91" s="16" t="n">
        <v>7.56</v>
      </c>
      <c r="G91" s="12" t="str">
        <f aca="false">IF(VALUE(MID(D91,3,2))*10+VALUE(MID(E91,2,1))&lt;=242,"Pre",IF(VALUE(MID(D91,3,2))*10+VALUE(MID(E91,2,1))&lt;=254,"Post","Later"))</f>
        <v>Post</v>
      </c>
      <c r="H91" s="5" t="s">
        <v>248</v>
      </c>
      <c r="I91" s="5" t="s">
        <v>231</v>
      </c>
    </row>
    <row r="92" customFormat="false" ht="15" hidden="false" customHeight="false" outlineLevel="0" collapsed="false">
      <c r="A92" s="5" t="s">
        <v>131</v>
      </c>
      <c r="B92" s="5" t="s">
        <v>91</v>
      </c>
      <c r="C92" s="5" t="s">
        <v>120</v>
      </c>
      <c r="D92" s="5" t="s">
        <v>179</v>
      </c>
      <c r="E92" s="5" t="s">
        <v>172</v>
      </c>
      <c r="F92" s="16" t="n">
        <v>7.51</v>
      </c>
      <c r="G92" s="12" t="str">
        <f aca="false">IF(VALUE(MID(D92,3,2))*10+VALUE(MID(E92,2,1))&lt;=242,"Pre",IF(VALUE(MID(D92,3,2))*10+VALUE(MID(E92,2,1))&lt;=254,"Post","Later"))</f>
        <v>Post</v>
      </c>
      <c r="H92" s="5" t="s">
        <v>249</v>
      </c>
      <c r="I92" s="5" t="s">
        <v>231</v>
      </c>
    </row>
    <row r="93" customFormat="false" ht="15" hidden="false" customHeight="false" outlineLevel="0" collapsed="false">
      <c r="A93" s="5" t="s">
        <v>131</v>
      </c>
      <c r="B93" s="5" t="s">
        <v>91</v>
      </c>
      <c r="C93" s="5" t="s">
        <v>120</v>
      </c>
      <c r="D93" s="5" t="s">
        <v>179</v>
      </c>
      <c r="E93" s="5" t="s">
        <v>173</v>
      </c>
      <c r="F93" s="16" t="n">
        <v>7.56</v>
      </c>
      <c r="G93" s="12" t="str">
        <f aca="false">IF(VALUE(MID(D93,3,2))*10+VALUE(MID(E93,2,1))&lt;=242,"Pre",IF(VALUE(MID(D93,3,2))*10+VALUE(MID(E93,2,1))&lt;=254,"Post","Later"))</f>
        <v>Post</v>
      </c>
      <c r="H93" s="5" t="s">
        <v>250</v>
      </c>
      <c r="I93" s="5" t="s">
        <v>231</v>
      </c>
    </row>
    <row r="94" customFormat="false" ht="15" hidden="false" customHeight="false" outlineLevel="0" collapsed="false">
      <c r="A94" s="5" t="s">
        <v>131</v>
      </c>
      <c r="B94" s="5" t="s">
        <v>91</v>
      </c>
      <c r="C94" s="5" t="s">
        <v>120</v>
      </c>
      <c r="D94" s="5" t="s">
        <v>180</v>
      </c>
      <c r="E94" s="5" t="s">
        <v>168</v>
      </c>
      <c r="F94" s="16" t="n">
        <v>7.47</v>
      </c>
      <c r="G94" s="12" t="str">
        <f aca="false">IF(VALUE(MID(D94,3,2))*10+VALUE(MID(E94,2,1))&lt;=242,"Pre",IF(VALUE(MID(D94,3,2))*10+VALUE(MID(E94,2,1))&lt;=254,"Post","Later"))</f>
        <v>Later</v>
      </c>
      <c r="H94" s="5" t="s">
        <v>251</v>
      </c>
      <c r="I94" s="5" t="s">
        <v>231</v>
      </c>
    </row>
    <row r="95" customFormat="false" ht="15" hidden="false" customHeight="false" outlineLevel="0" collapsed="false">
      <c r="A95" s="5" t="s">
        <v>131</v>
      </c>
      <c r="B95" s="5" t="s">
        <v>91</v>
      </c>
      <c r="C95" s="5" t="s">
        <v>120</v>
      </c>
      <c r="D95" s="5" t="s">
        <v>180</v>
      </c>
      <c r="E95" s="5" t="s">
        <v>171</v>
      </c>
      <c r="F95" s="16" t="n">
        <v>7.17</v>
      </c>
      <c r="G95" s="12" t="str">
        <f aca="false">IF(VALUE(MID(D95,3,2))*10+VALUE(MID(E95,2,1))&lt;=242,"Pre",IF(VALUE(MID(D95,3,2))*10+VALUE(MID(E95,2,1))&lt;=254,"Post","Later"))</f>
        <v>Later</v>
      </c>
      <c r="H95" s="5" t="s">
        <v>252</v>
      </c>
      <c r="I95" s="5" t="s">
        <v>231</v>
      </c>
    </row>
    <row r="96" customFormat="false" ht="15" hidden="false" customHeight="false" outlineLevel="0" collapsed="false">
      <c r="A96" s="5" t="s">
        <v>131</v>
      </c>
      <c r="B96" s="5" t="s">
        <v>91</v>
      </c>
      <c r="C96" s="5" t="s">
        <v>120</v>
      </c>
      <c r="D96" s="5" t="s">
        <v>180</v>
      </c>
      <c r="E96" s="5" t="s">
        <v>172</v>
      </c>
      <c r="F96" s="16" t="n">
        <v>7.14</v>
      </c>
      <c r="G96" s="12" t="str">
        <f aca="false">IF(VALUE(MID(D96,3,2))*10+VALUE(MID(E96,2,1))&lt;=242,"Pre",IF(VALUE(MID(D96,3,2))*10+VALUE(MID(E96,2,1))&lt;=254,"Post","Later"))</f>
        <v>Later</v>
      </c>
      <c r="H96" s="5" t="s">
        <v>253</v>
      </c>
      <c r="I96" s="5" t="s">
        <v>231</v>
      </c>
    </row>
    <row r="97" customFormat="false" ht="15" hidden="false" customHeight="false" outlineLevel="0" collapsed="false">
      <c r="A97" s="5" t="s">
        <v>131</v>
      </c>
      <c r="B97" s="5" t="s">
        <v>91</v>
      </c>
      <c r="C97" s="5" t="s">
        <v>120</v>
      </c>
      <c r="D97" s="5" t="s">
        <v>180</v>
      </c>
      <c r="E97" s="5" t="s">
        <v>173</v>
      </c>
      <c r="F97" s="16" t="n">
        <v>7.07</v>
      </c>
      <c r="G97" s="12" t="str">
        <f aca="false">IF(VALUE(MID(D97,3,2))*10+VALUE(MID(E97,2,1))&lt;=242,"Pre",IF(VALUE(MID(D97,3,2))*10+VALUE(MID(E97,2,1))&lt;=254,"Post","Later"))</f>
        <v>Later</v>
      </c>
      <c r="H97" s="5" t="s">
        <v>254</v>
      </c>
      <c r="I97" s="5" t="s">
        <v>231</v>
      </c>
    </row>
    <row r="98" customFormat="false" ht="15" hidden="false" customHeight="false" outlineLevel="0" collapsed="false">
      <c r="A98" s="5" t="s">
        <v>133</v>
      </c>
      <c r="B98" s="5" t="s">
        <v>98</v>
      </c>
      <c r="C98" s="5" t="s">
        <v>125</v>
      </c>
      <c r="D98" s="5" t="s">
        <v>167</v>
      </c>
      <c r="E98" s="5" t="s">
        <v>168</v>
      </c>
      <c r="F98" s="16" t="n">
        <v>7.1</v>
      </c>
      <c r="G98" s="12" t="str">
        <f aca="false">IF(VALUE(MID(D98,3,2))*10+VALUE(MID(E98,2,1))&lt;=242,"Pre",IF(VALUE(MID(D98,3,2))*10+VALUE(MID(E98,2,1))&lt;=254,"Post","Later"))</f>
        <v>Pre</v>
      </c>
      <c r="H98" s="5" t="s">
        <v>255</v>
      </c>
      <c r="I98" s="5" t="s">
        <v>256</v>
      </c>
    </row>
    <row r="99" customFormat="false" ht="15" hidden="false" customHeight="false" outlineLevel="0" collapsed="false">
      <c r="A99" s="5" t="s">
        <v>133</v>
      </c>
      <c r="B99" s="5" t="s">
        <v>98</v>
      </c>
      <c r="C99" s="5" t="s">
        <v>125</v>
      </c>
      <c r="D99" s="5" t="s">
        <v>167</v>
      </c>
      <c r="E99" s="5" t="s">
        <v>171</v>
      </c>
      <c r="F99" s="16" t="n">
        <v>6.9</v>
      </c>
      <c r="G99" s="12" t="str">
        <f aca="false">IF(VALUE(MID(D99,3,2))*10+VALUE(MID(E99,2,1))&lt;=242,"Pre",IF(VALUE(MID(D99,3,2))*10+VALUE(MID(E99,2,1))&lt;=254,"Post","Later"))</f>
        <v>Pre</v>
      </c>
      <c r="H99" s="5" t="s">
        <v>255</v>
      </c>
      <c r="I99" s="5" t="s">
        <v>256</v>
      </c>
    </row>
    <row r="100" customFormat="false" ht="15" hidden="false" customHeight="false" outlineLevel="0" collapsed="false">
      <c r="A100" s="5" t="s">
        <v>133</v>
      </c>
      <c r="B100" s="5" t="s">
        <v>98</v>
      </c>
      <c r="C100" s="5" t="s">
        <v>125</v>
      </c>
      <c r="D100" s="5" t="s">
        <v>167</v>
      </c>
      <c r="E100" s="5" t="s">
        <v>172</v>
      </c>
      <c r="F100" s="16" t="n">
        <v>6.5</v>
      </c>
      <c r="G100" s="12" t="str">
        <f aca="false">IF(VALUE(MID(D100,3,2))*10+VALUE(MID(E100,2,1))&lt;=242,"Pre",IF(VALUE(MID(D100,3,2))*10+VALUE(MID(E100,2,1))&lt;=254,"Post","Later"))</f>
        <v>Pre</v>
      </c>
      <c r="H100" s="5" t="s">
        <v>255</v>
      </c>
      <c r="I100" s="5" t="s">
        <v>256</v>
      </c>
    </row>
    <row r="101" customFormat="false" ht="15" hidden="false" customHeight="false" outlineLevel="0" collapsed="false">
      <c r="A101" s="5" t="s">
        <v>133</v>
      </c>
      <c r="B101" s="5" t="s">
        <v>98</v>
      </c>
      <c r="C101" s="5" t="s">
        <v>125</v>
      </c>
      <c r="D101" s="5" t="s">
        <v>167</v>
      </c>
      <c r="E101" s="5" t="s">
        <v>173</v>
      </c>
      <c r="F101" s="16" t="n">
        <v>6.3</v>
      </c>
      <c r="G101" s="12" t="str">
        <f aca="false">IF(VALUE(MID(D101,3,2))*10+VALUE(MID(E101,2,1))&lt;=242,"Pre",IF(VALUE(MID(D101,3,2))*10+VALUE(MID(E101,2,1))&lt;=254,"Post","Later"))</f>
        <v>Pre</v>
      </c>
      <c r="H101" s="5" t="s">
        <v>255</v>
      </c>
      <c r="I101" s="5" t="s">
        <v>256</v>
      </c>
    </row>
    <row r="102" customFormat="false" ht="15" hidden="false" customHeight="false" outlineLevel="0" collapsed="false">
      <c r="A102" s="5" t="s">
        <v>133</v>
      </c>
      <c r="B102" s="5" t="s">
        <v>98</v>
      </c>
      <c r="C102" s="5" t="s">
        <v>125</v>
      </c>
      <c r="D102" s="5" t="s">
        <v>174</v>
      </c>
      <c r="E102" s="5" t="s">
        <v>168</v>
      </c>
      <c r="F102" s="16" t="n">
        <v>6.1</v>
      </c>
      <c r="G102" s="12" t="str">
        <f aca="false">IF(VALUE(MID(D102,3,2))*10+VALUE(MID(E102,2,1))&lt;=242,"Pre",IF(VALUE(MID(D102,3,2))*10+VALUE(MID(E102,2,1))&lt;=254,"Post","Later"))</f>
        <v>Pre</v>
      </c>
      <c r="H102" s="5" t="s">
        <v>255</v>
      </c>
      <c r="I102" s="5" t="s">
        <v>256</v>
      </c>
    </row>
    <row r="103" customFormat="false" ht="15" hidden="false" customHeight="false" outlineLevel="0" collapsed="false">
      <c r="A103" s="5" t="s">
        <v>133</v>
      </c>
      <c r="B103" s="5" t="s">
        <v>98</v>
      </c>
      <c r="C103" s="5" t="s">
        <v>125</v>
      </c>
      <c r="D103" s="5" t="s">
        <v>174</v>
      </c>
      <c r="E103" s="5" t="s">
        <v>171</v>
      </c>
      <c r="F103" s="16" t="n">
        <v>5.9</v>
      </c>
      <c r="G103" s="12" t="str">
        <f aca="false">IF(VALUE(MID(D103,3,2))*10+VALUE(MID(E103,2,1))&lt;=242,"Pre",IF(VALUE(MID(D103,3,2))*10+VALUE(MID(E103,2,1))&lt;=254,"Post","Later"))</f>
        <v>Pre</v>
      </c>
      <c r="H103" s="5" t="s">
        <v>255</v>
      </c>
      <c r="I103" s="5" t="s">
        <v>256</v>
      </c>
    </row>
    <row r="104" customFormat="false" ht="15" hidden="false" customHeight="false" outlineLevel="0" collapsed="false">
      <c r="A104" s="5" t="s">
        <v>133</v>
      </c>
      <c r="B104" s="5" t="s">
        <v>98</v>
      </c>
      <c r="C104" s="5" t="s">
        <v>125</v>
      </c>
      <c r="D104" s="5" t="s">
        <v>174</v>
      </c>
      <c r="E104" s="5" t="s">
        <v>172</v>
      </c>
      <c r="F104" s="16" t="n">
        <v>5.7</v>
      </c>
      <c r="G104" s="12" t="str">
        <f aca="false">IF(VALUE(MID(D104,3,2))*10+VALUE(MID(E104,2,1))&lt;=242,"Pre",IF(VALUE(MID(D104,3,2))*10+VALUE(MID(E104,2,1))&lt;=254,"Post","Later"))</f>
        <v>Pre</v>
      </c>
      <c r="H104" s="5" t="s">
        <v>255</v>
      </c>
      <c r="I104" s="5" t="s">
        <v>256</v>
      </c>
    </row>
    <row r="105" customFormat="false" ht="15" hidden="false" customHeight="false" outlineLevel="0" collapsed="false">
      <c r="A105" s="5" t="s">
        <v>133</v>
      </c>
      <c r="B105" s="5" t="s">
        <v>98</v>
      </c>
      <c r="C105" s="5" t="s">
        <v>125</v>
      </c>
      <c r="D105" s="5" t="s">
        <v>174</v>
      </c>
      <c r="E105" s="5" t="s">
        <v>173</v>
      </c>
      <c r="F105" s="16" t="n">
        <v>5.6</v>
      </c>
      <c r="G105" s="12" t="str">
        <f aca="false">IF(VALUE(MID(D105,3,2))*10+VALUE(MID(E105,2,1))&lt;=242,"Pre",IF(VALUE(MID(D105,3,2))*10+VALUE(MID(E105,2,1))&lt;=254,"Post","Later"))</f>
        <v>Pre</v>
      </c>
      <c r="H105" s="5" t="s">
        <v>255</v>
      </c>
      <c r="I105" s="5" t="s">
        <v>256</v>
      </c>
    </row>
    <row r="106" customFormat="false" ht="15" hidden="false" customHeight="false" outlineLevel="0" collapsed="false">
      <c r="A106" s="5" t="s">
        <v>133</v>
      </c>
      <c r="B106" s="5" t="s">
        <v>98</v>
      </c>
      <c r="C106" s="5" t="s">
        <v>125</v>
      </c>
      <c r="D106" s="5" t="s">
        <v>176</v>
      </c>
      <c r="E106" s="5" t="s">
        <v>168</v>
      </c>
      <c r="F106" s="16" t="n">
        <v>5.5</v>
      </c>
      <c r="G106" s="12" t="str">
        <f aca="false">IF(VALUE(MID(D106,3,2))*10+VALUE(MID(E106,2,1))&lt;=242,"Pre",IF(VALUE(MID(D106,3,2))*10+VALUE(MID(E106,2,1))&lt;=254,"Post","Later"))</f>
        <v>Pre</v>
      </c>
      <c r="H106" s="5" t="s">
        <v>257</v>
      </c>
      <c r="I106" s="5" t="s">
        <v>256</v>
      </c>
    </row>
    <row r="107" customFormat="false" ht="15" hidden="false" customHeight="false" outlineLevel="0" collapsed="false">
      <c r="A107" s="5" t="s">
        <v>133</v>
      </c>
      <c r="B107" s="5" t="s">
        <v>98</v>
      </c>
      <c r="C107" s="5" t="s">
        <v>125</v>
      </c>
      <c r="D107" s="5" t="s">
        <v>176</v>
      </c>
      <c r="E107" s="5" t="s">
        <v>171</v>
      </c>
      <c r="F107" s="16" t="n">
        <v>6</v>
      </c>
      <c r="G107" s="12" t="str">
        <f aca="false">IF(VALUE(MID(D107,3,2))*10+VALUE(MID(E107,2,1))&lt;=242,"Pre",IF(VALUE(MID(D107,3,2))*10+VALUE(MID(E107,2,1))&lt;=254,"Post","Later"))</f>
        <v>Pre</v>
      </c>
      <c r="H107" s="5" t="s">
        <v>257</v>
      </c>
      <c r="I107" s="5" t="s">
        <v>256</v>
      </c>
    </row>
    <row r="108" customFormat="false" ht="15" hidden="false" customHeight="false" outlineLevel="0" collapsed="false">
      <c r="A108" s="5" t="s">
        <v>133</v>
      </c>
      <c r="B108" s="5" t="s">
        <v>98</v>
      </c>
      <c r="C108" s="5" t="s">
        <v>125</v>
      </c>
      <c r="D108" s="5" t="s">
        <v>176</v>
      </c>
      <c r="E108" s="5" t="s">
        <v>172</v>
      </c>
      <c r="F108" s="16" t="n">
        <v>6.4</v>
      </c>
      <c r="G108" s="12" t="str">
        <f aca="false">IF(VALUE(MID(D108,3,2))*10+VALUE(MID(E108,2,1))&lt;=242,"Pre",IF(VALUE(MID(D108,3,2))*10+VALUE(MID(E108,2,1))&lt;=254,"Post","Later"))</f>
        <v>Pre</v>
      </c>
      <c r="H108" s="5" t="s">
        <v>257</v>
      </c>
      <c r="I108" s="5" t="s">
        <v>256</v>
      </c>
    </row>
    <row r="109" customFormat="false" ht="15" hidden="false" customHeight="false" outlineLevel="0" collapsed="false">
      <c r="A109" s="5" t="s">
        <v>133</v>
      </c>
      <c r="B109" s="5" t="s">
        <v>98</v>
      </c>
      <c r="C109" s="5" t="s">
        <v>125</v>
      </c>
      <c r="D109" s="5" t="s">
        <v>176</v>
      </c>
      <c r="E109" s="5" t="s">
        <v>173</v>
      </c>
      <c r="F109" s="16" t="n">
        <v>6.6</v>
      </c>
      <c r="G109" s="12" t="str">
        <f aca="false">IF(VALUE(MID(D109,3,2))*10+VALUE(MID(E109,2,1))&lt;=242,"Pre",IF(VALUE(MID(D109,3,2))*10+VALUE(MID(E109,2,1))&lt;=254,"Post","Later"))</f>
        <v>Pre</v>
      </c>
      <c r="H109" s="5" t="s">
        <v>257</v>
      </c>
      <c r="I109" s="5" t="s">
        <v>256</v>
      </c>
    </row>
    <row r="110" customFormat="false" ht="15" hidden="false" customHeight="false" outlineLevel="0" collapsed="false">
      <c r="A110" s="5" t="s">
        <v>133</v>
      </c>
      <c r="B110" s="5" t="s">
        <v>98</v>
      </c>
      <c r="C110" s="5" t="s">
        <v>125</v>
      </c>
      <c r="D110" s="5" t="s">
        <v>177</v>
      </c>
      <c r="E110" s="5" t="s">
        <v>168</v>
      </c>
      <c r="F110" s="16" t="n">
        <v>6.9</v>
      </c>
      <c r="G110" s="12" t="str">
        <f aca="false">IF(VALUE(MID(D110,3,2))*10+VALUE(MID(E110,2,1))&lt;=242,"Pre",IF(VALUE(MID(D110,3,2))*10+VALUE(MID(E110,2,1))&lt;=254,"Post","Later"))</f>
        <v>Pre</v>
      </c>
      <c r="H110" s="5" t="s">
        <v>257</v>
      </c>
      <c r="I110" s="5" t="s">
        <v>256</v>
      </c>
    </row>
    <row r="111" customFormat="false" ht="15" hidden="false" customHeight="false" outlineLevel="0" collapsed="false">
      <c r="A111" s="5" t="s">
        <v>133</v>
      </c>
      <c r="B111" s="5" t="s">
        <v>98</v>
      </c>
      <c r="C111" s="5" t="s">
        <v>125</v>
      </c>
      <c r="D111" s="5" t="s">
        <v>177</v>
      </c>
      <c r="E111" s="5" t="s">
        <v>171</v>
      </c>
      <c r="F111" s="16" t="n">
        <v>6.9</v>
      </c>
      <c r="G111" s="12" t="str">
        <f aca="false">IF(VALUE(MID(D111,3,2))*10+VALUE(MID(E111,2,1))&lt;=242,"Pre",IF(VALUE(MID(D111,3,2))*10+VALUE(MID(E111,2,1))&lt;=254,"Post","Later"))</f>
        <v>Pre</v>
      </c>
      <c r="H111" s="5" t="s">
        <v>257</v>
      </c>
      <c r="I111" s="5" t="s">
        <v>256</v>
      </c>
    </row>
    <row r="112" customFormat="false" ht="15" hidden="false" customHeight="false" outlineLevel="0" collapsed="false">
      <c r="A112" s="5" t="s">
        <v>133</v>
      </c>
      <c r="B112" s="5" t="s">
        <v>98</v>
      </c>
      <c r="C112" s="5" t="s">
        <v>125</v>
      </c>
      <c r="D112" s="5" t="s">
        <v>177</v>
      </c>
      <c r="E112" s="5" t="s">
        <v>172</v>
      </c>
      <c r="F112" s="16" t="n">
        <v>7</v>
      </c>
      <c r="G112" s="12" t="str">
        <f aca="false">IF(VALUE(MID(D112,3,2))*10+VALUE(MID(E112,2,1))&lt;=242,"Pre",IF(VALUE(MID(D112,3,2))*10+VALUE(MID(E112,2,1))&lt;=254,"Post","Later"))</f>
        <v>Post</v>
      </c>
      <c r="H112" s="5" t="s">
        <v>257</v>
      </c>
      <c r="I112" s="5" t="s">
        <v>256</v>
      </c>
    </row>
    <row r="113" customFormat="false" ht="15" hidden="false" customHeight="false" outlineLevel="0" collapsed="false">
      <c r="A113" s="5" t="s">
        <v>133</v>
      </c>
      <c r="B113" s="5" t="s">
        <v>98</v>
      </c>
      <c r="C113" s="5" t="s">
        <v>125</v>
      </c>
      <c r="D113" s="5" t="s">
        <v>177</v>
      </c>
      <c r="E113" s="5" t="s">
        <v>173</v>
      </c>
      <c r="F113" s="16" t="n">
        <v>6.9</v>
      </c>
      <c r="G113" s="12" t="str">
        <f aca="false">IF(VALUE(MID(D113,3,2))*10+VALUE(MID(E113,2,1))&lt;=242,"Pre",IF(VALUE(MID(D113,3,2))*10+VALUE(MID(E113,2,1))&lt;=254,"Post","Later"))</f>
        <v>Post</v>
      </c>
      <c r="H113" s="5" t="s">
        <v>257</v>
      </c>
      <c r="I113" s="5" t="s">
        <v>256</v>
      </c>
    </row>
    <row r="114" customFormat="false" ht="15" hidden="false" customHeight="false" outlineLevel="0" collapsed="false">
      <c r="A114" s="5" t="s">
        <v>133</v>
      </c>
      <c r="B114" s="5" t="s">
        <v>98</v>
      </c>
      <c r="C114" s="5" t="s">
        <v>125</v>
      </c>
      <c r="D114" s="5" t="s">
        <v>179</v>
      </c>
      <c r="E114" s="5" t="s">
        <v>168</v>
      </c>
      <c r="F114" s="16" t="n">
        <v>7</v>
      </c>
      <c r="G114" s="12" t="str">
        <f aca="false">IF(VALUE(MID(D114,3,2))*10+VALUE(MID(E114,2,1))&lt;=242,"Pre",IF(VALUE(MID(D114,3,2))*10+VALUE(MID(E114,2,1))&lt;=254,"Post","Later"))</f>
        <v>Post</v>
      </c>
      <c r="H114" s="5" t="s">
        <v>258</v>
      </c>
      <c r="I114" s="5" t="s">
        <v>256</v>
      </c>
    </row>
    <row r="115" customFormat="false" ht="15" hidden="false" customHeight="false" outlineLevel="0" collapsed="false">
      <c r="A115" s="5" t="s">
        <v>133</v>
      </c>
      <c r="B115" s="5" t="s">
        <v>98</v>
      </c>
      <c r="C115" s="5" t="s">
        <v>125</v>
      </c>
      <c r="D115" s="5" t="s">
        <v>179</v>
      </c>
      <c r="E115" s="5" t="s">
        <v>171</v>
      </c>
      <c r="F115" s="16" t="n">
        <v>7.1</v>
      </c>
      <c r="G115" s="12" t="str">
        <f aca="false">IF(VALUE(MID(D115,3,2))*10+VALUE(MID(E115,2,1))&lt;=242,"Pre",IF(VALUE(MID(D115,3,2))*10+VALUE(MID(E115,2,1))&lt;=254,"Post","Later"))</f>
        <v>Post</v>
      </c>
      <c r="H115" s="5" t="s">
        <v>258</v>
      </c>
      <c r="I115" s="5" t="s">
        <v>256</v>
      </c>
    </row>
    <row r="116" customFormat="false" ht="15" hidden="false" customHeight="false" outlineLevel="0" collapsed="false">
      <c r="A116" s="5" t="s">
        <v>133</v>
      </c>
      <c r="B116" s="5" t="s">
        <v>98</v>
      </c>
      <c r="C116" s="5" t="s">
        <v>125</v>
      </c>
      <c r="D116" s="5" t="s">
        <v>179</v>
      </c>
      <c r="E116" s="5" t="s">
        <v>172</v>
      </c>
      <c r="F116" s="16" t="n">
        <v>7.1</v>
      </c>
      <c r="G116" s="12" t="str">
        <f aca="false">IF(VALUE(MID(D116,3,2))*10+VALUE(MID(E116,2,1))&lt;=242,"Pre",IF(VALUE(MID(D116,3,2))*10+VALUE(MID(E116,2,1))&lt;=254,"Post","Later"))</f>
        <v>Post</v>
      </c>
      <c r="H116" s="5" t="s">
        <v>258</v>
      </c>
      <c r="I116" s="5" t="s">
        <v>256</v>
      </c>
    </row>
    <row r="117" customFormat="false" ht="15" hidden="false" customHeight="false" outlineLevel="0" collapsed="false">
      <c r="A117" s="5" t="s">
        <v>133</v>
      </c>
      <c r="B117" s="5" t="s">
        <v>98</v>
      </c>
      <c r="C117" s="5" t="s">
        <v>125</v>
      </c>
      <c r="D117" s="5" t="s">
        <v>179</v>
      </c>
      <c r="E117" s="5" t="s">
        <v>173</v>
      </c>
      <c r="F117" s="16" t="n">
        <v>7.1</v>
      </c>
      <c r="G117" s="12" t="str">
        <f aca="false">IF(VALUE(MID(D117,3,2))*10+VALUE(MID(E117,2,1))&lt;=242,"Pre",IF(VALUE(MID(D117,3,2))*10+VALUE(MID(E117,2,1))&lt;=254,"Post","Later"))</f>
        <v>Post</v>
      </c>
      <c r="H117" s="5" t="s">
        <v>258</v>
      </c>
      <c r="I117" s="5" t="s">
        <v>256</v>
      </c>
    </row>
    <row r="118" customFormat="false" ht="15" hidden="false" customHeight="false" outlineLevel="0" collapsed="false">
      <c r="A118" s="5" t="s">
        <v>133</v>
      </c>
      <c r="B118" s="5" t="s">
        <v>98</v>
      </c>
      <c r="C118" s="5" t="s">
        <v>125</v>
      </c>
      <c r="D118" s="5" t="s">
        <v>180</v>
      </c>
      <c r="E118" s="5" t="s">
        <v>168</v>
      </c>
      <c r="F118" s="16" t="n">
        <v>7</v>
      </c>
      <c r="G118" s="12" t="str">
        <f aca="false">IF(VALUE(MID(D118,3,2))*10+VALUE(MID(E118,2,1))&lt;=242,"Pre",IF(VALUE(MID(D118,3,2))*10+VALUE(MID(E118,2,1))&lt;=254,"Post","Later"))</f>
        <v>Later</v>
      </c>
      <c r="H118" s="5" t="s">
        <v>258</v>
      </c>
      <c r="I118" s="5" t="s">
        <v>256</v>
      </c>
    </row>
    <row r="119" customFormat="false" ht="15" hidden="false" customHeight="false" outlineLevel="0" collapsed="false">
      <c r="A119" s="5" t="s">
        <v>133</v>
      </c>
      <c r="B119" s="5" t="s">
        <v>98</v>
      </c>
      <c r="C119" s="5" t="s">
        <v>125</v>
      </c>
      <c r="D119" s="5" t="s">
        <v>180</v>
      </c>
      <c r="E119" s="5" t="s">
        <v>171</v>
      </c>
      <c r="F119" s="16" t="n">
        <v>6.8</v>
      </c>
      <c r="G119" s="12" t="str">
        <f aca="false">IF(VALUE(MID(D119,3,2))*10+VALUE(MID(E119,2,1))&lt;=242,"Pre",IF(VALUE(MID(D119,3,2))*10+VALUE(MID(E119,2,1))&lt;=254,"Post","Later"))</f>
        <v>Later</v>
      </c>
      <c r="H119" s="5" t="s">
        <v>258</v>
      </c>
      <c r="I119" s="5" t="s">
        <v>256</v>
      </c>
    </row>
    <row r="120" customFormat="false" ht="15" hidden="false" customHeight="false" outlineLevel="0" collapsed="false">
      <c r="A120" s="5" t="s">
        <v>133</v>
      </c>
      <c r="B120" s="5" t="s">
        <v>98</v>
      </c>
      <c r="C120" s="5" t="s">
        <v>125</v>
      </c>
      <c r="D120" s="5" t="s">
        <v>180</v>
      </c>
      <c r="E120" s="5" t="s">
        <v>172</v>
      </c>
      <c r="F120" s="16" t="n">
        <v>6.7</v>
      </c>
      <c r="G120" s="12" t="str">
        <f aca="false">IF(VALUE(MID(D120,3,2))*10+VALUE(MID(E120,2,1))&lt;=242,"Pre",IF(VALUE(MID(D120,3,2))*10+VALUE(MID(E120,2,1))&lt;=254,"Post","Later"))</f>
        <v>Later</v>
      </c>
      <c r="H120" s="5" t="s">
        <v>258</v>
      </c>
      <c r="I120" s="5" t="s">
        <v>256</v>
      </c>
    </row>
    <row r="121" customFormat="false" ht="15" hidden="false" customHeight="false" outlineLevel="0" collapsed="false">
      <c r="A121" s="5" t="s">
        <v>133</v>
      </c>
      <c r="B121" s="5" t="s">
        <v>98</v>
      </c>
      <c r="C121" s="5" t="s">
        <v>125</v>
      </c>
      <c r="D121" s="5" t="s">
        <v>180</v>
      </c>
      <c r="E121" s="5" t="s">
        <v>173</v>
      </c>
      <c r="F121" s="16" t="n">
        <v>6.6</v>
      </c>
      <c r="G121" s="12" t="str">
        <f aca="false">IF(VALUE(MID(D121,3,2))*10+VALUE(MID(E121,2,1))&lt;=242,"Pre",IF(VALUE(MID(D121,3,2))*10+VALUE(MID(E121,2,1))&lt;=254,"Post","Later"))</f>
        <v>Later</v>
      </c>
      <c r="H121" s="5" t="s">
        <v>258</v>
      </c>
      <c r="I121" s="5" t="s">
        <v>256</v>
      </c>
    </row>
    <row r="122" customFormat="false" ht="15" hidden="false" customHeight="false" outlineLevel="0" collapsed="false">
      <c r="A122" s="5" t="s">
        <v>135</v>
      </c>
      <c r="B122" s="5" t="s">
        <v>99</v>
      </c>
      <c r="C122" s="5" t="s">
        <v>125</v>
      </c>
      <c r="D122" s="5" t="s">
        <v>167</v>
      </c>
      <c r="E122" s="5" t="s">
        <v>168</v>
      </c>
      <c r="F122" s="16" t="n">
        <v>9.4</v>
      </c>
      <c r="G122" s="12" t="str">
        <f aca="false">IF(VALUE(MID(D122,3,2))*10+VALUE(MID(E122,2,1))&lt;=242,"Pre",IF(VALUE(MID(D122,3,2))*10+VALUE(MID(E122,2,1))&lt;=254,"Post","Later"))</f>
        <v>Pre</v>
      </c>
      <c r="H122" s="5" t="s">
        <v>259</v>
      </c>
      <c r="I122" s="5" t="s">
        <v>260</v>
      </c>
    </row>
    <row r="123" customFormat="false" ht="15" hidden="false" customHeight="false" outlineLevel="0" collapsed="false">
      <c r="A123" s="5" t="s">
        <v>135</v>
      </c>
      <c r="B123" s="5" t="s">
        <v>99</v>
      </c>
      <c r="C123" s="5" t="s">
        <v>125</v>
      </c>
      <c r="D123" s="5" t="s">
        <v>167</v>
      </c>
      <c r="E123" s="5" t="s">
        <v>171</v>
      </c>
      <c r="F123" s="16" t="n">
        <v>9.6</v>
      </c>
      <c r="G123" s="12" t="str">
        <f aca="false">IF(VALUE(MID(D123,3,2))*10+VALUE(MID(E123,2,1))&lt;=242,"Pre",IF(VALUE(MID(D123,3,2))*10+VALUE(MID(E123,2,1))&lt;=254,"Post","Later"))</f>
        <v>Pre</v>
      </c>
      <c r="H123" s="5" t="s">
        <v>261</v>
      </c>
      <c r="I123" s="5" t="s">
        <v>260</v>
      </c>
    </row>
    <row r="124" customFormat="false" ht="15" hidden="false" customHeight="false" outlineLevel="0" collapsed="false">
      <c r="A124" s="5" t="s">
        <v>135</v>
      </c>
      <c r="B124" s="5" t="s">
        <v>99</v>
      </c>
      <c r="C124" s="5" t="s">
        <v>125</v>
      </c>
      <c r="D124" s="5" t="s">
        <v>167</v>
      </c>
      <c r="E124" s="5" t="s">
        <v>172</v>
      </c>
      <c r="F124" s="16" t="n">
        <v>9.4</v>
      </c>
      <c r="G124" s="12" t="str">
        <f aca="false">IF(VALUE(MID(D124,3,2))*10+VALUE(MID(E124,2,1))&lt;=242,"Pre",IF(VALUE(MID(D124,3,2))*10+VALUE(MID(E124,2,1))&lt;=254,"Post","Later"))</f>
        <v>Pre</v>
      </c>
      <c r="H124" s="5" t="s">
        <v>262</v>
      </c>
      <c r="I124" s="5" t="s">
        <v>260</v>
      </c>
    </row>
    <row r="125" customFormat="false" ht="15" hidden="false" customHeight="false" outlineLevel="0" collapsed="false">
      <c r="A125" s="5" t="s">
        <v>135</v>
      </c>
      <c r="B125" s="5" t="s">
        <v>99</v>
      </c>
      <c r="C125" s="5" t="s">
        <v>125</v>
      </c>
      <c r="D125" s="5" t="s">
        <v>167</v>
      </c>
      <c r="E125" s="5" t="s">
        <v>173</v>
      </c>
      <c r="F125" s="16" t="n">
        <v>8.9</v>
      </c>
      <c r="G125" s="12" t="str">
        <f aca="false">IF(VALUE(MID(D125,3,2))*10+VALUE(MID(E125,2,1))&lt;=242,"Pre",IF(VALUE(MID(D125,3,2))*10+VALUE(MID(E125,2,1))&lt;=254,"Post","Later"))</f>
        <v>Pre</v>
      </c>
      <c r="H125" s="5" t="s">
        <v>263</v>
      </c>
      <c r="I125" s="5" t="s">
        <v>260</v>
      </c>
    </row>
    <row r="126" customFormat="false" ht="15" hidden="false" customHeight="false" outlineLevel="0" collapsed="false">
      <c r="A126" s="5" t="s">
        <v>135</v>
      </c>
      <c r="B126" s="5" t="s">
        <v>99</v>
      </c>
      <c r="C126" s="5" t="s">
        <v>125</v>
      </c>
      <c r="D126" s="5" t="s">
        <v>174</v>
      </c>
      <c r="E126" s="5" t="s">
        <v>168</v>
      </c>
      <c r="F126" s="16" t="n">
        <v>9.6</v>
      </c>
      <c r="G126" s="12" t="str">
        <f aca="false">IF(VALUE(MID(D126,3,2))*10+VALUE(MID(E126,2,1))&lt;=242,"Pre",IF(VALUE(MID(D126,3,2))*10+VALUE(MID(E126,2,1))&lt;=254,"Post","Later"))</f>
        <v>Pre</v>
      </c>
      <c r="H126" s="5" t="s">
        <v>264</v>
      </c>
      <c r="I126" s="5" t="s">
        <v>260</v>
      </c>
    </row>
    <row r="127" customFormat="false" ht="15" hidden="false" customHeight="false" outlineLevel="0" collapsed="false">
      <c r="A127" s="5" t="s">
        <v>135</v>
      </c>
      <c r="B127" s="5" t="s">
        <v>99</v>
      </c>
      <c r="C127" s="5" t="s">
        <v>125</v>
      </c>
      <c r="D127" s="5" t="s">
        <v>174</v>
      </c>
      <c r="E127" s="5" t="s">
        <v>171</v>
      </c>
      <c r="F127" s="16" t="n">
        <v>9.5</v>
      </c>
      <c r="G127" s="12" t="str">
        <f aca="false">IF(VALUE(MID(D127,3,2))*10+VALUE(MID(E127,2,1))&lt;=242,"Pre",IF(VALUE(MID(D127,3,2))*10+VALUE(MID(E127,2,1))&lt;=254,"Post","Later"))</f>
        <v>Pre</v>
      </c>
      <c r="H127" s="5" t="s">
        <v>265</v>
      </c>
      <c r="I127" s="5" t="s">
        <v>260</v>
      </c>
    </row>
    <row r="128" customFormat="false" ht="15" hidden="false" customHeight="false" outlineLevel="0" collapsed="false">
      <c r="A128" s="5" t="s">
        <v>135</v>
      </c>
      <c r="B128" s="5" t="s">
        <v>99</v>
      </c>
      <c r="C128" s="5" t="s">
        <v>125</v>
      </c>
      <c r="D128" s="5" t="s">
        <v>174</v>
      </c>
      <c r="E128" s="5" t="s">
        <v>172</v>
      </c>
      <c r="F128" s="16" t="n">
        <v>9.4</v>
      </c>
      <c r="G128" s="12" t="str">
        <f aca="false">IF(VALUE(MID(D128,3,2))*10+VALUE(MID(E128,2,1))&lt;=242,"Pre",IF(VALUE(MID(D128,3,2))*10+VALUE(MID(E128,2,1))&lt;=254,"Post","Later"))</f>
        <v>Pre</v>
      </c>
      <c r="H128" s="5" t="s">
        <v>266</v>
      </c>
      <c r="I128" s="5" t="s">
        <v>260</v>
      </c>
    </row>
    <row r="129" customFormat="false" ht="15" hidden="false" customHeight="false" outlineLevel="0" collapsed="false">
      <c r="A129" s="5" t="s">
        <v>135</v>
      </c>
      <c r="B129" s="5" t="s">
        <v>99</v>
      </c>
      <c r="C129" s="5" t="s">
        <v>125</v>
      </c>
      <c r="D129" s="5" t="s">
        <v>174</v>
      </c>
      <c r="E129" s="5" t="s">
        <v>173</v>
      </c>
      <c r="F129" s="16" t="n">
        <v>8.9</v>
      </c>
      <c r="G129" s="12" t="str">
        <f aca="false">IF(VALUE(MID(D129,3,2))*10+VALUE(MID(E129,2,1))&lt;=242,"Pre",IF(VALUE(MID(D129,3,2))*10+VALUE(MID(E129,2,1))&lt;=254,"Post","Later"))</f>
        <v>Pre</v>
      </c>
      <c r="H129" s="5" t="s">
        <v>267</v>
      </c>
      <c r="I129" s="5" t="s">
        <v>260</v>
      </c>
    </row>
    <row r="130" customFormat="false" ht="15" hidden="false" customHeight="false" outlineLevel="0" collapsed="false">
      <c r="A130" s="5" t="s">
        <v>135</v>
      </c>
      <c r="B130" s="5" t="s">
        <v>99</v>
      </c>
      <c r="C130" s="5" t="s">
        <v>125</v>
      </c>
      <c r="D130" s="5" t="s">
        <v>176</v>
      </c>
      <c r="E130" s="5" t="s">
        <v>168</v>
      </c>
      <c r="F130" s="16" t="n">
        <v>9</v>
      </c>
      <c r="G130" s="12" t="str">
        <f aca="false">IF(VALUE(MID(D130,3,2))*10+VALUE(MID(E130,2,1))&lt;=242,"Pre",IF(VALUE(MID(D130,3,2))*10+VALUE(MID(E130,2,1))&lt;=254,"Post","Later"))</f>
        <v>Pre</v>
      </c>
      <c r="H130" s="5" t="s">
        <v>268</v>
      </c>
      <c r="I130" s="5" t="s">
        <v>260</v>
      </c>
    </row>
    <row r="131" customFormat="false" ht="15" hidden="false" customHeight="false" outlineLevel="0" collapsed="false">
      <c r="A131" s="5" t="s">
        <v>135</v>
      </c>
      <c r="B131" s="5" t="s">
        <v>99</v>
      </c>
      <c r="C131" s="5" t="s">
        <v>125</v>
      </c>
      <c r="D131" s="5" t="s">
        <v>176</v>
      </c>
      <c r="E131" s="5" t="s">
        <v>171</v>
      </c>
      <c r="F131" s="16" t="n">
        <v>9.2</v>
      </c>
      <c r="G131" s="12" t="str">
        <f aca="false">IF(VALUE(MID(D131,3,2))*10+VALUE(MID(E131,2,1))&lt;=242,"Pre",IF(VALUE(MID(D131,3,2))*10+VALUE(MID(E131,2,1))&lt;=254,"Post","Later"))</f>
        <v>Pre</v>
      </c>
      <c r="H131" s="5" t="s">
        <v>269</v>
      </c>
      <c r="I131" s="5" t="s">
        <v>260</v>
      </c>
    </row>
    <row r="132" customFormat="false" ht="15" hidden="false" customHeight="false" outlineLevel="0" collapsed="false">
      <c r="A132" s="5" t="s">
        <v>135</v>
      </c>
      <c r="B132" s="5" t="s">
        <v>99</v>
      </c>
      <c r="C132" s="5" t="s">
        <v>125</v>
      </c>
      <c r="D132" s="5" t="s">
        <v>176</v>
      </c>
      <c r="E132" s="5" t="s">
        <v>172</v>
      </c>
      <c r="F132" s="16" t="n">
        <v>9.6</v>
      </c>
      <c r="G132" s="12" t="str">
        <f aca="false">IF(VALUE(MID(D132,3,2))*10+VALUE(MID(E132,2,1))&lt;=242,"Pre",IF(VALUE(MID(D132,3,2))*10+VALUE(MID(E132,2,1))&lt;=254,"Post","Later"))</f>
        <v>Pre</v>
      </c>
      <c r="H132" s="5" t="s">
        <v>270</v>
      </c>
      <c r="I132" s="5" t="s">
        <v>260</v>
      </c>
    </row>
    <row r="133" customFormat="false" ht="15" hidden="false" customHeight="false" outlineLevel="0" collapsed="false">
      <c r="A133" s="5" t="s">
        <v>135</v>
      </c>
      <c r="B133" s="5" t="s">
        <v>99</v>
      </c>
      <c r="C133" s="5" t="s">
        <v>125</v>
      </c>
      <c r="D133" s="5" t="s">
        <v>176</v>
      </c>
      <c r="E133" s="5" t="s">
        <v>173</v>
      </c>
      <c r="F133" s="16" t="n">
        <v>9.5</v>
      </c>
      <c r="G133" s="12" t="str">
        <f aca="false">IF(VALUE(MID(D133,3,2))*10+VALUE(MID(E133,2,1))&lt;=242,"Pre",IF(VALUE(MID(D133,3,2))*10+VALUE(MID(E133,2,1))&lt;=254,"Post","Later"))</f>
        <v>Pre</v>
      </c>
      <c r="H133" s="5" t="s">
        <v>271</v>
      </c>
      <c r="I133" s="5" t="s">
        <v>260</v>
      </c>
    </row>
    <row r="134" customFormat="false" ht="15" hidden="false" customHeight="false" outlineLevel="0" collapsed="false">
      <c r="A134" s="5" t="s">
        <v>135</v>
      </c>
      <c r="B134" s="5" t="s">
        <v>99</v>
      </c>
      <c r="C134" s="5" t="s">
        <v>125</v>
      </c>
      <c r="D134" s="5" t="s">
        <v>177</v>
      </c>
      <c r="E134" s="5" t="s">
        <v>168</v>
      </c>
      <c r="F134" s="16" t="n">
        <v>9.6</v>
      </c>
      <c r="G134" s="12" t="str">
        <f aca="false">IF(VALUE(MID(D134,3,2))*10+VALUE(MID(E134,2,1))&lt;=242,"Pre",IF(VALUE(MID(D134,3,2))*10+VALUE(MID(E134,2,1))&lt;=254,"Post","Later"))</f>
        <v>Pre</v>
      </c>
      <c r="H134" s="5" t="s">
        <v>272</v>
      </c>
      <c r="I134" s="5" t="s">
        <v>260</v>
      </c>
    </row>
    <row r="135" customFormat="false" ht="15" hidden="false" customHeight="false" outlineLevel="0" collapsed="false">
      <c r="A135" s="5" t="s">
        <v>135</v>
      </c>
      <c r="B135" s="5" t="s">
        <v>99</v>
      </c>
      <c r="C135" s="5" t="s">
        <v>125</v>
      </c>
      <c r="D135" s="5" t="s">
        <v>177</v>
      </c>
      <c r="E135" s="5" t="s">
        <v>171</v>
      </c>
      <c r="F135" s="16" t="n">
        <v>9.8</v>
      </c>
      <c r="G135" s="12" t="str">
        <f aca="false">IF(VALUE(MID(D135,3,2))*10+VALUE(MID(E135,2,1))&lt;=242,"Pre",IF(VALUE(MID(D135,3,2))*10+VALUE(MID(E135,2,1))&lt;=254,"Post","Later"))</f>
        <v>Pre</v>
      </c>
      <c r="H135" s="5" t="s">
        <v>273</v>
      </c>
      <c r="I135" s="5" t="s">
        <v>260</v>
      </c>
    </row>
    <row r="136" customFormat="false" ht="15" hidden="false" customHeight="false" outlineLevel="0" collapsed="false">
      <c r="A136" s="5" t="s">
        <v>135</v>
      </c>
      <c r="B136" s="5" t="s">
        <v>99</v>
      </c>
      <c r="C136" s="5" t="s">
        <v>125</v>
      </c>
      <c r="D136" s="5" t="s">
        <v>177</v>
      </c>
      <c r="E136" s="5" t="s">
        <v>172</v>
      </c>
      <c r="F136" s="16" t="n">
        <v>9.8</v>
      </c>
      <c r="G136" s="12" t="str">
        <f aca="false">IF(VALUE(MID(D136,3,2))*10+VALUE(MID(E136,2,1))&lt;=242,"Pre",IF(VALUE(MID(D136,3,2))*10+VALUE(MID(E136,2,1))&lt;=254,"Post","Later"))</f>
        <v>Post</v>
      </c>
      <c r="H136" s="5" t="s">
        <v>274</v>
      </c>
      <c r="I136" s="5" t="s">
        <v>260</v>
      </c>
    </row>
    <row r="137" customFormat="false" ht="15" hidden="false" customHeight="false" outlineLevel="0" collapsed="false">
      <c r="A137" s="5" t="s">
        <v>135</v>
      </c>
      <c r="B137" s="5" t="s">
        <v>99</v>
      </c>
      <c r="C137" s="5" t="s">
        <v>125</v>
      </c>
      <c r="D137" s="5" t="s">
        <v>177</v>
      </c>
      <c r="E137" s="5" t="s">
        <v>173</v>
      </c>
      <c r="F137" s="16" t="n">
        <v>9.8</v>
      </c>
      <c r="G137" s="12" t="str">
        <f aca="false">IF(VALUE(MID(D137,3,2))*10+VALUE(MID(E137,2,1))&lt;=242,"Pre",IF(VALUE(MID(D137,3,2))*10+VALUE(MID(E137,2,1))&lt;=254,"Post","Later"))</f>
        <v>Post</v>
      </c>
      <c r="H137" s="5" t="s">
        <v>275</v>
      </c>
      <c r="I137" s="5" t="s">
        <v>260</v>
      </c>
    </row>
    <row r="138" customFormat="false" ht="15" hidden="false" customHeight="false" outlineLevel="0" collapsed="false">
      <c r="A138" s="5" t="s">
        <v>135</v>
      </c>
      <c r="B138" s="5" t="s">
        <v>99</v>
      </c>
      <c r="C138" s="5" t="s">
        <v>125</v>
      </c>
      <c r="D138" s="5" t="s">
        <v>179</v>
      </c>
      <c r="E138" s="5" t="s">
        <v>168</v>
      </c>
      <c r="F138" s="16" t="n">
        <v>9.8</v>
      </c>
      <c r="G138" s="12" t="str">
        <f aca="false">IF(VALUE(MID(D138,3,2))*10+VALUE(MID(E138,2,1))&lt;=242,"Pre",IF(VALUE(MID(D138,3,2))*10+VALUE(MID(E138,2,1))&lt;=254,"Post","Later"))</f>
        <v>Post</v>
      </c>
      <c r="H138" s="5" t="s">
        <v>276</v>
      </c>
      <c r="I138" s="5" t="s">
        <v>260</v>
      </c>
    </row>
    <row r="139" customFormat="false" ht="15" hidden="false" customHeight="false" outlineLevel="0" collapsed="false">
      <c r="A139" s="5" t="s">
        <v>135</v>
      </c>
      <c r="B139" s="5" t="s">
        <v>99</v>
      </c>
      <c r="C139" s="5" t="s">
        <v>125</v>
      </c>
      <c r="D139" s="5" t="s">
        <v>179</v>
      </c>
      <c r="E139" s="5" t="s">
        <v>171</v>
      </c>
      <c r="F139" s="16" t="n">
        <v>9.8</v>
      </c>
      <c r="G139" s="12" t="str">
        <f aca="false">IF(VALUE(MID(D139,3,2))*10+VALUE(MID(E139,2,1))&lt;=242,"Pre",IF(VALUE(MID(D139,3,2))*10+VALUE(MID(E139,2,1))&lt;=254,"Post","Later"))</f>
        <v>Post</v>
      </c>
      <c r="H139" s="5" t="s">
        <v>277</v>
      </c>
      <c r="I139" s="5" t="s">
        <v>260</v>
      </c>
    </row>
    <row r="140" customFormat="false" ht="15" hidden="false" customHeight="false" outlineLevel="0" collapsed="false">
      <c r="A140" s="5" t="s">
        <v>135</v>
      </c>
      <c r="B140" s="5" t="s">
        <v>99</v>
      </c>
      <c r="C140" s="5" t="s">
        <v>125</v>
      </c>
      <c r="D140" s="5" t="s">
        <v>179</v>
      </c>
      <c r="E140" s="5" t="s">
        <v>172</v>
      </c>
      <c r="F140" s="16" t="n">
        <v>9.8</v>
      </c>
      <c r="G140" s="12" t="str">
        <f aca="false">IF(VALUE(MID(D140,3,2))*10+VALUE(MID(E140,2,1))&lt;=242,"Pre",IF(VALUE(MID(D140,3,2))*10+VALUE(MID(E140,2,1))&lt;=254,"Post","Later"))</f>
        <v>Post</v>
      </c>
      <c r="H140" s="5" t="s">
        <v>278</v>
      </c>
      <c r="I140" s="5" t="s">
        <v>260</v>
      </c>
    </row>
    <row r="141" customFormat="false" ht="15" hidden="false" customHeight="false" outlineLevel="0" collapsed="false">
      <c r="A141" s="5" t="s">
        <v>135</v>
      </c>
      <c r="B141" s="5" t="s">
        <v>99</v>
      </c>
      <c r="C141" s="5" t="s">
        <v>125</v>
      </c>
      <c r="D141" s="5" t="s">
        <v>179</v>
      </c>
      <c r="E141" s="5" t="s">
        <v>173</v>
      </c>
      <c r="F141" s="16" t="n">
        <v>9.8</v>
      </c>
      <c r="G141" s="12" t="str">
        <f aca="false">IF(VALUE(MID(D141,3,2))*10+VALUE(MID(E141,2,1))&lt;=242,"Pre",IF(VALUE(MID(D141,3,2))*10+VALUE(MID(E141,2,1))&lt;=254,"Post","Later"))</f>
        <v>Post</v>
      </c>
      <c r="H141" s="5" t="s">
        <v>279</v>
      </c>
      <c r="I141" s="5" t="s">
        <v>260</v>
      </c>
    </row>
    <row r="142" customFormat="false" ht="15" hidden="false" customHeight="false" outlineLevel="0" collapsed="false">
      <c r="A142" s="5" t="s">
        <v>135</v>
      </c>
      <c r="B142" s="5" t="s">
        <v>99</v>
      </c>
      <c r="C142" s="5" t="s">
        <v>125</v>
      </c>
      <c r="D142" s="5" t="s">
        <v>180</v>
      </c>
      <c r="E142" s="5" t="s">
        <v>168</v>
      </c>
      <c r="F142" s="16" t="n">
        <v>9.7</v>
      </c>
      <c r="G142" s="12" t="str">
        <f aca="false">IF(VALUE(MID(D142,3,2))*10+VALUE(MID(E142,2,1))&lt;=242,"Pre",IF(VALUE(MID(D142,3,2))*10+VALUE(MID(E142,2,1))&lt;=254,"Post","Later"))</f>
        <v>Later</v>
      </c>
      <c r="H142" s="5" t="s">
        <v>280</v>
      </c>
      <c r="I142" s="5" t="s">
        <v>260</v>
      </c>
    </row>
    <row r="143" customFormat="false" ht="15" hidden="false" customHeight="false" outlineLevel="0" collapsed="false">
      <c r="A143" s="5" t="s">
        <v>135</v>
      </c>
      <c r="B143" s="5" t="s">
        <v>99</v>
      </c>
      <c r="C143" s="5" t="s">
        <v>125</v>
      </c>
      <c r="D143" s="5" t="s">
        <v>180</v>
      </c>
      <c r="E143" s="5" t="s">
        <v>171</v>
      </c>
      <c r="F143" s="16" t="n">
        <v>9.6</v>
      </c>
      <c r="G143" s="12" t="str">
        <f aca="false">IF(VALUE(MID(D143,3,2))*10+VALUE(MID(E143,2,1))&lt;=242,"Pre",IF(VALUE(MID(D143,3,2))*10+VALUE(MID(E143,2,1))&lt;=254,"Post","Later"))</f>
        <v>Later</v>
      </c>
      <c r="H143" s="5" t="s">
        <v>281</v>
      </c>
      <c r="I143" s="5" t="s">
        <v>260</v>
      </c>
    </row>
    <row r="144" customFormat="false" ht="15" hidden="false" customHeight="false" outlineLevel="0" collapsed="false">
      <c r="A144" s="5" t="s">
        <v>135</v>
      </c>
      <c r="B144" s="5" t="s">
        <v>99</v>
      </c>
      <c r="C144" s="5" t="s">
        <v>125</v>
      </c>
      <c r="D144" s="5" t="s">
        <v>180</v>
      </c>
      <c r="E144" s="5" t="s">
        <v>172</v>
      </c>
      <c r="F144" s="16" t="n">
        <v>9.4</v>
      </c>
      <c r="G144" s="12" t="str">
        <f aca="false">IF(VALUE(MID(D144,3,2))*10+VALUE(MID(E144,2,1))&lt;=242,"Pre",IF(VALUE(MID(D144,3,2))*10+VALUE(MID(E144,2,1))&lt;=254,"Post","Later"))</f>
        <v>Later</v>
      </c>
      <c r="H144" s="5" t="s">
        <v>282</v>
      </c>
      <c r="I144" s="5" t="s">
        <v>260</v>
      </c>
    </row>
    <row r="145" customFormat="false" ht="15" hidden="false" customHeight="false" outlineLevel="0" collapsed="false">
      <c r="A145" s="5" t="s">
        <v>135</v>
      </c>
      <c r="B145" s="5" t="s">
        <v>99</v>
      </c>
      <c r="C145" s="5" t="s">
        <v>125</v>
      </c>
      <c r="D145" s="5" t="s">
        <v>180</v>
      </c>
      <c r="E145" s="5" t="s">
        <v>173</v>
      </c>
      <c r="F145" s="16" t="n">
        <v>9.2</v>
      </c>
      <c r="G145" s="12" t="str">
        <f aca="false">IF(VALUE(MID(D145,3,2))*10+VALUE(MID(E145,2,1))&lt;=242,"Pre",IF(VALUE(MID(D145,3,2))*10+VALUE(MID(E145,2,1))&lt;=254,"Post","Later"))</f>
        <v>Later</v>
      </c>
      <c r="H145" s="5" t="s">
        <v>283</v>
      </c>
      <c r="I145" s="5" t="s">
        <v>260</v>
      </c>
    </row>
    <row r="146" customFormat="false" ht="15" hidden="false" customHeight="false" outlineLevel="0" collapsed="false">
      <c r="A146" s="5" t="s">
        <v>137</v>
      </c>
      <c r="B146" s="5" t="s">
        <v>92</v>
      </c>
      <c r="C146" s="5" t="s">
        <v>120</v>
      </c>
      <c r="D146" s="5" t="s">
        <v>167</v>
      </c>
      <c r="E146" s="5" t="s">
        <v>168</v>
      </c>
      <c r="F146" s="16" t="n">
        <v>8.5</v>
      </c>
      <c r="G146" s="12" t="str">
        <f aca="false">IF(VALUE(MID(D146,3,2))*10+VALUE(MID(E146,2,1))&lt;=242,"Pre",IF(VALUE(MID(D146,3,2))*10+VALUE(MID(E146,2,1))&lt;=254,"Post","Later"))</f>
        <v>Pre</v>
      </c>
      <c r="H146" s="5" t="s">
        <v>284</v>
      </c>
      <c r="I146" s="5" t="s">
        <v>285</v>
      </c>
    </row>
    <row r="147" customFormat="false" ht="15" hidden="false" customHeight="false" outlineLevel="0" collapsed="false">
      <c r="A147" s="5" t="s">
        <v>137</v>
      </c>
      <c r="B147" s="5" t="s">
        <v>92</v>
      </c>
      <c r="C147" s="5" t="s">
        <v>120</v>
      </c>
      <c r="D147" s="5" t="s">
        <v>167</v>
      </c>
      <c r="E147" s="5" t="s">
        <v>171</v>
      </c>
      <c r="F147" s="16" t="n">
        <v>8.3</v>
      </c>
      <c r="G147" s="12" t="str">
        <f aca="false">IF(VALUE(MID(D147,3,2))*10+VALUE(MID(E147,2,1))&lt;=242,"Pre",IF(VALUE(MID(D147,3,2))*10+VALUE(MID(E147,2,1))&lt;=254,"Post","Later"))</f>
        <v>Pre</v>
      </c>
      <c r="H147" s="5" t="s">
        <v>284</v>
      </c>
      <c r="I147" s="5" t="s">
        <v>285</v>
      </c>
    </row>
    <row r="148" customFormat="false" ht="15" hidden="false" customHeight="false" outlineLevel="0" collapsed="false">
      <c r="A148" s="5" t="s">
        <v>137</v>
      </c>
      <c r="B148" s="5" t="s">
        <v>92</v>
      </c>
      <c r="C148" s="5" t="s">
        <v>120</v>
      </c>
      <c r="D148" s="5" t="s">
        <v>167</v>
      </c>
      <c r="E148" s="5" t="s">
        <v>172</v>
      </c>
      <c r="F148" s="16" t="n">
        <v>8</v>
      </c>
      <c r="G148" s="12" t="str">
        <f aca="false">IF(VALUE(MID(D148,3,2))*10+VALUE(MID(E148,2,1))&lt;=242,"Pre",IF(VALUE(MID(D148,3,2))*10+VALUE(MID(E148,2,1))&lt;=254,"Post","Later"))</f>
        <v>Pre</v>
      </c>
      <c r="H148" s="5" t="s">
        <v>284</v>
      </c>
      <c r="I148" s="5" t="s">
        <v>285</v>
      </c>
    </row>
    <row r="149" customFormat="false" ht="15" hidden="false" customHeight="false" outlineLevel="0" collapsed="false">
      <c r="A149" s="5" t="s">
        <v>137</v>
      </c>
      <c r="B149" s="5" t="s">
        <v>92</v>
      </c>
      <c r="C149" s="5" t="s">
        <v>120</v>
      </c>
      <c r="D149" s="5" t="s">
        <v>167</v>
      </c>
      <c r="E149" s="5" t="s">
        <v>173</v>
      </c>
      <c r="F149" s="16" t="n">
        <v>7.4</v>
      </c>
      <c r="G149" s="12" t="str">
        <f aca="false">IF(VALUE(MID(D149,3,2))*10+VALUE(MID(E149,2,1))&lt;=242,"Pre",IF(VALUE(MID(D149,3,2))*10+VALUE(MID(E149,2,1))&lt;=254,"Post","Later"))</f>
        <v>Pre</v>
      </c>
      <c r="H149" s="5" t="s">
        <v>284</v>
      </c>
      <c r="I149" s="5" t="s">
        <v>285</v>
      </c>
    </row>
    <row r="150" customFormat="false" ht="15" hidden="false" customHeight="false" outlineLevel="0" collapsed="false">
      <c r="A150" s="5" t="s">
        <v>137</v>
      </c>
      <c r="B150" s="5" t="s">
        <v>92</v>
      </c>
      <c r="C150" s="5" t="s">
        <v>120</v>
      </c>
      <c r="D150" s="5" t="s">
        <v>174</v>
      </c>
      <c r="E150" s="5" t="s">
        <v>168</v>
      </c>
      <c r="F150" s="16" t="n">
        <v>7.2</v>
      </c>
      <c r="G150" s="12" t="str">
        <f aca="false">IF(VALUE(MID(D150,3,2))*10+VALUE(MID(E150,2,1))&lt;=242,"Pre",IF(VALUE(MID(D150,3,2))*10+VALUE(MID(E150,2,1))&lt;=254,"Post","Later"))</f>
        <v>Pre</v>
      </c>
      <c r="H150" s="5" t="s">
        <v>284</v>
      </c>
      <c r="I150" s="5" t="s">
        <v>285</v>
      </c>
    </row>
    <row r="151" customFormat="false" ht="15" hidden="false" customHeight="false" outlineLevel="0" collapsed="false">
      <c r="A151" s="5" t="s">
        <v>137</v>
      </c>
      <c r="B151" s="5" t="s">
        <v>92</v>
      </c>
      <c r="C151" s="5" t="s">
        <v>120</v>
      </c>
      <c r="D151" s="5" t="s">
        <v>174</v>
      </c>
      <c r="E151" s="5" t="s">
        <v>171</v>
      </c>
      <c r="F151" s="16" t="n">
        <v>7.1</v>
      </c>
      <c r="G151" s="12" t="str">
        <f aca="false">IF(VALUE(MID(D151,3,2))*10+VALUE(MID(E151,2,1))&lt;=242,"Pre",IF(VALUE(MID(D151,3,2))*10+VALUE(MID(E151,2,1))&lt;=254,"Post","Later"))</f>
        <v>Pre</v>
      </c>
      <c r="H151" s="5" t="s">
        <v>286</v>
      </c>
      <c r="I151" s="5" t="s">
        <v>285</v>
      </c>
    </row>
    <row r="152" customFormat="false" ht="15" hidden="false" customHeight="false" outlineLevel="0" collapsed="false">
      <c r="A152" s="5" t="s">
        <v>137</v>
      </c>
      <c r="B152" s="5" t="s">
        <v>92</v>
      </c>
      <c r="C152" s="5" t="s">
        <v>120</v>
      </c>
      <c r="D152" s="5" t="s">
        <v>174</v>
      </c>
      <c r="E152" s="5" t="s">
        <v>172</v>
      </c>
      <c r="F152" s="16" t="n">
        <v>7.2</v>
      </c>
      <c r="G152" s="12" t="str">
        <f aca="false">IF(VALUE(MID(D152,3,2))*10+VALUE(MID(E152,2,1))&lt;=242,"Pre",IF(VALUE(MID(D152,3,2))*10+VALUE(MID(E152,2,1))&lt;=254,"Post","Later"))</f>
        <v>Pre</v>
      </c>
      <c r="H152" s="5" t="s">
        <v>286</v>
      </c>
      <c r="I152" s="5" t="s">
        <v>285</v>
      </c>
    </row>
    <row r="153" customFormat="false" ht="15" hidden="false" customHeight="false" outlineLevel="0" collapsed="false">
      <c r="A153" s="5" t="s">
        <v>137</v>
      </c>
      <c r="B153" s="5" t="s">
        <v>92</v>
      </c>
      <c r="C153" s="5" t="s">
        <v>120</v>
      </c>
      <c r="D153" s="5" t="s">
        <v>174</v>
      </c>
      <c r="E153" s="5" t="s">
        <v>173</v>
      </c>
      <c r="F153" s="16" t="n">
        <v>7.2</v>
      </c>
      <c r="G153" s="12" t="str">
        <f aca="false">IF(VALUE(MID(D153,3,2))*10+VALUE(MID(E153,2,1))&lt;=242,"Pre",IF(VALUE(MID(D153,3,2))*10+VALUE(MID(E153,2,1))&lt;=254,"Post","Later"))</f>
        <v>Pre</v>
      </c>
      <c r="H153" s="5" t="s">
        <v>286</v>
      </c>
      <c r="I153" s="5" t="s">
        <v>285</v>
      </c>
    </row>
    <row r="154" customFormat="false" ht="15" hidden="false" customHeight="false" outlineLevel="0" collapsed="false">
      <c r="A154" s="5" t="s">
        <v>137</v>
      </c>
      <c r="B154" s="5" t="s">
        <v>92</v>
      </c>
      <c r="C154" s="5" t="s">
        <v>120</v>
      </c>
      <c r="D154" s="5" t="s">
        <v>176</v>
      </c>
      <c r="E154" s="5" t="s">
        <v>168</v>
      </c>
      <c r="F154" s="16" t="n">
        <v>6.9</v>
      </c>
      <c r="G154" s="12" t="str">
        <f aca="false">IF(VALUE(MID(D154,3,2))*10+VALUE(MID(E154,2,1))&lt;=242,"Pre",IF(VALUE(MID(D154,3,2))*10+VALUE(MID(E154,2,1))&lt;=254,"Post","Later"))</f>
        <v>Pre</v>
      </c>
      <c r="H154" s="5" t="s">
        <v>286</v>
      </c>
      <c r="I154" s="5" t="s">
        <v>285</v>
      </c>
    </row>
    <row r="155" customFormat="false" ht="15" hidden="false" customHeight="false" outlineLevel="0" collapsed="false">
      <c r="A155" s="5" t="s">
        <v>137</v>
      </c>
      <c r="B155" s="5" t="s">
        <v>92</v>
      </c>
      <c r="C155" s="5" t="s">
        <v>120</v>
      </c>
      <c r="D155" s="5" t="s">
        <v>176</v>
      </c>
      <c r="E155" s="5" t="s">
        <v>171</v>
      </c>
      <c r="F155" s="16" t="n">
        <v>7.1</v>
      </c>
      <c r="G155" s="12" t="str">
        <f aca="false">IF(VALUE(MID(D155,3,2))*10+VALUE(MID(E155,2,1))&lt;=242,"Pre",IF(VALUE(MID(D155,3,2))*10+VALUE(MID(E155,2,1))&lt;=254,"Post","Later"))</f>
        <v>Pre</v>
      </c>
      <c r="H155" s="5" t="s">
        <v>286</v>
      </c>
      <c r="I155" s="5" t="s">
        <v>285</v>
      </c>
    </row>
    <row r="156" customFormat="false" ht="15" hidden="false" customHeight="false" outlineLevel="0" collapsed="false">
      <c r="A156" s="5" t="s">
        <v>137</v>
      </c>
      <c r="B156" s="5" t="s">
        <v>92</v>
      </c>
      <c r="C156" s="5" t="s">
        <v>120</v>
      </c>
      <c r="D156" s="5" t="s">
        <v>176</v>
      </c>
      <c r="E156" s="5" t="s">
        <v>172</v>
      </c>
      <c r="F156" s="16" t="n">
        <v>7.4</v>
      </c>
      <c r="G156" s="12" t="str">
        <f aca="false">IF(VALUE(MID(D156,3,2))*10+VALUE(MID(E156,2,1))&lt;=242,"Pre",IF(VALUE(MID(D156,3,2))*10+VALUE(MID(E156,2,1))&lt;=254,"Post","Later"))</f>
        <v>Pre</v>
      </c>
      <c r="H156" s="5" t="s">
        <v>286</v>
      </c>
      <c r="I156" s="5" t="s">
        <v>285</v>
      </c>
    </row>
    <row r="157" customFormat="false" ht="15" hidden="false" customHeight="false" outlineLevel="0" collapsed="false">
      <c r="A157" s="5" t="s">
        <v>137</v>
      </c>
      <c r="B157" s="5" t="s">
        <v>92</v>
      </c>
      <c r="C157" s="5" t="s">
        <v>120</v>
      </c>
      <c r="D157" s="5" t="s">
        <v>176</v>
      </c>
      <c r="E157" s="5" t="s">
        <v>173</v>
      </c>
      <c r="F157" s="16" t="n">
        <v>7.9</v>
      </c>
      <c r="G157" s="12" t="str">
        <f aca="false">IF(VALUE(MID(D157,3,2))*10+VALUE(MID(E157,2,1))&lt;=242,"Pre",IF(VALUE(MID(D157,3,2))*10+VALUE(MID(E157,2,1))&lt;=254,"Post","Later"))</f>
        <v>Pre</v>
      </c>
      <c r="H157" s="5" t="s">
        <v>286</v>
      </c>
      <c r="I157" s="5" t="s">
        <v>285</v>
      </c>
    </row>
    <row r="158" customFormat="false" ht="15" hidden="false" customHeight="false" outlineLevel="0" collapsed="false">
      <c r="A158" s="5" t="s">
        <v>137</v>
      </c>
      <c r="B158" s="5" t="s">
        <v>92</v>
      </c>
      <c r="C158" s="5" t="s">
        <v>120</v>
      </c>
      <c r="D158" s="5" t="s">
        <v>177</v>
      </c>
      <c r="E158" s="5" t="s">
        <v>168</v>
      </c>
      <c r="F158" s="16" t="n">
        <v>8</v>
      </c>
      <c r="G158" s="12" t="str">
        <f aca="false">IF(VALUE(MID(D158,3,2))*10+VALUE(MID(E158,2,1))&lt;=242,"Pre",IF(VALUE(MID(D158,3,2))*10+VALUE(MID(E158,2,1))&lt;=254,"Post","Later"))</f>
        <v>Pre</v>
      </c>
      <c r="H158" s="5" t="s">
        <v>286</v>
      </c>
      <c r="I158" s="5" t="s">
        <v>285</v>
      </c>
    </row>
    <row r="159" customFormat="false" ht="15" hidden="false" customHeight="false" outlineLevel="0" collapsed="false">
      <c r="A159" s="5" t="s">
        <v>137</v>
      </c>
      <c r="B159" s="5" t="s">
        <v>92</v>
      </c>
      <c r="C159" s="5" t="s">
        <v>120</v>
      </c>
      <c r="D159" s="5" t="s">
        <v>177</v>
      </c>
      <c r="E159" s="5" t="s">
        <v>171</v>
      </c>
      <c r="F159" s="16" t="n">
        <v>8.1</v>
      </c>
      <c r="G159" s="12" t="str">
        <f aca="false">IF(VALUE(MID(D159,3,2))*10+VALUE(MID(E159,2,1))&lt;=242,"Pre",IF(VALUE(MID(D159,3,2))*10+VALUE(MID(E159,2,1))&lt;=254,"Post","Later"))</f>
        <v>Pre</v>
      </c>
      <c r="H159" s="5" t="s">
        <v>286</v>
      </c>
      <c r="I159" s="5" t="s">
        <v>285</v>
      </c>
    </row>
    <row r="160" customFormat="false" ht="15" hidden="false" customHeight="false" outlineLevel="0" collapsed="false">
      <c r="A160" s="5" t="s">
        <v>137</v>
      </c>
      <c r="B160" s="5" t="s">
        <v>92</v>
      </c>
      <c r="C160" s="5" t="s">
        <v>120</v>
      </c>
      <c r="D160" s="5" t="s">
        <v>177</v>
      </c>
      <c r="E160" s="5" t="s">
        <v>172</v>
      </c>
      <c r="F160" s="16" t="n">
        <v>8.2</v>
      </c>
      <c r="G160" s="12" t="str">
        <f aca="false">IF(VALUE(MID(D160,3,2))*10+VALUE(MID(E160,2,1))&lt;=242,"Pre",IF(VALUE(MID(D160,3,2))*10+VALUE(MID(E160,2,1))&lt;=254,"Post","Later"))</f>
        <v>Post</v>
      </c>
      <c r="H160" s="5" t="s">
        <v>287</v>
      </c>
      <c r="I160" s="5" t="s">
        <v>285</v>
      </c>
    </row>
    <row r="161" customFormat="false" ht="15" hidden="false" customHeight="false" outlineLevel="0" collapsed="false">
      <c r="A161" s="5" t="s">
        <v>137</v>
      </c>
      <c r="B161" s="5" t="s">
        <v>92</v>
      </c>
      <c r="C161" s="5" t="s">
        <v>120</v>
      </c>
      <c r="D161" s="5" t="s">
        <v>177</v>
      </c>
      <c r="E161" s="5" t="s">
        <v>173</v>
      </c>
      <c r="F161" s="16" t="n">
        <v>8.3</v>
      </c>
      <c r="G161" s="12" t="str">
        <f aca="false">IF(VALUE(MID(D161,3,2))*10+VALUE(MID(E161,2,1))&lt;=242,"Pre",IF(VALUE(MID(D161,3,2))*10+VALUE(MID(E161,2,1))&lt;=254,"Post","Later"))</f>
        <v>Post</v>
      </c>
      <c r="H161" s="5" t="s">
        <v>287</v>
      </c>
      <c r="I161" s="5" t="s">
        <v>285</v>
      </c>
    </row>
    <row r="162" customFormat="false" ht="15" hidden="false" customHeight="false" outlineLevel="0" collapsed="false">
      <c r="A162" s="5" t="s">
        <v>137</v>
      </c>
      <c r="B162" s="5" t="s">
        <v>92</v>
      </c>
      <c r="C162" s="5" t="s">
        <v>120</v>
      </c>
      <c r="D162" s="5" t="s">
        <v>179</v>
      </c>
      <c r="E162" s="5" t="s">
        <v>168</v>
      </c>
      <c r="F162" s="16" t="n">
        <v>8.3</v>
      </c>
      <c r="G162" s="12" t="str">
        <f aca="false">IF(VALUE(MID(D162,3,2))*10+VALUE(MID(E162,2,1))&lt;=242,"Pre",IF(VALUE(MID(D162,3,2))*10+VALUE(MID(E162,2,1))&lt;=254,"Post","Later"))</f>
        <v>Post</v>
      </c>
      <c r="H162" s="5" t="s">
        <v>287</v>
      </c>
      <c r="I162" s="5" t="s">
        <v>285</v>
      </c>
    </row>
    <row r="163" customFormat="false" ht="15" hidden="false" customHeight="false" outlineLevel="0" collapsed="false">
      <c r="A163" s="5" t="s">
        <v>137</v>
      </c>
      <c r="B163" s="5" t="s">
        <v>92</v>
      </c>
      <c r="C163" s="5" t="s">
        <v>120</v>
      </c>
      <c r="D163" s="5" t="s">
        <v>179</v>
      </c>
      <c r="E163" s="5" t="s">
        <v>171</v>
      </c>
      <c r="F163" s="16" t="n">
        <v>8.4</v>
      </c>
      <c r="G163" s="12" t="str">
        <f aca="false">IF(VALUE(MID(D163,3,2))*10+VALUE(MID(E163,2,1))&lt;=242,"Pre",IF(VALUE(MID(D163,3,2))*10+VALUE(MID(E163,2,1))&lt;=254,"Post","Later"))</f>
        <v>Post</v>
      </c>
      <c r="H163" s="5" t="s">
        <v>287</v>
      </c>
      <c r="I163" s="5" t="s">
        <v>285</v>
      </c>
    </row>
    <row r="164" customFormat="false" ht="15" hidden="false" customHeight="false" outlineLevel="0" collapsed="false">
      <c r="A164" s="5" t="s">
        <v>137</v>
      </c>
      <c r="B164" s="5" t="s">
        <v>92</v>
      </c>
      <c r="C164" s="5" t="s">
        <v>120</v>
      </c>
      <c r="D164" s="5" t="s">
        <v>179</v>
      </c>
      <c r="E164" s="5" t="s">
        <v>172</v>
      </c>
      <c r="F164" s="16" t="n">
        <v>8.4</v>
      </c>
      <c r="G164" s="12" t="str">
        <f aca="false">IF(VALUE(MID(D164,3,2))*10+VALUE(MID(E164,2,1))&lt;=242,"Pre",IF(VALUE(MID(D164,3,2))*10+VALUE(MID(E164,2,1))&lt;=254,"Post","Later"))</f>
        <v>Post</v>
      </c>
      <c r="H164" s="5" t="s">
        <v>287</v>
      </c>
      <c r="I164" s="5" t="s">
        <v>285</v>
      </c>
    </row>
    <row r="165" customFormat="false" ht="15" hidden="false" customHeight="false" outlineLevel="0" collapsed="false">
      <c r="A165" s="5" t="s">
        <v>137</v>
      </c>
      <c r="B165" s="5" t="s">
        <v>92</v>
      </c>
      <c r="C165" s="5" t="s">
        <v>120</v>
      </c>
      <c r="D165" s="5" t="s">
        <v>179</v>
      </c>
      <c r="E165" s="5" t="s">
        <v>173</v>
      </c>
      <c r="F165" s="16" t="n">
        <v>8.4</v>
      </c>
      <c r="G165" s="12" t="str">
        <f aca="false">IF(VALUE(MID(D165,3,2))*10+VALUE(MID(E165,2,1))&lt;=242,"Pre",IF(VALUE(MID(D165,3,2))*10+VALUE(MID(E165,2,1))&lt;=254,"Post","Later"))</f>
        <v>Post</v>
      </c>
      <c r="H165" s="5" t="s">
        <v>287</v>
      </c>
      <c r="I165" s="5" t="s">
        <v>285</v>
      </c>
    </row>
    <row r="166" customFormat="false" ht="15" hidden="false" customHeight="false" outlineLevel="0" collapsed="false">
      <c r="A166" s="5" t="s">
        <v>137</v>
      </c>
      <c r="B166" s="5" t="s">
        <v>92</v>
      </c>
      <c r="C166" s="5" t="s">
        <v>120</v>
      </c>
      <c r="D166" s="5" t="s">
        <v>180</v>
      </c>
      <c r="E166" s="5" t="s">
        <v>168</v>
      </c>
      <c r="F166" s="16" t="n">
        <v>8.4</v>
      </c>
      <c r="G166" s="12" t="str">
        <f aca="false">IF(VALUE(MID(D166,3,2))*10+VALUE(MID(E166,2,1))&lt;=242,"Pre",IF(VALUE(MID(D166,3,2))*10+VALUE(MID(E166,2,1))&lt;=254,"Post","Later"))</f>
        <v>Later</v>
      </c>
      <c r="H166" s="5" t="s">
        <v>288</v>
      </c>
      <c r="I166" s="5" t="s">
        <v>285</v>
      </c>
    </row>
    <row r="167" customFormat="false" ht="15" hidden="false" customHeight="false" outlineLevel="0" collapsed="false">
      <c r="A167" s="5" t="s">
        <v>137</v>
      </c>
      <c r="B167" s="5" t="s">
        <v>92</v>
      </c>
      <c r="C167" s="5" t="s">
        <v>120</v>
      </c>
      <c r="D167" s="5" t="s">
        <v>180</v>
      </c>
      <c r="E167" s="5" t="s">
        <v>171</v>
      </c>
      <c r="F167" s="16" t="n">
        <v>8.1</v>
      </c>
      <c r="G167" s="12" t="str">
        <f aca="false">IF(VALUE(MID(D167,3,2))*10+VALUE(MID(E167,2,1))&lt;=242,"Pre",IF(VALUE(MID(D167,3,2))*10+VALUE(MID(E167,2,1))&lt;=254,"Post","Later"))</f>
        <v>Later</v>
      </c>
      <c r="H167" s="5" t="s">
        <v>288</v>
      </c>
      <c r="I167" s="5" t="s">
        <v>285</v>
      </c>
    </row>
    <row r="168" customFormat="false" ht="15" hidden="false" customHeight="false" outlineLevel="0" collapsed="false">
      <c r="A168" s="5" t="s">
        <v>137</v>
      </c>
      <c r="B168" s="5" t="s">
        <v>92</v>
      </c>
      <c r="C168" s="5" t="s">
        <v>120</v>
      </c>
      <c r="D168" s="5" t="s">
        <v>180</v>
      </c>
      <c r="E168" s="5" t="s">
        <v>172</v>
      </c>
      <c r="F168" s="16" t="n">
        <v>8.1</v>
      </c>
      <c r="G168" s="12" t="str">
        <f aca="false">IF(VALUE(MID(D168,3,2))*10+VALUE(MID(E168,2,1))&lt;=242,"Pre",IF(VALUE(MID(D168,3,2))*10+VALUE(MID(E168,2,1))&lt;=254,"Post","Later"))</f>
        <v>Later</v>
      </c>
      <c r="H168" s="5" t="s">
        <v>288</v>
      </c>
      <c r="I168" s="5" t="s">
        <v>285</v>
      </c>
    </row>
    <row r="169" customFormat="false" ht="15" hidden="false" customHeight="false" outlineLevel="0" collapsed="false">
      <c r="A169" s="5" t="s">
        <v>137</v>
      </c>
      <c r="B169" s="5" t="s">
        <v>92</v>
      </c>
      <c r="C169" s="5" t="s">
        <v>120</v>
      </c>
      <c r="D169" s="5" t="s">
        <v>180</v>
      </c>
      <c r="E169" s="5" t="s">
        <v>173</v>
      </c>
      <c r="F169" s="16" t="n">
        <v>7.9</v>
      </c>
      <c r="G169" s="12" t="str">
        <f aca="false">IF(VALUE(MID(D169,3,2))*10+VALUE(MID(E169,2,1))&lt;=242,"Pre",IF(VALUE(MID(D169,3,2))*10+VALUE(MID(E169,2,1))&lt;=254,"Post","Later"))</f>
        <v>Later</v>
      </c>
      <c r="H169" s="5" t="s">
        <v>288</v>
      </c>
      <c r="I169" s="5" t="s">
        <v>285</v>
      </c>
    </row>
    <row r="170" customFormat="false" ht="15" hidden="false" customHeight="false" outlineLevel="0" collapsed="false">
      <c r="A170" s="5" t="s">
        <v>139</v>
      </c>
      <c r="B170" s="5" t="s">
        <v>100</v>
      </c>
      <c r="C170" s="5" t="s">
        <v>125</v>
      </c>
      <c r="D170" s="5" t="s">
        <v>167</v>
      </c>
      <c r="E170" s="5" t="s">
        <v>168</v>
      </c>
      <c r="F170" s="16" t="n">
        <v>9.3</v>
      </c>
      <c r="G170" s="12" t="str">
        <f aca="false">IF(VALUE(MID(D170,3,2))*10+VALUE(MID(E170,2,1))&lt;=242,"Pre",IF(VALUE(MID(D170,3,2))*10+VALUE(MID(E170,2,1))&lt;=254,"Post","Later"))</f>
        <v>Pre</v>
      </c>
      <c r="H170" s="5" t="s">
        <v>289</v>
      </c>
      <c r="I170" s="5" t="s">
        <v>290</v>
      </c>
    </row>
    <row r="171" customFormat="false" ht="15" hidden="false" customHeight="false" outlineLevel="0" collapsed="false">
      <c r="A171" s="5" t="s">
        <v>139</v>
      </c>
      <c r="B171" s="5" t="s">
        <v>100</v>
      </c>
      <c r="C171" s="5" t="s">
        <v>125</v>
      </c>
      <c r="D171" s="5" t="s">
        <v>167</v>
      </c>
      <c r="E171" s="5" t="s">
        <v>171</v>
      </c>
      <c r="F171" s="16" t="n">
        <v>9.1</v>
      </c>
      <c r="G171" s="12" t="str">
        <f aca="false">IF(VALUE(MID(D171,3,2))*10+VALUE(MID(E171,2,1))&lt;=242,"Pre",IF(VALUE(MID(D171,3,2))*10+VALUE(MID(E171,2,1))&lt;=254,"Post","Later"))</f>
        <v>Pre</v>
      </c>
      <c r="H171" s="5" t="s">
        <v>289</v>
      </c>
      <c r="I171" s="5" t="s">
        <v>290</v>
      </c>
    </row>
    <row r="172" customFormat="false" ht="15" hidden="false" customHeight="false" outlineLevel="0" collapsed="false">
      <c r="A172" s="5" t="s">
        <v>139</v>
      </c>
      <c r="B172" s="5" t="s">
        <v>100</v>
      </c>
      <c r="C172" s="5" t="s">
        <v>125</v>
      </c>
      <c r="D172" s="5" t="s">
        <v>167</v>
      </c>
      <c r="E172" s="5" t="s">
        <v>172</v>
      </c>
      <c r="F172" s="16" t="n">
        <v>9</v>
      </c>
      <c r="G172" s="12" t="str">
        <f aca="false">IF(VALUE(MID(D172,3,2))*10+VALUE(MID(E172,2,1))&lt;=242,"Pre",IF(VALUE(MID(D172,3,2))*10+VALUE(MID(E172,2,1))&lt;=254,"Post","Later"))</f>
        <v>Pre</v>
      </c>
      <c r="H172" s="5" t="s">
        <v>289</v>
      </c>
      <c r="I172" s="5" t="s">
        <v>290</v>
      </c>
    </row>
    <row r="173" customFormat="false" ht="15" hidden="false" customHeight="false" outlineLevel="0" collapsed="false">
      <c r="A173" s="5" t="s">
        <v>139</v>
      </c>
      <c r="B173" s="5" t="s">
        <v>100</v>
      </c>
      <c r="C173" s="5" t="s">
        <v>125</v>
      </c>
      <c r="D173" s="5" t="s">
        <v>167</v>
      </c>
      <c r="E173" s="5" t="s">
        <v>173</v>
      </c>
      <c r="F173" s="16" t="n">
        <v>8.8</v>
      </c>
      <c r="G173" s="12" t="str">
        <f aca="false">IF(VALUE(MID(D173,3,2))*10+VALUE(MID(E173,2,1))&lt;=242,"Pre",IF(VALUE(MID(D173,3,2))*10+VALUE(MID(E173,2,1))&lt;=254,"Post","Later"))</f>
        <v>Pre</v>
      </c>
      <c r="H173" s="5" t="s">
        <v>289</v>
      </c>
      <c r="I173" s="5" t="s">
        <v>290</v>
      </c>
    </row>
    <row r="174" customFormat="false" ht="15" hidden="false" customHeight="false" outlineLevel="0" collapsed="false">
      <c r="A174" s="5" t="s">
        <v>139</v>
      </c>
      <c r="B174" s="5" t="s">
        <v>100</v>
      </c>
      <c r="C174" s="5" t="s">
        <v>125</v>
      </c>
      <c r="D174" s="5" t="s">
        <v>174</v>
      </c>
      <c r="E174" s="5" t="s">
        <v>168</v>
      </c>
      <c r="F174" s="16" t="n">
        <v>8.9</v>
      </c>
      <c r="G174" s="12" t="str">
        <f aca="false">IF(VALUE(MID(D174,3,2))*10+VALUE(MID(E174,2,1))&lt;=242,"Pre",IF(VALUE(MID(D174,3,2))*10+VALUE(MID(E174,2,1))&lt;=254,"Post","Later"))</f>
        <v>Pre</v>
      </c>
      <c r="H174" s="5" t="s">
        <v>289</v>
      </c>
      <c r="I174" s="5" t="s">
        <v>290</v>
      </c>
    </row>
    <row r="175" customFormat="false" ht="15" hidden="false" customHeight="false" outlineLevel="0" collapsed="false">
      <c r="A175" s="5" t="s">
        <v>139</v>
      </c>
      <c r="B175" s="5" t="s">
        <v>100</v>
      </c>
      <c r="C175" s="5" t="s">
        <v>125</v>
      </c>
      <c r="D175" s="5" t="s">
        <v>174</v>
      </c>
      <c r="E175" s="5" t="s">
        <v>171</v>
      </c>
      <c r="F175" s="16" t="n">
        <v>8.7</v>
      </c>
      <c r="G175" s="12" t="str">
        <f aca="false">IF(VALUE(MID(D175,3,2))*10+VALUE(MID(E175,2,1))&lt;=242,"Pre",IF(VALUE(MID(D175,3,2))*10+VALUE(MID(E175,2,1))&lt;=254,"Post","Later"))</f>
        <v>Pre</v>
      </c>
      <c r="H175" s="5" t="s">
        <v>289</v>
      </c>
      <c r="I175" s="5" t="s">
        <v>290</v>
      </c>
    </row>
    <row r="176" customFormat="false" ht="15" hidden="false" customHeight="false" outlineLevel="0" collapsed="false">
      <c r="A176" s="5" t="s">
        <v>139</v>
      </c>
      <c r="B176" s="5" t="s">
        <v>100</v>
      </c>
      <c r="C176" s="5" t="s">
        <v>125</v>
      </c>
      <c r="D176" s="5" t="s">
        <v>174</v>
      </c>
      <c r="E176" s="5" t="s">
        <v>172</v>
      </c>
      <c r="F176" s="16" t="n">
        <v>8.7</v>
      </c>
      <c r="G176" s="12" t="str">
        <f aca="false">IF(VALUE(MID(D176,3,2))*10+VALUE(MID(E176,2,1))&lt;=242,"Pre",IF(VALUE(MID(D176,3,2))*10+VALUE(MID(E176,2,1))&lt;=254,"Post","Later"))</f>
        <v>Pre</v>
      </c>
      <c r="H176" s="5" t="s">
        <v>289</v>
      </c>
      <c r="I176" s="5" t="s">
        <v>290</v>
      </c>
    </row>
    <row r="177" customFormat="false" ht="15" hidden="false" customHeight="false" outlineLevel="0" collapsed="false">
      <c r="A177" s="5" t="s">
        <v>139</v>
      </c>
      <c r="B177" s="5" t="s">
        <v>100</v>
      </c>
      <c r="C177" s="5" t="s">
        <v>125</v>
      </c>
      <c r="D177" s="5" t="s">
        <v>174</v>
      </c>
      <c r="E177" s="5" t="s">
        <v>173</v>
      </c>
      <c r="F177" s="16" t="n">
        <v>8.6</v>
      </c>
      <c r="G177" s="12" t="str">
        <f aca="false">IF(VALUE(MID(D177,3,2))*10+VALUE(MID(E177,2,1))&lt;=242,"Pre",IF(VALUE(MID(D177,3,2))*10+VALUE(MID(E177,2,1))&lt;=254,"Post","Later"))</f>
        <v>Pre</v>
      </c>
      <c r="H177" s="5" t="s">
        <v>289</v>
      </c>
      <c r="I177" s="5" t="s">
        <v>290</v>
      </c>
    </row>
    <row r="178" customFormat="false" ht="15" hidden="false" customHeight="false" outlineLevel="0" collapsed="false">
      <c r="A178" s="5" t="s">
        <v>139</v>
      </c>
      <c r="B178" s="5" t="s">
        <v>100</v>
      </c>
      <c r="C178" s="5" t="s">
        <v>125</v>
      </c>
      <c r="D178" s="5" t="s">
        <v>176</v>
      </c>
      <c r="E178" s="5" t="s">
        <v>168</v>
      </c>
      <c r="F178" s="16" t="n">
        <v>8.65</v>
      </c>
      <c r="G178" s="12" t="str">
        <f aca="false">IF(VALUE(MID(D178,3,2))*10+VALUE(MID(E178,2,1))&lt;=242,"Pre",IF(VALUE(MID(D178,3,2))*10+VALUE(MID(E178,2,1))&lt;=254,"Post","Later"))</f>
        <v>Pre</v>
      </c>
      <c r="H178" s="5" t="s">
        <v>291</v>
      </c>
      <c r="I178" s="5" t="s">
        <v>290</v>
      </c>
    </row>
    <row r="179" customFormat="false" ht="15" hidden="false" customHeight="false" outlineLevel="0" collapsed="false">
      <c r="A179" s="5" t="s">
        <v>139</v>
      </c>
      <c r="B179" s="5" t="s">
        <v>100</v>
      </c>
      <c r="C179" s="5" t="s">
        <v>125</v>
      </c>
      <c r="D179" s="5" t="s">
        <v>176</v>
      </c>
      <c r="E179" s="5" t="s">
        <v>171</v>
      </c>
      <c r="F179" s="16" t="n">
        <v>8.63</v>
      </c>
      <c r="G179" s="12" t="str">
        <f aca="false">IF(VALUE(MID(D179,3,2))*10+VALUE(MID(E179,2,1))&lt;=242,"Pre",IF(VALUE(MID(D179,3,2))*10+VALUE(MID(E179,2,1))&lt;=254,"Post","Later"))</f>
        <v>Pre</v>
      </c>
      <c r="H179" s="5" t="s">
        <v>292</v>
      </c>
      <c r="I179" s="5" t="s">
        <v>290</v>
      </c>
    </row>
    <row r="180" customFormat="false" ht="15" hidden="false" customHeight="false" outlineLevel="0" collapsed="false">
      <c r="A180" s="5" t="s">
        <v>139</v>
      </c>
      <c r="B180" s="5" t="s">
        <v>100</v>
      </c>
      <c r="C180" s="5" t="s">
        <v>125</v>
      </c>
      <c r="D180" s="5" t="s">
        <v>176</v>
      </c>
      <c r="E180" s="5" t="s">
        <v>172</v>
      </c>
      <c r="F180" s="16" t="n">
        <v>8.79</v>
      </c>
      <c r="G180" s="12" t="str">
        <f aca="false">IF(VALUE(MID(D180,3,2))*10+VALUE(MID(E180,2,1))&lt;=242,"Pre",IF(VALUE(MID(D180,3,2))*10+VALUE(MID(E180,2,1))&lt;=254,"Post","Later"))</f>
        <v>Pre</v>
      </c>
      <c r="H180" s="5" t="s">
        <v>292</v>
      </c>
      <c r="I180" s="5" t="s">
        <v>290</v>
      </c>
    </row>
    <row r="181" customFormat="false" ht="15" hidden="false" customHeight="false" outlineLevel="0" collapsed="false">
      <c r="A181" s="5" t="s">
        <v>139</v>
      </c>
      <c r="B181" s="5" t="s">
        <v>100</v>
      </c>
      <c r="C181" s="5" t="s">
        <v>125</v>
      </c>
      <c r="D181" s="5" t="s">
        <v>176</v>
      </c>
      <c r="E181" s="5" t="s">
        <v>173</v>
      </c>
      <c r="F181" s="16" t="n">
        <v>8.93</v>
      </c>
      <c r="G181" s="12" t="str">
        <f aca="false">IF(VALUE(MID(D181,3,2))*10+VALUE(MID(E181,2,1))&lt;=242,"Pre",IF(VALUE(MID(D181,3,2))*10+VALUE(MID(E181,2,1))&lt;=254,"Post","Later"))</f>
        <v>Pre</v>
      </c>
      <c r="H181" s="5" t="s">
        <v>293</v>
      </c>
      <c r="I181" s="5" t="s">
        <v>290</v>
      </c>
    </row>
    <row r="182" customFormat="false" ht="15" hidden="false" customHeight="false" outlineLevel="0" collapsed="false">
      <c r="A182" s="5" t="s">
        <v>139</v>
      </c>
      <c r="B182" s="5" t="s">
        <v>100</v>
      </c>
      <c r="C182" s="5" t="s">
        <v>125</v>
      </c>
      <c r="D182" s="5" t="s">
        <v>177</v>
      </c>
      <c r="E182" s="5" t="s">
        <v>168</v>
      </c>
      <c r="F182" s="16" t="n">
        <v>9.09</v>
      </c>
      <c r="G182" s="12" t="str">
        <f aca="false">IF(VALUE(MID(D182,3,2))*10+VALUE(MID(E182,2,1))&lt;=242,"Pre",IF(VALUE(MID(D182,3,2))*10+VALUE(MID(E182,2,1))&lt;=254,"Post","Later"))</f>
        <v>Pre</v>
      </c>
      <c r="H182" s="5" t="s">
        <v>294</v>
      </c>
      <c r="I182" s="5" t="s">
        <v>290</v>
      </c>
    </row>
    <row r="183" customFormat="false" ht="15" hidden="false" customHeight="false" outlineLevel="0" collapsed="false">
      <c r="A183" s="5" t="s">
        <v>139</v>
      </c>
      <c r="B183" s="5" t="s">
        <v>100</v>
      </c>
      <c r="C183" s="5" t="s">
        <v>125</v>
      </c>
      <c r="D183" s="5" t="s">
        <v>177</v>
      </c>
      <c r="E183" s="5" t="s">
        <v>171</v>
      </c>
      <c r="F183" s="16" t="n">
        <v>9.03</v>
      </c>
      <c r="G183" s="12" t="str">
        <f aca="false">IF(VALUE(MID(D183,3,2))*10+VALUE(MID(E183,2,1))&lt;=242,"Pre",IF(VALUE(MID(D183,3,2))*10+VALUE(MID(E183,2,1))&lt;=254,"Post","Later"))</f>
        <v>Pre</v>
      </c>
      <c r="H183" s="5" t="s">
        <v>295</v>
      </c>
      <c r="I183" s="5" t="s">
        <v>290</v>
      </c>
    </row>
    <row r="184" customFormat="false" ht="15" hidden="false" customHeight="false" outlineLevel="0" collapsed="false">
      <c r="A184" s="5" t="s">
        <v>139</v>
      </c>
      <c r="B184" s="5" t="s">
        <v>100</v>
      </c>
      <c r="C184" s="5" t="s">
        <v>125</v>
      </c>
      <c r="D184" s="5" t="s">
        <v>177</v>
      </c>
      <c r="E184" s="5" t="s">
        <v>172</v>
      </c>
      <c r="F184" s="16" t="n">
        <v>9.07</v>
      </c>
      <c r="G184" s="12" t="str">
        <f aca="false">IF(VALUE(MID(D184,3,2))*10+VALUE(MID(E184,2,1))&lt;=242,"Pre",IF(VALUE(MID(D184,3,2))*10+VALUE(MID(E184,2,1))&lt;=254,"Post","Later"))</f>
        <v>Post</v>
      </c>
      <c r="H184" s="5" t="s">
        <v>296</v>
      </c>
      <c r="I184" s="5" t="s">
        <v>290</v>
      </c>
    </row>
    <row r="185" customFormat="false" ht="15" hidden="false" customHeight="false" outlineLevel="0" collapsed="false">
      <c r="A185" s="5" t="s">
        <v>139</v>
      </c>
      <c r="B185" s="5" t="s">
        <v>100</v>
      </c>
      <c r="C185" s="5" t="s">
        <v>125</v>
      </c>
      <c r="D185" s="5" t="s">
        <v>177</v>
      </c>
      <c r="E185" s="5" t="s">
        <v>173</v>
      </c>
      <c r="F185" s="16" t="n">
        <v>9.1</v>
      </c>
      <c r="G185" s="12" t="str">
        <f aca="false">IF(VALUE(MID(D185,3,2))*10+VALUE(MID(E185,2,1))&lt;=242,"Pre",IF(VALUE(MID(D185,3,2))*10+VALUE(MID(E185,2,1))&lt;=254,"Post","Later"))</f>
        <v>Post</v>
      </c>
      <c r="H185" s="5" t="s">
        <v>297</v>
      </c>
      <c r="I185" s="5" t="s">
        <v>290</v>
      </c>
    </row>
    <row r="186" customFormat="false" ht="15" hidden="false" customHeight="false" outlineLevel="0" collapsed="false">
      <c r="A186" s="5" t="s">
        <v>139</v>
      </c>
      <c r="B186" s="5" t="s">
        <v>100</v>
      </c>
      <c r="C186" s="5" t="s">
        <v>125</v>
      </c>
      <c r="D186" s="5" t="s">
        <v>179</v>
      </c>
      <c r="E186" s="5" t="s">
        <v>168</v>
      </c>
      <c r="F186" s="16" t="n">
        <v>9.1</v>
      </c>
      <c r="G186" s="12" t="str">
        <f aca="false">IF(VALUE(MID(D186,3,2))*10+VALUE(MID(E186,2,1))&lt;=242,"Pre",IF(VALUE(MID(D186,3,2))*10+VALUE(MID(E186,2,1))&lt;=254,"Post","Later"))</f>
        <v>Post</v>
      </c>
      <c r="H186" s="5" t="s">
        <v>297</v>
      </c>
      <c r="I186" s="5" t="s">
        <v>290</v>
      </c>
    </row>
    <row r="187" customFormat="false" ht="15" hidden="false" customHeight="false" outlineLevel="0" collapsed="false">
      <c r="A187" s="5" t="s">
        <v>139</v>
      </c>
      <c r="B187" s="5" t="s">
        <v>100</v>
      </c>
      <c r="C187" s="5" t="s">
        <v>125</v>
      </c>
      <c r="D187" s="5" t="s">
        <v>179</v>
      </c>
      <c r="E187" s="5" t="s">
        <v>171</v>
      </c>
      <c r="F187" s="16" t="n">
        <v>9.2</v>
      </c>
      <c r="G187" s="12" t="str">
        <f aca="false">IF(VALUE(MID(D187,3,2))*10+VALUE(MID(E187,2,1))&lt;=242,"Pre",IF(VALUE(MID(D187,3,2))*10+VALUE(MID(E187,2,1))&lt;=254,"Post","Later"))</f>
        <v>Post</v>
      </c>
      <c r="H187" s="5" t="s">
        <v>297</v>
      </c>
      <c r="I187" s="5" t="s">
        <v>290</v>
      </c>
    </row>
    <row r="188" customFormat="false" ht="15" hidden="false" customHeight="false" outlineLevel="0" collapsed="false">
      <c r="A188" s="5" t="s">
        <v>139</v>
      </c>
      <c r="B188" s="5" t="s">
        <v>100</v>
      </c>
      <c r="C188" s="5" t="s">
        <v>125</v>
      </c>
      <c r="D188" s="5" t="s">
        <v>179</v>
      </c>
      <c r="E188" s="5" t="s">
        <v>172</v>
      </c>
      <c r="F188" s="16" t="n">
        <v>9.2</v>
      </c>
      <c r="G188" s="12" t="str">
        <f aca="false">IF(VALUE(MID(D188,3,2))*10+VALUE(MID(E188,2,1))&lt;=242,"Pre",IF(VALUE(MID(D188,3,2))*10+VALUE(MID(E188,2,1))&lt;=254,"Post","Later"))</f>
        <v>Post</v>
      </c>
      <c r="H188" s="5" t="s">
        <v>298</v>
      </c>
      <c r="I188" s="5" t="s">
        <v>290</v>
      </c>
    </row>
    <row r="189" customFormat="false" ht="15" hidden="false" customHeight="false" outlineLevel="0" collapsed="false">
      <c r="A189" s="5" t="s">
        <v>139</v>
      </c>
      <c r="B189" s="5" t="s">
        <v>100</v>
      </c>
      <c r="C189" s="5" t="s">
        <v>125</v>
      </c>
      <c r="D189" s="5" t="s">
        <v>179</v>
      </c>
      <c r="E189" s="5" t="s">
        <v>173</v>
      </c>
      <c r="F189" s="16" t="n">
        <v>9.4</v>
      </c>
      <c r="G189" s="12" t="str">
        <f aca="false">IF(VALUE(MID(D189,3,2))*10+VALUE(MID(E189,2,1))&lt;=242,"Pre",IF(VALUE(MID(D189,3,2))*10+VALUE(MID(E189,2,1))&lt;=254,"Post","Later"))</f>
        <v>Post</v>
      </c>
      <c r="H189" s="5" t="s">
        <v>298</v>
      </c>
      <c r="I189" s="5" t="s">
        <v>290</v>
      </c>
    </row>
    <row r="190" customFormat="false" ht="15" hidden="false" customHeight="false" outlineLevel="0" collapsed="false">
      <c r="A190" s="5" t="s">
        <v>139</v>
      </c>
      <c r="B190" s="5" t="s">
        <v>100</v>
      </c>
      <c r="C190" s="5" t="s">
        <v>125</v>
      </c>
      <c r="D190" s="5" t="s">
        <v>180</v>
      </c>
      <c r="E190" s="5" t="s">
        <v>168</v>
      </c>
      <c r="F190" s="16" t="n">
        <v>9.5</v>
      </c>
      <c r="G190" s="12" t="str">
        <f aca="false">IF(VALUE(MID(D190,3,2))*10+VALUE(MID(E190,2,1))&lt;=242,"Pre",IF(VALUE(MID(D190,3,2))*10+VALUE(MID(E190,2,1))&lt;=254,"Post","Later"))</f>
        <v>Later</v>
      </c>
      <c r="H190" s="5" t="s">
        <v>298</v>
      </c>
      <c r="I190" s="5" t="s">
        <v>290</v>
      </c>
    </row>
    <row r="191" customFormat="false" ht="15" hidden="false" customHeight="false" outlineLevel="0" collapsed="false">
      <c r="A191" s="5" t="s">
        <v>139</v>
      </c>
      <c r="B191" s="5" t="s">
        <v>100</v>
      </c>
      <c r="C191" s="5" t="s">
        <v>125</v>
      </c>
      <c r="D191" s="5" t="s">
        <v>180</v>
      </c>
      <c r="E191" s="5" t="s">
        <v>171</v>
      </c>
      <c r="F191" s="16" t="n">
        <v>9.38</v>
      </c>
      <c r="G191" s="12" t="str">
        <f aca="false">IF(VALUE(MID(D191,3,2))*10+VALUE(MID(E191,2,1))&lt;=242,"Pre",IF(VALUE(MID(D191,3,2))*10+VALUE(MID(E191,2,1))&lt;=254,"Post","Later"))</f>
        <v>Later</v>
      </c>
      <c r="H191" s="5" t="s">
        <v>299</v>
      </c>
      <c r="I191" s="5" t="s">
        <v>290</v>
      </c>
    </row>
    <row r="192" customFormat="false" ht="15" hidden="false" customHeight="false" outlineLevel="0" collapsed="false">
      <c r="A192" s="5" t="s">
        <v>139</v>
      </c>
      <c r="B192" s="5" t="s">
        <v>100</v>
      </c>
      <c r="C192" s="5" t="s">
        <v>125</v>
      </c>
      <c r="D192" s="5" t="s">
        <v>180</v>
      </c>
      <c r="E192" s="5" t="s">
        <v>172</v>
      </c>
      <c r="F192" s="16" t="n">
        <v>9.28</v>
      </c>
      <c r="G192" s="12" t="str">
        <f aca="false">IF(VALUE(MID(D192,3,2))*10+VALUE(MID(E192,2,1))&lt;=242,"Pre",IF(VALUE(MID(D192,3,2))*10+VALUE(MID(E192,2,1))&lt;=254,"Post","Later"))</f>
        <v>Later</v>
      </c>
      <c r="H192" s="5" t="s">
        <v>299</v>
      </c>
      <c r="I192" s="5" t="s">
        <v>290</v>
      </c>
    </row>
    <row r="193" customFormat="false" ht="15" hidden="false" customHeight="false" outlineLevel="0" collapsed="false">
      <c r="A193" s="5" t="s">
        <v>141</v>
      </c>
      <c r="B193" s="5" t="s">
        <v>93</v>
      </c>
      <c r="C193" s="5" t="s">
        <v>120</v>
      </c>
      <c r="D193" s="5" t="s">
        <v>167</v>
      </c>
      <c r="E193" s="5" t="s">
        <v>168</v>
      </c>
      <c r="F193" s="16" t="n">
        <v>7.87</v>
      </c>
      <c r="G193" s="12" t="str">
        <f aca="false">IF(VALUE(MID(D193,3,2))*10+VALUE(MID(E193,2,1))&lt;=242,"Pre",IF(VALUE(MID(D193,3,2))*10+VALUE(MID(E193,2,1))&lt;=254,"Post","Later"))</f>
        <v>Pre</v>
      </c>
      <c r="H193" s="5" t="s">
        <v>300</v>
      </c>
      <c r="I193" s="5" t="s">
        <v>301</v>
      </c>
    </row>
    <row r="194" customFormat="false" ht="15" hidden="false" customHeight="false" outlineLevel="0" collapsed="false">
      <c r="A194" s="5" t="s">
        <v>141</v>
      </c>
      <c r="B194" s="5" t="s">
        <v>93</v>
      </c>
      <c r="C194" s="5" t="s">
        <v>120</v>
      </c>
      <c r="D194" s="5" t="s">
        <v>167</v>
      </c>
      <c r="E194" s="5" t="s">
        <v>171</v>
      </c>
      <c r="F194" s="16" t="n">
        <v>7.61</v>
      </c>
      <c r="G194" s="12" t="str">
        <f aca="false">IF(VALUE(MID(D194,3,2))*10+VALUE(MID(E194,2,1))&lt;=242,"Pre",IF(VALUE(MID(D194,3,2))*10+VALUE(MID(E194,2,1))&lt;=254,"Post","Later"))</f>
        <v>Pre</v>
      </c>
      <c r="H194" s="5" t="s">
        <v>302</v>
      </c>
      <c r="I194" s="5" t="s">
        <v>301</v>
      </c>
    </row>
    <row r="195" customFormat="false" ht="15" hidden="false" customHeight="false" outlineLevel="0" collapsed="false">
      <c r="A195" s="5" t="s">
        <v>141</v>
      </c>
      <c r="B195" s="5" t="s">
        <v>93</v>
      </c>
      <c r="C195" s="5" t="s">
        <v>120</v>
      </c>
      <c r="D195" s="5" t="s">
        <v>167</v>
      </c>
      <c r="E195" s="5" t="s">
        <v>172</v>
      </c>
      <c r="F195" s="16" t="n">
        <v>7.25</v>
      </c>
      <c r="G195" s="12" t="str">
        <f aca="false">IF(VALUE(MID(D195,3,2))*10+VALUE(MID(E195,2,1))&lt;=242,"Pre",IF(VALUE(MID(D195,3,2))*10+VALUE(MID(E195,2,1))&lt;=254,"Post","Later"))</f>
        <v>Pre</v>
      </c>
      <c r="H195" s="5" t="s">
        <v>303</v>
      </c>
      <c r="I195" s="5" t="s">
        <v>301</v>
      </c>
    </row>
    <row r="196" customFormat="false" ht="15" hidden="false" customHeight="false" outlineLevel="0" collapsed="false">
      <c r="A196" s="5" t="s">
        <v>141</v>
      </c>
      <c r="B196" s="5" t="s">
        <v>93</v>
      </c>
      <c r="C196" s="5" t="s">
        <v>120</v>
      </c>
      <c r="D196" s="5" t="s">
        <v>167</v>
      </c>
      <c r="E196" s="5" t="s">
        <v>173</v>
      </c>
      <c r="F196" s="16" t="n">
        <v>6.93</v>
      </c>
      <c r="G196" s="12" t="str">
        <f aca="false">IF(VALUE(MID(D196,3,2))*10+VALUE(MID(E196,2,1))&lt;=242,"Pre",IF(VALUE(MID(D196,3,2))*10+VALUE(MID(E196,2,1))&lt;=254,"Post","Later"))</f>
        <v>Pre</v>
      </c>
      <c r="H196" s="5" t="s">
        <v>304</v>
      </c>
      <c r="I196" s="5" t="s">
        <v>301</v>
      </c>
    </row>
    <row r="197" customFormat="false" ht="15" hidden="false" customHeight="false" outlineLevel="0" collapsed="false">
      <c r="A197" s="5" t="s">
        <v>141</v>
      </c>
      <c r="B197" s="5" t="s">
        <v>93</v>
      </c>
      <c r="C197" s="5" t="s">
        <v>120</v>
      </c>
      <c r="D197" s="5" t="s">
        <v>174</v>
      </c>
      <c r="E197" s="5" t="s">
        <v>168</v>
      </c>
      <c r="F197" s="16" t="n">
        <v>6.88</v>
      </c>
      <c r="G197" s="12" t="str">
        <f aca="false">IF(VALUE(MID(D197,3,2))*10+VALUE(MID(E197,2,1))&lt;=242,"Pre",IF(VALUE(MID(D197,3,2))*10+VALUE(MID(E197,2,1))&lt;=254,"Post","Later"))</f>
        <v>Pre</v>
      </c>
      <c r="H197" s="5" t="s">
        <v>305</v>
      </c>
      <c r="I197" s="5" t="s">
        <v>301</v>
      </c>
    </row>
    <row r="198" customFormat="false" ht="15" hidden="false" customHeight="false" outlineLevel="0" collapsed="false">
      <c r="A198" s="5" t="s">
        <v>141</v>
      </c>
      <c r="B198" s="5" t="s">
        <v>93</v>
      </c>
      <c r="C198" s="5" t="s">
        <v>120</v>
      </c>
      <c r="D198" s="5" t="s">
        <v>174</v>
      </c>
      <c r="E198" s="5" t="s">
        <v>171</v>
      </c>
      <c r="F198" s="16" t="n">
        <v>6.76</v>
      </c>
      <c r="G198" s="12" t="str">
        <f aca="false">IF(VALUE(MID(D198,3,2))*10+VALUE(MID(E198,2,1))&lt;=242,"Pre",IF(VALUE(MID(D198,3,2))*10+VALUE(MID(E198,2,1))&lt;=254,"Post","Later"))</f>
        <v>Pre</v>
      </c>
      <c r="H198" s="5" t="s">
        <v>306</v>
      </c>
      <c r="I198" s="5" t="s">
        <v>301</v>
      </c>
    </row>
    <row r="199" customFormat="false" ht="15" hidden="false" customHeight="false" outlineLevel="0" collapsed="false">
      <c r="A199" s="5" t="s">
        <v>141</v>
      </c>
      <c r="B199" s="5" t="s">
        <v>93</v>
      </c>
      <c r="C199" s="5" t="s">
        <v>120</v>
      </c>
      <c r="D199" s="5" t="s">
        <v>174</v>
      </c>
      <c r="E199" s="5" t="s">
        <v>172</v>
      </c>
      <c r="F199" s="16" t="n">
        <v>6.69</v>
      </c>
      <c r="G199" s="12" t="str">
        <f aca="false">IF(VALUE(MID(D199,3,2))*10+VALUE(MID(E199,2,1))&lt;=242,"Pre",IF(VALUE(MID(D199,3,2))*10+VALUE(MID(E199,2,1))&lt;=254,"Post","Later"))</f>
        <v>Pre</v>
      </c>
      <c r="H199" s="5" t="s">
        <v>307</v>
      </c>
      <c r="I199" s="5" t="s">
        <v>301</v>
      </c>
    </row>
    <row r="200" customFormat="false" ht="15" hidden="false" customHeight="false" outlineLevel="0" collapsed="false">
      <c r="A200" s="5" t="s">
        <v>141</v>
      </c>
      <c r="B200" s="5" t="s">
        <v>93</v>
      </c>
      <c r="C200" s="5" t="s">
        <v>120</v>
      </c>
      <c r="D200" s="5" t="s">
        <v>174</v>
      </c>
      <c r="E200" s="5" t="s">
        <v>173</v>
      </c>
      <c r="F200" s="16" t="n">
        <v>6.52</v>
      </c>
      <c r="G200" s="12" t="str">
        <f aca="false">IF(VALUE(MID(D200,3,2))*10+VALUE(MID(E200,2,1))&lt;=242,"Pre",IF(VALUE(MID(D200,3,2))*10+VALUE(MID(E200,2,1))&lt;=254,"Post","Later"))</f>
        <v>Pre</v>
      </c>
      <c r="H200" s="5" t="s">
        <v>308</v>
      </c>
      <c r="I200" s="5" t="s">
        <v>301</v>
      </c>
    </row>
    <row r="201" customFormat="false" ht="15" hidden="false" customHeight="false" outlineLevel="0" collapsed="false">
      <c r="A201" s="5" t="s">
        <v>141</v>
      </c>
      <c r="B201" s="5" t="s">
        <v>93</v>
      </c>
      <c r="C201" s="5" t="s">
        <v>120</v>
      </c>
      <c r="D201" s="5" t="s">
        <v>176</v>
      </c>
      <c r="E201" s="5" t="s">
        <v>168</v>
      </c>
      <c r="F201" s="16" t="n">
        <v>6.7</v>
      </c>
      <c r="G201" s="12" t="str">
        <f aca="false">IF(VALUE(MID(D201,3,2))*10+VALUE(MID(E201,2,1))&lt;=242,"Pre",IF(VALUE(MID(D201,3,2))*10+VALUE(MID(E201,2,1))&lt;=254,"Post","Later"))</f>
        <v>Pre</v>
      </c>
      <c r="H201" s="5" t="s">
        <v>309</v>
      </c>
      <c r="I201" s="5" t="s">
        <v>301</v>
      </c>
    </row>
    <row r="202" customFormat="false" ht="15" hidden="false" customHeight="false" outlineLevel="0" collapsed="false">
      <c r="A202" s="5" t="s">
        <v>141</v>
      </c>
      <c r="B202" s="5" t="s">
        <v>93</v>
      </c>
      <c r="C202" s="5" t="s">
        <v>120</v>
      </c>
      <c r="D202" s="5" t="s">
        <v>176</v>
      </c>
      <c r="E202" s="5" t="s">
        <v>171</v>
      </c>
      <c r="F202" s="16" t="n">
        <v>7.1</v>
      </c>
      <c r="G202" s="12" t="str">
        <f aca="false">IF(VALUE(MID(D202,3,2))*10+VALUE(MID(E202,2,1))&lt;=242,"Pre",IF(VALUE(MID(D202,3,2))*10+VALUE(MID(E202,2,1))&lt;=254,"Post","Later"))</f>
        <v>Pre</v>
      </c>
      <c r="H202" s="5" t="s">
        <v>310</v>
      </c>
      <c r="I202" s="5" t="s">
        <v>301</v>
      </c>
    </row>
    <row r="203" customFormat="false" ht="15" hidden="false" customHeight="false" outlineLevel="0" collapsed="false">
      <c r="A203" s="5" t="s">
        <v>141</v>
      </c>
      <c r="B203" s="5" t="s">
        <v>93</v>
      </c>
      <c r="C203" s="5" t="s">
        <v>120</v>
      </c>
      <c r="D203" s="5" t="s">
        <v>176</v>
      </c>
      <c r="E203" s="5" t="s">
        <v>172</v>
      </c>
      <c r="F203" s="16" t="n">
        <v>7.4</v>
      </c>
      <c r="G203" s="12" t="str">
        <f aca="false">IF(VALUE(MID(D203,3,2))*10+VALUE(MID(E203,2,1))&lt;=242,"Pre",IF(VALUE(MID(D203,3,2))*10+VALUE(MID(E203,2,1))&lt;=254,"Post","Later"))</f>
        <v>Pre</v>
      </c>
      <c r="H203" s="5" t="s">
        <v>311</v>
      </c>
      <c r="I203" s="5" t="s">
        <v>301</v>
      </c>
    </row>
    <row r="204" customFormat="false" ht="15" hidden="false" customHeight="false" outlineLevel="0" collapsed="false">
      <c r="A204" s="5" t="s">
        <v>141</v>
      </c>
      <c r="B204" s="5" t="s">
        <v>93</v>
      </c>
      <c r="C204" s="5" t="s">
        <v>120</v>
      </c>
      <c r="D204" s="5" t="s">
        <v>176</v>
      </c>
      <c r="E204" s="5" t="s">
        <v>173</v>
      </c>
      <c r="F204" s="16" t="n">
        <v>7.63</v>
      </c>
      <c r="G204" s="12" t="str">
        <f aca="false">IF(VALUE(MID(D204,3,2))*10+VALUE(MID(E204,2,1))&lt;=242,"Pre",IF(VALUE(MID(D204,3,2))*10+VALUE(MID(E204,2,1))&lt;=254,"Post","Later"))</f>
        <v>Pre</v>
      </c>
      <c r="H204" s="5" t="s">
        <v>312</v>
      </c>
      <c r="I204" s="5" t="s">
        <v>301</v>
      </c>
    </row>
    <row r="205" customFormat="false" ht="15" hidden="false" customHeight="false" outlineLevel="0" collapsed="false">
      <c r="A205" s="5" t="s">
        <v>141</v>
      </c>
      <c r="B205" s="5" t="s">
        <v>93</v>
      </c>
      <c r="C205" s="5" t="s">
        <v>120</v>
      </c>
      <c r="D205" s="5" t="s">
        <v>177</v>
      </c>
      <c r="E205" s="5" t="s">
        <v>168</v>
      </c>
      <c r="F205" s="16" t="n">
        <v>7.62</v>
      </c>
      <c r="G205" s="12" t="str">
        <f aca="false">IF(VALUE(MID(D205,3,2))*10+VALUE(MID(E205,2,1))&lt;=242,"Pre",IF(VALUE(MID(D205,3,2))*10+VALUE(MID(E205,2,1))&lt;=254,"Post","Later"))</f>
        <v>Pre</v>
      </c>
      <c r="H205" s="5" t="s">
        <v>313</v>
      </c>
      <c r="I205" s="5" t="s">
        <v>301</v>
      </c>
    </row>
    <row r="206" customFormat="false" ht="15" hidden="false" customHeight="false" outlineLevel="0" collapsed="false">
      <c r="A206" s="5" t="s">
        <v>141</v>
      </c>
      <c r="B206" s="5" t="s">
        <v>93</v>
      </c>
      <c r="C206" s="5" t="s">
        <v>120</v>
      </c>
      <c r="D206" s="5" t="s">
        <v>177</v>
      </c>
      <c r="E206" s="5" t="s">
        <v>171</v>
      </c>
      <c r="F206" s="16" t="n">
        <v>7.66</v>
      </c>
      <c r="G206" s="12" t="str">
        <f aca="false">IF(VALUE(MID(D206,3,2))*10+VALUE(MID(E206,2,1))&lt;=242,"Pre",IF(VALUE(MID(D206,3,2))*10+VALUE(MID(E206,2,1))&lt;=254,"Post","Later"))</f>
        <v>Pre</v>
      </c>
      <c r="H206" s="5" t="s">
        <v>314</v>
      </c>
      <c r="I206" s="5" t="s">
        <v>301</v>
      </c>
    </row>
    <row r="207" customFormat="false" ht="15" hidden="false" customHeight="false" outlineLevel="0" collapsed="false">
      <c r="A207" s="5" t="s">
        <v>141</v>
      </c>
      <c r="B207" s="5" t="s">
        <v>93</v>
      </c>
      <c r="C207" s="5" t="s">
        <v>120</v>
      </c>
      <c r="D207" s="5" t="s">
        <v>177</v>
      </c>
      <c r="E207" s="5" t="s">
        <v>172</v>
      </c>
      <c r="F207" s="16" t="n">
        <v>7.7</v>
      </c>
      <c r="G207" s="12" t="str">
        <f aca="false">IF(VALUE(MID(D207,3,2))*10+VALUE(MID(E207,2,1))&lt;=242,"Pre",IF(VALUE(MID(D207,3,2))*10+VALUE(MID(E207,2,1))&lt;=254,"Post","Later"))</f>
        <v>Post</v>
      </c>
      <c r="H207" s="5" t="s">
        <v>315</v>
      </c>
      <c r="I207" s="5" t="s">
        <v>301</v>
      </c>
    </row>
    <row r="208" customFormat="false" ht="15" hidden="false" customHeight="false" outlineLevel="0" collapsed="false">
      <c r="A208" s="5" t="s">
        <v>141</v>
      </c>
      <c r="B208" s="5" t="s">
        <v>93</v>
      </c>
      <c r="C208" s="5" t="s">
        <v>120</v>
      </c>
      <c r="D208" s="5" t="s">
        <v>177</v>
      </c>
      <c r="E208" s="5" t="s">
        <v>173</v>
      </c>
      <c r="F208" s="16" t="n">
        <v>7.76</v>
      </c>
      <c r="G208" s="12" t="str">
        <f aca="false">IF(VALUE(MID(D208,3,2))*10+VALUE(MID(E208,2,1))&lt;=242,"Pre",IF(VALUE(MID(D208,3,2))*10+VALUE(MID(E208,2,1))&lt;=254,"Post","Later"))</f>
        <v>Post</v>
      </c>
      <c r="H208" s="5" t="s">
        <v>316</v>
      </c>
      <c r="I208" s="5" t="s">
        <v>301</v>
      </c>
    </row>
    <row r="209" customFormat="false" ht="15" hidden="false" customHeight="false" outlineLevel="0" collapsed="false">
      <c r="A209" s="5" t="s">
        <v>141</v>
      </c>
      <c r="B209" s="5" t="s">
        <v>93</v>
      </c>
      <c r="C209" s="5" t="s">
        <v>120</v>
      </c>
      <c r="D209" s="5" t="s">
        <v>179</v>
      </c>
      <c r="E209" s="5" t="s">
        <v>168</v>
      </c>
      <c r="F209" s="16" t="n">
        <v>7.76</v>
      </c>
      <c r="G209" s="12" t="str">
        <f aca="false">IF(VALUE(MID(D209,3,2))*10+VALUE(MID(E209,2,1))&lt;=242,"Pre",IF(VALUE(MID(D209,3,2))*10+VALUE(MID(E209,2,1))&lt;=254,"Post","Later"))</f>
        <v>Post</v>
      </c>
      <c r="H209" s="5" t="s">
        <v>317</v>
      </c>
      <c r="I209" s="5" t="s">
        <v>301</v>
      </c>
    </row>
    <row r="210" customFormat="false" ht="15" hidden="false" customHeight="false" outlineLevel="0" collapsed="false">
      <c r="A210" s="5" t="s">
        <v>141</v>
      </c>
      <c r="B210" s="5" t="s">
        <v>93</v>
      </c>
      <c r="C210" s="5" t="s">
        <v>120</v>
      </c>
      <c r="D210" s="5" t="s">
        <v>179</v>
      </c>
      <c r="E210" s="5" t="s">
        <v>171</v>
      </c>
      <c r="F210" s="16" t="n">
        <v>7.73</v>
      </c>
      <c r="G210" s="12" t="str">
        <f aca="false">IF(VALUE(MID(D210,3,2))*10+VALUE(MID(E210,2,1))&lt;=242,"Pre",IF(VALUE(MID(D210,3,2))*10+VALUE(MID(E210,2,1))&lt;=254,"Post","Later"))</f>
        <v>Post</v>
      </c>
      <c r="H210" s="5" t="s">
        <v>318</v>
      </c>
      <c r="I210" s="5" t="s">
        <v>301</v>
      </c>
    </row>
    <row r="211" customFormat="false" ht="15" hidden="false" customHeight="false" outlineLevel="0" collapsed="false">
      <c r="A211" s="5" t="s">
        <v>141</v>
      </c>
      <c r="B211" s="5" t="s">
        <v>93</v>
      </c>
      <c r="C211" s="5" t="s">
        <v>120</v>
      </c>
      <c r="D211" s="5" t="s">
        <v>179</v>
      </c>
      <c r="E211" s="5" t="s">
        <v>172</v>
      </c>
      <c r="F211" s="16" t="n">
        <v>7.78</v>
      </c>
      <c r="G211" s="12" t="str">
        <f aca="false">IF(VALUE(MID(D211,3,2))*10+VALUE(MID(E211,2,1))&lt;=242,"Pre",IF(VALUE(MID(D211,3,2))*10+VALUE(MID(E211,2,1))&lt;=254,"Post","Later"))</f>
        <v>Post</v>
      </c>
      <c r="H211" s="5" t="s">
        <v>319</v>
      </c>
      <c r="I211" s="5" t="s">
        <v>301</v>
      </c>
    </row>
    <row r="212" customFormat="false" ht="15" hidden="false" customHeight="false" outlineLevel="0" collapsed="false">
      <c r="A212" s="5" t="s">
        <v>141</v>
      </c>
      <c r="B212" s="5" t="s">
        <v>93</v>
      </c>
      <c r="C212" s="5" t="s">
        <v>120</v>
      </c>
      <c r="D212" s="5" t="s">
        <v>179</v>
      </c>
      <c r="E212" s="5" t="s">
        <v>173</v>
      </c>
      <c r="F212" s="16" t="n">
        <v>7.73</v>
      </c>
      <c r="G212" s="12" t="str">
        <f aca="false">IF(VALUE(MID(D212,3,2))*10+VALUE(MID(E212,2,1))&lt;=242,"Pre",IF(VALUE(MID(D212,3,2))*10+VALUE(MID(E212,2,1))&lt;=254,"Post","Later"))</f>
        <v>Post</v>
      </c>
      <c r="H212" s="5" t="s">
        <v>320</v>
      </c>
      <c r="I212" s="5" t="s">
        <v>301</v>
      </c>
    </row>
    <row r="213" customFormat="false" ht="15" hidden="false" customHeight="false" outlineLevel="0" collapsed="false">
      <c r="A213" s="5" t="s">
        <v>141</v>
      </c>
      <c r="B213" s="5" t="s">
        <v>93</v>
      </c>
      <c r="C213" s="5" t="s">
        <v>120</v>
      </c>
      <c r="D213" s="5" t="s">
        <v>180</v>
      </c>
      <c r="E213" s="5" t="s">
        <v>168</v>
      </c>
      <c r="F213" s="16" t="n">
        <v>7.5</v>
      </c>
      <c r="G213" s="12" t="str">
        <f aca="false">IF(VALUE(MID(D213,3,2))*10+VALUE(MID(E213,2,1))&lt;=242,"Pre",IF(VALUE(MID(D213,3,2))*10+VALUE(MID(E213,2,1))&lt;=254,"Post","Later"))</f>
        <v>Later</v>
      </c>
      <c r="H213" s="5" t="s">
        <v>321</v>
      </c>
      <c r="I213" s="5" t="s">
        <v>301</v>
      </c>
    </row>
    <row r="214" customFormat="false" ht="15" hidden="false" customHeight="false" outlineLevel="0" collapsed="false">
      <c r="A214" s="5" t="s">
        <v>141</v>
      </c>
      <c r="B214" s="5" t="s">
        <v>93</v>
      </c>
      <c r="C214" s="5" t="s">
        <v>120</v>
      </c>
      <c r="D214" s="5" t="s">
        <v>180</v>
      </c>
      <c r="E214" s="5" t="s">
        <v>171</v>
      </c>
      <c r="F214" s="16" t="n">
        <v>7.42</v>
      </c>
      <c r="G214" s="12" t="str">
        <f aca="false">IF(VALUE(MID(D214,3,2))*10+VALUE(MID(E214,2,1))&lt;=242,"Pre",IF(VALUE(MID(D214,3,2))*10+VALUE(MID(E214,2,1))&lt;=254,"Post","Later"))</f>
        <v>Later</v>
      </c>
      <c r="H214" s="5" t="s">
        <v>322</v>
      </c>
      <c r="I214" s="5" t="s">
        <v>301</v>
      </c>
    </row>
    <row r="215" customFormat="false" ht="15" hidden="false" customHeight="false" outlineLevel="0" collapsed="false">
      <c r="A215" s="5" t="s">
        <v>141</v>
      </c>
      <c r="B215" s="5" t="s">
        <v>93</v>
      </c>
      <c r="C215" s="5" t="s">
        <v>120</v>
      </c>
      <c r="D215" s="5" t="s">
        <v>180</v>
      </c>
      <c r="E215" s="5" t="s">
        <v>172</v>
      </c>
      <c r="F215" s="16" t="n">
        <v>7.28</v>
      </c>
      <c r="G215" s="12" t="str">
        <f aca="false">IF(VALUE(MID(D215,3,2))*10+VALUE(MID(E215,2,1))&lt;=242,"Pre",IF(VALUE(MID(D215,3,2))*10+VALUE(MID(E215,2,1))&lt;=254,"Post","Later"))</f>
        <v>Later</v>
      </c>
      <c r="H215" s="5" t="s">
        <v>323</v>
      </c>
      <c r="I215" s="5" t="s">
        <v>301</v>
      </c>
    </row>
    <row r="216" customFormat="false" ht="15" hidden="false" customHeight="false" outlineLevel="0" collapsed="false">
      <c r="A216" s="5" t="s">
        <v>141</v>
      </c>
      <c r="B216" s="5" t="s">
        <v>93</v>
      </c>
      <c r="C216" s="5" t="s">
        <v>120</v>
      </c>
      <c r="D216" s="5" t="s">
        <v>180</v>
      </c>
      <c r="E216" s="5" t="s">
        <v>173</v>
      </c>
      <c r="F216" s="16" t="n">
        <v>7.27</v>
      </c>
      <c r="G216" s="12" t="str">
        <f aca="false">IF(VALUE(MID(D216,3,2))*10+VALUE(MID(E216,2,1))&lt;=242,"Pre",IF(VALUE(MID(D216,3,2))*10+VALUE(MID(E216,2,1))&lt;=254,"Post","Later"))</f>
        <v>Later</v>
      </c>
      <c r="H216" s="5" t="s">
        <v>324</v>
      </c>
      <c r="I216" s="5" t="s">
        <v>301</v>
      </c>
    </row>
    <row r="217" customFormat="false" ht="15" hidden="false" customHeight="false" outlineLevel="0" collapsed="false">
      <c r="A217" s="5" t="s">
        <v>143</v>
      </c>
      <c r="B217" s="5" t="s">
        <v>101</v>
      </c>
      <c r="C217" s="5" t="s">
        <v>125</v>
      </c>
      <c r="D217" s="5" t="s">
        <v>167</v>
      </c>
      <c r="E217" s="5" t="s">
        <v>168</v>
      </c>
      <c r="F217" s="16" t="n">
        <v>8.24</v>
      </c>
      <c r="G217" s="12" t="str">
        <f aca="false">IF(VALUE(MID(D217,3,2))*10+VALUE(MID(E217,2,1))&lt;=242,"Pre",IF(VALUE(MID(D217,3,2))*10+VALUE(MID(E217,2,1))&lt;=254,"Post","Later"))</f>
        <v>Pre</v>
      </c>
      <c r="H217" s="5" t="s">
        <v>325</v>
      </c>
      <c r="I217" s="5" t="s">
        <v>326</v>
      </c>
    </row>
    <row r="218" customFormat="false" ht="15" hidden="false" customHeight="false" outlineLevel="0" collapsed="false">
      <c r="A218" s="5" t="s">
        <v>143</v>
      </c>
      <c r="B218" s="5" t="s">
        <v>101</v>
      </c>
      <c r="C218" s="5" t="s">
        <v>125</v>
      </c>
      <c r="D218" s="5" t="s">
        <v>167</v>
      </c>
      <c r="E218" s="5" t="s">
        <v>171</v>
      </c>
      <c r="F218" s="16" t="n">
        <v>7.89</v>
      </c>
      <c r="G218" s="12" t="str">
        <f aca="false">IF(VALUE(MID(D218,3,2))*10+VALUE(MID(E218,2,1))&lt;=242,"Pre",IF(VALUE(MID(D218,3,2))*10+VALUE(MID(E218,2,1))&lt;=254,"Post","Later"))</f>
        <v>Pre</v>
      </c>
      <c r="H218" s="5" t="s">
        <v>327</v>
      </c>
      <c r="I218" s="5" t="s">
        <v>326</v>
      </c>
    </row>
    <row r="219" customFormat="false" ht="15" hidden="false" customHeight="false" outlineLevel="0" collapsed="false">
      <c r="A219" s="5" t="s">
        <v>143</v>
      </c>
      <c r="B219" s="5" t="s">
        <v>101</v>
      </c>
      <c r="C219" s="5" t="s">
        <v>125</v>
      </c>
      <c r="D219" s="5" t="s">
        <v>167</v>
      </c>
      <c r="E219" s="5" t="s">
        <v>172</v>
      </c>
      <c r="F219" s="16" t="n">
        <v>7.74</v>
      </c>
      <c r="G219" s="12" t="str">
        <f aca="false">IF(VALUE(MID(D219,3,2))*10+VALUE(MID(E219,2,1))&lt;=242,"Pre",IF(VALUE(MID(D219,3,2))*10+VALUE(MID(E219,2,1))&lt;=254,"Post","Later"))</f>
        <v>Pre</v>
      </c>
      <c r="H219" s="5" t="s">
        <v>328</v>
      </c>
      <c r="I219" s="5" t="s">
        <v>326</v>
      </c>
    </row>
    <row r="220" customFormat="false" ht="15" hidden="false" customHeight="false" outlineLevel="0" collapsed="false">
      <c r="A220" s="5" t="s">
        <v>143</v>
      </c>
      <c r="B220" s="5" t="s">
        <v>101</v>
      </c>
      <c r="C220" s="5" t="s">
        <v>125</v>
      </c>
      <c r="D220" s="5" t="s">
        <v>167</v>
      </c>
      <c r="E220" s="5" t="s">
        <v>173</v>
      </c>
      <c r="F220" s="16" t="n">
        <v>7.39</v>
      </c>
      <c r="G220" s="12" t="str">
        <f aca="false">IF(VALUE(MID(D220,3,2))*10+VALUE(MID(E220,2,1))&lt;=242,"Pre",IF(VALUE(MID(D220,3,2))*10+VALUE(MID(E220,2,1))&lt;=254,"Post","Later"))</f>
        <v>Pre</v>
      </c>
      <c r="H220" s="5" t="s">
        <v>329</v>
      </c>
      <c r="I220" s="5" t="s">
        <v>326</v>
      </c>
    </row>
    <row r="221" customFormat="false" ht="15" hidden="false" customHeight="false" outlineLevel="0" collapsed="false">
      <c r="A221" s="5" t="s">
        <v>143</v>
      </c>
      <c r="B221" s="5" t="s">
        <v>101</v>
      </c>
      <c r="C221" s="5" t="s">
        <v>125</v>
      </c>
      <c r="D221" s="5" t="s">
        <v>174</v>
      </c>
      <c r="E221" s="5" t="s">
        <v>168</v>
      </c>
      <c r="F221" s="16" t="n">
        <v>7.13</v>
      </c>
      <c r="G221" s="12" t="str">
        <f aca="false">IF(VALUE(MID(D221,3,2))*10+VALUE(MID(E221,2,1))&lt;=242,"Pre",IF(VALUE(MID(D221,3,2))*10+VALUE(MID(E221,2,1))&lt;=254,"Post","Later"))</f>
        <v>Pre</v>
      </c>
      <c r="H221" s="5" t="s">
        <v>330</v>
      </c>
      <c r="I221" s="5" t="s">
        <v>326</v>
      </c>
    </row>
    <row r="222" customFormat="false" ht="15" hidden="false" customHeight="false" outlineLevel="0" collapsed="false">
      <c r="A222" s="5" t="s">
        <v>143</v>
      </c>
      <c r="B222" s="5" t="s">
        <v>101</v>
      </c>
      <c r="C222" s="5" t="s">
        <v>125</v>
      </c>
      <c r="D222" s="5" t="s">
        <v>174</v>
      </c>
      <c r="E222" s="5" t="s">
        <v>171</v>
      </c>
      <c r="F222" s="16" t="n">
        <v>7.27</v>
      </c>
      <c r="G222" s="12" t="str">
        <f aca="false">IF(VALUE(MID(D222,3,2))*10+VALUE(MID(E222,2,1))&lt;=242,"Pre",IF(VALUE(MID(D222,3,2))*10+VALUE(MID(E222,2,1))&lt;=254,"Post","Later"))</f>
        <v>Pre</v>
      </c>
      <c r="H222" s="5" t="s">
        <v>331</v>
      </c>
      <c r="I222" s="5" t="s">
        <v>326</v>
      </c>
    </row>
    <row r="223" customFormat="false" ht="15" hidden="false" customHeight="false" outlineLevel="0" collapsed="false">
      <c r="A223" s="5" t="s">
        <v>143</v>
      </c>
      <c r="B223" s="5" t="s">
        <v>101</v>
      </c>
      <c r="C223" s="5" t="s">
        <v>125</v>
      </c>
      <c r="D223" s="5" t="s">
        <v>174</v>
      </c>
      <c r="E223" s="5" t="s">
        <v>172</v>
      </c>
      <c r="F223" s="16" t="n">
        <v>6.72</v>
      </c>
      <c r="G223" s="12" t="str">
        <f aca="false">IF(VALUE(MID(D223,3,2))*10+VALUE(MID(E223,2,1))&lt;=242,"Pre",IF(VALUE(MID(D223,3,2))*10+VALUE(MID(E223,2,1))&lt;=254,"Post","Later"))</f>
        <v>Pre</v>
      </c>
      <c r="H223" s="5" t="s">
        <v>332</v>
      </c>
      <c r="I223" s="5" t="s">
        <v>326</v>
      </c>
    </row>
    <row r="224" customFormat="false" ht="15" hidden="false" customHeight="false" outlineLevel="0" collapsed="false">
      <c r="A224" s="5" t="s">
        <v>143</v>
      </c>
      <c r="B224" s="5" t="s">
        <v>101</v>
      </c>
      <c r="C224" s="5" t="s">
        <v>125</v>
      </c>
      <c r="D224" s="5" t="s">
        <v>174</v>
      </c>
      <c r="E224" s="5" t="s">
        <v>173</v>
      </c>
      <c r="F224" s="16" t="n">
        <v>6.61</v>
      </c>
      <c r="G224" s="12" t="str">
        <f aca="false">IF(VALUE(MID(D224,3,2))*10+VALUE(MID(E224,2,1))&lt;=242,"Pre",IF(VALUE(MID(D224,3,2))*10+VALUE(MID(E224,2,1))&lt;=254,"Post","Later"))</f>
        <v>Pre</v>
      </c>
      <c r="H224" s="5" t="s">
        <v>333</v>
      </c>
      <c r="I224" s="5" t="s">
        <v>326</v>
      </c>
    </row>
    <row r="225" customFormat="false" ht="15" hidden="false" customHeight="false" outlineLevel="0" collapsed="false">
      <c r="A225" s="5" t="s">
        <v>143</v>
      </c>
      <c r="B225" s="5" t="s">
        <v>101</v>
      </c>
      <c r="C225" s="5" t="s">
        <v>125</v>
      </c>
      <c r="D225" s="5" t="s">
        <v>176</v>
      </c>
      <c r="E225" s="5" t="s">
        <v>168</v>
      </c>
      <c r="F225" s="16" t="n">
        <v>6.46</v>
      </c>
      <c r="G225" s="12" t="str">
        <f aca="false">IF(VALUE(MID(D225,3,2))*10+VALUE(MID(E225,2,1))&lt;=242,"Pre",IF(VALUE(MID(D225,3,2))*10+VALUE(MID(E225,2,1))&lt;=254,"Post","Later"))</f>
        <v>Pre</v>
      </c>
      <c r="H225" s="5" t="s">
        <v>334</v>
      </c>
      <c r="I225" s="5" t="s">
        <v>326</v>
      </c>
    </row>
    <row r="226" customFormat="false" ht="15" hidden="false" customHeight="false" outlineLevel="0" collapsed="false">
      <c r="A226" s="5" t="s">
        <v>143</v>
      </c>
      <c r="B226" s="5" t="s">
        <v>101</v>
      </c>
      <c r="C226" s="5" t="s">
        <v>125</v>
      </c>
      <c r="D226" s="5" t="s">
        <v>176</v>
      </c>
      <c r="E226" s="5" t="s">
        <v>171</v>
      </c>
      <c r="F226" s="16" t="n">
        <v>6.74</v>
      </c>
      <c r="G226" s="12" t="str">
        <f aca="false">IF(VALUE(MID(D226,3,2))*10+VALUE(MID(E226,2,1))&lt;=242,"Pre",IF(VALUE(MID(D226,3,2))*10+VALUE(MID(E226,2,1))&lt;=254,"Post","Later"))</f>
        <v>Pre</v>
      </c>
      <c r="H226" s="5" t="s">
        <v>335</v>
      </c>
      <c r="I226" s="5" t="s">
        <v>326</v>
      </c>
    </row>
    <row r="227" customFormat="false" ht="15" hidden="false" customHeight="false" outlineLevel="0" collapsed="false">
      <c r="A227" s="5" t="s">
        <v>143</v>
      </c>
      <c r="B227" s="5" t="s">
        <v>101</v>
      </c>
      <c r="C227" s="5" t="s">
        <v>125</v>
      </c>
      <c r="D227" s="5" t="s">
        <v>176</v>
      </c>
      <c r="E227" s="5" t="s">
        <v>172</v>
      </c>
      <c r="F227" s="16" t="n">
        <v>7.16</v>
      </c>
      <c r="G227" s="12" t="str">
        <f aca="false">IF(VALUE(MID(D227,3,2))*10+VALUE(MID(E227,2,1))&lt;=242,"Pre",IF(VALUE(MID(D227,3,2))*10+VALUE(MID(E227,2,1))&lt;=254,"Post","Later"))</f>
        <v>Pre</v>
      </c>
      <c r="H227" s="5" t="s">
        <v>336</v>
      </c>
      <c r="I227" s="5" t="s">
        <v>326</v>
      </c>
    </row>
    <row r="228" customFormat="false" ht="15" hidden="false" customHeight="false" outlineLevel="0" collapsed="false">
      <c r="A228" s="5" t="s">
        <v>143</v>
      </c>
      <c r="B228" s="5" t="s">
        <v>101</v>
      </c>
      <c r="C228" s="5" t="s">
        <v>125</v>
      </c>
      <c r="D228" s="5" t="s">
        <v>176</v>
      </c>
      <c r="E228" s="5" t="s">
        <v>173</v>
      </c>
      <c r="F228" s="16" t="n">
        <v>7.29</v>
      </c>
      <c r="G228" s="12" t="str">
        <f aca="false">IF(VALUE(MID(D228,3,2))*10+VALUE(MID(E228,2,1))&lt;=242,"Pre",IF(VALUE(MID(D228,3,2))*10+VALUE(MID(E228,2,1))&lt;=254,"Post","Later"))</f>
        <v>Pre</v>
      </c>
      <c r="H228" s="5" t="s">
        <v>337</v>
      </c>
      <c r="I228" s="5" t="s">
        <v>326</v>
      </c>
    </row>
    <row r="229" customFormat="false" ht="15" hidden="false" customHeight="false" outlineLevel="0" collapsed="false">
      <c r="A229" s="5" t="s">
        <v>143</v>
      </c>
      <c r="B229" s="5" t="s">
        <v>101</v>
      </c>
      <c r="C229" s="5" t="s">
        <v>125</v>
      </c>
      <c r="D229" s="5" t="s">
        <v>177</v>
      </c>
      <c r="E229" s="5" t="s">
        <v>168</v>
      </c>
      <c r="F229" s="16" t="n">
        <v>7.49</v>
      </c>
      <c r="G229" s="12" t="str">
        <f aca="false">IF(VALUE(MID(D229,3,2))*10+VALUE(MID(E229,2,1))&lt;=242,"Pre",IF(VALUE(MID(D229,3,2))*10+VALUE(MID(E229,2,1))&lt;=254,"Post","Later"))</f>
        <v>Pre</v>
      </c>
      <c r="H229" s="5" t="s">
        <v>338</v>
      </c>
      <c r="I229" s="5" t="s">
        <v>326</v>
      </c>
    </row>
    <row r="230" customFormat="false" ht="15" hidden="false" customHeight="false" outlineLevel="0" collapsed="false">
      <c r="A230" s="5" t="s">
        <v>143</v>
      </c>
      <c r="B230" s="5" t="s">
        <v>101</v>
      </c>
      <c r="C230" s="5" t="s">
        <v>125</v>
      </c>
      <c r="D230" s="5" t="s">
        <v>177</v>
      </c>
      <c r="E230" s="5" t="s">
        <v>171</v>
      </c>
      <c r="F230" s="16" t="n">
        <v>7.6</v>
      </c>
      <c r="G230" s="12" t="str">
        <f aca="false">IF(VALUE(MID(D230,3,2))*10+VALUE(MID(E230,2,1))&lt;=242,"Pre",IF(VALUE(MID(D230,3,2))*10+VALUE(MID(E230,2,1))&lt;=254,"Post","Later"))</f>
        <v>Pre</v>
      </c>
      <c r="H230" s="5" t="s">
        <v>339</v>
      </c>
      <c r="I230" s="5" t="s">
        <v>326</v>
      </c>
    </row>
    <row r="231" customFormat="false" ht="15" hidden="false" customHeight="false" outlineLevel="0" collapsed="false">
      <c r="A231" s="5" t="s">
        <v>143</v>
      </c>
      <c r="B231" s="5" t="s">
        <v>101</v>
      </c>
      <c r="C231" s="5" t="s">
        <v>125</v>
      </c>
      <c r="D231" s="5" t="s">
        <v>177</v>
      </c>
      <c r="E231" s="5" t="s">
        <v>172</v>
      </c>
      <c r="F231" s="16" t="n">
        <v>7.78</v>
      </c>
      <c r="G231" s="12" t="str">
        <f aca="false">IF(VALUE(MID(D231,3,2))*10+VALUE(MID(E231,2,1))&lt;=242,"Pre",IF(VALUE(MID(D231,3,2))*10+VALUE(MID(E231,2,1))&lt;=254,"Post","Later"))</f>
        <v>Post</v>
      </c>
      <c r="H231" s="5" t="s">
        <v>340</v>
      </c>
      <c r="I231" s="5" t="s">
        <v>326</v>
      </c>
    </row>
    <row r="232" customFormat="false" ht="15" hidden="false" customHeight="false" outlineLevel="0" collapsed="false">
      <c r="A232" s="5" t="s">
        <v>143</v>
      </c>
      <c r="B232" s="5" t="s">
        <v>101</v>
      </c>
      <c r="C232" s="5" t="s">
        <v>125</v>
      </c>
      <c r="D232" s="5" t="s">
        <v>177</v>
      </c>
      <c r="E232" s="5" t="s">
        <v>173</v>
      </c>
      <c r="F232" s="16" t="n">
        <v>7.74</v>
      </c>
      <c r="G232" s="12" t="str">
        <f aca="false">IF(VALUE(MID(D232,3,2))*10+VALUE(MID(E232,2,1))&lt;=242,"Pre",IF(VALUE(MID(D232,3,2))*10+VALUE(MID(E232,2,1))&lt;=254,"Post","Later"))</f>
        <v>Post</v>
      </c>
      <c r="H232" s="5" t="s">
        <v>341</v>
      </c>
      <c r="I232" s="5" t="s">
        <v>326</v>
      </c>
    </row>
    <row r="233" customFormat="false" ht="15" hidden="false" customHeight="false" outlineLevel="0" collapsed="false">
      <c r="A233" s="5" t="s">
        <v>143</v>
      </c>
      <c r="B233" s="5" t="s">
        <v>101</v>
      </c>
      <c r="C233" s="5" t="s">
        <v>125</v>
      </c>
      <c r="D233" s="5" t="s">
        <v>179</v>
      </c>
      <c r="E233" s="5" t="s">
        <v>168</v>
      </c>
      <c r="F233" s="16" t="n">
        <v>7.76</v>
      </c>
      <c r="G233" s="12" t="str">
        <f aca="false">IF(VALUE(MID(D233,3,2))*10+VALUE(MID(E233,2,1))&lt;=242,"Pre",IF(VALUE(MID(D233,3,2))*10+VALUE(MID(E233,2,1))&lt;=254,"Post","Later"))</f>
        <v>Post</v>
      </c>
      <c r="H233" s="5" t="s">
        <v>342</v>
      </c>
      <c r="I233" s="5" t="s">
        <v>326</v>
      </c>
    </row>
    <row r="234" customFormat="false" ht="15" hidden="false" customHeight="false" outlineLevel="0" collapsed="false">
      <c r="A234" s="5" t="s">
        <v>143</v>
      </c>
      <c r="B234" s="5" t="s">
        <v>101</v>
      </c>
      <c r="C234" s="5" t="s">
        <v>125</v>
      </c>
      <c r="D234" s="5" t="s">
        <v>179</v>
      </c>
      <c r="E234" s="5" t="s">
        <v>171</v>
      </c>
      <c r="F234" s="16" t="n">
        <v>7.76</v>
      </c>
      <c r="G234" s="12" t="str">
        <f aca="false">IF(VALUE(MID(D234,3,2))*10+VALUE(MID(E234,2,1))&lt;=242,"Pre",IF(VALUE(MID(D234,3,2))*10+VALUE(MID(E234,2,1))&lt;=254,"Post","Later"))</f>
        <v>Post</v>
      </c>
      <c r="H234" s="5" t="s">
        <v>343</v>
      </c>
      <c r="I234" s="5" t="s">
        <v>326</v>
      </c>
    </row>
    <row r="235" customFormat="false" ht="15" hidden="false" customHeight="false" outlineLevel="0" collapsed="false">
      <c r="A235" s="5" t="s">
        <v>143</v>
      </c>
      <c r="B235" s="5" t="s">
        <v>101</v>
      </c>
      <c r="C235" s="5" t="s">
        <v>125</v>
      </c>
      <c r="D235" s="5" t="s">
        <v>179</v>
      </c>
      <c r="E235" s="5" t="s">
        <v>172</v>
      </c>
      <c r="F235" s="16" t="n">
        <v>7.76</v>
      </c>
      <c r="G235" s="12" t="str">
        <f aca="false">IF(VALUE(MID(D235,3,2))*10+VALUE(MID(E235,2,1))&lt;=242,"Pre",IF(VALUE(MID(D235,3,2))*10+VALUE(MID(E235,2,1))&lt;=254,"Post","Later"))</f>
        <v>Post</v>
      </c>
      <c r="H235" s="5" t="s">
        <v>344</v>
      </c>
      <c r="I235" s="5" t="s">
        <v>345</v>
      </c>
    </row>
    <row r="236" customFormat="false" ht="15" hidden="false" customHeight="false" outlineLevel="0" collapsed="false">
      <c r="A236" s="5" t="s">
        <v>143</v>
      </c>
      <c r="B236" s="5" t="s">
        <v>101</v>
      </c>
      <c r="C236" s="5" t="s">
        <v>125</v>
      </c>
      <c r="D236" s="5" t="s">
        <v>179</v>
      </c>
      <c r="E236" s="5" t="s">
        <v>173</v>
      </c>
      <c r="F236" s="16" t="n">
        <v>7.66</v>
      </c>
      <c r="G236" s="12" t="str">
        <f aca="false">IF(VALUE(MID(D236,3,2))*10+VALUE(MID(E236,2,1))&lt;=242,"Pre",IF(VALUE(MID(D236,3,2))*10+VALUE(MID(E236,2,1))&lt;=254,"Post","Later"))</f>
        <v>Post</v>
      </c>
      <c r="H236" s="5" t="s">
        <v>346</v>
      </c>
      <c r="I236" s="5" t="s">
        <v>345</v>
      </c>
    </row>
    <row r="237" customFormat="false" ht="15" hidden="false" customHeight="false" outlineLevel="0" collapsed="false">
      <c r="A237" s="5" t="s">
        <v>143</v>
      </c>
      <c r="B237" s="5" t="s">
        <v>101</v>
      </c>
      <c r="C237" s="5" t="s">
        <v>125</v>
      </c>
      <c r="D237" s="5" t="s">
        <v>180</v>
      </c>
      <c r="E237" s="5" t="s">
        <v>168</v>
      </c>
      <c r="F237" s="16" t="n">
        <v>7.82</v>
      </c>
      <c r="G237" s="12" t="str">
        <f aca="false">IF(VALUE(MID(D237,3,2))*10+VALUE(MID(E237,2,1))&lt;=242,"Pre",IF(VALUE(MID(D237,3,2))*10+VALUE(MID(E237,2,1))&lt;=254,"Post","Later"))</f>
        <v>Later</v>
      </c>
      <c r="H237" s="5" t="s">
        <v>347</v>
      </c>
      <c r="I237" s="5" t="s">
        <v>326</v>
      </c>
    </row>
    <row r="238" customFormat="false" ht="15" hidden="false" customHeight="false" outlineLevel="0" collapsed="false">
      <c r="A238" s="5" t="s">
        <v>143</v>
      </c>
      <c r="B238" s="5" t="s">
        <v>101</v>
      </c>
      <c r="C238" s="5" t="s">
        <v>125</v>
      </c>
      <c r="D238" s="5" t="s">
        <v>180</v>
      </c>
      <c r="E238" s="5" t="s">
        <v>171</v>
      </c>
      <c r="F238" s="16" t="n">
        <v>7.45</v>
      </c>
      <c r="G238" s="12" t="str">
        <f aca="false">IF(VALUE(MID(D238,3,2))*10+VALUE(MID(E238,2,1))&lt;=242,"Pre",IF(VALUE(MID(D238,3,2))*10+VALUE(MID(E238,2,1))&lt;=254,"Post","Later"))</f>
        <v>Later</v>
      </c>
      <c r="H238" s="5" t="s">
        <v>348</v>
      </c>
      <c r="I238" s="5" t="s">
        <v>326</v>
      </c>
    </row>
    <row r="239" customFormat="false" ht="15" hidden="false" customHeight="false" outlineLevel="0" collapsed="false">
      <c r="A239" s="5" t="s">
        <v>143</v>
      </c>
      <c r="B239" s="5" t="s">
        <v>101</v>
      </c>
      <c r="C239" s="5" t="s">
        <v>125</v>
      </c>
      <c r="D239" s="5" t="s">
        <v>180</v>
      </c>
      <c r="E239" s="5" t="s">
        <v>172</v>
      </c>
      <c r="F239" s="16" t="n">
        <v>7.43</v>
      </c>
      <c r="G239" s="12" t="str">
        <f aca="false">IF(VALUE(MID(D239,3,2))*10+VALUE(MID(E239,2,1))&lt;=242,"Pre",IF(VALUE(MID(D239,3,2))*10+VALUE(MID(E239,2,1))&lt;=254,"Post","Later"))</f>
        <v>Later</v>
      </c>
      <c r="H239" s="5" t="s">
        <v>349</v>
      </c>
      <c r="I239" s="5" t="s">
        <v>326</v>
      </c>
    </row>
    <row r="240" customFormat="false" ht="15" hidden="false" customHeight="false" outlineLevel="0" collapsed="false">
      <c r="A240" s="5" t="s">
        <v>143</v>
      </c>
      <c r="B240" s="5" t="s">
        <v>101</v>
      </c>
      <c r="C240" s="5" t="s">
        <v>125</v>
      </c>
      <c r="D240" s="5" t="s">
        <v>180</v>
      </c>
      <c r="E240" s="5" t="s">
        <v>173</v>
      </c>
      <c r="F240" s="16" t="n">
        <v>7.16</v>
      </c>
      <c r="G240" s="12" t="str">
        <f aca="false">IF(VALUE(MID(D240,3,2))*10+VALUE(MID(E240,2,1))&lt;=242,"Pre",IF(VALUE(MID(D240,3,2))*10+VALUE(MID(E240,2,1))&lt;=254,"Post","Later"))</f>
        <v>Later</v>
      </c>
      <c r="H240" s="5" t="s">
        <v>350</v>
      </c>
      <c r="I240" s="5" t="s">
        <v>326</v>
      </c>
    </row>
    <row r="241" customFormat="false" ht="15" hidden="false" customHeight="false" outlineLevel="0" collapsed="false">
      <c r="A241" s="5" t="s">
        <v>145</v>
      </c>
      <c r="B241" s="5" t="s">
        <v>102</v>
      </c>
      <c r="C241" s="5" t="s">
        <v>125</v>
      </c>
      <c r="D241" s="5" t="s">
        <v>167</v>
      </c>
      <c r="E241" s="5" t="s">
        <v>168</v>
      </c>
      <c r="F241" s="16" t="n">
        <v>9.4</v>
      </c>
      <c r="G241" s="12" t="str">
        <f aca="false">IF(VALUE(MID(D241,3,2))*10+VALUE(MID(E241,2,1))&lt;=242,"Pre",IF(VALUE(MID(D241,3,2))*10+VALUE(MID(E241,2,1))&lt;=254,"Post","Later"))</f>
        <v>Pre</v>
      </c>
      <c r="H241" s="5" t="s">
        <v>351</v>
      </c>
      <c r="I241" s="5" t="s">
        <v>352</v>
      </c>
    </row>
    <row r="242" customFormat="false" ht="15" hidden="false" customHeight="false" outlineLevel="0" collapsed="false">
      <c r="A242" s="5" t="s">
        <v>145</v>
      </c>
      <c r="B242" s="5" t="s">
        <v>102</v>
      </c>
      <c r="C242" s="5" t="s">
        <v>125</v>
      </c>
      <c r="D242" s="5" t="s">
        <v>167</v>
      </c>
      <c r="E242" s="5" t="s">
        <v>171</v>
      </c>
      <c r="F242" s="16" t="n">
        <v>9.22</v>
      </c>
      <c r="G242" s="12" t="str">
        <f aca="false">IF(VALUE(MID(D242,3,2))*10+VALUE(MID(E242,2,1))&lt;=242,"Pre",IF(VALUE(MID(D242,3,2))*10+VALUE(MID(E242,2,1))&lt;=254,"Post","Later"))</f>
        <v>Pre</v>
      </c>
      <c r="H242" s="5" t="s">
        <v>353</v>
      </c>
      <c r="I242" s="5" t="s">
        <v>354</v>
      </c>
    </row>
    <row r="243" customFormat="false" ht="15" hidden="false" customHeight="false" outlineLevel="0" collapsed="false">
      <c r="A243" s="5" t="s">
        <v>145</v>
      </c>
      <c r="B243" s="5" t="s">
        <v>102</v>
      </c>
      <c r="C243" s="5" t="s">
        <v>125</v>
      </c>
      <c r="D243" s="5" t="s">
        <v>167</v>
      </c>
      <c r="E243" s="5" t="s">
        <v>172</v>
      </c>
      <c r="F243" s="16" t="n">
        <v>8.92</v>
      </c>
      <c r="G243" s="12" t="str">
        <f aca="false">IF(VALUE(MID(D243,3,2))*10+VALUE(MID(E243,2,1))&lt;=242,"Pre",IF(VALUE(MID(D243,3,2))*10+VALUE(MID(E243,2,1))&lt;=254,"Post","Later"))</f>
        <v>Pre</v>
      </c>
      <c r="H243" s="5" t="s">
        <v>355</v>
      </c>
      <c r="I243" s="5" t="s">
        <v>354</v>
      </c>
    </row>
    <row r="244" customFormat="false" ht="15" hidden="false" customHeight="false" outlineLevel="0" collapsed="false">
      <c r="A244" s="5" t="s">
        <v>145</v>
      </c>
      <c r="B244" s="5" t="s">
        <v>102</v>
      </c>
      <c r="C244" s="5" t="s">
        <v>125</v>
      </c>
      <c r="D244" s="5" t="s">
        <v>167</v>
      </c>
      <c r="E244" s="5" t="s">
        <v>173</v>
      </c>
      <c r="F244" s="16" t="n">
        <v>8.86</v>
      </c>
      <c r="G244" s="12" t="str">
        <f aca="false">IF(VALUE(MID(D244,3,2))*10+VALUE(MID(E244,2,1))&lt;=242,"Pre",IF(VALUE(MID(D244,3,2))*10+VALUE(MID(E244,2,1))&lt;=254,"Post","Later"))</f>
        <v>Pre</v>
      </c>
      <c r="H244" s="5" t="s">
        <v>356</v>
      </c>
      <c r="I244" s="5" t="s">
        <v>354</v>
      </c>
    </row>
    <row r="245" customFormat="false" ht="15" hidden="false" customHeight="false" outlineLevel="0" collapsed="false">
      <c r="A245" s="5" t="s">
        <v>145</v>
      </c>
      <c r="B245" s="5" t="s">
        <v>102</v>
      </c>
      <c r="C245" s="5" t="s">
        <v>125</v>
      </c>
      <c r="D245" s="5" t="s">
        <v>174</v>
      </c>
      <c r="E245" s="5" t="s">
        <v>168</v>
      </c>
      <c r="F245" s="16" t="n">
        <v>8.43</v>
      </c>
      <c r="G245" s="12" t="str">
        <f aca="false">IF(VALUE(MID(D245,3,2))*10+VALUE(MID(E245,2,1))&lt;=242,"Pre",IF(VALUE(MID(D245,3,2))*10+VALUE(MID(E245,2,1))&lt;=254,"Post","Later"))</f>
        <v>Pre</v>
      </c>
      <c r="H245" s="5" t="s">
        <v>357</v>
      </c>
      <c r="I245" s="5" t="s">
        <v>352</v>
      </c>
    </row>
    <row r="246" customFormat="false" ht="15" hidden="false" customHeight="false" outlineLevel="0" collapsed="false">
      <c r="A246" s="5" t="s">
        <v>145</v>
      </c>
      <c r="B246" s="5" t="s">
        <v>102</v>
      </c>
      <c r="C246" s="5" t="s">
        <v>125</v>
      </c>
      <c r="D246" s="5" t="s">
        <v>174</v>
      </c>
      <c r="E246" s="5" t="s">
        <v>171</v>
      </c>
      <c r="F246" s="16" t="n">
        <v>8.47</v>
      </c>
      <c r="G246" s="12" t="str">
        <f aca="false">IF(VALUE(MID(D246,3,2))*10+VALUE(MID(E246,2,1))&lt;=242,"Pre",IF(VALUE(MID(D246,3,2))*10+VALUE(MID(E246,2,1))&lt;=254,"Post","Later"))</f>
        <v>Pre</v>
      </c>
      <c r="H246" s="5" t="s">
        <v>358</v>
      </c>
      <c r="I246" s="5" t="s">
        <v>354</v>
      </c>
    </row>
    <row r="247" customFormat="false" ht="15" hidden="false" customHeight="false" outlineLevel="0" collapsed="false">
      <c r="A247" s="5" t="s">
        <v>145</v>
      </c>
      <c r="B247" s="5" t="s">
        <v>102</v>
      </c>
      <c r="C247" s="5" t="s">
        <v>125</v>
      </c>
      <c r="D247" s="5" t="s">
        <v>174</v>
      </c>
      <c r="E247" s="5" t="s">
        <v>172</v>
      </c>
      <c r="F247" s="16" t="n">
        <v>8.15</v>
      </c>
      <c r="G247" s="12" t="str">
        <f aca="false">IF(VALUE(MID(D247,3,2))*10+VALUE(MID(E247,2,1))&lt;=242,"Pre",IF(VALUE(MID(D247,3,2))*10+VALUE(MID(E247,2,1))&lt;=254,"Post","Later"))</f>
        <v>Pre</v>
      </c>
      <c r="H247" s="5" t="s">
        <v>359</v>
      </c>
      <c r="I247" s="5" t="s">
        <v>354</v>
      </c>
    </row>
    <row r="248" customFormat="false" ht="15" hidden="false" customHeight="false" outlineLevel="0" collapsed="false">
      <c r="A248" s="5" t="s">
        <v>145</v>
      </c>
      <c r="B248" s="5" t="s">
        <v>102</v>
      </c>
      <c r="C248" s="5" t="s">
        <v>125</v>
      </c>
      <c r="D248" s="5" t="s">
        <v>174</v>
      </c>
      <c r="E248" s="5" t="s">
        <v>173</v>
      </c>
      <c r="F248" s="16" t="n">
        <v>8.15</v>
      </c>
      <c r="G248" s="12" t="str">
        <f aca="false">IF(VALUE(MID(D248,3,2))*10+VALUE(MID(E248,2,1))&lt;=242,"Pre",IF(VALUE(MID(D248,3,2))*10+VALUE(MID(E248,2,1))&lt;=254,"Post","Later"))</f>
        <v>Pre</v>
      </c>
      <c r="H248" s="5" t="s">
        <v>360</v>
      </c>
      <c r="I248" s="5" t="s">
        <v>354</v>
      </c>
    </row>
    <row r="249" customFormat="false" ht="15" hidden="false" customHeight="false" outlineLevel="0" collapsed="false">
      <c r="A249" s="5" t="s">
        <v>145</v>
      </c>
      <c r="B249" s="5" t="s">
        <v>102</v>
      </c>
      <c r="C249" s="5" t="s">
        <v>125</v>
      </c>
      <c r="D249" s="5" t="s">
        <v>176</v>
      </c>
      <c r="E249" s="5" t="s">
        <v>168</v>
      </c>
      <c r="F249" s="16" t="n">
        <v>8.16</v>
      </c>
      <c r="G249" s="12" t="str">
        <f aca="false">IF(VALUE(MID(D249,3,2))*10+VALUE(MID(E249,2,1))&lt;=242,"Pre",IF(VALUE(MID(D249,3,2))*10+VALUE(MID(E249,2,1))&lt;=254,"Post","Later"))</f>
        <v>Pre</v>
      </c>
      <c r="H249" s="5" t="s">
        <v>361</v>
      </c>
      <c r="I249" s="5" t="s">
        <v>362</v>
      </c>
    </row>
    <row r="250" customFormat="false" ht="15" hidden="false" customHeight="false" outlineLevel="0" collapsed="false">
      <c r="A250" s="5" t="s">
        <v>145</v>
      </c>
      <c r="B250" s="5" t="s">
        <v>102</v>
      </c>
      <c r="C250" s="5" t="s">
        <v>125</v>
      </c>
      <c r="D250" s="5" t="s">
        <v>176</v>
      </c>
      <c r="E250" s="5" t="s">
        <v>171</v>
      </c>
      <c r="F250" s="16" t="n">
        <v>8.28</v>
      </c>
      <c r="G250" s="12" t="str">
        <f aca="false">IF(VALUE(MID(D250,3,2))*10+VALUE(MID(E250,2,1))&lt;=242,"Pre",IF(VALUE(MID(D250,3,2))*10+VALUE(MID(E250,2,1))&lt;=254,"Post","Later"))</f>
        <v>Pre</v>
      </c>
      <c r="H250" s="5" t="s">
        <v>363</v>
      </c>
      <c r="I250" s="5" t="s">
        <v>362</v>
      </c>
    </row>
    <row r="251" customFormat="false" ht="15" hidden="false" customHeight="false" outlineLevel="0" collapsed="false">
      <c r="A251" s="5" t="s">
        <v>145</v>
      </c>
      <c r="B251" s="5" t="s">
        <v>102</v>
      </c>
      <c r="C251" s="5" t="s">
        <v>125</v>
      </c>
      <c r="D251" s="5" t="s">
        <v>176</v>
      </c>
      <c r="E251" s="5" t="s">
        <v>172</v>
      </c>
      <c r="F251" s="16" t="n">
        <v>8.11</v>
      </c>
      <c r="G251" s="12" t="str">
        <f aca="false">IF(VALUE(MID(D251,3,2))*10+VALUE(MID(E251,2,1))&lt;=242,"Pre",IF(VALUE(MID(D251,3,2))*10+VALUE(MID(E251,2,1))&lt;=254,"Post","Later"))</f>
        <v>Pre</v>
      </c>
      <c r="H251" s="5" t="s">
        <v>364</v>
      </c>
      <c r="I251" s="5" t="s">
        <v>362</v>
      </c>
    </row>
    <row r="252" customFormat="false" ht="15" hidden="false" customHeight="false" outlineLevel="0" collapsed="false">
      <c r="A252" s="5" t="s">
        <v>145</v>
      </c>
      <c r="B252" s="5" t="s">
        <v>102</v>
      </c>
      <c r="C252" s="5" t="s">
        <v>125</v>
      </c>
      <c r="D252" s="5" t="s">
        <v>176</v>
      </c>
      <c r="E252" s="5" t="s">
        <v>173</v>
      </c>
      <c r="F252" s="16" t="n">
        <v>8.38</v>
      </c>
      <c r="G252" s="12" t="str">
        <f aca="false">IF(VALUE(MID(D252,3,2))*10+VALUE(MID(E252,2,1))&lt;=242,"Pre",IF(VALUE(MID(D252,3,2))*10+VALUE(MID(E252,2,1))&lt;=254,"Post","Later"))</f>
        <v>Pre</v>
      </c>
      <c r="H252" s="5" t="s">
        <v>365</v>
      </c>
      <c r="I252" s="5" t="s">
        <v>362</v>
      </c>
    </row>
    <row r="253" customFormat="false" ht="15" hidden="false" customHeight="false" outlineLevel="0" collapsed="false">
      <c r="A253" s="5" t="s">
        <v>145</v>
      </c>
      <c r="B253" s="5" t="s">
        <v>102</v>
      </c>
      <c r="C253" s="5" t="s">
        <v>125</v>
      </c>
      <c r="D253" s="5" t="s">
        <v>177</v>
      </c>
      <c r="E253" s="5" t="s">
        <v>168</v>
      </c>
      <c r="F253" s="16" t="n">
        <v>8.71</v>
      </c>
      <c r="G253" s="12" t="str">
        <f aca="false">IF(VALUE(MID(D253,3,2))*10+VALUE(MID(E253,2,1))&lt;=242,"Pre",IF(VALUE(MID(D253,3,2))*10+VALUE(MID(E253,2,1))&lt;=254,"Post","Later"))</f>
        <v>Pre</v>
      </c>
      <c r="H253" s="5" t="s">
        <v>366</v>
      </c>
      <c r="I253" s="5" t="s">
        <v>362</v>
      </c>
    </row>
    <row r="254" customFormat="false" ht="15" hidden="false" customHeight="false" outlineLevel="0" collapsed="false">
      <c r="A254" s="5" t="s">
        <v>145</v>
      </c>
      <c r="B254" s="5" t="s">
        <v>102</v>
      </c>
      <c r="C254" s="5" t="s">
        <v>125</v>
      </c>
      <c r="D254" s="5" t="s">
        <v>177</v>
      </c>
      <c r="E254" s="5" t="s">
        <v>171</v>
      </c>
      <c r="F254" s="16" t="n">
        <v>8.75</v>
      </c>
      <c r="G254" s="12" t="str">
        <f aca="false">IF(VALUE(MID(D254,3,2))*10+VALUE(MID(E254,2,1))&lt;=242,"Pre",IF(VALUE(MID(D254,3,2))*10+VALUE(MID(E254,2,1))&lt;=254,"Post","Later"))</f>
        <v>Pre</v>
      </c>
      <c r="H254" s="5" t="s">
        <v>367</v>
      </c>
      <c r="I254" s="5" t="s">
        <v>362</v>
      </c>
    </row>
    <row r="255" customFormat="false" ht="15" hidden="false" customHeight="false" outlineLevel="0" collapsed="false">
      <c r="A255" s="5" t="s">
        <v>145</v>
      </c>
      <c r="B255" s="5" t="s">
        <v>102</v>
      </c>
      <c r="C255" s="5" t="s">
        <v>125</v>
      </c>
      <c r="D255" s="5" t="s">
        <v>177</v>
      </c>
      <c r="E255" s="5" t="s">
        <v>172</v>
      </c>
      <c r="F255" s="16" t="n">
        <v>8.79</v>
      </c>
      <c r="G255" s="12" t="str">
        <f aca="false">IF(VALUE(MID(D255,3,2))*10+VALUE(MID(E255,2,1))&lt;=242,"Pre",IF(VALUE(MID(D255,3,2))*10+VALUE(MID(E255,2,1))&lt;=254,"Post","Later"))</f>
        <v>Post</v>
      </c>
      <c r="H255" s="5" t="s">
        <v>368</v>
      </c>
      <c r="I255" s="5" t="s">
        <v>362</v>
      </c>
    </row>
    <row r="256" customFormat="false" ht="15" hidden="false" customHeight="false" outlineLevel="0" collapsed="false">
      <c r="A256" s="5" t="s">
        <v>145</v>
      </c>
      <c r="B256" s="5" t="s">
        <v>102</v>
      </c>
      <c r="C256" s="5" t="s">
        <v>125</v>
      </c>
      <c r="D256" s="5" t="s">
        <v>177</v>
      </c>
      <c r="E256" s="5" t="s">
        <v>173</v>
      </c>
      <c r="F256" s="16" t="n">
        <v>8.87</v>
      </c>
      <c r="G256" s="12" t="str">
        <f aca="false">IF(VALUE(MID(D256,3,2))*10+VALUE(MID(E256,2,1))&lt;=242,"Pre",IF(VALUE(MID(D256,3,2))*10+VALUE(MID(E256,2,1))&lt;=254,"Post","Later"))</f>
        <v>Post</v>
      </c>
      <c r="H256" s="5" t="s">
        <v>369</v>
      </c>
      <c r="I256" s="5" t="s">
        <v>362</v>
      </c>
    </row>
    <row r="257" customFormat="false" ht="15" hidden="false" customHeight="false" outlineLevel="0" collapsed="false">
      <c r="A257" s="5" t="s">
        <v>145</v>
      </c>
      <c r="B257" s="5" t="s">
        <v>102</v>
      </c>
      <c r="C257" s="5" t="s">
        <v>125</v>
      </c>
      <c r="D257" s="5" t="s">
        <v>179</v>
      </c>
      <c r="E257" s="5" t="s">
        <v>168</v>
      </c>
      <c r="F257" s="16" t="n">
        <v>8.86</v>
      </c>
      <c r="G257" s="12" t="str">
        <f aca="false">IF(VALUE(MID(D257,3,2))*10+VALUE(MID(E257,2,1))&lt;=242,"Pre",IF(VALUE(MID(D257,3,2))*10+VALUE(MID(E257,2,1))&lt;=254,"Post","Later"))</f>
        <v>Post</v>
      </c>
      <c r="H257" s="5" t="s">
        <v>370</v>
      </c>
      <c r="I257" s="5" t="s">
        <v>362</v>
      </c>
    </row>
    <row r="258" customFormat="false" ht="15" hidden="false" customHeight="false" outlineLevel="0" collapsed="false">
      <c r="A258" s="5" t="s">
        <v>145</v>
      </c>
      <c r="B258" s="5" t="s">
        <v>102</v>
      </c>
      <c r="C258" s="5" t="s">
        <v>125</v>
      </c>
      <c r="D258" s="5" t="s">
        <v>179</v>
      </c>
      <c r="E258" s="5" t="s">
        <v>171</v>
      </c>
      <c r="F258" s="16" t="n">
        <v>8.91</v>
      </c>
      <c r="G258" s="12" t="str">
        <f aca="false">IF(VALUE(MID(D258,3,2))*10+VALUE(MID(E258,2,1))&lt;=242,"Pre",IF(VALUE(MID(D258,3,2))*10+VALUE(MID(E258,2,1))&lt;=254,"Post","Later"))</f>
        <v>Post</v>
      </c>
      <c r="H258" s="5" t="s">
        <v>371</v>
      </c>
      <c r="I258" s="5" t="s">
        <v>362</v>
      </c>
    </row>
    <row r="259" customFormat="false" ht="15" hidden="false" customHeight="false" outlineLevel="0" collapsed="false">
      <c r="A259" s="5" t="s">
        <v>145</v>
      </c>
      <c r="B259" s="5" t="s">
        <v>102</v>
      </c>
      <c r="C259" s="5" t="s">
        <v>125</v>
      </c>
      <c r="D259" s="5" t="s">
        <v>179</v>
      </c>
      <c r="E259" s="5" t="s">
        <v>172</v>
      </c>
      <c r="F259" s="16" t="n">
        <v>8.92</v>
      </c>
      <c r="G259" s="12" t="str">
        <f aca="false">IF(VALUE(MID(D259,3,2))*10+VALUE(MID(E259,2,1))&lt;=242,"Pre",IF(VALUE(MID(D259,3,2))*10+VALUE(MID(E259,2,1))&lt;=254,"Post","Later"))</f>
        <v>Post</v>
      </c>
      <c r="H259" s="5" t="s">
        <v>372</v>
      </c>
      <c r="I259" s="5" t="s">
        <v>362</v>
      </c>
    </row>
    <row r="260" customFormat="false" ht="15" hidden="false" customHeight="false" outlineLevel="0" collapsed="false">
      <c r="A260" s="5" t="s">
        <v>145</v>
      </c>
      <c r="B260" s="5" t="s">
        <v>102</v>
      </c>
      <c r="C260" s="5" t="s">
        <v>125</v>
      </c>
      <c r="D260" s="5" t="s">
        <v>179</v>
      </c>
      <c r="E260" s="5" t="s">
        <v>173</v>
      </c>
      <c r="F260" s="16" t="n">
        <v>8.98</v>
      </c>
      <c r="G260" s="12" t="str">
        <f aca="false">IF(VALUE(MID(D260,3,2))*10+VALUE(MID(E260,2,1))&lt;=242,"Pre",IF(VALUE(MID(D260,3,2))*10+VALUE(MID(E260,2,1))&lt;=254,"Post","Later"))</f>
        <v>Post</v>
      </c>
      <c r="H260" s="5" t="s">
        <v>373</v>
      </c>
      <c r="I260" s="5" t="s">
        <v>362</v>
      </c>
    </row>
    <row r="261" customFormat="false" ht="15" hidden="false" customHeight="false" outlineLevel="0" collapsed="false">
      <c r="A261" s="5" t="s">
        <v>145</v>
      </c>
      <c r="B261" s="5" t="s">
        <v>102</v>
      </c>
      <c r="C261" s="5" t="s">
        <v>125</v>
      </c>
      <c r="D261" s="5" t="s">
        <v>180</v>
      </c>
      <c r="E261" s="5" t="s">
        <v>168</v>
      </c>
      <c r="F261" s="16" t="n">
        <v>8.91</v>
      </c>
      <c r="G261" s="12" t="str">
        <f aca="false">IF(VALUE(MID(D261,3,2))*10+VALUE(MID(E261,2,1))&lt;=242,"Pre",IF(VALUE(MID(D261,3,2))*10+VALUE(MID(E261,2,1))&lt;=254,"Post","Later"))</f>
        <v>Later</v>
      </c>
      <c r="H261" s="5" t="s">
        <v>374</v>
      </c>
      <c r="I261" s="5" t="s">
        <v>362</v>
      </c>
    </row>
    <row r="262" customFormat="false" ht="15" hidden="false" customHeight="false" outlineLevel="0" collapsed="false">
      <c r="A262" s="5" t="s">
        <v>145</v>
      </c>
      <c r="B262" s="5" t="s">
        <v>102</v>
      </c>
      <c r="C262" s="5" t="s">
        <v>125</v>
      </c>
      <c r="D262" s="5" t="s">
        <v>180</v>
      </c>
      <c r="E262" s="5" t="s">
        <v>171</v>
      </c>
      <c r="F262" s="16" t="n">
        <v>8.8</v>
      </c>
      <c r="G262" s="12" t="str">
        <f aca="false">IF(VALUE(MID(D262,3,2))*10+VALUE(MID(E262,2,1))&lt;=242,"Pre",IF(VALUE(MID(D262,3,2))*10+VALUE(MID(E262,2,1))&lt;=254,"Post","Later"))</f>
        <v>Later</v>
      </c>
      <c r="H262" s="5" t="s">
        <v>375</v>
      </c>
      <c r="I262" s="5" t="s">
        <v>362</v>
      </c>
    </row>
    <row r="263" customFormat="false" ht="15" hidden="false" customHeight="false" outlineLevel="0" collapsed="false">
      <c r="A263" s="5" t="s">
        <v>145</v>
      </c>
      <c r="B263" s="5" t="s">
        <v>102</v>
      </c>
      <c r="C263" s="5" t="s">
        <v>125</v>
      </c>
      <c r="D263" s="5" t="s">
        <v>180</v>
      </c>
      <c r="E263" s="5" t="s">
        <v>172</v>
      </c>
      <c r="F263" s="16" t="n">
        <v>8.64</v>
      </c>
      <c r="G263" s="12" t="str">
        <f aca="false">IF(VALUE(MID(D263,3,2))*10+VALUE(MID(E263,2,1))&lt;=242,"Pre",IF(VALUE(MID(D263,3,2))*10+VALUE(MID(E263,2,1))&lt;=254,"Post","Later"))</f>
        <v>Later</v>
      </c>
      <c r="H263" s="5" t="s">
        <v>376</v>
      </c>
      <c r="I263" s="5" t="s">
        <v>362</v>
      </c>
    </row>
    <row r="264" customFormat="false" ht="15" hidden="false" customHeight="false" outlineLevel="0" collapsed="false">
      <c r="A264" s="5" t="s">
        <v>148</v>
      </c>
      <c r="B264" s="5" t="s">
        <v>94</v>
      </c>
      <c r="C264" s="5" t="s">
        <v>120</v>
      </c>
      <c r="D264" s="5" t="s">
        <v>167</v>
      </c>
      <c r="E264" s="5" t="s">
        <v>168</v>
      </c>
      <c r="F264" s="16" t="n">
        <v>8.13</v>
      </c>
      <c r="G264" s="12" t="str">
        <f aca="false">IF(VALUE(MID(D264,3,2))*10+VALUE(MID(E264,2,1))&lt;=242,"Pre",IF(VALUE(MID(D264,3,2))*10+VALUE(MID(E264,2,1))&lt;=254,"Post","Later"))</f>
        <v>Pre</v>
      </c>
      <c r="H264" s="5" t="s">
        <v>377</v>
      </c>
      <c r="I264" s="5" t="s">
        <v>378</v>
      </c>
    </row>
    <row r="265" customFormat="false" ht="15" hidden="false" customHeight="false" outlineLevel="0" collapsed="false">
      <c r="A265" s="5" t="s">
        <v>148</v>
      </c>
      <c r="B265" s="5" t="s">
        <v>94</v>
      </c>
      <c r="C265" s="5" t="s">
        <v>120</v>
      </c>
      <c r="D265" s="5" t="s">
        <v>167</v>
      </c>
      <c r="E265" s="5" t="s">
        <v>171</v>
      </c>
      <c r="F265" s="16" t="n">
        <v>8.01</v>
      </c>
      <c r="G265" s="12" t="str">
        <f aca="false">IF(VALUE(MID(D265,3,2))*10+VALUE(MID(E265,2,1))&lt;=242,"Pre",IF(VALUE(MID(D265,3,2))*10+VALUE(MID(E265,2,1))&lt;=254,"Post","Later"))</f>
        <v>Pre</v>
      </c>
      <c r="H265" s="5" t="s">
        <v>377</v>
      </c>
      <c r="I265" s="5" t="s">
        <v>378</v>
      </c>
    </row>
    <row r="266" customFormat="false" ht="15" hidden="false" customHeight="false" outlineLevel="0" collapsed="false">
      <c r="A266" s="5" t="s">
        <v>148</v>
      </c>
      <c r="B266" s="5" t="s">
        <v>94</v>
      </c>
      <c r="C266" s="5" t="s">
        <v>120</v>
      </c>
      <c r="D266" s="5" t="s">
        <v>167</v>
      </c>
      <c r="E266" s="5" t="s">
        <v>172</v>
      </c>
      <c r="F266" s="16" t="n">
        <v>7.72</v>
      </c>
      <c r="G266" s="12" t="str">
        <f aca="false">IF(VALUE(MID(D266,3,2))*10+VALUE(MID(E266,2,1))&lt;=242,"Pre",IF(VALUE(MID(D266,3,2))*10+VALUE(MID(E266,2,1))&lt;=254,"Post","Later"))</f>
        <v>Pre</v>
      </c>
      <c r="H266" s="5" t="s">
        <v>377</v>
      </c>
      <c r="I266" s="5" t="s">
        <v>378</v>
      </c>
    </row>
    <row r="267" customFormat="false" ht="15" hidden="false" customHeight="false" outlineLevel="0" collapsed="false">
      <c r="A267" s="5" t="s">
        <v>148</v>
      </c>
      <c r="B267" s="5" t="s">
        <v>94</v>
      </c>
      <c r="C267" s="5" t="s">
        <v>120</v>
      </c>
      <c r="D267" s="5" t="s">
        <v>167</v>
      </c>
      <c r="E267" s="5" t="s">
        <v>173</v>
      </c>
      <c r="F267" s="16" t="n">
        <v>7.6</v>
      </c>
      <c r="G267" s="12" t="str">
        <f aca="false">IF(VALUE(MID(D267,3,2))*10+VALUE(MID(E267,2,1))&lt;=242,"Pre",IF(VALUE(MID(D267,3,2))*10+VALUE(MID(E267,2,1))&lt;=254,"Post","Later"))</f>
        <v>Pre</v>
      </c>
      <c r="H267" s="5" t="s">
        <v>377</v>
      </c>
      <c r="I267" s="5" t="s">
        <v>378</v>
      </c>
    </row>
    <row r="268" customFormat="false" ht="15" hidden="false" customHeight="false" outlineLevel="0" collapsed="false">
      <c r="A268" s="5" t="s">
        <v>148</v>
      </c>
      <c r="B268" s="5" t="s">
        <v>94</v>
      </c>
      <c r="C268" s="5" t="s">
        <v>120</v>
      </c>
      <c r="D268" s="5" t="s">
        <v>174</v>
      </c>
      <c r="E268" s="5" t="s">
        <v>168</v>
      </c>
      <c r="F268" s="16" t="n">
        <v>7.49</v>
      </c>
      <c r="G268" s="12" t="str">
        <f aca="false">IF(VALUE(MID(D268,3,2))*10+VALUE(MID(E268,2,1))&lt;=242,"Pre",IF(VALUE(MID(D268,3,2))*10+VALUE(MID(E268,2,1))&lt;=254,"Post","Later"))</f>
        <v>Pre</v>
      </c>
      <c r="H268" s="5" t="s">
        <v>379</v>
      </c>
      <c r="I268" s="5" t="s">
        <v>378</v>
      </c>
    </row>
    <row r="269" customFormat="false" ht="15" hidden="false" customHeight="false" outlineLevel="0" collapsed="false">
      <c r="A269" s="5" t="s">
        <v>148</v>
      </c>
      <c r="B269" s="5" t="s">
        <v>94</v>
      </c>
      <c r="C269" s="5" t="s">
        <v>120</v>
      </c>
      <c r="D269" s="5" t="s">
        <v>174</v>
      </c>
      <c r="E269" s="5" t="s">
        <v>171</v>
      </c>
      <c r="F269" s="16" t="n">
        <v>7.29</v>
      </c>
      <c r="G269" s="12" t="str">
        <f aca="false">IF(VALUE(MID(D269,3,2))*10+VALUE(MID(E269,2,1))&lt;=242,"Pre",IF(VALUE(MID(D269,3,2))*10+VALUE(MID(E269,2,1))&lt;=254,"Post","Later"))</f>
        <v>Pre</v>
      </c>
      <c r="H269" s="5" t="s">
        <v>379</v>
      </c>
      <c r="I269" s="5" t="s">
        <v>378</v>
      </c>
    </row>
    <row r="270" customFormat="false" ht="15" hidden="false" customHeight="false" outlineLevel="0" collapsed="false">
      <c r="A270" s="5" t="s">
        <v>148</v>
      </c>
      <c r="B270" s="5" t="s">
        <v>94</v>
      </c>
      <c r="C270" s="5" t="s">
        <v>120</v>
      </c>
      <c r="D270" s="5" t="s">
        <v>174</v>
      </c>
      <c r="E270" s="5" t="s">
        <v>172</v>
      </c>
      <c r="F270" s="16" t="n">
        <v>7.24</v>
      </c>
      <c r="G270" s="12" t="str">
        <f aca="false">IF(VALUE(MID(D270,3,2))*10+VALUE(MID(E270,2,1))&lt;=242,"Pre",IF(VALUE(MID(D270,3,2))*10+VALUE(MID(E270,2,1))&lt;=254,"Post","Later"))</f>
        <v>Pre</v>
      </c>
      <c r="H270" s="5" t="s">
        <v>379</v>
      </c>
      <c r="I270" s="5" t="s">
        <v>378</v>
      </c>
    </row>
    <row r="271" customFormat="false" ht="15" hidden="false" customHeight="false" outlineLevel="0" collapsed="false">
      <c r="A271" s="5" t="s">
        <v>148</v>
      </c>
      <c r="B271" s="5" t="s">
        <v>94</v>
      </c>
      <c r="C271" s="5" t="s">
        <v>120</v>
      </c>
      <c r="D271" s="5" t="s">
        <v>174</v>
      </c>
      <c r="E271" s="5" t="s">
        <v>173</v>
      </c>
      <c r="F271" s="16" t="n">
        <v>7.1</v>
      </c>
      <c r="G271" s="12" t="str">
        <f aca="false">IF(VALUE(MID(D271,3,2))*10+VALUE(MID(E271,2,1))&lt;=242,"Pre",IF(VALUE(MID(D271,3,2))*10+VALUE(MID(E271,2,1))&lt;=254,"Post","Later"))</f>
        <v>Pre</v>
      </c>
      <c r="H271" s="5" t="s">
        <v>379</v>
      </c>
      <c r="I271" s="5" t="s">
        <v>378</v>
      </c>
    </row>
    <row r="272" customFormat="false" ht="15" hidden="false" customHeight="false" outlineLevel="0" collapsed="false">
      <c r="A272" s="5" t="s">
        <v>148</v>
      </c>
      <c r="B272" s="5" t="s">
        <v>94</v>
      </c>
      <c r="C272" s="5" t="s">
        <v>120</v>
      </c>
      <c r="D272" s="5" t="s">
        <v>176</v>
      </c>
      <c r="E272" s="5" t="s">
        <v>168</v>
      </c>
      <c r="F272" s="16" t="n">
        <v>7.21</v>
      </c>
      <c r="G272" s="12" t="str">
        <f aca="false">IF(VALUE(MID(D272,3,2))*10+VALUE(MID(E272,2,1))&lt;=242,"Pre",IF(VALUE(MID(D272,3,2))*10+VALUE(MID(E272,2,1))&lt;=254,"Post","Later"))</f>
        <v>Pre</v>
      </c>
      <c r="H272" s="5" t="s">
        <v>380</v>
      </c>
      <c r="I272" s="5" t="s">
        <v>378</v>
      </c>
    </row>
    <row r="273" customFormat="false" ht="15" hidden="false" customHeight="false" outlineLevel="0" collapsed="false">
      <c r="A273" s="5" t="s">
        <v>148</v>
      </c>
      <c r="B273" s="5" t="s">
        <v>94</v>
      </c>
      <c r="C273" s="5" t="s">
        <v>120</v>
      </c>
      <c r="D273" s="5" t="s">
        <v>176</v>
      </c>
      <c r="E273" s="5" t="s">
        <v>171</v>
      </c>
      <c r="F273" s="16" t="n">
        <v>7.32</v>
      </c>
      <c r="G273" s="12" t="str">
        <f aca="false">IF(VALUE(MID(D273,3,2))*10+VALUE(MID(E273,2,1))&lt;=242,"Pre",IF(VALUE(MID(D273,3,2))*10+VALUE(MID(E273,2,1))&lt;=254,"Post","Later"))</f>
        <v>Pre</v>
      </c>
      <c r="H273" s="5" t="s">
        <v>380</v>
      </c>
      <c r="I273" s="5" t="s">
        <v>378</v>
      </c>
    </row>
    <row r="274" customFormat="false" ht="15" hidden="false" customHeight="false" outlineLevel="0" collapsed="false">
      <c r="A274" s="5" t="s">
        <v>148</v>
      </c>
      <c r="B274" s="5" t="s">
        <v>94</v>
      </c>
      <c r="C274" s="5" t="s">
        <v>120</v>
      </c>
      <c r="D274" s="5" t="s">
        <v>176</v>
      </c>
      <c r="E274" s="5" t="s">
        <v>172</v>
      </c>
      <c r="F274" s="16" t="n">
        <v>7.55</v>
      </c>
      <c r="G274" s="12" t="str">
        <f aca="false">IF(VALUE(MID(D274,3,2))*10+VALUE(MID(E274,2,1))&lt;=242,"Pre",IF(VALUE(MID(D274,3,2))*10+VALUE(MID(E274,2,1))&lt;=254,"Post","Later"))</f>
        <v>Pre</v>
      </c>
      <c r="H274" s="5" t="s">
        <v>380</v>
      </c>
      <c r="I274" s="5" t="s">
        <v>378</v>
      </c>
    </row>
    <row r="275" customFormat="false" ht="15" hidden="false" customHeight="false" outlineLevel="0" collapsed="false">
      <c r="A275" s="5" t="s">
        <v>148</v>
      </c>
      <c r="B275" s="5" t="s">
        <v>94</v>
      </c>
      <c r="C275" s="5" t="s">
        <v>120</v>
      </c>
      <c r="D275" s="5" t="s">
        <v>176</v>
      </c>
      <c r="E275" s="5" t="s">
        <v>173</v>
      </c>
      <c r="F275" s="16" t="n">
        <v>7.76</v>
      </c>
      <c r="G275" s="12" t="str">
        <f aca="false">IF(VALUE(MID(D275,3,2))*10+VALUE(MID(E275,2,1))&lt;=242,"Pre",IF(VALUE(MID(D275,3,2))*10+VALUE(MID(E275,2,1))&lt;=254,"Post","Later"))</f>
        <v>Pre</v>
      </c>
      <c r="H275" s="5" t="s">
        <v>380</v>
      </c>
      <c r="I275" s="5" t="s">
        <v>378</v>
      </c>
    </row>
    <row r="276" customFormat="false" ht="15" hidden="false" customHeight="false" outlineLevel="0" collapsed="false">
      <c r="A276" s="5" t="s">
        <v>148</v>
      </c>
      <c r="B276" s="5" t="s">
        <v>94</v>
      </c>
      <c r="C276" s="5" t="s">
        <v>120</v>
      </c>
      <c r="D276" s="5" t="s">
        <v>177</v>
      </c>
      <c r="E276" s="5" t="s">
        <v>168</v>
      </c>
      <c r="F276" s="16" t="n">
        <v>7.97</v>
      </c>
      <c r="G276" s="12" t="str">
        <f aca="false">IF(VALUE(MID(D276,3,2))*10+VALUE(MID(E276,2,1))&lt;=242,"Pre",IF(VALUE(MID(D276,3,2))*10+VALUE(MID(E276,2,1))&lt;=254,"Post","Later"))</f>
        <v>Pre</v>
      </c>
      <c r="H276" s="5" t="s">
        <v>381</v>
      </c>
      <c r="I276" s="5" t="s">
        <v>378</v>
      </c>
    </row>
    <row r="277" customFormat="false" ht="15" hidden="false" customHeight="false" outlineLevel="0" collapsed="false">
      <c r="A277" s="5" t="s">
        <v>148</v>
      </c>
      <c r="B277" s="5" t="s">
        <v>94</v>
      </c>
      <c r="C277" s="5" t="s">
        <v>120</v>
      </c>
      <c r="D277" s="5" t="s">
        <v>177</v>
      </c>
      <c r="E277" s="5" t="s">
        <v>171</v>
      </c>
      <c r="F277" s="16" t="n">
        <v>7.99</v>
      </c>
      <c r="G277" s="12" t="str">
        <f aca="false">IF(VALUE(MID(D277,3,2))*10+VALUE(MID(E277,2,1))&lt;=242,"Pre",IF(VALUE(MID(D277,3,2))*10+VALUE(MID(E277,2,1))&lt;=254,"Post","Later"))</f>
        <v>Pre</v>
      </c>
      <c r="H277" s="5" t="s">
        <v>381</v>
      </c>
      <c r="I277" s="5" t="s">
        <v>378</v>
      </c>
    </row>
    <row r="278" customFormat="false" ht="15" hidden="false" customHeight="false" outlineLevel="0" collapsed="false">
      <c r="A278" s="5" t="s">
        <v>148</v>
      </c>
      <c r="B278" s="5" t="s">
        <v>94</v>
      </c>
      <c r="C278" s="5" t="s">
        <v>120</v>
      </c>
      <c r="D278" s="5" t="s">
        <v>177</v>
      </c>
      <c r="E278" s="5" t="s">
        <v>172</v>
      </c>
      <c r="F278" s="16" t="n">
        <v>8.07</v>
      </c>
      <c r="G278" s="12" t="str">
        <f aca="false">IF(VALUE(MID(D278,3,2))*10+VALUE(MID(E278,2,1))&lt;=242,"Pre",IF(VALUE(MID(D278,3,2))*10+VALUE(MID(E278,2,1))&lt;=254,"Post","Later"))</f>
        <v>Post</v>
      </c>
      <c r="H278" s="5" t="s">
        <v>381</v>
      </c>
      <c r="I278" s="5" t="s">
        <v>378</v>
      </c>
    </row>
    <row r="279" customFormat="false" ht="15" hidden="false" customHeight="false" outlineLevel="0" collapsed="false">
      <c r="A279" s="5" t="s">
        <v>148</v>
      </c>
      <c r="B279" s="5" t="s">
        <v>94</v>
      </c>
      <c r="C279" s="5" t="s">
        <v>120</v>
      </c>
      <c r="D279" s="5" t="s">
        <v>177</v>
      </c>
      <c r="E279" s="5" t="s">
        <v>173</v>
      </c>
      <c r="F279" s="16" t="n">
        <v>7.98</v>
      </c>
      <c r="G279" s="12" t="str">
        <f aca="false">IF(VALUE(MID(D279,3,2))*10+VALUE(MID(E279,2,1))&lt;=242,"Pre",IF(VALUE(MID(D279,3,2))*10+VALUE(MID(E279,2,1))&lt;=254,"Post","Later"))</f>
        <v>Post</v>
      </c>
      <c r="H279" s="5" t="s">
        <v>381</v>
      </c>
      <c r="I279" s="5" t="s">
        <v>378</v>
      </c>
    </row>
    <row r="280" customFormat="false" ht="15" hidden="false" customHeight="false" outlineLevel="0" collapsed="false">
      <c r="A280" s="5" t="s">
        <v>148</v>
      </c>
      <c r="B280" s="5" t="s">
        <v>94</v>
      </c>
      <c r="C280" s="5" t="s">
        <v>120</v>
      </c>
      <c r="D280" s="5" t="s">
        <v>179</v>
      </c>
      <c r="E280" s="5" t="s">
        <v>168</v>
      </c>
      <c r="F280" s="16" t="n">
        <v>7.92</v>
      </c>
      <c r="G280" s="12" t="str">
        <f aca="false">IF(VALUE(MID(D280,3,2))*10+VALUE(MID(E280,2,1))&lt;=242,"Pre",IF(VALUE(MID(D280,3,2))*10+VALUE(MID(E280,2,1))&lt;=254,"Post","Later"))</f>
        <v>Post</v>
      </c>
      <c r="H280" s="5" t="s">
        <v>381</v>
      </c>
      <c r="I280" s="5" t="s">
        <v>378</v>
      </c>
    </row>
    <row r="281" customFormat="false" ht="15" hidden="false" customHeight="false" outlineLevel="0" collapsed="false">
      <c r="A281" s="5" t="s">
        <v>148</v>
      </c>
      <c r="B281" s="5" t="s">
        <v>94</v>
      </c>
      <c r="C281" s="5" t="s">
        <v>120</v>
      </c>
      <c r="D281" s="5" t="s">
        <v>179</v>
      </c>
      <c r="E281" s="5" t="s">
        <v>171</v>
      </c>
      <c r="F281" s="16" t="n">
        <v>7.84</v>
      </c>
      <c r="G281" s="12" t="str">
        <f aca="false">IF(VALUE(MID(D281,3,2))*10+VALUE(MID(E281,2,1))&lt;=242,"Pre",IF(VALUE(MID(D281,3,2))*10+VALUE(MID(E281,2,1))&lt;=254,"Post","Later"))</f>
        <v>Post</v>
      </c>
      <c r="H281" s="5" t="s">
        <v>248</v>
      </c>
      <c r="I281" s="5" t="s">
        <v>378</v>
      </c>
    </row>
    <row r="282" customFormat="false" ht="15" hidden="false" customHeight="false" outlineLevel="0" collapsed="false">
      <c r="A282" s="5" t="s">
        <v>148</v>
      </c>
      <c r="B282" s="5" t="s">
        <v>94</v>
      </c>
      <c r="C282" s="5" t="s">
        <v>120</v>
      </c>
      <c r="D282" s="5" t="s">
        <v>179</v>
      </c>
      <c r="E282" s="5" t="s">
        <v>172</v>
      </c>
      <c r="F282" s="16" t="n">
        <v>7.83</v>
      </c>
      <c r="G282" s="12" t="str">
        <f aca="false">IF(VALUE(MID(D282,3,2))*10+VALUE(MID(E282,2,1))&lt;=242,"Pre",IF(VALUE(MID(D282,3,2))*10+VALUE(MID(E282,2,1))&lt;=254,"Post","Later"))</f>
        <v>Post</v>
      </c>
      <c r="H282" s="5" t="s">
        <v>249</v>
      </c>
      <c r="I282" s="5" t="s">
        <v>378</v>
      </c>
    </row>
    <row r="283" customFormat="false" ht="15" hidden="false" customHeight="false" outlineLevel="0" collapsed="false">
      <c r="A283" s="5" t="s">
        <v>148</v>
      </c>
      <c r="B283" s="5" t="s">
        <v>94</v>
      </c>
      <c r="C283" s="5" t="s">
        <v>120</v>
      </c>
      <c r="D283" s="5" t="s">
        <v>179</v>
      </c>
      <c r="E283" s="5" t="s">
        <v>173</v>
      </c>
      <c r="F283" s="16" t="n">
        <v>7.84</v>
      </c>
      <c r="G283" s="12" t="str">
        <f aca="false">IF(VALUE(MID(D283,3,2))*10+VALUE(MID(E283,2,1))&lt;=242,"Pre",IF(VALUE(MID(D283,3,2))*10+VALUE(MID(E283,2,1))&lt;=254,"Post","Later"))</f>
        <v>Post</v>
      </c>
      <c r="H283" s="5" t="s">
        <v>382</v>
      </c>
      <c r="I283" s="5" t="s">
        <v>378</v>
      </c>
    </row>
    <row r="284" customFormat="false" ht="15" hidden="false" customHeight="false" outlineLevel="0" collapsed="false">
      <c r="A284" s="5" t="s">
        <v>148</v>
      </c>
      <c r="B284" s="5" t="s">
        <v>94</v>
      </c>
      <c r="C284" s="5" t="s">
        <v>120</v>
      </c>
      <c r="D284" s="5" t="s">
        <v>180</v>
      </c>
      <c r="E284" s="5" t="s">
        <v>168</v>
      </c>
      <c r="F284" s="16" t="n">
        <v>7.76</v>
      </c>
      <c r="G284" s="12" t="str">
        <f aca="false">IF(VALUE(MID(D284,3,2))*10+VALUE(MID(E284,2,1))&lt;=242,"Pre",IF(VALUE(MID(D284,3,2))*10+VALUE(MID(E284,2,1))&lt;=254,"Post","Later"))</f>
        <v>Later</v>
      </c>
      <c r="H284" s="5" t="s">
        <v>251</v>
      </c>
      <c r="I284" s="5" t="s">
        <v>378</v>
      </c>
    </row>
    <row r="285" customFormat="false" ht="15" hidden="false" customHeight="false" outlineLevel="0" collapsed="false">
      <c r="A285" s="5" t="s">
        <v>148</v>
      </c>
      <c r="B285" s="5" t="s">
        <v>94</v>
      </c>
      <c r="C285" s="5" t="s">
        <v>120</v>
      </c>
      <c r="D285" s="5" t="s">
        <v>180</v>
      </c>
      <c r="E285" s="5" t="s">
        <v>171</v>
      </c>
      <c r="F285" s="16" t="n">
        <v>7.69</v>
      </c>
      <c r="G285" s="12" t="str">
        <f aca="false">IF(VALUE(MID(D285,3,2))*10+VALUE(MID(E285,2,1))&lt;=242,"Pre",IF(VALUE(MID(D285,3,2))*10+VALUE(MID(E285,2,1))&lt;=254,"Post","Later"))</f>
        <v>Later</v>
      </c>
      <c r="H285" s="5" t="s">
        <v>252</v>
      </c>
      <c r="I285" s="5" t="s">
        <v>378</v>
      </c>
    </row>
    <row r="286" customFormat="false" ht="15" hidden="false" customHeight="false" outlineLevel="0" collapsed="false">
      <c r="A286" s="5" t="s">
        <v>148</v>
      </c>
      <c r="B286" s="5" t="s">
        <v>94</v>
      </c>
      <c r="C286" s="5" t="s">
        <v>120</v>
      </c>
      <c r="D286" s="5" t="s">
        <v>180</v>
      </c>
      <c r="E286" s="5" t="s">
        <v>172</v>
      </c>
      <c r="F286" s="16" t="n">
        <v>7.5</v>
      </c>
      <c r="G286" s="12" t="str">
        <f aca="false">IF(VALUE(MID(D286,3,2))*10+VALUE(MID(E286,2,1))&lt;=242,"Pre",IF(VALUE(MID(D286,3,2))*10+VALUE(MID(E286,2,1))&lt;=254,"Post","Later"))</f>
        <v>Later</v>
      </c>
      <c r="H286" s="5" t="s">
        <v>253</v>
      </c>
      <c r="I286" s="5" t="s">
        <v>378</v>
      </c>
    </row>
    <row r="287" customFormat="false" ht="15" hidden="false" customHeight="false" outlineLevel="0" collapsed="false">
      <c r="A287" s="5" t="s">
        <v>148</v>
      </c>
      <c r="B287" s="5" t="s">
        <v>94</v>
      </c>
      <c r="C287" s="5" t="s">
        <v>120</v>
      </c>
      <c r="D287" s="5" t="s">
        <v>180</v>
      </c>
      <c r="E287" s="5" t="s">
        <v>173</v>
      </c>
      <c r="F287" s="16" t="n">
        <v>7.35</v>
      </c>
      <c r="G287" s="12" t="str">
        <f aca="false">IF(VALUE(MID(D287,3,2))*10+VALUE(MID(E287,2,1))&lt;=242,"Pre",IF(VALUE(MID(D287,3,2))*10+VALUE(MID(E287,2,1))&lt;=254,"Post","Later"))</f>
        <v>Later</v>
      </c>
      <c r="H287" s="5" t="s">
        <v>254</v>
      </c>
      <c r="I287" s="5" t="s">
        <v>378</v>
      </c>
    </row>
    <row r="288" customFormat="false" ht="15" hidden="false" customHeight="false" outlineLevel="0" collapsed="false">
      <c r="A288" s="5" t="s">
        <v>150</v>
      </c>
      <c r="B288" s="5" t="s">
        <v>103</v>
      </c>
      <c r="C288" s="5" t="s">
        <v>125</v>
      </c>
      <c r="D288" s="5" t="s">
        <v>174</v>
      </c>
      <c r="E288" s="5" t="s">
        <v>171</v>
      </c>
      <c r="F288" s="16" t="n">
        <v>9.14</v>
      </c>
      <c r="G288" s="12" t="str">
        <f aca="false">IF(VALUE(MID(D288,3,2))*10+VALUE(MID(E288,2,1))&lt;=242,"Pre",IF(VALUE(MID(D288,3,2))*10+VALUE(MID(E288,2,1))&lt;=254,"Post","Later"))</f>
        <v>Pre</v>
      </c>
      <c r="H288" s="5" t="s">
        <v>383</v>
      </c>
      <c r="I288" s="5" t="s">
        <v>384</v>
      </c>
    </row>
    <row r="289" customFormat="false" ht="15" hidden="false" customHeight="false" outlineLevel="0" collapsed="false">
      <c r="A289" s="5" t="s">
        <v>150</v>
      </c>
      <c r="B289" s="5" t="s">
        <v>103</v>
      </c>
      <c r="C289" s="5" t="s">
        <v>125</v>
      </c>
      <c r="D289" s="5" t="s">
        <v>174</v>
      </c>
      <c r="E289" s="5" t="s">
        <v>172</v>
      </c>
      <c r="F289" s="16" t="n">
        <v>8</v>
      </c>
      <c r="G289" s="12" t="str">
        <f aca="false">IF(VALUE(MID(D289,3,2))*10+VALUE(MID(E289,2,1))&lt;=242,"Pre",IF(VALUE(MID(D289,3,2))*10+VALUE(MID(E289,2,1))&lt;=254,"Post","Later"))</f>
        <v>Pre</v>
      </c>
      <c r="H289" s="5" t="s">
        <v>383</v>
      </c>
      <c r="I289" s="5" t="s">
        <v>384</v>
      </c>
    </row>
    <row r="290" customFormat="false" ht="15" hidden="false" customHeight="false" outlineLevel="0" collapsed="false">
      <c r="A290" s="5" t="s">
        <v>150</v>
      </c>
      <c r="B290" s="5" t="s">
        <v>103</v>
      </c>
      <c r="C290" s="5" t="s">
        <v>125</v>
      </c>
      <c r="D290" s="5" t="s">
        <v>174</v>
      </c>
      <c r="E290" s="5" t="s">
        <v>173</v>
      </c>
      <c r="F290" s="16" t="n">
        <v>7.54</v>
      </c>
      <c r="G290" s="12" t="str">
        <f aca="false">IF(VALUE(MID(D290,3,2))*10+VALUE(MID(E290,2,1))&lt;=242,"Pre",IF(VALUE(MID(D290,3,2))*10+VALUE(MID(E290,2,1))&lt;=254,"Post","Later"))</f>
        <v>Pre</v>
      </c>
      <c r="H290" s="5" t="s">
        <v>383</v>
      </c>
      <c r="I290" s="5" t="s">
        <v>384</v>
      </c>
    </row>
    <row r="291" customFormat="false" ht="15" hidden="false" customHeight="false" outlineLevel="0" collapsed="false">
      <c r="A291" s="5" t="s">
        <v>150</v>
      </c>
      <c r="B291" s="5" t="s">
        <v>103</v>
      </c>
      <c r="C291" s="5" t="s">
        <v>125</v>
      </c>
      <c r="D291" s="5" t="s">
        <v>176</v>
      </c>
      <c r="E291" s="5" t="s">
        <v>168</v>
      </c>
      <c r="F291" s="16" t="n">
        <v>6.97</v>
      </c>
      <c r="G291" s="12" t="str">
        <f aca="false">IF(VALUE(MID(D291,3,2))*10+VALUE(MID(E291,2,1))&lt;=242,"Pre",IF(VALUE(MID(D291,3,2))*10+VALUE(MID(E291,2,1))&lt;=254,"Post","Later"))</f>
        <v>Pre</v>
      </c>
      <c r="H291" s="5" t="s">
        <v>383</v>
      </c>
      <c r="I291" s="5" t="s">
        <v>384</v>
      </c>
    </row>
    <row r="292" customFormat="false" ht="15" hidden="false" customHeight="false" outlineLevel="0" collapsed="false">
      <c r="A292" s="5" t="s">
        <v>150</v>
      </c>
      <c r="B292" s="5" t="s">
        <v>103</v>
      </c>
      <c r="C292" s="5" t="s">
        <v>125</v>
      </c>
      <c r="D292" s="5" t="s">
        <v>176</v>
      </c>
      <c r="E292" s="5" t="s">
        <v>171</v>
      </c>
      <c r="F292" s="16" t="n">
        <v>7.16</v>
      </c>
      <c r="G292" s="12" t="str">
        <f aca="false">IF(VALUE(MID(D292,3,2))*10+VALUE(MID(E292,2,1))&lt;=242,"Pre",IF(VALUE(MID(D292,3,2))*10+VALUE(MID(E292,2,1))&lt;=254,"Post","Later"))</f>
        <v>Pre</v>
      </c>
      <c r="H292" s="5" t="s">
        <v>383</v>
      </c>
      <c r="I292" s="5" t="s">
        <v>384</v>
      </c>
    </row>
    <row r="293" customFormat="false" ht="15" hidden="false" customHeight="false" outlineLevel="0" collapsed="false">
      <c r="A293" s="5" t="s">
        <v>150</v>
      </c>
      <c r="B293" s="5" t="s">
        <v>103</v>
      </c>
      <c r="C293" s="5" t="s">
        <v>125</v>
      </c>
      <c r="D293" s="5" t="s">
        <v>176</v>
      </c>
      <c r="E293" s="5" t="s">
        <v>172</v>
      </c>
      <c r="F293" s="16" t="n">
        <v>7.54</v>
      </c>
      <c r="G293" s="12" t="str">
        <f aca="false">IF(VALUE(MID(D293,3,2))*10+VALUE(MID(E293,2,1))&lt;=242,"Pre",IF(VALUE(MID(D293,3,2))*10+VALUE(MID(E293,2,1))&lt;=254,"Post","Later"))</f>
        <v>Pre</v>
      </c>
      <c r="H293" s="5" t="s">
        <v>383</v>
      </c>
      <c r="I293" s="5" t="s">
        <v>384</v>
      </c>
    </row>
    <row r="294" customFormat="false" ht="15" hidden="false" customHeight="false" outlineLevel="0" collapsed="false">
      <c r="A294" s="5" t="s">
        <v>150</v>
      </c>
      <c r="B294" s="5" t="s">
        <v>103</v>
      </c>
      <c r="C294" s="5" t="s">
        <v>125</v>
      </c>
      <c r="D294" s="5" t="s">
        <v>176</v>
      </c>
      <c r="E294" s="5" t="s">
        <v>173</v>
      </c>
      <c r="F294" s="16" t="n">
        <v>7.9</v>
      </c>
      <c r="G294" s="12" t="str">
        <f aca="false">IF(VALUE(MID(D294,3,2))*10+VALUE(MID(E294,2,1))&lt;=242,"Pre",IF(VALUE(MID(D294,3,2))*10+VALUE(MID(E294,2,1))&lt;=254,"Post","Later"))</f>
        <v>Pre</v>
      </c>
      <c r="H294" s="5" t="s">
        <v>383</v>
      </c>
      <c r="I294" s="5" t="s">
        <v>384</v>
      </c>
    </row>
    <row r="295" customFormat="false" ht="15" hidden="false" customHeight="false" outlineLevel="0" collapsed="false">
      <c r="A295" s="5" t="s">
        <v>150</v>
      </c>
      <c r="B295" s="5" t="s">
        <v>103</v>
      </c>
      <c r="C295" s="5" t="s">
        <v>125</v>
      </c>
      <c r="D295" s="5" t="s">
        <v>177</v>
      </c>
      <c r="E295" s="5" t="s">
        <v>168</v>
      </c>
      <c r="F295" s="16" t="n">
        <v>8.04</v>
      </c>
      <c r="G295" s="12" t="str">
        <f aca="false">IF(VALUE(MID(D295,3,2))*10+VALUE(MID(E295,2,1))&lt;=242,"Pre",IF(VALUE(MID(D295,3,2))*10+VALUE(MID(E295,2,1))&lt;=254,"Post","Later"))</f>
        <v>Pre</v>
      </c>
      <c r="H295" s="5" t="s">
        <v>383</v>
      </c>
      <c r="I295" s="5" t="s">
        <v>384</v>
      </c>
    </row>
    <row r="296" customFormat="false" ht="15" hidden="false" customHeight="false" outlineLevel="0" collapsed="false">
      <c r="A296" s="5" t="s">
        <v>150</v>
      </c>
      <c r="B296" s="5" t="s">
        <v>103</v>
      </c>
      <c r="C296" s="5" t="s">
        <v>125</v>
      </c>
      <c r="D296" s="5" t="s">
        <v>177</v>
      </c>
      <c r="E296" s="5" t="s">
        <v>171</v>
      </c>
      <c r="F296" s="16" t="n">
        <v>7.98</v>
      </c>
      <c r="G296" s="12" t="str">
        <f aca="false">IF(VALUE(MID(D296,3,2))*10+VALUE(MID(E296,2,1))&lt;=242,"Pre",IF(VALUE(MID(D296,3,2))*10+VALUE(MID(E296,2,1))&lt;=254,"Post","Later"))</f>
        <v>Pre</v>
      </c>
      <c r="H296" s="5" t="s">
        <v>383</v>
      </c>
      <c r="I296" s="5" t="s">
        <v>384</v>
      </c>
    </row>
    <row r="297" customFormat="false" ht="15" hidden="false" customHeight="false" outlineLevel="0" collapsed="false">
      <c r="A297" s="5" t="s">
        <v>150</v>
      </c>
      <c r="B297" s="5" t="s">
        <v>103</v>
      </c>
      <c r="C297" s="5" t="s">
        <v>125</v>
      </c>
      <c r="D297" s="5" t="s">
        <v>177</v>
      </c>
      <c r="E297" s="5" t="s">
        <v>172</v>
      </c>
      <c r="F297" s="16" t="n">
        <v>7.99</v>
      </c>
      <c r="G297" s="12" t="str">
        <f aca="false">IF(VALUE(MID(D297,3,2))*10+VALUE(MID(E297,2,1))&lt;=242,"Pre",IF(VALUE(MID(D297,3,2))*10+VALUE(MID(E297,2,1))&lt;=254,"Post","Later"))</f>
        <v>Post</v>
      </c>
      <c r="H297" s="5" t="s">
        <v>383</v>
      </c>
      <c r="I297" s="5" t="s">
        <v>384</v>
      </c>
    </row>
    <row r="298" customFormat="false" ht="15" hidden="false" customHeight="false" outlineLevel="0" collapsed="false">
      <c r="A298" s="5" t="s">
        <v>150</v>
      </c>
      <c r="B298" s="5" t="s">
        <v>103</v>
      </c>
      <c r="C298" s="5" t="s">
        <v>125</v>
      </c>
      <c r="D298" s="5" t="s">
        <v>177</v>
      </c>
      <c r="E298" s="5" t="s">
        <v>173</v>
      </c>
      <c r="F298" s="16" t="n">
        <v>8.17</v>
      </c>
      <c r="G298" s="12" t="str">
        <f aca="false">IF(VALUE(MID(D298,3,2))*10+VALUE(MID(E298,2,1))&lt;=242,"Pre",IF(VALUE(MID(D298,3,2))*10+VALUE(MID(E298,2,1))&lt;=254,"Post","Later"))</f>
        <v>Post</v>
      </c>
      <c r="H298" s="5" t="s">
        <v>383</v>
      </c>
      <c r="I298" s="5" t="s">
        <v>384</v>
      </c>
    </row>
    <row r="299" customFormat="false" ht="15" hidden="false" customHeight="false" outlineLevel="0" collapsed="false">
      <c r="A299" s="5" t="s">
        <v>150</v>
      </c>
      <c r="B299" s="5" t="s">
        <v>103</v>
      </c>
      <c r="C299" s="5" t="s">
        <v>125</v>
      </c>
      <c r="D299" s="5" t="s">
        <v>179</v>
      </c>
      <c r="E299" s="5" t="s">
        <v>168</v>
      </c>
      <c r="F299" s="16" t="n">
        <v>8.16</v>
      </c>
      <c r="G299" s="12" t="str">
        <f aca="false">IF(VALUE(MID(D299,3,2))*10+VALUE(MID(E299,2,1))&lt;=242,"Pre",IF(VALUE(MID(D299,3,2))*10+VALUE(MID(E299,2,1))&lt;=254,"Post","Later"))</f>
        <v>Post</v>
      </c>
      <c r="H299" s="5" t="s">
        <v>383</v>
      </c>
      <c r="I299" s="5" t="s">
        <v>384</v>
      </c>
    </row>
    <row r="300" customFormat="false" ht="15" hidden="false" customHeight="false" outlineLevel="0" collapsed="false">
      <c r="A300" s="5" t="s">
        <v>150</v>
      </c>
      <c r="B300" s="5" t="s">
        <v>103</v>
      </c>
      <c r="C300" s="5" t="s">
        <v>125</v>
      </c>
      <c r="D300" s="5" t="s">
        <v>179</v>
      </c>
      <c r="E300" s="5" t="s">
        <v>171</v>
      </c>
      <c r="F300" s="16" t="n">
        <v>8.1</v>
      </c>
      <c r="G300" s="12" t="str">
        <f aca="false">IF(VALUE(MID(D300,3,2))*10+VALUE(MID(E300,2,1))&lt;=242,"Pre",IF(VALUE(MID(D300,3,2))*10+VALUE(MID(E300,2,1))&lt;=254,"Post","Later"))</f>
        <v>Post</v>
      </c>
      <c r="H300" s="5" t="s">
        <v>383</v>
      </c>
      <c r="I300" s="5" t="s">
        <v>384</v>
      </c>
    </row>
    <row r="301" customFormat="false" ht="15" hidden="false" customHeight="false" outlineLevel="0" collapsed="false">
      <c r="A301" s="5" t="s">
        <v>150</v>
      </c>
      <c r="B301" s="5" t="s">
        <v>103</v>
      </c>
      <c r="C301" s="5" t="s">
        <v>125</v>
      </c>
      <c r="D301" s="5" t="s">
        <v>179</v>
      </c>
      <c r="E301" s="5" t="s">
        <v>172</v>
      </c>
      <c r="F301" s="16" t="n">
        <v>8.06</v>
      </c>
      <c r="G301" s="12" t="str">
        <f aca="false">IF(VALUE(MID(D301,3,2))*10+VALUE(MID(E301,2,1))&lt;=242,"Pre",IF(VALUE(MID(D301,3,2))*10+VALUE(MID(E301,2,1))&lt;=254,"Post","Later"))</f>
        <v>Post</v>
      </c>
      <c r="H301" s="5" t="s">
        <v>385</v>
      </c>
      <c r="I301" s="5" t="s">
        <v>384</v>
      </c>
    </row>
    <row r="302" customFormat="false" ht="15" hidden="false" customHeight="false" outlineLevel="0" collapsed="false">
      <c r="A302" s="5" t="s">
        <v>150</v>
      </c>
      <c r="B302" s="5" t="s">
        <v>103</v>
      </c>
      <c r="C302" s="5" t="s">
        <v>125</v>
      </c>
      <c r="D302" s="5" t="s">
        <v>179</v>
      </c>
      <c r="E302" s="5" t="s">
        <v>173</v>
      </c>
      <c r="F302" s="16" t="n">
        <v>8.07</v>
      </c>
      <c r="G302" s="12" t="str">
        <f aca="false">IF(VALUE(MID(D302,3,2))*10+VALUE(MID(E302,2,1))&lt;=242,"Pre",IF(VALUE(MID(D302,3,2))*10+VALUE(MID(E302,2,1))&lt;=254,"Post","Later"))</f>
        <v>Post</v>
      </c>
      <c r="H302" s="5" t="s">
        <v>385</v>
      </c>
      <c r="I302" s="5" t="s">
        <v>384</v>
      </c>
    </row>
    <row r="303" customFormat="false" ht="15" hidden="false" customHeight="false" outlineLevel="0" collapsed="false">
      <c r="A303" s="5" t="s">
        <v>150</v>
      </c>
      <c r="B303" s="5" t="s">
        <v>103</v>
      </c>
      <c r="C303" s="5" t="s">
        <v>125</v>
      </c>
      <c r="D303" s="5" t="s">
        <v>180</v>
      </c>
      <c r="E303" s="5" t="s">
        <v>168</v>
      </c>
      <c r="F303" s="16" t="n">
        <v>8.04</v>
      </c>
      <c r="G303" s="12" t="str">
        <f aca="false">IF(VALUE(MID(D303,3,2))*10+VALUE(MID(E303,2,1))&lt;=242,"Pre",IF(VALUE(MID(D303,3,2))*10+VALUE(MID(E303,2,1))&lt;=254,"Post","Later"))</f>
        <v>Later</v>
      </c>
      <c r="H303" s="5" t="s">
        <v>385</v>
      </c>
      <c r="I303" s="5" t="s">
        <v>384</v>
      </c>
    </row>
    <row r="304" customFormat="false" ht="15" hidden="false" customHeight="false" outlineLevel="0" collapsed="false">
      <c r="A304" s="5" t="s">
        <v>150</v>
      </c>
      <c r="B304" s="5" t="s">
        <v>103</v>
      </c>
      <c r="C304" s="5" t="s">
        <v>125</v>
      </c>
      <c r="D304" s="5" t="s">
        <v>180</v>
      </c>
      <c r="E304" s="5" t="s">
        <v>171</v>
      </c>
      <c r="F304" s="16" t="n">
        <v>7.69</v>
      </c>
      <c r="G304" s="12" t="str">
        <f aca="false">IF(VALUE(MID(D304,3,2))*10+VALUE(MID(E304,2,1))&lt;=242,"Pre",IF(VALUE(MID(D304,3,2))*10+VALUE(MID(E304,2,1))&lt;=254,"Post","Later"))</f>
        <v>Later</v>
      </c>
      <c r="H304" s="5" t="s">
        <v>385</v>
      </c>
      <c r="I304" s="5" t="s">
        <v>384</v>
      </c>
    </row>
    <row r="305" customFormat="false" ht="15" hidden="false" customHeight="false" outlineLevel="0" collapsed="false">
      <c r="A305" s="5" t="s">
        <v>150</v>
      </c>
      <c r="B305" s="5" t="s">
        <v>103</v>
      </c>
      <c r="C305" s="5" t="s">
        <v>125</v>
      </c>
      <c r="D305" s="5" t="s">
        <v>180</v>
      </c>
      <c r="E305" s="5" t="s">
        <v>172</v>
      </c>
      <c r="F305" s="16" t="n">
        <v>7.65</v>
      </c>
      <c r="G305" s="12" t="str">
        <f aca="false">IF(VALUE(MID(D305,3,2))*10+VALUE(MID(E305,2,1))&lt;=242,"Pre",IF(VALUE(MID(D305,3,2))*10+VALUE(MID(E305,2,1))&lt;=254,"Post","Later"))</f>
        <v>Later</v>
      </c>
      <c r="H305" s="5" t="s">
        <v>386</v>
      </c>
      <c r="I305" s="5" t="s">
        <v>384</v>
      </c>
    </row>
    <row r="306" customFormat="false" ht="15" hidden="false" customHeight="false" outlineLevel="0" collapsed="false">
      <c r="A306" s="5" t="s">
        <v>150</v>
      </c>
      <c r="B306" s="5" t="s">
        <v>103</v>
      </c>
      <c r="C306" s="5" t="s">
        <v>125</v>
      </c>
      <c r="D306" s="5" t="s">
        <v>180</v>
      </c>
      <c r="E306" s="5" t="s">
        <v>173</v>
      </c>
      <c r="F306" s="16" t="n">
        <v>7.63</v>
      </c>
      <c r="G306" s="12" t="str">
        <f aca="false">IF(VALUE(MID(D306,3,2))*10+VALUE(MID(E306,2,1))&lt;=242,"Pre",IF(VALUE(MID(D306,3,2))*10+VALUE(MID(E306,2,1))&lt;=254,"Post","Later"))</f>
        <v>Later</v>
      </c>
      <c r="H306" s="5" t="s">
        <v>386</v>
      </c>
      <c r="I306" s="5" t="s">
        <v>384</v>
      </c>
    </row>
    <row r="307" customFormat="false" ht="15" hidden="false" customHeight="false" outlineLevel="0" collapsed="false">
      <c r="A307" s="5" t="s">
        <v>152</v>
      </c>
      <c r="B307" s="5" t="s">
        <v>95</v>
      </c>
      <c r="C307" s="5" t="s">
        <v>120</v>
      </c>
      <c r="D307" s="5" t="s">
        <v>167</v>
      </c>
      <c r="E307" s="5" t="s">
        <v>168</v>
      </c>
      <c r="F307" s="16" t="n">
        <v>8.3</v>
      </c>
      <c r="G307" s="12" t="str">
        <f aca="false">IF(VALUE(MID(D307,3,2))*10+VALUE(MID(E307,2,1))&lt;=242,"Pre",IF(VALUE(MID(D307,3,2))*10+VALUE(MID(E307,2,1))&lt;=254,"Post","Later"))</f>
        <v>Pre</v>
      </c>
      <c r="H307" s="5" t="s">
        <v>387</v>
      </c>
      <c r="I307" s="5" t="s">
        <v>388</v>
      </c>
    </row>
    <row r="308" customFormat="false" ht="15" hidden="false" customHeight="false" outlineLevel="0" collapsed="false">
      <c r="A308" s="5" t="s">
        <v>152</v>
      </c>
      <c r="B308" s="5" t="s">
        <v>95</v>
      </c>
      <c r="C308" s="5" t="s">
        <v>120</v>
      </c>
      <c r="D308" s="5" t="s">
        <v>167</v>
      </c>
      <c r="E308" s="5" t="s">
        <v>171</v>
      </c>
      <c r="F308" s="16" t="n">
        <v>8.2</v>
      </c>
      <c r="G308" s="12" t="str">
        <f aca="false">IF(VALUE(MID(D308,3,2))*10+VALUE(MID(E308,2,1))&lt;=242,"Pre",IF(VALUE(MID(D308,3,2))*10+VALUE(MID(E308,2,1))&lt;=254,"Post","Later"))</f>
        <v>Pre</v>
      </c>
      <c r="H308" s="5" t="s">
        <v>389</v>
      </c>
      <c r="I308" s="5" t="s">
        <v>388</v>
      </c>
    </row>
    <row r="309" customFormat="false" ht="15" hidden="false" customHeight="false" outlineLevel="0" collapsed="false">
      <c r="A309" s="5" t="s">
        <v>152</v>
      </c>
      <c r="B309" s="5" t="s">
        <v>95</v>
      </c>
      <c r="C309" s="5" t="s">
        <v>120</v>
      </c>
      <c r="D309" s="5" t="s">
        <v>167</v>
      </c>
      <c r="E309" s="5" t="s">
        <v>172</v>
      </c>
      <c r="F309" s="16" t="n">
        <v>7.9</v>
      </c>
      <c r="G309" s="12" t="str">
        <f aca="false">IF(VALUE(MID(D309,3,2))*10+VALUE(MID(E309,2,1))&lt;=242,"Pre",IF(VALUE(MID(D309,3,2))*10+VALUE(MID(E309,2,1))&lt;=254,"Post","Later"))</f>
        <v>Pre</v>
      </c>
      <c r="H309" s="5" t="s">
        <v>390</v>
      </c>
      <c r="I309" s="5" t="s">
        <v>388</v>
      </c>
    </row>
    <row r="310" customFormat="false" ht="15" hidden="false" customHeight="false" outlineLevel="0" collapsed="false">
      <c r="A310" s="5" t="s">
        <v>152</v>
      </c>
      <c r="B310" s="5" t="s">
        <v>95</v>
      </c>
      <c r="C310" s="5" t="s">
        <v>120</v>
      </c>
      <c r="D310" s="5" t="s">
        <v>167</v>
      </c>
      <c r="E310" s="5" t="s">
        <v>173</v>
      </c>
      <c r="F310" s="16" t="n">
        <v>7.3</v>
      </c>
      <c r="G310" s="12" t="str">
        <f aca="false">IF(VALUE(MID(D310,3,2))*10+VALUE(MID(E310,2,1))&lt;=242,"Pre",IF(VALUE(MID(D310,3,2))*10+VALUE(MID(E310,2,1))&lt;=254,"Post","Later"))</f>
        <v>Pre</v>
      </c>
      <c r="H310" s="5" t="s">
        <v>391</v>
      </c>
      <c r="I310" s="5" t="s">
        <v>388</v>
      </c>
    </row>
    <row r="311" customFormat="false" ht="15" hidden="false" customHeight="false" outlineLevel="0" collapsed="false">
      <c r="A311" s="5" t="s">
        <v>152</v>
      </c>
      <c r="B311" s="5" t="s">
        <v>95</v>
      </c>
      <c r="C311" s="5" t="s">
        <v>120</v>
      </c>
      <c r="D311" s="5" t="s">
        <v>174</v>
      </c>
      <c r="E311" s="5" t="s">
        <v>168</v>
      </c>
      <c r="F311" s="16" t="n">
        <v>7</v>
      </c>
      <c r="G311" s="12" t="str">
        <f aca="false">IF(VALUE(MID(D311,3,2))*10+VALUE(MID(E311,2,1))&lt;=242,"Pre",IF(VALUE(MID(D311,3,2))*10+VALUE(MID(E311,2,1))&lt;=254,"Post","Later"))</f>
        <v>Pre</v>
      </c>
      <c r="H311" s="5" t="s">
        <v>392</v>
      </c>
      <c r="I311" s="5" t="s">
        <v>388</v>
      </c>
    </row>
    <row r="312" customFormat="false" ht="15" hidden="false" customHeight="false" outlineLevel="0" collapsed="false">
      <c r="A312" s="5" t="s">
        <v>152</v>
      </c>
      <c r="B312" s="5" t="s">
        <v>95</v>
      </c>
      <c r="C312" s="5" t="s">
        <v>120</v>
      </c>
      <c r="D312" s="5" t="s">
        <v>174</v>
      </c>
      <c r="E312" s="5" t="s">
        <v>171</v>
      </c>
      <c r="F312" s="16" t="n">
        <v>7</v>
      </c>
      <c r="G312" s="12" t="str">
        <f aca="false">IF(VALUE(MID(D312,3,2))*10+VALUE(MID(E312,2,1))&lt;=242,"Pre",IF(VALUE(MID(D312,3,2))*10+VALUE(MID(E312,2,1))&lt;=254,"Post","Later"))</f>
        <v>Pre</v>
      </c>
      <c r="H312" s="5" t="s">
        <v>393</v>
      </c>
      <c r="I312" s="5" t="s">
        <v>388</v>
      </c>
    </row>
    <row r="313" customFormat="false" ht="15" hidden="false" customHeight="false" outlineLevel="0" collapsed="false">
      <c r="A313" s="5" t="s">
        <v>152</v>
      </c>
      <c r="B313" s="5" t="s">
        <v>95</v>
      </c>
      <c r="C313" s="5" t="s">
        <v>120</v>
      </c>
      <c r="D313" s="5" t="s">
        <v>174</v>
      </c>
      <c r="E313" s="5" t="s">
        <v>172</v>
      </c>
      <c r="F313" s="16" t="n">
        <v>7.1</v>
      </c>
      <c r="G313" s="12" t="str">
        <f aca="false">IF(VALUE(MID(D313,3,2))*10+VALUE(MID(E313,2,1))&lt;=242,"Pre",IF(VALUE(MID(D313,3,2))*10+VALUE(MID(E313,2,1))&lt;=254,"Post","Later"))</f>
        <v>Pre</v>
      </c>
      <c r="H313" s="5" t="s">
        <v>394</v>
      </c>
      <c r="I313" s="5" t="s">
        <v>388</v>
      </c>
    </row>
    <row r="314" customFormat="false" ht="15" hidden="false" customHeight="false" outlineLevel="0" collapsed="false">
      <c r="A314" s="5" t="s">
        <v>152</v>
      </c>
      <c r="B314" s="5" t="s">
        <v>95</v>
      </c>
      <c r="C314" s="5" t="s">
        <v>120</v>
      </c>
      <c r="D314" s="5" t="s">
        <v>174</v>
      </c>
      <c r="E314" s="5" t="s">
        <v>173</v>
      </c>
      <c r="F314" s="16" t="n">
        <v>7</v>
      </c>
      <c r="G314" s="12" t="str">
        <f aca="false">IF(VALUE(MID(D314,3,2))*10+VALUE(MID(E314,2,1))&lt;=242,"Pre",IF(VALUE(MID(D314,3,2))*10+VALUE(MID(E314,2,1))&lt;=254,"Post","Later"))</f>
        <v>Pre</v>
      </c>
      <c r="H314" s="5" t="s">
        <v>395</v>
      </c>
      <c r="I314" s="5" t="s">
        <v>388</v>
      </c>
    </row>
    <row r="315" customFormat="false" ht="15" hidden="false" customHeight="false" outlineLevel="0" collapsed="false">
      <c r="A315" s="5" t="s">
        <v>152</v>
      </c>
      <c r="B315" s="5" t="s">
        <v>95</v>
      </c>
      <c r="C315" s="5" t="s">
        <v>120</v>
      </c>
      <c r="D315" s="5" t="s">
        <v>176</v>
      </c>
      <c r="E315" s="5" t="s">
        <v>168</v>
      </c>
      <c r="F315" s="16" t="n">
        <v>7</v>
      </c>
      <c r="G315" s="12" t="str">
        <f aca="false">IF(VALUE(MID(D315,3,2))*10+VALUE(MID(E315,2,1))&lt;=242,"Pre",IF(VALUE(MID(D315,3,2))*10+VALUE(MID(E315,2,1))&lt;=254,"Post","Later"))</f>
        <v>Pre</v>
      </c>
      <c r="H315" s="5" t="s">
        <v>396</v>
      </c>
      <c r="I315" s="5" t="s">
        <v>388</v>
      </c>
    </row>
    <row r="316" customFormat="false" ht="15" hidden="false" customHeight="false" outlineLevel="0" collapsed="false">
      <c r="A316" s="5" t="s">
        <v>152</v>
      </c>
      <c r="B316" s="5" t="s">
        <v>95</v>
      </c>
      <c r="C316" s="5" t="s">
        <v>120</v>
      </c>
      <c r="D316" s="5" t="s">
        <v>176</v>
      </c>
      <c r="E316" s="5" t="s">
        <v>171</v>
      </c>
      <c r="F316" s="16" t="n">
        <v>7.1</v>
      </c>
      <c r="G316" s="12" t="str">
        <f aca="false">IF(VALUE(MID(D316,3,2))*10+VALUE(MID(E316,2,1))&lt;=242,"Pre",IF(VALUE(MID(D316,3,2))*10+VALUE(MID(E316,2,1))&lt;=254,"Post","Later"))</f>
        <v>Pre</v>
      </c>
      <c r="H316" s="5" t="s">
        <v>397</v>
      </c>
      <c r="I316" s="5" t="s">
        <v>388</v>
      </c>
    </row>
    <row r="317" customFormat="false" ht="15" hidden="false" customHeight="false" outlineLevel="0" collapsed="false">
      <c r="A317" s="5" t="s">
        <v>152</v>
      </c>
      <c r="B317" s="5" t="s">
        <v>95</v>
      </c>
      <c r="C317" s="5" t="s">
        <v>120</v>
      </c>
      <c r="D317" s="5" t="s">
        <v>176</v>
      </c>
      <c r="E317" s="5" t="s">
        <v>172</v>
      </c>
      <c r="F317" s="16" t="n">
        <v>7.5</v>
      </c>
      <c r="G317" s="12" t="str">
        <f aca="false">IF(VALUE(MID(D317,3,2))*10+VALUE(MID(E317,2,1))&lt;=242,"Pre",IF(VALUE(MID(D317,3,2))*10+VALUE(MID(E317,2,1))&lt;=254,"Post","Later"))</f>
        <v>Pre</v>
      </c>
      <c r="H317" s="5" t="s">
        <v>398</v>
      </c>
      <c r="I317" s="5" t="s">
        <v>388</v>
      </c>
    </row>
    <row r="318" customFormat="false" ht="15" hidden="false" customHeight="false" outlineLevel="0" collapsed="false">
      <c r="A318" s="5" t="s">
        <v>152</v>
      </c>
      <c r="B318" s="5" t="s">
        <v>95</v>
      </c>
      <c r="C318" s="5" t="s">
        <v>120</v>
      </c>
      <c r="D318" s="5" t="s">
        <v>176</v>
      </c>
      <c r="E318" s="5" t="s">
        <v>173</v>
      </c>
      <c r="F318" s="16" t="n">
        <v>8.1</v>
      </c>
      <c r="G318" s="12" t="str">
        <f aca="false">IF(VALUE(MID(D318,3,2))*10+VALUE(MID(E318,2,1))&lt;=242,"Pre",IF(VALUE(MID(D318,3,2))*10+VALUE(MID(E318,2,1))&lt;=254,"Post","Later"))</f>
        <v>Pre</v>
      </c>
      <c r="H318" s="5" t="s">
        <v>399</v>
      </c>
      <c r="I318" s="5" t="s">
        <v>388</v>
      </c>
    </row>
    <row r="319" customFormat="false" ht="15" hidden="false" customHeight="false" outlineLevel="0" collapsed="false">
      <c r="A319" s="5" t="s">
        <v>152</v>
      </c>
      <c r="B319" s="5" t="s">
        <v>95</v>
      </c>
      <c r="C319" s="5" t="s">
        <v>120</v>
      </c>
      <c r="D319" s="5" t="s">
        <v>177</v>
      </c>
      <c r="E319" s="5" t="s">
        <v>168</v>
      </c>
      <c r="F319" s="16" t="n">
        <v>8.2</v>
      </c>
      <c r="G319" s="12" t="str">
        <f aca="false">IF(VALUE(MID(D319,3,2))*10+VALUE(MID(E319,2,1))&lt;=242,"Pre",IF(VALUE(MID(D319,3,2))*10+VALUE(MID(E319,2,1))&lt;=254,"Post","Later"))</f>
        <v>Pre</v>
      </c>
      <c r="H319" s="5" t="s">
        <v>400</v>
      </c>
      <c r="I319" s="5" t="s">
        <v>388</v>
      </c>
    </row>
    <row r="320" customFormat="false" ht="15" hidden="false" customHeight="false" outlineLevel="0" collapsed="false">
      <c r="A320" s="5" t="s">
        <v>152</v>
      </c>
      <c r="B320" s="5" t="s">
        <v>95</v>
      </c>
      <c r="C320" s="5" t="s">
        <v>120</v>
      </c>
      <c r="D320" s="5" t="s">
        <v>177</v>
      </c>
      <c r="E320" s="5" t="s">
        <v>171</v>
      </c>
      <c r="F320" s="16" t="n">
        <v>8.4</v>
      </c>
      <c r="G320" s="12" t="str">
        <f aca="false">IF(VALUE(MID(D320,3,2))*10+VALUE(MID(E320,2,1))&lt;=242,"Pre",IF(VALUE(MID(D320,3,2))*10+VALUE(MID(E320,2,1))&lt;=254,"Post","Later"))</f>
        <v>Pre</v>
      </c>
      <c r="H320" s="5" t="s">
        <v>401</v>
      </c>
      <c r="I320" s="5" t="s">
        <v>388</v>
      </c>
    </row>
    <row r="321" customFormat="false" ht="15" hidden="false" customHeight="false" outlineLevel="0" collapsed="false">
      <c r="A321" s="5" t="s">
        <v>152</v>
      </c>
      <c r="B321" s="5" t="s">
        <v>95</v>
      </c>
      <c r="C321" s="5" t="s">
        <v>120</v>
      </c>
      <c r="D321" s="5" t="s">
        <v>177</v>
      </c>
      <c r="E321" s="5" t="s">
        <v>172</v>
      </c>
      <c r="F321" s="16" t="n">
        <v>8.4</v>
      </c>
      <c r="G321" s="12" t="str">
        <f aca="false">IF(VALUE(MID(D321,3,2))*10+VALUE(MID(E321,2,1))&lt;=242,"Pre",IF(VALUE(MID(D321,3,2))*10+VALUE(MID(E321,2,1))&lt;=254,"Post","Later"))</f>
        <v>Post</v>
      </c>
      <c r="H321" s="5" t="s">
        <v>402</v>
      </c>
      <c r="I321" s="5" t="s">
        <v>388</v>
      </c>
    </row>
    <row r="322" customFormat="false" ht="15" hidden="false" customHeight="false" outlineLevel="0" collapsed="false">
      <c r="A322" s="5" t="s">
        <v>152</v>
      </c>
      <c r="B322" s="5" t="s">
        <v>95</v>
      </c>
      <c r="C322" s="5" t="s">
        <v>120</v>
      </c>
      <c r="D322" s="5" t="s">
        <v>177</v>
      </c>
      <c r="E322" s="5" t="s">
        <v>173</v>
      </c>
      <c r="F322" s="16" t="n">
        <v>8.3</v>
      </c>
      <c r="G322" s="12" t="str">
        <f aca="false">IF(VALUE(MID(D322,3,2))*10+VALUE(MID(E322,2,1))&lt;=242,"Pre",IF(VALUE(MID(D322,3,2))*10+VALUE(MID(E322,2,1))&lt;=254,"Post","Later"))</f>
        <v>Post</v>
      </c>
      <c r="H322" s="5" t="s">
        <v>403</v>
      </c>
      <c r="I322" s="5" t="s">
        <v>388</v>
      </c>
    </row>
    <row r="323" customFormat="false" ht="15" hidden="false" customHeight="false" outlineLevel="0" collapsed="false">
      <c r="A323" s="5" t="s">
        <v>152</v>
      </c>
      <c r="B323" s="5" t="s">
        <v>95</v>
      </c>
      <c r="C323" s="5" t="s">
        <v>120</v>
      </c>
      <c r="D323" s="5" t="s">
        <v>179</v>
      </c>
      <c r="E323" s="5" t="s">
        <v>168</v>
      </c>
      <c r="F323" s="16" t="n">
        <v>8.6</v>
      </c>
      <c r="G323" s="12" t="str">
        <f aca="false">IF(VALUE(MID(D323,3,2))*10+VALUE(MID(E323,2,1))&lt;=242,"Pre",IF(VALUE(MID(D323,3,2))*10+VALUE(MID(E323,2,1))&lt;=254,"Post","Later"))</f>
        <v>Post</v>
      </c>
      <c r="H323" s="5" t="s">
        <v>404</v>
      </c>
      <c r="I323" s="5" t="s">
        <v>388</v>
      </c>
    </row>
    <row r="324" customFormat="false" ht="15" hidden="false" customHeight="false" outlineLevel="0" collapsed="false">
      <c r="A324" s="5" t="s">
        <v>152</v>
      </c>
      <c r="B324" s="5" t="s">
        <v>95</v>
      </c>
      <c r="C324" s="5" t="s">
        <v>120</v>
      </c>
      <c r="D324" s="5" t="s">
        <v>179</v>
      </c>
      <c r="E324" s="5" t="s">
        <v>171</v>
      </c>
      <c r="F324" s="16" t="n">
        <v>8.8</v>
      </c>
      <c r="G324" s="12" t="str">
        <f aca="false">IF(VALUE(MID(D324,3,2))*10+VALUE(MID(E324,2,1))&lt;=242,"Pre",IF(VALUE(MID(D324,3,2))*10+VALUE(MID(E324,2,1))&lt;=254,"Post","Later"))</f>
        <v>Post</v>
      </c>
      <c r="H324" s="5" t="s">
        <v>405</v>
      </c>
      <c r="I324" s="5" t="s">
        <v>388</v>
      </c>
    </row>
    <row r="325" customFormat="false" ht="15" hidden="false" customHeight="false" outlineLevel="0" collapsed="false">
      <c r="A325" s="5" t="s">
        <v>152</v>
      </c>
      <c r="B325" s="5" t="s">
        <v>95</v>
      </c>
      <c r="C325" s="5" t="s">
        <v>120</v>
      </c>
      <c r="D325" s="5" t="s">
        <v>179</v>
      </c>
      <c r="E325" s="5" t="s">
        <v>172</v>
      </c>
      <c r="F325" s="16" t="n">
        <v>8.9</v>
      </c>
      <c r="G325" s="12" t="str">
        <f aca="false">IF(VALUE(MID(D325,3,2))*10+VALUE(MID(E325,2,1))&lt;=242,"Pre",IF(VALUE(MID(D325,3,2))*10+VALUE(MID(E325,2,1))&lt;=254,"Post","Later"))</f>
        <v>Post</v>
      </c>
      <c r="H325" s="5" t="s">
        <v>406</v>
      </c>
      <c r="I325" s="5" t="s">
        <v>388</v>
      </c>
    </row>
    <row r="326" customFormat="false" ht="15" hidden="false" customHeight="false" outlineLevel="0" collapsed="false">
      <c r="A326" s="5" t="s">
        <v>152</v>
      </c>
      <c r="B326" s="5" t="s">
        <v>95</v>
      </c>
      <c r="C326" s="5" t="s">
        <v>120</v>
      </c>
      <c r="D326" s="5" t="s">
        <v>179</v>
      </c>
      <c r="E326" s="5" t="s">
        <v>173</v>
      </c>
      <c r="F326" s="16" t="n">
        <v>8.9</v>
      </c>
      <c r="G326" s="12" t="str">
        <f aca="false">IF(VALUE(MID(D326,3,2))*10+VALUE(MID(E326,2,1))&lt;=242,"Pre",IF(VALUE(MID(D326,3,2))*10+VALUE(MID(E326,2,1))&lt;=254,"Post","Later"))</f>
        <v>Post</v>
      </c>
      <c r="H326" s="5" t="s">
        <v>407</v>
      </c>
      <c r="I326" s="5" t="s">
        <v>388</v>
      </c>
    </row>
    <row r="327" customFormat="false" ht="15" hidden="false" customHeight="false" outlineLevel="0" collapsed="false">
      <c r="A327" s="5" t="s">
        <v>152</v>
      </c>
      <c r="B327" s="5" t="s">
        <v>95</v>
      </c>
      <c r="C327" s="5" t="s">
        <v>120</v>
      </c>
      <c r="D327" s="5" t="s">
        <v>180</v>
      </c>
      <c r="E327" s="5" t="s">
        <v>168</v>
      </c>
      <c r="F327" s="16" t="n">
        <v>8.6</v>
      </c>
      <c r="G327" s="12" t="str">
        <f aca="false">IF(VALUE(MID(D327,3,2))*10+VALUE(MID(E327,2,1))&lt;=242,"Pre",IF(VALUE(MID(D327,3,2))*10+VALUE(MID(E327,2,1))&lt;=254,"Post","Later"))</f>
        <v>Later</v>
      </c>
      <c r="H327" s="5" t="s">
        <v>408</v>
      </c>
      <c r="I327" s="5" t="s">
        <v>388</v>
      </c>
    </row>
    <row r="328" customFormat="false" ht="15" hidden="false" customHeight="false" outlineLevel="0" collapsed="false">
      <c r="A328" s="5" t="s">
        <v>152</v>
      </c>
      <c r="B328" s="5" t="s">
        <v>95</v>
      </c>
      <c r="C328" s="5" t="s">
        <v>120</v>
      </c>
      <c r="D328" s="5" t="s">
        <v>180</v>
      </c>
      <c r="E328" s="5" t="s">
        <v>171</v>
      </c>
      <c r="F328" s="16" t="n">
        <v>8.6</v>
      </c>
      <c r="G328" s="12" t="str">
        <f aca="false">IF(VALUE(MID(D328,3,2))*10+VALUE(MID(E328,2,1))&lt;=242,"Pre",IF(VALUE(MID(D328,3,2))*10+VALUE(MID(E328,2,1))&lt;=254,"Post","Later"))</f>
        <v>Later</v>
      </c>
      <c r="H328" s="5" t="s">
        <v>409</v>
      </c>
      <c r="I328" s="5" t="s">
        <v>388</v>
      </c>
    </row>
    <row r="329" customFormat="false" ht="15" hidden="false" customHeight="false" outlineLevel="0" collapsed="false">
      <c r="A329" s="5" t="s">
        <v>152</v>
      </c>
      <c r="B329" s="5" t="s">
        <v>95</v>
      </c>
      <c r="C329" s="5" t="s">
        <v>120</v>
      </c>
      <c r="D329" s="5" t="s">
        <v>180</v>
      </c>
      <c r="E329" s="5" t="s">
        <v>172</v>
      </c>
      <c r="F329" s="16" t="n">
        <v>8.5</v>
      </c>
      <c r="G329" s="12" t="str">
        <f aca="false">IF(VALUE(MID(D329,3,2))*10+VALUE(MID(E329,2,1))&lt;=242,"Pre",IF(VALUE(MID(D329,3,2))*10+VALUE(MID(E329,2,1))&lt;=254,"Post","Later"))</f>
        <v>Later</v>
      </c>
      <c r="H329" s="5" t="s">
        <v>410</v>
      </c>
      <c r="I329" s="5" t="s">
        <v>388</v>
      </c>
    </row>
    <row r="330" customFormat="false" ht="15" hidden="false" customHeight="false" outlineLevel="0" collapsed="false">
      <c r="A330" s="5" t="s">
        <v>152</v>
      </c>
      <c r="B330" s="5" t="s">
        <v>95</v>
      </c>
      <c r="C330" s="5" t="s">
        <v>120</v>
      </c>
      <c r="D330" s="5" t="s">
        <v>180</v>
      </c>
      <c r="E330" s="5" t="s">
        <v>173</v>
      </c>
      <c r="F330" s="16" t="n">
        <v>8.4</v>
      </c>
      <c r="G330" s="12" t="str">
        <f aca="false">IF(VALUE(MID(D330,3,2))*10+VALUE(MID(E330,2,1))&lt;=242,"Pre",IF(VALUE(MID(D330,3,2))*10+VALUE(MID(E330,2,1))&lt;=254,"Post","Later"))</f>
        <v>Later</v>
      </c>
      <c r="H330" s="5" t="s">
        <v>411</v>
      </c>
      <c r="I330" s="5" t="s">
        <v>388</v>
      </c>
    </row>
    <row r="331" customFormat="false" ht="15" hidden="false" customHeight="false" outlineLevel="0" collapsed="false">
      <c r="A331" s="5" t="s">
        <v>154</v>
      </c>
      <c r="B331" s="5" t="s">
        <v>104</v>
      </c>
      <c r="C331" s="5" t="s">
        <v>125</v>
      </c>
      <c r="D331" s="5" t="s">
        <v>167</v>
      </c>
      <c r="E331" s="5" t="s">
        <v>168</v>
      </c>
      <c r="F331" s="16" t="n">
        <v>6.6</v>
      </c>
      <c r="G331" s="12" t="str">
        <f aca="false">IF(VALUE(MID(D331,3,2))*10+VALUE(MID(E331,2,1))&lt;=242,"Pre",IF(VALUE(MID(D331,3,2))*10+VALUE(MID(E331,2,1))&lt;=254,"Post","Later"))</f>
        <v>Pre</v>
      </c>
      <c r="H331" s="5" t="s">
        <v>412</v>
      </c>
      <c r="I331" s="5" t="s">
        <v>413</v>
      </c>
    </row>
    <row r="332" customFormat="false" ht="15" hidden="false" customHeight="false" outlineLevel="0" collapsed="false">
      <c r="A332" s="5" t="s">
        <v>154</v>
      </c>
      <c r="B332" s="5" t="s">
        <v>104</v>
      </c>
      <c r="C332" s="5" t="s">
        <v>125</v>
      </c>
      <c r="D332" s="5" t="s">
        <v>167</v>
      </c>
      <c r="E332" s="5" t="s">
        <v>171</v>
      </c>
      <c r="F332" s="16" t="n">
        <v>6.6</v>
      </c>
      <c r="G332" s="12" t="str">
        <f aca="false">IF(VALUE(MID(D332,3,2))*10+VALUE(MID(E332,2,1))&lt;=242,"Pre",IF(VALUE(MID(D332,3,2))*10+VALUE(MID(E332,2,1))&lt;=254,"Post","Later"))</f>
        <v>Pre</v>
      </c>
      <c r="H332" s="5" t="s">
        <v>232</v>
      </c>
      <c r="I332" s="5" t="s">
        <v>413</v>
      </c>
    </row>
    <row r="333" customFormat="false" ht="15" hidden="false" customHeight="false" outlineLevel="0" collapsed="false">
      <c r="A333" s="5" t="s">
        <v>154</v>
      </c>
      <c r="B333" s="5" t="s">
        <v>104</v>
      </c>
      <c r="C333" s="5" t="s">
        <v>125</v>
      </c>
      <c r="D333" s="5" t="s">
        <v>167</v>
      </c>
      <c r="E333" s="5" t="s">
        <v>172</v>
      </c>
      <c r="F333" s="16" t="n">
        <v>6.1</v>
      </c>
      <c r="G333" s="12" t="str">
        <f aca="false">IF(VALUE(MID(D333,3,2))*10+VALUE(MID(E333,2,1))&lt;=242,"Pre",IF(VALUE(MID(D333,3,2))*10+VALUE(MID(E333,2,1))&lt;=254,"Post","Later"))</f>
        <v>Pre</v>
      </c>
      <c r="H333" s="5" t="s">
        <v>414</v>
      </c>
      <c r="I333" s="5"/>
    </row>
    <row r="334" customFormat="false" ht="15" hidden="false" customHeight="false" outlineLevel="0" collapsed="false">
      <c r="A334" s="5" t="s">
        <v>154</v>
      </c>
      <c r="B334" s="5" t="s">
        <v>104</v>
      </c>
      <c r="C334" s="5" t="s">
        <v>125</v>
      </c>
      <c r="D334" s="5" t="s">
        <v>167</v>
      </c>
      <c r="E334" s="5" t="s">
        <v>173</v>
      </c>
      <c r="F334" s="16" t="n">
        <v>5.5</v>
      </c>
      <c r="G334" s="12" t="str">
        <f aca="false">IF(VALUE(MID(D334,3,2))*10+VALUE(MID(E334,2,1))&lt;=242,"Pre",IF(VALUE(MID(D334,3,2))*10+VALUE(MID(E334,2,1))&lt;=254,"Post","Later"))</f>
        <v>Pre</v>
      </c>
      <c r="H334" s="5" t="s">
        <v>415</v>
      </c>
      <c r="I334" s="5"/>
    </row>
    <row r="335" customFormat="false" ht="15" hidden="false" customHeight="false" outlineLevel="0" collapsed="false">
      <c r="A335" s="5" t="s">
        <v>154</v>
      </c>
      <c r="B335" s="5" t="s">
        <v>104</v>
      </c>
      <c r="C335" s="5" t="s">
        <v>125</v>
      </c>
      <c r="D335" s="5" t="s">
        <v>174</v>
      </c>
      <c r="E335" s="5" t="s">
        <v>168</v>
      </c>
      <c r="F335" s="16" t="n">
        <v>5.2</v>
      </c>
      <c r="G335" s="12" t="str">
        <f aca="false">IF(VALUE(MID(D335,3,2))*10+VALUE(MID(E335,2,1))&lt;=242,"Pre",IF(VALUE(MID(D335,3,2))*10+VALUE(MID(E335,2,1))&lt;=254,"Post","Later"))</f>
        <v>Pre</v>
      </c>
      <c r="H335" s="5" t="s">
        <v>235</v>
      </c>
      <c r="I335" s="5"/>
    </row>
    <row r="336" customFormat="false" ht="15" hidden="false" customHeight="false" outlineLevel="0" collapsed="false">
      <c r="A336" s="5" t="s">
        <v>154</v>
      </c>
      <c r="B336" s="5" t="s">
        <v>104</v>
      </c>
      <c r="C336" s="5" t="s">
        <v>125</v>
      </c>
      <c r="D336" s="5" t="s">
        <v>174</v>
      </c>
      <c r="E336" s="5" t="s">
        <v>171</v>
      </c>
      <c r="F336" s="16" t="n">
        <v>5.5</v>
      </c>
      <c r="G336" s="12" t="str">
        <f aca="false">IF(VALUE(MID(D336,3,2))*10+VALUE(MID(E336,2,1))&lt;=242,"Pre",IF(VALUE(MID(D336,3,2))*10+VALUE(MID(E336,2,1))&lt;=254,"Post","Later"))</f>
        <v>Pre</v>
      </c>
      <c r="H336" s="5" t="s">
        <v>236</v>
      </c>
      <c r="I336" s="5"/>
    </row>
    <row r="337" customFormat="false" ht="15" hidden="false" customHeight="false" outlineLevel="0" collapsed="false">
      <c r="A337" s="5" t="s">
        <v>154</v>
      </c>
      <c r="B337" s="5" t="s">
        <v>104</v>
      </c>
      <c r="C337" s="5" t="s">
        <v>125</v>
      </c>
      <c r="D337" s="5" t="s">
        <v>174</v>
      </c>
      <c r="E337" s="5" t="s">
        <v>172</v>
      </c>
      <c r="F337" s="16" t="n">
        <v>5.4</v>
      </c>
      <c r="G337" s="12" t="str">
        <f aca="false">IF(VALUE(MID(D337,3,2))*10+VALUE(MID(E337,2,1))&lt;=242,"Pre",IF(VALUE(MID(D337,3,2))*10+VALUE(MID(E337,2,1))&lt;=254,"Post","Later"))</f>
        <v>Pre</v>
      </c>
      <c r="H337" s="5" t="s">
        <v>416</v>
      </c>
      <c r="I337" s="5"/>
    </row>
    <row r="338" customFormat="false" ht="15" hidden="false" customHeight="false" outlineLevel="0" collapsed="false">
      <c r="A338" s="5" t="s">
        <v>154</v>
      </c>
      <c r="B338" s="5" t="s">
        <v>104</v>
      </c>
      <c r="C338" s="5" t="s">
        <v>125</v>
      </c>
      <c r="D338" s="5" t="s">
        <v>174</v>
      </c>
      <c r="E338" s="5" t="s">
        <v>173</v>
      </c>
      <c r="F338" s="16" t="n">
        <v>4.9</v>
      </c>
      <c r="G338" s="12" t="str">
        <f aca="false">IF(VALUE(MID(D338,3,2))*10+VALUE(MID(E338,2,1))&lt;=242,"Pre",IF(VALUE(MID(D338,3,2))*10+VALUE(MID(E338,2,1))&lt;=254,"Post","Later"))</f>
        <v>Pre</v>
      </c>
      <c r="H338" s="5" t="s">
        <v>417</v>
      </c>
      <c r="I338" s="5"/>
    </row>
    <row r="339" customFormat="false" ht="15" hidden="false" customHeight="false" outlineLevel="0" collapsed="false">
      <c r="A339" s="5" t="s">
        <v>154</v>
      </c>
      <c r="B339" s="5" t="s">
        <v>104</v>
      </c>
      <c r="C339" s="5" t="s">
        <v>125</v>
      </c>
      <c r="D339" s="5" t="s">
        <v>176</v>
      </c>
      <c r="E339" s="5" t="s">
        <v>168</v>
      </c>
      <c r="F339" s="16" t="n">
        <v>5.1</v>
      </c>
      <c r="G339" s="12" t="str">
        <f aca="false">IF(VALUE(MID(D339,3,2))*10+VALUE(MID(E339,2,1))&lt;=242,"Pre",IF(VALUE(MID(D339,3,2))*10+VALUE(MID(E339,2,1))&lt;=254,"Post","Later"))</f>
        <v>Pre</v>
      </c>
      <c r="H339" s="5" t="s">
        <v>418</v>
      </c>
      <c r="I339" s="5" t="s">
        <v>419</v>
      </c>
    </row>
    <row r="340" customFormat="false" ht="15" hidden="false" customHeight="false" outlineLevel="0" collapsed="false">
      <c r="A340" s="5" t="s">
        <v>154</v>
      </c>
      <c r="B340" s="5" t="s">
        <v>104</v>
      </c>
      <c r="C340" s="5" t="s">
        <v>125</v>
      </c>
      <c r="D340" s="5" t="s">
        <v>176</v>
      </c>
      <c r="E340" s="5" t="s">
        <v>171</v>
      </c>
      <c r="F340" s="16" t="n">
        <v>5.4</v>
      </c>
      <c r="G340" s="12" t="str">
        <f aca="false">IF(VALUE(MID(D340,3,2))*10+VALUE(MID(E340,2,1))&lt;=242,"Pre",IF(VALUE(MID(D340,3,2))*10+VALUE(MID(E340,2,1))&lt;=254,"Post","Later"))</f>
        <v>Pre</v>
      </c>
      <c r="H340" s="5" t="s">
        <v>418</v>
      </c>
      <c r="I340" s="5"/>
    </row>
    <row r="341" customFormat="false" ht="15" hidden="false" customHeight="false" outlineLevel="0" collapsed="false">
      <c r="A341" s="5" t="s">
        <v>154</v>
      </c>
      <c r="B341" s="5" t="s">
        <v>104</v>
      </c>
      <c r="C341" s="5" t="s">
        <v>125</v>
      </c>
      <c r="D341" s="5" t="s">
        <v>176</v>
      </c>
      <c r="E341" s="5" t="s">
        <v>172</v>
      </c>
      <c r="F341" s="16" t="n">
        <v>6.3</v>
      </c>
      <c r="G341" s="12" t="str">
        <f aca="false">IF(VALUE(MID(D341,3,2))*10+VALUE(MID(E341,2,1))&lt;=242,"Pre",IF(VALUE(MID(D341,3,2))*10+VALUE(MID(E341,2,1))&lt;=254,"Post","Later"))</f>
        <v>Pre</v>
      </c>
      <c r="H341" s="5" t="s">
        <v>418</v>
      </c>
      <c r="I341" s="5"/>
    </row>
    <row r="342" customFormat="false" ht="15" hidden="false" customHeight="false" outlineLevel="0" collapsed="false">
      <c r="A342" s="5" t="s">
        <v>154</v>
      </c>
      <c r="B342" s="5" t="s">
        <v>104</v>
      </c>
      <c r="C342" s="5" t="s">
        <v>125</v>
      </c>
      <c r="D342" s="5" t="s">
        <v>176</v>
      </c>
      <c r="E342" s="5" t="s">
        <v>173</v>
      </c>
      <c r="F342" s="16" t="n">
        <v>6.7</v>
      </c>
      <c r="G342" s="12" t="str">
        <f aca="false">IF(VALUE(MID(D342,3,2))*10+VALUE(MID(E342,2,1))&lt;=242,"Pre",IF(VALUE(MID(D342,3,2))*10+VALUE(MID(E342,2,1))&lt;=254,"Post","Later"))</f>
        <v>Pre</v>
      </c>
      <c r="H342" s="5" t="s">
        <v>418</v>
      </c>
      <c r="I342" s="5"/>
    </row>
    <row r="343" customFormat="false" ht="15" hidden="false" customHeight="false" outlineLevel="0" collapsed="false">
      <c r="A343" s="5" t="s">
        <v>154</v>
      </c>
      <c r="B343" s="5" t="s">
        <v>104</v>
      </c>
      <c r="C343" s="5" t="s">
        <v>125</v>
      </c>
      <c r="D343" s="5" t="s">
        <v>177</v>
      </c>
      <c r="E343" s="5" t="s">
        <v>168</v>
      </c>
      <c r="F343" s="16" t="n">
        <v>7.1</v>
      </c>
      <c r="G343" s="12" t="str">
        <f aca="false">IF(VALUE(MID(D343,3,2))*10+VALUE(MID(E343,2,1))&lt;=242,"Pre",IF(VALUE(MID(D343,3,2))*10+VALUE(MID(E343,2,1))&lt;=254,"Post","Later"))</f>
        <v>Pre</v>
      </c>
      <c r="H343" s="5" t="s">
        <v>420</v>
      </c>
      <c r="I343" s="5"/>
    </row>
    <row r="344" customFormat="false" ht="15" hidden="false" customHeight="false" outlineLevel="0" collapsed="false">
      <c r="A344" s="5" t="s">
        <v>154</v>
      </c>
      <c r="B344" s="5" t="s">
        <v>104</v>
      </c>
      <c r="C344" s="5" t="s">
        <v>125</v>
      </c>
      <c r="D344" s="5" t="s">
        <v>177</v>
      </c>
      <c r="E344" s="5" t="s">
        <v>171</v>
      </c>
      <c r="F344" s="16" t="n">
        <v>7.1</v>
      </c>
      <c r="G344" s="12" t="str">
        <f aca="false">IF(VALUE(MID(D344,3,2))*10+VALUE(MID(E344,2,1))&lt;=242,"Pre",IF(VALUE(MID(D344,3,2))*10+VALUE(MID(E344,2,1))&lt;=254,"Post","Later"))</f>
        <v>Pre</v>
      </c>
      <c r="H344" s="5" t="s">
        <v>421</v>
      </c>
      <c r="I344" s="5"/>
    </row>
    <row r="345" customFormat="false" ht="15" hidden="false" customHeight="false" outlineLevel="0" collapsed="false">
      <c r="A345" s="5" t="s">
        <v>154</v>
      </c>
      <c r="B345" s="5" t="s">
        <v>104</v>
      </c>
      <c r="C345" s="5" t="s">
        <v>125</v>
      </c>
      <c r="D345" s="5" t="s">
        <v>177</v>
      </c>
      <c r="E345" s="5" t="s">
        <v>172</v>
      </c>
      <c r="F345" s="16" t="n">
        <v>7.6</v>
      </c>
      <c r="G345" s="12" t="str">
        <f aca="false">IF(VALUE(MID(D345,3,2))*10+VALUE(MID(E345,2,1))&lt;=242,"Pre",IF(VALUE(MID(D345,3,2))*10+VALUE(MID(E345,2,1))&lt;=254,"Post","Later"))</f>
        <v>Post</v>
      </c>
      <c r="H345" s="5" t="s">
        <v>422</v>
      </c>
      <c r="I345" s="5"/>
    </row>
    <row r="346" customFormat="false" ht="15" hidden="false" customHeight="false" outlineLevel="0" collapsed="false">
      <c r="A346" s="5" t="s">
        <v>154</v>
      </c>
      <c r="B346" s="5" t="s">
        <v>104</v>
      </c>
      <c r="C346" s="5" t="s">
        <v>125</v>
      </c>
      <c r="D346" s="5" t="s">
        <v>177</v>
      </c>
      <c r="E346" s="5" t="s">
        <v>173</v>
      </c>
      <c r="F346" s="16" t="n">
        <v>7.4</v>
      </c>
      <c r="G346" s="12" t="str">
        <f aca="false">IF(VALUE(MID(D346,3,2))*10+VALUE(MID(E346,2,1))&lt;=242,"Pre",IF(VALUE(MID(D346,3,2))*10+VALUE(MID(E346,2,1))&lt;=254,"Post","Later"))</f>
        <v>Post</v>
      </c>
      <c r="H346" s="5" t="s">
        <v>423</v>
      </c>
      <c r="I346" s="5"/>
    </row>
    <row r="347" customFormat="false" ht="15" hidden="false" customHeight="false" outlineLevel="0" collapsed="false">
      <c r="A347" s="5" t="s">
        <v>154</v>
      </c>
      <c r="B347" s="5" t="s">
        <v>104</v>
      </c>
      <c r="C347" s="5" t="s">
        <v>125</v>
      </c>
      <c r="D347" s="5" t="s">
        <v>179</v>
      </c>
      <c r="E347" s="5" t="s">
        <v>168</v>
      </c>
      <c r="F347" s="16" t="n">
        <v>7.5</v>
      </c>
      <c r="G347" s="12" t="str">
        <f aca="false">IF(VALUE(MID(D347,3,2))*10+VALUE(MID(E347,2,1))&lt;=242,"Pre",IF(VALUE(MID(D347,3,2))*10+VALUE(MID(E347,2,1))&lt;=254,"Post","Later"))</f>
        <v>Post</v>
      </c>
      <c r="H347" s="5" t="s">
        <v>424</v>
      </c>
      <c r="I347" s="5"/>
    </row>
    <row r="348" customFormat="false" ht="15" hidden="false" customHeight="false" outlineLevel="0" collapsed="false">
      <c r="A348" s="5" t="s">
        <v>154</v>
      </c>
      <c r="B348" s="5" t="s">
        <v>104</v>
      </c>
      <c r="C348" s="5" t="s">
        <v>125</v>
      </c>
      <c r="D348" s="5" t="s">
        <v>179</v>
      </c>
      <c r="E348" s="5" t="s">
        <v>171</v>
      </c>
      <c r="F348" s="16" t="n">
        <v>7.4</v>
      </c>
      <c r="G348" s="12" t="str">
        <f aca="false">IF(VALUE(MID(D348,3,2))*10+VALUE(MID(E348,2,1))&lt;=242,"Pre",IF(VALUE(MID(D348,3,2))*10+VALUE(MID(E348,2,1))&lt;=254,"Post","Later"))</f>
        <v>Post</v>
      </c>
      <c r="H348" s="5" t="s">
        <v>425</v>
      </c>
      <c r="I348" s="5"/>
    </row>
    <row r="349" customFormat="false" ht="15" hidden="false" customHeight="false" outlineLevel="0" collapsed="false">
      <c r="A349" s="5" t="s">
        <v>154</v>
      </c>
      <c r="B349" s="5" t="s">
        <v>104</v>
      </c>
      <c r="C349" s="5" t="s">
        <v>125</v>
      </c>
      <c r="D349" s="5" t="s">
        <v>179</v>
      </c>
      <c r="E349" s="5" t="s">
        <v>172</v>
      </c>
      <c r="F349" s="16" t="n">
        <v>7.4</v>
      </c>
      <c r="G349" s="12" t="str">
        <f aca="false">IF(VALUE(MID(D349,3,2))*10+VALUE(MID(E349,2,1))&lt;=242,"Pre",IF(VALUE(MID(D349,3,2))*10+VALUE(MID(E349,2,1))&lt;=254,"Post","Later"))</f>
        <v>Post</v>
      </c>
      <c r="H349" s="5" t="s">
        <v>425</v>
      </c>
      <c r="I349" s="5"/>
    </row>
    <row r="350" customFormat="false" ht="15" hidden="false" customHeight="false" outlineLevel="0" collapsed="false">
      <c r="A350" s="5" t="s">
        <v>154</v>
      </c>
      <c r="B350" s="5" t="s">
        <v>104</v>
      </c>
      <c r="C350" s="5" t="s">
        <v>125</v>
      </c>
      <c r="D350" s="5" t="s">
        <v>179</v>
      </c>
      <c r="E350" s="5" t="s">
        <v>173</v>
      </c>
      <c r="F350" s="16" t="n">
        <v>7.2</v>
      </c>
      <c r="G350" s="12" t="str">
        <f aca="false">IF(VALUE(MID(D350,3,2))*10+VALUE(MID(E350,2,1))&lt;=242,"Pre",IF(VALUE(MID(D350,3,2))*10+VALUE(MID(E350,2,1))&lt;=254,"Post","Later"))</f>
        <v>Post</v>
      </c>
      <c r="H350" s="5" t="s">
        <v>425</v>
      </c>
      <c r="I350" s="5" t="s">
        <v>426</v>
      </c>
    </row>
    <row r="351" customFormat="false" ht="15" hidden="false" customHeight="false" outlineLevel="0" collapsed="false">
      <c r="A351" s="5" t="s">
        <v>154</v>
      </c>
      <c r="B351" s="5" t="s">
        <v>104</v>
      </c>
      <c r="C351" s="5" t="s">
        <v>125</v>
      </c>
      <c r="D351" s="5" t="s">
        <v>180</v>
      </c>
      <c r="E351" s="5" t="s">
        <v>168</v>
      </c>
      <c r="F351" s="16" t="n">
        <v>7.1</v>
      </c>
      <c r="G351" s="12" t="str">
        <f aca="false">IF(VALUE(MID(D351,3,2))*10+VALUE(MID(E351,2,1))&lt;=242,"Pre",IF(VALUE(MID(D351,3,2))*10+VALUE(MID(E351,2,1))&lt;=254,"Post","Later"))</f>
        <v>Later</v>
      </c>
      <c r="H351" s="5" t="s">
        <v>427</v>
      </c>
      <c r="I351" s="5"/>
    </row>
    <row r="352" customFormat="false" ht="15" hidden="false" customHeight="false" outlineLevel="0" collapsed="false">
      <c r="A352" s="5" t="s">
        <v>154</v>
      </c>
      <c r="B352" s="5" t="s">
        <v>104</v>
      </c>
      <c r="C352" s="5" t="s">
        <v>125</v>
      </c>
      <c r="D352" s="5" t="s">
        <v>180</v>
      </c>
      <c r="E352" s="5" t="s">
        <v>171</v>
      </c>
      <c r="F352" s="16" t="n">
        <v>6.4</v>
      </c>
      <c r="G352" s="12" t="str">
        <f aca="false">IF(VALUE(MID(D352,3,2))*10+VALUE(MID(E352,2,1))&lt;=242,"Pre",IF(VALUE(MID(D352,3,2))*10+VALUE(MID(E352,2,1))&lt;=254,"Post","Later"))</f>
        <v>Later</v>
      </c>
      <c r="H352" s="5" t="s">
        <v>428</v>
      </c>
      <c r="I352" s="5"/>
    </row>
    <row r="353" customFormat="false" ht="15" hidden="false" customHeight="false" outlineLevel="0" collapsed="false">
      <c r="A353" s="5" t="s">
        <v>154</v>
      </c>
      <c r="B353" s="5" t="s">
        <v>104</v>
      </c>
      <c r="C353" s="5" t="s">
        <v>125</v>
      </c>
      <c r="D353" s="5" t="s">
        <v>180</v>
      </c>
      <c r="E353" s="5" t="s">
        <v>172</v>
      </c>
      <c r="F353" s="16" t="n">
        <v>6.5</v>
      </c>
      <c r="G353" s="12" t="str">
        <f aca="false">IF(VALUE(MID(D353,3,2))*10+VALUE(MID(E353,2,1))&lt;=242,"Pre",IF(VALUE(MID(D353,3,2))*10+VALUE(MID(E353,2,1))&lt;=254,"Post","Later"))</f>
        <v>Later</v>
      </c>
      <c r="H353" s="5" t="s">
        <v>429</v>
      </c>
      <c r="I353" s="5"/>
    </row>
    <row r="354" customFormat="false" ht="15" hidden="false" customHeight="false" outlineLevel="0" collapsed="false">
      <c r="A354" s="5" t="s">
        <v>154</v>
      </c>
      <c r="B354" s="5" t="s">
        <v>104</v>
      </c>
      <c r="C354" s="5" t="s">
        <v>125</v>
      </c>
      <c r="D354" s="5" t="s">
        <v>180</v>
      </c>
      <c r="E354" s="5" t="s">
        <v>173</v>
      </c>
      <c r="F354" s="16" t="n">
        <v>6.4</v>
      </c>
      <c r="G354" s="12" t="str">
        <f aca="false">IF(VALUE(MID(D354,3,2))*10+VALUE(MID(E354,2,1))&lt;=242,"Pre",IF(VALUE(MID(D354,3,2))*10+VALUE(MID(E354,2,1))&lt;=254,"Post","Later"))</f>
        <v>Later</v>
      </c>
      <c r="H354" s="5" t="s">
        <v>430</v>
      </c>
      <c r="I354" s="5"/>
    </row>
    <row r="355" customFormat="false" ht="15" hidden="false" customHeight="false" outlineLevel="0" collapsed="false">
      <c r="A355" s="5" t="s">
        <v>157</v>
      </c>
      <c r="B355" s="5" t="s">
        <v>105</v>
      </c>
      <c r="C355" s="5" t="s">
        <v>125</v>
      </c>
      <c r="D355" s="5" t="s">
        <v>176</v>
      </c>
      <c r="E355" s="5" t="s">
        <v>168</v>
      </c>
      <c r="F355" s="16" t="n">
        <v>7.85</v>
      </c>
      <c r="G355" s="12" t="str">
        <f aca="false">IF(VALUE(MID(D355,3,2))*10+VALUE(MID(E355,2,1))&lt;=242,"Pre",IF(VALUE(MID(D355,3,2))*10+VALUE(MID(E355,2,1))&lt;=254,"Post","Later"))</f>
        <v>Pre</v>
      </c>
      <c r="H355" s="5" t="s">
        <v>431</v>
      </c>
      <c r="I355" s="5" t="s">
        <v>432</v>
      </c>
    </row>
    <row r="356" customFormat="false" ht="15" hidden="false" customHeight="false" outlineLevel="0" collapsed="false">
      <c r="A356" s="5" t="s">
        <v>157</v>
      </c>
      <c r="B356" s="5" t="s">
        <v>105</v>
      </c>
      <c r="C356" s="5" t="s">
        <v>125</v>
      </c>
      <c r="D356" s="5" t="s">
        <v>176</v>
      </c>
      <c r="E356" s="5" t="s">
        <v>171</v>
      </c>
      <c r="F356" s="16" t="n">
        <v>8.45</v>
      </c>
      <c r="G356" s="12" t="str">
        <f aca="false">IF(VALUE(MID(D356,3,2))*10+VALUE(MID(E356,2,1))&lt;=242,"Pre",IF(VALUE(MID(D356,3,2))*10+VALUE(MID(E356,2,1))&lt;=254,"Post","Later"))</f>
        <v>Pre</v>
      </c>
      <c r="H356" s="5" t="s">
        <v>431</v>
      </c>
      <c r="I356" s="5" t="s">
        <v>432</v>
      </c>
    </row>
    <row r="357" customFormat="false" ht="15" hidden="false" customHeight="false" outlineLevel="0" collapsed="false">
      <c r="A357" s="5" t="s">
        <v>157</v>
      </c>
      <c r="B357" s="5" t="s">
        <v>105</v>
      </c>
      <c r="C357" s="5" t="s">
        <v>125</v>
      </c>
      <c r="D357" s="5" t="s">
        <v>176</v>
      </c>
      <c r="E357" s="5" t="s">
        <v>172</v>
      </c>
      <c r="F357" s="16" t="n">
        <v>8.07</v>
      </c>
      <c r="G357" s="12" t="str">
        <f aca="false">IF(VALUE(MID(D357,3,2))*10+VALUE(MID(E357,2,1))&lt;=242,"Pre",IF(VALUE(MID(D357,3,2))*10+VALUE(MID(E357,2,1))&lt;=254,"Post","Later"))</f>
        <v>Pre</v>
      </c>
      <c r="H357" s="5" t="s">
        <v>431</v>
      </c>
      <c r="I357" s="5" t="s">
        <v>432</v>
      </c>
    </row>
    <row r="358" customFormat="false" ht="15" hidden="false" customHeight="false" outlineLevel="0" collapsed="false">
      <c r="A358" s="5" t="s">
        <v>157</v>
      </c>
      <c r="B358" s="5" t="s">
        <v>105</v>
      </c>
      <c r="C358" s="5" t="s">
        <v>125</v>
      </c>
      <c r="D358" s="5" t="s">
        <v>176</v>
      </c>
      <c r="E358" s="5" t="s">
        <v>173</v>
      </c>
      <c r="F358" s="16" t="n">
        <v>8.41</v>
      </c>
      <c r="G358" s="12" t="str">
        <f aca="false">IF(VALUE(MID(D358,3,2))*10+VALUE(MID(E358,2,1))&lt;=242,"Pre",IF(VALUE(MID(D358,3,2))*10+VALUE(MID(E358,2,1))&lt;=254,"Post","Later"))</f>
        <v>Pre</v>
      </c>
      <c r="H358" s="5" t="s">
        <v>431</v>
      </c>
      <c r="I358" s="5" t="s">
        <v>432</v>
      </c>
    </row>
    <row r="359" customFormat="false" ht="15" hidden="false" customHeight="false" outlineLevel="0" collapsed="false">
      <c r="A359" s="5" t="s">
        <v>157</v>
      </c>
      <c r="B359" s="5" t="s">
        <v>105</v>
      </c>
      <c r="C359" s="5" t="s">
        <v>125</v>
      </c>
      <c r="D359" s="5" t="s">
        <v>177</v>
      </c>
      <c r="E359" s="5" t="s">
        <v>168</v>
      </c>
      <c r="F359" s="16" t="n">
        <v>8.8</v>
      </c>
      <c r="G359" s="12" t="str">
        <f aca="false">IF(VALUE(MID(D359,3,2))*10+VALUE(MID(E359,2,1))&lt;=242,"Pre",IF(VALUE(MID(D359,3,2))*10+VALUE(MID(E359,2,1))&lt;=254,"Post","Later"))</f>
        <v>Pre</v>
      </c>
      <c r="H359" s="5" t="s">
        <v>431</v>
      </c>
      <c r="I359" s="5" t="s">
        <v>432</v>
      </c>
    </row>
    <row r="360" customFormat="false" ht="15" hidden="false" customHeight="false" outlineLevel="0" collapsed="false">
      <c r="A360" s="5" t="s">
        <v>157</v>
      </c>
      <c r="B360" s="5" t="s">
        <v>105</v>
      </c>
      <c r="C360" s="5" t="s">
        <v>125</v>
      </c>
      <c r="D360" s="5" t="s">
        <v>177</v>
      </c>
      <c r="E360" s="5" t="s">
        <v>171</v>
      </c>
      <c r="F360" s="16" t="n">
        <v>8.95</v>
      </c>
      <c r="G360" s="12" t="str">
        <f aca="false">IF(VALUE(MID(D360,3,2))*10+VALUE(MID(E360,2,1))&lt;=242,"Pre",IF(VALUE(MID(D360,3,2))*10+VALUE(MID(E360,2,1))&lt;=254,"Post","Later"))</f>
        <v>Pre</v>
      </c>
      <c r="H360" s="5" t="s">
        <v>431</v>
      </c>
      <c r="I360" s="5" t="s">
        <v>432</v>
      </c>
    </row>
    <row r="361" customFormat="false" ht="15" hidden="false" customHeight="false" outlineLevel="0" collapsed="false">
      <c r="A361" s="5" t="s">
        <v>157</v>
      </c>
      <c r="B361" s="5" t="s">
        <v>105</v>
      </c>
      <c r="C361" s="5" t="s">
        <v>125</v>
      </c>
      <c r="D361" s="5" t="s">
        <v>177</v>
      </c>
      <c r="E361" s="5" t="s">
        <v>172</v>
      </c>
      <c r="F361" s="16" t="n">
        <v>8.75</v>
      </c>
      <c r="G361" s="12" t="str">
        <f aca="false">IF(VALUE(MID(D361,3,2))*10+VALUE(MID(E361,2,1))&lt;=242,"Pre",IF(VALUE(MID(D361,3,2))*10+VALUE(MID(E361,2,1))&lt;=254,"Post","Later"))</f>
        <v>Post</v>
      </c>
      <c r="H361" s="5" t="s">
        <v>431</v>
      </c>
      <c r="I361" s="5" t="s">
        <v>432</v>
      </c>
    </row>
    <row r="362" customFormat="false" ht="15" hidden="false" customHeight="false" outlineLevel="0" collapsed="false">
      <c r="A362" s="5" t="s">
        <v>157</v>
      </c>
      <c r="B362" s="5" t="s">
        <v>105</v>
      </c>
      <c r="C362" s="5" t="s">
        <v>125</v>
      </c>
      <c r="D362" s="5" t="s">
        <v>177</v>
      </c>
      <c r="E362" s="5" t="s">
        <v>173</v>
      </c>
      <c r="F362" s="16" t="n">
        <v>8.89</v>
      </c>
      <c r="G362" s="12" t="str">
        <f aca="false">IF(VALUE(MID(D362,3,2))*10+VALUE(MID(E362,2,1))&lt;=242,"Pre",IF(VALUE(MID(D362,3,2))*10+VALUE(MID(E362,2,1))&lt;=254,"Post","Later"))</f>
        <v>Post</v>
      </c>
      <c r="H362" s="5" t="s">
        <v>431</v>
      </c>
      <c r="I362" s="5" t="s">
        <v>432</v>
      </c>
    </row>
    <row r="363" customFormat="false" ht="15" hidden="false" customHeight="false" outlineLevel="0" collapsed="false">
      <c r="A363" s="5" t="s">
        <v>157</v>
      </c>
      <c r="B363" s="5" t="s">
        <v>105</v>
      </c>
      <c r="C363" s="5" t="s">
        <v>125</v>
      </c>
      <c r="D363" s="5" t="s">
        <v>179</v>
      </c>
      <c r="E363" s="5" t="s">
        <v>168</v>
      </c>
      <c r="F363" s="16" t="n">
        <v>8.83</v>
      </c>
      <c r="G363" s="12" t="str">
        <f aca="false">IF(VALUE(MID(D363,3,2))*10+VALUE(MID(E363,2,1))&lt;=242,"Pre",IF(VALUE(MID(D363,3,2))*10+VALUE(MID(E363,2,1))&lt;=254,"Post","Later"))</f>
        <v>Post</v>
      </c>
      <c r="H363" s="5" t="s">
        <v>431</v>
      </c>
      <c r="I363" s="5" t="s">
        <v>432</v>
      </c>
    </row>
    <row r="364" customFormat="false" ht="15" hidden="false" customHeight="false" outlineLevel="0" collapsed="false">
      <c r="A364" s="5" t="s">
        <v>157</v>
      </c>
      <c r="B364" s="5" t="s">
        <v>105</v>
      </c>
      <c r="C364" s="5" t="s">
        <v>125</v>
      </c>
      <c r="D364" s="5" t="s">
        <v>179</v>
      </c>
      <c r="E364" s="5" t="s">
        <v>171</v>
      </c>
      <c r="F364" s="16" t="n">
        <v>8.81</v>
      </c>
      <c r="G364" s="12" t="str">
        <f aca="false">IF(VALUE(MID(D364,3,2))*10+VALUE(MID(E364,2,1))&lt;=242,"Pre",IF(VALUE(MID(D364,3,2))*10+VALUE(MID(E364,2,1))&lt;=254,"Post","Later"))</f>
        <v>Post</v>
      </c>
      <c r="H364" s="5" t="s">
        <v>431</v>
      </c>
      <c r="I364" s="5" t="s">
        <v>432</v>
      </c>
    </row>
    <row r="365" customFormat="false" ht="15" hidden="false" customHeight="false" outlineLevel="0" collapsed="false">
      <c r="A365" s="5" t="s">
        <v>157</v>
      </c>
      <c r="B365" s="5" t="s">
        <v>105</v>
      </c>
      <c r="C365" s="5" t="s">
        <v>125</v>
      </c>
      <c r="D365" s="5" t="s">
        <v>179</v>
      </c>
      <c r="E365" s="5" t="s">
        <v>172</v>
      </c>
      <c r="F365" s="16" t="n">
        <v>8.87</v>
      </c>
      <c r="G365" s="12" t="str">
        <f aca="false">IF(VALUE(MID(D365,3,2))*10+VALUE(MID(E365,2,1))&lt;=242,"Pre",IF(VALUE(MID(D365,3,2))*10+VALUE(MID(E365,2,1))&lt;=254,"Post","Later"))</f>
        <v>Post</v>
      </c>
      <c r="H365" s="5" t="s">
        <v>431</v>
      </c>
      <c r="I365" s="5" t="s">
        <v>432</v>
      </c>
    </row>
    <row r="366" customFormat="false" ht="15" hidden="false" customHeight="false" outlineLevel="0" collapsed="false">
      <c r="A366" s="5" t="s">
        <v>157</v>
      </c>
      <c r="B366" s="5" t="s">
        <v>105</v>
      </c>
      <c r="C366" s="5" t="s">
        <v>125</v>
      </c>
      <c r="D366" s="5" t="s">
        <v>179</v>
      </c>
      <c r="E366" s="5" t="s">
        <v>173</v>
      </c>
      <c r="F366" s="16" t="n">
        <v>9.22</v>
      </c>
      <c r="G366" s="12" t="str">
        <f aca="false">IF(VALUE(MID(D366,3,2))*10+VALUE(MID(E366,2,1))&lt;=242,"Pre",IF(VALUE(MID(D366,3,2))*10+VALUE(MID(E366,2,1))&lt;=254,"Post","Later"))</f>
        <v>Post</v>
      </c>
      <c r="H366" s="5" t="s">
        <v>431</v>
      </c>
      <c r="I366" s="5" t="s">
        <v>432</v>
      </c>
    </row>
    <row r="367" customFormat="false" ht="15" hidden="false" customHeight="false" outlineLevel="0" collapsed="false">
      <c r="A367" s="5" t="s">
        <v>157</v>
      </c>
      <c r="B367" s="5" t="s">
        <v>105</v>
      </c>
      <c r="C367" s="5" t="s">
        <v>125</v>
      </c>
      <c r="D367" s="5" t="s">
        <v>180</v>
      </c>
      <c r="E367" s="5" t="s">
        <v>168</v>
      </c>
      <c r="F367" s="16" t="n">
        <v>9.12</v>
      </c>
      <c r="G367" s="12" t="str">
        <f aca="false">IF(VALUE(MID(D367,3,2))*10+VALUE(MID(E367,2,1))&lt;=242,"Pre",IF(VALUE(MID(D367,3,2))*10+VALUE(MID(E367,2,1))&lt;=254,"Post","Later"))</f>
        <v>Later</v>
      </c>
      <c r="H367" s="5" t="s">
        <v>431</v>
      </c>
      <c r="I367" s="5" t="s">
        <v>432</v>
      </c>
    </row>
    <row r="368" customFormat="false" ht="15" hidden="false" customHeight="false" outlineLevel="0" collapsed="false">
      <c r="A368" s="5" t="s">
        <v>157</v>
      </c>
      <c r="B368" s="5" t="s">
        <v>105</v>
      </c>
      <c r="C368" s="5" t="s">
        <v>125</v>
      </c>
      <c r="D368" s="5" t="s">
        <v>180</v>
      </c>
      <c r="E368" s="5" t="s">
        <v>171</v>
      </c>
      <c r="F368" s="16" t="n">
        <v>9.32</v>
      </c>
      <c r="G368" s="12" t="str">
        <f aca="false">IF(VALUE(MID(D368,3,2))*10+VALUE(MID(E368,2,1))&lt;=242,"Pre",IF(VALUE(MID(D368,3,2))*10+VALUE(MID(E368,2,1))&lt;=254,"Post","Later"))</f>
        <v>Later</v>
      </c>
      <c r="H368" s="5" t="s">
        <v>431</v>
      </c>
      <c r="I368" s="5" t="s">
        <v>432</v>
      </c>
    </row>
    <row r="369" customFormat="false" ht="15" hidden="false" customHeight="false" outlineLevel="0" collapsed="false">
      <c r="A369" s="5" t="s">
        <v>157</v>
      </c>
      <c r="B369" s="5" t="s">
        <v>105</v>
      </c>
      <c r="C369" s="5" t="s">
        <v>125</v>
      </c>
      <c r="D369" s="5" t="s">
        <v>180</v>
      </c>
      <c r="E369" s="5" t="s">
        <v>172</v>
      </c>
      <c r="F369" s="16" t="n">
        <v>8.74</v>
      </c>
      <c r="G369" s="12" t="str">
        <f aca="false">IF(VALUE(MID(D369,3,2))*10+VALUE(MID(E369,2,1))&lt;=242,"Pre",IF(VALUE(MID(D369,3,2))*10+VALUE(MID(E369,2,1))&lt;=254,"Post","Later"))</f>
        <v>Later</v>
      </c>
      <c r="H369" s="5" t="s">
        <v>431</v>
      </c>
      <c r="I369" s="5" t="s">
        <v>432</v>
      </c>
    </row>
    <row r="370" customFormat="false" ht="15" hidden="false" customHeight="false" outlineLevel="0" collapsed="false">
      <c r="A370" s="5" t="s">
        <v>157</v>
      </c>
      <c r="B370" s="5" t="s">
        <v>105</v>
      </c>
      <c r="C370" s="5" t="s">
        <v>125</v>
      </c>
      <c r="D370" s="5" t="s">
        <v>180</v>
      </c>
      <c r="E370" s="5" t="s">
        <v>173</v>
      </c>
      <c r="F370" s="16" t="n">
        <v>8.59</v>
      </c>
      <c r="G370" s="12" t="str">
        <f aca="false">IF(VALUE(MID(D370,3,2))*10+VALUE(MID(E370,2,1))&lt;=242,"Pre",IF(VALUE(MID(D370,3,2))*10+VALUE(MID(E370,2,1))&lt;=254,"Post","Later"))</f>
        <v>Later</v>
      </c>
      <c r="H370" s="5" t="s">
        <v>431</v>
      </c>
      <c r="I370" s="5" t="s">
        <v>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3"/>
    <col collapsed="false" customWidth="true" hidden="false" outlineLevel="0" max="3" min="3" style="0" width="14"/>
    <col collapsed="false" customWidth="true" hidden="false" outlineLevel="0" max="4" min="4" style="0" width="10"/>
    <col collapsed="false" customWidth="true" hidden="false" outlineLevel="0" max="5" min="5" style="0" width="9"/>
    <col collapsed="false" customWidth="true" hidden="false" outlineLevel="0" max="6" min="6" style="0" width="10"/>
    <col collapsed="false" customWidth="true" hidden="false" outlineLevel="0" max="7" min="7" style="0" width="9"/>
    <col collapsed="false" customWidth="true" hidden="false" outlineLevel="0" max="8" min="8" style="0" width="26"/>
    <col collapsed="false" customWidth="true" hidden="false" outlineLevel="0" max="9" min="9" style="0" width="70"/>
  </cols>
  <sheetData>
    <row r="1" customFormat="false" ht="15" hidden="false" customHeight="false" outlineLevel="0" collapsed="false">
      <c r="A1" s="6" t="s">
        <v>433</v>
      </c>
    </row>
    <row r="2" customFormat="false" ht="15" hidden="false" customHeight="false" outlineLevel="0" collapsed="false">
      <c r="A2" s="2" t="s">
        <v>160</v>
      </c>
    </row>
    <row r="4" customFormat="false" ht="42" hidden="false" customHeight="true" outlineLevel="0" collapsed="false">
      <c r="A4" s="3" t="s">
        <v>110</v>
      </c>
      <c r="B4" s="3" t="s">
        <v>111</v>
      </c>
      <c r="C4" s="3" t="s">
        <v>161</v>
      </c>
      <c r="D4" s="3" t="s">
        <v>162</v>
      </c>
      <c r="E4" s="3" t="s">
        <v>163</v>
      </c>
      <c r="F4" s="3" t="s">
        <v>164</v>
      </c>
      <c r="G4" s="3" t="s">
        <v>85</v>
      </c>
      <c r="H4" s="3" t="s">
        <v>165</v>
      </c>
      <c r="I4" s="3" t="s">
        <v>166</v>
      </c>
    </row>
    <row r="5" customFormat="false" ht="15" hidden="false" customHeight="false" outlineLevel="0" collapsed="false">
      <c r="A5" s="5" t="s">
        <v>118</v>
      </c>
      <c r="B5" s="5" t="s">
        <v>90</v>
      </c>
      <c r="C5" s="5" t="s">
        <v>120</v>
      </c>
      <c r="D5" s="5" t="s">
        <v>167</v>
      </c>
      <c r="E5" s="5" t="s">
        <v>171</v>
      </c>
      <c r="F5" s="16" t="n">
        <v>36.3</v>
      </c>
      <c r="G5" s="12" t="str">
        <f aca="false">IF(VALUE(MID(D5,3,2))*10+VALUE(MID(E5,2,1))&lt;=242,"Pre",IF(VALUE(MID(D5,3,2))*10+VALUE(MID(E5,2,1))&lt;=254,"Post","Later"))</f>
        <v>Pre</v>
      </c>
      <c r="H5" s="5" t="s">
        <v>434</v>
      </c>
      <c r="I5" s="5" t="s">
        <v>435</v>
      </c>
    </row>
    <row r="6" customFormat="false" ht="15" hidden="false" customHeight="false" outlineLevel="0" collapsed="false">
      <c r="A6" s="5" t="s">
        <v>118</v>
      </c>
      <c r="B6" s="5" t="s">
        <v>90</v>
      </c>
      <c r="C6" s="5" t="s">
        <v>120</v>
      </c>
      <c r="D6" s="5" t="s">
        <v>167</v>
      </c>
      <c r="E6" s="5" t="s">
        <v>173</v>
      </c>
      <c r="F6" s="16" t="n">
        <v>34.1</v>
      </c>
      <c r="G6" s="12" t="str">
        <f aca="false">IF(VALUE(MID(D6,3,2))*10+VALUE(MID(E6,2,1))&lt;=242,"Pre",IF(VALUE(MID(D6,3,2))*10+VALUE(MID(E6,2,1))&lt;=254,"Post","Later"))</f>
        <v>Pre</v>
      </c>
      <c r="H6" s="5" t="s">
        <v>436</v>
      </c>
      <c r="I6" s="5" t="s">
        <v>435</v>
      </c>
    </row>
    <row r="7" customFormat="false" ht="15" hidden="false" customHeight="false" outlineLevel="0" collapsed="false">
      <c r="A7" s="5" t="s">
        <v>118</v>
      </c>
      <c r="B7" s="5" t="s">
        <v>90</v>
      </c>
      <c r="C7" s="5" t="s">
        <v>120</v>
      </c>
      <c r="D7" s="5" t="s">
        <v>174</v>
      </c>
      <c r="E7" s="5" t="s">
        <v>171</v>
      </c>
      <c r="F7" s="16" t="n">
        <v>36.8</v>
      </c>
      <c r="G7" s="12" t="str">
        <f aca="false">IF(VALUE(MID(D7,3,2))*10+VALUE(MID(E7,2,1))&lt;=242,"Pre",IF(VALUE(MID(D7,3,2))*10+VALUE(MID(E7,2,1))&lt;=254,"Post","Later"))</f>
        <v>Pre</v>
      </c>
      <c r="H7" s="5" t="s">
        <v>437</v>
      </c>
      <c r="I7" s="5" t="s">
        <v>435</v>
      </c>
    </row>
    <row r="8" customFormat="false" ht="15" hidden="false" customHeight="false" outlineLevel="0" collapsed="false">
      <c r="A8" s="5" t="s">
        <v>118</v>
      </c>
      <c r="B8" s="5" t="s">
        <v>90</v>
      </c>
      <c r="C8" s="5" t="s">
        <v>120</v>
      </c>
      <c r="D8" s="5" t="s">
        <v>174</v>
      </c>
      <c r="E8" s="5" t="s">
        <v>173</v>
      </c>
      <c r="F8" s="16" t="n">
        <v>37.9</v>
      </c>
      <c r="G8" s="12" t="str">
        <f aca="false">IF(VALUE(MID(D8,3,2))*10+VALUE(MID(E8,2,1))&lt;=242,"Pre",IF(VALUE(MID(D8,3,2))*10+VALUE(MID(E8,2,1))&lt;=254,"Post","Later"))</f>
        <v>Pre</v>
      </c>
      <c r="H8" s="5" t="s">
        <v>438</v>
      </c>
      <c r="I8" s="5" t="s">
        <v>435</v>
      </c>
    </row>
    <row r="9" customFormat="false" ht="15" hidden="false" customHeight="false" outlineLevel="0" collapsed="false">
      <c r="A9" s="5" t="s">
        <v>118</v>
      </c>
      <c r="B9" s="5" t="s">
        <v>90</v>
      </c>
      <c r="C9" s="5" t="s">
        <v>120</v>
      </c>
      <c r="D9" s="5" t="s">
        <v>176</v>
      </c>
      <c r="E9" s="5" t="s">
        <v>171</v>
      </c>
      <c r="F9" s="16" t="n">
        <v>41.8</v>
      </c>
      <c r="G9" s="12" t="str">
        <f aca="false">IF(VALUE(MID(D9,3,2))*10+VALUE(MID(E9,2,1))&lt;=242,"Pre",IF(VALUE(MID(D9,3,2))*10+VALUE(MID(E9,2,1))&lt;=254,"Post","Later"))</f>
        <v>Pre</v>
      </c>
      <c r="H9" s="5" t="s">
        <v>439</v>
      </c>
      <c r="I9" s="5" t="s">
        <v>435</v>
      </c>
    </row>
    <row r="10" customFormat="false" ht="15" hidden="false" customHeight="false" outlineLevel="0" collapsed="false">
      <c r="A10" s="5" t="s">
        <v>118</v>
      </c>
      <c r="B10" s="5" t="s">
        <v>90</v>
      </c>
      <c r="C10" s="5" t="s">
        <v>120</v>
      </c>
      <c r="D10" s="5" t="s">
        <v>176</v>
      </c>
      <c r="E10" s="5" t="s">
        <v>173</v>
      </c>
      <c r="F10" s="16" t="n">
        <v>45</v>
      </c>
      <c r="G10" s="12" t="str">
        <f aca="false">IF(VALUE(MID(D10,3,2))*10+VALUE(MID(E10,2,1))&lt;=242,"Pre",IF(VALUE(MID(D10,3,2))*10+VALUE(MID(E10,2,1))&lt;=254,"Post","Later"))</f>
        <v>Pre</v>
      </c>
      <c r="H10" s="5" t="s">
        <v>440</v>
      </c>
      <c r="I10" s="5" t="s">
        <v>435</v>
      </c>
    </row>
    <row r="11" customFormat="false" ht="15" hidden="false" customHeight="false" outlineLevel="0" collapsed="false">
      <c r="A11" s="5" t="s">
        <v>118</v>
      </c>
      <c r="B11" s="5" t="s">
        <v>90</v>
      </c>
      <c r="C11" s="5" t="s">
        <v>120</v>
      </c>
      <c r="D11" s="5" t="s">
        <v>177</v>
      </c>
      <c r="E11" s="5" t="s">
        <v>171</v>
      </c>
      <c r="F11" s="16" t="n">
        <v>49.6</v>
      </c>
      <c r="G11" s="12" t="str">
        <f aca="false">IF(VALUE(MID(D11,3,2))*10+VALUE(MID(E11,2,1))&lt;=242,"Pre",IF(VALUE(MID(D11,3,2))*10+VALUE(MID(E11,2,1))&lt;=254,"Post","Later"))</f>
        <v>Pre</v>
      </c>
      <c r="H11" s="5" t="s">
        <v>441</v>
      </c>
      <c r="I11" s="5" t="s">
        <v>435</v>
      </c>
    </row>
    <row r="12" customFormat="false" ht="15" hidden="false" customHeight="false" outlineLevel="0" collapsed="false">
      <c r="A12" s="5" t="s">
        <v>118</v>
      </c>
      <c r="B12" s="5" t="s">
        <v>90</v>
      </c>
      <c r="C12" s="5" t="s">
        <v>120</v>
      </c>
      <c r="D12" s="5" t="s">
        <v>177</v>
      </c>
      <c r="E12" s="5" t="s">
        <v>173</v>
      </c>
      <c r="F12" s="16" t="n">
        <v>47.5</v>
      </c>
      <c r="G12" s="12" t="str">
        <f aca="false">IF(VALUE(MID(D12,3,2))*10+VALUE(MID(E12,2,1))&lt;=242,"Pre",IF(VALUE(MID(D12,3,2))*10+VALUE(MID(E12,2,1))&lt;=254,"Post","Later"))</f>
        <v>Post</v>
      </c>
      <c r="H12" s="5" t="s">
        <v>442</v>
      </c>
      <c r="I12" s="5" t="s">
        <v>435</v>
      </c>
    </row>
    <row r="13" customFormat="false" ht="15" hidden="false" customHeight="false" outlineLevel="0" collapsed="false">
      <c r="A13" s="5" t="s">
        <v>118</v>
      </c>
      <c r="B13" s="5" t="s">
        <v>90</v>
      </c>
      <c r="C13" s="5" t="s">
        <v>120</v>
      </c>
      <c r="D13" s="5" t="s">
        <v>179</v>
      </c>
      <c r="E13" s="5" t="s">
        <v>171</v>
      </c>
      <c r="F13" s="16" t="n">
        <v>50.8</v>
      </c>
      <c r="G13" s="12" t="str">
        <f aca="false">IF(VALUE(MID(D13,3,2))*10+VALUE(MID(E13,2,1))&lt;=242,"Pre",IF(VALUE(MID(D13,3,2))*10+VALUE(MID(E13,2,1))&lt;=254,"Post","Later"))</f>
        <v>Post</v>
      </c>
      <c r="H13" s="5" t="s">
        <v>443</v>
      </c>
      <c r="I13" s="5" t="s">
        <v>435</v>
      </c>
    </row>
    <row r="14" customFormat="false" ht="15" hidden="false" customHeight="false" outlineLevel="0" collapsed="false">
      <c r="A14" s="5" t="s">
        <v>118</v>
      </c>
      <c r="B14" s="5" t="s">
        <v>90</v>
      </c>
      <c r="C14" s="5" t="s">
        <v>120</v>
      </c>
      <c r="D14" s="5" t="s">
        <v>179</v>
      </c>
      <c r="E14" s="5" t="s">
        <v>173</v>
      </c>
      <c r="F14" s="16" t="n">
        <v>50.9</v>
      </c>
      <c r="G14" s="12" t="str">
        <f aca="false">IF(VALUE(MID(D14,3,2))*10+VALUE(MID(E14,2,1))&lt;=242,"Pre",IF(VALUE(MID(D14,3,2))*10+VALUE(MID(E14,2,1))&lt;=254,"Post","Later"))</f>
        <v>Post</v>
      </c>
      <c r="H14" s="5" t="s">
        <v>444</v>
      </c>
      <c r="I14" s="5" t="s">
        <v>435</v>
      </c>
    </row>
    <row r="15" customFormat="false" ht="15" hidden="false" customHeight="false" outlineLevel="0" collapsed="false">
      <c r="A15" s="5" t="s">
        <v>123</v>
      </c>
      <c r="B15" s="5" t="s">
        <v>96</v>
      </c>
      <c r="C15" s="5" t="s">
        <v>125</v>
      </c>
      <c r="D15" s="5" t="s">
        <v>167</v>
      </c>
      <c r="E15" s="5" t="s">
        <v>171</v>
      </c>
      <c r="F15" s="16" t="n">
        <v>31</v>
      </c>
      <c r="G15" s="12" t="str">
        <f aca="false">IF(VALUE(MID(D15,3,2))*10+VALUE(MID(E15,2,1))&lt;=242,"Pre",IF(VALUE(MID(D15,3,2))*10+VALUE(MID(E15,2,1))&lt;=254,"Post","Later"))</f>
        <v>Pre</v>
      </c>
      <c r="H15" s="5" t="s">
        <v>445</v>
      </c>
      <c r="I15" s="5" t="s">
        <v>446</v>
      </c>
    </row>
    <row r="16" customFormat="false" ht="15" hidden="false" customHeight="false" outlineLevel="0" collapsed="false">
      <c r="A16" s="5" t="s">
        <v>123</v>
      </c>
      <c r="B16" s="5" t="s">
        <v>96</v>
      </c>
      <c r="C16" s="5" t="s">
        <v>125</v>
      </c>
      <c r="D16" s="5" t="s">
        <v>167</v>
      </c>
      <c r="E16" s="5" t="s">
        <v>173</v>
      </c>
      <c r="F16" s="16" t="n">
        <v>27</v>
      </c>
      <c r="G16" s="12" t="str">
        <f aca="false">IF(VALUE(MID(D16,3,2))*10+VALUE(MID(E16,2,1))&lt;=242,"Pre",IF(VALUE(MID(D16,3,2))*10+VALUE(MID(E16,2,1))&lt;=254,"Post","Later"))</f>
        <v>Pre</v>
      </c>
      <c r="H16" s="5" t="s">
        <v>445</v>
      </c>
      <c r="I16" s="5" t="s">
        <v>446</v>
      </c>
    </row>
    <row r="17" customFormat="false" ht="15" hidden="false" customHeight="false" outlineLevel="0" collapsed="false">
      <c r="A17" s="5" t="s">
        <v>123</v>
      </c>
      <c r="B17" s="5" t="s">
        <v>96</v>
      </c>
      <c r="C17" s="5" t="s">
        <v>125</v>
      </c>
      <c r="D17" s="5" t="s">
        <v>174</v>
      </c>
      <c r="E17" s="5" t="s">
        <v>171</v>
      </c>
      <c r="F17" s="16" t="n">
        <v>27.7</v>
      </c>
      <c r="G17" s="12" t="str">
        <f aca="false">IF(VALUE(MID(D17,3,2))*10+VALUE(MID(E17,2,1))&lt;=242,"Pre",IF(VALUE(MID(D17,3,2))*10+VALUE(MID(E17,2,1))&lt;=254,"Post","Later"))</f>
        <v>Pre</v>
      </c>
      <c r="H17" s="5" t="s">
        <v>447</v>
      </c>
      <c r="I17" s="5" t="s">
        <v>446</v>
      </c>
    </row>
    <row r="18" customFormat="false" ht="15" hidden="false" customHeight="false" outlineLevel="0" collapsed="false">
      <c r="A18" s="5" t="s">
        <v>123</v>
      </c>
      <c r="B18" s="5" t="s">
        <v>96</v>
      </c>
      <c r="C18" s="5" t="s">
        <v>125</v>
      </c>
      <c r="D18" s="5" t="s">
        <v>174</v>
      </c>
      <c r="E18" s="5" t="s">
        <v>172</v>
      </c>
      <c r="F18" s="16" t="n">
        <v>31.6</v>
      </c>
      <c r="G18" s="12" t="str">
        <f aca="false">IF(VALUE(MID(D18,3,2))*10+VALUE(MID(E18,2,1))&lt;=242,"Pre",IF(VALUE(MID(D18,3,2))*10+VALUE(MID(E18,2,1))&lt;=254,"Post","Later"))</f>
        <v>Pre</v>
      </c>
      <c r="H18" s="5" t="s">
        <v>447</v>
      </c>
      <c r="I18" s="5" t="s">
        <v>446</v>
      </c>
    </row>
    <row r="19" customFormat="false" ht="15" hidden="false" customHeight="false" outlineLevel="0" collapsed="false">
      <c r="A19" s="5" t="s">
        <v>123</v>
      </c>
      <c r="B19" s="5" t="s">
        <v>96</v>
      </c>
      <c r="C19" s="5" t="s">
        <v>125</v>
      </c>
      <c r="D19" s="5" t="s">
        <v>174</v>
      </c>
      <c r="E19" s="5" t="s">
        <v>173</v>
      </c>
      <c r="F19" s="16" t="n">
        <v>28</v>
      </c>
      <c r="G19" s="12" t="str">
        <f aca="false">IF(VALUE(MID(D19,3,2))*10+VALUE(MID(E19,2,1))&lt;=242,"Pre",IF(VALUE(MID(D19,3,2))*10+VALUE(MID(E19,2,1))&lt;=254,"Post","Later"))</f>
        <v>Pre</v>
      </c>
      <c r="H19" s="5" t="s">
        <v>447</v>
      </c>
      <c r="I19" s="5" t="s">
        <v>446</v>
      </c>
    </row>
    <row r="20" customFormat="false" ht="15" hidden="false" customHeight="false" outlineLevel="0" collapsed="false">
      <c r="A20" s="5" t="s">
        <v>123</v>
      </c>
      <c r="B20" s="5" t="s">
        <v>96</v>
      </c>
      <c r="C20" s="5" t="s">
        <v>125</v>
      </c>
      <c r="D20" s="5" t="s">
        <v>176</v>
      </c>
      <c r="E20" s="5" t="s">
        <v>168</v>
      </c>
      <c r="F20" s="16" t="n">
        <v>24</v>
      </c>
      <c r="G20" s="12" t="str">
        <f aca="false">IF(VALUE(MID(D20,3,2))*10+VALUE(MID(E20,2,1))&lt;=242,"Pre",IF(VALUE(MID(D20,3,2))*10+VALUE(MID(E20,2,1))&lt;=254,"Post","Later"))</f>
        <v>Pre</v>
      </c>
      <c r="H20" s="5" t="s">
        <v>447</v>
      </c>
      <c r="I20" s="5" t="s">
        <v>446</v>
      </c>
    </row>
    <row r="21" customFormat="false" ht="15" hidden="false" customHeight="false" outlineLevel="0" collapsed="false">
      <c r="A21" s="5" t="s">
        <v>123</v>
      </c>
      <c r="B21" s="5" t="s">
        <v>96</v>
      </c>
      <c r="C21" s="5" t="s">
        <v>125</v>
      </c>
      <c r="D21" s="5" t="s">
        <v>176</v>
      </c>
      <c r="E21" s="5" t="s">
        <v>171</v>
      </c>
      <c r="F21" s="16" t="n">
        <v>27</v>
      </c>
      <c r="G21" s="12" t="str">
        <f aca="false">IF(VALUE(MID(D21,3,2))*10+VALUE(MID(E21,2,1))&lt;=242,"Pre",IF(VALUE(MID(D21,3,2))*10+VALUE(MID(E21,2,1))&lt;=254,"Post","Later"))</f>
        <v>Pre</v>
      </c>
      <c r="H21" s="5" t="s">
        <v>447</v>
      </c>
      <c r="I21" s="5" t="s">
        <v>446</v>
      </c>
    </row>
    <row r="22" customFormat="false" ht="15" hidden="false" customHeight="false" outlineLevel="0" collapsed="false">
      <c r="A22" s="5" t="s">
        <v>123</v>
      </c>
      <c r="B22" s="5" t="s">
        <v>96</v>
      </c>
      <c r="C22" s="5" t="s">
        <v>125</v>
      </c>
      <c r="D22" s="5" t="s">
        <v>176</v>
      </c>
      <c r="E22" s="5" t="s">
        <v>172</v>
      </c>
      <c r="F22" s="16" t="n">
        <v>29.3</v>
      </c>
      <c r="G22" s="12" t="str">
        <f aca="false">IF(VALUE(MID(D22,3,2))*10+VALUE(MID(E22,2,1))&lt;=242,"Pre",IF(VALUE(MID(D22,3,2))*10+VALUE(MID(E22,2,1))&lt;=254,"Post","Later"))</f>
        <v>Pre</v>
      </c>
      <c r="H22" s="5" t="s">
        <v>448</v>
      </c>
      <c r="I22" s="5" t="s">
        <v>446</v>
      </c>
    </row>
    <row r="23" customFormat="false" ht="15" hidden="false" customHeight="false" outlineLevel="0" collapsed="false">
      <c r="A23" s="5" t="s">
        <v>123</v>
      </c>
      <c r="B23" s="5" t="s">
        <v>96</v>
      </c>
      <c r="C23" s="5" t="s">
        <v>125</v>
      </c>
      <c r="D23" s="5" t="s">
        <v>176</v>
      </c>
      <c r="E23" s="5" t="s">
        <v>173</v>
      </c>
      <c r="F23" s="16" t="n">
        <v>33</v>
      </c>
      <c r="G23" s="12" t="str">
        <f aca="false">IF(VALUE(MID(D23,3,2))*10+VALUE(MID(E23,2,1))&lt;=242,"Pre",IF(VALUE(MID(D23,3,2))*10+VALUE(MID(E23,2,1))&lt;=254,"Post","Later"))</f>
        <v>Pre</v>
      </c>
      <c r="H23" s="5" t="s">
        <v>448</v>
      </c>
      <c r="I23" s="5" t="s">
        <v>446</v>
      </c>
    </row>
    <row r="24" customFormat="false" ht="15" hidden="false" customHeight="false" outlineLevel="0" collapsed="false">
      <c r="A24" s="5" t="s">
        <v>123</v>
      </c>
      <c r="B24" s="5" t="s">
        <v>96</v>
      </c>
      <c r="C24" s="5" t="s">
        <v>125</v>
      </c>
      <c r="D24" s="5" t="s">
        <v>177</v>
      </c>
      <c r="E24" s="5" t="s">
        <v>168</v>
      </c>
      <c r="F24" s="16" t="n">
        <v>33.9</v>
      </c>
      <c r="G24" s="12" t="str">
        <f aca="false">IF(VALUE(MID(D24,3,2))*10+VALUE(MID(E24,2,1))&lt;=242,"Pre",IF(VALUE(MID(D24,3,2))*10+VALUE(MID(E24,2,1))&lt;=254,"Post","Later"))</f>
        <v>Pre</v>
      </c>
      <c r="H24" s="5" t="s">
        <v>448</v>
      </c>
      <c r="I24" s="5" t="s">
        <v>446</v>
      </c>
    </row>
    <row r="25" customFormat="false" ht="15" hidden="false" customHeight="false" outlineLevel="0" collapsed="false">
      <c r="A25" s="5" t="s">
        <v>123</v>
      </c>
      <c r="B25" s="5" t="s">
        <v>96</v>
      </c>
      <c r="C25" s="5" t="s">
        <v>125</v>
      </c>
      <c r="D25" s="5" t="s">
        <v>177</v>
      </c>
      <c r="E25" s="5" t="s">
        <v>171</v>
      </c>
      <c r="F25" s="16" t="n">
        <v>32.5</v>
      </c>
      <c r="G25" s="12" t="str">
        <f aca="false">IF(VALUE(MID(D25,3,2))*10+VALUE(MID(E25,2,1))&lt;=242,"Pre",IF(VALUE(MID(D25,3,2))*10+VALUE(MID(E25,2,1))&lt;=254,"Post","Later"))</f>
        <v>Pre</v>
      </c>
      <c r="H25" s="5" t="s">
        <v>449</v>
      </c>
      <c r="I25" s="5" t="s">
        <v>446</v>
      </c>
    </row>
    <row r="26" customFormat="false" ht="15" hidden="false" customHeight="false" outlineLevel="0" collapsed="false">
      <c r="A26" s="5" t="s">
        <v>123</v>
      </c>
      <c r="B26" s="5" t="s">
        <v>96</v>
      </c>
      <c r="C26" s="5" t="s">
        <v>125</v>
      </c>
      <c r="D26" s="5" t="s">
        <v>177</v>
      </c>
      <c r="E26" s="5" t="s">
        <v>172</v>
      </c>
      <c r="F26" s="16" t="n">
        <v>35.7</v>
      </c>
      <c r="G26" s="12" t="str">
        <f aca="false">IF(VALUE(MID(D26,3,2))*10+VALUE(MID(E26,2,1))&lt;=242,"Pre",IF(VALUE(MID(D26,3,2))*10+VALUE(MID(E26,2,1))&lt;=254,"Post","Later"))</f>
        <v>Post</v>
      </c>
      <c r="H26" s="5" t="s">
        <v>449</v>
      </c>
      <c r="I26" s="5" t="s">
        <v>446</v>
      </c>
    </row>
    <row r="27" customFormat="false" ht="15" hidden="false" customHeight="false" outlineLevel="0" collapsed="false">
      <c r="A27" s="5" t="s">
        <v>123</v>
      </c>
      <c r="B27" s="5" t="s">
        <v>96</v>
      </c>
      <c r="C27" s="5" t="s">
        <v>125</v>
      </c>
      <c r="D27" s="5" t="s">
        <v>177</v>
      </c>
      <c r="E27" s="5" t="s">
        <v>173</v>
      </c>
      <c r="F27" s="16" t="n">
        <v>41.1</v>
      </c>
      <c r="G27" s="12" t="str">
        <f aca="false">IF(VALUE(MID(D27,3,2))*10+VALUE(MID(E27,2,1))&lt;=242,"Pre",IF(VALUE(MID(D27,3,2))*10+VALUE(MID(E27,2,1))&lt;=254,"Post","Later"))</f>
        <v>Post</v>
      </c>
      <c r="H27" s="5" t="s">
        <v>449</v>
      </c>
      <c r="I27" s="5" t="s">
        <v>446</v>
      </c>
    </row>
    <row r="28" customFormat="false" ht="15" hidden="false" customHeight="false" outlineLevel="0" collapsed="false">
      <c r="A28" s="5" t="s">
        <v>123</v>
      </c>
      <c r="B28" s="5" t="s">
        <v>96</v>
      </c>
      <c r="C28" s="5" t="s">
        <v>125</v>
      </c>
      <c r="D28" s="5" t="s">
        <v>179</v>
      </c>
      <c r="E28" s="5" t="s">
        <v>168</v>
      </c>
      <c r="F28" s="16" t="n">
        <v>40.2</v>
      </c>
      <c r="G28" s="12" t="str">
        <f aca="false">IF(VALUE(MID(D28,3,2))*10+VALUE(MID(E28,2,1))&lt;=242,"Pre",IF(VALUE(MID(D28,3,2))*10+VALUE(MID(E28,2,1))&lt;=254,"Post","Later"))</f>
        <v>Post</v>
      </c>
      <c r="H28" s="5" t="s">
        <v>449</v>
      </c>
      <c r="I28" s="5" t="s">
        <v>446</v>
      </c>
    </row>
    <row r="29" customFormat="false" ht="15" hidden="false" customHeight="false" outlineLevel="0" collapsed="false">
      <c r="A29" s="5" t="s">
        <v>123</v>
      </c>
      <c r="B29" s="5" t="s">
        <v>96</v>
      </c>
      <c r="C29" s="5" t="s">
        <v>125</v>
      </c>
      <c r="D29" s="5" t="s">
        <v>179</v>
      </c>
      <c r="E29" s="5" t="s">
        <v>171</v>
      </c>
      <c r="F29" s="16" t="n">
        <v>35.9</v>
      </c>
      <c r="G29" s="12" t="str">
        <f aca="false">IF(VALUE(MID(D29,3,2))*10+VALUE(MID(E29,2,1))&lt;=242,"Pre",IF(VALUE(MID(D29,3,2))*10+VALUE(MID(E29,2,1))&lt;=254,"Post","Later"))</f>
        <v>Post</v>
      </c>
      <c r="H29" s="5" t="s">
        <v>449</v>
      </c>
      <c r="I29" s="5" t="s">
        <v>446</v>
      </c>
    </row>
    <row r="30" customFormat="false" ht="15" hidden="false" customHeight="false" outlineLevel="0" collapsed="false">
      <c r="A30" s="5" t="s">
        <v>123</v>
      </c>
      <c r="B30" s="5" t="s">
        <v>96</v>
      </c>
      <c r="C30" s="5" t="s">
        <v>125</v>
      </c>
      <c r="D30" s="5" t="s">
        <v>179</v>
      </c>
      <c r="E30" s="5" t="s">
        <v>172</v>
      </c>
      <c r="F30" s="16" t="n">
        <v>33.9</v>
      </c>
      <c r="G30" s="12" t="str">
        <f aca="false">IF(VALUE(MID(D30,3,2))*10+VALUE(MID(E30,2,1))&lt;=242,"Pre",IF(VALUE(MID(D30,3,2))*10+VALUE(MID(E30,2,1))&lt;=254,"Post","Later"))</f>
        <v>Post</v>
      </c>
      <c r="H30" s="5" t="s">
        <v>450</v>
      </c>
      <c r="I30" s="5" t="s">
        <v>446</v>
      </c>
    </row>
    <row r="31" customFormat="false" ht="15" hidden="false" customHeight="false" outlineLevel="0" collapsed="false">
      <c r="A31" s="5" t="s">
        <v>123</v>
      </c>
      <c r="B31" s="5" t="s">
        <v>96</v>
      </c>
      <c r="C31" s="5" t="s">
        <v>125</v>
      </c>
      <c r="D31" s="5" t="s">
        <v>179</v>
      </c>
      <c r="E31" s="5" t="s">
        <v>173</v>
      </c>
      <c r="F31" s="16" t="n">
        <v>32.2</v>
      </c>
      <c r="G31" s="12" t="str">
        <f aca="false">IF(VALUE(MID(D31,3,2))*10+VALUE(MID(E31,2,1))&lt;=242,"Pre",IF(VALUE(MID(D31,3,2))*10+VALUE(MID(E31,2,1))&lt;=254,"Post","Later"))</f>
        <v>Post</v>
      </c>
      <c r="H31" s="5" t="s">
        <v>451</v>
      </c>
      <c r="I31" s="5" t="s">
        <v>446</v>
      </c>
    </row>
    <row r="32" customFormat="false" ht="15" hidden="false" customHeight="false" outlineLevel="0" collapsed="false">
      <c r="A32" s="5" t="s">
        <v>123</v>
      </c>
      <c r="B32" s="5" t="s">
        <v>96</v>
      </c>
      <c r="C32" s="5" t="s">
        <v>125</v>
      </c>
      <c r="D32" s="5" t="s">
        <v>180</v>
      </c>
      <c r="E32" s="5" t="s">
        <v>168</v>
      </c>
      <c r="F32" s="16" t="n">
        <v>32.8</v>
      </c>
      <c r="G32" s="12" t="str">
        <f aca="false">IF(VALUE(MID(D32,3,2))*10+VALUE(MID(E32,2,1))&lt;=242,"Pre",IF(VALUE(MID(D32,3,2))*10+VALUE(MID(E32,2,1))&lt;=254,"Post","Later"))</f>
        <v>Later</v>
      </c>
      <c r="H32" s="5" t="s">
        <v>451</v>
      </c>
      <c r="I32" s="5" t="s">
        <v>446</v>
      </c>
    </row>
    <row r="33" customFormat="false" ht="15" hidden="false" customHeight="false" outlineLevel="0" collapsed="false">
      <c r="A33" s="5" t="s">
        <v>123</v>
      </c>
      <c r="B33" s="5" t="s">
        <v>96</v>
      </c>
      <c r="C33" s="5" t="s">
        <v>125</v>
      </c>
      <c r="D33" s="5" t="s">
        <v>180</v>
      </c>
      <c r="E33" s="5" t="s">
        <v>171</v>
      </c>
      <c r="F33" s="16" t="n">
        <v>30.2</v>
      </c>
      <c r="G33" s="12" t="str">
        <f aca="false">IF(VALUE(MID(D33,3,2))*10+VALUE(MID(E33,2,1))&lt;=242,"Pre",IF(VALUE(MID(D33,3,2))*10+VALUE(MID(E33,2,1))&lt;=254,"Post","Later"))</f>
        <v>Later</v>
      </c>
      <c r="H33" s="5" t="s">
        <v>451</v>
      </c>
      <c r="I33" s="5" t="s">
        <v>446</v>
      </c>
    </row>
    <row r="34" customFormat="false" ht="15" hidden="false" customHeight="false" outlineLevel="0" collapsed="false">
      <c r="A34" s="5" t="s">
        <v>123</v>
      </c>
      <c r="B34" s="5" t="s">
        <v>96</v>
      </c>
      <c r="C34" s="5" t="s">
        <v>125</v>
      </c>
      <c r="D34" s="5" t="s">
        <v>180</v>
      </c>
      <c r="E34" s="5" t="s">
        <v>172</v>
      </c>
      <c r="F34" s="16" t="n">
        <v>23.8</v>
      </c>
      <c r="G34" s="12" t="str">
        <f aca="false">IF(VALUE(MID(D34,3,2))*10+VALUE(MID(E34,2,1))&lt;=242,"Pre",IF(VALUE(MID(D34,3,2))*10+VALUE(MID(E34,2,1))&lt;=254,"Post","Later"))</f>
        <v>Later</v>
      </c>
      <c r="H34" s="5" t="s">
        <v>451</v>
      </c>
      <c r="I34" s="5" t="s">
        <v>446</v>
      </c>
    </row>
    <row r="35" customFormat="false" ht="15" hidden="false" customHeight="false" outlineLevel="0" collapsed="false">
      <c r="A35" s="5" t="s">
        <v>123</v>
      </c>
      <c r="B35" s="5" t="s">
        <v>96</v>
      </c>
      <c r="C35" s="5" t="s">
        <v>125</v>
      </c>
      <c r="D35" s="5" t="s">
        <v>180</v>
      </c>
      <c r="E35" s="5" t="s">
        <v>173</v>
      </c>
      <c r="F35" s="16" t="n">
        <v>21.8</v>
      </c>
      <c r="G35" s="12" t="str">
        <f aca="false">IF(VALUE(MID(D35,3,2))*10+VALUE(MID(E35,2,1))&lt;=242,"Pre",IF(VALUE(MID(D35,3,2))*10+VALUE(MID(E35,2,1))&lt;=254,"Post","Later"))</f>
        <v>Later</v>
      </c>
      <c r="H35" s="5" t="s">
        <v>451</v>
      </c>
      <c r="I35" s="5" t="s">
        <v>446</v>
      </c>
    </row>
    <row r="36" customFormat="false" ht="15" hidden="false" customHeight="false" outlineLevel="0" collapsed="false">
      <c r="A36" s="5" t="s">
        <v>128</v>
      </c>
      <c r="B36" s="5" t="s">
        <v>97</v>
      </c>
      <c r="C36" s="5" t="s">
        <v>125</v>
      </c>
      <c r="D36" s="5" t="s">
        <v>167</v>
      </c>
      <c r="E36" s="5" t="s">
        <v>168</v>
      </c>
      <c r="F36" s="16" t="n">
        <v>39</v>
      </c>
      <c r="G36" s="12" t="str">
        <f aca="false">IF(VALUE(MID(D36,3,2))*10+VALUE(MID(E36,2,1))&lt;=242,"Pre",IF(VALUE(MID(D36,3,2))*10+VALUE(MID(E36,2,1))&lt;=254,"Post","Later"))</f>
        <v>Pre</v>
      </c>
      <c r="H36" s="5" t="s">
        <v>452</v>
      </c>
      <c r="I36" s="5" t="s">
        <v>453</v>
      </c>
    </row>
    <row r="37" customFormat="false" ht="15" hidden="false" customHeight="false" outlineLevel="0" collapsed="false">
      <c r="A37" s="5" t="s">
        <v>128</v>
      </c>
      <c r="B37" s="5" t="s">
        <v>97</v>
      </c>
      <c r="C37" s="5" t="s">
        <v>125</v>
      </c>
      <c r="D37" s="5" t="s">
        <v>167</v>
      </c>
      <c r="E37" s="5" t="s">
        <v>171</v>
      </c>
      <c r="F37" s="16" t="n">
        <v>37</v>
      </c>
      <c r="G37" s="12" t="str">
        <f aca="false">IF(VALUE(MID(D37,3,2))*10+VALUE(MID(E37,2,1))&lt;=242,"Pre",IF(VALUE(MID(D37,3,2))*10+VALUE(MID(E37,2,1))&lt;=254,"Post","Later"))</f>
        <v>Pre</v>
      </c>
      <c r="H37" s="5" t="s">
        <v>454</v>
      </c>
      <c r="I37" s="5" t="s">
        <v>453</v>
      </c>
    </row>
    <row r="38" customFormat="false" ht="15" hidden="false" customHeight="false" outlineLevel="0" collapsed="false">
      <c r="A38" s="5" t="s">
        <v>128</v>
      </c>
      <c r="B38" s="5" t="s">
        <v>97</v>
      </c>
      <c r="C38" s="5" t="s">
        <v>125</v>
      </c>
      <c r="D38" s="5" t="s">
        <v>167</v>
      </c>
      <c r="E38" s="5" t="s">
        <v>172</v>
      </c>
      <c r="F38" s="16" t="n">
        <v>35</v>
      </c>
      <c r="G38" s="12" t="str">
        <f aca="false">IF(VALUE(MID(D38,3,2))*10+VALUE(MID(E38,2,1))&lt;=242,"Pre",IF(VALUE(MID(D38,3,2))*10+VALUE(MID(E38,2,1))&lt;=254,"Post","Later"))</f>
        <v>Pre</v>
      </c>
      <c r="H38" s="5" t="s">
        <v>455</v>
      </c>
      <c r="I38" s="5" t="s">
        <v>453</v>
      </c>
    </row>
    <row r="39" customFormat="false" ht="15" hidden="false" customHeight="false" outlineLevel="0" collapsed="false">
      <c r="A39" s="5" t="s">
        <v>128</v>
      </c>
      <c r="B39" s="5" t="s">
        <v>97</v>
      </c>
      <c r="C39" s="5" t="s">
        <v>125</v>
      </c>
      <c r="D39" s="5" t="s">
        <v>167</v>
      </c>
      <c r="E39" s="5" t="s">
        <v>173</v>
      </c>
      <c r="F39" s="16" t="n">
        <v>32</v>
      </c>
      <c r="G39" s="12" t="str">
        <f aca="false">IF(VALUE(MID(D39,3,2))*10+VALUE(MID(E39,2,1))&lt;=242,"Pre",IF(VALUE(MID(D39,3,2))*10+VALUE(MID(E39,2,1))&lt;=254,"Post","Later"))</f>
        <v>Pre</v>
      </c>
      <c r="H39" s="5" t="s">
        <v>456</v>
      </c>
      <c r="I39" s="5" t="s">
        <v>453</v>
      </c>
    </row>
    <row r="40" customFormat="false" ht="15" hidden="false" customHeight="false" outlineLevel="0" collapsed="false">
      <c r="A40" s="5" t="s">
        <v>128</v>
      </c>
      <c r="B40" s="5" t="s">
        <v>97</v>
      </c>
      <c r="C40" s="5" t="s">
        <v>125</v>
      </c>
      <c r="D40" s="5" t="s">
        <v>174</v>
      </c>
      <c r="E40" s="5" t="s">
        <v>168</v>
      </c>
      <c r="F40" s="16" t="n">
        <v>31</v>
      </c>
      <c r="G40" s="12" t="str">
        <f aca="false">IF(VALUE(MID(D40,3,2))*10+VALUE(MID(E40,2,1))&lt;=242,"Pre",IF(VALUE(MID(D40,3,2))*10+VALUE(MID(E40,2,1))&lt;=254,"Post","Later"))</f>
        <v>Pre</v>
      </c>
      <c r="H40" s="5" t="s">
        <v>457</v>
      </c>
      <c r="I40" s="5" t="s">
        <v>453</v>
      </c>
    </row>
    <row r="41" customFormat="false" ht="15" hidden="false" customHeight="false" outlineLevel="0" collapsed="false">
      <c r="A41" s="5" t="s">
        <v>128</v>
      </c>
      <c r="B41" s="5" t="s">
        <v>97</v>
      </c>
      <c r="C41" s="5" t="s">
        <v>125</v>
      </c>
      <c r="D41" s="5" t="s">
        <v>174</v>
      </c>
      <c r="E41" s="5" t="s">
        <v>171</v>
      </c>
      <c r="F41" s="16" t="n">
        <v>29</v>
      </c>
      <c r="G41" s="12" t="str">
        <f aca="false">IF(VALUE(MID(D41,3,2))*10+VALUE(MID(E41,2,1))&lt;=242,"Pre",IF(VALUE(MID(D41,3,2))*10+VALUE(MID(E41,2,1))&lt;=254,"Post","Later"))</f>
        <v>Pre</v>
      </c>
      <c r="H41" s="5" t="s">
        <v>458</v>
      </c>
      <c r="I41" s="5" t="s">
        <v>453</v>
      </c>
    </row>
    <row r="42" customFormat="false" ht="15" hidden="false" customHeight="false" outlineLevel="0" collapsed="false">
      <c r="A42" s="5" t="s">
        <v>128</v>
      </c>
      <c r="B42" s="5" t="s">
        <v>97</v>
      </c>
      <c r="C42" s="5" t="s">
        <v>125</v>
      </c>
      <c r="D42" s="5" t="s">
        <v>174</v>
      </c>
      <c r="E42" s="5" t="s">
        <v>172</v>
      </c>
      <c r="F42" s="16" t="n">
        <v>29</v>
      </c>
      <c r="G42" s="12" t="str">
        <f aca="false">IF(VALUE(MID(D42,3,2))*10+VALUE(MID(E42,2,1))&lt;=242,"Pre",IF(VALUE(MID(D42,3,2))*10+VALUE(MID(E42,2,1))&lt;=254,"Post","Later"))</f>
        <v>Pre</v>
      </c>
      <c r="H42" s="5" t="s">
        <v>459</v>
      </c>
      <c r="I42" s="5" t="s">
        <v>453</v>
      </c>
    </row>
    <row r="43" customFormat="false" ht="15" hidden="false" customHeight="false" outlineLevel="0" collapsed="false">
      <c r="A43" s="5" t="s">
        <v>128</v>
      </c>
      <c r="B43" s="5" t="s">
        <v>97</v>
      </c>
      <c r="C43" s="5" t="s">
        <v>125</v>
      </c>
      <c r="D43" s="5" t="s">
        <v>174</v>
      </c>
      <c r="E43" s="5" t="s">
        <v>173</v>
      </c>
      <c r="F43" s="16" t="n">
        <v>28</v>
      </c>
      <c r="G43" s="12" t="str">
        <f aca="false">IF(VALUE(MID(D43,3,2))*10+VALUE(MID(E43,2,1))&lt;=242,"Pre",IF(VALUE(MID(D43,3,2))*10+VALUE(MID(E43,2,1))&lt;=254,"Post","Later"))</f>
        <v>Pre</v>
      </c>
      <c r="H43" s="5" t="s">
        <v>460</v>
      </c>
      <c r="I43" s="5" t="s">
        <v>453</v>
      </c>
    </row>
    <row r="44" customFormat="false" ht="15" hidden="false" customHeight="false" outlineLevel="0" collapsed="false">
      <c r="A44" s="5" t="s">
        <v>128</v>
      </c>
      <c r="B44" s="5" t="s">
        <v>97</v>
      </c>
      <c r="C44" s="5" t="s">
        <v>125</v>
      </c>
      <c r="D44" s="5" t="s">
        <v>176</v>
      </c>
      <c r="E44" s="5" t="s">
        <v>168</v>
      </c>
      <c r="F44" s="16" t="n">
        <v>31</v>
      </c>
      <c r="G44" s="12" t="str">
        <f aca="false">IF(VALUE(MID(D44,3,2))*10+VALUE(MID(E44,2,1))&lt;=242,"Pre",IF(VALUE(MID(D44,3,2))*10+VALUE(MID(E44,2,1))&lt;=254,"Post","Later"))</f>
        <v>Pre</v>
      </c>
      <c r="H44" s="5" t="s">
        <v>461</v>
      </c>
      <c r="I44" s="5" t="s">
        <v>453</v>
      </c>
    </row>
    <row r="45" customFormat="false" ht="15" hidden="false" customHeight="false" outlineLevel="0" collapsed="false">
      <c r="A45" s="5" t="s">
        <v>128</v>
      </c>
      <c r="B45" s="5" t="s">
        <v>97</v>
      </c>
      <c r="C45" s="5" t="s">
        <v>125</v>
      </c>
      <c r="D45" s="5" t="s">
        <v>176</v>
      </c>
      <c r="E45" s="5" t="s">
        <v>171</v>
      </c>
      <c r="F45" s="16" t="n">
        <v>31</v>
      </c>
      <c r="G45" s="12" t="str">
        <f aca="false">IF(VALUE(MID(D45,3,2))*10+VALUE(MID(E45,2,1))&lt;=242,"Pre",IF(VALUE(MID(D45,3,2))*10+VALUE(MID(E45,2,1))&lt;=254,"Post","Later"))</f>
        <v>Pre</v>
      </c>
      <c r="H45" s="5" t="s">
        <v>462</v>
      </c>
      <c r="I45" s="5" t="s">
        <v>453</v>
      </c>
    </row>
    <row r="46" customFormat="false" ht="15" hidden="false" customHeight="false" outlineLevel="0" collapsed="false">
      <c r="A46" s="5" t="s">
        <v>128</v>
      </c>
      <c r="B46" s="5" t="s">
        <v>97</v>
      </c>
      <c r="C46" s="5" t="s">
        <v>125</v>
      </c>
      <c r="D46" s="5" t="s">
        <v>176</v>
      </c>
      <c r="E46" s="5" t="s">
        <v>172</v>
      </c>
      <c r="F46" s="16" t="n">
        <v>31</v>
      </c>
      <c r="G46" s="12" t="str">
        <f aca="false">IF(VALUE(MID(D46,3,2))*10+VALUE(MID(E46,2,1))&lt;=242,"Pre",IF(VALUE(MID(D46,3,2))*10+VALUE(MID(E46,2,1))&lt;=254,"Post","Later"))</f>
        <v>Pre</v>
      </c>
      <c r="H46" s="5" t="s">
        <v>463</v>
      </c>
      <c r="I46" s="5" t="s">
        <v>453</v>
      </c>
    </row>
    <row r="47" customFormat="false" ht="15" hidden="false" customHeight="false" outlineLevel="0" collapsed="false">
      <c r="A47" s="5" t="s">
        <v>128</v>
      </c>
      <c r="B47" s="5" t="s">
        <v>97</v>
      </c>
      <c r="C47" s="5" t="s">
        <v>125</v>
      </c>
      <c r="D47" s="5" t="s">
        <v>176</v>
      </c>
      <c r="E47" s="5" t="s">
        <v>173</v>
      </c>
      <c r="F47" s="16" t="n">
        <v>33</v>
      </c>
      <c r="G47" s="12" t="str">
        <f aca="false">IF(VALUE(MID(D47,3,2))*10+VALUE(MID(E47,2,1))&lt;=242,"Pre",IF(VALUE(MID(D47,3,2))*10+VALUE(MID(E47,2,1))&lt;=254,"Post","Later"))</f>
        <v>Pre</v>
      </c>
      <c r="H47" s="5" t="s">
        <v>464</v>
      </c>
      <c r="I47" s="5" t="s">
        <v>453</v>
      </c>
    </row>
    <row r="48" customFormat="false" ht="15" hidden="false" customHeight="false" outlineLevel="0" collapsed="false">
      <c r="A48" s="5" t="s">
        <v>128</v>
      </c>
      <c r="B48" s="5" t="s">
        <v>97</v>
      </c>
      <c r="C48" s="5" t="s">
        <v>125</v>
      </c>
      <c r="D48" s="5" t="s">
        <v>177</v>
      </c>
      <c r="E48" s="5" t="s">
        <v>168</v>
      </c>
      <c r="F48" s="16" t="n">
        <v>31</v>
      </c>
      <c r="G48" s="12" t="str">
        <f aca="false">IF(VALUE(MID(D48,3,2))*10+VALUE(MID(E48,2,1))&lt;=242,"Pre",IF(VALUE(MID(D48,3,2))*10+VALUE(MID(E48,2,1))&lt;=254,"Post","Later"))</f>
        <v>Pre</v>
      </c>
      <c r="H48" s="5" t="s">
        <v>465</v>
      </c>
      <c r="I48" s="5" t="s">
        <v>453</v>
      </c>
    </row>
    <row r="49" customFormat="false" ht="15" hidden="false" customHeight="false" outlineLevel="0" collapsed="false">
      <c r="A49" s="5" t="s">
        <v>128</v>
      </c>
      <c r="B49" s="5" t="s">
        <v>97</v>
      </c>
      <c r="C49" s="5" t="s">
        <v>125</v>
      </c>
      <c r="D49" s="5" t="s">
        <v>177</v>
      </c>
      <c r="E49" s="5" t="s">
        <v>171</v>
      </c>
      <c r="F49" s="16" t="n">
        <v>32</v>
      </c>
      <c r="G49" s="12" t="str">
        <f aca="false">IF(VALUE(MID(D49,3,2))*10+VALUE(MID(E49,2,1))&lt;=242,"Pre",IF(VALUE(MID(D49,3,2))*10+VALUE(MID(E49,2,1))&lt;=254,"Post","Later"))</f>
        <v>Pre</v>
      </c>
      <c r="H49" s="5" t="s">
        <v>466</v>
      </c>
      <c r="I49" s="5" t="s">
        <v>453</v>
      </c>
    </row>
    <row r="50" customFormat="false" ht="15" hidden="false" customHeight="false" outlineLevel="0" collapsed="false">
      <c r="A50" s="5" t="s">
        <v>128</v>
      </c>
      <c r="B50" s="5" t="s">
        <v>97</v>
      </c>
      <c r="C50" s="5" t="s">
        <v>125</v>
      </c>
      <c r="D50" s="5" t="s">
        <v>177</v>
      </c>
      <c r="E50" s="5" t="s">
        <v>172</v>
      </c>
      <c r="F50" s="16" t="n">
        <v>33</v>
      </c>
      <c r="G50" s="12" t="str">
        <f aca="false">IF(VALUE(MID(D50,3,2))*10+VALUE(MID(E50,2,1))&lt;=242,"Pre",IF(VALUE(MID(D50,3,2))*10+VALUE(MID(E50,2,1))&lt;=254,"Post","Later"))</f>
        <v>Post</v>
      </c>
      <c r="H50" s="5" t="s">
        <v>467</v>
      </c>
      <c r="I50" s="5" t="s">
        <v>453</v>
      </c>
    </row>
    <row r="51" customFormat="false" ht="15" hidden="false" customHeight="false" outlineLevel="0" collapsed="false">
      <c r="A51" s="5" t="s">
        <v>128</v>
      </c>
      <c r="B51" s="5" t="s">
        <v>97</v>
      </c>
      <c r="C51" s="5" t="s">
        <v>125</v>
      </c>
      <c r="D51" s="5" t="s">
        <v>177</v>
      </c>
      <c r="E51" s="5" t="s">
        <v>173</v>
      </c>
      <c r="F51" s="16" t="n">
        <v>30</v>
      </c>
      <c r="G51" s="12" t="str">
        <f aca="false">IF(VALUE(MID(D51,3,2))*10+VALUE(MID(E51,2,1))&lt;=242,"Pre",IF(VALUE(MID(D51,3,2))*10+VALUE(MID(E51,2,1))&lt;=254,"Post","Later"))</f>
        <v>Post</v>
      </c>
      <c r="H51" s="5" t="s">
        <v>468</v>
      </c>
      <c r="I51" s="5" t="s">
        <v>453</v>
      </c>
    </row>
    <row r="52" customFormat="false" ht="15" hidden="false" customHeight="false" outlineLevel="0" collapsed="false">
      <c r="A52" s="5" t="s">
        <v>128</v>
      </c>
      <c r="B52" s="5" t="s">
        <v>97</v>
      </c>
      <c r="C52" s="5" t="s">
        <v>125</v>
      </c>
      <c r="D52" s="5" t="s">
        <v>179</v>
      </c>
      <c r="E52" s="5" t="s">
        <v>168</v>
      </c>
      <c r="F52" s="16" t="n">
        <v>30</v>
      </c>
      <c r="G52" s="12" t="str">
        <f aca="false">IF(VALUE(MID(D52,3,2))*10+VALUE(MID(E52,2,1))&lt;=242,"Pre",IF(VALUE(MID(D52,3,2))*10+VALUE(MID(E52,2,1))&lt;=254,"Post","Later"))</f>
        <v>Post</v>
      </c>
      <c r="H52" s="5" t="s">
        <v>469</v>
      </c>
      <c r="I52" s="5" t="s">
        <v>453</v>
      </c>
    </row>
    <row r="53" customFormat="false" ht="15" hidden="false" customHeight="false" outlineLevel="0" collapsed="false">
      <c r="A53" s="5" t="s">
        <v>128</v>
      </c>
      <c r="B53" s="5" t="s">
        <v>97</v>
      </c>
      <c r="C53" s="5" t="s">
        <v>125</v>
      </c>
      <c r="D53" s="5" t="s">
        <v>179</v>
      </c>
      <c r="E53" s="5" t="s">
        <v>171</v>
      </c>
      <c r="F53" s="16" t="n">
        <v>29</v>
      </c>
      <c r="G53" s="12" t="str">
        <f aca="false">IF(VALUE(MID(D53,3,2))*10+VALUE(MID(E53,2,1))&lt;=242,"Pre",IF(VALUE(MID(D53,3,2))*10+VALUE(MID(E53,2,1))&lt;=254,"Post","Later"))</f>
        <v>Post</v>
      </c>
      <c r="H53" s="5" t="s">
        <v>470</v>
      </c>
      <c r="I53" s="5" t="s">
        <v>453</v>
      </c>
    </row>
    <row r="54" customFormat="false" ht="15" hidden="false" customHeight="false" outlineLevel="0" collapsed="false">
      <c r="A54" s="5" t="s">
        <v>128</v>
      </c>
      <c r="B54" s="5" t="s">
        <v>97</v>
      </c>
      <c r="C54" s="5" t="s">
        <v>125</v>
      </c>
      <c r="D54" s="5" t="s">
        <v>179</v>
      </c>
      <c r="E54" s="5" t="s">
        <v>172</v>
      </c>
      <c r="F54" s="16" t="n">
        <v>29</v>
      </c>
      <c r="G54" s="12" t="str">
        <f aca="false">IF(VALUE(MID(D54,3,2))*10+VALUE(MID(E54,2,1))&lt;=242,"Pre",IF(VALUE(MID(D54,3,2))*10+VALUE(MID(E54,2,1))&lt;=254,"Post","Later"))</f>
        <v>Post</v>
      </c>
      <c r="H54" s="5" t="s">
        <v>471</v>
      </c>
      <c r="I54" s="5" t="s">
        <v>453</v>
      </c>
    </row>
    <row r="55" customFormat="false" ht="15" hidden="false" customHeight="false" outlineLevel="0" collapsed="false">
      <c r="A55" s="5" t="s">
        <v>128</v>
      </c>
      <c r="B55" s="5" t="s">
        <v>97</v>
      </c>
      <c r="C55" s="5" t="s">
        <v>125</v>
      </c>
      <c r="D55" s="5" t="s">
        <v>179</v>
      </c>
      <c r="E55" s="5" t="s">
        <v>173</v>
      </c>
      <c r="F55" s="16" t="n">
        <v>28</v>
      </c>
      <c r="G55" s="12" t="str">
        <f aca="false">IF(VALUE(MID(D55,3,2))*10+VALUE(MID(E55,2,1))&lt;=242,"Pre",IF(VALUE(MID(D55,3,2))*10+VALUE(MID(E55,2,1))&lt;=254,"Post","Later"))</f>
        <v>Post</v>
      </c>
      <c r="H55" s="5" t="s">
        <v>472</v>
      </c>
      <c r="I55" s="5" t="s">
        <v>453</v>
      </c>
    </row>
    <row r="56" customFormat="false" ht="15" hidden="false" customHeight="false" outlineLevel="0" collapsed="false">
      <c r="A56" s="5" t="s">
        <v>128</v>
      </c>
      <c r="B56" s="5" t="s">
        <v>97</v>
      </c>
      <c r="C56" s="5" t="s">
        <v>125</v>
      </c>
      <c r="D56" s="5" t="s">
        <v>180</v>
      </c>
      <c r="E56" s="5" t="s">
        <v>168</v>
      </c>
      <c r="F56" s="16" t="n">
        <v>26</v>
      </c>
      <c r="G56" s="12" t="str">
        <f aca="false">IF(VALUE(MID(D56,3,2))*10+VALUE(MID(E56,2,1))&lt;=242,"Pre",IF(VALUE(MID(D56,3,2))*10+VALUE(MID(E56,2,1))&lt;=254,"Post","Later"))</f>
        <v>Later</v>
      </c>
      <c r="H56" s="5" t="s">
        <v>473</v>
      </c>
      <c r="I56" s="5" t="s">
        <v>453</v>
      </c>
    </row>
    <row r="57" customFormat="false" ht="15" hidden="false" customHeight="false" outlineLevel="0" collapsed="false">
      <c r="A57" s="5" t="s">
        <v>128</v>
      </c>
      <c r="B57" s="5" t="s">
        <v>97</v>
      </c>
      <c r="C57" s="5" t="s">
        <v>125</v>
      </c>
      <c r="D57" s="5" t="s">
        <v>180</v>
      </c>
      <c r="E57" s="5" t="s">
        <v>171</v>
      </c>
      <c r="F57" s="16" t="n">
        <v>26</v>
      </c>
      <c r="G57" s="12" t="str">
        <f aca="false">IF(VALUE(MID(D57,3,2))*10+VALUE(MID(E57,2,1))&lt;=242,"Pre",IF(VALUE(MID(D57,3,2))*10+VALUE(MID(E57,2,1))&lt;=254,"Post","Later"))</f>
        <v>Later</v>
      </c>
      <c r="H57" s="5" t="s">
        <v>474</v>
      </c>
      <c r="I57" s="5" t="s">
        <v>453</v>
      </c>
    </row>
    <row r="58" customFormat="false" ht="15" hidden="false" customHeight="false" outlineLevel="0" collapsed="false">
      <c r="A58" s="5" t="s">
        <v>128</v>
      </c>
      <c r="B58" s="5" t="s">
        <v>97</v>
      </c>
      <c r="C58" s="5" t="s">
        <v>125</v>
      </c>
      <c r="D58" s="5" t="s">
        <v>180</v>
      </c>
      <c r="E58" s="5" t="s">
        <v>172</v>
      </c>
      <c r="F58" s="16" t="n">
        <v>28</v>
      </c>
      <c r="G58" s="12" t="str">
        <f aca="false">IF(VALUE(MID(D58,3,2))*10+VALUE(MID(E58,2,1))&lt;=242,"Pre",IF(VALUE(MID(D58,3,2))*10+VALUE(MID(E58,2,1))&lt;=254,"Post","Later"))</f>
        <v>Later</v>
      </c>
      <c r="H58" s="5" t="s">
        <v>475</v>
      </c>
      <c r="I58" s="5" t="s">
        <v>453</v>
      </c>
    </row>
    <row r="59" customFormat="false" ht="15" hidden="false" customHeight="false" outlineLevel="0" collapsed="false">
      <c r="A59" s="5" t="s">
        <v>128</v>
      </c>
      <c r="B59" s="5" t="s">
        <v>97</v>
      </c>
      <c r="C59" s="5" t="s">
        <v>125</v>
      </c>
      <c r="D59" s="5" t="s">
        <v>180</v>
      </c>
      <c r="E59" s="5" t="s">
        <v>173</v>
      </c>
      <c r="F59" s="16" t="n">
        <v>31</v>
      </c>
      <c r="G59" s="12" t="str">
        <f aca="false">IF(VALUE(MID(D59,3,2))*10+VALUE(MID(E59,2,1))&lt;=242,"Pre",IF(VALUE(MID(D59,3,2))*10+VALUE(MID(E59,2,1))&lt;=254,"Post","Later"))</f>
        <v>Later</v>
      </c>
      <c r="H59" s="5" t="s">
        <v>476</v>
      </c>
      <c r="I59" s="5" t="s">
        <v>453</v>
      </c>
    </row>
    <row r="60" customFormat="false" ht="15" hidden="false" customHeight="false" outlineLevel="0" collapsed="false">
      <c r="A60" s="5" t="s">
        <v>131</v>
      </c>
      <c r="B60" s="5" t="s">
        <v>91</v>
      </c>
      <c r="C60" s="5" t="s">
        <v>120</v>
      </c>
      <c r="D60" s="5" t="s">
        <v>167</v>
      </c>
      <c r="E60" s="5" t="s">
        <v>171</v>
      </c>
      <c r="F60" s="16" t="n">
        <v>60</v>
      </c>
      <c r="G60" s="12" t="str">
        <f aca="false">IF(VALUE(MID(D60,3,2))*10+VALUE(MID(E60,2,1))&lt;=242,"Pre",IF(VALUE(MID(D60,3,2))*10+VALUE(MID(E60,2,1))&lt;=254,"Post","Later"))</f>
        <v>Pre</v>
      </c>
      <c r="H60" s="5" t="s">
        <v>477</v>
      </c>
      <c r="I60" s="5" t="s">
        <v>478</v>
      </c>
    </row>
    <row r="61" customFormat="false" ht="15" hidden="false" customHeight="false" outlineLevel="0" collapsed="false">
      <c r="A61" s="5" t="s">
        <v>131</v>
      </c>
      <c r="B61" s="5" t="s">
        <v>91</v>
      </c>
      <c r="C61" s="5" t="s">
        <v>120</v>
      </c>
      <c r="D61" s="5" t="s">
        <v>167</v>
      </c>
      <c r="E61" s="5" t="s">
        <v>173</v>
      </c>
      <c r="F61" s="16" t="n">
        <v>51</v>
      </c>
      <c r="G61" s="12" t="str">
        <f aca="false">IF(VALUE(MID(D61,3,2))*10+VALUE(MID(E61,2,1))&lt;=242,"Pre",IF(VALUE(MID(D61,3,2))*10+VALUE(MID(E61,2,1))&lt;=254,"Post","Later"))</f>
        <v>Pre</v>
      </c>
      <c r="H61" s="5" t="s">
        <v>479</v>
      </c>
      <c r="I61" s="5" t="s">
        <v>478</v>
      </c>
    </row>
    <row r="62" customFormat="false" ht="15" hidden="false" customHeight="false" outlineLevel="0" collapsed="false">
      <c r="A62" s="5" t="s">
        <v>131</v>
      </c>
      <c r="B62" s="5" t="s">
        <v>91</v>
      </c>
      <c r="C62" s="5" t="s">
        <v>120</v>
      </c>
      <c r="D62" s="5" t="s">
        <v>174</v>
      </c>
      <c r="E62" s="5" t="s">
        <v>171</v>
      </c>
      <c r="F62" s="16" t="n">
        <v>47</v>
      </c>
      <c r="G62" s="12" t="str">
        <f aca="false">IF(VALUE(MID(D62,3,2))*10+VALUE(MID(E62,2,1))&lt;=242,"Pre",IF(VALUE(MID(D62,3,2))*10+VALUE(MID(E62,2,1))&lt;=254,"Post","Later"))</f>
        <v>Pre</v>
      </c>
      <c r="H62" s="5" t="s">
        <v>477</v>
      </c>
      <c r="I62" s="5" t="s">
        <v>478</v>
      </c>
    </row>
    <row r="63" customFormat="false" ht="15" hidden="false" customHeight="false" outlineLevel="0" collapsed="false">
      <c r="A63" s="5" t="s">
        <v>131</v>
      </c>
      <c r="B63" s="5" t="s">
        <v>91</v>
      </c>
      <c r="C63" s="5" t="s">
        <v>120</v>
      </c>
      <c r="D63" s="5" t="s">
        <v>174</v>
      </c>
      <c r="E63" s="5" t="s">
        <v>173</v>
      </c>
      <c r="F63" s="16" t="n">
        <v>51</v>
      </c>
      <c r="G63" s="12" t="str">
        <f aca="false">IF(VALUE(MID(D63,3,2))*10+VALUE(MID(E63,2,1))&lt;=242,"Pre",IF(VALUE(MID(D63,3,2))*10+VALUE(MID(E63,2,1))&lt;=254,"Post","Later"))</f>
        <v>Pre</v>
      </c>
      <c r="H63" s="5" t="s">
        <v>479</v>
      </c>
      <c r="I63" s="5" t="s">
        <v>478</v>
      </c>
    </row>
    <row r="64" customFormat="false" ht="15" hidden="false" customHeight="false" outlineLevel="0" collapsed="false">
      <c r="A64" s="5" t="s">
        <v>131</v>
      </c>
      <c r="B64" s="5" t="s">
        <v>91</v>
      </c>
      <c r="C64" s="5" t="s">
        <v>120</v>
      </c>
      <c r="D64" s="5" t="s">
        <v>176</v>
      </c>
      <c r="E64" s="5" t="s">
        <v>171</v>
      </c>
      <c r="F64" s="16" t="n">
        <v>54</v>
      </c>
      <c r="G64" s="12" t="str">
        <f aca="false">IF(VALUE(MID(D64,3,2))*10+VALUE(MID(E64,2,1))&lt;=242,"Pre",IF(VALUE(MID(D64,3,2))*10+VALUE(MID(E64,2,1))&lt;=254,"Post","Later"))</f>
        <v>Pre</v>
      </c>
      <c r="H64" s="5" t="s">
        <v>480</v>
      </c>
      <c r="I64" s="5" t="s">
        <v>478</v>
      </c>
    </row>
    <row r="65" customFormat="false" ht="15" hidden="false" customHeight="false" outlineLevel="0" collapsed="false">
      <c r="A65" s="5" t="s">
        <v>131</v>
      </c>
      <c r="B65" s="5" t="s">
        <v>91</v>
      </c>
      <c r="C65" s="5" t="s">
        <v>120</v>
      </c>
      <c r="D65" s="5" t="s">
        <v>176</v>
      </c>
      <c r="E65" s="5" t="s">
        <v>173</v>
      </c>
      <c r="F65" s="16" t="n">
        <v>54</v>
      </c>
      <c r="G65" s="12" t="str">
        <f aca="false">IF(VALUE(MID(D65,3,2))*10+VALUE(MID(E65,2,1))&lt;=242,"Pre",IF(VALUE(MID(D65,3,2))*10+VALUE(MID(E65,2,1))&lt;=254,"Post","Later"))</f>
        <v>Pre</v>
      </c>
      <c r="H65" s="5" t="s">
        <v>481</v>
      </c>
      <c r="I65" s="5" t="s">
        <v>478</v>
      </c>
    </row>
    <row r="66" customFormat="false" ht="15" hidden="false" customHeight="false" outlineLevel="0" collapsed="false">
      <c r="A66" s="5" t="s">
        <v>131</v>
      </c>
      <c r="B66" s="5" t="s">
        <v>91</v>
      </c>
      <c r="C66" s="5" t="s">
        <v>120</v>
      </c>
      <c r="D66" s="5" t="s">
        <v>177</v>
      </c>
      <c r="E66" s="5" t="s">
        <v>171</v>
      </c>
      <c r="F66" s="16" t="n">
        <v>57</v>
      </c>
      <c r="G66" s="12" t="str">
        <f aca="false">IF(VALUE(MID(D66,3,2))*10+VALUE(MID(E66,2,1))&lt;=242,"Pre",IF(VALUE(MID(D66,3,2))*10+VALUE(MID(E66,2,1))&lt;=254,"Post","Later"))</f>
        <v>Pre</v>
      </c>
      <c r="H66" s="5" t="s">
        <v>480</v>
      </c>
      <c r="I66" s="5" t="s">
        <v>478</v>
      </c>
    </row>
    <row r="67" customFormat="false" ht="15" hidden="false" customHeight="false" outlineLevel="0" collapsed="false">
      <c r="A67" s="5" t="s">
        <v>131</v>
      </c>
      <c r="B67" s="5" t="s">
        <v>91</v>
      </c>
      <c r="C67" s="5" t="s">
        <v>120</v>
      </c>
      <c r="D67" s="5" t="s">
        <v>177</v>
      </c>
      <c r="E67" s="5" t="s">
        <v>173</v>
      </c>
      <c r="F67" s="16" t="n">
        <v>59</v>
      </c>
      <c r="G67" s="12" t="str">
        <f aca="false">IF(VALUE(MID(D67,3,2))*10+VALUE(MID(E67,2,1))&lt;=242,"Pre",IF(VALUE(MID(D67,3,2))*10+VALUE(MID(E67,2,1))&lt;=254,"Post","Later"))</f>
        <v>Post</v>
      </c>
      <c r="H67" s="5" t="s">
        <v>481</v>
      </c>
      <c r="I67" s="5" t="s">
        <v>478</v>
      </c>
    </row>
    <row r="68" customFormat="false" ht="15" hidden="false" customHeight="false" outlineLevel="0" collapsed="false">
      <c r="A68" s="5" t="s">
        <v>131</v>
      </c>
      <c r="B68" s="5" t="s">
        <v>91</v>
      </c>
      <c r="C68" s="5" t="s">
        <v>120</v>
      </c>
      <c r="D68" s="5" t="s">
        <v>179</v>
      </c>
      <c r="E68" s="5" t="s">
        <v>171</v>
      </c>
      <c r="F68" s="16" t="n">
        <v>60</v>
      </c>
      <c r="G68" s="12" t="str">
        <f aca="false">IF(VALUE(MID(D68,3,2))*10+VALUE(MID(E68,2,1))&lt;=242,"Pre",IF(VALUE(MID(D68,3,2))*10+VALUE(MID(E68,2,1))&lt;=254,"Post","Later"))</f>
        <v>Post</v>
      </c>
      <c r="H68" s="5" t="s">
        <v>482</v>
      </c>
      <c r="I68" s="5" t="s">
        <v>478</v>
      </c>
    </row>
    <row r="69" customFormat="false" ht="15" hidden="false" customHeight="false" outlineLevel="0" collapsed="false">
      <c r="A69" s="5" t="s">
        <v>131</v>
      </c>
      <c r="B69" s="5" t="s">
        <v>91</v>
      </c>
      <c r="C69" s="5" t="s">
        <v>120</v>
      </c>
      <c r="D69" s="5" t="s">
        <v>179</v>
      </c>
      <c r="E69" s="5" t="s">
        <v>173</v>
      </c>
      <c r="F69" s="16" t="n">
        <v>52</v>
      </c>
      <c r="G69" s="12" t="str">
        <f aca="false">IF(VALUE(MID(D69,3,2))*10+VALUE(MID(E69,2,1))&lt;=242,"Pre",IF(VALUE(MID(D69,3,2))*10+VALUE(MID(E69,2,1))&lt;=254,"Post","Later"))</f>
        <v>Post</v>
      </c>
      <c r="H69" s="5" t="s">
        <v>483</v>
      </c>
      <c r="I69" s="5" t="s">
        <v>478</v>
      </c>
    </row>
    <row r="70" customFormat="false" ht="15" hidden="false" customHeight="false" outlineLevel="0" collapsed="false">
      <c r="A70" s="5" t="s">
        <v>131</v>
      </c>
      <c r="B70" s="5" t="s">
        <v>91</v>
      </c>
      <c r="C70" s="5" t="s">
        <v>120</v>
      </c>
      <c r="D70" s="5" t="s">
        <v>180</v>
      </c>
      <c r="E70" s="5" t="s">
        <v>171</v>
      </c>
      <c r="F70" s="16" t="n">
        <v>57</v>
      </c>
      <c r="G70" s="12" t="str">
        <f aca="false">IF(VALUE(MID(D70,3,2))*10+VALUE(MID(E70,2,1))&lt;=242,"Pre",IF(VALUE(MID(D70,3,2))*10+VALUE(MID(E70,2,1))&lt;=254,"Post","Later"))</f>
        <v>Later</v>
      </c>
      <c r="H70" s="5" t="s">
        <v>482</v>
      </c>
      <c r="I70" s="5" t="s">
        <v>478</v>
      </c>
    </row>
    <row r="71" customFormat="false" ht="15" hidden="false" customHeight="false" outlineLevel="0" collapsed="false">
      <c r="A71" s="5" t="s">
        <v>131</v>
      </c>
      <c r="B71" s="5" t="s">
        <v>91</v>
      </c>
      <c r="C71" s="5" t="s">
        <v>120</v>
      </c>
      <c r="D71" s="5" t="s">
        <v>180</v>
      </c>
      <c r="E71" s="5" t="s">
        <v>173</v>
      </c>
      <c r="F71" s="16" t="n">
        <v>63</v>
      </c>
      <c r="G71" s="12" t="str">
        <f aca="false">IF(VALUE(MID(D71,3,2))*10+VALUE(MID(E71,2,1))&lt;=242,"Pre",IF(VALUE(MID(D71,3,2))*10+VALUE(MID(E71,2,1))&lt;=254,"Post","Later"))</f>
        <v>Later</v>
      </c>
      <c r="H71" s="5" t="s">
        <v>483</v>
      </c>
      <c r="I71" s="5" t="s">
        <v>478</v>
      </c>
    </row>
    <row r="72" customFormat="false" ht="15" hidden="false" customHeight="false" outlineLevel="0" collapsed="false">
      <c r="A72" s="5" t="s">
        <v>133</v>
      </c>
      <c r="B72" s="5" t="s">
        <v>98</v>
      </c>
      <c r="C72" s="5" t="s">
        <v>125</v>
      </c>
      <c r="D72" s="5" t="s">
        <v>167</v>
      </c>
      <c r="E72" s="5" t="s">
        <v>168</v>
      </c>
      <c r="F72" s="16" t="n">
        <v>67</v>
      </c>
      <c r="G72" s="12" t="str">
        <f aca="false">IF(VALUE(MID(D72,3,2))*10+VALUE(MID(E72,2,1))&lt;=242,"Pre",IF(VALUE(MID(D72,3,2))*10+VALUE(MID(E72,2,1))&lt;=254,"Post","Later"))</f>
        <v>Pre</v>
      </c>
      <c r="H72" s="5" t="s">
        <v>484</v>
      </c>
      <c r="I72" s="5" t="s">
        <v>485</v>
      </c>
    </row>
    <row r="73" customFormat="false" ht="15" hidden="false" customHeight="false" outlineLevel="0" collapsed="false">
      <c r="A73" s="5" t="s">
        <v>133</v>
      </c>
      <c r="B73" s="5" t="s">
        <v>98</v>
      </c>
      <c r="C73" s="5" t="s">
        <v>125</v>
      </c>
      <c r="D73" s="5" t="s">
        <v>167</v>
      </c>
      <c r="E73" s="5" t="s">
        <v>171</v>
      </c>
      <c r="F73" s="16" t="n">
        <v>66</v>
      </c>
      <c r="G73" s="12" t="str">
        <f aca="false">IF(VALUE(MID(D73,3,2))*10+VALUE(MID(E73,2,1))&lt;=242,"Pre",IF(VALUE(MID(D73,3,2))*10+VALUE(MID(E73,2,1))&lt;=254,"Post","Later"))</f>
        <v>Pre</v>
      </c>
      <c r="H73" s="5" t="s">
        <v>484</v>
      </c>
      <c r="I73" s="5" t="s">
        <v>485</v>
      </c>
    </row>
    <row r="74" customFormat="false" ht="15" hidden="false" customHeight="false" outlineLevel="0" collapsed="false">
      <c r="A74" s="5" t="s">
        <v>133</v>
      </c>
      <c r="B74" s="5" t="s">
        <v>98</v>
      </c>
      <c r="C74" s="5" t="s">
        <v>125</v>
      </c>
      <c r="D74" s="5" t="s">
        <v>167</v>
      </c>
      <c r="E74" s="5" t="s">
        <v>172</v>
      </c>
      <c r="F74" s="16" t="n">
        <v>65</v>
      </c>
      <c r="G74" s="12" t="str">
        <f aca="false">IF(VALUE(MID(D74,3,2))*10+VALUE(MID(E74,2,1))&lt;=242,"Pre",IF(VALUE(MID(D74,3,2))*10+VALUE(MID(E74,2,1))&lt;=254,"Post","Later"))</f>
        <v>Pre</v>
      </c>
      <c r="H74" s="5" t="s">
        <v>484</v>
      </c>
      <c r="I74" s="5" t="s">
        <v>485</v>
      </c>
    </row>
    <row r="75" customFormat="false" ht="15" hidden="false" customHeight="false" outlineLevel="0" collapsed="false">
      <c r="A75" s="5" t="s">
        <v>133</v>
      </c>
      <c r="B75" s="5" t="s">
        <v>98</v>
      </c>
      <c r="C75" s="5" t="s">
        <v>125</v>
      </c>
      <c r="D75" s="5" t="s">
        <v>167</v>
      </c>
      <c r="E75" s="5" t="s">
        <v>173</v>
      </c>
      <c r="F75" s="16" t="n">
        <v>66</v>
      </c>
      <c r="G75" s="12" t="str">
        <f aca="false">IF(VALUE(MID(D75,3,2))*10+VALUE(MID(E75,2,1))&lt;=242,"Pre",IF(VALUE(MID(D75,3,2))*10+VALUE(MID(E75,2,1))&lt;=254,"Post","Later"))</f>
        <v>Pre</v>
      </c>
      <c r="H75" s="5" t="s">
        <v>484</v>
      </c>
      <c r="I75" s="5" t="s">
        <v>485</v>
      </c>
    </row>
    <row r="76" customFormat="false" ht="15" hidden="false" customHeight="false" outlineLevel="0" collapsed="false">
      <c r="A76" s="5" t="s">
        <v>133</v>
      </c>
      <c r="B76" s="5" t="s">
        <v>98</v>
      </c>
      <c r="C76" s="5" t="s">
        <v>125</v>
      </c>
      <c r="D76" s="5" t="s">
        <v>174</v>
      </c>
      <c r="E76" s="5" t="s">
        <v>168</v>
      </c>
      <c r="F76" s="16" t="n">
        <v>67</v>
      </c>
      <c r="G76" s="12" t="str">
        <f aca="false">IF(VALUE(MID(D76,3,2))*10+VALUE(MID(E76,2,1))&lt;=242,"Pre",IF(VALUE(MID(D76,3,2))*10+VALUE(MID(E76,2,1))&lt;=254,"Post","Later"))</f>
        <v>Pre</v>
      </c>
      <c r="H76" s="5" t="s">
        <v>486</v>
      </c>
      <c r="I76" s="5" t="s">
        <v>485</v>
      </c>
    </row>
    <row r="77" customFormat="false" ht="15" hidden="false" customHeight="false" outlineLevel="0" collapsed="false">
      <c r="A77" s="5" t="s">
        <v>133</v>
      </c>
      <c r="B77" s="5" t="s">
        <v>98</v>
      </c>
      <c r="C77" s="5" t="s">
        <v>125</v>
      </c>
      <c r="D77" s="5" t="s">
        <v>174</v>
      </c>
      <c r="E77" s="5" t="s">
        <v>171</v>
      </c>
      <c r="F77" s="16" t="n">
        <v>63</v>
      </c>
      <c r="G77" s="12" t="str">
        <f aca="false">IF(VALUE(MID(D77,3,2))*10+VALUE(MID(E77,2,1))&lt;=242,"Pre",IF(VALUE(MID(D77,3,2))*10+VALUE(MID(E77,2,1))&lt;=254,"Post","Later"))</f>
        <v>Pre</v>
      </c>
      <c r="H77" s="5" t="s">
        <v>486</v>
      </c>
      <c r="I77" s="5" t="s">
        <v>485</v>
      </c>
    </row>
    <row r="78" customFormat="false" ht="15" hidden="false" customHeight="false" outlineLevel="0" collapsed="false">
      <c r="A78" s="5" t="s">
        <v>133</v>
      </c>
      <c r="B78" s="5" t="s">
        <v>98</v>
      </c>
      <c r="C78" s="5" t="s">
        <v>125</v>
      </c>
      <c r="D78" s="5" t="s">
        <v>174</v>
      </c>
      <c r="E78" s="5" t="s">
        <v>172</v>
      </c>
      <c r="F78" s="16" t="n">
        <v>66</v>
      </c>
      <c r="G78" s="12" t="str">
        <f aca="false">IF(VALUE(MID(D78,3,2))*10+VALUE(MID(E78,2,1))&lt;=242,"Pre",IF(VALUE(MID(D78,3,2))*10+VALUE(MID(E78,2,1))&lt;=254,"Post","Later"))</f>
        <v>Pre</v>
      </c>
      <c r="H78" s="5" t="s">
        <v>486</v>
      </c>
      <c r="I78" s="5" t="s">
        <v>485</v>
      </c>
    </row>
    <row r="79" customFormat="false" ht="15" hidden="false" customHeight="false" outlineLevel="0" collapsed="false">
      <c r="A79" s="5" t="s">
        <v>133</v>
      </c>
      <c r="B79" s="5" t="s">
        <v>98</v>
      </c>
      <c r="C79" s="5" t="s">
        <v>125</v>
      </c>
      <c r="D79" s="5" t="s">
        <v>174</v>
      </c>
      <c r="E79" s="5" t="s">
        <v>173</v>
      </c>
      <c r="F79" s="16" t="n">
        <v>69</v>
      </c>
      <c r="G79" s="12" t="str">
        <f aca="false">IF(VALUE(MID(D79,3,2))*10+VALUE(MID(E79,2,1))&lt;=242,"Pre",IF(VALUE(MID(D79,3,2))*10+VALUE(MID(E79,2,1))&lt;=254,"Post","Later"))</f>
        <v>Pre</v>
      </c>
      <c r="H79" s="5" t="s">
        <v>486</v>
      </c>
      <c r="I79" s="5" t="s">
        <v>485</v>
      </c>
    </row>
    <row r="80" customFormat="false" ht="15" hidden="false" customHeight="false" outlineLevel="0" collapsed="false">
      <c r="A80" s="5" t="s">
        <v>133</v>
      </c>
      <c r="B80" s="5" t="s">
        <v>98</v>
      </c>
      <c r="C80" s="5" t="s">
        <v>125</v>
      </c>
      <c r="D80" s="5" t="s">
        <v>176</v>
      </c>
      <c r="E80" s="5" t="s">
        <v>168</v>
      </c>
      <c r="F80" s="16" t="n">
        <v>66</v>
      </c>
      <c r="G80" s="12" t="str">
        <f aca="false">IF(VALUE(MID(D80,3,2))*10+VALUE(MID(E80,2,1))&lt;=242,"Pre",IF(VALUE(MID(D80,3,2))*10+VALUE(MID(E80,2,1))&lt;=254,"Post","Later"))</f>
        <v>Pre</v>
      </c>
      <c r="H80" s="5" t="s">
        <v>487</v>
      </c>
      <c r="I80" s="5" t="s">
        <v>485</v>
      </c>
    </row>
    <row r="81" customFormat="false" ht="15" hidden="false" customHeight="false" outlineLevel="0" collapsed="false">
      <c r="A81" s="5" t="s">
        <v>133</v>
      </c>
      <c r="B81" s="5" t="s">
        <v>98</v>
      </c>
      <c r="C81" s="5" t="s">
        <v>125</v>
      </c>
      <c r="D81" s="5" t="s">
        <v>176</v>
      </c>
      <c r="E81" s="5" t="s">
        <v>171</v>
      </c>
      <c r="F81" s="16" t="n">
        <v>66</v>
      </c>
      <c r="G81" s="12" t="str">
        <f aca="false">IF(VALUE(MID(D81,3,2))*10+VALUE(MID(E81,2,1))&lt;=242,"Pre",IF(VALUE(MID(D81,3,2))*10+VALUE(MID(E81,2,1))&lt;=254,"Post","Later"))</f>
        <v>Pre</v>
      </c>
      <c r="H81" s="5" t="s">
        <v>487</v>
      </c>
      <c r="I81" s="5" t="s">
        <v>485</v>
      </c>
    </row>
    <row r="82" customFormat="false" ht="15" hidden="false" customHeight="false" outlineLevel="0" collapsed="false">
      <c r="A82" s="5" t="s">
        <v>133</v>
      </c>
      <c r="B82" s="5" t="s">
        <v>98</v>
      </c>
      <c r="C82" s="5" t="s">
        <v>125</v>
      </c>
      <c r="D82" s="5" t="s">
        <v>176</v>
      </c>
      <c r="E82" s="5" t="s">
        <v>172</v>
      </c>
      <c r="F82" s="16" t="n">
        <v>64</v>
      </c>
      <c r="G82" s="12" t="str">
        <f aca="false">IF(VALUE(MID(D82,3,2))*10+VALUE(MID(E82,2,1))&lt;=242,"Pre",IF(VALUE(MID(D82,3,2))*10+VALUE(MID(E82,2,1))&lt;=254,"Post","Later"))</f>
        <v>Pre</v>
      </c>
      <c r="H82" s="5" t="s">
        <v>487</v>
      </c>
      <c r="I82" s="5" t="s">
        <v>485</v>
      </c>
    </row>
    <row r="83" customFormat="false" ht="15" hidden="false" customHeight="false" outlineLevel="0" collapsed="false">
      <c r="A83" s="5" t="s">
        <v>133</v>
      </c>
      <c r="B83" s="5" t="s">
        <v>98</v>
      </c>
      <c r="C83" s="5" t="s">
        <v>125</v>
      </c>
      <c r="D83" s="5" t="s">
        <v>176</v>
      </c>
      <c r="E83" s="5" t="s">
        <v>173</v>
      </c>
      <c r="F83" s="16" t="n">
        <v>65</v>
      </c>
      <c r="G83" s="12" t="str">
        <f aca="false">IF(VALUE(MID(D83,3,2))*10+VALUE(MID(E83,2,1))&lt;=242,"Pre",IF(VALUE(MID(D83,3,2))*10+VALUE(MID(E83,2,1))&lt;=254,"Post","Later"))</f>
        <v>Pre</v>
      </c>
      <c r="H83" s="5" t="s">
        <v>487</v>
      </c>
      <c r="I83" s="5" t="s">
        <v>485</v>
      </c>
    </row>
    <row r="84" customFormat="false" ht="15" hidden="false" customHeight="false" outlineLevel="0" collapsed="false">
      <c r="A84" s="5" t="s">
        <v>133</v>
      </c>
      <c r="B84" s="5" t="s">
        <v>98</v>
      </c>
      <c r="C84" s="5" t="s">
        <v>125</v>
      </c>
      <c r="D84" s="5" t="s">
        <v>177</v>
      </c>
      <c r="E84" s="5" t="s">
        <v>168</v>
      </c>
      <c r="F84" s="16" t="n">
        <v>61</v>
      </c>
      <c r="G84" s="12" t="str">
        <f aca="false">IF(VALUE(MID(D84,3,2))*10+VALUE(MID(E84,2,1))&lt;=242,"Pre",IF(VALUE(MID(D84,3,2))*10+VALUE(MID(E84,2,1))&lt;=254,"Post","Later"))</f>
        <v>Pre</v>
      </c>
      <c r="H84" s="5" t="s">
        <v>488</v>
      </c>
      <c r="I84" s="5" t="s">
        <v>485</v>
      </c>
    </row>
    <row r="85" customFormat="false" ht="15" hidden="false" customHeight="false" outlineLevel="0" collapsed="false">
      <c r="A85" s="5" t="s">
        <v>133</v>
      </c>
      <c r="B85" s="5" t="s">
        <v>98</v>
      </c>
      <c r="C85" s="5" t="s">
        <v>125</v>
      </c>
      <c r="D85" s="5" t="s">
        <v>177</v>
      </c>
      <c r="E85" s="5" t="s">
        <v>171</v>
      </c>
      <c r="F85" s="16" t="n">
        <v>61</v>
      </c>
      <c r="G85" s="12" t="str">
        <f aca="false">IF(VALUE(MID(D85,3,2))*10+VALUE(MID(E85,2,1))&lt;=242,"Pre",IF(VALUE(MID(D85,3,2))*10+VALUE(MID(E85,2,1))&lt;=254,"Post","Later"))</f>
        <v>Pre</v>
      </c>
      <c r="H85" s="5" t="s">
        <v>488</v>
      </c>
      <c r="I85" s="5" t="s">
        <v>485</v>
      </c>
    </row>
    <row r="86" customFormat="false" ht="15" hidden="false" customHeight="false" outlineLevel="0" collapsed="false">
      <c r="A86" s="5" t="s">
        <v>133</v>
      </c>
      <c r="B86" s="5" t="s">
        <v>98</v>
      </c>
      <c r="C86" s="5" t="s">
        <v>125</v>
      </c>
      <c r="D86" s="5" t="s">
        <v>177</v>
      </c>
      <c r="E86" s="5" t="s">
        <v>172</v>
      </c>
      <c r="F86" s="16" t="n">
        <v>59</v>
      </c>
      <c r="G86" s="12" t="str">
        <f aca="false">IF(VALUE(MID(D86,3,2))*10+VALUE(MID(E86,2,1))&lt;=242,"Pre",IF(VALUE(MID(D86,3,2))*10+VALUE(MID(E86,2,1))&lt;=254,"Post","Later"))</f>
        <v>Post</v>
      </c>
      <c r="H86" s="5" t="s">
        <v>488</v>
      </c>
      <c r="I86" s="5" t="s">
        <v>485</v>
      </c>
    </row>
    <row r="87" customFormat="false" ht="15" hidden="false" customHeight="false" outlineLevel="0" collapsed="false">
      <c r="A87" s="5" t="s">
        <v>133</v>
      </c>
      <c r="B87" s="5" t="s">
        <v>98</v>
      </c>
      <c r="C87" s="5" t="s">
        <v>125</v>
      </c>
      <c r="D87" s="5" t="s">
        <v>177</v>
      </c>
      <c r="E87" s="5" t="s">
        <v>173</v>
      </c>
      <c r="F87" s="16" t="n">
        <v>59</v>
      </c>
      <c r="G87" s="12" t="str">
        <f aca="false">IF(VALUE(MID(D87,3,2))*10+VALUE(MID(E87,2,1))&lt;=242,"Pre",IF(VALUE(MID(D87,3,2))*10+VALUE(MID(E87,2,1))&lt;=254,"Post","Later"))</f>
        <v>Post</v>
      </c>
      <c r="H87" s="5" t="s">
        <v>488</v>
      </c>
      <c r="I87" s="5" t="s">
        <v>485</v>
      </c>
    </row>
    <row r="88" customFormat="false" ht="15" hidden="false" customHeight="false" outlineLevel="0" collapsed="false">
      <c r="A88" s="5" t="s">
        <v>133</v>
      </c>
      <c r="B88" s="5" t="s">
        <v>98</v>
      </c>
      <c r="C88" s="5" t="s">
        <v>125</v>
      </c>
      <c r="D88" s="5" t="s">
        <v>179</v>
      </c>
      <c r="E88" s="5" t="s">
        <v>168</v>
      </c>
      <c r="F88" s="16" t="n">
        <v>59</v>
      </c>
      <c r="G88" s="12" t="str">
        <f aca="false">IF(VALUE(MID(D88,3,2))*10+VALUE(MID(E88,2,1))&lt;=242,"Pre",IF(VALUE(MID(D88,3,2))*10+VALUE(MID(E88,2,1))&lt;=254,"Post","Later"))</f>
        <v>Post</v>
      </c>
      <c r="H88" s="5" t="s">
        <v>489</v>
      </c>
      <c r="I88" s="5" t="s">
        <v>485</v>
      </c>
    </row>
    <row r="89" customFormat="false" ht="15" hidden="false" customHeight="false" outlineLevel="0" collapsed="false">
      <c r="A89" s="5" t="s">
        <v>133</v>
      </c>
      <c r="B89" s="5" t="s">
        <v>98</v>
      </c>
      <c r="C89" s="5" t="s">
        <v>125</v>
      </c>
      <c r="D89" s="5" t="s">
        <v>179</v>
      </c>
      <c r="E89" s="5" t="s">
        <v>171</v>
      </c>
      <c r="F89" s="16" t="n">
        <v>58</v>
      </c>
      <c r="G89" s="12" t="str">
        <f aca="false">IF(VALUE(MID(D89,3,2))*10+VALUE(MID(E89,2,1))&lt;=242,"Pre",IF(VALUE(MID(D89,3,2))*10+VALUE(MID(E89,2,1))&lt;=254,"Post","Later"))</f>
        <v>Post</v>
      </c>
      <c r="H89" s="5" t="s">
        <v>489</v>
      </c>
      <c r="I89" s="5" t="s">
        <v>485</v>
      </c>
    </row>
    <row r="90" customFormat="false" ht="15" hidden="false" customHeight="false" outlineLevel="0" collapsed="false">
      <c r="A90" s="5" t="s">
        <v>133</v>
      </c>
      <c r="B90" s="5" t="s">
        <v>98</v>
      </c>
      <c r="C90" s="5" t="s">
        <v>125</v>
      </c>
      <c r="D90" s="5" t="s">
        <v>179</v>
      </c>
      <c r="E90" s="5" t="s">
        <v>172</v>
      </c>
      <c r="F90" s="16" t="n">
        <v>58</v>
      </c>
      <c r="G90" s="12" t="str">
        <f aca="false">IF(VALUE(MID(D90,3,2))*10+VALUE(MID(E90,2,1))&lt;=242,"Pre",IF(VALUE(MID(D90,3,2))*10+VALUE(MID(E90,2,1))&lt;=254,"Post","Later"))</f>
        <v>Post</v>
      </c>
      <c r="H90" s="5" t="s">
        <v>489</v>
      </c>
      <c r="I90" s="5" t="s">
        <v>485</v>
      </c>
    </row>
    <row r="91" customFormat="false" ht="15" hidden="false" customHeight="false" outlineLevel="0" collapsed="false">
      <c r="A91" s="5" t="s">
        <v>133</v>
      </c>
      <c r="B91" s="5" t="s">
        <v>98</v>
      </c>
      <c r="C91" s="5" t="s">
        <v>125</v>
      </c>
      <c r="D91" s="5" t="s">
        <v>179</v>
      </c>
      <c r="E91" s="5" t="s">
        <v>173</v>
      </c>
      <c r="F91" s="16" t="n">
        <v>59</v>
      </c>
      <c r="G91" s="12" t="str">
        <f aca="false">IF(VALUE(MID(D91,3,2))*10+VALUE(MID(E91,2,1))&lt;=242,"Pre",IF(VALUE(MID(D91,3,2))*10+VALUE(MID(E91,2,1))&lt;=254,"Post","Later"))</f>
        <v>Post</v>
      </c>
      <c r="H91" s="5" t="s">
        <v>489</v>
      </c>
      <c r="I91" s="5" t="s">
        <v>485</v>
      </c>
    </row>
    <row r="92" customFormat="false" ht="15" hidden="false" customHeight="false" outlineLevel="0" collapsed="false">
      <c r="A92" s="5" t="s">
        <v>133</v>
      </c>
      <c r="B92" s="5" t="s">
        <v>98</v>
      </c>
      <c r="C92" s="5" t="s">
        <v>125</v>
      </c>
      <c r="D92" s="5" t="s">
        <v>180</v>
      </c>
      <c r="E92" s="5" t="s">
        <v>168</v>
      </c>
      <c r="F92" s="16" t="n">
        <v>59</v>
      </c>
      <c r="G92" s="12" t="str">
        <f aca="false">IF(VALUE(MID(D92,3,2))*10+VALUE(MID(E92,2,1))&lt;=242,"Pre",IF(VALUE(MID(D92,3,2))*10+VALUE(MID(E92,2,1))&lt;=254,"Post","Later"))</f>
        <v>Later</v>
      </c>
      <c r="H92" s="5" t="s">
        <v>490</v>
      </c>
      <c r="I92" s="5" t="s">
        <v>485</v>
      </c>
    </row>
    <row r="93" customFormat="false" ht="15" hidden="false" customHeight="false" outlineLevel="0" collapsed="false">
      <c r="A93" s="5" t="s">
        <v>133</v>
      </c>
      <c r="B93" s="5" t="s">
        <v>98</v>
      </c>
      <c r="C93" s="5" t="s">
        <v>125</v>
      </c>
      <c r="D93" s="5" t="s">
        <v>180</v>
      </c>
      <c r="E93" s="5" t="s">
        <v>171</v>
      </c>
      <c r="F93" s="16" t="n">
        <v>57</v>
      </c>
      <c r="G93" s="12" t="str">
        <f aca="false">IF(VALUE(MID(D93,3,2))*10+VALUE(MID(E93,2,1))&lt;=242,"Pre",IF(VALUE(MID(D93,3,2))*10+VALUE(MID(E93,2,1))&lt;=254,"Post","Later"))</f>
        <v>Later</v>
      </c>
      <c r="H93" s="5" t="s">
        <v>490</v>
      </c>
      <c r="I93" s="5" t="s">
        <v>485</v>
      </c>
    </row>
    <row r="94" customFormat="false" ht="15" hidden="false" customHeight="false" outlineLevel="0" collapsed="false">
      <c r="A94" s="5" t="s">
        <v>133</v>
      </c>
      <c r="B94" s="5" t="s">
        <v>98</v>
      </c>
      <c r="C94" s="5" t="s">
        <v>125</v>
      </c>
      <c r="D94" s="5" t="s">
        <v>180</v>
      </c>
      <c r="E94" s="5" t="s">
        <v>172</v>
      </c>
      <c r="F94" s="16" t="n">
        <v>58</v>
      </c>
      <c r="G94" s="12" t="str">
        <f aca="false">IF(VALUE(MID(D94,3,2))*10+VALUE(MID(E94,2,1))&lt;=242,"Pre",IF(VALUE(MID(D94,3,2))*10+VALUE(MID(E94,2,1))&lt;=254,"Post","Later"))</f>
        <v>Later</v>
      </c>
      <c r="H94" s="5" t="s">
        <v>490</v>
      </c>
      <c r="I94" s="5" t="s">
        <v>485</v>
      </c>
    </row>
    <row r="95" customFormat="false" ht="15" hidden="false" customHeight="false" outlineLevel="0" collapsed="false">
      <c r="A95" s="5" t="s">
        <v>133</v>
      </c>
      <c r="B95" s="5" t="s">
        <v>98</v>
      </c>
      <c r="C95" s="5" t="s">
        <v>125</v>
      </c>
      <c r="D95" s="5" t="s">
        <v>180</v>
      </c>
      <c r="E95" s="5" t="s">
        <v>173</v>
      </c>
      <c r="F95" s="16" t="n">
        <v>59</v>
      </c>
      <c r="G95" s="12" t="str">
        <f aca="false">IF(VALUE(MID(D95,3,2))*10+VALUE(MID(E95,2,1))&lt;=242,"Pre",IF(VALUE(MID(D95,3,2))*10+VALUE(MID(E95,2,1))&lt;=254,"Post","Later"))</f>
        <v>Later</v>
      </c>
      <c r="H95" s="5" t="s">
        <v>490</v>
      </c>
      <c r="I95" s="5" t="s">
        <v>485</v>
      </c>
    </row>
    <row r="96" customFormat="false" ht="15" hidden="false" customHeight="false" outlineLevel="0" collapsed="false">
      <c r="A96" s="5" t="s">
        <v>135</v>
      </c>
      <c r="B96" s="5" t="s">
        <v>99</v>
      </c>
      <c r="C96" s="5" t="s">
        <v>125</v>
      </c>
      <c r="D96" s="5" t="s">
        <v>167</v>
      </c>
      <c r="E96" s="5" t="s">
        <v>168</v>
      </c>
      <c r="F96" s="16" t="n">
        <v>56.2</v>
      </c>
      <c r="G96" s="12" t="str">
        <f aca="false">IF(VALUE(MID(D96,3,2))*10+VALUE(MID(E96,2,1))&lt;=242,"Pre",IF(VALUE(MID(D96,3,2))*10+VALUE(MID(E96,2,1))&lt;=254,"Post","Later"))</f>
        <v>Pre</v>
      </c>
      <c r="H96" s="5" t="s">
        <v>491</v>
      </c>
      <c r="I96" s="5" t="s">
        <v>492</v>
      </c>
    </row>
    <row r="97" customFormat="false" ht="15" hidden="false" customHeight="false" outlineLevel="0" collapsed="false">
      <c r="A97" s="5" t="s">
        <v>135</v>
      </c>
      <c r="B97" s="5" t="s">
        <v>99</v>
      </c>
      <c r="C97" s="5" t="s">
        <v>125</v>
      </c>
      <c r="D97" s="5" t="s">
        <v>167</v>
      </c>
      <c r="E97" s="5" t="s">
        <v>171</v>
      </c>
      <c r="F97" s="16" t="n">
        <v>52.1</v>
      </c>
      <c r="G97" s="12" t="str">
        <f aca="false">IF(VALUE(MID(D97,3,2))*10+VALUE(MID(E97,2,1))&lt;=242,"Pre",IF(VALUE(MID(D97,3,2))*10+VALUE(MID(E97,2,1))&lt;=254,"Post","Later"))</f>
        <v>Pre</v>
      </c>
      <c r="H97" s="5" t="s">
        <v>493</v>
      </c>
      <c r="I97" s="5" t="s">
        <v>492</v>
      </c>
    </row>
    <row r="98" customFormat="false" ht="15" hidden="false" customHeight="false" outlineLevel="0" collapsed="false">
      <c r="A98" s="5" t="s">
        <v>135</v>
      </c>
      <c r="B98" s="5" t="s">
        <v>99</v>
      </c>
      <c r="C98" s="5" t="s">
        <v>125</v>
      </c>
      <c r="D98" s="5" t="s">
        <v>167</v>
      </c>
      <c r="E98" s="5" t="s">
        <v>172</v>
      </c>
      <c r="F98" s="16" t="n">
        <v>54.2</v>
      </c>
      <c r="G98" s="12" t="str">
        <f aca="false">IF(VALUE(MID(D98,3,2))*10+VALUE(MID(E98,2,1))&lt;=242,"Pre",IF(VALUE(MID(D98,3,2))*10+VALUE(MID(E98,2,1))&lt;=254,"Post","Later"))</f>
        <v>Pre</v>
      </c>
      <c r="H98" s="5" t="s">
        <v>494</v>
      </c>
      <c r="I98" s="5" t="s">
        <v>492</v>
      </c>
    </row>
    <row r="99" customFormat="false" ht="15" hidden="false" customHeight="false" outlineLevel="0" collapsed="false">
      <c r="A99" s="5" t="s">
        <v>135</v>
      </c>
      <c r="B99" s="5" t="s">
        <v>99</v>
      </c>
      <c r="C99" s="5" t="s">
        <v>125</v>
      </c>
      <c r="D99" s="5" t="s">
        <v>167</v>
      </c>
      <c r="E99" s="5" t="s">
        <v>173</v>
      </c>
      <c r="F99" s="16" t="n">
        <v>52.1</v>
      </c>
      <c r="G99" s="12" t="str">
        <f aca="false">IF(VALUE(MID(D99,3,2))*10+VALUE(MID(E99,2,1))&lt;=242,"Pre",IF(VALUE(MID(D99,3,2))*10+VALUE(MID(E99,2,1))&lt;=254,"Post","Later"))</f>
        <v>Pre</v>
      </c>
      <c r="H99" s="5" t="s">
        <v>495</v>
      </c>
      <c r="I99" s="5" t="s">
        <v>492</v>
      </c>
    </row>
    <row r="100" customFormat="false" ht="15" hidden="false" customHeight="false" outlineLevel="0" collapsed="false">
      <c r="A100" s="5" t="s">
        <v>135</v>
      </c>
      <c r="B100" s="5" t="s">
        <v>99</v>
      </c>
      <c r="C100" s="5" t="s">
        <v>125</v>
      </c>
      <c r="D100" s="5" t="s">
        <v>174</v>
      </c>
      <c r="E100" s="5" t="s">
        <v>168</v>
      </c>
      <c r="F100" s="16" t="n">
        <v>48.1</v>
      </c>
      <c r="G100" s="12" t="str">
        <f aca="false">IF(VALUE(MID(D100,3,2))*10+VALUE(MID(E100,2,1))&lt;=242,"Pre",IF(VALUE(MID(D100,3,2))*10+VALUE(MID(E100,2,1))&lt;=254,"Post","Later"))</f>
        <v>Pre</v>
      </c>
      <c r="H100" s="5" t="s">
        <v>496</v>
      </c>
      <c r="I100" s="5" t="s">
        <v>492</v>
      </c>
    </row>
    <row r="101" customFormat="false" ht="15" hidden="false" customHeight="false" outlineLevel="0" collapsed="false">
      <c r="A101" s="5" t="s">
        <v>135</v>
      </c>
      <c r="B101" s="5" t="s">
        <v>99</v>
      </c>
      <c r="C101" s="5" t="s">
        <v>125</v>
      </c>
      <c r="D101" s="5" t="s">
        <v>174</v>
      </c>
      <c r="E101" s="5" t="s">
        <v>171</v>
      </c>
      <c r="F101" s="16" t="n">
        <v>49.5</v>
      </c>
      <c r="G101" s="12" t="str">
        <f aca="false">IF(VALUE(MID(D101,3,2))*10+VALUE(MID(E101,2,1))&lt;=242,"Pre",IF(VALUE(MID(D101,3,2))*10+VALUE(MID(E101,2,1))&lt;=254,"Post","Later"))</f>
        <v>Pre</v>
      </c>
      <c r="H101" s="5" t="s">
        <v>497</v>
      </c>
      <c r="I101" s="5" t="s">
        <v>492</v>
      </c>
    </row>
    <row r="102" customFormat="false" ht="15" hidden="false" customHeight="false" outlineLevel="0" collapsed="false">
      <c r="A102" s="5" t="s">
        <v>135</v>
      </c>
      <c r="B102" s="5" t="s">
        <v>99</v>
      </c>
      <c r="C102" s="5" t="s">
        <v>125</v>
      </c>
      <c r="D102" s="5" t="s">
        <v>174</v>
      </c>
      <c r="E102" s="5" t="s">
        <v>172</v>
      </c>
      <c r="F102" s="16" t="n">
        <v>57.5</v>
      </c>
      <c r="G102" s="12" t="str">
        <f aca="false">IF(VALUE(MID(D102,3,2))*10+VALUE(MID(E102,2,1))&lt;=242,"Pre",IF(VALUE(MID(D102,3,2))*10+VALUE(MID(E102,2,1))&lt;=254,"Post","Later"))</f>
        <v>Pre</v>
      </c>
      <c r="H102" s="5" t="s">
        <v>498</v>
      </c>
      <c r="I102" s="5" t="s">
        <v>492</v>
      </c>
    </row>
    <row r="103" customFormat="false" ht="15" hidden="false" customHeight="false" outlineLevel="0" collapsed="false">
      <c r="A103" s="5" t="s">
        <v>135</v>
      </c>
      <c r="B103" s="5" t="s">
        <v>99</v>
      </c>
      <c r="C103" s="5" t="s">
        <v>125</v>
      </c>
      <c r="D103" s="5" t="s">
        <v>174</v>
      </c>
      <c r="E103" s="5" t="s">
        <v>173</v>
      </c>
      <c r="F103" s="16" t="n">
        <v>59.3</v>
      </c>
      <c r="G103" s="12" t="str">
        <f aca="false">IF(VALUE(MID(D103,3,2))*10+VALUE(MID(E103,2,1))&lt;=242,"Pre",IF(VALUE(MID(D103,3,2))*10+VALUE(MID(E103,2,1))&lt;=254,"Post","Later"))</f>
        <v>Pre</v>
      </c>
      <c r="H103" s="5" t="s">
        <v>499</v>
      </c>
      <c r="I103" s="5" t="s">
        <v>492</v>
      </c>
    </row>
    <row r="104" customFormat="false" ht="15" hidden="false" customHeight="false" outlineLevel="0" collapsed="false">
      <c r="A104" s="5" t="s">
        <v>135</v>
      </c>
      <c r="B104" s="5" t="s">
        <v>99</v>
      </c>
      <c r="C104" s="5" t="s">
        <v>125</v>
      </c>
      <c r="D104" s="5" t="s">
        <v>176</v>
      </c>
      <c r="E104" s="5" t="s">
        <v>168</v>
      </c>
      <c r="F104" s="16" t="n">
        <v>59.6</v>
      </c>
      <c r="G104" s="12" t="str">
        <f aca="false">IF(VALUE(MID(D104,3,2))*10+VALUE(MID(E104,2,1))&lt;=242,"Pre",IF(VALUE(MID(D104,3,2))*10+VALUE(MID(E104,2,1))&lt;=254,"Post","Later"))</f>
        <v>Pre</v>
      </c>
      <c r="H104" s="5" t="s">
        <v>500</v>
      </c>
      <c r="I104" s="5" t="s">
        <v>492</v>
      </c>
    </row>
    <row r="105" customFormat="false" ht="15" hidden="false" customHeight="false" outlineLevel="0" collapsed="false">
      <c r="A105" s="5" t="s">
        <v>135</v>
      </c>
      <c r="B105" s="5" t="s">
        <v>99</v>
      </c>
      <c r="C105" s="5" t="s">
        <v>125</v>
      </c>
      <c r="D105" s="5" t="s">
        <v>176</v>
      </c>
      <c r="E105" s="5" t="s">
        <v>171</v>
      </c>
      <c r="F105" s="16" t="n">
        <v>64.7</v>
      </c>
      <c r="G105" s="12" t="str">
        <f aca="false">IF(VALUE(MID(D105,3,2))*10+VALUE(MID(E105,2,1))&lt;=242,"Pre",IF(VALUE(MID(D105,3,2))*10+VALUE(MID(E105,2,1))&lt;=254,"Post","Later"))</f>
        <v>Pre</v>
      </c>
      <c r="H105" s="5" t="s">
        <v>501</v>
      </c>
      <c r="I105" s="5" t="s">
        <v>492</v>
      </c>
    </row>
    <row r="106" customFormat="false" ht="15" hidden="false" customHeight="false" outlineLevel="0" collapsed="false">
      <c r="A106" s="5" t="s">
        <v>135</v>
      </c>
      <c r="B106" s="5" t="s">
        <v>99</v>
      </c>
      <c r="C106" s="5" t="s">
        <v>125</v>
      </c>
      <c r="D106" s="5" t="s">
        <v>176</v>
      </c>
      <c r="E106" s="5" t="s">
        <v>172</v>
      </c>
      <c r="F106" s="16" t="n">
        <v>51.7</v>
      </c>
      <c r="G106" s="12" t="str">
        <f aca="false">IF(VALUE(MID(D106,3,2))*10+VALUE(MID(E106,2,1))&lt;=242,"Pre",IF(VALUE(MID(D106,3,2))*10+VALUE(MID(E106,2,1))&lt;=254,"Post","Later"))</f>
        <v>Pre</v>
      </c>
      <c r="H106" s="5" t="s">
        <v>502</v>
      </c>
      <c r="I106" s="5" t="s">
        <v>492</v>
      </c>
    </row>
    <row r="107" customFormat="false" ht="15" hidden="false" customHeight="false" outlineLevel="0" collapsed="false">
      <c r="A107" s="5" t="s">
        <v>135</v>
      </c>
      <c r="B107" s="5" t="s">
        <v>99</v>
      </c>
      <c r="C107" s="5" t="s">
        <v>125</v>
      </c>
      <c r="D107" s="5" t="s">
        <v>176</v>
      </c>
      <c r="E107" s="5" t="s">
        <v>173</v>
      </c>
      <c r="F107" s="16" t="n">
        <v>60.4</v>
      </c>
      <c r="G107" s="12" t="str">
        <f aca="false">IF(VALUE(MID(D107,3,2))*10+VALUE(MID(E107,2,1))&lt;=242,"Pre",IF(VALUE(MID(D107,3,2))*10+VALUE(MID(E107,2,1))&lt;=254,"Post","Later"))</f>
        <v>Pre</v>
      </c>
      <c r="H107" s="5" t="s">
        <v>503</v>
      </c>
      <c r="I107" s="5" t="s">
        <v>492</v>
      </c>
    </row>
    <row r="108" customFormat="false" ht="15" hidden="false" customHeight="false" outlineLevel="0" collapsed="false">
      <c r="A108" s="5" t="s">
        <v>135</v>
      </c>
      <c r="B108" s="5" t="s">
        <v>99</v>
      </c>
      <c r="C108" s="5" t="s">
        <v>125</v>
      </c>
      <c r="D108" s="5" t="s">
        <v>177</v>
      </c>
      <c r="E108" s="5" t="s">
        <v>168</v>
      </c>
      <c r="F108" s="16" t="n">
        <v>55.9</v>
      </c>
      <c r="G108" s="12" t="str">
        <f aca="false">IF(VALUE(MID(D108,3,2))*10+VALUE(MID(E108,2,1))&lt;=242,"Pre",IF(VALUE(MID(D108,3,2))*10+VALUE(MID(E108,2,1))&lt;=254,"Post","Later"))</f>
        <v>Pre</v>
      </c>
      <c r="H108" s="5" t="s">
        <v>504</v>
      </c>
      <c r="I108" s="5" t="s">
        <v>492</v>
      </c>
    </row>
    <row r="109" customFormat="false" ht="15" hidden="false" customHeight="false" outlineLevel="0" collapsed="false">
      <c r="A109" s="5" t="s">
        <v>135</v>
      </c>
      <c r="B109" s="5" t="s">
        <v>99</v>
      </c>
      <c r="C109" s="5" t="s">
        <v>125</v>
      </c>
      <c r="D109" s="5" t="s">
        <v>177</v>
      </c>
      <c r="E109" s="5" t="s">
        <v>171</v>
      </c>
      <c r="F109" s="16" t="n">
        <v>52.9</v>
      </c>
      <c r="G109" s="12" t="str">
        <f aca="false">IF(VALUE(MID(D109,3,2))*10+VALUE(MID(E109,2,1))&lt;=242,"Pre",IF(VALUE(MID(D109,3,2))*10+VALUE(MID(E109,2,1))&lt;=254,"Post","Later"))</f>
        <v>Pre</v>
      </c>
      <c r="H109" s="5" t="s">
        <v>505</v>
      </c>
      <c r="I109" s="5" t="s">
        <v>492</v>
      </c>
    </row>
    <row r="110" customFormat="false" ht="15" hidden="false" customHeight="false" outlineLevel="0" collapsed="false">
      <c r="A110" s="5" t="s">
        <v>135</v>
      </c>
      <c r="B110" s="5" t="s">
        <v>99</v>
      </c>
      <c r="C110" s="5" t="s">
        <v>125</v>
      </c>
      <c r="D110" s="5" t="s">
        <v>177</v>
      </c>
      <c r="E110" s="5" t="s">
        <v>172</v>
      </c>
      <c r="F110" s="16" t="n">
        <v>50.4</v>
      </c>
      <c r="G110" s="12" t="str">
        <f aca="false">IF(VALUE(MID(D110,3,2))*10+VALUE(MID(E110,2,1))&lt;=242,"Pre",IF(VALUE(MID(D110,3,2))*10+VALUE(MID(E110,2,1))&lt;=254,"Post","Later"))</f>
        <v>Post</v>
      </c>
      <c r="H110" s="5" t="s">
        <v>506</v>
      </c>
      <c r="I110" s="5" t="s">
        <v>492</v>
      </c>
    </row>
    <row r="111" customFormat="false" ht="15" hidden="false" customHeight="false" outlineLevel="0" collapsed="false">
      <c r="A111" s="5" t="s">
        <v>135</v>
      </c>
      <c r="B111" s="5" t="s">
        <v>99</v>
      </c>
      <c r="C111" s="5" t="s">
        <v>125</v>
      </c>
      <c r="D111" s="5" t="s">
        <v>177</v>
      </c>
      <c r="E111" s="5" t="s">
        <v>173</v>
      </c>
      <c r="F111" s="16" t="n">
        <v>57.2</v>
      </c>
      <c r="G111" s="12" t="str">
        <f aca="false">IF(VALUE(MID(D111,3,2))*10+VALUE(MID(E111,2,1))&lt;=242,"Pre",IF(VALUE(MID(D111,3,2))*10+VALUE(MID(E111,2,1))&lt;=254,"Post","Later"))</f>
        <v>Post</v>
      </c>
      <c r="H111" s="5" t="s">
        <v>507</v>
      </c>
      <c r="I111" s="5" t="s">
        <v>492</v>
      </c>
    </row>
    <row r="112" customFormat="false" ht="15" hidden="false" customHeight="false" outlineLevel="0" collapsed="false">
      <c r="A112" s="5" t="s">
        <v>135</v>
      </c>
      <c r="B112" s="5" t="s">
        <v>99</v>
      </c>
      <c r="C112" s="5" t="s">
        <v>125</v>
      </c>
      <c r="D112" s="5" t="s">
        <v>179</v>
      </c>
      <c r="E112" s="5" t="s">
        <v>168</v>
      </c>
      <c r="F112" s="16" t="n">
        <v>56.2</v>
      </c>
      <c r="G112" s="12" t="str">
        <f aca="false">IF(VALUE(MID(D112,3,2))*10+VALUE(MID(E112,2,1))&lt;=242,"Pre",IF(VALUE(MID(D112,3,2))*10+VALUE(MID(E112,2,1))&lt;=254,"Post","Later"))</f>
        <v>Post</v>
      </c>
      <c r="H112" s="5" t="s">
        <v>508</v>
      </c>
      <c r="I112" s="5" t="s">
        <v>492</v>
      </c>
    </row>
    <row r="113" customFormat="false" ht="15" hidden="false" customHeight="false" outlineLevel="0" collapsed="false">
      <c r="A113" s="5" t="s">
        <v>135</v>
      </c>
      <c r="B113" s="5" t="s">
        <v>99</v>
      </c>
      <c r="C113" s="5" t="s">
        <v>125</v>
      </c>
      <c r="D113" s="5" t="s">
        <v>179</v>
      </c>
      <c r="E113" s="5" t="s">
        <v>171</v>
      </c>
      <c r="F113" s="16" t="n">
        <v>56.6</v>
      </c>
      <c r="G113" s="12" t="str">
        <f aca="false">IF(VALUE(MID(D113,3,2))*10+VALUE(MID(E113,2,1))&lt;=242,"Pre",IF(VALUE(MID(D113,3,2))*10+VALUE(MID(E113,2,1))&lt;=254,"Post","Later"))</f>
        <v>Post</v>
      </c>
      <c r="H113" s="5" t="s">
        <v>509</v>
      </c>
      <c r="I113" s="5" t="s">
        <v>492</v>
      </c>
    </row>
    <row r="114" customFormat="false" ht="15" hidden="false" customHeight="false" outlineLevel="0" collapsed="false">
      <c r="A114" s="5" t="s">
        <v>135</v>
      </c>
      <c r="B114" s="5" t="s">
        <v>99</v>
      </c>
      <c r="C114" s="5" t="s">
        <v>125</v>
      </c>
      <c r="D114" s="5" t="s">
        <v>179</v>
      </c>
      <c r="E114" s="5" t="s">
        <v>172</v>
      </c>
      <c r="F114" s="16" t="n">
        <v>61.9</v>
      </c>
      <c r="G114" s="12" t="str">
        <f aca="false">IF(VALUE(MID(D114,3,2))*10+VALUE(MID(E114,2,1))&lt;=242,"Pre",IF(VALUE(MID(D114,3,2))*10+VALUE(MID(E114,2,1))&lt;=254,"Post","Later"))</f>
        <v>Post</v>
      </c>
      <c r="H114" s="5" t="s">
        <v>510</v>
      </c>
      <c r="I114" s="5" t="s">
        <v>492</v>
      </c>
    </row>
    <row r="115" customFormat="false" ht="15" hidden="false" customHeight="false" outlineLevel="0" collapsed="false">
      <c r="A115" s="5" t="s">
        <v>135</v>
      </c>
      <c r="B115" s="5" t="s">
        <v>99</v>
      </c>
      <c r="C115" s="5" t="s">
        <v>125</v>
      </c>
      <c r="D115" s="5" t="s">
        <v>179</v>
      </c>
      <c r="E115" s="5" t="s">
        <v>173</v>
      </c>
      <c r="F115" s="16" t="n">
        <v>59.2</v>
      </c>
      <c r="G115" s="12" t="str">
        <f aca="false">IF(VALUE(MID(D115,3,2))*10+VALUE(MID(E115,2,1))&lt;=242,"Pre",IF(VALUE(MID(D115,3,2))*10+VALUE(MID(E115,2,1))&lt;=254,"Post","Later"))</f>
        <v>Post</v>
      </c>
      <c r="H115" s="5" t="s">
        <v>511</v>
      </c>
      <c r="I115" s="5" t="s">
        <v>492</v>
      </c>
    </row>
    <row r="116" customFormat="false" ht="15" hidden="false" customHeight="false" outlineLevel="0" collapsed="false">
      <c r="A116" s="5" t="s">
        <v>135</v>
      </c>
      <c r="B116" s="5" t="s">
        <v>99</v>
      </c>
      <c r="C116" s="5" t="s">
        <v>125</v>
      </c>
      <c r="D116" s="5" t="s">
        <v>180</v>
      </c>
      <c r="E116" s="5" t="s">
        <v>168</v>
      </c>
      <c r="F116" s="16" t="n">
        <v>56.9</v>
      </c>
      <c r="G116" s="12" t="str">
        <f aca="false">IF(VALUE(MID(D116,3,2))*10+VALUE(MID(E116,2,1))&lt;=242,"Pre",IF(VALUE(MID(D116,3,2))*10+VALUE(MID(E116,2,1))&lt;=254,"Post","Later"))</f>
        <v>Later</v>
      </c>
      <c r="H116" s="5" t="s">
        <v>512</v>
      </c>
      <c r="I116" s="5" t="s">
        <v>492</v>
      </c>
    </row>
    <row r="117" customFormat="false" ht="15" hidden="false" customHeight="false" outlineLevel="0" collapsed="false">
      <c r="A117" s="5" t="s">
        <v>135</v>
      </c>
      <c r="B117" s="5" t="s">
        <v>99</v>
      </c>
      <c r="C117" s="5" t="s">
        <v>125</v>
      </c>
      <c r="D117" s="5" t="s">
        <v>180</v>
      </c>
      <c r="E117" s="5" t="s">
        <v>171</v>
      </c>
      <c r="F117" s="16" t="n">
        <v>56.8</v>
      </c>
      <c r="G117" s="12" t="str">
        <f aca="false">IF(VALUE(MID(D117,3,2))*10+VALUE(MID(E117,2,1))&lt;=242,"Pre",IF(VALUE(MID(D117,3,2))*10+VALUE(MID(E117,2,1))&lt;=254,"Post","Later"))</f>
        <v>Later</v>
      </c>
      <c r="H117" s="5" t="s">
        <v>513</v>
      </c>
      <c r="I117" s="5" t="s">
        <v>492</v>
      </c>
    </row>
    <row r="118" customFormat="false" ht="15" hidden="false" customHeight="false" outlineLevel="0" collapsed="false">
      <c r="A118" s="5" t="s">
        <v>135</v>
      </c>
      <c r="B118" s="5" t="s">
        <v>99</v>
      </c>
      <c r="C118" s="5" t="s">
        <v>125</v>
      </c>
      <c r="D118" s="5" t="s">
        <v>180</v>
      </c>
      <c r="E118" s="5" t="s">
        <v>172</v>
      </c>
      <c r="F118" s="16" t="n">
        <v>55.7</v>
      </c>
      <c r="G118" s="12" t="str">
        <f aca="false">IF(VALUE(MID(D118,3,2))*10+VALUE(MID(E118,2,1))&lt;=242,"Pre",IF(VALUE(MID(D118,3,2))*10+VALUE(MID(E118,2,1))&lt;=254,"Post","Later"))</f>
        <v>Later</v>
      </c>
      <c r="H118" s="5" t="s">
        <v>514</v>
      </c>
      <c r="I118" s="5" t="s">
        <v>492</v>
      </c>
    </row>
    <row r="119" customFormat="false" ht="15" hidden="false" customHeight="false" outlineLevel="0" collapsed="false">
      <c r="A119" s="5" t="s">
        <v>135</v>
      </c>
      <c r="B119" s="5" t="s">
        <v>99</v>
      </c>
      <c r="C119" s="5" t="s">
        <v>125</v>
      </c>
      <c r="D119" s="5" t="s">
        <v>180</v>
      </c>
      <c r="E119" s="5" t="s">
        <v>173</v>
      </c>
      <c r="F119" s="16" t="n">
        <v>58.7</v>
      </c>
      <c r="G119" s="12" t="str">
        <f aca="false">IF(VALUE(MID(D119,3,2))*10+VALUE(MID(E119,2,1))&lt;=242,"Pre",IF(VALUE(MID(D119,3,2))*10+VALUE(MID(E119,2,1))&lt;=254,"Post","Later"))</f>
        <v>Later</v>
      </c>
      <c r="H119" s="5" t="s">
        <v>515</v>
      </c>
      <c r="I119" s="5" t="s">
        <v>492</v>
      </c>
    </row>
    <row r="120" customFormat="false" ht="15" hidden="false" customHeight="false" outlineLevel="0" collapsed="false">
      <c r="A120" s="5" t="s">
        <v>137</v>
      </c>
      <c r="B120" s="5" t="s">
        <v>92</v>
      </c>
      <c r="C120" s="5" t="s">
        <v>120</v>
      </c>
      <c r="D120" s="5" t="s">
        <v>167</v>
      </c>
      <c r="E120" s="5" t="s">
        <v>173</v>
      </c>
      <c r="F120" s="16" t="n">
        <v>44</v>
      </c>
      <c r="G120" s="12" t="str">
        <f aca="false">IF(VALUE(MID(D120,3,2))*10+VALUE(MID(E120,2,1))&lt;=242,"Pre",IF(VALUE(MID(D120,3,2))*10+VALUE(MID(E120,2,1))&lt;=254,"Post","Later"))</f>
        <v>Pre</v>
      </c>
      <c r="H120" s="5" t="s">
        <v>516</v>
      </c>
      <c r="I120" s="5" t="s">
        <v>517</v>
      </c>
    </row>
    <row r="121" customFormat="false" ht="15" hidden="false" customHeight="false" outlineLevel="0" collapsed="false">
      <c r="A121" s="5" t="s">
        <v>137</v>
      </c>
      <c r="B121" s="5" t="s">
        <v>92</v>
      </c>
      <c r="C121" s="5" t="s">
        <v>120</v>
      </c>
      <c r="D121" s="5" t="s">
        <v>174</v>
      </c>
      <c r="E121" s="5" t="s">
        <v>168</v>
      </c>
      <c r="F121" s="16" t="n">
        <v>45</v>
      </c>
      <c r="G121" s="12" t="str">
        <f aca="false">IF(VALUE(MID(D121,3,2))*10+VALUE(MID(E121,2,1))&lt;=242,"Pre",IF(VALUE(MID(D121,3,2))*10+VALUE(MID(E121,2,1))&lt;=254,"Post","Later"))</f>
        <v>Pre</v>
      </c>
      <c r="H121" s="5" t="s">
        <v>516</v>
      </c>
      <c r="I121" s="5" t="s">
        <v>517</v>
      </c>
    </row>
    <row r="122" customFormat="false" ht="15" hidden="false" customHeight="false" outlineLevel="0" collapsed="false">
      <c r="A122" s="5" t="s">
        <v>137</v>
      </c>
      <c r="B122" s="5" t="s">
        <v>92</v>
      </c>
      <c r="C122" s="5" t="s">
        <v>120</v>
      </c>
      <c r="D122" s="5" t="s">
        <v>174</v>
      </c>
      <c r="E122" s="5" t="s">
        <v>171</v>
      </c>
      <c r="F122" s="16" t="n">
        <v>45</v>
      </c>
      <c r="G122" s="12" t="str">
        <f aca="false">IF(VALUE(MID(D122,3,2))*10+VALUE(MID(E122,2,1))&lt;=242,"Pre",IF(VALUE(MID(D122,3,2))*10+VALUE(MID(E122,2,1))&lt;=254,"Post","Later"))</f>
        <v>Pre</v>
      </c>
      <c r="H122" s="5" t="s">
        <v>518</v>
      </c>
      <c r="I122" s="5" t="s">
        <v>517</v>
      </c>
    </row>
    <row r="123" customFormat="false" ht="15" hidden="false" customHeight="false" outlineLevel="0" collapsed="false">
      <c r="A123" s="5" t="s">
        <v>137</v>
      </c>
      <c r="B123" s="5" t="s">
        <v>92</v>
      </c>
      <c r="C123" s="5" t="s">
        <v>120</v>
      </c>
      <c r="D123" s="5" t="s">
        <v>174</v>
      </c>
      <c r="E123" s="5" t="s">
        <v>172</v>
      </c>
      <c r="F123" s="16" t="n">
        <v>45</v>
      </c>
      <c r="G123" s="12" t="str">
        <f aca="false">IF(VALUE(MID(D123,3,2))*10+VALUE(MID(E123,2,1))&lt;=242,"Pre",IF(VALUE(MID(D123,3,2))*10+VALUE(MID(E123,2,1))&lt;=254,"Post","Later"))</f>
        <v>Pre</v>
      </c>
      <c r="H123" s="5" t="s">
        <v>518</v>
      </c>
      <c r="I123" s="5" t="s">
        <v>517</v>
      </c>
    </row>
    <row r="124" customFormat="false" ht="15" hidden="false" customHeight="false" outlineLevel="0" collapsed="false">
      <c r="A124" s="5" t="s">
        <v>137</v>
      </c>
      <c r="B124" s="5" t="s">
        <v>92</v>
      </c>
      <c r="C124" s="5" t="s">
        <v>120</v>
      </c>
      <c r="D124" s="5" t="s">
        <v>174</v>
      </c>
      <c r="E124" s="5" t="s">
        <v>173</v>
      </c>
      <c r="F124" s="16" t="n">
        <v>45</v>
      </c>
      <c r="G124" s="12" t="str">
        <f aca="false">IF(VALUE(MID(D124,3,2))*10+VALUE(MID(E124,2,1))&lt;=242,"Pre",IF(VALUE(MID(D124,3,2))*10+VALUE(MID(E124,2,1))&lt;=254,"Post","Later"))</f>
        <v>Pre</v>
      </c>
      <c r="H124" s="5" t="s">
        <v>518</v>
      </c>
      <c r="I124" s="5" t="s">
        <v>517</v>
      </c>
    </row>
    <row r="125" customFormat="false" ht="15" hidden="false" customHeight="false" outlineLevel="0" collapsed="false">
      <c r="A125" s="5" t="s">
        <v>137</v>
      </c>
      <c r="B125" s="5" t="s">
        <v>92</v>
      </c>
      <c r="C125" s="5" t="s">
        <v>120</v>
      </c>
      <c r="D125" s="5" t="s">
        <v>176</v>
      </c>
      <c r="E125" s="5" t="s">
        <v>168</v>
      </c>
      <c r="F125" s="16" t="n">
        <v>47</v>
      </c>
      <c r="G125" s="12" t="str">
        <f aca="false">IF(VALUE(MID(D125,3,2))*10+VALUE(MID(E125,2,1))&lt;=242,"Pre",IF(VALUE(MID(D125,3,2))*10+VALUE(MID(E125,2,1))&lt;=254,"Post","Later"))</f>
        <v>Pre</v>
      </c>
      <c r="H125" s="5" t="s">
        <v>518</v>
      </c>
      <c r="I125" s="5" t="s">
        <v>517</v>
      </c>
    </row>
    <row r="126" customFormat="false" ht="15" hidden="false" customHeight="false" outlineLevel="0" collapsed="false">
      <c r="A126" s="5" t="s">
        <v>137</v>
      </c>
      <c r="B126" s="5" t="s">
        <v>92</v>
      </c>
      <c r="C126" s="5" t="s">
        <v>120</v>
      </c>
      <c r="D126" s="5" t="s">
        <v>176</v>
      </c>
      <c r="E126" s="5" t="s">
        <v>171</v>
      </c>
      <c r="F126" s="16" t="n">
        <v>52</v>
      </c>
      <c r="G126" s="12" t="str">
        <f aca="false">IF(VALUE(MID(D126,3,2))*10+VALUE(MID(E126,2,1))&lt;=242,"Pre",IF(VALUE(MID(D126,3,2))*10+VALUE(MID(E126,2,1))&lt;=254,"Post","Later"))</f>
        <v>Pre</v>
      </c>
      <c r="H126" s="5" t="s">
        <v>518</v>
      </c>
      <c r="I126" s="5" t="s">
        <v>517</v>
      </c>
    </row>
    <row r="127" customFormat="false" ht="15" hidden="false" customHeight="false" outlineLevel="0" collapsed="false">
      <c r="A127" s="5" t="s">
        <v>137</v>
      </c>
      <c r="B127" s="5" t="s">
        <v>92</v>
      </c>
      <c r="C127" s="5" t="s">
        <v>120</v>
      </c>
      <c r="D127" s="5" t="s">
        <v>176</v>
      </c>
      <c r="E127" s="5" t="s">
        <v>172</v>
      </c>
      <c r="F127" s="16" t="n">
        <v>56</v>
      </c>
      <c r="G127" s="12" t="str">
        <f aca="false">IF(VALUE(MID(D127,3,2))*10+VALUE(MID(E127,2,1))&lt;=242,"Pre",IF(VALUE(MID(D127,3,2))*10+VALUE(MID(E127,2,1))&lt;=254,"Post","Later"))</f>
        <v>Pre</v>
      </c>
      <c r="H127" s="5" t="s">
        <v>518</v>
      </c>
      <c r="I127" s="5" t="s">
        <v>517</v>
      </c>
    </row>
    <row r="128" customFormat="false" ht="15" hidden="false" customHeight="false" outlineLevel="0" collapsed="false">
      <c r="A128" s="5" t="s">
        <v>137</v>
      </c>
      <c r="B128" s="5" t="s">
        <v>92</v>
      </c>
      <c r="C128" s="5" t="s">
        <v>120</v>
      </c>
      <c r="D128" s="5" t="s">
        <v>176</v>
      </c>
      <c r="E128" s="5" t="s">
        <v>173</v>
      </c>
      <c r="F128" s="16" t="n">
        <v>58</v>
      </c>
      <c r="G128" s="12" t="str">
        <f aca="false">IF(VALUE(MID(D128,3,2))*10+VALUE(MID(E128,2,1))&lt;=242,"Pre",IF(VALUE(MID(D128,3,2))*10+VALUE(MID(E128,2,1))&lt;=254,"Post","Later"))</f>
        <v>Pre</v>
      </c>
      <c r="H128" s="5" t="s">
        <v>518</v>
      </c>
      <c r="I128" s="5" t="s">
        <v>517</v>
      </c>
    </row>
    <row r="129" customFormat="false" ht="15" hidden="false" customHeight="false" outlineLevel="0" collapsed="false">
      <c r="A129" s="5" t="s">
        <v>137</v>
      </c>
      <c r="B129" s="5" t="s">
        <v>92</v>
      </c>
      <c r="C129" s="5" t="s">
        <v>120</v>
      </c>
      <c r="D129" s="5" t="s">
        <v>177</v>
      </c>
      <c r="E129" s="5" t="s">
        <v>168</v>
      </c>
      <c r="F129" s="16" t="n">
        <v>54</v>
      </c>
      <c r="G129" s="12" t="str">
        <f aca="false">IF(VALUE(MID(D129,3,2))*10+VALUE(MID(E129,2,1))&lt;=242,"Pre",IF(VALUE(MID(D129,3,2))*10+VALUE(MID(E129,2,1))&lt;=254,"Post","Later"))</f>
        <v>Pre</v>
      </c>
      <c r="H129" s="5" t="s">
        <v>518</v>
      </c>
      <c r="I129" s="5" t="s">
        <v>517</v>
      </c>
    </row>
    <row r="130" customFormat="false" ht="15" hidden="false" customHeight="false" outlineLevel="0" collapsed="false">
      <c r="A130" s="5" t="s">
        <v>137</v>
      </c>
      <c r="B130" s="5" t="s">
        <v>92</v>
      </c>
      <c r="C130" s="5" t="s">
        <v>120</v>
      </c>
      <c r="D130" s="5" t="s">
        <v>177</v>
      </c>
      <c r="E130" s="5" t="s">
        <v>171</v>
      </c>
      <c r="F130" s="16" t="n">
        <v>54</v>
      </c>
      <c r="G130" s="12" t="str">
        <f aca="false">IF(VALUE(MID(D130,3,2))*10+VALUE(MID(E130,2,1))&lt;=242,"Pre",IF(VALUE(MID(D130,3,2))*10+VALUE(MID(E130,2,1))&lt;=254,"Post","Later"))</f>
        <v>Pre</v>
      </c>
      <c r="H130" s="5" t="s">
        <v>518</v>
      </c>
      <c r="I130" s="5" t="s">
        <v>517</v>
      </c>
    </row>
    <row r="131" customFormat="false" ht="15" hidden="false" customHeight="false" outlineLevel="0" collapsed="false">
      <c r="A131" s="5" t="s">
        <v>137</v>
      </c>
      <c r="B131" s="5" t="s">
        <v>92</v>
      </c>
      <c r="C131" s="5" t="s">
        <v>120</v>
      </c>
      <c r="D131" s="5" t="s">
        <v>177</v>
      </c>
      <c r="E131" s="5" t="s">
        <v>172</v>
      </c>
      <c r="F131" s="16" t="n">
        <v>56</v>
      </c>
      <c r="G131" s="12" t="str">
        <f aca="false">IF(VALUE(MID(D131,3,2))*10+VALUE(MID(E131,2,1))&lt;=242,"Pre",IF(VALUE(MID(D131,3,2))*10+VALUE(MID(E131,2,1))&lt;=254,"Post","Later"))</f>
        <v>Post</v>
      </c>
      <c r="H131" s="5" t="s">
        <v>519</v>
      </c>
      <c r="I131" s="5" t="s">
        <v>517</v>
      </c>
    </row>
    <row r="132" customFormat="false" ht="15" hidden="false" customHeight="false" outlineLevel="0" collapsed="false">
      <c r="A132" s="5" t="s">
        <v>137</v>
      </c>
      <c r="B132" s="5" t="s">
        <v>92</v>
      </c>
      <c r="C132" s="5" t="s">
        <v>120</v>
      </c>
      <c r="D132" s="5" t="s">
        <v>177</v>
      </c>
      <c r="E132" s="5" t="s">
        <v>173</v>
      </c>
      <c r="F132" s="16" t="n">
        <v>60</v>
      </c>
      <c r="G132" s="12" t="str">
        <f aca="false">IF(VALUE(MID(D132,3,2))*10+VALUE(MID(E132,2,1))&lt;=242,"Pre",IF(VALUE(MID(D132,3,2))*10+VALUE(MID(E132,2,1))&lt;=254,"Post","Later"))</f>
        <v>Post</v>
      </c>
      <c r="H132" s="5" t="s">
        <v>519</v>
      </c>
      <c r="I132" s="5" t="s">
        <v>517</v>
      </c>
    </row>
    <row r="133" customFormat="false" ht="15" hidden="false" customHeight="false" outlineLevel="0" collapsed="false">
      <c r="A133" s="5" t="s">
        <v>137</v>
      </c>
      <c r="B133" s="5" t="s">
        <v>92</v>
      </c>
      <c r="C133" s="5" t="s">
        <v>120</v>
      </c>
      <c r="D133" s="5" t="s">
        <v>179</v>
      </c>
      <c r="E133" s="5" t="s">
        <v>168</v>
      </c>
      <c r="F133" s="16" t="n">
        <v>59</v>
      </c>
      <c r="G133" s="12" t="str">
        <f aca="false">IF(VALUE(MID(D133,3,2))*10+VALUE(MID(E133,2,1))&lt;=242,"Pre",IF(VALUE(MID(D133,3,2))*10+VALUE(MID(E133,2,1))&lt;=254,"Post","Later"))</f>
        <v>Post</v>
      </c>
      <c r="H133" s="5" t="s">
        <v>519</v>
      </c>
      <c r="I133" s="5" t="s">
        <v>517</v>
      </c>
    </row>
    <row r="134" customFormat="false" ht="15" hidden="false" customHeight="false" outlineLevel="0" collapsed="false">
      <c r="A134" s="5" t="s">
        <v>137</v>
      </c>
      <c r="B134" s="5" t="s">
        <v>92</v>
      </c>
      <c r="C134" s="5" t="s">
        <v>120</v>
      </c>
      <c r="D134" s="5" t="s">
        <v>179</v>
      </c>
      <c r="E134" s="5" t="s">
        <v>171</v>
      </c>
      <c r="F134" s="16" t="n">
        <v>60</v>
      </c>
      <c r="G134" s="12" t="str">
        <f aca="false">IF(VALUE(MID(D134,3,2))*10+VALUE(MID(E134,2,1))&lt;=242,"Pre",IF(VALUE(MID(D134,3,2))*10+VALUE(MID(E134,2,1))&lt;=254,"Post","Later"))</f>
        <v>Post</v>
      </c>
      <c r="H134" s="5" t="s">
        <v>519</v>
      </c>
      <c r="I134" s="5" t="s">
        <v>517</v>
      </c>
    </row>
    <row r="135" customFormat="false" ht="15" hidden="false" customHeight="false" outlineLevel="0" collapsed="false">
      <c r="A135" s="5" t="s">
        <v>137</v>
      </c>
      <c r="B135" s="5" t="s">
        <v>92</v>
      </c>
      <c r="C135" s="5" t="s">
        <v>120</v>
      </c>
      <c r="D135" s="5" t="s">
        <v>179</v>
      </c>
      <c r="E135" s="5" t="s">
        <v>172</v>
      </c>
      <c r="F135" s="16" t="n">
        <v>59</v>
      </c>
      <c r="G135" s="12" t="str">
        <f aca="false">IF(VALUE(MID(D135,3,2))*10+VALUE(MID(E135,2,1))&lt;=242,"Pre",IF(VALUE(MID(D135,3,2))*10+VALUE(MID(E135,2,1))&lt;=254,"Post","Later"))</f>
        <v>Post</v>
      </c>
      <c r="H135" s="5" t="s">
        <v>520</v>
      </c>
      <c r="I135" s="5" t="s">
        <v>517</v>
      </c>
    </row>
    <row r="136" customFormat="false" ht="15" hidden="false" customHeight="false" outlineLevel="0" collapsed="false">
      <c r="A136" s="5" t="s">
        <v>137</v>
      </c>
      <c r="B136" s="5" t="s">
        <v>92</v>
      </c>
      <c r="C136" s="5" t="s">
        <v>120</v>
      </c>
      <c r="D136" s="5" t="s">
        <v>179</v>
      </c>
      <c r="E136" s="5" t="s">
        <v>173</v>
      </c>
      <c r="F136" s="16" t="n">
        <v>60</v>
      </c>
      <c r="G136" s="12" t="str">
        <f aca="false">IF(VALUE(MID(D136,3,2))*10+VALUE(MID(E136,2,1))&lt;=242,"Pre",IF(VALUE(MID(D136,3,2))*10+VALUE(MID(E136,2,1))&lt;=254,"Post","Later"))</f>
        <v>Post</v>
      </c>
      <c r="H136" s="5" t="s">
        <v>520</v>
      </c>
      <c r="I136" s="5" t="s">
        <v>517</v>
      </c>
    </row>
    <row r="137" customFormat="false" ht="15" hidden="false" customHeight="false" outlineLevel="0" collapsed="false">
      <c r="A137" s="5" t="s">
        <v>137</v>
      </c>
      <c r="B137" s="5" t="s">
        <v>92</v>
      </c>
      <c r="C137" s="5" t="s">
        <v>120</v>
      </c>
      <c r="D137" s="5" t="s">
        <v>180</v>
      </c>
      <c r="E137" s="5" t="s">
        <v>168</v>
      </c>
      <c r="F137" s="16" t="n">
        <v>60</v>
      </c>
      <c r="G137" s="12" t="str">
        <f aca="false">IF(VALUE(MID(D137,3,2))*10+VALUE(MID(E137,2,1))&lt;=242,"Pre",IF(VALUE(MID(D137,3,2))*10+VALUE(MID(E137,2,1))&lt;=254,"Post","Later"))</f>
        <v>Later</v>
      </c>
      <c r="H137" s="5" t="s">
        <v>520</v>
      </c>
      <c r="I137" s="5" t="s">
        <v>517</v>
      </c>
    </row>
    <row r="138" customFormat="false" ht="15" hidden="false" customHeight="false" outlineLevel="0" collapsed="false">
      <c r="A138" s="5" t="s">
        <v>137</v>
      </c>
      <c r="B138" s="5" t="s">
        <v>92</v>
      </c>
      <c r="C138" s="5" t="s">
        <v>120</v>
      </c>
      <c r="D138" s="5" t="s">
        <v>180</v>
      </c>
      <c r="E138" s="5" t="s">
        <v>171</v>
      </c>
      <c r="F138" s="16" t="n">
        <v>60</v>
      </c>
      <c r="G138" s="12" t="str">
        <f aca="false">IF(VALUE(MID(D138,3,2))*10+VALUE(MID(E138,2,1))&lt;=242,"Pre",IF(VALUE(MID(D138,3,2))*10+VALUE(MID(E138,2,1))&lt;=254,"Post","Later"))</f>
        <v>Later</v>
      </c>
      <c r="H138" s="5" t="s">
        <v>520</v>
      </c>
      <c r="I138" s="5" t="s">
        <v>517</v>
      </c>
    </row>
    <row r="139" customFormat="false" ht="15" hidden="false" customHeight="false" outlineLevel="0" collapsed="false">
      <c r="A139" s="5" t="s">
        <v>137</v>
      </c>
      <c r="B139" s="5" t="s">
        <v>92</v>
      </c>
      <c r="C139" s="5" t="s">
        <v>120</v>
      </c>
      <c r="D139" s="5" t="s">
        <v>180</v>
      </c>
      <c r="E139" s="5" t="s">
        <v>172</v>
      </c>
      <c r="F139" s="16" t="n">
        <v>58</v>
      </c>
      <c r="G139" s="12" t="str">
        <f aca="false">IF(VALUE(MID(D139,3,2))*10+VALUE(MID(E139,2,1))&lt;=242,"Pre",IF(VALUE(MID(D139,3,2))*10+VALUE(MID(E139,2,1))&lt;=254,"Post","Later"))</f>
        <v>Later</v>
      </c>
      <c r="H139" s="5" t="s">
        <v>520</v>
      </c>
      <c r="I139" s="5" t="s">
        <v>517</v>
      </c>
    </row>
    <row r="140" customFormat="false" ht="15" hidden="false" customHeight="false" outlineLevel="0" collapsed="false">
      <c r="A140" s="5" t="s">
        <v>137</v>
      </c>
      <c r="B140" s="5" t="s">
        <v>92</v>
      </c>
      <c r="C140" s="5" t="s">
        <v>120</v>
      </c>
      <c r="D140" s="5" t="s">
        <v>180</v>
      </c>
      <c r="E140" s="5" t="s">
        <v>173</v>
      </c>
      <c r="F140" s="16" t="n">
        <v>58</v>
      </c>
      <c r="G140" s="12" t="str">
        <f aca="false">IF(VALUE(MID(D140,3,2))*10+VALUE(MID(E140,2,1))&lt;=242,"Pre",IF(VALUE(MID(D140,3,2))*10+VALUE(MID(E140,2,1))&lt;=254,"Post","Later"))</f>
        <v>Later</v>
      </c>
      <c r="H140" s="5" t="s">
        <v>520</v>
      </c>
      <c r="I140" s="5" t="s">
        <v>517</v>
      </c>
    </row>
    <row r="141" customFormat="false" ht="15" hidden="false" customHeight="false" outlineLevel="0" collapsed="false">
      <c r="A141" s="5" t="s">
        <v>139</v>
      </c>
      <c r="B141" s="5" t="s">
        <v>100</v>
      </c>
      <c r="C141" s="5" t="s">
        <v>125</v>
      </c>
      <c r="D141" s="5" t="s">
        <v>167</v>
      </c>
      <c r="E141" s="5" t="s">
        <v>173</v>
      </c>
      <c r="F141" s="16" t="n">
        <v>28</v>
      </c>
      <c r="G141" s="12" t="str">
        <f aca="false">IF(VALUE(MID(D141,3,2))*10+VALUE(MID(E141,2,1))&lt;=242,"Pre",IF(VALUE(MID(D141,3,2))*10+VALUE(MID(E141,2,1))&lt;=254,"Post","Later"))</f>
        <v>Pre</v>
      </c>
      <c r="H141" s="5" t="s">
        <v>521</v>
      </c>
      <c r="I141" s="5" t="s">
        <v>522</v>
      </c>
    </row>
    <row r="142" customFormat="false" ht="15" hidden="false" customHeight="false" outlineLevel="0" collapsed="false">
      <c r="A142" s="5" t="s">
        <v>139</v>
      </c>
      <c r="B142" s="5" t="s">
        <v>100</v>
      </c>
      <c r="C142" s="5" t="s">
        <v>125</v>
      </c>
      <c r="D142" s="5" t="s">
        <v>174</v>
      </c>
      <c r="E142" s="5" t="s">
        <v>173</v>
      </c>
      <c r="F142" s="16" t="n">
        <v>35</v>
      </c>
      <c r="G142" s="12" t="str">
        <f aca="false">IF(VALUE(MID(D142,3,2))*10+VALUE(MID(E142,2,1))&lt;=242,"Pre",IF(VALUE(MID(D142,3,2))*10+VALUE(MID(E142,2,1))&lt;=254,"Post","Later"))</f>
        <v>Pre</v>
      </c>
      <c r="H142" s="5" t="s">
        <v>521</v>
      </c>
      <c r="I142" s="5" t="s">
        <v>522</v>
      </c>
    </row>
    <row r="143" customFormat="false" ht="15" hidden="false" customHeight="false" outlineLevel="0" collapsed="false">
      <c r="A143" s="5" t="s">
        <v>139</v>
      </c>
      <c r="B143" s="5" t="s">
        <v>100</v>
      </c>
      <c r="C143" s="5" t="s">
        <v>125</v>
      </c>
      <c r="D143" s="5" t="s">
        <v>176</v>
      </c>
      <c r="E143" s="5" t="s">
        <v>173</v>
      </c>
      <c r="F143" s="16" t="n">
        <v>45</v>
      </c>
      <c r="G143" s="12" t="str">
        <f aca="false">IF(VALUE(MID(D143,3,2))*10+VALUE(MID(E143,2,1))&lt;=242,"Pre",IF(VALUE(MID(D143,3,2))*10+VALUE(MID(E143,2,1))&lt;=254,"Post","Later"))</f>
        <v>Pre</v>
      </c>
      <c r="H143" s="5" t="s">
        <v>521</v>
      </c>
      <c r="I143" s="5" t="s">
        <v>522</v>
      </c>
    </row>
    <row r="144" customFormat="false" ht="15" hidden="false" customHeight="false" outlineLevel="0" collapsed="false">
      <c r="A144" s="5" t="s">
        <v>139</v>
      </c>
      <c r="B144" s="5" t="s">
        <v>100</v>
      </c>
      <c r="C144" s="5" t="s">
        <v>125</v>
      </c>
      <c r="D144" s="5" t="s">
        <v>177</v>
      </c>
      <c r="E144" s="5" t="s">
        <v>173</v>
      </c>
      <c r="F144" s="16" t="n">
        <v>51</v>
      </c>
      <c r="G144" s="12" t="str">
        <f aca="false">IF(VALUE(MID(D144,3,2))*10+VALUE(MID(E144,2,1))&lt;=242,"Pre",IF(VALUE(MID(D144,3,2))*10+VALUE(MID(E144,2,1))&lt;=254,"Post","Later"))</f>
        <v>Post</v>
      </c>
      <c r="H144" s="5" t="s">
        <v>521</v>
      </c>
      <c r="I144" s="5" t="s">
        <v>522</v>
      </c>
    </row>
    <row r="145" customFormat="false" ht="15" hidden="false" customHeight="false" outlineLevel="0" collapsed="false">
      <c r="A145" s="5" t="s">
        <v>139</v>
      </c>
      <c r="B145" s="5" t="s">
        <v>100</v>
      </c>
      <c r="C145" s="5" t="s">
        <v>125</v>
      </c>
      <c r="D145" s="5" t="s">
        <v>179</v>
      </c>
      <c r="E145" s="5" t="s">
        <v>173</v>
      </c>
      <c r="F145" s="16" t="n">
        <v>35</v>
      </c>
      <c r="G145" s="12" t="str">
        <f aca="false">IF(VALUE(MID(D145,3,2))*10+VALUE(MID(E145,2,1))&lt;=242,"Pre",IF(VALUE(MID(D145,3,2))*10+VALUE(MID(E145,2,1))&lt;=254,"Post","Later"))</f>
        <v>Post</v>
      </c>
      <c r="H145" s="5" t="s">
        <v>521</v>
      </c>
      <c r="I145" s="5" t="s">
        <v>522</v>
      </c>
    </row>
    <row r="146" customFormat="false" ht="15" hidden="false" customHeight="false" outlineLevel="0" collapsed="false">
      <c r="A146" s="5" t="s">
        <v>139</v>
      </c>
      <c r="B146" s="5" t="s">
        <v>100</v>
      </c>
      <c r="C146" s="5" t="s">
        <v>125</v>
      </c>
      <c r="D146" s="5" t="s">
        <v>180</v>
      </c>
      <c r="E146" s="5" t="s">
        <v>172</v>
      </c>
      <c r="F146" s="16" t="n">
        <v>41</v>
      </c>
      <c r="G146" s="12" t="str">
        <f aca="false">IF(VALUE(MID(D146,3,2))*10+VALUE(MID(E146,2,1))&lt;=242,"Pre",IF(VALUE(MID(D146,3,2))*10+VALUE(MID(E146,2,1))&lt;=254,"Post","Later"))</f>
        <v>Later</v>
      </c>
      <c r="H146" s="5" t="s">
        <v>521</v>
      </c>
      <c r="I146" s="5" t="s">
        <v>522</v>
      </c>
    </row>
    <row r="147" customFormat="false" ht="15" hidden="false" customHeight="false" outlineLevel="0" collapsed="false">
      <c r="A147" s="5" t="s">
        <v>139</v>
      </c>
      <c r="B147" s="5" t="s">
        <v>100</v>
      </c>
      <c r="C147" s="5" t="s">
        <v>125</v>
      </c>
      <c r="D147" s="5" t="s">
        <v>180</v>
      </c>
      <c r="E147" s="5" t="s">
        <v>173</v>
      </c>
      <c r="F147" s="16" t="n">
        <v>43</v>
      </c>
      <c r="G147" s="12" t="str">
        <f aca="false">IF(VALUE(MID(D147,3,2))*10+VALUE(MID(E147,2,1))&lt;=242,"Pre",IF(VALUE(MID(D147,3,2))*10+VALUE(MID(E147,2,1))&lt;=254,"Post","Later"))</f>
        <v>Later</v>
      </c>
      <c r="H147" s="5" t="s">
        <v>521</v>
      </c>
      <c r="I147" s="5" t="s">
        <v>522</v>
      </c>
    </row>
    <row r="148" customFormat="false" ht="15" hidden="false" customHeight="false" outlineLevel="0" collapsed="false">
      <c r="A148" s="5" t="s">
        <v>141</v>
      </c>
      <c r="B148" s="5" t="s">
        <v>93</v>
      </c>
      <c r="C148" s="5" t="s">
        <v>120</v>
      </c>
      <c r="D148" s="5" t="s">
        <v>167</v>
      </c>
      <c r="E148" s="5" t="s">
        <v>168</v>
      </c>
      <c r="F148" s="16" t="n">
        <v>20</v>
      </c>
      <c r="G148" s="12" t="str">
        <f aca="false">IF(VALUE(MID(D148,3,2))*10+VALUE(MID(E148,2,1))&lt;=242,"Pre",IF(VALUE(MID(D148,3,2))*10+VALUE(MID(E148,2,1))&lt;=254,"Post","Later"))</f>
        <v>Pre</v>
      </c>
      <c r="H148" s="5" t="s">
        <v>523</v>
      </c>
      <c r="I148" s="5" t="s">
        <v>524</v>
      </c>
    </row>
    <row r="149" customFormat="false" ht="15" hidden="false" customHeight="false" outlineLevel="0" collapsed="false">
      <c r="A149" s="5" t="s">
        <v>141</v>
      </c>
      <c r="B149" s="5" t="s">
        <v>93</v>
      </c>
      <c r="C149" s="5" t="s">
        <v>120</v>
      </c>
      <c r="D149" s="5" t="s">
        <v>167</v>
      </c>
      <c r="E149" s="5" t="s">
        <v>171</v>
      </c>
      <c r="F149" s="16" t="n">
        <v>22.8</v>
      </c>
      <c r="G149" s="12" t="str">
        <f aca="false">IF(VALUE(MID(D149,3,2))*10+VALUE(MID(E149,2,1))&lt;=242,"Pre",IF(VALUE(MID(D149,3,2))*10+VALUE(MID(E149,2,1))&lt;=254,"Post","Later"))</f>
        <v>Pre</v>
      </c>
      <c r="H149" s="5" t="s">
        <v>525</v>
      </c>
      <c r="I149" s="5" t="s">
        <v>524</v>
      </c>
    </row>
    <row r="150" customFormat="false" ht="15" hidden="false" customHeight="false" outlineLevel="0" collapsed="false">
      <c r="A150" s="5" t="s">
        <v>141</v>
      </c>
      <c r="B150" s="5" t="s">
        <v>93</v>
      </c>
      <c r="C150" s="5" t="s">
        <v>120</v>
      </c>
      <c r="D150" s="5" t="s">
        <v>167</v>
      </c>
      <c r="E150" s="5" t="s">
        <v>172</v>
      </c>
      <c r="F150" s="16" t="n">
        <v>24.53</v>
      </c>
      <c r="G150" s="12" t="str">
        <f aca="false">IF(VALUE(MID(D150,3,2))*10+VALUE(MID(E150,2,1))&lt;=242,"Pre",IF(VALUE(MID(D150,3,2))*10+VALUE(MID(E150,2,1))&lt;=254,"Post","Later"))</f>
        <v>Pre</v>
      </c>
      <c r="H150" s="5" t="s">
        <v>526</v>
      </c>
      <c r="I150" s="5" t="s">
        <v>524</v>
      </c>
    </row>
    <row r="151" customFormat="false" ht="15" hidden="false" customHeight="false" outlineLevel="0" collapsed="false">
      <c r="A151" s="5" t="s">
        <v>141</v>
      </c>
      <c r="B151" s="5" t="s">
        <v>93</v>
      </c>
      <c r="C151" s="5" t="s">
        <v>120</v>
      </c>
      <c r="D151" s="5" t="s">
        <v>167</v>
      </c>
      <c r="E151" s="5" t="s">
        <v>173</v>
      </c>
      <c r="F151" s="16" t="n">
        <v>25</v>
      </c>
      <c r="G151" s="12" t="str">
        <f aca="false">IF(VALUE(MID(D151,3,2))*10+VALUE(MID(E151,2,1))&lt;=242,"Pre",IF(VALUE(MID(D151,3,2))*10+VALUE(MID(E151,2,1))&lt;=254,"Post","Later"))</f>
        <v>Pre</v>
      </c>
      <c r="H151" s="5" t="s">
        <v>527</v>
      </c>
      <c r="I151" s="5" t="s">
        <v>524</v>
      </c>
    </row>
    <row r="152" customFormat="false" ht="15" hidden="false" customHeight="false" outlineLevel="0" collapsed="false">
      <c r="A152" s="5" t="s">
        <v>141</v>
      </c>
      <c r="B152" s="5" t="s">
        <v>93</v>
      </c>
      <c r="C152" s="5" t="s">
        <v>120</v>
      </c>
      <c r="D152" s="5" t="s">
        <v>174</v>
      </c>
      <c r="E152" s="5" t="s">
        <v>168</v>
      </c>
      <c r="F152" s="16" t="n">
        <v>26</v>
      </c>
      <c r="G152" s="12" t="str">
        <f aca="false">IF(VALUE(MID(D152,3,2))*10+VALUE(MID(E152,2,1))&lt;=242,"Pre",IF(VALUE(MID(D152,3,2))*10+VALUE(MID(E152,2,1))&lt;=254,"Post","Later"))</f>
        <v>Pre</v>
      </c>
      <c r="H152" s="5" t="s">
        <v>528</v>
      </c>
      <c r="I152" s="5" t="s">
        <v>524</v>
      </c>
    </row>
    <row r="153" customFormat="false" ht="15" hidden="false" customHeight="false" outlineLevel="0" collapsed="false">
      <c r="A153" s="5" t="s">
        <v>141</v>
      </c>
      <c r="B153" s="5" t="s">
        <v>93</v>
      </c>
      <c r="C153" s="5" t="s">
        <v>120</v>
      </c>
      <c r="D153" s="5" t="s">
        <v>174</v>
      </c>
      <c r="E153" s="5" t="s">
        <v>171</v>
      </c>
      <c r="F153" s="16" t="n">
        <v>27</v>
      </c>
      <c r="G153" s="12" t="str">
        <f aca="false">IF(VALUE(MID(D153,3,2))*10+VALUE(MID(E153,2,1))&lt;=242,"Pre",IF(VALUE(MID(D153,3,2))*10+VALUE(MID(E153,2,1))&lt;=254,"Post","Later"))</f>
        <v>Pre</v>
      </c>
      <c r="H153" s="5" t="s">
        <v>529</v>
      </c>
      <c r="I153" s="5" t="s">
        <v>524</v>
      </c>
    </row>
    <row r="154" customFormat="false" ht="15" hidden="false" customHeight="false" outlineLevel="0" collapsed="false">
      <c r="A154" s="5" t="s">
        <v>141</v>
      </c>
      <c r="B154" s="5" t="s">
        <v>93</v>
      </c>
      <c r="C154" s="5" t="s">
        <v>120</v>
      </c>
      <c r="D154" s="5" t="s">
        <v>174</v>
      </c>
      <c r="E154" s="5" t="s">
        <v>172</v>
      </c>
      <c r="F154" s="16" t="n">
        <v>27.42</v>
      </c>
      <c r="G154" s="12" t="str">
        <f aca="false">IF(VALUE(MID(D154,3,2))*10+VALUE(MID(E154,2,1))&lt;=242,"Pre",IF(VALUE(MID(D154,3,2))*10+VALUE(MID(E154,2,1))&lt;=254,"Post","Later"))</f>
        <v>Pre</v>
      </c>
      <c r="H154" s="5" t="s">
        <v>530</v>
      </c>
      <c r="I154" s="5" t="s">
        <v>524</v>
      </c>
    </row>
    <row r="155" customFormat="false" ht="15" hidden="false" customHeight="false" outlineLevel="0" collapsed="false">
      <c r="A155" s="5" t="s">
        <v>141</v>
      </c>
      <c r="B155" s="5" t="s">
        <v>93</v>
      </c>
      <c r="C155" s="5" t="s">
        <v>120</v>
      </c>
      <c r="D155" s="5" t="s">
        <v>174</v>
      </c>
      <c r="E155" s="5" t="s">
        <v>173</v>
      </c>
      <c r="F155" s="16" t="n">
        <v>30</v>
      </c>
      <c r="G155" s="12" t="str">
        <f aca="false">IF(VALUE(MID(D155,3,2))*10+VALUE(MID(E155,2,1))&lt;=242,"Pre",IF(VALUE(MID(D155,3,2))*10+VALUE(MID(E155,2,1))&lt;=254,"Post","Later"))</f>
        <v>Pre</v>
      </c>
      <c r="H155" s="5" t="s">
        <v>531</v>
      </c>
      <c r="I155" s="5" t="s">
        <v>524</v>
      </c>
    </row>
    <row r="156" customFormat="false" ht="15" hidden="false" customHeight="false" outlineLevel="0" collapsed="false">
      <c r="A156" s="5" t="s">
        <v>141</v>
      </c>
      <c r="B156" s="5" t="s">
        <v>93</v>
      </c>
      <c r="C156" s="5" t="s">
        <v>120</v>
      </c>
      <c r="D156" s="5" t="s">
        <v>176</v>
      </c>
      <c r="E156" s="5" t="s">
        <v>168</v>
      </c>
      <c r="F156" s="16" t="n">
        <v>33</v>
      </c>
      <c r="G156" s="12" t="str">
        <f aca="false">IF(VALUE(MID(D156,3,2))*10+VALUE(MID(E156,2,1))&lt;=242,"Pre",IF(VALUE(MID(D156,3,2))*10+VALUE(MID(E156,2,1))&lt;=254,"Post","Later"))</f>
        <v>Pre</v>
      </c>
      <c r="H156" s="5" t="s">
        <v>532</v>
      </c>
      <c r="I156" s="5" t="s">
        <v>524</v>
      </c>
    </row>
    <row r="157" customFormat="false" ht="15" hidden="false" customHeight="false" outlineLevel="0" collapsed="false">
      <c r="A157" s="5" t="s">
        <v>141</v>
      </c>
      <c r="B157" s="5" t="s">
        <v>93</v>
      </c>
      <c r="C157" s="5" t="s">
        <v>120</v>
      </c>
      <c r="D157" s="5" t="s">
        <v>176</v>
      </c>
      <c r="E157" s="5" t="s">
        <v>171</v>
      </c>
      <c r="F157" s="16" t="n">
        <v>34</v>
      </c>
      <c r="G157" s="12" t="str">
        <f aca="false">IF(VALUE(MID(D157,3,2))*10+VALUE(MID(E157,2,1))&lt;=242,"Pre",IF(VALUE(MID(D157,3,2))*10+VALUE(MID(E157,2,1))&lt;=254,"Post","Later"))</f>
        <v>Pre</v>
      </c>
      <c r="H157" s="5" t="s">
        <v>533</v>
      </c>
      <c r="I157" s="5" t="s">
        <v>524</v>
      </c>
    </row>
    <row r="158" customFormat="false" ht="15" hidden="false" customHeight="false" outlineLevel="0" collapsed="false">
      <c r="A158" s="5" t="s">
        <v>141</v>
      </c>
      <c r="B158" s="5" t="s">
        <v>93</v>
      </c>
      <c r="C158" s="5" t="s">
        <v>120</v>
      </c>
      <c r="D158" s="5" t="s">
        <v>176</v>
      </c>
      <c r="E158" s="5" t="s">
        <v>172</v>
      </c>
      <c r="F158" s="16" t="n">
        <v>33.94</v>
      </c>
      <c r="G158" s="12" t="str">
        <f aca="false">IF(VALUE(MID(D158,3,2))*10+VALUE(MID(E158,2,1))&lt;=242,"Pre",IF(VALUE(MID(D158,3,2))*10+VALUE(MID(E158,2,1))&lt;=254,"Post","Later"))</f>
        <v>Pre</v>
      </c>
      <c r="H158" s="5" t="s">
        <v>534</v>
      </c>
      <c r="I158" s="5" t="s">
        <v>524</v>
      </c>
    </row>
    <row r="159" customFormat="false" ht="15" hidden="false" customHeight="false" outlineLevel="0" collapsed="false">
      <c r="A159" s="5" t="s">
        <v>141</v>
      </c>
      <c r="B159" s="5" t="s">
        <v>93</v>
      </c>
      <c r="C159" s="5" t="s">
        <v>120</v>
      </c>
      <c r="D159" s="5" t="s">
        <v>176</v>
      </c>
      <c r="E159" s="5" t="s">
        <v>173</v>
      </c>
      <c r="F159" s="16" t="n">
        <v>34</v>
      </c>
      <c r="G159" s="12" t="str">
        <f aca="false">IF(VALUE(MID(D159,3,2))*10+VALUE(MID(E159,2,1))&lt;=242,"Pre",IF(VALUE(MID(D159,3,2))*10+VALUE(MID(E159,2,1))&lt;=254,"Post","Later"))</f>
        <v>Pre</v>
      </c>
      <c r="H159" s="5" t="s">
        <v>535</v>
      </c>
      <c r="I159" s="5" t="s">
        <v>524</v>
      </c>
    </row>
    <row r="160" customFormat="false" ht="15" hidden="false" customHeight="false" outlineLevel="0" collapsed="false">
      <c r="A160" s="5" t="s">
        <v>141</v>
      </c>
      <c r="B160" s="5" t="s">
        <v>93</v>
      </c>
      <c r="C160" s="5" t="s">
        <v>120</v>
      </c>
      <c r="D160" s="5" t="s">
        <v>177</v>
      </c>
      <c r="E160" s="5" t="s">
        <v>168</v>
      </c>
      <c r="F160" s="16" t="n">
        <v>31</v>
      </c>
      <c r="G160" s="12" t="str">
        <f aca="false">IF(VALUE(MID(D160,3,2))*10+VALUE(MID(E160,2,1))&lt;=242,"Pre",IF(VALUE(MID(D160,3,2))*10+VALUE(MID(E160,2,1))&lt;=254,"Post","Later"))</f>
        <v>Pre</v>
      </c>
      <c r="H160" s="5" t="s">
        <v>536</v>
      </c>
      <c r="I160" s="5" t="s">
        <v>524</v>
      </c>
    </row>
    <row r="161" customFormat="false" ht="15" hidden="false" customHeight="false" outlineLevel="0" collapsed="false">
      <c r="A161" s="5" t="s">
        <v>141</v>
      </c>
      <c r="B161" s="5" t="s">
        <v>93</v>
      </c>
      <c r="C161" s="5" t="s">
        <v>120</v>
      </c>
      <c r="D161" s="5" t="s">
        <v>177</v>
      </c>
      <c r="E161" s="5" t="s">
        <v>171</v>
      </c>
      <c r="F161" s="16" t="n">
        <v>33</v>
      </c>
      <c r="G161" s="12" t="str">
        <f aca="false">IF(VALUE(MID(D161,3,2))*10+VALUE(MID(E161,2,1))&lt;=242,"Pre",IF(VALUE(MID(D161,3,2))*10+VALUE(MID(E161,2,1))&lt;=254,"Post","Later"))</f>
        <v>Pre</v>
      </c>
      <c r="H161" s="5" t="s">
        <v>537</v>
      </c>
      <c r="I161" s="5" t="s">
        <v>524</v>
      </c>
    </row>
    <row r="162" customFormat="false" ht="15" hidden="false" customHeight="false" outlineLevel="0" collapsed="false">
      <c r="A162" s="5" t="s">
        <v>141</v>
      </c>
      <c r="B162" s="5" t="s">
        <v>93</v>
      </c>
      <c r="C162" s="5" t="s">
        <v>120</v>
      </c>
      <c r="D162" s="5" t="s">
        <v>177</v>
      </c>
      <c r="E162" s="5" t="s">
        <v>172</v>
      </c>
      <c r="F162" s="16" t="n">
        <v>35</v>
      </c>
      <c r="G162" s="12" t="str">
        <f aca="false">IF(VALUE(MID(D162,3,2))*10+VALUE(MID(E162,2,1))&lt;=242,"Pre",IF(VALUE(MID(D162,3,2))*10+VALUE(MID(E162,2,1))&lt;=254,"Post","Later"))</f>
        <v>Post</v>
      </c>
      <c r="H162" s="5" t="s">
        <v>538</v>
      </c>
      <c r="I162" s="5" t="s">
        <v>524</v>
      </c>
    </row>
    <row r="163" customFormat="false" ht="15" hidden="false" customHeight="false" outlineLevel="0" collapsed="false">
      <c r="A163" s="5" t="s">
        <v>141</v>
      </c>
      <c r="B163" s="5" t="s">
        <v>93</v>
      </c>
      <c r="C163" s="5" t="s">
        <v>120</v>
      </c>
      <c r="D163" s="5" t="s">
        <v>177</v>
      </c>
      <c r="E163" s="5" t="s">
        <v>173</v>
      </c>
      <c r="F163" s="16" t="n">
        <v>34</v>
      </c>
      <c r="G163" s="12" t="str">
        <f aca="false">IF(VALUE(MID(D163,3,2))*10+VALUE(MID(E163,2,1))&lt;=242,"Pre",IF(VALUE(MID(D163,3,2))*10+VALUE(MID(E163,2,1))&lt;=254,"Post","Later"))</f>
        <v>Post</v>
      </c>
      <c r="H163" s="5" t="s">
        <v>539</v>
      </c>
      <c r="I163" s="5" t="s">
        <v>524</v>
      </c>
    </row>
    <row r="164" customFormat="false" ht="15" hidden="false" customHeight="false" outlineLevel="0" collapsed="false">
      <c r="A164" s="5" t="s">
        <v>141</v>
      </c>
      <c r="B164" s="5" t="s">
        <v>93</v>
      </c>
      <c r="C164" s="5" t="s">
        <v>120</v>
      </c>
      <c r="D164" s="5" t="s">
        <v>179</v>
      </c>
      <c r="E164" s="5" t="s">
        <v>168</v>
      </c>
      <c r="F164" s="16" t="n">
        <v>34</v>
      </c>
      <c r="G164" s="12" t="str">
        <f aca="false">IF(VALUE(MID(D164,3,2))*10+VALUE(MID(E164,2,1))&lt;=242,"Pre",IF(VALUE(MID(D164,3,2))*10+VALUE(MID(E164,2,1))&lt;=254,"Post","Later"))</f>
        <v>Post</v>
      </c>
      <c r="H164" s="5" t="s">
        <v>540</v>
      </c>
      <c r="I164" s="5" t="s">
        <v>524</v>
      </c>
    </row>
    <row r="165" customFormat="false" ht="15" hidden="false" customHeight="false" outlineLevel="0" collapsed="false">
      <c r="A165" s="5" t="s">
        <v>141</v>
      </c>
      <c r="B165" s="5" t="s">
        <v>93</v>
      </c>
      <c r="C165" s="5" t="s">
        <v>120</v>
      </c>
      <c r="D165" s="5" t="s">
        <v>179</v>
      </c>
      <c r="E165" s="5" t="s">
        <v>171</v>
      </c>
      <c r="F165" s="16" t="n">
        <v>34</v>
      </c>
      <c r="G165" s="12" t="str">
        <f aca="false">IF(VALUE(MID(D165,3,2))*10+VALUE(MID(E165,2,1))&lt;=242,"Pre",IF(VALUE(MID(D165,3,2))*10+VALUE(MID(E165,2,1))&lt;=254,"Post","Later"))</f>
        <v>Post</v>
      </c>
      <c r="H165" s="5" t="s">
        <v>541</v>
      </c>
      <c r="I165" s="5" t="s">
        <v>524</v>
      </c>
    </row>
    <row r="166" customFormat="false" ht="15" hidden="false" customHeight="false" outlineLevel="0" collapsed="false">
      <c r="A166" s="5" t="s">
        <v>141</v>
      </c>
      <c r="B166" s="5" t="s">
        <v>93</v>
      </c>
      <c r="C166" s="5" t="s">
        <v>120</v>
      </c>
      <c r="D166" s="5" t="s">
        <v>179</v>
      </c>
      <c r="E166" s="5" t="s">
        <v>172</v>
      </c>
      <c r="F166" s="16" t="n">
        <v>33</v>
      </c>
      <c r="G166" s="12" t="str">
        <f aca="false">IF(VALUE(MID(D166,3,2))*10+VALUE(MID(E166,2,1))&lt;=242,"Pre",IF(VALUE(MID(D166,3,2))*10+VALUE(MID(E166,2,1))&lt;=254,"Post","Later"))</f>
        <v>Post</v>
      </c>
      <c r="H166" s="5" t="s">
        <v>542</v>
      </c>
      <c r="I166" s="5" t="s">
        <v>524</v>
      </c>
    </row>
    <row r="167" customFormat="false" ht="15" hidden="false" customHeight="false" outlineLevel="0" collapsed="false">
      <c r="A167" s="5" t="s">
        <v>141</v>
      </c>
      <c r="B167" s="5" t="s">
        <v>93</v>
      </c>
      <c r="C167" s="5" t="s">
        <v>120</v>
      </c>
      <c r="D167" s="5" t="s">
        <v>179</v>
      </c>
      <c r="E167" s="5" t="s">
        <v>173</v>
      </c>
      <c r="F167" s="16" t="n">
        <v>32</v>
      </c>
      <c r="G167" s="12" t="str">
        <f aca="false">IF(VALUE(MID(D167,3,2))*10+VALUE(MID(E167,2,1))&lt;=242,"Pre",IF(VALUE(MID(D167,3,2))*10+VALUE(MID(E167,2,1))&lt;=254,"Post","Later"))</f>
        <v>Post</v>
      </c>
      <c r="H167" s="5" t="s">
        <v>543</v>
      </c>
      <c r="I167" s="5" t="s">
        <v>524</v>
      </c>
    </row>
    <row r="168" customFormat="false" ht="15" hidden="false" customHeight="false" outlineLevel="0" collapsed="false">
      <c r="A168" s="5" t="s">
        <v>141</v>
      </c>
      <c r="B168" s="5" t="s">
        <v>93</v>
      </c>
      <c r="C168" s="5" t="s">
        <v>120</v>
      </c>
      <c r="D168" s="5" t="s">
        <v>180</v>
      </c>
      <c r="E168" s="5" t="s">
        <v>168</v>
      </c>
      <c r="F168" s="16" t="n">
        <v>31</v>
      </c>
      <c r="G168" s="12" t="str">
        <f aca="false">IF(VALUE(MID(D168,3,2))*10+VALUE(MID(E168,2,1))&lt;=242,"Pre",IF(VALUE(MID(D168,3,2))*10+VALUE(MID(E168,2,1))&lt;=254,"Post","Later"))</f>
        <v>Later</v>
      </c>
      <c r="H168" s="5" t="s">
        <v>544</v>
      </c>
      <c r="I168" s="5" t="s">
        <v>524</v>
      </c>
    </row>
    <row r="169" customFormat="false" ht="15" hidden="false" customHeight="false" outlineLevel="0" collapsed="false">
      <c r="A169" s="5" t="s">
        <v>141</v>
      </c>
      <c r="B169" s="5" t="s">
        <v>93</v>
      </c>
      <c r="C169" s="5" t="s">
        <v>120</v>
      </c>
      <c r="D169" s="5" t="s">
        <v>180</v>
      </c>
      <c r="E169" s="5" t="s">
        <v>171</v>
      </c>
      <c r="F169" s="16" t="n">
        <v>35</v>
      </c>
      <c r="G169" s="12" t="str">
        <f aca="false">IF(VALUE(MID(D169,3,2))*10+VALUE(MID(E169,2,1))&lt;=242,"Pre",IF(VALUE(MID(D169,3,2))*10+VALUE(MID(E169,2,1))&lt;=254,"Post","Later"))</f>
        <v>Later</v>
      </c>
      <c r="H169" s="5" t="s">
        <v>545</v>
      </c>
      <c r="I169" s="5" t="s">
        <v>524</v>
      </c>
    </row>
    <row r="170" customFormat="false" ht="15" hidden="false" customHeight="false" outlineLevel="0" collapsed="false">
      <c r="A170" s="5" t="s">
        <v>141</v>
      </c>
      <c r="B170" s="5" t="s">
        <v>93</v>
      </c>
      <c r="C170" s="5" t="s">
        <v>120</v>
      </c>
      <c r="D170" s="5" t="s">
        <v>180</v>
      </c>
      <c r="E170" s="5" t="s">
        <v>172</v>
      </c>
      <c r="F170" s="16" t="n">
        <v>38</v>
      </c>
      <c r="G170" s="12" t="str">
        <f aca="false">IF(VALUE(MID(D170,3,2))*10+VALUE(MID(E170,2,1))&lt;=242,"Pre",IF(VALUE(MID(D170,3,2))*10+VALUE(MID(E170,2,1))&lt;=254,"Post","Later"))</f>
        <v>Later</v>
      </c>
      <c r="H170" s="5" t="s">
        <v>546</v>
      </c>
      <c r="I170" s="5" t="s">
        <v>524</v>
      </c>
    </row>
    <row r="171" customFormat="false" ht="15" hidden="false" customHeight="false" outlineLevel="0" collapsed="false">
      <c r="A171" s="5" t="s">
        <v>141</v>
      </c>
      <c r="B171" s="5" t="s">
        <v>93</v>
      </c>
      <c r="C171" s="5" t="s">
        <v>120</v>
      </c>
      <c r="D171" s="5" t="s">
        <v>180</v>
      </c>
      <c r="E171" s="5" t="s">
        <v>173</v>
      </c>
      <c r="F171" s="16" t="n">
        <v>39</v>
      </c>
      <c r="G171" s="12" t="str">
        <f aca="false">IF(VALUE(MID(D171,3,2))*10+VALUE(MID(E171,2,1))&lt;=242,"Pre",IF(VALUE(MID(D171,3,2))*10+VALUE(MID(E171,2,1))&lt;=254,"Post","Later"))</f>
        <v>Later</v>
      </c>
      <c r="H171" s="5" t="s">
        <v>547</v>
      </c>
      <c r="I171" s="5" t="s">
        <v>524</v>
      </c>
    </row>
    <row r="172" customFormat="false" ht="15" hidden="false" customHeight="false" outlineLevel="0" collapsed="false">
      <c r="A172" s="5" t="s">
        <v>143</v>
      </c>
      <c r="B172" s="5" t="s">
        <v>101</v>
      </c>
      <c r="C172" s="5" t="s">
        <v>125</v>
      </c>
      <c r="D172" s="5" t="s">
        <v>167</v>
      </c>
      <c r="E172" s="5" t="s">
        <v>173</v>
      </c>
      <c r="F172" s="16" t="n">
        <v>50.5</v>
      </c>
      <c r="G172" s="12" t="str">
        <f aca="false">IF(VALUE(MID(D172,3,2))*10+VALUE(MID(E172,2,1))&lt;=242,"Pre",IF(VALUE(MID(D172,3,2))*10+VALUE(MID(E172,2,1))&lt;=254,"Post","Later"))</f>
        <v>Pre</v>
      </c>
      <c r="H172" s="5" t="s">
        <v>548</v>
      </c>
      <c r="I172" s="5" t="s">
        <v>549</v>
      </c>
    </row>
    <row r="173" customFormat="false" ht="15" hidden="false" customHeight="false" outlineLevel="0" collapsed="false">
      <c r="A173" s="5" t="s">
        <v>143</v>
      </c>
      <c r="B173" s="5" t="s">
        <v>101</v>
      </c>
      <c r="C173" s="5" t="s">
        <v>125</v>
      </c>
      <c r="D173" s="5" t="s">
        <v>174</v>
      </c>
      <c r="E173" s="5" t="s">
        <v>168</v>
      </c>
      <c r="F173" s="16" t="n">
        <v>48.1</v>
      </c>
      <c r="G173" s="12" t="str">
        <f aca="false">IF(VALUE(MID(D173,3,2))*10+VALUE(MID(E173,2,1))&lt;=242,"Pre",IF(VALUE(MID(D173,3,2))*10+VALUE(MID(E173,2,1))&lt;=254,"Post","Later"))</f>
        <v>Pre</v>
      </c>
      <c r="H173" s="5" t="s">
        <v>550</v>
      </c>
      <c r="I173" s="5" t="s">
        <v>549</v>
      </c>
    </row>
    <row r="174" customFormat="false" ht="15" hidden="false" customHeight="false" outlineLevel="0" collapsed="false">
      <c r="A174" s="5" t="s">
        <v>143</v>
      </c>
      <c r="B174" s="5" t="s">
        <v>101</v>
      </c>
      <c r="C174" s="5" t="s">
        <v>125</v>
      </c>
      <c r="D174" s="5" t="s">
        <v>174</v>
      </c>
      <c r="E174" s="5" t="s">
        <v>171</v>
      </c>
      <c r="F174" s="16" t="n">
        <v>45.3</v>
      </c>
      <c r="G174" s="12" t="str">
        <f aca="false">IF(VALUE(MID(D174,3,2))*10+VALUE(MID(E174,2,1))&lt;=242,"Pre",IF(VALUE(MID(D174,3,2))*10+VALUE(MID(E174,2,1))&lt;=254,"Post","Later"))</f>
        <v>Pre</v>
      </c>
      <c r="H174" s="5" t="s">
        <v>551</v>
      </c>
      <c r="I174" s="5" t="s">
        <v>549</v>
      </c>
    </row>
    <row r="175" customFormat="false" ht="15" hidden="false" customHeight="false" outlineLevel="0" collapsed="false">
      <c r="A175" s="5" t="s">
        <v>143</v>
      </c>
      <c r="B175" s="5" t="s">
        <v>101</v>
      </c>
      <c r="C175" s="5" t="s">
        <v>125</v>
      </c>
      <c r="D175" s="5" t="s">
        <v>174</v>
      </c>
      <c r="E175" s="5" t="s">
        <v>172</v>
      </c>
      <c r="F175" s="16" t="n">
        <v>46</v>
      </c>
      <c r="G175" s="12" t="str">
        <f aca="false">IF(VALUE(MID(D175,3,2))*10+VALUE(MID(E175,2,1))&lt;=242,"Pre",IF(VALUE(MID(D175,3,2))*10+VALUE(MID(E175,2,1))&lt;=254,"Post","Later"))</f>
        <v>Pre</v>
      </c>
      <c r="H175" s="5" t="s">
        <v>552</v>
      </c>
      <c r="I175" s="5" t="s">
        <v>549</v>
      </c>
    </row>
    <row r="176" customFormat="false" ht="15" hidden="false" customHeight="false" outlineLevel="0" collapsed="false">
      <c r="A176" s="5" t="s">
        <v>143</v>
      </c>
      <c r="B176" s="5" t="s">
        <v>101</v>
      </c>
      <c r="C176" s="5" t="s">
        <v>125</v>
      </c>
      <c r="D176" s="5" t="s">
        <v>174</v>
      </c>
      <c r="E176" s="5" t="s">
        <v>173</v>
      </c>
      <c r="F176" s="16" t="n">
        <v>48.4</v>
      </c>
      <c r="G176" s="12" t="str">
        <f aca="false">IF(VALUE(MID(D176,3,2))*10+VALUE(MID(E176,2,1))&lt;=242,"Pre",IF(VALUE(MID(D176,3,2))*10+VALUE(MID(E176,2,1))&lt;=254,"Post","Later"))</f>
        <v>Pre</v>
      </c>
      <c r="H176" s="5" t="s">
        <v>553</v>
      </c>
      <c r="I176" s="5" t="s">
        <v>549</v>
      </c>
    </row>
    <row r="177" customFormat="false" ht="15" hidden="false" customHeight="false" outlineLevel="0" collapsed="false">
      <c r="A177" s="5" t="s">
        <v>143</v>
      </c>
      <c r="B177" s="5" t="s">
        <v>101</v>
      </c>
      <c r="C177" s="5" t="s">
        <v>125</v>
      </c>
      <c r="D177" s="5" t="s">
        <v>176</v>
      </c>
      <c r="E177" s="5" t="s">
        <v>168</v>
      </c>
      <c r="F177" s="16" t="n">
        <v>52.1</v>
      </c>
      <c r="G177" s="12" t="str">
        <f aca="false">IF(VALUE(MID(D177,3,2))*10+VALUE(MID(E177,2,1))&lt;=242,"Pre",IF(VALUE(MID(D177,3,2))*10+VALUE(MID(E177,2,1))&lt;=254,"Post","Later"))</f>
        <v>Pre</v>
      </c>
      <c r="H177" s="5" t="s">
        <v>554</v>
      </c>
      <c r="I177" s="5" t="s">
        <v>549</v>
      </c>
    </row>
    <row r="178" customFormat="false" ht="15" hidden="false" customHeight="false" outlineLevel="0" collapsed="false">
      <c r="A178" s="5" t="s">
        <v>143</v>
      </c>
      <c r="B178" s="5" t="s">
        <v>101</v>
      </c>
      <c r="C178" s="5" t="s">
        <v>125</v>
      </c>
      <c r="D178" s="5" t="s">
        <v>176</v>
      </c>
      <c r="E178" s="5" t="s">
        <v>171</v>
      </c>
      <c r="F178" s="16" t="n">
        <v>53.8</v>
      </c>
      <c r="G178" s="12" t="str">
        <f aca="false">IF(VALUE(MID(D178,3,2))*10+VALUE(MID(E178,2,1))&lt;=242,"Pre",IF(VALUE(MID(D178,3,2))*10+VALUE(MID(E178,2,1))&lt;=254,"Post","Later"))</f>
        <v>Pre</v>
      </c>
      <c r="H178" s="5" t="s">
        <v>555</v>
      </c>
      <c r="I178" s="5" t="s">
        <v>549</v>
      </c>
    </row>
    <row r="179" customFormat="false" ht="15" hidden="false" customHeight="false" outlineLevel="0" collapsed="false">
      <c r="A179" s="5" t="s">
        <v>143</v>
      </c>
      <c r="B179" s="5" t="s">
        <v>101</v>
      </c>
      <c r="C179" s="5" t="s">
        <v>125</v>
      </c>
      <c r="D179" s="5" t="s">
        <v>176</v>
      </c>
      <c r="E179" s="5" t="s">
        <v>172</v>
      </c>
      <c r="F179" s="16" t="n">
        <v>55.8</v>
      </c>
      <c r="G179" s="12" t="str">
        <f aca="false">IF(VALUE(MID(D179,3,2))*10+VALUE(MID(E179,2,1))&lt;=242,"Pre",IF(VALUE(MID(D179,3,2))*10+VALUE(MID(E179,2,1))&lt;=254,"Post","Later"))</f>
        <v>Pre</v>
      </c>
      <c r="H179" s="5" t="s">
        <v>556</v>
      </c>
      <c r="I179" s="5" t="s">
        <v>549</v>
      </c>
    </row>
    <row r="180" customFormat="false" ht="15" hidden="false" customHeight="false" outlineLevel="0" collapsed="false">
      <c r="A180" s="5" t="s">
        <v>143</v>
      </c>
      <c r="B180" s="5" t="s">
        <v>101</v>
      </c>
      <c r="C180" s="5" t="s">
        <v>125</v>
      </c>
      <c r="D180" s="5" t="s">
        <v>176</v>
      </c>
      <c r="E180" s="5" t="s">
        <v>173</v>
      </c>
      <c r="F180" s="16" t="n">
        <v>57.4</v>
      </c>
      <c r="G180" s="12" t="str">
        <f aca="false">IF(VALUE(MID(D180,3,2))*10+VALUE(MID(E180,2,1))&lt;=242,"Pre",IF(VALUE(MID(D180,3,2))*10+VALUE(MID(E180,2,1))&lt;=254,"Post","Later"))</f>
        <v>Pre</v>
      </c>
      <c r="H180" s="5" t="s">
        <v>557</v>
      </c>
      <c r="I180" s="5" t="s">
        <v>549</v>
      </c>
    </row>
    <row r="181" customFormat="false" ht="15" hidden="false" customHeight="false" outlineLevel="0" collapsed="false">
      <c r="A181" s="5" t="s">
        <v>143</v>
      </c>
      <c r="B181" s="5" t="s">
        <v>101</v>
      </c>
      <c r="C181" s="5" t="s">
        <v>125</v>
      </c>
      <c r="D181" s="5" t="s">
        <v>177</v>
      </c>
      <c r="E181" s="5" t="s">
        <v>168</v>
      </c>
      <c r="F181" s="16" t="n">
        <v>55.1</v>
      </c>
      <c r="G181" s="12" t="str">
        <f aca="false">IF(VALUE(MID(D181,3,2))*10+VALUE(MID(E181,2,1))&lt;=242,"Pre",IF(VALUE(MID(D181,3,2))*10+VALUE(MID(E181,2,1))&lt;=254,"Post","Later"))</f>
        <v>Pre</v>
      </c>
      <c r="H181" s="5" t="s">
        <v>558</v>
      </c>
      <c r="I181" s="5" t="s">
        <v>549</v>
      </c>
    </row>
    <row r="182" customFormat="false" ht="15" hidden="false" customHeight="false" outlineLevel="0" collapsed="false">
      <c r="A182" s="5" t="s">
        <v>143</v>
      </c>
      <c r="B182" s="5" t="s">
        <v>101</v>
      </c>
      <c r="C182" s="5" t="s">
        <v>125</v>
      </c>
      <c r="D182" s="5" t="s">
        <v>177</v>
      </c>
      <c r="E182" s="5" t="s">
        <v>171</v>
      </c>
      <c r="F182" s="16" t="n">
        <v>57.2</v>
      </c>
      <c r="G182" s="12" t="str">
        <f aca="false">IF(VALUE(MID(D182,3,2))*10+VALUE(MID(E182,2,1))&lt;=242,"Pre",IF(VALUE(MID(D182,3,2))*10+VALUE(MID(E182,2,1))&lt;=254,"Post","Later"))</f>
        <v>Pre</v>
      </c>
      <c r="H182" s="5" t="s">
        <v>559</v>
      </c>
      <c r="I182" s="5" t="s">
        <v>549</v>
      </c>
    </row>
    <row r="183" customFormat="false" ht="15" hidden="false" customHeight="false" outlineLevel="0" collapsed="false">
      <c r="A183" s="5" t="s">
        <v>143</v>
      </c>
      <c r="B183" s="5" t="s">
        <v>101</v>
      </c>
      <c r="C183" s="5" t="s">
        <v>125</v>
      </c>
      <c r="D183" s="5" t="s">
        <v>177</v>
      </c>
      <c r="E183" s="5" t="s">
        <v>172</v>
      </c>
      <c r="F183" s="16" t="n">
        <v>59</v>
      </c>
      <c r="G183" s="12" t="str">
        <f aca="false">IF(VALUE(MID(D183,3,2))*10+VALUE(MID(E183,2,1))&lt;=242,"Pre",IF(VALUE(MID(D183,3,2))*10+VALUE(MID(E183,2,1))&lt;=254,"Post","Later"))</f>
        <v>Post</v>
      </c>
      <c r="H183" s="5" t="s">
        <v>560</v>
      </c>
      <c r="I183" s="5" t="s">
        <v>549</v>
      </c>
    </row>
    <row r="184" customFormat="false" ht="15" hidden="false" customHeight="false" outlineLevel="0" collapsed="false">
      <c r="A184" s="5" t="s">
        <v>143</v>
      </c>
      <c r="B184" s="5" t="s">
        <v>101</v>
      </c>
      <c r="C184" s="5" t="s">
        <v>125</v>
      </c>
      <c r="D184" s="5" t="s">
        <v>177</v>
      </c>
      <c r="E184" s="5" t="s">
        <v>173</v>
      </c>
      <c r="F184" s="16" t="n">
        <v>59</v>
      </c>
      <c r="G184" s="12" t="str">
        <f aca="false">IF(VALUE(MID(D184,3,2))*10+VALUE(MID(E184,2,1))&lt;=242,"Pre",IF(VALUE(MID(D184,3,2))*10+VALUE(MID(E184,2,1))&lt;=254,"Post","Later"))</f>
        <v>Post</v>
      </c>
      <c r="H184" s="5" t="s">
        <v>561</v>
      </c>
      <c r="I184" s="5" t="s">
        <v>549</v>
      </c>
    </row>
    <row r="185" customFormat="false" ht="15" hidden="false" customHeight="false" outlineLevel="0" collapsed="false">
      <c r="A185" s="5" t="s">
        <v>143</v>
      </c>
      <c r="B185" s="5" t="s">
        <v>101</v>
      </c>
      <c r="C185" s="5" t="s">
        <v>125</v>
      </c>
      <c r="D185" s="5" t="s">
        <v>179</v>
      </c>
      <c r="E185" s="5" t="s">
        <v>168</v>
      </c>
      <c r="F185" s="16" t="n">
        <v>61.5</v>
      </c>
      <c r="G185" s="12" t="str">
        <f aca="false">IF(VALUE(MID(D185,3,2))*10+VALUE(MID(E185,2,1))&lt;=242,"Pre",IF(VALUE(MID(D185,3,2))*10+VALUE(MID(E185,2,1))&lt;=254,"Post","Later"))</f>
        <v>Post</v>
      </c>
      <c r="H185" s="5" t="s">
        <v>562</v>
      </c>
      <c r="I185" s="5" t="s">
        <v>549</v>
      </c>
    </row>
    <row r="186" customFormat="false" ht="15" hidden="false" customHeight="false" outlineLevel="0" collapsed="false">
      <c r="A186" s="5" t="s">
        <v>143</v>
      </c>
      <c r="B186" s="5" t="s">
        <v>101</v>
      </c>
      <c r="C186" s="5" t="s">
        <v>125</v>
      </c>
      <c r="D186" s="5" t="s">
        <v>179</v>
      </c>
      <c r="E186" s="5" t="s">
        <v>171</v>
      </c>
      <c r="F186" s="16" t="n">
        <v>57.6</v>
      </c>
      <c r="G186" s="12" t="str">
        <f aca="false">IF(VALUE(MID(D186,3,2))*10+VALUE(MID(E186,2,1))&lt;=242,"Pre",IF(VALUE(MID(D186,3,2))*10+VALUE(MID(E186,2,1))&lt;=254,"Post","Later"))</f>
        <v>Post</v>
      </c>
      <c r="H186" s="5" t="s">
        <v>563</v>
      </c>
      <c r="I186" s="5" t="s">
        <v>549</v>
      </c>
    </row>
    <row r="187" customFormat="false" ht="15" hidden="false" customHeight="false" outlineLevel="0" collapsed="false">
      <c r="A187" s="5" t="s">
        <v>143</v>
      </c>
      <c r="B187" s="5" t="s">
        <v>101</v>
      </c>
      <c r="C187" s="5" t="s">
        <v>125</v>
      </c>
      <c r="D187" s="5" t="s">
        <v>179</v>
      </c>
      <c r="E187" s="5" t="s">
        <v>172</v>
      </c>
      <c r="F187" s="16" t="n">
        <v>60</v>
      </c>
      <c r="G187" s="12" t="str">
        <f aca="false">IF(VALUE(MID(D187,3,2))*10+VALUE(MID(E187,2,1))&lt;=242,"Pre",IF(VALUE(MID(D187,3,2))*10+VALUE(MID(E187,2,1))&lt;=254,"Post","Later"))</f>
        <v>Post</v>
      </c>
      <c r="H187" s="5" t="s">
        <v>564</v>
      </c>
      <c r="I187" s="5" t="s">
        <v>549</v>
      </c>
    </row>
    <row r="188" customFormat="false" ht="15" hidden="false" customHeight="false" outlineLevel="0" collapsed="false">
      <c r="A188" s="5" t="s">
        <v>143</v>
      </c>
      <c r="B188" s="5" t="s">
        <v>101</v>
      </c>
      <c r="C188" s="5" t="s">
        <v>125</v>
      </c>
      <c r="D188" s="5" t="s">
        <v>179</v>
      </c>
      <c r="E188" s="5" t="s">
        <v>173</v>
      </c>
      <c r="F188" s="16" t="n">
        <v>63.4</v>
      </c>
      <c r="G188" s="12" t="str">
        <f aca="false">IF(VALUE(MID(D188,3,2))*10+VALUE(MID(E188,2,1))&lt;=242,"Pre",IF(VALUE(MID(D188,3,2))*10+VALUE(MID(E188,2,1))&lt;=254,"Post","Later"))</f>
        <v>Post</v>
      </c>
      <c r="H188" s="5" t="s">
        <v>565</v>
      </c>
      <c r="I188" s="5" t="s">
        <v>549</v>
      </c>
    </row>
    <row r="189" customFormat="false" ht="15" hidden="false" customHeight="false" outlineLevel="0" collapsed="false">
      <c r="A189" s="5" t="s">
        <v>143</v>
      </c>
      <c r="B189" s="5" t="s">
        <v>101</v>
      </c>
      <c r="C189" s="5" t="s">
        <v>125</v>
      </c>
      <c r="D189" s="5" t="s">
        <v>180</v>
      </c>
      <c r="E189" s="5" t="s">
        <v>168</v>
      </c>
      <c r="F189" s="16" t="n">
        <v>63.9</v>
      </c>
      <c r="G189" s="12" t="str">
        <f aca="false">IF(VALUE(MID(D189,3,2))*10+VALUE(MID(E189,2,1))&lt;=242,"Pre",IF(VALUE(MID(D189,3,2))*10+VALUE(MID(E189,2,1))&lt;=254,"Post","Later"))</f>
        <v>Later</v>
      </c>
      <c r="H189" s="5" t="s">
        <v>566</v>
      </c>
      <c r="I189" s="5" t="s">
        <v>549</v>
      </c>
    </row>
    <row r="190" customFormat="false" ht="15" hidden="false" customHeight="false" outlineLevel="0" collapsed="false">
      <c r="A190" s="5" t="s">
        <v>143</v>
      </c>
      <c r="B190" s="5" t="s">
        <v>101</v>
      </c>
      <c r="C190" s="5" t="s">
        <v>125</v>
      </c>
      <c r="D190" s="5" t="s">
        <v>180</v>
      </c>
      <c r="E190" s="5" t="s">
        <v>171</v>
      </c>
      <c r="F190" s="16" t="n">
        <v>63.6</v>
      </c>
      <c r="G190" s="12" t="str">
        <f aca="false">IF(VALUE(MID(D190,3,2))*10+VALUE(MID(E190,2,1))&lt;=242,"Pre",IF(VALUE(MID(D190,3,2))*10+VALUE(MID(E190,2,1))&lt;=254,"Post","Later"))</f>
        <v>Later</v>
      </c>
      <c r="H190" s="5" t="s">
        <v>567</v>
      </c>
      <c r="I190" s="5" t="s">
        <v>549</v>
      </c>
    </row>
    <row r="191" customFormat="false" ht="15" hidden="false" customHeight="false" outlineLevel="0" collapsed="false">
      <c r="A191" s="5" t="s">
        <v>143</v>
      </c>
      <c r="B191" s="5" t="s">
        <v>101</v>
      </c>
      <c r="C191" s="5" t="s">
        <v>125</v>
      </c>
      <c r="D191" s="5" t="s">
        <v>180</v>
      </c>
      <c r="E191" s="5" t="s">
        <v>172</v>
      </c>
      <c r="F191" s="16" t="n">
        <v>64.4</v>
      </c>
      <c r="G191" s="12" t="str">
        <f aca="false">IF(VALUE(MID(D191,3,2))*10+VALUE(MID(E191,2,1))&lt;=242,"Pre",IF(VALUE(MID(D191,3,2))*10+VALUE(MID(E191,2,1))&lt;=254,"Post","Later"))</f>
        <v>Later</v>
      </c>
      <c r="H191" s="5" t="s">
        <v>568</v>
      </c>
      <c r="I191" s="5" t="s">
        <v>549</v>
      </c>
    </row>
    <row r="192" customFormat="false" ht="15" hidden="false" customHeight="false" outlineLevel="0" collapsed="false">
      <c r="A192" s="5" t="s">
        <v>143</v>
      </c>
      <c r="B192" s="5" t="s">
        <v>101</v>
      </c>
      <c r="C192" s="5" t="s">
        <v>125</v>
      </c>
      <c r="D192" s="5" t="s">
        <v>180</v>
      </c>
      <c r="E192" s="5" t="s">
        <v>173</v>
      </c>
      <c r="F192" s="16" t="n">
        <v>64.5</v>
      </c>
      <c r="G192" s="12" t="str">
        <f aca="false">IF(VALUE(MID(D192,3,2))*10+VALUE(MID(E192,2,1))&lt;=242,"Pre",IF(VALUE(MID(D192,3,2))*10+VALUE(MID(E192,2,1))&lt;=254,"Post","Later"))</f>
        <v>Later</v>
      </c>
      <c r="H192" s="5" t="s">
        <v>569</v>
      </c>
      <c r="I192" s="5" t="s">
        <v>549</v>
      </c>
    </row>
    <row r="193" customFormat="false" ht="15" hidden="false" customHeight="false" outlineLevel="0" collapsed="false">
      <c r="A193" s="5" t="s">
        <v>145</v>
      </c>
      <c r="B193" s="5" t="s">
        <v>102</v>
      </c>
      <c r="C193" s="5" t="s">
        <v>125</v>
      </c>
      <c r="D193" s="5" t="s">
        <v>167</v>
      </c>
      <c r="E193" s="5" t="s">
        <v>168</v>
      </c>
      <c r="F193" s="16" t="n">
        <v>40.3</v>
      </c>
      <c r="G193" s="12" t="str">
        <f aca="false">IF(VALUE(MID(D193,3,2))*10+VALUE(MID(E193,2,1))&lt;=242,"Pre",IF(VALUE(MID(D193,3,2))*10+VALUE(MID(E193,2,1))&lt;=254,"Post","Later"))</f>
        <v>Pre</v>
      </c>
      <c r="H193" s="5" t="s">
        <v>570</v>
      </c>
      <c r="I193" s="5" t="s">
        <v>571</v>
      </c>
    </row>
    <row r="194" customFormat="false" ht="15" hidden="false" customHeight="false" outlineLevel="0" collapsed="false">
      <c r="A194" s="5" t="s">
        <v>145</v>
      </c>
      <c r="B194" s="5" t="s">
        <v>102</v>
      </c>
      <c r="C194" s="5" t="s">
        <v>125</v>
      </c>
      <c r="D194" s="5" t="s">
        <v>167</v>
      </c>
      <c r="E194" s="5" t="s">
        <v>171</v>
      </c>
      <c r="F194" s="16" t="n">
        <v>42</v>
      </c>
      <c r="G194" s="12" t="str">
        <f aca="false">IF(VALUE(MID(D194,3,2))*10+VALUE(MID(E194,2,1))&lt;=242,"Pre",IF(VALUE(MID(D194,3,2))*10+VALUE(MID(E194,2,1))&lt;=254,"Post","Later"))</f>
        <v>Pre</v>
      </c>
      <c r="H194" s="5" t="s">
        <v>572</v>
      </c>
      <c r="I194" s="5" t="s">
        <v>571</v>
      </c>
    </row>
    <row r="195" customFormat="false" ht="15" hidden="false" customHeight="false" outlineLevel="0" collapsed="false">
      <c r="A195" s="5" t="s">
        <v>145</v>
      </c>
      <c r="B195" s="5" t="s">
        <v>102</v>
      </c>
      <c r="C195" s="5" t="s">
        <v>125</v>
      </c>
      <c r="D195" s="5" t="s">
        <v>167</v>
      </c>
      <c r="E195" s="5" t="s">
        <v>172</v>
      </c>
      <c r="F195" s="16" t="n">
        <v>41.9</v>
      </c>
      <c r="G195" s="12" t="str">
        <f aca="false">IF(VALUE(MID(D195,3,2))*10+VALUE(MID(E195,2,1))&lt;=242,"Pre",IF(VALUE(MID(D195,3,2))*10+VALUE(MID(E195,2,1))&lt;=254,"Post","Later"))</f>
        <v>Pre</v>
      </c>
      <c r="H195" s="5" t="s">
        <v>573</v>
      </c>
      <c r="I195" s="5" t="s">
        <v>571</v>
      </c>
    </row>
    <row r="196" customFormat="false" ht="15" hidden="false" customHeight="false" outlineLevel="0" collapsed="false">
      <c r="A196" s="5" t="s">
        <v>145</v>
      </c>
      <c r="B196" s="5" t="s">
        <v>102</v>
      </c>
      <c r="C196" s="5" t="s">
        <v>125</v>
      </c>
      <c r="D196" s="5" t="s">
        <v>167</v>
      </c>
      <c r="E196" s="5" t="s">
        <v>173</v>
      </c>
      <c r="F196" s="16" t="n">
        <v>43.1</v>
      </c>
      <c r="G196" s="12" t="str">
        <f aca="false">IF(VALUE(MID(D196,3,2))*10+VALUE(MID(E196,2,1))&lt;=242,"Pre",IF(VALUE(MID(D196,3,2))*10+VALUE(MID(E196,2,1))&lt;=254,"Post","Later"))</f>
        <v>Pre</v>
      </c>
      <c r="H196" s="5" t="s">
        <v>574</v>
      </c>
      <c r="I196" s="5" t="s">
        <v>571</v>
      </c>
    </row>
    <row r="197" customFormat="false" ht="15" hidden="false" customHeight="false" outlineLevel="0" collapsed="false">
      <c r="A197" s="5" t="s">
        <v>145</v>
      </c>
      <c r="B197" s="5" t="s">
        <v>102</v>
      </c>
      <c r="C197" s="5" t="s">
        <v>125</v>
      </c>
      <c r="D197" s="5" t="s">
        <v>174</v>
      </c>
      <c r="E197" s="5" t="s">
        <v>168</v>
      </c>
      <c r="F197" s="16" t="n">
        <v>43.6</v>
      </c>
      <c r="G197" s="12" t="str">
        <f aca="false">IF(VALUE(MID(D197,3,2))*10+VALUE(MID(E197,2,1))&lt;=242,"Pre",IF(VALUE(MID(D197,3,2))*10+VALUE(MID(E197,2,1))&lt;=254,"Post","Later"))</f>
        <v>Pre</v>
      </c>
      <c r="H197" s="5" t="s">
        <v>575</v>
      </c>
      <c r="I197" s="5" t="s">
        <v>571</v>
      </c>
    </row>
    <row r="198" customFormat="false" ht="15" hidden="false" customHeight="false" outlineLevel="0" collapsed="false">
      <c r="A198" s="5" t="s">
        <v>145</v>
      </c>
      <c r="B198" s="5" t="s">
        <v>102</v>
      </c>
      <c r="C198" s="5" t="s">
        <v>125</v>
      </c>
      <c r="D198" s="5" t="s">
        <v>174</v>
      </c>
      <c r="E198" s="5" t="s">
        <v>171</v>
      </c>
      <c r="F198" s="16" t="n">
        <v>46.9</v>
      </c>
      <c r="G198" s="12" t="str">
        <f aca="false">IF(VALUE(MID(D198,3,2))*10+VALUE(MID(E198,2,1))&lt;=242,"Pre",IF(VALUE(MID(D198,3,2))*10+VALUE(MID(E198,2,1))&lt;=254,"Post","Later"))</f>
        <v>Pre</v>
      </c>
      <c r="H198" s="5" t="s">
        <v>576</v>
      </c>
      <c r="I198" s="5" t="s">
        <v>571</v>
      </c>
    </row>
    <row r="199" customFormat="false" ht="15" hidden="false" customHeight="false" outlineLevel="0" collapsed="false">
      <c r="A199" s="5" t="s">
        <v>145</v>
      </c>
      <c r="B199" s="5" t="s">
        <v>102</v>
      </c>
      <c r="C199" s="5" t="s">
        <v>125</v>
      </c>
      <c r="D199" s="5" t="s">
        <v>174</v>
      </c>
      <c r="E199" s="5" t="s">
        <v>172</v>
      </c>
      <c r="F199" s="16" t="n">
        <v>52.2</v>
      </c>
      <c r="G199" s="12" t="str">
        <f aca="false">IF(VALUE(MID(D199,3,2))*10+VALUE(MID(E199,2,1))&lt;=242,"Pre",IF(VALUE(MID(D199,3,2))*10+VALUE(MID(E199,2,1))&lt;=254,"Post","Later"))</f>
        <v>Pre</v>
      </c>
      <c r="H199" s="5" t="s">
        <v>577</v>
      </c>
      <c r="I199" s="5" t="s">
        <v>571</v>
      </c>
    </row>
    <row r="200" customFormat="false" ht="15" hidden="false" customHeight="false" outlineLevel="0" collapsed="false">
      <c r="A200" s="5" t="s">
        <v>145</v>
      </c>
      <c r="B200" s="5" t="s">
        <v>102</v>
      </c>
      <c r="C200" s="5" t="s">
        <v>125</v>
      </c>
      <c r="D200" s="5" t="s">
        <v>174</v>
      </c>
      <c r="E200" s="5" t="s">
        <v>173</v>
      </c>
      <c r="F200" s="16" t="n">
        <v>55.5</v>
      </c>
      <c r="G200" s="12" t="str">
        <f aca="false">IF(VALUE(MID(D200,3,2))*10+VALUE(MID(E200,2,1))&lt;=242,"Pre",IF(VALUE(MID(D200,3,2))*10+VALUE(MID(E200,2,1))&lt;=254,"Post","Later"))</f>
        <v>Pre</v>
      </c>
      <c r="H200" s="5" t="s">
        <v>578</v>
      </c>
      <c r="I200" s="5" t="s">
        <v>571</v>
      </c>
    </row>
    <row r="201" customFormat="false" ht="15" hidden="false" customHeight="false" outlineLevel="0" collapsed="false">
      <c r="A201" s="5" t="s">
        <v>145</v>
      </c>
      <c r="B201" s="5" t="s">
        <v>102</v>
      </c>
      <c r="C201" s="5" t="s">
        <v>125</v>
      </c>
      <c r="D201" s="5" t="s">
        <v>176</v>
      </c>
      <c r="E201" s="5" t="s">
        <v>168</v>
      </c>
      <c r="F201" s="16" t="n">
        <v>51.4</v>
      </c>
      <c r="G201" s="12" t="str">
        <f aca="false">IF(VALUE(MID(D201,3,2))*10+VALUE(MID(E201,2,1))&lt;=242,"Pre",IF(VALUE(MID(D201,3,2))*10+VALUE(MID(E201,2,1))&lt;=254,"Post","Later"))</f>
        <v>Pre</v>
      </c>
      <c r="H201" s="5" t="s">
        <v>579</v>
      </c>
      <c r="I201" s="5" t="s">
        <v>571</v>
      </c>
    </row>
    <row r="202" customFormat="false" ht="15" hidden="false" customHeight="false" outlineLevel="0" collapsed="false">
      <c r="A202" s="5" t="s">
        <v>145</v>
      </c>
      <c r="B202" s="5" t="s">
        <v>102</v>
      </c>
      <c r="C202" s="5" t="s">
        <v>125</v>
      </c>
      <c r="D202" s="5" t="s">
        <v>176</v>
      </c>
      <c r="E202" s="5" t="s">
        <v>171</v>
      </c>
      <c r="F202" s="16" t="n">
        <v>55.9</v>
      </c>
      <c r="G202" s="12" t="str">
        <f aca="false">IF(VALUE(MID(D202,3,2))*10+VALUE(MID(E202,2,1))&lt;=242,"Pre",IF(VALUE(MID(D202,3,2))*10+VALUE(MID(E202,2,1))&lt;=254,"Post","Later"))</f>
        <v>Pre</v>
      </c>
      <c r="H202" s="5" t="s">
        <v>580</v>
      </c>
      <c r="I202" s="5" t="s">
        <v>571</v>
      </c>
    </row>
    <row r="203" customFormat="false" ht="15" hidden="false" customHeight="false" outlineLevel="0" collapsed="false">
      <c r="A203" s="5" t="s">
        <v>145</v>
      </c>
      <c r="B203" s="5" t="s">
        <v>102</v>
      </c>
      <c r="C203" s="5" t="s">
        <v>125</v>
      </c>
      <c r="D203" s="5" t="s">
        <v>176</v>
      </c>
      <c r="E203" s="5" t="s">
        <v>172</v>
      </c>
      <c r="F203" s="16" t="n">
        <v>62.3</v>
      </c>
      <c r="G203" s="12" t="str">
        <f aca="false">IF(VALUE(MID(D203,3,2))*10+VALUE(MID(E203,2,1))&lt;=242,"Pre",IF(VALUE(MID(D203,3,2))*10+VALUE(MID(E203,2,1))&lt;=254,"Post","Later"))</f>
        <v>Pre</v>
      </c>
      <c r="H203" s="5" t="s">
        <v>581</v>
      </c>
      <c r="I203" s="5" t="s">
        <v>571</v>
      </c>
    </row>
    <row r="204" customFormat="false" ht="15" hidden="false" customHeight="false" outlineLevel="0" collapsed="false">
      <c r="A204" s="5" t="s">
        <v>145</v>
      </c>
      <c r="B204" s="5" t="s">
        <v>102</v>
      </c>
      <c r="C204" s="5" t="s">
        <v>125</v>
      </c>
      <c r="D204" s="5" t="s">
        <v>176</v>
      </c>
      <c r="E204" s="5" t="s">
        <v>173</v>
      </c>
      <c r="F204" s="16" t="n">
        <v>59.5</v>
      </c>
      <c r="G204" s="12" t="str">
        <f aca="false">IF(VALUE(MID(D204,3,2))*10+VALUE(MID(E204,2,1))&lt;=242,"Pre",IF(VALUE(MID(D204,3,2))*10+VALUE(MID(E204,2,1))&lt;=254,"Post","Later"))</f>
        <v>Pre</v>
      </c>
      <c r="H204" s="5" t="s">
        <v>582</v>
      </c>
      <c r="I204" s="5" t="s">
        <v>571</v>
      </c>
    </row>
    <row r="205" customFormat="false" ht="15" hidden="false" customHeight="false" outlineLevel="0" collapsed="false">
      <c r="A205" s="5" t="s">
        <v>145</v>
      </c>
      <c r="B205" s="5" t="s">
        <v>102</v>
      </c>
      <c r="C205" s="5" t="s">
        <v>125</v>
      </c>
      <c r="D205" s="5" t="s">
        <v>177</v>
      </c>
      <c r="E205" s="5" t="s">
        <v>168</v>
      </c>
      <c r="F205" s="16" t="n">
        <v>59.8</v>
      </c>
      <c r="G205" s="12" t="str">
        <f aca="false">IF(VALUE(MID(D205,3,2))*10+VALUE(MID(E205,2,1))&lt;=242,"Pre",IF(VALUE(MID(D205,3,2))*10+VALUE(MID(E205,2,1))&lt;=254,"Post","Later"))</f>
        <v>Pre</v>
      </c>
      <c r="H205" s="5" t="s">
        <v>583</v>
      </c>
      <c r="I205" s="5" t="s">
        <v>571</v>
      </c>
    </row>
    <row r="206" customFormat="false" ht="15" hidden="false" customHeight="false" outlineLevel="0" collapsed="false">
      <c r="A206" s="5" t="s">
        <v>145</v>
      </c>
      <c r="B206" s="5" t="s">
        <v>102</v>
      </c>
      <c r="C206" s="5" t="s">
        <v>125</v>
      </c>
      <c r="D206" s="5" t="s">
        <v>177</v>
      </c>
      <c r="E206" s="5" t="s">
        <v>171</v>
      </c>
      <c r="F206" s="16" t="n">
        <v>65.4</v>
      </c>
      <c r="G206" s="12" t="str">
        <f aca="false">IF(VALUE(MID(D206,3,2))*10+VALUE(MID(E206,2,1))&lt;=242,"Pre",IF(VALUE(MID(D206,3,2))*10+VALUE(MID(E206,2,1))&lt;=254,"Post","Later"))</f>
        <v>Pre</v>
      </c>
      <c r="H206" s="5" t="s">
        <v>584</v>
      </c>
      <c r="I206" s="5" t="s">
        <v>571</v>
      </c>
    </row>
    <row r="207" customFormat="false" ht="15" hidden="false" customHeight="false" outlineLevel="0" collapsed="false">
      <c r="A207" s="5" t="s">
        <v>145</v>
      </c>
      <c r="B207" s="5" t="s">
        <v>102</v>
      </c>
      <c r="C207" s="5" t="s">
        <v>125</v>
      </c>
      <c r="D207" s="5" t="s">
        <v>177</v>
      </c>
      <c r="E207" s="5" t="s">
        <v>172</v>
      </c>
      <c r="F207" s="16" t="n">
        <v>61.6</v>
      </c>
      <c r="G207" s="12" t="str">
        <f aca="false">IF(VALUE(MID(D207,3,2))*10+VALUE(MID(E207,2,1))&lt;=242,"Pre",IF(VALUE(MID(D207,3,2))*10+VALUE(MID(E207,2,1))&lt;=254,"Post","Later"))</f>
        <v>Post</v>
      </c>
      <c r="H207" s="5" t="s">
        <v>585</v>
      </c>
      <c r="I207" s="5" t="s">
        <v>571</v>
      </c>
    </row>
    <row r="208" customFormat="false" ht="15" hidden="false" customHeight="false" outlineLevel="0" collapsed="false">
      <c r="A208" s="5" t="s">
        <v>145</v>
      </c>
      <c r="B208" s="5" t="s">
        <v>102</v>
      </c>
      <c r="C208" s="5" t="s">
        <v>125</v>
      </c>
      <c r="D208" s="5" t="s">
        <v>177</v>
      </c>
      <c r="E208" s="5" t="s">
        <v>173</v>
      </c>
      <c r="F208" s="16" t="n">
        <v>63</v>
      </c>
      <c r="G208" s="12" t="str">
        <f aca="false">IF(VALUE(MID(D208,3,2))*10+VALUE(MID(E208,2,1))&lt;=242,"Pre",IF(VALUE(MID(D208,3,2))*10+VALUE(MID(E208,2,1))&lt;=254,"Post","Later"))</f>
        <v>Post</v>
      </c>
      <c r="H208" s="5" t="s">
        <v>586</v>
      </c>
      <c r="I208" s="5" t="s">
        <v>571</v>
      </c>
    </row>
    <row r="209" customFormat="false" ht="15" hidden="false" customHeight="false" outlineLevel="0" collapsed="false">
      <c r="A209" s="5" t="s">
        <v>145</v>
      </c>
      <c r="B209" s="5" t="s">
        <v>102</v>
      </c>
      <c r="C209" s="5" t="s">
        <v>125</v>
      </c>
      <c r="D209" s="5" t="s">
        <v>179</v>
      </c>
      <c r="E209" s="5" t="s">
        <v>168</v>
      </c>
      <c r="F209" s="16" t="n">
        <v>55</v>
      </c>
      <c r="G209" s="12" t="str">
        <f aca="false">IF(VALUE(MID(D209,3,2))*10+VALUE(MID(E209,2,1))&lt;=242,"Pre",IF(VALUE(MID(D209,3,2))*10+VALUE(MID(E209,2,1))&lt;=254,"Post","Later"))</f>
        <v>Post</v>
      </c>
      <c r="H209" s="5" t="s">
        <v>587</v>
      </c>
      <c r="I209" s="5" t="s">
        <v>571</v>
      </c>
    </row>
    <row r="210" customFormat="false" ht="15" hidden="false" customHeight="false" outlineLevel="0" collapsed="false">
      <c r="A210" s="5" t="s">
        <v>145</v>
      </c>
      <c r="B210" s="5" t="s">
        <v>102</v>
      </c>
      <c r="C210" s="5" t="s">
        <v>125</v>
      </c>
      <c r="D210" s="5" t="s">
        <v>179</v>
      </c>
      <c r="E210" s="5" t="s">
        <v>171</v>
      </c>
      <c r="F210" s="16" t="n">
        <v>57.2</v>
      </c>
      <c r="G210" s="12" t="str">
        <f aca="false">IF(VALUE(MID(D210,3,2))*10+VALUE(MID(E210,2,1))&lt;=242,"Pre",IF(VALUE(MID(D210,3,2))*10+VALUE(MID(E210,2,1))&lt;=254,"Post","Later"))</f>
        <v>Post</v>
      </c>
      <c r="H210" s="5" t="s">
        <v>588</v>
      </c>
      <c r="I210" s="5" t="s">
        <v>571</v>
      </c>
    </row>
    <row r="211" customFormat="false" ht="15" hidden="false" customHeight="false" outlineLevel="0" collapsed="false">
      <c r="A211" s="5" t="s">
        <v>145</v>
      </c>
      <c r="B211" s="5" t="s">
        <v>102</v>
      </c>
      <c r="C211" s="5" t="s">
        <v>125</v>
      </c>
      <c r="D211" s="5" t="s">
        <v>179</v>
      </c>
      <c r="E211" s="5" t="s">
        <v>172</v>
      </c>
      <c r="F211" s="16" t="n">
        <v>55.7</v>
      </c>
      <c r="G211" s="12" t="str">
        <f aca="false">IF(VALUE(MID(D211,3,2))*10+VALUE(MID(E211,2,1))&lt;=242,"Pre",IF(VALUE(MID(D211,3,2))*10+VALUE(MID(E211,2,1))&lt;=254,"Post","Later"))</f>
        <v>Post</v>
      </c>
      <c r="H211" s="5" t="s">
        <v>589</v>
      </c>
      <c r="I211" s="5" t="s">
        <v>571</v>
      </c>
    </row>
    <row r="212" customFormat="false" ht="15" hidden="false" customHeight="false" outlineLevel="0" collapsed="false">
      <c r="A212" s="5" t="s">
        <v>145</v>
      </c>
      <c r="B212" s="5" t="s">
        <v>102</v>
      </c>
      <c r="C212" s="5" t="s">
        <v>125</v>
      </c>
      <c r="D212" s="5" t="s">
        <v>179</v>
      </c>
      <c r="E212" s="5" t="s">
        <v>173</v>
      </c>
      <c r="F212" s="16" t="n">
        <v>53</v>
      </c>
      <c r="G212" s="12" t="str">
        <f aca="false">IF(VALUE(MID(D212,3,2))*10+VALUE(MID(E212,2,1))&lt;=242,"Pre",IF(VALUE(MID(D212,3,2))*10+VALUE(MID(E212,2,1))&lt;=254,"Post","Later"))</f>
        <v>Post</v>
      </c>
      <c r="H212" s="5" t="s">
        <v>590</v>
      </c>
      <c r="I212" s="5" t="s">
        <v>571</v>
      </c>
    </row>
    <row r="213" customFormat="false" ht="15" hidden="false" customHeight="false" outlineLevel="0" collapsed="false">
      <c r="A213" s="5" t="s">
        <v>145</v>
      </c>
      <c r="B213" s="5" t="s">
        <v>102</v>
      </c>
      <c r="C213" s="5" t="s">
        <v>125</v>
      </c>
      <c r="D213" s="5" t="s">
        <v>180</v>
      </c>
      <c r="E213" s="5" t="s">
        <v>168</v>
      </c>
      <c r="F213" s="16" t="n">
        <v>50.5</v>
      </c>
      <c r="G213" s="12" t="str">
        <f aca="false">IF(VALUE(MID(D213,3,2))*10+VALUE(MID(E213,2,1))&lt;=242,"Pre",IF(VALUE(MID(D213,3,2))*10+VALUE(MID(E213,2,1))&lt;=254,"Post","Later"))</f>
        <v>Later</v>
      </c>
      <c r="H213" s="5" t="s">
        <v>591</v>
      </c>
      <c r="I213" s="5" t="s">
        <v>571</v>
      </c>
    </row>
    <row r="214" customFormat="false" ht="15" hidden="false" customHeight="false" outlineLevel="0" collapsed="false">
      <c r="A214" s="5" t="s">
        <v>145</v>
      </c>
      <c r="B214" s="5" t="s">
        <v>102</v>
      </c>
      <c r="C214" s="5" t="s">
        <v>125</v>
      </c>
      <c r="D214" s="5" t="s">
        <v>180</v>
      </c>
      <c r="E214" s="5" t="s">
        <v>171</v>
      </c>
      <c r="F214" s="16" t="n">
        <v>49.7</v>
      </c>
      <c r="G214" s="12" t="str">
        <f aca="false">IF(VALUE(MID(D214,3,2))*10+VALUE(MID(E214,2,1))&lt;=242,"Pre",IF(VALUE(MID(D214,3,2))*10+VALUE(MID(E214,2,1))&lt;=254,"Post","Later"))</f>
        <v>Later</v>
      </c>
      <c r="H214" s="5" t="s">
        <v>592</v>
      </c>
      <c r="I214" s="5" t="s">
        <v>571</v>
      </c>
    </row>
    <row r="215" customFormat="false" ht="15" hidden="false" customHeight="false" outlineLevel="0" collapsed="false">
      <c r="A215" s="5" t="s">
        <v>145</v>
      </c>
      <c r="B215" s="5" t="s">
        <v>102</v>
      </c>
      <c r="C215" s="5" t="s">
        <v>125</v>
      </c>
      <c r="D215" s="5" t="s">
        <v>180</v>
      </c>
      <c r="E215" s="5" t="s">
        <v>172</v>
      </c>
      <c r="F215" s="16" t="n">
        <v>48.9</v>
      </c>
      <c r="G215" s="12" t="str">
        <f aca="false">IF(VALUE(MID(D215,3,2))*10+VALUE(MID(E215,2,1))&lt;=242,"Pre",IF(VALUE(MID(D215,3,2))*10+VALUE(MID(E215,2,1))&lt;=254,"Post","Later"))</f>
        <v>Later</v>
      </c>
      <c r="H215" s="5" t="s">
        <v>593</v>
      </c>
      <c r="I215" s="5" t="s">
        <v>571</v>
      </c>
    </row>
    <row r="216" customFormat="false" ht="15" hidden="false" customHeight="false" outlineLevel="0" collapsed="false">
      <c r="A216" s="5" t="s">
        <v>148</v>
      </c>
      <c r="B216" s="5" t="s">
        <v>94</v>
      </c>
      <c r="C216" s="5" t="s">
        <v>120</v>
      </c>
      <c r="D216" s="5" t="s">
        <v>167</v>
      </c>
      <c r="E216" s="5" t="s">
        <v>173</v>
      </c>
      <c r="F216" s="16" t="n">
        <v>26.7</v>
      </c>
      <c r="G216" s="12" t="str">
        <f aca="false">IF(VALUE(MID(D216,3,2))*10+VALUE(MID(E216,2,1))&lt;=242,"Pre",IF(VALUE(MID(D216,3,2))*10+VALUE(MID(E216,2,1))&lt;=254,"Post","Later"))</f>
        <v>Pre</v>
      </c>
      <c r="H216" s="5" t="s">
        <v>594</v>
      </c>
      <c r="I216" s="5" t="s">
        <v>595</v>
      </c>
    </row>
    <row r="217" customFormat="false" ht="15" hidden="false" customHeight="false" outlineLevel="0" collapsed="false">
      <c r="A217" s="5" t="s">
        <v>148</v>
      </c>
      <c r="B217" s="5" t="s">
        <v>94</v>
      </c>
      <c r="C217" s="5" t="s">
        <v>120</v>
      </c>
      <c r="D217" s="5" t="s">
        <v>174</v>
      </c>
      <c r="E217" s="5" t="s">
        <v>173</v>
      </c>
      <c r="F217" s="16" t="n">
        <v>32.2</v>
      </c>
      <c r="G217" s="12" t="str">
        <f aca="false">IF(VALUE(MID(D217,3,2))*10+VALUE(MID(E217,2,1))&lt;=242,"Pre",IF(VALUE(MID(D217,3,2))*10+VALUE(MID(E217,2,1))&lt;=254,"Post","Later"))</f>
        <v>Pre</v>
      </c>
      <c r="H217" s="5" t="s">
        <v>596</v>
      </c>
      <c r="I217" s="5" t="s">
        <v>595</v>
      </c>
    </row>
    <row r="218" customFormat="false" ht="15" hidden="false" customHeight="false" outlineLevel="0" collapsed="false">
      <c r="A218" s="5" t="s">
        <v>148</v>
      </c>
      <c r="B218" s="5" t="s">
        <v>94</v>
      </c>
      <c r="C218" s="5" t="s">
        <v>120</v>
      </c>
      <c r="D218" s="5" t="s">
        <v>176</v>
      </c>
      <c r="E218" s="5" t="s">
        <v>168</v>
      </c>
      <c r="F218" s="16" t="n">
        <v>27.9</v>
      </c>
      <c r="G218" s="12" t="str">
        <f aca="false">IF(VALUE(MID(D218,3,2))*10+VALUE(MID(E218,2,1))&lt;=242,"Pre",IF(VALUE(MID(D218,3,2))*10+VALUE(MID(E218,2,1))&lt;=254,"Post","Later"))</f>
        <v>Pre</v>
      </c>
      <c r="H218" s="5" t="s">
        <v>597</v>
      </c>
      <c r="I218" s="5" t="s">
        <v>595</v>
      </c>
    </row>
    <row r="219" customFormat="false" ht="15" hidden="false" customHeight="false" outlineLevel="0" collapsed="false">
      <c r="A219" s="5" t="s">
        <v>148</v>
      </c>
      <c r="B219" s="5" t="s">
        <v>94</v>
      </c>
      <c r="C219" s="5" t="s">
        <v>120</v>
      </c>
      <c r="D219" s="5" t="s">
        <v>176</v>
      </c>
      <c r="E219" s="5" t="s">
        <v>171</v>
      </c>
      <c r="F219" s="16" t="n">
        <v>32.2</v>
      </c>
      <c r="G219" s="12" t="str">
        <f aca="false">IF(VALUE(MID(D219,3,2))*10+VALUE(MID(E219,2,1))&lt;=242,"Pre",IF(VALUE(MID(D219,3,2))*10+VALUE(MID(E219,2,1))&lt;=254,"Post","Later"))</f>
        <v>Pre</v>
      </c>
      <c r="H219" s="5" t="s">
        <v>597</v>
      </c>
      <c r="I219" s="5" t="s">
        <v>595</v>
      </c>
    </row>
    <row r="220" customFormat="false" ht="15" hidden="false" customHeight="false" outlineLevel="0" collapsed="false">
      <c r="A220" s="5" t="s">
        <v>148</v>
      </c>
      <c r="B220" s="5" t="s">
        <v>94</v>
      </c>
      <c r="C220" s="5" t="s">
        <v>120</v>
      </c>
      <c r="D220" s="5" t="s">
        <v>176</v>
      </c>
      <c r="E220" s="5" t="s">
        <v>173</v>
      </c>
      <c r="F220" s="16" t="n">
        <v>42.2</v>
      </c>
      <c r="G220" s="12" t="str">
        <f aca="false">IF(VALUE(MID(D220,3,2))*10+VALUE(MID(E220,2,1))&lt;=242,"Pre",IF(VALUE(MID(D220,3,2))*10+VALUE(MID(E220,2,1))&lt;=254,"Post","Later"))</f>
        <v>Pre</v>
      </c>
      <c r="H220" s="5" t="s">
        <v>596</v>
      </c>
      <c r="I220" s="5" t="s">
        <v>595</v>
      </c>
    </row>
    <row r="221" customFormat="false" ht="15" hidden="false" customHeight="false" outlineLevel="0" collapsed="false">
      <c r="A221" s="5" t="s">
        <v>148</v>
      </c>
      <c r="B221" s="5" t="s">
        <v>94</v>
      </c>
      <c r="C221" s="5" t="s">
        <v>120</v>
      </c>
      <c r="D221" s="5" t="s">
        <v>177</v>
      </c>
      <c r="E221" s="5" t="s">
        <v>171</v>
      </c>
      <c r="F221" s="16" t="n">
        <v>40.2</v>
      </c>
      <c r="G221" s="12" t="str">
        <f aca="false">IF(VALUE(MID(D221,3,2))*10+VALUE(MID(E221,2,1))&lt;=242,"Pre",IF(VALUE(MID(D221,3,2))*10+VALUE(MID(E221,2,1))&lt;=254,"Post","Later"))</f>
        <v>Pre</v>
      </c>
      <c r="H221" s="5" t="s">
        <v>598</v>
      </c>
      <c r="I221" s="5" t="s">
        <v>595</v>
      </c>
    </row>
    <row r="222" customFormat="false" ht="15" hidden="false" customHeight="false" outlineLevel="0" collapsed="false">
      <c r="A222" s="5" t="s">
        <v>148</v>
      </c>
      <c r="B222" s="5" t="s">
        <v>94</v>
      </c>
      <c r="C222" s="5" t="s">
        <v>120</v>
      </c>
      <c r="D222" s="5" t="s">
        <v>179</v>
      </c>
      <c r="E222" s="5" t="s">
        <v>168</v>
      </c>
      <c r="F222" s="16" t="n">
        <v>39.4</v>
      </c>
      <c r="G222" s="12" t="str">
        <f aca="false">IF(VALUE(MID(D222,3,2))*10+VALUE(MID(E222,2,1))&lt;=242,"Pre",IF(VALUE(MID(D222,3,2))*10+VALUE(MID(E222,2,1))&lt;=254,"Post","Later"))</f>
        <v>Post</v>
      </c>
      <c r="H222" s="5" t="s">
        <v>599</v>
      </c>
      <c r="I222" s="5" t="s">
        <v>595</v>
      </c>
    </row>
    <row r="223" customFormat="false" ht="15" hidden="false" customHeight="false" outlineLevel="0" collapsed="false">
      <c r="A223" s="5" t="s">
        <v>148</v>
      </c>
      <c r="B223" s="5" t="s">
        <v>94</v>
      </c>
      <c r="C223" s="5" t="s">
        <v>120</v>
      </c>
      <c r="D223" s="5" t="s">
        <v>179</v>
      </c>
      <c r="E223" s="5" t="s">
        <v>171</v>
      </c>
      <c r="F223" s="16" t="n">
        <v>39.1</v>
      </c>
      <c r="G223" s="12" t="str">
        <f aca="false">IF(VALUE(MID(D223,3,2))*10+VALUE(MID(E223,2,1))&lt;=242,"Pre",IF(VALUE(MID(D223,3,2))*10+VALUE(MID(E223,2,1))&lt;=254,"Post","Later"))</f>
        <v>Post</v>
      </c>
      <c r="H223" s="5" t="s">
        <v>599</v>
      </c>
      <c r="I223" s="5" t="s">
        <v>595</v>
      </c>
    </row>
    <row r="224" customFormat="false" ht="15" hidden="false" customHeight="false" outlineLevel="0" collapsed="false">
      <c r="A224" s="5" t="s">
        <v>148</v>
      </c>
      <c r="B224" s="5" t="s">
        <v>94</v>
      </c>
      <c r="C224" s="5" t="s">
        <v>120</v>
      </c>
      <c r="D224" s="5" t="s">
        <v>179</v>
      </c>
      <c r="E224" s="5" t="s">
        <v>173</v>
      </c>
      <c r="F224" s="16" t="n">
        <v>37.7</v>
      </c>
      <c r="G224" s="12" t="str">
        <f aca="false">IF(VALUE(MID(D224,3,2))*10+VALUE(MID(E224,2,1))&lt;=242,"Pre",IF(VALUE(MID(D224,3,2))*10+VALUE(MID(E224,2,1))&lt;=254,"Post","Later"))</f>
        <v>Post</v>
      </c>
      <c r="H224" s="5" t="s">
        <v>600</v>
      </c>
      <c r="I224" s="5" t="s">
        <v>595</v>
      </c>
    </row>
    <row r="225" customFormat="false" ht="15" hidden="false" customHeight="false" outlineLevel="0" collapsed="false">
      <c r="A225" s="5" t="s">
        <v>148</v>
      </c>
      <c r="B225" s="5" t="s">
        <v>94</v>
      </c>
      <c r="C225" s="5" t="s">
        <v>120</v>
      </c>
      <c r="D225" s="5" t="s">
        <v>180</v>
      </c>
      <c r="E225" s="5" t="s">
        <v>168</v>
      </c>
      <c r="F225" s="16" t="n">
        <v>35.6</v>
      </c>
      <c r="G225" s="12" t="str">
        <f aca="false">IF(VALUE(MID(D225,3,2))*10+VALUE(MID(E225,2,1))&lt;=242,"Pre",IF(VALUE(MID(D225,3,2))*10+VALUE(MID(E225,2,1))&lt;=254,"Post","Later"))</f>
        <v>Later</v>
      </c>
      <c r="H225" s="5" t="s">
        <v>601</v>
      </c>
      <c r="I225" s="5" t="s">
        <v>595</v>
      </c>
    </row>
    <row r="226" customFormat="false" ht="15" hidden="false" customHeight="false" outlineLevel="0" collapsed="false">
      <c r="A226" s="5" t="s">
        <v>148</v>
      </c>
      <c r="B226" s="5" t="s">
        <v>94</v>
      </c>
      <c r="C226" s="5" t="s">
        <v>120</v>
      </c>
      <c r="D226" s="5" t="s">
        <v>180</v>
      </c>
      <c r="E226" s="5" t="s">
        <v>171</v>
      </c>
      <c r="F226" s="16" t="n">
        <v>36.1</v>
      </c>
      <c r="G226" s="12" t="str">
        <f aca="false">IF(VALUE(MID(D226,3,2))*10+VALUE(MID(E226,2,1))&lt;=242,"Pre",IF(VALUE(MID(D226,3,2))*10+VALUE(MID(E226,2,1))&lt;=254,"Post","Later"))</f>
        <v>Later</v>
      </c>
      <c r="H226" s="5" t="s">
        <v>601</v>
      </c>
      <c r="I226" s="5" t="s">
        <v>595</v>
      </c>
    </row>
    <row r="227" customFormat="false" ht="15" hidden="false" customHeight="false" outlineLevel="0" collapsed="false">
      <c r="A227" s="5" t="s">
        <v>148</v>
      </c>
      <c r="B227" s="5" t="s">
        <v>94</v>
      </c>
      <c r="C227" s="5" t="s">
        <v>120</v>
      </c>
      <c r="D227" s="5" t="s">
        <v>180</v>
      </c>
      <c r="E227" s="5" t="s">
        <v>172</v>
      </c>
      <c r="F227" s="16" t="n">
        <v>36.9</v>
      </c>
      <c r="G227" s="12" t="str">
        <f aca="false">IF(VALUE(MID(D227,3,2))*10+VALUE(MID(E227,2,1))&lt;=242,"Pre",IF(VALUE(MID(D227,3,2))*10+VALUE(MID(E227,2,1))&lt;=254,"Post","Later"))</f>
        <v>Later</v>
      </c>
      <c r="H227" s="5" t="s">
        <v>600</v>
      </c>
      <c r="I227" s="5" t="s">
        <v>595</v>
      </c>
    </row>
    <row r="228" customFormat="false" ht="15" hidden="false" customHeight="false" outlineLevel="0" collapsed="false">
      <c r="A228" s="5" t="s">
        <v>148</v>
      </c>
      <c r="B228" s="5" t="s">
        <v>94</v>
      </c>
      <c r="C228" s="5" t="s">
        <v>120</v>
      </c>
      <c r="D228" s="5" t="s">
        <v>180</v>
      </c>
      <c r="E228" s="5" t="s">
        <v>173</v>
      </c>
      <c r="F228" s="16" t="n">
        <v>39.2</v>
      </c>
      <c r="G228" s="12" t="str">
        <f aca="false">IF(VALUE(MID(D228,3,2))*10+VALUE(MID(E228,2,1))&lt;=242,"Pre",IF(VALUE(MID(D228,3,2))*10+VALUE(MID(E228,2,1))&lt;=254,"Post","Later"))</f>
        <v>Later</v>
      </c>
      <c r="H228" s="5" t="s">
        <v>600</v>
      </c>
      <c r="I228" s="5" t="s">
        <v>595</v>
      </c>
    </row>
    <row r="229" customFormat="false" ht="15" hidden="false" customHeight="false" outlineLevel="0" collapsed="false">
      <c r="A229" s="5" t="s">
        <v>152</v>
      </c>
      <c r="B229" s="5" t="s">
        <v>95</v>
      </c>
      <c r="C229" s="5" t="s">
        <v>120</v>
      </c>
      <c r="D229" s="5" t="s">
        <v>167</v>
      </c>
      <c r="E229" s="5" t="s">
        <v>168</v>
      </c>
      <c r="F229" s="16" t="n">
        <v>74.8</v>
      </c>
      <c r="G229" s="12" t="str">
        <f aca="false">IF(VALUE(MID(D229,3,2))*10+VALUE(MID(E229,2,1))&lt;=242,"Pre",IF(VALUE(MID(D229,3,2))*10+VALUE(MID(E229,2,1))&lt;=254,"Post","Later"))</f>
        <v>Pre</v>
      </c>
      <c r="H229" s="5" t="s">
        <v>602</v>
      </c>
      <c r="I229" s="5" t="s">
        <v>603</v>
      </c>
    </row>
    <row r="230" customFormat="false" ht="15" hidden="false" customHeight="false" outlineLevel="0" collapsed="false">
      <c r="A230" s="5" t="s">
        <v>152</v>
      </c>
      <c r="B230" s="5" t="s">
        <v>95</v>
      </c>
      <c r="C230" s="5" t="s">
        <v>120</v>
      </c>
      <c r="D230" s="5" t="s">
        <v>167</v>
      </c>
      <c r="E230" s="5" t="s">
        <v>171</v>
      </c>
      <c r="F230" s="16" t="n">
        <v>71.7</v>
      </c>
      <c r="G230" s="12" t="str">
        <f aca="false">IF(VALUE(MID(D230,3,2))*10+VALUE(MID(E230,2,1))&lt;=242,"Pre",IF(VALUE(MID(D230,3,2))*10+VALUE(MID(E230,2,1))&lt;=254,"Post","Later"))</f>
        <v>Pre</v>
      </c>
      <c r="H230" s="5" t="s">
        <v>604</v>
      </c>
      <c r="I230" s="5" t="s">
        <v>603</v>
      </c>
    </row>
    <row r="231" customFormat="false" ht="15" hidden="false" customHeight="false" outlineLevel="0" collapsed="false">
      <c r="A231" s="5" t="s">
        <v>152</v>
      </c>
      <c r="B231" s="5" t="s">
        <v>95</v>
      </c>
      <c r="C231" s="5" t="s">
        <v>120</v>
      </c>
      <c r="D231" s="5" t="s">
        <v>167</v>
      </c>
      <c r="E231" s="5" t="s">
        <v>172</v>
      </c>
      <c r="F231" s="16" t="n">
        <v>73.2</v>
      </c>
      <c r="G231" s="12" t="str">
        <f aca="false">IF(VALUE(MID(D231,3,2))*10+VALUE(MID(E231,2,1))&lt;=242,"Pre",IF(VALUE(MID(D231,3,2))*10+VALUE(MID(E231,2,1))&lt;=254,"Post","Later"))</f>
        <v>Pre</v>
      </c>
      <c r="H231" s="5" t="s">
        <v>605</v>
      </c>
      <c r="I231" s="5" t="s">
        <v>603</v>
      </c>
    </row>
    <row r="232" customFormat="false" ht="15" hidden="false" customHeight="false" outlineLevel="0" collapsed="false">
      <c r="A232" s="5" t="s">
        <v>152</v>
      </c>
      <c r="B232" s="5" t="s">
        <v>95</v>
      </c>
      <c r="C232" s="5" t="s">
        <v>120</v>
      </c>
      <c r="D232" s="5" t="s">
        <v>167</v>
      </c>
      <c r="E232" s="5" t="s">
        <v>173</v>
      </c>
      <c r="F232" s="16" t="n">
        <v>68.5</v>
      </c>
      <c r="G232" s="12" t="str">
        <f aca="false">IF(VALUE(MID(D232,3,2))*10+VALUE(MID(E232,2,1))&lt;=242,"Pre",IF(VALUE(MID(D232,3,2))*10+VALUE(MID(E232,2,1))&lt;=254,"Post","Later"))</f>
        <v>Pre</v>
      </c>
      <c r="H232" s="5" t="s">
        <v>606</v>
      </c>
      <c r="I232" s="5" t="s">
        <v>603</v>
      </c>
    </row>
    <row r="233" customFormat="false" ht="15" hidden="false" customHeight="false" outlineLevel="0" collapsed="false">
      <c r="A233" s="5" t="s">
        <v>152</v>
      </c>
      <c r="B233" s="5" t="s">
        <v>95</v>
      </c>
      <c r="C233" s="5" t="s">
        <v>120</v>
      </c>
      <c r="D233" s="5" t="s">
        <v>174</v>
      </c>
      <c r="E233" s="5" t="s">
        <v>168</v>
      </c>
      <c r="F233" s="16" t="n">
        <v>66</v>
      </c>
      <c r="G233" s="12" t="str">
        <f aca="false">IF(VALUE(MID(D233,3,2))*10+VALUE(MID(E233,2,1))&lt;=242,"Pre",IF(VALUE(MID(D233,3,2))*10+VALUE(MID(E233,2,1))&lt;=254,"Post","Later"))</f>
        <v>Pre</v>
      </c>
      <c r="H233" s="5" t="s">
        <v>607</v>
      </c>
      <c r="I233" s="5" t="s">
        <v>603</v>
      </c>
    </row>
    <row r="234" customFormat="false" ht="15" hidden="false" customHeight="false" outlineLevel="0" collapsed="false">
      <c r="A234" s="5" t="s">
        <v>152</v>
      </c>
      <c r="B234" s="5" t="s">
        <v>95</v>
      </c>
      <c r="C234" s="5" t="s">
        <v>120</v>
      </c>
      <c r="D234" s="5" t="s">
        <v>174</v>
      </c>
      <c r="E234" s="5" t="s">
        <v>171</v>
      </c>
      <c r="F234" s="16" t="n">
        <v>69.9</v>
      </c>
      <c r="G234" s="12" t="str">
        <f aca="false">IF(VALUE(MID(D234,3,2))*10+VALUE(MID(E234,2,1))&lt;=242,"Pre",IF(VALUE(MID(D234,3,2))*10+VALUE(MID(E234,2,1))&lt;=254,"Post","Later"))</f>
        <v>Pre</v>
      </c>
      <c r="H234" s="5" t="s">
        <v>608</v>
      </c>
      <c r="I234" s="5" t="s">
        <v>603</v>
      </c>
    </row>
    <row r="235" customFormat="false" ht="15" hidden="false" customHeight="false" outlineLevel="0" collapsed="false">
      <c r="A235" s="5" t="s">
        <v>152</v>
      </c>
      <c r="B235" s="5" t="s">
        <v>95</v>
      </c>
      <c r="C235" s="5" t="s">
        <v>120</v>
      </c>
      <c r="D235" s="5" t="s">
        <v>174</v>
      </c>
      <c r="E235" s="5" t="s">
        <v>172</v>
      </c>
      <c r="F235" s="16" t="n">
        <v>69.9</v>
      </c>
      <c r="G235" s="12" t="str">
        <f aca="false">IF(VALUE(MID(D235,3,2))*10+VALUE(MID(E235,2,1))&lt;=242,"Pre",IF(VALUE(MID(D235,3,2))*10+VALUE(MID(E235,2,1))&lt;=254,"Post","Later"))</f>
        <v>Pre</v>
      </c>
      <c r="H235" s="5" t="s">
        <v>609</v>
      </c>
      <c r="I235" s="5" t="s">
        <v>603</v>
      </c>
    </row>
    <row r="236" customFormat="false" ht="15" hidden="false" customHeight="false" outlineLevel="0" collapsed="false">
      <c r="A236" s="5" t="s">
        <v>152</v>
      </c>
      <c r="B236" s="5" t="s">
        <v>95</v>
      </c>
      <c r="C236" s="5" t="s">
        <v>120</v>
      </c>
      <c r="D236" s="5" t="s">
        <v>174</v>
      </c>
      <c r="E236" s="5" t="s">
        <v>173</v>
      </c>
      <c r="F236" s="16" t="n">
        <v>68.1</v>
      </c>
      <c r="G236" s="12" t="str">
        <f aca="false">IF(VALUE(MID(D236,3,2))*10+VALUE(MID(E236,2,1))&lt;=242,"Pre",IF(VALUE(MID(D236,3,2))*10+VALUE(MID(E236,2,1))&lt;=254,"Post","Later"))</f>
        <v>Pre</v>
      </c>
      <c r="H236" s="5" t="s">
        <v>610</v>
      </c>
      <c r="I236" s="5" t="s">
        <v>603</v>
      </c>
    </row>
    <row r="237" customFormat="false" ht="15" hidden="false" customHeight="false" outlineLevel="0" collapsed="false">
      <c r="A237" s="5" t="s">
        <v>152</v>
      </c>
      <c r="B237" s="5" t="s">
        <v>95</v>
      </c>
      <c r="C237" s="5" t="s">
        <v>120</v>
      </c>
      <c r="D237" s="5" t="s">
        <v>176</v>
      </c>
      <c r="E237" s="5" t="s">
        <v>168</v>
      </c>
      <c r="F237" s="16" t="n">
        <v>71</v>
      </c>
      <c r="G237" s="12" t="str">
        <f aca="false">IF(VALUE(MID(D237,3,2))*10+VALUE(MID(E237,2,1))&lt;=242,"Pre",IF(VALUE(MID(D237,3,2))*10+VALUE(MID(E237,2,1))&lt;=254,"Post","Later"))</f>
        <v>Pre</v>
      </c>
      <c r="H237" s="5" t="s">
        <v>611</v>
      </c>
      <c r="I237" s="5" t="s">
        <v>603</v>
      </c>
    </row>
    <row r="238" customFormat="false" ht="15" hidden="false" customHeight="false" outlineLevel="0" collapsed="false">
      <c r="A238" s="5" t="s">
        <v>152</v>
      </c>
      <c r="B238" s="5" t="s">
        <v>95</v>
      </c>
      <c r="C238" s="5" t="s">
        <v>120</v>
      </c>
      <c r="D238" s="5" t="s">
        <v>176</v>
      </c>
      <c r="E238" s="5" t="s">
        <v>171</v>
      </c>
      <c r="F238" s="16" t="n">
        <v>71.8</v>
      </c>
      <c r="G238" s="12" t="str">
        <f aca="false">IF(VALUE(MID(D238,3,2))*10+VALUE(MID(E238,2,1))&lt;=242,"Pre",IF(VALUE(MID(D238,3,2))*10+VALUE(MID(E238,2,1))&lt;=254,"Post","Later"))</f>
        <v>Pre</v>
      </c>
      <c r="H238" s="5" t="s">
        <v>612</v>
      </c>
      <c r="I238" s="5" t="s">
        <v>603</v>
      </c>
    </row>
    <row r="239" customFormat="false" ht="15" hidden="false" customHeight="false" outlineLevel="0" collapsed="false">
      <c r="A239" s="5" t="s">
        <v>152</v>
      </c>
      <c r="B239" s="5" t="s">
        <v>95</v>
      </c>
      <c r="C239" s="5" t="s">
        <v>120</v>
      </c>
      <c r="D239" s="5" t="s">
        <v>176</v>
      </c>
      <c r="E239" s="5" t="s">
        <v>172</v>
      </c>
      <c r="F239" s="16" t="n">
        <v>72.1</v>
      </c>
      <c r="G239" s="12" t="str">
        <f aca="false">IF(VALUE(MID(D239,3,2))*10+VALUE(MID(E239,2,1))&lt;=242,"Pre",IF(VALUE(MID(D239,3,2))*10+VALUE(MID(E239,2,1))&lt;=254,"Post","Later"))</f>
        <v>Pre</v>
      </c>
      <c r="H239" s="5" t="s">
        <v>613</v>
      </c>
      <c r="I239" s="5" t="s">
        <v>603</v>
      </c>
    </row>
    <row r="240" customFormat="false" ht="15" hidden="false" customHeight="false" outlineLevel="0" collapsed="false">
      <c r="A240" s="5" t="s">
        <v>152</v>
      </c>
      <c r="B240" s="5" t="s">
        <v>95</v>
      </c>
      <c r="C240" s="5" t="s">
        <v>120</v>
      </c>
      <c r="D240" s="5" t="s">
        <v>176</v>
      </c>
      <c r="E240" s="5" t="s">
        <v>173</v>
      </c>
      <c r="F240" s="16" t="n">
        <v>74</v>
      </c>
      <c r="G240" s="12" t="str">
        <f aca="false">IF(VALUE(MID(D240,3,2))*10+VALUE(MID(E240,2,1))&lt;=242,"Pre",IF(VALUE(MID(D240,3,2))*10+VALUE(MID(E240,2,1))&lt;=254,"Post","Later"))</f>
        <v>Pre</v>
      </c>
      <c r="H240" s="5" t="s">
        <v>614</v>
      </c>
      <c r="I240" s="5" t="s">
        <v>603</v>
      </c>
    </row>
    <row r="241" customFormat="false" ht="15" hidden="false" customHeight="false" outlineLevel="0" collapsed="false">
      <c r="A241" s="5" t="s">
        <v>152</v>
      </c>
      <c r="B241" s="5" t="s">
        <v>95</v>
      </c>
      <c r="C241" s="5" t="s">
        <v>120</v>
      </c>
      <c r="D241" s="5" t="s">
        <v>177</v>
      </c>
      <c r="E241" s="5" t="s">
        <v>168</v>
      </c>
      <c r="F241" s="16" t="n">
        <v>73.7</v>
      </c>
      <c r="G241" s="12" t="str">
        <f aca="false">IF(VALUE(MID(D241,3,2))*10+VALUE(MID(E241,2,1))&lt;=242,"Pre",IF(VALUE(MID(D241,3,2))*10+VALUE(MID(E241,2,1))&lt;=254,"Post","Later"))</f>
        <v>Pre</v>
      </c>
      <c r="H241" s="5" t="s">
        <v>615</v>
      </c>
      <c r="I241" s="5" t="s">
        <v>603</v>
      </c>
    </row>
    <row r="242" customFormat="false" ht="15" hidden="false" customHeight="false" outlineLevel="0" collapsed="false">
      <c r="A242" s="5" t="s">
        <v>152</v>
      </c>
      <c r="B242" s="5" t="s">
        <v>95</v>
      </c>
      <c r="C242" s="5" t="s">
        <v>120</v>
      </c>
      <c r="D242" s="5" t="s">
        <v>177</v>
      </c>
      <c r="E242" s="5" t="s">
        <v>171</v>
      </c>
      <c r="F242" s="16" t="n">
        <v>75.5</v>
      </c>
      <c r="G242" s="12" t="str">
        <f aca="false">IF(VALUE(MID(D242,3,2))*10+VALUE(MID(E242,2,1))&lt;=242,"Pre",IF(VALUE(MID(D242,3,2))*10+VALUE(MID(E242,2,1))&lt;=254,"Post","Later"))</f>
        <v>Pre</v>
      </c>
      <c r="H242" s="5" t="s">
        <v>616</v>
      </c>
      <c r="I242" s="5" t="s">
        <v>603</v>
      </c>
    </row>
    <row r="243" customFormat="false" ht="15" hidden="false" customHeight="false" outlineLevel="0" collapsed="false">
      <c r="A243" s="5" t="s">
        <v>152</v>
      </c>
      <c r="B243" s="5" t="s">
        <v>95</v>
      </c>
      <c r="C243" s="5" t="s">
        <v>120</v>
      </c>
      <c r="D243" s="5" t="s">
        <v>177</v>
      </c>
      <c r="E243" s="5" t="s">
        <v>172</v>
      </c>
      <c r="F243" s="16" t="n">
        <v>77.7</v>
      </c>
      <c r="G243" s="12" t="str">
        <f aca="false">IF(VALUE(MID(D243,3,2))*10+VALUE(MID(E243,2,1))&lt;=242,"Pre",IF(VALUE(MID(D243,3,2))*10+VALUE(MID(E243,2,1))&lt;=254,"Post","Later"))</f>
        <v>Post</v>
      </c>
      <c r="H243" s="5" t="s">
        <v>617</v>
      </c>
      <c r="I243" s="5" t="s">
        <v>603</v>
      </c>
    </row>
    <row r="244" customFormat="false" ht="15" hidden="false" customHeight="false" outlineLevel="0" collapsed="false">
      <c r="A244" s="5" t="s">
        <v>152</v>
      </c>
      <c r="B244" s="5" t="s">
        <v>95</v>
      </c>
      <c r="C244" s="5" t="s">
        <v>120</v>
      </c>
      <c r="D244" s="5" t="s">
        <v>177</v>
      </c>
      <c r="E244" s="5" t="s">
        <v>173</v>
      </c>
      <c r="F244" s="16" t="n">
        <v>79.2</v>
      </c>
      <c r="G244" s="12" t="str">
        <f aca="false">IF(VALUE(MID(D244,3,2))*10+VALUE(MID(E244,2,1))&lt;=242,"Pre",IF(VALUE(MID(D244,3,2))*10+VALUE(MID(E244,2,1))&lt;=254,"Post","Later"))</f>
        <v>Post</v>
      </c>
      <c r="H244" s="5" t="s">
        <v>618</v>
      </c>
      <c r="I244" s="5" t="s">
        <v>603</v>
      </c>
    </row>
    <row r="245" customFormat="false" ht="15" hidden="false" customHeight="false" outlineLevel="0" collapsed="false">
      <c r="A245" s="5" t="s">
        <v>152</v>
      </c>
      <c r="B245" s="5" t="s">
        <v>95</v>
      </c>
      <c r="C245" s="5" t="s">
        <v>120</v>
      </c>
      <c r="D245" s="5" t="s">
        <v>179</v>
      </c>
      <c r="E245" s="5" t="s">
        <v>168</v>
      </c>
      <c r="F245" s="16" t="n">
        <v>79.8</v>
      </c>
      <c r="G245" s="12" t="str">
        <f aca="false">IF(VALUE(MID(D245,3,2))*10+VALUE(MID(E245,2,1))&lt;=242,"Pre",IF(VALUE(MID(D245,3,2))*10+VALUE(MID(E245,2,1))&lt;=254,"Post","Later"))</f>
        <v>Post</v>
      </c>
      <c r="H245" s="5" t="s">
        <v>619</v>
      </c>
      <c r="I245" s="5" t="s">
        <v>603</v>
      </c>
    </row>
    <row r="246" customFormat="false" ht="15" hidden="false" customHeight="false" outlineLevel="0" collapsed="false">
      <c r="A246" s="5" t="s">
        <v>152</v>
      </c>
      <c r="B246" s="5" t="s">
        <v>95</v>
      </c>
      <c r="C246" s="5" t="s">
        <v>120</v>
      </c>
      <c r="D246" s="5" t="s">
        <v>179</v>
      </c>
      <c r="E246" s="5" t="s">
        <v>171</v>
      </c>
      <c r="F246" s="16" t="n">
        <v>81.4</v>
      </c>
      <c r="G246" s="12" t="str">
        <f aca="false">IF(VALUE(MID(D246,3,2))*10+VALUE(MID(E246,2,1))&lt;=242,"Pre",IF(VALUE(MID(D246,3,2))*10+VALUE(MID(E246,2,1))&lt;=254,"Post","Later"))</f>
        <v>Post</v>
      </c>
      <c r="H246" s="5" t="s">
        <v>620</v>
      </c>
      <c r="I246" s="5" t="s">
        <v>603</v>
      </c>
    </row>
    <row r="247" customFormat="false" ht="15" hidden="false" customHeight="false" outlineLevel="0" collapsed="false">
      <c r="A247" s="5" t="s">
        <v>152</v>
      </c>
      <c r="B247" s="5" t="s">
        <v>95</v>
      </c>
      <c r="C247" s="5" t="s">
        <v>120</v>
      </c>
      <c r="D247" s="5" t="s">
        <v>179</v>
      </c>
      <c r="E247" s="5" t="s">
        <v>172</v>
      </c>
      <c r="F247" s="16" t="n">
        <v>82.2</v>
      </c>
      <c r="G247" s="12" t="str">
        <f aca="false">IF(VALUE(MID(D247,3,2))*10+VALUE(MID(E247,2,1))&lt;=242,"Pre",IF(VALUE(MID(D247,3,2))*10+VALUE(MID(E247,2,1))&lt;=254,"Post","Later"))</f>
        <v>Post</v>
      </c>
      <c r="H247" s="5" t="s">
        <v>621</v>
      </c>
      <c r="I247" s="5" t="s">
        <v>603</v>
      </c>
    </row>
    <row r="248" customFormat="false" ht="15" hidden="false" customHeight="false" outlineLevel="0" collapsed="false">
      <c r="A248" s="5" t="s">
        <v>152</v>
      </c>
      <c r="B248" s="5" t="s">
        <v>95</v>
      </c>
      <c r="C248" s="5" t="s">
        <v>120</v>
      </c>
      <c r="D248" s="5" t="s">
        <v>179</v>
      </c>
      <c r="E248" s="5" t="s">
        <v>173</v>
      </c>
      <c r="F248" s="16" t="n">
        <v>82.9</v>
      </c>
      <c r="G248" s="12" t="str">
        <f aca="false">IF(VALUE(MID(D248,3,2))*10+VALUE(MID(E248,2,1))&lt;=242,"Pre",IF(VALUE(MID(D248,3,2))*10+VALUE(MID(E248,2,1))&lt;=254,"Post","Later"))</f>
        <v>Post</v>
      </c>
      <c r="H248" s="5" t="s">
        <v>622</v>
      </c>
      <c r="I248" s="5" t="s">
        <v>603</v>
      </c>
    </row>
    <row r="249" customFormat="false" ht="15" hidden="false" customHeight="false" outlineLevel="0" collapsed="false">
      <c r="A249" s="5" t="s">
        <v>152</v>
      </c>
      <c r="B249" s="5" t="s">
        <v>95</v>
      </c>
      <c r="C249" s="5" t="s">
        <v>120</v>
      </c>
      <c r="D249" s="5" t="s">
        <v>180</v>
      </c>
      <c r="E249" s="5" t="s">
        <v>168</v>
      </c>
      <c r="F249" s="16" t="n">
        <v>82.1</v>
      </c>
      <c r="G249" s="12" t="str">
        <f aca="false">IF(VALUE(MID(D249,3,2))*10+VALUE(MID(E249,2,1))&lt;=242,"Pre",IF(VALUE(MID(D249,3,2))*10+VALUE(MID(E249,2,1))&lt;=254,"Post","Later"))</f>
        <v>Later</v>
      </c>
      <c r="H249" s="5" t="s">
        <v>623</v>
      </c>
      <c r="I249" s="5" t="s">
        <v>603</v>
      </c>
    </row>
    <row r="250" customFormat="false" ht="15" hidden="false" customHeight="false" outlineLevel="0" collapsed="false">
      <c r="A250" s="5" t="s">
        <v>152</v>
      </c>
      <c r="B250" s="5" t="s">
        <v>95</v>
      </c>
      <c r="C250" s="5" t="s">
        <v>120</v>
      </c>
      <c r="D250" s="5" t="s">
        <v>180</v>
      </c>
      <c r="E250" s="5" t="s">
        <v>171</v>
      </c>
      <c r="F250" s="16" t="n">
        <v>84.8</v>
      </c>
      <c r="G250" s="12" t="str">
        <f aca="false">IF(VALUE(MID(D250,3,2))*10+VALUE(MID(E250,2,1))&lt;=242,"Pre",IF(VALUE(MID(D250,3,2))*10+VALUE(MID(E250,2,1))&lt;=254,"Post","Later"))</f>
        <v>Later</v>
      </c>
      <c r="H250" s="5" t="s">
        <v>624</v>
      </c>
      <c r="I250" s="5" t="s">
        <v>603</v>
      </c>
    </row>
    <row r="251" customFormat="false" ht="15" hidden="false" customHeight="false" outlineLevel="0" collapsed="false">
      <c r="A251" s="5" t="s">
        <v>152</v>
      </c>
      <c r="B251" s="5" t="s">
        <v>95</v>
      </c>
      <c r="C251" s="5" t="s">
        <v>120</v>
      </c>
      <c r="D251" s="5" t="s">
        <v>180</v>
      </c>
      <c r="E251" s="5" t="s">
        <v>172</v>
      </c>
      <c r="F251" s="16" t="n">
        <v>84.1</v>
      </c>
      <c r="G251" s="12" t="str">
        <f aca="false">IF(VALUE(MID(D251,3,2))*10+VALUE(MID(E251,2,1))&lt;=242,"Pre",IF(VALUE(MID(D251,3,2))*10+VALUE(MID(E251,2,1))&lt;=254,"Post","Later"))</f>
        <v>Later</v>
      </c>
      <c r="H251" s="5" t="s">
        <v>625</v>
      </c>
      <c r="I251" s="5" t="s">
        <v>603</v>
      </c>
    </row>
    <row r="252" customFormat="false" ht="15" hidden="false" customHeight="false" outlineLevel="0" collapsed="false">
      <c r="A252" s="5" t="s">
        <v>152</v>
      </c>
      <c r="B252" s="5" t="s">
        <v>95</v>
      </c>
      <c r="C252" s="5" t="s">
        <v>120</v>
      </c>
      <c r="D252" s="5" t="s">
        <v>180</v>
      </c>
      <c r="E252" s="5" t="s">
        <v>173</v>
      </c>
      <c r="F252" s="16" t="n">
        <v>85.5</v>
      </c>
      <c r="G252" s="12" t="str">
        <f aca="false">IF(VALUE(MID(D252,3,2))*10+VALUE(MID(E252,2,1))&lt;=242,"Pre",IF(VALUE(MID(D252,3,2))*10+VALUE(MID(E252,2,1))&lt;=254,"Post","Later"))</f>
        <v>Later</v>
      </c>
      <c r="H252" s="5" t="s">
        <v>626</v>
      </c>
      <c r="I252" s="5" t="s">
        <v>603</v>
      </c>
    </row>
    <row r="253" customFormat="false" ht="15" hidden="false" customHeight="false" outlineLevel="0" collapsed="false">
      <c r="A253" s="5" t="s">
        <v>154</v>
      </c>
      <c r="B253" s="5" t="s">
        <v>104</v>
      </c>
      <c r="C253" s="5" t="s">
        <v>125</v>
      </c>
      <c r="D253" s="5" t="s">
        <v>167</v>
      </c>
      <c r="E253" s="5" t="s">
        <v>171</v>
      </c>
      <c r="F253" s="16" t="n">
        <v>57</v>
      </c>
      <c r="G253" s="12" t="str">
        <f aca="false">IF(VALUE(MID(D253,3,2))*10+VALUE(MID(E253,2,1))&lt;=242,"Pre",IF(VALUE(MID(D253,3,2))*10+VALUE(MID(E253,2,1))&lt;=254,"Post","Later"))</f>
        <v>Pre</v>
      </c>
      <c r="H253" s="5" t="s">
        <v>627</v>
      </c>
      <c r="I253" s="5" t="s">
        <v>628</v>
      </c>
    </row>
    <row r="254" customFormat="false" ht="15" hidden="false" customHeight="false" outlineLevel="0" collapsed="false">
      <c r="A254" s="5" t="s">
        <v>154</v>
      </c>
      <c r="B254" s="5" t="s">
        <v>104</v>
      </c>
      <c r="C254" s="5" t="s">
        <v>125</v>
      </c>
      <c r="D254" s="5" t="s">
        <v>167</v>
      </c>
      <c r="E254" s="5" t="s">
        <v>173</v>
      </c>
      <c r="F254" s="16" t="n">
        <v>60</v>
      </c>
      <c r="G254" s="12" t="str">
        <f aca="false">IF(VALUE(MID(D254,3,2))*10+VALUE(MID(E254,2,1))&lt;=242,"Pre",IF(VALUE(MID(D254,3,2))*10+VALUE(MID(E254,2,1))&lt;=254,"Post","Later"))</f>
        <v>Pre</v>
      </c>
      <c r="H254" s="5" t="s">
        <v>629</v>
      </c>
      <c r="I254" s="5" t="s">
        <v>628</v>
      </c>
    </row>
    <row r="255" customFormat="false" ht="15" hidden="false" customHeight="false" outlineLevel="0" collapsed="false">
      <c r="A255" s="5" t="s">
        <v>154</v>
      </c>
      <c r="B255" s="5" t="s">
        <v>104</v>
      </c>
      <c r="C255" s="5" t="s">
        <v>125</v>
      </c>
      <c r="D255" s="5" t="s">
        <v>174</v>
      </c>
      <c r="E255" s="5" t="s">
        <v>168</v>
      </c>
      <c r="F255" s="16" t="n">
        <v>58</v>
      </c>
      <c r="G255" s="12" t="str">
        <f aca="false">IF(VALUE(MID(D255,3,2))*10+VALUE(MID(E255,2,1))&lt;=242,"Pre",IF(VALUE(MID(D255,3,2))*10+VALUE(MID(E255,2,1))&lt;=254,"Post","Later"))</f>
        <v>Pre</v>
      </c>
      <c r="H255" s="5" t="s">
        <v>627</v>
      </c>
      <c r="I255" s="5" t="s">
        <v>628</v>
      </c>
    </row>
    <row r="256" customFormat="false" ht="15" hidden="false" customHeight="false" outlineLevel="0" collapsed="false">
      <c r="A256" s="5" t="s">
        <v>154</v>
      </c>
      <c r="B256" s="5" t="s">
        <v>104</v>
      </c>
      <c r="C256" s="5" t="s">
        <v>125</v>
      </c>
      <c r="D256" s="5" t="s">
        <v>174</v>
      </c>
      <c r="E256" s="5" t="s">
        <v>171</v>
      </c>
      <c r="F256" s="16" t="n">
        <v>60</v>
      </c>
      <c r="G256" s="12" t="str">
        <f aca="false">IF(VALUE(MID(D256,3,2))*10+VALUE(MID(E256,2,1))&lt;=242,"Pre",IF(VALUE(MID(D256,3,2))*10+VALUE(MID(E256,2,1))&lt;=254,"Post","Later"))</f>
        <v>Pre</v>
      </c>
      <c r="H256" s="5" t="s">
        <v>627</v>
      </c>
      <c r="I256" s="5" t="s">
        <v>628</v>
      </c>
    </row>
    <row r="257" customFormat="false" ht="15" hidden="false" customHeight="false" outlineLevel="0" collapsed="false">
      <c r="A257" s="5" t="s">
        <v>154</v>
      </c>
      <c r="B257" s="5" t="s">
        <v>104</v>
      </c>
      <c r="C257" s="5" t="s">
        <v>125</v>
      </c>
      <c r="D257" s="5" t="s">
        <v>174</v>
      </c>
      <c r="E257" s="5" t="s">
        <v>172</v>
      </c>
      <c r="F257" s="16" t="n">
        <v>60</v>
      </c>
      <c r="G257" s="12" t="str">
        <f aca="false">IF(VALUE(MID(D257,3,2))*10+VALUE(MID(E257,2,1))&lt;=242,"Pre",IF(VALUE(MID(D257,3,2))*10+VALUE(MID(E257,2,1))&lt;=254,"Post","Later"))</f>
        <v>Pre</v>
      </c>
      <c r="H257" s="5" t="s">
        <v>629</v>
      </c>
      <c r="I257" s="5" t="s">
        <v>628</v>
      </c>
    </row>
    <row r="258" customFormat="false" ht="15" hidden="false" customHeight="false" outlineLevel="0" collapsed="false">
      <c r="A258" s="5" t="s">
        <v>154</v>
      </c>
      <c r="B258" s="5" t="s">
        <v>104</v>
      </c>
      <c r="C258" s="5" t="s">
        <v>125</v>
      </c>
      <c r="D258" s="5" t="s">
        <v>174</v>
      </c>
      <c r="E258" s="5" t="s">
        <v>173</v>
      </c>
      <c r="F258" s="16" t="n">
        <v>64</v>
      </c>
      <c r="G258" s="12" t="str">
        <f aca="false">IF(VALUE(MID(D258,3,2))*10+VALUE(MID(E258,2,1))&lt;=242,"Pre",IF(VALUE(MID(D258,3,2))*10+VALUE(MID(E258,2,1))&lt;=254,"Post","Later"))</f>
        <v>Pre</v>
      </c>
      <c r="H258" s="5" t="s">
        <v>629</v>
      </c>
      <c r="I258" s="5" t="s">
        <v>628</v>
      </c>
    </row>
    <row r="259" customFormat="false" ht="15" hidden="false" customHeight="false" outlineLevel="0" collapsed="false">
      <c r="A259" s="5" t="s">
        <v>154</v>
      </c>
      <c r="B259" s="5" t="s">
        <v>104</v>
      </c>
      <c r="C259" s="5" t="s">
        <v>125</v>
      </c>
      <c r="D259" s="5" t="s">
        <v>176</v>
      </c>
      <c r="E259" s="5" t="s">
        <v>168</v>
      </c>
      <c r="F259" s="16" t="n">
        <v>63</v>
      </c>
      <c r="G259" s="12" t="str">
        <f aca="false">IF(VALUE(MID(D259,3,2))*10+VALUE(MID(E259,2,1))&lt;=242,"Pre",IF(VALUE(MID(D259,3,2))*10+VALUE(MID(E259,2,1))&lt;=254,"Post","Later"))</f>
        <v>Pre</v>
      </c>
      <c r="H259" s="5" t="s">
        <v>418</v>
      </c>
      <c r="I259" s="5" t="s">
        <v>628</v>
      </c>
    </row>
    <row r="260" customFormat="false" ht="15" hidden="false" customHeight="false" outlineLevel="0" collapsed="false">
      <c r="A260" s="5" t="s">
        <v>154</v>
      </c>
      <c r="B260" s="5" t="s">
        <v>104</v>
      </c>
      <c r="C260" s="5" t="s">
        <v>125</v>
      </c>
      <c r="D260" s="5" t="s">
        <v>176</v>
      </c>
      <c r="E260" s="5" t="s">
        <v>171</v>
      </c>
      <c r="F260" s="16" t="n">
        <v>67</v>
      </c>
      <c r="G260" s="12" t="str">
        <f aca="false">IF(VALUE(MID(D260,3,2))*10+VALUE(MID(E260,2,1))&lt;=242,"Pre",IF(VALUE(MID(D260,3,2))*10+VALUE(MID(E260,2,1))&lt;=254,"Post","Later"))</f>
        <v>Pre</v>
      </c>
      <c r="H260" s="5" t="s">
        <v>418</v>
      </c>
      <c r="I260" s="5" t="s">
        <v>628</v>
      </c>
    </row>
    <row r="261" customFormat="false" ht="15" hidden="false" customHeight="false" outlineLevel="0" collapsed="false">
      <c r="A261" s="5" t="s">
        <v>154</v>
      </c>
      <c r="B261" s="5" t="s">
        <v>104</v>
      </c>
      <c r="C261" s="5" t="s">
        <v>125</v>
      </c>
      <c r="D261" s="5" t="s">
        <v>176</v>
      </c>
      <c r="E261" s="5" t="s">
        <v>172</v>
      </c>
      <c r="F261" s="16" t="n">
        <v>68</v>
      </c>
      <c r="G261" s="12" t="str">
        <f aca="false">IF(VALUE(MID(D261,3,2))*10+VALUE(MID(E261,2,1))&lt;=242,"Pre",IF(VALUE(MID(D261,3,2))*10+VALUE(MID(E261,2,1))&lt;=254,"Post","Later"))</f>
        <v>Pre</v>
      </c>
      <c r="H261" s="5" t="s">
        <v>418</v>
      </c>
      <c r="I261" s="5" t="s">
        <v>628</v>
      </c>
    </row>
    <row r="262" customFormat="false" ht="15" hidden="false" customHeight="false" outlineLevel="0" collapsed="false">
      <c r="A262" s="5" t="s">
        <v>154</v>
      </c>
      <c r="B262" s="5" t="s">
        <v>104</v>
      </c>
      <c r="C262" s="5" t="s">
        <v>125</v>
      </c>
      <c r="D262" s="5" t="s">
        <v>176</v>
      </c>
      <c r="E262" s="5" t="s">
        <v>173</v>
      </c>
      <c r="F262" s="16" t="n">
        <v>75</v>
      </c>
      <c r="G262" s="12" t="str">
        <f aca="false">IF(VALUE(MID(D262,3,2))*10+VALUE(MID(E262,2,1))&lt;=242,"Pre",IF(VALUE(MID(D262,3,2))*10+VALUE(MID(E262,2,1))&lt;=254,"Post","Later"))</f>
        <v>Pre</v>
      </c>
      <c r="H262" s="5" t="s">
        <v>418</v>
      </c>
      <c r="I262" s="5" t="s">
        <v>628</v>
      </c>
    </row>
    <row r="263" customFormat="false" ht="15" hidden="false" customHeight="false" outlineLevel="0" collapsed="false">
      <c r="A263" s="5" t="s">
        <v>154</v>
      </c>
      <c r="B263" s="5" t="s">
        <v>104</v>
      </c>
      <c r="C263" s="5" t="s">
        <v>125</v>
      </c>
      <c r="D263" s="5" t="s">
        <v>177</v>
      </c>
      <c r="E263" s="5" t="s">
        <v>168</v>
      </c>
      <c r="F263" s="16" t="n">
        <v>76</v>
      </c>
      <c r="G263" s="12" t="str">
        <f aca="false">IF(VALUE(MID(D263,3,2))*10+VALUE(MID(E263,2,1))&lt;=242,"Pre",IF(VALUE(MID(D263,3,2))*10+VALUE(MID(E263,2,1))&lt;=254,"Post","Later"))</f>
        <v>Pre</v>
      </c>
      <c r="H263" s="5" t="s">
        <v>630</v>
      </c>
      <c r="I263" s="5" t="s">
        <v>628</v>
      </c>
    </row>
    <row r="264" customFormat="false" ht="15" hidden="false" customHeight="false" outlineLevel="0" collapsed="false">
      <c r="A264" s="5" t="s">
        <v>154</v>
      </c>
      <c r="B264" s="5" t="s">
        <v>104</v>
      </c>
      <c r="C264" s="5" t="s">
        <v>125</v>
      </c>
      <c r="D264" s="5" t="s">
        <v>177</v>
      </c>
      <c r="E264" s="5" t="s">
        <v>171</v>
      </c>
      <c r="F264" s="16" t="n">
        <v>77</v>
      </c>
      <c r="G264" s="12" t="str">
        <f aca="false">IF(VALUE(MID(D264,3,2))*10+VALUE(MID(E264,2,1))&lt;=242,"Pre",IF(VALUE(MID(D264,3,2))*10+VALUE(MID(E264,2,1))&lt;=254,"Post","Later"))</f>
        <v>Pre</v>
      </c>
      <c r="H264" s="5" t="s">
        <v>630</v>
      </c>
      <c r="I264" s="5" t="s">
        <v>628</v>
      </c>
    </row>
    <row r="265" customFormat="false" ht="15" hidden="false" customHeight="false" outlineLevel="0" collapsed="false">
      <c r="A265" s="5" t="s">
        <v>154</v>
      </c>
      <c r="B265" s="5" t="s">
        <v>104</v>
      </c>
      <c r="C265" s="5" t="s">
        <v>125</v>
      </c>
      <c r="D265" s="5" t="s">
        <v>177</v>
      </c>
      <c r="E265" s="5" t="s">
        <v>172</v>
      </c>
      <c r="F265" s="16" t="n">
        <v>81</v>
      </c>
      <c r="G265" s="12" t="str">
        <f aca="false">IF(VALUE(MID(D265,3,2))*10+VALUE(MID(E265,2,1))&lt;=242,"Pre",IF(VALUE(MID(D265,3,2))*10+VALUE(MID(E265,2,1))&lt;=254,"Post","Later"))</f>
        <v>Post</v>
      </c>
      <c r="H265" s="5" t="s">
        <v>630</v>
      </c>
      <c r="I265" s="5" t="s">
        <v>628</v>
      </c>
    </row>
    <row r="266" customFormat="false" ht="15" hidden="false" customHeight="false" outlineLevel="0" collapsed="false">
      <c r="A266" s="5" t="s">
        <v>154</v>
      </c>
      <c r="B266" s="5" t="s">
        <v>104</v>
      </c>
      <c r="C266" s="5" t="s">
        <v>125</v>
      </c>
      <c r="D266" s="5" t="s">
        <v>177</v>
      </c>
      <c r="E266" s="5" t="s">
        <v>173</v>
      </c>
      <c r="F266" s="16" t="n">
        <v>80</v>
      </c>
      <c r="G266" s="12" t="str">
        <f aca="false">IF(VALUE(MID(D266,3,2))*10+VALUE(MID(E266,2,1))&lt;=242,"Pre",IF(VALUE(MID(D266,3,2))*10+VALUE(MID(E266,2,1))&lt;=254,"Post","Later"))</f>
        <v>Post</v>
      </c>
      <c r="H266" s="5" t="s">
        <v>630</v>
      </c>
      <c r="I266" s="5" t="s">
        <v>628</v>
      </c>
    </row>
    <row r="267" customFormat="false" ht="15" hidden="false" customHeight="false" outlineLevel="0" collapsed="false">
      <c r="A267" s="5" t="s">
        <v>154</v>
      </c>
      <c r="B267" s="5" t="s">
        <v>104</v>
      </c>
      <c r="C267" s="5" t="s">
        <v>125</v>
      </c>
      <c r="D267" s="5" t="s">
        <v>179</v>
      </c>
      <c r="E267" s="5" t="s">
        <v>168</v>
      </c>
      <c r="F267" s="16" t="n">
        <v>83</v>
      </c>
      <c r="G267" s="12" t="str">
        <f aca="false">IF(VALUE(MID(D267,3,2))*10+VALUE(MID(E267,2,1))&lt;=242,"Pre",IF(VALUE(MID(D267,3,2))*10+VALUE(MID(E267,2,1))&lt;=254,"Post","Later"))</f>
        <v>Post</v>
      </c>
      <c r="H267" s="5" t="s">
        <v>425</v>
      </c>
      <c r="I267" s="5" t="s">
        <v>628</v>
      </c>
    </row>
    <row r="268" customFormat="false" ht="15" hidden="false" customHeight="false" outlineLevel="0" collapsed="false">
      <c r="A268" s="5" t="s">
        <v>154</v>
      </c>
      <c r="B268" s="5" t="s">
        <v>104</v>
      </c>
      <c r="C268" s="5" t="s">
        <v>125</v>
      </c>
      <c r="D268" s="5" t="s">
        <v>179</v>
      </c>
      <c r="E268" s="5" t="s">
        <v>171</v>
      </c>
      <c r="F268" s="16" t="n">
        <v>82</v>
      </c>
      <c r="G268" s="12" t="str">
        <f aca="false">IF(VALUE(MID(D268,3,2))*10+VALUE(MID(E268,2,1))&lt;=242,"Pre",IF(VALUE(MID(D268,3,2))*10+VALUE(MID(E268,2,1))&lt;=254,"Post","Later"))</f>
        <v>Post</v>
      </c>
      <c r="H268" s="5" t="s">
        <v>425</v>
      </c>
      <c r="I268" s="5" t="s">
        <v>628</v>
      </c>
    </row>
    <row r="269" customFormat="false" ht="15" hidden="false" customHeight="false" outlineLevel="0" collapsed="false">
      <c r="A269" s="5" t="s">
        <v>154</v>
      </c>
      <c r="B269" s="5" t="s">
        <v>104</v>
      </c>
      <c r="C269" s="5" t="s">
        <v>125</v>
      </c>
      <c r="D269" s="5" t="s">
        <v>179</v>
      </c>
      <c r="E269" s="5" t="s">
        <v>172</v>
      </c>
      <c r="F269" s="16" t="n">
        <v>84</v>
      </c>
      <c r="G269" s="12" t="str">
        <f aca="false">IF(VALUE(MID(D269,3,2))*10+VALUE(MID(E269,2,1))&lt;=242,"Pre",IF(VALUE(MID(D269,3,2))*10+VALUE(MID(E269,2,1))&lt;=254,"Post","Later"))</f>
        <v>Post</v>
      </c>
      <c r="H269" s="5" t="s">
        <v>425</v>
      </c>
      <c r="I269" s="5" t="s">
        <v>628</v>
      </c>
    </row>
    <row r="270" customFormat="false" ht="15" hidden="false" customHeight="false" outlineLevel="0" collapsed="false">
      <c r="A270" s="5" t="s">
        <v>154</v>
      </c>
      <c r="B270" s="5" t="s">
        <v>104</v>
      </c>
      <c r="C270" s="5" t="s">
        <v>125</v>
      </c>
      <c r="D270" s="5" t="s">
        <v>179</v>
      </c>
      <c r="E270" s="5" t="s">
        <v>173</v>
      </c>
      <c r="F270" s="16" t="n">
        <v>86</v>
      </c>
      <c r="G270" s="12" t="str">
        <f aca="false">IF(VALUE(MID(D270,3,2))*10+VALUE(MID(E270,2,1))&lt;=242,"Pre",IF(VALUE(MID(D270,3,2))*10+VALUE(MID(E270,2,1))&lt;=254,"Post","Later"))</f>
        <v>Post</v>
      </c>
      <c r="H270" s="5" t="s">
        <v>425</v>
      </c>
      <c r="I270" s="5" t="s">
        <v>628</v>
      </c>
    </row>
    <row r="271" customFormat="false" ht="15" hidden="false" customHeight="false" outlineLevel="0" collapsed="false">
      <c r="A271" s="5" t="s">
        <v>154</v>
      </c>
      <c r="B271" s="5" t="s">
        <v>104</v>
      </c>
      <c r="C271" s="5" t="s">
        <v>125</v>
      </c>
      <c r="D271" s="5" t="s">
        <v>180</v>
      </c>
      <c r="E271" s="5" t="s">
        <v>168</v>
      </c>
      <c r="F271" s="16" t="n">
        <v>84</v>
      </c>
      <c r="G271" s="12" t="str">
        <f aca="false">IF(VALUE(MID(D271,3,2))*10+VALUE(MID(E271,2,1))&lt;=242,"Pre",IF(VALUE(MID(D271,3,2))*10+VALUE(MID(E271,2,1))&lt;=254,"Post","Later"))</f>
        <v>Later</v>
      </c>
      <c r="H271" s="5" t="s">
        <v>631</v>
      </c>
      <c r="I271" s="5" t="s">
        <v>628</v>
      </c>
    </row>
    <row r="272" customFormat="false" ht="15" hidden="false" customHeight="false" outlineLevel="0" collapsed="false">
      <c r="A272" s="5" t="s">
        <v>154</v>
      </c>
      <c r="B272" s="5" t="s">
        <v>104</v>
      </c>
      <c r="C272" s="5" t="s">
        <v>125</v>
      </c>
      <c r="D272" s="5" t="s">
        <v>180</v>
      </c>
      <c r="E272" s="5" t="s">
        <v>171</v>
      </c>
      <c r="F272" s="16" t="n">
        <v>84</v>
      </c>
      <c r="G272" s="12" t="str">
        <f aca="false">IF(VALUE(MID(D272,3,2))*10+VALUE(MID(E272,2,1))&lt;=242,"Pre",IF(VALUE(MID(D272,3,2))*10+VALUE(MID(E272,2,1))&lt;=254,"Post","Later"))</f>
        <v>Later</v>
      </c>
      <c r="H272" s="5" t="s">
        <v>631</v>
      </c>
      <c r="I272" s="5" t="s">
        <v>628</v>
      </c>
    </row>
    <row r="273" customFormat="false" ht="15" hidden="false" customHeight="false" outlineLevel="0" collapsed="false">
      <c r="A273" s="5" t="s">
        <v>154</v>
      </c>
      <c r="B273" s="5" t="s">
        <v>104</v>
      </c>
      <c r="C273" s="5" t="s">
        <v>125</v>
      </c>
      <c r="D273" s="5" t="s">
        <v>180</v>
      </c>
      <c r="E273" s="5" t="s">
        <v>172</v>
      </c>
      <c r="F273" s="16" t="n">
        <v>86</v>
      </c>
      <c r="G273" s="12" t="str">
        <f aca="false">IF(VALUE(MID(D273,3,2))*10+VALUE(MID(E273,2,1))&lt;=242,"Pre",IF(VALUE(MID(D273,3,2))*10+VALUE(MID(E273,2,1))&lt;=254,"Post","Later"))</f>
        <v>Later</v>
      </c>
      <c r="H273" s="5" t="s">
        <v>631</v>
      </c>
      <c r="I273" s="5" t="s">
        <v>628</v>
      </c>
    </row>
    <row r="274" customFormat="false" ht="15" hidden="false" customHeight="false" outlineLevel="0" collapsed="false">
      <c r="A274" s="5" t="s">
        <v>154</v>
      </c>
      <c r="B274" s="5" t="s">
        <v>104</v>
      </c>
      <c r="C274" s="5" t="s">
        <v>125</v>
      </c>
      <c r="D274" s="5" t="s">
        <v>180</v>
      </c>
      <c r="E274" s="5" t="s">
        <v>173</v>
      </c>
      <c r="F274" s="16" t="n">
        <v>85</v>
      </c>
      <c r="G274" s="12" t="str">
        <f aca="false">IF(VALUE(MID(D274,3,2))*10+VALUE(MID(E274,2,1))&lt;=242,"Pre",IF(VALUE(MID(D274,3,2))*10+VALUE(MID(E274,2,1))&lt;=254,"Post","Later"))</f>
        <v>Later</v>
      </c>
      <c r="H274" s="5" t="s">
        <v>631</v>
      </c>
      <c r="I274" s="5" t="s">
        <v>628</v>
      </c>
    </row>
    <row r="275" customFormat="false" ht="15" hidden="false" customHeight="false" outlineLevel="0" collapsed="false">
      <c r="A275" s="5" t="s">
        <v>157</v>
      </c>
      <c r="B275" s="5" t="s">
        <v>105</v>
      </c>
      <c r="C275" s="5" t="s">
        <v>125</v>
      </c>
      <c r="D275" s="5" t="s">
        <v>176</v>
      </c>
      <c r="E275" s="5" t="s">
        <v>168</v>
      </c>
      <c r="F275" s="16" t="n">
        <v>25.94</v>
      </c>
      <c r="G275" s="12" t="str">
        <f aca="false">IF(VALUE(MID(D275,3,2))*10+VALUE(MID(E275,2,1))&lt;=242,"Pre",IF(VALUE(MID(D275,3,2))*10+VALUE(MID(E275,2,1))&lt;=254,"Post","Later"))</f>
        <v>Pre</v>
      </c>
      <c r="H275" s="5" t="s">
        <v>632</v>
      </c>
      <c r="I275" s="5" t="s">
        <v>633</v>
      </c>
    </row>
    <row r="276" customFormat="false" ht="15" hidden="false" customHeight="false" outlineLevel="0" collapsed="false">
      <c r="A276" s="5" t="s">
        <v>157</v>
      </c>
      <c r="B276" s="5" t="s">
        <v>105</v>
      </c>
      <c r="C276" s="5" t="s">
        <v>125</v>
      </c>
      <c r="D276" s="5" t="s">
        <v>176</v>
      </c>
      <c r="E276" s="5" t="s">
        <v>171</v>
      </c>
      <c r="F276" s="16" t="n">
        <v>26.29</v>
      </c>
      <c r="G276" s="12" t="str">
        <f aca="false">IF(VALUE(MID(D276,3,2))*10+VALUE(MID(E276,2,1))&lt;=242,"Pre",IF(VALUE(MID(D276,3,2))*10+VALUE(MID(E276,2,1))&lt;=254,"Post","Later"))</f>
        <v>Pre</v>
      </c>
      <c r="H276" s="5" t="s">
        <v>632</v>
      </c>
      <c r="I276" s="5" t="s">
        <v>633</v>
      </c>
    </row>
    <row r="277" customFormat="false" ht="15" hidden="false" customHeight="false" outlineLevel="0" collapsed="false">
      <c r="A277" s="5" t="s">
        <v>157</v>
      </c>
      <c r="B277" s="5" t="s">
        <v>105</v>
      </c>
      <c r="C277" s="5" t="s">
        <v>125</v>
      </c>
      <c r="D277" s="5" t="s">
        <v>176</v>
      </c>
      <c r="E277" s="5" t="s">
        <v>172</v>
      </c>
      <c r="F277" s="16" t="n">
        <v>26.78</v>
      </c>
      <c r="G277" s="12" t="str">
        <f aca="false">IF(VALUE(MID(D277,3,2))*10+VALUE(MID(E277,2,1))&lt;=242,"Pre",IF(VALUE(MID(D277,3,2))*10+VALUE(MID(E277,2,1))&lt;=254,"Post","Later"))</f>
        <v>Pre</v>
      </c>
      <c r="H277" s="5" t="s">
        <v>632</v>
      </c>
      <c r="I277" s="5" t="s">
        <v>633</v>
      </c>
    </row>
    <row r="278" customFormat="false" ht="15" hidden="false" customHeight="false" outlineLevel="0" collapsed="false">
      <c r="A278" s="5" t="s">
        <v>157</v>
      </c>
      <c r="B278" s="5" t="s">
        <v>105</v>
      </c>
      <c r="C278" s="5" t="s">
        <v>125</v>
      </c>
      <c r="D278" s="5" t="s">
        <v>176</v>
      </c>
      <c r="E278" s="5" t="s">
        <v>173</v>
      </c>
      <c r="F278" s="16" t="n">
        <v>26.09</v>
      </c>
      <c r="G278" s="12" t="str">
        <f aca="false">IF(VALUE(MID(D278,3,2))*10+VALUE(MID(E278,2,1))&lt;=242,"Pre",IF(VALUE(MID(D278,3,2))*10+VALUE(MID(E278,2,1))&lt;=254,"Post","Later"))</f>
        <v>Pre</v>
      </c>
      <c r="H278" s="5" t="s">
        <v>632</v>
      </c>
      <c r="I278" s="5" t="s">
        <v>633</v>
      </c>
    </row>
    <row r="279" customFormat="false" ht="15" hidden="false" customHeight="false" outlineLevel="0" collapsed="false">
      <c r="A279" s="5" t="s">
        <v>157</v>
      </c>
      <c r="B279" s="5" t="s">
        <v>105</v>
      </c>
      <c r="C279" s="5" t="s">
        <v>125</v>
      </c>
      <c r="D279" s="5" t="s">
        <v>177</v>
      </c>
      <c r="E279" s="5" t="s">
        <v>168</v>
      </c>
      <c r="F279" s="16" t="n">
        <v>24.31</v>
      </c>
      <c r="G279" s="12" t="str">
        <f aca="false">IF(VALUE(MID(D279,3,2))*10+VALUE(MID(E279,2,1))&lt;=242,"Pre",IF(VALUE(MID(D279,3,2))*10+VALUE(MID(E279,2,1))&lt;=254,"Post","Later"))</f>
        <v>Pre</v>
      </c>
      <c r="H279" s="5" t="s">
        <v>632</v>
      </c>
      <c r="I279" s="5" t="s">
        <v>633</v>
      </c>
    </row>
    <row r="280" customFormat="false" ht="15" hidden="false" customHeight="false" outlineLevel="0" collapsed="false">
      <c r="A280" s="5" t="s">
        <v>157</v>
      </c>
      <c r="B280" s="5" t="s">
        <v>105</v>
      </c>
      <c r="C280" s="5" t="s">
        <v>125</v>
      </c>
      <c r="D280" s="5" t="s">
        <v>177</v>
      </c>
      <c r="E280" s="5" t="s">
        <v>171</v>
      </c>
      <c r="F280" s="16" t="n">
        <v>25.58</v>
      </c>
      <c r="G280" s="12" t="str">
        <f aca="false">IF(VALUE(MID(D280,3,2))*10+VALUE(MID(E280,2,1))&lt;=242,"Pre",IF(VALUE(MID(D280,3,2))*10+VALUE(MID(E280,2,1))&lt;=254,"Post","Later"))</f>
        <v>Pre</v>
      </c>
      <c r="H280" s="5" t="s">
        <v>632</v>
      </c>
      <c r="I280" s="5" t="s">
        <v>633</v>
      </c>
    </row>
    <row r="281" customFormat="false" ht="15" hidden="false" customHeight="false" outlineLevel="0" collapsed="false">
      <c r="A281" s="5" t="s">
        <v>157</v>
      </c>
      <c r="B281" s="5" t="s">
        <v>105</v>
      </c>
      <c r="C281" s="5" t="s">
        <v>125</v>
      </c>
      <c r="D281" s="5" t="s">
        <v>177</v>
      </c>
      <c r="E281" s="5" t="s">
        <v>172</v>
      </c>
      <c r="F281" s="16" t="n">
        <v>25.97</v>
      </c>
      <c r="G281" s="12" t="str">
        <f aca="false">IF(VALUE(MID(D281,3,2))*10+VALUE(MID(E281,2,1))&lt;=242,"Pre",IF(VALUE(MID(D281,3,2))*10+VALUE(MID(E281,2,1))&lt;=254,"Post","Later"))</f>
        <v>Post</v>
      </c>
      <c r="H281" s="5" t="s">
        <v>632</v>
      </c>
      <c r="I281" s="5" t="s">
        <v>633</v>
      </c>
    </row>
    <row r="282" customFormat="false" ht="15" hidden="false" customHeight="false" outlineLevel="0" collapsed="false">
      <c r="A282" s="5" t="s">
        <v>157</v>
      </c>
      <c r="B282" s="5" t="s">
        <v>105</v>
      </c>
      <c r="C282" s="5" t="s">
        <v>125</v>
      </c>
      <c r="D282" s="5" t="s">
        <v>177</v>
      </c>
      <c r="E282" s="5" t="s">
        <v>173</v>
      </c>
      <c r="F282" s="16" t="n">
        <v>24.56</v>
      </c>
      <c r="G282" s="12" t="str">
        <f aca="false">IF(VALUE(MID(D282,3,2))*10+VALUE(MID(E282,2,1))&lt;=242,"Pre",IF(VALUE(MID(D282,3,2))*10+VALUE(MID(E282,2,1))&lt;=254,"Post","Later"))</f>
        <v>Post</v>
      </c>
      <c r="H282" s="5" t="s">
        <v>632</v>
      </c>
      <c r="I282" s="5" t="s">
        <v>633</v>
      </c>
    </row>
    <row r="283" customFormat="false" ht="15" hidden="false" customHeight="false" outlineLevel="0" collapsed="false">
      <c r="A283" s="5" t="s">
        <v>157</v>
      </c>
      <c r="B283" s="5" t="s">
        <v>105</v>
      </c>
      <c r="C283" s="5" t="s">
        <v>125</v>
      </c>
      <c r="D283" s="5" t="s">
        <v>179</v>
      </c>
      <c r="E283" s="5" t="s">
        <v>168</v>
      </c>
      <c r="F283" s="16" t="n">
        <v>24.77</v>
      </c>
      <c r="G283" s="12" t="str">
        <f aca="false">IF(VALUE(MID(D283,3,2))*10+VALUE(MID(E283,2,1))&lt;=242,"Pre",IF(VALUE(MID(D283,3,2))*10+VALUE(MID(E283,2,1))&lt;=254,"Post","Later"))</f>
        <v>Post</v>
      </c>
      <c r="H283" s="5" t="s">
        <v>632</v>
      </c>
      <c r="I283" s="5" t="s">
        <v>633</v>
      </c>
    </row>
    <row r="284" customFormat="false" ht="15" hidden="false" customHeight="false" outlineLevel="0" collapsed="false">
      <c r="A284" s="5" t="s">
        <v>157</v>
      </c>
      <c r="B284" s="5" t="s">
        <v>105</v>
      </c>
      <c r="C284" s="5" t="s">
        <v>125</v>
      </c>
      <c r="D284" s="5" t="s">
        <v>179</v>
      </c>
      <c r="E284" s="5" t="s">
        <v>171</v>
      </c>
      <c r="F284" s="16" t="n">
        <v>22.4</v>
      </c>
      <c r="G284" s="12" t="str">
        <f aca="false">IF(VALUE(MID(D284,3,2))*10+VALUE(MID(E284,2,1))&lt;=242,"Pre",IF(VALUE(MID(D284,3,2))*10+VALUE(MID(E284,2,1))&lt;=254,"Post","Later"))</f>
        <v>Post</v>
      </c>
      <c r="H284" s="5" t="s">
        <v>632</v>
      </c>
      <c r="I284" s="5" t="s">
        <v>633</v>
      </c>
    </row>
    <row r="285" customFormat="false" ht="15" hidden="false" customHeight="false" outlineLevel="0" collapsed="false">
      <c r="A285" s="5" t="s">
        <v>157</v>
      </c>
      <c r="B285" s="5" t="s">
        <v>105</v>
      </c>
      <c r="C285" s="5" t="s">
        <v>125</v>
      </c>
      <c r="D285" s="5" t="s">
        <v>179</v>
      </c>
      <c r="E285" s="5" t="s">
        <v>172</v>
      </c>
      <c r="F285" s="16" t="n">
        <v>21.46</v>
      </c>
      <c r="G285" s="12" t="str">
        <f aca="false">IF(VALUE(MID(D285,3,2))*10+VALUE(MID(E285,2,1))&lt;=242,"Pre",IF(VALUE(MID(D285,3,2))*10+VALUE(MID(E285,2,1))&lt;=254,"Post","Later"))</f>
        <v>Post</v>
      </c>
      <c r="H285" s="5" t="s">
        <v>632</v>
      </c>
      <c r="I285" s="5" t="s">
        <v>633</v>
      </c>
    </row>
    <row r="286" customFormat="false" ht="15" hidden="false" customHeight="false" outlineLevel="0" collapsed="false">
      <c r="A286" s="5" t="s">
        <v>157</v>
      </c>
      <c r="B286" s="5" t="s">
        <v>105</v>
      </c>
      <c r="C286" s="5" t="s">
        <v>125</v>
      </c>
      <c r="D286" s="5" t="s">
        <v>179</v>
      </c>
      <c r="E286" s="5" t="s">
        <v>173</v>
      </c>
      <c r="F286" s="16" t="n">
        <v>21.07</v>
      </c>
      <c r="G286" s="12" t="str">
        <f aca="false">IF(VALUE(MID(D286,3,2))*10+VALUE(MID(E286,2,1))&lt;=242,"Pre",IF(VALUE(MID(D286,3,2))*10+VALUE(MID(E286,2,1))&lt;=254,"Post","Later"))</f>
        <v>Post</v>
      </c>
      <c r="H286" s="5" t="s">
        <v>632</v>
      </c>
      <c r="I286" s="5" t="s">
        <v>633</v>
      </c>
    </row>
    <row r="287" customFormat="false" ht="15" hidden="false" customHeight="false" outlineLevel="0" collapsed="false">
      <c r="A287" s="5" t="s">
        <v>157</v>
      </c>
      <c r="B287" s="5" t="s">
        <v>105</v>
      </c>
      <c r="C287" s="5" t="s">
        <v>125</v>
      </c>
      <c r="D287" s="5" t="s">
        <v>180</v>
      </c>
      <c r="E287" s="5" t="s">
        <v>168</v>
      </c>
      <c r="F287" s="16" t="n">
        <v>20.31</v>
      </c>
      <c r="G287" s="12" t="str">
        <f aca="false">IF(VALUE(MID(D287,3,2))*10+VALUE(MID(E287,2,1))&lt;=242,"Pre",IF(VALUE(MID(D287,3,2))*10+VALUE(MID(E287,2,1))&lt;=254,"Post","Later"))</f>
        <v>Later</v>
      </c>
      <c r="H287" s="5" t="s">
        <v>632</v>
      </c>
      <c r="I287" s="5" t="s">
        <v>633</v>
      </c>
    </row>
    <row r="288" customFormat="false" ht="15" hidden="false" customHeight="false" outlineLevel="0" collapsed="false">
      <c r="A288" s="5" t="s">
        <v>157</v>
      </c>
      <c r="B288" s="5" t="s">
        <v>105</v>
      </c>
      <c r="C288" s="5" t="s">
        <v>125</v>
      </c>
      <c r="D288" s="5" t="s">
        <v>180</v>
      </c>
      <c r="E288" s="5" t="s">
        <v>171</v>
      </c>
      <c r="F288" s="16" t="n">
        <v>17.37</v>
      </c>
      <c r="G288" s="12" t="str">
        <f aca="false">IF(VALUE(MID(D288,3,2))*10+VALUE(MID(E288,2,1))&lt;=242,"Pre",IF(VALUE(MID(D288,3,2))*10+VALUE(MID(E288,2,1))&lt;=254,"Post","Later"))</f>
        <v>Later</v>
      </c>
      <c r="H288" s="5" t="s">
        <v>632</v>
      </c>
      <c r="I288" s="5" t="s">
        <v>633</v>
      </c>
    </row>
    <row r="289" customFormat="false" ht="15" hidden="false" customHeight="false" outlineLevel="0" collapsed="false">
      <c r="A289" s="5" t="s">
        <v>157</v>
      </c>
      <c r="B289" s="5" t="s">
        <v>105</v>
      </c>
      <c r="C289" s="5" t="s">
        <v>125</v>
      </c>
      <c r="D289" s="5" t="s">
        <v>180</v>
      </c>
      <c r="E289" s="5" t="s">
        <v>172</v>
      </c>
      <c r="F289" s="16" t="n">
        <v>20.51</v>
      </c>
      <c r="G289" s="12" t="str">
        <f aca="false">IF(VALUE(MID(D289,3,2))*10+VALUE(MID(E289,2,1))&lt;=242,"Pre",IF(VALUE(MID(D289,3,2))*10+VALUE(MID(E289,2,1))&lt;=254,"Post","Later"))</f>
        <v>Later</v>
      </c>
      <c r="H289" s="5" t="s">
        <v>632</v>
      </c>
      <c r="I289" s="5" t="s">
        <v>633</v>
      </c>
    </row>
    <row r="290" customFormat="false" ht="15" hidden="false" customHeight="false" outlineLevel="0" collapsed="false">
      <c r="A290" s="5" t="s">
        <v>157</v>
      </c>
      <c r="B290" s="5" t="s">
        <v>105</v>
      </c>
      <c r="C290" s="5" t="s">
        <v>125</v>
      </c>
      <c r="D290" s="5" t="s">
        <v>180</v>
      </c>
      <c r="E290" s="5" t="s">
        <v>173</v>
      </c>
      <c r="F290" s="16" t="n">
        <v>20.42</v>
      </c>
      <c r="G290" s="12" t="str">
        <f aca="false">IF(VALUE(MID(D290,3,2))*10+VALUE(MID(E290,2,1))&lt;=242,"Pre",IF(VALUE(MID(D290,3,2))*10+VALUE(MID(E290,2,1))&lt;=254,"Post","Later"))</f>
        <v>Later</v>
      </c>
      <c r="H290" s="5" t="s">
        <v>632</v>
      </c>
      <c r="I290" s="5" t="s">
        <v>633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4"/>
    <col collapsed="false" customWidth="true" hidden="false" outlineLevel="0" max="4" min="4" style="0" width="16"/>
    <col collapsed="false" customWidth="true" hidden="false" outlineLevel="0" max="5" min="5" style="0" width="12"/>
    <col collapsed="false" customWidth="true" hidden="false" outlineLevel="0" max="6" min="6" style="0" width="18"/>
    <col collapsed="false" customWidth="true" hidden="false" outlineLevel="0" max="7" min="7" style="0" width="120"/>
  </cols>
  <sheetData>
    <row r="1" customFormat="false" ht="15" hidden="false" customHeight="false" outlineLevel="0" collapsed="false">
      <c r="A1" s="6" t="s">
        <v>634</v>
      </c>
    </row>
    <row r="2" customFormat="false" ht="15" hidden="false" customHeight="false" outlineLevel="0" collapsed="false">
      <c r="A2" s="2" t="s">
        <v>635</v>
      </c>
    </row>
    <row r="4" customFormat="false" ht="42" hidden="false" customHeight="true" outlineLevel="0" collapsed="false">
      <c r="A4" s="3" t="s">
        <v>162</v>
      </c>
      <c r="B4" s="3" t="s">
        <v>163</v>
      </c>
      <c r="C4" s="3" t="s">
        <v>636</v>
      </c>
      <c r="D4" s="3" t="s">
        <v>637</v>
      </c>
      <c r="E4" s="3" t="s">
        <v>638</v>
      </c>
      <c r="F4" s="3" t="s">
        <v>165</v>
      </c>
      <c r="G4" s="3" t="s">
        <v>639</v>
      </c>
    </row>
    <row r="5" customFormat="false" ht="15" hidden="false" customHeight="false" outlineLevel="0" collapsed="false">
      <c r="A5" s="5" t="s">
        <v>167</v>
      </c>
      <c r="B5" s="5" t="s">
        <v>168</v>
      </c>
      <c r="C5" s="17" t="n">
        <v>138055</v>
      </c>
      <c r="D5" s="17" t="n">
        <v>50820</v>
      </c>
      <c r="E5" s="18" t="n">
        <f aca="false">D5/C5</f>
        <v>0.368114157401036</v>
      </c>
      <c r="F5" s="5" t="s">
        <v>640</v>
      </c>
      <c r="G5" s="5" t="s">
        <v>641</v>
      </c>
    </row>
    <row r="6" customFormat="false" ht="15" hidden="false" customHeight="false" outlineLevel="0" collapsed="false">
      <c r="A6" s="5" t="s">
        <v>167</v>
      </c>
      <c r="B6" s="5" t="s">
        <v>171</v>
      </c>
      <c r="C6" s="17" t="n">
        <v>137090</v>
      </c>
      <c r="D6" s="17" t="n">
        <v>48279</v>
      </c>
      <c r="E6" s="18" t="n">
        <f aca="false">D6/C6</f>
        <v>0.352170107228828</v>
      </c>
      <c r="F6" s="5" t="s">
        <v>642</v>
      </c>
      <c r="G6" s="5" t="s">
        <v>643</v>
      </c>
    </row>
    <row r="7" customFormat="false" ht="15" hidden="false" customHeight="false" outlineLevel="0" collapsed="false">
      <c r="A7" s="5" t="s">
        <v>167</v>
      </c>
      <c r="B7" s="5" t="s">
        <v>172</v>
      </c>
      <c r="C7" s="17" t="n">
        <v>143550</v>
      </c>
      <c r="D7" s="17" t="n">
        <v>52620</v>
      </c>
      <c r="E7" s="18" t="n">
        <f aca="false">D7/C7</f>
        <v>0.366562173458725</v>
      </c>
      <c r="F7" s="5" t="s">
        <v>644</v>
      </c>
      <c r="G7" s="5" t="s">
        <v>645</v>
      </c>
    </row>
    <row r="8" customFormat="false" ht="15" hidden="false" customHeight="false" outlineLevel="0" collapsed="false">
      <c r="A8" s="5" t="s">
        <v>167</v>
      </c>
      <c r="B8" s="5" t="s">
        <v>173</v>
      </c>
      <c r="C8" s="17" t="n">
        <v>152947</v>
      </c>
      <c r="D8" s="17" t="n">
        <v>56681</v>
      </c>
      <c r="E8" s="18" t="n">
        <f aca="false">D8/C8</f>
        <v>0.370592427442186</v>
      </c>
      <c r="F8" s="5" t="s">
        <v>646</v>
      </c>
      <c r="G8" s="5" t="s">
        <v>647</v>
      </c>
    </row>
    <row r="9" customFormat="false" ht="15" hidden="false" customHeight="false" outlineLevel="0" collapsed="false">
      <c r="A9" s="5" t="s">
        <v>174</v>
      </c>
      <c r="B9" s="5" t="s">
        <v>168</v>
      </c>
      <c r="C9" s="17" t="n">
        <v>159057</v>
      </c>
      <c r="D9" s="17" t="n">
        <v>58025</v>
      </c>
      <c r="E9" s="18" t="n">
        <f aca="false">D9/C9</f>
        <v>0.364806327291474</v>
      </c>
      <c r="F9" s="5" t="s">
        <v>648</v>
      </c>
      <c r="G9" s="5" t="s">
        <v>649</v>
      </c>
    </row>
    <row r="10" customFormat="false" ht="15" hidden="false" customHeight="false" outlineLevel="0" collapsed="false">
      <c r="A10" s="5" t="s">
        <v>174</v>
      </c>
      <c r="B10" s="5" t="s">
        <v>171</v>
      </c>
      <c r="C10" s="17" t="n">
        <v>166937</v>
      </c>
      <c r="D10" s="17" t="n">
        <v>62868</v>
      </c>
      <c r="E10" s="18" t="n">
        <f aca="false">D10/C10</f>
        <v>0.376597159407441</v>
      </c>
      <c r="F10" s="5" t="s">
        <v>650</v>
      </c>
      <c r="G10" s="5" t="s">
        <v>651</v>
      </c>
    </row>
    <row r="11" customFormat="false" ht="15" hidden="false" customHeight="false" outlineLevel="0" collapsed="false">
      <c r="A11" s="5" t="s">
        <v>174</v>
      </c>
      <c r="B11" s="5" t="s">
        <v>172</v>
      </c>
      <c r="C11" s="17" t="n">
        <v>181250</v>
      </c>
      <c r="D11" s="17" t="n">
        <v>69568</v>
      </c>
      <c r="E11" s="18" t="n">
        <f aca="false">D11/C11</f>
        <v>0.383823448275862</v>
      </c>
      <c r="F11" s="5" t="s">
        <v>652</v>
      </c>
      <c r="G11" s="5" t="s">
        <v>653</v>
      </c>
    </row>
    <row r="12" customFormat="false" ht="15" hidden="false" customHeight="false" outlineLevel="0" collapsed="false">
      <c r="A12" s="5" t="s">
        <v>174</v>
      </c>
      <c r="B12" s="5" t="s">
        <v>173</v>
      </c>
      <c r="C12" s="17" t="n">
        <v>197452</v>
      </c>
      <c r="D12" s="17" t="n">
        <v>73179</v>
      </c>
      <c r="E12" s="18" t="n">
        <f aca="false">D12/C12</f>
        <v>0.370616656199988</v>
      </c>
      <c r="F12" s="5" t="s">
        <v>654</v>
      </c>
      <c r="G12" s="5" t="s">
        <v>655</v>
      </c>
    </row>
    <row r="13" customFormat="false" ht="15" hidden="false" customHeight="false" outlineLevel="0" collapsed="false">
      <c r="A13" s="5" t="s">
        <v>176</v>
      </c>
      <c r="B13" s="5" t="s">
        <v>168</v>
      </c>
      <c r="C13" s="17" t="n">
        <v>204018</v>
      </c>
      <c r="D13" s="17" t="n">
        <v>78986</v>
      </c>
      <c r="E13" s="18" t="n">
        <f aca="false">D13/C13</f>
        <v>0.387152114029154</v>
      </c>
      <c r="F13" s="5" t="s">
        <v>656</v>
      </c>
      <c r="G13" s="5" t="s">
        <v>657</v>
      </c>
    </row>
    <row r="14" customFormat="false" ht="15" hidden="false" customHeight="false" outlineLevel="0" collapsed="false">
      <c r="A14" s="5" t="s">
        <v>176</v>
      </c>
      <c r="B14" s="5" t="s">
        <v>171</v>
      </c>
      <c r="C14" s="17" t="n">
        <v>218366</v>
      </c>
      <c r="D14" s="17" t="n">
        <v>82568</v>
      </c>
      <c r="E14" s="18" t="n">
        <f aca="false">D14/C14</f>
        <v>0.378117472500298</v>
      </c>
      <c r="F14" s="5" t="s">
        <v>658</v>
      </c>
      <c r="G14" s="5" t="s">
        <v>659</v>
      </c>
    </row>
    <row r="15" customFormat="false" ht="15" hidden="false" customHeight="false" outlineLevel="0" collapsed="false">
      <c r="A15" s="5" t="s">
        <v>176</v>
      </c>
      <c r="B15" s="5" t="s">
        <v>172</v>
      </c>
      <c r="C15" s="17" t="n">
        <v>230842</v>
      </c>
      <c r="D15" s="17" t="n">
        <v>86587</v>
      </c>
      <c r="E15" s="18" t="n">
        <f aca="false">D15/C15</f>
        <v>0.375092054305542</v>
      </c>
      <c r="F15" s="5" t="s">
        <v>660</v>
      </c>
      <c r="G15" s="5" t="s">
        <v>661</v>
      </c>
    </row>
    <row r="16" customFormat="false" ht="15" hidden="false" customHeight="false" outlineLevel="0" collapsed="false">
      <c r="A16" s="5" t="s">
        <v>176</v>
      </c>
      <c r="B16" s="5" t="s">
        <v>173</v>
      </c>
      <c r="C16" s="17" t="n">
        <v>247379</v>
      </c>
      <c r="D16" s="17" t="n">
        <v>91995</v>
      </c>
      <c r="E16" s="18" t="n">
        <f aca="false">D16/C16</f>
        <v>0.371878777099107</v>
      </c>
      <c r="F16" s="5" t="s">
        <v>662</v>
      </c>
      <c r="G16" s="5" t="s">
        <v>663</v>
      </c>
    </row>
    <row r="17" customFormat="false" ht="15" hidden="false" customHeight="false" outlineLevel="0" collapsed="false">
      <c r="A17" s="5" t="s">
        <v>177</v>
      </c>
      <c r="B17" s="5" t="s">
        <v>168</v>
      </c>
      <c r="C17" s="17" t="n">
        <v>270097</v>
      </c>
      <c r="D17" s="17" t="n">
        <v>103005</v>
      </c>
      <c r="E17" s="18" t="n">
        <f aca="false">D17/C17</f>
        <v>0.381362991814052</v>
      </c>
      <c r="F17" s="5" t="s">
        <v>664</v>
      </c>
      <c r="G17" s="5" t="s">
        <v>665</v>
      </c>
    </row>
    <row r="18" customFormat="false" ht="15" hidden="false" customHeight="false" outlineLevel="0" collapsed="false">
      <c r="A18" s="5" t="s">
        <v>177</v>
      </c>
      <c r="B18" s="5" t="s">
        <v>171</v>
      </c>
      <c r="C18" s="17" t="n">
        <v>290264</v>
      </c>
      <c r="D18" s="17" t="n">
        <v>107565</v>
      </c>
      <c r="E18" s="18" t="n">
        <f aca="false">D18/C18</f>
        <v>0.37057644075738</v>
      </c>
      <c r="F18" s="5" t="s">
        <v>666</v>
      </c>
      <c r="G18" s="5" t="s">
        <v>667</v>
      </c>
    </row>
    <row r="19" customFormat="false" ht="15" hidden="false" customHeight="false" outlineLevel="0" collapsed="false">
      <c r="A19" s="5" t="s">
        <v>177</v>
      </c>
      <c r="B19" s="5" t="s">
        <v>172</v>
      </c>
      <c r="C19" s="17" t="n">
        <v>310968</v>
      </c>
      <c r="D19" s="17" t="n">
        <v>113782</v>
      </c>
      <c r="E19" s="18" t="n">
        <f aca="false">D19/C19</f>
        <v>0.365896169380772</v>
      </c>
      <c r="F19" s="5" t="s">
        <v>668</v>
      </c>
      <c r="G19" s="5" t="s">
        <v>669</v>
      </c>
    </row>
    <row r="20" customFormat="false" ht="15" hidden="false" customHeight="false" outlineLevel="0" collapsed="false">
      <c r="A20" s="5" t="s">
        <v>177</v>
      </c>
      <c r="B20" s="5" t="s">
        <v>173</v>
      </c>
      <c r="C20" s="17" t="n">
        <v>330615</v>
      </c>
      <c r="D20" s="17" t="n">
        <v>117956</v>
      </c>
      <c r="E20" s="18" t="n">
        <f aca="false">D20/C20</f>
        <v>0.356777520681155</v>
      </c>
      <c r="F20" s="5" t="s">
        <v>670</v>
      </c>
      <c r="G20" s="5" t="s">
        <v>671</v>
      </c>
    </row>
    <row r="21" customFormat="false" ht="15" hidden="false" customHeight="false" outlineLevel="0" collapsed="false">
      <c r="A21" s="5" t="s">
        <v>179</v>
      </c>
      <c r="B21" s="5" t="s">
        <v>168</v>
      </c>
      <c r="C21" s="17" t="n">
        <v>354192</v>
      </c>
      <c r="D21" s="17" t="n">
        <v>129699</v>
      </c>
      <c r="E21" s="18" t="n">
        <f aca="false">D21/C21</f>
        <v>0.366182748339883</v>
      </c>
      <c r="F21" s="5" t="s">
        <v>672</v>
      </c>
      <c r="G21" s="5" t="s">
        <v>673</v>
      </c>
    </row>
    <row r="22" customFormat="false" ht="15" hidden="false" customHeight="false" outlineLevel="0" collapsed="false">
      <c r="A22" s="5" t="s">
        <v>179</v>
      </c>
      <c r="B22" s="5" t="s">
        <v>171</v>
      </c>
      <c r="C22" s="17" t="n">
        <v>373924</v>
      </c>
      <c r="D22" s="17" t="n">
        <v>136866</v>
      </c>
      <c r="E22" s="18" t="n">
        <f aca="false">D22/C22</f>
        <v>0.366026251323798</v>
      </c>
      <c r="F22" s="5" t="s">
        <v>674</v>
      </c>
      <c r="G22" s="5" t="s">
        <v>675</v>
      </c>
    </row>
    <row r="23" customFormat="false" ht="15" hidden="false" customHeight="false" outlineLevel="0" collapsed="false">
      <c r="A23" s="5" t="s">
        <v>179</v>
      </c>
      <c r="B23" s="5" t="s">
        <v>172</v>
      </c>
      <c r="C23" s="17" t="n">
        <v>398043</v>
      </c>
      <c r="D23" s="17" t="n">
        <v>147649</v>
      </c>
      <c r="E23" s="18" t="n">
        <f aca="false">D23/C23</f>
        <v>0.370937310793055</v>
      </c>
      <c r="F23" s="5" t="s">
        <v>676</v>
      </c>
      <c r="G23" s="5" t="s">
        <v>677</v>
      </c>
    </row>
    <row r="24" customFormat="false" ht="15" hidden="false" customHeight="false" outlineLevel="0" collapsed="false">
      <c r="A24" s="5" t="s">
        <v>179</v>
      </c>
      <c r="B24" s="5" t="s">
        <v>173</v>
      </c>
      <c r="C24" s="17" t="n">
        <v>416661</v>
      </c>
      <c r="D24" s="17" t="n">
        <v>154523</v>
      </c>
      <c r="E24" s="18" t="n">
        <f aca="false">D24/C24</f>
        <v>0.370860243699314</v>
      </c>
      <c r="F24" s="5" t="s">
        <v>678</v>
      </c>
      <c r="G24" s="5" t="s">
        <v>679</v>
      </c>
    </row>
    <row r="25" customFormat="false" ht="15" hidden="false" customHeight="false" outlineLevel="0" collapsed="false">
      <c r="A25" s="5" t="s">
        <v>180</v>
      </c>
      <c r="B25" s="5" t="s">
        <v>168</v>
      </c>
      <c r="C25" s="17" t="n">
        <v>441450</v>
      </c>
      <c r="D25" s="17" t="n">
        <v>165623</v>
      </c>
      <c r="E25" s="18" t="n">
        <f aca="false">D25/C25</f>
        <v>0.375179522029675</v>
      </c>
      <c r="F25" s="5" t="s">
        <v>680</v>
      </c>
      <c r="G25" s="5" t="s">
        <v>681</v>
      </c>
    </row>
    <row r="26" customFormat="false" ht="15" hidden="false" customHeight="false" outlineLevel="0" collapsed="false">
      <c r="A26" s="5" t="s">
        <v>180</v>
      </c>
      <c r="B26" s="5" t="s">
        <v>171</v>
      </c>
      <c r="C26" s="17" t="n">
        <v>462261</v>
      </c>
      <c r="D26" s="17" t="n">
        <v>173431</v>
      </c>
      <c r="E26" s="18" t="n">
        <f aca="false">D26/C26</f>
        <v>0.375179822654301</v>
      </c>
      <c r="F26" s="5" t="s">
        <v>682</v>
      </c>
      <c r="G26" s="5" t="s">
        <v>683</v>
      </c>
    </row>
    <row r="27" customFormat="false" ht="15" hidden="false" customHeight="false" outlineLevel="0" collapsed="false">
      <c r="A27" s="5" t="s">
        <v>180</v>
      </c>
      <c r="B27" s="5" t="s">
        <v>172</v>
      </c>
      <c r="C27" s="17" t="n">
        <v>484477</v>
      </c>
      <c r="D27" s="17" t="n">
        <v>182885</v>
      </c>
      <c r="E27" s="18" t="n">
        <f aca="false">D27/C27</f>
        <v>0.377489540267133</v>
      </c>
      <c r="F27" s="5" t="s">
        <v>684</v>
      </c>
      <c r="G27" s="5" t="s">
        <v>685</v>
      </c>
    </row>
    <row r="28" customFormat="false" ht="15" hidden="false" customHeight="false" outlineLevel="0" collapsed="false">
      <c r="A28" s="5" t="s">
        <v>180</v>
      </c>
      <c r="B28" s="5" t="s">
        <v>173</v>
      </c>
      <c r="C28" s="17" t="n">
        <v>509975</v>
      </c>
      <c r="D28" s="17" t="n">
        <v>195539</v>
      </c>
      <c r="E28" s="18" t="n">
        <f aca="false">D28/C28</f>
        <v>0.383428599441149</v>
      </c>
      <c r="F28" s="5" t="s">
        <v>686</v>
      </c>
      <c r="G28" s="5" t="s">
        <v>687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3" min="3" style="0" width="90"/>
    <col collapsed="false" customWidth="true" hidden="false" outlineLevel="0" max="4" min="4" style="0" width="28"/>
  </cols>
  <sheetData>
    <row r="1" customFormat="false" ht="15" hidden="false" customHeight="false" outlineLevel="0" collapsed="false">
      <c r="A1" s="6" t="s">
        <v>688</v>
      </c>
    </row>
    <row r="2" customFormat="false" ht="15" hidden="false" customHeight="false" outlineLevel="0" collapsed="false">
      <c r="A2" s="2" t="s">
        <v>689</v>
      </c>
    </row>
    <row r="4" customFormat="false" ht="42" hidden="false" customHeight="true" outlineLevel="0" collapsed="false">
      <c r="A4" s="3" t="s">
        <v>110</v>
      </c>
      <c r="B4" s="3" t="s">
        <v>5</v>
      </c>
      <c r="C4" s="3" t="s">
        <v>690</v>
      </c>
      <c r="D4" s="3" t="s">
        <v>691</v>
      </c>
    </row>
    <row r="5" customFormat="false" ht="23.85" hidden="false" customHeight="false" outlineLevel="0" collapsed="false">
      <c r="A5" s="4" t="s">
        <v>128</v>
      </c>
      <c r="B5" s="4" t="s">
        <v>692</v>
      </c>
      <c r="C5" s="4" t="s">
        <v>693</v>
      </c>
      <c r="D5" s="4" t="s">
        <v>694</v>
      </c>
    </row>
    <row r="6" customFormat="false" ht="15" hidden="false" customHeight="false" outlineLevel="0" collapsed="false">
      <c r="A6" s="4" t="s">
        <v>128</v>
      </c>
      <c r="B6" s="4" t="s">
        <v>692</v>
      </c>
      <c r="C6" s="4" t="s">
        <v>695</v>
      </c>
      <c r="D6" s="4" t="s">
        <v>696</v>
      </c>
    </row>
    <row r="7" customFormat="false" ht="15" hidden="false" customHeight="false" outlineLevel="0" collapsed="false">
      <c r="A7" s="4" t="s">
        <v>154</v>
      </c>
      <c r="B7" s="4" t="s">
        <v>697</v>
      </c>
      <c r="C7" s="4" t="s">
        <v>698</v>
      </c>
      <c r="D7" s="4" t="s">
        <v>699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3"/>
    <col collapsed="false" customWidth="true" hidden="false" outlineLevel="0" max="3" min="3" style="0" width="44"/>
    <col collapsed="false" customWidth="true" hidden="false" outlineLevel="0" max="4" min="4" style="0" width="60"/>
    <col collapsed="false" customWidth="true" hidden="false" outlineLevel="0" max="5" min="5" style="0" width="30"/>
  </cols>
  <sheetData>
    <row r="1" customFormat="false" ht="15" hidden="false" customHeight="false" outlineLevel="0" collapsed="false">
      <c r="A1" s="6" t="s">
        <v>700</v>
      </c>
    </row>
    <row r="2" customFormat="false" ht="15" hidden="false" customHeight="false" outlineLevel="0" collapsed="false">
      <c r="A2" s="2" t="s">
        <v>701</v>
      </c>
    </row>
    <row r="4" customFormat="false" ht="42" hidden="false" customHeight="true" outlineLevel="0" collapsed="false">
      <c r="A4" s="3" t="s">
        <v>702</v>
      </c>
      <c r="B4" s="3" t="s">
        <v>49</v>
      </c>
      <c r="C4" s="3" t="s">
        <v>703</v>
      </c>
      <c r="D4" s="3" t="s">
        <v>5</v>
      </c>
      <c r="E4" s="3" t="s">
        <v>704</v>
      </c>
    </row>
    <row r="5" customFormat="false" ht="15" hidden="false" customHeight="false" outlineLevel="0" collapsed="false">
      <c r="A5" s="4" t="s">
        <v>705</v>
      </c>
      <c r="B5" s="19" t="n">
        <v>45246</v>
      </c>
      <c r="C5" s="4" t="s">
        <v>706</v>
      </c>
      <c r="D5" s="4" t="s">
        <v>707</v>
      </c>
      <c r="E5" s="4" t="s">
        <v>708</v>
      </c>
    </row>
    <row r="6" customFormat="false" ht="15" hidden="false" customHeight="false" outlineLevel="0" collapsed="false">
      <c r="A6" s="4" t="s">
        <v>709</v>
      </c>
      <c r="B6" s="19" t="n">
        <v>45247</v>
      </c>
      <c r="C6" s="4" t="s">
        <v>710</v>
      </c>
      <c r="D6" s="4" t="s">
        <v>711</v>
      </c>
      <c r="E6" s="4" t="s">
        <v>712</v>
      </c>
    </row>
    <row r="7" customFormat="false" ht="15" hidden="false" customHeight="false" outlineLevel="0" collapsed="false">
      <c r="A7" s="4" t="s">
        <v>713</v>
      </c>
      <c r="B7" s="19" t="n">
        <v>45245</v>
      </c>
      <c r="C7" s="4" t="s">
        <v>714</v>
      </c>
      <c r="D7" s="4" t="s">
        <v>715</v>
      </c>
      <c r="E7" s="4" t="s">
        <v>716</v>
      </c>
    </row>
    <row r="8" customFormat="false" ht="15" hidden="false" customHeight="false" outlineLevel="0" collapsed="false">
      <c r="A8" s="4" t="s">
        <v>717</v>
      </c>
      <c r="B8" s="19" t="n">
        <v>45351</v>
      </c>
      <c r="C8" s="4"/>
      <c r="D8" s="4" t="s">
        <v>718</v>
      </c>
      <c r="E8" s="4" t="s">
        <v>719</v>
      </c>
    </row>
    <row r="9" customFormat="false" ht="15" hidden="false" customHeight="false" outlineLevel="0" collapsed="false">
      <c r="A9" s="4" t="s">
        <v>720</v>
      </c>
      <c r="B9" s="19" t="n">
        <v>45355</v>
      </c>
      <c r="C9" s="4" t="s">
        <v>721</v>
      </c>
      <c r="D9" s="4" t="s">
        <v>715</v>
      </c>
      <c r="E9" s="4" t="s">
        <v>719</v>
      </c>
    </row>
    <row r="10" customFormat="false" ht="23.85" hidden="false" customHeight="false" outlineLevel="0" collapsed="false">
      <c r="A10" s="4" t="s">
        <v>722</v>
      </c>
      <c r="B10" s="19" t="n">
        <v>45713</v>
      </c>
      <c r="C10" s="4" t="s">
        <v>723</v>
      </c>
      <c r="D10" s="4" t="s">
        <v>724</v>
      </c>
      <c r="E10" s="4" t="s">
        <v>725</v>
      </c>
    </row>
    <row r="11" customFormat="false" ht="15" hidden="false" customHeight="false" outlineLevel="0" collapsed="false">
      <c r="A11" s="4" t="s">
        <v>726</v>
      </c>
      <c r="B11" s="19" t="n">
        <v>45714</v>
      </c>
      <c r="C11" s="4" t="s">
        <v>727</v>
      </c>
      <c r="D11" s="4" t="s">
        <v>728</v>
      </c>
      <c r="E11" s="4"/>
    </row>
    <row r="12" customFormat="false" ht="15" hidden="false" customHeight="false" outlineLevel="0" collapsed="false">
      <c r="A12" s="4" t="s">
        <v>729</v>
      </c>
      <c r="B12" s="19" t="n">
        <v>45715</v>
      </c>
      <c r="C12" s="4" t="s">
        <v>730</v>
      </c>
      <c r="D12" s="4" t="s">
        <v>711</v>
      </c>
      <c r="E12" s="4" t="s">
        <v>712</v>
      </c>
    </row>
    <row r="13" customFormat="false" ht="15" hidden="false" customHeight="false" outlineLevel="0" collapsed="false">
      <c r="A13" s="4" t="s">
        <v>731</v>
      </c>
      <c r="B13" s="19" t="n">
        <v>45748</v>
      </c>
      <c r="C13" s="4"/>
      <c r="D13" s="4" t="s">
        <v>732</v>
      </c>
      <c r="E13" s="4" t="s">
        <v>733</v>
      </c>
    </row>
    <row r="14" customFormat="false" ht="15" hidden="false" customHeight="false" outlineLevel="0" collapsed="false">
      <c r="A14" s="4" t="s">
        <v>734</v>
      </c>
      <c r="B14" s="19" t="n">
        <v>44287</v>
      </c>
      <c r="C14" s="4" t="s">
        <v>735</v>
      </c>
      <c r="D14" s="4" t="s">
        <v>9</v>
      </c>
      <c r="E14" s="4" t="s">
        <v>736</v>
      </c>
    </row>
    <row r="15" customFormat="false" ht="15" hidden="false" customHeight="false" outlineLevel="0" collapsed="false">
      <c r="A15" s="4" t="s">
        <v>737</v>
      </c>
      <c r="B15" s="19" t="n">
        <v>45289</v>
      </c>
      <c r="C15" s="4" t="s">
        <v>738</v>
      </c>
      <c r="D15" s="4" t="s">
        <v>9</v>
      </c>
      <c r="E15" s="4" t="s">
        <v>739</v>
      </c>
    </row>
    <row r="16" customFormat="false" ht="15" hidden="false" customHeight="false" outlineLevel="0" collapsed="false">
      <c r="A16" s="4" t="s">
        <v>740</v>
      </c>
      <c r="B16" s="19" t="n">
        <v>44881</v>
      </c>
      <c r="C16" s="4" t="s">
        <v>741</v>
      </c>
      <c r="D16" s="4" t="s">
        <v>18</v>
      </c>
      <c r="E16" s="4" t="s">
        <v>742</v>
      </c>
    </row>
    <row r="17" customFormat="false" ht="15" hidden="false" customHeight="false" outlineLevel="0" collapsed="false">
      <c r="A17" s="4" t="s">
        <v>743</v>
      </c>
      <c r="B17" s="19" t="n">
        <v>45349</v>
      </c>
      <c r="C17" s="4" t="s">
        <v>744</v>
      </c>
      <c r="D17" s="4" t="s">
        <v>18</v>
      </c>
      <c r="E17" s="4" t="s">
        <v>742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2026-10-25T08:37:44Z</dcterms:created>
  <dc:creator>openpyxl</dc:creator>
  <dc:description/>
  <dc:language>en-US</dc:language>
  <cp:lastModifiedBy/>
  <dcterms:modified xsi:type="dcterms:W3CDTF">2026-10-25T08:37:45Z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